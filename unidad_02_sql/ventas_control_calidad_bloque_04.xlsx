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<sst xmlns="http://schemas.openxmlformats.org/spreadsheetml/2006/main" count="45" uniqueCount="28">
  <si>
    <t xml:space="preserve">id_venta</t>
  </si>
  <si>
    <t xml:space="preserve">fecha</t>
  </si>
  <si>
    <t xml:space="preserve">cliente</t>
  </si>
  <si>
    <t xml:space="preserve">producto</t>
  </si>
  <si>
    <t xml:space="preserve">unidades</t>
  </si>
  <si>
    <t xml:space="preserve">precio_unitario</t>
  </si>
  <si>
    <t xml:space="preserve">estado</t>
  </si>
  <si>
    <t xml:space="preserve">estado_calidad</t>
  </si>
  <si>
    <t xml:space="preserve">conteo_id</t>
  </si>
  <si>
    <t xml:space="preserve">validacion_fecha.</t>
  </si>
  <si>
    <t xml:space="preserve">producto_estandarizado.</t>
  </si>
  <si>
    <t xml:space="preserve">total_revision</t>
  </si>
  <si>
    <t xml:space="preserve">porcentaje_revision</t>
  </si>
  <si>
    <t xml:space="preserve">mes_validado</t>
  </si>
  <si>
    <t xml:space="preserve">fecha_estandarizada.</t>
  </si>
  <si>
    <t xml:space="preserve">Ana</t>
  </si>
  <si>
    <t xml:space="preserve">Laptop</t>
  </si>
  <si>
    <t xml:space="preserve">Completada</t>
  </si>
  <si>
    <t xml:space="preserve">Luis</t>
  </si>
  <si>
    <t xml:space="preserve">Mouse</t>
  </si>
  <si>
    <t xml:space="preserve">Pedro</t>
  </si>
  <si>
    <t xml:space="preserve">Teclado</t>
  </si>
  <si>
    <t xml:space="preserve">Cancelada</t>
  </si>
  <si>
    <t xml:space="preserve">Monitor</t>
  </si>
  <si>
    <t xml:space="preserve">mouse</t>
  </si>
  <si>
    <t xml:space="preserve">Elena</t>
  </si>
  <si>
    <t xml:space="preserve">Devuelta</t>
  </si>
  <si>
    <t xml:space="preserve">fecha incorrecta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</si>
</sst>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%"/>
    <numFmt numFmtId="167" formatCode="dd/mm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"/>
  <sheetViews>
    <sheetView showFormulas="false" showGridLines="true" showRowColHeaders="true" showZeros="true" rightToLeft="false" tabSelected="true" showOutlineSymbols="true" defaultGridColor="true" view="normal" topLeftCell="E1" colorId="64" zoomScale="110" zoomScaleNormal="110" zoomScalePageLayoutView="100" workbookViewId="0">
      <selection pane="topLeft" activeCell="O15" activeCellId="0" sqref="O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48"/>
    <col collapsed="false" customWidth="true" hidden="false" outlineLevel="0" max="2" min="2" style="0" width="14.8"/>
    <col collapsed="false" customWidth="true" hidden="false" outlineLevel="0" max="3" min="3" style="0" width="6.83"/>
    <col collapsed="false" customWidth="true" hidden="false" outlineLevel="0" max="4" min="4" style="0" width="8.73"/>
    <col collapsed="false" customWidth="true" hidden="false" outlineLevel="0" max="5" min="5" style="0" width="8.98"/>
    <col collapsed="false" customWidth="true" hidden="false" outlineLevel="0" max="6" min="6" style="0" width="13.53"/>
    <col collapsed="false" customWidth="true" hidden="false" outlineLevel="0" max="7" min="7" style="0" width="11.39"/>
    <col collapsed="false" customWidth="true" hidden="false" outlineLevel="0" max="8" min="8" style="0" width="21.5"/>
    <col collapsed="false" customWidth="true" hidden="false" outlineLevel="0" max="9" min="9" style="0" width="9.4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2.8" hidden="false" customHeight="false" outlineLevel="0" collapsed="false">
      <c r="A2" s="1" t="n">
        <v>1001</v>
      </c>
      <c r="B2" s="2" t="n">
        <v>46296</v>
      </c>
      <c r="C2" s="1" t="s">
        <v>15</v>
      </c>
      <c r="D2" s="1" t="s">
        <v>16</v>
      </c>
      <c r="E2" s="1" t="n">
        <v>2</v>
      </c>
      <c r="F2" s="1" t="n">
        <v>15000</v>
      </c>
      <c r="G2" s="1" t="s">
        <v>17</v>
      </c>
      <c r="H2" s="0" t="str">
        <f aca="false">IF(OR(C2="",E2="",I2&gt;1,J2="Revisar fecha"),"Requiere revisión","Sin incidencia detectada")</f>
        <v>Sin incidencia detectada</v>
      </c>
      <c r="I2" s="0" t="n">
        <f aca="false">COUNTIF($A$2:$A$11,A2)</f>
        <v>1</v>
      </c>
      <c r="J2" s="0" t="str">
        <f aca="false">IF(ISNUMBER(B2),"Fecha válida","Revisar fecha")</f>
        <v>Fecha válida</v>
      </c>
      <c r="K2" s="0" t="str">
        <f aca="false">PROPER(D2)</f>
        <v>Laptop</v>
      </c>
      <c r="L2" s="0" t="n">
        <f aca="false">COUNTIF($H$2:$H$11,"Requiere revisión")</f>
        <v>5</v>
      </c>
      <c r="M2" s="3" t="n">
        <f aca="false">L2/COUNTA($A$2:$A$11)</f>
        <v>0.5</v>
      </c>
      <c r="N2" s="0" t="n">
        <f aca="false">MONTH(B2)</f>
        <v>10</v>
      </c>
      <c r="O2" s="0" t="str">
        <f aca="false">IF(ISNUMBER(B2),TEXT(B2,"AAAA-MM-DD"),"Pendiente de validación")</f>
        <v>2026-10-01</v>
      </c>
    </row>
    <row r="3" customFormat="false" ht="12.8" hidden="false" customHeight="false" outlineLevel="0" collapsed="false">
      <c r="A3" s="1" t="n">
        <v>1002</v>
      </c>
      <c r="B3" s="4" t="n">
        <v>46297</v>
      </c>
      <c r="C3" s="1" t="s">
        <v>18</v>
      </c>
      <c r="D3" s="1" t="s">
        <v>19</v>
      </c>
      <c r="E3" s="1" t="n">
        <v>3</v>
      </c>
      <c r="F3" s="1" t="n">
        <v>350</v>
      </c>
      <c r="G3" s="1" t="s">
        <v>17</v>
      </c>
      <c r="H3" s="0" t="str">
        <f aca="false">IF(OR(C3="",E3="",I3&gt;1,J3="Revisar fecha"),"Requiere revisión","Sin incidencia detectada")</f>
        <v>Sin incidencia detectada</v>
      </c>
      <c r="I3" s="0" t="n">
        <f aca="false">COUNTIF($A$2:$A$11,A3)</f>
        <v>1</v>
      </c>
      <c r="J3" s="0" t="str">
        <f aca="false">IF(ISNUMBER(B3),"Fecha válida","Revisar fecha")</f>
        <v>Fecha válida</v>
      </c>
      <c r="K3" s="0" t="str">
        <f aca="false">PROPER(D3)</f>
        <v>Mouse</v>
      </c>
      <c r="O3" s="0" t="str">
        <f aca="false">IF(ISNUMBER(B3),TEXT(B3,"AAAA-MM-DD"),"Pendiente de validación")</f>
        <v>2026-10-02</v>
      </c>
    </row>
    <row r="4" customFormat="false" ht="12.8" hidden="false" customHeight="false" outlineLevel="0" collapsed="false">
      <c r="A4" s="1" t="n">
        <v>1003</v>
      </c>
      <c r="B4" s="2" t="n">
        <v>46298</v>
      </c>
      <c r="C4" s="1" t="s">
        <v>20</v>
      </c>
      <c r="D4" s="1" t="s">
        <v>21</v>
      </c>
      <c r="E4" s="1" t="n">
        <v>1</v>
      </c>
      <c r="F4" s="1" t="n">
        <v>800</v>
      </c>
      <c r="G4" s="1" t="s">
        <v>22</v>
      </c>
      <c r="H4" s="0" t="str">
        <f aca="false">IF(OR(C4="",E4="",I4&gt;1,J4="Revisar fecha"),"Requiere revisión","Sin incidencia detectada")</f>
        <v>Sin incidencia detectada</v>
      </c>
      <c r="I4" s="0" t="n">
        <f aca="false">COUNTIF($A$2:$A$11,A4)</f>
        <v>1</v>
      </c>
      <c r="J4" s="0" t="str">
        <f aca="false">IF(ISNUMBER(B4),"Fecha válida","Revisar fecha")</f>
        <v>Fecha válida</v>
      </c>
      <c r="K4" s="0" t="str">
        <f aca="false">PROPER(D4)</f>
        <v>Teclado</v>
      </c>
      <c r="O4" s="0" t="str">
        <f aca="false">IF(ISNUMBER(B4),TEXT(B4,"AAAA-MM-DD"),"Pendiente de validación")</f>
        <v>2026-10-03</v>
      </c>
    </row>
    <row r="5" customFormat="false" ht="12.8" hidden="false" customHeight="false" outlineLevel="0" collapsed="false">
      <c r="A5" s="1" t="n">
        <v>1004</v>
      </c>
      <c r="B5" s="4" t="n">
        <v>46299</v>
      </c>
      <c r="C5" s="1" t="s">
        <v>15</v>
      </c>
      <c r="D5" s="1" t="s">
        <v>23</v>
      </c>
      <c r="E5" s="1" t="n">
        <v>2</v>
      </c>
      <c r="F5" s="1" t="n">
        <v>4500</v>
      </c>
      <c r="G5" s="1" t="s">
        <v>17</v>
      </c>
      <c r="H5" s="0" t="str">
        <f aca="false">IF(OR(C5="",E5="",I5&gt;1,J5="Revisar fecha"),"Requiere revisión","Sin incidencia detectada")</f>
        <v>Sin incidencia detectada</v>
      </c>
      <c r="I5" s="0" t="n">
        <f aca="false">COUNTIF($A$2:$A$11,A5)</f>
        <v>1</v>
      </c>
      <c r="J5" s="0" t="str">
        <f aca="false">IF(ISNUMBER(B5),"Fecha válida","Revisar fecha")</f>
        <v>Fecha válida</v>
      </c>
      <c r="K5" s="0" t="str">
        <f aca="false">PROPER(D5)</f>
        <v>Monitor</v>
      </c>
      <c r="O5" s="0" t="str">
        <f aca="false">IF(ISNUMBER(B5),TEXT(B5,"AAAA-MM-DD"),"Pendiente de validación")</f>
        <v>2026-10-04</v>
      </c>
    </row>
    <row r="6" customFormat="false" ht="12.8" hidden="false" customHeight="false" outlineLevel="0" collapsed="false">
      <c r="A6" s="1" t="n">
        <v>1005</v>
      </c>
      <c r="B6" s="2" t="n">
        <v>46300</v>
      </c>
      <c r="C6" s="1"/>
      <c r="D6" s="1" t="s">
        <v>16</v>
      </c>
      <c r="E6" s="1" t="n">
        <v>1</v>
      </c>
      <c r="F6" s="1" t="n">
        <v>15000</v>
      </c>
      <c r="G6" s="1" t="s">
        <v>17</v>
      </c>
      <c r="H6" s="0" t="str">
        <f aca="false">IF(OR(C6="",E6="",I6&gt;1,J6="Revisar fecha"),"Requiere revisión","Sin incidencia detectada")</f>
        <v>Requiere revisión</v>
      </c>
      <c r="I6" s="0" t="n">
        <f aca="false">COUNTIF($A$2:$A$11,A6)</f>
        <v>1</v>
      </c>
      <c r="J6" s="0" t="str">
        <f aca="false">IF(ISNUMBER(B6),"Fecha válida","Revisar fecha")</f>
        <v>Fecha válida</v>
      </c>
      <c r="K6" s="0" t="str">
        <f aca="false">PROPER(D6)</f>
        <v>Laptop</v>
      </c>
      <c r="O6" s="0" t="str">
        <f aca="false">IF(ISNUMBER(B6),TEXT(B6,"AAAA-MM-DD"),"Pendiente de validación")</f>
        <v>2026-10-05</v>
      </c>
    </row>
    <row r="7" customFormat="false" ht="12.8" hidden="false" customHeight="false" outlineLevel="0" collapsed="false">
      <c r="A7" s="1" t="n">
        <v>1006</v>
      </c>
      <c r="B7" s="4" t="n">
        <v>46301</v>
      </c>
      <c r="C7" s="1" t="s">
        <v>18</v>
      </c>
      <c r="D7" s="1" t="s">
        <v>24</v>
      </c>
      <c r="E7" s="1" t="n">
        <v>4</v>
      </c>
      <c r="F7" s="1" t="n">
        <v>350</v>
      </c>
      <c r="G7" s="1" t="s">
        <v>17</v>
      </c>
      <c r="H7" s="0" t="str">
        <f aca="false">IF(OR(C7="",E7="",I7&gt;1,J7="Revisar fecha"),"Requiere revisión","Sin incidencia detectada")</f>
        <v>Sin incidencia detectada</v>
      </c>
      <c r="I7" s="0" t="n">
        <f aca="false">COUNTIF($A$2:$A$11,A7)</f>
        <v>1</v>
      </c>
      <c r="J7" s="0" t="str">
        <f aca="false">IF(ISNUMBER(B7),"Fecha válida","Revisar fecha")</f>
        <v>Fecha válida</v>
      </c>
      <c r="K7" s="0" t="str">
        <f aca="false">PROPER(D7)</f>
        <v>Mouse</v>
      </c>
      <c r="O7" s="0" t="str">
        <f aca="false">IF(ISNUMBER(B7),TEXT(B7,"AAAA-MM-DD"),"Pendiente de validación")</f>
        <v>2026-10-06</v>
      </c>
    </row>
    <row r="8" customFormat="false" ht="12.8" hidden="false" customHeight="false" outlineLevel="0" collapsed="false">
      <c r="A8" s="1" t="n">
        <v>1007</v>
      </c>
      <c r="B8" s="2" t="n">
        <v>46302</v>
      </c>
      <c r="C8" s="1" t="s">
        <v>25</v>
      </c>
      <c r="D8" s="1" t="s">
        <v>21</v>
      </c>
      <c r="E8" s="1"/>
      <c r="F8" s="1" t="n">
        <v>800</v>
      </c>
      <c r="G8" s="1" t="s">
        <v>17</v>
      </c>
      <c r="H8" s="0" t="str">
        <f aca="false">IF(OR(C8="",E8="",I8&gt;1,J8="Revisar fecha"),"Requiere revisión","Sin incidencia detectada")</f>
        <v>Requiere revisión</v>
      </c>
      <c r="I8" s="0" t="n">
        <f aca="false">COUNTIF($A$2:$A$11,A8)</f>
        <v>1</v>
      </c>
      <c r="J8" s="0" t="str">
        <f aca="false">IF(ISNUMBER(B8),"Fecha válida","Revisar fecha")</f>
        <v>Fecha válida</v>
      </c>
      <c r="K8" s="0" t="str">
        <f aca="false">PROPER(D8)</f>
        <v>Teclado</v>
      </c>
      <c r="O8" s="0" t="str">
        <f aca="false">IF(ISNUMBER(B8),TEXT(B8,"AAAA-MM-DD"),"Pendiente de validación")</f>
        <v>2026-10-07</v>
      </c>
    </row>
    <row r="9" customFormat="false" ht="12.8" hidden="false" customHeight="false" outlineLevel="0" collapsed="false">
      <c r="A9" s="1" t="n">
        <v>1008</v>
      </c>
      <c r="B9" s="4" t="n">
        <v>46303</v>
      </c>
      <c r="C9" s="1" t="s">
        <v>20</v>
      </c>
      <c r="D9" s="1" t="s">
        <v>23</v>
      </c>
      <c r="E9" s="1" t="n">
        <v>1</v>
      </c>
      <c r="F9" s="1" t="n">
        <v>4500</v>
      </c>
      <c r="G9" s="1" t="s">
        <v>26</v>
      </c>
      <c r="H9" s="0" t="str">
        <f aca="false">IF(OR(C9="",E9="",I9&gt;1,J9="Revisar fecha"),"Requiere revisión","Sin incidencia detectada")</f>
        <v>Requiere revisión</v>
      </c>
      <c r="I9" s="0" t="n">
        <f aca="false">COUNTIF($A$2:$A$11,A9)</f>
        <v>2</v>
      </c>
      <c r="J9" s="0" t="str">
        <f aca="false">IF(ISNUMBER(B9),"Fecha válida","Revisar fecha")</f>
        <v>Fecha válida</v>
      </c>
      <c r="K9" s="0" t="str">
        <f aca="false">PROPER(D9)</f>
        <v>Monitor</v>
      </c>
      <c r="O9" s="0" t="str">
        <f aca="false">IF(ISNUMBER(B9),TEXT(B9,"AAAA-MM-DD"),"Pendiente de validación")</f>
        <v>2026-10-08</v>
      </c>
    </row>
    <row r="10" customFormat="false" ht="12.8" hidden="false" customHeight="false" outlineLevel="0" collapsed="false">
      <c r="A10" s="1" t="n">
        <v>1008</v>
      </c>
      <c r="B10" s="4" t="n">
        <v>46303</v>
      </c>
      <c r="C10" s="1" t="s">
        <v>20</v>
      </c>
      <c r="D10" s="1" t="s">
        <v>23</v>
      </c>
      <c r="E10" s="1" t="n">
        <v>1</v>
      </c>
      <c r="F10" s="1" t="n">
        <v>4500</v>
      </c>
      <c r="G10" s="1" t="s">
        <v>26</v>
      </c>
      <c r="H10" s="0" t="str">
        <f aca="false">IF(OR(C10="",E10="",I10&gt;1,J10="Revisar fecha"),"Requiere revisión","Sin incidencia detectada")</f>
        <v>Requiere revisión</v>
      </c>
      <c r="I10" s="0" t="n">
        <f aca="false">COUNTIF($A$2:$A$11,A10)</f>
        <v>2</v>
      </c>
      <c r="J10" s="0" t="str">
        <f aca="false">IF(ISNUMBER(B10),"Fecha válida","Revisar fecha")</f>
        <v>Fecha válida</v>
      </c>
      <c r="K10" s="0" t="str">
        <f aca="false">PROPER(D10)</f>
        <v>Monitor</v>
      </c>
      <c r="O10" s="0" t="str">
        <f aca="false">IF(ISNUMBER(B10),TEXT(B10,"AAAA-MM-DD"),"Pendiente de validación")</f>
        <v>2026-10-08</v>
      </c>
    </row>
    <row r="11" customFormat="false" ht="12.8" hidden="false" customHeight="false" outlineLevel="0" collapsed="false">
      <c r="A11" s="1" t="n">
        <v>1009</v>
      </c>
      <c r="B11" s="1" t="s">
        <v>27</v>
      </c>
      <c r="C11" s="1" t="s">
        <v>15</v>
      </c>
      <c r="D11" s="1" t="s">
        <v>16</v>
      </c>
      <c r="E11" s="1" t="n">
        <v>1</v>
      </c>
      <c r="F11" s="1" t="n">
        <v>15000</v>
      </c>
      <c r="G11" s="1" t="s">
        <v>17</v>
      </c>
      <c r="H11" s="0" t="str">
        <f aca="false">IF(OR(C11="",E11="",I11&gt;1,J11="Revisar fecha"),"Requiere revisión","Sin incidencia detectada")</f>
        <v>Requiere revisión</v>
      </c>
      <c r="I11" s="0" t="n">
        <f aca="false">COUNTIF($A$2:$A$11,A11)</f>
        <v>1</v>
      </c>
      <c r="J11" s="0" t="str">
        <f aca="false">IF(ISNUMBER(B11),"Fecha válida","Revisar fecha")</f>
        <v>Revisar fecha</v>
      </c>
      <c r="K11" s="0" t="str">
        <f aca="false">PROPER(D11)</f>
        <v>Laptop</v>
      </c>
      <c r="O11" s="0" t="str">
        <f aca="false">IF(ISNUMBER(B11),TEXT(B11,"AAAA-MM-DD"),"Pendiente de validación")</f>
        <v>Pendiente de validación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250</TotalTime>
  <Application>LibreOffice/24.2.7.2$Windows_X86_64 LibreOffice_project/ee3885777aa7032db5a9b65deec9457448a91162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2026-10-21T12:29:48Z</dcterms:created>
  <dc:creator/>
  <dc:description/>
  <dc:language>es-MX</dc:language>
  <cp:lastModifiedBy/>
  <dcterms:modified xsi:type="dcterms:W3CDTF">2026-10-22T12:25:26Z</dcterms:modified>
  <cp:revision>3</cp:revision>
  <dc:subject/>
  <dc:title/>
</cp:coreProperties>
</file>