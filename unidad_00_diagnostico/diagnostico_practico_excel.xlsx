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tables/table1.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_rels/drawing1.xml.rels" ContentType="application/vnd.openxmlformats-package.relationships+xml"/>
  <Override PartName="/xl/charts/chart1.xml" ContentType="application/vnd.openxmlformats-officedocument.drawingml.chart+xml"/>
  <Override PartName="/xl/pivotTables/pivotTable1.xml" ContentType="application/vnd.openxmlformats-officedocument.spreadsheetml.pivotTable+xml"/>
  <Override PartName="/xl/pivotTables/_rels/pivotTable1.xml.rels" ContentType="application/vnd.openxmlformats-package.relationships+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Ventas" sheetId="1" state="visible" r:id="rId3"/>
    <sheet name="Tabla dinámica_Ventas_1" sheetId="2" state="visible" r:id="rId4"/>
    <sheet name="Instrucciones" sheetId="3" state="visible" r:id="rId5"/>
  </sheets>
  <calcPr iterateCount="100" refMode="A1" iterate="false" iterateDelta="0.001"/>
  <pivotCaches>
    <pivotCache cacheId="1" r:id="rId7"/>
  </pivotCaches>
  <extLst>
    <ext xmlns:loext="http://schemas.libreoffice.org/" uri="{7626C862-2A13-11E5-B345-FEFF819CDC9F}">
      <loext:extCalcPr stringRefSyntax="CalcA1ExcelA1"/>
    </ext>
  </extLst>
</workbook>
</file>

<file path=xl/sharedStrings.xml><?xml version="1.0" encoding="utf-8"?>
<sst xmlns="http://schemas.openxmlformats.org/spreadsheetml/2006/main" count="220" uniqueCount="51">
  <si>
    <t xml:space="preserve">Fecha</t>
  </si>
  <si>
    <t xml:space="preserve">Vendedor</t>
  </si>
  <si>
    <t xml:space="preserve">Producto</t>
  </si>
  <si>
    <t xml:space="preserve">Región</t>
  </si>
  <si>
    <t xml:space="preserve">Unidades</t>
  </si>
  <si>
    <t xml:space="preserve">Precio unitario</t>
  </si>
  <si>
    <t xml:space="preserve">Venta total</t>
  </si>
  <si>
    <t xml:space="preserve">Diego</t>
  </si>
  <si>
    <t xml:space="preserve">Laptop</t>
  </si>
  <si>
    <t xml:space="preserve">Sur</t>
  </si>
  <si>
    <t xml:space="preserve">Bruno</t>
  </si>
  <si>
    <t xml:space="preserve">Norte</t>
  </si>
  <si>
    <t xml:space="preserve">Teclado</t>
  </si>
  <si>
    <t xml:space="preserve">Monitor</t>
  </si>
  <si>
    <t xml:space="preserve">Carla</t>
  </si>
  <si>
    <t xml:space="preserve">Centro</t>
  </si>
  <si>
    <t xml:space="preserve">Elena</t>
  </si>
  <si>
    <t xml:space="preserve">Mouse</t>
  </si>
  <si>
    <t xml:space="preserve">Ana</t>
  </si>
  <si>
    <t xml:space="preserve">Datos</t>
  </si>
  <si>
    <t xml:space="preserve">Suma - Venta total</t>
  </si>
  <si>
    <t xml:space="preserve">Suma - Unidades</t>
  </si>
  <si>
    <t xml:space="preserve">Total Resultado</t>
  </si>
  <si>
    <t xml:space="preserve">Unidad 0 — Diagnóstico práctico de Excel</t>
  </si>
  <si>
    <t xml:space="preserve">Objetivo</t>
  </si>
  <si>
    <t xml:space="preserve">Resolver el caso con los conocimientos que tienes hoy, sin buscar tutoriales ni pedirme cómo hacerlo.</t>
  </si>
  <si>
    <t xml:space="preserve">Caso</t>
  </si>
  <si>
    <t xml:space="preserve">Tu gerente te entrega la hoja Ventas y quiere un resumen ejecutivo de lo ocurrido.</t>
  </si>
  <si>
    <t xml:space="preserve">Reto 1</t>
  </si>
  <si>
    <t xml:space="preserve">Determina el total de ventas de toda la base.</t>
  </si>
  <si>
    <t xml:space="preserve">Reto 2</t>
  </si>
  <si>
    <t xml:space="preserve">Identifica qué vendedor generó más ventas y cuánto vendió.</t>
  </si>
  <si>
    <t xml:space="preserve">Bruno y Elena, 148 K, pero no creo haberlo hecho correcto por que lo hice con filtro no con formula</t>
  </si>
  <si>
    <t xml:space="preserve">Reto 3</t>
  </si>
  <si>
    <t xml:space="preserve">Identifica qué producto generó más ingresos.</t>
  </si>
  <si>
    <t xml:space="preserve">lap top, pero nuevamente segui con filtro, tome cursos, seleccione todas las ventas y abajo me aparece la suma total, lo hice por cada articulo y asi defini cual es el que mas vendio y la cantidad</t>
  </si>
  <si>
    <t xml:space="preserve">Reto 4</t>
  </si>
  <si>
    <t xml:space="preserve">Compara las regiones e identifica cuál generó más ventas.</t>
  </si>
  <si>
    <t xml:space="preserve">norte, mismo sistema que el pasado, pero no creo este correcto</t>
  </si>
  <si>
    <t xml:space="preserve">Reto 5</t>
  </si>
  <si>
    <t xml:space="preserve">Crea al menos un gráfico que consideres útil para un gerente.</t>
  </si>
  <si>
    <t xml:space="preserve">El grafico nos permite ver que vendedor tiene mas venta, tiene minimos detalles que se tiene que arreglar pero esa es la idea</t>
  </si>
  <si>
    <t xml:space="preserve">Reto 6</t>
  </si>
  <si>
    <t xml:space="preserve">Escribe 2 o 3 conclusiones de negocio basadas en tus resultados.</t>
  </si>
  <si>
    <t xml:space="preserve">Enero y mayo son por muchos los mejores meses del año, identificar el por que, para replicar en siguientes meses o generar promociones para igualar, algunos territorios no venden nada en ciertos meses, identificar el porque, el margen de ventas se basa en laptops por el costo unitario, es necesario meter mas articulos con cierto costo para incrementar las ventas mensuales.</t>
  </si>
  <si>
    <t xml:space="preserve">Regla</t>
  </si>
  <si>
    <t xml:space="preserve">Puedes usar fórmulas, filtros, tablas dinámicas, gráficos u otras herramientas que ya conozcas. Si te atoras, detente y dime exactamente dónde.</t>
  </si>
  <si>
    <t xml:space="preserve">Todo ok</t>
  </si>
  <si>
    <t xml:space="preserve">Entrega</t>
  </si>
  <si>
    <t xml:space="preserve">Guarda tu trabajo sin borrar la hoja Ventas. Luego lo incorporaremos a tu repositorio de Git.</t>
  </si>
  <si>
    <t xml:space="preserve">ok </t>
  </si>
</sst>
</file>

<file path=xl/styles.xml><?xml version="1.0" encoding="utf-8"?>
<styleSheet xmlns="http://schemas.openxmlformats.org/spreadsheetml/2006/main">
  <numFmts count="4">
    <numFmt numFmtId="164" formatCode="General"/>
    <numFmt numFmtId="165" formatCode="dd/mm/yyyy"/>
    <numFmt numFmtId="166" formatCode="\$#,##0.00"/>
    <numFmt numFmtId="167" formatCode="[$$-80A]#,##0.00;[RED]\-[$$-80A]#,##0.00"/>
  </numFmts>
  <fonts count="10">
    <font>
      <sz val="10"/>
      <name val="Arial"/>
      <family val="2"/>
      <charset val="1"/>
    </font>
    <font>
      <sz val="10"/>
      <name val="Arial"/>
      <family val="0"/>
    </font>
    <font>
      <sz val="10"/>
      <name val="Arial"/>
      <family val="0"/>
    </font>
    <font>
      <sz val="10"/>
      <name val="Arial"/>
      <family val="0"/>
    </font>
    <font>
      <sz val="11"/>
      <name val="Calibri"/>
      <family val="0"/>
      <charset val="1"/>
    </font>
    <font>
      <b val="true"/>
      <sz val="10"/>
      <name val="Arial"/>
      <family val="2"/>
      <charset val="1"/>
    </font>
    <font>
      <b val="true"/>
      <sz val="11"/>
      <color rgb="FFFFFFFF"/>
      <name val="Calibri"/>
      <family val="0"/>
      <charset val="1"/>
    </font>
    <font>
      <sz val="10"/>
      <color rgb="FF000000"/>
      <name val="Arial"/>
      <family val="2"/>
    </font>
    <font>
      <b val="true"/>
      <sz val="16"/>
      <color rgb="FFFFFFFF"/>
      <name val="Calibri"/>
      <family val="0"/>
      <charset val="1"/>
    </font>
    <font>
      <b val="true"/>
      <sz val="11"/>
      <name val="Calibri"/>
      <family val="0"/>
      <charset val="1"/>
    </font>
  </fonts>
  <fills count="4">
    <fill>
      <patternFill patternType="none"/>
    </fill>
    <fill>
      <patternFill patternType="gray125"/>
    </fill>
    <fill>
      <patternFill patternType="solid">
        <fgColor rgb="FF1F4E78"/>
        <bgColor rgb="FF004586"/>
      </patternFill>
    </fill>
    <fill>
      <patternFill patternType="solid">
        <fgColor rgb="FFD9EAF7"/>
        <bgColor rgb="FFCCFFFF"/>
      </patternFill>
    </fill>
  </fills>
  <borders count="16">
    <border diagonalUp="false" diagonalDown="false">
      <left/>
      <right/>
      <top/>
      <bottom/>
      <diagonal/>
    </border>
    <border diagonalUp="false" diagonalDown="false">
      <left style="medium"/>
      <right style="thin"/>
      <top style="medium"/>
      <bottom/>
      <diagonal/>
    </border>
    <border diagonalUp="false" diagonalDown="false">
      <left style="thin"/>
      <right style="thin"/>
      <top style="medium"/>
      <bottom style="thin"/>
      <diagonal/>
    </border>
    <border diagonalUp="false" diagonalDown="false">
      <left/>
      <right style="medium"/>
      <top style="medium"/>
      <bottom style="thin"/>
      <diagonal/>
    </border>
    <border diagonalUp="false" diagonalDown="false">
      <left style="medium"/>
      <right style="thin"/>
      <top style="thin"/>
      <bottom style="thin"/>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style="thin"/>
      <top style="thin"/>
      <bottom/>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style="thin"/>
      <top/>
      <bottom/>
      <diagonal/>
    </border>
    <border diagonalUp="false" diagonalDown="false">
      <left style="thin"/>
      <right/>
      <top/>
      <bottom/>
      <diagonal/>
    </border>
    <border diagonalUp="false" diagonalDown="false">
      <left/>
      <right style="medium"/>
      <top/>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medium"/>
      <top style="thin"/>
      <bottom style="mediu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5" fillId="0" borderId="0" applyFont="true" applyBorder="false" applyAlignment="true" applyProtection="false">
      <alignment horizontal="left"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2" borderId="0" xfId="20" applyFont="true" applyBorder="true" applyAlignment="true" applyProtection="true">
      <alignment horizontal="center" vertical="center" textRotation="0" wrapText="false" indent="0" shrinkToFit="false"/>
      <protection locked="true" hidden="false"/>
    </xf>
    <xf numFmtId="165" fontId="4" fillId="0" borderId="0" xfId="20" applyFont="true" applyBorder="true" applyAlignment="true" applyProtection="true">
      <alignment horizontal="general" vertical="bottom" textRotation="0" wrapText="false" indent="0" shrinkToFit="false"/>
      <protection locked="true" hidden="false"/>
    </xf>
    <xf numFmtId="166" fontId="4" fillId="0" borderId="0" xfId="20" applyFont="true" applyBorder="tru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22" applyFont="false" applyBorder="true" applyAlignment="false" applyProtection="false">
      <alignment horizontal="general" vertical="bottom" textRotation="0" wrapText="false" indent="0" shrinkToFit="false"/>
      <protection locked="true" hidden="false"/>
    </xf>
    <xf numFmtId="164" fontId="0" fillId="0" borderId="2" xfId="21" applyFont="true" applyBorder="true" applyAlignment="false" applyProtection="false">
      <alignment horizontal="general" vertical="bottom" textRotation="0" wrapText="false" indent="0" shrinkToFit="false"/>
      <protection locked="true" hidden="false"/>
    </xf>
    <xf numFmtId="164" fontId="0" fillId="0" borderId="3" xfId="22" applyFont="false" applyBorder="true" applyAlignment="false" applyProtection="false">
      <alignment horizontal="general" vertical="bottom" textRotation="0" wrapText="false" indent="0" shrinkToFit="false"/>
      <protection locked="true" hidden="false"/>
    </xf>
    <xf numFmtId="164" fontId="0" fillId="0" borderId="4" xfId="21" applyFont="true" applyBorder="true" applyAlignment="false" applyProtection="false">
      <alignment horizontal="general" vertical="bottom" textRotation="0" wrapText="false" indent="0" shrinkToFit="false"/>
      <protection locked="true" hidden="false"/>
    </xf>
    <xf numFmtId="164" fontId="0" fillId="0" borderId="5" xfId="24" applyFont="true" applyBorder="true" applyAlignment="false" applyProtection="false">
      <alignment horizontal="left" vertical="bottom" textRotation="0" wrapText="false" indent="0" shrinkToFit="false"/>
      <protection locked="true" hidden="false"/>
    </xf>
    <xf numFmtId="164" fontId="0" fillId="0" borderId="6" xfId="24" applyFont="true" applyBorder="true" applyAlignment="false" applyProtection="false">
      <alignment horizontal="left" vertical="bottom" textRotation="0" wrapText="false" indent="0" shrinkToFit="false"/>
      <protection locked="true" hidden="false"/>
    </xf>
    <xf numFmtId="165" fontId="0" fillId="0" borderId="7" xfId="24" applyFont="false" applyBorder="true" applyAlignment="false" applyProtection="false">
      <alignment horizontal="left" vertical="bottom" textRotation="0" wrapText="false" indent="0" shrinkToFit="false"/>
      <protection locked="true" hidden="false"/>
    </xf>
    <xf numFmtId="166" fontId="0" fillId="0" borderId="8" xfId="23" applyFont="false" applyBorder="true" applyAlignment="false" applyProtection="false">
      <alignment horizontal="general" vertical="bottom" textRotation="0" wrapText="false" indent="0" shrinkToFit="false"/>
      <protection locked="true" hidden="false"/>
    </xf>
    <xf numFmtId="164" fontId="0" fillId="0" borderId="9" xfId="23" applyFont="false" applyBorder="true" applyAlignment="false" applyProtection="false">
      <alignment horizontal="general" vertical="bottom" textRotation="0" wrapText="false" indent="0" shrinkToFit="false"/>
      <protection locked="true" hidden="false"/>
    </xf>
    <xf numFmtId="165" fontId="0" fillId="0" borderId="10" xfId="24" applyFont="false" applyBorder="true" applyAlignment="false" applyProtection="false">
      <alignment horizontal="left" vertical="bottom" textRotation="0" wrapText="false" indent="0" shrinkToFit="false"/>
      <protection locked="true" hidden="false"/>
    </xf>
    <xf numFmtId="166" fontId="0" fillId="0" borderId="11" xfId="23" applyFont="false" applyBorder="true" applyAlignment="false" applyProtection="false">
      <alignment horizontal="general" vertical="bottom" textRotation="0" wrapText="false" indent="0" shrinkToFit="false"/>
      <protection locked="true" hidden="false"/>
    </xf>
    <xf numFmtId="164" fontId="0" fillId="0" borderId="12" xfId="23" applyFont="false" applyBorder="true" applyAlignment="false" applyProtection="false">
      <alignment horizontal="general" vertical="bottom" textRotation="0" wrapText="false" indent="0" shrinkToFit="false"/>
      <protection locked="true" hidden="false"/>
    </xf>
    <xf numFmtId="166" fontId="0" fillId="0" borderId="5" xfId="23" applyFont="false" applyBorder="true" applyAlignment="false" applyProtection="false">
      <alignment horizontal="general" vertical="bottom" textRotation="0" wrapText="false" indent="0" shrinkToFit="false"/>
      <protection locked="true" hidden="false"/>
    </xf>
    <xf numFmtId="164" fontId="0" fillId="0" borderId="6" xfId="23" applyFont="false" applyBorder="true" applyAlignment="false" applyProtection="false">
      <alignment horizontal="general" vertical="bottom" textRotation="0" wrapText="false" indent="0" shrinkToFit="false"/>
      <protection locked="true" hidden="false"/>
    </xf>
    <xf numFmtId="165" fontId="5" fillId="0" borderId="13" xfId="25" applyFont="true" applyBorder="true" applyAlignment="false" applyProtection="false">
      <alignment horizontal="left" vertical="bottom" textRotation="0" wrapText="false" indent="0" shrinkToFit="false"/>
      <protection locked="true" hidden="false"/>
    </xf>
    <xf numFmtId="166" fontId="5" fillId="0" borderId="14" xfId="26" applyFont="false" applyBorder="true" applyAlignment="false" applyProtection="false">
      <alignment horizontal="general" vertical="bottom" textRotation="0" wrapText="false" indent="0" shrinkToFit="false"/>
      <protection locked="true" hidden="false"/>
    </xf>
    <xf numFmtId="164" fontId="5" fillId="0" borderId="15" xfId="26" applyFont="false" applyBorder="true" applyAlignment="false" applyProtection="false">
      <alignment horizontal="general" vertical="bottom" textRotation="0" wrapText="false" indent="0" shrinkToFit="false"/>
      <protection locked="true" hidden="false"/>
    </xf>
    <xf numFmtId="164" fontId="8" fillId="2" borderId="0" xfId="20" applyFont="true" applyBorder="true" applyAlignment="true" applyProtection="true">
      <alignment horizontal="center" vertical="center" textRotation="0" wrapText="false" indent="0" shrinkToFit="false"/>
      <protection locked="true" hidden="false"/>
    </xf>
    <xf numFmtId="164" fontId="9" fillId="3" borderId="0" xfId="20" applyFont="true" applyBorder="true" applyAlignment="true" applyProtection="true">
      <alignment horizontal="general" vertical="top" textRotation="0" wrapText="false" indent="0" shrinkToFit="false"/>
      <protection locked="true" hidden="false"/>
    </xf>
    <xf numFmtId="164" fontId="4" fillId="0" borderId="0" xfId="20" applyFont="true" applyBorder="tru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Normal" xfId="20"/>
    <cellStyle name="Campo de la tabla dinámica" xfId="21"/>
    <cellStyle name="Esquina de la tabla dinámica" xfId="22"/>
    <cellStyle name="Valor de la tabla dinámica" xfId="23"/>
    <cellStyle name="Categoría de la tabla dinámica" xfId="24"/>
    <cellStyle name="Título de la tabla dinámica" xfId="25"/>
    <cellStyle name="Resultado de la tabla dinámica" xfId="26"/>
  </cellStyles>
  <dxfs count="3">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9999FF"/>
      <rgbColor rgb="FF993366"/>
      <rgbColor rgb="FFFFFF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458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Relationship Id="rId7" Type="http://schemas.openxmlformats.org/officeDocument/2006/relationships/pivotCacheDefinition" Target="pivotCache/pivotCacheDefinition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spPr>
            <a:solidFill>
              <a:srgbClr val="004586"/>
            </a:solidFill>
            <a:ln w="0">
              <a:noFill/>
            </a:ln>
          </c:spPr>
          <c:invertIfNegative val="0"/>
          <c:dLbls>
            <c:txPr>
              <a:bodyPr wrap="none"/>
              <a:lstStyle/>
              <a:p>
                <a:pPr>
                  <a:defRPr b="0" sz="1000" spc="-1" strike="noStrike">
                    <a:solidFill>
                      <a:srgbClr val="000000"/>
                    </a:solidFill>
                    <a:latin typeface="Arial"/>
                    <a:ea typeface="Calibri"/>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val>
            <c:numRef>
              <c:f>Ventas!$B$3:$B$58,Ventas!$G$3:$G$5,Ventas!$G$7,Ventas!$G$9:$G$11,Ventas!$G$23,Ventas!$G$26,Ventas!$G$28:$G$29,Ventas!$G$34:$G$36,Ventas!$G$42,Ventas!$G$48:$G$51,Ventas!$G$53,Ventas!$G$57:$G$58</c:f>
              <c:numCache>
                <c:formatCode>\$#,##0.00</c:formatCode>
                <c:ptCount val="78"/>
                <c:pt idx="56">
                  <c:v>18500</c:v>
                </c:pt>
                <c:pt idx="57">
                  <c:v>7500</c:v>
                </c:pt>
                <c:pt idx="58">
                  <c:v>36400</c:v>
                </c:pt>
                <c:pt idx="59">
                  <c:v>92500</c:v>
                </c:pt>
                <c:pt idx="60">
                  <c:v>7500</c:v>
                </c:pt>
                <c:pt idx="61">
                  <c:v>1300</c:v>
                </c:pt>
                <c:pt idx="62">
                  <c:v>41600</c:v>
                </c:pt>
                <c:pt idx="63">
                  <c:v>1250</c:v>
                </c:pt>
                <c:pt idx="64">
                  <c:v>1950</c:v>
                </c:pt>
                <c:pt idx="65">
                  <c:v>41600</c:v>
                </c:pt>
                <c:pt idx="66">
                  <c:v>3900</c:v>
                </c:pt>
                <c:pt idx="67">
                  <c:v>148000</c:v>
                </c:pt>
                <c:pt idx="68">
                  <c:v>5200</c:v>
                </c:pt>
                <c:pt idx="69">
                  <c:v>15600</c:v>
                </c:pt>
                <c:pt idx="70">
                  <c:v>129500</c:v>
                </c:pt>
                <c:pt idx="71">
                  <c:v>10400</c:v>
                </c:pt>
                <c:pt idx="72">
                  <c:v>2500</c:v>
                </c:pt>
                <c:pt idx="73">
                  <c:v>10000</c:v>
                </c:pt>
                <c:pt idx="74">
                  <c:v>92500</c:v>
                </c:pt>
                <c:pt idx="75">
                  <c:v>111000</c:v>
                </c:pt>
                <c:pt idx="76">
                  <c:v>18500</c:v>
                </c:pt>
                <c:pt idx="77">
                  <c:v>15600</c:v>
                </c:pt>
              </c:numCache>
            </c:numRef>
          </c:val>
        </c:ser>
        <c:gapWidth val="100"/>
        <c:overlap val="0"/>
        <c:axId val="66751346"/>
        <c:axId val="5010948"/>
      </c:barChart>
      <c:catAx>
        <c:axId val="66751346"/>
        <c:scaling>
          <c:orientation val="minMax"/>
        </c:scaling>
        <c:delete val="0"/>
        <c:axPos val="b"/>
        <c:numFmt formatCode="General" sourceLinked="0"/>
        <c:majorTickMark val="out"/>
        <c:minorTickMark val="none"/>
        <c:tickLblPos val="nextTo"/>
        <c:spPr>
          <a:ln w="0">
            <a:solidFill>
              <a:srgbClr val="b3b3b3"/>
            </a:solidFill>
          </a:ln>
        </c:spPr>
        <c:txPr>
          <a:bodyPr/>
          <a:lstStyle/>
          <a:p>
            <a:pPr>
              <a:defRPr b="0" sz="1000" spc="-1" strike="noStrike">
                <a:solidFill>
                  <a:srgbClr val="000000"/>
                </a:solidFill>
                <a:latin typeface="Arial"/>
                <a:ea typeface="Calibri"/>
              </a:defRPr>
            </a:pPr>
          </a:p>
        </c:txPr>
        <c:crossAx val="5010948"/>
        <c:crosses val="autoZero"/>
        <c:auto val="1"/>
        <c:lblAlgn val="ctr"/>
        <c:lblOffset val="100"/>
        <c:noMultiLvlLbl val="0"/>
      </c:catAx>
      <c:valAx>
        <c:axId val="5010948"/>
        <c:scaling>
          <c:orientation val="minMax"/>
        </c:scaling>
        <c:delete val="0"/>
        <c:axPos val="l"/>
        <c:majorGridlines>
          <c:spPr>
            <a:ln w="0">
              <a:solidFill>
                <a:srgbClr val="b3b3b3"/>
              </a:solidFill>
            </a:ln>
          </c:spPr>
        </c:majorGridlines>
        <c:numFmt formatCode="\$#,##0.00" sourceLinked="0"/>
        <c:majorTickMark val="out"/>
        <c:minorTickMark val="none"/>
        <c:tickLblPos val="nextTo"/>
        <c:spPr>
          <a:ln w="0">
            <a:solidFill>
              <a:srgbClr val="b3b3b3"/>
            </a:solidFill>
          </a:ln>
        </c:spPr>
        <c:txPr>
          <a:bodyPr/>
          <a:lstStyle/>
          <a:p>
            <a:pPr>
              <a:defRPr b="0" sz="1000" spc="-1" strike="noStrike">
                <a:solidFill>
                  <a:srgbClr val="000000"/>
                </a:solidFill>
                <a:latin typeface="Arial"/>
                <a:ea typeface="Calibri"/>
              </a:defRPr>
            </a:pPr>
          </a:p>
        </c:txPr>
        <c:crossAx val="66751346"/>
        <c:crosses val="autoZero"/>
        <c:crossBetween val="between"/>
      </c:valAx>
      <c:spPr>
        <a:noFill/>
        <a:ln w="0">
          <a:solidFill>
            <a:srgbClr val="b3b3b3"/>
          </a:solidFill>
        </a:ln>
      </c:spPr>
    </c:plotArea>
    <c:legend>
      <c:legendPos val="r"/>
      <c:overlay val="0"/>
      <c:spPr>
        <a:noFill/>
        <a:ln w="0">
          <a:noFill/>
        </a:ln>
      </c:spPr>
      <c:txPr>
        <a:bodyPr/>
        <a:lstStyle/>
        <a:p>
          <a:pPr>
            <a:defRPr b="0" sz="1000" spc="-1" strike="noStrike">
              <a:solidFill>
                <a:srgbClr val="000000"/>
              </a:solidFill>
              <a:latin typeface="Arial"/>
              <a:ea typeface="Calibri"/>
            </a:defRPr>
          </a:pPr>
        </a:p>
      </c:txPr>
    </c:legend>
    <c:plotVisOnly val="1"/>
    <c:dispBlanksAs val="gap"/>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371520</xdr:colOff>
      <xdr:row>1</xdr:row>
      <xdr:rowOff>131400</xdr:rowOff>
    </xdr:from>
    <xdr:to>
      <xdr:col>17</xdr:col>
      <xdr:colOff>15840</xdr:colOff>
      <xdr:row>18</xdr:row>
      <xdr:rowOff>132120</xdr:rowOff>
    </xdr:to>
    <xdr:graphicFrame>
      <xdr:nvGraphicFramePr>
        <xdr:cNvPr id="0" name=""/>
        <xdr:cNvGraphicFramePr/>
      </xdr:nvGraphicFramePr>
      <xdr:xfrm>
        <a:off x="6926760" y="321840"/>
        <a:ext cx="5759280" cy="323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60" createdVersion="3">
  <cacheSource type="worksheet">
    <worksheetSource ref="A1:G61" sheet="Ventas"/>
  </cacheSource>
  <cacheFields count="7">
    <cacheField name="Fecha" numFmtId="0">
      <sharedItems containsSemiMixedTypes="0" containsNonDate="0" containsDate="1" containsString="0" minDate="2026-01-05T00:00:00" maxDate="2026-09-09T00:00:00" count="56">
        <d v="2026-01-05T00:00:00"/>
        <d v="2026-01-10T00:00:00"/>
        <d v="2026-01-12T00:00:00"/>
        <d v="2026-01-13T00:00:00"/>
        <d v="2026-01-17T00:00:00"/>
        <d v="2026-01-19T00:00:00"/>
        <d v="2026-01-21T00:00:00"/>
        <d v="2026-01-22T00:00:00"/>
        <d v="2026-01-24T00:00:00"/>
        <d v="2026-02-05T00:00:00"/>
        <d v="2026-02-06T00:00:00"/>
        <d v="2026-02-12T00:00:00"/>
        <d v="2026-02-14T00:00:00"/>
        <d v="2026-02-16T00:00:00"/>
        <d v="2026-02-17T00:00:00"/>
        <d v="2026-02-18T00:00:00"/>
        <d v="2026-02-20T00:00:00"/>
        <d v="2026-02-25T00:00:00"/>
        <d v="2026-03-20T00:00:00"/>
        <d v="2026-03-24T00:00:00"/>
        <d v="2026-03-25T00:00:00"/>
        <d v="2026-03-27T00:00:00"/>
        <d v="2026-04-09T00:00:00"/>
        <d v="2026-04-12T00:00:00"/>
        <d v="2026-04-16T00:00:00"/>
        <d v="2026-04-26T00:00:00"/>
        <d v="2026-05-01T00:00:00"/>
        <d v="2026-05-03T00:00:00"/>
        <d v="2026-05-07T00:00:00"/>
        <d v="2026-05-09T00:00:00"/>
        <d v="2026-05-14T00:00:00"/>
        <d v="2026-05-23T00:00:00"/>
        <d v="2026-05-24T00:00:00"/>
        <d v="2026-05-28T00:00:00"/>
        <d v="2026-05-31T00:00:00"/>
        <d v="2026-06-07T00:00:00"/>
        <d v="2026-06-08T00:00:00"/>
        <d v="2026-06-18T00:00:00"/>
        <d v="2026-06-20T00:00:00"/>
        <d v="2026-06-28T00:00:00"/>
        <d v="2026-07-04T00:00:00"/>
        <d v="2026-07-14T00:00:00"/>
        <d v="2026-07-16T00:00:00"/>
        <d v="2026-07-19T00:00:00"/>
        <d v="2026-07-23T00:00:00"/>
        <d v="2026-07-25T00:00:00"/>
        <d v="2026-07-27T00:00:00"/>
        <d v="2026-08-04T00:00:00"/>
        <d v="2026-08-06T00:00:00"/>
        <d v="2026-08-11T00:00:00"/>
        <d v="2026-08-12T00:00:00"/>
        <d v="2026-08-17T00:00:00"/>
        <d v="2026-08-20T00:00:00"/>
        <d v="2026-08-27T00:00:00"/>
        <d v="2026-09-08T00:00:00"/>
        <d v="2026-09-09T00:00:00"/>
      </sharedItems>
    </cacheField>
    <cacheField name="Vendedor" numFmtId="0">
      <sharedItems count="5">
        <s v="Ana"/>
        <s v="Bruno"/>
        <s v="Carla"/>
        <s v="Diego"/>
        <s v="Elena"/>
      </sharedItems>
    </cacheField>
    <cacheField name="Producto" numFmtId="0">
      <sharedItems count="4">
        <s v="Laptop"/>
        <s v="Monitor"/>
        <s v="Mouse"/>
        <s v="Teclado"/>
      </sharedItems>
    </cacheField>
    <cacheField name="Región" numFmtId="0">
      <sharedItems count="3">
        <s v="Centro"/>
        <s v="Norte"/>
        <s v="Sur"/>
      </sharedItems>
    </cacheField>
    <cacheField name="Unidades" numFmtId="0">
      <sharedItems containsSemiMixedTypes="0" containsString="0" containsNumber="1" containsInteger="1" minValue="1" maxValue="8" count="8">
        <n v="1"/>
        <n v="2"/>
        <n v="3"/>
        <n v="4"/>
        <n v="5"/>
        <n v="6"/>
        <n v="7"/>
        <n v="8"/>
      </sharedItems>
    </cacheField>
    <cacheField name="Precio unitario" numFmtId="0">
      <sharedItems containsSemiMixedTypes="0" containsString="0" containsNumber="1" containsInteger="1" minValue="650" maxValue="18500" count="4">
        <n v="650"/>
        <n v="1250"/>
        <n v="5200"/>
        <n v="18500"/>
      </sharedItems>
    </cacheField>
    <cacheField name="Venta total" numFmtId="0">
      <sharedItems containsSemiMixedTypes="0" containsString="0" containsNumber="1" containsInteger="1" minValue="650" maxValue="148000" count="23">
        <n v="650"/>
        <n v="1250"/>
        <n v="1300"/>
        <n v="1950"/>
        <n v="2500"/>
        <n v="3250"/>
        <n v="3900"/>
        <n v="4550"/>
        <n v="5000"/>
        <n v="5200"/>
        <n v="7500"/>
        <n v="10000"/>
        <n v="10400"/>
        <n v="15600"/>
        <n v="18500"/>
        <n v="31200"/>
        <n v="36400"/>
        <n v="41600"/>
        <n v="74000"/>
        <n v="92500"/>
        <n v="111000"/>
        <n v="129500"/>
        <n v="148000"/>
      </sharedItems>
    </cacheField>
  </cacheFields>
</pivotCacheDefinition>
</file>

<file path=xl/pivotCache/pivotCacheRecords1.xml><?xml version="1.0" encoding="utf-8"?>
<pivotCacheRecords xmlns="http://schemas.openxmlformats.org/spreadsheetml/2006/main" xmlns:r="http://schemas.openxmlformats.org/officeDocument/2006/relationships" count="60">
  <r>
    <x v="0"/>
    <x v="3"/>
    <x v="0"/>
    <x v="2"/>
    <x v="3"/>
    <x v="3"/>
    <x v="18"/>
  </r>
  <r>
    <x v="1"/>
    <x v="1"/>
    <x v="0"/>
    <x v="1"/>
    <x v="0"/>
    <x v="3"/>
    <x v="14"/>
  </r>
  <r>
    <x v="2"/>
    <x v="1"/>
    <x v="3"/>
    <x v="1"/>
    <x v="5"/>
    <x v="1"/>
    <x v="10"/>
  </r>
  <r>
    <x v="3"/>
    <x v="3"/>
    <x v="1"/>
    <x v="1"/>
    <x v="6"/>
    <x v="2"/>
    <x v="16"/>
  </r>
  <r>
    <x v="4"/>
    <x v="2"/>
    <x v="1"/>
    <x v="2"/>
    <x v="7"/>
    <x v="2"/>
    <x v="17"/>
  </r>
  <r>
    <x v="4"/>
    <x v="3"/>
    <x v="0"/>
    <x v="1"/>
    <x v="4"/>
    <x v="3"/>
    <x v="19"/>
  </r>
  <r>
    <x v="5"/>
    <x v="2"/>
    <x v="0"/>
    <x v="0"/>
    <x v="4"/>
    <x v="3"/>
    <x v="19"/>
  </r>
  <r>
    <x v="6"/>
    <x v="4"/>
    <x v="3"/>
    <x v="1"/>
    <x v="5"/>
    <x v="1"/>
    <x v="10"/>
  </r>
  <r>
    <x v="6"/>
    <x v="2"/>
    <x v="2"/>
    <x v="1"/>
    <x v="1"/>
    <x v="0"/>
    <x v="2"/>
  </r>
  <r>
    <x v="7"/>
    <x v="2"/>
    <x v="1"/>
    <x v="1"/>
    <x v="7"/>
    <x v="2"/>
    <x v="17"/>
  </r>
  <r>
    <x v="8"/>
    <x v="1"/>
    <x v="1"/>
    <x v="2"/>
    <x v="1"/>
    <x v="2"/>
    <x v="12"/>
  </r>
  <r>
    <x v="9"/>
    <x v="4"/>
    <x v="2"/>
    <x v="2"/>
    <x v="6"/>
    <x v="0"/>
    <x v="7"/>
  </r>
  <r>
    <x v="10"/>
    <x v="2"/>
    <x v="3"/>
    <x v="0"/>
    <x v="7"/>
    <x v="1"/>
    <x v="11"/>
  </r>
  <r>
    <x v="11"/>
    <x v="1"/>
    <x v="0"/>
    <x v="0"/>
    <x v="3"/>
    <x v="3"/>
    <x v="18"/>
  </r>
  <r>
    <x v="12"/>
    <x v="0"/>
    <x v="1"/>
    <x v="0"/>
    <x v="2"/>
    <x v="2"/>
    <x v="13"/>
  </r>
  <r>
    <x v="13"/>
    <x v="3"/>
    <x v="2"/>
    <x v="2"/>
    <x v="4"/>
    <x v="0"/>
    <x v="5"/>
  </r>
  <r>
    <x v="14"/>
    <x v="0"/>
    <x v="1"/>
    <x v="0"/>
    <x v="5"/>
    <x v="2"/>
    <x v="15"/>
  </r>
  <r>
    <x v="15"/>
    <x v="3"/>
    <x v="3"/>
    <x v="2"/>
    <x v="3"/>
    <x v="1"/>
    <x v="8"/>
  </r>
  <r>
    <x v="16"/>
    <x v="1"/>
    <x v="3"/>
    <x v="0"/>
    <x v="5"/>
    <x v="1"/>
    <x v="10"/>
  </r>
  <r>
    <x v="17"/>
    <x v="2"/>
    <x v="1"/>
    <x v="2"/>
    <x v="6"/>
    <x v="2"/>
    <x v="16"/>
  </r>
  <r>
    <x v="18"/>
    <x v="2"/>
    <x v="2"/>
    <x v="2"/>
    <x v="6"/>
    <x v="0"/>
    <x v="7"/>
  </r>
  <r>
    <x v="19"/>
    <x v="1"/>
    <x v="3"/>
    <x v="1"/>
    <x v="0"/>
    <x v="1"/>
    <x v="1"/>
  </r>
  <r>
    <x v="20"/>
    <x v="2"/>
    <x v="2"/>
    <x v="2"/>
    <x v="1"/>
    <x v="0"/>
    <x v="2"/>
  </r>
  <r>
    <x v="21"/>
    <x v="3"/>
    <x v="2"/>
    <x v="0"/>
    <x v="0"/>
    <x v="0"/>
    <x v="0"/>
  </r>
  <r>
    <x v="22"/>
    <x v="4"/>
    <x v="2"/>
    <x v="1"/>
    <x v="2"/>
    <x v="0"/>
    <x v="3"/>
  </r>
  <r>
    <x v="23"/>
    <x v="1"/>
    <x v="0"/>
    <x v="0"/>
    <x v="5"/>
    <x v="3"/>
    <x v="20"/>
  </r>
  <r>
    <x v="24"/>
    <x v="0"/>
    <x v="1"/>
    <x v="1"/>
    <x v="7"/>
    <x v="2"/>
    <x v="17"/>
  </r>
  <r>
    <x v="25"/>
    <x v="3"/>
    <x v="2"/>
    <x v="1"/>
    <x v="5"/>
    <x v="0"/>
    <x v="6"/>
  </r>
  <r>
    <x v="26"/>
    <x v="1"/>
    <x v="3"/>
    <x v="0"/>
    <x v="7"/>
    <x v="1"/>
    <x v="11"/>
  </r>
  <r>
    <x v="26"/>
    <x v="1"/>
    <x v="2"/>
    <x v="0"/>
    <x v="5"/>
    <x v="0"/>
    <x v="6"/>
  </r>
  <r>
    <x v="27"/>
    <x v="0"/>
    <x v="2"/>
    <x v="2"/>
    <x v="2"/>
    <x v="0"/>
    <x v="3"/>
  </r>
  <r>
    <x v="28"/>
    <x v="1"/>
    <x v="2"/>
    <x v="2"/>
    <x v="2"/>
    <x v="0"/>
    <x v="3"/>
  </r>
  <r>
    <x v="29"/>
    <x v="1"/>
    <x v="0"/>
    <x v="1"/>
    <x v="7"/>
    <x v="3"/>
    <x v="22"/>
  </r>
  <r>
    <x v="30"/>
    <x v="4"/>
    <x v="1"/>
    <x v="1"/>
    <x v="0"/>
    <x v="2"/>
    <x v="9"/>
  </r>
  <r>
    <x v="30"/>
    <x v="3"/>
    <x v="1"/>
    <x v="1"/>
    <x v="2"/>
    <x v="2"/>
    <x v="13"/>
  </r>
  <r>
    <x v="31"/>
    <x v="3"/>
    <x v="0"/>
    <x v="2"/>
    <x v="5"/>
    <x v="3"/>
    <x v="20"/>
  </r>
  <r>
    <x v="32"/>
    <x v="4"/>
    <x v="0"/>
    <x v="2"/>
    <x v="5"/>
    <x v="3"/>
    <x v="20"/>
  </r>
  <r>
    <x v="33"/>
    <x v="0"/>
    <x v="2"/>
    <x v="0"/>
    <x v="7"/>
    <x v="0"/>
    <x v="9"/>
  </r>
  <r>
    <x v="34"/>
    <x v="4"/>
    <x v="3"/>
    <x v="2"/>
    <x v="1"/>
    <x v="1"/>
    <x v="4"/>
  </r>
  <r>
    <x v="35"/>
    <x v="3"/>
    <x v="2"/>
    <x v="2"/>
    <x v="7"/>
    <x v="0"/>
    <x v="9"/>
  </r>
  <r>
    <x v="36"/>
    <x v="4"/>
    <x v="0"/>
    <x v="1"/>
    <x v="6"/>
    <x v="3"/>
    <x v="21"/>
  </r>
  <r>
    <x v="37"/>
    <x v="1"/>
    <x v="2"/>
    <x v="0"/>
    <x v="6"/>
    <x v="0"/>
    <x v="7"/>
  </r>
  <r>
    <x v="38"/>
    <x v="0"/>
    <x v="2"/>
    <x v="2"/>
    <x v="0"/>
    <x v="0"/>
    <x v="0"/>
  </r>
  <r>
    <x v="39"/>
    <x v="3"/>
    <x v="2"/>
    <x v="2"/>
    <x v="6"/>
    <x v="0"/>
    <x v="7"/>
  </r>
  <r>
    <x v="40"/>
    <x v="4"/>
    <x v="2"/>
    <x v="2"/>
    <x v="6"/>
    <x v="0"/>
    <x v="7"/>
  </r>
  <r>
    <x v="41"/>
    <x v="0"/>
    <x v="1"/>
    <x v="0"/>
    <x v="2"/>
    <x v="2"/>
    <x v="13"/>
  </r>
  <r>
    <x v="42"/>
    <x v="1"/>
    <x v="1"/>
    <x v="1"/>
    <x v="1"/>
    <x v="2"/>
    <x v="12"/>
  </r>
  <r>
    <x v="43"/>
    <x v="4"/>
    <x v="3"/>
    <x v="1"/>
    <x v="1"/>
    <x v="1"/>
    <x v="4"/>
  </r>
  <r>
    <x v="44"/>
    <x v="3"/>
    <x v="3"/>
    <x v="1"/>
    <x v="7"/>
    <x v="1"/>
    <x v="11"/>
  </r>
  <r>
    <x v="45"/>
    <x v="1"/>
    <x v="0"/>
    <x v="1"/>
    <x v="4"/>
    <x v="3"/>
    <x v="19"/>
  </r>
  <r>
    <x v="46"/>
    <x v="1"/>
    <x v="1"/>
    <x v="2"/>
    <x v="0"/>
    <x v="2"/>
    <x v="9"/>
  </r>
  <r>
    <x v="47"/>
    <x v="4"/>
    <x v="0"/>
    <x v="1"/>
    <x v="5"/>
    <x v="3"/>
    <x v="20"/>
  </r>
  <r>
    <x v="48"/>
    <x v="0"/>
    <x v="1"/>
    <x v="2"/>
    <x v="7"/>
    <x v="2"/>
    <x v="17"/>
  </r>
  <r>
    <x v="49"/>
    <x v="1"/>
    <x v="3"/>
    <x v="2"/>
    <x v="5"/>
    <x v="1"/>
    <x v="10"/>
  </r>
  <r>
    <x v="50"/>
    <x v="3"/>
    <x v="1"/>
    <x v="2"/>
    <x v="0"/>
    <x v="2"/>
    <x v="9"/>
  </r>
  <r>
    <x v="51"/>
    <x v="3"/>
    <x v="0"/>
    <x v="1"/>
    <x v="0"/>
    <x v="3"/>
    <x v="14"/>
  </r>
  <r>
    <x v="52"/>
    <x v="1"/>
    <x v="1"/>
    <x v="1"/>
    <x v="2"/>
    <x v="2"/>
    <x v="13"/>
  </r>
  <r>
    <x v="53"/>
    <x v="3"/>
    <x v="2"/>
    <x v="0"/>
    <x v="6"/>
    <x v="0"/>
    <x v="7"/>
  </r>
  <r>
    <x v="54"/>
    <x v="4"/>
    <x v="0"/>
    <x v="0"/>
    <x v="7"/>
    <x v="3"/>
    <x v="22"/>
  </r>
  <r>
    <x v="55"/>
    <x v="4"/>
    <x v="3"/>
    <x v="0"/>
    <x v="3"/>
    <x v="1"/>
    <x v="8"/>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DataPilot1" cacheId="1" applyNumberFormats="0" applyBorderFormats="0" applyFontFormats="0" applyPatternFormats="0" applyAlignmentFormats="0" applyWidthHeightFormats="0" dataCaption="Values" showDrill="0" useAutoFormatting="0" itemPrintTitles="1" indent="0" outline="0" outlineData="0" compact="0" compactData="0">
  <location ref="A3:C61" firstHeaderRow="1" firstDataRow="2" firstDataCol="1"/>
  <pivotFields count="7">
    <pivotField axis="axisRow" compact="0" showAll="0" defaultSubtotal="0" outline="0">
      <items count="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s>
    </pivotField>
    <pivotField compact="0" showAll="0"/>
    <pivotField compact="0" showAll="0"/>
    <pivotField compact="0" showAll="0"/>
    <pivotField dataField="1" compact="0" showAll="0" outline="0"/>
    <pivotField compact="0" showAll="0"/>
    <pivotField dataField="1" compact="0" showAll="0" outline="0"/>
  </pivotFields>
  <rowFields count="1">
    <field x="0"/>
  </rowFields>
  <colFields count="1">
    <field x="-2"/>
  </colFields>
  <dataFields count="2">
    <dataField name="Suma - Venta total" fld="6" subtotal="sum" numFmtId="166"/>
    <dataField name="Suma - Unidades" fld="4" subtotal="sum" numFmtId="164"/>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VentasTable" displayName="VentasTable" ref="A1:G62" headerRowCount="1" totalsRowCount="0" totalsRowShown="0">
  <autoFilter ref="A1:G62"/>
  <tableColumns count="7">
    <tableColumn id="1" name="Fecha"/>
    <tableColumn id="2" name="Vendedor"/>
    <tableColumn id="3" name="Producto"/>
    <tableColumn id="4" name="Región"/>
    <tableColumn id="5" name="Unidades"/>
    <tableColumn id="6" name="Precio unitario"/>
    <tableColumn id="7" name="Venta total"/>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3"/>
    <col collapsed="false" customWidth="true" hidden="false" outlineLevel="0" max="3" min="3" style="1" width="14"/>
    <col collapsed="false" customWidth="true" hidden="false" outlineLevel="0" max="4" min="4" style="1" width="11"/>
    <col collapsed="false" customWidth="true" hidden="false" outlineLevel="0" max="5" min="5" style="1" width="10"/>
    <col collapsed="false" customWidth="true" hidden="false" outlineLevel="0" max="7" min="6" style="1" width="16"/>
  </cols>
  <sheetData>
    <row r="1" customFormat="false" ht="15" hidden="false" customHeight="false" outlineLevel="0" collapsed="false">
      <c r="A1" s="2" t="s">
        <v>0</v>
      </c>
      <c r="B1" s="2" t="s">
        <v>1</v>
      </c>
      <c r="C1" s="2" t="s">
        <v>2</v>
      </c>
      <c r="D1" s="2" t="s">
        <v>3</v>
      </c>
      <c r="E1" s="2" t="s">
        <v>4</v>
      </c>
      <c r="F1" s="2" t="s">
        <v>5</v>
      </c>
      <c r="G1" s="2" t="s">
        <v>6</v>
      </c>
    </row>
    <row r="2" customFormat="false" ht="15" hidden="false" customHeight="false" outlineLevel="0" collapsed="false">
      <c r="A2" s="3" t="n">
        <v>46027</v>
      </c>
      <c r="B2" s="1" t="s">
        <v>7</v>
      </c>
      <c r="C2" s="1" t="s">
        <v>8</v>
      </c>
      <c r="D2" s="1" t="s">
        <v>9</v>
      </c>
      <c r="E2" s="1" t="n">
        <v>4</v>
      </c>
      <c r="F2" s="4" t="n">
        <v>18500</v>
      </c>
      <c r="G2" s="4" t="n">
        <f aca="false">E2*F2</f>
        <v>74000</v>
      </c>
    </row>
    <row r="3" customFormat="false" ht="15" hidden="false" customHeight="false" outlineLevel="0" collapsed="false">
      <c r="A3" s="3" t="n">
        <v>46032</v>
      </c>
      <c r="B3" s="1" t="s">
        <v>10</v>
      </c>
      <c r="C3" s="1" t="s">
        <v>8</v>
      </c>
      <c r="D3" s="1" t="s">
        <v>11</v>
      </c>
      <c r="E3" s="1" t="n">
        <v>1</v>
      </c>
      <c r="F3" s="4" t="n">
        <v>18500</v>
      </c>
      <c r="G3" s="4" t="n">
        <f aca="false">E3*F3</f>
        <v>18500</v>
      </c>
    </row>
    <row r="4" customFormat="false" ht="15" hidden="false" customHeight="false" outlineLevel="0" collapsed="false">
      <c r="A4" s="3" t="n">
        <v>46034</v>
      </c>
      <c r="B4" s="1" t="s">
        <v>10</v>
      </c>
      <c r="C4" s="1" t="s">
        <v>12</v>
      </c>
      <c r="D4" s="1" t="s">
        <v>11</v>
      </c>
      <c r="E4" s="1" t="n">
        <v>6</v>
      </c>
      <c r="F4" s="4" t="n">
        <v>1250</v>
      </c>
      <c r="G4" s="4" t="n">
        <f aca="false">E4*F4</f>
        <v>7500</v>
      </c>
    </row>
    <row r="5" customFormat="false" ht="15" hidden="false" customHeight="false" outlineLevel="0" collapsed="false">
      <c r="A5" s="3" t="n">
        <v>46035</v>
      </c>
      <c r="B5" s="1" t="s">
        <v>7</v>
      </c>
      <c r="C5" s="1" t="s">
        <v>13</v>
      </c>
      <c r="D5" s="1" t="s">
        <v>11</v>
      </c>
      <c r="E5" s="1" t="n">
        <v>7</v>
      </c>
      <c r="F5" s="4" t="n">
        <v>5200</v>
      </c>
      <c r="G5" s="4" t="n">
        <f aca="false">E5*F5</f>
        <v>36400</v>
      </c>
    </row>
    <row r="6" customFormat="false" ht="15" hidden="false" customHeight="false" outlineLevel="0" collapsed="false">
      <c r="A6" s="3" t="n">
        <v>46039</v>
      </c>
      <c r="B6" s="1" t="s">
        <v>14</v>
      </c>
      <c r="C6" s="1" t="s">
        <v>13</v>
      </c>
      <c r="D6" s="1" t="s">
        <v>9</v>
      </c>
      <c r="E6" s="1" t="n">
        <v>8</v>
      </c>
      <c r="F6" s="4" t="n">
        <v>5200</v>
      </c>
      <c r="G6" s="4" t="n">
        <f aca="false">E6*F6</f>
        <v>41600</v>
      </c>
    </row>
    <row r="7" customFormat="false" ht="15" hidden="false" customHeight="false" outlineLevel="0" collapsed="false">
      <c r="A7" s="3" t="n">
        <v>46039</v>
      </c>
      <c r="B7" s="1" t="s">
        <v>7</v>
      </c>
      <c r="C7" s="1" t="s">
        <v>8</v>
      </c>
      <c r="D7" s="1" t="s">
        <v>11</v>
      </c>
      <c r="E7" s="1" t="n">
        <v>5</v>
      </c>
      <c r="F7" s="4" t="n">
        <v>18500</v>
      </c>
      <c r="G7" s="4" t="n">
        <f aca="false">E7*F7</f>
        <v>92500</v>
      </c>
    </row>
    <row r="8" customFormat="false" ht="15" hidden="false" customHeight="false" outlineLevel="0" collapsed="false">
      <c r="A8" s="3" t="n">
        <v>46041</v>
      </c>
      <c r="B8" s="1" t="s">
        <v>14</v>
      </c>
      <c r="C8" s="1" t="s">
        <v>8</v>
      </c>
      <c r="D8" s="1" t="s">
        <v>15</v>
      </c>
      <c r="E8" s="1" t="n">
        <v>5</v>
      </c>
      <c r="F8" s="4" t="n">
        <v>18500</v>
      </c>
      <c r="G8" s="4" t="n">
        <f aca="false">E8*F8</f>
        <v>92500</v>
      </c>
    </row>
    <row r="9" customFormat="false" ht="15" hidden="false" customHeight="false" outlineLevel="0" collapsed="false">
      <c r="A9" s="3" t="n">
        <v>46043</v>
      </c>
      <c r="B9" s="1" t="s">
        <v>16</v>
      </c>
      <c r="C9" s="1" t="s">
        <v>12</v>
      </c>
      <c r="D9" s="1" t="s">
        <v>11</v>
      </c>
      <c r="E9" s="1" t="n">
        <v>6</v>
      </c>
      <c r="F9" s="4" t="n">
        <v>1250</v>
      </c>
      <c r="G9" s="4" t="n">
        <f aca="false">E9*F9</f>
        <v>7500</v>
      </c>
    </row>
    <row r="10" customFormat="false" ht="15" hidden="false" customHeight="false" outlineLevel="0" collapsed="false">
      <c r="A10" s="3" t="n">
        <v>46043</v>
      </c>
      <c r="B10" s="1" t="s">
        <v>14</v>
      </c>
      <c r="C10" s="1" t="s">
        <v>17</v>
      </c>
      <c r="D10" s="1" t="s">
        <v>11</v>
      </c>
      <c r="E10" s="1" t="n">
        <v>2</v>
      </c>
      <c r="F10" s="4" t="n">
        <v>650</v>
      </c>
      <c r="G10" s="4" t="n">
        <f aca="false">E10*F10</f>
        <v>1300</v>
      </c>
    </row>
    <row r="11" customFormat="false" ht="15" hidden="false" customHeight="false" outlineLevel="0" collapsed="false">
      <c r="A11" s="3" t="n">
        <v>46044</v>
      </c>
      <c r="B11" s="1" t="s">
        <v>14</v>
      </c>
      <c r="C11" s="1" t="s">
        <v>13</v>
      </c>
      <c r="D11" s="1" t="s">
        <v>11</v>
      </c>
      <c r="E11" s="1" t="n">
        <v>8</v>
      </c>
      <c r="F11" s="4" t="n">
        <v>5200</v>
      </c>
      <c r="G11" s="4" t="n">
        <f aca="false">E11*F11</f>
        <v>41600</v>
      </c>
    </row>
    <row r="12" customFormat="false" ht="15" hidden="false" customHeight="false" outlineLevel="0" collapsed="false">
      <c r="A12" s="3" t="n">
        <v>46046</v>
      </c>
      <c r="B12" s="1" t="s">
        <v>10</v>
      </c>
      <c r="C12" s="1" t="s">
        <v>13</v>
      </c>
      <c r="D12" s="1" t="s">
        <v>9</v>
      </c>
      <c r="E12" s="1" t="n">
        <v>2</v>
      </c>
      <c r="F12" s="4" t="n">
        <v>5200</v>
      </c>
      <c r="G12" s="4" t="n">
        <f aca="false">E12*F12</f>
        <v>10400</v>
      </c>
    </row>
    <row r="13" customFormat="false" ht="15" hidden="false" customHeight="false" outlineLevel="0" collapsed="false">
      <c r="A13" s="3" t="n">
        <v>46058</v>
      </c>
      <c r="B13" s="1" t="s">
        <v>16</v>
      </c>
      <c r="C13" s="1" t="s">
        <v>17</v>
      </c>
      <c r="D13" s="1" t="s">
        <v>9</v>
      </c>
      <c r="E13" s="1" t="n">
        <v>7</v>
      </c>
      <c r="F13" s="4" t="n">
        <v>650</v>
      </c>
      <c r="G13" s="4" t="n">
        <f aca="false">E13*F13</f>
        <v>4550</v>
      </c>
    </row>
    <row r="14" customFormat="false" ht="15" hidden="false" customHeight="false" outlineLevel="0" collapsed="false">
      <c r="A14" s="3" t="n">
        <v>46059</v>
      </c>
      <c r="B14" s="1" t="s">
        <v>14</v>
      </c>
      <c r="C14" s="1" t="s">
        <v>12</v>
      </c>
      <c r="D14" s="1" t="s">
        <v>15</v>
      </c>
      <c r="E14" s="1" t="n">
        <v>8</v>
      </c>
      <c r="F14" s="4" t="n">
        <v>1250</v>
      </c>
      <c r="G14" s="4" t="n">
        <f aca="false">E14*F14</f>
        <v>10000</v>
      </c>
    </row>
    <row r="15" customFormat="false" ht="15" hidden="false" customHeight="false" outlineLevel="0" collapsed="false">
      <c r="A15" s="3" t="n">
        <v>46065</v>
      </c>
      <c r="B15" s="1" t="s">
        <v>10</v>
      </c>
      <c r="C15" s="1" t="s">
        <v>8</v>
      </c>
      <c r="D15" s="1" t="s">
        <v>15</v>
      </c>
      <c r="E15" s="1" t="n">
        <v>4</v>
      </c>
      <c r="F15" s="4" t="n">
        <v>18500</v>
      </c>
      <c r="G15" s="4" t="n">
        <f aca="false">E15*F15</f>
        <v>74000</v>
      </c>
    </row>
    <row r="16" customFormat="false" ht="15" hidden="false" customHeight="false" outlineLevel="0" collapsed="false">
      <c r="A16" s="3" t="n">
        <v>46067</v>
      </c>
      <c r="B16" s="1" t="s">
        <v>18</v>
      </c>
      <c r="C16" s="1" t="s">
        <v>13</v>
      </c>
      <c r="D16" s="1" t="s">
        <v>15</v>
      </c>
      <c r="E16" s="1" t="n">
        <v>3</v>
      </c>
      <c r="F16" s="4" t="n">
        <v>5200</v>
      </c>
      <c r="G16" s="4" t="n">
        <f aca="false">E16*F16</f>
        <v>15600</v>
      </c>
    </row>
    <row r="17" customFormat="false" ht="15" hidden="false" customHeight="false" outlineLevel="0" collapsed="false">
      <c r="A17" s="3" t="n">
        <v>46069</v>
      </c>
      <c r="B17" s="1" t="s">
        <v>7</v>
      </c>
      <c r="C17" s="1" t="s">
        <v>17</v>
      </c>
      <c r="D17" s="1" t="s">
        <v>9</v>
      </c>
      <c r="E17" s="1" t="n">
        <v>5</v>
      </c>
      <c r="F17" s="4" t="n">
        <v>650</v>
      </c>
      <c r="G17" s="4" t="n">
        <f aca="false">E17*F17</f>
        <v>3250</v>
      </c>
    </row>
    <row r="18" customFormat="false" ht="15" hidden="false" customHeight="false" outlineLevel="0" collapsed="false">
      <c r="A18" s="3" t="n">
        <v>46070</v>
      </c>
      <c r="B18" s="1" t="s">
        <v>18</v>
      </c>
      <c r="C18" s="1" t="s">
        <v>13</v>
      </c>
      <c r="D18" s="1" t="s">
        <v>15</v>
      </c>
      <c r="E18" s="1" t="n">
        <v>6</v>
      </c>
      <c r="F18" s="4" t="n">
        <v>5200</v>
      </c>
      <c r="G18" s="4" t="n">
        <f aca="false">E18*F18</f>
        <v>31200</v>
      </c>
    </row>
    <row r="19" customFormat="false" ht="15" hidden="false" customHeight="false" outlineLevel="0" collapsed="false">
      <c r="A19" s="3" t="n">
        <v>46071</v>
      </c>
      <c r="B19" s="1" t="s">
        <v>7</v>
      </c>
      <c r="C19" s="1" t="s">
        <v>12</v>
      </c>
      <c r="D19" s="1" t="s">
        <v>9</v>
      </c>
      <c r="E19" s="1" t="n">
        <v>4</v>
      </c>
      <c r="F19" s="4" t="n">
        <v>1250</v>
      </c>
      <c r="G19" s="4" t="n">
        <f aca="false">E19*F19</f>
        <v>5000</v>
      </c>
    </row>
    <row r="20" customFormat="false" ht="15" hidden="false" customHeight="false" outlineLevel="0" collapsed="false">
      <c r="A20" s="3" t="n">
        <v>46073</v>
      </c>
      <c r="B20" s="1" t="s">
        <v>10</v>
      </c>
      <c r="C20" s="1" t="s">
        <v>12</v>
      </c>
      <c r="D20" s="1" t="s">
        <v>15</v>
      </c>
      <c r="E20" s="1" t="n">
        <v>6</v>
      </c>
      <c r="F20" s="4" t="n">
        <v>1250</v>
      </c>
      <c r="G20" s="4" t="n">
        <f aca="false">E20*F20</f>
        <v>7500</v>
      </c>
    </row>
    <row r="21" customFormat="false" ht="15" hidden="false" customHeight="false" outlineLevel="0" collapsed="false">
      <c r="A21" s="3" t="n">
        <v>46078</v>
      </c>
      <c r="B21" s="1" t="s">
        <v>14</v>
      </c>
      <c r="C21" s="1" t="s">
        <v>13</v>
      </c>
      <c r="D21" s="1" t="s">
        <v>9</v>
      </c>
      <c r="E21" s="1" t="n">
        <v>7</v>
      </c>
      <c r="F21" s="4" t="n">
        <v>5200</v>
      </c>
      <c r="G21" s="4" t="n">
        <f aca="false">E21*F21</f>
        <v>36400</v>
      </c>
    </row>
    <row r="22" customFormat="false" ht="15" hidden="false" customHeight="false" outlineLevel="0" collapsed="false">
      <c r="A22" s="3" t="n">
        <v>46101</v>
      </c>
      <c r="B22" s="1" t="s">
        <v>14</v>
      </c>
      <c r="C22" s="1" t="s">
        <v>17</v>
      </c>
      <c r="D22" s="1" t="s">
        <v>9</v>
      </c>
      <c r="E22" s="1" t="n">
        <v>7</v>
      </c>
      <c r="F22" s="4" t="n">
        <v>650</v>
      </c>
      <c r="G22" s="4" t="n">
        <f aca="false">E22*F22</f>
        <v>4550</v>
      </c>
    </row>
    <row r="23" customFormat="false" ht="15" hidden="false" customHeight="false" outlineLevel="0" collapsed="false">
      <c r="A23" s="3" t="n">
        <v>46105</v>
      </c>
      <c r="B23" s="1" t="s">
        <v>10</v>
      </c>
      <c r="C23" s="1" t="s">
        <v>12</v>
      </c>
      <c r="D23" s="1" t="s">
        <v>11</v>
      </c>
      <c r="E23" s="1" t="n">
        <v>1</v>
      </c>
      <c r="F23" s="4" t="n">
        <v>1250</v>
      </c>
      <c r="G23" s="4" t="n">
        <f aca="false">E23*F23</f>
        <v>1250</v>
      </c>
    </row>
    <row r="24" customFormat="false" ht="15" hidden="false" customHeight="false" outlineLevel="0" collapsed="false">
      <c r="A24" s="3" t="n">
        <v>46106</v>
      </c>
      <c r="B24" s="1" t="s">
        <v>14</v>
      </c>
      <c r="C24" s="1" t="s">
        <v>17</v>
      </c>
      <c r="D24" s="1" t="s">
        <v>9</v>
      </c>
      <c r="E24" s="1" t="n">
        <v>2</v>
      </c>
      <c r="F24" s="4" t="n">
        <v>650</v>
      </c>
      <c r="G24" s="4" t="n">
        <f aca="false">E24*F24</f>
        <v>1300</v>
      </c>
    </row>
    <row r="25" customFormat="false" ht="15" hidden="false" customHeight="false" outlineLevel="0" collapsed="false">
      <c r="A25" s="3" t="n">
        <v>46108</v>
      </c>
      <c r="B25" s="1" t="s">
        <v>7</v>
      </c>
      <c r="C25" s="1" t="s">
        <v>17</v>
      </c>
      <c r="D25" s="1" t="s">
        <v>15</v>
      </c>
      <c r="E25" s="1" t="n">
        <v>1</v>
      </c>
      <c r="F25" s="4" t="n">
        <v>650</v>
      </c>
      <c r="G25" s="4" t="n">
        <f aca="false">E25*F25</f>
        <v>650</v>
      </c>
    </row>
    <row r="26" customFormat="false" ht="15" hidden="false" customHeight="false" outlineLevel="0" collapsed="false">
      <c r="A26" s="3" t="n">
        <v>46121</v>
      </c>
      <c r="B26" s="1" t="s">
        <v>16</v>
      </c>
      <c r="C26" s="1" t="s">
        <v>17</v>
      </c>
      <c r="D26" s="1" t="s">
        <v>11</v>
      </c>
      <c r="E26" s="1" t="n">
        <v>3</v>
      </c>
      <c r="F26" s="4" t="n">
        <v>650</v>
      </c>
      <c r="G26" s="4" t="n">
        <f aca="false">E26*F26</f>
        <v>1950</v>
      </c>
    </row>
    <row r="27" customFormat="false" ht="15" hidden="false" customHeight="false" outlineLevel="0" collapsed="false">
      <c r="A27" s="3" t="n">
        <v>46124</v>
      </c>
      <c r="B27" s="1" t="s">
        <v>10</v>
      </c>
      <c r="C27" s="1" t="s">
        <v>8</v>
      </c>
      <c r="D27" s="1" t="s">
        <v>15</v>
      </c>
      <c r="E27" s="1" t="n">
        <v>6</v>
      </c>
      <c r="F27" s="4" t="n">
        <v>18500</v>
      </c>
      <c r="G27" s="4" t="n">
        <f aca="false">E27*F27</f>
        <v>111000</v>
      </c>
    </row>
    <row r="28" customFormat="false" ht="15" hidden="false" customHeight="false" outlineLevel="0" collapsed="false">
      <c r="A28" s="3" t="n">
        <v>46128</v>
      </c>
      <c r="B28" s="1" t="s">
        <v>18</v>
      </c>
      <c r="C28" s="1" t="s">
        <v>13</v>
      </c>
      <c r="D28" s="1" t="s">
        <v>11</v>
      </c>
      <c r="E28" s="1" t="n">
        <v>8</v>
      </c>
      <c r="F28" s="4" t="n">
        <v>5200</v>
      </c>
      <c r="G28" s="4" t="n">
        <f aca="false">E28*F28</f>
        <v>41600</v>
      </c>
    </row>
    <row r="29" customFormat="false" ht="15" hidden="false" customHeight="false" outlineLevel="0" collapsed="false">
      <c r="A29" s="3" t="n">
        <v>46138</v>
      </c>
      <c r="B29" s="1" t="s">
        <v>7</v>
      </c>
      <c r="C29" s="1" t="s">
        <v>17</v>
      </c>
      <c r="D29" s="1" t="s">
        <v>11</v>
      </c>
      <c r="E29" s="1" t="n">
        <v>6</v>
      </c>
      <c r="F29" s="4" t="n">
        <v>650</v>
      </c>
      <c r="G29" s="4" t="n">
        <f aca="false">E29*F29</f>
        <v>3900</v>
      </c>
    </row>
    <row r="30" customFormat="false" ht="15" hidden="false" customHeight="false" outlineLevel="0" collapsed="false">
      <c r="A30" s="3" t="n">
        <v>46143</v>
      </c>
      <c r="B30" s="1" t="s">
        <v>10</v>
      </c>
      <c r="C30" s="1" t="s">
        <v>12</v>
      </c>
      <c r="D30" s="1" t="s">
        <v>15</v>
      </c>
      <c r="E30" s="1" t="n">
        <v>8</v>
      </c>
      <c r="F30" s="4" t="n">
        <v>1250</v>
      </c>
      <c r="G30" s="4" t="n">
        <f aca="false">E30*F30</f>
        <v>10000</v>
      </c>
    </row>
    <row r="31" customFormat="false" ht="15" hidden="false" customHeight="false" outlineLevel="0" collapsed="false">
      <c r="A31" s="3" t="n">
        <v>46143</v>
      </c>
      <c r="B31" s="1" t="s">
        <v>10</v>
      </c>
      <c r="C31" s="1" t="s">
        <v>17</v>
      </c>
      <c r="D31" s="1" t="s">
        <v>15</v>
      </c>
      <c r="E31" s="1" t="n">
        <v>6</v>
      </c>
      <c r="F31" s="4" t="n">
        <v>650</v>
      </c>
      <c r="G31" s="4" t="n">
        <f aca="false">E31*F31</f>
        <v>3900</v>
      </c>
    </row>
    <row r="32" customFormat="false" ht="15" hidden="false" customHeight="false" outlineLevel="0" collapsed="false">
      <c r="A32" s="3" t="n">
        <v>46145</v>
      </c>
      <c r="B32" s="1" t="s">
        <v>18</v>
      </c>
      <c r="C32" s="1" t="s">
        <v>17</v>
      </c>
      <c r="D32" s="1" t="s">
        <v>9</v>
      </c>
      <c r="E32" s="1" t="n">
        <v>3</v>
      </c>
      <c r="F32" s="4" t="n">
        <v>650</v>
      </c>
      <c r="G32" s="4" t="n">
        <f aca="false">E32*F32</f>
        <v>1950</v>
      </c>
    </row>
    <row r="33" customFormat="false" ht="15" hidden="false" customHeight="false" outlineLevel="0" collapsed="false">
      <c r="A33" s="3" t="n">
        <v>46149</v>
      </c>
      <c r="B33" s="1" t="s">
        <v>10</v>
      </c>
      <c r="C33" s="1" t="s">
        <v>17</v>
      </c>
      <c r="D33" s="1" t="s">
        <v>9</v>
      </c>
      <c r="E33" s="1" t="n">
        <v>3</v>
      </c>
      <c r="F33" s="4" t="n">
        <v>650</v>
      </c>
      <c r="G33" s="4" t="n">
        <f aca="false">E33*F33</f>
        <v>1950</v>
      </c>
    </row>
    <row r="34" customFormat="false" ht="15" hidden="false" customHeight="false" outlineLevel="0" collapsed="false">
      <c r="A34" s="3" t="n">
        <v>46151</v>
      </c>
      <c r="B34" s="1" t="s">
        <v>10</v>
      </c>
      <c r="C34" s="1" t="s">
        <v>8</v>
      </c>
      <c r="D34" s="1" t="s">
        <v>11</v>
      </c>
      <c r="E34" s="1" t="n">
        <v>8</v>
      </c>
      <c r="F34" s="4" t="n">
        <v>18500</v>
      </c>
      <c r="G34" s="4" t="n">
        <f aca="false">E34*F34</f>
        <v>148000</v>
      </c>
    </row>
    <row r="35" customFormat="false" ht="15" hidden="false" customHeight="false" outlineLevel="0" collapsed="false">
      <c r="A35" s="3" t="n">
        <v>46156</v>
      </c>
      <c r="B35" s="1" t="s">
        <v>16</v>
      </c>
      <c r="C35" s="1" t="s">
        <v>13</v>
      </c>
      <c r="D35" s="1" t="s">
        <v>11</v>
      </c>
      <c r="E35" s="1" t="n">
        <v>1</v>
      </c>
      <c r="F35" s="4" t="n">
        <v>5200</v>
      </c>
      <c r="G35" s="4" t="n">
        <f aca="false">E35*F35</f>
        <v>5200</v>
      </c>
    </row>
    <row r="36" customFormat="false" ht="15" hidden="false" customHeight="false" outlineLevel="0" collapsed="false">
      <c r="A36" s="3" t="n">
        <v>46156</v>
      </c>
      <c r="B36" s="1" t="s">
        <v>7</v>
      </c>
      <c r="C36" s="1" t="s">
        <v>13</v>
      </c>
      <c r="D36" s="1" t="s">
        <v>11</v>
      </c>
      <c r="E36" s="1" t="n">
        <v>3</v>
      </c>
      <c r="F36" s="4" t="n">
        <v>5200</v>
      </c>
      <c r="G36" s="4" t="n">
        <f aca="false">E36*F36</f>
        <v>15600</v>
      </c>
    </row>
    <row r="37" customFormat="false" ht="15" hidden="false" customHeight="false" outlineLevel="0" collapsed="false">
      <c r="A37" s="3" t="n">
        <v>46165</v>
      </c>
      <c r="B37" s="1" t="s">
        <v>7</v>
      </c>
      <c r="C37" s="1" t="s">
        <v>8</v>
      </c>
      <c r="D37" s="1" t="s">
        <v>9</v>
      </c>
      <c r="E37" s="1" t="n">
        <v>6</v>
      </c>
      <c r="F37" s="4" t="n">
        <v>18500</v>
      </c>
      <c r="G37" s="4" t="n">
        <f aca="false">E37*F37</f>
        <v>111000</v>
      </c>
    </row>
    <row r="38" customFormat="false" ht="15" hidden="false" customHeight="false" outlineLevel="0" collapsed="false">
      <c r="A38" s="3" t="n">
        <v>46166</v>
      </c>
      <c r="B38" s="1" t="s">
        <v>16</v>
      </c>
      <c r="C38" s="1" t="s">
        <v>8</v>
      </c>
      <c r="D38" s="1" t="s">
        <v>9</v>
      </c>
      <c r="E38" s="1" t="n">
        <v>6</v>
      </c>
      <c r="F38" s="4" t="n">
        <v>18500</v>
      </c>
      <c r="G38" s="4" t="n">
        <f aca="false">E38*F38</f>
        <v>111000</v>
      </c>
    </row>
    <row r="39" customFormat="false" ht="15" hidden="false" customHeight="false" outlineLevel="0" collapsed="false">
      <c r="A39" s="3" t="n">
        <v>46170</v>
      </c>
      <c r="B39" s="1" t="s">
        <v>18</v>
      </c>
      <c r="C39" s="1" t="s">
        <v>17</v>
      </c>
      <c r="D39" s="1" t="s">
        <v>15</v>
      </c>
      <c r="E39" s="1" t="n">
        <v>8</v>
      </c>
      <c r="F39" s="4" t="n">
        <v>650</v>
      </c>
      <c r="G39" s="4" t="n">
        <f aca="false">E39*F39</f>
        <v>5200</v>
      </c>
    </row>
    <row r="40" customFormat="false" ht="15" hidden="false" customHeight="false" outlineLevel="0" collapsed="false">
      <c r="A40" s="3" t="n">
        <v>46173</v>
      </c>
      <c r="B40" s="1" t="s">
        <v>16</v>
      </c>
      <c r="C40" s="1" t="s">
        <v>12</v>
      </c>
      <c r="D40" s="1" t="s">
        <v>9</v>
      </c>
      <c r="E40" s="1" t="n">
        <v>2</v>
      </c>
      <c r="F40" s="4" t="n">
        <v>1250</v>
      </c>
      <c r="G40" s="4" t="n">
        <f aca="false">E40*F40</f>
        <v>2500</v>
      </c>
    </row>
    <row r="41" customFormat="false" ht="15" hidden="false" customHeight="false" outlineLevel="0" collapsed="false">
      <c r="A41" s="3" t="n">
        <v>46180</v>
      </c>
      <c r="B41" s="1" t="s">
        <v>7</v>
      </c>
      <c r="C41" s="1" t="s">
        <v>17</v>
      </c>
      <c r="D41" s="1" t="s">
        <v>9</v>
      </c>
      <c r="E41" s="1" t="n">
        <v>8</v>
      </c>
      <c r="F41" s="4" t="n">
        <v>650</v>
      </c>
      <c r="G41" s="4" t="n">
        <f aca="false">E41*F41</f>
        <v>5200</v>
      </c>
    </row>
    <row r="42" customFormat="false" ht="15" hidden="false" customHeight="false" outlineLevel="0" collapsed="false">
      <c r="A42" s="3" t="n">
        <v>46181</v>
      </c>
      <c r="B42" s="1" t="s">
        <v>16</v>
      </c>
      <c r="C42" s="1" t="s">
        <v>8</v>
      </c>
      <c r="D42" s="1" t="s">
        <v>11</v>
      </c>
      <c r="E42" s="1" t="n">
        <v>7</v>
      </c>
      <c r="F42" s="4" t="n">
        <v>18500</v>
      </c>
      <c r="G42" s="4" t="n">
        <f aca="false">E42*F42</f>
        <v>129500</v>
      </c>
    </row>
    <row r="43" customFormat="false" ht="15" hidden="false" customHeight="false" outlineLevel="0" collapsed="false">
      <c r="A43" s="3" t="n">
        <v>46191</v>
      </c>
      <c r="B43" s="1" t="s">
        <v>10</v>
      </c>
      <c r="C43" s="1" t="s">
        <v>17</v>
      </c>
      <c r="D43" s="1" t="s">
        <v>15</v>
      </c>
      <c r="E43" s="1" t="n">
        <v>7</v>
      </c>
      <c r="F43" s="4" t="n">
        <v>650</v>
      </c>
      <c r="G43" s="4" t="n">
        <f aca="false">E43*F43</f>
        <v>4550</v>
      </c>
    </row>
    <row r="44" customFormat="false" ht="15" hidden="false" customHeight="false" outlineLevel="0" collapsed="false">
      <c r="A44" s="3" t="n">
        <v>46193</v>
      </c>
      <c r="B44" s="1" t="s">
        <v>18</v>
      </c>
      <c r="C44" s="1" t="s">
        <v>17</v>
      </c>
      <c r="D44" s="1" t="s">
        <v>9</v>
      </c>
      <c r="E44" s="1" t="n">
        <v>1</v>
      </c>
      <c r="F44" s="4" t="n">
        <v>650</v>
      </c>
      <c r="G44" s="4" t="n">
        <f aca="false">E44*F44</f>
        <v>650</v>
      </c>
    </row>
    <row r="45" customFormat="false" ht="15" hidden="false" customHeight="false" outlineLevel="0" collapsed="false">
      <c r="A45" s="3" t="n">
        <v>46201</v>
      </c>
      <c r="B45" s="1" t="s">
        <v>7</v>
      </c>
      <c r="C45" s="1" t="s">
        <v>17</v>
      </c>
      <c r="D45" s="1" t="s">
        <v>9</v>
      </c>
      <c r="E45" s="1" t="n">
        <v>7</v>
      </c>
      <c r="F45" s="4" t="n">
        <v>650</v>
      </c>
      <c r="G45" s="4" t="n">
        <f aca="false">E45*F45</f>
        <v>4550</v>
      </c>
    </row>
    <row r="46" customFormat="false" ht="15" hidden="false" customHeight="false" outlineLevel="0" collapsed="false">
      <c r="A46" s="3" t="n">
        <v>46207</v>
      </c>
      <c r="B46" s="1" t="s">
        <v>16</v>
      </c>
      <c r="C46" s="1" t="s">
        <v>17</v>
      </c>
      <c r="D46" s="1" t="s">
        <v>9</v>
      </c>
      <c r="E46" s="1" t="n">
        <v>7</v>
      </c>
      <c r="F46" s="4" t="n">
        <v>650</v>
      </c>
      <c r="G46" s="4" t="n">
        <f aca="false">E46*F46</f>
        <v>4550</v>
      </c>
    </row>
    <row r="47" customFormat="false" ht="15" hidden="false" customHeight="false" outlineLevel="0" collapsed="false">
      <c r="A47" s="3" t="n">
        <v>46217</v>
      </c>
      <c r="B47" s="1" t="s">
        <v>18</v>
      </c>
      <c r="C47" s="1" t="s">
        <v>13</v>
      </c>
      <c r="D47" s="1" t="s">
        <v>15</v>
      </c>
      <c r="E47" s="1" t="n">
        <v>3</v>
      </c>
      <c r="F47" s="4" t="n">
        <v>5200</v>
      </c>
      <c r="G47" s="4" t="n">
        <f aca="false">E47*F47</f>
        <v>15600</v>
      </c>
    </row>
    <row r="48" customFormat="false" ht="15" hidden="false" customHeight="false" outlineLevel="0" collapsed="false">
      <c r="A48" s="3" t="n">
        <v>46219</v>
      </c>
      <c r="B48" s="1" t="s">
        <v>10</v>
      </c>
      <c r="C48" s="1" t="s">
        <v>13</v>
      </c>
      <c r="D48" s="1" t="s">
        <v>11</v>
      </c>
      <c r="E48" s="1" t="n">
        <v>2</v>
      </c>
      <c r="F48" s="4" t="n">
        <v>5200</v>
      </c>
      <c r="G48" s="4" t="n">
        <f aca="false">E48*F48</f>
        <v>10400</v>
      </c>
    </row>
    <row r="49" customFormat="false" ht="15" hidden="false" customHeight="false" outlineLevel="0" collapsed="false">
      <c r="A49" s="3" t="n">
        <v>46222</v>
      </c>
      <c r="B49" s="1" t="s">
        <v>16</v>
      </c>
      <c r="C49" s="1" t="s">
        <v>12</v>
      </c>
      <c r="D49" s="1" t="s">
        <v>11</v>
      </c>
      <c r="E49" s="1" t="n">
        <v>2</v>
      </c>
      <c r="F49" s="4" t="n">
        <v>1250</v>
      </c>
      <c r="G49" s="4" t="n">
        <f aca="false">E49*F49</f>
        <v>2500</v>
      </c>
    </row>
    <row r="50" customFormat="false" ht="15" hidden="false" customHeight="false" outlineLevel="0" collapsed="false">
      <c r="A50" s="3" t="n">
        <v>46226</v>
      </c>
      <c r="B50" s="1" t="s">
        <v>7</v>
      </c>
      <c r="C50" s="1" t="s">
        <v>12</v>
      </c>
      <c r="D50" s="1" t="s">
        <v>11</v>
      </c>
      <c r="E50" s="1" t="n">
        <v>8</v>
      </c>
      <c r="F50" s="4" t="n">
        <v>1250</v>
      </c>
      <c r="G50" s="4" t="n">
        <f aca="false">E50*F50</f>
        <v>10000</v>
      </c>
    </row>
    <row r="51" customFormat="false" ht="15" hidden="false" customHeight="false" outlineLevel="0" collapsed="false">
      <c r="A51" s="3" t="n">
        <v>46228</v>
      </c>
      <c r="B51" s="1" t="s">
        <v>10</v>
      </c>
      <c r="C51" s="1" t="s">
        <v>8</v>
      </c>
      <c r="D51" s="1" t="s">
        <v>11</v>
      </c>
      <c r="E51" s="1" t="n">
        <v>5</v>
      </c>
      <c r="F51" s="4" t="n">
        <v>18500</v>
      </c>
      <c r="G51" s="4" t="n">
        <f aca="false">E51*F51</f>
        <v>92500</v>
      </c>
    </row>
    <row r="52" customFormat="false" ht="15" hidden="false" customHeight="false" outlineLevel="0" collapsed="false">
      <c r="A52" s="3" t="n">
        <v>46230</v>
      </c>
      <c r="B52" s="1" t="s">
        <v>10</v>
      </c>
      <c r="C52" s="1" t="s">
        <v>13</v>
      </c>
      <c r="D52" s="1" t="s">
        <v>9</v>
      </c>
      <c r="E52" s="1" t="n">
        <v>1</v>
      </c>
      <c r="F52" s="4" t="n">
        <v>5200</v>
      </c>
      <c r="G52" s="4" t="n">
        <f aca="false">E52*F52</f>
        <v>5200</v>
      </c>
    </row>
    <row r="53" customFormat="false" ht="15" hidden="false" customHeight="false" outlineLevel="0" collapsed="false">
      <c r="A53" s="3" t="n">
        <v>46238</v>
      </c>
      <c r="B53" s="1" t="s">
        <v>16</v>
      </c>
      <c r="C53" s="1" t="s">
        <v>8</v>
      </c>
      <c r="D53" s="1" t="s">
        <v>11</v>
      </c>
      <c r="E53" s="1" t="n">
        <v>6</v>
      </c>
      <c r="F53" s="4" t="n">
        <v>18500</v>
      </c>
      <c r="G53" s="4" t="n">
        <f aca="false">E53*F53</f>
        <v>111000</v>
      </c>
    </row>
    <row r="54" customFormat="false" ht="15" hidden="false" customHeight="false" outlineLevel="0" collapsed="false">
      <c r="A54" s="3" t="n">
        <v>46240</v>
      </c>
      <c r="B54" s="1" t="s">
        <v>18</v>
      </c>
      <c r="C54" s="1" t="s">
        <v>13</v>
      </c>
      <c r="D54" s="1" t="s">
        <v>9</v>
      </c>
      <c r="E54" s="1" t="n">
        <v>8</v>
      </c>
      <c r="F54" s="4" t="n">
        <v>5200</v>
      </c>
      <c r="G54" s="4" t="n">
        <f aca="false">E54*F54</f>
        <v>41600</v>
      </c>
    </row>
    <row r="55" customFormat="false" ht="15" hidden="false" customHeight="false" outlineLevel="0" collapsed="false">
      <c r="A55" s="3" t="n">
        <v>46245</v>
      </c>
      <c r="B55" s="1" t="s">
        <v>10</v>
      </c>
      <c r="C55" s="1" t="s">
        <v>12</v>
      </c>
      <c r="D55" s="1" t="s">
        <v>9</v>
      </c>
      <c r="E55" s="1" t="n">
        <v>6</v>
      </c>
      <c r="F55" s="4" t="n">
        <v>1250</v>
      </c>
      <c r="G55" s="4" t="n">
        <f aca="false">E55*F55</f>
        <v>7500</v>
      </c>
    </row>
    <row r="56" customFormat="false" ht="15" hidden="false" customHeight="false" outlineLevel="0" collapsed="false">
      <c r="A56" s="3" t="n">
        <v>46246</v>
      </c>
      <c r="B56" s="1" t="s">
        <v>7</v>
      </c>
      <c r="C56" s="1" t="s">
        <v>13</v>
      </c>
      <c r="D56" s="1" t="s">
        <v>9</v>
      </c>
      <c r="E56" s="1" t="n">
        <v>1</v>
      </c>
      <c r="F56" s="4" t="n">
        <v>5200</v>
      </c>
      <c r="G56" s="4" t="n">
        <f aca="false">E56*F56</f>
        <v>5200</v>
      </c>
    </row>
    <row r="57" customFormat="false" ht="15" hidden="false" customHeight="false" outlineLevel="0" collapsed="false">
      <c r="A57" s="3" t="n">
        <v>46251</v>
      </c>
      <c r="B57" s="1" t="s">
        <v>7</v>
      </c>
      <c r="C57" s="1" t="s">
        <v>8</v>
      </c>
      <c r="D57" s="1" t="s">
        <v>11</v>
      </c>
      <c r="E57" s="1" t="n">
        <v>1</v>
      </c>
      <c r="F57" s="4" t="n">
        <v>18500</v>
      </c>
      <c r="G57" s="4" t="n">
        <f aca="false">E57*F57</f>
        <v>18500</v>
      </c>
    </row>
    <row r="58" customFormat="false" ht="15" hidden="false" customHeight="false" outlineLevel="0" collapsed="false">
      <c r="A58" s="3" t="n">
        <v>46254</v>
      </c>
      <c r="B58" s="1" t="s">
        <v>10</v>
      </c>
      <c r="C58" s="1" t="s">
        <v>13</v>
      </c>
      <c r="D58" s="1" t="s">
        <v>11</v>
      </c>
      <c r="E58" s="1" t="n">
        <v>3</v>
      </c>
      <c r="F58" s="4" t="n">
        <v>5200</v>
      </c>
      <c r="G58" s="4" t="n">
        <f aca="false">E58*F58</f>
        <v>15600</v>
      </c>
    </row>
    <row r="59" customFormat="false" ht="15" hidden="false" customHeight="false" outlineLevel="0" collapsed="false">
      <c r="A59" s="3" t="n">
        <v>46261</v>
      </c>
      <c r="B59" s="1" t="s">
        <v>7</v>
      </c>
      <c r="C59" s="1" t="s">
        <v>17</v>
      </c>
      <c r="D59" s="1" t="s">
        <v>15</v>
      </c>
      <c r="E59" s="1" t="n">
        <v>7</v>
      </c>
      <c r="F59" s="4" t="n">
        <v>650</v>
      </c>
      <c r="G59" s="4" t="n">
        <f aca="false">E59*F59</f>
        <v>4550</v>
      </c>
    </row>
    <row r="60" customFormat="false" ht="15" hidden="false" customHeight="false" outlineLevel="0" collapsed="false">
      <c r="A60" s="3" t="n">
        <v>46273</v>
      </c>
      <c r="B60" s="1" t="s">
        <v>16</v>
      </c>
      <c r="C60" s="1" t="s">
        <v>8</v>
      </c>
      <c r="D60" s="1" t="s">
        <v>15</v>
      </c>
      <c r="E60" s="1" t="n">
        <v>8</v>
      </c>
      <c r="F60" s="4" t="n">
        <v>18500</v>
      </c>
      <c r="G60" s="4" t="n">
        <f aca="false">E60*F60</f>
        <v>148000</v>
      </c>
    </row>
    <row r="61" customFormat="false" ht="15" hidden="false" customHeight="false" outlineLevel="0" collapsed="false">
      <c r="A61" s="3" t="n">
        <v>46274</v>
      </c>
      <c r="B61" s="1" t="s">
        <v>16</v>
      </c>
      <c r="C61" s="1" t="s">
        <v>12</v>
      </c>
      <c r="D61" s="1" t="s">
        <v>15</v>
      </c>
      <c r="E61" s="1" t="n">
        <v>4</v>
      </c>
      <c r="F61" s="4" t="n">
        <v>1250</v>
      </c>
      <c r="G61" s="4" t="n">
        <f aca="false">E61*F61</f>
        <v>5000</v>
      </c>
    </row>
    <row r="62" customFormat="false" ht="15" hidden="false" customHeight="false" outlineLevel="0" collapsed="false">
      <c r="G62" s="5" t="n">
        <f aca="false">SUM(G2:G61)</f>
        <v>1835950</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tableParts>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C61"/>
  <sheetViews>
    <sheetView showFormulas="false" showGridLines="true" showRowColHeaders="true" showZeros="true" rightToLeft="false" tabSelected="false" showOutlineSymbols="true" defaultGridColor="true" view="normal" topLeftCell="A1" colorId="64" zoomScale="80" zoomScaleNormal="80" zoomScalePageLayoutView="100" workbookViewId="0">
      <selection pane="topLeft" activeCell="A4" activeCellId="0" sqref="A4"/>
    </sheetView>
  </sheetViews>
  <sheetFormatPr defaultColWidth="11.53515625" defaultRowHeight="12.8" zeroHeight="false" outlineLevelRow="0" outlineLevelCol="0"/>
  <cols>
    <col collapsed="false" customWidth="true" hidden="false" outlineLevel="0" max="2" min="2" style="0" width="22.08"/>
  </cols>
  <sheetData>
    <row r="3" customFormat="false" ht="12.8" hidden="false" customHeight="false" outlineLevel="0" collapsed="false">
      <c r="A3" s="6"/>
      <c r="B3" s="7" t="s">
        <v>19</v>
      </c>
      <c r="C3" s="8"/>
    </row>
    <row r="4" customFormat="false" ht="12.8" hidden="false" customHeight="false" outlineLevel="0" collapsed="false">
      <c r="A4" s="9" t="s">
        <v>0</v>
      </c>
      <c r="B4" s="10" t="s">
        <v>20</v>
      </c>
      <c r="C4" s="11" t="s">
        <v>21</v>
      </c>
    </row>
    <row r="5" customFormat="false" ht="12.8" hidden="false" customHeight="false" outlineLevel="0" collapsed="false">
      <c r="A5" s="12" t="n">
        <v>46027</v>
      </c>
      <c r="B5" s="13" t="n">
        <v>74000</v>
      </c>
      <c r="C5" s="14" t="n">
        <v>4</v>
      </c>
    </row>
    <row r="6" customFormat="false" ht="12.8" hidden="false" customHeight="false" outlineLevel="0" collapsed="false">
      <c r="A6" s="15" t="n">
        <v>46032</v>
      </c>
      <c r="B6" s="16" t="n">
        <v>18500</v>
      </c>
      <c r="C6" s="17" t="n">
        <v>1</v>
      </c>
    </row>
    <row r="7" customFormat="false" ht="12.8" hidden="false" customHeight="false" outlineLevel="0" collapsed="false">
      <c r="A7" s="15" t="n">
        <v>46034</v>
      </c>
      <c r="B7" s="16" t="n">
        <v>7500</v>
      </c>
      <c r="C7" s="17" t="n">
        <v>6</v>
      </c>
    </row>
    <row r="8" customFormat="false" ht="12.8" hidden="false" customHeight="false" outlineLevel="0" collapsed="false">
      <c r="A8" s="15" t="n">
        <v>46035</v>
      </c>
      <c r="B8" s="16" t="n">
        <v>36400</v>
      </c>
      <c r="C8" s="17" t="n">
        <v>7</v>
      </c>
    </row>
    <row r="9" customFormat="false" ht="12.8" hidden="false" customHeight="false" outlineLevel="0" collapsed="false">
      <c r="A9" s="15" t="n">
        <v>46039</v>
      </c>
      <c r="B9" s="16" t="n">
        <v>134100</v>
      </c>
      <c r="C9" s="17" t="n">
        <v>13</v>
      </c>
    </row>
    <row r="10" customFormat="false" ht="12.8" hidden="false" customHeight="false" outlineLevel="0" collapsed="false">
      <c r="A10" s="15" t="n">
        <v>46041</v>
      </c>
      <c r="B10" s="16" t="n">
        <v>92500</v>
      </c>
      <c r="C10" s="17" t="n">
        <v>5</v>
      </c>
    </row>
    <row r="11" customFormat="false" ht="12.8" hidden="false" customHeight="false" outlineLevel="0" collapsed="false">
      <c r="A11" s="15" t="n">
        <v>46043</v>
      </c>
      <c r="B11" s="16" t="n">
        <v>8800</v>
      </c>
      <c r="C11" s="17" t="n">
        <v>8</v>
      </c>
    </row>
    <row r="12" customFormat="false" ht="12.8" hidden="false" customHeight="false" outlineLevel="0" collapsed="false">
      <c r="A12" s="15" t="n">
        <v>46044</v>
      </c>
      <c r="B12" s="16" t="n">
        <v>41600</v>
      </c>
      <c r="C12" s="17" t="n">
        <v>8</v>
      </c>
    </row>
    <row r="13" customFormat="false" ht="12.8" hidden="false" customHeight="false" outlineLevel="0" collapsed="false">
      <c r="A13" s="15" t="n">
        <v>46046</v>
      </c>
      <c r="B13" s="16" t="n">
        <v>10400</v>
      </c>
      <c r="C13" s="17" t="n">
        <v>2</v>
      </c>
    </row>
    <row r="14" customFormat="false" ht="12.8" hidden="false" customHeight="false" outlineLevel="0" collapsed="false">
      <c r="A14" s="15" t="n">
        <v>46058</v>
      </c>
      <c r="B14" s="16" t="n">
        <v>4550</v>
      </c>
      <c r="C14" s="17" t="n">
        <v>7</v>
      </c>
    </row>
    <row r="15" customFormat="false" ht="12.8" hidden="false" customHeight="false" outlineLevel="0" collapsed="false">
      <c r="A15" s="15" t="n">
        <v>46059</v>
      </c>
      <c r="B15" s="16" t="n">
        <v>10000</v>
      </c>
      <c r="C15" s="17" t="n">
        <v>8</v>
      </c>
    </row>
    <row r="16" customFormat="false" ht="12.8" hidden="false" customHeight="false" outlineLevel="0" collapsed="false">
      <c r="A16" s="15" t="n">
        <v>46065</v>
      </c>
      <c r="B16" s="16" t="n">
        <v>74000</v>
      </c>
      <c r="C16" s="17" t="n">
        <v>4</v>
      </c>
    </row>
    <row r="17" customFormat="false" ht="12.8" hidden="false" customHeight="false" outlineLevel="0" collapsed="false">
      <c r="A17" s="15" t="n">
        <v>46067</v>
      </c>
      <c r="B17" s="16" t="n">
        <v>15600</v>
      </c>
      <c r="C17" s="17" t="n">
        <v>3</v>
      </c>
    </row>
    <row r="18" customFormat="false" ht="12.8" hidden="false" customHeight="false" outlineLevel="0" collapsed="false">
      <c r="A18" s="15" t="n">
        <v>46069</v>
      </c>
      <c r="B18" s="16" t="n">
        <v>3250</v>
      </c>
      <c r="C18" s="17" t="n">
        <v>5</v>
      </c>
    </row>
    <row r="19" customFormat="false" ht="12.8" hidden="false" customHeight="false" outlineLevel="0" collapsed="false">
      <c r="A19" s="15" t="n">
        <v>46070</v>
      </c>
      <c r="B19" s="16" t="n">
        <v>31200</v>
      </c>
      <c r="C19" s="17" t="n">
        <v>6</v>
      </c>
    </row>
    <row r="20" customFormat="false" ht="12.8" hidden="false" customHeight="false" outlineLevel="0" collapsed="false">
      <c r="A20" s="15" t="n">
        <v>46071</v>
      </c>
      <c r="B20" s="16" t="n">
        <v>5000</v>
      </c>
      <c r="C20" s="17" t="n">
        <v>4</v>
      </c>
    </row>
    <row r="21" customFormat="false" ht="12.8" hidden="false" customHeight="false" outlineLevel="0" collapsed="false">
      <c r="A21" s="15" t="n">
        <v>46073</v>
      </c>
      <c r="B21" s="16" t="n">
        <v>7500</v>
      </c>
      <c r="C21" s="17" t="n">
        <v>6</v>
      </c>
    </row>
    <row r="22" customFormat="false" ht="12.8" hidden="false" customHeight="false" outlineLevel="0" collapsed="false">
      <c r="A22" s="15" t="n">
        <v>46078</v>
      </c>
      <c r="B22" s="16" t="n">
        <v>36400</v>
      </c>
      <c r="C22" s="17" t="n">
        <v>7</v>
      </c>
    </row>
    <row r="23" customFormat="false" ht="12.8" hidden="false" customHeight="false" outlineLevel="0" collapsed="false">
      <c r="A23" s="15" t="n">
        <v>46101</v>
      </c>
      <c r="B23" s="16" t="n">
        <v>4550</v>
      </c>
      <c r="C23" s="17" t="n">
        <v>7</v>
      </c>
    </row>
    <row r="24" customFormat="false" ht="12.8" hidden="false" customHeight="false" outlineLevel="0" collapsed="false">
      <c r="A24" s="15" t="n">
        <v>46105</v>
      </c>
      <c r="B24" s="16" t="n">
        <v>1250</v>
      </c>
      <c r="C24" s="17" t="n">
        <v>1</v>
      </c>
    </row>
    <row r="25" customFormat="false" ht="12.8" hidden="false" customHeight="false" outlineLevel="0" collapsed="false">
      <c r="A25" s="15" t="n">
        <v>46106</v>
      </c>
      <c r="B25" s="16" t="n">
        <v>1300</v>
      </c>
      <c r="C25" s="17" t="n">
        <v>2</v>
      </c>
    </row>
    <row r="26" customFormat="false" ht="12.8" hidden="false" customHeight="false" outlineLevel="0" collapsed="false">
      <c r="A26" s="15" t="n">
        <v>46108</v>
      </c>
      <c r="B26" s="16" t="n">
        <v>650</v>
      </c>
      <c r="C26" s="17" t="n">
        <v>1</v>
      </c>
    </row>
    <row r="27" customFormat="false" ht="12.8" hidden="false" customHeight="false" outlineLevel="0" collapsed="false">
      <c r="A27" s="15" t="n">
        <v>46121</v>
      </c>
      <c r="B27" s="16" t="n">
        <v>1950</v>
      </c>
      <c r="C27" s="17" t="n">
        <v>3</v>
      </c>
    </row>
    <row r="28" customFormat="false" ht="12.8" hidden="false" customHeight="false" outlineLevel="0" collapsed="false">
      <c r="A28" s="15" t="n">
        <v>46124</v>
      </c>
      <c r="B28" s="16" t="n">
        <v>111000</v>
      </c>
      <c r="C28" s="17" t="n">
        <v>6</v>
      </c>
    </row>
    <row r="29" customFormat="false" ht="12.8" hidden="false" customHeight="false" outlineLevel="0" collapsed="false">
      <c r="A29" s="15" t="n">
        <v>46128</v>
      </c>
      <c r="B29" s="16" t="n">
        <v>41600</v>
      </c>
      <c r="C29" s="17" t="n">
        <v>8</v>
      </c>
    </row>
    <row r="30" customFormat="false" ht="12.8" hidden="false" customHeight="false" outlineLevel="0" collapsed="false">
      <c r="A30" s="15" t="n">
        <v>46138</v>
      </c>
      <c r="B30" s="16" t="n">
        <v>3900</v>
      </c>
      <c r="C30" s="17" t="n">
        <v>6</v>
      </c>
    </row>
    <row r="31" customFormat="false" ht="12.8" hidden="false" customHeight="false" outlineLevel="0" collapsed="false">
      <c r="A31" s="15" t="n">
        <v>46143</v>
      </c>
      <c r="B31" s="16" t="n">
        <v>13900</v>
      </c>
      <c r="C31" s="17" t="n">
        <v>14</v>
      </c>
    </row>
    <row r="32" customFormat="false" ht="12.8" hidden="false" customHeight="false" outlineLevel="0" collapsed="false">
      <c r="A32" s="15" t="n">
        <v>46145</v>
      </c>
      <c r="B32" s="16" t="n">
        <v>1950</v>
      </c>
      <c r="C32" s="17" t="n">
        <v>3</v>
      </c>
    </row>
    <row r="33" customFormat="false" ht="12.8" hidden="false" customHeight="false" outlineLevel="0" collapsed="false">
      <c r="A33" s="15" t="n">
        <v>46149</v>
      </c>
      <c r="B33" s="16" t="n">
        <v>1950</v>
      </c>
      <c r="C33" s="17" t="n">
        <v>3</v>
      </c>
    </row>
    <row r="34" customFormat="false" ht="12.8" hidden="false" customHeight="false" outlineLevel="0" collapsed="false">
      <c r="A34" s="15" t="n">
        <v>46151</v>
      </c>
      <c r="B34" s="16" t="n">
        <v>148000</v>
      </c>
      <c r="C34" s="17" t="n">
        <v>8</v>
      </c>
    </row>
    <row r="35" customFormat="false" ht="12.8" hidden="false" customHeight="false" outlineLevel="0" collapsed="false">
      <c r="A35" s="15" t="n">
        <v>46156</v>
      </c>
      <c r="B35" s="16" t="n">
        <v>20800</v>
      </c>
      <c r="C35" s="17" t="n">
        <v>4</v>
      </c>
    </row>
    <row r="36" customFormat="false" ht="12.8" hidden="false" customHeight="false" outlineLevel="0" collapsed="false">
      <c r="A36" s="15" t="n">
        <v>46165</v>
      </c>
      <c r="B36" s="16" t="n">
        <v>111000</v>
      </c>
      <c r="C36" s="17" t="n">
        <v>6</v>
      </c>
    </row>
    <row r="37" customFormat="false" ht="12.8" hidden="false" customHeight="false" outlineLevel="0" collapsed="false">
      <c r="A37" s="15" t="n">
        <v>46166</v>
      </c>
      <c r="B37" s="16" t="n">
        <v>111000</v>
      </c>
      <c r="C37" s="17" t="n">
        <v>6</v>
      </c>
    </row>
    <row r="38" customFormat="false" ht="12.8" hidden="false" customHeight="false" outlineLevel="0" collapsed="false">
      <c r="A38" s="15" t="n">
        <v>46170</v>
      </c>
      <c r="B38" s="16" t="n">
        <v>5200</v>
      </c>
      <c r="C38" s="17" t="n">
        <v>8</v>
      </c>
    </row>
    <row r="39" customFormat="false" ht="12.8" hidden="false" customHeight="false" outlineLevel="0" collapsed="false">
      <c r="A39" s="15" t="n">
        <v>46173</v>
      </c>
      <c r="B39" s="16" t="n">
        <v>2500</v>
      </c>
      <c r="C39" s="17" t="n">
        <v>2</v>
      </c>
    </row>
    <row r="40" customFormat="false" ht="12.8" hidden="false" customHeight="false" outlineLevel="0" collapsed="false">
      <c r="A40" s="15" t="n">
        <v>46180</v>
      </c>
      <c r="B40" s="16" t="n">
        <v>5200</v>
      </c>
      <c r="C40" s="17" t="n">
        <v>8</v>
      </c>
    </row>
    <row r="41" customFormat="false" ht="12.8" hidden="false" customHeight="false" outlineLevel="0" collapsed="false">
      <c r="A41" s="15" t="n">
        <v>46181</v>
      </c>
      <c r="B41" s="16" t="n">
        <v>129500</v>
      </c>
      <c r="C41" s="17" t="n">
        <v>7</v>
      </c>
    </row>
    <row r="42" customFormat="false" ht="12.8" hidden="false" customHeight="false" outlineLevel="0" collapsed="false">
      <c r="A42" s="15" t="n">
        <v>46191</v>
      </c>
      <c r="B42" s="16" t="n">
        <v>4550</v>
      </c>
      <c r="C42" s="17" t="n">
        <v>7</v>
      </c>
    </row>
    <row r="43" customFormat="false" ht="12.8" hidden="false" customHeight="false" outlineLevel="0" collapsed="false">
      <c r="A43" s="15" t="n">
        <v>46193</v>
      </c>
      <c r="B43" s="16" t="n">
        <v>650</v>
      </c>
      <c r="C43" s="17" t="n">
        <v>1</v>
      </c>
    </row>
    <row r="44" customFormat="false" ht="12.8" hidden="false" customHeight="false" outlineLevel="0" collapsed="false">
      <c r="A44" s="15" t="n">
        <v>46201</v>
      </c>
      <c r="B44" s="16" t="n">
        <v>4550</v>
      </c>
      <c r="C44" s="17" t="n">
        <v>7</v>
      </c>
    </row>
    <row r="45" customFormat="false" ht="12.8" hidden="false" customHeight="false" outlineLevel="0" collapsed="false">
      <c r="A45" s="15" t="n">
        <v>46207</v>
      </c>
      <c r="B45" s="16" t="n">
        <v>4550</v>
      </c>
      <c r="C45" s="17" t="n">
        <v>7</v>
      </c>
    </row>
    <row r="46" customFormat="false" ht="12.8" hidden="false" customHeight="false" outlineLevel="0" collapsed="false">
      <c r="A46" s="15" t="n">
        <v>46217</v>
      </c>
      <c r="B46" s="16" t="n">
        <v>15600</v>
      </c>
      <c r="C46" s="17" t="n">
        <v>3</v>
      </c>
    </row>
    <row r="47" customFormat="false" ht="12.8" hidden="false" customHeight="false" outlineLevel="0" collapsed="false">
      <c r="A47" s="15" t="n">
        <v>46219</v>
      </c>
      <c r="B47" s="16" t="n">
        <v>10400</v>
      </c>
      <c r="C47" s="17" t="n">
        <v>2</v>
      </c>
    </row>
    <row r="48" customFormat="false" ht="12.8" hidden="false" customHeight="false" outlineLevel="0" collapsed="false">
      <c r="A48" s="15" t="n">
        <v>46222</v>
      </c>
      <c r="B48" s="16" t="n">
        <v>2500</v>
      </c>
      <c r="C48" s="17" t="n">
        <v>2</v>
      </c>
    </row>
    <row r="49" customFormat="false" ht="12.8" hidden="false" customHeight="false" outlineLevel="0" collapsed="false">
      <c r="A49" s="15" t="n">
        <v>46226</v>
      </c>
      <c r="B49" s="16" t="n">
        <v>10000</v>
      </c>
      <c r="C49" s="17" t="n">
        <v>8</v>
      </c>
    </row>
    <row r="50" customFormat="false" ht="12.8" hidden="false" customHeight="false" outlineLevel="0" collapsed="false">
      <c r="A50" s="15" t="n">
        <v>46228</v>
      </c>
      <c r="B50" s="16" t="n">
        <v>92500</v>
      </c>
      <c r="C50" s="17" t="n">
        <v>5</v>
      </c>
    </row>
    <row r="51" customFormat="false" ht="12.8" hidden="false" customHeight="false" outlineLevel="0" collapsed="false">
      <c r="A51" s="15" t="n">
        <v>46230</v>
      </c>
      <c r="B51" s="16" t="n">
        <v>5200</v>
      </c>
      <c r="C51" s="17" t="n">
        <v>1</v>
      </c>
    </row>
    <row r="52" customFormat="false" ht="12.8" hidden="false" customHeight="false" outlineLevel="0" collapsed="false">
      <c r="A52" s="15" t="n">
        <v>46238</v>
      </c>
      <c r="B52" s="16" t="n">
        <v>111000</v>
      </c>
      <c r="C52" s="17" t="n">
        <v>6</v>
      </c>
    </row>
    <row r="53" customFormat="false" ht="12.8" hidden="false" customHeight="false" outlineLevel="0" collapsed="false">
      <c r="A53" s="15" t="n">
        <v>46240</v>
      </c>
      <c r="B53" s="16" t="n">
        <v>41600</v>
      </c>
      <c r="C53" s="17" t="n">
        <v>8</v>
      </c>
    </row>
    <row r="54" customFormat="false" ht="12.8" hidden="false" customHeight="false" outlineLevel="0" collapsed="false">
      <c r="A54" s="15" t="n">
        <v>46245</v>
      </c>
      <c r="B54" s="16" t="n">
        <v>7500</v>
      </c>
      <c r="C54" s="17" t="n">
        <v>6</v>
      </c>
    </row>
    <row r="55" customFormat="false" ht="12.8" hidden="false" customHeight="false" outlineLevel="0" collapsed="false">
      <c r="A55" s="15" t="n">
        <v>46246</v>
      </c>
      <c r="B55" s="16" t="n">
        <v>5200</v>
      </c>
      <c r="C55" s="17" t="n">
        <v>1</v>
      </c>
    </row>
    <row r="56" customFormat="false" ht="12.8" hidden="false" customHeight="false" outlineLevel="0" collapsed="false">
      <c r="A56" s="15" t="n">
        <v>46251</v>
      </c>
      <c r="B56" s="16" t="n">
        <v>18500</v>
      </c>
      <c r="C56" s="17" t="n">
        <v>1</v>
      </c>
    </row>
    <row r="57" customFormat="false" ht="12.8" hidden="false" customHeight="false" outlineLevel="0" collapsed="false">
      <c r="A57" s="15" t="n">
        <v>46254</v>
      </c>
      <c r="B57" s="16" t="n">
        <v>15600</v>
      </c>
      <c r="C57" s="17" t="n">
        <v>3</v>
      </c>
    </row>
    <row r="58" customFormat="false" ht="12.8" hidden="false" customHeight="false" outlineLevel="0" collapsed="false">
      <c r="A58" s="15" t="n">
        <v>46261</v>
      </c>
      <c r="B58" s="16" t="n">
        <v>4550</v>
      </c>
      <c r="C58" s="17" t="n">
        <v>7</v>
      </c>
    </row>
    <row r="59" customFormat="false" ht="12.8" hidden="false" customHeight="false" outlineLevel="0" collapsed="false">
      <c r="A59" s="15" t="n">
        <v>46273</v>
      </c>
      <c r="B59" s="16" t="n">
        <v>148000</v>
      </c>
      <c r="C59" s="17" t="n">
        <v>8</v>
      </c>
    </row>
    <row r="60" customFormat="false" ht="12.8" hidden="false" customHeight="false" outlineLevel="0" collapsed="false">
      <c r="A60" s="15" t="n">
        <v>46274</v>
      </c>
      <c r="B60" s="18" t="n">
        <v>5000</v>
      </c>
      <c r="C60" s="19" t="n">
        <v>4</v>
      </c>
    </row>
    <row r="61" customFormat="false" ht="12.8" hidden="false" customHeight="false" outlineLevel="0" collapsed="false">
      <c r="A61" s="20" t="s">
        <v>22</v>
      </c>
      <c r="B61" s="21" t="n">
        <v>1835950</v>
      </c>
      <c r="C61" s="22" t="n">
        <v>294</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true" showOutlineSymbols="true" defaultGridColor="true" view="normal" topLeftCell="A7" colorId="64" zoomScale="100" zoomScaleNormal="100" zoomScalePageLayoutView="100" workbookViewId="0">
      <selection pane="topLeft" activeCell="C10" activeCellId="0" sqref="C10"/>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75"/>
    <col collapsed="false" customWidth="true" hidden="false" outlineLevel="0" max="3" min="3" style="1" width="18.49"/>
  </cols>
  <sheetData>
    <row r="1" customFormat="false" ht="19.7" hidden="false" customHeight="false" outlineLevel="0" collapsed="false">
      <c r="A1" s="23" t="s">
        <v>23</v>
      </c>
      <c r="B1" s="23"/>
      <c r="C1" s="23"/>
      <c r="D1" s="23"/>
      <c r="E1" s="23"/>
      <c r="F1" s="23"/>
    </row>
    <row r="3" customFormat="false" ht="38" hidden="false" customHeight="true" outlineLevel="0" collapsed="false">
      <c r="A3" s="24" t="s">
        <v>24</v>
      </c>
      <c r="B3" s="25" t="s">
        <v>25</v>
      </c>
    </row>
    <row r="4" customFormat="false" ht="38" hidden="false" customHeight="true" outlineLevel="0" collapsed="false">
      <c r="A4" s="24" t="s">
        <v>26</v>
      </c>
      <c r="B4" s="25" t="s">
        <v>27</v>
      </c>
    </row>
    <row r="5" customFormat="false" ht="38" hidden="false" customHeight="true" outlineLevel="0" collapsed="false">
      <c r="A5" s="24" t="s">
        <v>28</v>
      </c>
      <c r="B5" s="25" t="s">
        <v>29</v>
      </c>
      <c r="C5" s="5" t="n">
        <v>1835950</v>
      </c>
    </row>
    <row r="6" customFormat="false" ht="38" hidden="false" customHeight="true" outlineLevel="0" collapsed="false">
      <c r="A6" s="24" t="s">
        <v>30</v>
      </c>
      <c r="B6" s="25" t="s">
        <v>31</v>
      </c>
      <c r="C6" s="26" t="s">
        <v>32</v>
      </c>
    </row>
    <row r="7" customFormat="false" ht="38" hidden="false" customHeight="true" outlineLevel="0" collapsed="false">
      <c r="A7" s="24" t="s">
        <v>33</v>
      </c>
      <c r="B7" s="25" t="s">
        <v>34</v>
      </c>
      <c r="C7" s="26" t="s">
        <v>35</v>
      </c>
    </row>
    <row r="8" customFormat="false" ht="38" hidden="false" customHeight="true" outlineLevel="0" collapsed="false">
      <c r="A8" s="24" t="s">
        <v>36</v>
      </c>
      <c r="B8" s="25" t="s">
        <v>37</v>
      </c>
      <c r="C8" s="26" t="s">
        <v>38</v>
      </c>
    </row>
    <row r="9" customFormat="false" ht="38" hidden="false" customHeight="true" outlineLevel="0" collapsed="false">
      <c r="A9" s="24" t="s">
        <v>39</v>
      </c>
      <c r="B9" s="25" t="s">
        <v>40</v>
      </c>
      <c r="C9" s="26" t="s">
        <v>41</v>
      </c>
    </row>
    <row r="10" customFormat="false" ht="38" hidden="false" customHeight="true" outlineLevel="0" collapsed="false">
      <c r="A10" s="24" t="s">
        <v>42</v>
      </c>
      <c r="B10" s="25" t="s">
        <v>43</v>
      </c>
      <c r="C10" s="26" t="s">
        <v>44</v>
      </c>
    </row>
    <row r="11" customFormat="false" ht="38" hidden="false" customHeight="true" outlineLevel="0" collapsed="false">
      <c r="A11" s="24" t="s">
        <v>45</v>
      </c>
      <c r="B11" s="25" t="s">
        <v>46</v>
      </c>
      <c r="C11" s="26" t="s">
        <v>47</v>
      </c>
    </row>
    <row r="12" customFormat="false" ht="38" hidden="false" customHeight="true" outlineLevel="0" collapsed="false">
      <c r="A12" s="24" t="s">
        <v>48</v>
      </c>
      <c r="B12" s="25" t="s">
        <v>49</v>
      </c>
      <c r="C12" s="26" t="s">
        <v>50</v>
      </c>
    </row>
  </sheetData>
  <mergeCells count="1">
    <mergeCell ref="A1:F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25</TotalTime>
  <Application>LibreOffice/24.2.7.2$Windows_X86_64 LibreOffice_project/ee3885777aa7032db5a9b65deec9457448a91162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es-MX</dc:language>
  <cp:lastModifiedBy/>
  <dcterms:modified xsi:type="dcterms:W3CDTF">2026-10-06T19:24:52Z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