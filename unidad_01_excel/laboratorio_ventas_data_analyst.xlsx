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reneleondelgadillo/Documents/plan_data_analyst/unidad_01_excel/"/>
    </mc:Choice>
  </mc:AlternateContent>
  <xr:revisionPtr revIDLastSave="0" documentId="13_ncr:1_{5C2CC56C-080C-3E48-8634-C3BCB40BBE3D}" xr6:coauthVersionLast="47" xr6:coauthVersionMax="47" xr10:uidLastSave="{00000000-0000-0000-0000-000000000000}"/>
  <bookViews>
    <workbookView xWindow="0" yWindow="660" windowWidth="34560" windowHeight="19880" activeTab="5" xr2:uid="{00000000-000D-0000-FFFF-FFFF00000000}"/>
  </bookViews>
  <sheets>
    <sheet name="LEEME" sheetId="1" r:id="rId1"/>
    <sheet name="Ventas" sheetId="2" r:id="rId2"/>
    <sheet name="Practica_IF" sheetId="6" r:id="rId3"/>
    <sheet name="Catalogo" sheetId="3" r:id="rId4"/>
    <sheet name="Clientes" sheetId="4" r:id="rId5"/>
    <sheet name="Reto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H3" i="5"/>
  <c r="G3" i="5"/>
  <c r="F3" i="5"/>
  <c r="T2" i="6" a="1"/>
  <c r="S2" i="6"/>
  <c r="R3" i="6"/>
  <c r="R4" i="6"/>
  <c r="R5" i="6"/>
  <c r="R2" i="6"/>
  <c r="P5" i="6"/>
  <c r="O3" i="6"/>
  <c r="O4" i="6"/>
  <c r="O5" i="6"/>
  <c r="O2" i="6"/>
  <c r="Q2" i="6"/>
  <c r="K2" i="6"/>
  <c r="J2" i="6"/>
  <c r="I2" i="6"/>
  <c r="H2" i="6"/>
  <c r="G2" i="6"/>
  <c r="F2" i="6"/>
  <c r="E2" i="6"/>
  <c r="C8" i="6"/>
  <c r="C3" i="6"/>
  <c r="C4" i="6"/>
  <c r="C5" i="6"/>
  <c r="C6" i="6"/>
  <c r="C7" i="6"/>
  <c r="C2" i="6"/>
  <c r="O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O3" i="2"/>
  <c r="Q3" i="2" s="1"/>
  <c r="O4" i="2"/>
  <c r="Q4" i="2" s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Q191" i="2" s="1"/>
  <c r="O192" i="2"/>
  <c r="Q192" i="2" s="1"/>
  <c r="O193" i="2"/>
  <c r="Q193" i="2" s="1"/>
  <c r="O194" i="2"/>
  <c r="Q194" i="2" s="1"/>
  <c r="O195" i="2"/>
  <c r="Q195" i="2" s="1"/>
  <c r="O196" i="2"/>
  <c r="Q196" i="2" s="1"/>
  <c r="O197" i="2"/>
  <c r="Q197" i="2" s="1"/>
  <c r="O198" i="2"/>
  <c r="Q198" i="2" s="1"/>
  <c r="O199" i="2"/>
  <c r="Q199" i="2" s="1"/>
  <c r="O200" i="2"/>
  <c r="Q200" i="2" s="1"/>
  <c r="O201" i="2"/>
  <c r="Q201" i="2" s="1"/>
  <c r="O202" i="2"/>
  <c r="Q202" i="2" s="1"/>
  <c r="O203" i="2"/>
  <c r="Q203" i="2" s="1"/>
  <c r="O204" i="2"/>
  <c r="Q204" i="2" s="1"/>
  <c r="O205" i="2"/>
  <c r="Q205" i="2" s="1"/>
  <c r="O206" i="2"/>
  <c r="Q206" i="2" s="1"/>
  <c r="O207" i="2"/>
  <c r="Q207" i="2" s="1"/>
  <c r="O208" i="2"/>
  <c r="Q208" i="2" s="1"/>
  <c r="O209" i="2"/>
  <c r="Q209" i="2" s="1"/>
  <c r="O210" i="2"/>
  <c r="Q210" i="2" s="1"/>
  <c r="O211" i="2"/>
  <c r="Q211" i="2" s="1"/>
  <c r="O212" i="2"/>
  <c r="Q212" i="2" s="1"/>
  <c r="O213" i="2"/>
  <c r="Q213" i="2" s="1"/>
  <c r="O214" i="2"/>
  <c r="Q214" i="2" s="1"/>
  <c r="O215" i="2"/>
  <c r="Q215" i="2" s="1"/>
  <c r="O216" i="2"/>
  <c r="Q216" i="2" s="1"/>
  <c r="O217" i="2"/>
  <c r="Q217" i="2" s="1"/>
  <c r="O218" i="2"/>
  <c r="Q218" i="2" s="1"/>
  <c r="O219" i="2"/>
  <c r="Q219" i="2" s="1"/>
  <c r="O220" i="2"/>
  <c r="Q220" i="2" s="1"/>
  <c r="O221" i="2"/>
  <c r="Q221" i="2" s="1"/>
  <c r="O222" i="2"/>
  <c r="Q222" i="2" s="1"/>
  <c r="O223" i="2"/>
  <c r="Q223" i="2" s="1"/>
  <c r="O224" i="2"/>
  <c r="Q224" i="2" s="1"/>
  <c r="O225" i="2"/>
  <c r="Q225" i="2" s="1"/>
  <c r="O226" i="2"/>
  <c r="Q226" i="2" s="1"/>
  <c r="O227" i="2"/>
  <c r="Q227" i="2" s="1"/>
  <c r="O228" i="2"/>
  <c r="Q228" i="2" s="1"/>
  <c r="O229" i="2"/>
  <c r="Q229" i="2" s="1"/>
  <c r="O230" i="2"/>
  <c r="Q230" i="2" s="1"/>
  <c r="O231" i="2"/>
  <c r="Q231" i="2" s="1"/>
  <c r="O232" i="2"/>
  <c r="Q232" i="2" s="1"/>
  <c r="O233" i="2"/>
  <c r="Q233" i="2" s="1"/>
  <c r="O234" i="2"/>
  <c r="Q234" i="2" s="1"/>
  <c r="O235" i="2"/>
  <c r="Q235" i="2" s="1"/>
  <c r="O236" i="2"/>
  <c r="Q236" i="2" s="1"/>
  <c r="O237" i="2"/>
  <c r="Q237" i="2" s="1"/>
  <c r="O238" i="2"/>
  <c r="Q238" i="2" s="1"/>
  <c r="O239" i="2"/>
  <c r="Q239" i="2" s="1"/>
  <c r="O240" i="2"/>
  <c r="Q240" i="2" s="1"/>
  <c r="O241" i="2"/>
  <c r="Q241" i="2" s="1"/>
  <c r="O242" i="2"/>
  <c r="Q242" i="2" s="1"/>
  <c r="O243" i="2"/>
  <c r="Q243" i="2" s="1"/>
  <c r="O244" i="2"/>
  <c r="Q244" i="2" s="1"/>
  <c r="O245" i="2"/>
  <c r="Q245" i="2" s="1"/>
  <c r="O246" i="2"/>
  <c r="Q246" i="2" s="1"/>
  <c r="O247" i="2"/>
  <c r="Q247" i="2" s="1"/>
  <c r="O248" i="2"/>
  <c r="Q248" i="2" s="1"/>
  <c r="O249" i="2"/>
  <c r="Q249" i="2" s="1"/>
  <c r="O250" i="2"/>
  <c r="Q250" i="2" s="1"/>
  <c r="O251" i="2"/>
  <c r="Q251" i="2" s="1"/>
  <c r="O252" i="2"/>
  <c r="Q252" i="2" s="1"/>
  <c r="O253" i="2"/>
  <c r="Q253" i="2" s="1"/>
  <c r="O254" i="2"/>
  <c r="Q254" i="2" s="1"/>
  <c r="O255" i="2"/>
  <c r="Q255" i="2" s="1"/>
  <c r="O256" i="2"/>
  <c r="Q256" i="2" s="1"/>
  <c r="O257" i="2"/>
  <c r="Q257" i="2" s="1"/>
  <c r="O258" i="2"/>
  <c r="Q258" i="2" s="1"/>
  <c r="O259" i="2"/>
  <c r="Q259" i="2" s="1"/>
  <c r="O260" i="2"/>
  <c r="Q260" i="2" s="1"/>
  <c r="O261" i="2"/>
  <c r="Q261" i="2" s="1"/>
  <c r="O262" i="2"/>
  <c r="Q262" i="2" s="1"/>
  <c r="O263" i="2"/>
  <c r="Q263" i="2" s="1"/>
  <c r="O264" i="2"/>
  <c r="Q264" i="2" s="1"/>
  <c r="O265" i="2"/>
  <c r="Q265" i="2" s="1"/>
  <c r="O266" i="2"/>
  <c r="Q266" i="2" s="1"/>
  <c r="O267" i="2"/>
  <c r="Q267" i="2" s="1"/>
  <c r="O268" i="2"/>
  <c r="Q268" i="2" s="1"/>
  <c r="O269" i="2"/>
  <c r="Q269" i="2" s="1"/>
  <c r="O270" i="2"/>
  <c r="Q270" i="2" s="1"/>
  <c r="O271" i="2"/>
  <c r="Q271" i="2" s="1"/>
  <c r="O272" i="2"/>
  <c r="Q272" i="2" s="1"/>
  <c r="O273" i="2"/>
  <c r="Q273" i="2" s="1"/>
  <c r="O274" i="2"/>
  <c r="Q274" i="2" s="1"/>
  <c r="O275" i="2"/>
  <c r="Q275" i="2" s="1"/>
  <c r="O276" i="2"/>
  <c r="Q276" i="2" s="1"/>
  <c r="O277" i="2"/>
  <c r="Q277" i="2" s="1"/>
  <c r="O278" i="2"/>
  <c r="Q278" i="2" s="1"/>
  <c r="O279" i="2"/>
  <c r="Q279" i="2" s="1"/>
  <c r="O280" i="2"/>
  <c r="Q280" i="2" s="1"/>
  <c r="O281" i="2"/>
  <c r="Q281" i="2" s="1"/>
  <c r="O282" i="2"/>
  <c r="Q282" i="2" s="1"/>
  <c r="O283" i="2"/>
  <c r="Q283" i="2" s="1"/>
  <c r="O284" i="2"/>
  <c r="Q284" i="2" s="1"/>
  <c r="O285" i="2"/>
  <c r="Q285" i="2" s="1"/>
  <c r="O286" i="2"/>
  <c r="Q286" i="2" s="1"/>
  <c r="O287" i="2"/>
  <c r="Q287" i="2" s="1"/>
  <c r="O288" i="2"/>
  <c r="Q288" i="2" s="1"/>
  <c r="O289" i="2"/>
  <c r="Q289" i="2" s="1"/>
  <c r="O290" i="2"/>
  <c r="Q290" i="2" s="1"/>
  <c r="O291" i="2"/>
  <c r="Q291" i="2" s="1"/>
  <c r="O292" i="2"/>
  <c r="Q292" i="2" s="1"/>
  <c r="O293" i="2"/>
  <c r="Q293" i="2" s="1"/>
  <c r="O294" i="2"/>
  <c r="Q294" i="2" s="1"/>
  <c r="O295" i="2"/>
  <c r="Q295" i="2" s="1"/>
  <c r="O296" i="2"/>
  <c r="Q296" i="2" s="1"/>
  <c r="O297" i="2"/>
  <c r="Q297" i="2" s="1"/>
  <c r="O298" i="2"/>
  <c r="Q298" i="2" s="1"/>
  <c r="O299" i="2"/>
  <c r="Q299" i="2" s="1"/>
  <c r="O300" i="2"/>
  <c r="Q300" i="2" s="1"/>
  <c r="O301" i="2"/>
  <c r="Q301" i="2" s="1"/>
  <c r="O302" i="2"/>
  <c r="Q302" i="2" s="1"/>
  <c r="O303" i="2"/>
  <c r="Q303" i="2" s="1"/>
  <c r="O304" i="2"/>
  <c r="Q304" i="2" s="1"/>
  <c r="O305" i="2"/>
  <c r="Q305" i="2" s="1"/>
  <c r="O306" i="2"/>
  <c r="Q306" i="2" s="1"/>
  <c r="O307" i="2"/>
  <c r="Q307" i="2" s="1"/>
  <c r="O308" i="2"/>
  <c r="Q308" i="2" s="1"/>
  <c r="O309" i="2"/>
  <c r="Q309" i="2" s="1"/>
  <c r="O310" i="2"/>
  <c r="Q310" i="2" s="1"/>
  <c r="O311" i="2"/>
  <c r="Q311" i="2" s="1"/>
  <c r="O312" i="2"/>
  <c r="Q312" i="2" s="1"/>
  <c r="O313" i="2"/>
  <c r="Q313" i="2" s="1"/>
  <c r="O314" i="2"/>
  <c r="Q314" i="2" s="1"/>
  <c r="O315" i="2"/>
  <c r="Q315" i="2" s="1"/>
  <c r="O316" i="2"/>
  <c r="Q316" i="2" s="1"/>
  <c r="O317" i="2"/>
  <c r="Q317" i="2" s="1"/>
  <c r="O318" i="2"/>
  <c r="Q318" i="2" s="1"/>
  <c r="O319" i="2"/>
  <c r="Q319" i="2" s="1"/>
  <c r="O320" i="2"/>
  <c r="Q320" i="2" s="1"/>
  <c r="O321" i="2"/>
  <c r="Q321" i="2" s="1"/>
  <c r="O322" i="2"/>
  <c r="Q322" i="2" s="1"/>
  <c r="O323" i="2"/>
  <c r="Q323" i="2" s="1"/>
  <c r="O324" i="2"/>
  <c r="Q324" i="2" s="1"/>
  <c r="O325" i="2"/>
  <c r="Q325" i="2" s="1"/>
  <c r="O326" i="2"/>
  <c r="Q326" i="2" s="1"/>
  <c r="O327" i="2"/>
  <c r="Q327" i="2" s="1"/>
  <c r="O328" i="2"/>
  <c r="Q328" i="2" s="1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Q460" i="2" s="1"/>
  <c r="O461" i="2"/>
  <c r="Q461" i="2" s="1"/>
  <c r="O462" i="2"/>
  <c r="Q462" i="2" s="1"/>
  <c r="O463" i="2"/>
  <c r="Q463" i="2" s="1"/>
  <c r="O464" i="2"/>
  <c r="Q464" i="2" s="1"/>
  <c r="O465" i="2"/>
  <c r="Q465" i="2" s="1"/>
  <c r="O466" i="2"/>
  <c r="Q466" i="2" s="1"/>
  <c r="O467" i="2"/>
  <c r="Q467" i="2" s="1"/>
  <c r="O468" i="2"/>
  <c r="Q468" i="2" s="1"/>
  <c r="O469" i="2"/>
  <c r="Q469" i="2" s="1"/>
  <c r="O470" i="2"/>
  <c r="Q470" i="2" s="1"/>
  <c r="O471" i="2"/>
  <c r="Q471" i="2" s="1"/>
  <c r="O472" i="2"/>
  <c r="Q472" i="2" s="1"/>
  <c r="O473" i="2"/>
  <c r="Q473" i="2" s="1"/>
  <c r="O474" i="2"/>
  <c r="Q474" i="2" s="1"/>
  <c r="O475" i="2"/>
  <c r="Q475" i="2" s="1"/>
  <c r="O476" i="2"/>
  <c r="Q476" i="2" s="1"/>
  <c r="O477" i="2"/>
  <c r="Q477" i="2" s="1"/>
  <c r="O478" i="2"/>
  <c r="Q478" i="2" s="1"/>
  <c r="O479" i="2"/>
  <c r="Q479" i="2" s="1"/>
  <c r="O480" i="2"/>
  <c r="Q480" i="2" s="1"/>
  <c r="O481" i="2"/>
  <c r="Q481" i="2" s="1"/>
  <c r="O482" i="2"/>
  <c r="Q482" i="2" s="1"/>
  <c r="O483" i="2"/>
  <c r="Q483" i="2" s="1"/>
  <c r="O484" i="2"/>
  <c r="Q484" i="2" s="1"/>
  <c r="O485" i="2"/>
  <c r="Q485" i="2" s="1"/>
  <c r="O486" i="2"/>
  <c r="Q486" i="2" s="1"/>
  <c r="O487" i="2"/>
  <c r="Q487" i="2" s="1"/>
  <c r="O488" i="2"/>
  <c r="Q488" i="2" s="1"/>
  <c r="O489" i="2"/>
  <c r="Q489" i="2" s="1"/>
  <c r="O490" i="2"/>
  <c r="Q490" i="2" s="1"/>
  <c r="O491" i="2"/>
  <c r="Q491" i="2" s="1"/>
  <c r="O492" i="2"/>
  <c r="Q492" i="2" s="1"/>
  <c r="O493" i="2"/>
  <c r="Q493" i="2" s="1"/>
  <c r="O494" i="2"/>
  <c r="Q494" i="2" s="1"/>
  <c r="O495" i="2"/>
  <c r="Q495" i="2" s="1"/>
  <c r="O496" i="2"/>
  <c r="Q496" i="2" s="1"/>
  <c r="O497" i="2"/>
  <c r="Q497" i="2" s="1"/>
  <c r="O498" i="2"/>
  <c r="Q498" i="2" s="1"/>
  <c r="O499" i="2"/>
  <c r="Q499" i="2" s="1"/>
  <c r="O500" i="2"/>
  <c r="Q500" i="2" s="1"/>
  <c r="O501" i="2"/>
  <c r="Q501" i="2" s="1"/>
  <c r="O502" i="2"/>
  <c r="Q502" i="2" s="1"/>
  <c r="O503" i="2"/>
  <c r="Q503" i="2" s="1"/>
  <c r="O504" i="2"/>
  <c r="Q504" i="2" s="1"/>
  <c r="O505" i="2"/>
  <c r="Q505" i="2" s="1"/>
  <c r="O506" i="2"/>
  <c r="Q506" i="2" s="1"/>
  <c r="O507" i="2"/>
  <c r="Q507" i="2" s="1"/>
  <c r="O508" i="2"/>
  <c r="Q508" i="2" s="1"/>
  <c r="O509" i="2"/>
  <c r="Q509" i="2" s="1"/>
  <c r="O510" i="2"/>
  <c r="Q510" i="2" s="1"/>
  <c r="O511" i="2"/>
  <c r="Q511" i="2" s="1"/>
  <c r="O512" i="2"/>
  <c r="Q512" i="2" s="1"/>
  <c r="O513" i="2"/>
  <c r="Q513" i="2" s="1"/>
  <c r="O514" i="2"/>
  <c r="Q514" i="2" s="1"/>
  <c r="O515" i="2"/>
  <c r="Q515" i="2" s="1"/>
  <c r="O516" i="2"/>
  <c r="Q516" i="2" s="1"/>
  <c r="O517" i="2"/>
  <c r="Q517" i="2" s="1"/>
  <c r="O518" i="2"/>
  <c r="Q518" i="2" s="1"/>
  <c r="O519" i="2"/>
  <c r="Q519" i="2" s="1"/>
  <c r="O520" i="2"/>
  <c r="Q520" i="2" s="1"/>
  <c r="O521" i="2"/>
  <c r="Q521" i="2" s="1"/>
  <c r="O522" i="2"/>
  <c r="Q522" i="2" s="1"/>
  <c r="O523" i="2"/>
  <c r="Q523" i="2" s="1"/>
  <c r="O524" i="2"/>
  <c r="Q524" i="2" s="1"/>
  <c r="O525" i="2"/>
  <c r="Q525" i="2" s="1"/>
  <c r="O526" i="2"/>
  <c r="Q526" i="2" s="1"/>
  <c r="O527" i="2"/>
  <c r="Q527" i="2" s="1"/>
  <c r="O528" i="2"/>
  <c r="Q528" i="2" s="1"/>
  <c r="O529" i="2"/>
  <c r="Q529" i="2" s="1"/>
  <c r="O530" i="2"/>
  <c r="Q530" i="2" s="1"/>
  <c r="O531" i="2"/>
  <c r="Q531" i="2" s="1"/>
  <c r="O532" i="2"/>
  <c r="Q532" i="2" s="1"/>
  <c r="O533" i="2"/>
  <c r="Q533" i="2" s="1"/>
  <c r="O534" i="2"/>
  <c r="Q534" i="2" s="1"/>
  <c r="O535" i="2"/>
  <c r="Q535" i="2" s="1"/>
  <c r="O536" i="2"/>
  <c r="Q536" i="2" s="1"/>
  <c r="O537" i="2"/>
  <c r="Q537" i="2" s="1"/>
  <c r="O538" i="2"/>
  <c r="Q538" i="2" s="1"/>
  <c r="O539" i="2"/>
  <c r="Q539" i="2" s="1"/>
  <c r="O540" i="2"/>
  <c r="Q540" i="2" s="1"/>
  <c r="O541" i="2"/>
  <c r="Q541" i="2" s="1"/>
  <c r="O542" i="2"/>
  <c r="Q542" i="2" s="1"/>
  <c r="O543" i="2"/>
  <c r="Q543" i="2" s="1"/>
  <c r="O544" i="2"/>
  <c r="Q544" i="2" s="1"/>
  <c r="O545" i="2"/>
  <c r="Q545" i="2" s="1"/>
  <c r="O546" i="2"/>
  <c r="Q546" i="2" s="1"/>
  <c r="O547" i="2"/>
  <c r="Q547" i="2" s="1"/>
  <c r="O548" i="2"/>
  <c r="Q548" i="2" s="1"/>
  <c r="O549" i="2"/>
  <c r="Q549" i="2" s="1"/>
  <c r="O550" i="2"/>
  <c r="Q550" i="2" s="1"/>
  <c r="O551" i="2"/>
  <c r="Q551" i="2" s="1"/>
  <c r="O552" i="2"/>
  <c r="Q552" i="2" s="1"/>
  <c r="O553" i="2"/>
  <c r="Q553" i="2" s="1"/>
  <c r="O554" i="2"/>
  <c r="Q554" i="2" s="1"/>
  <c r="O555" i="2"/>
  <c r="Q555" i="2" s="1"/>
  <c r="O556" i="2"/>
  <c r="Q556" i="2" s="1"/>
  <c r="O557" i="2"/>
  <c r="Q557" i="2" s="1"/>
  <c r="O558" i="2"/>
  <c r="Q558" i="2" s="1"/>
  <c r="O559" i="2"/>
  <c r="Q559" i="2" s="1"/>
  <c r="O560" i="2"/>
  <c r="Q560" i="2" s="1"/>
  <c r="O561" i="2"/>
  <c r="Q561" i="2" s="1"/>
  <c r="O562" i="2"/>
  <c r="Q562" i="2" s="1"/>
  <c r="O563" i="2"/>
  <c r="Q563" i="2" s="1"/>
  <c r="O564" i="2"/>
  <c r="Q564" i="2" s="1"/>
  <c r="O565" i="2"/>
  <c r="Q565" i="2" s="1"/>
  <c r="O566" i="2"/>
  <c r="Q566" i="2" s="1"/>
  <c r="O567" i="2"/>
  <c r="Q567" i="2" s="1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Q583" i="2" s="1"/>
  <c r="O584" i="2"/>
  <c r="Q584" i="2" s="1"/>
  <c r="O585" i="2"/>
  <c r="Q585" i="2" s="1"/>
  <c r="O586" i="2"/>
  <c r="Q586" i="2" s="1"/>
  <c r="O587" i="2"/>
  <c r="Q587" i="2" s="1"/>
  <c r="O588" i="2"/>
  <c r="Q588" i="2" s="1"/>
  <c r="O589" i="2"/>
  <c r="Q589" i="2" s="1"/>
  <c r="O590" i="2"/>
  <c r="Q590" i="2" s="1"/>
  <c r="O591" i="2"/>
  <c r="Q591" i="2" s="1"/>
  <c r="O592" i="2"/>
  <c r="Q592" i="2" s="1"/>
  <c r="O593" i="2"/>
  <c r="Q593" i="2" s="1"/>
  <c r="O594" i="2"/>
  <c r="Q594" i="2" s="1"/>
  <c r="O595" i="2"/>
  <c r="Q595" i="2" s="1"/>
  <c r="O596" i="2"/>
  <c r="Q596" i="2" s="1"/>
  <c r="O597" i="2"/>
  <c r="Q597" i="2" s="1"/>
  <c r="O598" i="2"/>
  <c r="Q598" i="2" s="1"/>
  <c r="O599" i="2"/>
  <c r="Q599" i="2" s="1"/>
  <c r="O600" i="2"/>
  <c r="Q600" i="2" s="1"/>
  <c r="O601" i="2"/>
  <c r="Q601" i="2" s="1"/>
  <c r="O602" i="2"/>
  <c r="Q602" i="2" s="1"/>
  <c r="O603" i="2"/>
  <c r="Q603" i="2" s="1"/>
  <c r="O604" i="2"/>
  <c r="Q604" i="2" s="1"/>
  <c r="O605" i="2"/>
  <c r="Q605" i="2" s="1"/>
  <c r="O606" i="2"/>
  <c r="Q606" i="2" s="1"/>
  <c r="O607" i="2"/>
  <c r="Q607" i="2" s="1"/>
  <c r="O608" i="2"/>
  <c r="Q608" i="2" s="1"/>
  <c r="O609" i="2"/>
  <c r="Q609" i="2" s="1"/>
  <c r="O610" i="2"/>
  <c r="Q610" i="2" s="1"/>
  <c r="O611" i="2"/>
  <c r="Q611" i="2" s="1"/>
  <c r="O612" i="2"/>
  <c r="Q612" i="2" s="1"/>
  <c r="O613" i="2"/>
  <c r="Q613" i="2" s="1"/>
  <c r="O614" i="2"/>
  <c r="Q614" i="2" s="1"/>
  <c r="O615" i="2"/>
  <c r="Q615" i="2" s="1"/>
  <c r="O616" i="2"/>
  <c r="Q616" i="2" s="1"/>
  <c r="O617" i="2"/>
  <c r="Q617" i="2" s="1"/>
  <c r="O618" i="2"/>
  <c r="Q618" i="2" s="1"/>
  <c r="O619" i="2"/>
  <c r="Q619" i="2" s="1"/>
  <c r="O620" i="2"/>
  <c r="Q620" i="2" s="1"/>
  <c r="O621" i="2"/>
  <c r="Q621" i="2" s="1"/>
  <c r="O622" i="2"/>
  <c r="Q622" i="2" s="1"/>
  <c r="O623" i="2"/>
  <c r="Q623" i="2" s="1"/>
  <c r="O624" i="2"/>
  <c r="Q624" i="2" s="1"/>
  <c r="O625" i="2"/>
  <c r="Q625" i="2" s="1"/>
  <c r="O626" i="2"/>
  <c r="Q626" i="2" s="1"/>
  <c r="O627" i="2"/>
  <c r="Q627" i="2" s="1"/>
  <c r="O628" i="2"/>
  <c r="Q628" i="2" s="1"/>
  <c r="O629" i="2"/>
  <c r="Q629" i="2" s="1"/>
  <c r="O630" i="2"/>
  <c r="Q630" i="2" s="1"/>
  <c r="O631" i="2"/>
  <c r="Q631" i="2" s="1"/>
  <c r="O632" i="2"/>
  <c r="Q632" i="2" s="1"/>
  <c r="O633" i="2"/>
  <c r="Q633" i="2" s="1"/>
  <c r="O634" i="2"/>
  <c r="Q634" i="2" s="1"/>
  <c r="O635" i="2"/>
  <c r="Q635" i="2" s="1"/>
  <c r="O636" i="2"/>
  <c r="Q636" i="2" s="1"/>
  <c r="O637" i="2"/>
  <c r="Q637" i="2" s="1"/>
  <c r="O638" i="2"/>
  <c r="Q638" i="2" s="1"/>
  <c r="O639" i="2"/>
  <c r="Q639" i="2" s="1"/>
  <c r="O640" i="2"/>
  <c r="Q640" i="2" s="1"/>
  <c r="O641" i="2"/>
  <c r="Q641" i="2" s="1"/>
  <c r="O642" i="2"/>
  <c r="Q642" i="2" s="1"/>
  <c r="O643" i="2"/>
  <c r="Q643" i="2" s="1"/>
  <c r="O644" i="2"/>
  <c r="Q644" i="2" s="1"/>
  <c r="O645" i="2"/>
  <c r="Q645" i="2" s="1"/>
  <c r="O646" i="2"/>
  <c r="Q646" i="2" s="1"/>
  <c r="O647" i="2"/>
  <c r="Q647" i="2" s="1"/>
  <c r="O648" i="2"/>
  <c r="Q648" i="2" s="1"/>
  <c r="O649" i="2"/>
  <c r="Q649" i="2" s="1"/>
  <c r="O650" i="2"/>
  <c r="Q650" i="2" s="1"/>
  <c r="O651" i="2"/>
  <c r="Q651" i="2" s="1"/>
  <c r="O652" i="2"/>
  <c r="Q652" i="2" s="1"/>
  <c r="O653" i="2"/>
  <c r="Q653" i="2" s="1"/>
  <c r="O654" i="2"/>
  <c r="Q654" i="2" s="1"/>
  <c r="O655" i="2"/>
  <c r="Q655" i="2" s="1"/>
  <c r="O656" i="2"/>
  <c r="Q656" i="2" s="1"/>
  <c r="O657" i="2"/>
  <c r="Q657" i="2" s="1"/>
  <c r="O658" i="2"/>
  <c r="Q658" i="2" s="1"/>
  <c r="O659" i="2"/>
  <c r="Q659" i="2" s="1"/>
  <c r="O660" i="2"/>
  <c r="Q660" i="2" s="1"/>
  <c r="O661" i="2"/>
  <c r="Q661" i="2" s="1"/>
  <c r="O662" i="2"/>
  <c r="Q662" i="2" s="1"/>
  <c r="O663" i="2"/>
  <c r="Q663" i="2" s="1"/>
  <c r="O664" i="2"/>
  <c r="Q664" i="2" s="1"/>
  <c r="O665" i="2"/>
  <c r="Q665" i="2" s="1"/>
  <c r="O666" i="2"/>
  <c r="Q666" i="2" s="1"/>
  <c r="O667" i="2"/>
  <c r="Q667" i="2" s="1"/>
  <c r="O668" i="2"/>
  <c r="Q668" i="2" s="1"/>
  <c r="O669" i="2"/>
  <c r="Q669" i="2" s="1"/>
  <c r="O670" i="2"/>
  <c r="Q670" i="2" s="1"/>
  <c r="O671" i="2"/>
  <c r="Q671" i="2" s="1"/>
  <c r="O672" i="2"/>
  <c r="Q672" i="2" s="1"/>
  <c r="O673" i="2"/>
  <c r="Q673" i="2" s="1"/>
  <c r="O674" i="2"/>
  <c r="Q674" i="2" s="1"/>
  <c r="O675" i="2"/>
  <c r="Q675" i="2" s="1"/>
  <c r="O676" i="2"/>
  <c r="Q676" i="2" s="1"/>
  <c r="O677" i="2"/>
  <c r="Q677" i="2" s="1"/>
  <c r="O678" i="2"/>
  <c r="Q678" i="2" s="1"/>
  <c r="O679" i="2"/>
  <c r="Q679" i="2" s="1"/>
  <c r="O680" i="2"/>
  <c r="Q680" i="2" s="1"/>
  <c r="O681" i="2"/>
  <c r="Q681" i="2" s="1"/>
  <c r="O682" i="2"/>
  <c r="Q682" i="2" s="1"/>
  <c r="O683" i="2"/>
  <c r="Q683" i="2" s="1"/>
  <c r="O684" i="2"/>
  <c r="Q684" i="2" s="1"/>
  <c r="O685" i="2"/>
  <c r="Q685" i="2" s="1"/>
  <c r="O686" i="2"/>
  <c r="Q686" i="2" s="1"/>
  <c r="O687" i="2"/>
  <c r="Q687" i="2" s="1"/>
  <c r="O688" i="2"/>
  <c r="Q688" i="2" s="1"/>
  <c r="O689" i="2"/>
  <c r="Q689" i="2" s="1"/>
  <c r="O690" i="2"/>
  <c r="Q690" i="2" s="1"/>
  <c r="O691" i="2"/>
  <c r="Q691" i="2" s="1"/>
  <c r="O692" i="2"/>
  <c r="Q692" i="2" s="1"/>
  <c r="O693" i="2"/>
  <c r="Q693" i="2" s="1"/>
  <c r="O694" i="2"/>
  <c r="Q694" i="2" s="1"/>
  <c r="O695" i="2"/>
  <c r="Q695" i="2" s="1"/>
  <c r="O696" i="2"/>
  <c r="Q696" i="2" s="1"/>
  <c r="O697" i="2"/>
  <c r="Q697" i="2" s="1"/>
  <c r="O698" i="2"/>
  <c r="Q698" i="2" s="1"/>
  <c r="O699" i="2"/>
  <c r="Q699" i="2" s="1"/>
  <c r="O700" i="2"/>
  <c r="Q700" i="2" s="1"/>
  <c r="O701" i="2"/>
  <c r="Q701" i="2" s="1"/>
  <c r="O702" i="2"/>
  <c r="Q702" i="2" s="1"/>
  <c r="O703" i="2"/>
  <c r="Q703" i="2" s="1"/>
  <c r="O704" i="2"/>
  <c r="Q704" i="2" s="1"/>
  <c r="O705" i="2"/>
  <c r="Q705" i="2" s="1"/>
  <c r="O706" i="2"/>
  <c r="Q706" i="2" s="1"/>
  <c r="O707" i="2"/>
  <c r="Q707" i="2" s="1"/>
  <c r="O708" i="2"/>
  <c r="Q708" i="2" s="1"/>
  <c r="O709" i="2"/>
  <c r="Q709" i="2" s="1"/>
  <c r="O710" i="2"/>
  <c r="Q710" i="2" s="1"/>
  <c r="O711" i="2"/>
  <c r="Q711" i="2" s="1"/>
  <c r="O712" i="2"/>
  <c r="Q712" i="2" s="1"/>
  <c r="O713" i="2"/>
  <c r="Q713" i="2" s="1"/>
  <c r="O714" i="2"/>
  <c r="Q714" i="2" s="1"/>
  <c r="O715" i="2"/>
  <c r="Q715" i="2" s="1"/>
  <c r="O716" i="2"/>
  <c r="Q716" i="2" s="1"/>
  <c r="O717" i="2"/>
  <c r="Q717" i="2" s="1"/>
  <c r="O718" i="2"/>
  <c r="Q718" i="2" s="1"/>
  <c r="O719" i="2"/>
  <c r="Q719" i="2" s="1"/>
  <c r="O720" i="2"/>
  <c r="Q720" i="2" s="1"/>
  <c r="O721" i="2"/>
  <c r="Q721" i="2" s="1"/>
  <c r="O722" i="2"/>
  <c r="Q722" i="2" s="1"/>
  <c r="O723" i="2"/>
  <c r="Q723" i="2" s="1"/>
  <c r="O724" i="2"/>
  <c r="Q724" i="2" s="1"/>
  <c r="O725" i="2"/>
  <c r="Q725" i="2" s="1"/>
  <c r="O726" i="2"/>
  <c r="Q726" i="2" s="1"/>
  <c r="O727" i="2"/>
  <c r="Q727" i="2" s="1"/>
  <c r="O728" i="2"/>
  <c r="Q728" i="2" s="1"/>
  <c r="O729" i="2"/>
  <c r="Q729" i="2" s="1"/>
  <c r="O730" i="2"/>
  <c r="Q730" i="2" s="1"/>
  <c r="O731" i="2"/>
  <c r="Q731" i="2" s="1"/>
  <c r="O732" i="2"/>
  <c r="Q732" i="2" s="1"/>
  <c r="O733" i="2"/>
  <c r="Q733" i="2" s="1"/>
  <c r="O734" i="2"/>
  <c r="Q734" i="2" s="1"/>
  <c r="O735" i="2"/>
  <c r="Q735" i="2" s="1"/>
  <c r="O736" i="2"/>
  <c r="Q736" i="2" s="1"/>
  <c r="O737" i="2"/>
  <c r="Q737" i="2" s="1"/>
  <c r="O738" i="2"/>
  <c r="Q738" i="2" s="1"/>
  <c r="O739" i="2"/>
  <c r="Q739" i="2" s="1"/>
  <c r="O740" i="2"/>
  <c r="Q740" i="2" s="1"/>
  <c r="O741" i="2"/>
  <c r="Q741" i="2" s="1"/>
  <c r="O742" i="2"/>
  <c r="Q742" i="2" s="1"/>
  <c r="O743" i="2"/>
  <c r="Q743" i="2" s="1"/>
  <c r="O744" i="2"/>
  <c r="Q744" i="2" s="1"/>
  <c r="O745" i="2"/>
  <c r="Q745" i="2" s="1"/>
  <c r="O746" i="2"/>
  <c r="Q746" i="2" s="1"/>
  <c r="O747" i="2"/>
  <c r="Q747" i="2" s="1"/>
  <c r="O748" i="2"/>
  <c r="Q748" i="2" s="1"/>
  <c r="O749" i="2"/>
  <c r="Q749" i="2" s="1"/>
  <c r="O750" i="2"/>
  <c r="Q750" i="2" s="1"/>
  <c r="O751" i="2"/>
  <c r="Q751" i="2" s="1"/>
  <c r="O752" i="2"/>
  <c r="Q752" i="2" s="1"/>
  <c r="O753" i="2"/>
  <c r="Q753" i="2" s="1"/>
  <c r="O754" i="2"/>
  <c r="Q754" i="2" s="1"/>
  <c r="O755" i="2"/>
  <c r="Q755" i="2" s="1"/>
  <c r="O756" i="2"/>
  <c r="Q756" i="2" s="1"/>
  <c r="O757" i="2"/>
  <c r="Q757" i="2" s="1"/>
  <c r="O758" i="2"/>
  <c r="Q758" i="2" s="1"/>
  <c r="O759" i="2"/>
  <c r="Q759" i="2" s="1"/>
  <c r="O760" i="2"/>
  <c r="Q760" i="2" s="1"/>
  <c r="O761" i="2"/>
  <c r="Q761" i="2" s="1"/>
  <c r="O762" i="2"/>
  <c r="Q762" i="2" s="1"/>
  <c r="O763" i="2"/>
  <c r="Q763" i="2" s="1"/>
  <c r="O764" i="2"/>
  <c r="Q764" i="2" s="1"/>
  <c r="O765" i="2"/>
  <c r="Q765" i="2" s="1"/>
  <c r="O766" i="2"/>
  <c r="Q766" i="2" s="1"/>
  <c r="O767" i="2"/>
  <c r="Q767" i="2" s="1"/>
  <c r="O768" i="2"/>
  <c r="Q768" i="2" s="1"/>
  <c r="O769" i="2"/>
  <c r="Q769" i="2" s="1"/>
  <c r="O770" i="2"/>
  <c r="Q770" i="2" s="1"/>
  <c r="O771" i="2"/>
  <c r="Q771" i="2" s="1"/>
  <c r="O772" i="2"/>
  <c r="Q772" i="2" s="1"/>
  <c r="O773" i="2"/>
  <c r="Q773" i="2" s="1"/>
  <c r="O774" i="2"/>
  <c r="Q774" i="2" s="1"/>
  <c r="O775" i="2"/>
  <c r="Q775" i="2" s="1"/>
  <c r="O776" i="2"/>
  <c r="Q776" i="2" s="1"/>
  <c r="O777" i="2"/>
  <c r="Q777" i="2" s="1"/>
  <c r="O778" i="2"/>
  <c r="Q778" i="2" s="1"/>
  <c r="O779" i="2"/>
  <c r="Q779" i="2" s="1"/>
  <c r="O780" i="2"/>
  <c r="Q780" i="2" s="1"/>
  <c r="O781" i="2"/>
  <c r="Q781" i="2" s="1"/>
  <c r="O782" i="2"/>
  <c r="Q782" i="2" s="1"/>
  <c r="O783" i="2"/>
  <c r="Q783" i="2" s="1"/>
  <c r="O784" i="2"/>
  <c r="Q784" i="2" s="1"/>
  <c r="O785" i="2"/>
  <c r="Q785" i="2" s="1"/>
  <c r="O786" i="2"/>
  <c r="Q786" i="2" s="1"/>
  <c r="O787" i="2"/>
  <c r="Q787" i="2" s="1"/>
  <c r="O788" i="2"/>
  <c r="Q788" i="2" s="1"/>
  <c r="O789" i="2"/>
  <c r="Q789" i="2" s="1"/>
  <c r="O790" i="2"/>
  <c r="Q790" i="2" s="1"/>
  <c r="O791" i="2"/>
  <c r="Q791" i="2" s="1"/>
  <c r="O792" i="2"/>
  <c r="Q792" i="2" s="1"/>
  <c r="O793" i="2"/>
  <c r="Q793" i="2" s="1"/>
  <c r="O794" i="2"/>
  <c r="Q794" i="2" s="1"/>
  <c r="O795" i="2"/>
  <c r="Q795" i="2" s="1"/>
  <c r="O796" i="2"/>
  <c r="Q796" i="2" s="1"/>
  <c r="O797" i="2"/>
  <c r="Q797" i="2" s="1"/>
  <c r="O798" i="2"/>
  <c r="Q798" i="2" s="1"/>
  <c r="O799" i="2"/>
  <c r="Q799" i="2" s="1"/>
  <c r="O800" i="2"/>
  <c r="Q800" i="2" s="1"/>
  <c r="O801" i="2"/>
  <c r="Q801" i="2" s="1"/>
  <c r="O802" i="2"/>
  <c r="Q802" i="2" s="1"/>
  <c r="O803" i="2"/>
  <c r="Q803" i="2" s="1"/>
  <c r="O804" i="2"/>
  <c r="Q804" i="2" s="1"/>
  <c r="O805" i="2"/>
  <c r="Q805" i="2" s="1"/>
  <c r="O806" i="2"/>
  <c r="Q806" i="2" s="1"/>
  <c r="O807" i="2"/>
  <c r="Q807" i="2" s="1"/>
  <c r="O808" i="2"/>
  <c r="Q808" i="2" s="1"/>
  <c r="O809" i="2"/>
  <c r="Q809" i="2" s="1"/>
  <c r="O810" i="2"/>
  <c r="Q810" i="2" s="1"/>
  <c r="O811" i="2"/>
  <c r="Q811" i="2" s="1"/>
  <c r="O812" i="2"/>
  <c r="Q812" i="2" s="1"/>
  <c r="O813" i="2"/>
  <c r="Q813" i="2" s="1"/>
  <c r="O814" i="2"/>
  <c r="Q814" i="2" s="1"/>
  <c r="O815" i="2"/>
  <c r="Q815" i="2" s="1"/>
  <c r="O816" i="2"/>
  <c r="Q816" i="2" s="1"/>
  <c r="O817" i="2"/>
  <c r="Q817" i="2" s="1"/>
  <c r="O818" i="2"/>
  <c r="Q818" i="2" s="1"/>
  <c r="O819" i="2"/>
  <c r="Q819" i="2" s="1"/>
  <c r="O820" i="2"/>
  <c r="Q820" i="2" s="1"/>
  <c r="O821" i="2"/>
  <c r="Q821" i="2" s="1"/>
  <c r="O822" i="2"/>
  <c r="Q822" i="2" s="1"/>
  <c r="O823" i="2"/>
  <c r="Q823" i="2" s="1"/>
  <c r="O824" i="2"/>
  <c r="Q824" i="2" s="1"/>
  <c r="O825" i="2"/>
  <c r="Q825" i="2" s="1"/>
  <c r="O826" i="2"/>
  <c r="Q826" i="2" s="1"/>
  <c r="O827" i="2"/>
  <c r="Q827" i="2" s="1"/>
  <c r="O828" i="2"/>
  <c r="Q828" i="2" s="1"/>
  <c r="O829" i="2"/>
  <c r="Q829" i="2" s="1"/>
  <c r="O830" i="2"/>
  <c r="Q830" i="2" s="1"/>
  <c r="O831" i="2"/>
  <c r="Q831" i="2" s="1"/>
  <c r="O832" i="2"/>
  <c r="Q832" i="2" s="1"/>
  <c r="O833" i="2"/>
  <c r="Q833" i="2" s="1"/>
  <c r="O834" i="2"/>
  <c r="Q834" i="2" s="1"/>
  <c r="O835" i="2"/>
  <c r="Q835" i="2" s="1"/>
  <c r="O836" i="2"/>
  <c r="Q836" i="2" s="1"/>
  <c r="O837" i="2"/>
  <c r="Q837" i="2" s="1"/>
  <c r="O838" i="2"/>
  <c r="Q838" i="2" s="1"/>
  <c r="O839" i="2"/>
  <c r="Q839" i="2" s="1"/>
  <c r="O840" i="2"/>
  <c r="Q840" i="2" s="1"/>
  <c r="O841" i="2"/>
  <c r="Q841" i="2" s="1"/>
  <c r="O842" i="2"/>
  <c r="Q842" i="2" s="1"/>
  <c r="O843" i="2"/>
  <c r="Q843" i="2" s="1"/>
  <c r="O844" i="2"/>
  <c r="Q844" i="2" s="1"/>
  <c r="O845" i="2"/>
  <c r="Q845" i="2" s="1"/>
  <c r="O846" i="2"/>
  <c r="Q846" i="2" s="1"/>
  <c r="O847" i="2"/>
  <c r="Q847" i="2" s="1"/>
  <c r="O848" i="2"/>
  <c r="Q848" i="2" s="1"/>
  <c r="O849" i="2"/>
  <c r="Q849" i="2" s="1"/>
  <c r="O850" i="2"/>
  <c r="Q850" i="2" s="1"/>
  <c r="O851" i="2"/>
  <c r="Q851" i="2" s="1"/>
  <c r="O852" i="2"/>
  <c r="Q852" i="2" s="1"/>
  <c r="O853" i="2"/>
  <c r="Q853" i="2" s="1"/>
  <c r="O854" i="2"/>
  <c r="Q854" i="2" s="1"/>
  <c r="O855" i="2"/>
  <c r="Q855" i="2" s="1"/>
  <c r="O856" i="2"/>
  <c r="Q856" i="2" s="1"/>
  <c r="O857" i="2"/>
  <c r="Q857" i="2" s="1"/>
  <c r="O858" i="2"/>
  <c r="Q858" i="2" s="1"/>
  <c r="O859" i="2"/>
  <c r="Q859" i="2" s="1"/>
  <c r="O860" i="2"/>
  <c r="Q860" i="2" s="1"/>
  <c r="O861" i="2"/>
  <c r="Q861" i="2" s="1"/>
  <c r="O862" i="2"/>
  <c r="Q862" i="2" s="1"/>
  <c r="O863" i="2"/>
  <c r="Q863" i="2" s="1"/>
  <c r="O864" i="2"/>
  <c r="Q864" i="2" s="1"/>
  <c r="O865" i="2"/>
  <c r="Q865" i="2" s="1"/>
  <c r="O866" i="2"/>
  <c r="Q866" i="2" s="1"/>
  <c r="O867" i="2"/>
  <c r="Q867" i="2" s="1"/>
  <c r="O868" i="2"/>
  <c r="Q868" i="2" s="1"/>
  <c r="O869" i="2"/>
  <c r="Q869" i="2" s="1"/>
  <c r="O870" i="2"/>
  <c r="Q870" i="2" s="1"/>
  <c r="O871" i="2"/>
  <c r="Q871" i="2" s="1"/>
  <c r="O872" i="2"/>
  <c r="Q872" i="2" s="1"/>
  <c r="O873" i="2"/>
  <c r="Q873" i="2" s="1"/>
  <c r="O874" i="2"/>
  <c r="Q874" i="2" s="1"/>
  <c r="O875" i="2"/>
  <c r="Q875" i="2" s="1"/>
  <c r="O876" i="2"/>
  <c r="Q876" i="2" s="1"/>
  <c r="O877" i="2"/>
  <c r="Q877" i="2" s="1"/>
  <c r="O878" i="2"/>
  <c r="Q878" i="2" s="1"/>
  <c r="O879" i="2"/>
  <c r="Q879" i="2" s="1"/>
  <c r="O880" i="2"/>
  <c r="Q880" i="2" s="1"/>
  <c r="O881" i="2"/>
  <c r="Q881" i="2" s="1"/>
  <c r="O882" i="2"/>
  <c r="Q882" i="2" s="1"/>
  <c r="O883" i="2"/>
  <c r="Q883" i="2" s="1"/>
  <c r="O884" i="2"/>
  <c r="Q884" i="2" s="1"/>
  <c r="O885" i="2"/>
  <c r="Q885" i="2" s="1"/>
  <c r="O886" i="2"/>
  <c r="Q886" i="2" s="1"/>
  <c r="O887" i="2"/>
  <c r="Q887" i="2" s="1"/>
  <c r="O888" i="2"/>
  <c r="Q888" i="2" s="1"/>
  <c r="O889" i="2"/>
  <c r="Q889" i="2" s="1"/>
  <c r="O890" i="2"/>
  <c r="Q890" i="2" s="1"/>
  <c r="O891" i="2"/>
  <c r="Q891" i="2" s="1"/>
  <c r="O892" i="2"/>
  <c r="Q892" i="2" s="1"/>
  <c r="O893" i="2"/>
  <c r="Q893" i="2" s="1"/>
  <c r="O894" i="2"/>
  <c r="Q894" i="2" s="1"/>
  <c r="O895" i="2"/>
  <c r="Q895" i="2" s="1"/>
  <c r="O896" i="2"/>
  <c r="Q896" i="2" s="1"/>
  <c r="O897" i="2"/>
  <c r="Q897" i="2" s="1"/>
  <c r="O898" i="2"/>
  <c r="Q898" i="2" s="1"/>
  <c r="O899" i="2"/>
  <c r="Q899" i="2" s="1"/>
  <c r="O900" i="2"/>
  <c r="Q900" i="2" s="1"/>
  <c r="O901" i="2"/>
  <c r="Q901" i="2" s="1"/>
  <c r="O902" i="2"/>
  <c r="Q902" i="2" s="1"/>
  <c r="O903" i="2"/>
  <c r="Q903" i="2" s="1"/>
  <c r="O904" i="2"/>
  <c r="Q904" i="2" s="1"/>
  <c r="O905" i="2"/>
  <c r="Q905" i="2" s="1"/>
  <c r="O906" i="2"/>
  <c r="Q906" i="2" s="1"/>
  <c r="O907" i="2"/>
  <c r="Q907" i="2" s="1"/>
  <c r="O908" i="2"/>
  <c r="Q908" i="2" s="1"/>
  <c r="O909" i="2"/>
  <c r="Q909" i="2" s="1"/>
  <c r="O910" i="2"/>
  <c r="Q910" i="2" s="1"/>
  <c r="O911" i="2"/>
  <c r="Q911" i="2" s="1"/>
  <c r="O912" i="2"/>
  <c r="Q912" i="2" s="1"/>
  <c r="O913" i="2"/>
  <c r="Q913" i="2" s="1"/>
  <c r="O914" i="2"/>
  <c r="Q914" i="2" s="1"/>
  <c r="O915" i="2"/>
  <c r="Q915" i="2" s="1"/>
  <c r="O916" i="2"/>
  <c r="Q916" i="2" s="1"/>
  <c r="O917" i="2"/>
  <c r="Q917" i="2" s="1"/>
  <c r="O918" i="2"/>
  <c r="Q918" i="2" s="1"/>
  <c r="O919" i="2"/>
  <c r="Q919" i="2" s="1"/>
  <c r="O920" i="2"/>
  <c r="Q920" i="2" s="1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Q977" i="2" s="1"/>
  <c r="O978" i="2"/>
  <c r="Q978" i="2" s="1"/>
  <c r="O979" i="2"/>
  <c r="Q979" i="2" s="1"/>
  <c r="O980" i="2"/>
  <c r="Q980" i="2" s="1"/>
  <c r="O981" i="2"/>
  <c r="Q981" i="2" s="1"/>
  <c r="O982" i="2"/>
  <c r="Q982" i="2" s="1"/>
  <c r="O983" i="2"/>
  <c r="Q983" i="2" s="1"/>
  <c r="O984" i="2"/>
  <c r="Q984" i="2" s="1"/>
  <c r="O985" i="2"/>
  <c r="Q985" i="2" s="1"/>
  <c r="O986" i="2"/>
  <c r="Q986" i="2" s="1"/>
  <c r="O987" i="2"/>
  <c r="Q987" i="2" s="1"/>
  <c r="O988" i="2"/>
  <c r="Q988" i="2" s="1"/>
  <c r="O989" i="2"/>
  <c r="Q989" i="2" s="1"/>
  <c r="O990" i="2"/>
  <c r="Q990" i="2" s="1"/>
  <c r="O991" i="2"/>
  <c r="Q991" i="2" s="1"/>
  <c r="O992" i="2"/>
  <c r="Q992" i="2" s="1"/>
  <c r="O993" i="2"/>
  <c r="Q993" i="2" s="1"/>
  <c r="O994" i="2"/>
  <c r="Q994" i="2" s="1"/>
  <c r="O995" i="2"/>
  <c r="Q995" i="2" s="1"/>
  <c r="O996" i="2"/>
  <c r="Q996" i="2" s="1"/>
  <c r="O997" i="2"/>
  <c r="Q997" i="2" s="1"/>
  <c r="O998" i="2"/>
  <c r="Q998" i="2" s="1"/>
  <c r="O999" i="2"/>
  <c r="Q999" i="2" s="1"/>
  <c r="O1000" i="2"/>
  <c r="Q1000" i="2" s="1"/>
  <c r="O1001" i="2"/>
  <c r="Q1001" i="2" s="1"/>
  <c r="O1002" i="2"/>
  <c r="Q1002" i="2" s="1"/>
  <c r="O1003" i="2"/>
  <c r="Q1003" i="2" s="1"/>
  <c r="O1004" i="2"/>
  <c r="Q1004" i="2" s="1"/>
  <c r="O1005" i="2"/>
  <c r="Q1005" i="2" s="1"/>
  <c r="O1006" i="2"/>
  <c r="Q1006" i="2" s="1"/>
  <c r="O1007" i="2"/>
  <c r="Q1007" i="2" s="1"/>
  <c r="O1008" i="2"/>
  <c r="Q1008" i="2" s="1"/>
  <c r="O1009" i="2"/>
  <c r="Q1009" i="2" s="1"/>
  <c r="O1010" i="2"/>
  <c r="Q1010" i="2" s="1"/>
  <c r="O1011" i="2"/>
  <c r="Q1011" i="2" s="1"/>
  <c r="O1012" i="2"/>
  <c r="Q1012" i="2" s="1"/>
  <c r="O1013" i="2"/>
  <c r="Q1013" i="2" s="1"/>
  <c r="O1014" i="2"/>
  <c r="Q1014" i="2" s="1"/>
  <c r="O1015" i="2"/>
  <c r="Q1015" i="2" s="1"/>
  <c r="O1016" i="2"/>
  <c r="Q1016" i="2" s="1"/>
  <c r="O1017" i="2"/>
  <c r="Q1017" i="2" s="1"/>
  <c r="O1018" i="2"/>
  <c r="Q1018" i="2" s="1"/>
  <c r="O1019" i="2"/>
  <c r="Q1019" i="2" s="1"/>
  <c r="O1020" i="2"/>
  <c r="Q1020" i="2" s="1"/>
  <c r="O1021" i="2"/>
  <c r="Q1021" i="2" s="1"/>
  <c r="O1022" i="2"/>
  <c r="Q1022" i="2" s="1"/>
  <c r="O1023" i="2"/>
  <c r="Q1023" i="2" s="1"/>
  <c r="O1024" i="2"/>
  <c r="Q1024" i="2" s="1"/>
  <c r="O1025" i="2"/>
  <c r="Q1025" i="2" s="1"/>
  <c r="O1026" i="2"/>
  <c r="Q1026" i="2" s="1"/>
  <c r="O1027" i="2"/>
  <c r="Q1027" i="2" s="1"/>
  <c r="O1028" i="2"/>
  <c r="Q1028" i="2" s="1"/>
  <c r="O1029" i="2"/>
  <c r="Q1029" i="2" s="1"/>
  <c r="O1030" i="2"/>
  <c r="Q1030" i="2" s="1"/>
  <c r="O1031" i="2"/>
  <c r="Q1031" i="2" s="1"/>
  <c r="O1032" i="2"/>
  <c r="Q1032" i="2" s="1"/>
  <c r="O1033" i="2"/>
  <c r="Q1033" i="2" s="1"/>
  <c r="O1034" i="2"/>
  <c r="Q1034" i="2" s="1"/>
  <c r="O1035" i="2"/>
  <c r="Q1035" i="2" s="1"/>
  <c r="O1036" i="2"/>
  <c r="Q1036" i="2" s="1"/>
  <c r="O1037" i="2"/>
  <c r="Q1037" i="2" s="1"/>
  <c r="O1038" i="2"/>
  <c r="Q1038" i="2" s="1"/>
  <c r="O1039" i="2"/>
  <c r="Q1039" i="2" s="1"/>
  <c r="O1040" i="2"/>
  <c r="Q1040" i="2" s="1"/>
  <c r="O1041" i="2"/>
  <c r="Q1041" i="2" s="1"/>
  <c r="O1042" i="2"/>
  <c r="Q1042" i="2" s="1"/>
  <c r="O1043" i="2"/>
  <c r="Q1043" i="2" s="1"/>
  <c r="O1044" i="2"/>
  <c r="Q1044" i="2" s="1"/>
  <c r="O1045" i="2"/>
  <c r="Q1045" i="2" s="1"/>
  <c r="O1046" i="2"/>
  <c r="Q1046" i="2" s="1"/>
  <c r="O1047" i="2"/>
  <c r="Q1047" i="2" s="1"/>
  <c r="O1048" i="2"/>
  <c r="Q1048" i="2" s="1"/>
  <c r="O1049" i="2"/>
  <c r="Q1049" i="2" s="1"/>
  <c r="O1050" i="2"/>
  <c r="Q1050" i="2" s="1"/>
  <c r="O1051" i="2"/>
  <c r="Q1051" i="2" s="1"/>
  <c r="O1052" i="2"/>
  <c r="Q1052" i="2" s="1"/>
  <c r="O1053" i="2"/>
  <c r="Q1053" i="2" s="1"/>
  <c r="O1054" i="2"/>
  <c r="Q1054" i="2" s="1"/>
  <c r="O1055" i="2"/>
  <c r="Q1055" i="2" s="1"/>
  <c r="O1056" i="2"/>
  <c r="Q1056" i="2" s="1"/>
  <c r="O1057" i="2"/>
  <c r="Q1057" i="2" s="1"/>
  <c r="O1058" i="2"/>
  <c r="Q1058" i="2" s="1"/>
  <c r="O1059" i="2"/>
  <c r="Q1059" i="2" s="1"/>
  <c r="O1060" i="2"/>
  <c r="Q1060" i="2" s="1"/>
  <c r="O1061" i="2"/>
  <c r="Q1061" i="2" s="1"/>
  <c r="O1062" i="2"/>
  <c r="Q1062" i="2" s="1"/>
  <c r="O1063" i="2"/>
  <c r="Q1063" i="2" s="1"/>
  <c r="O1064" i="2"/>
  <c r="Q1064" i="2" s="1"/>
  <c r="O1065" i="2"/>
  <c r="Q1065" i="2" s="1"/>
  <c r="O1066" i="2"/>
  <c r="Q1066" i="2" s="1"/>
  <c r="O1067" i="2"/>
  <c r="Q1067" i="2" s="1"/>
  <c r="O1068" i="2"/>
  <c r="Q1068" i="2" s="1"/>
  <c r="O1069" i="2"/>
  <c r="Q1069" i="2" s="1"/>
  <c r="O1070" i="2"/>
  <c r="Q1070" i="2" s="1"/>
  <c r="O1071" i="2"/>
  <c r="Q1071" i="2" s="1"/>
  <c r="O1072" i="2"/>
  <c r="Q1072" i="2" s="1"/>
  <c r="O1073" i="2"/>
  <c r="Q1073" i="2" s="1"/>
  <c r="O1074" i="2"/>
  <c r="Q1074" i="2" s="1"/>
  <c r="O1075" i="2"/>
  <c r="Q1075" i="2" s="1"/>
  <c r="O1076" i="2"/>
  <c r="Q1076" i="2" s="1"/>
  <c r="O1077" i="2"/>
  <c r="Q1077" i="2" s="1"/>
  <c r="O1078" i="2"/>
  <c r="Q1078" i="2" s="1"/>
  <c r="O1079" i="2"/>
  <c r="Q1079" i="2" s="1"/>
  <c r="O1080" i="2"/>
  <c r="Q1080" i="2" s="1"/>
  <c r="O1081" i="2"/>
  <c r="Q1081" i="2" s="1"/>
  <c r="O1082" i="2"/>
  <c r="Q1082" i="2" s="1"/>
  <c r="O1083" i="2"/>
  <c r="Q1083" i="2" s="1"/>
  <c r="O1084" i="2"/>
  <c r="Q1084" i="2" s="1"/>
  <c r="O1085" i="2"/>
  <c r="Q1085" i="2" s="1"/>
  <c r="O1086" i="2"/>
  <c r="Q1086" i="2" s="1"/>
  <c r="O1087" i="2"/>
  <c r="Q1087" i="2" s="1"/>
  <c r="O1088" i="2"/>
  <c r="Q1088" i="2" s="1"/>
  <c r="O1089" i="2"/>
  <c r="Q1089" i="2" s="1"/>
  <c r="O1090" i="2"/>
  <c r="Q1090" i="2" s="1"/>
  <c r="O1091" i="2"/>
  <c r="Q1091" i="2" s="1"/>
  <c r="O1092" i="2"/>
  <c r="Q1092" i="2" s="1"/>
  <c r="O1093" i="2"/>
  <c r="Q1093" i="2" s="1"/>
  <c r="O1094" i="2"/>
  <c r="Q1094" i="2" s="1"/>
  <c r="O1095" i="2"/>
  <c r="Q1095" i="2" s="1"/>
  <c r="O1096" i="2"/>
  <c r="Q1096" i="2" s="1"/>
  <c r="O1097" i="2"/>
  <c r="Q1097" i="2" s="1"/>
  <c r="O1098" i="2"/>
  <c r="Q1098" i="2" s="1"/>
  <c r="O1099" i="2"/>
  <c r="Q1099" i="2" s="1"/>
  <c r="O1100" i="2"/>
  <c r="Q1100" i="2" s="1"/>
  <c r="O1101" i="2"/>
  <c r="Q1101" i="2" s="1"/>
  <c r="O1102" i="2"/>
  <c r="Q1102" i="2" s="1"/>
  <c r="O1103" i="2"/>
  <c r="Q1103" i="2" s="1"/>
  <c r="O1104" i="2"/>
  <c r="Q1104" i="2" s="1"/>
  <c r="O1105" i="2"/>
  <c r="Q1105" i="2" s="1"/>
  <c r="O1106" i="2"/>
  <c r="Q1106" i="2" s="1"/>
  <c r="O1107" i="2"/>
  <c r="Q1107" i="2" s="1"/>
  <c r="O1108" i="2"/>
  <c r="Q1108" i="2" s="1"/>
  <c r="O1109" i="2"/>
  <c r="Q1109" i="2" s="1"/>
  <c r="O1110" i="2"/>
  <c r="Q1110" i="2" s="1"/>
  <c r="O1111" i="2"/>
  <c r="Q1111" i="2" s="1"/>
  <c r="O1112" i="2"/>
  <c r="Q1112" i="2" s="1"/>
  <c r="O1113" i="2"/>
  <c r="Q1113" i="2" s="1"/>
  <c r="O1114" i="2"/>
  <c r="Q1114" i="2" s="1"/>
  <c r="O1115" i="2"/>
  <c r="Q1115" i="2" s="1"/>
  <c r="O1116" i="2"/>
  <c r="Q1116" i="2" s="1"/>
  <c r="O1117" i="2"/>
  <c r="Q1117" i="2" s="1"/>
  <c r="O1118" i="2"/>
  <c r="Q1118" i="2" s="1"/>
  <c r="O1119" i="2"/>
  <c r="Q1119" i="2" s="1"/>
  <c r="O1120" i="2"/>
  <c r="Q1120" i="2" s="1"/>
  <c r="O1121" i="2"/>
  <c r="Q1121" i="2" s="1"/>
  <c r="O1122" i="2"/>
  <c r="Q1122" i="2" s="1"/>
  <c r="O1123" i="2"/>
  <c r="Q1123" i="2" s="1"/>
  <c r="O1124" i="2"/>
  <c r="Q1124" i="2" s="1"/>
  <c r="O1125" i="2"/>
  <c r="Q1125" i="2" s="1"/>
  <c r="O1126" i="2"/>
  <c r="Q1126" i="2" s="1"/>
  <c r="O1127" i="2"/>
  <c r="Q1127" i="2" s="1"/>
  <c r="O1128" i="2"/>
  <c r="Q1128" i="2" s="1"/>
  <c r="O1129" i="2"/>
  <c r="Q1129" i="2" s="1"/>
  <c r="O1130" i="2"/>
  <c r="Q1130" i="2" s="1"/>
  <c r="O1131" i="2"/>
  <c r="Q1131" i="2" s="1"/>
  <c r="O1132" i="2"/>
  <c r="Q1132" i="2" s="1"/>
  <c r="O1133" i="2"/>
  <c r="Q1133" i="2" s="1"/>
  <c r="O1134" i="2"/>
  <c r="Q1134" i="2" s="1"/>
  <c r="O1135" i="2"/>
  <c r="Q1135" i="2" s="1"/>
  <c r="O1136" i="2"/>
  <c r="Q1136" i="2" s="1"/>
  <c r="O1137" i="2"/>
  <c r="Q1137" i="2" s="1"/>
  <c r="O1138" i="2"/>
  <c r="Q1138" i="2" s="1"/>
  <c r="O1139" i="2"/>
  <c r="Q1139" i="2" s="1"/>
  <c r="O1140" i="2"/>
  <c r="Q1140" i="2" s="1"/>
  <c r="O1141" i="2"/>
  <c r="Q1141" i="2" s="1"/>
  <c r="O1142" i="2"/>
  <c r="Q1142" i="2" s="1"/>
  <c r="O1143" i="2"/>
  <c r="Q1143" i="2" s="1"/>
  <c r="O1144" i="2"/>
  <c r="Q1144" i="2" s="1"/>
  <c r="O1145" i="2"/>
  <c r="Q1145" i="2" s="1"/>
  <c r="O1146" i="2"/>
  <c r="Q1146" i="2" s="1"/>
  <c r="O1147" i="2"/>
  <c r="Q1147" i="2" s="1"/>
  <c r="O1148" i="2"/>
  <c r="Q1148" i="2" s="1"/>
  <c r="O1149" i="2"/>
  <c r="Q1149" i="2" s="1"/>
  <c r="O1150" i="2"/>
  <c r="Q1150" i="2" s="1"/>
  <c r="O1151" i="2"/>
  <c r="Q1151" i="2" s="1"/>
  <c r="O1152" i="2"/>
  <c r="Q1152" i="2" s="1"/>
  <c r="O1153" i="2"/>
  <c r="Q1153" i="2" s="1"/>
  <c r="O1154" i="2"/>
  <c r="Q1154" i="2" s="1"/>
  <c r="O1155" i="2"/>
  <c r="Q1155" i="2" s="1"/>
  <c r="O1156" i="2"/>
  <c r="Q1156" i="2" s="1"/>
  <c r="O1157" i="2"/>
  <c r="Q1157" i="2" s="1"/>
  <c r="O1158" i="2"/>
  <c r="Q1158" i="2" s="1"/>
  <c r="O1159" i="2"/>
  <c r="Q1159" i="2" s="1"/>
  <c r="O1160" i="2"/>
  <c r="Q1160" i="2" s="1"/>
  <c r="O1161" i="2"/>
  <c r="Q1161" i="2" s="1"/>
  <c r="O1162" i="2"/>
  <c r="Q1162" i="2" s="1"/>
  <c r="O1163" i="2"/>
  <c r="Q1163" i="2" s="1"/>
  <c r="O1164" i="2"/>
  <c r="Q1164" i="2" s="1"/>
  <c r="O1165" i="2"/>
  <c r="Q1165" i="2" s="1"/>
  <c r="O1166" i="2"/>
  <c r="Q1166" i="2" s="1"/>
  <c r="O1167" i="2"/>
  <c r="Q1167" i="2" s="1"/>
  <c r="O1168" i="2"/>
  <c r="Q1168" i="2" s="1"/>
  <c r="O1169" i="2"/>
  <c r="Q1169" i="2" s="1"/>
  <c r="O1170" i="2"/>
  <c r="Q1170" i="2" s="1"/>
  <c r="O1171" i="2"/>
  <c r="Q1171" i="2" s="1"/>
  <c r="O1172" i="2"/>
  <c r="Q1172" i="2" s="1"/>
  <c r="O1173" i="2"/>
  <c r="Q1173" i="2" s="1"/>
  <c r="O1174" i="2"/>
  <c r="Q1174" i="2" s="1"/>
  <c r="O1175" i="2"/>
  <c r="Q1175" i="2" s="1"/>
  <c r="O1176" i="2"/>
  <c r="Q1176" i="2" s="1"/>
  <c r="O1177" i="2"/>
  <c r="Q1177" i="2" s="1"/>
  <c r="O1178" i="2"/>
  <c r="Q1178" i="2" s="1"/>
  <c r="O1179" i="2"/>
  <c r="Q1179" i="2" s="1"/>
  <c r="O1180" i="2"/>
  <c r="Q1180" i="2" s="1"/>
  <c r="O1181" i="2"/>
  <c r="Q1181" i="2" s="1"/>
  <c r="O1182" i="2"/>
  <c r="Q1182" i="2" s="1"/>
  <c r="O1183" i="2"/>
  <c r="Q1183" i="2" s="1"/>
  <c r="O1184" i="2"/>
  <c r="Q1184" i="2" s="1"/>
  <c r="O1185" i="2"/>
  <c r="Q1185" i="2" s="1"/>
  <c r="O1186" i="2"/>
  <c r="Q1186" i="2" s="1"/>
  <c r="O1187" i="2"/>
  <c r="Q1187" i="2" s="1"/>
  <c r="O1188" i="2"/>
  <c r="Q1188" i="2" s="1"/>
  <c r="O1189" i="2"/>
  <c r="Q1189" i="2" s="1"/>
  <c r="O1190" i="2"/>
  <c r="Q1190" i="2" s="1"/>
  <c r="O1191" i="2"/>
  <c r="Q1191" i="2" s="1"/>
  <c r="O1192" i="2"/>
  <c r="Q1192" i="2" s="1"/>
  <c r="O1193" i="2"/>
  <c r="Q1193" i="2" s="1"/>
  <c r="O1194" i="2"/>
  <c r="Q1194" i="2" s="1"/>
  <c r="O1195" i="2"/>
  <c r="Q1195" i="2" s="1"/>
  <c r="O1196" i="2"/>
  <c r="Q1196" i="2" s="1"/>
  <c r="O1197" i="2"/>
  <c r="Q1197" i="2" s="1"/>
  <c r="O1198" i="2"/>
  <c r="Q1198" i="2" s="1"/>
  <c r="O1199" i="2"/>
  <c r="Q1199" i="2" s="1"/>
  <c r="O1200" i="2"/>
  <c r="Q1200" i="2" s="1"/>
  <c r="O1201" i="2"/>
  <c r="Q1201" i="2" s="1"/>
  <c r="O1202" i="2"/>
  <c r="Q1202" i="2" s="1"/>
  <c r="O1203" i="2"/>
  <c r="Q1203" i="2" s="1"/>
  <c r="O1204" i="2"/>
  <c r="Q1204" i="2" s="1"/>
  <c r="O1205" i="2"/>
  <c r="Q1205" i="2" s="1"/>
  <c r="O1206" i="2"/>
  <c r="Q1206" i="2" s="1"/>
  <c r="O1207" i="2"/>
  <c r="Q1207" i="2" s="1"/>
  <c r="O1208" i="2"/>
  <c r="Q1208" i="2" s="1"/>
  <c r="O1209" i="2"/>
  <c r="Q1209" i="2" s="1"/>
  <c r="O1210" i="2"/>
  <c r="Q1210" i="2" s="1"/>
  <c r="O1211" i="2"/>
  <c r="Q1211" i="2" s="1"/>
  <c r="O1212" i="2"/>
  <c r="Q1212" i="2" s="1"/>
  <c r="O1213" i="2"/>
  <c r="Q1213" i="2" s="1"/>
  <c r="O1214" i="2"/>
  <c r="Q1214" i="2" s="1"/>
  <c r="O1215" i="2"/>
  <c r="Q1215" i="2" s="1"/>
  <c r="O1216" i="2"/>
  <c r="Q1216" i="2" s="1"/>
  <c r="O1217" i="2"/>
  <c r="Q1217" i="2" s="1"/>
  <c r="O1218" i="2"/>
  <c r="Q1218" i="2" s="1"/>
  <c r="O1219" i="2"/>
  <c r="Q1219" i="2" s="1"/>
  <c r="O1220" i="2"/>
  <c r="Q1220" i="2" s="1"/>
  <c r="O1221" i="2"/>
  <c r="Q1221" i="2" s="1"/>
  <c r="O1222" i="2"/>
  <c r="Q1222" i="2" s="1"/>
  <c r="O1223" i="2"/>
  <c r="Q1223" i="2" s="1"/>
  <c r="O1224" i="2"/>
  <c r="Q1224" i="2" s="1"/>
  <c r="O1225" i="2"/>
  <c r="Q1225" i="2" s="1"/>
  <c r="O1226" i="2"/>
  <c r="Q1226" i="2" s="1"/>
  <c r="O1227" i="2"/>
  <c r="Q1227" i="2" s="1"/>
  <c r="O1228" i="2"/>
  <c r="Q1228" i="2" s="1"/>
  <c r="O1229" i="2"/>
  <c r="Q1229" i="2" s="1"/>
  <c r="O1230" i="2"/>
  <c r="Q1230" i="2" s="1"/>
  <c r="O1231" i="2"/>
  <c r="Q1231" i="2" s="1"/>
  <c r="O1232" i="2"/>
  <c r="Q1232" i="2" s="1"/>
  <c r="O1233" i="2"/>
  <c r="Q1233" i="2" s="1"/>
  <c r="O1234" i="2"/>
  <c r="Q1234" i="2" s="1"/>
  <c r="O1235" i="2"/>
  <c r="Q1235" i="2" s="1"/>
  <c r="O1236" i="2"/>
  <c r="Q1236" i="2" s="1"/>
  <c r="O1237" i="2"/>
  <c r="Q1237" i="2" s="1"/>
  <c r="O1238" i="2"/>
  <c r="Q1238" i="2" s="1"/>
  <c r="O1239" i="2"/>
  <c r="Q1239" i="2" s="1"/>
  <c r="O1240" i="2"/>
  <c r="Q1240" i="2" s="1"/>
  <c r="O1241" i="2"/>
  <c r="Q1241" i="2" s="1"/>
  <c r="O1242" i="2"/>
  <c r="Q1242" i="2" s="1"/>
  <c r="O1243" i="2"/>
  <c r="Q1243" i="2" s="1"/>
  <c r="O1244" i="2"/>
  <c r="Q1244" i="2" s="1"/>
  <c r="O1245" i="2"/>
  <c r="Q1245" i="2" s="1"/>
  <c r="O1246" i="2"/>
  <c r="Q1246" i="2" s="1"/>
  <c r="O1247" i="2"/>
  <c r="Q1247" i="2" s="1"/>
  <c r="O1248" i="2"/>
  <c r="Q1248" i="2" s="1"/>
  <c r="O1249" i="2"/>
  <c r="Q1249" i="2" s="1"/>
  <c r="O1250" i="2"/>
  <c r="Q1250" i="2" s="1"/>
  <c r="O1251" i="2"/>
  <c r="Q1251" i="2" s="1"/>
  <c r="O1252" i="2"/>
  <c r="Q1252" i="2" s="1"/>
  <c r="O1253" i="2"/>
  <c r="Q1253" i="2" s="1"/>
  <c r="O1254" i="2"/>
  <c r="Q1254" i="2" s="1"/>
  <c r="O1255" i="2"/>
  <c r="Q1255" i="2" s="1"/>
  <c r="O1256" i="2"/>
  <c r="Q1256" i="2" s="1"/>
  <c r="O1257" i="2"/>
  <c r="Q1257" i="2" s="1"/>
  <c r="O1258" i="2"/>
  <c r="Q1258" i="2" s="1"/>
  <c r="O1259" i="2"/>
  <c r="Q1259" i="2" s="1"/>
  <c r="O1260" i="2"/>
  <c r="Q1260" i="2" s="1"/>
  <c r="O1261" i="2"/>
  <c r="Q1261" i="2" s="1"/>
  <c r="O1262" i="2"/>
  <c r="Q1262" i="2" s="1"/>
  <c r="O1263" i="2"/>
  <c r="Q1263" i="2" s="1"/>
  <c r="O1264" i="2"/>
  <c r="Q1264" i="2" s="1"/>
  <c r="O1265" i="2"/>
  <c r="Q1265" i="2" s="1"/>
  <c r="O1266" i="2"/>
  <c r="Q1266" i="2" s="1"/>
  <c r="O1267" i="2"/>
  <c r="Q1267" i="2" s="1"/>
  <c r="O1268" i="2"/>
  <c r="Q1268" i="2" s="1"/>
  <c r="O1269" i="2"/>
  <c r="Q1269" i="2" s="1"/>
  <c r="O1270" i="2"/>
  <c r="Q1270" i="2" s="1"/>
  <c r="O1271" i="2"/>
  <c r="Q1271" i="2" s="1"/>
  <c r="O1272" i="2"/>
  <c r="Q1272" i="2" s="1"/>
  <c r="O1273" i="2"/>
  <c r="Q1273" i="2" s="1"/>
  <c r="O1274" i="2"/>
  <c r="Q1274" i="2" s="1"/>
  <c r="O1275" i="2"/>
  <c r="Q1275" i="2" s="1"/>
  <c r="O1276" i="2"/>
  <c r="Q1276" i="2" s="1"/>
  <c r="O1277" i="2"/>
  <c r="Q1277" i="2" s="1"/>
  <c r="O1278" i="2"/>
  <c r="Q1278" i="2" s="1"/>
  <c r="O1279" i="2"/>
  <c r="Q1279" i="2" s="1"/>
  <c r="O1280" i="2"/>
  <c r="Q1280" i="2" s="1"/>
  <c r="O1281" i="2"/>
  <c r="Q1281" i="2" s="1"/>
  <c r="O1282" i="2"/>
  <c r="Q1282" i="2" s="1"/>
  <c r="O1283" i="2"/>
  <c r="Q1283" i="2" s="1"/>
  <c r="O1284" i="2"/>
  <c r="Q1284" i="2" s="1"/>
  <c r="O1285" i="2"/>
  <c r="Q1285" i="2" s="1"/>
  <c r="O1286" i="2"/>
  <c r="Q1286" i="2" s="1"/>
  <c r="O1287" i="2"/>
  <c r="Q1287" i="2" s="1"/>
  <c r="O1288" i="2"/>
  <c r="Q1288" i="2" s="1"/>
  <c r="O1289" i="2"/>
  <c r="Q1289" i="2" s="1"/>
  <c r="O1290" i="2"/>
  <c r="Q1290" i="2" s="1"/>
  <c r="O1291" i="2"/>
  <c r="Q1291" i="2" s="1"/>
  <c r="O1292" i="2"/>
  <c r="Q1292" i="2" s="1"/>
  <c r="O1293" i="2"/>
  <c r="Q1293" i="2" s="1"/>
  <c r="O1294" i="2"/>
  <c r="Q1294" i="2" s="1"/>
  <c r="O1295" i="2"/>
  <c r="Q1295" i="2" s="1"/>
  <c r="O1296" i="2"/>
  <c r="Q1296" i="2" s="1"/>
  <c r="O1297" i="2"/>
  <c r="Q1297" i="2" s="1"/>
  <c r="O1298" i="2"/>
  <c r="Q1298" i="2" s="1"/>
  <c r="O1299" i="2"/>
  <c r="Q1299" i="2" s="1"/>
  <c r="O1300" i="2"/>
  <c r="Q1300" i="2" s="1"/>
  <c r="O1301" i="2"/>
  <c r="Q1301" i="2" s="1"/>
  <c r="O1302" i="2"/>
  <c r="Q1302" i="2" s="1"/>
  <c r="O1303" i="2"/>
  <c r="Q1303" i="2" s="1"/>
  <c r="O1304" i="2"/>
  <c r="Q1304" i="2" s="1"/>
  <c r="O1305" i="2"/>
  <c r="Q1305" i="2" s="1"/>
  <c r="O1306" i="2"/>
  <c r="Q1306" i="2" s="1"/>
  <c r="O1307" i="2"/>
  <c r="Q1307" i="2" s="1"/>
  <c r="O1308" i="2"/>
  <c r="Q1308" i="2" s="1"/>
  <c r="O1309" i="2"/>
  <c r="Q1309" i="2" s="1"/>
  <c r="O1310" i="2"/>
  <c r="Q1310" i="2" s="1"/>
  <c r="O1311" i="2"/>
  <c r="Q1311" i="2" s="1"/>
  <c r="O1312" i="2"/>
  <c r="Q1312" i="2" s="1"/>
  <c r="O1313" i="2"/>
  <c r="Q1313" i="2" s="1"/>
  <c r="O1314" i="2"/>
  <c r="Q1314" i="2" s="1"/>
  <c r="O1315" i="2"/>
  <c r="Q1315" i="2" s="1"/>
  <c r="O1316" i="2"/>
  <c r="Q1316" i="2" s="1"/>
  <c r="O1317" i="2"/>
  <c r="Q1317" i="2" s="1"/>
  <c r="O1318" i="2"/>
  <c r="Q1318" i="2" s="1"/>
  <c r="O1319" i="2"/>
  <c r="Q1319" i="2" s="1"/>
  <c r="O1320" i="2"/>
  <c r="Q1320" i="2" s="1"/>
  <c r="O1321" i="2"/>
  <c r="Q1321" i="2" s="1"/>
  <c r="O1322" i="2"/>
  <c r="Q1322" i="2" s="1"/>
  <c r="O1323" i="2"/>
  <c r="Q1323" i="2" s="1"/>
  <c r="O1324" i="2"/>
  <c r="Q1324" i="2" s="1"/>
  <c r="O1325" i="2"/>
  <c r="Q1325" i="2" s="1"/>
  <c r="O1326" i="2"/>
  <c r="Q1326" i="2" s="1"/>
  <c r="O1327" i="2"/>
  <c r="Q1327" i="2" s="1"/>
  <c r="O1328" i="2"/>
  <c r="Q1328" i="2" s="1"/>
  <c r="O1329" i="2"/>
  <c r="Q1329" i="2" s="1"/>
  <c r="O1330" i="2"/>
  <c r="Q1330" i="2" s="1"/>
  <c r="O1331" i="2"/>
  <c r="Q1331" i="2" s="1"/>
  <c r="O1332" i="2"/>
  <c r="Q1332" i="2" s="1"/>
  <c r="O1333" i="2"/>
  <c r="Q1333" i="2" s="1"/>
  <c r="O1334" i="2"/>
  <c r="Q1334" i="2" s="1"/>
  <c r="O1335" i="2"/>
  <c r="Q1335" i="2" s="1"/>
  <c r="O1336" i="2"/>
  <c r="Q1336" i="2" s="1"/>
  <c r="O1337" i="2"/>
  <c r="Q1337" i="2" s="1"/>
  <c r="O1338" i="2"/>
  <c r="Q1338" i="2" s="1"/>
  <c r="O1339" i="2"/>
  <c r="Q1339" i="2" s="1"/>
  <c r="O1340" i="2"/>
  <c r="Q1340" i="2" s="1"/>
  <c r="O1341" i="2"/>
  <c r="Q1341" i="2" s="1"/>
  <c r="O1342" i="2"/>
  <c r="Q1342" i="2" s="1"/>
  <c r="O1343" i="2"/>
  <c r="Q1343" i="2" s="1"/>
  <c r="O1344" i="2"/>
  <c r="Q1344" i="2" s="1"/>
  <c r="O1345" i="2"/>
  <c r="Q1345" i="2" s="1"/>
  <c r="O1346" i="2"/>
  <c r="Q1346" i="2" s="1"/>
  <c r="O1347" i="2"/>
  <c r="Q1347" i="2" s="1"/>
  <c r="O1348" i="2"/>
  <c r="Q1348" i="2" s="1"/>
  <c r="O1349" i="2"/>
  <c r="Q1349" i="2" s="1"/>
  <c r="O1350" i="2"/>
  <c r="Q1350" i="2" s="1"/>
  <c r="O1351" i="2"/>
  <c r="Q1351" i="2" s="1"/>
  <c r="O1352" i="2"/>
  <c r="Q1352" i="2" s="1"/>
  <c r="O1353" i="2"/>
  <c r="Q1353" i="2" s="1"/>
  <c r="O1354" i="2"/>
  <c r="Q1354" i="2" s="1"/>
  <c r="O1355" i="2"/>
  <c r="Q1355" i="2" s="1"/>
  <c r="O1356" i="2"/>
  <c r="Q1356" i="2" s="1"/>
  <c r="O1357" i="2"/>
  <c r="Q1357" i="2" s="1"/>
  <c r="O1358" i="2"/>
  <c r="Q1358" i="2" s="1"/>
  <c r="O1359" i="2"/>
  <c r="Q1359" i="2" s="1"/>
  <c r="O1360" i="2"/>
  <c r="Q1360" i="2" s="1"/>
  <c r="O1361" i="2"/>
  <c r="Q1361" i="2" s="1"/>
  <c r="O1362" i="2"/>
  <c r="Q1362" i="2" s="1"/>
  <c r="O1363" i="2"/>
  <c r="Q1363" i="2" s="1"/>
  <c r="O1364" i="2"/>
  <c r="Q1364" i="2" s="1"/>
  <c r="O1365" i="2"/>
  <c r="Q1365" i="2" s="1"/>
  <c r="O1366" i="2"/>
  <c r="Q1366" i="2" s="1"/>
  <c r="O1367" i="2"/>
  <c r="Q1367" i="2" s="1"/>
  <c r="O1368" i="2"/>
  <c r="Q1368" i="2" s="1"/>
  <c r="O1369" i="2"/>
  <c r="Q1369" i="2" s="1"/>
  <c r="O1370" i="2"/>
  <c r="Q1370" i="2" s="1"/>
  <c r="O1371" i="2"/>
  <c r="Q1371" i="2" s="1"/>
  <c r="O1372" i="2"/>
  <c r="Q1372" i="2" s="1"/>
  <c r="O1373" i="2"/>
  <c r="Q1373" i="2" s="1"/>
  <c r="O1374" i="2"/>
  <c r="Q1374" i="2" s="1"/>
  <c r="O1375" i="2"/>
  <c r="Q1375" i="2" s="1"/>
  <c r="O1376" i="2"/>
  <c r="Q1376" i="2" s="1"/>
  <c r="O1377" i="2"/>
  <c r="Q1377" i="2" s="1"/>
  <c r="O1378" i="2"/>
  <c r="Q1378" i="2" s="1"/>
  <c r="O1379" i="2"/>
  <c r="Q1379" i="2" s="1"/>
  <c r="O1380" i="2"/>
  <c r="Q1380" i="2" s="1"/>
  <c r="O1381" i="2"/>
  <c r="Q1381" i="2" s="1"/>
  <c r="O1382" i="2"/>
  <c r="Q1382" i="2" s="1"/>
  <c r="O1383" i="2"/>
  <c r="Q1383" i="2" s="1"/>
  <c r="O1384" i="2"/>
  <c r="Q1384" i="2" s="1"/>
  <c r="O1385" i="2"/>
  <c r="Q1385" i="2" s="1"/>
  <c r="O1386" i="2"/>
  <c r="Q1386" i="2" s="1"/>
  <c r="O1387" i="2"/>
  <c r="Q1387" i="2" s="1"/>
  <c r="O1388" i="2"/>
  <c r="Q1388" i="2" s="1"/>
  <c r="O1389" i="2"/>
  <c r="Q1389" i="2" s="1"/>
  <c r="O1390" i="2"/>
  <c r="Q1390" i="2" s="1"/>
  <c r="O1391" i="2"/>
  <c r="Q1391" i="2" s="1"/>
  <c r="O1392" i="2"/>
  <c r="Q1392" i="2" s="1"/>
  <c r="O1393" i="2"/>
  <c r="Q1393" i="2" s="1"/>
  <c r="O1394" i="2"/>
  <c r="Q1394" i="2" s="1"/>
  <c r="O1395" i="2"/>
  <c r="Q1395" i="2" s="1"/>
  <c r="O1396" i="2"/>
  <c r="Q1396" i="2" s="1"/>
  <c r="O1397" i="2"/>
  <c r="Q1397" i="2" s="1"/>
  <c r="O1398" i="2"/>
  <c r="Q1398" i="2" s="1"/>
  <c r="O1399" i="2"/>
  <c r="Q1399" i="2" s="1"/>
  <c r="O1400" i="2"/>
  <c r="Q1400" i="2" s="1"/>
  <c r="O1401" i="2"/>
  <c r="Q1401" i="2" s="1"/>
  <c r="O1402" i="2"/>
  <c r="Q1402" i="2" s="1"/>
  <c r="O1403" i="2"/>
  <c r="Q1403" i="2" s="1"/>
  <c r="O1404" i="2"/>
  <c r="Q1404" i="2" s="1"/>
  <c r="O1405" i="2"/>
  <c r="Q1405" i="2" s="1"/>
  <c r="O1406" i="2"/>
  <c r="Q1406" i="2" s="1"/>
  <c r="O1407" i="2"/>
  <c r="Q1407" i="2" s="1"/>
  <c r="O1408" i="2"/>
  <c r="Q1408" i="2" s="1"/>
  <c r="O1409" i="2"/>
  <c r="Q1409" i="2" s="1"/>
  <c r="O1410" i="2"/>
  <c r="Q1410" i="2" s="1"/>
  <c r="O1411" i="2"/>
  <c r="Q1411" i="2" s="1"/>
  <c r="O1412" i="2"/>
  <c r="Q1412" i="2" s="1"/>
  <c r="O1413" i="2"/>
  <c r="Q1413" i="2" s="1"/>
  <c r="O1414" i="2"/>
  <c r="Q1414" i="2" s="1"/>
  <c r="O1415" i="2"/>
  <c r="Q1415" i="2" s="1"/>
  <c r="O1416" i="2"/>
  <c r="Q1416" i="2" s="1"/>
  <c r="O1417" i="2"/>
  <c r="Q1417" i="2" s="1"/>
  <c r="O1418" i="2"/>
  <c r="Q1418" i="2" s="1"/>
  <c r="O1419" i="2"/>
  <c r="Q1419" i="2" s="1"/>
  <c r="O1420" i="2"/>
  <c r="Q1420" i="2" s="1"/>
  <c r="O1421" i="2"/>
  <c r="Q1421" i="2" s="1"/>
  <c r="O1422" i="2"/>
  <c r="Q1422" i="2" s="1"/>
  <c r="O1423" i="2"/>
  <c r="Q1423" i="2" s="1"/>
  <c r="O1424" i="2"/>
  <c r="Q1424" i="2" s="1"/>
  <c r="O1425" i="2"/>
  <c r="Q1425" i="2" s="1"/>
  <c r="O1426" i="2"/>
  <c r="Q1426" i="2" s="1"/>
  <c r="O1427" i="2"/>
  <c r="Q1427" i="2" s="1"/>
  <c r="O1428" i="2"/>
  <c r="Q1428" i="2" s="1"/>
  <c r="O1429" i="2"/>
  <c r="Q1429" i="2" s="1"/>
  <c r="O1430" i="2"/>
  <c r="Q1430" i="2" s="1"/>
  <c r="O1431" i="2"/>
  <c r="Q1431" i="2" s="1"/>
  <c r="O1432" i="2"/>
  <c r="Q1432" i="2" s="1"/>
  <c r="O1433" i="2"/>
  <c r="Q1433" i="2" s="1"/>
  <c r="O1434" i="2"/>
  <c r="Q1434" i="2" s="1"/>
  <c r="O1435" i="2"/>
  <c r="Q1435" i="2" s="1"/>
  <c r="O1436" i="2"/>
  <c r="Q1436" i="2" s="1"/>
  <c r="O1437" i="2"/>
  <c r="Q1437" i="2" s="1"/>
  <c r="O1438" i="2"/>
  <c r="Q1438" i="2" s="1"/>
  <c r="O1439" i="2"/>
  <c r="Q1439" i="2" s="1"/>
  <c r="O1440" i="2"/>
  <c r="Q1440" i="2" s="1"/>
  <c r="O1441" i="2"/>
  <c r="Q1441" i="2" s="1"/>
  <c r="O1442" i="2"/>
  <c r="Q1442" i="2" s="1"/>
  <c r="O1443" i="2"/>
  <c r="Q1443" i="2" s="1"/>
  <c r="O1444" i="2"/>
  <c r="Q1444" i="2" s="1"/>
  <c r="O1445" i="2"/>
  <c r="Q1445" i="2" s="1"/>
  <c r="O1446" i="2"/>
  <c r="Q1446" i="2" s="1"/>
  <c r="O1447" i="2"/>
  <c r="Q1447" i="2" s="1"/>
  <c r="O1448" i="2"/>
  <c r="Q1448" i="2" s="1"/>
  <c r="O1449" i="2"/>
  <c r="Q1449" i="2" s="1"/>
  <c r="O1450" i="2"/>
  <c r="Q1450" i="2" s="1"/>
  <c r="O1451" i="2"/>
  <c r="Q1451" i="2" s="1"/>
  <c r="O1452" i="2"/>
  <c r="Q1452" i="2" s="1"/>
  <c r="O1453" i="2"/>
  <c r="Q1453" i="2" s="1"/>
  <c r="O1454" i="2"/>
  <c r="Q1454" i="2" s="1"/>
  <c r="O1455" i="2"/>
  <c r="Q1455" i="2" s="1"/>
  <c r="O1456" i="2"/>
  <c r="Q1456" i="2" s="1"/>
  <c r="O1457" i="2"/>
  <c r="Q1457" i="2" s="1"/>
  <c r="O1458" i="2"/>
  <c r="Q1458" i="2" s="1"/>
  <c r="O1459" i="2"/>
  <c r="Q1459" i="2" s="1"/>
  <c r="O1460" i="2"/>
  <c r="Q1460" i="2" s="1"/>
  <c r="O1461" i="2"/>
  <c r="Q1461" i="2" s="1"/>
  <c r="O1462" i="2"/>
  <c r="Q1462" i="2" s="1"/>
  <c r="O1463" i="2"/>
  <c r="Q1463" i="2" s="1"/>
  <c r="O1464" i="2"/>
  <c r="Q1464" i="2" s="1"/>
  <c r="O1465" i="2"/>
  <c r="Q1465" i="2" s="1"/>
  <c r="O1466" i="2"/>
  <c r="Q1466" i="2" s="1"/>
  <c r="O1467" i="2"/>
  <c r="Q1467" i="2" s="1"/>
  <c r="O1468" i="2"/>
  <c r="Q1468" i="2" s="1"/>
  <c r="O1469" i="2"/>
  <c r="Q1469" i="2" s="1"/>
  <c r="O1470" i="2"/>
  <c r="Q1470" i="2" s="1"/>
  <c r="O1471" i="2"/>
  <c r="Q1471" i="2" s="1"/>
  <c r="O1472" i="2"/>
  <c r="Q1472" i="2" s="1"/>
  <c r="O1473" i="2"/>
  <c r="Q1473" i="2" s="1"/>
  <c r="O1474" i="2"/>
  <c r="Q1474" i="2" s="1"/>
  <c r="O1475" i="2"/>
  <c r="Q1475" i="2" s="1"/>
  <c r="O1476" i="2"/>
  <c r="Q1476" i="2" s="1"/>
  <c r="O1477" i="2"/>
  <c r="Q1477" i="2" s="1"/>
  <c r="O1478" i="2"/>
  <c r="Q1478" i="2" s="1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Q1563" i="2" s="1"/>
  <c r="O1564" i="2"/>
  <c r="Q1564" i="2" s="1"/>
  <c r="O1565" i="2"/>
  <c r="Q1565" i="2" s="1"/>
  <c r="O1566" i="2"/>
  <c r="Q1566" i="2" s="1"/>
  <c r="O1567" i="2"/>
  <c r="Q1567" i="2" s="1"/>
  <c r="O1568" i="2"/>
  <c r="Q1568" i="2" s="1"/>
  <c r="O1569" i="2"/>
  <c r="Q1569" i="2" s="1"/>
  <c r="O1570" i="2"/>
  <c r="Q1570" i="2" s="1"/>
  <c r="O1571" i="2"/>
  <c r="Q1571" i="2" s="1"/>
  <c r="O1572" i="2"/>
  <c r="Q1572" i="2" s="1"/>
  <c r="O1573" i="2"/>
  <c r="Q1573" i="2" s="1"/>
  <c r="O1574" i="2"/>
  <c r="Q1574" i="2" s="1"/>
  <c r="O1575" i="2"/>
  <c r="Q1575" i="2" s="1"/>
  <c r="O1576" i="2"/>
  <c r="Q1576" i="2" s="1"/>
  <c r="O1577" i="2"/>
  <c r="Q1577" i="2" s="1"/>
  <c r="O1578" i="2"/>
  <c r="Q1578" i="2" s="1"/>
  <c r="O1579" i="2"/>
  <c r="Q1579" i="2" s="1"/>
  <c r="O1580" i="2"/>
  <c r="Q1580" i="2" s="1"/>
  <c r="O1581" i="2"/>
  <c r="Q1581" i="2" s="1"/>
  <c r="O1582" i="2"/>
  <c r="Q1582" i="2" s="1"/>
  <c r="O1583" i="2"/>
  <c r="Q1583" i="2" s="1"/>
  <c r="O1584" i="2"/>
  <c r="Q1584" i="2" s="1"/>
  <c r="O1585" i="2"/>
  <c r="Q1585" i="2" s="1"/>
  <c r="O1586" i="2"/>
  <c r="Q1586" i="2" s="1"/>
  <c r="O1587" i="2"/>
  <c r="Q1587" i="2" s="1"/>
  <c r="O1588" i="2"/>
  <c r="Q1588" i="2" s="1"/>
  <c r="O1589" i="2"/>
  <c r="Q1589" i="2" s="1"/>
  <c r="O1590" i="2"/>
  <c r="Q1590" i="2" s="1"/>
  <c r="O1591" i="2"/>
  <c r="Q1591" i="2" s="1"/>
  <c r="O1592" i="2"/>
  <c r="Q1592" i="2" s="1"/>
  <c r="O1593" i="2"/>
  <c r="Q1593" i="2" s="1"/>
  <c r="O1594" i="2"/>
  <c r="Q1594" i="2" s="1"/>
  <c r="O1595" i="2"/>
  <c r="Q1595" i="2" s="1"/>
  <c r="O1596" i="2"/>
  <c r="Q1596" i="2" s="1"/>
  <c r="O1597" i="2"/>
  <c r="Q1597" i="2" s="1"/>
  <c r="O1598" i="2"/>
  <c r="Q1598" i="2" s="1"/>
  <c r="O1599" i="2"/>
  <c r="Q1599" i="2" s="1"/>
  <c r="O1600" i="2"/>
  <c r="Q1600" i="2" s="1"/>
  <c r="O1601" i="2"/>
  <c r="Q1601" i="2" s="1"/>
  <c r="O1602" i="2"/>
  <c r="Q1602" i="2" s="1"/>
  <c r="O1603" i="2"/>
  <c r="Q1603" i="2" s="1"/>
  <c r="O1604" i="2"/>
  <c r="Q1604" i="2" s="1"/>
  <c r="O1605" i="2"/>
  <c r="Q1605" i="2" s="1"/>
  <c r="O1606" i="2"/>
  <c r="Q1606" i="2" s="1"/>
  <c r="O1607" i="2"/>
  <c r="Q1607" i="2" s="1"/>
  <c r="O1608" i="2"/>
  <c r="Q1608" i="2" s="1"/>
  <c r="O1609" i="2"/>
  <c r="Q1609" i="2" s="1"/>
  <c r="O1610" i="2"/>
  <c r="Q1610" i="2" s="1"/>
  <c r="O1611" i="2"/>
  <c r="Q1611" i="2" s="1"/>
  <c r="O1612" i="2"/>
  <c r="Q1612" i="2" s="1"/>
  <c r="O1613" i="2"/>
  <c r="Q1613" i="2" s="1"/>
  <c r="O1614" i="2"/>
  <c r="Q1614" i="2" s="1"/>
  <c r="O1615" i="2"/>
  <c r="Q1615" i="2" s="1"/>
  <c r="O1616" i="2"/>
  <c r="Q1616" i="2" s="1"/>
  <c r="O1617" i="2"/>
  <c r="Q1617" i="2" s="1"/>
  <c r="O1618" i="2"/>
  <c r="Q1618" i="2" s="1"/>
  <c r="O1619" i="2"/>
  <c r="Q1619" i="2" s="1"/>
  <c r="O1620" i="2"/>
  <c r="Q1620" i="2" s="1"/>
  <c r="O1621" i="2"/>
  <c r="Q1621" i="2" s="1"/>
  <c r="O1622" i="2"/>
  <c r="Q1622" i="2" s="1"/>
  <c r="O1623" i="2"/>
  <c r="Q1623" i="2" s="1"/>
  <c r="O1624" i="2"/>
  <c r="Q1624" i="2" s="1"/>
  <c r="O1625" i="2"/>
  <c r="Q1625" i="2" s="1"/>
  <c r="O1626" i="2"/>
  <c r="Q1626" i="2" s="1"/>
  <c r="O1627" i="2"/>
  <c r="Q1627" i="2" s="1"/>
  <c r="O1628" i="2"/>
  <c r="Q1628" i="2" s="1"/>
  <c r="O1629" i="2"/>
  <c r="Q1629" i="2" s="1"/>
  <c r="O1630" i="2"/>
  <c r="Q1630" i="2" s="1"/>
  <c r="O1631" i="2"/>
  <c r="Q1631" i="2" s="1"/>
  <c r="O1632" i="2"/>
  <c r="Q1632" i="2" s="1"/>
  <c r="O1633" i="2"/>
  <c r="Q1633" i="2" s="1"/>
  <c r="O1634" i="2"/>
  <c r="Q1634" i="2" s="1"/>
  <c r="O1635" i="2"/>
  <c r="Q1635" i="2" s="1"/>
  <c r="O1636" i="2"/>
  <c r="Q1636" i="2" s="1"/>
  <c r="O1637" i="2"/>
  <c r="Q1637" i="2" s="1"/>
  <c r="O1638" i="2"/>
  <c r="Q1638" i="2" s="1"/>
  <c r="O1639" i="2"/>
  <c r="Q1639" i="2" s="1"/>
  <c r="O1640" i="2"/>
  <c r="Q1640" i="2" s="1"/>
  <c r="O1641" i="2"/>
  <c r="Q1641" i="2" s="1"/>
  <c r="O1642" i="2"/>
  <c r="Q1642" i="2" s="1"/>
  <c r="O1643" i="2"/>
  <c r="Q1643" i="2" s="1"/>
  <c r="O1644" i="2"/>
  <c r="Q1644" i="2" s="1"/>
  <c r="O1645" i="2"/>
  <c r="Q1645" i="2" s="1"/>
  <c r="O1646" i="2"/>
  <c r="Q1646" i="2" s="1"/>
  <c r="O1647" i="2"/>
  <c r="Q1647" i="2" s="1"/>
  <c r="O1648" i="2"/>
  <c r="Q1648" i="2" s="1"/>
  <c r="O1649" i="2"/>
  <c r="Q1649" i="2" s="1"/>
  <c r="O1650" i="2"/>
  <c r="Q1650" i="2" s="1"/>
  <c r="O1651" i="2"/>
  <c r="Q1651" i="2" s="1"/>
  <c r="O1652" i="2"/>
  <c r="Q1652" i="2" s="1"/>
  <c r="O1653" i="2"/>
  <c r="Q1653" i="2" s="1"/>
  <c r="O1654" i="2"/>
  <c r="Q1654" i="2" s="1"/>
  <c r="O1655" i="2"/>
  <c r="Q1655" i="2" s="1"/>
  <c r="O1656" i="2"/>
  <c r="Q1656" i="2" s="1"/>
  <c r="O1657" i="2"/>
  <c r="Q1657" i="2" s="1"/>
  <c r="O1658" i="2"/>
  <c r="Q1658" i="2" s="1"/>
  <c r="O1659" i="2"/>
  <c r="Q1659" i="2" s="1"/>
  <c r="O1660" i="2"/>
  <c r="Q1660" i="2" s="1"/>
  <c r="O1661" i="2"/>
  <c r="Q1661" i="2" s="1"/>
  <c r="O1662" i="2"/>
  <c r="Q1662" i="2" s="1"/>
  <c r="O1663" i="2"/>
  <c r="Q1663" i="2" s="1"/>
  <c r="O1664" i="2"/>
  <c r="Q1664" i="2" s="1"/>
  <c r="O1665" i="2"/>
  <c r="Q1665" i="2" s="1"/>
  <c r="O1666" i="2"/>
  <c r="Q1666" i="2" s="1"/>
  <c r="O1667" i="2"/>
  <c r="Q1667" i="2" s="1"/>
  <c r="O1668" i="2"/>
  <c r="Q1668" i="2" s="1"/>
  <c r="O1669" i="2"/>
  <c r="Q1669" i="2" s="1"/>
  <c r="O1670" i="2"/>
  <c r="Q1670" i="2" s="1"/>
  <c r="O1671" i="2"/>
  <c r="Q1671" i="2" s="1"/>
  <c r="O1672" i="2"/>
  <c r="Q1672" i="2" s="1"/>
  <c r="O1673" i="2"/>
  <c r="Q1673" i="2" s="1"/>
  <c r="O1674" i="2"/>
  <c r="Q1674" i="2" s="1"/>
  <c r="O1675" i="2"/>
  <c r="Q1675" i="2" s="1"/>
  <c r="O1676" i="2"/>
  <c r="Q1676" i="2" s="1"/>
  <c r="O1677" i="2"/>
  <c r="Q1677" i="2" s="1"/>
  <c r="O1678" i="2"/>
  <c r="Q1678" i="2" s="1"/>
  <c r="O1679" i="2"/>
  <c r="Q1679" i="2" s="1"/>
  <c r="O1680" i="2"/>
  <c r="Q1680" i="2" s="1"/>
  <c r="O1681" i="2"/>
  <c r="Q1681" i="2" s="1"/>
  <c r="O1682" i="2"/>
  <c r="Q1682" i="2" s="1"/>
  <c r="O1683" i="2"/>
  <c r="Q1683" i="2" s="1"/>
  <c r="O1684" i="2"/>
  <c r="Q1684" i="2" s="1"/>
  <c r="O1685" i="2"/>
  <c r="Q1685" i="2" s="1"/>
  <c r="O1686" i="2"/>
  <c r="Q1686" i="2" s="1"/>
  <c r="O1687" i="2"/>
  <c r="Q1687" i="2" s="1"/>
  <c r="O1688" i="2"/>
  <c r="Q1688" i="2" s="1"/>
  <c r="O1689" i="2"/>
  <c r="Q1689" i="2" s="1"/>
  <c r="O1690" i="2"/>
  <c r="Q1690" i="2" s="1"/>
  <c r="O1691" i="2"/>
  <c r="Q1691" i="2" s="1"/>
  <c r="O1692" i="2"/>
  <c r="Q1692" i="2" s="1"/>
  <c r="O1693" i="2"/>
  <c r="Q1693" i="2" s="1"/>
  <c r="O1694" i="2"/>
  <c r="Q1694" i="2" s="1"/>
  <c r="O1695" i="2"/>
  <c r="Q1695" i="2" s="1"/>
  <c r="O1696" i="2"/>
  <c r="Q1696" i="2" s="1"/>
  <c r="O1697" i="2"/>
  <c r="Q1697" i="2" s="1"/>
  <c r="O1698" i="2"/>
  <c r="Q1698" i="2" s="1"/>
  <c r="O1699" i="2"/>
  <c r="Q1699" i="2" s="1"/>
  <c r="O1700" i="2"/>
  <c r="Q1700" i="2" s="1"/>
  <c r="O1701" i="2"/>
  <c r="Q1701" i="2" s="1"/>
  <c r="O1702" i="2"/>
  <c r="Q1702" i="2" s="1"/>
  <c r="O1703" i="2"/>
  <c r="Q1703" i="2" s="1"/>
  <c r="O1704" i="2"/>
  <c r="Q1704" i="2" s="1"/>
  <c r="O1705" i="2"/>
  <c r="Q1705" i="2" s="1"/>
  <c r="O1706" i="2"/>
  <c r="Q1706" i="2" s="1"/>
  <c r="O1707" i="2"/>
  <c r="Q1707" i="2" s="1"/>
  <c r="O1708" i="2"/>
  <c r="Q1708" i="2" s="1"/>
  <c r="O1709" i="2"/>
  <c r="Q1709" i="2" s="1"/>
  <c r="O1710" i="2"/>
  <c r="Q1710" i="2" s="1"/>
  <c r="O1711" i="2"/>
  <c r="Q1711" i="2" s="1"/>
  <c r="O1712" i="2"/>
  <c r="Q1712" i="2" s="1"/>
  <c r="O1713" i="2"/>
  <c r="Q1713" i="2" s="1"/>
  <c r="O1714" i="2"/>
  <c r="Q1714" i="2" s="1"/>
  <c r="O1715" i="2"/>
  <c r="Q1715" i="2" s="1"/>
  <c r="O1716" i="2"/>
  <c r="Q1716" i="2" s="1"/>
  <c r="O1717" i="2"/>
  <c r="Q1717" i="2" s="1"/>
  <c r="O1718" i="2"/>
  <c r="Q1718" i="2" s="1"/>
  <c r="O1719" i="2"/>
  <c r="Q1719" i="2" s="1"/>
  <c r="O1720" i="2"/>
  <c r="Q1720" i="2" s="1"/>
  <c r="O1721" i="2"/>
  <c r="Q1721" i="2" s="1"/>
  <c r="O1722" i="2"/>
  <c r="Q1722" i="2" s="1"/>
  <c r="O1723" i="2"/>
  <c r="Q1723" i="2" s="1"/>
  <c r="O1724" i="2"/>
  <c r="Q1724" i="2" s="1"/>
  <c r="O1725" i="2"/>
  <c r="Q1725" i="2" s="1"/>
  <c r="O1726" i="2"/>
  <c r="Q1726" i="2" s="1"/>
  <c r="O1727" i="2"/>
  <c r="Q1727" i="2" s="1"/>
  <c r="O1728" i="2"/>
  <c r="Q1728" i="2" s="1"/>
  <c r="O1729" i="2"/>
  <c r="Q1729" i="2" s="1"/>
  <c r="O1730" i="2"/>
  <c r="Q1730" i="2" s="1"/>
  <c r="O1731" i="2"/>
  <c r="Q1731" i="2" s="1"/>
  <c r="O1732" i="2"/>
  <c r="Q1732" i="2" s="1"/>
  <c r="O1733" i="2"/>
  <c r="Q1733" i="2" s="1"/>
  <c r="O1734" i="2"/>
  <c r="Q1734" i="2" s="1"/>
  <c r="O1735" i="2"/>
  <c r="Q1735" i="2" s="1"/>
  <c r="O1736" i="2"/>
  <c r="Q1736" i="2" s="1"/>
  <c r="O1737" i="2"/>
  <c r="Q1737" i="2" s="1"/>
  <c r="O1738" i="2"/>
  <c r="Q1738" i="2" s="1"/>
  <c r="O1739" i="2"/>
  <c r="Q1739" i="2" s="1"/>
  <c r="O1740" i="2"/>
  <c r="Q1740" i="2" s="1"/>
  <c r="O1741" i="2"/>
  <c r="Q1741" i="2" s="1"/>
  <c r="O1742" i="2"/>
  <c r="Q1742" i="2" s="1"/>
  <c r="O1743" i="2"/>
  <c r="Q1743" i="2" s="1"/>
  <c r="O1744" i="2"/>
  <c r="Q1744" i="2" s="1"/>
  <c r="O1745" i="2"/>
  <c r="Q1745" i="2" s="1"/>
  <c r="O1746" i="2"/>
  <c r="Q1746" i="2" s="1"/>
  <c r="O1747" i="2"/>
  <c r="Q1747" i="2" s="1"/>
  <c r="O1748" i="2"/>
  <c r="Q1748" i="2" s="1"/>
  <c r="O1749" i="2"/>
  <c r="Q1749" i="2" s="1"/>
  <c r="O1750" i="2"/>
  <c r="Q1750" i="2" s="1"/>
  <c r="O1751" i="2"/>
  <c r="Q1751" i="2" s="1"/>
  <c r="O1752" i="2"/>
  <c r="Q1752" i="2" s="1"/>
  <c r="O1753" i="2"/>
  <c r="Q1753" i="2" s="1"/>
  <c r="O1754" i="2"/>
  <c r="Q1754" i="2" s="1"/>
  <c r="O1755" i="2"/>
  <c r="Q1755" i="2" s="1"/>
  <c r="O1756" i="2"/>
  <c r="Q1756" i="2" s="1"/>
  <c r="O1757" i="2"/>
  <c r="Q1757" i="2" s="1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Q1810" i="2" s="1"/>
  <c r="O1811" i="2"/>
  <c r="Q1811" i="2" s="1"/>
  <c r="O1812" i="2"/>
  <c r="Q1812" i="2" s="1"/>
  <c r="O1813" i="2"/>
  <c r="Q1813" i="2" s="1"/>
  <c r="O1814" i="2"/>
  <c r="Q1814" i="2" s="1"/>
  <c r="O1815" i="2"/>
  <c r="Q1815" i="2" s="1"/>
  <c r="O1816" i="2"/>
  <c r="Q1816" i="2" s="1"/>
  <c r="O1817" i="2"/>
  <c r="Q1817" i="2" s="1"/>
  <c r="O1818" i="2"/>
  <c r="Q1818" i="2" s="1"/>
  <c r="O1819" i="2"/>
  <c r="Q1819" i="2" s="1"/>
  <c r="O1820" i="2"/>
  <c r="Q1820" i="2" s="1"/>
  <c r="O1821" i="2"/>
  <c r="Q1821" i="2" s="1"/>
  <c r="O1822" i="2"/>
  <c r="Q1822" i="2" s="1"/>
  <c r="O1823" i="2"/>
  <c r="Q1823" i="2" s="1"/>
  <c r="O1824" i="2"/>
  <c r="Q1824" i="2" s="1"/>
  <c r="O1825" i="2"/>
  <c r="Q1825" i="2" s="1"/>
  <c r="O1826" i="2"/>
  <c r="Q1826" i="2" s="1"/>
  <c r="O1827" i="2"/>
  <c r="Q1827" i="2" s="1"/>
  <c r="O1828" i="2"/>
  <c r="Q1828" i="2" s="1"/>
  <c r="O1829" i="2"/>
  <c r="Q1829" i="2" s="1"/>
  <c r="O1830" i="2"/>
  <c r="Q1830" i="2" s="1"/>
  <c r="O1831" i="2"/>
  <c r="Q1831" i="2" s="1"/>
  <c r="O1832" i="2"/>
  <c r="Q1832" i="2" s="1"/>
  <c r="O1833" i="2"/>
  <c r="Q1833" i="2" s="1"/>
  <c r="O1834" i="2"/>
  <c r="Q1834" i="2" s="1"/>
  <c r="O1835" i="2"/>
  <c r="Q1835" i="2" s="1"/>
  <c r="O1836" i="2"/>
  <c r="Q1836" i="2" s="1"/>
  <c r="O1837" i="2"/>
  <c r="Q1837" i="2" s="1"/>
  <c r="O1838" i="2"/>
  <c r="Q1838" i="2" s="1"/>
  <c r="O1839" i="2"/>
  <c r="Q1839" i="2" s="1"/>
  <c r="O1840" i="2"/>
  <c r="Q1840" i="2" s="1"/>
  <c r="O1841" i="2"/>
  <c r="Q1841" i="2" s="1"/>
  <c r="O1842" i="2"/>
  <c r="Q1842" i="2" s="1"/>
  <c r="O1843" i="2"/>
  <c r="Q1843" i="2" s="1"/>
  <c r="O1844" i="2"/>
  <c r="Q1844" i="2" s="1"/>
  <c r="O1845" i="2"/>
  <c r="Q1845" i="2" s="1"/>
  <c r="O1846" i="2"/>
  <c r="Q1846" i="2" s="1"/>
  <c r="O1847" i="2"/>
  <c r="Q1847" i="2" s="1"/>
  <c r="O1848" i="2"/>
  <c r="Q1848" i="2" s="1"/>
  <c r="O1849" i="2"/>
  <c r="Q1849" i="2" s="1"/>
  <c r="O1850" i="2"/>
  <c r="Q1850" i="2" s="1"/>
  <c r="O1851" i="2"/>
  <c r="Q1851" i="2" s="1"/>
  <c r="O1852" i="2"/>
  <c r="Q1852" i="2" s="1"/>
  <c r="O1853" i="2"/>
  <c r="Q1853" i="2" s="1"/>
  <c r="O1854" i="2"/>
  <c r="Q1854" i="2" s="1"/>
  <c r="O1855" i="2"/>
  <c r="Q1855" i="2" s="1"/>
  <c r="O1856" i="2"/>
  <c r="Q1856" i="2" s="1"/>
  <c r="O1857" i="2"/>
  <c r="Q1857" i="2" s="1"/>
  <c r="O1858" i="2"/>
  <c r="Q1858" i="2" s="1"/>
  <c r="O1859" i="2"/>
  <c r="Q1859" i="2" s="1"/>
  <c r="O1860" i="2"/>
  <c r="Q1860" i="2" s="1"/>
  <c r="O1861" i="2"/>
  <c r="Q1861" i="2" s="1"/>
  <c r="O1862" i="2"/>
  <c r="Q1862" i="2" s="1"/>
  <c r="O1863" i="2"/>
  <c r="Q1863" i="2" s="1"/>
  <c r="O1864" i="2"/>
  <c r="Q1864" i="2" s="1"/>
  <c r="O1865" i="2"/>
  <c r="Q1865" i="2" s="1"/>
  <c r="O1866" i="2"/>
  <c r="Q1866" i="2" s="1"/>
  <c r="O1867" i="2"/>
  <c r="Q1867" i="2" s="1"/>
  <c r="O1868" i="2"/>
  <c r="Q1868" i="2" s="1"/>
  <c r="O1869" i="2"/>
  <c r="Q1869" i="2" s="1"/>
  <c r="O1870" i="2"/>
  <c r="Q1870" i="2" s="1"/>
  <c r="O1871" i="2"/>
  <c r="Q1871" i="2" s="1"/>
  <c r="O1872" i="2"/>
  <c r="Q1872" i="2" s="1"/>
  <c r="O1873" i="2"/>
  <c r="Q1873" i="2" s="1"/>
  <c r="O1874" i="2"/>
  <c r="Q1874" i="2" s="1"/>
  <c r="O1875" i="2"/>
  <c r="Q1875" i="2" s="1"/>
  <c r="O1876" i="2"/>
  <c r="Q1876" i="2" s="1"/>
  <c r="O1877" i="2"/>
  <c r="Q1877" i="2" s="1"/>
  <c r="O1878" i="2"/>
  <c r="Q1878" i="2" s="1"/>
  <c r="O1879" i="2"/>
  <c r="Q1879" i="2" s="1"/>
  <c r="O1880" i="2"/>
  <c r="Q1880" i="2" s="1"/>
  <c r="O1881" i="2"/>
  <c r="Q1881" i="2" s="1"/>
  <c r="O1882" i="2"/>
  <c r="Q1882" i="2" s="1"/>
  <c r="O1883" i="2"/>
  <c r="Q1883" i="2" s="1"/>
  <c r="O1884" i="2"/>
  <c r="Q1884" i="2" s="1"/>
  <c r="O1885" i="2"/>
  <c r="Q1885" i="2" s="1"/>
  <c r="O1886" i="2"/>
  <c r="Q1886" i="2" s="1"/>
  <c r="O1887" i="2"/>
  <c r="Q1887" i="2" s="1"/>
  <c r="O1888" i="2"/>
  <c r="Q1888" i="2" s="1"/>
  <c r="O1889" i="2"/>
  <c r="Q1889" i="2" s="1"/>
  <c r="O1890" i="2"/>
  <c r="Q1890" i="2" s="1"/>
  <c r="O1891" i="2"/>
  <c r="Q1891" i="2" s="1"/>
  <c r="O1892" i="2"/>
  <c r="Q1892" i="2" s="1"/>
  <c r="O1893" i="2"/>
  <c r="Q1893" i="2" s="1"/>
  <c r="O1894" i="2"/>
  <c r="Q1894" i="2" s="1"/>
  <c r="O1895" i="2"/>
  <c r="Q1895" i="2" s="1"/>
  <c r="O1896" i="2"/>
  <c r="Q1896" i="2" s="1"/>
  <c r="O1897" i="2"/>
  <c r="Q1897" i="2" s="1"/>
  <c r="O1898" i="2"/>
  <c r="Q1898" i="2" s="1"/>
  <c r="O1899" i="2"/>
  <c r="Q1899" i="2" s="1"/>
  <c r="O1900" i="2"/>
  <c r="Q1900" i="2" s="1"/>
  <c r="O1901" i="2"/>
  <c r="Q1901" i="2" s="1"/>
  <c r="O1902" i="2"/>
  <c r="Q1902" i="2" s="1"/>
  <c r="O1903" i="2"/>
  <c r="Q1903" i="2" s="1"/>
  <c r="O1904" i="2"/>
  <c r="Q1904" i="2" s="1"/>
  <c r="O1905" i="2"/>
  <c r="Q1905" i="2" s="1"/>
  <c r="O1906" i="2"/>
  <c r="Q1906" i="2" s="1"/>
  <c r="O1907" i="2"/>
  <c r="Q1907" i="2" s="1"/>
  <c r="O1908" i="2"/>
  <c r="Q1908" i="2" s="1"/>
  <c r="O1909" i="2"/>
  <c r="Q1909" i="2" s="1"/>
  <c r="O1910" i="2"/>
  <c r="Q1910" i="2" s="1"/>
  <c r="O1911" i="2"/>
  <c r="Q1911" i="2" s="1"/>
  <c r="O1912" i="2"/>
  <c r="Q1912" i="2" s="1"/>
  <c r="O1913" i="2"/>
  <c r="Q1913" i="2" s="1"/>
  <c r="O1914" i="2"/>
  <c r="Q1914" i="2" s="1"/>
  <c r="O1915" i="2"/>
  <c r="Q1915" i="2" s="1"/>
  <c r="O1916" i="2"/>
  <c r="Q1916" i="2" s="1"/>
  <c r="O1917" i="2"/>
  <c r="Q1917" i="2" s="1"/>
  <c r="O1918" i="2"/>
  <c r="Q1918" i="2" s="1"/>
  <c r="O1919" i="2"/>
  <c r="Q1919" i="2" s="1"/>
  <c r="O1920" i="2"/>
  <c r="Q1920" i="2" s="1"/>
  <c r="O1921" i="2"/>
  <c r="Q1921" i="2" s="1"/>
  <c r="O1922" i="2"/>
  <c r="Q1922" i="2" s="1"/>
  <c r="O1923" i="2"/>
  <c r="Q1923" i="2" s="1"/>
  <c r="O1924" i="2"/>
  <c r="Q1924" i="2" s="1"/>
  <c r="O1925" i="2"/>
  <c r="Q1925" i="2" s="1"/>
  <c r="O1926" i="2"/>
  <c r="Q1926" i="2" s="1"/>
  <c r="O1927" i="2"/>
  <c r="Q1927" i="2" s="1"/>
  <c r="O1928" i="2"/>
  <c r="Q1928" i="2" s="1"/>
  <c r="O1929" i="2"/>
  <c r="Q1929" i="2" s="1"/>
  <c r="O1930" i="2"/>
  <c r="Q1930" i="2" s="1"/>
  <c r="O1931" i="2"/>
  <c r="Q1931" i="2" s="1"/>
  <c r="O1932" i="2"/>
  <c r="Q1932" i="2" s="1"/>
  <c r="O1933" i="2"/>
  <c r="Q1933" i="2" s="1"/>
  <c r="O1934" i="2"/>
  <c r="Q1934" i="2" s="1"/>
  <c r="O1935" i="2"/>
  <c r="Q1935" i="2" s="1"/>
  <c r="O1936" i="2"/>
  <c r="Q1936" i="2" s="1"/>
  <c r="O1937" i="2"/>
  <c r="Q1937" i="2" s="1"/>
  <c r="O1938" i="2"/>
  <c r="Q1938" i="2" s="1"/>
  <c r="O1939" i="2"/>
  <c r="Q1939" i="2" s="1"/>
  <c r="O1940" i="2"/>
  <c r="Q1940" i="2" s="1"/>
  <c r="O1941" i="2"/>
  <c r="Q1941" i="2" s="1"/>
  <c r="O1942" i="2"/>
  <c r="Q1942" i="2" s="1"/>
  <c r="O1943" i="2"/>
  <c r="Q1943" i="2" s="1"/>
  <c r="O1944" i="2"/>
  <c r="Q1944" i="2" s="1"/>
  <c r="O1945" i="2"/>
  <c r="Q1945" i="2" s="1"/>
  <c r="O1946" i="2"/>
  <c r="Q1946" i="2" s="1"/>
  <c r="O1947" i="2"/>
  <c r="Q1947" i="2" s="1"/>
  <c r="O1948" i="2"/>
  <c r="Q1948" i="2" s="1"/>
  <c r="O1949" i="2"/>
  <c r="Q1949" i="2" s="1"/>
  <c r="O1950" i="2"/>
  <c r="Q1950" i="2" s="1"/>
  <c r="O1951" i="2"/>
  <c r="Q1951" i="2" s="1"/>
  <c r="O1952" i="2"/>
  <c r="Q1952" i="2" s="1"/>
  <c r="O1953" i="2"/>
  <c r="Q1953" i="2" s="1"/>
  <c r="O1954" i="2"/>
  <c r="Q1954" i="2" s="1"/>
  <c r="O1955" i="2"/>
  <c r="Q1955" i="2" s="1"/>
  <c r="O1956" i="2"/>
  <c r="Q1956" i="2" s="1"/>
  <c r="O1957" i="2"/>
  <c r="Q1957" i="2" s="1"/>
  <c r="O1958" i="2"/>
  <c r="Q1958" i="2" s="1"/>
  <c r="O1959" i="2"/>
  <c r="Q1959" i="2" s="1"/>
  <c r="O1960" i="2"/>
  <c r="Q1960" i="2" s="1"/>
  <c r="O1961" i="2"/>
  <c r="Q1961" i="2" s="1"/>
  <c r="O1962" i="2"/>
  <c r="Q1962" i="2" s="1"/>
  <c r="O1963" i="2"/>
  <c r="Q1963" i="2" s="1"/>
  <c r="O1964" i="2"/>
  <c r="Q1964" i="2" s="1"/>
  <c r="O1965" i="2"/>
  <c r="Q1965" i="2" s="1"/>
  <c r="O1966" i="2"/>
  <c r="Q1966" i="2" s="1"/>
  <c r="O1967" i="2"/>
  <c r="Q1967" i="2" s="1"/>
  <c r="O1968" i="2"/>
  <c r="Q1968" i="2" s="1"/>
  <c r="O1969" i="2"/>
  <c r="Q1969" i="2" s="1"/>
  <c r="O1970" i="2"/>
  <c r="Q1970" i="2" s="1"/>
  <c r="O1971" i="2"/>
  <c r="Q1971" i="2" s="1"/>
  <c r="O1972" i="2"/>
  <c r="Q1972" i="2" s="1"/>
  <c r="O1973" i="2"/>
  <c r="Q1973" i="2" s="1"/>
  <c r="O1974" i="2"/>
  <c r="Q1974" i="2" s="1"/>
  <c r="O1975" i="2"/>
  <c r="Q1975" i="2" s="1"/>
  <c r="O1976" i="2"/>
  <c r="Q1976" i="2" s="1"/>
  <c r="O1977" i="2"/>
  <c r="Q1977" i="2" s="1"/>
  <c r="O1978" i="2"/>
  <c r="Q1978" i="2" s="1"/>
  <c r="O1979" i="2"/>
  <c r="Q1979" i="2" s="1"/>
  <c r="O1980" i="2"/>
  <c r="Q1980" i="2" s="1"/>
  <c r="O1981" i="2"/>
  <c r="Q1981" i="2" s="1"/>
  <c r="O1982" i="2"/>
  <c r="Q1982" i="2" s="1"/>
  <c r="O1983" i="2"/>
  <c r="Q1983" i="2" s="1"/>
  <c r="O1984" i="2"/>
  <c r="Q1984" i="2" s="1"/>
  <c r="O1985" i="2"/>
  <c r="Q1985" i="2" s="1"/>
  <c r="O1986" i="2"/>
  <c r="Q1986" i="2" s="1"/>
  <c r="O1987" i="2"/>
  <c r="Q1987" i="2" s="1"/>
  <c r="O1988" i="2"/>
  <c r="Q1988" i="2" s="1"/>
  <c r="O1989" i="2"/>
  <c r="Q1989" i="2" s="1"/>
  <c r="O1990" i="2"/>
  <c r="Q1990" i="2" s="1"/>
  <c r="O1991" i="2"/>
  <c r="Q1991" i="2" s="1"/>
  <c r="O1992" i="2"/>
  <c r="Q1992" i="2" s="1"/>
  <c r="O1993" i="2"/>
  <c r="Q1993" i="2" s="1"/>
  <c r="O1994" i="2"/>
  <c r="Q1994" i="2" s="1"/>
  <c r="O1995" i="2"/>
  <c r="Q1995" i="2" s="1"/>
  <c r="O1996" i="2"/>
  <c r="Q1996" i="2" s="1"/>
  <c r="O1997" i="2"/>
  <c r="Q1997" i="2" s="1"/>
  <c r="O1998" i="2"/>
  <c r="Q1998" i="2" s="1"/>
  <c r="O1999" i="2"/>
  <c r="Q1999" i="2" s="1"/>
  <c r="O2000" i="2"/>
  <c r="Q2000" i="2" s="1"/>
  <c r="O2001" i="2"/>
  <c r="Q2001" i="2" s="1"/>
  <c r="O2002" i="2"/>
  <c r="Q2002" i="2" s="1"/>
  <c r="O2003" i="2"/>
  <c r="Q2003" i="2" s="1"/>
  <c r="O2004" i="2"/>
  <c r="Q2004" i="2" s="1"/>
  <c r="O2005" i="2"/>
  <c r="Q2005" i="2" s="1"/>
  <c r="O2006" i="2"/>
  <c r="Q2006" i="2" s="1"/>
  <c r="O2007" i="2"/>
  <c r="Q2007" i="2" s="1"/>
  <c r="O2008" i="2"/>
  <c r="Q2008" i="2" s="1"/>
  <c r="O2009" i="2"/>
  <c r="Q2009" i="2" s="1"/>
  <c r="O2010" i="2"/>
  <c r="Q2010" i="2" s="1"/>
  <c r="O2011" i="2"/>
  <c r="Q2011" i="2" s="1"/>
  <c r="O2012" i="2"/>
  <c r="Q2012" i="2" s="1"/>
  <c r="O2013" i="2"/>
  <c r="Q2013" i="2" s="1"/>
  <c r="O2014" i="2"/>
  <c r="Q2014" i="2" s="1"/>
  <c r="O2015" i="2"/>
  <c r="Q2015" i="2" s="1"/>
  <c r="O2016" i="2"/>
  <c r="Q2016" i="2" s="1"/>
  <c r="O2017" i="2"/>
  <c r="Q2017" i="2" s="1"/>
  <c r="O2018" i="2"/>
  <c r="Q2018" i="2" s="1"/>
  <c r="O2019" i="2"/>
  <c r="Q2019" i="2" s="1"/>
  <c r="O2020" i="2"/>
  <c r="Q2020" i="2" s="1"/>
  <c r="O2021" i="2"/>
  <c r="Q2021" i="2" s="1"/>
  <c r="O2022" i="2"/>
  <c r="Q2022" i="2" s="1"/>
  <c r="O2023" i="2"/>
  <c r="Q2023" i="2" s="1"/>
  <c r="O2024" i="2"/>
  <c r="Q2024" i="2" s="1"/>
  <c r="O2025" i="2"/>
  <c r="Q2025" i="2" s="1"/>
  <c r="O2026" i="2"/>
  <c r="Q2026" i="2" s="1"/>
  <c r="O2027" i="2"/>
  <c r="Q2027" i="2" s="1"/>
  <c r="O2028" i="2"/>
  <c r="Q2028" i="2" s="1"/>
  <c r="O2029" i="2"/>
  <c r="Q2029" i="2" s="1"/>
  <c r="O2030" i="2"/>
  <c r="Q2030" i="2" s="1"/>
  <c r="O2031" i="2"/>
  <c r="Q2031" i="2" s="1"/>
  <c r="O2032" i="2"/>
  <c r="Q2032" i="2" s="1"/>
  <c r="O2033" i="2"/>
  <c r="Q2033" i="2" s="1"/>
  <c r="O2034" i="2"/>
  <c r="Q2034" i="2" s="1"/>
  <c r="O2035" i="2"/>
  <c r="Q2035" i="2" s="1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Q2204" i="2" s="1"/>
  <c r="O2205" i="2"/>
  <c r="Q2205" i="2" s="1"/>
  <c r="O2206" i="2"/>
  <c r="Q2206" i="2" s="1"/>
  <c r="O2207" i="2"/>
  <c r="Q2207" i="2" s="1"/>
  <c r="O2208" i="2"/>
  <c r="Q2208" i="2" s="1"/>
  <c r="O2209" i="2"/>
  <c r="Q2209" i="2" s="1"/>
  <c r="O2210" i="2"/>
  <c r="Q2210" i="2" s="1"/>
  <c r="O2211" i="2"/>
  <c r="Q2211" i="2" s="1"/>
  <c r="O2212" i="2"/>
  <c r="Q2212" i="2" s="1"/>
  <c r="O2213" i="2"/>
  <c r="Q2213" i="2" s="1"/>
  <c r="O2214" i="2"/>
  <c r="Q2214" i="2" s="1"/>
  <c r="O2215" i="2"/>
  <c r="Q2215" i="2" s="1"/>
  <c r="O2216" i="2"/>
  <c r="Q2216" i="2" s="1"/>
  <c r="O2217" i="2"/>
  <c r="Q2217" i="2" s="1"/>
  <c r="O2218" i="2"/>
  <c r="Q2218" i="2" s="1"/>
  <c r="O2219" i="2"/>
  <c r="Q2219" i="2" s="1"/>
  <c r="O2220" i="2"/>
  <c r="Q2220" i="2" s="1"/>
  <c r="O2221" i="2"/>
  <c r="Q2221" i="2" s="1"/>
  <c r="O2222" i="2"/>
  <c r="Q2222" i="2" s="1"/>
  <c r="O2223" i="2"/>
  <c r="Q2223" i="2" s="1"/>
  <c r="O2224" i="2"/>
  <c r="Q2224" i="2" s="1"/>
  <c r="O2225" i="2"/>
  <c r="Q2225" i="2" s="1"/>
  <c r="O2226" i="2"/>
  <c r="Q2226" i="2" s="1"/>
  <c r="O2227" i="2"/>
  <c r="Q2227" i="2" s="1"/>
  <c r="O2228" i="2"/>
  <c r="Q2228" i="2" s="1"/>
  <c r="O2229" i="2"/>
  <c r="Q2229" i="2" s="1"/>
  <c r="O2230" i="2"/>
  <c r="Q2230" i="2" s="1"/>
  <c r="O2231" i="2"/>
  <c r="Q2231" i="2" s="1"/>
  <c r="O2232" i="2"/>
  <c r="Q2232" i="2" s="1"/>
  <c r="O2233" i="2"/>
  <c r="Q2233" i="2" s="1"/>
  <c r="O2234" i="2"/>
  <c r="Q2234" i="2" s="1"/>
  <c r="O2235" i="2"/>
  <c r="Q2235" i="2" s="1"/>
  <c r="O2236" i="2"/>
  <c r="Q2236" i="2" s="1"/>
  <c r="O2237" i="2"/>
  <c r="Q2237" i="2" s="1"/>
  <c r="O2238" i="2"/>
  <c r="Q2238" i="2" s="1"/>
  <c r="O2239" i="2"/>
  <c r="Q2239" i="2" s="1"/>
  <c r="O2240" i="2"/>
  <c r="Q2240" i="2" s="1"/>
  <c r="O2241" i="2"/>
  <c r="Q2241" i="2" s="1"/>
  <c r="O2242" i="2"/>
  <c r="Q2242" i="2" s="1"/>
  <c r="O2243" i="2"/>
  <c r="Q2243" i="2" s="1"/>
  <c r="O2244" i="2"/>
  <c r="Q2244" i="2" s="1"/>
  <c r="O2245" i="2"/>
  <c r="Q2245" i="2" s="1"/>
  <c r="O2246" i="2"/>
  <c r="Q2246" i="2" s="1"/>
  <c r="O2247" i="2"/>
  <c r="Q2247" i="2" s="1"/>
  <c r="O2248" i="2"/>
  <c r="Q2248" i="2" s="1"/>
  <c r="O2249" i="2"/>
  <c r="Q2249" i="2" s="1"/>
  <c r="O2250" i="2"/>
  <c r="Q2250" i="2" s="1"/>
  <c r="O2251" i="2"/>
  <c r="Q2251" i="2" s="1"/>
  <c r="O2252" i="2"/>
  <c r="Q2252" i="2" s="1"/>
  <c r="O2253" i="2"/>
  <c r="Q2253" i="2" s="1"/>
  <c r="O2254" i="2"/>
  <c r="Q2254" i="2" s="1"/>
  <c r="O2255" i="2"/>
  <c r="Q2255" i="2" s="1"/>
  <c r="O2256" i="2"/>
  <c r="Q2256" i="2" s="1"/>
  <c r="O2257" i="2"/>
  <c r="Q2257" i="2" s="1"/>
  <c r="O2258" i="2"/>
  <c r="Q2258" i="2" s="1"/>
  <c r="O2259" i="2"/>
  <c r="Q2259" i="2" s="1"/>
  <c r="O2260" i="2"/>
  <c r="Q2260" i="2" s="1"/>
  <c r="O2261" i="2"/>
  <c r="Q2261" i="2" s="1"/>
  <c r="O2262" i="2"/>
  <c r="Q2262" i="2" s="1"/>
  <c r="O2263" i="2"/>
  <c r="Q2263" i="2" s="1"/>
  <c r="O2264" i="2"/>
  <c r="Q2264" i="2" s="1"/>
  <c r="O2265" i="2"/>
  <c r="Q2265" i="2" s="1"/>
  <c r="O2266" i="2"/>
  <c r="Q2266" i="2" s="1"/>
  <c r="O2267" i="2"/>
  <c r="Q2267" i="2" s="1"/>
  <c r="O2268" i="2"/>
  <c r="Q2268" i="2" s="1"/>
  <c r="O2269" i="2"/>
  <c r="Q2269" i="2" s="1"/>
  <c r="O2270" i="2"/>
  <c r="Q2270" i="2" s="1"/>
  <c r="O2271" i="2"/>
  <c r="Q2271" i="2" s="1"/>
  <c r="O2272" i="2"/>
  <c r="Q2272" i="2" s="1"/>
  <c r="O2273" i="2"/>
  <c r="Q2273" i="2" s="1"/>
  <c r="O2274" i="2"/>
  <c r="Q2274" i="2" s="1"/>
  <c r="O2275" i="2"/>
  <c r="Q2275" i="2" s="1"/>
  <c r="O2276" i="2"/>
  <c r="Q2276" i="2" s="1"/>
  <c r="O2277" i="2"/>
  <c r="Q2277" i="2" s="1"/>
  <c r="O2278" i="2"/>
  <c r="Q2278" i="2" s="1"/>
  <c r="O2279" i="2"/>
  <c r="Q2279" i="2" s="1"/>
  <c r="O2280" i="2"/>
  <c r="Q2280" i="2" s="1"/>
  <c r="O2281" i="2"/>
  <c r="Q2281" i="2" s="1"/>
  <c r="O2282" i="2"/>
  <c r="Q2282" i="2" s="1"/>
  <c r="O2283" i="2"/>
  <c r="Q2283" i="2" s="1"/>
  <c r="O2284" i="2"/>
  <c r="Q2284" i="2" s="1"/>
  <c r="O2285" i="2"/>
  <c r="Q2285" i="2" s="1"/>
  <c r="O2286" i="2"/>
  <c r="Q2286" i="2" s="1"/>
  <c r="O2287" i="2"/>
  <c r="Q2287" i="2" s="1"/>
  <c r="O2288" i="2"/>
  <c r="Q2288" i="2" s="1"/>
  <c r="O2289" i="2"/>
  <c r="Q2289" i="2" s="1"/>
  <c r="O2290" i="2"/>
  <c r="Q2290" i="2" s="1"/>
  <c r="O2291" i="2"/>
  <c r="Q2291" i="2" s="1"/>
  <c r="O2292" i="2"/>
  <c r="Q2292" i="2" s="1"/>
  <c r="O2293" i="2"/>
  <c r="Q2293" i="2" s="1"/>
  <c r="O2294" i="2"/>
  <c r="Q2294" i="2" s="1"/>
  <c r="O2295" i="2"/>
  <c r="Q2295" i="2" s="1"/>
  <c r="Q568" i="2" l="1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<sst xmlns="http://schemas.openxmlformats.org/spreadsheetml/2006/main" count="19831" uniqueCount="1816">
  <si>
    <t>LABORATORIO COMERCIAL | DATA ANALYST</t>
  </si>
  <si>
    <t>Base sintética de entrenamiento — Unidad 1 y proyectos posteriores</t>
  </si>
  <si>
    <t>CONTENIDO</t>
  </si>
  <si>
    <t>Ventas: operaciones a nivel de línea de producto (un ticket puede tener varias líneas).</t>
  </si>
  <si>
    <t>Catalogo: productos, categorías, precios y costos de referencia.</t>
  </si>
  <si>
    <t>Clientes: identificadores, segmentos y región habitual.</t>
  </si>
  <si>
    <t>Retos: ejercicios graduados sin soluciones.</t>
  </si>
  <si>
    <t>REGLAS DE TRABAJO</t>
  </si>
  <si>
    <t>1. Conserva este archivo original. Trabaja sobre una copia para las transformaciones.</t>
  </si>
  <si>
    <t>2. Las columnas O, P y Q de Ventas están vacías intencionalmente: calcula ingreso neto, costo total y utilidad bruta.</t>
  </si>
  <si>
    <t>3. Define y documenta cómo tratar cancelaciones y devoluciones antes de sumar ventas.</t>
  </si>
  <si>
    <t>4. Existen incidencias sembradas a propósito: valores ausentes, duplicados sospechosos y datos inconsistentes.</t>
  </si>
  <si>
    <t>5. No elimines filas ni rellenes datos faltantes sin documentar el criterio.</t>
  </si>
  <si>
    <t>6. No uses el catálogo como sustituto automático del precio real de una transacción.</t>
  </si>
  <si>
    <t>ALCANCE</t>
  </si>
  <si>
    <t>2,294 líneas de venta, 950 tickets generados, 100 productos y 260 clientes.</t>
  </si>
  <si>
    <t>Periodo: enero a septiembre de 2026. Moneda de práctica: MXN.</t>
  </si>
  <si>
    <t>Los datos son ficticios; no representan una empresa real.</t>
  </si>
  <si>
    <t>Ticket</t>
  </si>
  <si>
    <t>Linea</t>
  </si>
  <si>
    <t>Fecha</t>
  </si>
  <si>
    <t>Cliente_ID</t>
  </si>
  <si>
    <t>Producto_ID</t>
  </si>
  <si>
    <t>Region</t>
  </si>
  <si>
    <t>Canal</t>
  </si>
  <si>
    <t>Vendedor</t>
  </si>
  <si>
    <t>Unidades</t>
  </si>
  <si>
    <t>Precio_unitario</t>
  </si>
  <si>
    <t>Descuento_pct</t>
  </si>
  <si>
    <t>Costo_unitario</t>
  </si>
  <si>
    <t>Estado</t>
  </si>
  <si>
    <t>Metodo_pago</t>
  </si>
  <si>
    <t>Ingreso_neto</t>
  </si>
  <si>
    <t>Costo_total</t>
  </si>
  <si>
    <t>Utilidad_bruta</t>
  </si>
  <si>
    <t>Observacion</t>
  </si>
  <si>
    <t>T-10000</t>
  </si>
  <si>
    <t>C0241</t>
  </si>
  <si>
    <t>P0077</t>
  </si>
  <si>
    <t>Sur</t>
  </si>
  <si>
    <t>Distribuidor</t>
  </si>
  <si>
    <t>Elena</t>
  </si>
  <si>
    <t>Completada</t>
  </si>
  <si>
    <t>Efectivo</t>
  </si>
  <si>
    <t>P0013</t>
  </si>
  <si>
    <t>Credito</t>
  </si>
  <si>
    <t>P0076</t>
  </si>
  <si>
    <t>T-10001</t>
  </si>
  <si>
    <t>C0075</t>
  </si>
  <si>
    <t>P0034</t>
  </si>
  <si>
    <t>Tienda</t>
  </si>
  <si>
    <t>Irene</t>
  </si>
  <si>
    <t>Tarjeta</t>
  </si>
  <si>
    <t>T-10002</t>
  </si>
  <si>
    <t>C0237</t>
  </si>
  <si>
    <t>P0045</t>
  </si>
  <si>
    <t>Occidente</t>
  </si>
  <si>
    <t>Web</t>
  </si>
  <si>
    <t>Gabriela</t>
  </si>
  <si>
    <t>P0069</t>
  </si>
  <si>
    <t>Transferencia</t>
  </si>
  <si>
    <t>P0058</t>
  </si>
  <si>
    <t>Cancelada</t>
  </si>
  <si>
    <t>T-10003</t>
  </si>
  <si>
    <t>C0105</t>
  </si>
  <si>
    <t>P0028</t>
  </si>
  <si>
    <t>Centro</t>
  </si>
  <si>
    <t>Hector</t>
  </si>
  <si>
    <t>P0051</t>
  </si>
  <si>
    <t>P0048</t>
  </si>
  <si>
    <t>P0047</t>
  </si>
  <si>
    <t>T-10004</t>
  </si>
  <si>
    <t>C0209</t>
  </si>
  <si>
    <t>Carla</t>
  </si>
  <si>
    <t>T-10005</t>
  </si>
  <si>
    <t>C0011</t>
  </si>
  <si>
    <t>P0041</t>
  </si>
  <si>
    <t>Norte</t>
  </si>
  <si>
    <t>P0054</t>
  </si>
  <si>
    <t>T-10006</t>
  </si>
  <si>
    <t>C0184</t>
  </si>
  <si>
    <t>P0075</t>
  </si>
  <si>
    <t>Diego</t>
  </si>
  <si>
    <t>P0083</t>
  </si>
  <si>
    <t>P0095</t>
  </si>
  <si>
    <t>P0044</t>
  </si>
  <si>
    <t>P0086</t>
  </si>
  <si>
    <t>T-10007</t>
  </si>
  <si>
    <t>C0041</t>
  </si>
  <si>
    <t>P0007</t>
  </si>
  <si>
    <t>P0063</t>
  </si>
  <si>
    <t>T-10008</t>
  </si>
  <si>
    <t>C0100</t>
  </si>
  <si>
    <t>P0004</t>
  </si>
  <si>
    <t>P0068</t>
  </si>
  <si>
    <t>T-10009</t>
  </si>
  <si>
    <t>C0043</t>
  </si>
  <si>
    <t>P0085</t>
  </si>
  <si>
    <t>P0100</t>
  </si>
  <si>
    <t>T-10010</t>
  </si>
  <si>
    <t>C0082</t>
  </si>
  <si>
    <t>P0009</t>
  </si>
  <si>
    <t>Bruno</t>
  </si>
  <si>
    <t>P0093</t>
  </si>
  <si>
    <t>T-10011</t>
  </si>
  <si>
    <t>C0103</t>
  </si>
  <si>
    <t>P0014</t>
  </si>
  <si>
    <t>T-10012</t>
  </si>
  <si>
    <t>C0062</t>
  </si>
  <si>
    <t>P0087</t>
  </si>
  <si>
    <t>P0024</t>
  </si>
  <si>
    <t>T-10013</t>
  </si>
  <si>
    <t>C0242</t>
  </si>
  <si>
    <t>P0067</t>
  </si>
  <si>
    <t>P0065</t>
  </si>
  <si>
    <t>P0072</t>
  </si>
  <si>
    <t>Devuelta</t>
  </si>
  <si>
    <t>T-10014</t>
  </si>
  <si>
    <t>C0250</t>
  </si>
  <si>
    <t>P0060</t>
  </si>
  <si>
    <t>P0080</t>
  </si>
  <si>
    <t>T-10015</t>
  </si>
  <si>
    <t>C0010</t>
  </si>
  <si>
    <t>P0066</t>
  </si>
  <si>
    <t>Jorge</t>
  </si>
  <si>
    <t>P0036</t>
  </si>
  <si>
    <t>T-10016</t>
  </si>
  <si>
    <t>C0221</t>
  </si>
  <si>
    <t>P0078</t>
  </si>
  <si>
    <t>Fabian</t>
  </si>
  <si>
    <t>T-10017</t>
  </si>
  <si>
    <t>C0090</t>
  </si>
  <si>
    <t>P0012</t>
  </si>
  <si>
    <t>P0039</t>
  </si>
  <si>
    <t>P0046</t>
  </si>
  <si>
    <t>P0098</t>
  </si>
  <si>
    <t>T-10018</t>
  </si>
  <si>
    <t>C0037</t>
  </si>
  <si>
    <t>P0050</t>
  </si>
  <si>
    <t>P0099</t>
  </si>
  <si>
    <t>P0097</t>
  </si>
  <si>
    <t>T-10019</t>
  </si>
  <si>
    <t>C0093</t>
  </si>
  <si>
    <t>P0035</t>
  </si>
  <si>
    <t>P0033</t>
  </si>
  <si>
    <t>Precio faltante: verificar fuente</t>
  </si>
  <si>
    <t>T-10020</t>
  </si>
  <si>
    <t>C0086</t>
  </si>
  <si>
    <t>P0043</t>
  </si>
  <si>
    <t>T-10021</t>
  </si>
  <si>
    <t>C0167</t>
  </si>
  <si>
    <t>P0027</t>
  </si>
  <si>
    <t>P0022</t>
  </si>
  <si>
    <t>T-10022</t>
  </si>
  <si>
    <t>C0160</t>
  </si>
  <si>
    <t>P0029</t>
  </si>
  <si>
    <t>P0064</t>
  </si>
  <si>
    <t>T-10023</t>
  </si>
  <si>
    <t>C0175</t>
  </si>
  <si>
    <t>P0038</t>
  </si>
  <si>
    <t>P0053</t>
  </si>
  <si>
    <t>T-10024</t>
  </si>
  <si>
    <t>C0210</t>
  </si>
  <si>
    <t>P0005</t>
  </si>
  <si>
    <t>P0003</t>
  </si>
  <si>
    <t>T-10025</t>
  </si>
  <si>
    <t>C0148</t>
  </si>
  <si>
    <t>P0026</t>
  </si>
  <si>
    <t>T-10026</t>
  </si>
  <si>
    <t>C0004</t>
  </si>
  <si>
    <t>T-10027</t>
  </si>
  <si>
    <t>C0133</t>
  </si>
  <si>
    <t>P0089</t>
  </si>
  <si>
    <t>T-10028</t>
  </si>
  <si>
    <t>C0246</t>
  </si>
  <si>
    <t>P0049</t>
  </si>
  <si>
    <t>T-10029</t>
  </si>
  <si>
    <t>C0016</t>
  </si>
  <si>
    <t>T-10030</t>
  </si>
  <si>
    <t>C0245</t>
  </si>
  <si>
    <t>P0042</t>
  </si>
  <si>
    <t>T-10031</t>
  </si>
  <si>
    <t>C0048</t>
  </si>
  <si>
    <t>P0002</t>
  </si>
  <si>
    <t>Ana</t>
  </si>
  <si>
    <t>P0018</t>
  </si>
  <si>
    <t>T-10032</t>
  </si>
  <si>
    <t>C0025</t>
  </si>
  <si>
    <t>T-10033</t>
  </si>
  <si>
    <t>C0219</t>
  </si>
  <si>
    <t>T-10034</t>
  </si>
  <si>
    <t>C0107</t>
  </si>
  <si>
    <t>T-10035</t>
  </si>
  <si>
    <t>P0052</t>
  </si>
  <si>
    <t>T-10036</t>
  </si>
  <si>
    <t>C0023</t>
  </si>
  <si>
    <t>P0008</t>
  </si>
  <si>
    <t>T-10037</t>
  </si>
  <si>
    <t>C0192</t>
  </si>
  <si>
    <t>T-10038</t>
  </si>
  <si>
    <t>C0064</t>
  </si>
  <si>
    <t>T-10039</t>
  </si>
  <si>
    <t>C0051</t>
  </si>
  <si>
    <t>P0031</t>
  </si>
  <si>
    <t>T-10040</t>
  </si>
  <si>
    <t>C0228</t>
  </si>
  <si>
    <t>P0091</t>
  </si>
  <si>
    <t>T-10041</t>
  </si>
  <si>
    <t>P0017</t>
  </si>
  <si>
    <t>T-10042</t>
  </si>
  <si>
    <t>Costo faltante: no estimar sin autorizacion</t>
  </si>
  <si>
    <t>P0030</t>
  </si>
  <si>
    <t>P0079</t>
  </si>
  <si>
    <t>T-10043</t>
  </si>
  <si>
    <t>C0212</t>
  </si>
  <si>
    <t>T-10044</t>
  </si>
  <si>
    <t>P0040</t>
  </si>
  <si>
    <t>P0059</t>
  </si>
  <si>
    <t>P0090</t>
  </si>
  <si>
    <t>T-10045</t>
  </si>
  <si>
    <t>C0180</t>
  </si>
  <si>
    <t>T-10046</t>
  </si>
  <si>
    <t>C0125</t>
  </si>
  <si>
    <t>P0001</t>
  </si>
  <si>
    <t>T-10047</t>
  </si>
  <si>
    <t>C0137</t>
  </si>
  <si>
    <t>P0092</t>
  </si>
  <si>
    <t>P0081</t>
  </si>
  <si>
    <t>T-10048</t>
  </si>
  <si>
    <t>T-10049</t>
  </si>
  <si>
    <t>C0236</t>
  </si>
  <si>
    <t>T-10050</t>
  </si>
  <si>
    <t>C0196</t>
  </si>
  <si>
    <t>P0055</t>
  </si>
  <si>
    <t>T-10051</t>
  </si>
  <si>
    <t>C0106</t>
  </si>
  <si>
    <t>P0073</t>
  </si>
  <si>
    <t>T-10052</t>
  </si>
  <si>
    <t>C0005</t>
  </si>
  <si>
    <t>T-10053</t>
  </si>
  <si>
    <t>C0142</t>
  </si>
  <si>
    <t>T-10054</t>
  </si>
  <si>
    <t>C0140</t>
  </si>
  <si>
    <t>T-10055</t>
  </si>
  <si>
    <t>C0026</t>
  </si>
  <si>
    <t>P0074</t>
  </si>
  <si>
    <t>T-10056</t>
  </si>
  <si>
    <t>C0117</t>
  </si>
  <si>
    <t>P0019</t>
  </si>
  <si>
    <t>T-10057</t>
  </si>
  <si>
    <t>C0226</t>
  </si>
  <si>
    <t>T-10058</t>
  </si>
  <si>
    <t>C0070</t>
  </si>
  <si>
    <t>P0094</t>
  </si>
  <si>
    <t>T-10059</t>
  </si>
  <si>
    <t>C0058</t>
  </si>
  <si>
    <t>P0037</t>
  </si>
  <si>
    <t>T-10060</t>
  </si>
  <si>
    <t>P0025</t>
  </si>
  <si>
    <t>T-10061</t>
  </si>
  <si>
    <t>T-10062</t>
  </si>
  <si>
    <t>C0169</t>
  </si>
  <si>
    <t>P0071</t>
  </si>
  <si>
    <t>T-10063</t>
  </si>
  <si>
    <t>C0021</t>
  </si>
  <si>
    <t>T-10064</t>
  </si>
  <si>
    <t>C0007</t>
  </si>
  <si>
    <t>T-10065</t>
  </si>
  <si>
    <t>C0033</t>
  </si>
  <si>
    <t>T-10066</t>
  </si>
  <si>
    <t>C0191</t>
  </si>
  <si>
    <t>P0084</t>
  </si>
  <si>
    <t>P0082</t>
  </si>
  <si>
    <t>P0015</t>
  </si>
  <si>
    <t>T-10067</t>
  </si>
  <si>
    <t>T-10068</t>
  </si>
  <si>
    <t>C0020</t>
  </si>
  <si>
    <t>P0062</t>
  </si>
  <si>
    <t>T-10069</t>
  </si>
  <si>
    <t>C0230</t>
  </si>
  <si>
    <t>T-10070</t>
  </si>
  <si>
    <t>C0257</t>
  </si>
  <si>
    <t>P0088</t>
  </si>
  <si>
    <t>T-10071</t>
  </si>
  <si>
    <t>C0224</t>
  </si>
  <si>
    <t>T-10072</t>
  </si>
  <si>
    <t>T-10073</t>
  </si>
  <si>
    <t>C0187</t>
  </si>
  <si>
    <t>T-10074</t>
  </si>
  <si>
    <t>C0008</t>
  </si>
  <si>
    <t>T-10075</t>
  </si>
  <si>
    <t>C0116</t>
  </si>
  <si>
    <t>T-10076</t>
  </si>
  <si>
    <t>P0070</t>
  </si>
  <si>
    <t>T-10077</t>
  </si>
  <si>
    <t>C0002</t>
  </si>
  <si>
    <t>T-10078</t>
  </si>
  <si>
    <t>T-10079</t>
  </si>
  <si>
    <t>C0233</t>
  </si>
  <si>
    <t>T-10080</t>
  </si>
  <si>
    <t>C0214</t>
  </si>
  <si>
    <t>T-10081</t>
  </si>
  <si>
    <t>C0234</t>
  </si>
  <si>
    <t>T-10082</t>
  </si>
  <si>
    <t>C0158</t>
  </si>
  <si>
    <t>T-10083</t>
  </si>
  <si>
    <t>T-10084</t>
  </si>
  <si>
    <t>C0146</t>
  </si>
  <si>
    <t>T-10085</t>
  </si>
  <si>
    <t>C0094</t>
  </si>
  <si>
    <t>T-10086</t>
  </si>
  <si>
    <t>T-10087</t>
  </si>
  <si>
    <t>C0126</t>
  </si>
  <si>
    <t>T-10088</t>
  </si>
  <si>
    <t>C0197</t>
  </si>
  <si>
    <t>T-10089</t>
  </si>
  <si>
    <t>C0186</t>
  </si>
  <si>
    <t>T-10090</t>
  </si>
  <si>
    <t>T-10091</t>
  </si>
  <si>
    <t>C0190</t>
  </si>
  <si>
    <t>P0006</t>
  </si>
  <si>
    <t>P0021</t>
  </si>
  <si>
    <t>T-10092</t>
  </si>
  <si>
    <t>T-10093</t>
  </si>
  <si>
    <t>C0095</t>
  </si>
  <si>
    <t>T-10094</t>
  </si>
  <si>
    <t>P0016</t>
  </si>
  <si>
    <t>T-10095</t>
  </si>
  <si>
    <t>T-10096</t>
  </si>
  <si>
    <t>C0049</t>
  </si>
  <si>
    <t>T-10097</t>
  </si>
  <si>
    <t>T-10098</t>
  </si>
  <si>
    <t>C0080</t>
  </si>
  <si>
    <t>T-10099</t>
  </si>
  <si>
    <t>C0115</t>
  </si>
  <si>
    <t>P0096</t>
  </si>
  <si>
    <t>T-10100</t>
  </si>
  <si>
    <t>C0131</t>
  </si>
  <si>
    <t>T-10101</t>
  </si>
  <si>
    <t>C0044</t>
  </si>
  <si>
    <t>T-10102</t>
  </si>
  <si>
    <t>T-10103</t>
  </si>
  <si>
    <t>C0057</t>
  </si>
  <si>
    <t>T-10104</t>
  </si>
  <si>
    <t>C0149</t>
  </si>
  <si>
    <t>T-10105</t>
  </si>
  <si>
    <t>P0032</t>
  </si>
  <si>
    <t>T-10106</t>
  </si>
  <si>
    <t>C0019</t>
  </si>
  <si>
    <t>T-10107</t>
  </si>
  <si>
    <t>C0032</t>
  </si>
  <si>
    <t>T-10108</t>
  </si>
  <si>
    <t>C0132</t>
  </si>
  <si>
    <t>P0011</t>
  </si>
  <si>
    <t>T-10109</t>
  </si>
  <si>
    <t>C0229</t>
  </si>
  <si>
    <t>T-10110</t>
  </si>
  <si>
    <t>C0183</t>
  </si>
  <si>
    <t>T-10111</t>
  </si>
  <si>
    <t>C0216</t>
  </si>
  <si>
    <t>T-10112</t>
  </si>
  <si>
    <t>C0134</t>
  </si>
  <si>
    <t>T-10113</t>
  </si>
  <si>
    <t>T-10114</t>
  </si>
  <si>
    <t>T-10115</t>
  </si>
  <si>
    <t>T-10116</t>
  </si>
  <si>
    <t>C0040</t>
  </si>
  <si>
    <t>P0010</t>
  </si>
  <si>
    <t>T-10117</t>
  </si>
  <si>
    <t>C0024</t>
  </si>
  <si>
    <t>T-10118</t>
  </si>
  <si>
    <t>Cantidad negativa: verificar devolucion</t>
  </si>
  <si>
    <t>T-10119</t>
  </si>
  <si>
    <t>C0003</t>
  </si>
  <si>
    <t>T-10120</t>
  </si>
  <si>
    <t>C0150</t>
  </si>
  <si>
    <t>T-10121</t>
  </si>
  <si>
    <t>C0087</t>
  </si>
  <si>
    <t>P0061</t>
  </si>
  <si>
    <t>T-10122</t>
  </si>
  <si>
    <t>C0073</t>
  </si>
  <si>
    <t>T-10123</t>
  </si>
  <si>
    <t>C0099</t>
  </si>
  <si>
    <t>T-10124</t>
  </si>
  <si>
    <t>C0035</t>
  </si>
  <si>
    <t>T-10125</t>
  </si>
  <si>
    <t>C0027</t>
  </si>
  <si>
    <t>T-10126</t>
  </si>
  <si>
    <t>C0017</t>
  </si>
  <si>
    <t>T-10127</t>
  </si>
  <si>
    <t>C0069</t>
  </si>
  <si>
    <t>T-10128</t>
  </si>
  <si>
    <t>C0240</t>
  </si>
  <si>
    <t>T-10129</t>
  </si>
  <si>
    <t>C0114</t>
  </si>
  <si>
    <t>T-10130</t>
  </si>
  <si>
    <t>C0012</t>
  </si>
  <si>
    <t>P0023</t>
  </si>
  <si>
    <t>T-10131</t>
  </si>
  <si>
    <t>T-10132</t>
  </si>
  <si>
    <t>C0222</t>
  </si>
  <si>
    <t>T-10133</t>
  </si>
  <si>
    <t>C0123</t>
  </si>
  <si>
    <t>P0020</t>
  </si>
  <si>
    <t>T-10134</t>
  </si>
  <si>
    <t>Posible duplicado exacto de linea (investigar)</t>
  </si>
  <si>
    <t>T-10135</t>
  </si>
  <si>
    <t>T-10136</t>
  </si>
  <si>
    <t>C0139</t>
  </si>
  <si>
    <t>T-10137</t>
  </si>
  <si>
    <t>P0056</t>
  </si>
  <si>
    <t>T-10138</t>
  </si>
  <si>
    <t>C0151</t>
  </si>
  <si>
    <t>T-10139</t>
  </si>
  <si>
    <t>C0172</t>
  </si>
  <si>
    <t>T-10140</t>
  </si>
  <si>
    <t>T-10141</t>
  </si>
  <si>
    <t>T-10142</t>
  </si>
  <si>
    <t>C0256</t>
  </si>
  <si>
    <t>T-10143</t>
  </si>
  <si>
    <t>T-10144</t>
  </si>
  <si>
    <t>T-10145</t>
  </si>
  <si>
    <t>T-10146</t>
  </si>
  <si>
    <t>C0119</t>
  </si>
  <si>
    <t>T-10147</t>
  </si>
  <si>
    <t>T-10148</t>
  </si>
  <si>
    <t>T-10149</t>
  </si>
  <si>
    <t>T-10150</t>
  </si>
  <si>
    <t>T-10151</t>
  </si>
  <si>
    <t>C0202</t>
  </si>
  <si>
    <t>T-10152</t>
  </si>
  <si>
    <t>T-10153</t>
  </si>
  <si>
    <t>T-10154</t>
  </si>
  <si>
    <t>T-10155</t>
  </si>
  <si>
    <t>T-10156</t>
  </si>
  <si>
    <t>C0113</t>
  </si>
  <si>
    <t>T-10157</t>
  </si>
  <si>
    <t>T-10158</t>
  </si>
  <si>
    <t>C0046</t>
  </si>
  <si>
    <t>T-10159</t>
  </si>
  <si>
    <t>T-10160</t>
  </si>
  <si>
    <t>C0074</t>
  </si>
  <si>
    <t>T-10161</t>
  </si>
  <si>
    <t>T-10162</t>
  </si>
  <si>
    <t>C0112</t>
  </si>
  <si>
    <t>T-10163</t>
  </si>
  <si>
    <t>C0135</t>
  </si>
  <si>
    <t>T-10164</t>
  </si>
  <si>
    <t>T-10165</t>
  </si>
  <si>
    <t>T-10166</t>
  </si>
  <si>
    <t>C0178</t>
  </si>
  <si>
    <t>T-10167</t>
  </si>
  <si>
    <t>C0121</t>
  </si>
  <si>
    <t>T-10168</t>
  </si>
  <si>
    <t>T-10169</t>
  </si>
  <si>
    <t>T-10170</t>
  </si>
  <si>
    <t>T-10171</t>
  </si>
  <si>
    <t>C0143</t>
  </si>
  <si>
    <t>T-10172</t>
  </si>
  <si>
    <t>T-10173</t>
  </si>
  <si>
    <t>C0053</t>
  </si>
  <si>
    <t>T-10174</t>
  </si>
  <si>
    <t>C0077</t>
  </si>
  <si>
    <t>T-10175</t>
  </si>
  <si>
    <t>T-10176</t>
  </si>
  <si>
    <t>C0089</t>
  </si>
  <si>
    <t>T-10177</t>
  </si>
  <si>
    <t>T-10178</t>
  </si>
  <si>
    <t>T-10179</t>
  </si>
  <si>
    <t>T-10180</t>
  </si>
  <si>
    <t>T-10181</t>
  </si>
  <si>
    <t>T-10182</t>
  </si>
  <si>
    <t>C0249</t>
  </si>
  <si>
    <t>T-10183</t>
  </si>
  <si>
    <t>C0050</t>
  </si>
  <si>
    <t>T-10184</t>
  </si>
  <si>
    <t>C0195</t>
  </si>
  <si>
    <t>T-10185</t>
  </si>
  <si>
    <t>C0181</t>
  </si>
  <si>
    <t>T-10186</t>
  </si>
  <si>
    <t>C0207</t>
  </si>
  <si>
    <t>T-10187</t>
  </si>
  <si>
    <t>C0238</t>
  </si>
  <si>
    <t>T-10188</t>
  </si>
  <si>
    <t>C0166</t>
  </si>
  <si>
    <t>T-10189</t>
  </si>
  <si>
    <t>C0225</t>
  </si>
  <si>
    <t>T-10190</t>
  </si>
  <si>
    <t>T-10191</t>
  </si>
  <si>
    <t>C0078</t>
  </si>
  <si>
    <t>T-10192</t>
  </si>
  <si>
    <t>T-10193</t>
  </si>
  <si>
    <t>C0009</t>
  </si>
  <si>
    <t>T-10194</t>
  </si>
  <si>
    <t>T-10195</t>
  </si>
  <si>
    <t>C0198</t>
  </si>
  <si>
    <t>T-10196</t>
  </si>
  <si>
    <t>C0098</t>
  </si>
  <si>
    <t>T-10197</t>
  </si>
  <si>
    <t>T-10198</t>
  </si>
  <si>
    <t>T-10199</t>
  </si>
  <si>
    <t>C0155</t>
  </si>
  <si>
    <t>T-10200</t>
  </si>
  <si>
    <t>T-10201</t>
  </si>
  <si>
    <t>T-10202</t>
  </si>
  <si>
    <t>C0162</t>
  </si>
  <si>
    <t>T-10203</t>
  </si>
  <si>
    <t>C0108</t>
  </si>
  <si>
    <t>T-10204</t>
  </si>
  <si>
    <t>T-10205</t>
  </si>
  <si>
    <t>T-10206</t>
  </si>
  <si>
    <t>T-10207</t>
  </si>
  <si>
    <t>T-10208</t>
  </si>
  <si>
    <t>T-10209</t>
  </si>
  <si>
    <t>C0001</t>
  </si>
  <si>
    <t>T-10210</t>
  </si>
  <si>
    <t>T-10211</t>
  </si>
  <si>
    <t>T-10212</t>
  </si>
  <si>
    <t>C0084</t>
  </si>
  <si>
    <t>T-10213</t>
  </si>
  <si>
    <t>T-10214</t>
  </si>
  <si>
    <t>T-10215</t>
  </si>
  <si>
    <t>C0096</t>
  </si>
  <si>
    <t>T-10216</t>
  </si>
  <si>
    <t>C0083</t>
  </si>
  <si>
    <t>T-10217</t>
  </si>
  <si>
    <t>T-10218</t>
  </si>
  <si>
    <t>C0045</t>
  </si>
  <si>
    <t>T-10219</t>
  </si>
  <si>
    <t>C0152</t>
  </si>
  <si>
    <t>T-10220</t>
  </si>
  <si>
    <t>T-10221</t>
  </si>
  <si>
    <t>C0154</t>
  </si>
  <si>
    <t>T-10222</t>
  </si>
  <si>
    <t>C0164</t>
  </si>
  <si>
    <t>T-10223</t>
  </si>
  <si>
    <t>C0068</t>
  </si>
  <si>
    <t>P0057</t>
  </si>
  <si>
    <t>T-10224</t>
  </si>
  <si>
    <t>T-10225</t>
  </si>
  <si>
    <t>C0200</t>
  </si>
  <si>
    <t>T-10226</t>
  </si>
  <si>
    <t>C0088</t>
  </si>
  <si>
    <t>T-10227</t>
  </si>
  <si>
    <t>C0018</t>
  </si>
  <si>
    <t>T-10228</t>
  </si>
  <si>
    <t>C0252</t>
  </si>
  <si>
    <t>T-10229</t>
  </si>
  <si>
    <t>T-10230</t>
  </si>
  <si>
    <t>T-10231</t>
  </si>
  <si>
    <t>C0206</t>
  </si>
  <si>
    <t>T-10232</t>
  </si>
  <si>
    <t>T-10233</t>
  </si>
  <si>
    <t>T-10234</t>
  </si>
  <si>
    <t>C0254</t>
  </si>
  <si>
    <t>T-10235</t>
  </si>
  <si>
    <t>T-10236</t>
  </si>
  <si>
    <t>C0081</t>
  </si>
  <si>
    <t>T-10237</t>
  </si>
  <si>
    <t>T-10238</t>
  </si>
  <si>
    <t>T-10239</t>
  </si>
  <si>
    <t>T-10240</t>
  </si>
  <si>
    <t>C0189</t>
  </si>
  <si>
    <t>T-10241</t>
  </si>
  <si>
    <t>C0036</t>
  </si>
  <si>
    <t>T-10242</t>
  </si>
  <si>
    <t>T-10243</t>
  </si>
  <si>
    <t>T-10244</t>
  </si>
  <si>
    <t>C0215</t>
  </si>
  <si>
    <t>T-10245</t>
  </si>
  <si>
    <t>C0061</t>
  </si>
  <si>
    <t>T-10246</t>
  </si>
  <si>
    <t>C0147</t>
  </si>
  <si>
    <t>T-10247</t>
  </si>
  <si>
    <t>C0014</t>
  </si>
  <si>
    <t>T-10248</t>
  </si>
  <si>
    <t>T-10249</t>
  </si>
  <si>
    <t>T-10250</t>
  </si>
  <si>
    <t>T-10251</t>
  </si>
  <si>
    <t>T-10252</t>
  </si>
  <si>
    <t>C0065</t>
  </si>
  <si>
    <t>T-10253</t>
  </si>
  <si>
    <t>T-10254</t>
  </si>
  <si>
    <t>T-10255</t>
  </si>
  <si>
    <t>C0034</t>
  </si>
  <si>
    <t>T-10256</t>
  </si>
  <si>
    <t>T-10257</t>
  </si>
  <si>
    <t>T-10258</t>
  </si>
  <si>
    <t>P9999</t>
  </si>
  <si>
    <t>Producto no encontrado en catalogo</t>
  </si>
  <si>
    <t>T-10259</t>
  </si>
  <si>
    <t>T-10260</t>
  </si>
  <si>
    <t>T-10261</t>
  </si>
  <si>
    <t>C0213</t>
  </si>
  <si>
    <t>T-10262</t>
  </si>
  <si>
    <t>T-10263</t>
  </si>
  <si>
    <t>T-10264</t>
  </si>
  <si>
    <t>T-10265</t>
  </si>
  <si>
    <t>T-10266</t>
  </si>
  <si>
    <t>T-10267</t>
  </si>
  <si>
    <t>T-10268</t>
  </si>
  <si>
    <t>C0176</t>
  </si>
  <si>
    <t>T-10269</t>
  </si>
  <si>
    <t>T-10270</t>
  </si>
  <si>
    <t>C0141</t>
  </si>
  <si>
    <t>T-10271</t>
  </si>
  <si>
    <t>C0076</t>
  </si>
  <si>
    <t>T-10272</t>
  </si>
  <si>
    <t>T-10273</t>
  </si>
  <si>
    <t>T-10274</t>
  </si>
  <si>
    <t>T-10275</t>
  </si>
  <si>
    <t>T-10276</t>
  </si>
  <si>
    <t>T-10277</t>
  </si>
  <si>
    <t>C0251</t>
  </si>
  <si>
    <t>T-10278</t>
  </si>
  <si>
    <t>C0232</t>
  </si>
  <si>
    <t>T-10279</t>
  </si>
  <si>
    <t>T-10280</t>
  </si>
  <si>
    <t>C0104</t>
  </si>
  <si>
    <t>T-10281</t>
  </si>
  <si>
    <t>C0055</t>
  </si>
  <si>
    <t>T-10282</t>
  </si>
  <si>
    <t>C0039</t>
  </si>
  <si>
    <t>T-10283</t>
  </si>
  <si>
    <t>T-10284</t>
  </si>
  <si>
    <t>C0165</t>
  </si>
  <si>
    <t>T-10285</t>
  </si>
  <si>
    <t>C0177</t>
  </si>
  <si>
    <t>T-10286</t>
  </si>
  <si>
    <t>T-10287</t>
  </si>
  <si>
    <t>C0091</t>
  </si>
  <si>
    <t>T-10288</t>
  </si>
  <si>
    <t>T-10289</t>
  </si>
  <si>
    <t>C0247</t>
  </si>
  <si>
    <t>T-10290</t>
  </si>
  <si>
    <t>C0243</t>
  </si>
  <si>
    <t>T-10291</t>
  </si>
  <si>
    <t>T-10292</t>
  </si>
  <si>
    <t>T-10293</t>
  </si>
  <si>
    <t>C0047</t>
  </si>
  <si>
    <t>T-10294</t>
  </si>
  <si>
    <t>T-10295</t>
  </si>
  <si>
    <t>T-10296</t>
  </si>
  <si>
    <t>T-10297</t>
  </si>
  <si>
    <t>C0071</t>
  </si>
  <si>
    <t>T-10298</t>
  </si>
  <si>
    <t>T-10299</t>
  </si>
  <si>
    <t>T-10300</t>
  </si>
  <si>
    <t>C0120</t>
  </si>
  <si>
    <t>T-10301</t>
  </si>
  <si>
    <t>T-10302</t>
  </si>
  <si>
    <t>T-10303</t>
  </si>
  <si>
    <t>T-10304</t>
  </si>
  <si>
    <t>T-10305</t>
  </si>
  <si>
    <t>T-10306</t>
  </si>
  <si>
    <t>C0171</t>
  </si>
  <si>
    <t>T-10307</t>
  </si>
  <si>
    <t>T-10308</t>
  </si>
  <si>
    <t>T-10309</t>
  </si>
  <si>
    <t>T-10310</t>
  </si>
  <si>
    <t>T-10311</t>
  </si>
  <si>
    <t>C0101</t>
  </si>
  <si>
    <t>T-10312</t>
  </si>
  <si>
    <t>C0235</t>
  </si>
  <si>
    <t>T-10313</t>
  </si>
  <si>
    <t>C0067</t>
  </si>
  <si>
    <t>T-10314</t>
  </si>
  <si>
    <t>C0253</t>
  </si>
  <si>
    <t>T-10315</t>
  </si>
  <si>
    <t>C0244</t>
  </si>
  <si>
    <t>T-10316</t>
  </si>
  <si>
    <t>T-10317</t>
  </si>
  <si>
    <t>C0211</t>
  </si>
  <si>
    <t>T-10318</t>
  </si>
  <si>
    <t>T-10319</t>
  </si>
  <si>
    <t>T-10320</t>
  </si>
  <si>
    <t>C0031</t>
  </si>
  <si>
    <t>T-10321</t>
  </si>
  <si>
    <t>T-10322</t>
  </si>
  <si>
    <t>T-10323</t>
  </si>
  <si>
    <t>C0185</t>
  </si>
  <si>
    <t>T-10324</t>
  </si>
  <si>
    <t>T-10325</t>
  </si>
  <si>
    <t>T-10326</t>
  </si>
  <si>
    <t>T-10327</t>
  </si>
  <si>
    <t>T-10328</t>
  </si>
  <si>
    <t>T-10329</t>
  </si>
  <si>
    <t>T-10330</t>
  </si>
  <si>
    <t>C0042</t>
  </si>
  <si>
    <t>T-10331</t>
  </si>
  <si>
    <t>C0239</t>
  </si>
  <si>
    <t>T-10332</t>
  </si>
  <si>
    <t>T-10333</t>
  </si>
  <si>
    <t>T-10334</t>
  </si>
  <si>
    <t>T-10335</t>
  </si>
  <si>
    <t>T-10336</t>
  </si>
  <si>
    <t>T-10337</t>
  </si>
  <si>
    <t>T-10338</t>
  </si>
  <si>
    <t>T-10339</t>
  </si>
  <si>
    <t>T-10340</t>
  </si>
  <si>
    <t>T-10341</t>
  </si>
  <si>
    <t>T-10342</t>
  </si>
  <si>
    <t>T-10343</t>
  </si>
  <si>
    <t>C0188</t>
  </si>
  <si>
    <t>T-10344</t>
  </si>
  <si>
    <t>T-10345</t>
  </si>
  <si>
    <t>T-10346</t>
  </si>
  <si>
    <t>T-10347</t>
  </si>
  <si>
    <t>T-10348</t>
  </si>
  <si>
    <t>C0223</t>
  </si>
  <si>
    <t>T-10349</t>
  </si>
  <si>
    <t>T-10350</t>
  </si>
  <si>
    <t>T-10351</t>
  </si>
  <si>
    <t>T-10352</t>
  </si>
  <si>
    <t>T-10353</t>
  </si>
  <si>
    <t>T-10354</t>
  </si>
  <si>
    <t>T-10355</t>
  </si>
  <si>
    <t>T-10356</t>
  </si>
  <si>
    <t>T-10357</t>
  </si>
  <si>
    <t>T-10358</t>
  </si>
  <si>
    <t>C0013</t>
  </si>
  <si>
    <t>T-10359</t>
  </si>
  <si>
    <t>T-10360</t>
  </si>
  <si>
    <t>T-10361</t>
  </si>
  <si>
    <t>T-10362</t>
  </si>
  <si>
    <t>T-10363</t>
  </si>
  <si>
    <t>T-10364</t>
  </si>
  <si>
    <t>T-10365</t>
  </si>
  <si>
    <t>T-10366</t>
  </si>
  <si>
    <t>T-10367</t>
  </si>
  <si>
    <t>T-10368</t>
  </si>
  <si>
    <t>T-10369</t>
  </si>
  <si>
    <t>T-10370</t>
  </si>
  <si>
    <t>T-10371</t>
  </si>
  <si>
    <t>T-10372</t>
  </si>
  <si>
    <t>T-10373</t>
  </si>
  <si>
    <t>T-10374</t>
  </si>
  <si>
    <t>C0170</t>
  </si>
  <si>
    <t>T-10375</t>
  </si>
  <si>
    <t>C0136</t>
  </si>
  <si>
    <t>T-10376</t>
  </si>
  <si>
    <t>T-10377</t>
  </si>
  <si>
    <t>C0056</t>
  </si>
  <si>
    <t>T-10378</t>
  </si>
  <si>
    <t>T-10379</t>
  </si>
  <si>
    <t>T-10380</t>
  </si>
  <si>
    <t>T-10381</t>
  </si>
  <si>
    <t>T-10382</t>
  </si>
  <si>
    <t>T-10383</t>
  </si>
  <si>
    <t>C0122</t>
  </si>
  <si>
    <t>T-10384</t>
  </si>
  <si>
    <t>T-10385</t>
  </si>
  <si>
    <t>C0092</t>
  </si>
  <si>
    <t>T-10386</t>
  </si>
  <si>
    <t>T-10387</t>
  </si>
  <si>
    <t>T-10388</t>
  </si>
  <si>
    <t>T-10389</t>
  </si>
  <si>
    <t>T-10390</t>
  </si>
  <si>
    <t>T-10391</t>
  </si>
  <si>
    <t>T-10392</t>
  </si>
  <si>
    <t>T-10393</t>
  </si>
  <si>
    <t>C0182</t>
  </si>
  <si>
    <t>T-10394</t>
  </si>
  <si>
    <t>T-10395</t>
  </si>
  <si>
    <t>T-10396</t>
  </si>
  <si>
    <t>T-10397</t>
  </si>
  <si>
    <t>C0258</t>
  </si>
  <si>
    <t>T-10398</t>
  </si>
  <si>
    <t>T-10399</t>
  </si>
  <si>
    <t>T-10400</t>
  </si>
  <si>
    <t>C0079</t>
  </si>
  <si>
    <t>T-10401</t>
  </si>
  <si>
    <t>C0203</t>
  </si>
  <si>
    <t>T-10402</t>
  </si>
  <si>
    <t>T-10403</t>
  </si>
  <si>
    <t>T-10404</t>
  </si>
  <si>
    <t>T-10405</t>
  </si>
  <si>
    <t>C0054</t>
  </si>
  <si>
    <t>T-10406</t>
  </si>
  <si>
    <t>C0127</t>
  </si>
  <si>
    <t>T-10407</t>
  </si>
  <si>
    <t>T-10408</t>
  </si>
  <si>
    <t>C0156</t>
  </si>
  <si>
    <t>T-10409</t>
  </si>
  <si>
    <t>T-10410</t>
  </si>
  <si>
    <t>T-10411</t>
  </si>
  <si>
    <t>T-10412</t>
  </si>
  <si>
    <t>T-10413</t>
  </si>
  <si>
    <t>T-10414</t>
  </si>
  <si>
    <t>T-10415</t>
  </si>
  <si>
    <t>C0193</t>
  </si>
  <si>
    <t>T-10416</t>
  </si>
  <si>
    <t>C0072</t>
  </si>
  <si>
    <t>T-10417</t>
  </si>
  <si>
    <t>T-10418</t>
  </si>
  <si>
    <t>T-10419</t>
  </si>
  <si>
    <t>C0111</t>
  </si>
  <si>
    <t>T-10420</t>
  </si>
  <si>
    <t>T-10421</t>
  </si>
  <si>
    <t>T-10422</t>
  </si>
  <si>
    <t>C0217</t>
  </si>
  <si>
    <t>T-10423</t>
  </si>
  <si>
    <t>T-10424</t>
  </si>
  <si>
    <t>T-10425</t>
  </si>
  <si>
    <t>C0201</t>
  </si>
  <si>
    <t>T-10426</t>
  </si>
  <si>
    <t>T-10427</t>
  </si>
  <si>
    <t>T-10428</t>
  </si>
  <si>
    <t>T-10429</t>
  </si>
  <si>
    <t>T-10430</t>
  </si>
  <si>
    <t>T-10431</t>
  </si>
  <si>
    <t>T-10432</t>
  </si>
  <si>
    <t>T-10433</t>
  </si>
  <si>
    <t>T-10434</t>
  </si>
  <si>
    <t>T-10435</t>
  </si>
  <si>
    <t>C0029</t>
  </si>
  <si>
    <t>T-10436</t>
  </si>
  <si>
    <t>C0179</t>
  </si>
  <si>
    <t>T-10437</t>
  </si>
  <si>
    <t>T-10438</t>
  </si>
  <si>
    <t>T-10439</t>
  </si>
  <si>
    <t>T-10440</t>
  </si>
  <si>
    <t>T-10441</t>
  </si>
  <si>
    <t>T-10442</t>
  </si>
  <si>
    <t>T-10443</t>
  </si>
  <si>
    <t>T-10444</t>
  </si>
  <si>
    <t>T-10445</t>
  </si>
  <si>
    <t>T-10446</t>
  </si>
  <si>
    <t>C0124</t>
  </si>
  <si>
    <t>T-10447</t>
  </si>
  <si>
    <t>T-10448</t>
  </si>
  <si>
    <t>T-10449</t>
  </si>
  <si>
    <t>T-10450</t>
  </si>
  <si>
    <t>C0128</t>
  </si>
  <si>
    <t>T-10451</t>
  </si>
  <si>
    <t>C0259</t>
  </si>
  <si>
    <t>T-10452</t>
  </si>
  <si>
    <t>T-10453</t>
  </si>
  <si>
    <t>T-10454</t>
  </si>
  <si>
    <t>T-10455</t>
  </si>
  <si>
    <t>C0227</t>
  </si>
  <si>
    <t>T-10456</t>
  </si>
  <si>
    <t>T-10457</t>
  </si>
  <si>
    <t>T-10458</t>
  </si>
  <si>
    <t>T-10459</t>
  </si>
  <si>
    <t>T-10460</t>
  </si>
  <si>
    <t>T-10461</t>
  </si>
  <si>
    <t>T-10462</t>
  </si>
  <si>
    <t>T-10463</t>
  </si>
  <si>
    <t>T-10464</t>
  </si>
  <si>
    <t>T-10465</t>
  </si>
  <si>
    <t>T-10466</t>
  </si>
  <si>
    <t>T-10467</t>
  </si>
  <si>
    <t>T-10468</t>
  </si>
  <si>
    <t>T-10469</t>
  </si>
  <si>
    <t>C0260</t>
  </si>
  <si>
    <t>T-10470</t>
  </si>
  <si>
    <t>C0110</t>
  </si>
  <si>
    <t>T-10471</t>
  </si>
  <si>
    <t>T-10472</t>
  </si>
  <si>
    <t>T-10473</t>
  </si>
  <si>
    <t>T-10474</t>
  </si>
  <si>
    <t>T-10475</t>
  </si>
  <si>
    <t>T-10476</t>
  </si>
  <si>
    <t>T-10477</t>
  </si>
  <si>
    <t>T-10478</t>
  </si>
  <si>
    <t>C0220</t>
  </si>
  <si>
    <t>T-10479</t>
  </si>
  <si>
    <t>T-10480</t>
  </si>
  <si>
    <t>T-10481</t>
  </si>
  <si>
    <t>T-10482</t>
  </si>
  <si>
    <t>T-10483</t>
  </si>
  <si>
    <t>C0102</t>
  </si>
  <si>
    <t>T-10484</t>
  </si>
  <si>
    <t>T-10485</t>
  </si>
  <si>
    <t>T-10486</t>
  </si>
  <si>
    <t>T-10487</t>
  </si>
  <si>
    <t>T-10488</t>
  </si>
  <si>
    <t>T-10489</t>
  </si>
  <si>
    <t>T-10490</t>
  </si>
  <si>
    <t>C0204</t>
  </si>
  <si>
    <t>T-10491</t>
  </si>
  <si>
    <t>C0163</t>
  </si>
  <si>
    <t>T-10492</t>
  </si>
  <si>
    <t>C0109</t>
  </si>
  <si>
    <t>T-10493</t>
  </si>
  <si>
    <t>T-10494</t>
  </si>
  <si>
    <t>T-10495</t>
  </si>
  <si>
    <t>T-10496</t>
  </si>
  <si>
    <t>T-10497</t>
  </si>
  <si>
    <t>C0038</t>
  </si>
  <si>
    <t>T-10498</t>
  </si>
  <si>
    <t>T-10499</t>
  </si>
  <si>
    <t>T-10500</t>
  </si>
  <si>
    <t>T-10501</t>
  </si>
  <si>
    <t>T-10502</t>
  </si>
  <si>
    <t>T-10503</t>
  </si>
  <si>
    <t>T-10504</t>
  </si>
  <si>
    <t>T-10505</t>
  </si>
  <si>
    <t>T-10506</t>
  </si>
  <si>
    <t>T-10507</t>
  </si>
  <si>
    <t>T-10508</t>
  </si>
  <si>
    <t>T-10509</t>
  </si>
  <si>
    <t>C0255</t>
  </si>
  <si>
    <t>T-10510</t>
  </si>
  <si>
    <t>T-10511</t>
  </si>
  <si>
    <t>T-10512</t>
  </si>
  <si>
    <t>T-10513</t>
  </si>
  <si>
    <t>T-10514</t>
  </si>
  <si>
    <t>T-10515</t>
  </si>
  <si>
    <t>C0138</t>
  </si>
  <si>
    <t>T-10516</t>
  </si>
  <si>
    <t>T-10517</t>
  </si>
  <si>
    <t>T-10518</t>
  </si>
  <si>
    <t>T-10519</t>
  </si>
  <si>
    <t>T-10520</t>
  </si>
  <si>
    <t>T-10521</t>
  </si>
  <si>
    <t>T-10522</t>
  </si>
  <si>
    <t>T-10523</t>
  </si>
  <si>
    <t>T-10524</t>
  </si>
  <si>
    <t>T-10525</t>
  </si>
  <si>
    <t>T-10526</t>
  </si>
  <si>
    <t>T-10527</t>
  </si>
  <si>
    <t>T-10528</t>
  </si>
  <si>
    <t>T-10529</t>
  </si>
  <si>
    <t>T-10530</t>
  </si>
  <si>
    <t>T-10531</t>
  </si>
  <si>
    <t>T-10532</t>
  </si>
  <si>
    <t>T-10533</t>
  </si>
  <si>
    <t>T-10534</t>
  </si>
  <si>
    <t>T-10535</t>
  </si>
  <si>
    <t>T-10536</t>
  </si>
  <si>
    <t>T-10537</t>
  </si>
  <si>
    <t>T-10538</t>
  </si>
  <si>
    <t>T-10539</t>
  </si>
  <si>
    <t>T-10540</t>
  </si>
  <si>
    <t>T-10541</t>
  </si>
  <si>
    <t>T-10542</t>
  </si>
  <si>
    <t>T-10543</t>
  </si>
  <si>
    <t>T-10544</t>
  </si>
  <si>
    <t>C0174</t>
  </si>
  <si>
    <t>T-10545</t>
  </si>
  <si>
    <t>T-10546</t>
  </si>
  <si>
    <t>norte</t>
  </si>
  <si>
    <t>Region con escritura inconsistente</t>
  </si>
  <si>
    <t>T-10547</t>
  </si>
  <si>
    <t>T-10548</t>
  </si>
  <si>
    <t>T-10549</t>
  </si>
  <si>
    <t>T-10550</t>
  </si>
  <si>
    <t>T-10551</t>
  </si>
  <si>
    <t>C0218</t>
  </si>
  <si>
    <t>T-10552</t>
  </si>
  <si>
    <t>T-10553</t>
  </si>
  <si>
    <t>T-10554</t>
  </si>
  <si>
    <t>T-10555</t>
  </si>
  <si>
    <t>T-10556</t>
  </si>
  <si>
    <t>T-10557</t>
  </si>
  <si>
    <t>T-10558</t>
  </si>
  <si>
    <t>T-10559</t>
  </si>
  <si>
    <t>T-10560</t>
  </si>
  <si>
    <t>T-10561</t>
  </si>
  <si>
    <t>T-10562</t>
  </si>
  <si>
    <t>T-10563</t>
  </si>
  <si>
    <t>C0231</t>
  </si>
  <si>
    <t>T-10564</t>
  </si>
  <si>
    <t>T-10565</t>
  </si>
  <si>
    <t>T-10566</t>
  </si>
  <si>
    <t>T-10567</t>
  </si>
  <si>
    <t>T-10568</t>
  </si>
  <si>
    <t>C0059</t>
  </si>
  <si>
    <t>T-10569</t>
  </si>
  <si>
    <t>T-10570</t>
  </si>
  <si>
    <t>T-10571</t>
  </si>
  <si>
    <t>T-10572</t>
  </si>
  <si>
    <t>T-10573</t>
  </si>
  <si>
    <t>T-10574</t>
  </si>
  <si>
    <t>T-10575</t>
  </si>
  <si>
    <t>C0022</t>
  </si>
  <si>
    <t>T-10576</t>
  </si>
  <si>
    <t>T-10577</t>
  </si>
  <si>
    <t>T-10578</t>
  </si>
  <si>
    <t>T-10579</t>
  </si>
  <si>
    <t>T-10580</t>
  </si>
  <si>
    <t>T-10581</t>
  </si>
  <si>
    <t>T-10582</t>
  </si>
  <si>
    <t>T-10583</t>
  </si>
  <si>
    <t>C0130</t>
  </si>
  <si>
    <t>T-10584</t>
  </si>
  <si>
    <t>C0208</t>
  </si>
  <si>
    <t>T-10585</t>
  </si>
  <si>
    <t>T-10586</t>
  </si>
  <si>
    <t>T-10587</t>
  </si>
  <si>
    <t>T-10588</t>
  </si>
  <si>
    <t>T-10589</t>
  </si>
  <si>
    <t>T-10590</t>
  </si>
  <si>
    <t>T-10591</t>
  </si>
  <si>
    <t>T-10592</t>
  </si>
  <si>
    <t>T-10593</t>
  </si>
  <si>
    <t>T-10594</t>
  </si>
  <si>
    <t>T-10595</t>
  </si>
  <si>
    <t>T-10596</t>
  </si>
  <si>
    <t>T-10597</t>
  </si>
  <si>
    <t>T-10598</t>
  </si>
  <si>
    <t>T-10599</t>
  </si>
  <si>
    <t>T-10600</t>
  </si>
  <si>
    <t>C0173</t>
  </si>
  <si>
    <t>T-10601</t>
  </si>
  <si>
    <t>C0060</t>
  </si>
  <si>
    <t>T-10602</t>
  </si>
  <si>
    <t>T-10603</t>
  </si>
  <si>
    <t>T-10604</t>
  </si>
  <si>
    <t>T-10605</t>
  </si>
  <si>
    <t>T-10606</t>
  </si>
  <si>
    <t>T-10607</t>
  </si>
  <si>
    <t>T-10608</t>
  </si>
  <si>
    <t>T-10609</t>
  </si>
  <si>
    <t>T-10610</t>
  </si>
  <si>
    <t>T-10611</t>
  </si>
  <si>
    <t>T-10612</t>
  </si>
  <si>
    <t>T-10613</t>
  </si>
  <si>
    <t>T-10614</t>
  </si>
  <si>
    <t>T-10615</t>
  </si>
  <si>
    <t>T-10616</t>
  </si>
  <si>
    <t>T-10617</t>
  </si>
  <si>
    <t>T-10618</t>
  </si>
  <si>
    <t>T-10619</t>
  </si>
  <si>
    <t>T-10620</t>
  </si>
  <si>
    <t>T-10621</t>
  </si>
  <si>
    <t>T-10622</t>
  </si>
  <si>
    <t>T-10623</t>
  </si>
  <si>
    <t>T-10624</t>
  </si>
  <si>
    <t>T-10625</t>
  </si>
  <si>
    <t>T-10626</t>
  </si>
  <si>
    <t>T-10627</t>
  </si>
  <si>
    <t>T-10628</t>
  </si>
  <si>
    <t>T-10629</t>
  </si>
  <si>
    <t>T-10630</t>
  </si>
  <si>
    <t>T-10631</t>
  </si>
  <si>
    <t>T-10632</t>
  </si>
  <si>
    <t>T-10633</t>
  </si>
  <si>
    <t>T-10634</t>
  </si>
  <si>
    <t>T-10635</t>
  </si>
  <si>
    <t>C0066</t>
  </si>
  <si>
    <t>T-10636</t>
  </si>
  <si>
    <t>T-10637</t>
  </si>
  <si>
    <t>T-10638</t>
  </si>
  <si>
    <t>T-10639</t>
  </si>
  <si>
    <t>T-10640</t>
  </si>
  <si>
    <t>T-10641</t>
  </si>
  <si>
    <t>T-10642</t>
  </si>
  <si>
    <t>T-10643</t>
  </si>
  <si>
    <t>T-10644</t>
  </si>
  <si>
    <t>T-10645</t>
  </si>
  <si>
    <t>T-10646</t>
  </si>
  <si>
    <t>T-10647</t>
  </si>
  <si>
    <t>T-10648</t>
  </si>
  <si>
    <t>T-10649</t>
  </si>
  <si>
    <t>T-10650</t>
  </si>
  <si>
    <t>T-10651</t>
  </si>
  <si>
    <t>T-10652</t>
  </si>
  <si>
    <t>T-10653</t>
  </si>
  <si>
    <t>T-10654</t>
  </si>
  <si>
    <t>T-10655</t>
  </si>
  <si>
    <t>T-10656</t>
  </si>
  <si>
    <t>C0118</t>
  </si>
  <si>
    <t>T-10657</t>
  </si>
  <si>
    <t>T-10658</t>
  </si>
  <si>
    <t>T-10659</t>
  </si>
  <si>
    <t>T-10660</t>
  </si>
  <si>
    <t>T-10661</t>
  </si>
  <si>
    <t>C0161</t>
  </si>
  <si>
    <t>T-10662</t>
  </si>
  <si>
    <t>T-10663</t>
  </si>
  <si>
    <t>C0153</t>
  </si>
  <si>
    <t>T-10664</t>
  </si>
  <si>
    <t>T-10665</t>
  </si>
  <si>
    <t>T-10666</t>
  </si>
  <si>
    <t>T-10667</t>
  </si>
  <si>
    <t>T-10668</t>
  </si>
  <si>
    <t>T-10669</t>
  </si>
  <si>
    <t>T-10670</t>
  </si>
  <si>
    <t>T-10671</t>
  </si>
  <si>
    <t>T-10672</t>
  </si>
  <si>
    <t>T-10673</t>
  </si>
  <si>
    <t>T-10674</t>
  </si>
  <si>
    <t>T-10675</t>
  </si>
  <si>
    <t>T-10676</t>
  </si>
  <si>
    <t>T-10677</t>
  </si>
  <si>
    <t>T-10678</t>
  </si>
  <si>
    <t>T-10679</t>
  </si>
  <si>
    <t>T-10680</t>
  </si>
  <si>
    <t>T-10681</t>
  </si>
  <si>
    <t>T-10682</t>
  </si>
  <si>
    <t>T-10683</t>
  </si>
  <si>
    <t>T-10684</t>
  </si>
  <si>
    <t>T-10685</t>
  </si>
  <si>
    <t>T-10686</t>
  </si>
  <si>
    <t>T-10687</t>
  </si>
  <si>
    <t>T-10688</t>
  </si>
  <si>
    <t>T-10689</t>
  </si>
  <si>
    <t>T-10690</t>
  </si>
  <si>
    <t>T-10691</t>
  </si>
  <si>
    <t>C0129</t>
  </si>
  <si>
    <t>T-10692</t>
  </si>
  <si>
    <t>T-10693</t>
  </si>
  <si>
    <t>T-10694</t>
  </si>
  <si>
    <t>T-10695</t>
  </si>
  <si>
    <t>T-10696</t>
  </si>
  <si>
    <t>T-10697</t>
  </si>
  <si>
    <t>T-10698</t>
  </si>
  <si>
    <t>T-10699</t>
  </si>
  <si>
    <t>T-10700</t>
  </si>
  <si>
    <t>T-10701</t>
  </si>
  <si>
    <t>T-10702</t>
  </si>
  <si>
    <t>T-10703</t>
  </si>
  <si>
    <t>T-10704</t>
  </si>
  <si>
    <t>T-10705</t>
  </si>
  <si>
    <t>T-10706</t>
  </si>
  <si>
    <t>Descuento atipico: validar</t>
  </si>
  <si>
    <t>T-10707</t>
  </si>
  <si>
    <t>C0015</t>
  </si>
  <si>
    <t>T-10708</t>
  </si>
  <si>
    <t>T-10709</t>
  </si>
  <si>
    <t>T-10710</t>
  </si>
  <si>
    <t>T-10711</t>
  </si>
  <si>
    <t>T-10712</t>
  </si>
  <si>
    <t>T-10713</t>
  </si>
  <si>
    <t>T-10714</t>
  </si>
  <si>
    <t>T-10715</t>
  </si>
  <si>
    <t>T-10716</t>
  </si>
  <si>
    <t>T-10717</t>
  </si>
  <si>
    <t>T-10718</t>
  </si>
  <si>
    <t>T-10719</t>
  </si>
  <si>
    <t>C0157</t>
  </si>
  <si>
    <t>T-10720</t>
  </si>
  <si>
    <t>T-10721</t>
  </si>
  <si>
    <t>T-10722</t>
  </si>
  <si>
    <t>T-10723</t>
  </si>
  <si>
    <t>C0168</t>
  </si>
  <si>
    <t>T-10724</t>
  </si>
  <si>
    <t>T-10725</t>
  </si>
  <si>
    <t>T-10726</t>
  </si>
  <si>
    <t>T-10727</t>
  </si>
  <si>
    <t>T-10728</t>
  </si>
  <si>
    <t>C0052</t>
  </si>
  <si>
    <t>T-10729</t>
  </si>
  <si>
    <t>T-10730</t>
  </si>
  <si>
    <t>T-10731</t>
  </si>
  <si>
    <t>T-10732</t>
  </si>
  <si>
    <t>T-10733</t>
  </si>
  <si>
    <t>C0144</t>
  </si>
  <si>
    <t>T-10734</t>
  </si>
  <si>
    <t>T-10735</t>
  </si>
  <si>
    <t>T-10736</t>
  </si>
  <si>
    <t>T-10737</t>
  </si>
  <si>
    <t>T-10738</t>
  </si>
  <si>
    <t>T-10739</t>
  </si>
  <si>
    <t>T-10740</t>
  </si>
  <si>
    <t>T-10741</t>
  </si>
  <si>
    <t>T-10742</t>
  </si>
  <si>
    <t>T-10743</t>
  </si>
  <si>
    <t>T-10744</t>
  </si>
  <si>
    <t>T-10745</t>
  </si>
  <si>
    <t>T-10746</t>
  </si>
  <si>
    <t>T-10747</t>
  </si>
  <si>
    <t>T-10748</t>
  </si>
  <si>
    <t>T-10749</t>
  </si>
  <si>
    <t>T-10750</t>
  </si>
  <si>
    <t>T-10751</t>
  </si>
  <si>
    <t>T-10752</t>
  </si>
  <si>
    <t>T-10753</t>
  </si>
  <si>
    <t>C0030</t>
  </si>
  <si>
    <t>T-10754</t>
  </si>
  <si>
    <t>T-10755</t>
  </si>
  <si>
    <t>T-10756</t>
  </si>
  <si>
    <t>T-10757</t>
  </si>
  <si>
    <t>T-10758</t>
  </si>
  <si>
    <t>T-10759</t>
  </si>
  <si>
    <t>T-10760</t>
  </si>
  <si>
    <t>T-10761</t>
  </si>
  <si>
    <t>T-10762</t>
  </si>
  <si>
    <t>T-10763</t>
  </si>
  <si>
    <t>T-10764</t>
  </si>
  <si>
    <t>T-10765</t>
  </si>
  <si>
    <t>T-10766</t>
  </si>
  <si>
    <t>T-10767</t>
  </si>
  <si>
    <t>T-10768</t>
  </si>
  <si>
    <t>T-10769</t>
  </si>
  <si>
    <t>T-10770</t>
  </si>
  <si>
    <t>T-10771</t>
  </si>
  <si>
    <t>T-10772</t>
  </si>
  <si>
    <t>T-10773</t>
  </si>
  <si>
    <t>T-10774</t>
  </si>
  <si>
    <t>T-10775</t>
  </si>
  <si>
    <t>T-10776</t>
  </si>
  <si>
    <t>T-10777</t>
  </si>
  <si>
    <t>T-10778</t>
  </si>
  <si>
    <t>T-10779</t>
  </si>
  <si>
    <t>T-10780</t>
  </si>
  <si>
    <t>C0097</t>
  </si>
  <si>
    <t>T-10781</t>
  </si>
  <si>
    <t>T-10782</t>
  </si>
  <si>
    <t>T-10783</t>
  </si>
  <si>
    <t>T-10784</t>
  </si>
  <si>
    <t>T-10785</t>
  </si>
  <si>
    <t>T-10786</t>
  </si>
  <si>
    <t>T-10787</t>
  </si>
  <si>
    <t>T-10788</t>
  </si>
  <si>
    <t>T-10789</t>
  </si>
  <si>
    <t>T-10790</t>
  </si>
  <si>
    <t>T-10791</t>
  </si>
  <si>
    <t>T-10792</t>
  </si>
  <si>
    <t>T-10793</t>
  </si>
  <si>
    <t>T-10794</t>
  </si>
  <si>
    <t>T-10795</t>
  </si>
  <si>
    <t>T-10796</t>
  </si>
  <si>
    <t>T-10797</t>
  </si>
  <si>
    <t>T-10798</t>
  </si>
  <si>
    <t>T-10799</t>
  </si>
  <si>
    <t>T-10800</t>
  </si>
  <si>
    <t>T-10801</t>
  </si>
  <si>
    <t>T-10802</t>
  </si>
  <si>
    <t>C0248</t>
  </si>
  <si>
    <t>T-10803</t>
  </si>
  <si>
    <t>T-10804</t>
  </si>
  <si>
    <t>T-10805</t>
  </si>
  <si>
    <t>T-10806</t>
  </si>
  <si>
    <t>C0159</t>
  </si>
  <si>
    <t>T-10807</t>
  </si>
  <si>
    <t>T-10808</t>
  </si>
  <si>
    <t>T-10809</t>
  </si>
  <si>
    <t>T-10810</t>
  </si>
  <si>
    <t>T-10811</t>
  </si>
  <si>
    <t>T-10812</t>
  </si>
  <si>
    <t>T-10813</t>
  </si>
  <si>
    <t>T-10814</t>
  </si>
  <si>
    <t>T-10815</t>
  </si>
  <si>
    <t>C0063</t>
  </si>
  <si>
    <t>T-10816</t>
  </si>
  <si>
    <t>T-10817</t>
  </si>
  <si>
    <t>T-10818</t>
  </si>
  <si>
    <t>T-10819</t>
  </si>
  <si>
    <t>T-10820</t>
  </si>
  <si>
    <t>T-10821</t>
  </si>
  <si>
    <t>T-10822</t>
  </si>
  <si>
    <t>T-10823</t>
  </si>
  <si>
    <t>T-10824</t>
  </si>
  <si>
    <t>T-10825</t>
  </si>
  <si>
    <t>T-10826</t>
  </si>
  <si>
    <t>T-10827</t>
  </si>
  <si>
    <t>T-10828</t>
  </si>
  <si>
    <t>C0199</t>
  </si>
  <si>
    <t>T-10829</t>
  </si>
  <si>
    <t>T-10830</t>
  </si>
  <si>
    <t>T-10831</t>
  </si>
  <si>
    <t>T-10832</t>
  </si>
  <si>
    <t>T-10833</t>
  </si>
  <si>
    <t>T-10834</t>
  </si>
  <si>
    <t>T-10835</t>
  </si>
  <si>
    <t>T-10836</t>
  </si>
  <si>
    <t>T-10837</t>
  </si>
  <si>
    <t>T-10838</t>
  </si>
  <si>
    <t>T-10839</t>
  </si>
  <si>
    <t>T-10840</t>
  </si>
  <si>
    <t>T-10841</t>
  </si>
  <si>
    <t>T-10842</t>
  </si>
  <si>
    <t>T-10843</t>
  </si>
  <si>
    <t>T-10844</t>
  </si>
  <si>
    <t>T-10845</t>
  </si>
  <si>
    <t>T-10846</t>
  </si>
  <si>
    <t>T-10847</t>
  </si>
  <si>
    <t>T-10848</t>
  </si>
  <si>
    <t>T-10849</t>
  </si>
  <si>
    <t>T-10850</t>
  </si>
  <si>
    <t>T-10851</t>
  </si>
  <si>
    <t>T-10852</t>
  </si>
  <si>
    <t>T-10853</t>
  </si>
  <si>
    <t>T-10854</t>
  </si>
  <si>
    <t>T-10855</t>
  </si>
  <si>
    <t>C0085</t>
  </si>
  <si>
    <t>T-10856</t>
  </si>
  <si>
    <t>T-10857</t>
  </si>
  <si>
    <t>T-10858</t>
  </si>
  <si>
    <t>T-10859</t>
  </si>
  <si>
    <t>T-10860</t>
  </si>
  <si>
    <t>T-10861</t>
  </si>
  <si>
    <t>T-10862</t>
  </si>
  <si>
    <t>T-10863</t>
  </si>
  <si>
    <t>T-10864</t>
  </si>
  <si>
    <t>T-10865</t>
  </si>
  <si>
    <t>T-10866</t>
  </si>
  <si>
    <t>T-10867</t>
  </si>
  <si>
    <t>T-10868</t>
  </si>
  <si>
    <t>T-10869</t>
  </si>
  <si>
    <t>T-10870</t>
  </si>
  <si>
    <t>T-10871</t>
  </si>
  <si>
    <t>T-10872</t>
  </si>
  <si>
    <t>T-10873</t>
  </si>
  <si>
    <t>T-10874</t>
  </si>
  <si>
    <t>T-10875</t>
  </si>
  <si>
    <t>T-10876</t>
  </si>
  <si>
    <t>T-10877</t>
  </si>
  <si>
    <t>T-10878</t>
  </si>
  <si>
    <t>T-10879</t>
  </si>
  <si>
    <t>T-10880</t>
  </si>
  <si>
    <t>T-10881</t>
  </si>
  <si>
    <t>T-10882</t>
  </si>
  <si>
    <t>T-10883</t>
  </si>
  <si>
    <t>T-10884</t>
  </si>
  <si>
    <t>T-10885</t>
  </si>
  <si>
    <t>C0006</t>
  </si>
  <si>
    <t>T-10886</t>
  </si>
  <si>
    <t>T-10887</t>
  </si>
  <si>
    <t>T-10888</t>
  </si>
  <si>
    <t>T-10889</t>
  </si>
  <si>
    <t>T-10890</t>
  </si>
  <si>
    <t>T-10891</t>
  </si>
  <si>
    <t>T-10892</t>
  </si>
  <si>
    <t>T-10893</t>
  </si>
  <si>
    <t>T-10894</t>
  </si>
  <si>
    <t>T-10895</t>
  </si>
  <si>
    <t>T-10896</t>
  </si>
  <si>
    <t>T-10897</t>
  </si>
  <si>
    <t>T-10898</t>
  </si>
  <si>
    <t>T-10899</t>
  </si>
  <si>
    <t>T-10900</t>
  </si>
  <si>
    <t>T-10901</t>
  </si>
  <si>
    <t>T-10902</t>
  </si>
  <si>
    <t>T-10903</t>
  </si>
  <si>
    <t>T-10904</t>
  </si>
  <si>
    <t>T-10905</t>
  </si>
  <si>
    <t>T-10906</t>
  </si>
  <si>
    <t>T-10907</t>
  </si>
  <si>
    <t>T-10908</t>
  </si>
  <si>
    <t>T-10909</t>
  </si>
  <si>
    <t>T-10910</t>
  </si>
  <si>
    <t>T-10911</t>
  </si>
  <si>
    <t>T-10912</t>
  </si>
  <si>
    <t>T-10913</t>
  </si>
  <si>
    <t>T-10914</t>
  </si>
  <si>
    <t>T-10915</t>
  </si>
  <si>
    <t>T-10916</t>
  </si>
  <si>
    <t>T-10917</t>
  </si>
  <si>
    <t>T-10918</t>
  </si>
  <si>
    <t>T-10919</t>
  </si>
  <si>
    <t>T-10920</t>
  </si>
  <si>
    <t>T-10921</t>
  </si>
  <si>
    <t>T-10922</t>
  </si>
  <si>
    <t>T-10923</t>
  </si>
  <si>
    <t>T-10924</t>
  </si>
  <si>
    <t>T-10925</t>
  </si>
  <si>
    <t>T-10926</t>
  </si>
  <si>
    <t>T-10927</t>
  </si>
  <si>
    <t>T-10928</t>
  </si>
  <si>
    <t>T-10929</t>
  </si>
  <si>
    <t>T-10930</t>
  </si>
  <si>
    <t>T-10931</t>
  </si>
  <si>
    <t>T-10932</t>
  </si>
  <si>
    <t>T-10933</t>
  </si>
  <si>
    <t>T-10934</t>
  </si>
  <si>
    <t>T-10935</t>
  </si>
  <si>
    <t>T-10936</t>
  </si>
  <si>
    <t>T-10937</t>
  </si>
  <si>
    <t>T-10938</t>
  </si>
  <si>
    <t>T-10939</t>
  </si>
  <si>
    <t>T-10940</t>
  </si>
  <si>
    <t>T-10941</t>
  </si>
  <si>
    <t>T-10942</t>
  </si>
  <si>
    <t>T-10943</t>
  </si>
  <si>
    <t>T-10944</t>
  </si>
  <si>
    <t>T-10945</t>
  </si>
  <si>
    <t>T-10946</t>
  </si>
  <si>
    <t>T-10947</t>
  </si>
  <si>
    <t>T-10948</t>
  </si>
  <si>
    <t>T-10949</t>
  </si>
  <si>
    <t>Producto</t>
  </si>
  <si>
    <t>Categoria</t>
  </si>
  <si>
    <t>Precio_lista</t>
  </si>
  <si>
    <t>Costo_referencia</t>
  </si>
  <si>
    <t>Laptop Eco</t>
  </si>
  <si>
    <t>Computo</t>
  </si>
  <si>
    <t>Laptop Plus</t>
  </si>
  <si>
    <t>Laptop Pro</t>
  </si>
  <si>
    <t>Laptop Max</t>
  </si>
  <si>
    <t>Monitor Eco</t>
  </si>
  <si>
    <t>Monitor Plus</t>
  </si>
  <si>
    <t>Monitor Pro</t>
  </si>
  <si>
    <t>Monitor Max</t>
  </si>
  <si>
    <t>Teclado Eco</t>
  </si>
  <si>
    <t>Teclado Plus</t>
  </si>
  <si>
    <t>Teclado Pro</t>
  </si>
  <si>
    <t>Teclado Max</t>
  </si>
  <si>
    <t>Mouse Eco</t>
  </si>
  <si>
    <t>Mouse Plus</t>
  </si>
  <si>
    <t>Mouse Pro</t>
  </si>
  <si>
    <t>Mouse Max</t>
  </si>
  <si>
    <t>Dock Eco</t>
  </si>
  <si>
    <t>Dock Plus</t>
  </si>
  <si>
    <t>Dock Pro</t>
  </si>
  <si>
    <t>Dock Max</t>
  </si>
  <si>
    <t>SSD Eco</t>
  </si>
  <si>
    <t>SSD Plus</t>
  </si>
  <si>
    <t>SSD Pro</t>
  </si>
  <si>
    <t>SSD Max</t>
  </si>
  <si>
    <t>Memoria RAM Eco</t>
  </si>
  <si>
    <t>Memoria RAM Plus</t>
  </si>
  <si>
    <t>Memoria RAM Pro</t>
  </si>
  <si>
    <t>Memoria RAM Max</t>
  </si>
  <si>
    <t>Webcam Eco</t>
  </si>
  <si>
    <t>Webcam Plus</t>
  </si>
  <si>
    <t>Webcam Pro</t>
  </si>
  <si>
    <t>Webcam Max</t>
  </si>
  <si>
    <t>Silla Eco</t>
  </si>
  <si>
    <t>Oficina</t>
  </si>
  <si>
    <t>Silla Plus</t>
  </si>
  <si>
    <t>Silla Pro</t>
  </si>
  <si>
    <t>Silla Max</t>
  </si>
  <si>
    <t>Escritorio Eco</t>
  </si>
  <si>
    <t>Escritorio Plus</t>
  </si>
  <si>
    <t>Escritorio Pro</t>
  </si>
  <si>
    <t>Escritorio Max</t>
  </si>
  <si>
    <t>Impresora Eco</t>
  </si>
  <si>
    <t>Impresora Plus</t>
  </si>
  <si>
    <t>Impresora Pro</t>
  </si>
  <si>
    <t>Impresora Max</t>
  </si>
  <si>
    <t>Papel Eco</t>
  </si>
  <si>
    <t>Papel Plus</t>
  </si>
  <si>
    <t>Papel Pro</t>
  </si>
  <si>
    <t>Papel Max</t>
  </si>
  <si>
    <t>Toner Eco</t>
  </si>
  <si>
    <t>Toner Plus</t>
  </si>
  <si>
    <t>Toner Pro</t>
  </si>
  <si>
    <t>Toner Max</t>
  </si>
  <si>
    <t>Archivero Eco</t>
  </si>
  <si>
    <t>Archivero Plus</t>
  </si>
  <si>
    <t>Archivero Pro</t>
  </si>
  <si>
    <t>Archivero Max</t>
  </si>
  <si>
    <t>Router Eco</t>
  </si>
  <si>
    <t>Redes</t>
  </si>
  <si>
    <t>Router Plus</t>
  </si>
  <si>
    <t>Router Pro</t>
  </si>
  <si>
    <t>Router Max</t>
  </si>
  <si>
    <t>Switch Eco</t>
  </si>
  <si>
    <t>Switch Plus</t>
  </si>
  <si>
    <t>Switch Pro</t>
  </si>
  <si>
    <t>Switch Max</t>
  </si>
  <si>
    <t>Cable ethernet Eco</t>
  </si>
  <si>
    <t>Cable ethernet Plus</t>
  </si>
  <si>
    <t>Cable ethernet Pro</t>
  </si>
  <si>
    <t>Cable ethernet Max</t>
  </si>
  <si>
    <t>Access Point Eco</t>
  </si>
  <si>
    <t>Access Point Plus</t>
  </si>
  <si>
    <t>Access Point Pro</t>
  </si>
  <si>
    <t>Access Point Max</t>
  </si>
  <si>
    <t>Audifonos Eco</t>
  </si>
  <si>
    <t>Audio</t>
  </si>
  <si>
    <t>Audifonos Plus</t>
  </si>
  <si>
    <t>Audifonos Pro</t>
  </si>
  <si>
    <t>Audifonos Max</t>
  </si>
  <si>
    <t>Bocina Eco</t>
  </si>
  <si>
    <t>Bocina Plus</t>
  </si>
  <si>
    <t>Bocina Pro</t>
  </si>
  <si>
    <t>Bocina Max</t>
  </si>
  <si>
    <t>Microfono Eco</t>
  </si>
  <si>
    <t>Microfono Plus</t>
  </si>
  <si>
    <t>Microfono Pro</t>
  </si>
  <si>
    <t>Microfono Max</t>
  </si>
  <si>
    <t>Tablet Eco</t>
  </si>
  <si>
    <t>Moviles</t>
  </si>
  <si>
    <t>Tablet Plus</t>
  </si>
  <si>
    <t>Tablet Pro</t>
  </si>
  <si>
    <t>Tablet Max</t>
  </si>
  <si>
    <t>Cargador Eco</t>
  </si>
  <si>
    <t>Cargador Plus</t>
  </si>
  <si>
    <t>Cargador Pro</t>
  </si>
  <si>
    <t>Cargador Max</t>
  </si>
  <si>
    <t>Funda Eco</t>
  </si>
  <si>
    <t>Funda Plus</t>
  </si>
  <si>
    <t>Funda Pro</t>
  </si>
  <si>
    <t>Funda Max</t>
  </si>
  <si>
    <t>Smartphone Eco</t>
  </si>
  <si>
    <t>Smartphone Plus</t>
  </si>
  <si>
    <t>Smartphone Pro</t>
  </si>
  <si>
    <t>Smartphone Max</t>
  </si>
  <si>
    <t>Cliente</t>
  </si>
  <si>
    <t>Segmento</t>
  </si>
  <si>
    <t>Region_base</t>
  </si>
  <si>
    <t>Cliente 001</t>
  </si>
  <si>
    <t>Minorista</t>
  </si>
  <si>
    <t>Cliente 002</t>
  </si>
  <si>
    <t>Corporativo</t>
  </si>
  <si>
    <t>Cliente 003</t>
  </si>
  <si>
    <t>Cliente 004</t>
  </si>
  <si>
    <t>Mayorista</t>
  </si>
  <si>
    <t>Cliente 005</t>
  </si>
  <si>
    <t>Cliente 006</t>
  </si>
  <si>
    <t>Cliente 007</t>
  </si>
  <si>
    <t>Cliente 008</t>
  </si>
  <si>
    <t>Cliente 009</t>
  </si>
  <si>
    <t>Cliente 010</t>
  </si>
  <si>
    <t>Cliente 011</t>
  </si>
  <si>
    <t>Cliente 012</t>
  </si>
  <si>
    <t>Cliente 013</t>
  </si>
  <si>
    <t>Cliente 014</t>
  </si>
  <si>
    <t>Cliente 015</t>
  </si>
  <si>
    <t>Cliente 016</t>
  </si>
  <si>
    <t>Cliente 017</t>
  </si>
  <si>
    <t>Cliente 018</t>
  </si>
  <si>
    <t>Cliente 019</t>
  </si>
  <si>
    <t>Cliente 020</t>
  </si>
  <si>
    <t>Cliente 021</t>
  </si>
  <si>
    <t>Cliente 022</t>
  </si>
  <si>
    <t>Cliente 023</t>
  </si>
  <si>
    <t>Cliente 024</t>
  </si>
  <si>
    <t>Cliente 025</t>
  </si>
  <si>
    <t>Cliente 026</t>
  </si>
  <si>
    <t>Cliente 027</t>
  </si>
  <si>
    <t>C0028</t>
  </si>
  <si>
    <t>Cliente 028</t>
  </si>
  <si>
    <t>Cliente 029</t>
  </si>
  <si>
    <t>Cliente 030</t>
  </si>
  <si>
    <t>Cliente 031</t>
  </si>
  <si>
    <t>Cliente 032</t>
  </si>
  <si>
    <t>Cliente 033</t>
  </si>
  <si>
    <t>Cliente 034</t>
  </si>
  <si>
    <t>Cliente 035</t>
  </si>
  <si>
    <t>Cliente 036</t>
  </si>
  <si>
    <t>Cliente 037</t>
  </si>
  <si>
    <t>Cliente 038</t>
  </si>
  <si>
    <t>Cliente 039</t>
  </si>
  <si>
    <t>Cliente 040</t>
  </si>
  <si>
    <t>Cliente 041</t>
  </si>
  <si>
    <t>Cliente 042</t>
  </si>
  <si>
    <t>Cliente 043</t>
  </si>
  <si>
    <t>Cliente 044</t>
  </si>
  <si>
    <t>Cliente 045</t>
  </si>
  <si>
    <t>Cliente 046</t>
  </si>
  <si>
    <t>Cliente 047</t>
  </si>
  <si>
    <t>Cliente 048</t>
  </si>
  <si>
    <t>Cliente 049</t>
  </si>
  <si>
    <t>Cliente 050</t>
  </si>
  <si>
    <t>Cliente 051</t>
  </si>
  <si>
    <t>Cliente 052</t>
  </si>
  <si>
    <t>Cliente 053</t>
  </si>
  <si>
    <t>Cliente 054</t>
  </si>
  <si>
    <t>Cliente 055</t>
  </si>
  <si>
    <t>Cliente 056</t>
  </si>
  <si>
    <t>Cliente 057</t>
  </si>
  <si>
    <t>Cliente 058</t>
  </si>
  <si>
    <t>Cliente 059</t>
  </si>
  <si>
    <t>Cliente 060</t>
  </si>
  <si>
    <t>Cliente 061</t>
  </si>
  <si>
    <t>Cliente 062</t>
  </si>
  <si>
    <t>Cliente 063</t>
  </si>
  <si>
    <t>Cliente 064</t>
  </si>
  <si>
    <t>Cliente 065</t>
  </si>
  <si>
    <t>Cliente 066</t>
  </si>
  <si>
    <t>Cliente 067</t>
  </si>
  <si>
    <t>Cliente 068</t>
  </si>
  <si>
    <t>Cliente 069</t>
  </si>
  <si>
    <t>Cliente 070</t>
  </si>
  <si>
    <t>Cliente 071</t>
  </si>
  <si>
    <t>Cliente 072</t>
  </si>
  <si>
    <t>Cliente 073</t>
  </si>
  <si>
    <t>Cliente 074</t>
  </si>
  <si>
    <t>Cliente 075</t>
  </si>
  <si>
    <t>Cliente 076</t>
  </si>
  <si>
    <t>Cliente 077</t>
  </si>
  <si>
    <t>Cliente 078</t>
  </si>
  <si>
    <t>Cliente 079</t>
  </si>
  <si>
    <t>Cliente 080</t>
  </si>
  <si>
    <t>Cliente 081</t>
  </si>
  <si>
    <t>Cliente 082</t>
  </si>
  <si>
    <t>Cliente 083</t>
  </si>
  <si>
    <t>Cliente 084</t>
  </si>
  <si>
    <t>Cliente 085</t>
  </si>
  <si>
    <t>Cliente 086</t>
  </si>
  <si>
    <t>Cliente 087</t>
  </si>
  <si>
    <t>Cliente 088</t>
  </si>
  <si>
    <t>Cliente 089</t>
  </si>
  <si>
    <t>Cliente 090</t>
  </si>
  <si>
    <t>Cliente 091</t>
  </si>
  <si>
    <t>Cliente 092</t>
  </si>
  <si>
    <t>Cliente 093</t>
  </si>
  <si>
    <t>Cliente 094</t>
  </si>
  <si>
    <t>Cliente 095</t>
  </si>
  <si>
    <t>Cliente 096</t>
  </si>
  <si>
    <t>Cliente 097</t>
  </si>
  <si>
    <t>Cliente 098</t>
  </si>
  <si>
    <t>Cliente 099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</si>
  <si>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</si>
  <si>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</si>
  <si>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</si>
  <si>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</si>
  <si>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</si>
  <si>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</si>
  <si>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</si>
  <si>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</si>
  <si>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</si>
  <si>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</si>
  <si>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</si>
  <si>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</si>
  <si>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</si>
  <si>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</si>
  <si>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</si>
  <si>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</si>
  <si>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</si>
  <si>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</si>
  <si>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</si>
  <si>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</si>
  <si>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</si>
  <si>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</si>
  <si>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</si>
  <si>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</si>
  <si>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</si>
  <si>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</si>
  <si>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</si>
  <si>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</si>
  <si>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</si>
  <si>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</si>
  <si>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</si>
  <si>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</si>
  <si>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</si>
  <si>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</si>
  <si>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</si>
  <si>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</si>
  <si>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</si>
  <si>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</si>
  <si>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</si>
  <si>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</si>
  <si>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</si>
  <si>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</si>
  <si>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</si>
  <si>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</si>
  <si>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</si>
  <si>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C0145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</si>
  <si>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</si>
  <si>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</si>
  <si>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</si>
  <si>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</si>
  <si>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</si>
  <si>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</si>
  <si>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</si>
  <si>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</si>
  <si>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</si>
  <si>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</si>
  <si>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</si>
  <si>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</si>
  <si>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</si>
  <si>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</si>
  <si>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</si>
  <si>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</si>
  <si>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</si>
  <si>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</si>
  <si>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</si>
  <si>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</si>
  <si>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</si>
  <si>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</si>
  <si>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</si>
  <si>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</si>
  <si>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</si>
  <si>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</si>
  <si>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</si>
  <si>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</si>
  <si>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</si>
  <si>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</si>
  <si>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</si>
  <si>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</si>
  <si>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</si>
  <si>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</si>
  <si>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</si>
  <si>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</si>
  <si>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</si>
  <si>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</si>
  <si>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</si>
  <si>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</si>
  <si>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</si>
  <si>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</si>
  <si>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</si>
  <si>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</si>
  <si>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</si>
  <si>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</si>
  <si>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</si>
  <si>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</si>
  <si>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</si>
  <si>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C0194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</si>
  <si>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</si>
  <si>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</si>
  <si>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</si>
  <si>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</si>
  <si>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</si>
  <si>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</si>
  <si>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</si>
  <si>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</si>
  <si>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</si>
  <si>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</si>
  <si>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</si>
  <si>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C0205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</si>
  <si>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</si>
  <si>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</si>
  <si>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</si>
  <si>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</si>
  <si>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</si>
  <si>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</si>
  <si>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</si>
  <si>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</si>
  <si>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</si>
  <si>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</si>
  <si>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</si>
  <si>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</si>
  <si>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</si>
  <si>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</si>
  <si>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</si>
  <si>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</si>
  <si>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</si>
  <si>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</si>
  <si>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</si>
  <si>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</si>
  <si>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</si>
  <si>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</si>
  <si>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</si>
  <si>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</si>
  <si>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</si>
  <si>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</si>
  <si>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</si>
  <si>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</si>
  <si>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</si>
  <si>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</si>
  <si>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</si>
  <si>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</si>
  <si>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</si>
  <si>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</si>
  <si>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</si>
  <si>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</si>
  <si>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</si>
  <si>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</si>
  <si>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</si>
  <si>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</si>
  <si>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</si>
  <si>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</si>
  <si>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</si>
  <si>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</si>
  <si>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</si>
  <si>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</si>
  <si>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</si>
  <si>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</si>
  <si>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</si>
  <si>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</si>
  <si>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</si>
  <si>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</si>
  <si>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</si>
  <si>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</si>
  <si>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</si>
  <si>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</si>
  <si>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Nivel</t>
  </si>
  <si>
    <t>Reto</t>
  </si>
  <si>
    <t>Entregable / criterio</t>
  </si>
  <si>
    <t>1</t>
  </si>
  <si>
    <t>Identificar columnas, tipos y granularidad</t>
  </si>
  <si>
    <t>Diccionario de datos completo; explicar Ticket vs Linea</t>
  </si>
  <si>
    <t>Detectar problemas de calidad</t>
  </si>
  <si>
    <t>Bitacora de incidencias con evidencia y estatus</t>
  </si>
  <si>
    <t>Validar claves de producto y cliente</t>
  </si>
  <si>
    <t>Lista de claves sin correspondencia; sin suposiciones</t>
  </si>
  <si>
    <t>2</t>
  </si>
  <si>
    <t>Calcular ingreso neto por linea</t>
  </si>
  <si>
    <t>Formula reproducible con descuento y cantidades; documentar estados</t>
  </si>
  <si>
    <t>Calcular costo y utilidad bruta</t>
  </si>
  <si>
    <t>Formulas; tratar precios y costos ausentes sin ocultarlos</t>
  </si>
  <si>
    <t>Resumir unidades por producto y categoria</t>
  </si>
  <si>
    <t>Tabla dinamica y top 10; justificar filtros</t>
  </si>
  <si>
    <t>Comparar ventas por region y canal</t>
  </si>
  <si>
    <t>Tablas dinamicas y grafico; verificar sumas</t>
  </si>
  <si>
    <t>3</t>
  </si>
  <si>
    <t>Evolucion mensual de ingresos y utilidad</t>
  </si>
  <si>
    <t>Dashboard con segmentadores y KPIs</t>
  </si>
  <si>
    <t>Analizar devoluciones y cancelaciones</t>
  </si>
  <si>
    <t>Tasas y efecto economico con definiciones claras</t>
  </si>
  <si>
    <t>Detectar descuentos atipicos</t>
  </si>
  <si>
    <t>Reglas, evidencia y propuesta de validacion</t>
  </si>
  <si>
    <t>4</t>
  </si>
  <si>
    <t>Analizar concentracion de clientes</t>
  </si>
  <si>
    <t>Pareto 80/20 y segmentacion</t>
  </si>
  <si>
    <t>Conciliar resultados entre hojas</t>
  </si>
  <si>
    <t>Validaciones cruzadas y control de calidad</t>
  </si>
  <si>
    <t>Presentar recomendaciones de negocio</t>
  </si>
  <si>
    <t>Informe ejecutivo con limitaciones y hallazgos</t>
  </si>
  <si>
    <t>Clasificacion</t>
  </si>
  <si>
    <t>PENDIENTE</t>
  </si>
  <si>
    <t>En revision</t>
  </si>
  <si>
    <t>Completadas &gt;=10000</t>
  </si>
  <si>
    <t>Total de canceladas</t>
  </si>
  <si>
    <t>Ingresos completados &gt;=10000</t>
  </si>
  <si>
    <t>Ingresos completados</t>
  </si>
  <si>
    <t>Total completadas</t>
  </si>
  <si>
    <t>Completadas con ingreso</t>
  </si>
  <si>
    <t>Porcentaje de completitud</t>
  </si>
  <si>
    <t>Codigo</t>
  </si>
  <si>
    <t>P-001</t>
  </si>
  <si>
    <t>Laptop</t>
  </si>
  <si>
    <t>P-002</t>
  </si>
  <si>
    <t>Mouse</t>
  </si>
  <si>
    <t>P-003</t>
  </si>
  <si>
    <t>Monitor</t>
  </si>
  <si>
    <t>Codigo buscado</t>
  </si>
  <si>
    <t>Producto encontrado</t>
  </si>
  <si>
    <t>Veces que aparece</t>
  </si>
  <si>
    <t>Validacion de codigo</t>
  </si>
  <si>
    <t>Codigos distintos</t>
  </si>
  <si>
    <t>Codigos duplicados</t>
  </si>
  <si>
    <t>Evaluacion bloque 2</t>
  </si>
  <si>
    <t>Reto 1 Ingreso de ventas completadas</t>
  </si>
  <si>
    <t>Resultado</t>
  </si>
  <si>
    <t>Ingreso de ventas canal web</t>
  </si>
  <si>
    <t>Operaciones por el canal web</t>
  </si>
  <si>
    <t>Ingreso promedio por operación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</si>
</sst>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/mm/yyyy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2EDF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4" fontId="1" fillId="2" borderId="0" xfId="0" applyNumberFormat="1" applyFont="1" applyFill="1" applyAlignment="1">
      <alignment wrapText="1"/>
    </xf>
    <xf numFmtId="0" fontId="2" fillId="3" borderId="0" xfId="0" applyFont="1" applyFill="1"/>
    <xf numFmtId="0" fontId="0" fillId="0" borderId="0" xfId="0" applyAlignment="1">
      <alignment horizontal="center"/>
    </xf>
    <xf numFmtId="9" fontId="0" fillId="0" borderId="0" xfId="2" applyFont="1"/>
    <xf numFmtId="44" fontId="0" fillId="0" borderId="0" xfId="1" applyFont="1"/>
    <xf numFmtId="0" fontId="0" fillId="0" borderId="0" xfId="1" applyNumberFormat="1" applyFont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Ventas" displayName="TablaVentas" ref="A1:R2295" totalsRowShown="0">
  <autoFilter ref="A1:R2295" xr:uid="{00000000-000C-0000-FFFF-FFFF00000000}"/>
  <tableColumns count="18">
    <tableColumn id="1" xr3:uid="{00000000-0010-0000-0000-000001000000}" name="Ticket"/>
    <tableColumn id="2" xr3:uid="{00000000-0010-0000-0000-000002000000}" name="Linea"/>
    <tableColumn id="3" xr3:uid="{00000000-0010-0000-0000-000003000000}" name="Fecha"/>
    <tableColumn id="4" xr3:uid="{00000000-0010-0000-0000-000004000000}" name="Cliente_ID"/>
    <tableColumn id="5" xr3:uid="{00000000-0010-0000-0000-000005000000}" name="Producto_ID"/>
    <tableColumn id="6" xr3:uid="{00000000-0010-0000-0000-000006000000}" name="Region"/>
    <tableColumn id="7" xr3:uid="{00000000-0010-0000-0000-000007000000}" name="Canal"/>
    <tableColumn id="8" xr3:uid="{00000000-0010-0000-0000-000008000000}" name="Vendedor"/>
    <tableColumn id="9" xr3:uid="{00000000-0010-0000-0000-000009000000}" name="Unidades"/>
    <tableColumn id="10" xr3:uid="{00000000-0010-0000-0000-00000A000000}" name="Precio_unitario"/>
    <tableColumn id="11" xr3:uid="{00000000-0010-0000-0000-00000B000000}" name="Descuento_pct"/>
    <tableColumn id="12" xr3:uid="{00000000-0010-0000-0000-00000C000000}" name="Costo_unitario"/>
    <tableColumn id="13" xr3:uid="{00000000-0010-0000-0000-00000D000000}" name="Estado"/>
    <tableColumn id="14" xr3:uid="{00000000-0010-0000-0000-00000E000000}" name="Metodo_pago"/>
    <tableColumn id="15" xr3:uid="{00000000-0010-0000-0000-00000F000000}" name="Ingreso_neto" dataDxfId="2">
      <calculatedColumnFormula>IF(TablaVentas[[#This Row],[Precio_unitario]]="","PENDIENTE",TablaVentas[[#This Row],[Unidades]]*TablaVentas[[#This Row],[Precio_unitario]]*(1-TablaVentas[[#This Row],[Descuento_pct]]))</calculatedColumnFormula>
    </tableColumn>
    <tableColumn id="16" xr3:uid="{00000000-0010-0000-0000-000010000000}" name="Costo_total" dataDxfId="1">
      <calculatedColumnFormula>IF(TablaVentas[[#This Row],[Costo_unitario]]="","PENDIENTE",TablaVentas[[#This Row],[Unidades]]*TablaVentas[[#This Row],[Costo_unitario]])</calculatedColumnFormula>
    </tableColumn>
    <tableColumn id="17" xr3:uid="{00000000-0010-0000-0000-000011000000}" name="Utilidad_bruta" dataDxfId="0">
      <calculatedColumnFormula>IF(OR(TablaVentas[[#This Row],[Ingreso_neto]]="PENDIENTE",TablaVentas[[#This Row],[Costo_total]]="PENDIENTE"),"PENDIENTE",TablaVentas[[#This Row],[Ingreso_neto]]-TablaVentas[[#This Row],[Costo_total]])</calculatedColumnFormula>
    </tableColumn>
    <tableColumn id="18" xr3:uid="{00000000-0010-0000-0000-000012000000}" name="Observ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atalogo" displayName="TablaCatalogo" ref="A1:E101" totalsRowShown="0">
  <tableColumns count="5">
    <tableColumn id="1" xr3:uid="{00000000-0010-0000-0100-000001000000}" name="Producto_ID"/>
    <tableColumn id="2" xr3:uid="{00000000-0010-0000-0100-000002000000}" name="Producto"/>
    <tableColumn id="3" xr3:uid="{00000000-0010-0000-0100-000003000000}" name="Categoria"/>
    <tableColumn id="4" xr3:uid="{00000000-0010-0000-0100-000004000000}" name="Precio_lista"/>
    <tableColumn id="5" xr3:uid="{00000000-0010-0000-0100-000005000000}" name="Costo_refere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Clientes" displayName="TablaClientes" ref="A1:D261" totalsRowShown="0">
  <tableColumns count="4">
    <tableColumn id="1" xr3:uid="{00000000-0010-0000-0200-000001000000}" name="Cliente_ID"/>
    <tableColumn id="2" xr3:uid="{00000000-0010-0000-0200-000002000000}" name="Cliente"/>
    <tableColumn id="3" xr3:uid="{00000000-0010-0000-0200-000003000000}" name="Segmento"/>
    <tableColumn id="4" xr3:uid="{00000000-0010-0000-0200-000004000000}" name="Region_b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zoomScale="140" zoomScaleNormal="140" workbookViewId="0"/>
  </sheetViews>
  <sheetFormatPr baseColWidth="10" defaultColWidth="8.83203125" defaultRowHeight="14"/>
  <cols>
    <col min="1" max="1" width="105" customWidth="1"/>
  </cols>
  <sheetData>
    <row r="1" spans="1:1" ht="42.75" customHeight="1">
      <c r="A1" s="1" t="s">
        <v>0</v>
      </c>
    </row>
    <row r="2" spans="1:1">
      <c r="A2" t="s">
        <v>1</v>
      </c>
    </row>
    <row r="4" spans="1:1" ht="15">
      <c r="A4" s="7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 ht="15">
      <c r="A10" s="7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95"/>
  <sheetViews>
    <sheetView topLeftCell="G1" workbookViewId="0">
      <pane ySplit="1" topLeftCell="A2" activePane="bottomLeft" state="frozen"/>
      <selection pane="bottomLeft" activeCell="R4" sqref="R4"/>
    </sheetView>
  </sheetViews>
  <sheetFormatPr baseColWidth="10" defaultColWidth="8.83203125" defaultRowHeight="14"/>
  <cols>
    <col min="1" max="4" width="18" customWidth="1"/>
    <col min="5" max="5" width="16" customWidth="1"/>
    <col min="6" max="17" width="18" customWidth="1"/>
    <col min="18" max="18" width="44" customWidth="1"/>
  </cols>
  <sheetData>
    <row r="1" spans="1:18" ht="28" customHeight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</row>
    <row r="2" spans="1:18">
      <c r="A2" t="s">
        <v>36</v>
      </c>
      <c r="B2">
        <v>1</v>
      </c>
      <c r="C2" s="3">
        <v>46044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>
        <v>3</v>
      </c>
      <c r="J2" s="4">
        <v>5414.98</v>
      </c>
      <c r="K2" s="5">
        <v>0</v>
      </c>
      <c r="L2" s="4">
        <v>3832.69</v>
      </c>
      <c r="M2" t="s">
        <v>42</v>
      </c>
      <c r="N2" t="s">
        <v>43</v>
      </c>
      <c r="O2">
        <f>IF(TablaVentas[[#This Row],[Precio_unitario]]="","PENDIENTE",TablaVentas[[#This Row],[Unidades]]*TablaVentas[[#This Row],[Precio_unitario]]*(1-TablaVentas[[#This Row],[Descuento_pct]]))</f>
        <v>16244.939999999999</v>
      </c>
      <c r="P2">
        <f>IF(TablaVentas[[#This Row],[Costo_unitario]]="","PENDIENTE",TablaVentas[[#This Row],[Unidades]]*TablaVentas[[#This Row],[Costo_unitario]])</f>
        <v>11498.07</v>
      </c>
      <c r="Q2">
        <f>IF(OR(TablaVentas[[#This Row],[Ingreso_neto]]="PENDIENTE",TablaVentas[[#This Row],[Costo_total]]="PENDIENTE"),"PENDIENTE",TablaVentas[[#This Row],[Ingreso_neto]]-TablaVentas[[#This Row],[Costo_total]])</f>
        <v>4746.869999999999</v>
      </c>
    </row>
    <row r="3" spans="1:18">
      <c r="A3" t="s">
        <v>36</v>
      </c>
      <c r="B3">
        <v>2</v>
      </c>
      <c r="C3" s="3">
        <v>46044</v>
      </c>
      <c r="D3" t="s">
        <v>37</v>
      </c>
      <c r="E3" t="s">
        <v>44</v>
      </c>
      <c r="F3" t="s">
        <v>39</v>
      </c>
      <c r="G3" t="s">
        <v>40</v>
      </c>
      <c r="H3" t="s">
        <v>41</v>
      </c>
      <c r="I3">
        <v>2</v>
      </c>
      <c r="J3" s="4">
        <v>14544.34</v>
      </c>
      <c r="K3" s="5">
        <v>0.15</v>
      </c>
      <c r="L3" s="4">
        <v>8980.68</v>
      </c>
      <c r="M3" t="s">
        <v>42</v>
      </c>
      <c r="N3" t="s">
        <v>45</v>
      </c>
      <c r="O3">
        <f>IF(TablaVentas[[#This Row],[Precio_unitario]]="","PENDIENTE",TablaVentas[[#This Row],[Unidades]]*TablaVentas[[#This Row],[Precio_unitario]]*(1-TablaVentas[[#This Row],[Descuento_pct]]))</f>
        <v>24725.378000000001</v>
      </c>
      <c r="P3">
        <f>IF(TablaVentas[[#This Row],[Costo_unitario]]="","PENDIENTE",TablaVentas[[#This Row],[Unidades]]*TablaVentas[[#This Row],[Costo_unitario]])</f>
        <v>17961.36</v>
      </c>
      <c r="Q3">
        <f>IF(OR(TablaVentas[[#This Row],[Ingreso_neto]]="PENDIENTE",TablaVentas[[#This Row],[Costo_total]]="PENDIENTE"),"PENDIENTE",TablaVentas[[#This Row],[Ingreso_neto]]-TablaVentas[[#This Row],[Costo_total]])</f>
        <v>6764.018</v>
      </c>
    </row>
    <row r="4" spans="1:18">
      <c r="A4" t="s">
        <v>36</v>
      </c>
      <c r="B4">
        <v>3</v>
      </c>
      <c r="C4" s="3">
        <v>46044</v>
      </c>
      <c r="D4" t="s">
        <v>37</v>
      </c>
      <c r="E4" t="s">
        <v>46</v>
      </c>
      <c r="F4" t="s">
        <v>39</v>
      </c>
      <c r="G4" t="s">
        <v>40</v>
      </c>
      <c r="H4" t="s">
        <v>41</v>
      </c>
      <c r="I4">
        <v>2</v>
      </c>
      <c r="J4" s="4">
        <v>4296.6899999999996</v>
      </c>
      <c r="K4" s="5">
        <v>0.2</v>
      </c>
      <c r="L4" s="4">
        <v>2957.6</v>
      </c>
      <c r="M4" t="s">
        <v>42</v>
      </c>
      <c r="N4" t="s">
        <v>43</v>
      </c>
      <c r="O4">
        <f>IF(TablaVentas[[#This Row],[Precio_unitario]]="","PENDIENTE",TablaVentas[[#This Row],[Unidades]]*TablaVentas[[#This Row],[Precio_unitario]]*(1-TablaVentas[[#This Row],[Descuento_pct]]))</f>
        <v>6874.7039999999997</v>
      </c>
      <c r="P4">
        <f>IF(TablaVentas[[#This Row],[Costo_unitario]]="","PENDIENTE",TablaVentas[[#This Row],[Unidades]]*TablaVentas[[#This Row],[Costo_unitario]])</f>
        <v>5915.2</v>
      </c>
      <c r="Q4">
        <f>IF(OR(TablaVentas[[#This Row],[Ingreso_neto]]="PENDIENTE",TablaVentas[[#This Row],[Costo_total]]="PENDIENTE"),"PENDIENTE",TablaVentas[[#This Row],[Ingreso_neto]]-TablaVentas[[#This Row],[Costo_total]])</f>
        <v>959.50399999999991</v>
      </c>
    </row>
    <row r="5" spans="1:18">
      <c r="A5" t="s">
        <v>47</v>
      </c>
      <c r="B5">
        <v>1</v>
      </c>
      <c r="C5" s="3">
        <v>46108</v>
      </c>
      <c r="D5" t="s">
        <v>48</v>
      </c>
      <c r="E5" t="s">
        <v>49</v>
      </c>
      <c r="F5" t="s">
        <v>39</v>
      </c>
      <c r="G5" t="s">
        <v>50</v>
      </c>
      <c r="H5" t="s">
        <v>51</v>
      </c>
      <c r="I5">
        <v>1</v>
      </c>
      <c r="J5" s="4">
        <v>4063.45</v>
      </c>
      <c r="K5" s="5">
        <v>0.15</v>
      </c>
      <c r="L5" s="4">
        <v>2950.52</v>
      </c>
      <c r="M5" t="s">
        <v>42</v>
      </c>
      <c r="N5" t="s">
        <v>52</v>
      </c>
      <c r="O5">
        <f>IF(TablaVentas[[#This Row],[Precio_unitario]]="","PENDIENTE",TablaVentas[[#This Row],[Unidades]]*TablaVentas[[#This Row],[Precio_unitario]]*(1-TablaVentas[[#This Row],[Descuento_pct]]))</f>
        <v>3453.9324999999999</v>
      </c>
      <c r="P5">
        <f>IF(TablaVentas[[#This Row],[Costo_unitario]]="","PENDIENTE",TablaVentas[[#This Row],[Unidades]]*TablaVentas[[#This Row],[Costo_unitario]])</f>
        <v>2950.52</v>
      </c>
      <c r="Q5">
        <f>IF(OR(TablaVentas[[#This Row],[Ingreso_neto]]="PENDIENTE",TablaVentas[[#This Row],[Costo_total]]="PENDIENTE"),"PENDIENTE",TablaVentas[[#This Row],[Ingreso_neto]]-TablaVentas[[#This Row],[Costo_total]])</f>
        <v>503.41249999999991</v>
      </c>
    </row>
    <row r="6" spans="1:18">
      <c r="A6" t="s">
        <v>53</v>
      </c>
      <c r="B6">
        <v>1</v>
      </c>
      <c r="C6" s="3">
        <v>46290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>
        <v>1</v>
      </c>
      <c r="J6" s="4">
        <v>11243.08</v>
      </c>
      <c r="K6" s="5">
        <v>0.1</v>
      </c>
      <c r="L6" s="4">
        <v>6407.85</v>
      </c>
      <c r="M6" t="s">
        <v>42</v>
      </c>
      <c r="N6" t="s">
        <v>52</v>
      </c>
      <c r="O6">
        <f>IF(TablaVentas[[#This Row],[Precio_unitario]]="","PENDIENTE",TablaVentas[[#This Row],[Unidades]]*TablaVentas[[#This Row],[Precio_unitario]]*(1-TablaVentas[[#This Row],[Descuento_pct]]))</f>
        <v>10118.772000000001</v>
      </c>
      <c r="P6">
        <f>IF(TablaVentas[[#This Row],[Costo_unitario]]="","PENDIENTE",TablaVentas[[#This Row],[Unidades]]*TablaVentas[[#This Row],[Costo_unitario]])</f>
        <v>6407.85</v>
      </c>
      <c r="Q6">
        <f>IF(OR(TablaVentas[[#This Row],[Ingreso_neto]]="PENDIENTE",TablaVentas[[#This Row],[Costo_total]]="PENDIENTE"),"PENDIENTE",TablaVentas[[#This Row],[Ingreso_neto]]-TablaVentas[[#This Row],[Costo_total]])</f>
        <v>3710.9220000000005</v>
      </c>
    </row>
    <row r="7" spans="1:18">
      <c r="A7" t="s">
        <v>53</v>
      </c>
      <c r="B7">
        <v>2</v>
      </c>
      <c r="C7" s="3">
        <v>46290</v>
      </c>
      <c r="D7" t="s">
        <v>54</v>
      </c>
      <c r="E7" t="s">
        <v>59</v>
      </c>
      <c r="F7" t="s">
        <v>56</v>
      </c>
      <c r="G7" t="s">
        <v>57</v>
      </c>
      <c r="H7" t="s">
        <v>58</v>
      </c>
      <c r="I7">
        <v>5</v>
      </c>
      <c r="J7" s="4">
        <v>13728.46</v>
      </c>
      <c r="K7" s="5">
        <v>0.05</v>
      </c>
      <c r="L7" s="4">
        <v>10170.290000000001</v>
      </c>
      <c r="M7" t="s">
        <v>42</v>
      </c>
      <c r="N7" t="s">
        <v>60</v>
      </c>
      <c r="O7">
        <f>IF(TablaVentas[[#This Row],[Precio_unitario]]="","PENDIENTE",TablaVentas[[#This Row],[Unidades]]*TablaVentas[[#This Row],[Precio_unitario]]*(1-TablaVentas[[#This Row],[Descuento_pct]]))</f>
        <v>65210.184999999983</v>
      </c>
      <c r="P7">
        <f>IF(TablaVentas[[#This Row],[Costo_unitario]]="","PENDIENTE",TablaVentas[[#This Row],[Unidades]]*TablaVentas[[#This Row],[Costo_unitario]])</f>
        <v>50851.450000000004</v>
      </c>
      <c r="Q7">
        <f>IF(OR(TablaVentas[[#This Row],[Ingreso_neto]]="PENDIENTE",TablaVentas[[#This Row],[Costo_total]]="PENDIENTE"),"PENDIENTE",TablaVentas[[#This Row],[Ingreso_neto]]-TablaVentas[[#This Row],[Costo_total]])</f>
        <v>14358.734999999979</v>
      </c>
    </row>
    <row r="8" spans="1:18">
      <c r="A8" t="s">
        <v>53</v>
      </c>
      <c r="B8">
        <v>3</v>
      </c>
      <c r="C8" s="3">
        <v>46290</v>
      </c>
      <c r="D8" t="s">
        <v>54</v>
      </c>
      <c r="E8" t="s">
        <v>61</v>
      </c>
      <c r="F8" t="s">
        <v>56</v>
      </c>
      <c r="G8" t="s">
        <v>57</v>
      </c>
      <c r="H8" t="s">
        <v>58</v>
      </c>
      <c r="I8">
        <v>2</v>
      </c>
      <c r="J8" s="4">
        <v>4489.78</v>
      </c>
      <c r="K8" s="5">
        <v>0.2</v>
      </c>
      <c r="L8" s="4">
        <v>2554.06</v>
      </c>
      <c r="M8" t="s">
        <v>62</v>
      </c>
      <c r="N8" t="s">
        <v>52</v>
      </c>
      <c r="O8">
        <f>IF(TablaVentas[[#This Row],[Precio_unitario]]="","PENDIENTE",TablaVentas[[#This Row],[Unidades]]*TablaVentas[[#This Row],[Precio_unitario]]*(1-TablaVentas[[#This Row],[Descuento_pct]]))</f>
        <v>7183.6480000000001</v>
      </c>
      <c r="P8">
        <f>IF(TablaVentas[[#This Row],[Costo_unitario]]="","PENDIENTE",TablaVentas[[#This Row],[Unidades]]*TablaVentas[[#This Row],[Costo_unitario]])</f>
        <v>5108.12</v>
      </c>
      <c r="Q8">
        <f>IF(OR(TablaVentas[[#This Row],[Ingreso_neto]]="PENDIENTE",TablaVentas[[#This Row],[Costo_total]]="PENDIENTE"),"PENDIENTE",TablaVentas[[#This Row],[Ingreso_neto]]-TablaVentas[[#This Row],[Costo_total]])</f>
        <v>2075.5280000000002</v>
      </c>
    </row>
    <row r="9" spans="1:18">
      <c r="A9" t="s">
        <v>63</v>
      </c>
      <c r="B9">
        <v>1</v>
      </c>
      <c r="C9" s="3">
        <v>46163</v>
      </c>
      <c r="D9" t="s">
        <v>64</v>
      </c>
      <c r="E9" t="s">
        <v>65</v>
      </c>
      <c r="F9" t="s">
        <v>66</v>
      </c>
      <c r="G9" t="s">
        <v>40</v>
      </c>
      <c r="H9" t="s">
        <v>67</v>
      </c>
      <c r="I9">
        <v>2</v>
      </c>
      <c r="J9" s="4">
        <v>10798.95</v>
      </c>
      <c r="K9" s="5">
        <v>0</v>
      </c>
      <c r="L9" s="4">
        <v>7328.02</v>
      </c>
      <c r="M9" t="s">
        <v>42</v>
      </c>
      <c r="N9" t="s">
        <v>60</v>
      </c>
      <c r="O9">
        <f>IF(TablaVentas[[#This Row],[Precio_unitario]]="","PENDIENTE",TablaVentas[[#This Row],[Unidades]]*TablaVentas[[#This Row],[Precio_unitario]]*(1-TablaVentas[[#This Row],[Descuento_pct]]))</f>
        <v>21597.9</v>
      </c>
      <c r="P9">
        <f>IF(TablaVentas[[#This Row],[Costo_unitario]]="","PENDIENTE",TablaVentas[[#This Row],[Unidades]]*TablaVentas[[#This Row],[Costo_unitario]])</f>
        <v>14656.04</v>
      </c>
      <c r="Q9">
        <f>IF(OR(TablaVentas[[#This Row],[Ingreso_neto]]="PENDIENTE",TablaVentas[[#This Row],[Costo_total]]="PENDIENTE"),"PENDIENTE",TablaVentas[[#This Row],[Ingreso_neto]]-TablaVentas[[#This Row],[Costo_total]])</f>
        <v>6941.8600000000006</v>
      </c>
    </row>
    <row r="10" spans="1:18">
      <c r="A10" t="s">
        <v>63</v>
      </c>
      <c r="B10">
        <v>2</v>
      </c>
      <c r="C10" s="3">
        <v>46163</v>
      </c>
      <c r="D10" t="s">
        <v>64</v>
      </c>
      <c r="E10" t="s">
        <v>68</v>
      </c>
      <c r="F10" t="s">
        <v>66</v>
      </c>
      <c r="G10" t="s">
        <v>40</v>
      </c>
      <c r="H10" t="s">
        <v>67</v>
      </c>
      <c r="I10">
        <v>5</v>
      </c>
      <c r="J10" s="4">
        <v>15644.6</v>
      </c>
      <c r="K10" s="5">
        <v>0.05</v>
      </c>
      <c r="L10" s="4">
        <v>9243.35</v>
      </c>
      <c r="M10" t="s">
        <v>62</v>
      </c>
      <c r="N10" t="s">
        <v>45</v>
      </c>
      <c r="O10">
        <f>IF(TablaVentas[[#This Row],[Precio_unitario]]="","PENDIENTE",TablaVentas[[#This Row],[Unidades]]*TablaVentas[[#This Row],[Precio_unitario]]*(1-TablaVentas[[#This Row],[Descuento_pct]]))</f>
        <v>74311.849999999991</v>
      </c>
      <c r="P10">
        <f>IF(TablaVentas[[#This Row],[Costo_unitario]]="","PENDIENTE",TablaVentas[[#This Row],[Unidades]]*TablaVentas[[#This Row],[Costo_unitario]])</f>
        <v>46216.75</v>
      </c>
      <c r="Q10">
        <f>IF(OR(TablaVentas[[#This Row],[Ingreso_neto]]="PENDIENTE",TablaVentas[[#This Row],[Costo_total]]="PENDIENTE"),"PENDIENTE",TablaVentas[[#This Row],[Ingreso_neto]]-TablaVentas[[#This Row],[Costo_total]])</f>
        <v>28095.099999999991</v>
      </c>
    </row>
    <row r="11" spans="1:18">
      <c r="A11" t="s">
        <v>63</v>
      </c>
      <c r="B11">
        <v>3</v>
      </c>
      <c r="C11" s="3">
        <v>46163</v>
      </c>
      <c r="D11" t="s">
        <v>64</v>
      </c>
      <c r="E11" t="s">
        <v>69</v>
      </c>
      <c r="F11" t="s">
        <v>66</v>
      </c>
      <c r="G11" t="s">
        <v>40</v>
      </c>
      <c r="H11" t="s">
        <v>67</v>
      </c>
      <c r="I11">
        <v>12</v>
      </c>
      <c r="J11" s="4">
        <v>12609.46</v>
      </c>
      <c r="K11" s="5">
        <v>0</v>
      </c>
      <c r="L11" s="4">
        <v>10094.26</v>
      </c>
      <c r="M11" t="s">
        <v>42</v>
      </c>
      <c r="N11" t="s">
        <v>52</v>
      </c>
      <c r="O11">
        <f>IF(TablaVentas[[#This Row],[Precio_unitario]]="","PENDIENTE",TablaVentas[[#This Row],[Unidades]]*TablaVentas[[#This Row],[Precio_unitario]]*(1-TablaVentas[[#This Row],[Descuento_pct]]))</f>
        <v>151313.51999999999</v>
      </c>
      <c r="P11">
        <f>IF(TablaVentas[[#This Row],[Costo_unitario]]="","PENDIENTE",TablaVentas[[#This Row],[Unidades]]*TablaVentas[[#This Row],[Costo_unitario]])</f>
        <v>121131.12</v>
      </c>
      <c r="Q11">
        <f>IF(OR(TablaVentas[[#This Row],[Ingreso_neto]]="PENDIENTE",TablaVentas[[#This Row],[Costo_total]]="PENDIENTE"),"PENDIENTE",TablaVentas[[#This Row],[Ingreso_neto]]-TablaVentas[[#This Row],[Costo_total]])</f>
        <v>30182.399999999994</v>
      </c>
    </row>
    <row r="12" spans="1:18">
      <c r="A12" t="s">
        <v>63</v>
      </c>
      <c r="B12">
        <v>4</v>
      </c>
      <c r="C12" s="3">
        <v>46163</v>
      </c>
      <c r="D12" t="s">
        <v>64</v>
      </c>
      <c r="E12" t="s">
        <v>46</v>
      </c>
      <c r="F12" t="s">
        <v>66</v>
      </c>
      <c r="G12" t="s">
        <v>40</v>
      </c>
      <c r="H12" t="s">
        <v>67</v>
      </c>
      <c r="I12">
        <v>3</v>
      </c>
      <c r="J12" s="4">
        <v>3674.41</v>
      </c>
      <c r="K12" s="5">
        <v>0</v>
      </c>
      <c r="L12" s="4">
        <v>2957.6</v>
      </c>
      <c r="M12" t="s">
        <v>42</v>
      </c>
      <c r="N12" t="s">
        <v>45</v>
      </c>
      <c r="O12">
        <f>IF(TablaVentas[[#This Row],[Precio_unitario]]="","PENDIENTE",TablaVentas[[#This Row],[Unidades]]*TablaVentas[[#This Row],[Precio_unitario]]*(1-TablaVentas[[#This Row],[Descuento_pct]]))</f>
        <v>11023.23</v>
      </c>
      <c r="P12">
        <f>IF(TablaVentas[[#This Row],[Costo_unitario]]="","PENDIENTE",TablaVentas[[#This Row],[Unidades]]*TablaVentas[[#This Row],[Costo_unitario]])</f>
        <v>8872.7999999999993</v>
      </c>
      <c r="Q12">
        <f>IF(OR(TablaVentas[[#This Row],[Ingreso_neto]]="PENDIENTE",TablaVentas[[#This Row],[Costo_total]]="PENDIENTE"),"PENDIENTE",TablaVentas[[#This Row],[Ingreso_neto]]-TablaVentas[[#This Row],[Costo_total]])</f>
        <v>2150.4300000000003</v>
      </c>
    </row>
    <row r="13" spans="1:18">
      <c r="A13" t="s">
        <v>63</v>
      </c>
      <c r="B13">
        <v>5</v>
      </c>
      <c r="C13" s="3">
        <v>46163</v>
      </c>
      <c r="D13" t="s">
        <v>64</v>
      </c>
      <c r="E13" t="s">
        <v>70</v>
      </c>
      <c r="F13" t="s">
        <v>66</v>
      </c>
      <c r="G13" t="s">
        <v>40</v>
      </c>
      <c r="H13" t="s">
        <v>67</v>
      </c>
      <c r="I13">
        <v>1</v>
      </c>
      <c r="J13" s="4">
        <v>16434.150000000001</v>
      </c>
      <c r="K13" s="5">
        <v>0</v>
      </c>
      <c r="L13" s="4">
        <v>10571.25</v>
      </c>
      <c r="M13" t="s">
        <v>42</v>
      </c>
      <c r="N13" t="s">
        <v>60</v>
      </c>
      <c r="O13">
        <f>IF(TablaVentas[[#This Row],[Precio_unitario]]="","PENDIENTE",TablaVentas[[#This Row],[Unidades]]*TablaVentas[[#This Row],[Precio_unitario]]*(1-TablaVentas[[#This Row],[Descuento_pct]]))</f>
        <v>16434.150000000001</v>
      </c>
      <c r="P13">
        <f>IF(TablaVentas[[#This Row],[Costo_unitario]]="","PENDIENTE",TablaVentas[[#This Row],[Unidades]]*TablaVentas[[#This Row],[Costo_unitario]])</f>
        <v>10571.25</v>
      </c>
      <c r="Q13">
        <f>IF(OR(TablaVentas[[#This Row],[Ingreso_neto]]="PENDIENTE",TablaVentas[[#This Row],[Costo_total]]="PENDIENTE"),"PENDIENTE",TablaVentas[[#This Row],[Ingreso_neto]]-TablaVentas[[#This Row],[Costo_total]])</f>
        <v>5862.9000000000015</v>
      </c>
    </row>
    <row r="14" spans="1:18">
      <c r="A14" t="s">
        <v>71</v>
      </c>
      <c r="B14">
        <v>1</v>
      </c>
      <c r="C14" s="3">
        <v>46247</v>
      </c>
      <c r="D14" t="s">
        <v>72</v>
      </c>
      <c r="E14" t="s">
        <v>49</v>
      </c>
      <c r="F14" t="s">
        <v>66</v>
      </c>
      <c r="G14" t="s">
        <v>57</v>
      </c>
      <c r="H14" t="s">
        <v>73</v>
      </c>
      <c r="I14">
        <v>2</v>
      </c>
      <c r="J14" s="4">
        <v>3864.46</v>
      </c>
      <c r="K14" s="5">
        <v>0.15</v>
      </c>
      <c r="L14" s="4">
        <v>2950.52</v>
      </c>
      <c r="M14" t="s">
        <v>42</v>
      </c>
      <c r="N14" t="s">
        <v>45</v>
      </c>
      <c r="O14">
        <f>IF(TablaVentas[[#This Row],[Precio_unitario]]="","PENDIENTE",TablaVentas[[#This Row],[Unidades]]*TablaVentas[[#This Row],[Precio_unitario]]*(1-TablaVentas[[#This Row],[Descuento_pct]]))</f>
        <v>6569.5820000000003</v>
      </c>
      <c r="P14">
        <f>IF(TablaVentas[[#This Row],[Costo_unitario]]="","PENDIENTE",TablaVentas[[#This Row],[Unidades]]*TablaVentas[[#This Row],[Costo_unitario]])</f>
        <v>5901.04</v>
      </c>
      <c r="Q14">
        <f>IF(OR(TablaVentas[[#This Row],[Ingreso_neto]]="PENDIENTE",TablaVentas[[#This Row],[Costo_total]]="PENDIENTE"),"PENDIENTE",TablaVentas[[#This Row],[Ingreso_neto]]-TablaVentas[[#This Row],[Costo_total]])</f>
        <v>668.54200000000037</v>
      </c>
    </row>
    <row r="15" spans="1:18">
      <c r="A15" t="s">
        <v>74</v>
      </c>
      <c r="B15">
        <v>1</v>
      </c>
      <c r="C15" s="3">
        <v>46219</v>
      </c>
      <c r="D15" t="s">
        <v>75</v>
      </c>
      <c r="E15" t="s">
        <v>76</v>
      </c>
      <c r="F15" t="s">
        <v>77</v>
      </c>
      <c r="G15" t="s">
        <v>57</v>
      </c>
      <c r="H15" t="s">
        <v>41</v>
      </c>
      <c r="I15">
        <v>5</v>
      </c>
      <c r="J15" s="4">
        <v>12482.3</v>
      </c>
      <c r="K15" s="5">
        <v>0</v>
      </c>
      <c r="L15" s="4">
        <v>7748.44</v>
      </c>
      <c r="M15" t="s">
        <v>42</v>
      </c>
      <c r="N15" t="s">
        <v>45</v>
      </c>
      <c r="O15">
        <f>IF(TablaVentas[[#This Row],[Precio_unitario]]="","PENDIENTE",TablaVentas[[#This Row],[Unidades]]*TablaVentas[[#This Row],[Precio_unitario]]*(1-TablaVentas[[#This Row],[Descuento_pct]]))</f>
        <v>62411.5</v>
      </c>
      <c r="P15">
        <f>IF(TablaVentas[[#This Row],[Costo_unitario]]="","PENDIENTE",TablaVentas[[#This Row],[Unidades]]*TablaVentas[[#This Row],[Costo_unitario]])</f>
        <v>38742.199999999997</v>
      </c>
      <c r="Q15">
        <f>IF(OR(TablaVentas[[#This Row],[Ingreso_neto]]="PENDIENTE",TablaVentas[[#This Row],[Costo_total]]="PENDIENTE"),"PENDIENTE",TablaVentas[[#This Row],[Ingreso_neto]]-TablaVentas[[#This Row],[Costo_total]])</f>
        <v>23669.300000000003</v>
      </c>
    </row>
    <row r="16" spans="1:18">
      <c r="A16" t="s">
        <v>74</v>
      </c>
      <c r="B16">
        <v>2</v>
      </c>
      <c r="C16" s="3">
        <v>46219</v>
      </c>
      <c r="D16" t="s">
        <v>75</v>
      </c>
      <c r="E16" t="s">
        <v>78</v>
      </c>
      <c r="F16" t="s">
        <v>77</v>
      </c>
      <c r="G16" t="s">
        <v>57</v>
      </c>
      <c r="H16" t="s">
        <v>41</v>
      </c>
      <c r="I16">
        <v>2</v>
      </c>
      <c r="J16" s="4">
        <v>9371.76</v>
      </c>
      <c r="K16" s="5">
        <v>0</v>
      </c>
      <c r="L16" s="4">
        <v>5033.47</v>
      </c>
      <c r="M16" t="s">
        <v>42</v>
      </c>
      <c r="N16" t="s">
        <v>45</v>
      </c>
      <c r="O16">
        <f>IF(TablaVentas[[#This Row],[Precio_unitario]]="","PENDIENTE",TablaVentas[[#This Row],[Unidades]]*TablaVentas[[#This Row],[Precio_unitario]]*(1-TablaVentas[[#This Row],[Descuento_pct]]))</f>
        <v>18743.52</v>
      </c>
      <c r="P16">
        <f>IF(TablaVentas[[#This Row],[Costo_unitario]]="","PENDIENTE",TablaVentas[[#This Row],[Unidades]]*TablaVentas[[#This Row],[Costo_unitario]])</f>
        <v>10066.94</v>
      </c>
      <c r="Q16">
        <f>IF(OR(TablaVentas[[#This Row],[Ingreso_neto]]="PENDIENTE",TablaVentas[[#This Row],[Costo_total]]="PENDIENTE"),"PENDIENTE",TablaVentas[[#This Row],[Ingreso_neto]]-TablaVentas[[#This Row],[Costo_total]])</f>
        <v>8676.58</v>
      </c>
    </row>
    <row r="17" spans="1:17">
      <c r="A17" t="s">
        <v>79</v>
      </c>
      <c r="B17">
        <v>1</v>
      </c>
      <c r="C17" s="3">
        <v>46079</v>
      </c>
      <c r="D17" t="s">
        <v>80</v>
      </c>
      <c r="E17" t="s">
        <v>81</v>
      </c>
      <c r="F17" t="s">
        <v>66</v>
      </c>
      <c r="G17" t="s">
        <v>57</v>
      </c>
      <c r="H17" t="s">
        <v>82</v>
      </c>
      <c r="I17">
        <v>5</v>
      </c>
      <c r="J17" s="4">
        <v>16588.09</v>
      </c>
      <c r="K17" s="5">
        <v>0</v>
      </c>
      <c r="L17" s="4">
        <v>11614.87</v>
      </c>
      <c r="M17" t="s">
        <v>42</v>
      </c>
      <c r="N17" t="s">
        <v>60</v>
      </c>
      <c r="O17">
        <f>IF(TablaVentas[[#This Row],[Precio_unitario]]="","PENDIENTE",TablaVentas[[#This Row],[Unidades]]*TablaVentas[[#This Row],[Precio_unitario]]*(1-TablaVentas[[#This Row],[Descuento_pct]]))</f>
        <v>82940.45</v>
      </c>
      <c r="P17">
        <f>IF(TablaVentas[[#This Row],[Costo_unitario]]="","PENDIENTE",TablaVentas[[#This Row],[Unidades]]*TablaVentas[[#This Row],[Costo_unitario]])</f>
        <v>58074.350000000006</v>
      </c>
      <c r="Q17">
        <f>IF(OR(TablaVentas[[#This Row],[Ingreso_neto]]="PENDIENTE",TablaVentas[[#This Row],[Costo_total]]="PENDIENTE"),"PENDIENTE",TablaVentas[[#This Row],[Ingreso_neto]]-TablaVentas[[#This Row],[Costo_total]])</f>
        <v>24866.099999999991</v>
      </c>
    </row>
    <row r="18" spans="1:17">
      <c r="A18" t="s">
        <v>79</v>
      </c>
      <c r="B18">
        <v>2</v>
      </c>
      <c r="C18" s="3">
        <v>46079</v>
      </c>
      <c r="D18" t="s">
        <v>80</v>
      </c>
      <c r="E18" t="s">
        <v>83</v>
      </c>
      <c r="F18" t="s">
        <v>66</v>
      </c>
      <c r="G18" t="s">
        <v>57</v>
      </c>
      <c r="H18" t="s">
        <v>82</v>
      </c>
      <c r="I18">
        <v>1</v>
      </c>
      <c r="J18" s="4">
        <v>15467.25</v>
      </c>
      <c r="K18" s="5">
        <v>0.1</v>
      </c>
      <c r="L18" s="4">
        <v>12723.77</v>
      </c>
      <c r="M18" t="s">
        <v>42</v>
      </c>
      <c r="N18" t="s">
        <v>45</v>
      </c>
      <c r="O18">
        <f>IF(TablaVentas[[#This Row],[Precio_unitario]]="","PENDIENTE",TablaVentas[[#This Row],[Unidades]]*TablaVentas[[#This Row],[Precio_unitario]]*(1-TablaVentas[[#This Row],[Descuento_pct]]))</f>
        <v>13920.525</v>
      </c>
      <c r="P18">
        <f>IF(TablaVentas[[#This Row],[Costo_unitario]]="","PENDIENTE",TablaVentas[[#This Row],[Unidades]]*TablaVentas[[#This Row],[Costo_unitario]])</f>
        <v>12723.77</v>
      </c>
      <c r="Q18">
        <f>IF(OR(TablaVentas[[#This Row],[Ingreso_neto]]="PENDIENTE",TablaVentas[[#This Row],[Costo_total]]="PENDIENTE"),"PENDIENTE",TablaVentas[[#This Row],[Ingreso_neto]]-TablaVentas[[#This Row],[Costo_total]])</f>
        <v>1196.7549999999992</v>
      </c>
    </row>
    <row r="19" spans="1:17">
      <c r="A19" t="s">
        <v>79</v>
      </c>
      <c r="B19">
        <v>3</v>
      </c>
      <c r="C19" s="3">
        <v>46079</v>
      </c>
      <c r="D19" t="s">
        <v>80</v>
      </c>
      <c r="E19" t="s">
        <v>84</v>
      </c>
      <c r="F19" t="s">
        <v>66</v>
      </c>
      <c r="G19" t="s">
        <v>57</v>
      </c>
      <c r="H19" t="s">
        <v>82</v>
      </c>
      <c r="I19">
        <v>1</v>
      </c>
      <c r="J19" s="4">
        <v>16396.07</v>
      </c>
      <c r="K19" s="5">
        <v>0</v>
      </c>
      <c r="L19" s="4">
        <v>8576.0499999999993</v>
      </c>
      <c r="M19" t="s">
        <v>42</v>
      </c>
      <c r="N19" t="s">
        <v>43</v>
      </c>
      <c r="O19">
        <f>IF(TablaVentas[[#This Row],[Precio_unitario]]="","PENDIENTE",TablaVentas[[#This Row],[Unidades]]*TablaVentas[[#This Row],[Precio_unitario]]*(1-TablaVentas[[#This Row],[Descuento_pct]]))</f>
        <v>16396.07</v>
      </c>
      <c r="P19">
        <f>IF(TablaVentas[[#This Row],[Costo_unitario]]="","PENDIENTE",TablaVentas[[#This Row],[Unidades]]*TablaVentas[[#This Row],[Costo_unitario]])</f>
        <v>8576.0499999999993</v>
      </c>
      <c r="Q19">
        <f>IF(OR(TablaVentas[[#This Row],[Ingreso_neto]]="PENDIENTE",TablaVentas[[#This Row],[Costo_total]]="PENDIENTE"),"PENDIENTE",TablaVentas[[#This Row],[Ingreso_neto]]-TablaVentas[[#This Row],[Costo_total]])</f>
        <v>7820.02</v>
      </c>
    </row>
    <row r="20" spans="1:17">
      <c r="A20" t="s">
        <v>79</v>
      </c>
      <c r="B20">
        <v>4</v>
      </c>
      <c r="C20" s="3">
        <v>46079</v>
      </c>
      <c r="D20" t="s">
        <v>80</v>
      </c>
      <c r="E20" t="s">
        <v>85</v>
      </c>
      <c r="F20" t="s">
        <v>66</v>
      </c>
      <c r="G20" t="s">
        <v>57</v>
      </c>
      <c r="H20" t="s">
        <v>82</v>
      </c>
      <c r="I20">
        <v>1</v>
      </c>
      <c r="J20" s="4">
        <v>570.27</v>
      </c>
      <c r="K20" s="5">
        <v>0.1</v>
      </c>
      <c r="L20" s="4">
        <v>307.75</v>
      </c>
      <c r="M20" t="s">
        <v>42</v>
      </c>
      <c r="N20" t="s">
        <v>45</v>
      </c>
      <c r="O20">
        <f>IF(TablaVentas[[#This Row],[Precio_unitario]]="","PENDIENTE",TablaVentas[[#This Row],[Unidades]]*TablaVentas[[#This Row],[Precio_unitario]]*(1-TablaVentas[[#This Row],[Descuento_pct]]))</f>
        <v>513.24300000000005</v>
      </c>
      <c r="P20">
        <f>IF(TablaVentas[[#This Row],[Costo_unitario]]="","PENDIENTE",TablaVentas[[#This Row],[Unidades]]*TablaVentas[[#This Row],[Costo_unitario]])</f>
        <v>307.75</v>
      </c>
      <c r="Q20">
        <f>IF(OR(TablaVentas[[#This Row],[Ingreso_neto]]="PENDIENTE",TablaVentas[[#This Row],[Costo_total]]="PENDIENTE"),"PENDIENTE",TablaVentas[[#This Row],[Ingreso_neto]]-TablaVentas[[#This Row],[Costo_total]])</f>
        <v>205.49300000000005</v>
      </c>
    </row>
    <row r="21" spans="1:17">
      <c r="A21" t="s">
        <v>79</v>
      </c>
      <c r="B21">
        <v>5</v>
      </c>
      <c r="C21" s="3">
        <v>46079</v>
      </c>
      <c r="D21" t="s">
        <v>80</v>
      </c>
      <c r="E21" t="s">
        <v>86</v>
      </c>
      <c r="F21" t="s">
        <v>66</v>
      </c>
      <c r="G21" t="s">
        <v>57</v>
      </c>
      <c r="H21" t="s">
        <v>82</v>
      </c>
      <c r="I21">
        <v>3</v>
      </c>
      <c r="J21" s="4">
        <v>16160.21</v>
      </c>
      <c r="K21" s="5">
        <v>0.05</v>
      </c>
      <c r="L21" s="4">
        <v>11166.03</v>
      </c>
      <c r="M21" t="s">
        <v>42</v>
      </c>
      <c r="N21" t="s">
        <v>45</v>
      </c>
      <c r="O21">
        <f>IF(TablaVentas[[#This Row],[Precio_unitario]]="","PENDIENTE",TablaVentas[[#This Row],[Unidades]]*TablaVentas[[#This Row],[Precio_unitario]]*(1-TablaVentas[[#This Row],[Descuento_pct]]))</f>
        <v>46056.598499999993</v>
      </c>
      <c r="P21">
        <f>IF(TablaVentas[[#This Row],[Costo_unitario]]="","PENDIENTE",TablaVentas[[#This Row],[Unidades]]*TablaVentas[[#This Row],[Costo_unitario]])</f>
        <v>33498.090000000004</v>
      </c>
      <c r="Q21">
        <f>IF(OR(TablaVentas[[#This Row],[Ingreso_neto]]="PENDIENTE",TablaVentas[[#This Row],[Costo_total]]="PENDIENTE"),"PENDIENTE",TablaVentas[[#This Row],[Ingreso_neto]]-TablaVentas[[#This Row],[Costo_total]])</f>
        <v>12558.508499999989</v>
      </c>
    </row>
    <row r="22" spans="1:17">
      <c r="A22" t="s">
        <v>87</v>
      </c>
      <c r="B22">
        <v>1</v>
      </c>
      <c r="C22" s="3">
        <v>46044</v>
      </c>
      <c r="D22" t="s">
        <v>88</v>
      </c>
      <c r="E22" t="s">
        <v>89</v>
      </c>
      <c r="F22" t="s">
        <v>66</v>
      </c>
      <c r="G22" t="s">
        <v>40</v>
      </c>
      <c r="H22" t="s">
        <v>82</v>
      </c>
      <c r="I22">
        <v>1</v>
      </c>
      <c r="J22" s="4">
        <v>12446.27</v>
      </c>
      <c r="K22" s="5">
        <v>0.15</v>
      </c>
      <c r="L22" s="4">
        <v>9118.07</v>
      </c>
      <c r="M22" t="s">
        <v>42</v>
      </c>
      <c r="N22" t="s">
        <v>45</v>
      </c>
      <c r="O22">
        <f>IF(TablaVentas[[#This Row],[Precio_unitario]]="","PENDIENTE",TablaVentas[[#This Row],[Unidades]]*TablaVentas[[#This Row],[Precio_unitario]]*(1-TablaVentas[[#This Row],[Descuento_pct]]))</f>
        <v>10579.3295</v>
      </c>
      <c r="P22">
        <f>IF(TablaVentas[[#This Row],[Costo_unitario]]="","PENDIENTE",TablaVentas[[#This Row],[Unidades]]*TablaVentas[[#This Row],[Costo_unitario]])</f>
        <v>9118.07</v>
      </c>
      <c r="Q22">
        <f>IF(OR(TablaVentas[[#This Row],[Ingreso_neto]]="PENDIENTE",TablaVentas[[#This Row],[Costo_total]]="PENDIENTE"),"PENDIENTE",TablaVentas[[#This Row],[Ingreso_neto]]-TablaVentas[[#This Row],[Costo_total]])</f>
        <v>1461.2595000000001</v>
      </c>
    </row>
    <row r="23" spans="1:17">
      <c r="A23" t="s">
        <v>87</v>
      </c>
      <c r="B23">
        <v>2</v>
      </c>
      <c r="C23" s="3">
        <v>46044</v>
      </c>
      <c r="D23" t="s">
        <v>88</v>
      </c>
      <c r="E23" t="s">
        <v>90</v>
      </c>
      <c r="F23" t="s">
        <v>66</v>
      </c>
      <c r="G23" t="s">
        <v>40</v>
      </c>
      <c r="H23" t="s">
        <v>82</v>
      </c>
      <c r="I23">
        <v>1</v>
      </c>
      <c r="J23" s="4">
        <v>11181</v>
      </c>
      <c r="K23" s="5">
        <v>0.05</v>
      </c>
      <c r="L23" s="4">
        <v>8174.87</v>
      </c>
      <c r="M23" t="s">
        <v>42</v>
      </c>
      <c r="N23" t="s">
        <v>52</v>
      </c>
      <c r="O23">
        <f>IF(TablaVentas[[#This Row],[Precio_unitario]]="","PENDIENTE",TablaVentas[[#This Row],[Unidades]]*TablaVentas[[#This Row],[Precio_unitario]]*(1-TablaVentas[[#This Row],[Descuento_pct]]))</f>
        <v>10621.949999999999</v>
      </c>
      <c r="P23">
        <f>IF(TablaVentas[[#This Row],[Costo_unitario]]="","PENDIENTE",TablaVentas[[#This Row],[Unidades]]*TablaVentas[[#This Row],[Costo_unitario]])</f>
        <v>8174.87</v>
      </c>
      <c r="Q23">
        <f>IF(OR(TablaVentas[[#This Row],[Ingreso_neto]]="PENDIENTE",TablaVentas[[#This Row],[Costo_total]]="PENDIENTE"),"PENDIENTE",TablaVentas[[#This Row],[Ingreso_neto]]-TablaVentas[[#This Row],[Costo_total]])</f>
        <v>2447.079999999999</v>
      </c>
    </row>
    <row r="24" spans="1:17">
      <c r="A24" t="s">
        <v>91</v>
      </c>
      <c r="B24">
        <v>1</v>
      </c>
      <c r="C24" s="3">
        <v>46080</v>
      </c>
      <c r="D24" t="s">
        <v>92</v>
      </c>
      <c r="E24" t="s">
        <v>93</v>
      </c>
      <c r="F24" t="s">
        <v>77</v>
      </c>
      <c r="G24" t="s">
        <v>40</v>
      </c>
      <c r="H24" t="s">
        <v>82</v>
      </c>
      <c r="I24">
        <v>5</v>
      </c>
      <c r="J24" s="4">
        <v>15056.12</v>
      </c>
      <c r="K24" s="5">
        <v>0</v>
      </c>
      <c r="L24" s="4">
        <v>8788.7900000000009</v>
      </c>
      <c r="M24" t="s">
        <v>42</v>
      </c>
      <c r="N24" t="s">
        <v>60</v>
      </c>
      <c r="O24">
        <f>IF(TablaVentas[[#This Row],[Precio_unitario]]="","PENDIENTE",TablaVentas[[#This Row],[Unidades]]*TablaVentas[[#This Row],[Precio_unitario]]*(1-TablaVentas[[#This Row],[Descuento_pct]]))</f>
        <v>75280.600000000006</v>
      </c>
      <c r="P24">
        <f>IF(TablaVentas[[#This Row],[Costo_unitario]]="","PENDIENTE",TablaVentas[[#This Row],[Unidades]]*TablaVentas[[#This Row],[Costo_unitario]])</f>
        <v>43943.950000000004</v>
      </c>
      <c r="Q24">
        <f>IF(OR(TablaVentas[[#This Row],[Ingreso_neto]]="PENDIENTE",TablaVentas[[#This Row],[Costo_total]]="PENDIENTE"),"PENDIENTE",TablaVentas[[#This Row],[Ingreso_neto]]-TablaVentas[[#This Row],[Costo_total]])</f>
        <v>31336.65</v>
      </c>
    </row>
    <row r="25" spans="1:17">
      <c r="A25" t="s">
        <v>91</v>
      </c>
      <c r="B25">
        <v>2</v>
      </c>
      <c r="C25" s="3">
        <v>46080</v>
      </c>
      <c r="D25" t="s">
        <v>92</v>
      </c>
      <c r="E25" t="s">
        <v>94</v>
      </c>
      <c r="F25" t="s">
        <v>77</v>
      </c>
      <c r="G25" t="s">
        <v>40</v>
      </c>
      <c r="H25" t="s">
        <v>82</v>
      </c>
      <c r="I25">
        <v>2</v>
      </c>
      <c r="J25" s="4">
        <v>7487.29</v>
      </c>
      <c r="K25" s="5">
        <v>0.2</v>
      </c>
      <c r="L25" s="4">
        <v>4538.0600000000004</v>
      </c>
      <c r="M25" t="s">
        <v>42</v>
      </c>
      <c r="N25" t="s">
        <v>45</v>
      </c>
      <c r="O25">
        <f>IF(TablaVentas[[#This Row],[Precio_unitario]]="","PENDIENTE",TablaVentas[[#This Row],[Unidades]]*TablaVentas[[#This Row],[Precio_unitario]]*(1-TablaVentas[[#This Row],[Descuento_pct]]))</f>
        <v>11979.664000000001</v>
      </c>
      <c r="P25">
        <f>IF(TablaVentas[[#This Row],[Costo_unitario]]="","PENDIENTE",TablaVentas[[#This Row],[Unidades]]*TablaVentas[[#This Row],[Costo_unitario]])</f>
        <v>9076.1200000000008</v>
      </c>
      <c r="Q25">
        <f>IF(OR(TablaVentas[[#This Row],[Ingreso_neto]]="PENDIENTE",TablaVentas[[#This Row],[Costo_total]]="PENDIENTE"),"PENDIENTE",TablaVentas[[#This Row],[Ingreso_neto]]-TablaVentas[[#This Row],[Costo_total]])</f>
        <v>2903.5439999999999</v>
      </c>
    </row>
    <row r="26" spans="1:17">
      <c r="A26" t="s">
        <v>95</v>
      </c>
      <c r="B26">
        <v>1</v>
      </c>
      <c r="C26" s="3">
        <v>46147</v>
      </c>
      <c r="D26" t="s">
        <v>96</v>
      </c>
      <c r="E26" t="s">
        <v>97</v>
      </c>
      <c r="F26" t="s">
        <v>66</v>
      </c>
      <c r="G26" t="s">
        <v>57</v>
      </c>
      <c r="H26" t="s">
        <v>51</v>
      </c>
      <c r="I26">
        <v>1</v>
      </c>
      <c r="J26" s="4">
        <v>13907.16</v>
      </c>
      <c r="K26" s="5">
        <v>0</v>
      </c>
      <c r="L26" s="4">
        <v>11424.77</v>
      </c>
      <c r="M26" t="s">
        <v>42</v>
      </c>
      <c r="N26" t="s">
        <v>60</v>
      </c>
      <c r="O26">
        <f>IF(TablaVentas[[#This Row],[Precio_unitario]]="","PENDIENTE",TablaVentas[[#This Row],[Unidades]]*TablaVentas[[#This Row],[Precio_unitario]]*(1-TablaVentas[[#This Row],[Descuento_pct]]))</f>
        <v>13907.16</v>
      </c>
      <c r="P26">
        <f>IF(TablaVentas[[#This Row],[Costo_unitario]]="","PENDIENTE",TablaVentas[[#This Row],[Unidades]]*TablaVentas[[#This Row],[Costo_unitario]])</f>
        <v>11424.77</v>
      </c>
      <c r="Q26">
        <f>IF(OR(TablaVentas[[#This Row],[Ingreso_neto]]="PENDIENTE",TablaVentas[[#This Row],[Costo_total]]="PENDIENTE"),"PENDIENTE",TablaVentas[[#This Row],[Ingreso_neto]]-TablaVentas[[#This Row],[Costo_total]])</f>
        <v>2482.3899999999994</v>
      </c>
    </row>
    <row r="27" spans="1:17">
      <c r="A27" t="s">
        <v>95</v>
      </c>
      <c r="B27">
        <v>2</v>
      </c>
      <c r="C27" s="3">
        <v>46147</v>
      </c>
      <c r="D27" t="s">
        <v>96</v>
      </c>
      <c r="E27" t="s">
        <v>98</v>
      </c>
      <c r="F27" t="s">
        <v>66</v>
      </c>
      <c r="G27" t="s">
        <v>57</v>
      </c>
      <c r="H27" t="s">
        <v>51</v>
      </c>
      <c r="I27">
        <v>1</v>
      </c>
      <c r="J27" s="4">
        <v>18603.27</v>
      </c>
      <c r="K27" s="5">
        <v>0</v>
      </c>
      <c r="L27" s="4">
        <v>9881</v>
      </c>
      <c r="M27" t="s">
        <v>42</v>
      </c>
      <c r="N27" t="s">
        <v>45</v>
      </c>
      <c r="O27">
        <f>IF(TablaVentas[[#This Row],[Precio_unitario]]="","PENDIENTE",TablaVentas[[#This Row],[Unidades]]*TablaVentas[[#This Row],[Precio_unitario]]*(1-TablaVentas[[#This Row],[Descuento_pct]]))</f>
        <v>18603.27</v>
      </c>
      <c r="P27">
        <f>IF(TablaVentas[[#This Row],[Costo_unitario]]="","PENDIENTE",TablaVentas[[#This Row],[Unidades]]*TablaVentas[[#This Row],[Costo_unitario]])</f>
        <v>9881</v>
      </c>
      <c r="Q27">
        <f>IF(OR(TablaVentas[[#This Row],[Ingreso_neto]]="PENDIENTE",TablaVentas[[#This Row],[Costo_total]]="PENDIENTE"),"PENDIENTE",TablaVentas[[#This Row],[Ingreso_neto]]-TablaVentas[[#This Row],[Costo_total]])</f>
        <v>8722.27</v>
      </c>
    </row>
    <row r="28" spans="1:17">
      <c r="A28" t="s">
        <v>99</v>
      </c>
      <c r="B28">
        <v>1</v>
      </c>
      <c r="C28" s="3">
        <v>46134</v>
      </c>
      <c r="D28" t="s">
        <v>100</v>
      </c>
      <c r="E28" t="s">
        <v>101</v>
      </c>
      <c r="F28" t="s">
        <v>66</v>
      </c>
      <c r="G28" t="s">
        <v>57</v>
      </c>
      <c r="H28" t="s">
        <v>102</v>
      </c>
      <c r="I28">
        <v>1</v>
      </c>
      <c r="J28" s="4">
        <v>4652.96</v>
      </c>
      <c r="K28" s="5">
        <v>0.1</v>
      </c>
      <c r="L28" s="4">
        <v>2865.24</v>
      </c>
      <c r="M28" t="s">
        <v>42</v>
      </c>
      <c r="N28" t="s">
        <v>43</v>
      </c>
      <c r="O28">
        <f>IF(TablaVentas[[#This Row],[Precio_unitario]]="","PENDIENTE",TablaVentas[[#This Row],[Unidades]]*TablaVentas[[#This Row],[Precio_unitario]]*(1-TablaVentas[[#This Row],[Descuento_pct]]))</f>
        <v>4187.6639999999998</v>
      </c>
      <c r="P28">
        <f>IF(TablaVentas[[#This Row],[Costo_unitario]]="","PENDIENTE",TablaVentas[[#This Row],[Unidades]]*TablaVentas[[#This Row],[Costo_unitario]])</f>
        <v>2865.24</v>
      </c>
      <c r="Q28">
        <f>IF(OR(TablaVentas[[#This Row],[Ingreso_neto]]="PENDIENTE",TablaVentas[[#This Row],[Costo_total]]="PENDIENTE"),"PENDIENTE",TablaVentas[[#This Row],[Ingreso_neto]]-TablaVentas[[#This Row],[Costo_total]])</f>
        <v>1322.424</v>
      </c>
    </row>
    <row r="29" spans="1:17">
      <c r="A29" t="s">
        <v>99</v>
      </c>
      <c r="B29">
        <v>2</v>
      </c>
      <c r="C29" s="3">
        <v>46134</v>
      </c>
      <c r="D29" t="s">
        <v>100</v>
      </c>
      <c r="E29" t="s">
        <v>103</v>
      </c>
      <c r="F29" t="s">
        <v>66</v>
      </c>
      <c r="G29" t="s">
        <v>57</v>
      </c>
      <c r="H29" t="s">
        <v>102</v>
      </c>
      <c r="I29">
        <v>2</v>
      </c>
      <c r="J29" s="4">
        <v>12114.79</v>
      </c>
      <c r="K29" s="5">
        <v>0</v>
      </c>
      <c r="L29" s="4">
        <v>7549.71</v>
      </c>
      <c r="M29" t="s">
        <v>42</v>
      </c>
      <c r="N29" t="s">
        <v>52</v>
      </c>
      <c r="O29">
        <f>IF(TablaVentas[[#This Row],[Precio_unitario]]="","PENDIENTE",TablaVentas[[#This Row],[Unidades]]*TablaVentas[[#This Row],[Precio_unitario]]*(1-TablaVentas[[#This Row],[Descuento_pct]]))</f>
        <v>24229.58</v>
      </c>
      <c r="P29">
        <f>IF(TablaVentas[[#This Row],[Costo_unitario]]="","PENDIENTE",TablaVentas[[#This Row],[Unidades]]*TablaVentas[[#This Row],[Costo_unitario]])</f>
        <v>15099.42</v>
      </c>
      <c r="Q29">
        <f>IF(OR(TablaVentas[[#This Row],[Ingreso_neto]]="PENDIENTE",TablaVentas[[#This Row],[Costo_total]]="PENDIENTE"),"PENDIENTE",TablaVentas[[#This Row],[Ingreso_neto]]-TablaVentas[[#This Row],[Costo_total]])</f>
        <v>9130.1600000000017</v>
      </c>
    </row>
    <row r="30" spans="1:17">
      <c r="A30" t="s">
        <v>99</v>
      </c>
      <c r="B30">
        <v>3</v>
      </c>
      <c r="C30" s="3">
        <v>46134</v>
      </c>
      <c r="D30" t="s">
        <v>100</v>
      </c>
      <c r="E30" t="s">
        <v>68</v>
      </c>
      <c r="F30" t="s">
        <v>66</v>
      </c>
      <c r="G30" t="s">
        <v>57</v>
      </c>
      <c r="H30" t="s">
        <v>102</v>
      </c>
      <c r="I30">
        <v>1</v>
      </c>
      <c r="J30" s="4">
        <v>14448.74</v>
      </c>
      <c r="K30" s="5">
        <v>0</v>
      </c>
      <c r="L30" s="4">
        <v>9243.35</v>
      </c>
      <c r="M30" t="s">
        <v>42</v>
      </c>
      <c r="N30" t="s">
        <v>45</v>
      </c>
      <c r="O30">
        <f>IF(TablaVentas[[#This Row],[Precio_unitario]]="","PENDIENTE",TablaVentas[[#This Row],[Unidades]]*TablaVentas[[#This Row],[Precio_unitario]]*(1-TablaVentas[[#This Row],[Descuento_pct]]))</f>
        <v>14448.74</v>
      </c>
      <c r="P30">
        <f>IF(TablaVentas[[#This Row],[Costo_unitario]]="","PENDIENTE",TablaVentas[[#This Row],[Unidades]]*TablaVentas[[#This Row],[Costo_unitario]])</f>
        <v>9243.35</v>
      </c>
      <c r="Q30">
        <f>IF(OR(TablaVentas[[#This Row],[Ingreso_neto]]="PENDIENTE",TablaVentas[[#This Row],[Costo_total]]="PENDIENTE"),"PENDIENTE",TablaVentas[[#This Row],[Ingreso_neto]]-TablaVentas[[#This Row],[Costo_total]])</f>
        <v>5205.3899999999994</v>
      </c>
    </row>
    <row r="31" spans="1:17">
      <c r="A31" t="s">
        <v>104</v>
      </c>
      <c r="B31">
        <v>1</v>
      </c>
      <c r="C31" s="3">
        <v>46175</v>
      </c>
      <c r="D31" t="s">
        <v>105</v>
      </c>
      <c r="E31" t="s">
        <v>106</v>
      </c>
      <c r="F31" t="s">
        <v>56</v>
      </c>
      <c r="G31" t="s">
        <v>57</v>
      </c>
      <c r="H31" t="s">
        <v>82</v>
      </c>
      <c r="I31">
        <v>1</v>
      </c>
      <c r="J31" s="4">
        <v>10820.52</v>
      </c>
      <c r="K31" s="5">
        <v>0.15</v>
      </c>
      <c r="L31" s="4">
        <v>8276.74</v>
      </c>
      <c r="M31" t="s">
        <v>42</v>
      </c>
      <c r="N31" t="s">
        <v>60</v>
      </c>
      <c r="O31">
        <f>IF(TablaVentas[[#This Row],[Precio_unitario]]="","PENDIENTE",TablaVentas[[#This Row],[Unidades]]*TablaVentas[[#This Row],[Precio_unitario]]*(1-TablaVentas[[#This Row],[Descuento_pct]]))</f>
        <v>9197.4420000000009</v>
      </c>
      <c r="P31">
        <f>IF(TablaVentas[[#This Row],[Costo_unitario]]="","PENDIENTE",TablaVentas[[#This Row],[Unidades]]*TablaVentas[[#This Row],[Costo_unitario]])</f>
        <v>8276.74</v>
      </c>
      <c r="Q31">
        <f>IF(OR(TablaVentas[[#This Row],[Ingreso_neto]]="PENDIENTE",TablaVentas[[#This Row],[Costo_total]]="PENDIENTE"),"PENDIENTE",TablaVentas[[#This Row],[Ingreso_neto]]-TablaVentas[[#This Row],[Costo_total]])</f>
        <v>920.70200000000114</v>
      </c>
    </row>
    <row r="32" spans="1:17">
      <c r="A32" t="s">
        <v>107</v>
      </c>
      <c r="B32">
        <v>1</v>
      </c>
      <c r="C32" s="3">
        <v>46035</v>
      </c>
      <c r="D32" t="s">
        <v>108</v>
      </c>
      <c r="E32" t="s">
        <v>109</v>
      </c>
      <c r="F32" t="s">
        <v>56</v>
      </c>
      <c r="G32" t="s">
        <v>57</v>
      </c>
      <c r="H32" t="s">
        <v>102</v>
      </c>
      <c r="I32">
        <v>1</v>
      </c>
      <c r="J32" s="4">
        <v>13700.69</v>
      </c>
      <c r="K32" s="5">
        <v>0.15</v>
      </c>
      <c r="L32" s="4">
        <v>9880.77</v>
      </c>
      <c r="M32" t="s">
        <v>42</v>
      </c>
      <c r="N32" t="s">
        <v>45</v>
      </c>
      <c r="O32">
        <f>IF(TablaVentas[[#This Row],[Precio_unitario]]="","PENDIENTE",TablaVentas[[#This Row],[Unidades]]*TablaVentas[[#This Row],[Precio_unitario]]*(1-TablaVentas[[#This Row],[Descuento_pct]]))</f>
        <v>11645.586499999999</v>
      </c>
      <c r="P32">
        <f>IF(TablaVentas[[#This Row],[Costo_unitario]]="","PENDIENTE",TablaVentas[[#This Row],[Unidades]]*TablaVentas[[#This Row],[Costo_unitario]])</f>
        <v>9880.77</v>
      </c>
      <c r="Q32">
        <f>IF(OR(TablaVentas[[#This Row],[Ingreso_neto]]="PENDIENTE",TablaVentas[[#This Row],[Costo_total]]="PENDIENTE"),"PENDIENTE",TablaVentas[[#This Row],[Ingreso_neto]]-TablaVentas[[#This Row],[Costo_total]])</f>
        <v>1764.816499999999</v>
      </c>
    </row>
    <row r="33" spans="1:17">
      <c r="A33" t="s">
        <v>107</v>
      </c>
      <c r="B33">
        <v>2</v>
      </c>
      <c r="C33" s="3">
        <v>46035</v>
      </c>
      <c r="D33" t="s">
        <v>108</v>
      </c>
      <c r="E33" t="s">
        <v>110</v>
      </c>
      <c r="F33" t="s">
        <v>56</v>
      </c>
      <c r="G33" t="s">
        <v>57</v>
      </c>
      <c r="H33" t="s">
        <v>102</v>
      </c>
      <c r="I33">
        <v>1</v>
      </c>
      <c r="J33" s="4">
        <v>5371.47</v>
      </c>
      <c r="K33" s="5">
        <v>0</v>
      </c>
      <c r="L33" s="4">
        <v>4205.6899999999996</v>
      </c>
      <c r="M33" t="s">
        <v>42</v>
      </c>
      <c r="N33" t="s">
        <v>60</v>
      </c>
      <c r="O33">
        <f>IF(TablaVentas[[#This Row],[Precio_unitario]]="","PENDIENTE",TablaVentas[[#This Row],[Unidades]]*TablaVentas[[#This Row],[Precio_unitario]]*(1-TablaVentas[[#This Row],[Descuento_pct]]))</f>
        <v>5371.47</v>
      </c>
      <c r="P33">
        <f>IF(TablaVentas[[#This Row],[Costo_unitario]]="","PENDIENTE",TablaVentas[[#This Row],[Unidades]]*TablaVentas[[#This Row],[Costo_unitario]])</f>
        <v>4205.6899999999996</v>
      </c>
      <c r="Q33">
        <f>IF(OR(TablaVentas[[#This Row],[Ingreso_neto]]="PENDIENTE",TablaVentas[[#This Row],[Costo_total]]="PENDIENTE"),"PENDIENTE",TablaVentas[[#This Row],[Ingreso_neto]]-TablaVentas[[#This Row],[Costo_total]])</f>
        <v>1165.7800000000007</v>
      </c>
    </row>
    <row r="34" spans="1:17">
      <c r="A34" t="s">
        <v>107</v>
      </c>
      <c r="B34">
        <v>3</v>
      </c>
      <c r="C34" s="3">
        <v>46035</v>
      </c>
      <c r="D34" t="s">
        <v>108</v>
      </c>
      <c r="E34" t="s">
        <v>86</v>
      </c>
      <c r="F34" t="s">
        <v>56</v>
      </c>
      <c r="G34" t="s">
        <v>57</v>
      </c>
      <c r="H34" t="s">
        <v>102</v>
      </c>
      <c r="I34">
        <v>1</v>
      </c>
      <c r="J34" s="4">
        <v>14432.05</v>
      </c>
      <c r="K34" s="5">
        <v>0</v>
      </c>
      <c r="L34" s="4">
        <v>11166.03</v>
      </c>
      <c r="M34" t="s">
        <v>42</v>
      </c>
      <c r="N34" t="s">
        <v>45</v>
      </c>
      <c r="O34">
        <f>IF(TablaVentas[[#This Row],[Precio_unitario]]="","PENDIENTE",TablaVentas[[#This Row],[Unidades]]*TablaVentas[[#This Row],[Precio_unitario]]*(1-TablaVentas[[#This Row],[Descuento_pct]]))</f>
        <v>14432.05</v>
      </c>
      <c r="P34">
        <f>IF(TablaVentas[[#This Row],[Costo_unitario]]="","PENDIENTE",TablaVentas[[#This Row],[Unidades]]*TablaVentas[[#This Row],[Costo_unitario]])</f>
        <v>11166.03</v>
      </c>
      <c r="Q34">
        <f>IF(OR(TablaVentas[[#This Row],[Ingreso_neto]]="PENDIENTE",TablaVentas[[#This Row],[Costo_total]]="PENDIENTE"),"PENDIENTE",TablaVentas[[#This Row],[Ingreso_neto]]-TablaVentas[[#This Row],[Costo_total]])</f>
        <v>3266.0199999999986</v>
      </c>
    </row>
    <row r="35" spans="1:17">
      <c r="A35" t="s">
        <v>111</v>
      </c>
      <c r="B35">
        <v>1</v>
      </c>
      <c r="C35" s="3">
        <v>46225</v>
      </c>
      <c r="D35" t="s">
        <v>112</v>
      </c>
      <c r="E35" t="s">
        <v>113</v>
      </c>
      <c r="F35" t="s">
        <v>66</v>
      </c>
      <c r="G35" t="s">
        <v>50</v>
      </c>
      <c r="H35" t="s">
        <v>67</v>
      </c>
      <c r="I35">
        <v>5</v>
      </c>
      <c r="J35" s="4">
        <v>3249.08</v>
      </c>
      <c r="K35" s="5">
        <v>0</v>
      </c>
      <c r="L35" s="4">
        <v>2196.34</v>
      </c>
      <c r="M35" t="s">
        <v>42</v>
      </c>
      <c r="N35" t="s">
        <v>45</v>
      </c>
      <c r="O35">
        <f>IF(TablaVentas[[#This Row],[Precio_unitario]]="","PENDIENTE",TablaVentas[[#This Row],[Unidades]]*TablaVentas[[#This Row],[Precio_unitario]]*(1-TablaVentas[[#This Row],[Descuento_pct]]))</f>
        <v>16245.4</v>
      </c>
      <c r="P35">
        <f>IF(TablaVentas[[#This Row],[Costo_unitario]]="","PENDIENTE",TablaVentas[[#This Row],[Unidades]]*TablaVentas[[#This Row],[Costo_unitario]])</f>
        <v>10981.7</v>
      </c>
      <c r="Q35">
        <f>IF(OR(TablaVentas[[#This Row],[Ingreso_neto]]="PENDIENTE",TablaVentas[[#This Row],[Costo_total]]="PENDIENTE"),"PENDIENTE",TablaVentas[[#This Row],[Ingreso_neto]]-TablaVentas[[#This Row],[Costo_total]])</f>
        <v>5263.6999999999989</v>
      </c>
    </row>
    <row r="36" spans="1:17">
      <c r="A36" t="s">
        <v>111</v>
      </c>
      <c r="B36">
        <v>2</v>
      </c>
      <c r="C36" s="3">
        <v>46225</v>
      </c>
      <c r="D36" t="s">
        <v>112</v>
      </c>
      <c r="E36" t="s">
        <v>114</v>
      </c>
      <c r="F36" t="s">
        <v>66</v>
      </c>
      <c r="G36" t="s">
        <v>50</v>
      </c>
      <c r="H36" t="s">
        <v>67</v>
      </c>
      <c r="I36">
        <v>2</v>
      </c>
      <c r="J36" s="4">
        <v>15238.49</v>
      </c>
      <c r="K36" s="5">
        <v>0</v>
      </c>
      <c r="L36" s="4">
        <v>8239.48</v>
      </c>
      <c r="M36" t="s">
        <v>42</v>
      </c>
      <c r="N36" t="s">
        <v>43</v>
      </c>
      <c r="O36">
        <f>IF(TablaVentas[[#This Row],[Precio_unitario]]="","PENDIENTE",TablaVentas[[#This Row],[Unidades]]*TablaVentas[[#This Row],[Precio_unitario]]*(1-TablaVentas[[#This Row],[Descuento_pct]]))</f>
        <v>30476.98</v>
      </c>
      <c r="P36">
        <f>IF(TablaVentas[[#This Row],[Costo_unitario]]="","PENDIENTE",TablaVentas[[#This Row],[Unidades]]*TablaVentas[[#This Row],[Costo_unitario]])</f>
        <v>16478.96</v>
      </c>
      <c r="Q36">
        <f>IF(OR(TablaVentas[[#This Row],[Ingreso_neto]]="PENDIENTE",TablaVentas[[#This Row],[Costo_total]]="PENDIENTE"),"PENDIENTE",TablaVentas[[#This Row],[Ingreso_neto]]-TablaVentas[[#This Row],[Costo_total]])</f>
        <v>13998.02</v>
      </c>
    </row>
    <row r="37" spans="1:17">
      <c r="A37" t="s">
        <v>111</v>
      </c>
      <c r="B37">
        <v>3</v>
      </c>
      <c r="C37" s="3">
        <v>46225</v>
      </c>
      <c r="D37" t="s">
        <v>112</v>
      </c>
      <c r="E37" t="s">
        <v>115</v>
      </c>
      <c r="F37" t="s">
        <v>66</v>
      </c>
      <c r="G37" t="s">
        <v>50</v>
      </c>
      <c r="H37" t="s">
        <v>67</v>
      </c>
      <c r="I37">
        <v>1</v>
      </c>
      <c r="J37" s="4">
        <v>1455.75</v>
      </c>
      <c r="K37" s="5">
        <v>0</v>
      </c>
      <c r="L37" s="4">
        <v>705.87</v>
      </c>
      <c r="M37" t="s">
        <v>116</v>
      </c>
      <c r="N37" t="s">
        <v>45</v>
      </c>
      <c r="O37">
        <f>IF(TablaVentas[[#This Row],[Precio_unitario]]="","PENDIENTE",TablaVentas[[#This Row],[Unidades]]*TablaVentas[[#This Row],[Precio_unitario]]*(1-TablaVentas[[#This Row],[Descuento_pct]]))</f>
        <v>1455.75</v>
      </c>
      <c r="P37">
        <f>IF(TablaVentas[[#This Row],[Costo_unitario]]="","PENDIENTE",TablaVentas[[#This Row],[Unidades]]*TablaVentas[[#This Row],[Costo_unitario]])</f>
        <v>705.87</v>
      </c>
      <c r="Q37">
        <f>IF(OR(TablaVentas[[#This Row],[Ingreso_neto]]="PENDIENTE",TablaVentas[[#This Row],[Costo_total]]="PENDIENTE"),"PENDIENTE",TablaVentas[[#This Row],[Ingreso_neto]]-TablaVentas[[#This Row],[Costo_total]])</f>
        <v>749.88</v>
      </c>
    </row>
    <row r="38" spans="1:17">
      <c r="A38" t="s">
        <v>117</v>
      </c>
      <c r="B38">
        <v>1</v>
      </c>
      <c r="C38" s="3">
        <v>46166</v>
      </c>
      <c r="D38" t="s">
        <v>118</v>
      </c>
      <c r="E38" t="s">
        <v>119</v>
      </c>
      <c r="F38" t="s">
        <v>39</v>
      </c>
      <c r="G38" t="s">
        <v>57</v>
      </c>
      <c r="H38" t="s">
        <v>102</v>
      </c>
      <c r="I38">
        <v>1</v>
      </c>
      <c r="J38" s="4">
        <v>8156.92</v>
      </c>
      <c r="K38" s="5">
        <v>0.05</v>
      </c>
      <c r="L38" s="4">
        <v>6981.94</v>
      </c>
      <c r="M38" t="s">
        <v>42</v>
      </c>
      <c r="N38" t="s">
        <v>43</v>
      </c>
      <c r="O38">
        <f>IF(TablaVentas[[#This Row],[Precio_unitario]]="","PENDIENTE",TablaVentas[[#This Row],[Unidades]]*TablaVentas[[#This Row],[Precio_unitario]]*(1-TablaVentas[[#This Row],[Descuento_pct]]))</f>
        <v>7749.0739999999996</v>
      </c>
      <c r="P38">
        <f>IF(TablaVentas[[#This Row],[Costo_unitario]]="","PENDIENTE",TablaVentas[[#This Row],[Unidades]]*TablaVentas[[#This Row],[Costo_unitario]])</f>
        <v>6981.94</v>
      </c>
      <c r="Q38">
        <f>IF(OR(TablaVentas[[#This Row],[Ingreso_neto]]="PENDIENTE",TablaVentas[[#This Row],[Costo_total]]="PENDIENTE"),"PENDIENTE",TablaVentas[[#This Row],[Ingreso_neto]]-TablaVentas[[#This Row],[Costo_total]])</f>
        <v>767.13400000000001</v>
      </c>
    </row>
    <row r="39" spans="1:17">
      <c r="A39" t="s">
        <v>117</v>
      </c>
      <c r="B39">
        <v>2</v>
      </c>
      <c r="C39" s="3">
        <v>46166</v>
      </c>
      <c r="D39" t="s">
        <v>118</v>
      </c>
      <c r="E39" t="s">
        <v>69</v>
      </c>
      <c r="F39" t="s">
        <v>39</v>
      </c>
      <c r="G39" t="s">
        <v>57</v>
      </c>
      <c r="H39" t="s">
        <v>102</v>
      </c>
      <c r="I39">
        <v>2</v>
      </c>
      <c r="J39" s="4">
        <v>13877.93</v>
      </c>
      <c r="K39" s="5">
        <v>0</v>
      </c>
      <c r="L39" s="4">
        <v>10094.26</v>
      </c>
      <c r="M39" t="s">
        <v>42</v>
      </c>
      <c r="N39" t="s">
        <v>52</v>
      </c>
      <c r="O39">
        <f>IF(TablaVentas[[#This Row],[Precio_unitario]]="","PENDIENTE",TablaVentas[[#This Row],[Unidades]]*TablaVentas[[#This Row],[Precio_unitario]]*(1-TablaVentas[[#This Row],[Descuento_pct]]))</f>
        <v>27755.86</v>
      </c>
      <c r="P39">
        <f>IF(TablaVentas[[#This Row],[Costo_unitario]]="","PENDIENTE",TablaVentas[[#This Row],[Unidades]]*TablaVentas[[#This Row],[Costo_unitario]])</f>
        <v>20188.52</v>
      </c>
      <c r="Q39">
        <f>IF(OR(TablaVentas[[#This Row],[Ingreso_neto]]="PENDIENTE",TablaVentas[[#This Row],[Costo_total]]="PENDIENTE"),"PENDIENTE",TablaVentas[[#This Row],[Ingreso_neto]]-TablaVentas[[#This Row],[Costo_total]])</f>
        <v>7567.34</v>
      </c>
    </row>
    <row r="40" spans="1:17">
      <c r="A40" t="s">
        <v>117</v>
      </c>
      <c r="B40">
        <v>3</v>
      </c>
      <c r="C40" s="3">
        <v>46166</v>
      </c>
      <c r="D40" t="s">
        <v>118</v>
      </c>
      <c r="E40" t="s">
        <v>115</v>
      </c>
      <c r="F40" t="s">
        <v>39</v>
      </c>
      <c r="G40" t="s">
        <v>57</v>
      </c>
      <c r="H40" t="s">
        <v>102</v>
      </c>
      <c r="I40">
        <v>3</v>
      </c>
      <c r="J40" s="4">
        <v>1335.2</v>
      </c>
      <c r="K40" s="5">
        <v>0.1</v>
      </c>
      <c r="L40" s="4">
        <v>705.87</v>
      </c>
      <c r="M40" t="s">
        <v>42</v>
      </c>
      <c r="N40" t="s">
        <v>45</v>
      </c>
      <c r="O40">
        <f>IF(TablaVentas[[#This Row],[Precio_unitario]]="","PENDIENTE",TablaVentas[[#This Row],[Unidades]]*TablaVentas[[#This Row],[Precio_unitario]]*(1-TablaVentas[[#This Row],[Descuento_pct]]))</f>
        <v>3605.0400000000004</v>
      </c>
      <c r="P40">
        <f>IF(TablaVentas[[#This Row],[Costo_unitario]]="","PENDIENTE",TablaVentas[[#This Row],[Unidades]]*TablaVentas[[#This Row],[Costo_unitario]])</f>
        <v>2117.61</v>
      </c>
      <c r="Q40">
        <f>IF(OR(TablaVentas[[#This Row],[Ingreso_neto]]="PENDIENTE",TablaVentas[[#This Row],[Costo_total]]="PENDIENTE"),"PENDIENTE",TablaVentas[[#This Row],[Ingreso_neto]]-TablaVentas[[#This Row],[Costo_total]])</f>
        <v>1487.4300000000003</v>
      </c>
    </row>
    <row r="41" spans="1:17">
      <c r="A41" t="s">
        <v>117</v>
      </c>
      <c r="B41">
        <v>4</v>
      </c>
      <c r="C41" s="3">
        <v>46166</v>
      </c>
      <c r="D41" t="s">
        <v>118</v>
      </c>
      <c r="E41" t="s">
        <v>120</v>
      </c>
      <c r="F41" t="s">
        <v>39</v>
      </c>
      <c r="G41" t="s">
        <v>57</v>
      </c>
      <c r="H41" t="s">
        <v>102</v>
      </c>
      <c r="I41">
        <v>1</v>
      </c>
      <c r="J41" s="4">
        <v>11818.09</v>
      </c>
      <c r="K41" s="5">
        <v>0.1</v>
      </c>
      <c r="L41" s="4">
        <v>7975.26</v>
      </c>
      <c r="M41" t="s">
        <v>62</v>
      </c>
      <c r="N41" t="s">
        <v>60</v>
      </c>
      <c r="O41">
        <f>IF(TablaVentas[[#This Row],[Precio_unitario]]="","PENDIENTE",TablaVentas[[#This Row],[Unidades]]*TablaVentas[[#This Row],[Precio_unitario]]*(1-TablaVentas[[#This Row],[Descuento_pct]]))</f>
        <v>10636.281000000001</v>
      </c>
      <c r="P41">
        <f>IF(TablaVentas[[#This Row],[Costo_unitario]]="","PENDIENTE",TablaVentas[[#This Row],[Unidades]]*TablaVentas[[#This Row],[Costo_unitario]])</f>
        <v>7975.26</v>
      </c>
      <c r="Q41">
        <f>IF(OR(TablaVentas[[#This Row],[Ingreso_neto]]="PENDIENTE",TablaVentas[[#This Row],[Costo_total]]="PENDIENTE"),"PENDIENTE",TablaVentas[[#This Row],[Ingreso_neto]]-TablaVentas[[#This Row],[Costo_total]])</f>
        <v>2661.0210000000006</v>
      </c>
    </row>
    <row r="42" spans="1:17">
      <c r="A42" t="s">
        <v>117</v>
      </c>
      <c r="B42">
        <v>5</v>
      </c>
      <c r="C42" s="3">
        <v>46166</v>
      </c>
      <c r="D42" t="s">
        <v>118</v>
      </c>
      <c r="E42" t="s">
        <v>114</v>
      </c>
      <c r="F42" t="s">
        <v>39</v>
      </c>
      <c r="G42" t="s">
        <v>57</v>
      </c>
      <c r="H42" t="s">
        <v>102</v>
      </c>
      <c r="I42">
        <v>8</v>
      </c>
      <c r="J42" s="4">
        <v>15579.26</v>
      </c>
      <c r="K42" s="5">
        <v>0</v>
      </c>
      <c r="L42" s="4">
        <v>8239.48</v>
      </c>
      <c r="M42" t="s">
        <v>42</v>
      </c>
      <c r="N42" t="s">
        <v>45</v>
      </c>
      <c r="O42">
        <f>IF(TablaVentas[[#This Row],[Precio_unitario]]="","PENDIENTE",TablaVentas[[#This Row],[Unidades]]*TablaVentas[[#This Row],[Precio_unitario]]*(1-TablaVentas[[#This Row],[Descuento_pct]]))</f>
        <v>124634.08</v>
      </c>
      <c r="P42">
        <f>IF(TablaVentas[[#This Row],[Costo_unitario]]="","PENDIENTE",TablaVentas[[#This Row],[Unidades]]*TablaVentas[[#This Row],[Costo_unitario]])</f>
        <v>65915.839999999997</v>
      </c>
      <c r="Q42">
        <f>IF(OR(TablaVentas[[#This Row],[Ingreso_neto]]="PENDIENTE",TablaVentas[[#This Row],[Costo_total]]="PENDIENTE"),"PENDIENTE",TablaVentas[[#This Row],[Ingreso_neto]]-TablaVentas[[#This Row],[Costo_total]])</f>
        <v>58718.240000000005</v>
      </c>
    </row>
    <row r="43" spans="1:17">
      <c r="A43" t="s">
        <v>121</v>
      </c>
      <c r="B43">
        <v>1</v>
      </c>
      <c r="C43" s="3">
        <v>46217</v>
      </c>
      <c r="D43" t="s">
        <v>122</v>
      </c>
      <c r="E43" t="s">
        <v>123</v>
      </c>
      <c r="F43" t="s">
        <v>77</v>
      </c>
      <c r="G43" t="s">
        <v>40</v>
      </c>
      <c r="H43" t="s">
        <v>124</v>
      </c>
      <c r="I43">
        <v>3</v>
      </c>
      <c r="J43" s="4">
        <v>19014.63</v>
      </c>
      <c r="K43" s="5">
        <v>0.15</v>
      </c>
      <c r="L43" s="4">
        <v>12679.41</v>
      </c>
      <c r="M43" t="s">
        <v>42</v>
      </c>
      <c r="N43" t="s">
        <v>45</v>
      </c>
      <c r="O43">
        <f>IF(TablaVentas[[#This Row],[Precio_unitario]]="","PENDIENTE",TablaVentas[[#This Row],[Unidades]]*TablaVentas[[#This Row],[Precio_unitario]]*(1-TablaVentas[[#This Row],[Descuento_pct]]))</f>
        <v>48487.306499999999</v>
      </c>
      <c r="P43">
        <f>IF(TablaVentas[[#This Row],[Costo_unitario]]="","PENDIENTE",TablaVentas[[#This Row],[Unidades]]*TablaVentas[[#This Row],[Costo_unitario]])</f>
        <v>38038.229999999996</v>
      </c>
      <c r="Q43">
        <f>IF(OR(TablaVentas[[#This Row],[Ingreso_neto]]="PENDIENTE",TablaVentas[[#This Row],[Costo_total]]="PENDIENTE"),"PENDIENTE",TablaVentas[[#This Row],[Ingreso_neto]]-TablaVentas[[#This Row],[Costo_total]])</f>
        <v>10449.076500000003</v>
      </c>
    </row>
    <row r="44" spans="1:17">
      <c r="A44" t="s">
        <v>121</v>
      </c>
      <c r="B44">
        <v>2</v>
      </c>
      <c r="C44" s="3">
        <v>46217</v>
      </c>
      <c r="D44" t="s">
        <v>122</v>
      </c>
      <c r="E44" t="s">
        <v>125</v>
      </c>
      <c r="F44" t="s">
        <v>77</v>
      </c>
      <c r="G44" t="s">
        <v>40</v>
      </c>
      <c r="H44" t="s">
        <v>124</v>
      </c>
      <c r="I44">
        <v>3</v>
      </c>
      <c r="J44" s="4">
        <v>1669.89</v>
      </c>
      <c r="K44" s="5">
        <v>0.2</v>
      </c>
      <c r="L44" s="4">
        <v>1044.32</v>
      </c>
      <c r="M44" t="s">
        <v>42</v>
      </c>
      <c r="N44" t="s">
        <v>60</v>
      </c>
      <c r="O44">
        <f>IF(TablaVentas[[#This Row],[Precio_unitario]]="","PENDIENTE",TablaVentas[[#This Row],[Unidades]]*TablaVentas[[#This Row],[Precio_unitario]]*(1-TablaVentas[[#This Row],[Descuento_pct]]))</f>
        <v>4007.7360000000003</v>
      </c>
      <c r="P44">
        <f>IF(TablaVentas[[#This Row],[Costo_unitario]]="","PENDIENTE",TablaVentas[[#This Row],[Unidades]]*TablaVentas[[#This Row],[Costo_unitario]])</f>
        <v>3132.96</v>
      </c>
      <c r="Q44">
        <f>IF(OR(TablaVentas[[#This Row],[Ingreso_neto]]="PENDIENTE",TablaVentas[[#This Row],[Costo_total]]="PENDIENTE"),"PENDIENTE",TablaVentas[[#This Row],[Ingreso_neto]]-TablaVentas[[#This Row],[Costo_total]])</f>
        <v>874.77600000000029</v>
      </c>
    </row>
    <row r="45" spans="1:17">
      <c r="A45" t="s">
        <v>126</v>
      </c>
      <c r="B45">
        <v>1</v>
      </c>
      <c r="C45" s="3">
        <v>46182</v>
      </c>
      <c r="D45" t="s">
        <v>127</v>
      </c>
      <c r="E45" t="s">
        <v>128</v>
      </c>
      <c r="F45" t="s">
        <v>77</v>
      </c>
      <c r="G45" t="s">
        <v>57</v>
      </c>
      <c r="H45" t="s">
        <v>129</v>
      </c>
      <c r="I45">
        <v>1</v>
      </c>
      <c r="J45" s="4">
        <v>1526.42</v>
      </c>
      <c r="K45" s="5">
        <v>0</v>
      </c>
      <c r="L45" s="4">
        <v>900.08</v>
      </c>
      <c r="M45" t="s">
        <v>42</v>
      </c>
      <c r="N45" t="s">
        <v>52</v>
      </c>
      <c r="O45">
        <f>IF(TablaVentas[[#This Row],[Precio_unitario]]="","PENDIENTE",TablaVentas[[#This Row],[Unidades]]*TablaVentas[[#This Row],[Precio_unitario]]*(1-TablaVentas[[#This Row],[Descuento_pct]]))</f>
        <v>1526.42</v>
      </c>
      <c r="P45">
        <f>IF(TablaVentas[[#This Row],[Costo_unitario]]="","PENDIENTE",TablaVentas[[#This Row],[Unidades]]*TablaVentas[[#This Row],[Costo_unitario]])</f>
        <v>900.08</v>
      </c>
      <c r="Q45">
        <f>IF(OR(TablaVentas[[#This Row],[Ingreso_neto]]="PENDIENTE",TablaVentas[[#This Row],[Costo_total]]="PENDIENTE"),"PENDIENTE",TablaVentas[[#This Row],[Ingreso_neto]]-TablaVentas[[#This Row],[Costo_total]])</f>
        <v>626.34</v>
      </c>
    </row>
    <row r="46" spans="1:17">
      <c r="A46" t="s">
        <v>130</v>
      </c>
      <c r="B46">
        <v>1</v>
      </c>
      <c r="C46" s="3">
        <v>46110</v>
      </c>
      <c r="D46" t="s">
        <v>131</v>
      </c>
      <c r="E46" t="s">
        <v>132</v>
      </c>
      <c r="F46" t="s">
        <v>77</v>
      </c>
      <c r="G46" t="s">
        <v>57</v>
      </c>
      <c r="H46" t="s">
        <v>82</v>
      </c>
      <c r="I46">
        <v>1</v>
      </c>
      <c r="J46" s="4">
        <v>19262.080000000002</v>
      </c>
      <c r="K46" s="5">
        <v>0</v>
      </c>
      <c r="L46" s="4">
        <v>11036.95</v>
      </c>
      <c r="M46" t="s">
        <v>42</v>
      </c>
      <c r="N46" t="s">
        <v>52</v>
      </c>
      <c r="O46">
        <f>IF(TablaVentas[[#This Row],[Precio_unitario]]="","PENDIENTE",TablaVentas[[#This Row],[Unidades]]*TablaVentas[[#This Row],[Precio_unitario]]*(1-TablaVentas[[#This Row],[Descuento_pct]]))</f>
        <v>19262.080000000002</v>
      </c>
      <c r="P46">
        <f>IF(TablaVentas[[#This Row],[Costo_unitario]]="","PENDIENTE",TablaVentas[[#This Row],[Unidades]]*TablaVentas[[#This Row],[Costo_unitario]])</f>
        <v>11036.95</v>
      </c>
      <c r="Q46">
        <f>IF(OR(TablaVentas[[#This Row],[Ingreso_neto]]="PENDIENTE",TablaVentas[[#This Row],[Costo_total]]="PENDIENTE"),"PENDIENTE",TablaVentas[[#This Row],[Ingreso_neto]]-TablaVentas[[#This Row],[Costo_total]])</f>
        <v>8225.130000000001</v>
      </c>
    </row>
    <row r="47" spans="1:17">
      <c r="A47" t="s">
        <v>130</v>
      </c>
      <c r="B47">
        <v>2</v>
      </c>
      <c r="C47" s="3">
        <v>46110</v>
      </c>
      <c r="D47" t="s">
        <v>131</v>
      </c>
      <c r="E47" t="s">
        <v>133</v>
      </c>
      <c r="F47" t="s">
        <v>77</v>
      </c>
      <c r="G47" t="s">
        <v>57</v>
      </c>
      <c r="H47" t="s">
        <v>82</v>
      </c>
      <c r="I47">
        <v>2</v>
      </c>
      <c r="J47" s="4">
        <v>7640.94</v>
      </c>
      <c r="K47" s="5">
        <v>0.2</v>
      </c>
      <c r="L47" s="4">
        <v>4061.34</v>
      </c>
      <c r="M47" t="s">
        <v>42</v>
      </c>
      <c r="N47" t="s">
        <v>45</v>
      </c>
      <c r="O47">
        <f>IF(TablaVentas[[#This Row],[Precio_unitario]]="","PENDIENTE",TablaVentas[[#This Row],[Unidades]]*TablaVentas[[#This Row],[Precio_unitario]]*(1-TablaVentas[[#This Row],[Descuento_pct]]))</f>
        <v>12225.504000000001</v>
      </c>
      <c r="P47">
        <f>IF(TablaVentas[[#This Row],[Costo_unitario]]="","PENDIENTE",TablaVentas[[#This Row],[Unidades]]*TablaVentas[[#This Row],[Costo_unitario]])</f>
        <v>8122.68</v>
      </c>
      <c r="Q47">
        <f>IF(OR(TablaVentas[[#This Row],[Ingreso_neto]]="PENDIENTE",TablaVentas[[#This Row],[Costo_total]]="PENDIENTE"),"PENDIENTE",TablaVentas[[#This Row],[Ingreso_neto]]-TablaVentas[[#This Row],[Costo_total]])</f>
        <v>4102.8240000000005</v>
      </c>
    </row>
    <row r="48" spans="1:17">
      <c r="A48" t="s">
        <v>130</v>
      </c>
      <c r="B48">
        <v>3</v>
      </c>
      <c r="C48" s="3">
        <v>46110</v>
      </c>
      <c r="D48" t="s">
        <v>131</v>
      </c>
      <c r="E48" t="s">
        <v>134</v>
      </c>
      <c r="F48" t="s">
        <v>77</v>
      </c>
      <c r="G48" t="s">
        <v>57</v>
      </c>
      <c r="H48" t="s">
        <v>82</v>
      </c>
      <c r="I48">
        <v>1</v>
      </c>
      <c r="J48" s="4">
        <v>250.04</v>
      </c>
      <c r="K48" s="5">
        <v>0</v>
      </c>
      <c r="L48" s="4">
        <v>176.47</v>
      </c>
      <c r="M48" t="s">
        <v>42</v>
      </c>
      <c r="N48" t="s">
        <v>45</v>
      </c>
      <c r="O48">
        <f>IF(TablaVentas[[#This Row],[Precio_unitario]]="","PENDIENTE",TablaVentas[[#This Row],[Unidades]]*TablaVentas[[#This Row],[Precio_unitario]]*(1-TablaVentas[[#This Row],[Descuento_pct]]))</f>
        <v>250.04</v>
      </c>
      <c r="P48">
        <f>IF(TablaVentas[[#This Row],[Costo_unitario]]="","PENDIENTE",TablaVentas[[#This Row],[Unidades]]*TablaVentas[[#This Row],[Costo_unitario]])</f>
        <v>176.47</v>
      </c>
      <c r="Q48">
        <f>IF(OR(TablaVentas[[#This Row],[Ingreso_neto]]="PENDIENTE",TablaVentas[[#This Row],[Costo_total]]="PENDIENTE"),"PENDIENTE",TablaVentas[[#This Row],[Ingreso_neto]]-TablaVentas[[#This Row],[Costo_total]])</f>
        <v>73.569999999999993</v>
      </c>
    </row>
    <row r="49" spans="1:18">
      <c r="A49" t="s">
        <v>130</v>
      </c>
      <c r="B49">
        <v>4</v>
      </c>
      <c r="C49" s="3">
        <v>46110</v>
      </c>
      <c r="D49" t="s">
        <v>131</v>
      </c>
      <c r="E49" t="s">
        <v>135</v>
      </c>
      <c r="F49" t="s">
        <v>77</v>
      </c>
      <c r="G49" t="s">
        <v>57</v>
      </c>
      <c r="H49" t="s">
        <v>82</v>
      </c>
      <c r="I49">
        <v>1</v>
      </c>
      <c r="J49" s="4">
        <v>1828.46</v>
      </c>
      <c r="K49" s="5">
        <v>0</v>
      </c>
      <c r="L49" s="4">
        <v>1529.93</v>
      </c>
      <c r="M49" t="s">
        <v>42</v>
      </c>
      <c r="N49" t="s">
        <v>60</v>
      </c>
      <c r="O49">
        <f>IF(TablaVentas[[#This Row],[Precio_unitario]]="","PENDIENTE",TablaVentas[[#This Row],[Unidades]]*TablaVentas[[#This Row],[Precio_unitario]]*(1-TablaVentas[[#This Row],[Descuento_pct]]))</f>
        <v>1828.46</v>
      </c>
      <c r="P49">
        <f>IF(TablaVentas[[#This Row],[Costo_unitario]]="","PENDIENTE",TablaVentas[[#This Row],[Unidades]]*TablaVentas[[#This Row],[Costo_unitario]])</f>
        <v>1529.93</v>
      </c>
      <c r="Q49">
        <f>IF(OR(TablaVentas[[#This Row],[Ingreso_neto]]="PENDIENTE",TablaVentas[[#This Row],[Costo_total]]="PENDIENTE"),"PENDIENTE",TablaVentas[[#This Row],[Ingreso_neto]]-TablaVentas[[#This Row],[Costo_total]])</f>
        <v>298.52999999999997</v>
      </c>
    </row>
    <row r="50" spans="1:18">
      <c r="A50" t="s">
        <v>136</v>
      </c>
      <c r="B50">
        <v>1</v>
      </c>
      <c r="C50" s="3">
        <v>46259</v>
      </c>
      <c r="D50" t="s">
        <v>137</v>
      </c>
      <c r="E50" t="s">
        <v>138</v>
      </c>
      <c r="F50" t="s">
        <v>56</v>
      </c>
      <c r="G50" t="s">
        <v>40</v>
      </c>
      <c r="H50" t="s">
        <v>124</v>
      </c>
      <c r="I50">
        <v>1</v>
      </c>
      <c r="J50" s="4">
        <v>6124.84</v>
      </c>
      <c r="K50" s="5">
        <v>0.15</v>
      </c>
      <c r="L50" s="4">
        <v>4665.62</v>
      </c>
      <c r="M50" t="s">
        <v>42</v>
      </c>
      <c r="N50" t="s">
        <v>43</v>
      </c>
      <c r="O50">
        <f>IF(TablaVentas[[#This Row],[Precio_unitario]]="","PENDIENTE",TablaVentas[[#This Row],[Unidades]]*TablaVentas[[#This Row],[Precio_unitario]]*(1-TablaVentas[[#This Row],[Descuento_pct]]))</f>
        <v>5206.1139999999996</v>
      </c>
      <c r="P50">
        <f>IF(TablaVentas[[#This Row],[Costo_unitario]]="","PENDIENTE",TablaVentas[[#This Row],[Unidades]]*TablaVentas[[#This Row],[Costo_unitario]])</f>
        <v>4665.62</v>
      </c>
      <c r="Q50">
        <f>IF(OR(TablaVentas[[#This Row],[Ingreso_neto]]="PENDIENTE",TablaVentas[[#This Row],[Costo_total]]="PENDIENTE"),"PENDIENTE",TablaVentas[[#This Row],[Ingreso_neto]]-TablaVentas[[#This Row],[Costo_total]])</f>
        <v>540.49399999999969</v>
      </c>
    </row>
    <row r="51" spans="1:18">
      <c r="A51" t="s">
        <v>136</v>
      </c>
      <c r="B51">
        <v>2</v>
      </c>
      <c r="C51" s="3">
        <v>46259</v>
      </c>
      <c r="D51" t="s">
        <v>137</v>
      </c>
      <c r="E51" t="s">
        <v>139</v>
      </c>
      <c r="F51" t="s">
        <v>56</v>
      </c>
      <c r="G51" t="s">
        <v>40</v>
      </c>
      <c r="H51" t="s">
        <v>124</v>
      </c>
      <c r="I51">
        <v>1</v>
      </c>
      <c r="J51" s="4">
        <v>9210.89</v>
      </c>
      <c r="K51" s="5">
        <v>0.2</v>
      </c>
      <c r="L51" s="4">
        <v>8002.16</v>
      </c>
      <c r="M51" t="s">
        <v>42</v>
      </c>
      <c r="N51" t="s">
        <v>43</v>
      </c>
      <c r="O51">
        <f>IF(TablaVentas[[#This Row],[Precio_unitario]]="","PENDIENTE",TablaVentas[[#This Row],[Unidades]]*TablaVentas[[#This Row],[Precio_unitario]]*(1-TablaVentas[[#This Row],[Descuento_pct]]))</f>
        <v>7368.7119999999995</v>
      </c>
      <c r="P51">
        <f>IF(TablaVentas[[#This Row],[Costo_unitario]]="","PENDIENTE",TablaVentas[[#This Row],[Unidades]]*TablaVentas[[#This Row],[Costo_unitario]])</f>
        <v>8002.16</v>
      </c>
      <c r="Q51">
        <f>IF(OR(TablaVentas[[#This Row],[Ingreso_neto]]="PENDIENTE",TablaVentas[[#This Row],[Costo_total]]="PENDIENTE"),"PENDIENTE",TablaVentas[[#This Row],[Ingreso_neto]]-TablaVentas[[#This Row],[Costo_total]])</f>
        <v>-633.44800000000032</v>
      </c>
    </row>
    <row r="52" spans="1:18">
      <c r="A52" t="s">
        <v>136</v>
      </c>
      <c r="B52">
        <v>3</v>
      </c>
      <c r="C52" s="3">
        <v>46259</v>
      </c>
      <c r="D52" t="s">
        <v>137</v>
      </c>
      <c r="E52" t="s">
        <v>140</v>
      </c>
      <c r="F52" t="s">
        <v>56</v>
      </c>
      <c r="G52" t="s">
        <v>40</v>
      </c>
      <c r="H52" t="s">
        <v>124</v>
      </c>
      <c r="I52">
        <v>2</v>
      </c>
      <c r="J52" s="4">
        <v>3181.24</v>
      </c>
      <c r="K52" s="5">
        <v>0.1</v>
      </c>
      <c r="L52" s="4">
        <v>2427.63</v>
      </c>
      <c r="M52" t="s">
        <v>42</v>
      </c>
      <c r="N52" t="s">
        <v>60</v>
      </c>
      <c r="O52">
        <f>IF(TablaVentas[[#This Row],[Precio_unitario]]="","PENDIENTE",TablaVentas[[#This Row],[Unidades]]*TablaVentas[[#This Row],[Precio_unitario]]*(1-TablaVentas[[#This Row],[Descuento_pct]]))</f>
        <v>5726.232</v>
      </c>
      <c r="P52">
        <f>IF(TablaVentas[[#This Row],[Costo_unitario]]="","PENDIENTE",TablaVentas[[#This Row],[Unidades]]*TablaVentas[[#This Row],[Costo_unitario]])</f>
        <v>4855.26</v>
      </c>
      <c r="Q52">
        <f>IF(OR(TablaVentas[[#This Row],[Ingreso_neto]]="PENDIENTE",TablaVentas[[#This Row],[Costo_total]]="PENDIENTE"),"PENDIENTE",TablaVentas[[#This Row],[Ingreso_neto]]-TablaVentas[[#This Row],[Costo_total]])</f>
        <v>870.97199999999975</v>
      </c>
    </row>
    <row r="53" spans="1:18">
      <c r="A53" t="s">
        <v>141</v>
      </c>
      <c r="B53">
        <v>1</v>
      </c>
      <c r="C53" s="3">
        <v>46101</v>
      </c>
      <c r="D53" t="s">
        <v>142</v>
      </c>
      <c r="E53" t="s">
        <v>93</v>
      </c>
      <c r="F53" t="s">
        <v>77</v>
      </c>
      <c r="G53" t="s">
        <v>40</v>
      </c>
      <c r="H53" t="s">
        <v>73</v>
      </c>
      <c r="I53">
        <v>5</v>
      </c>
      <c r="J53" s="4">
        <v>14957.68</v>
      </c>
      <c r="K53" s="5">
        <v>0.1</v>
      </c>
      <c r="L53" s="4">
        <v>8788.7900000000009</v>
      </c>
      <c r="M53" t="s">
        <v>42</v>
      </c>
      <c r="N53" t="s">
        <v>52</v>
      </c>
      <c r="O53">
        <f>IF(TablaVentas[[#This Row],[Precio_unitario]]="","PENDIENTE",TablaVentas[[#This Row],[Unidades]]*TablaVentas[[#This Row],[Precio_unitario]]*(1-TablaVentas[[#This Row],[Descuento_pct]]))</f>
        <v>67309.56</v>
      </c>
      <c r="P53">
        <f>IF(TablaVentas[[#This Row],[Costo_unitario]]="","PENDIENTE",TablaVentas[[#This Row],[Unidades]]*TablaVentas[[#This Row],[Costo_unitario]])</f>
        <v>43943.950000000004</v>
      </c>
      <c r="Q53">
        <f>IF(OR(TablaVentas[[#This Row],[Ingreso_neto]]="PENDIENTE",TablaVentas[[#This Row],[Costo_total]]="PENDIENTE"),"PENDIENTE",TablaVentas[[#This Row],[Ingreso_neto]]-TablaVentas[[#This Row],[Costo_total]])</f>
        <v>23365.609999999993</v>
      </c>
    </row>
    <row r="54" spans="1:18">
      <c r="A54" t="s">
        <v>141</v>
      </c>
      <c r="B54">
        <v>2</v>
      </c>
      <c r="C54" s="3">
        <v>46101</v>
      </c>
      <c r="D54" t="s">
        <v>142</v>
      </c>
      <c r="E54" t="s">
        <v>143</v>
      </c>
      <c r="F54" t="s">
        <v>77</v>
      </c>
      <c r="G54" t="s">
        <v>40</v>
      </c>
      <c r="H54" t="s">
        <v>73</v>
      </c>
      <c r="I54">
        <v>3</v>
      </c>
      <c r="J54" s="4">
        <v>9637.65</v>
      </c>
      <c r="K54" s="5">
        <v>0</v>
      </c>
      <c r="L54" s="4">
        <v>6815.42</v>
      </c>
      <c r="M54" t="s">
        <v>62</v>
      </c>
      <c r="N54" t="s">
        <v>45</v>
      </c>
      <c r="O54">
        <f>IF(TablaVentas[[#This Row],[Precio_unitario]]="","PENDIENTE",TablaVentas[[#This Row],[Unidades]]*TablaVentas[[#This Row],[Precio_unitario]]*(1-TablaVentas[[#This Row],[Descuento_pct]]))</f>
        <v>28912.949999999997</v>
      </c>
      <c r="P54">
        <f>IF(TablaVentas[[#This Row],[Costo_unitario]]="","PENDIENTE",TablaVentas[[#This Row],[Unidades]]*TablaVentas[[#This Row],[Costo_unitario]])</f>
        <v>20446.260000000002</v>
      </c>
      <c r="Q54">
        <f>IF(OR(TablaVentas[[#This Row],[Ingreso_neto]]="PENDIENTE",TablaVentas[[#This Row],[Costo_total]]="PENDIENTE"),"PENDIENTE",TablaVentas[[#This Row],[Ingreso_neto]]-TablaVentas[[#This Row],[Costo_total]])</f>
        <v>8466.6899999999951</v>
      </c>
    </row>
    <row r="55" spans="1:18">
      <c r="A55" t="s">
        <v>141</v>
      </c>
      <c r="B55">
        <v>3</v>
      </c>
      <c r="C55" s="3">
        <v>46101</v>
      </c>
      <c r="D55" t="s">
        <v>142</v>
      </c>
      <c r="E55" t="s">
        <v>144</v>
      </c>
      <c r="F55" t="s">
        <v>77</v>
      </c>
      <c r="G55" t="s">
        <v>40</v>
      </c>
      <c r="H55" t="s">
        <v>73</v>
      </c>
      <c r="I55">
        <v>5</v>
      </c>
      <c r="J55" s="4"/>
      <c r="K55" s="5">
        <v>0.05</v>
      </c>
      <c r="L55" s="4">
        <v>5125.3599999999997</v>
      </c>
      <c r="M55" t="s">
        <v>42</v>
      </c>
      <c r="N55" t="s">
        <v>45</v>
      </c>
      <c r="O55" t="str">
        <f>IF(TablaVentas[[#This Row],[Precio_unitario]]="","PENDIENTE",TablaVentas[[#This Row],[Unidades]]*TablaVentas[[#This Row],[Precio_unitario]]*(1-TablaVentas[[#This Row],[Descuento_pct]]))</f>
        <v>PENDIENTE</v>
      </c>
      <c r="P55">
        <f>IF(TablaVentas[[#This Row],[Costo_unitario]]="","PENDIENTE",TablaVentas[[#This Row],[Unidades]]*TablaVentas[[#This Row],[Costo_unitario]])</f>
        <v>25626.799999999999</v>
      </c>
      <c r="Q55" t="str">
        <f>IF(OR(TablaVentas[[#This Row],[Ingreso_neto]]="PENDIENTE",TablaVentas[[#This Row],[Costo_total]]="PENDIENTE"),"PENDIENTE",TablaVentas[[#This Row],[Ingreso_neto]]-TablaVentas[[#This Row],[Costo_total]])</f>
        <v>PENDIENTE</v>
      </c>
      <c r="R55" t="s">
        <v>145</v>
      </c>
    </row>
    <row r="56" spans="1:18">
      <c r="A56" t="s">
        <v>146</v>
      </c>
      <c r="B56">
        <v>1</v>
      </c>
      <c r="C56" s="3">
        <v>46048</v>
      </c>
      <c r="D56" t="s">
        <v>147</v>
      </c>
      <c r="E56" t="s">
        <v>148</v>
      </c>
      <c r="F56" t="s">
        <v>77</v>
      </c>
      <c r="G56" t="s">
        <v>40</v>
      </c>
      <c r="H56" t="s">
        <v>124</v>
      </c>
      <c r="I56">
        <v>1</v>
      </c>
      <c r="J56" s="4">
        <v>2824.2</v>
      </c>
      <c r="K56" s="5">
        <v>0</v>
      </c>
      <c r="L56" s="4">
        <v>2459.34</v>
      </c>
      <c r="M56" t="s">
        <v>42</v>
      </c>
      <c r="N56" t="s">
        <v>60</v>
      </c>
      <c r="O56">
        <f>IF(TablaVentas[[#This Row],[Precio_unitario]]="","PENDIENTE",TablaVentas[[#This Row],[Unidades]]*TablaVentas[[#This Row],[Precio_unitario]]*(1-TablaVentas[[#This Row],[Descuento_pct]]))</f>
        <v>2824.2</v>
      </c>
      <c r="P56">
        <f>IF(TablaVentas[[#This Row],[Costo_unitario]]="","PENDIENTE",TablaVentas[[#This Row],[Unidades]]*TablaVentas[[#This Row],[Costo_unitario]])</f>
        <v>2459.34</v>
      </c>
      <c r="Q56">
        <f>IF(OR(TablaVentas[[#This Row],[Ingreso_neto]]="PENDIENTE",TablaVentas[[#This Row],[Costo_total]]="PENDIENTE"),"PENDIENTE",TablaVentas[[#This Row],[Ingreso_neto]]-TablaVentas[[#This Row],[Costo_total]])</f>
        <v>364.85999999999967</v>
      </c>
    </row>
    <row r="57" spans="1:18">
      <c r="A57" t="s">
        <v>146</v>
      </c>
      <c r="B57">
        <v>2</v>
      </c>
      <c r="C57" s="3">
        <v>46048</v>
      </c>
      <c r="D57" t="s">
        <v>147</v>
      </c>
      <c r="E57" t="s">
        <v>120</v>
      </c>
      <c r="F57" t="s">
        <v>77</v>
      </c>
      <c r="G57" t="s">
        <v>40</v>
      </c>
      <c r="H57" t="s">
        <v>124</v>
      </c>
      <c r="I57">
        <v>1</v>
      </c>
      <c r="J57" s="4">
        <v>12035.18</v>
      </c>
      <c r="K57" s="5">
        <v>0.1</v>
      </c>
      <c r="L57" s="4">
        <v>7975.26</v>
      </c>
      <c r="M57" t="s">
        <v>42</v>
      </c>
      <c r="N57" t="s">
        <v>43</v>
      </c>
      <c r="O57">
        <f>IF(TablaVentas[[#This Row],[Precio_unitario]]="","PENDIENTE",TablaVentas[[#This Row],[Unidades]]*TablaVentas[[#This Row],[Precio_unitario]]*(1-TablaVentas[[#This Row],[Descuento_pct]]))</f>
        <v>10831.662</v>
      </c>
      <c r="P57">
        <f>IF(TablaVentas[[#This Row],[Costo_unitario]]="","PENDIENTE",TablaVentas[[#This Row],[Unidades]]*TablaVentas[[#This Row],[Costo_unitario]])</f>
        <v>7975.26</v>
      </c>
      <c r="Q57">
        <f>IF(OR(TablaVentas[[#This Row],[Ingreso_neto]]="PENDIENTE",TablaVentas[[#This Row],[Costo_total]]="PENDIENTE"),"PENDIENTE",TablaVentas[[#This Row],[Ingreso_neto]]-TablaVentas[[#This Row],[Costo_total]])</f>
        <v>2856.402</v>
      </c>
    </row>
    <row r="58" spans="1:18">
      <c r="A58" t="s">
        <v>149</v>
      </c>
      <c r="B58">
        <v>1</v>
      </c>
      <c r="C58" s="3">
        <v>46130</v>
      </c>
      <c r="D58" t="s">
        <v>150</v>
      </c>
      <c r="E58" t="s">
        <v>151</v>
      </c>
      <c r="F58" t="s">
        <v>77</v>
      </c>
      <c r="G58" t="s">
        <v>40</v>
      </c>
      <c r="H58" t="s">
        <v>82</v>
      </c>
      <c r="I58">
        <v>5</v>
      </c>
      <c r="J58" s="4">
        <v>15795.61</v>
      </c>
      <c r="K58" s="5">
        <v>0</v>
      </c>
      <c r="L58" s="4">
        <v>8963.23</v>
      </c>
      <c r="M58" t="s">
        <v>42</v>
      </c>
      <c r="N58" t="s">
        <v>45</v>
      </c>
      <c r="O58">
        <f>IF(TablaVentas[[#This Row],[Precio_unitario]]="","PENDIENTE",TablaVentas[[#This Row],[Unidades]]*TablaVentas[[#This Row],[Precio_unitario]]*(1-TablaVentas[[#This Row],[Descuento_pct]]))</f>
        <v>78978.05</v>
      </c>
      <c r="P58">
        <f>IF(TablaVentas[[#This Row],[Costo_unitario]]="","PENDIENTE",TablaVentas[[#This Row],[Unidades]]*TablaVentas[[#This Row],[Costo_unitario]])</f>
        <v>44816.149999999994</v>
      </c>
      <c r="Q58">
        <f>IF(OR(TablaVentas[[#This Row],[Ingreso_neto]]="PENDIENTE",TablaVentas[[#This Row],[Costo_total]]="PENDIENTE"),"PENDIENTE",TablaVentas[[#This Row],[Ingreso_neto]]-TablaVentas[[#This Row],[Costo_total]])</f>
        <v>34161.900000000009</v>
      </c>
    </row>
    <row r="59" spans="1:18">
      <c r="A59" t="s">
        <v>149</v>
      </c>
      <c r="B59">
        <v>2</v>
      </c>
      <c r="C59" s="3">
        <v>46130</v>
      </c>
      <c r="D59" t="s">
        <v>150</v>
      </c>
      <c r="E59" t="s">
        <v>152</v>
      </c>
      <c r="F59" t="s">
        <v>77</v>
      </c>
      <c r="G59" t="s">
        <v>40</v>
      </c>
      <c r="H59" t="s">
        <v>82</v>
      </c>
      <c r="I59">
        <v>5</v>
      </c>
      <c r="J59" s="4">
        <v>2780.79</v>
      </c>
      <c r="K59" s="5">
        <v>0</v>
      </c>
      <c r="L59" s="4">
        <v>1962.3</v>
      </c>
      <c r="M59" t="s">
        <v>42</v>
      </c>
      <c r="N59" t="s">
        <v>45</v>
      </c>
      <c r="O59">
        <f>IF(TablaVentas[[#This Row],[Precio_unitario]]="","PENDIENTE",TablaVentas[[#This Row],[Unidades]]*TablaVentas[[#This Row],[Precio_unitario]]*(1-TablaVentas[[#This Row],[Descuento_pct]]))</f>
        <v>13903.95</v>
      </c>
      <c r="P59">
        <f>IF(TablaVentas[[#This Row],[Costo_unitario]]="","PENDIENTE",TablaVentas[[#This Row],[Unidades]]*TablaVentas[[#This Row],[Costo_unitario]])</f>
        <v>9811.5</v>
      </c>
      <c r="Q59">
        <f>IF(OR(TablaVentas[[#This Row],[Ingreso_neto]]="PENDIENTE",TablaVentas[[#This Row],[Costo_total]]="PENDIENTE"),"PENDIENTE",TablaVentas[[#This Row],[Ingreso_neto]]-TablaVentas[[#This Row],[Costo_total]])</f>
        <v>4092.4500000000007</v>
      </c>
    </row>
    <row r="60" spans="1:18">
      <c r="A60" t="s">
        <v>153</v>
      </c>
      <c r="B60">
        <v>1</v>
      </c>
      <c r="C60" s="3">
        <v>46124</v>
      </c>
      <c r="D60" t="s">
        <v>154</v>
      </c>
      <c r="E60" t="s">
        <v>114</v>
      </c>
      <c r="F60" t="s">
        <v>77</v>
      </c>
      <c r="G60" t="s">
        <v>40</v>
      </c>
      <c r="H60" t="s">
        <v>51</v>
      </c>
      <c r="I60">
        <v>1</v>
      </c>
      <c r="J60" s="4">
        <v>15601.55</v>
      </c>
      <c r="K60" s="5">
        <v>0</v>
      </c>
      <c r="L60" s="4">
        <v>8239.48</v>
      </c>
      <c r="M60" t="s">
        <v>42</v>
      </c>
      <c r="N60" t="s">
        <v>52</v>
      </c>
      <c r="O60">
        <f>IF(TablaVentas[[#This Row],[Precio_unitario]]="","PENDIENTE",TablaVentas[[#This Row],[Unidades]]*TablaVentas[[#This Row],[Precio_unitario]]*(1-TablaVentas[[#This Row],[Descuento_pct]]))</f>
        <v>15601.55</v>
      </c>
      <c r="P60">
        <f>IF(TablaVentas[[#This Row],[Costo_unitario]]="","PENDIENTE",TablaVentas[[#This Row],[Unidades]]*TablaVentas[[#This Row],[Costo_unitario]])</f>
        <v>8239.48</v>
      </c>
      <c r="Q60">
        <f>IF(OR(TablaVentas[[#This Row],[Ingreso_neto]]="PENDIENTE",TablaVentas[[#This Row],[Costo_total]]="PENDIENTE"),"PENDIENTE",TablaVentas[[#This Row],[Ingreso_neto]]-TablaVentas[[#This Row],[Costo_total]])</f>
        <v>7362.07</v>
      </c>
    </row>
    <row r="61" spans="1:18">
      <c r="A61" t="s">
        <v>153</v>
      </c>
      <c r="B61">
        <v>2</v>
      </c>
      <c r="C61" s="3">
        <v>46124</v>
      </c>
      <c r="D61" t="s">
        <v>154</v>
      </c>
      <c r="E61" t="s">
        <v>155</v>
      </c>
      <c r="F61" t="s">
        <v>77</v>
      </c>
      <c r="G61" t="s">
        <v>40</v>
      </c>
      <c r="H61" t="s">
        <v>51</v>
      </c>
      <c r="I61">
        <v>2</v>
      </c>
      <c r="J61" s="4">
        <v>758.04</v>
      </c>
      <c r="K61" s="5">
        <v>0.1</v>
      </c>
      <c r="L61" s="4">
        <v>397.1</v>
      </c>
      <c r="M61" t="s">
        <v>42</v>
      </c>
      <c r="N61" t="s">
        <v>60</v>
      </c>
      <c r="O61">
        <f>IF(TablaVentas[[#This Row],[Precio_unitario]]="","PENDIENTE",TablaVentas[[#This Row],[Unidades]]*TablaVentas[[#This Row],[Precio_unitario]]*(1-TablaVentas[[#This Row],[Descuento_pct]]))</f>
        <v>1364.472</v>
      </c>
      <c r="P61">
        <f>IF(TablaVentas[[#This Row],[Costo_unitario]]="","PENDIENTE",TablaVentas[[#This Row],[Unidades]]*TablaVentas[[#This Row],[Costo_unitario]])</f>
        <v>794.2</v>
      </c>
      <c r="Q61">
        <f>IF(OR(TablaVentas[[#This Row],[Ingreso_neto]]="PENDIENTE",TablaVentas[[#This Row],[Costo_total]]="PENDIENTE"),"PENDIENTE",TablaVentas[[#This Row],[Ingreso_neto]]-TablaVentas[[#This Row],[Costo_total]])</f>
        <v>570.27199999999993</v>
      </c>
    </row>
    <row r="62" spans="1:18">
      <c r="A62" t="s">
        <v>153</v>
      </c>
      <c r="B62">
        <v>3</v>
      </c>
      <c r="C62" s="3">
        <v>46124</v>
      </c>
      <c r="D62" t="s">
        <v>154</v>
      </c>
      <c r="E62" t="s">
        <v>156</v>
      </c>
      <c r="F62" t="s">
        <v>77</v>
      </c>
      <c r="G62" t="s">
        <v>40</v>
      </c>
      <c r="H62" t="s">
        <v>51</v>
      </c>
      <c r="I62">
        <v>1</v>
      </c>
      <c r="J62" s="4">
        <v>20560.88</v>
      </c>
      <c r="K62" s="5">
        <v>0.2</v>
      </c>
      <c r="L62" s="4">
        <v>13981.13</v>
      </c>
      <c r="M62" t="s">
        <v>42</v>
      </c>
      <c r="N62" t="s">
        <v>43</v>
      </c>
      <c r="O62">
        <f>IF(TablaVentas[[#This Row],[Precio_unitario]]="","PENDIENTE",TablaVentas[[#This Row],[Unidades]]*TablaVentas[[#This Row],[Precio_unitario]]*(1-TablaVentas[[#This Row],[Descuento_pct]]))</f>
        <v>16448.704000000002</v>
      </c>
      <c r="P62">
        <f>IF(TablaVentas[[#This Row],[Costo_unitario]]="","PENDIENTE",TablaVentas[[#This Row],[Unidades]]*TablaVentas[[#This Row],[Costo_unitario]])</f>
        <v>13981.13</v>
      </c>
      <c r="Q62">
        <f>IF(OR(TablaVentas[[#This Row],[Ingreso_neto]]="PENDIENTE",TablaVentas[[#This Row],[Costo_total]]="PENDIENTE"),"PENDIENTE",TablaVentas[[#This Row],[Ingreso_neto]]-TablaVentas[[#This Row],[Costo_total]])</f>
        <v>2467.5740000000023</v>
      </c>
    </row>
    <row r="63" spans="1:18">
      <c r="A63" t="s">
        <v>157</v>
      </c>
      <c r="B63">
        <v>1</v>
      </c>
      <c r="C63" s="3">
        <v>46032</v>
      </c>
      <c r="D63" t="s">
        <v>158</v>
      </c>
      <c r="E63" t="s">
        <v>159</v>
      </c>
      <c r="F63" t="s">
        <v>66</v>
      </c>
      <c r="G63" t="s">
        <v>50</v>
      </c>
      <c r="H63" t="s">
        <v>51</v>
      </c>
      <c r="I63">
        <v>1</v>
      </c>
      <c r="J63" s="4">
        <v>12449.94</v>
      </c>
      <c r="K63" s="5">
        <v>0</v>
      </c>
      <c r="L63" s="4">
        <v>9317.3700000000008</v>
      </c>
      <c r="M63" t="s">
        <v>42</v>
      </c>
      <c r="N63" t="s">
        <v>45</v>
      </c>
      <c r="O63">
        <f>IF(TablaVentas[[#This Row],[Precio_unitario]]="","PENDIENTE",TablaVentas[[#This Row],[Unidades]]*TablaVentas[[#This Row],[Precio_unitario]]*(1-TablaVentas[[#This Row],[Descuento_pct]]))</f>
        <v>12449.94</v>
      </c>
      <c r="P63">
        <f>IF(TablaVentas[[#This Row],[Costo_unitario]]="","PENDIENTE",TablaVentas[[#This Row],[Unidades]]*TablaVentas[[#This Row],[Costo_unitario]])</f>
        <v>9317.3700000000008</v>
      </c>
      <c r="Q63">
        <f>IF(OR(TablaVentas[[#This Row],[Ingreso_neto]]="PENDIENTE",TablaVentas[[#This Row],[Costo_total]]="PENDIENTE"),"PENDIENTE",TablaVentas[[#This Row],[Ingreso_neto]]-TablaVentas[[#This Row],[Costo_total]])</f>
        <v>3132.5699999999997</v>
      </c>
    </row>
    <row r="64" spans="1:18">
      <c r="A64" t="s">
        <v>157</v>
      </c>
      <c r="B64">
        <v>2</v>
      </c>
      <c r="C64" s="3">
        <v>46032</v>
      </c>
      <c r="D64" t="s">
        <v>158</v>
      </c>
      <c r="E64" t="s">
        <v>160</v>
      </c>
      <c r="F64" t="s">
        <v>66</v>
      </c>
      <c r="G64" t="s">
        <v>50</v>
      </c>
      <c r="H64" t="s">
        <v>51</v>
      </c>
      <c r="I64">
        <v>1</v>
      </c>
      <c r="J64" s="4">
        <v>7666.31</v>
      </c>
      <c r="K64" s="5">
        <v>0.15</v>
      </c>
      <c r="L64" s="4">
        <v>4082.15</v>
      </c>
      <c r="M64" t="s">
        <v>42</v>
      </c>
      <c r="N64" t="s">
        <v>43</v>
      </c>
      <c r="O64">
        <f>IF(TablaVentas[[#This Row],[Precio_unitario]]="","PENDIENTE",TablaVentas[[#This Row],[Unidades]]*TablaVentas[[#This Row],[Precio_unitario]]*(1-TablaVentas[[#This Row],[Descuento_pct]]))</f>
        <v>6516.3635000000004</v>
      </c>
      <c r="P64">
        <f>IF(TablaVentas[[#This Row],[Costo_unitario]]="","PENDIENTE",TablaVentas[[#This Row],[Unidades]]*TablaVentas[[#This Row],[Costo_unitario]])</f>
        <v>4082.15</v>
      </c>
      <c r="Q64">
        <f>IF(OR(TablaVentas[[#This Row],[Ingreso_neto]]="PENDIENTE",TablaVentas[[#This Row],[Costo_total]]="PENDIENTE"),"PENDIENTE",TablaVentas[[#This Row],[Ingreso_neto]]-TablaVentas[[#This Row],[Costo_total]])</f>
        <v>2434.2135000000003</v>
      </c>
    </row>
    <row r="65" spans="1:17">
      <c r="A65" t="s">
        <v>161</v>
      </c>
      <c r="B65">
        <v>1</v>
      </c>
      <c r="C65" s="3">
        <v>46176</v>
      </c>
      <c r="D65" t="s">
        <v>162</v>
      </c>
      <c r="E65" t="s">
        <v>163</v>
      </c>
      <c r="F65" t="s">
        <v>77</v>
      </c>
      <c r="G65" t="s">
        <v>57</v>
      </c>
      <c r="H65" t="s">
        <v>102</v>
      </c>
      <c r="I65">
        <v>2</v>
      </c>
      <c r="J65" s="4">
        <v>16386.12</v>
      </c>
      <c r="K65" s="5">
        <v>0</v>
      </c>
      <c r="L65" s="4">
        <v>12141.44</v>
      </c>
      <c r="M65" t="s">
        <v>42</v>
      </c>
      <c r="N65" t="s">
        <v>43</v>
      </c>
      <c r="O65">
        <f>IF(TablaVentas[[#This Row],[Precio_unitario]]="","PENDIENTE",TablaVentas[[#This Row],[Unidades]]*TablaVentas[[#This Row],[Precio_unitario]]*(1-TablaVentas[[#This Row],[Descuento_pct]]))</f>
        <v>32772.239999999998</v>
      </c>
      <c r="P65">
        <f>IF(TablaVentas[[#This Row],[Costo_unitario]]="","PENDIENTE",TablaVentas[[#This Row],[Unidades]]*TablaVentas[[#This Row],[Costo_unitario]])</f>
        <v>24282.880000000001</v>
      </c>
      <c r="Q65">
        <f>IF(OR(TablaVentas[[#This Row],[Ingreso_neto]]="PENDIENTE",TablaVentas[[#This Row],[Costo_total]]="PENDIENTE"),"PENDIENTE",TablaVentas[[#This Row],[Ingreso_neto]]-TablaVentas[[#This Row],[Costo_total]])</f>
        <v>8489.3599999999969</v>
      </c>
    </row>
    <row r="66" spans="1:17">
      <c r="A66" t="s">
        <v>161</v>
      </c>
      <c r="B66">
        <v>2</v>
      </c>
      <c r="C66" s="3">
        <v>46176</v>
      </c>
      <c r="D66" t="s">
        <v>162</v>
      </c>
      <c r="E66" t="s">
        <v>164</v>
      </c>
      <c r="F66" t="s">
        <v>77</v>
      </c>
      <c r="G66" t="s">
        <v>57</v>
      </c>
      <c r="H66" t="s">
        <v>102</v>
      </c>
      <c r="I66">
        <v>2</v>
      </c>
      <c r="J66" s="4">
        <v>6337.34</v>
      </c>
      <c r="K66" s="5">
        <v>0</v>
      </c>
      <c r="L66" s="4">
        <v>5050.04</v>
      </c>
      <c r="M66" t="s">
        <v>42</v>
      </c>
      <c r="N66" t="s">
        <v>60</v>
      </c>
      <c r="O66">
        <f>IF(TablaVentas[[#This Row],[Precio_unitario]]="","PENDIENTE",TablaVentas[[#This Row],[Unidades]]*TablaVentas[[#This Row],[Precio_unitario]]*(1-TablaVentas[[#This Row],[Descuento_pct]]))</f>
        <v>12674.68</v>
      </c>
      <c r="P66">
        <f>IF(TablaVentas[[#This Row],[Costo_unitario]]="","PENDIENTE",TablaVentas[[#This Row],[Unidades]]*TablaVentas[[#This Row],[Costo_unitario]])</f>
        <v>10100.08</v>
      </c>
      <c r="Q66">
        <f>IF(OR(TablaVentas[[#This Row],[Ingreso_neto]]="PENDIENTE",TablaVentas[[#This Row],[Costo_total]]="PENDIENTE"),"PENDIENTE",TablaVentas[[#This Row],[Ingreso_neto]]-TablaVentas[[#This Row],[Costo_total]])</f>
        <v>2574.6000000000004</v>
      </c>
    </row>
    <row r="67" spans="1:17">
      <c r="A67" t="s">
        <v>161</v>
      </c>
      <c r="B67">
        <v>3</v>
      </c>
      <c r="C67" s="3">
        <v>46176</v>
      </c>
      <c r="D67" t="s">
        <v>162</v>
      </c>
      <c r="E67" t="s">
        <v>114</v>
      </c>
      <c r="F67" t="s">
        <v>77</v>
      </c>
      <c r="G67" t="s">
        <v>57</v>
      </c>
      <c r="H67" t="s">
        <v>102</v>
      </c>
      <c r="I67">
        <v>1</v>
      </c>
      <c r="J67" s="4">
        <v>13085.35</v>
      </c>
      <c r="K67" s="5">
        <v>0</v>
      </c>
      <c r="L67" s="4">
        <v>8239.48</v>
      </c>
      <c r="M67" t="s">
        <v>42</v>
      </c>
      <c r="N67" t="s">
        <v>43</v>
      </c>
      <c r="O67">
        <f>IF(TablaVentas[[#This Row],[Precio_unitario]]="","PENDIENTE",TablaVentas[[#This Row],[Unidades]]*TablaVentas[[#This Row],[Precio_unitario]]*(1-TablaVentas[[#This Row],[Descuento_pct]]))</f>
        <v>13085.35</v>
      </c>
      <c r="P67">
        <f>IF(TablaVentas[[#This Row],[Costo_unitario]]="","PENDIENTE",TablaVentas[[#This Row],[Unidades]]*TablaVentas[[#This Row],[Costo_unitario]])</f>
        <v>8239.48</v>
      </c>
      <c r="Q67">
        <f>IF(OR(TablaVentas[[#This Row],[Ingreso_neto]]="PENDIENTE",TablaVentas[[#This Row],[Costo_total]]="PENDIENTE"),"PENDIENTE",TablaVentas[[#This Row],[Ingreso_neto]]-TablaVentas[[#This Row],[Costo_total]])</f>
        <v>4845.8700000000008</v>
      </c>
    </row>
    <row r="68" spans="1:17">
      <c r="A68" t="s">
        <v>165</v>
      </c>
      <c r="B68">
        <v>1</v>
      </c>
      <c r="C68" s="3">
        <v>46226</v>
      </c>
      <c r="D68" t="s">
        <v>166</v>
      </c>
      <c r="E68" t="s">
        <v>167</v>
      </c>
      <c r="F68" t="s">
        <v>77</v>
      </c>
      <c r="G68" t="s">
        <v>40</v>
      </c>
      <c r="H68" t="s">
        <v>51</v>
      </c>
      <c r="I68">
        <v>2</v>
      </c>
      <c r="J68" s="4">
        <v>17970.37</v>
      </c>
      <c r="K68" s="5">
        <v>0.2</v>
      </c>
      <c r="L68" s="4">
        <v>8704.4</v>
      </c>
      <c r="M68" t="s">
        <v>42</v>
      </c>
      <c r="N68" t="s">
        <v>52</v>
      </c>
      <c r="O68">
        <f>IF(TablaVentas[[#This Row],[Precio_unitario]]="","PENDIENTE",TablaVentas[[#This Row],[Unidades]]*TablaVentas[[#This Row],[Precio_unitario]]*(1-TablaVentas[[#This Row],[Descuento_pct]]))</f>
        <v>28752.592000000001</v>
      </c>
      <c r="P68">
        <f>IF(TablaVentas[[#This Row],[Costo_unitario]]="","PENDIENTE",TablaVentas[[#This Row],[Unidades]]*TablaVentas[[#This Row],[Costo_unitario]])</f>
        <v>17408.8</v>
      </c>
      <c r="Q68">
        <f>IF(OR(TablaVentas[[#This Row],[Ingreso_neto]]="PENDIENTE",TablaVentas[[#This Row],[Costo_total]]="PENDIENTE"),"PENDIENTE",TablaVentas[[#This Row],[Ingreso_neto]]-TablaVentas[[#This Row],[Costo_total]])</f>
        <v>11343.792000000001</v>
      </c>
    </row>
    <row r="69" spans="1:17">
      <c r="A69" t="s">
        <v>165</v>
      </c>
      <c r="B69">
        <v>2</v>
      </c>
      <c r="C69" s="3">
        <v>46226</v>
      </c>
      <c r="D69" t="s">
        <v>166</v>
      </c>
      <c r="E69" t="s">
        <v>76</v>
      </c>
      <c r="F69" t="s">
        <v>77</v>
      </c>
      <c r="G69" t="s">
        <v>40</v>
      </c>
      <c r="H69" t="s">
        <v>51</v>
      </c>
      <c r="I69">
        <v>1</v>
      </c>
      <c r="J69" s="4">
        <v>13782.75</v>
      </c>
      <c r="K69" s="5">
        <v>0</v>
      </c>
      <c r="L69" s="4">
        <v>7748.44</v>
      </c>
      <c r="M69" t="s">
        <v>62</v>
      </c>
      <c r="N69" t="s">
        <v>52</v>
      </c>
      <c r="O69">
        <f>IF(TablaVentas[[#This Row],[Precio_unitario]]="","PENDIENTE",TablaVentas[[#This Row],[Unidades]]*TablaVentas[[#This Row],[Precio_unitario]]*(1-TablaVentas[[#This Row],[Descuento_pct]]))</f>
        <v>13782.75</v>
      </c>
      <c r="P69">
        <f>IF(TablaVentas[[#This Row],[Costo_unitario]]="","PENDIENTE",TablaVentas[[#This Row],[Unidades]]*TablaVentas[[#This Row],[Costo_unitario]])</f>
        <v>7748.44</v>
      </c>
      <c r="Q69">
        <f>IF(OR(TablaVentas[[#This Row],[Ingreso_neto]]="PENDIENTE",TablaVentas[[#This Row],[Costo_total]]="PENDIENTE"),"PENDIENTE",TablaVentas[[#This Row],[Ingreso_neto]]-TablaVentas[[#This Row],[Costo_total]])</f>
        <v>6034.31</v>
      </c>
    </row>
    <row r="70" spans="1:17">
      <c r="A70" t="s">
        <v>168</v>
      </c>
      <c r="B70">
        <v>1</v>
      </c>
      <c r="C70" s="3">
        <v>46029</v>
      </c>
      <c r="D70" t="s">
        <v>169</v>
      </c>
      <c r="E70" t="s">
        <v>110</v>
      </c>
      <c r="F70" t="s">
        <v>66</v>
      </c>
      <c r="G70" t="s">
        <v>40</v>
      </c>
      <c r="H70" t="s">
        <v>67</v>
      </c>
      <c r="I70">
        <v>3</v>
      </c>
      <c r="J70" s="4">
        <v>5249.71</v>
      </c>
      <c r="K70" s="5">
        <v>0.1</v>
      </c>
      <c r="L70" s="4">
        <v>4205.6899999999996</v>
      </c>
      <c r="M70" t="s">
        <v>42</v>
      </c>
      <c r="N70" t="s">
        <v>60</v>
      </c>
      <c r="O70">
        <f>IF(TablaVentas[[#This Row],[Precio_unitario]]="","PENDIENTE",TablaVentas[[#This Row],[Unidades]]*TablaVentas[[#This Row],[Precio_unitario]]*(1-TablaVentas[[#This Row],[Descuento_pct]]))</f>
        <v>14174.217000000001</v>
      </c>
      <c r="P70">
        <f>IF(TablaVentas[[#This Row],[Costo_unitario]]="","PENDIENTE",TablaVentas[[#This Row],[Unidades]]*TablaVentas[[#This Row],[Costo_unitario]])</f>
        <v>12617.07</v>
      </c>
      <c r="Q70">
        <f>IF(OR(TablaVentas[[#This Row],[Ingreso_neto]]="PENDIENTE",TablaVentas[[#This Row],[Costo_total]]="PENDIENTE"),"PENDIENTE",TablaVentas[[#This Row],[Ingreso_neto]]-TablaVentas[[#This Row],[Costo_total]])</f>
        <v>1557.1470000000008</v>
      </c>
    </row>
    <row r="71" spans="1:17">
      <c r="A71" t="s">
        <v>168</v>
      </c>
      <c r="B71">
        <v>2</v>
      </c>
      <c r="C71" s="3">
        <v>46029</v>
      </c>
      <c r="D71" t="s">
        <v>169</v>
      </c>
      <c r="E71" t="s">
        <v>167</v>
      </c>
      <c r="F71" t="s">
        <v>66</v>
      </c>
      <c r="G71" t="s">
        <v>40</v>
      </c>
      <c r="H71" t="s">
        <v>67</v>
      </c>
      <c r="I71">
        <v>1</v>
      </c>
      <c r="J71" s="4">
        <v>16256.09</v>
      </c>
      <c r="K71" s="5">
        <v>0</v>
      </c>
      <c r="L71" s="4">
        <v>8704.4</v>
      </c>
      <c r="M71" t="s">
        <v>42</v>
      </c>
      <c r="N71" t="s">
        <v>60</v>
      </c>
      <c r="O71">
        <f>IF(TablaVentas[[#This Row],[Precio_unitario]]="","PENDIENTE",TablaVentas[[#This Row],[Unidades]]*TablaVentas[[#This Row],[Precio_unitario]]*(1-TablaVentas[[#This Row],[Descuento_pct]]))</f>
        <v>16256.09</v>
      </c>
      <c r="P71">
        <f>IF(TablaVentas[[#This Row],[Costo_unitario]]="","PENDIENTE",TablaVentas[[#This Row],[Unidades]]*TablaVentas[[#This Row],[Costo_unitario]])</f>
        <v>8704.4</v>
      </c>
      <c r="Q71">
        <f>IF(OR(TablaVentas[[#This Row],[Ingreso_neto]]="PENDIENTE",TablaVentas[[#This Row],[Costo_total]]="PENDIENTE"),"PENDIENTE",TablaVentas[[#This Row],[Ingreso_neto]]-TablaVentas[[#This Row],[Costo_total]])</f>
        <v>7551.6900000000005</v>
      </c>
    </row>
    <row r="72" spans="1:17">
      <c r="A72" t="s">
        <v>170</v>
      </c>
      <c r="B72">
        <v>1</v>
      </c>
      <c r="C72" s="3">
        <v>46121</v>
      </c>
      <c r="D72" t="s">
        <v>171</v>
      </c>
      <c r="E72" t="s">
        <v>65</v>
      </c>
      <c r="F72" t="s">
        <v>39</v>
      </c>
      <c r="G72" t="s">
        <v>57</v>
      </c>
      <c r="H72" t="s">
        <v>41</v>
      </c>
      <c r="I72">
        <v>2</v>
      </c>
      <c r="J72" s="4">
        <v>10361.370000000001</v>
      </c>
      <c r="K72" s="5">
        <v>0</v>
      </c>
      <c r="L72" s="4">
        <v>7328.02</v>
      </c>
      <c r="M72" t="s">
        <v>42</v>
      </c>
      <c r="N72" t="s">
        <v>45</v>
      </c>
      <c r="O72">
        <f>IF(TablaVentas[[#This Row],[Precio_unitario]]="","PENDIENTE",TablaVentas[[#This Row],[Unidades]]*TablaVentas[[#This Row],[Precio_unitario]]*(1-TablaVentas[[#This Row],[Descuento_pct]]))</f>
        <v>20722.740000000002</v>
      </c>
      <c r="P72">
        <f>IF(TablaVentas[[#This Row],[Costo_unitario]]="","PENDIENTE",TablaVentas[[#This Row],[Unidades]]*TablaVentas[[#This Row],[Costo_unitario]])</f>
        <v>14656.04</v>
      </c>
      <c r="Q72">
        <f>IF(OR(TablaVentas[[#This Row],[Ingreso_neto]]="PENDIENTE",TablaVentas[[#This Row],[Costo_total]]="PENDIENTE"),"PENDIENTE",TablaVentas[[#This Row],[Ingreso_neto]]-TablaVentas[[#This Row],[Costo_total]])</f>
        <v>6066.7000000000007</v>
      </c>
    </row>
    <row r="73" spans="1:17">
      <c r="A73" t="s">
        <v>170</v>
      </c>
      <c r="B73">
        <v>2</v>
      </c>
      <c r="C73" s="3">
        <v>46121</v>
      </c>
      <c r="D73" t="s">
        <v>171</v>
      </c>
      <c r="E73" t="s">
        <v>172</v>
      </c>
      <c r="F73" t="s">
        <v>39</v>
      </c>
      <c r="G73" t="s">
        <v>57</v>
      </c>
      <c r="H73" t="s">
        <v>41</v>
      </c>
      <c r="I73">
        <v>4</v>
      </c>
      <c r="J73" s="4">
        <v>15410.93</v>
      </c>
      <c r="K73" s="5">
        <v>0.05</v>
      </c>
      <c r="L73" s="4">
        <v>10830.17</v>
      </c>
      <c r="M73" t="s">
        <v>116</v>
      </c>
      <c r="N73" t="s">
        <v>52</v>
      </c>
      <c r="O73">
        <f>IF(TablaVentas[[#This Row],[Precio_unitario]]="","PENDIENTE",TablaVentas[[#This Row],[Unidades]]*TablaVentas[[#This Row],[Precio_unitario]]*(1-TablaVentas[[#This Row],[Descuento_pct]]))</f>
        <v>58561.534</v>
      </c>
      <c r="P73">
        <f>IF(TablaVentas[[#This Row],[Costo_unitario]]="","PENDIENTE",TablaVentas[[#This Row],[Unidades]]*TablaVentas[[#This Row],[Costo_unitario]])</f>
        <v>43320.68</v>
      </c>
      <c r="Q73">
        <f>IF(OR(TablaVentas[[#This Row],[Ingreso_neto]]="PENDIENTE",TablaVentas[[#This Row],[Costo_total]]="PENDIENTE"),"PENDIENTE",TablaVentas[[#This Row],[Ingreso_neto]]-TablaVentas[[#This Row],[Costo_total]])</f>
        <v>15240.853999999999</v>
      </c>
    </row>
    <row r="74" spans="1:17">
      <c r="A74" t="s">
        <v>173</v>
      </c>
      <c r="B74">
        <v>1</v>
      </c>
      <c r="C74" s="3">
        <v>46225</v>
      </c>
      <c r="D74" t="s">
        <v>174</v>
      </c>
      <c r="E74" t="s">
        <v>175</v>
      </c>
      <c r="F74" t="s">
        <v>39</v>
      </c>
      <c r="G74" t="s">
        <v>40</v>
      </c>
      <c r="H74" t="s">
        <v>41</v>
      </c>
      <c r="I74">
        <v>12</v>
      </c>
      <c r="J74" s="4">
        <v>2729.89</v>
      </c>
      <c r="K74" s="5">
        <v>0</v>
      </c>
      <c r="L74" s="4">
        <v>1857.39</v>
      </c>
      <c r="M74" t="s">
        <v>42</v>
      </c>
      <c r="N74" t="s">
        <v>43</v>
      </c>
      <c r="O74">
        <f>IF(TablaVentas[[#This Row],[Precio_unitario]]="","PENDIENTE",TablaVentas[[#This Row],[Unidades]]*TablaVentas[[#This Row],[Precio_unitario]]*(1-TablaVentas[[#This Row],[Descuento_pct]]))</f>
        <v>32758.68</v>
      </c>
      <c r="P74">
        <f>IF(TablaVentas[[#This Row],[Costo_unitario]]="","PENDIENTE",TablaVentas[[#This Row],[Unidades]]*TablaVentas[[#This Row],[Costo_unitario]])</f>
        <v>22288.68</v>
      </c>
      <c r="Q74">
        <f>IF(OR(TablaVentas[[#This Row],[Ingreso_neto]]="PENDIENTE",TablaVentas[[#This Row],[Costo_total]]="PENDIENTE"),"PENDIENTE",TablaVentas[[#This Row],[Ingreso_neto]]-TablaVentas[[#This Row],[Costo_total]])</f>
        <v>10470</v>
      </c>
    </row>
    <row r="75" spans="1:17">
      <c r="A75" t="s">
        <v>173</v>
      </c>
      <c r="B75">
        <v>2</v>
      </c>
      <c r="C75" s="3">
        <v>46225</v>
      </c>
      <c r="D75" t="s">
        <v>174</v>
      </c>
      <c r="E75" t="s">
        <v>59</v>
      </c>
      <c r="F75" t="s">
        <v>39</v>
      </c>
      <c r="G75" t="s">
        <v>40</v>
      </c>
      <c r="H75" t="s">
        <v>41</v>
      </c>
      <c r="I75">
        <v>1</v>
      </c>
      <c r="J75" s="4">
        <v>13963.08</v>
      </c>
      <c r="K75" s="5">
        <v>0</v>
      </c>
      <c r="L75" s="4">
        <v>10170.290000000001</v>
      </c>
      <c r="M75" t="s">
        <v>42</v>
      </c>
      <c r="N75" t="s">
        <v>60</v>
      </c>
      <c r="O75">
        <f>IF(TablaVentas[[#This Row],[Precio_unitario]]="","PENDIENTE",TablaVentas[[#This Row],[Unidades]]*TablaVentas[[#This Row],[Precio_unitario]]*(1-TablaVentas[[#This Row],[Descuento_pct]]))</f>
        <v>13963.08</v>
      </c>
      <c r="P75">
        <f>IF(TablaVentas[[#This Row],[Costo_unitario]]="","PENDIENTE",TablaVentas[[#This Row],[Unidades]]*TablaVentas[[#This Row],[Costo_unitario]])</f>
        <v>10170.290000000001</v>
      </c>
      <c r="Q75">
        <f>IF(OR(TablaVentas[[#This Row],[Ingreso_neto]]="PENDIENTE",TablaVentas[[#This Row],[Costo_total]]="PENDIENTE"),"PENDIENTE",TablaVentas[[#This Row],[Ingreso_neto]]-TablaVentas[[#This Row],[Costo_total]])</f>
        <v>3792.7899999999991</v>
      </c>
    </row>
    <row r="76" spans="1:17">
      <c r="A76" t="s">
        <v>173</v>
      </c>
      <c r="B76">
        <v>3</v>
      </c>
      <c r="C76" s="3">
        <v>46225</v>
      </c>
      <c r="D76" t="s">
        <v>174</v>
      </c>
      <c r="E76" t="s">
        <v>160</v>
      </c>
      <c r="F76" t="s">
        <v>39</v>
      </c>
      <c r="G76" t="s">
        <v>40</v>
      </c>
      <c r="H76" t="s">
        <v>41</v>
      </c>
      <c r="I76">
        <v>2</v>
      </c>
      <c r="J76" s="4">
        <v>7973.6</v>
      </c>
      <c r="K76" s="5">
        <v>0</v>
      </c>
      <c r="L76" s="4">
        <v>4082.15</v>
      </c>
      <c r="M76" t="s">
        <v>42</v>
      </c>
      <c r="N76" t="s">
        <v>43</v>
      </c>
      <c r="O76">
        <f>IF(TablaVentas[[#This Row],[Precio_unitario]]="","PENDIENTE",TablaVentas[[#This Row],[Unidades]]*TablaVentas[[#This Row],[Precio_unitario]]*(1-TablaVentas[[#This Row],[Descuento_pct]]))</f>
        <v>15947.2</v>
      </c>
      <c r="P76">
        <f>IF(TablaVentas[[#This Row],[Costo_unitario]]="","PENDIENTE",TablaVentas[[#This Row],[Unidades]]*TablaVentas[[#This Row],[Costo_unitario]])</f>
        <v>8164.3</v>
      </c>
      <c r="Q76">
        <f>IF(OR(TablaVentas[[#This Row],[Ingreso_neto]]="PENDIENTE",TablaVentas[[#This Row],[Costo_total]]="PENDIENTE"),"PENDIENTE",TablaVentas[[#This Row],[Ingreso_neto]]-TablaVentas[[#This Row],[Costo_total]])</f>
        <v>7782.9000000000005</v>
      </c>
    </row>
    <row r="77" spans="1:17">
      <c r="A77" t="s">
        <v>173</v>
      </c>
      <c r="B77">
        <v>4</v>
      </c>
      <c r="C77" s="3">
        <v>46225</v>
      </c>
      <c r="D77" t="s">
        <v>174</v>
      </c>
      <c r="E77" t="s">
        <v>152</v>
      </c>
      <c r="F77" t="s">
        <v>39</v>
      </c>
      <c r="G77" t="s">
        <v>40</v>
      </c>
      <c r="H77" t="s">
        <v>41</v>
      </c>
      <c r="I77">
        <v>1</v>
      </c>
      <c r="J77" s="4">
        <v>2878.24</v>
      </c>
      <c r="K77" s="5">
        <v>0.1</v>
      </c>
      <c r="L77" s="4">
        <v>1962.3</v>
      </c>
      <c r="M77" t="s">
        <v>42</v>
      </c>
      <c r="N77" t="s">
        <v>52</v>
      </c>
      <c r="O77">
        <f>IF(TablaVentas[[#This Row],[Precio_unitario]]="","PENDIENTE",TablaVentas[[#This Row],[Unidades]]*TablaVentas[[#This Row],[Precio_unitario]]*(1-TablaVentas[[#This Row],[Descuento_pct]]))</f>
        <v>2590.4159999999997</v>
      </c>
      <c r="P77">
        <f>IF(TablaVentas[[#This Row],[Costo_unitario]]="","PENDIENTE",TablaVentas[[#This Row],[Unidades]]*TablaVentas[[#This Row],[Costo_unitario]])</f>
        <v>1962.3</v>
      </c>
      <c r="Q77">
        <f>IF(OR(TablaVentas[[#This Row],[Ingreso_neto]]="PENDIENTE",TablaVentas[[#This Row],[Costo_total]]="PENDIENTE"),"PENDIENTE",TablaVentas[[#This Row],[Ingreso_neto]]-TablaVentas[[#This Row],[Costo_total]])</f>
        <v>628.11599999999976</v>
      </c>
    </row>
    <row r="78" spans="1:17">
      <c r="A78" t="s">
        <v>176</v>
      </c>
      <c r="B78">
        <v>1</v>
      </c>
      <c r="C78" s="3">
        <v>46292</v>
      </c>
      <c r="D78" t="s">
        <v>177</v>
      </c>
      <c r="E78" t="s">
        <v>44</v>
      </c>
      <c r="F78" t="s">
        <v>56</v>
      </c>
      <c r="G78" t="s">
        <v>50</v>
      </c>
      <c r="H78" t="s">
        <v>51</v>
      </c>
      <c r="I78">
        <v>1</v>
      </c>
      <c r="J78" s="4">
        <v>14573.57</v>
      </c>
      <c r="K78" s="5">
        <v>0.15</v>
      </c>
      <c r="L78" s="4">
        <v>8980.68</v>
      </c>
      <c r="M78" t="s">
        <v>42</v>
      </c>
      <c r="N78" t="s">
        <v>52</v>
      </c>
      <c r="O78">
        <f>IF(TablaVentas[[#This Row],[Precio_unitario]]="","PENDIENTE",TablaVentas[[#This Row],[Unidades]]*TablaVentas[[#This Row],[Precio_unitario]]*(1-TablaVentas[[#This Row],[Descuento_pct]]))</f>
        <v>12387.5345</v>
      </c>
      <c r="P78">
        <f>IF(TablaVentas[[#This Row],[Costo_unitario]]="","PENDIENTE",TablaVentas[[#This Row],[Unidades]]*TablaVentas[[#This Row],[Costo_unitario]])</f>
        <v>8980.68</v>
      </c>
      <c r="Q78">
        <f>IF(OR(TablaVentas[[#This Row],[Ingreso_neto]]="PENDIENTE",TablaVentas[[#This Row],[Costo_total]]="PENDIENTE"),"PENDIENTE",TablaVentas[[#This Row],[Ingreso_neto]]-TablaVentas[[#This Row],[Costo_total]])</f>
        <v>3406.8544999999995</v>
      </c>
    </row>
    <row r="79" spans="1:17">
      <c r="A79" t="s">
        <v>178</v>
      </c>
      <c r="B79">
        <v>1</v>
      </c>
      <c r="C79" s="3">
        <v>46230</v>
      </c>
      <c r="D79" t="s">
        <v>179</v>
      </c>
      <c r="E79" t="s">
        <v>180</v>
      </c>
      <c r="F79" t="s">
        <v>77</v>
      </c>
      <c r="G79" t="s">
        <v>40</v>
      </c>
      <c r="H79" t="s">
        <v>82</v>
      </c>
      <c r="I79">
        <v>4</v>
      </c>
      <c r="J79" s="4">
        <v>6572.46</v>
      </c>
      <c r="K79" s="5">
        <v>0.15</v>
      </c>
      <c r="L79" s="4">
        <v>3824.92</v>
      </c>
      <c r="M79" t="s">
        <v>42</v>
      </c>
      <c r="N79" t="s">
        <v>45</v>
      </c>
      <c r="O79">
        <f>IF(TablaVentas[[#This Row],[Precio_unitario]]="","PENDIENTE",TablaVentas[[#This Row],[Unidades]]*TablaVentas[[#This Row],[Precio_unitario]]*(1-TablaVentas[[#This Row],[Descuento_pct]]))</f>
        <v>22346.363999999998</v>
      </c>
      <c r="P79">
        <f>IF(TablaVentas[[#This Row],[Costo_unitario]]="","PENDIENTE",TablaVentas[[#This Row],[Unidades]]*TablaVentas[[#This Row],[Costo_unitario]])</f>
        <v>15299.68</v>
      </c>
      <c r="Q79">
        <f>IF(OR(TablaVentas[[#This Row],[Ingreso_neto]]="PENDIENTE",TablaVentas[[#This Row],[Costo_total]]="PENDIENTE"),"PENDIENTE",TablaVentas[[#This Row],[Ingreso_neto]]-TablaVentas[[#This Row],[Costo_total]])</f>
        <v>7046.6839999999975</v>
      </c>
    </row>
    <row r="80" spans="1:17">
      <c r="A80" t="s">
        <v>178</v>
      </c>
      <c r="B80">
        <v>2</v>
      </c>
      <c r="C80" s="3">
        <v>46230</v>
      </c>
      <c r="D80" t="s">
        <v>179</v>
      </c>
      <c r="E80" t="s">
        <v>128</v>
      </c>
      <c r="F80" t="s">
        <v>77</v>
      </c>
      <c r="G80" t="s">
        <v>40</v>
      </c>
      <c r="H80" t="s">
        <v>82</v>
      </c>
      <c r="I80">
        <v>5</v>
      </c>
      <c r="J80" s="4">
        <v>1698.11</v>
      </c>
      <c r="K80" s="5">
        <v>0</v>
      </c>
      <c r="L80" s="4">
        <v>900.08</v>
      </c>
      <c r="M80" t="s">
        <v>42</v>
      </c>
      <c r="N80" t="s">
        <v>60</v>
      </c>
      <c r="O80">
        <f>IF(TablaVentas[[#This Row],[Precio_unitario]]="","PENDIENTE",TablaVentas[[#This Row],[Unidades]]*TablaVentas[[#This Row],[Precio_unitario]]*(1-TablaVentas[[#This Row],[Descuento_pct]]))</f>
        <v>8490.5499999999993</v>
      </c>
      <c r="P80">
        <f>IF(TablaVentas[[#This Row],[Costo_unitario]]="","PENDIENTE",TablaVentas[[#This Row],[Unidades]]*TablaVentas[[#This Row],[Costo_unitario]])</f>
        <v>4500.4000000000005</v>
      </c>
      <c r="Q80">
        <f>IF(OR(TablaVentas[[#This Row],[Ingreso_neto]]="PENDIENTE",TablaVentas[[#This Row],[Costo_total]]="PENDIENTE"),"PENDIENTE",TablaVentas[[#This Row],[Ingreso_neto]]-TablaVentas[[#This Row],[Costo_total]])</f>
        <v>3990.1499999999987</v>
      </c>
    </row>
    <row r="81" spans="1:17">
      <c r="A81" t="s">
        <v>181</v>
      </c>
      <c r="B81">
        <v>1</v>
      </c>
      <c r="C81" s="3">
        <v>46290</v>
      </c>
      <c r="D81" t="s">
        <v>182</v>
      </c>
      <c r="E81" t="s">
        <v>183</v>
      </c>
      <c r="F81" t="s">
        <v>39</v>
      </c>
      <c r="G81" t="s">
        <v>50</v>
      </c>
      <c r="H81" t="s">
        <v>184</v>
      </c>
      <c r="I81">
        <v>1</v>
      </c>
      <c r="J81" s="4">
        <v>5162.2299999999996</v>
      </c>
      <c r="K81" s="5">
        <v>0</v>
      </c>
      <c r="L81" s="4">
        <v>4325.7299999999996</v>
      </c>
      <c r="M81" t="s">
        <v>42</v>
      </c>
      <c r="N81" t="s">
        <v>43</v>
      </c>
      <c r="O81">
        <f>IF(TablaVentas[[#This Row],[Precio_unitario]]="","PENDIENTE",TablaVentas[[#This Row],[Unidades]]*TablaVentas[[#This Row],[Precio_unitario]]*(1-TablaVentas[[#This Row],[Descuento_pct]]))</f>
        <v>5162.2299999999996</v>
      </c>
      <c r="P81">
        <f>IF(TablaVentas[[#This Row],[Costo_unitario]]="","PENDIENTE",TablaVentas[[#This Row],[Unidades]]*TablaVentas[[#This Row],[Costo_unitario]])</f>
        <v>4325.7299999999996</v>
      </c>
      <c r="Q81">
        <f>IF(OR(TablaVentas[[#This Row],[Ingreso_neto]]="PENDIENTE",TablaVentas[[#This Row],[Costo_total]]="PENDIENTE"),"PENDIENTE",TablaVentas[[#This Row],[Ingreso_neto]]-TablaVentas[[#This Row],[Costo_total]])</f>
        <v>836.5</v>
      </c>
    </row>
    <row r="82" spans="1:17">
      <c r="A82" t="s">
        <v>181</v>
      </c>
      <c r="B82">
        <v>2</v>
      </c>
      <c r="C82" s="3">
        <v>46290</v>
      </c>
      <c r="D82" t="s">
        <v>182</v>
      </c>
      <c r="E82" t="s">
        <v>185</v>
      </c>
      <c r="F82" t="s">
        <v>39</v>
      </c>
      <c r="G82" t="s">
        <v>50</v>
      </c>
      <c r="H82" t="s">
        <v>184</v>
      </c>
      <c r="I82">
        <v>3</v>
      </c>
      <c r="J82" s="4">
        <v>17094.63</v>
      </c>
      <c r="K82" s="5">
        <v>0.2</v>
      </c>
      <c r="L82" s="4">
        <v>11904.09</v>
      </c>
      <c r="M82" t="s">
        <v>42</v>
      </c>
      <c r="N82" t="s">
        <v>60</v>
      </c>
      <c r="O82">
        <f>IF(TablaVentas[[#This Row],[Precio_unitario]]="","PENDIENTE",TablaVentas[[#This Row],[Unidades]]*TablaVentas[[#This Row],[Precio_unitario]]*(1-TablaVentas[[#This Row],[Descuento_pct]]))</f>
        <v>41027.112000000001</v>
      </c>
      <c r="P82">
        <f>IF(TablaVentas[[#This Row],[Costo_unitario]]="","PENDIENTE",TablaVentas[[#This Row],[Unidades]]*TablaVentas[[#This Row],[Costo_unitario]])</f>
        <v>35712.270000000004</v>
      </c>
      <c r="Q82">
        <f>IF(OR(TablaVentas[[#This Row],[Ingreso_neto]]="PENDIENTE",TablaVentas[[#This Row],[Costo_total]]="PENDIENTE"),"PENDIENTE",TablaVentas[[#This Row],[Ingreso_neto]]-TablaVentas[[#This Row],[Costo_total]])</f>
        <v>5314.8419999999969</v>
      </c>
    </row>
    <row r="83" spans="1:17">
      <c r="A83" t="s">
        <v>186</v>
      </c>
      <c r="B83">
        <v>1</v>
      </c>
      <c r="C83" s="3">
        <v>46233</v>
      </c>
      <c r="D83" t="s">
        <v>187</v>
      </c>
      <c r="E83" t="s">
        <v>89</v>
      </c>
      <c r="F83" t="s">
        <v>77</v>
      </c>
      <c r="G83" t="s">
        <v>57</v>
      </c>
      <c r="H83" t="s">
        <v>73</v>
      </c>
      <c r="I83">
        <v>8</v>
      </c>
      <c r="J83" s="4">
        <v>12787.71</v>
      </c>
      <c r="K83" s="5">
        <v>0</v>
      </c>
      <c r="L83" s="4">
        <v>9118.07</v>
      </c>
      <c r="M83" t="s">
        <v>42</v>
      </c>
      <c r="N83" t="s">
        <v>43</v>
      </c>
      <c r="O83">
        <f>IF(TablaVentas[[#This Row],[Precio_unitario]]="","PENDIENTE",TablaVentas[[#This Row],[Unidades]]*TablaVentas[[#This Row],[Precio_unitario]]*(1-TablaVentas[[#This Row],[Descuento_pct]]))</f>
        <v>102301.68</v>
      </c>
      <c r="P83">
        <f>IF(TablaVentas[[#This Row],[Costo_unitario]]="","PENDIENTE",TablaVentas[[#This Row],[Unidades]]*TablaVentas[[#This Row],[Costo_unitario]])</f>
        <v>72944.56</v>
      </c>
      <c r="Q83">
        <f>IF(OR(TablaVentas[[#This Row],[Ingreso_neto]]="PENDIENTE",TablaVentas[[#This Row],[Costo_total]]="PENDIENTE"),"PENDIENTE",TablaVentas[[#This Row],[Ingreso_neto]]-TablaVentas[[#This Row],[Costo_total]])</f>
        <v>29357.119999999995</v>
      </c>
    </row>
    <row r="84" spans="1:17">
      <c r="A84" t="s">
        <v>188</v>
      </c>
      <c r="B84">
        <v>1</v>
      </c>
      <c r="C84" s="3">
        <v>46201</v>
      </c>
      <c r="D84" t="s">
        <v>189</v>
      </c>
      <c r="E84" t="s">
        <v>55</v>
      </c>
      <c r="F84" t="s">
        <v>66</v>
      </c>
      <c r="G84" t="s">
        <v>50</v>
      </c>
      <c r="H84" t="s">
        <v>129</v>
      </c>
      <c r="I84">
        <v>2</v>
      </c>
      <c r="J84" s="4">
        <v>12300.57</v>
      </c>
      <c r="K84" s="5">
        <v>0.1</v>
      </c>
      <c r="L84" s="4">
        <v>6407.85</v>
      </c>
      <c r="M84" t="s">
        <v>62</v>
      </c>
      <c r="N84" t="s">
        <v>45</v>
      </c>
      <c r="O84">
        <f>IF(TablaVentas[[#This Row],[Precio_unitario]]="","PENDIENTE",TablaVentas[[#This Row],[Unidades]]*TablaVentas[[#This Row],[Precio_unitario]]*(1-TablaVentas[[#This Row],[Descuento_pct]]))</f>
        <v>22141.026000000002</v>
      </c>
      <c r="P84">
        <f>IF(TablaVentas[[#This Row],[Costo_unitario]]="","PENDIENTE",TablaVentas[[#This Row],[Unidades]]*TablaVentas[[#This Row],[Costo_unitario]])</f>
        <v>12815.7</v>
      </c>
      <c r="Q84">
        <f>IF(OR(TablaVentas[[#This Row],[Ingreso_neto]]="PENDIENTE",TablaVentas[[#This Row],[Costo_total]]="PENDIENTE"),"PENDIENTE",TablaVentas[[#This Row],[Ingreso_neto]]-TablaVentas[[#This Row],[Costo_total]])</f>
        <v>9325.3260000000009</v>
      </c>
    </row>
    <row r="85" spans="1:17">
      <c r="A85" t="s">
        <v>190</v>
      </c>
      <c r="B85">
        <v>1</v>
      </c>
      <c r="C85" s="3">
        <v>46168</v>
      </c>
      <c r="D85" t="s">
        <v>191</v>
      </c>
      <c r="E85" t="s">
        <v>119</v>
      </c>
      <c r="F85" t="s">
        <v>39</v>
      </c>
      <c r="G85" t="s">
        <v>57</v>
      </c>
      <c r="H85" t="s">
        <v>82</v>
      </c>
      <c r="I85">
        <v>3</v>
      </c>
      <c r="J85" s="4">
        <v>8173.17</v>
      </c>
      <c r="K85" s="5">
        <v>0</v>
      </c>
      <c r="L85" s="4">
        <v>6981.94</v>
      </c>
      <c r="M85" t="s">
        <v>62</v>
      </c>
      <c r="N85" t="s">
        <v>45</v>
      </c>
      <c r="O85">
        <f>IF(TablaVentas[[#This Row],[Precio_unitario]]="","PENDIENTE",TablaVentas[[#This Row],[Unidades]]*TablaVentas[[#This Row],[Precio_unitario]]*(1-TablaVentas[[#This Row],[Descuento_pct]]))</f>
        <v>24519.510000000002</v>
      </c>
      <c r="P85">
        <f>IF(TablaVentas[[#This Row],[Costo_unitario]]="","PENDIENTE",TablaVentas[[#This Row],[Unidades]]*TablaVentas[[#This Row],[Costo_unitario]])</f>
        <v>20945.82</v>
      </c>
      <c r="Q85">
        <f>IF(OR(TablaVentas[[#This Row],[Ingreso_neto]]="PENDIENTE",TablaVentas[[#This Row],[Costo_total]]="PENDIENTE"),"PENDIENTE",TablaVentas[[#This Row],[Ingreso_neto]]-TablaVentas[[#This Row],[Costo_total]])</f>
        <v>3573.6900000000023</v>
      </c>
    </row>
    <row r="86" spans="1:17">
      <c r="A86" t="s">
        <v>192</v>
      </c>
      <c r="B86">
        <v>1</v>
      </c>
      <c r="C86" s="3">
        <v>46150</v>
      </c>
      <c r="D86" t="s">
        <v>158</v>
      </c>
      <c r="E86" t="s">
        <v>134</v>
      </c>
      <c r="F86" t="s">
        <v>56</v>
      </c>
      <c r="G86" t="s">
        <v>50</v>
      </c>
      <c r="H86" t="s">
        <v>184</v>
      </c>
      <c r="I86">
        <v>1</v>
      </c>
      <c r="J86" s="4">
        <v>291.19</v>
      </c>
      <c r="K86" s="5">
        <v>0</v>
      </c>
      <c r="L86" s="4">
        <v>176.47</v>
      </c>
      <c r="M86" t="s">
        <v>42</v>
      </c>
      <c r="N86" t="s">
        <v>52</v>
      </c>
      <c r="O86">
        <f>IF(TablaVentas[[#This Row],[Precio_unitario]]="","PENDIENTE",TablaVentas[[#This Row],[Unidades]]*TablaVentas[[#This Row],[Precio_unitario]]*(1-TablaVentas[[#This Row],[Descuento_pct]]))</f>
        <v>291.19</v>
      </c>
      <c r="P86">
        <f>IF(TablaVentas[[#This Row],[Costo_unitario]]="","PENDIENTE",TablaVentas[[#This Row],[Unidades]]*TablaVentas[[#This Row],[Costo_unitario]])</f>
        <v>176.47</v>
      </c>
      <c r="Q86">
        <f>IF(OR(TablaVentas[[#This Row],[Ingreso_neto]]="PENDIENTE",TablaVentas[[#This Row],[Costo_total]]="PENDIENTE"),"PENDIENTE",TablaVentas[[#This Row],[Ingreso_neto]]-TablaVentas[[#This Row],[Costo_total]])</f>
        <v>114.72</v>
      </c>
    </row>
    <row r="87" spans="1:17">
      <c r="A87" t="s">
        <v>192</v>
      </c>
      <c r="B87">
        <v>2</v>
      </c>
      <c r="C87" s="3">
        <v>46150</v>
      </c>
      <c r="D87" t="s">
        <v>158</v>
      </c>
      <c r="E87" t="s">
        <v>193</v>
      </c>
      <c r="F87" t="s">
        <v>56</v>
      </c>
      <c r="G87" t="s">
        <v>50</v>
      </c>
      <c r="H87" t="s">
        <v>184</v>
      </c>
      <c r="I87">
        <v>2</v>
      </c>
      <c r="J87" s="4">
        <v>10956.77</v>
      </c>
      <c r="K87" s="5">
        <v>0</v>
      </c>
      <c r="L87" s="4">
        <v>5811.72</v>
      </c>
      <c r="M87" t="s">
        <v>42</v>
      </c>
      <c r="N87" t="s">
        <v>45</v>
      </c>
      <c r="O87">
        <f>IF(TablaVentas[[#This Row],[Precio_unitario]]="","PENDIENTE",TablaVentas[[#This Row],[Unidades]]*TablaVentas[[#This Row],[Precio_unitario]]*(1-TablaVentas[[#This Row],[Descuento_pct]]))</f>
        <v>21913.54</v>
      </c>
      <c r="P87">
        <f>IF(TablaVentas[[#This Row],[Costo_unitario]]="","PENDIENTE",TablaVentas[[#This Row],[Unidades]]*TablaVentas[[#This Row],[Costo_unitario]])</f>
        <v>11623.44</v>
      </c>
      <c r="Q87">
        <f>IF(OR(TablaVentas[[#This Row],[Ingreso_neto]]="PENDIENTE",TablaVentas[[#This Row],[Costo_total]]="PENDIENTE"),"PENDIENTE",TablaVentas[[#This Row],[Ingreso_neto]]-TablaVentas[[#This Row],[Costo_total]])</f>
        <v>10290.1</v>
      </c>
    </row>
    <row r="88" spans="1:17">
      <c r="A88" t="s">
        <v>194</v>
      </c>
      <c r="B88">
        <v>1</v>
      </c>
      <c r="C88" s="3">
        <v>46234</v>
      </c>
      <c r="D88" t="s">
        <v>195</v>
      </c>
      <c r="E88" t="s">
        <v>196</v>
      </c>
      <c r="F88" t="s">
        <v>56</v>
      </c>
      <c r="G88" t="s">
        <v>40</v>
      </c>
      <c r="H88" t="s">
        <v>67</v>
      </c>
      <c r="I88">
        <v>3</v>
      </c>
      <c r="J88" s="4">
        <v>809.32</v>
      </c>
      <c r="K88" s="5">
        <v>0.2</v>
      </c>
      <c r="L88" s="4">
        <v>485.16</v>
      </c>
      <c r="M88" t="s">
        <v>42</v>
      </c>
      <c r="N88" t="s">
        <v>52</v>
      </c>
      <c r="O88">
        <f>IF(TablaVentas[[#This Row],[Precio_unitario]]="","PENDIENTE",TablaVentas[[#This Row],[Unidades]]*TablaVentas[[#This Row],[Precio_unitario]]*(1-TablaVentas[[#This Row],[Descuento_pct]]))</f>
        <v>1942.3680000000002</v>
      </c>
      <c r="P88">
        <f>IF(TablaVentas[[#This Row],[Costo_unitario]]="","PENDIENTE",TablaVentas[[#This Row],[Unidades]]*TablaVentas[[#This Row],[Costo_unitario]])</f>
        <v>1455.48</v>
      </c>
      <c r="Q88">
        <f>IF(OR(TablaVentas[[#This Row],[Ingreso_neto]]="PENDIENTE",TablaVentas[[#This Row],[Costo_total]]="PENDIENTE"),"PENDIENTE",TablaVentas[[#This Row],[Ingreso_neto]]-TablaVentas[[#This Row],[Costo_total]])</f>
        <v>486.88800000000015</v>
      </c>
    </row>
    <row r="89" spans="1:17">
      <c r="A89" t="s">
        <v>197</v>
      </c>
      <c r="B89">
        <v>1</v>
      </c>
      <c r="C89" s="3">
        <v>46089</v>
      </c>
      <c r="D89" t="s">
        <v>198</v>
      </c>
      <c r="E89" t="s">
        <v>90</v>
      </c>
      <c r="F89" t="s">
        <v>66</v>
      </c>
      <c r="G89" t="s">
        <v>57</v>
      </c>
      <c r="H89" t="s">
        <v>51</v>
      </c>
      <c r="I89">
        <v>1</v>
      </c>
      <c r="J89" s="4">
        <v>11270.83</v>
      </c>
      <c r="K89" s="5">
        <v>0</v>
      </c>
      <c r="L89" s="4">
        <v>8174.87</v>
      </c>
      <c r="M89" t="s">
        <v>42</v>
      </c>
      <c r="N89" t="s">
        <v>60</v>
      </c>
      <c r="O89">
        <f>IF(TablaVentas[[#This Row],[Precio_unitario]]="","PENDIENTE",TablaVentas[[#This Row],[Unidades]]*TablaVentas[[#This Row],[Precio_unitario]]*(1-TablaVentas[[#This Row],[Descuento_pct]]))</f>
        <v>11270.83</v>
      </c>
      <c r="P89">
        <f>IF(TablaVentas[[#This Row],[Costo_unitario]]="","PENDIENTE",TablaVentas[[#This Row],[Unidades]]*TablaVentas[[#This Row],[Costo_unitario]])</f>
        <v>8174.87</v>
      </c>
      <c r="Q89">
        <f>IF(OR(TablaVentas[[#This Row],[Ingreso_neto]]="PENDIENTE",TablaVentas[[#This Row],[Costo_total]]="PENDIENTE"),"PENDIENTE",TablaVentas[[#This Row],[Ingreso_neto]]-TablaVentas[[#This Row],[Costo_total]])</f>
        <v>3095.96</v>
      </c>
    </row>
    <row r="90" spans="1:17">
      <c r="A90" t="s">
        <v>199</v>
      </c>
      <c r="B90">
        <v>1</v>
      </c>
      <c r="C90" s="3">
        <v>46207</v>
      </c>
      <c r="D90" t="s">
        <v>200</v>
      </c>
      <c r="E90" t="s">
        <v>109</v>
      </c>
      <c r="F90" t="s">
        <v>56</v>
      </c>
      <c r="G90" t="s">
        <v>40</v>
      </c>
      <c r="H90" t="s">
        <v>58</v>
      </c>
      <c r="I90">
        <v>1</v>
      </c>
      <c r="J90" s="4">
        <v>15649.85</v>
      </c>
      <c r="K90" s="5">
        <v>0</v>
      </c>
      <c r="L90" s="4">
        <v>9880.77</v>
      </c>
      <c r="M90" t="s">
        <v>42</v>
      </c>
      <c r="N90" t="s">
        <v>43</v>
      </c>
      <c r="O90">
        <f>IF(TablaVentas[[#This Row],[Precio_unitario]]="","PENDIENTE",TablaVentas[[#This Row],[Unidades]]*TablaVentas[[#This Row],[Precio_unitario]]*(1-TablaVentas[[#This Row],[Descuento_pct]]))</f>
        <v>15649.85</v>
      </c>
      <c r="P90">
        <f>IF(TablaVentas[[#This Row],[Costo_unitario]]="","PENDIENTE",TablaVentas[[#This Row],[Unidades]]*TablaVentas[[#This Row],[Costo_unitario]])</f>
        <v>9880.77</v>
      </c>
      <c r="Q90">
        <f>IF(OR(TablaVentas[[#This Row],[Ingreso_neto]]="PENDIENTE",TablaVentas[[#This Row],[Costo_total]]="PENDIENTE"),"PENDIENTE",TablaVentas[[#This Row],[Ingreso_neto]]-TablaVentas[[#This Row],[Costo_total]])</f>
        <v>5769.08</v>
      </c>
    </row>
    <row r="91" spans="1:17">
      <c r="A91" t="s">
        <v>201</v>
      </c>
      <c r="B91">
        <v>1</v>
      </c>
      <c r="C91" s="3">
        <v>46031</v>
      </c>
      <c r="D91" t="s">
        <v>202</v>
      </c>
      <c r="E91" t="s">
        <v>203</v>
      </c>
      <c r="F91" t="s">
        <v>66</v>
      </c>
      <c r="G91" t="s">
        <v>50</v>
      </c>
      <c r="H91" t="s">
        <v>124</v>
      </c>
      <c r="I91">
        <v>2</v>
      </c>
      <c r="J91" s="4">
        <v>1752.4</v>
      </c>
      <c r="K91" s="5">
        <v>0.05</v>
      </c>
      <c r="L91" s="4">
        <v>1252.8399999999999</v>
      </c>
      <c r="M91" t="s">
        <v>42</v>
      </c>
      <c r="N91" t="s">
        <v>52</v>
      </c>
      <c r="O91">
        <f>IF(TablaVentas[[#This Row],[Precio_unitario]]="","PENDIENTE",TablaVentas[[#This Row],[Unidades]]*TablaVentas[[#This Row],[Precio_unitario]]*(1-TablaVentas[[#This Row],[Descuento_pct]]))</f>
        <v>3329.56</v>
      </c>
      <c r="P91">
        <f>IF(TablaVentas[[#This Row],[Costo_unitario]]="","PENDIENTE",TablaVentas[[#This Row],[Unidades]]*TablaVentas[[#This Row],[Costo_unitario]])</f>
        <v>2505.6799999999998</v>
      </c>
      <c r="Q91">
        <f>IF(OR(TablaVentas[[#This Row],[Ingreso_neto]]="PENDIENTE",TablaVentas[[#This Row],[Costo_total]]="PENDIENTE"),"PENDIENTE",TablaVentas[[#This Row],[Ingreso_neto]]-TablaVentas[[#This Row],[Costo_total]])</f>
        <v>823.88000000000011</v>
      </c>
    </row>
    <row r="92" spans="1:17">
      <c r="A92" t="s">
        <v>204</v>
      </c>
      <c r="B92">
        <v>1</v>
      </c>
      <c r="C92" s="3">
        <v>46123</v>
      </c>
      <c r="D92" t="s">
        <v>205</v>
      </c>
      <c r="E92" t="s">
        <v>97</v>
      </c>
      <c r="F92" t="s">
        <v>66</v>
      </c>
      <c r="G92" t="s">
        <v>57</v>
      </c>
      <c r="H92" t="s">
        <v>51</v>
      </c>
      <c r="I92">
        <v>2</v>
      </c>
      <c r="J92" s="4">
        <v>15076.21</v>
      </c>
      <c r="K92" s="5">
        <v>0.05</v>
      </c>
      <c r="L92" s="4">
        <v>11424.77</v>
      </c>
      <c r="M92" t="s">
        <v>42</v>
      </c>
      <c r="N92" t="s">
        <v>43</v>
      </c>
      <c r="O92">
        <f>IF(TablaVentas[[#This Row],[Precio_unitario]]="","PENDIENTE",TablaVentas[[#This Row],[Unidades]]*TablaVentas[[#This Row],[Precio_unitario]]*(1-TablaVentas[[#This Row],[Descuento_pct]]))</f>
        <v>28644.798999999995</v>
      </c>
      <c r="P92">
        <f>IF(TablaVentas[[#This Row],[Costo_unitario]]="","PENDIENTE",TablaVentas[[#This Row],[Unidades]]*TablaVentas[[#This Row],[Costo_unitario]])</f>
        <v>22849.54</v>
      </c>
      <c r="Q92">
        <f>IF(OR(TablaVentas[[#This Row],[Ingreso_neto]]="PENDIENTE",TablaVentas[[#This Row],[Costo_total]]="PENDIENTE"),"PENDIENTE",TablaVentas[[#This Row],[Ingreso_neto]]-TablaVentas[[#This Row],[Costo_total]])</f>
        <v>5795.2589999999946</v>
      </c>
    </row>
    <row r="93" spans="1:17">
      <c r="A93" t="s">
        <v>204</v>
      </c>
      <c r="B93">
        <v>2</v>
      </c>
      <c r="C93" s="3">
        <v>46123</v>
      </c>
      <c r="D93" t="s">
        <v>205</v>
      </c>
      <c r="E93" t="s">
        <v>206</v>
      </c>
      <c r="F93" t="s">
        <v>66</v>
      </c>
      <c r="G93" t="s">
        <v>57</v>
      </c>
      <c r="H93" t="s">
        <v>51</v>
      </c>
      <c r="I93">
        <v>3</v>
      </c>
      <c r="J93" s="4">
        <v>5470.56</v>
      </c>
      <c r="K93" s="5">
        <v>0.15</v>
      </c>
      <c r="L93" s="4">
        <v>4008.77</v>
      </c>
      <c r="M93" t="s">
        <v>42</v>
      </c>
      <c r="N93" t="s">
        <v>52</v>
      </c>
      <c r="O93">
        <f>IF(TablaVentas[[#This Row],[Precio_unitario]]="","PENDIENTE",TablaVentas[[#This Row],[Unidades]]*TablaVentas[[#This Row],[Precio_unitario]]*(1-TablaVentas[[#This Row],[Descuento_pct]]))</f>
        <v>13949.928</v>
      </c>
      <c r="P93">
        <f>IF(TablaVentas[[#This Row],[Costo_unitario]]="","PENDIENTE",TablaVentas[[#This Row],[Unidades]]*TablaVentas[[#This Row],[Costo_unitario]])</f>
        <v>12026.31</v>
      </c>
      <c r="Q93">
        <f>IF(OR(TablaVentas[[#This Row],[Ingreso_neto]]="PENDIENTE",TablaVentas[[#This Row],[Costo_total]]="PENDIENTE"),"PENDIENTE",TablaVentas[[#This Row],[Ingreso_neto]]-TablaVentas[[#This Row],[Costo_total]])</f>
        <v>1923.6180000000004</v>
      </c>
    </row>
    <row r="94" spans="1:17">
      <c r="A94" t="s">
        <v>204</v>
      </c>
      <c r="B94">
        <v>3</v>
      </c>
      <c r="C94" s="3">
        <v>46123</v>
      </c>
      <c r="D94" t="s">
        <v>205</v>
      </c>
      <c r="E94" t="s">
        <v>93</v>
      </c>
      <c r="F94" t="s">
        <v>66</v>
      </c>
      <c r="G94" t="s">
        <v>57</v>
      </c>
      <c r="H94" t="s">
        <v>51</v>
      </c>
      <c r="I94">
        <v>2</v>
      </c>
      <c r="J94" s="4">
        <v>15671.49</v>
      </c>
      <c r="K94" s="5">
        <v>0</v>
      </c>
      <c r="L94" s="4">
        <v>8788.7900000000009</v>
      </c>
      <c r="M94" t="s">
        <v>42</v>
      </c>
      <c r="N94" t="s">
        <v>60</v>
      </c>
      <c r="O94">
        <f>IF(TablaVentas[[#This Row],[Precio_unitario]]="","PENDIENTE",TablaVentas[[#This Row],[Unidades]]*TablaVentas[[#This Row],[Precio_unitario]]*(1-TablaVentas[[#This Row],[Descuento_pct]]))</f>
        <v>31342.98</v>
      </c>
      <c r="P94">
        <f>IF(TablaVentas[[#This Row],[Costo_unitario]]="","PENDIENTE",TablaVentas[[#This Row],[Unidades]]*TablaVentas[[#This Row],[Costo_unitario]])</f>
        <v>17577.580000000002</v>
      </c>
      <c r="Q94">
        <f>IF(OR(TablaVentas[[#This Row],[Ingreso_neto]]="PENDIENTE",TablaVentas[[#This Row],[Costo_total]]="PENDIENTE"),"PENDIENTE",TablaVentas[[#This Row],[Ingreso_neto]]-TablaVentas[[#This Row],[Costo_total]])</f>
        <v>13765.399999999998</v>
      </c>
    </row>
    <row r="95" spans="1:17">
      <c r="A95" t="s">
        <v>207</v>
      </c>
      <c r="B95">
        <v>1</v>
      </c>
      <c r="C95" s="3">
        <v>46223</v>
      </c>
      <c r="D95" t="s">
        <v>131</v>
      </c>
      <c r="E95" t="s">
        <v>208</v>
      </c>
      <c r="F95" t="s">
        <v>66</v>
      </c>
      <c r="G95" t="s">
        <v>50</v>
      </c>
      <c r="H95" t="s">
        <v>82</v>
      </c>
      <c r="I95">
        <v>1</v>
      </c>
      <c r="J95" s="4">
        <v>11139.62</v>
      </c>
      <c r="K95" s="5">
        <v>0.15</v>
      </c>
      <c r="L95" s="4">
        <v>5535.31</v>
      </c>
      <c r="M95" t="s">
        <v>42</v>
      </c>
      <c r="N95" t="s">
        <v>45</v>
      </c>
      <c r="O95">
        <f>IF(TablaVentas[[#This Row],[Precio_unitario]]="","PENDIENTE",TablaVentas[[#This Row],[Unidades]]*TablaVentas[[#This Row],[Precio_unitario]]*(1-TablaVentas[[#This Row],[Descuento_pct]]))</f>
        <v>9468.6769999999997</v>
      </c>
      <c r="P95">
        <f>IF(TablaVentas[[#This Row],[Costo_unitario]]="","PENDIENTE",TablaVentas[[#This Row],[Unidades]]*TablaVentas[[#This Row],[Costo_unitario]])</f>
        <v>5535.31</v>
      </c>
      <c r="Q95">
        <f>IF(OR(TablaVentas[[#This Row],[Ingreso_neto]]="PENDIENTE",TablaVentas[[#This Row],[Costo_total]]="PENDIENTE"),"PENDIENTE",TablaVentas[[#This Row],[Ingreso_neto]]-TablaVentas[[#This Row],[Costo_total]])</f>
        <v>3933.3669999999993</v>
      </c>
    </row>
    <row r="96" spans="1:17">
      <c r="A96" t="s">
        <v>209</v>
      </c>
      <c r="B96">
        <v>1</v>
      </c>
      <c r="C96" s="3">
        <v>46047</v>
      </c>
      <c r="D96" t="s">
        <v>171</v>
      </c>
      <c r="E96" t="s">
        <v>119</v>
      </c>
      <c r="F96" t="s">
        <v>39</v>
      </c>
      <c r="G96" t="s">
        <v>57</v>
      </c>
      <c r="H96" t="s">
        <v>58</v>
      </c>
      <c r="I96">
        <v>4</v>
      </c>
      <c r="J96" s="4">
        <v>9099.2800000000007</v>
      </c>
      <c r="K96" s="5">
        <v>0</v>
      </c>
      <c r="L96" s="4">
        <v>6981.94</v>
      </c>
      <c r="M96" t="s">
        <v>42</v>
      </c>
      <c r="N96" t="s">
        <v>45</v>
      </c>
      <c r="O96">
        <f>IF(TablaVentas[[#This Row],[Precio_unitario]]="","PENDIENTE",TablaVentas[[#This Row],[Unidades]]*TablaVentas[[#This Row],[Precio_unitario]]*(1-TablaVentas[[#This Row],[Descuento_pct]]))</f>
        <v>36397.120000000003</v>
      </c>
      <c r="P96">
        <f>IF(TablaVentas[[#This Row],[Costo_unitario]]="","PENDIENTE",TablaVentas[[#This Row],[Unidades]]*TablaVentas[[#This Row],[Costo_unitario]])</f>
        <v>27927.759999999998</v>
      </c>
      <c r="Q96">
        <f>IF(OR(TablaVentas[[#This Row],[Ingreso_neto]]="PENDIENTE",TablaVentas[[#This Row],[Costo_total]]="PENDIENTE"),"PENDIENTE",TablaVentas[[#This Row],[Ingreso_neto]]-TablaVentas[[#This Row],[Costo_total]])</f>
        <v>8469.3600000000042</v>
      </c>
    </row>
    <row r="97" spans="1:18">
      <c r="A97" t="s">
        <v>209</v>
      </c>
      <c r="B97">
        <v>2</v>
      </c>
      <c r="C97" s="3">
        <v>46047</v>
      </c>
      <c r="D97" t="s">
        <v>171</v>
      </c>
      <c r="E97" t="s">
        <v>185</v>
      </c>
      <c r="F97" t="s">
        <v>39</v>
      </c>
      <c r="G97" t="s">
        <v>57</v>
      </c>
      <c r="H97" t="s">
        <v>58</v>
      </c>
      <c r="I97">
        <v>5</v>
      </c>
      <c r="J97" s="4">
        <v>16082.27</v>
      </c>
      <c r="K97" s="5">
        <v>0</v>
      </c>
      <c r="L97" s="4"/>
      <c r="M97" t="s">
        <v>42</v>
      </c>
      <c r="N97" t="s">
        <v>52</v>
      </c>
      <c r="O97">
        <f>IF(TablaVentas[[#This Row],[Precio_unitario]]="","PENDIENTE",TablaVentas[[#This Row],[Unidades]]*TablaVentas[[#This Row],[Precio_unitario]]*(1-TablaVentas[[#This Row],[Descuento_pct]]))</f>
        <v>80411.350000000006</v>
      </c>
      <c r="P97" t="str">
        <f>IF(TablaVentas[[#This Row],[Costo_unitario]]="","PENDIENTE",TablaVentas[[#This Row],[Unidades]]*TablaVentas[[#This Row],[Costo_unitario]])</f>
        <v>PENDIENTE</v>
      </c>
      <c r="Q97" t="str">
        <f>IF(OR(TablaVentas[[#This Row],[Ingreso_neto]]="PENDIENTE",TablaVentas[[#This Row],[Costo_total]]="PENDIENTE"),"PENDIENTE",TablaVentas[[#This Row],[Ingreso_neto]]-TablaVentas[[#This Row],[Costo_total]])</f>
        <v>PENDIENTE</v>
      </c>
      <c r="R97" t="s">
        <v>210</v>
      </c>
    </row>
    <row r="98" spans="1:18">
      <c r="A98" t="s">
        <v>209</v>
      </c>
      <c r="B98">
        <v>3</v>
      </c>
      <c r="C98" s="3">
        <v>46047</v>
      </c>
      <c r="D98" t="s">
        <v>171</v>
      </c>
      <c r="E98" t="s">
        <v>211</v>
      </c>
      <c r="F98" t="s">
        <v>39</v>
      </c>
      <c r="G98" t="s">
        <v>57</v>
      </c>
      <c r="H98" t="s">
        <v>58</v>
      </c>
      <c r="I98">
        <v>3</v>
      </c>
      <c r="J98" s="4">
        <v>16432.97</v>
      </c>
      <c r="K98" s="5">
        <v>0</v>
      </c>
      <c r="L98" s="4">
        <v>13760.53</v>
      </c>
      <c r="M98" t="s">
        <v>42</v>
      </c>
      <c r="N98" t="s">
        <v>60</v>
      </c>
      <c r="O98">
        <f>IF(TablaVentas[[#This Row],[Precio_unitario]]="","PENDIENTE",TablaVentas[[#This Row],[Unidades]]*TablaVentas[[#This Row],[Precio_unitario]]*(1-TablaVentas[[#This Row],[Descuento_pct]]))</f>
        <v>49298.91</v>
      </c>
      <c r="P98">
        <f>IF(TablaVentas[[#This Row],[Costo_unitario]]="","PENDIENTE",TablaVentas[[#This Row],[Unidades]]*TablaVentas[[#This Row],[Costo_unitario]])</f>
        <v>41281.590000000004</v>
      </c>
      <c r="Q98">
        <f>IF(OR(TablaVentas[[#This Row],[Ingreso_neto]]="PENDIENTE",TablaVentas[[#This Row],[Costo_total]]="PENDIENTE"),"PENDIENTE",TablaVentas[[#This Row],[Ingreso_neto]]-TablaVentas[[#This Row],[Costo_total]])</f>
        <v>8017.32</v>
      </c>
    </row>
    <row r="99" spans="1:18">
      <c r="A99" t="s">
        <v>209</v>
      </c>
      <c r="B99">
        <v>4</v>
      </c>
      <c r="C99" s="3">
        <v>46047</v>
      </c>
      <c r="D99" t="s">
        <v>171</v>
      </c>
      <c r="E99" t="s">
        <v>212</v>
      </c>
      <c r="F99" t="s">
        <v>39</v>
      </c>
      <c r="G99" t="s">
        <v>57</v>
      </c>
      <c r="H99" t="s">
        <v>58</v>
      </c>
      <c r="I99">
        <v>8</v>
      </c>
      <c r="J99" s="4">
        <v>3490.11</v>
      </c>
      <c r="K99" s="5">
        <v>0</v>
      </c>
      <c r="L99" s="4">
        <v>2157.5500000000002</v>
      </c>
      <c r="M99" t="s">
        <v>42</v>
      </c>
      <c r="N99" t="s">
        <v>43</v>
      </c>
      <c r="O99">
        <f>IF(TablaVentas[[#This Row],[Precio_unitario]]="","PENDIENTE",TablaVentas[[#This Row],[Unidades]]*TablaVentas[[#This Row],[Precio_unitario]]*(1-TablaVentas[[#This Row],[Descuento_pct]]))</f>
        <v>27920.880000000001</v>
      </c>
      <c r="P99">
        <f>IF(TablaVentas[[#This Row],[Costo_unitario]]="","PENDIENTE",TablaVentas[[#This Row],[Unidades]]*TablaVentas[[#This Row],[Costo_unitario]])</f>
        <v>17260.400000000001</v>
      </c>
      <c r="Q99">
        <f>IF(OR(TablaVentas[[#This Row],[Ingreso_neto]]="PENDIENTE",TablaVentas[[#This Row],[Costo_total]]="PENDIENTE"),"PENDIENTE",TablaVentas[[#This Row],[Ingreso_neto]]-TablaVentas[[#This Row],[Costo_total]])</f>
        <v>10660.48</v>
      </c>
    </row>
    <row r="100" spans="1:18">
      <c r="A100" t="s">
        <v>213</v>
      </c>
      <c r="B100">
        <v>1</v>
      </c>
      <c r="C100" s="3">
        <v>46230</v>
      </c>
      <c r="D100" t="s">
        <v>214</v>
      </c>
      <c r="E100" t="s">
        <v>133</v>
      </c>
      <c r="F100" t="s">
        <v>56</v>
      </c>
      <c r="G100" t="s">
        <v>40</v>
      </c>
      <c r="H100" t="s">
        <v>41</v>
      </c>
      <c r="I100">
        <v>2</v>
      </c>
      <c r="J100" s="4">
        <v>8323</v>
      </c>
      <c r="K100" s="5">
        <v>0.05</v>
      </c>
      <c r="L100" s="4">
        <v>4061.34</v>
      </c>
      <c r="M100" t="s">
        <v>42</v>
      </c>
      <c r="N100" t="s">
        <v>60</v>
      </c>
      <c r="O100">
        <f>IF(TablaVentas[[#This Row],[Precio_unitario]]="","PENDIENTE",TablaVentas[[#This Row],[Unidades]]*TablaVentas[[#This Row],[Precio_unitario]]*(1-TablaVentas[[#This Row],[Descuento_pct]]))</f>
        <v>15813.699999999999</v>
      </c>
      <c r="P100">
        <f>IF(TablaVentas[[#This Row],[Costo_unitario]]="","PENDIENTE",TablaVentas[[#This Row],[Unidades]]*TablaVentas[[#This Row],[Costo_unitario]])</f>
        <v>8122.68</v>
      </c>
      <c r="Q100">
        <f>IF(OR(TablaVentas[[#This Row],[Ingreso_neto]]="PENDIENTE",TablaVentas[[#This Row],[Costo_total]]="PENDIENTE"),"PENDIENTE",TablaVentas[[#This Row],[Ingreso_neto]]-TablaVentas[[#This Row],[Costo_total]])</f>
        <v>7691.0199999999986</v>
      </c>
    </row>
    <row r="101" spans="1:18">
      <c r="A101" t="s">
        <v>215</v>
      </c>
      <c r="B101">
        <v>1</v>
      </c>
      <c r="C101" s="3">
        <v>46173</v>
      </c>
      <c r="D101" t="s">
        <v>182</v>
      </c>
      <c r="E101" t="s">
        <v>216</v>
      </c>
      <c r="F101" t="s">
        <v>56</v>
      </c>
      <c r="G101" t="s">
        <v>57</v>
      </c>
      <c r="H101" t="s">
        <v>73</v>
      </c>
      <c r="I101">
        <v>1</v>
      </c>
      <c r="J101" s="4">
        <v>15995.59</v>
      </c>
      <c r="K101" s="5">
        <v>0</v>
      </c>
      <c r="L101" s="4">
        <v>12064.41</v>
      </c>
      <c r="M101" t="s">
        <v>42</v>
      </c>
      <c r="N101" t="s">
        <v>52</v>
      </c>
      <c r="O101">
        <f>IF(TablaVentas[[#This Row],[Precio_unitario]]="","PENDIENTE",TablaVentas[[#This Row],[Unidades]]*TablaVentas[[#This Row],[Precio_unitario]]*(1-TablaVentas[[#This Row],[Descuento_pct]]))</f>
        <v>15995.59</v>
      </c>
      <c r="P101">
        <f>IF(TablaVentas[[#This Row],[Costo_unitario]]="","PENDIENTE",TablaVentas[[#This Row],[Unidades]]*TablaVentas[[#This Row],[Costo_unitario]])</f>
        <v>12064.41</v>
      </c>
      <c r="Q101">
        <f>IF(OR(TablaVentas[[#This Row],[Ingreso_neto]]="PENDIENTE",TablaVentas[[#This Row],[Costo_total]]="PENDIENTE"),"PENDIENTE",TablaVentas[[#This Row],[Ingreso_neto]]-TablaVentas[[#This Row],[Costo_total]])</f>
        <v>3931.1800000000003</v>
      </c>
    </row>
    <row r="102" spans="1:18">
      <c r="A102" t="s">
        <v>215</v>
      </c>
      <c r="B102">
        <v>2</v>
      </c>
      <c r="C102" s="3">
        <v>46173</v>
      </c>
      <c r="D102" t="s">
        <v>182</v>
      </c>
      <c r="E102" t="s">
        <v>217</v>
      </c>
      <c r="F102" t="s">
        <v>56</v>
      </c>
      <c r="G102" t="s">
        <v>57</v>
      </c>
      <c r="H102" t="s">
        <v>73</v>
      </c>
      <c r="I102">
        <v>1</v>
      </c>
      <c r="J102" s="4">
        <v>17453.07</v>
      </c>
      <c r="K102" s="5">
        <v>0</v>
      </c>
      <c r="L102" s="4">
        <v>14161.63</v>
      </c>
      <c r="M102" t="s">
        <v>42</v>
      </c>
      <c r="N102" t="s">
        <v>60</v>
      </c>
      <c r="O102">
        <f>IF(TablaVentas[[#This Row],[Precio_unitario]]="","PENDIENTE",TablaVentas[[#This Row],[Unidades]]*TablaVentas[[#This Row],[Precio_unitario]]*(1-TablaVentas[[#This Row],[Descuento_pct]]))</f>
        <v>17453.07</v>
      </c>
      <c r="P102">
        <f>IF(TablaVentas[[#This Row],[Costo_unitario]]="","PENDIENTE",TablaVentas[[#This Row],[Unidades]]*TablaVentas[[#This Row],[Costo_unitario]])</f>
        <v>14161.63</v>
      </c>
      <c r="Q102">
        <f>IF(OR(TablaVentas[[#This Row],[Ingreso_neto]]="PENDIENTE",TablaVentas[[#This Row],[Costo_total]]="PENDIENTE"),"PENDIENTE",TablaVentas[[#This Row],[Ingreso_neto]]-TablaVentas[[#This Row],[Costo_total]])</f>
        <v>3291.4400000000005</v>
      </c>
    </row>
    <row r="103" spans="1:18">
      <c r="A103" t="s">
        <v>215</v>
      </c>
      <c r="B103">
        <v>3</v>
      </c>
      <c r="C103" s="3">
        <v>46173</v>
      </c>
      <c r="D103" t="s">
        <v>182</v>
      </c>
      <c r="E103" t="s">
        <v>218</v>
      </c>
      <c r="F103" t="s">
        <v>56</v>
      </c>
      <c r="G103" t="s">
        <v>57</v>
      </c>
      <c r="H103" t="s">
        <v>73</v>
      </c>
      <c r="I103">
        <v>1</v>
      </c>
      <c r="J103" s="4">
        <v>4409.59</v>
      </c>
      <c r="K103" s="5">
        <v>0</v>
      </c>
      <c r="L103" s="4">
        <v>2833.97</v>
      </c>
      <c r="M103" t="s">
        <v>42</v>
      </c>
      <c r="N103" t="s">
        <v>52</v>
      </c>
      <c r="O103">
        <f>IF(TablaVentas[[#This Row],[Precio_unitario]]="","PENDIENTE",TablaVentas[[#This Row],[Unidades]]*TablaVentas[[#This Row],[Precio_unitario]]*(1-TablaVentas[[#This Row],[Descuento_pct]]))</f>
        <v>4409.59</v>
      </c>
      <c r="P103">
        <f>IF(TablaVentas[[#This Row],[Costo_unitario]]="","PENDIENTE",TablaVentas[[#This Row],[Unidades]]*TablaVentas[[#This Row],[Costo_unitario]])</f>
        <v>2833.97</v>
      </c>
      <c r="Q103">
        <f>IF(OR(TablaVentas[[#This Row],[Ingreso_neto]]="PENDIENTE",TablaVentas[[#This Row],[Costo_total]]="PENDIENTE"),"PENDIENTE",TablaVentas[[#This Row],[Ingreso_neto]]-TablaVentas[[#This Row],[Costo_total]])</f>
        <v>1575.6200000000003</v>
      </c>
    </row>
    <row r="104" spans="1:18">
      <c r="A104" t="s">
        <v>215</v>
      </c>
      <c r="B104">
        <v>4</v>
      </c>
      <c r="C104" s="3">
        <v>46173</v>
      </c>
      <c r="D104" t="s">
        <v>182</v>
      </c>
      <c r="E104" t="s">
        <v>125</v>
      </c>
      <c r="F104" t="s">
        <v>56</v>
      </c>
      <c r="G104" t="s">
        <v>57</v>
      </c>
      <c r="H104" t="s">
        <v>73</v>
      </c>
      <c r="I104">
        <v>4</v>
      </c>
      <c r="J104" s="4">
        <v>1679.27</v>
      </c>
      <c r="K104" s="5">
        <v>0</v>
      </c>
      <c r="L104" s="4">
        <v>1044.32</v>
      </c>
      <c r="M104" t="s">
        <v>42</v>
      </c>
      <c r="N104" t="s">
        <v>52</v>
      </c>
      <c r="O104">
        <f>IF(TablaVentas[[#This Row],[Precio_unitario]]="","PENDIENTE",TablaVentas[[#This Row],[Unidades]]*TablaVentas[[#This Row],[Precio_unitario]]*(1-TablaVentas[[#This Row],[Descuento_pct]]))</f>
        <v>6717.08</v>
      </c>
      <c r="P104">
        <f>IF(TablaVentas[[#This Row],[Costo_unitario]]="","PENDIENTE",TablaVentas[[#This Row],[Unidades]]*TablaVentas[[#This Row],[Costo_unitario]])</f>
        <v>4177.28</v>
      </c>
      <c r="Q104">
        <f>IF(OR(TablaVentas[[#This Row],[Ingreso_neto]]="PENDIENTE",TablaVentas[[#This Row],[Costo_total]]="PENDIENTE"),"PENDIENTE",TablaVentas[[#This Row],[Ingreso_neto]]-TablaVentas[[#This Row],[Costo_total]])</f>
        <v>2539.8000000000002</v>
      </c>
    </row>
    <row r="105" spans="1:18">
      <c r="A105" t="s">
        <v>215</v>
      </c>
      <c r="B105">
        <v>5</v>
      </c>
      <c r="C105" s="3">
        <v>46173</v>
      </c>
      <c r="D105" t="s">
        <v>182</v>
      </c>
      <c r="E105" t="s">
        <v>133</v>
      </c>
      <c r="F105" t="s">
        <v>56</v>
      </c>
      <c r="G105" t="s">
        <v>57</v>
      </c>
      <c r="H105" t="s">
        <v>73</v>
      </c>
      <c r="I105">
        <v>4</v>
      </c>
      <c r="J105" s="4">
        <v>7733.33</v>
      </c>
      <c r="K105" s="5">
        <v>0.15</v>
      </c>
      <c r="L105" s="4">
        <v>4061.34</v>
      </c>
      <c r="M105" t="s">
        <v>42</v>
      </c>
      <c r="N105" t="s">
        <v>43</v>
      </c>
      <c r="O105">
        <f>IF(TablaVentas[[#This Row],[Precio_unitario]]="","PENDIENTE",TablaVentas[[#This Row],[Unidades]]*TablaVentas[[#This Row],[Precio_unitario]]*(1-TablaVentas[[#This Row],[Descuento_pct]]))</f>
        <v>26293.322</v>
      </c>
      <c r="P105">
        <f>IF(TablaVentas[[#This Row],[Costo_unitario]]="","PENDIENTE",TablaVentas[[#This Row],[Unidades]]*TablaVentas[[#This Row],[Costo_unitario]])</f>
        <v>16245.36</v>
      </c>
      <c r="Q105">
        <f>IF(OR(TablaVentas[[#This Row],[Ingreso_neto]]="PENDIENTE",TablaVentas[[#This Row],[Costo_total]]="PENDIENTE"),"PENDIENTE",TablaVentas[[#This Row],[Ingreso_neto]]-TablaVentas[[#This Row],[Costo_total]])</f>
        <v>10047.962</v>
      </c>
    </row>
    <row r="106" spans="1:18">
      <c r="A106" t="s">
        <v>219</v>
      </c>
      <c r="B106">
        <v>1</v>
      </c>
      <c r="C106" s="3">
        <v>46143</v>
      </c>
      <c r="D106" t="s">
        <v>220</v>
      </c>
      <c r="E106" t="s">
        <v>152</v>
      </c>
      <c r="F106" t="s">
        <v>77</v>
      </c>
      <c r="G106" t="s">
        <v>57</v>
      </c>
      <c r="H106" t="s">
        <v>102</v>
      </c>
      <c r="I106">
        <v>3</v>
      </c>
      <c r="J106" s="4">
        <v>2468.33</v>
      </c>
      <c r="K106" s="5">
        <v>0.15</v>
      </c>
      <c r="L106" s="4">
        <v>1962.3</v>
      </c>
      <c r="M106" t="s">
        <v>42</v>
      </c>
      <c r="N106" t="s">
        <v>60</v>
      </c>
      <c r="O106">
        <f>IF(TablaVentas[[#This Row],[Precio_unitario]]="","PENDIENTE",TablaVentas[[#This Row],[Unidades]]*TablaVentas[[#This Row],[Precio_unitario]]*(1-TablaVentas[[#This Row],[Descuento_pct]]))</f>
        <v>6294.2415000000001</v>
      </c>
      <c r="P106">
        <f>IF(TablaVentas[[#This Row],[Costo_unitario]]="","PENDIENTE",TablaVentas[[#This Row],[Unidades]]*TablaVentas[[#This Row],[Costo_unitario]])</f>
        <v>5886.9</v>
      </c>
      <c r="Q106">
        <f>IF(OR(TablaVentas[[#This Row],[Ingreso_neto]]="PENDIENTE",TablaVentas[[#This Row],[Costo_total]]="PENDIENTE"),"PENDIENTE",TablaVentas[[#This Row],[Ingreso_neto]]-TablaVentas[[#This Row],[Costo_total]])</f>
        <v>407.34150000000045</v>
      </c>
    </row>
    <row r="107" spans="1:18">
      <c r="A107" t="s">
        <v>221</v>
      </c>
      <c r="B107">
        <v>1</v>
      </c>
      <c r="C107" s="3">
        <v>46044</v>
      </c>
      <c r="D107" t="s">
        <v>222</v>
      </c>
      <c r="E107" t="s">
        <v>90</v>
      </c>
      <c r="F107" t="s">
        <v>56</v>
      </c>
      <c r="G107" t="s">
        <v>57</v>
      </c>
      <c r="H107" t="s">
        <v>184</v>
      </c>
      <c r="I107">
        <v>12</v>
      </c>
      <c r="J107" s="4">
        <v>11587.54</v>
      </c>
      <c r="K107" s="5">
        <v>0.15</v>
      </c>
      <c r="L107" s="4">
        <v>8174.87</v>
      </c>
      <c r="M107" t="s">
        <v>42</v>
      </c>
      <c r="N107" t="s">
        <v>60</v>
      </c>
      <c r="O107">
        <f>IF(TablaVentas[[#This Row],[Precio_unitario]]="","PENDIENTE",TablaVentas[[#This Row],[Unidades]]*TablaVentas[[#This Row],[Precio_unitario]]*(1-TablaVentas[[#This Row],[Descuento_pct]]))</f>
        <v>118192.90800000001</v>
      </c>
      <c r="P107">
        <f>IF(TablaVentas[[#This Row],[Costo_unitario]]="","PENDIENTE",TablaVentas[[#This Row],[Unidades]]*TablaVentas[[#This Row],[Costo_unitario]])</f>
        <v>98098.44</v>
      </c>
      <c r="Q107">
        <f>IF(OR(TablaVentas[[#This Row],[Ingreso_neto]]="PENDIENTE",TablaVentas[[#This Row],[Costo_total]]="PENDIENTE"),"PENDIENTE",TablaVentas[[#This Row],[Ingreso_neto]]-TablaVentas[[#This Row],[Costo_total]])</f>
        <v>20094.468000000008</v>
      </c>
    </row>
    <row r="108" spans="1:18">
      <c r="A108" t="s">
        <v>221</v>
      </c>
      <c r="B108">
        <v>2</v>
      </c>
      <c r="C108" s="3">
        <v>46044</v>
      </c>
      <c r="D108" t="s">
        <v>222</v>
      </c>
      <c r="E108" t="s">
        <v>84</v>
      </c>
      <c r="F108" t="s">
        <v>56</v>
      </c>
      <c r="G108" t="s">
        <v>57</v>
      </c>
      <c r="H108" t="s">
        <v>184</v>
      </c>
      <c r="I108">
        <v>2</v>
      </c>
      <c r="J108" s="4">
        <v>16460.5</v>
      </c>
      <c r="K108" s="5">
        <v>0.2</v>
      </c>
      <c r="L108" s="4">
        <v>8576.0499999999993</v>
      </c>
      <c r="M108" t="s">
        <v>42</v>
      </c>
      <c r="N108" t="s">
        <v>60</v>
      </c>
      <c r="O108">
        <f>IF(TablaVentas[[#This Row],[Precio_unitario]]="","PENDIENTE",TablaVentas[[#This Row],[Unidades]]*TablaVentas[[#This Row],[Precio_unitario]]*(1-TablaVentas[[#This Row],[Descuento_pct]]))</f>
        <v>26336.800000000003</v>
      </c>
      <c r="P108">
        <f>IF(TablaVentas[[#This Row],[Costo_unitario]]="","PENDIENTE",TablaVentas[[#This Row],[Unidades]]*TablaVentas[[#This Row],[Costo_unitario]])</f>
        <v>17152.099999999999</v>
      </c>
      <c r="Q108">
        <f>IF(OR(TablaVentas[[#This Row],[Ingreso_neto]]="PENDIENTE",TablaVentas[[#This Row],[Costo_total]]="PENDIENTE"),"PENDIENTE",TablaVentas[[#This Row],[Ingreso_neto]]-TablaVentas[[#This Row],[Costo_total]])</f>
        <v>9184.7000000000044</v>
      </c>
    </row>
    <row r="109" spans="1:18">
      <c r="A109" t="s">
        <v>221</v>
      </c>
      <c r="B109">
        <v>3</v>
      </c>
      <c r="C109" s="3">
        <v>46044</v>
      </c>
      <c r="D109" t="s">
        <v>222</v>
      </c>
      <c r="E109" t="s">
        <v>223</v>
      </c>
      <c r="F109" t="s">
        <v>56</v>
      </c>
      <c r="G109" t="s">
        <v>57</v>
      </c>
      <c r="H109" t="s">
        <v>184</v>
      </c>
      <c r="I109">
        <v>1</v>
      </c>
      <c r="J109" s="4">
        <v>6602.06</v>
      </c>
      <c r="K109" s="5">
        <v>0</v>
      </c>
      <c r="L109" s="4">
        <v>3298.19</v>
      </c>
      <c r="M109" t="s">
        <v>42</v>
      </c>
      <c r="N109" t="s">
        <v>52</v>
      </c>
      <c r="O109">
        <f>IF(TablaVentas[[#This Row],[Precio_unitario]]="","PENDIENTE",TablaVentas[[#This Row],[Unidades]]*TablaVentas[[#This Row],[Precio_unitario]]*(1-TablaVentas[[#This Row],[Descuento_pct]]))</f>
        <v>6602.06</v>
      </c>
      <c r="P109">
        <f>IF(TablaVentas[[#This Row],[Costo_unitario]]="","PENDIENTE",TablaVentas[[#This Row],[Unidades]]*TablaVentas[[#This Row],[Costo_unitario]])</f>
        <v>3298.19</v>
      </c>
      <c r="Q109">
        <f>IF(OR(TablaVentas[[#This Row],[Ingreso_neto]]="PENDIENTE",TablaVentas[[#This Row],[Costo_total]]="PENDIENTE"),"PENDIENTE",TablaVentas[[#This Row],[Ingreso_neto]]-TablaVentas[[#This Row],[Costo_total]])</f>
        <v>3303.8700000000003</v>
      </c>
    </row>
    <row r="110" spans="1:18">
      <c r="A110" t="s">
        <v>224</v>
      </c>
      <c r="B110">
        <v>1</v>
      </c>
      <c r="C110" s="3">
        <v>46272</v>
      </c>
      <c r="D110" t="s">
        <v>225</v>
      </c>
      <c r="E110" t="s">
        <v>211</v>
      </c>
      <c r="F110" t="s">
        <v>56</v>
      </c>
      <c r="G110" t="s">
        <v>50</v>
      </c>
      <c r="H110" t="s">
        <v>41</v>
      </c>
      <c r="I110">
        <v>3</v>
      </c>
      <c r="J110" s="4">
        <v>19480.849999999999</v>
      </c>
      <c r="K110" s="5">
        <v>0.1</v>
      </c>
      <c r="L110" s="4">
        <v>13760.53</v>
      </c>
      <c r="M110" t="s">
        <v>42</v>
      </c>
      <c r="N110" t="s">
        <v>52</v>
      </c>
      <c r="O110">
        <f>IF(TablaVentas[[#This Row],[Precio_unitario]]="","PENDIENTE",TablaVentas[[#This Row],[Unidades]]*TablaVentas[[#This Row],[Precio_unitario]]*(1-TablaVentas[[#This Row],[Descuento_pct]]))</f>
        <v>52598.294999999998</v>
      </c>
      <c r="P110">
        <f>IF(TablaVentas[[#This Row],[Costo_unitario]]="","PENDIENTE",TablaVentas[[#This Row],[Unidades]]*TablaVentas[[#This Row],[Costo_unitario]])</f>
        <v>41281.590000000004</v>
      </c>
      <c r="Q110">
        <f>IF(OR(TablaVentas[[#This Row],[Ingreso_neto]]="PENDIENTE",TablaVentas[[#This Row],[Costo_total]]="PENDIENTE"),"PENDIENTE",TablaVentas[[#This Row],[Ingreso_neto]]-TablaVentas[[#This Row],[Costo_total]])</f>
        <v>11316.704999999994</v>
      </c>
    </row>
    <row r="111" spans="1:18">
      <c r="A111" t="s">
        <v>224</v>
      </c>
      <c r="B111">
        <v>2</v>
      </c>
      <c r="C111" s="3">
        <v>46272</v>
      </c>
      <c r="D111" t="s">
        <v>225</v>
      </c>
      <c r="E111" t="s">
        <v>226</v>
      </c>
      <c r="F111" t="s">
        <v>56</v>
      </c>
      <c r="G111" t="s">
        <v>50</v>
      </c>
      <c r="H111" t="s">
        <v>41</v>
      </c>
      <c r="I111">
        <v>1</v>
      </c>
      <c r="J111" s="4">
        <v>17442.689999999999</v>
      </c>
      <c r="K111" s="5">
        <v>0</v>
      </c>
      <c r="L111" s="4">
        <v>9976.68</v>
      </c>
      <c r="M111" t="s">
        <v>42</v>
      </c>
      <c r="N111" t="s">
        <v>43</v>
      </c>
      <c r="O111">
        <f>IF(TablaVentas[[#This Row],[Precio_unitario]]="","PENDIENTE",TablaVentas[[#This Row],[Unidades]]*TablaVentas[[#This Row],[Precio_unitario]]*(1-TablaVentas[[#This Row],[Descuento_pct]]))</f>
        <v>17442.689999999999</v>
      </c>
      <c r="P111">
        <f>IF(TablaVentas[[#This Row],[Costo_unitario]]="","PENDIENTE",TablaVentas[[#This Row],[Unidades]]*TablaVentas[[#This Row],[Costo_unitario]])</f>
        <v>9976.68</v>
      </c>
      <c r="Q111">
        <f>IF(OR(TablaVentas[[#This Row],[Ingreso_neto]]="PENDIENTE",TablaVentas[[#This Row],[Costo_total]]="PENDIENTE"),"PENDIENTE",TablaVentas[[#This Row],[Ingreso_neto]]-TablaVentas[[#This Row],[Costo_total]])</f>
        <v>7466.0099999999984</v>
      </c>
    </row>
    <row r="112" spans="1:18">
      <c r="A112" t="s">
        <v>224</v>
      </c>
      <c r="B112">
        <v>3</v>
      </c>
      <c r="C112" s="3">
        <v>46272</v>
      </c>
      <c r="D112" t="s">
        <v>225</v>
      </c>
      <c r="E112" t="s">
        <v>223</v>
      </c>
      <c r="F112" t="s">
        <v>56</v>
      </c>
      <c r="G112" t="s">
        <v>50</v>
      </c>
      <c r="H112" t="s">
        <v>41</v>
      </c>
      <c r="I112">
        <v>1</v>
      </c>
      <c r="J112" s="4">
        <v>5858.41</v>
      </c>
      <c r="K112" s="5">
        <v>0.1</v>
      </c>
      <c r="L112" s="4">
        <v>3298.19</v>
      </c>
      <c r="M112" t="s">
        <v>42</v>
      </c>
      <c r="N112" t="s">
        <v>52</v>
      </c>
      <c r="O112">
        <f>IF(TablaVentas[[#This Row],[Precio_unitario]]="","PENDIENTE",TablaVentas[[#This Row],[Unidades]]*TablaVentas[[#This Row],[Precio_unitario]]*(1-TablaVentas[[#This Row],[Descuento_pct]]))</f>
        <v>5272.5690000000004</v>
      </c>
      <c r="P112">
        <f>IF(TablaVentas[[#This Row],[Costo_unitario]]="","PENDIENTE",TablaVentas[[#This Row],[Unidades]]*TablaVentas[[#This Row],[Costo_unitario]])</f>
        <v>3298.19</v>
      </c>
      <c r="Q112">
        <f>IF(OR(TablaVentas[[#This Row],[Ingreso_neto]]="PENDIENTE",TablaVentas[[#This Row],[Costo_total]]="PENDIENTE"),"PENDIENTE",TablaVentas[[#This Row],[Ingreso_neto]]-TablaVentas[[#This Row],[Costo_total]])</f>
        <v>1974.3790000000004</v>
      </c>
    </row>
    <row r="113" spans="1:17">
      <c r="A113" t="s">
        <v>224</v>
      </c>
      <c r="B113">
        <v>4</v>
      </c>
      <c r="C113" s="3">
        <v>46272</v>
      </c>
      <c r="D113" t="s">
        <v>225</v>
      </c>
      <c r="E113" t="s">
        <v>227</v>
      </c>
      <c r="F113" t="s">
        <v>56</v>
      </c>
      <c r="G113" t="s">
        <v>50</v>
      </c>
      <c r="H113" t="s">
        <v>41</v>
      </c>
      <c r="I113">
        <v>4</v>
      </c>
      <c r="J113" s="4">
        <v>8165.88</v>
      </c>
      <c r="K113" s="5">
        <v>0.2</v>
      </c>
      <c r="L113" s="4">
        <v>6255.13</v>
      </c>
      <c r="M113" t="s">
        <v>42</v>
      </c>
      <c r="N113" t="s">
        <v>60</v>
      </c>
      <c r="O113">
        <f>IF(TablaVentas[[#This Row],[Precio_unitario]]="","PENDIENTE",TablaVentas[[#This Row],[Unidades]]*TablaVentas[[#This Row],[Precio_unitario]]*(1-TablaVentas[[#This Row],[Descuento_pct]]))</f>
        <v>26130.816000000003</v>
      </c>
      <c r="P113">
        <f>IF(TablaVentas[[#This Row],[Costo_unitario]]="","PENDIENTE",TablaVentas[[#This Row],[Unidades]]*TablaVentas[[#This Row],[Costo_unitario]])</f>
        <v>25020.52</v>
      </c>
      <c r="Q113">
        <f>IF(OR(TablaVentas[[#This Row],[Ingreso_neto]]="PENDIENTE",TablaVentas[[#This Row],[Costo_total]]="PENDIENTE"),"PENDIENTE",TablaVentas[[#This Row],[Ingreso_neto]]-TablaVentas[[#This Row],[Costo_total]])</f>
        <v>1110.2960000000021</v>
      </c>
    </row>
    <row r="114" spans="1:17">
      <c r="A114" t="s">
        <v>224</v>
      </c>
      <c r="B114">
        <v>5</v>
      </c>
      <c r="C114" s="3">
        <v>46272</v>
      </c>
      <c r="D114" t="s">
        <v>225</v>
      </c>
      <c r="E114" t="s">
        <v>212</v>
      </c>
      <c r="F114" t="s">
        <v>56</v>
      </c>
      <c r="G114" t="s">
        <v>50</v>
      </c>
      <c r="H114" t="s">
        <v>41</v>
      </c>
      <c r="I114">
        <v>2</v>
      </c>
      <c r="J114" s="4">
        <v>3924.18</v>
      </c>
      <c r="K114" s="5">
        <v>0.2</v>
      </c>
      <c r="L114" s="4">
        <v>2157.5500000000002</v>
      </c>
      <c r="M114" t="s">
        <v>42</v>
      </c>
      <c r="N114" t="s">
        <v>45</v>
      </c>
      <c r="O114">
        <f>IF(TablaVentas[[#This Row],[Precio_unitario]]="","PENDIENTE",TablaVentas[[#This Row],[Unidades]]*TablaVentas[[#This Row],[Precio_unitario]]*(1-TablaVentas[[#This Row],[Descuento_pct]]))</f>
        <v>6278.6880000000001</v>
      </c>
      <c r="P114">
        <f>IF(TablaVentas[[#This Row],[Costo_unitario]]="","PENDIENTE",TablaVentas[[#This Row],[Unidades]]*TablaVentas[[#This Row],[Costo_unitario]])</f>
        <v>4315.1000000000004</v>
      </c>
      <c r="Q114">
        <f>IF(OR(TablaVentas[[#This Row],[Ingreso_neto]]="PENDIENTE",TablaVentas[[#This Row],[Costo_total]]="PENDIENTE"),"PENDIENTE",TablaVentas[[#This Row],[Ingreso_neto]]-TablaVentas[[#This Row],[Costo_total]])</f>
        <v>1963.5879999999997</v>
      </c>
    </row>
    <row r="115" spans="1:17">
      <c r="A115" t="s">
        <v>228</v>
      </c>
      <c r="B115">
        <v>1</v>
      </c>
      <c r="C115" s="3">
        <v>46100</v>
      </c>
      <c r="D115" t="s">
        <v>147</v>
      </c>
      <c r="E115" t="s">
        <v>227</v>
      </c>
      <c r="F115" t="s">
        <v>56</v>
      </c>
      <c r="G115" t="s">
        <v>50</v>
      </c>
      <c r="H115" t="s">
        <v>102</v>
      </c>
      <c r="I115">
        <v>3</v>
      </c>
      <c r="J115" s="4">
        <v>8024.01</v>
      </c>
      <c r="K115" s="5">
        <v>0</v>
      </c>
      <c r="L115" s="4">
        <v>6255.13</v>
      </c>
      <c r="M115" t="s">
        <v>62</v>
      </c>
      <c r="N115" t="s">
        <v>43</v>
      </c>
      <c r="O115">
        <f>IF(TablaVentas[[#This Row],[Precio_unitario]]="","PENDIENTE",TablaVentas[[#This Row],[Unidades]]*TablaVentas[[#This Row],[Precio_unitario]]*(1-TablaVentas[[#This Row],[Descuento_pct]]))</f>
        <v>24072.03</v>
      </c>
      <c r="P115">
        <f>IF(TablaVentas[[#This Row],[Costo_unitario]]="","PENDIENTE",TablaVentas[[#This Row],[Unidades]]*TablaVentas[[#This Row],[Costo_unitario]])</f>
        <v>18765.39</v>
      </c>
      <c r="Q115">
        <f>IF(OR(TablaVentas[[#This Row],[Ingreso_neto]]="PENDIENTE",TablaVentas[[#This Row],[Costo_total]]="PENDIENTE"),"PENDIENTE",TablaVentas[[#This Row],[Ingreso_neto]]-TablaVentas[[#This Row],[Costo_total]])</f>
        <v>5306.6399999999994</v>
      </c>
    </row>
    <row r="116" spans="1:17">
      <c r="A116" t="s">
        <v>229</v>
      </c>
      <c r="B116">
        <v>1</v>
      </c>
      <c r="C116" s="3">
        <v>46191</v>
      </c>
      <c r="D116" t="s">
        <v>230</v>
      </c>
      <c r="E116" t="s">
        <v>115</v>
      </c>
      <c r="F116" t="s">
        <v>77</v>
      </c>
      <c r="G116" t="s">
        <v>50</v>
      </c>
      <c r="H116" t="s">
        <v>129</v>
      </c>
      <c r="I116">
        <v>1</v>
      </c>
      <c r="J116" s="4">
        <v>1317.02</v>
      </c>
      <c r="K116" s="5">
        <v>0.1</v>
      </c>
      <c r="L116" s="4">
        <v>705.87</v>
      </c>
      <c r="M116" t="s">
        <v>42</v>
      </c>
      <c r="N116" t="s">
        <v>45</v>
      </c>
      <c r="O116">
        <f>IF(TablaVentas[[#This Row],[Precio_unitario]]="","PENDIENTE",TablaVentas[[#This Row],[Unidades]]*TablaVentas[[#This Row],[Precio_unitario]]*(1-TablaVentas[[#This Row],[Descuento_pct]]))</f>
        <v>1185.318</v>
      </c>
      <c r="P116">
        <f>IF(TablaVentas[[#This Row],[Costo_unitario]]="","PENDIENTE",TablaVentas[[#This Row],[Unidades]]*TablaVentas[[#This Row],[Costo_unitario]])</f>
        <v>705.87</v>
      </c>
      <c r="Q116">
        <f>IF(OR(TablaVentas[[#This Row],[Ingreso_neto]]="PENDIENTE",TablaVentas[[#This Row],[Costo_total]]="PENDIENTE"),"PENDIENTE",TablaVentas[[#This Row],[Ingreso_neto]]-TablaVentas[[#This Row],[Costo_total]])</f>
        <v>479.44799999999998</v>
      </c>
    </row>
    <row r="117" spans="1:17">
      <c r="A117" t="s">
        <v>229</v>
      </c>
      <c r="B117">
        <v>2</v>
      </c>
      <c r="C117" s="3">
        <v>46191</v>
      </c>
      <c r="D117" t="s">
        <v>230</v>
      </c>
      <c r="E117" t="s">
        <v>193</v>
      </c>
      <c r="F117" t="s">
        <v>77</v>
      </c>
      <c r="G117" t="s">
        <v>50</v>
      </c>
      <c r="H117" t="s">
        <v>129</v>
      </c>
      <c r="I117">
        <v>1</v>
      </c>
      <c r="J117" s="4">
        <v>10793.64</v>
      </c>
      <c r="K117" s="5">
        <v>0</v>
      </c>
      <c r="L117" s="4">
        <v>5811.72</v>
      </c>
      <c r="M117" t="s">
        <v>62</v>
      </c>
      <c r="N117" t="s">
        <v>60</v>
      </c>
      <c r="O117">
        <f>IF(TablaVentas[[#This Row],[Precio_unitario]]="","PENDIENTE",TablaVentas[[#This Row],[Unidades]]*TablaVentas[[#This Row],[Precio_unitario]]*(1-TablaVentas[[#This Row],[Descuento_pct]]))</f>
        <v>10793.64</v>
      </c>
      <c r="P117">
        <f>IF(TablaVentas[[#This Row],[Costo_unitario]]="","PENDIENTE",TablaVentas[[#This Row],[Unidades]]*TablaVentas[[#This Row],[Costo_unitario]])</f>
        <v>5811.72</v>
      </c>
      <c r="Q117">
        <f>IF(OR(TablaVentas[[#This Row],[Ingreso_neto]]="PENDIENTE",TablaVentas[[#This Row],[Costo_total]]="PENDIENTE"),"PENDIENTE",TablaVentas[[#This Row],[Ingreso_neto]]-TablaVentas[[#This Row],[Costo_total]])</f>
        <v>4981.9199999999992</v>
      </c>
    </row>
    <row r="118" spans="1:17">
      <c r="A118" t="s">
        <v>229</v>
      </c>
      <c r="B118">
        <v>3</v>
      </c>
      <c r="C118" s="3">
        <v>46191</v>
      </c>
      <c r="D118" t="s">
        <v>230</v>
      </c>
      <c r="E118" t="s">
        <v>180</v>
      </c>
      <c r="F118" t="s">
        <v>77</v>
      </c>
      <c r="G118" t="s">
        <v>50</v>
      </c>
      <c r="H118" t="s">
        <v>129</v>
      </c>
      <c r="I118">
        <v>1</v>
      </c>
      <c r="J118" s="4">
        <v>5963.41</v>
      </c>
      <c r="K118" s="5">
        <v>0</v>
      </c>
      <c r="L118" s="4">
        <v>3824.92</v>
      </c>
      <c r="M118" t="s">
        <v>42</v>
      </c>
      <c r="N118" t="s">
        <v>45</v>
      </c>
      <c r="O118">
        <f>IF(TablaVentas[[#This Row],[Precio_unitario]]="","PENDIENTE",TablaVentas[[#This Row],[Unidades]]*TablaVentas[[#This Row],[Precio_unitario]]*(1-TablaVentas[[#This Row],[Descuento_pct]]))</f>
        <v>5963.41</v>
      </c>
      <c r="P118">
        <f>IF(TablaVentas[[#This Row],[Costo_unitario]]="","PENDIENTE",TablaVentas[[#This Row],[Unidades]]*TablaVentas[[#This Row],[Costo_unitario]])</f>
        <v>3824.92</v>
      </c>
      <c r="Q118">
        <f>IF(OR(TablaVentas[[#This Row],[Ingreso_neto]]="PENDIENTE",TablaVentas[[#This Row],[Costo_total]]="PENDIENTE"),"PENDIENTE",TablaVentas[[#This Row],[Ingreso_neto]]-TablaVentas[[#This Row],[Costo_total]])</f>
        <v>2138.4899999999998</v>
      </c>
    </row>
    <row r="119" spans="1:17">
      <c r="A119" t="s">
        <v>231</v>
      </c>
      <c r="B119">
        <v>1</v>
      </c>
      <c r="C119" s="3">
        <v>46181</v>
      </c>
      <c r="D119" t="s">
        <v>232</v>
      </c>
      <c r="E119" t="s">
        <v>233</v>
      </c>
      <c r="F119" t="s">
        <v>77</v>
      </c>
      <c r="G119" t="s">
        <v>57</v>
      </c>
      <c r="H119" t="s">
        <v>73</v>
      </c>
      <c r="I119">
        <v>1</v>
      </c>
      <c r="J119" s="4">
        <v>9387.6</v>
      </c>
      <c r="K119" s="5">
        <v>0</v>
      </c>
      <c r="L119" s="4">
        <v>5932.12</v>
      </c>
      <c r="M119" t="s">
        <v>42</v>
      </c>
      <c r="N119" t="s">
        <v>60</v>
      </c>
      <c r="O119">
        <f>IF(TablaVentas[[#This Row],[Precio_unitario]]="","PENDIENTE",TablaVentas[[#This Row],[Unidades]]*TablaVentas[[#This Row],[Precio_unitario]]*(1-TablaVentas[[#This Row],[Descuento_pct]]))</f>
        <v>9387.6</v>
      </c>
      <c r="P119">
        <f>IF(TablaVentas[[#This Row],[Costo_unitario]]="","PENDIENTE",TablaVentas[[#This Row],[Unidades]]*TablaVentas[[#This Row],[Costo_unitario]])</f>
        <v>5932.12</v>
      </c>
      <c r="Q119">
        <f>IF(OR(TablaVentas[[#This Row],[Ingreso_neto]]="PENDIENTE",TablaVentas[[#This Row],[Costo_total]]="PENDIENTE"),"PENDIENTE",TablaVentas[[#This Row],[Ingreso_neto]]-TablaVentas[[#This Row],[Costo_total]])</f>
        <v>3455.4800000000005</v>
      </c>
    </row>
    <row r="120" spans="1:17">
      <c r="A120" t="s">
        <v>234</v>
      </c>
      <c r="B120">
        <v>1</v>
      </c>
      <c r="C120" s="3">
        <v>46047</v>
      </c>
      <c r="D120" t="s">
        <v>235</v>
      </c>
      <c r="E120" t="s">
        <v>236</v>
      </c>
      <c r="F120" t="s">
        <v>56</v>
      </c>
      <c r="G120" t="s">
        <v>50</v>
      </c>
      <c r="H120" t="s">
        <v>124</v>
      </c>
      <c r="I120">
        <v>5</v>
      </c>
      <c r="J120" s="4">
        <v>9204.77</v>
      </c>
      <c r="K120" s="5">
        <v>0</v>
      </c>
      <c r="L120" s="4">
        <v>8061.7</v>
      </c>
      <c r="M120" t="s">
        <v>42</v>
      </c>
      <c r="N120" t="s">
        <v>52</v>
      </c>
      <c r="O120">
        <f>IF(TablaVentas[[#This Row],[Precio_unitario]]="","PENDIENTE",TablaVentas[[#This Row],[Unidades]]*TablaVentas[[#This Row],[Precio_unitario]]*(1-TablaVentas[[#This Row],[Descuento_pct]]))</f>
        <v>46023.850000000006</v>
      </c>
      <c r="P120">
        <f>IF(TablaVentas[[#This Row],[Costo_unitario]]="","PENDIENTE",TablaVentas[[#This Row],[Unidades]]*TablaVentas[[#This Row],[Costo_unitario]])</f>
        <v>40308.5</v>
      </c>
      <c r="Q120">
        <f>IF(OR(TablaVentas[[#This Row],[Ingreso_neto]]="PENDIENTE",TablaVentas[[#This Row],[Costo_total]]="PENDIENTE"),"PENDIENTE",TablaVentas[[#This Row],[Ingreso_neto]]-TablaVentas[[#This Row],[Costo_total]])</f>
        <v>5715.3500000000058</v>
      </c>
    </row>
    <row r="121" spans="1:17">
      <c r="A121" t="s">
        <v>234</v>
      </c>
      <c r="B121">
        <v>2</v>
      </c>
      <c r="C121" s="3">
        <v>46047</v>
      </c>
      <c r="D121" t="s">
        <v>235</v>
      </c>
      <c r="E121" t="s">
        <v>138</v>
      </c>
      <c r="F121" t="s">
        <v>56</v>
      </c>
      <c r="G121" t="s">
        <v>50</v>
      </c>
      <c r="H121" t="s">
        <v>124</v>
      </c>
      <c r="I121">
        <v>3</v>
      </c>
      <c r="J121" s="4">
        <v>6777.85</v>
      </c>
      <c r="K121" s="5">
        <v>0</v>
      </c>
      <c r="L121" s="4">
        <v>4665.62</v>
      </c>
      <c r="M121" t="s">
        <v>42</v>
      </c>
      <c r="N121" t="s">
        <v>45</v>
      </c>
      <c r="O121">
        <f>IF(TablaVentas[[#This Row],[Precio_unitario]]="","PENDIENTE",TablaVentas[[#This Row],[Unidades]]*TablaVentas[[#This Row],[Precio_unitario]]*(1-TablaVentas[[#This Row],[Descuento_pct]]))</f>
        <v>20333.550000000003</v>
      </c>
      <c r="P121">
        <f>IF(TablaVentas[[#This Row],[Costo_unitario]]="","PENDIENTE",TablaVentas[[#This Row],[Unidades]]*TablaVentas[[#This Row],[Costo_unitario]])</f>
        <v>13996.86</v>
      </c>
      <c r="Q121">
        <f>IF(OR(TablaVentas[[#This Row],[Ingreso_neto]]="PENDIENTE",TablaVentas[[#This Row],[Costo_total]]="PENDIENTE"),"PENDIENTE",TablaVentas[[#This Row],[Ingreso_neto]]-TablaVentas[[#This Row],[Costo_total]])</f>
        <v>6336.6900000000023</v>
      </c>
    </row>
    <row r="122" spans="1:17">
      <c r="A122" t="s">
        <v>234</v>
      </c>
      <c r="B122">
        <v>3</v>
      </c>
      <c r="C122" s="3">
        <v>46047</v>
      </c>
      <c r="D122" t="s">
        <v>235</v>
      </c>
      <c r="E122" t="s">
        <v>44</v>
      </c>
      <c r="F122" t="s">
        <v>56</v>
      </c>
      <c r="G122" t="s">
        <v>50</v>
      </c>
      <c r="H122" t="s">
        <v>124</v>
      </c>
      <c r="I122">
        <v>1</v>
      </c>
      <c r="J122" s="4">
        <v>14627.93</v>
      </c>
      <c r="K122" s="5">
        <v>0</v>
      </c>
      <c r="L122" s="4">
        <v>8980.68</v>
      </c>
      <c r="M122" t="s">
        <v>42</v>
      </c>
      <c r="N122" t="s">
        <v>43</v>
      </c>
      <c r="O122">
        <f>IF(TablaVentas[[#This Row],[Precio_unitario]]="","PENDIENTE",TablaVentas[[#This Row],[Unidades]]*TablaVentas[[#This Row],[Precio_unitario]]*(1-TablaVentas[[#This Row],[Descuento_pct]]))</f>
        <v>14627.93</v>
      </c>
      <c r="P122">
        <f>IF(TablaVentas[[#This Row],[Costo_unitario]]="","PENDIENTE",TablaVentas[[#This Row],[Unidades]]*TablaVentas[[#This Row],[Costo_unitario]])</f>
        <v>8980.68</v>
      </c>
      <c r="Q122">
        <f>IF(OR(TablaVentas[[#This Row],[Ingreso_neto]]="PENDIENTE",TablaVentas[[#This Row],[Costo_total]]="PENDIENTE"),"PENDIENTE",TablaVentas[[#This Row],[Ingreso_neto]]-TablaVentas[[#This Row],[Costo_total]])</f>
        <v>5647.25</v>
      </c>
    </row>
    <row r="123" spans="1:17">
      <c r="A123" t="s">
        <v>237</v>
      </c>
      <c r="B123">
        <v>1</v>
      </c>
      <c r="C123" s="3">
        <v>46169</v>
      </c>
      <c r="D123" t="s">
        <v>238</v>
      </c>
      <c r="E123" t="s">
        <v>114</v>
      </c>
      <c r="F123" t="s">
        <v>77</v>
      </c>
      <c r="G123" t="s">
        <v>57</v>
      </c>
      <c r="H123" t="s">
        <v>82</v>
      </c>
      <c r="I123">
        <v>1</v>
      </c>
      <c r="J123" s="4">
        <v>13565.77</v>
      </c>
      <c r="K123" s="5">
        <v>0</v>
      </c>
      <c r="L123" s="4">
        <v>8239.48</v>
      </c>
      <c r="M123" t="s">
        <v>42</v>
      </c>
      <c r="N123" t="s">
        <v>43</v>
      </c>
      <c r="O123">
        <f>IF(TablaVentas[[#This Row],[Precio_unitario]]="","PENDIENTE",TablaVentas[[#This Row],[Unidades]]*TablaVentas[[#This Row],[Precio_unitario]]*(1-TablaVentas[[#This Row],[Descuento_pct]]))</f>
        <v>13565.77</v>
      </c>
      <c r="P123">
        <f>IF(TablaVentas[[#This Row],[Costo_unitario]]="","PENDIENTE",TablaVentas[[#This Row],[Unidades]]*TablaVentas[[#This Row],[Costo_unitario]])</f>
        <v>8239.48</v>
      </c>
      <c r="Q123">
        <f>IF(OR(TablaVentas[[#This Row],[Ingreso_neto]]="PENDIENTE",TablaVentas[[#This Row],[Costo_total]]="PENDIENTE"),"PENDIENTE",TablaVentas[[#This Row],[Ingreso_neto]]-TablaVentas[[#This Row],[Costo_total]])</f>
        <v>5326.2900000000009</v>
      </c>
    </row>
    <row r="124" spans="1:17">
      <c r="A124" t="s">
        <v>239</v>
      </c>
      <c r="B124">
        <v>1</v>
      </c>
      <c r="C124" s="3">
        <v>46213</v>
      </c>
      <c r="D124" t="s">
        <v>240</v>
      </c>
      <c r="E124" t="s">
        <v>163</v>
      </c>
      <c r="F124" t="s">
        <v>39</v>
      </c>
      <c r="G124" t="s">
        <v>40</v>
      </c>
      <c r="H124" t="s">
        <v>82</v>
      </c>
      <c r="I124">
        <v>3</v>
      </c>
      <c r="J124" s="4">
        <v>17201.88</v>
      </c>
      <c r="K124" s="5">
        <v>0</v>
      </c>
      <c r="L124" s="4">
        <v>12141.44</v>
      </c>
      <c r="M124" t="s">
        <v>42</v>
      </c>
      <c r="N124" t="s">
        <v>43</v>
      </c>
      <c r="O124">
        <f>IF(TablaVentas[[#This Row],[Precio_unitario]]="","PENDIENTE",TablaVentas[[#This Row],[Unidades]]*TablaVentas[[#This Row],[Precio_unitario]]*(1-TablaVentas[[#This Row],[Descuento_pct]]))</f>
        <v>51605.64</v>
      </c>
      <c r="P124">
        <f>IF(TablaVentas[[#This Row],[Costo_unitario]]="","PENDIENTE",TablaVentas[[#This Row],[Unidades]]*TablaVentas[[#This Row],[Costo_unitario]])</f>
        <v>36424.32</v>
      </c>
      <c r="Q124">
        <f>IF(OR(TablaVentas[[#This Row],[Ingreso_neto]]="PENDIENTE",TablaVentas[[#This Row],[Costo_total]]="PENDIENTE"),"PENDIENTE",TablaVentas[[#This Row],[Ingreso_neto]]-TablaVentas[[#This Row],[Costo_total]])</f>
        <v>15181.32</v>
      </c>
    </row>
    <row r="125" spans="1:17">
      <c r="A125" t="s">
        <v>239</v>
      </c>
      <c r="B125">
        <v>2</v>
      </c>
      <c r="C125" s="3">
        <v>46213</v>
      </c>
      <c r="D125" t="s">
        <v>240</v>
      </c>
      <c r="E125" t="s">
        <v>143</v>
      </c>
      <c r="F125" t="s">
        <v>39</v>
      </c>
      <c r="G125" t="s">
        <v>40</v>
      </c>
      <c r="H125" t="s">
        <v>82</v>
      </c>
      <c r="I125">
        <v>1</v>
      </c>
      <c r="J125" s="4">
        <v>9083.9</v>
      </c>
      <c r="K125" s="5">
        <v>0.1</v>
      </c>
      <c r="L125" s="4">
        <v>6815.42</v>
      </c>
      <c r="M125" t="s">
        <v>42</v>
      </c>
      <c r="N125" t="s">
        <v>45</v>
      </c>
      <c r="O125">
        <f>IF(TablaVentas[[#This Row],[Precio_unitario]]="","PENDIENTE",TablaVentas[[#This Row],[Unidades]]*TablaVentas[[#This Row],[Precio_unitario]]*(1-TablaVentas[[#This Row],[Descuento_pct]]))</f>
        <v>8175.51</v>
      </c>
      <c r="P125">
        <f>IF(TablaVentas[[#This Row],[Costo_unitario]]="","PENDIENTE",TablaVentas[[#This Row],[Unidades]]*TablaVentas[[#This Row],[Costo_unitario]])</f>
        <v>6815.42</v>
      </c>
      <c r="Q125">
        <f>IF(OR(TablaVentas[[#This Row],[Ingreso_neto]]="PENDIENTE",TablaVentas[[#This Row],[Costo_total]]="PENDIENTE"),"PENDIENTE",TablaVentas[[#This Row],[Ingreso_neto]]-TablaVentas[[#This Row],[Costo_total]])</f>
        <v>1360.0900000000001</v>
      </c>
    </row>
    <row r="126" spans="1:17">
      <c r="A126" t="s">
        <v>241</v>
      </c>
      <c r="B126">
        <v>1</v>
      </c>
      <c r="C126" s="3">
        <v>46250</v>
      </c>
      <c r="D126" t="s">
        <v>242</v>
      </c>
      <c r="E126" t="s">
        <v>83</v>
      </c>
      <c r="F126" t="s">
        <v>39</v>
      </c>
      <c r="G126" t="s">
        <v>40</v>
      </c>
      <c r="H126" t="s">
        <v>73</v>
      </c>
      <c r="I126">
        <v>1</v>
      </c>
      <c r="J126" s="4">
        <v>16507.22</v>
      </c>
      <c r="K126" s="5">
        <v>0.2</v>
      </c>
      <c r="L126" s="4">
        <v>12723.77</v>
      </c>
      <c r="M126" t="s">
        <v>42</v>
      </c>
      <c r="N126" t="s">
        <v>52</v>
      </c>
      <c r="O126">
        <f>IF(TablaVentas[[#This Row],[Precio_unitario]]="","PENDIENTE",TablaVentas[[#This Row],[Unidades]]*TablaVentas[[#This Row],[Precio_unitario]]*(1-TablaVentas[[#This Row],[Descuento_pct]]))</f>
        <v>13205.776000000002</v>
      </c>
      <c r="P126">
        <f>IF(TablaVentas[[#This Row],[Costo_unitario]]="","PENDIENTE",TablaVentas[[#This Row],[Unidades]]*TablaVentas[[#This Row],[Costo_unitario]])</f>
        <v>12723.77</v>
      </c>
      <c r="Q126">
        <f>IF(OR(TablaVentas[[#This Row],[Ingreso_neto]]="PENDIENTE",TablaVentas[[#This Row],[Costo_total]]="PENDIENTE"),"PENDIENTE",TablaVentas[[#This Row],[Ingreso_neto]]-TablaVentas[[#This Row],[Costo_total]])</f>
        <v>482.00600000000122</v>
      </c>
    </row>
    <row r="127" spans="1:17">
      <c r="A127" t="s">
        <v>243</v>
      </c>
      <c r="B127">
        <v>1</v>
      </c>
      <c r="C127" s="3">
        <v>46081</v>
      </c>
      <c r="D127" t="s">
        <v>244</v>
      </c>
      <c r="E127" t="s">
        <v>114</v>
      </c>
      <c r="F127" t="s">
        <v>39</v>
      </c>
      <c r="G127" t="s">
        <v>40</v>
      </c>
      <c r="H127" t="s">
        <v>129</v>
      </c>
      <c r="I127">
        <v>1</v>
      </c>
      <c r="J127" s="4">
        <v>13744.34</v>
      </c>
      <c r="K127" s="5">
        <v>0.15</v>
      </c>
      <c r="L127" s="4">
        <v>8239.48</v>
      </c>
      <c r="M127" t="s">
        <v>42</v>
      </c>
      <c r="N127" t="s">
        <v>45</v>
      </c>
      <c r="O127">
        <f>IF(TablaVentas[[#This Row],[Precio_unitario]]="","PENDIENTE",TablaVentas[[#This Row],[Unidades]]*TablaVentas[[#This Row],[Precio_unitario]]*(1-TablaVentas[[#This Row],[Descuento_pct]]))</f>
        <v>11682.689</v>
      </c>
      <c r="P127">
        <f>IF(TablaVentas[[#This Row],[Costo_unitario]]="","PENDIENTE",TablaVentas[[#This Row],[Unidades]]*TablaVentas[[#This Row],[Costo_unitario]])</f>
        <v>8239.48</v>
      </c>
      <c r="Q127">
        <f>IF(OR(TablaVentas[[#This Row],[Ingreso_neto]]="PENDIENTE",TablaVentas[[#This Row],[Costo_total]]="PENDIENTE"),"PENDIENTE",TablaVentas[[#This Row],[Ingreso_neto]]-TablaVentas[[#This Row],[Costo_total]])</f>
        <v>3443.2090000000007</v>
      </c>
    </row>
    <row r="128" spans="1:17">
      <c r="A128" t="s">
        <v>243</v>
      </c>
      <c r="B128">
        <v>2</v>
      </c>
      <c r="C128" s="3">
        <v>46081</v>
      </c>
      <c r="D128" t="s">
        <v>244</v>
      </c>
      <c r="E128" t="s">
        <v>245</v>
      </c>
      <c r="F128" t="s">
        <v>39</v>
      </c>
      <c r="G128" t="s">
        <v>40</v>
      </c>
      <c r="H128" t="s">
        <v>129</v>
      </c>
      <c r="I128">
        <v>1</v>
      </c>
      <c r="J128" s="4">
        <v>19282.419999999998</v>
      </c>
      <c r="K128" s="5">
        <v>0</v>
      </c>
      <c r="L128" s="4">
        <v>10507.24</v>
      </c>
      <c r="M128" t="s">
        <v>42</v>
      </c>
      <c r="N128" t="s">
        <v>52</v>
      </c>
      <c r="O128">
        <f>IF(TablaVentas[[#This Row],[Precio_unitario]]="","PENDIENTE",TablaVentas[[#This Row],[Unidades]]*TablaVentas[[#This Row],[Precio_unitario]]*(1-TablaVentas[[#This Row],[Descuento_pct]]))</f>
        <v>19282.419999999998</v>
      </c>
      <c r="P128">
        <f>IF(TablaVentas[[#This Row],[Costo_unitario]]="","PENDIENTE",TablaVentas[[#This Row],[Unidades]]*TablaVentas[[#This Row],[Costo_unitario]])</f>
        <v>10507.24</v>
      </c>
      <c r="Q128">
        <f>IF(OR(TablaVentas[[#This Row],[Ingreso_neto]]="PENDIENTE",TablaVentas[[#This Row],[Costo_total]]="PENDIENTE"),"PENDIENTE",TablaVentas[[#This Row],[Ingreso_neto]]-TablaVentas[[#This Row],[Costo_total]])</f>
        <v>8775.1799999999985</v>
      </c>
    </row>
    <row r="129" spans="1:17">
      <c r="A129" t="s">
        <v>243</v>
      </c>
      <c r="B129">
        <v>3</v>
      </c>
      <c r="C129" s="3">
        <v>46081</v>
      </c>
      <c r="D129" t="s">
        <v>244</v>
      </c>
      <c r="E129" t="s">
        <v>76</v>
      </c>
      <c r="F129" t="s">
        <v>39</v>
      </c>
      <c r="G129" t="s">
        <v>40</v>
      </c>
      <c r="H129" t="s">
        <v>129</v>
      </c>
      <c r="I129">
        <v>4</v>
      </c>
      <c r="J129" s="4">
        <v>14511.59</v>
      </c>
      <c r="K129" s="5">
        <v>0.2</v>
      </c>
      <c r="L129" s="4">
        <v>7748.44</v>
      </c>
      <c r="M129" t="s">
        <v>42</v>
      </c>
      <c r="N129" t="s">
        <v>43</v>
      </c>
      <c r="O129">
        <f>IF(TablaVentas[[#This Row],[Precio_unitario]]="","PENDIENTE",TablaVentas[[#This Row],[Unidades]]*TablaVentas[[#This Row],[Precio_unitario]]*(1-TablaVentas[[#This Row],[Descuento_pct]]))</f>
        <v>46437.088000000003</v>
      </c>
      <c r="P129">
        <f>IF(TablaVentas[[#This Row],[Costo_unitario]]="","PENDIENTE",TablaVentas[[#This Row],[Unidades]]*TablaVentas[[#This Row],[Costo_unitario]])</f>
        <v>30993.759999999998</v>
      </c>
      <c r="Q129">
        <f>IF(OR(TablaVentas[[#This Row],[Ingreso_neto]]="PENDIENTE",TablaVentas[[#This Row],[Costo_total]]="PENDIENTE"),"PENDIENTE",TablaVentas[[#This Row],[Ingreso_neto]]-TablaVentas[[#This Row],[Costo_total]])</f>
        <v>15443.328000000005</v>
      </c>
    </row>
    <row r="130" spans="1:17">
      <c r="A130" t="s">
        <v>246</v>
      </c>
      <c r="B130">
        <v>1</v>
      </c>
      <c r="C130" s="3">
        <v>46145</v>
      </c>
      <c r="D130" t="s">
        <v>247</v>
      </c>
      <c r="E130" t="s">
        <v>248</v>
      </c>
      <c r="F130" t="s">
        <v>39</v>
      </c>
      <c r="G130" t="s">
        <v>50</v>
      </c>
      <c r="H130" t="s">
        <v>184</v>
      </c>
      <c r="I130">
        <v>8</v>
      </c>
      <c r="J130" s="4">
        <v>13510.24</v>
      </c>
      <c r="K130" s="5">
        <v>0.15</v>
      </c>
      <c r="L130" s="4">
        <v>6856.4</v>
      </c>
      <c r="M130" t="s">
        <v>42</v>
      </c>
      <c r="N130" t="s">
        <v>45</v>
      </c>
      <c r="O130">
        <f>IF(TablaVentas[[#This Row],[Precio_unitario]]="","PENDIENTE",TablaVentas[[#This Row],[Unidades]]*TablaVentas[[#This Row],[Precio_unitario]]*(1-TablaVentas[[#This Row],[Descuento_pct]]))</f>
        <v>91869.631999999998</v>
      </c>
      <c r="P130">
        <f>IF(TablaVentas[[#This Row],[Costo_unitario]]="","PENDIENTE",TablaVentas[[#This Row],[Unidades]]*TablaVentas[[#This Row],[Costo_unitario]])</f>
        <v>54851.199999999997</v>
      </c>
      <c r="Q130">
        <f>IF(OR(TablaVentas[[#This Row],[Ingreso_neto]]="PENDIENTE",TablaVentas[[#This Row],[Costo_total]]="PENDIENTE"),"PENDIENTE",TablaVentas[[#This Row],[Ingreso_neto]]-TablaVentas[[#This Row],[Costo_total]])</f>
        <v>37018.432000000001</v>
      </c>
    </row>
    <row r="131" spans="1:17">
      <c r="A131" t="s">
        <v>249</v>
      </c>
      <c r="B131">
        <v>1</v>
      </c>
      <c r="C131" s="3">
        <v>46100</v>
      </c>
      <c r="D131" t="s">
        <v>250</v>
      </c>
      <c r="E131" t="s">
        <v>69</v>
      </c>
      <c r="F131" t="s">
        <v>77</v>
      </c>
      <c r="G131" t="s">
        <v>40</v>
      </c>
      <c r="H131" t="s">
        <v>82</v>
      </c>
      <c r="I131">
        <v>1</v>
      </c>
      <c r="J131" s="4">
        <v>12929.81</v>
      </c>
      <c r="K131" s="5">
        <v>0</v>
      </c>
      <c r="L131" s="4">
        <v>10094.26</v>
      </c>
      <c r="M131" t="s">
        <v>116</v>
      </c>
      <c r="N131" t="s">
        <v>45</v>
      </c>
      <c r="O131">
        <f>IF(TablaVentas[[#This Row],[Precio_unitario]]="","PENDIENTE",TablaVentas[[#This Row],[Unidades]]*TablaVentas[[#This Row],[Precio_unitario]]*(1-TablaVentas[[#This Row],[Descuento_pct]]))</f>
        <v>12929.81</v>
      </c>
      <c r="P131">
        <f>IF(TablaVentas[[#This Row],[Costo_unitario]]="","PENDIENTE",TablaVentas[[#This Row],[Unidades]]*TablaVentas[[#This Row],[Costo_unitario]])</f>
        <v>10094.26</v>
      </c>
      <c r="Q131">
        <f>IF(OR(TablaVentas[[#This Row],[Ingreso_neto]]="PENDIENTE",TablaVentas[[#This Row],[Costo_total]]="PENDIENTE"),"PENDIENTE",TablaVentas[[#This Row],[Ingreso_neto]]-TablaVentas[[#This Row],[Costo_total]])</f>
        <v>2835.5499999999993</v>
      </c>
    </row>
    <row r="132" spans="1:17">
      <c r="A132" t="s">
        <v>249</v>
      </c>
      <c r="B132">
        <v>2</v>
      </c>
      <c r="C132" s="3">
        <v>46100</v>
      </c>
      <c r="D132" t="s">
        <v>250</v>
      </c>
      <c r="E132" t="s">
        <v>133</v>
      </c>
      <c r="F132" t="s">
        <v>77</v>
      </c>
      <c r="G132" t="s">
        <v>40</v>
      </c>
      <c r="H132" t="s">
        <v>82</v>
      </c>
      <c r="I132">
        <v>1</v>
      </c>
      <c r="J132" s="4">
        <v>8073.88</v>
      </c>
      <c r="K132" s="5">
        <v>0</v>
      </c>
      <c r="L132" s="4">
        <v>4061.34</v>
      </c>
      <c r="M132" t="s">
        <v>42</v>
      </c>
      <c r="N132" t="s">
        <v>43</v>
      </c>
      <c r="O132">
        <f>IF(TablaVentas[[#This Row],[Precio_unitario]]="","PENDIENTE",TablaVentas[[#This Row],[Unidades]]*TablaVentas[[#This Row],[Precio_unitario]]*(1-TablaVentas[[#This Row],[Descuento_pct]]))</f>
        <v>8073.88</v>
      </c>
      <c r="P132">
        <f>IF(TablaVentas[[#This Row],[Costo_unitario]]="","PENDIENTE",TablaVentas[[#This Row],[Unidades]]*TablaVentas[[#This Row],[Costo_unitario]])</f>
        <v>4061.34</v>
      </c>
      <c r="Q132">
        <f>IF(OR(TablaVentas[[#This Row],[Ingreso_neto]]="PENDIENTE",TablaVentas[[#This Row],[Costo_total]]="PENDIENTE"),"PENDIENTE",TablaVentas[[#This Row],[Ingreso_neto]]-TablaVentas[[#This Row],[Costo_total]])</f>
        <v>4012.54</v>
      </c>
    </row>
    <row r="133" spans="1:17">
      <c r="A133" t="s">
        <v>251</v>
      </c>
      <c r="B133">
        <v>1</v>
      </c>
      <c r="C133" s="3">
        <v>46275</v>
      </c>
      <c r="D133" t="s">
        <v>252</v>
      </c>
      <c r="E133" t="s">
        <v>159</v>
      </c>
      <c r="F133" t="s">
        <v>39</v>
      </c>
      <c r="G133" t="s">
        <v>40</v>
      </c>
      <c r="H133" t="s">
        <v>73</v>
      </c>
      <c r="I133">
        <v>3</v>
      </c>
      <c r="J133" s="4">
        <v>13294.39</v>
      </c>
      <c r="K133" s="5">
        <v>0.1</v>
      </c>
      <c r="L133" s="4">
        <v>9317.3700000000008</v>
      </c>
      <c r="M133" t="s">
        <v>42</v>
      </c>
      <c r="N133" t="s">
        <v>52</v>
      </c>
      <c r="O133">
        <f>IF(TablaVentas[[#This Row],[Precio_unitario]]="","PENDIENTE",TablaVentas[[#This Row],[Unidades]]*TablaVentas[[#This Row],[Precio_unitario]]*(1-TablaVentas[[#This Row],[Descuento_pct]]))</f>
        <v>35894.853000000003</v>
      </c>
      <c r="P133">
        <f>IF(TablaVentas[[#This Row],[Costo_unitario]]="","PENDIENTE",TablaVentas[[#This Row],[Unidades]]*TablaVentas[[#This Row],[Costo_unitario]])</f>
        <v>27952.11</v>
      </c>
      <c r="Q133">
        <f>IF(OR(TablaVentas[[#This Row],[Ingreso_neto]]="PENDIENTE",TablaVentas[[#This Row],[Costo_total]]="PENDIENTE"),"PENDIENTE",TablaVentas[[#This Row],[Ingreso_neto]]-TablaVentas[[#This Row],[Costo_total]])</f>
        <v>7942.7430000000022</v>
      </c>
    </row>
    <row r="134" spans="1:17">
      <c r="A134" t="s">
        <v>251</v>
      </c>
      <c r="B134">
        <v>2</v>
      </c>
      <c r="C134" s="3">
        <v>46275</v>
      </c>
      <c r="D134" t="s">
        <v>252</v>
      </c>
      <c r="E134" t="s">
        <v>253</v>
      </c>
      <c r="F134" t="s">
        <v>39</v>
      </c>
      <c r="G134" t="s">
        <v>40</v>
      </c>
      <c r="H134" t="s">
        <v>73</v>
      </c>
      <c r="I134">
        <v>2</v>
      </c>
      <c r="J134" s="4">
        <v>2873.94</v>
      </c>
      <c r="K134" s="5">
        <v>0</v>
      </c>
      <c r="L134" s="4">
        <v>2486.1799999999998</v>
      </c>
      <c r="M134" t="s">
        <v>42</v>
      </c>
      <c r="N134" t="s">
        <v>52</v>
      </c>
      <c r="O134">
        <f>IF(TablaVentas[[#This Row],[Precio_unitario]]="","PENDIENTE",TablaVentas[[#This Row],[Unidades]]*TablaVentas[[#This Row],[Precio_unitario]]*(1-TablaVentas[[#This Row],[Descuento_pct]]))</f>
        <v>5747.88</v>
      </c>
      <c r="P134">
        <f>IF(TablaVentas[[#This Row],[Costo_unitario]]="","PENDIENTE",TablaVentas[[#This Row],[Unidades]]*TablaVentas[[#This Row],[Costo_unitario]])</f>
        <v>4972.3599999999997</v>
      </c>
      <c r="Q134">
        <f>IF(OR(TablaVentas[[#This Row],[Ingreso_neto]]="PENDIENTE",TablaVentas[[#This Row],[Costo_total]]="PENDIENTE"),"PENDIENTE",TablaVentas[[#This Row],[Ingreso_neto]]-TablaVentas[[#This Row],[Costo_total]])</f>
        <v>775.52000000000044</v>
      </c>
    </row>
    <row r="135" spans="1:17">
      <c r="A135" t="s">
        <v>251</v>
      </c>
      <c r="B135">
        <v>3</v>
      </c>
      <c r="C135" s="3">
        <v>46275</v>
      </c>
      <c r="D135" t="s">
        <v>252</v>
      </c>
      <c r="E135" t="s">
        <v>167</v>
      </c>
      <c r="F135" t="s">
        <v>39</v>
      </c>
      <c r="G135" t="s">
        <v>40</v>
      </c>
      <c r="H135" t="s">
        <v>73</v>
      </c>
      <c r="I135">
        <v>5</v>
      </c>
      <c r="J135" s="4">
        <v>16919.45</v>
      </c>
      <c r="K135" s="5">
        <v>0</v>
      </c>
      <c r="L135" s="4">
        <v>8704.4</v>
      </c>
      <c r="M135" t="s">
        <v>42</v>
      </c>
      <c r="N135" t="s">
        <v>60</v>
      </c>
      <c r="O135">
        <f>IF(TablaVentas[[#This Row],[Precio_unitario]]="","PENDIENTE",TablaVentas[[#This Row],[Unidades]]*TablaVentas[[#This Row],[Precio_unitario]]*(1-TablaVentas[[#This Row],[Descuento_pct]]))</f>
        <v>84597.25</v>
      </c>
      <c r="P135">
        <f>IF(TablaVentas[[#This Row],[Costo_unitario]]="","PENDIENTE",TablaVentas[[#This Row],[Unidades]]*TablaVentas[[#This Row],[Costo_unitario]])</f>
        <v>43522</v>
      </c>
      <c r="Q135">
        <f>IF(OR(TablaVentas[[#This Row],[Ingreso_neto]]="PENDIENTE",TablaVentas[[#This Row],[Costo_total]]="PENDIENTE"),"PENDIENTE",TablaVentas[[#This Row],[Ingreso_neto]]-TablaVentas[[#This Row],[Costo_total]])</f>
        <v>41075.25</v>
      </c>
    </row>
    <row r="136" spans="1:17">
      <c r="A136" t="s">
        <v>251</v>
      </c>
      <c r="B136">
        <v>4</v>
      </c>
      <c r="C136" s="3">
        <v>46275</v>
      </c>
      <c r="D136" t="s">
        <v>252</v>
      </c>
      <c r="E136" t="s">
        <v>85</v>
      </c>
      <c r="F136" t="s">
        <v>39</v>
      </c>
      <c r="G136" t="s">
        <v>40</v>
      </c>
      <c r="H136" t="s">
        <v>73</v>
      </c>
      <c r="I136">
        <v>5</v>
      </c>
      <c r="J136" s="4">
        <v>488.38</v>
      </c>
      <c r="K136" s="5">
        <v>0</v>
      </c>
      <c r="L136" s="4">
        <v>307.75</v>
      </c>
      <c r="M136" t="s">
        <v>42</v>
      </c>
      <c r="N136" t="s">
        <v>45</v>
      </c>
      <c r="O136">
        <f>IF(TablaVentas[[#This Row],[Precio_unitario]]="","PENDIENTE",TablaVentas[[#This Row],[Unidades]]*TablaVentas[[#This Row],[Precio_unitario]]*(1-TablaVentas[[#This Row],[Descuento_pct]]))</f>
        <v>2441.9</v>
      </c>
      <c r="P136">
        <f>IF(TablaVentas[[#This Row],[Costo_unitario]]="","PENDIENTE",TablaVentas[[#This Row],[Unidades]]*TablaVentas[[#This Row],[Costo_unitario]])</f>
        <v>1538.75</v>
      </c>
      <c r="Q136">
        <f>IF(OR(TablaVentas[[#This Row],[Ingreso_neto]]="PENDIENTE",TablaVentas[[#This Row],[Costo_total]]="PENDIENTE"),"PENDIENTE",TablaVentas[[#This Row],[Ingreso_neto]]-TablaVentas[[#This Row],[Costo_total]])</f>
        <v>903.15000000000009</v>
      </c>
    </row>
    <row r="137" spans="1:17">
      <c r="A137" t="s">
        <v>251</v>
      </c>
      <c r="B137">
        <v>5</v>
      </c>
      <c r="C137" s="3">
        <v>46275</v>
      </c>
      <c r="D137" t="s">
        <v>252</v>
      </c>
      <c r="E137" t="s">
        <v>81</v>
      </c>
      <c r="F137" t="s">
        <v>39</v>
      </c>
      <c r="G137" t="s">
        <v>40</v>
      </c>
      <c r="H137" t="s">
        <v>73</v>
      </c>
      <c r="I137">
        <v>1</v>
      </c>
      <c r="J137" s="4">
        <v>16931.55</v>
      </c>
      <c r="K137" s="5">
        <v>0.1</v>
      </c>
      <c r="L137" s="4">
        <v>11614.87</v>
      </c>
      <c r="M137" t="s">
        <v>42</v>
      </c>
      <c r="N137" t="s">
        <v>60</v>
      </c>
      <c r="O137">
        <f>IF(TablaVentas[[#This Row],[Precio_unitario]]="","PENDIENTE",TablaVentas[[#This Row],[Unidades]]*TablaVentas[[#This Row],[Precio_unitario]]*(1-TablaVentas[[#This Row],[Descuento_pct]]))</f>
        <v>15238.395</v>
      </c>
      <c r="P137">
        <f>IF(TablaVentas[[#This Row],[Costo_unitario]]="","PENDIENTE",TablaVentas[[#This Row],[Unidades]]*TablaVentas[[#This Row],[Costo_unitario]])</f>
        <v>11614.87</v>
      </c>
      <c r="Q137">
        <f>IF(OR(TablaVentas[[#This Row],[Ingreso_neto]]="PENDIENTE",TablaVentas[[#This Row],[Costo_total]]="PENDIENTE"),"PENDIENTE",TablaVentas[[#This Row],[Ingreso_neto]]-TablaVentas[[#This Row],[Costo_total]])</f>
        <v>3623.5249999999996</v>
      </c>
    </row>
    <row r="138" spans="1:17">
      <c r="A138" t="s">
        <v>254</v>
      </c>
      <c r="B138">
        <v>1</v>
      </c>
      <c r="C138" s="3">
        <v>46134</v>
      </c>
      <c r="D138" t="s">
        <v>255</v>
      </c>
      <c r="E138" t="s">
        <v>256</v>
      </c>
      <c r="F138" t="s">
        <v>66</v>
      </c>
      <c r="G138" t="s">
        <v>50</v>
      </c>
      <c r="H138" t="s">
        <v>73</v>
      </c>
      <c r="I138">
        <v>2</v>
      </c>
      <c r="J138" s="4">
        <v>19716.82</v>
      </c>
      <c r="K138" s="5">
        <v>0</v>
      </c>
      <c r="L138" s="4">
        <v>11666.57</v>
      </c>
      <c r="M138" t="s">
        <v>42</v>
      </c>
      <c r="N138" t="s">
        <v>45</v>
      </c>
      <c r="O138">
        <f>IF(TablaVentas[[#This Row],[Precio_unitario]]="","PENDIENTE",TablaVentas[[#This Row],[Unidades]]*TablaVentas[[#This Row],[Precio_unitario]]*(1-TablaVentas[[#This Row],[Descuento_pct]]))</f>
        <v>39433.64</v>
      </c>
      <c r="P138">
        <f>IF(TablaVentas[[#This Row],[Costo_unitario]]="","PENDIENTE",TablaVentas[[#This Row],[Unidades]]*TablaVentas[[#This Row],[Costo_unitario]])</f>
        <v>23333.14</v>
      </c>
      <c r="Q138">
        <f>IF(OR(TablaVentas[[#This Row],[Ingreso_neto]]="PENDIENTE",TablaVentas[[#This Row],[Costo_total]]="PENDIENTE"),"PENDIENTE",TablaVentas[[#This Row],[Ingreso_neto]]-TablaVentas[[#This Row],[Costo_total]])</f>
        <v>16100.5</v>
      </c>
    </row>
    <row r="139" spans="1:17">
      <c r="A139" t="s">
        <v>257</v>
      </c>
      <c r="B139">
        <v>1</v>
      </c>
      <c r="C139" s="3">
        <v>46179</v>
      </c>
      <c r="D139" t="s">
        <v>189</v>
      </c>
      <c r="E139" t="s">
        <v>253</v>
      </c>
      <c r="F139" t="s">
        <v>77</v>
      </c>
      <c r="G139" t="s">
        <v>40</v>
      </c>
      <c r="H139" t="s">
        <v>82</v>
      </c>
      <c r="I139">
        <v>1</v>
      </c>
      <c r="J139" s="4">
        <v>3146.96</v>
      </c>
      <c r="K139" s="5">
        <v>0.2</v>
      </c>
      <c r="L139" s="4">
        <v>2486.1799999999998</v>
      </c>
      <c r="M139" t="s">
        <v>42</v>
      </c>
      <c r="N139" t="s">
        <v>60</v>
      </c>
      <c r="O139">
        <f>IF(TablaVentas[[#This Row],[Precio_unitario]]="","PENDIENTE",TablaVentas[[#This Row],[Unidades]]*TablaVentas[[#This Row],[Precio_unitario]]*(1-TablaVentas[[#This Row],[Descuento_pct]]))</f>
        <v>2517.5680000000002</v>
      </c>
      <c r="P139">
        <f>IF(TablaVentas[[#This Row],[Costo_unitario]]="","PENDIENTE",TablaVentas[[#This Row],[Unidades]]*TablaVentas[[#This Row],[Costo_unitario]])</f>
        <v>2486.1799999999998</v>
      </c>
      <c r="Q139">
        <f>IF(OR(TablaVentas[[#This Row],[Ingreso_neto]]="PENDIENTE",TablaVentas[[#This Row],[Costo_total]]="PENDIENTE"),"PENDIENTE",TablaVentas[[#This Row],[Ingreso_neto]]-TablaVentas[[#This Row],[Costo_total]])</f>
        <v>31.388000000000375</v>
      </c>
    </row>
    <row r="140" spans="1:17">
      <c r="A140" t="s">
        <v>257</v>
      </c>
      <c r="B140">
        <v>2</v>
      </c>
      <c r="C140" s="3">
        <v>46179</v>
      </c>
      <c r="D140" t="s">
        <v>189</v>
      </c>
      <c r="E140" t="s">
        <v>258</v>
      </c>
      <c r="F140" t="s">
        <v>77</v>
      </c>
      <c r="G140" t="s">
        <v>40</v>
      </c>
      <c r="H140" t="s">
        <v>82</v>
      </c>
      <c r="I140">
        <v>3</v>
      </c>
      <c r="J140" s="4">
        <v>4067.38</v>
      </c>
      <c r="K140" s="5">
        <v>0</v>
      </c>
      <c r="L140" s="4">
        <v>2008.57</v>
      </c>
      <c r="M140" t="s">
        <v>42</v>
      </c>
      <c r="N140" t="s">
        <v>45</v>
      </c>
      <c r="O140">
        <f>IF(TablaVentas[[#This Row],[Precio_unitario]]="","PENDIENTE",TablaVentas[[#This Row],[Unidades]]*TablaVentas[[#This Row],[Precio_unitario]]*(1-TablaVentas[[#This Row],[Descuento_pct]]))</f>
        <v>12202.14</v>
      </c>
      <c r="P140">
        <f>IF(TablaVentas[[#This Row],[Costo_unitario]]="","PENDIENTE",TablaVentas[[#This Row],[Unidades]]*TablaVentas[[#This Row],[Costo_unitario]])</f>
        <v>6025.71</v>
      </c>
      <c r="Q140">
        <f>IF(OR(TablaVentas[[#This Row],[Ingreso_neto]]="PENDIENTE",TablaVentas[[#This Row],[Costo_total]]="PENDIENTE"),"PENDIENTE",TablaVentas[[#This Row],[Ingreso_neto]]-TablaVentas[[#This Row],[Costo_total]])</f>
        <v>6176.4299999999994</v>
      </c>
    </row>
    <row r="141" spans="1:17">
      <c r="A141" t="s">
        <v>259</v>
      </c>
      <c r="B141">
        <v>1</v>
      </c>
      <c r="C141" s="3">
        <v>46184</v>
      </c>
      <c r="D141" t="s">
        <v>169</v>
      </c>
      <c r="E141" t="s">
        <v>160</v>
      </c>
      <c r="F141" t="s">
        <v>77</v>
      </c>
      <c r="G141" t="s">
        <v>57</v>
      </c>
      <c r="H141" t="s">
        <v>184</v>
      </c>
      <c r="I141">
        <v>1</v>
      </c>
      <c r="J141" s="4">
        <v>7191.69</v>
      </c>
      <c r="K141" s="5">
        <v>0.05</v>
      </c>
      <c r="L141" s="4">
        <v>4082.15</v>
      </c>
      <c r="M141" t="s">
        <v>42</v>
      </c>
      <c r="N141" t="s">
        <v>45</v>
      </c>
      <c r="O141">
        <f>IF(TablaVentas[[#This Row],[Precio_unitario]]="","PENDIENTE",TablaVentas[[#This Row],[Unidades]]*TablaVentas[[#This Row],[Precio_unitario]]*(1-TablaVentas[[#This Row],[Descuento_pct]]))</f>
        <v>6832.1054999999997</v>
      </c>
      <c r="P141">
        <f>IF(TablaVentas[[#This Row],[Costo_unitario]]="","PENDIENTE",TablaVentas[[#This Row],[Unidades]]*TablaVentas[[#This Row],[Costo_unitario]])</f>
        <v>4082.15</v>
      </c>
      <c r="Q141">
        <f>IF(OR(TablaVentas[[#This Row],[Ingreso_neto]]="PENDIENTE",TablaVentas[[#This Row],[Costo_total]]="PENDIENTE"),"PENDIENTE",TablaVentas[[#This Row],[Ingreso_neto]]-TablaVentas[[#This Row],[Costo_total]])</f>
        <v>2749.9554999999996</v>
      </c>
    </row>
    <row r="142" spans="1:17">
      <c r="A142" t="s">
        <v>259</v>
      </c>
      <c r="B142">
        <v>2</v>
      </c>
      <c r="C142" s="3">
        <v>46184</v>
      </c>
      <c r="D142" t="s">
        <v>169</v>
      </c>
      <c r="E142" t="s">
        <v>151</v>
      </c>
      <c r="F142" t="s">
        <v>77</v>
      </c>
      <c r="G142" t="s">
        <v>57</v>
      </c>
      <c r="H142" t="s">
        <v>184</v>
      </c>
      <c r="I142">
        <v>8</v>
      </c>
      <c r="J142" s="4">
        <v>17937.98</v>
      </c>
      <c r="K142" s="5">
        <v>0</v>
      </c>
      <c r="L142" s="4">
        <v>8963.23</v>
      </c>
      <c r="M142" t="s">
        <v>42</v>
      </c>
      <c r="N142" t="s">
        <v>45</v>
      </c>
      <c r="O142">
        <f>IF(TablaVentas[[#This Row],[Precio_unitario]]="","PENDIENTE",TablaVentas[[#This Row],[Unidades]]*TablaVentas[[#This Row],[Precio_unitario]]*(1-TablaVentas[[#This Row],[Descuento_pct]]))</f>
        <v>143503.84</v>
      </c>
      <c r="P142">
        <f>IF(TablaVentas[[#This Row],[Costo_unitario]]="","PENDIENTE",TablaVentas[[#This Row],[Unidades]]*TablaVentas[[#This Row],[Costo_unitario]])</f>
        <v>71705.84</v>
      </c>
      <c r="Q142">
        <f>IF(OR(TablaVentas[[#This Row],[Ingreso_neto]]="PENDIENTE",TablaVentas[[#This Row],[Costo_total]]="PENDIENTE"),"PENDIENTE",TablaVentas[[#This Row],[Ingreso_neto]]-TablaVentas[[#This Row],[Costo_total]])</f>
        <v>71798</v>
      </c>
    </row>
    <row r="143" spans="1:17">
      <c r="A143" t="s">
        <v>259</v>
      </c>
      <c r="B143">
        <v>3</v>
      </c>
      <c r="C143" s="3">
        <v>46184</v>
      </c>
      <c r="D143" t="s">
        <v>169</v>
      </c>
      <c r="E143" t="s">
        <v>233</v>
      </c>
      <c r="F143" t="s">
        <v>77</v>
      </c>
      <c r="G143" t="s">
        <v>57</v>
      </c>
      <c r="H143" t="s">
        <v>184</v>
      </c>
      <c r="I143">
        <v>3</v>
      </c>
      <c r="J143" s="4">
        <v>9642.65</v>
      </c>
      <c r="K143" s="5">
        <v>0.2</v>
      </c>
      <c r="L143" s="4">
        <v>5932.12</v>
      </c>
      <c r="M143" t="s">
        <v>42</v>
      </c>
      <c r="N143" t="s">
        <v>43</v>
      </c>
      <c r="O143">
        <f>IF(TablaVentas[[#This Row],[Precio_unitario]]="","PENDIENTE",TablaVentas[[#This Row],[Unidades]]*TablaVentas[[#This Row],[Precio_unitario]]*(1-TablaVentas[[#This Row],[Descuento_pct]]))</f>
        <v>23142.36</v>
      </c>
      <c r="P143">
        <f>IF(TablaVentas[[#This Row],[Costo_unitario]]="","PENDIENTE",TablaVentas[[#This Row],[Unidades]]*TablaVentas[[#This Row],[Costo_unitario]])</f>
        <v>17796.36</v>
      </c>
      <c r="Q143">
        <f>IF(OR(TablaVentas[[#This Row],[Ingreso_neto]]="PENDIENTE",TablaVentas[[#This Row],[Costo_total]]="PENDIENTE"),"PENDIENTE",TablaVentas[[#This Row],[Ingreso_neto]]-TablaVentas[[#This Row],[Costo_total]])</f>
        <v>5346</v>
      </c>
    </row>
    <row r="144" spans="1:17">
      <c r="A144" t="s">
        <v>260</v>
      </c>
      <c r="B144">
        <v>1</v>
      </c>
      <c r="C144" s="3">
        <v>46238</v>
      </c>
      <c r="D144" t="s">
        <v>261</v>
      </c>
      <c r="E144" t="s">
        <v>262</v>
      </c>
      <c r="F144" t="s">
        <v>56</v>
      </c>
      <c r="G144" t="s">
        <v>40</v>
      </c>
      <c r="H144" t="s">
        <v>82</v>
      </c>
      <c r="I144">
        <v>3</v>
      </c>
      <c r="J144" s="4">
        <v>12615.46</v>
      </c>
      <c r="K144" s="5">
        <v>0.05</v>
      </c>
      <c r="L144" s="4">
        <v>8227.4599999999991</v>
      </c>
      <c r="M144" t="s">
        <v>42</v>
      </c>
      <c r="N144" t="s">
        <v>52</v>
      </c>
      <c r="O144">
        <f>IF(TablaVentas[[#This Row],[Precio_unitario]]="","PENDIENTE",TablaVentas[[#This Row],[Unidades]]*TablaVentas[[#This Row],[Precio_unitario]]*(1-TablaVentas[[#This Row],[Descuento_pct]]))</f>
        <v>35954.060999999994</v>
      </c>
      <c r="P144">
        <f>IF(TablaVentas[[#This Row],[Costo_unitario]]="","PENDIENTE",TablaVentas[[#This Row],[Unidades]]*TablaVentas[[#This Row],[Costo_unitario]])</f>
        <v>24682.379999999997</v>
      </c>
      <c r="Q144">
        <f>IF(OR(TablaVentas[[#This Row],[Ingreso_neto]]="PENDIENTE",TablaVentas[[#This Row],[Costo_total]]="PENDIENTE"),"PENDIENTE",TablaVentas[[#This Row],[Ingreso_neto]]-TablaVentas[[#This Row],[Costo_total]])</f>
        <v>11271.680999999997</v>
      </c>
    </row>
    <row r="145" spans="1:17">
      <c r="A145" t="s">
        <v>263</v>
      </c>
      <c r="B145">
        <v>1</v>
      </c>
      <c r="C145" s="3">
        <v>46107</v>
      </c>
      <c r="D145" t="s">
        <v>264</v>
      </c>
      <c r="E145" t="s">
        <v>163</v>
      </c>
      <c r="F145" t="s">
        <v>66</v>
      </c>
      <c r="G145" t="s">
        <v>57</v>
      </c>
      <c r="H145" t="s">
        <v>41</v>
      </c>
      <c r="I145">
        <v>2</v>
      </c>
      <c r="J145" s="4">
        <v>16479.759999999998</v>
      </c>
      <c r="K145" s="5">
        <v>0.05</v>
      </c>
      <c r="L145" s="4">
        <v>12141.44</v>
      </c>
      <c r="M145" t="s">
        <v>42</v>
      </c>
      <c r="N145" t="s">
        <v>45</v>
      </c>
      <c r="O145">
        <f>IF(TablaVentas[[#This Row],[Precio_unitario]]="","PENDIENTE",TablaVentas[[#This Row],[Unidades]]*TablaVentas[[#This Row],[Precio_unitario]]*(1-TablaVentas[[#This Row],[Descuento_pct]]))</f>
        <v>31311.543999999994</v>
      </c>
      <c r="P145">
        <f>IF(TablaVentas[[#This Row],[Costo_unitario]]="","PENDIENTE",TablaVentas[[#This Row],[Unidades]]*TablaVentas[[#This Row],[Costo_unitario]])</f>
        <v>24282.880000000001</v>
      </c>
      <c r="Q145">
        <f>IF(OR(TablaVentas[[#This Row],[Ingreso_neto]]="PENDIENTE",TablaVentas[[#This Row],[Costo_total]]="PENDIENTE"),"PENDIENTE",TablaVentas[[#This Row],[Ingreso_neto]]-TablaVentas[[#This Row],[Costo_total]])</f>
        <v>7028.6639999999934</v>
      </c>
    </row>
    <row r="146" spans="1:17">
      <c r="A146" t="s">
        <v>263</v>
      </c>
      <c r="B146">
        <v>2</v>
      </c>
      <c r="C146" s="3">
        <v>46107</v>
      </c>
      <c r="D146" t="s">
        <v>264</v>
      </c>
      <c r="E146" t="s">
        <v>55</v>
      </c>
      <c r="F146" t="s">
        <v>66</v>
      </c>
      <c r="G146" t="s">
        <v>57</v>
      </c>
      <c r="H146" t="s">
        <v>41</v>
      </c>
      <c r="I146">
        <v>1</v>
      </c>
      <c r="J146" s="4">
        <v>12685.23</v>
      </c>
      <c r="K146" s="5">
        <v>0.2</v>
      </c>
      <c r="L146" s="4">
        <v>6407.85</v>
      </c>
      <c r="M146" t="s">
        <v>42</v>
      </c>
      <c r="N146" t="s">
        <v>60</v>
      </c>
      <c r="O146">
        <f>IF(TablaVentas[[#This Row],[Precio_unitario]]="","PENDIENTE",TablaVentas[[#This Row],[Unidades]]*TablaVentas[[#This Row],[Precio_unitario]]*(1-TablaVentas[[#This Row],[Descuento_pct]]))</f>
        <v>10148.184000000001</v>
      </c>
      <c r="P146">
        <f>IF(TablaVentas[[#This Row],[Costo_unitario]]="","PENDIENTE",TablaVentas[[#This Row],[Unidades]]*TablaVentas[[#This Row],[Costo_unitario]])</f>
        <v>6407.85</v>
      </c>
      <c r="Q146">
        <f>IF(OR(TablaVentas[[#This Row],[Ingreso_neto]]="PENDIENTE",TablaVentas[[#This Row],[Costo_total]]="PENDIENTE"),"PENDIENTE",TablaVentas[[#This Row],[Ingreso_neto]]-TablaVentas[[#This Row],[Costo_total]])</f>
        <v>3740.3340000000007</v>
      </c>
    </row>
    <row r="147" spans="1:17">
      <c r="A147" t="s">
        <v>265</v>
      </c>
      <c r="B147">
        <v>1</v>
      </c>
      <c r="C147" s="3">
        <v>46255</v>
      </c>
      <c r="D147" t="s">
        <v>266</v>
      </c>
      <c r="E147" t="s">
        <v>175</v>
      </c>
      <c r="F147" t="s">
        <v>56</v>
      </c>
      <c r="G147" t="s">
        <v>50</v>
      </c>
      <c r="H147" t="s">
        <v>184</v>
      </c>
      <c r="I147">
        <v>1</v>
      </c>
      <c r="J147" s="4">
        <v>2770.05</v>
      </c>
      <c r="K147" s="5">
        <v>0</v>
      </c>
      <c r="L147" s="4">
        <v>1857.39</v>
      </c>
      <c r="M147" t="s">
        <v>42</v>
      </c>
      <c r="N147" t="s">
        <v>60</v>
      </c>
      <c r="O147">
        <f>IF(TablaVentas[[#This Row],[Precio_unitario]]="","PENDIENTE",TablaVentas[[#This Row],[Unidades]]*TablaVentas[[#This Row],[Precio_unitario]]*(1-TablaVentas[[#This Row],[Descuento_pct]]))</f>
        <v>2770.05</v>
      </c>
      <c r="P147">
        <f>IF(TablaVentas[[#This Row],[Costo_unitario]]="","PENDIENTE",TablaVentas[[#This Row],[Unidades]]*TablaVentas[[#This Row],[Costo_unitario]])</f>
        <v>1857.39</v>
      </c>
      <c r="Q147">
        <f>IF(OR(TablaVentas[[#This Row],[Ingreso_neto]]="PENDIENTE",TablaVentas[[#This Row],[Costo_total]]="PENDIENTE"),"PENDIENTE",TablaVentas[[#This Row],[Ingreso_neto]]-TablaVentas[[#This Row],[Costo_total]])</f>
        <v>912.66000000000008</v>
      </c>
    </row>
    <row r="148" spans="1:17">
      <c r="A148" t="s">
        <v>265</v>
      </c>
      <c r="B148">
        <v>2</v>
      </c>
      <c r="C148" s="3">
        <v>46255</v>
      </c>
      <c r="D148" t="s">
        <v>266</v>
      </c>
      <c r="E148" t="s">
        <v>223</v>
      </c>
      <c r="F148" t="s">
        <v>56</v>
      </c>
      <c r="G148" t="s">
        <v>50</v>
      </c>
      <c r="H148" t="s">
        <v>184</v>
      </c>
      <c r="I148">
        <v>3</v>
      </c>
      <c r="J148" s="4">
        <v>6529.34</v>
      </c>
      <c r="K148" s="5">
        <v>0</v>
      </c>
      <c r="L148" s="4">
        <v>3298.19</v>
      </c>
      <c r="M148" t="s">
        <v>42</v>
      </c>
      <c r="N148" t="s">
        <v>43</v>
      </c>
      <c r="O148">
        <f>IF(TablaVentas[[#This Row],[Precio_unitario]]="","PENDIENTE",TablaVentas[[#This Row],[Unidades]]*TablaVentas[[#This Row],[Precio_unitario]]*(1-TablaVentas[[#This Row],[Descuento_pct]]))</f>
        <v>19588.02</v>
      </c>
      <c r="P148">
        <f>IF(TablaVentas[[#This Row],[Costo_unitario]]="","PENDIENTE",TablaVentas[[#This Row],[Unidades]]*TablaVentas[[#This Row],[Costo_unitario]])</f>
        <v>9894.57</v>
      </c>
      <c r="Q148">
        <f>IF(OR(TablaVentas[[#This Row],[Ingreso_neto]]="PENDIENTE",TablaVentas[[#This Row],[Costo_total]]="PENDIENTE"),"PENDIENTE",TablaVentas[[#This Row],[Ingreso_neto]]-TablaVentas[[#This Row],[Costo_total]])</f>
        <v>9693.4500000000007</v>
      </c>
    </row>
    <row r="149" spans="1:17">
      <c r="A149" t="s">
        <v>265</v>
      </c>
      <c r="B149">
        <v>3</v>
      </c>
      <c r="C149" s="3">
        <v>46255</v>
      </c>
      <c r="D149" t="s">
        <v>266</v>
      </c>
      <c r="E149" t="s">
        <v>119</v>
      </c>
      <c r="F149" t="s">
        <v>56</v>
      </c>
      <c r="G149" t="s">
        <v>50</v>
      </c>
      <c r="H149" t="s">
        <v>184</v>
      </c>
      <c r="I149">
        <v>3</v>
      </c>
      <c r="J149" s="4">
        <v>8144.83</v>
      </c>
      <c r="K149" s="5">
        <v>0.15</v>
      </c>
      <c r="L149" s="4">
        <v>6981.94</v>
      </c>
      <c r="M149" t="s">
        <v>42</v>
      </c>
      <c r="N149" t="s">
        <v>45</v>
      </c>
      <c r="O149">
        <f>IF(TablaVentas[[#This Row],[Precio_unitario]]="","PENDIENTE",TablaVentas[[#This Row],[Unidades]]*TablaVentas[[#This Row],[Precio_unitario]]*(1-TablaVentas[[#This Row],[Descuento_pct]]))</f>
        <v>20769.316499999997</v>
      </c>
      <c r="P149">
        <f>IF(TablaVentas[[#This Row],[Costo_unitario]]="","PENDIENTE",TablaVentas[[#This Row],[Unidades]]*TablaVentas[[#This Row],[Costo_unitario]])</f>
        <v>20945.82</v>
      </c>
      <c r="Q149">
        <f>IF(OR(TablaVentas[[#This Row],[Ingreso_neto]]="PENDIENTE",TablaVentas[[#This Row],[Costo_total]]="PENDIENTE"),"PENDIENTE",TablaVentas[[#This Row],[Ingreso_neto]]-TablaVentas[[#This Row],[Costo_total]])</f>
        <v>-176.50350000000253</v>
      </c>
    </row>
    <row r="150" spans="1:17">
      <c r="A150" t="s">
        <v>265</v>
      </c>
      <c r="B150">
        <v>4</v>
      </c>
      <c r="C150" s="3">
        <v>46255</v>
      </c>
      <c r="D150" t="s">
        <v>266</v>
      </c>
      <c r="E150" t="s">
        <v>109</v>
      </c>
      <c r="F150" t="s">
        <v>56</v>
      </c>
      <c r="G150" t="s">
        <v>50</v>
      </c>
      <c r="H150" t="s">
        <v>184</v>
      </c>
      <c r="I150">
        <v>3</v>
      </c>
      <c r="J150" s="4">
        <v>14643.87</v>
      </c>
      <c r="K150" s="5">
        <v>0</v>
      </c>
      <c r="L150" s="4">
        <v>9880.77</v>
      </c>
      <c r="M150" t="s">
        <v>42</v>
      </c>
      <c r="N150" t="s">
        <v>52</v>
      </c>
      <c r="O150">
        <f>IF(TablaVentas[[#This Row],[Precio_unitario]]="","PENDIENTE",TablaVentas[[#This Row],[Unidades]]*TablaVentas[[#This Row],[Precio_unitario]]*(1-TablaVentas[[#This Row],[Descuento_pct]]))</f>
        <v>43931.61</v>
      </c>
      <c r="P150">
        <f>IF(TablaVentas[[#This Row],[Costo_unitario]]="","PENDIENTE",TablaVentas[[#This Row],[Unidades]]*TablaVentas[[#This Row],[Costo_unitario]])</f>
        <v>29642.31</v>
      </c>
      <c r="Q150">
        <f>IF(OR(TablaVentas[[#This Row],[Ingreso_neto]]="PENDIENTE",TablaVentas[[#This Row],[Costo_total]]="PENDIENTE"),"PENDIENTE",TablaVentas[[#This Row],[Ingreso_neto]]-TablaVentas[[#This Row],[Costo_total]])</f>
        <v>14289.3</v>
      </c>
    </row>
    <row r="151" spans="1:17">
      <c r="A151" t="s">
        <v>265</v>
      </c>
      <c r="B151">
        <v>5</v>
      </c>
      <c r="C151" s="3">
        <v>46255</v>
      </c>
      <c r="D151" t="s">
        <v>266</v>
      </c>
      <c r="E151" t="s">
        <v>203</v>
      </c>
      <c r="F151" t="s">
        <v>56</v>
      </c>
      <c r="G151" t="s">
        <v>50</v>
      </c>
      <c r="H151" t="s">
        <v>184</v>
      </c>
      <c r="I151">
        <v>12</v>
      </c>
      <c r="J151" s="4">
        <v>2101.66</v>
      </c>
      <c r="K151" s="5">
        <v>0.1</v>
      </c>
      <c r="L151" s="4">
        <v>1252.8399999999999</v>
      </c>
      <c r="M151" t="s">
        <v>42</v>
      </c>
      <c r="N151" t="s">
        <v>43</v>
      </c>
      <c r="O151">
        <f>IF(TablaVentas[[#This Row],[Precio_unitario]]="","PENDIENTE",TablaVentas[[#This Row],[Unidades]]*TablaVentas[[#This Row],[Precio_unitario]]*(1-TablaVentas[[#This Row],[Descuento_pct]]))</f>
        <v>22697.928</v>
      </c>
      <c r="P151">
        <f>IF(TablaVentas[[#This Row],[Costo_unitario]]="","PENDIENTE",TablaVentas[[#This Row],[Unidades]]*TablaVentas[[#This Row],[Costo_unitario]])</f>
        <v>15034.079999999998</v>
      </c>
      <c r="Q151">
        <f>IF(OR(TablaVentas[[#This Row],[Ingreso_neto]]="PENDIENTE",TablaVentas[[#This Row],[Costo_total]]="PENDIENTE"),"PENDIENTE",TablaVentas[[#This Row],[Ingreso_neto]]-TablaVentas[[#This Row],[Costo_total]])</f>
        <v>7663.8480000000018</v>
      </c>
    </row>
    <row r="152" spans="1:17">
      <c r="A152" t="s">
        <v>267</v>
      </c>
      <c r="B152">
        <v>1</v>
      </c>
      <c r="C152" s="3">
        <v>46097</v>
      </c>
      <c r="D152" t="s">
        <v>268</v>
      </c>
      <c r="E152" t="s">
        <v>206</v>
      </c>
      <c r="F152" t="s">
        <v>56</v>
      </c>
      <c r="G152" t="s">
        <v>40</v>
      </c>
      <c r="H152" t="s">
        <v>124</v>
      </c>
      <c r="I152">
        <v>3</v>
      </c>
      <c r="J152" s="4">
        <v>5737.43</v>
      </c>
      <c r="K152" s="5">
        <v>0</v>
      </c>
      <c r="L152" s="4">
        <v>4008.77</v>
      </c>
      <c r="M152" t="s">
        <v>42</v>
      </c>
      <c r="N152" t="s">
        <v>43</v>
      </c>
      <c r="O152">
        <f>IF(TablaVentas[[#This Row],[Precio_unitario]]="","PENDIENTE",TablaVentas[[#This Row],[Unidades]]*TablaVentas[[#This Row],[Precio_unitario]]*(1-TablaVentas[[#This Row],[Descuento_pct]]))</f>
        <v>17212.29</v>
      </c>
      <c r="P152">
        <f>IF(TablaVentas[[#This Row],[Costo_unitario]]="","PENDIENTE",TablaVentas[[#This Row],[Unidades]]*TablaVentas[[#This Row],[Costo_unitario]])</f>
        <v>12026.31</v>
      </c>
      <c r="Q152">
        <f>IF(OR(TablaVentas[[#This Row],[Ingreso_neto]]="PENDIENTE",TablaVentas[[#This Row],[Costo_total]]="PENDIENTE"),"PENDIENTE",TablaVentas[[#This Row],[Ingreso_neto]]-TablaVentas[[#This Row],[Costo_total]])</f>
        <v>5185.9800000000014</v>
      </c>
    </row>
    <row r="153" spans="1:17">
      <c r="A153" t="s">
        <v>269</v>
      </c>
      <c r="B153">
        <v>1</v>
      </c>
      <c r="C153" s="3">
        <v>46169</v>
      </c>
      <c r="D153" t="s">
        <v>270</v>
      </c>
      <c r="E153" t="s">
        <v>271</v>
      </c>
      <c r="F153" t="s">
        <v>56</v>
      </c>
      <c r="G153" t="s">
        <v>57</v>
      </c>
      <c r="H153" t="s">
        <v>129</v>
      </c>
      <c r="I153">
        <v>1</v>
      </c>
      <c r="J153" s="4">
        <v>977.67</v>
      </c>
      <c r="K153" s="5">
        <v>0</v>
      </c>
      <c r="L153" s="4">
        <v>759.03</v>
      </c>
      <c r="M153" t="s">
        <v>42</v>
      </c>
      <c r="N153" t="s">
        <v>60</v>
      </c>
      <c r="O153">
        <f>IF(TablaVentas[[#This Row],[Precio_unitario]]="","PENDIENTE",TablaVentas[[#This Row],[Unidades]]*TablaVentas[[#This Row],[Precio_unitario]]*(1-TablaVentas[[#This Row],[Descuento_pct]]))</f>
        <v>977.67</v>
      </c>
      <c r="P153">
        <f>IF(TablaVentas[[#This Row],[Costo_unitario]]="","PENDIENTE",TablaVentas[[#This Row],[Unidades]]*TablaVentas[[#This Row],[Costo_unitario]])</f>
        <v>759.03</v>
      </c>
      <c r="Q153">
        <f>IF(OR(TablaVentas[[#This Row],[Ingreso_neto]]="PENDIENTE",TablaVentas[[#This Row],[Costo_total]]="PENDIENTE"),"PENDIENTE",TablaVentas[[#This Row],[Ingreso_neto]]-TablaVentas[[#This Row],[Costo_total]])</f>
        <v>218.64</v>
      </c>
    </row>
    <row r="154" spans="1:17">
      <c r="A154" t="s">
        <v>269</v>
      </c>
      <c r="B154">
        <v>2</v>
      </c>
      <c r="C154" s="3">
        <v>46169</v>
      </c>
      <c r="D154" t="s">
        <v>270</v>
      </c>
      <c r="E154" t="s">
        <v>272</v>
      </c>
      <c r="F154" t="s">
        <v>56</v>
      </c>
      <c r="G154" t="s">
        <v>57</v>
      </c>
      <c r="H154" t="s">
        <v>129</v>
      </c>
      <c r="I154">
        <v>3</v>
      </c>
      <c r="J154" s="4">
        <v>668.28</v>
      </c>
      <c r="K154" s="5">
        <v>0</v>
      </c>
      <c r="L154" s="4">
        <v>443</v>
      </c>
      <c r="M154" t="s">
        <v>42</v>
      </c>
      <c r="N154" t="s">
        <v>45</v>
      </c>
      <c r="O154">
        <f>IF(TablaVentas[[#This Row],[Precio_unitario]]="","PENDIENTE",TablaVentas[[#This Row],[Unidades]]*TablaVentas[[#This Row],[Precio_unitario]]*(1-TablaVentas[[#This Row],[Descuento_pct]]))</f>
        <v>2004.84</v>
      </c>
      <c r="P154">
        <f>IF(TablaVentas[[#This Row],[Costo_unitario]]="","PENDIENTE",TablaVentas[[#This Row],[Unidades]]*TablaVentas[[#This Row],[Costo_unitario]])</f>
        <v>1329</v>
      </c>
      <c r="Q154">
        <f>IF(OR(TablaVentas[[#This Row],[Ingreso_neto]]="PENDIENTE",TablaVentas[[#This Row],[Costo_total]]="PENDIENTE"),"PENDIENTE",TablaVentas[[#This Row],[Ingreso_neto]]-TablaVentas[[#This Row],[Costo_total]])</f>
        <v>675.83999999999992</v>
      </c>
    </row>
    <row r="155" spans="1:17">
      <c r="A155" t="s">
        <v>269</v>
      </c>
      <c r="B155">
        <v>3</v>
      </c>
      <c r="C155" s="3">
        <v>46169</v>
      </c>
      <c r="D155" t="s">
        <v>270</v>
      </c>
      <c r="E155" t="s">
        <v>273</v>
      </c>
      <c r="F155" t="s">
        <v>56</v>
      </c>
      <c r="G155" t="s">
        <v>57</v>
      </c>
      <c r="H155" t="s">
        <v>129</v>
      </c>
      <c r="I155">
        <v>2</v>
      </c>
      <c r="J155" s="4">
        <v>1424.27</v>
      </c>
      <c r="K155" s="5">
        <v>0</v>
      </c>
      <c r="L155" s="4">
        <v>716.26</v>
      </c>
      <c r="M155" t="s">
        <v>42</v>
      </c>
      <c r="N155" t="s">
        <v>43</v>
      </c>
      <c r="O155">
        <f>IF(TablaVentas[[#This Row],[Precio_unitario]]="","PENDIENTE",TablaVentas[[#This Row],[Unidades]]*TablaVentas[[#This Row],[Precio_unitario]]*(1-TablaVentas[[#This Row],[Descuento_pct]]))</f>
        <v>2848.54</v>
      </c>
      <c r="P155">
        <f>IF(TablaVentas[[#This Row],[Costo_unitario]]="","PENDIENTE",TablaVentas[[#This Row],[Unidades]]*TablaVentas[[#This Row],[Costo_unitario]])</f>
        <v>1432.52</v>
      </c>
      <c r="Q155">
        <f>IF(OR(TablaVentas[[#This Row],[Ingreso_neto]]="PENDIENTE",TablaVentas[[#This Row],[Costo_total]]="PENDIENTE"),"PENDIENTE",TablaVentas[[#This Row],[Ingreso_neto]]-TablaVentas[[#This Row],[Costo_total]])</f>
        <v>1416.02</v>
      </c>
    </row>
    <row r="156" spans="1:17">
      <c r="A156" t="s">
        <v>274</v>
      </c>
      <c r="B156">
        <v>1</v>
      </c>
      <c r="C156" s="3">
        <v>46085</v>
      </c>
      <c r="D156" t="s">
        <v>108</v>
      </c>
      <c r="E156" t="s">
        <v>185</v>
      </c>
      <c r="F156" t="s">
        <v>39</v>
      </c>
      <c r="G156" t="s">
        <v>57</v>
      </c>
      <c r="H156" t="s">
        <v>58</v>
      </c>
      <c r="I156">
        <v>2</v>
      </c>
      <c r="J156" s="4">
        <v>17908.400000000001</v>
      </c>
      <c r="K156" s="5">
        <v>0</v>
      </c>
      <c r="L156" s="4">
        <v>11904.09</v>
      </c>
      <c r="M156" t="s">
        <v>42</v>
      </c>
      <c r="N156" t="s">
        <v>43</v>
      </c>
      <c r="O156">
        <f>IF(TablaVentas[[#This Row],[Precio_unitario]]="","PENDIENTE",TablaVentas[[#This Row],[Unidades]]*TablaVentas[[#This Row],[Precio_unitario]]*(1-TablaVentas[[#This Row],[Descuento_pct]]))</f>
        <v>35816.800000000003</v>
      </c>
      <c r="P156">
        <f>IF(TablaVentas[[#This Row],[Costo_unitario]]="","PENDIENTE",TablaVentas[[#This Row],[Unidades]]*TablaVentas[[#This Row],[Costo_unitario]])</f>
        <v>23808.18</v>
      </c>
      <c r="Q156">
        <f>IF(OR(TablaVentas[[#This Row],[Ingreso_neto]]="PENDIENTE",TablaVentas[[#This Row],[Costo_total]]="PENDIENTE"),"PENDIENTE",TablaVentas[[#This Row],[Ingreso_neto]]-TablaVentas[[#This Row],[Costo_total]])</f>
        <v>12008.620000000003</v>
      </c>
    </row>
    <row r="157" spans="1:17">
      <c r="A157" t="s">
        <v>275</v>
      </c>
      <c r="B157">
        <v>1</v>
      </c>
      <c r="C157" s="3">
        <v>46084</v>
      </c>
      <c r="D157" t="s">
        <v>276</v>
      </c>
      <c r="E157" t="s">
        <v>69</v>
      </c>
      <c r="F157" t="s">
        <v>56</v>
      </c>
      <c r="G157" t="s">
        <v>50</v>
      </c>
      <c r="H157" t="s">
        <v>184</v>
      </c>
      <c r="I157">
        <v>2</v>
      </c>
      <c r="J157" s="4">
        <v>13725.48</v>
      </c>
      <c r="K157" s="5">
        <v>0.15</v>
      </c>
      <c r="L157" s="4">
        <v>10094.26</v>
      </c>
      <c r="M157" t="s">
        <v>42</v>
      </c>
      <c r="N157" t="s">
        <v>60</v>
      </c>
      <c r="O157">
        <f>IF(TablaVentas[[#This Row],[Precio_unitario]]="","PENDIENTE",TablaVentas[[#This Row],[Unidades]]*TablaVentas[[#This Row],[Precio_unitario]]*(1-TablaVentas[[#This Row],[Descuento_pct]]))</f>
        <v>23333.315999999999</v>
      </c>
      <c r="P157">
        <f>IF(TablaVentas[[#This Row],[Costo_unitario]]="","PENDIENTE",TablaVentas[[#This Row],[Unidades]]*TablaVentas[[#This Row],[Costo_unitario]])</f>
        <v>20188.52</v>
      </c>
      <c r="Q157">
        <f>IF(OR(TablaVentas[[#This Row],[Ingreso_neto]]="PENDIENTE",TablaVentas[[#This Row],[Costo_total]]="PENDIENTE"),"PENDIENTE",TablaVentas[[#This Row],[Ingreso_neto]]-TablaVentas[[#This Row],[Costo_total]])</f>
        <v>3144.7959999999985</v>
      </c>
    </row>
    <row r="158" spans="1:17">
      <c r="A158" t="s">
        <v>275</v>
      </c>
      <c r="B158">
        <v>2</v>
      </c>
      <c r="C158" s="3">
        <v>46084</v>
      </c>
      <c r="D158" t="s">
        <v>276</v>
      </c>
      <c r="E158" t="s">
        <v>208</v>
      </c>
      <c r="F158" t="s">
        <v>56</v>
      </c>
      <c r="G158" t="s">
        <v>50</v>
      </c>
      <c r="H158" t="s">
        <v>184</v>
      </c>
      <c r="I158">
        <v>1</v>
      </c>
      <c r="J158" s="4">
        <v>9666.82</v>
      </c>
      <c r="K158" s="5">
        <v>0</v>
      </c>
      <c r="L158" s="4">
        <v>5535.31</v>
      </c>
      <c r="M158" t="s">
        <v>116</v>
      </c>
      <c r="N158" t="s">
        <v>45</v>
      </c>
      <c r="O158">
        <f>IF(TablaVentas[[#This Row],[Precio_unitario]]="","PENDIENTE",TablaVentas[[#This Row],[Unidades]]*TablaVentas[[#This Row],[Precio_unitario]]*(1-TablaVentas[[#This Row],[Descuento_pct]]))</f>
        <v>9666.82</v>
      </c>
      <c r="P158">
        <f>IF(TablaVentas[[#This Row],[Costo_unitario]]="","PENDIENTE",TablaVentas[[#This Row],[Unidades]]*TablaVentas[[#This Row],[Costo_unitario]])</f>
        <v>5535.31</v>
      </c>
      <c r="Q158">
        <f>IF(OR(TablaVentas[[#This Row],[Ingreso_neto]]="PENDIENTE",TablaVentas[[#This Row],[Costo_total]]="PENDIENTE"),"PENDIENTE",TablaVentas[[#This Row],[Ingreso_neto]]-TablaVentas[[#This Row],[Costo_total]])</f>
        <v>4131.5099999999993</v>
      </c>
    </row>
    <row r="159" spans="1:17">
      <c r="A159" t="s">
        <v>275</v>
      </c>
      <c r="B159">
        <v>3</v>
      </c>
      <c r="C159" s="3">
        <v>46084</v>
      </c>
      <c r="D159" t="s">
        <v>276</v>
      </c>
      <c r="E159" t="s">
        <v>277</v>
      </c>
      <c r="F159" t="s">
        <v>56</v>
      </c>
      <c r="G159" t="s">
        <v>50</v>
      </c>
      <c r="H159" t="s">
        <v>184</v>
      </c>
      <c r="I159">
        <v>3</v>
      </c>
      <c r="J159" s="4">
        <v>6535.31</v>
      </c>
      <c r="K159" s="5">
        <v>0.05</v>
      </c>
      <c r="L159" s="4">
        <v>4858.08</v>
      </c>
      <c r="M159" t="s">
        <v>42</v>
      </c>
      <c r="N159" t="s">
        <v>45</v>
      </c>
      <c r="O159">
        <f>IF(TablaVentas[[#This Row],[Precio_unitario]]="","PENDIENTE",TablaVentas[[#This Row],[Unidades]]*TablaVentas[[#This Row],[Precio_unitario]]*(1-TablaVentas[[#This Row],[Descuento_pct]]))</f>
        <v>18625.6335</v>
      </c>
      <c r="P159">
        <f>IF(TablaVentas[[#This Row],[Costo_unitario]]="","PENDIENTE",TablaVentas[[#This Row],[Unidades]]*TablaVentas[[#This Row],[Costo_unitario]])</f>
        <v>14574.24</v>
      </c>
      <c r="Q159">
        <f>IF(OR(TablaVentas[[#This Row],[Ingreso_neto]]="PENDIENTE",TablaVentas[[#This Row],[Costo_total]]="PENDIENTE"),"PENDIENTE",TablaVentas[[#This Row],[Ingreso_neto]]-TablaVentas[[#This Row],[Costo_total]])</f>
        <v>4051.3935000000001</v>
      </c>
    </row>
    <row r="160" spans="1:17">
      <c r="A160" t="s">
        <v>275</v>
      </c>
      <c r="B160">
        <v>4</v>
      </c>
      <c r="C160" s="3">
        <v>46084</v>
      </c>
      <c r="D160" t="s">
        <v>276</v>
      </c>
      <c r="E160" t="s">
        <v>38</v>
      </c>
      <c r="F160" t="s">
        <v>56</v>
      </c>
      <c r="G160" t="s">
        <v>50</v>
      </c>
      <c r="H160" t="s">
        <v>184</v>
      </c>
      <c r="I160">
        <v>1</v>
      </c>
      <c r="J160" s="4">
        <v>5278.44</v>
      </c>
      <c r="K160" s="5">
        <v>0.2</v>
      </c>
      <c r="L160" s="4">
        <v>3832.69</v>
      </c>
      <c r="M160" t="s">
        <v>42</v>
      </c>
      <c r="N160" t="s">
        <v>52</v>
      </c>
      <c r="O160">
        <f>IF(TablaVentas[[#This Row],[Precio_unitario]]="","PENDIENTE",TablaVentas[[#This Row],[Unidades]]*TablaVentas[[#This Row],[Precio_unitario]]*(1-TablaVentas[[#This Row],[Descuento_pct]]))</f>
        <v>4222.7519999999995</v>
      </c>
      <c r="P160">
        <f>IF(TablaVentas[[#This Row],[Costo_unitario]]="","PENDIENTE",TablaVentas[[#This Row],[Unidades]]*TablaVentas[[#This Row],[Costo_unitario]])</f>
        <v>3832.69</v>
      </c>
      <c r="Q160">
        <f>IF(OR(TablaVentas[[#This Row],[Ingreso_neto]]="PENDIENTE",TablaVentas[[#This Row],[Costo_total]]="PENDIENTE"),"PENDIENTE",TablaVentas[[#This Row],[Ingreso_neto]]-TablaVentas[[#This Row],[Costo_total]])</f>
        <v>390.06199999999944</v>
      </c>
    </row>
    <row r="161" spans="1:17">
      <c r="A161" t="s">
        <v>278</v>
      </c>
      <c r="B161">
        <v>1</v>
      </c>
      <c r="C161" s="3">
        <v>46043</v>
      </c>
      <c r="D161" t="s">
        <v>279</v>
      </c>
      <c r="E161" t="s">
        <v>125</v>
      </c>
      <c r="F161" t="s">
        <v>77</v>
      </c>
      <c r="G161" t="s">
        <v>57</v>
      </c>
      <c r="H161" t="s">
        <v>51</v>
      </c>
      <c r="I161">
        <v>1</v>
      </c>
      <c r="J161" s="4">
        <v>1650.14</v>
      </c>
      <c r="K161" s="5">
        <v>0</v>
      </c>
      <c r="L161" s="4">
        <v>1044.32</v>
      </c>
      <c r="M161" t="s">
        <v>42</v>
      </c>
      <c r="N161" t="s">
        <v>60</v>
      </c>
      <c r="O161">
        <f>IF(TablaVentas[[#This Row],[Precio_unitario]]="","PENDIENTE",TablaVentas[[#This Row],[Unidades]]*TablaVentas[[#This Row],[Precio_unitario]]*(1-TablaVentas[[#This Row],[Descuento_pct]]))</f>
        <v>1650.14</v>
      </c>
      <c r="P161">
        <f>IF(TablaVentas[[#This Row],[Costo_unitario]]="","PENDIENTE",TablaVentas[[#This Row],[Unidades]]*TablaVentas[[#This Row],[Costo_unitario]])</f>
        <v>1044.32</v>
      </c>
      <c r="Q161">
        <f>IF(OR(TablaVentas[[#This Row],[Ingreso_neto]]="PENDIENTE",TablaVentas[[#This Row],[Costo_total]]="PENDIENTE"),"PENDIENTE",TablaVentas[[#This Row],[Ingreso_neto]]-TablaVentas[[#This Row],[Costo_total]])</f>
        <v>605.82000000000016</v>
      </c>
    </row>
    <row r="162" spans="1:17">
      <c r="A162" t="s">
        <v>278</v>
      </c>
      <c r="B162">
        <v>2</v>
      </c>
      <c r="C162" s="3">
        <v>46043</v>
      </c>
      <c r="D162" t="s">
        <v>279</v>
      </c>
      <c r="E162" t="s">
        <v>119</v>
      </c>
      <c r="F162" t="s">
        <v>77</v>
      </c>
      <c r="G162" t="s">
        <v>57</v>
      </c>
      <c r="H162" t="s">
        <v>51</v>
      </c>
      <c r="I162">
        <v>2</v>
      </c>
      <c r="J162" s="4">
        <v>9192.9599999999991</v>
      </c>
      <c r="K162" s="5">
        <v>0</v>
      </c>
      <c r="L162" s="4">
        <v>6981.94</v>
      </c>
      <c r="M162" t="s">
        <v>42</v>
      </c>
      <c r="N162" t="s">
        <v>45</v>
      </c>
      <c r="O162">
        <f>IF(TablaVentas[[#This Row],[Precio_unitario]]="","PENDIENTE",TablaVentas[[#This Row],[Unidades]]*TablaVentas[[#This Row],[Precio_unitario]]*(1-TablaVentas[[#This Row],[Descuento_pct]]))</f>
        <v>18385.919999999998</v>
      </c>
      <c r="P162">
        <f>IF(TablaVentas[[#This Row],[Costo_unitario]]="","PENDIENTE",TablaVentas[[#This Row],[Unidades]]*TablaVentas[[#This Row],[Costo_unitario]])</f>
        <v>13963.88</v>
      </c>
      <c r="Q162">
        <f>IF(OR(TablaVentas[[#This Row],[Ingreso_neto]]="PENDIENTE",TablaVentas[[#This Row],[Costo_total]]="PENDIENTE"),"PENDIENTE",TablaVentas[[#This Row],[Ingreso_neto]]-TablaVentas[[#This Row],[Costo_total]])</f>
        <v>4422.0399999999991</v>
      </c>
    </row>
    <row r="163" spans="1:17">
      <c r="A163" t="s">
        <v>278</v>
      </c>
      <c r="B163">
        <v>3</v>
      </c>
      <c r="C163" s="3">
        <v>46043</v>
      </c>
      <c r="D163" t="s">
        <v>279</v>
      </c>
      <c r="E163" t="s">
        <v>152</v>
      </c>
      <c r="F163" t="s">
        <v>77</v>
      </c>
      <c r="G163" t="s">
        <v>57</v>
      </c>
      <c r="H163" t="s">
        <v>51</v>
      </c>
      <c r="I163">
        <v>4</v>
      </c>
      <c r="J163" s="4">
        <v>2817.55</v>
      </c>
      <c r="K163" s="5">
        <v>0.05</v>
      </c>
      <c r="L163" s="4">
        <v>1962.3</v>
      </c>
      <c r="M163" t="s">
        <v>42</v>
      </c>
      <c r="N163" t="s">
        <v>45</v>
      </c>
      <c r="O163">
        <f>IF(TablaVentas[[#This Row],[Precio_unitario]]="","PENDIENTE",TablaVentas[[#This Row],[Unidades]]*TablaVentas[[#This Row],[Precio_unitario]]*(1-TablaVentas[[#This Row],[Descuento_pct]]))</f>
        <v>10706.69</v>
      </c>
      <c r="P163">
        <f>IF(TablaVentas[[#This Row],[Costo_unitario]]="","PENDIENTE",TablaVentas[[#This Row],[Unidades]]*TablaVentas[[#This Row],[Costo_unitario]])</f>
        <v>7849.2</v>
      </c>
      <c r="Q163">
        <f>IF(OR(TablaVentas[[#This Row],[Ingreso_neto]]="PENDIENTE",TablaVentas[[#This Row],[Costo_total]]="PENDIENTE"),"PENDIENTE",TablaVentas[[#This Row],[Ingreso_neto]]-TablaVentas[[#This Row],[Costo_total]])</f>
        <v>2857.4900000000007</v>
      </c>
    </row>
    <row r="164" spans="1:17">
      <c r="A164" t="s">
        <v>280</v>
      </c>
      <c r="B164">
        <v>1</v>
      </c>
      <c r="C164" s="3">
        <v>46029</v>
      </c>
      <c r="D164" t="s">
        <v>281</v>
      </c>
      <c r="E164" t="s">
        <v>282</v>
      </c>
      <c r="F164" t="s">
        <v>77</v>
      </c>
      <c r="G164" t="s">
        <v>57</v>
      </c>
      <c r="H164" t="s">
        <v>58</v>
      </c>
      <c r="I164">
        <v>1</v>
      </c>
      <c r="J164" s="4">
        <v>3898.1</v>
      </c>
      <c r="K164" s="5">
        <v>0.2</v>
      </c>
      <c r="L164" s="4">
        <v>3399.5</v>
      </c>
      <c r="M164" t="s">
        <v>42</v>
      </c>
      <c r="N164" t="s">
        <v>52</v>
      </c>
      <c r="O164">
        <f>IF(TablaVentas[[#This Row],[Precio_unitario]]="","PENDIENTE",TablaVentas[[#This Row],[Unidades]]*TablaVentas[[#This Row],[Precio_unitario]]*(1-TablaVentas[[#This Row],[Descuento_pct]]))</f>
        <v>3118.48</v>
      </c>
      <c r="P164">
        <f>IF(TablaVentas[[#This Row],[Costo_unitario]]="","PENDIENTE",TablaVentas[[#This Row],[Unidades]]*TablaVentas[[#This Row],[Costo_unitario]])</f>
        <v>3399.5</v>
      </c>
      <c r="Q164">
        <f>IF(OR(TablaVentas[[#This Row],[Ingreso_neto]]="PENDIENTE",TablaVentas[[#This Row],[Costo_total]]="PENDIENTE"),"PENDIENTE",TablaVentas[[#This Row],[Ingreso_neto]]-TablaVentas[[#This Row],[Costo_total]])</f>
        <v>-281.02</v>
      </c>
    </row>
    <row r="165" spans="1:17">
      <c r="A165" t="s">
        <v>280</v>
      </c>
      <c r="B165">
        <v>2</v>
      </c>
      <c r="C165" s="3">
        <v>46029</v>
      </c>
      <c r="D165" t="s">
        <v>281</v>
      </c>
      <c r="E165" t="s">
        <v>70</v>
      </c>
      <c r="F165" t="s">
        <v>77</v>
      </c>
      <c r="G165" t="s">
        <v>57</v>
      </c>
      <c r="H165" t="s">
        <v>58</v>
      </c>
      <c r="I165">
        <v>12</v>
      </c>
      <c r="J165" s="4">
        <v>14933.82</v>
      </c>
      <c r="K165" s="5">
        <v>0.1</v>
      </c>
      <c r="L165" s="4">
        <v>10571.25</v>
      </c>
      <c r="M165" t="s">
        <v>42</v>
      </c>
      <c r="N165" t="s">
        <v>52</v>
      </c>
      <c r="O165">
        <f>IF(TablaVentas[[#This Row],[Precio_unitario]]="","PENDIENTE",TablaVentas[[#This Row],[Unidades]]*TablaVentas[[#This Row],[Precio_unitario]]*(1-TablaVentas[[#This Row],[Descuento_pct]]))</f>
        <v>161285.25599999999</v>
      </c>
      <c r="P165">
        <f>IF(TablaVentas[[#This Row],[Costo_unitario]]="","PENDIENTE",TablaVentas[[#This Row],[Unidades]]*TablaVentas[[#This Row],[Costo_unitario]])</f>
        <v>126855</v>
      </c>
      <c r="Q165">
        <f>IF(OR(TablaVentas[[#This Row],[Ingreso_neto]]="PENDIENTE",TablaVentas[[#This Row],[Costo_total]]="PENDIENTE"),"PENDIENTE",TablaVentas[[#This Row],[Ingreso_neto]]-TablaVentas[[#This Row],[Costo_total]])</f>
        <v>34430.255999999994</v>
      </c>
    </row>
    <row r="166" spans="1:17">
      <c r="A166" t="s">
        <v>280</v>
      </c>
      <c r="B166">
        <v>3</v>
      </c>
      <c r="C166" s="3">
        <v>46029</v>
      </c>
      <c r="D166" t="s">
        <v>281</v>
      </c>
      <c r="E166" t="s">
        <v>164</v>
      </c>
      <c r="F166" t="s">
        <v>77</v>
      </c>
      <c r="G166" t="s">
        <v>57</v>
      </c>
      <c r="H166" t="s">
        <v>58</v>
      </c>
      <c r="I166">
        <v>5</v>
      </c>
      <c r="J166" s="4">
        <v>5604.88</v>
      </c>
      <c r="K166" s="5">
        <v>0.2</v>
      </c>
      <c r="L166" s="4">
        <v>5050.04</v>
      </c>
      <c r="M166" t="s">
        <v>42</v>
      </c>
      <c r="N166" t="s">
        <v>43</v>
      </c>
      <c r="O166">
        <f>IF(TablaVentas[[#This Row],[Precio_unitario]]="","PENDIENTE",TablaVentas[[#This Row],[Unidades]]*TablaVentas[[#This Row],[Precio_unitario]]*(1-TablaVentas[[#This Row],[Descuento_pct]]))</f>
        <v>22419.520000000004</v>
      </c>
      <c r="P166">
        <f>IF(TablaVentas[[#This Row],[Costo_unitario]]="","PENDIENTE",TablaVentas[[#This Row],[Unidades]]*TablaVentas[[#This Row],[Costo_unitario]])</f>
        <v>25250.2</v>
      </c>
      <c r="Q166">
        <f>IF(OR(TablaVentas[[#This Row],[Ingreso_neto]]="PENDIENTE",TablaVentas[[#This Row],[Costo_total]]="PENDIENTE"),"PENDIENTE",TablaVentas[[#This Row],[Ingreso_neto]]-TablaVentas[[#This Row],[Costo_total]])</f>
        <v>-2830.6799999999967</v>
      </c>
    </row>
    <row r="167" spans="1:17">
      <c r="A167" t="s">
        <v>283</v>
      </c>
      <c r="B167">
        <v>1</v>
      </c>
      <c r="C167" s="3">
        <v>46026</v>
      </c>
      <c r="D167" t="s">
        <v>284</v>
      </c>
      <c r="E167" t="s">
        <v>216</v>
      </c>
      <c r="F167" t="s">
        <v>39</v>
      </c>
      <c r="G167" t="s">
        <v>57</v>
      </c>
      <c r="H167" t="s">
        <v>51</v>
      </c>
      <c r="I167">
        <v>3</v>
      </c>
      <c r="J167" s="4">
        <v>15390.71</v>
      </c>
      <c r="K167" s="5">
        <v>0.15</v>
      </c>
      <c r="L167" s="4">
        <v>12064.41</v>
      </c>
      <c r="M167" t="s">
        <v>42</v>
      </c>
      <c r="N167" t="s">
        <v>45</v>
      </c>
      <c r="O167">
        <f>IF(TablaVentas[[#This Row],[Precio_unitario]]="","PENDIENTE",TablaVentas[[#This Row],[Unidades]]*TablaVentas[[#This Row],[Precio_unitario]]*(1-TablaVentas[[#This Row],[Descuento_pct]]))</f>
        <v>39246.3105</v>
      </c>
      <c r="P167">
        <f>IF(TablaVentas[[#This Row],[Costo_unitario]]="","PENDIENTE",TablaVentas[[#This Row],[Unidades]]*TablaVentas[[#This Row],[Costo_unitario]])</f>
        <v>36193.229999999996</v>
      </c>
      <c r="Q167">
        <f>IF(OR(TablaVentas[[#This Row],[Ingreso_neto]]="PENDIENTE",TablaVentas[[#This Row],[Costo_total]]="PENDIENTE"),"PENDIENTE",TablaVentas[[#This Row],[Ingreso_neto]]-TablaVentas[[#This Row],[Costo_total]])</f>
        <v>3053.0805000000037</v>
      </c>
    </row>
    <row r="168" spans="1:17">
      <c r="A168" t="s">
        <v>283</v>
      </c>
      <c r="B168">
        <v>2</v>
      </c>
      <c r="C168" s="3">
        <v>46026</v>
      </c>
      <c r="D168" t="s">
        <v>284</v>
      </c>
      <c r="E168" t="s">
        <v>226</v>
      </c>
      <c r="F168" t="s">
        <v>39</v>
      </c>
      <c r="G168" t="s">
        <v>57</v>
      </c>
      <c r="H168" t="s">
        <v>51</v>
      </c>
      <c r="I168">
        <v>1</v>
      </c>
      <c r="J168" s="4">
        <v>16444.830000000002</v>
      </c>
      <c r="K168" s="5">
        <v>0.2</v>
      </c>
      <c r="L168" s="4">
        <v>9976.68</v>
      </c>
      <c r="M168" t="s">
        <v>42</v>
      </c>
      <c r="N168" t="s">
        <v>43</v>
      </c>
      <c r="O168">
        <f>IF(TablaVentas[[#This Row],[Precio_unitario]]="","PENDIENTE",TablaVentas[[#This Row],[Unidades]]*TablaVentas[[#This Row],[Precio_unitario]]*(1-TablaVentas[[#This Row],[Descuento_pct]]))</f>
        <v>13155.864000000001</v>
      </c>
      <c r="P168">
        <f>IF(TablaVentas[[#This Row],[Costo_unitario]]="","PENDIENTE",TablaVentas[[#This Row],[Unidades]]*TablaVentas[[#This Row],[Costo_unitario]])</f>
        <v>9976.68</v>
      </c>
      <c r="Q168">
        <f>IF(OR(TablaVentas[[#This Row],[Ingreso_neto]]="PENDIENTE",TablaVentas[[#This Row],[Costo_total]]="PENDIENTE"),"PENDIENTE",TablaVentas[[#This Row],[Ingreso_neto]]-TablaVentas[[#This Row],[Costo_total]])</f>
        <v>3179.1840000000011</v>
      </c>
    </row>
    <row r="169" spans="1:17">
      <c r="A169" t="s">
        <v>283</v>
      </c>
      <c r="B169">
        <v>3</v>
      </c>
      <c r="C169" s="3">
        <v>46026</v>
      </c>
      <c r="D169" t="s">
        <v>284</v>
      </c>
      <c r="E169" t="s">
        <v>128</v>
      </c>
      <c r="F169" t="s">
        <v>39</v>
      </c>
      <c r="G169" t="s">
        <v>57</v>
      </c>
      <c r="H169" t="s">
        <v>51</v>
      </c>
      <c r="I169">
        <v>1</v>
      </c>
      <c r="J169" s="4">
        <v>1458.99</v>
      </c>
      <c r="K169" s="5">
        <v>0</v>
      </c>
      <c r="L169" s="4">
        <v>900.08</v>
      </c>
      <c r="M169" t="s">
        <v>42</v>
      </c>
      <c r="N169" t="s">
        <v>45</v>
      </c>
      <c r="O169">
        <f>IF(TablaVentas[[#This Row],[Precio_unitario]]="","PENDIENTE",TablaVentas[[#This Row],[Unidades]]*TablaVentas[[#This Row],[Precio_unitario]]*(1-TablaVentas[[#This Row],[Descuento_pct]]))</f>
        <v>1458.99</v>
      </c>
      <c r="P169">
        <f>IF(TablaVentas[[#This Row],[Costo_unitario]]="","PENDIENTE",TablaVentas[[#This Row],[Unidades]]*TablaVentas[[#This Row],[Costo_unitario]])</f>
        <v>900.08</v>
      </c>
      <c r="Q169">
        <f>IF(OR(TablaVentas[[#This Row],[Ingreso_neto]]="PENDIENTE",TablaVentas[[#This Row],[Costo_total]]="PENDIENTE"),"PENDIENTE",TablaVentas[[#This Row],[Ingreso_neto]]-TablaVentas[[#This Row],[Costo_total]])</f>
        <v>558.91</v>
      </c>
    </row>
    <row r="170" spans="1:17">
      <c r="A170" t="s">
        <v>283</v>
      </c>
      <c r="B170">
        <v>4</v>
      </c>
      <c r="C170" s="3">
        <v>46026</v>
      </c>
      <c r="D170" t="s">
        <v>284</v>
      </c>
      <c r="E170" t="s">
        <v>277</v>
      </c>
      <c r="F170" t="s">
        <v>39</v>
      </c>
      <c r="G170" t="s">
        <v>57</v>
      </c>
      <c r="H170" t="s">
        <v>51</v>
      </c>
      <c r="I170">
        <v>3</v>
      </c>
      <c r="J170" s="4">
        <v>6987.86</v>
      </c>
      <c r="K170" s="5">
        <v>0.15</v>
      </c>
      <c r="L170" s="4">
        <v>4858.08</v>
      </c>
      <c r="M170" t="s">
        <v>42</v>
      </c>
      <c r="N170" t="s">
        <v>45</v>
      </c>
      <c r="O170">
        <f>IF(TablaVentas[[#This Row],[Precio_unitario]]="","PENDIENTE",TablaVentas[[#This Row],[Unidades]]*TablaVentas[[#This Row],[Precio_unitario]]*(1-TablaVentas[[#This Row],[Descuento_pct]]))</f>
        <v>17819.042999999998</v>
      </c>
      <c r="P170">
        <f>IF(TablaVentas[[#This Row],[Costo_unitario]]="","PENDIENTE",TablaVentas[[#This Row],[Unidades]]*TablaVentas[[#This Row],[Costo_unitario]])</f>
        <v>14574.24</v>
      </c>
      <c r="Q170">
        <f>IF(OR(TablaVentas[[#This Row],[Ingreso_neto]]="PENDIENTE",TablaVentas[[#This Row],[Costo_total]]="PENDIENTE"),"PENDIENTE",TablaVentas[[#This Row],[Ingreso_neto]]-TablaVentas[[#This Row],[Costo_total]])</f>
        <v>3244.8029999999981</v>
      </c>
    </row>
    <row r="171" spans="1:17">
      <c r="A171" t="s">
        <v>283</v>
      </c>
      <c r="B171">
        <v>5</v>
      </c>
      <c r="C171" s="3">
        <v>46026</v>
      </c>
      <c r="D171" t="s">
        <v>284</v>
      </c>
      <c r="E171" t="s">
        <v>152</v>
      </c>
      <c r="F171" t="s">
        <v>39</v>
      </c>
      <c r="G171" t="s">
        <v>57</v>
      </c>
      <c r="H171" t="s">
        <v>51</v>
      </c>
      <c r="I171">
        <v>1</v>
      </c>
      <c r="J171" s="4">
        <v>2528.67</v>
      </c>
      <c r="K171" s="5">
        <v>0.1</v>
      </c>
      <c r="L171" s="4">
        <v>1962.3</v>
      </c>
      <c r="M171" t="s">
        <v>42</v>
      </c>
      <c r="N171" t="s">
        <v>43</v>
      </c>
      <c r="O171">
        <f>IF(TablaVentas[[#This Row],[Precio_unitario]]="","PENDIENTE",TablaVentas[[#This Row],[Unidades]]*TablaVentas[[#This Row],[Precio_unitario]]*(1-TablaVentas[[#This Row],[Descuento_pct]]))</f>
        <v>2275.8030000000003</v>
      </c>
      <c r="P171">
        <f>IF(TablaVentas[[#This Row],[Costo_unitario]]="","PENDIENTE",TablaVentas[[#This Row],[Unidades]]*TablaVentas[[#This Row],[Costo_unitario]])</f>
        <v>1962.3</v>
      </c>
      <c r="Q171">
        <f>IF(OR(TablaVentas[[#This Row],[Ingreso_neto]]="PENDIENTE",TablaVentas[[#This Row],[Costo_total]]="PENDIENTE"),"PENDIENTE",TablaVentas[[#This Row],[Ingreso_neto]]-TablaVentas[[#This Row],[Costo_total]])</f>
        <v>313.50300000000038</v>
      </c>
    </row>
    <row r="172" spans="1:17">
      <c r="A172" t="s">
        <v>285</v>
      </c>
      <c r="B172">
        <v>1</v>
      </c>
      <c r="C172" s="3">
        <v>46188</v>
      </c>
      <c r="D172" t="s">
        <v>187</v>
      </c>
      <c r="E172" t="s">
        <v>151</v>
      </c>
      <c r="F172" t="s">
        <v>66</v>
      </c>
      <c r="G172" t="s">
        <v>57</v>
      </c>
      <c r="H172" t="s">
        <v>184</v>
      </c>
      <c r="I172">
        <v>2</v>
      </c>
      <c r="J172" s="4">
        <v>16792.830000000002</v>
      </c>
      <c r="K172" s="5">
        <v>0.05</v>
      </c>
      <c r="L172" s="4">
        <v>8963.23</v>
      </c>
      <c r="M172" t="s">
        <v>42</v>
      </c>
      <c r="N172" t="s">
        <v>60</v>
      </c>
      <c r="O172">
        <f>IF(TablaVentas[[#This Row],[Precio_unitario]]="","PENDIENTE",TablaVentas[[#This Row],[Unidades]]*TablaVentas[[#This Row],[Precio_unitario]]*(1-TablaVentas[[#This Row],[Descuento_pct]]))</f>
        <v>31906.377</v>
      </c>
      <c r="P172">
        <f>IF(TablaVentas[[#This Row],[Costo_unitario]]="","PENDIENTE",TablaVentas[[#This Row],[Unidades]]*TablaVentas[[#This Row],[Costo_unitario]])</f>
        <v>17926.46</v>
      </c>
      <c r="Q172">
        <f>IF(OR(TablaVentas[[#This Row],[Ingreso_neto]]="PENDIENTE",TablaVentas[[#This Row],[Costo_total]]="PENDIENTE"),"PENDIENTE",TablaVentas[[#This Row],[Ingreso_neto]]-TablaVentas[[#This Row],[Costo_total]])</f>
        <v>13979.917000000001</v>
      </c>
    </row>
    <row r="173" spans="1:17">
      <c r="A173" t="s">
        <v>285</v>
      </c>
      <c r="B173">
        <v>2</v>
      </c>
      <c r="C173" s="3">
        <v>46188</v>
      </c>
      <c r="D173" t="s">
        <v>187</v>
      </c>
      <c r="E173" t="s">
        <v>159</v>
      </c>
      <c r="F173" t="s">
        <v>66</v>
      </c>
      <c r="G173" t="s">
        <v>57</v>
      </c>
      <c r="H173" t="s">
        <v>184</v>
      </c>
      <c r="I173">
        <v>1</v>
      </c>
      <c r="J173" s="4">
        <v>12784.99</v>
      </c>
      <c r="K173" s="5">
        <v>0</v>
      </c>
      <c r="L173" s="4">
        <v>9317.3700000000008</v>
      </c>
      <c r="M173" t="s">
        <v>42</v>
      </c>
      <c r="N173" t="s">
        <v>43</v>
      </c>
      <c r="O173">
        <f>IF(TablaVentas[[#This Row],[Precio_unitario]]="","PENDIENTE",TablaVentas[[#This Row],[Unidades]]*TablaVentas[[#This Row],[Precio_unitario]]*(1-TablaVentas[[#This Row],[Descuento_pct]]))</f>
        <v>12784.99</v>
      </c>
      <c r="P173">
        <f>IF(TablaVentas[[#This Row],[Costo_unitario]]="","PENDIENTE",TablaVentas[[#This Row],[Unidades]]*TablaVentas[[#This Row],[Costo_unitario]])</f>
        <v>9317.3700000000008</v>
      </c>
      <c r="Q173">
        <f>IF(OR(TablaVentas[[#This Row],[Ingreso_neto]]="PENDIENTE",TablaVentas[[#This Row],[Costo_total]]="PENDIENTE"),"PENDIENTE",TablaVentas[[#This Row],[Ingreso_neto]]-TablaVentas[[#This Row],[Costo_total]])</f>
        <v>3467.619999999999</v>
      </c>
    </row>
    <row r="174" spans="1:17">
      <c r="A174" t="s">
        <v>285</v>
      </c>
      <c r="B174">
        <v>3</v>
      </c>
      <c r="C174" s="3">
        <v>46188</v>
      </c>
      <c r="D174" t="s">
        <v>187</v>
      </c>
      <c r="E174" t="s">
        <v>227</v>
      </c>
      <c r="F174" t="s">
        <v>66</v>
      </c>
      <c r="G174" t="s">
        <v>57</v>
      </c>
      <c r="H174" t="s">
        <v>184</v>
      </c>
      <c r="I174">
        <v>1</v>
      </c>
      <c r="J174" s="4">
        <v>8539.86</v>
      </c>
      <c r="K174" s="5">
        <v>0.1</v>
      </c>
      <c r="L174" s="4">
        <v>6255.13</v>
      </c>
      <c r="M174" t="s">
        <v>42</v>
      </c>
      <c r="N174" t="s">
        <v>45</v>
      </c>
      <c r="O174">
        <f>IF(TablaVentas[[#This Row],[Precio_unitario]]="","PENDIENTE",TablaVentas[[#This Row],[Unidades]]*TablaVentas[[#This Row],[Precio_unitario]]*(1-TablaVentas[[#This Row],[Descuento_pct]]))</f>
        <v>7685.8740000000007</v>
      </c>
      <c r="P174">
        <f>IF(TablaVentas[[#This Row],[Costo_unitario]]="","PENDIENTE",TablaVentas[[#This Row],[Unidades]]*TablaVentas[[#This Row],[Costo_unitario]])</f>
        <v>6255.13</v>
      </c>
      <c r="Q174">
        <f>IF(OR(TablaVentas[[#This Row],[Ingreso_neto]]="PENDIENTE",TablaVentas[[#This Row],[Costo_total]]="PENDIENTE"),"PENDIENTE",TablaVentas[[#This Row],[Ingreso_neto]]-TablaVentas[[#This Row],[Costo_total]])</f>
        <v>1430.7440000000006</v>
      </c>
    </row>
    <row r="175" spans="1:17">
      <c r="A175" t="s">
        <v>286</v>
      </c>
      <c r="B175">
        <v>1</v>
      </c>
      <c r="C175" s="3">
        <v>46140</v>
      </c>
      <c r="D175" t="s">
        <v>287</v>
      </c>
      <c r="E175" t="s">
        <v>94</v>
      </c>
      <c r="F175" t="s">
        <v>66</v>
      </c>
      <c r="G175" t="s">
        <v>40</v>
      </c>
      <c r="H175" t="s">
        <v>67</v>
      </c>
      <c r="I175">
        <v>3</v>
      </c>
      <c r="J175" s="4">
        <v>7177.07</v>
      </c>
      <c r="K175" s="5">
        <v>0.05</v>
      </c>
      <c r="L175" s="4">
        <v>4538.0600000000004</v>
      </c>
      <c r="M175" t="s">
        <v>42</v>
      </c>
      <c r="N175" t="s">
        <v>45</v>
      </c>
      <c r="O175">
        <f>IF(TablaVentas[[#This Row],[Precio_unitario]]="","PENDIENTE",TablaVentas[[#This Row],[Unidades]]*TablaVentas[[#This Row],[Precio_unitario]]*(1-TablaVentas[[#This Row],[Descuento_pct]]))</f>
        <v>20454.6495</v>
      </c>
      <c r="P175">
        <f>IF(TablaVentas[[#This Row],[Costo_unitario]]="","PENDIENTE",TablaVentas[[#This Row],[Unidades]]*TablaVentas[[#This Row],[Costo_unitario]])</f>
        <v>13614.18</v>
      </c>
      <c r="Q175">
        <f>IF(OR(TablaVentas[[#This Row],[Ingreso_neto]]="PENDIENTE",TablaVentas[[#This Row],[Costo_total]]="PENDIENTE"),"PENDIENTE",TablaVentas[[#This Row],[Ingreso_neto]]-TablaVentas[[#This Row],[Costo_total]])</f>
        <v>6840.4694999999992</v>
      </c>
    </row>
    <row r="176" spans="1:17">
      <c r="A176" t="s">
        <v>286</v>
      </c>
      <c r="B176">
        <v>2</v>
      </c>
      <c r="C176" s="3">
        <v>46140</v>
      </c>
      <c r="D176" t="s">
        <v>287</v>
      </c>
      <c r="E176" t="s">
        <v>262</v>
      </c>
      <c r="F176" t="s">
        <v>66</v>
      </c>
      <c r="G176" t="s">
        <v>40</v>
      </c>
      <c r="H176" t="s">
        <v>67</v>
      </c>
      <c r="I176">
        <v>1</v>
      </c>
      <c r="J176" s="4">
        <v>14756.61</v>
      </c>
      <c r="K176" s="5">
        <v>0</v>
      </c>
      <c r="L176" s="4">
        <v>8227.4599999999991</v>
      </c>
      <c r="M176" t="s">
        <v>42</v>
      </c>
      <c r="N176" t="s">
        <v>52</v>
      </c>
      <c r="O176">
        <f>IF(TablaVentas[[#This Row],[Precio_unitario]]="","PENDIENTE",TablaVentas[[#This Row],[Unidades]]*TablaVentas[[#This Row],[Precio_unitario]]*(1-TablaVentas[[#This Row],[Descuento_pct]]))</f>
        <v>14756.61</v>
      </c>
      <c r="P176">
        <f>IF(TablaVentas[[#This Row],[Costo_unitario]]="","PENDIENTE",TablaVentas[[#This Row],[Unidades]]*TablaVentas[[#This Row],[Costo_unitario]])</f>
        <v>8227.4599999999991</v>
      </c>
      <c r="Q176">
        <f>IF(OR(TablaVentas[[#This Row],[Ingreso_neto]]="PENDIENTE",TablaVentas[[#This Row],[Costo_total]]="PENDIENTE"),"PENDIENTE",TablaVentas[[#This Row],[Ingreso_neto]]-TablaVentas[[#This Row],[Costo_total]])</f>
        <v>6529.1500000000015</v>
      </c>
    </row>
    <row r="177" spans="1:17">
      <c r="A177" t="s">
        <v>288</v>
      </c>
      <c r="B177">
        <v>1</v>
      </c>
      <c r="C177" s="3">
        <v>46254</v>
      </c>
      <c r="D177" t="s">
        <v>289</v>
      </c>
      <c r="E177" t="s">
        <v>148</v>
      </c>
      <c r="F177" t="s">
        <v>66</v>
      </c>
      <c r="G177" t="s">
        <v>50</v>
      </c>
      <c r="H177" t="s">
        <v>41</v>
      </c>
      <c r="I177">
        <v>4</v>
      </c>
      <c r="J177" s="4">
        <v>3050.55</v>
      </c>
      <c r="K177" s="5">
        <v>0</v>
      </c>
      <c r="L177" s="4">
        <v>2459.34</v>
      </c>
      <c r="M177" t="s">
        <v>42</v>
      </c>
      <c r="N177" t="s">
        <v>43</v>
      </c>
      <c r="O177">
        <f>IF(TablaVentas[[#This Row],[Precio_unitario]]="","PENDIENTE",TablaVentas[[#This Row],[Unidades]]*TablaVentas[[#This Row],[Precio_unitario]]*(1-TablaVentas[[#This Row],[Descuento_pct]]))</f>
        <v>12202.2</v>
      </c>
      <c r="P177">
        <f>IF(TablaVentas[[#This Row],[Costo_unitario]]="","PENDIENTE",TablaVentas[[#This Row],[Unidades]]*TablaVentas[[#This Row],[Costo_unitario]])</f>
        <v>9837.36</v>
      </c>
      <c r="Q177">
        <f>IF(OR(TablaVentas[[#This Row],[Ingreso_neto]]="PENDIENTE",TablaVentas[[#This Row],[Costo_total]]="PENDIENTE"),"PENDIENTE",TablaVentas[[#This Row],[Ingreso_neto]]-TablaVentas[[#This Row],[Costo_total]])</f>
        <v>2364.84</v>
      </c>
    </row>
    <row r="178" spans="1:17">
      <c r="A178" t="s">
        <v>288</v>
      </c>
      <c r="B178">
        <v>2</v>
      </c>
      <c r="C178" s="3">
        <v>46254</v>
      </c>
      <c r="D178" t="s">
        <v>289</v>
      </c>
      <c r="E178" t="s">
        <v>125</v>
      </c>
      <c r="F178" t="s">
        <v>66</v>
      </c>
      <c r="G178" t="s">
        <v>50</v>
      </c>
      <c r="H178" t="s">
        <v>41</v>
      </c>
      <c r="I178">
        <v>1</v>
      </c>
      <c r="J178" s="4">
        <v>1801.2</v>
      </c>
      <c r="K178" s="5">
        <v>0</v>
      </c>
      <c r="L178" s="4">
        <v>1044.32</v>
      </c>
      <c r="M178" t="s">
        <v>42</v>
      </c>
      <c r="N178" t="s">
        <v>45</v>
      </c>
      <c r="O178">
        <f>IF(TablaVentas[[#This Row],[Precio_unitario]]="","PENDIENTE",TablaVentas[[#This Row],[Unidades]]*TablaVentas[[#This Row],[Precio_unitario]]*(1-TablaVentas[[#This Row],[Descuento_pct]]))</f>
        <v>1801.2</v>
      </c>
      <c r="P178">
        <f>IF(TablaVentas[[#This Row],[Costo_unitario]]="","PENDIENTE",TablaVentas[[#This Row],[Unidades]]*TablaVentas[[#This Row],[Costo_unitario]])</f>
        <v>1044.32</v>
      </c>
      <c r="Q178">
        <f>IF(OR(TablaVentas[[#This Row],[Ingreso_neto]]="PENDIENTE",TablaVentas[[#This Row],[Costo_total]]="PENDIENTE"),"PENDIENTE",TablaVentas[[#This Row],[Ingreso_neto]]-TablaVentas[[#This Row],[Costo_total]])</f>
        <v>756.88000000000011</v>
      </c>
    </row>
    <row r="179" spans="1:17">
      <c r="A179" t="s">
        <v>288</v>
      </c>
      <c r="B179">
        <v>3</v>
      </c>
      <c r="C179" s="3">
        <v>46254</v>
      </c>
      <c r="D179" t="s">
        <v>289</v>
      </c>
      <c r="E179" t="s">
        <v>180</v>
      </c>
      <c r="F179" t="s">
        <v>66</v>
      </c>
      <c r="G179" t="s">
        <v>50</v>
      </c>
      <c r="H179" t="s">
        <v>41</v>
      </c>
      <c r="I179">
        <v>2</v>
      </c>
      <c r="J179" s="4">
        <v>6713.95</v>
      </c>
      <c r="K179" s="5">
        <v>0.1</v>
      </c>
      <c r="L179" s="4">
        <v>3824.92</v>
      </c>
      <c r="M179" t="s">
        <v>42</v>
      </c>
      <c r="N179" t="s">
        <v>45</v>
      </c>
      <c r="O179">
        <f>IF(TablaVentas[[#This Row],[Precio_unitario]]="","PENDIENTE",TablaVentas[[#This Row],[Unidades]]*TablaVentas[[#This Row],[Precio_unitario]]*(1-TablaVentas[[#This Row],[Descuento_pct]]))</f>
        <v>12085.11</v>
      </c>
      <c r="P179">
        <f>IF(TablaVentas[[#This Row],[Costo_unitario]]="","PENDIENTE",TablaVentas[[#This Row],[Unidades]]*TablaVentas[[#This Row],[Costo_unitario]])</f>
        <v>7649.84</v>
      </c>
      <c r="Q179">
        <f>IF(OR(TablaVentas[[#This Row],[Ingreso_neto]]="PENDIENTE",TablaVentas[[#This Row],[Costo_total]]="PENDIENTE"),"PENDIENTE",TablaVentas[[#This Row],[Ingreso_neto]]-TablaVentas[[#This Row],[Costo_total]])</f>
        <v>4435.2700000000004</v>
      </c>
    </row>
    <row r="180" spans="1:17">
      <c r="A180" t="s">
        <v>290</v>
      </c>
      <c r="B180">
        <v>1</v>
      </c>
      <c r="C180" s="3">
        <v>46236</v>
      </c>
      <c r="D180" t="s">
        <v>291</v>
      </c>
      <c r="E180" t="s">
        <v>76</v>
      </c>
      <c r="F180" t="s">
        <v>56</v>
      </c>
      <c r="G180" t="s">
        <v>50</v>
      </c>
      <c r="H180" t="s">
        <v>82</v>
      </c>
      <c r="I180">
        <v>3</v>
      </c>
      <c r="J180" s="4">
        <v>14821.26</v>
      </c>
      <c r="K180" s="5">
        <v>0.1</v>
      </c>
      <c r="L180" s="4">
        <v>7748.44</v>
      </c>
      <c r="M180" t="s">
        <v>42</v>
      </c>
      <c r="N180" t="s">
        <v>60</v>
      </c>
      <c r="O180">
        <f>IF(TablaVentas[[#This Row],[Precio_unitario]]="","PENDIENTE",TablaVentas[[#This Row],[Unidades]]*TablaVentas[[#This Row],[Precio_unitario]]*(1-TablaVentas[[#This Row],[Descuento_pct]]))</f>
        <v>40017.402000000002</v>
      </c>
      <c r="P180">
        <f>IF(TablaVentas[[#This Row],[Costo_unitario]]="","PENDIENTE",TablaVentas[[#This Row],[Unidades]]*TablaVentas[[#This Row],[Costo_unitario]])</f>
        <v>23245.32</v>
      </c>
      <c r="Q180">
        <f>IF(OR(TablaVentas[[#This Row],[Ingreso_neto]]="PENDIENTE",TablaVentas[[#This Row],[Costo_total]]="PENDIENTE"),"PENDIENTE",TablaVentas[[#This Row],[Ingreso_neto]]-TablaVentas[[#This Row],[Costo_total]])</f>
        <v>16772.082000000002</v>
      </c>
    </row>
    <row r="181" spans="1:17">
      <c r="A181" t="s">
        <v>290</v>
      </c>
      <c r="B181">
        <v>2</v>
      </c>
      <c r="C181" s="3">
        <v>46236</v>
      </c>
      <c r="D181" t="s">
        <v>291</v>
      </c>
      <c r="E181" t="s">
        <v>172</v>
      </c>
      <c r="F181" t="s">
        <v>56</v>
      </c>
      <c r="G181" t="s">
        <v>50</v>
      </c>
      <c r="H181" t="s">
        <v>82</v>
      </c>
      <c r="I181">
        <v>5</v>
      </c>
      <c r="J181" s="4">
        <v>17221.259999999998</v>
      </c>
      <c r="K181" s="5">
        <v>0.05</v>
      </c>
      <c r="L181" s="4">
        <v>10830.17</v>
      </c>
      <c r="M181" t="s">
        <v>42</v>
      </c>
      <c r="N181" t="s">
        <v>60</v>
      </c>
      <c r="O181">
        <f>IF(TablaVentas[[#This Row],[Precio_unitario]]="","PENDIENTE",TablaVentas[[#This Row],[Unidades]]*TablaVentas[[#This Row],[Precio_unitario]]*(1-TablaVentas[[#This Row],[Descuento_pct]]))</f>
        <v>81800.984999999986</v>
      </c>
      <c r="P181">
        <f>IF(TablaVentas[[#This Row],[Costo_unitario]]="","PENDIENTE",TablaVentas[[#This Row],[Unidades]]*TablaVentas[[#This Row],[Costo_unitario]])</f>
        <v>54150.85</v>
      </c>
      <c r="Q181">
        <f>IF(OR(TablaVentas[[#This Row],[Ingreso_neto]]="PENDIENTE",TablaVentas[[#This Row],[Costo_total]]="PENDIENTE"),"PENDIENTE",TablaVentas[[#This Row],[Ingreso_neto]]-TablaVentas[[#This Row],[Costo_total]])</f>
        <v>27650.134999999987</v>
      </c>
    </row>
    <row r="182" spans="1:17">
      <c r="A182" t="s">
        <v>292</v>
      </c>
      <c r="B182">
        <v>1</v>
      </c>
      <c r="C182" s="3">
        <v>46244</v>
      </c>
      <c r="D182" t="s">
        <v>252</v>
      </c>
      <c r="E182" t="s">
        <v>293</v>
      </c>
      <c r="F182" t="s">
        <v>66</v>
      </c>
      <c r="G182" t="s">
        <v>57</v>
      </c>
      <c r="H182" t="s">
        <v>129</v>
      </c>
      <c r="I182">
        <v>4</v>
      </c>
      <c r="J182" s="4">
        <v>1123.27</v>
      </c>
      <c r="K182" s="5">
        <v>0</v>
      </c>
      <c r="L182" s="4">
        <v>936.52</v>
      </c>
      <c r="M182" t="s">
        <v>42</v>
      </c>
      <c r="N182" t="s">
        <v>60</v>
      </c>
      <c r="O182">
        <f>IF(TablaVentas[[#This Row],[Precio_unitario]]="","PENDIENTE",TablaVentas[[#This Row],[Unidades]]*TablaVentas[[#This Row],[Precio_unitario]]*(1-TablaVentas[[#This Row],[Descuento_pct]]))</f>
        <v>4493.08</v>
      </c>
      <c r="P182">
        <f>IF(TablaVentas[[#This Row],[Costo_unitario]]="","PENDIENTE",TablaVentas[[#This Row],[Unidades]]*TablaVentas[[#This Row],[Costo_unitario]])</f>
        <v>3746.08</v>
      </c>
      <c r="Q182">
        <f>IF(OR(TablaVentas[[#This Row],[Ingreso_neto]]="PENDIENTE",TablaVentas[[#This Row],[Costo_total]]="PENDIENTE"),"PENDIENTE",TablaVentas[[#This Row],[Ingreso_neto]]-TablaVentas[[#This Row],[Costo_total]])</f>
        <v>747</v>
      </c>
    </row>
    <row r="183" spans="1:17">
      <c r="A183" t="s">
        <v>292</v>
      </c>
      <c r="B183">
        <v>2</v>
      </c>
      <c r="C183" s="3">
        <v>46244</v>
      </c>
      <c r="D183" t="s">
        <v>252</v>
      </c>
      <c r="E183" t="s">
        <v>172</v>
      </c>
      <c r="F183" t="s">
        <v>66</v>
      </c>
      <c r="G183" t="s">
        <v>57</v>
      </c>
      <c r="H183" t="s">
        <v>129</v>
      </c>
      <c r="I183">
        <v>3</v>
      </c>
      <c r="J183" s="4">
        <v>17063</v>
      </c>
      <c r="K183" s="5">
        <v>0.2</v>
      </c>
      <c r="L183" s="4">
        <v>10830.17</v>
      </c>
      <c r="M183" t="s">
        <v>42</v>
      </c>
      <c r="N183" t="s">
        <v>43</v>
      </c>
      <c r="O183">
        <f>IF(TablaVentas[[#This Row],[Precio_unitario]]="","PENDIENTE",TablaVentas[[#This Row],[Unidades]]*TablaVentas[[#This Row],[Precio_unitario]]*(1-TablaVentas[[#This Row],[Descuento_pct]]))</f>
        <v>40951.200000000004</v>
      </c>
      <c r="P183">
        <f>IF(TablaVentas[[#This Row],[Costo_unitario]]="","PENDIENTE",TablaVentas[[#This Row],[Unidades]]*TablaVentas[[#This Row],[Costo_unitario]])</f>
        <v>32490.510000000002</v>
      </c>
      <c r="Q183">
        <f>IF(OR(TablaVentas[[#This Row],[Ingreso_neto]]="PENDIENTE",TablaVentas[[#This Row],[Costo_total]]="PENDIENTE"),"PENDIENTE",TablaVentas[[#This Row],[Ingreso_neto]]-TablaVentas[[#This Row],[Costo_total]])</f>
        <v>8460.6900000000023</v>
      </c>
    </row>
    <row r="184" spans="1:17">
      <c r="A184" t="s">
        <v>292</v>
      </c>
      <c r="B184">
        <v>3</v>
      </c>
      <c r="C184" s="3">
        <v>46244</v>
      </c>
      <c r="D184" t="s">
        <v>252</v>
      </c>
      <c r="E184" t="s">
        <v>114</v>
      </c>
      <c r="F184" t="s">
        <v>66</v>
      </c>
      <c r="G184" t="s">
        <v>57</v>
      </c>
      <c r="H184" t="s">
        <v>129</v>
      </c>
      <c r="I184">
        <v>2</v>
      </c>
      <c r="J184" s="4">
        <v>15141.4</v>
      </c>
      <c r="K184" s="5">
        <v>0.1</v>
      </c>
      <c r="L184" s="4">
        <v>8239.48</v>
      </c>
      <c r="M184" t="s">
        <v>42</v>
      </c>
      <c r="N184" t="s">
        <v>43</v>
      </c>
      <c r="O184">
        <f>IF(TablaVentas[[#This Row],[Precio_unitario]]="","PENDIENTE",TablaVentas[[#This Row],[Unidades]]*TablaVentas[[#This Row],[Precio_unitario]]*(1-TablaVentas[[#This Row],[Descuento_pct]]))</f>
        <v>27254.52</v>
      </c>
      <c r="P184">
        <f>IF(TablaVentas[[#This Row],[Costo_unitario]]="","PENDIENTE",TablaVentas[[#This Row],[Unidades]]*TablaVentas[[#This Row],[Costo_unitario]])</f>
        <v>16478.96</v>
      </c>
      <c r="Q184">
        <f>IF(OR(TablaVentas[[#This Row],[Ingreso_neto]]="PENDIENTE",TablaVentas[[#This Row],[Costo_total]]="PENDIENTE"),"PENDIENTE",TablaVentas[[#This Row],[Ingreso_neto]]-TablaVentas[[#This Row],[Costo_total]])</f>
        <v>10775.560000000001</v>
      </c>
    </row>
    <row r="185" spans="1:17">
      <c r="A185" t="s">
        <v>294</v>
      </c>
      <c r="B185">
        <v>1</v>
      </c>
      <c r="C185" s="3">
        <v>46134</v>
      </c>
      <c r="D185" t="s">
        <v>295</v>
      </c>
      <c r="E185" t="s">
        <v>216</v>
      </c>
      <c r="F185" t="s">
        <v>77</v>
      </c>
      <c r="G185" t="s">
        <v>50</v>
      </c>
      <c r="H185" t="s">
        <v>184</v>
      </c>
      <c r="I185">
        <v>1</v>
      </c>
      <c r="J185" s="4">
        <v>16918.099999999999</v>
      </c>
      <c r="K185" s="5">
        <v>0</v>
      </c>
      <c r="L185" s="4">
        <v>12064.41</v>
      </c>
      <c r="M185" t="s">
        <v>116</v>
      </c>
      <c r="N185" t="s">
        <v>45</v>
      </c>
      <c r="O185">
        <f>IF(TablaVentas[[#This Row],[Precio_unitario]]="","PENDIENTE",TablaVentas[[#This Row],[Unidades]]*TablaVentas[[#This Row],[Precio_unitario]]*(1-TablaVentas[[#This Row],[Descuento_pct]]))</f>
        <v>16918.099999999999</v>
      </c>
      <c r="P185">
        <f>IF(TablaVentas[[#This Row],[Costo_unitario]]="","PENDIENTE",TablaVentas[[#This Row],[Unidades]]*TablaVentas[[#This Row],[Costo_unitario]])</f>
        <v>12064.41</v>
      </c>
      <c r="Q185">
        <f>IF(OR(TablaVentas[[#This Row],[Ingreso_neto]]="PENDIENTE",TablaVentas[[#This Row],[Costo_total]]="PENDIENTE"),"PENDIENTE",TablaVentas[[#This Row],[Ingreso_neto]]-TablaVentas[[#This Row],[Costo_total]])</f>
        <v>4853.6899999999987</v>
      </c>
    </row>
    <row r="186" spans="1:17">
      <c r="A186" t="s">
        <v>296</v>
      </c>
      <c r="B186">
        <v>1</v>
      </c>
      <c r="C186" s="3">
        <v>46034</v>
      </c>
      <c r="D186" t="s">
        <v>108</v>
      </c>
      <c r="E186" t="s">
        <v>90</v>
      </c>
      <c r="F186" t="s">
        <v>66</v>
      </c>
      <c r="G186" t="s">
        <v>50</v>
      </c>
      <c r="H186" t="s">
        <v>102</v>
      </c>
      <c r="I186">
        <v>1</v>
      </c>
      <c r="J186" s="4">
        <v>10243.51</v>
      </c>
      <c r="K186" s="5">
        <v>0</v>
      </c>
      <c r="L186" s="4">
        <v>8174.87</v>
      </c>
      <c r="M186" t="s">
        <v>42</v>
      </c>
      <c r="N186" t="s">
        <v>43</v>
      </c>
      <c r="O186">
        <f>IF(TablaVentas[[#This Row],[Precio_unitario]]="","PENDIENTE",TablaVentas[[#This Row],[Unidades]]*TablaVentas[[#This Row],[Precio_unitario]]*(1-TablaVentas[[#This Row],[Descuento_pct]]))</f>
        <v>10243.51</v>
      </c>
      <c r="P186">
        <f>IF(TablaVentas[[#This Row],[Costo_unitario]]="","PENDIENTE",TablaVentas[[#This Row],[Unidades]]*TablaVentas[[#This Row],[Costo_unitario]])</f>
        <v>8174.87</v>
      </c>
      <c r="Q186">
        <f>IF(OR(TablaVentas[[#This Row],[Ingreso_neto]]="PENDIENTE",TablaVentas[[#This Row],[Costo_total]]="PENDIENTE"),"PENDIENTE",TablaVentas[[#This Row],[Ingreso_neto]]-TablaVentas[[#This Row],[Costo_total]])</f>
        <v>2068.6400000000003</v>
      </c>
    </row>
    <row r="187" spans="1:17">
      <c r="A187" t="s">
        <v>296</v>
      </c>
      <c r="B187">
        <v>2</v>
      </c>
      <c r="C187" s="3">
        <v>46034</v>
      </c>
      <c r="D187" t="s">
        <v>108</v>
      </c>
      <c r="E187" t="s">
        <v>206</v>
      </c>
      <c r="F187" t="s">
        <v>66</v>
      </c>
      <c r="G187" t="s">
        <v>50</v>
      </c>
      <c r="H187" t="s">
        <v>102</v>
      </c>
      <c r="I187">
        <v>3</v>
      </c>
      <c r="J187" s="4">
        <v>5862.9</v>
      </c>
      <c r="K187" s="5">
        <v>0</v>
      </c>
      <c r="L187" s="4">
        <v>4008.77</v>
      </c>
      <c r="M187" t="s">
        <v>42</v>
      </c>
      <c r="N187" t="s">
        <v>45</v>
      </c>
      <c r="O187">
        <f>IF(TablaVentas[[#This Row],[Precio_unitario]]="","PENDIENTE",TablaVentas[[#This Row],[Unidades]]*TablaVentas[[#This Row],[Precio_unitario]]*(1-TablaVentas[[#This Row],[Descuento_pct]]))</f>
        <v>17588.699999999997</v>
      </c>
      <c r="P187">
        <f>IF(TablaVentas[[#This Row],[Costo_unitario]]="","PENDIENTE",TablaVentas[[#This Row],[Unidades]]*TablaVentas[[#This Row],[Costo_unitario]])</f>
        <v>12026.31</v>
      </c>
      <c r="Q187">
        <f>IF(OR(TablaVentas[[#This Row],[Ingreso_neto]]="PENDIENTE",TablaVentas[[#This Row],[Costo_total]]="PENDIENTE"),"PENDIENTE",TablaVentas[[#This Row],[Ingreso_neto]]-TablaVentas[[#This Row],[Costo_total]])</f>
        <v>5562.3899999999976</v>
      </c>
    </row>
    <row r="188" spans="1:17">
      <c r="A188" t="s">
        <v>297</v>
      </c>
      <c r="B188">
        <v>1</v>
      </c>
      <c r="C188" s="3">
        <v>46292</v>
      </c>
      <c r="D188" t="s">
        <v>298</v>
      </c>
      <c r="E188" t="s">
        <v>144</v>
      </c>
      <c r="F188" t="s">
        <v>77</v>
      </c>
      <c r="G188" t="s">
        <v>57</v>
      </c>
      <c r="H188" t="s">
        <v>184</v>
      </c>
      <c r="I188">
        <v>1</v>
      </c>
      <c r="J188" s="4">
        <v>9544.4599999999991</v>
      </c>
      <c r="K188" s="5">
        <v>0.05</v>
      </c>
      <c r="L188" s="4">
        <v>5125.3599999999997</v>
      </c>
      <c r="M188" t="s">
        <v>42</v>
      </c>
      <c r="N188" t="s">
        <v>60</v>
      </c>
      <c r="O188">
        <f>IF(TablaVentas[[#This Row],[Precio_unitario]]="","PENDIENTE",TablaVentas[[#This Row],[Unidades]]*TablaVentas[[#This Row],[Precio_unitario]]*(1-TablaVentas[[#This Row],[Descuento_pct]]))</f>
        <v>9067.2369999999992</v>
      </c>
      <c r="P188">
        <f>IF(TablaVentas[[#This Row],[Costo_unitario]]="","PENDIENTE",TablaVentas[[#This Row],[Unidades]]*TablaVentas[[#This Row],[Costo_unitario]])</f>
        <v>5125.3599999999997</v>
      </c>
      <c r="Q188">
        <f>IF(OR(TablaVentas[[#This Row],[Ingreso_neto]]="PENDIENTE",TablaVentas[[#This Row],[Costo_total]]="PENDIENTE"),"PENDIENTE",TablaVentas[[#This Row],[Ingreso_neto]]-TablaVentas[[#This Row],[Costo_total]])</f>
        <v>3941.8769999999995</v>
      </c>
    </row>
    <row r="189" spans="1:17">
      <c r="A189" t="s">
        <v>297</v>
      </c>
      <c r="B189">
        <v>2</v>
      </c>
      <c r="C189" s="3">
        <v>46292</v>
      </c>
      <c r="D189" t="s">
        <v>298</v>
      </c>
      <c r="E189" t="s">
        <v>138</v>
      </c>
      <c r="F189" t="s">
        <v>77</v>
      </c>
      <c r="G189" t="s">
        <v>57</v>
      </c>
      <c r="H189" t="s">
        <v>184</v>
      </c>
      <c r="I189">
        <v>1</v>
      </c>
      <c r="J189" s="4">
        <v>6599.74</v>
      </c>
      <c r="K189" s="5">
        <v>0</v>
      </c>
      <c r="L189" s="4">
        <v>4665.62</v>
      </c>
      <c r="M189" t="s">
        <v>42</v>
      </c>
      <c r="N189" t="s">
        <v>60</v>
      </c>
      <c r="O189">
        <f>IF(TablaVentas[[#This Row],[Precio_unitario]]="","PENDIENTE",TablaVentas[[#This Row],[Unidades]]*TablaVentas[[#This Row],[Precio_unitario]]*(1-TablaVentas[[#This Row],[Descuento_pct]]))</f>
        <v>6599.74</v>
      </c>
      <c r="P189">
        <f>IF(TablaVentas[[#This Row],[Costo_unitario]]="","PENDIENTE",TablaVentas[[#This Row],[Unidades]]*TablaVentas[[#This Row],[Costo_unitario]])</f>
        <v>4665.62</v>
      </c>
      <c r="Q189">
        <f>IF(OR(TablaVentas[[#This Row],[Ingreso_neto]]="PENDIENTE",TablaVentas[[#This Row],[Costo_total]]="PENDIENTE"),"PENDIENTE",TablaVentas[[#This Row],[Ingreso_neto]]-TablaVentas[[#This Row],[Costo_total]])</f>
        <v>1934.12</v>
      </c>
    </row>
    <row r="190" spans="1:17">
      <c r="A190" t="s">
        <v>297</v>
      </c>
      <c r="B190">
        <v>3</v>
      </c>
      <c r="C190" s="3">
        <v>46292</v>
      </c>
      <c r="D190" t="s">
        <v>298</v>
      </c>
      <c r="E190" t="s">
        <v>236</v>
      </c>
      <c r="F190" t="s">
        <v>77</v>
      </c>
      <c r="G190" t="s">
        <v>57</v>
      </c>
      <c r="H190" t="s">
        <v>184</v>
      </c>
      <c r="I190">
        <v>4</v>
      </c>
      <c r="J190" s="4">
        <v>9896.2199999999993</v>
      </c>
      <c r="K190" s="5">
        <v>0.2</v>
      </c>
      <c r="L190" s="4">
        <v>8061.7</v>
      </c>
      <c r="M190" t="s">
        <v>42</v>
      </c>
      <c r="N190" t="s">
        <v>43</v>
      </c>
      <c r="O190">
        <f>IF(TablaVentas[[#This Row],[Precio_unitario]]="","PENDIENTE",TablaVentas[[#This Row],[Unidades]]*TablaVentas[[#This Row],[Precio_unitario]]*(1-TablaVentas[[#This Row],[Descuento_pct]]))</f>
        <v>31667.903999999999</v>
      </c>
      <c r="P190">
        <f>IF(TablaVentas[[#This Row],[Costo_unitario]]="","PENDIENTE",TablaVentas[[#This Row],[Unidades]]*TablaVentas[[#This Row],[Costo_unitario]])</f>
        <v>32246.799999999999</v>
      </c>
      <c r="Q190">
        <f>IF(OR(TablaVentas[[#This Row],[Ingreso_neto]]="PENDIENTE",TablaVentas[[#This Row],[Costo_total]]="PENDIENTE"),"PENDIENTE",TablaVentas[[#This Row],[Ingreso_neto]]-TablaVentas[[#This Row],[Costo_total]])</f>
        <v>-578.89600000000064</v>
      </c>
    </row>
    <row r="191" spans="1:17">
      <c r="A191" t="s">
        <v>299</v>
      </c>
      <c r="B191">
        <v>1</v>
      </c>
      <c r="C191" s="3">
        <v>46240</v>
      </c>
      <c r="D191" t="s">
        <v>300</v>
      </c>
      <c r="E191" t="s">
        <v>132</v>
      </c>
      <c r="F191" t="s">
        <v>77</v>
      </c>
      <c r="G191" t="s">
        <v>57</v>
      </c>
      <c r="H191" t="s">
        <v>102</v>
      </c>
      <c r="I191">
        <v>3</v>
      </c>
      <c r="J191" s="4">
        <v>18973.68</v>
      </c>
      <c r="K191" s="5">
        <v>0</v>
      </c>
      <c r="L191" s="4">
        <v>11036.95</v>
      </c>
      <c r="M191" t="s">
        <v>42</v>
      </c>
      <c r="N191" t="s">
        <v>52</v>
      </c>
      <c r="O191">
        <f>IF(TablaVentas[[#This Row],[Precio_unitario]]="","PENDIENTE",TablaVentas[[#This Row],[Unidades]]*TablaVentas[[#This Row],[Precio_unitario]]*(1-TablaVentas[[#This Row],[Descuento_pct]]))</f>
        <v>56921.04</v>
      </c>
      <c r="P191">
        <f>IF(TablaVentas[[#This Row],[Costo_unitario]]="","PENDIENTE",TablaVentas[[#This Row],[Unidades]]*TablaVentas[[#This Row],[Costo_unitario]])</f>
        <v>33110.850000000006</v>
      </c>
      <c r="Q191">
        <f>IF(OR(TablaVentas[[#This Row],[Ingreso_neto]]="PENDIENTE",TablaVentas[[#This Row],[Costo_total]]="PENDIENTE"),"PENDIENTE",TablaVentas[[#This Row],[Ingreso_neto]]-TablaVentas[[#This Row],[Costo_total]])</f>
        <v>23810.189999999995</v>
      </c>
    </row>
    <row r="192" spans="1:17">
      <c r="A192" t="s">
        <v>299</v>
      </c>
      <c r="B192">
        <v>2</v>
      </c>
      <c r="C192" s="3">
        <v>46240</v>
      </c>
      <c r="D192" t="s">
        <v>300</v>
      </c>
      <c r="E192" t="s">
        <v>89</v>
      </c>
      <c r="F192" t="s">
        <v>77</v>
      </c>
      <c r="G192" t="s">
        <v>57</v>
      </c>
      <c r="H192" t="s">
        <v>102</v>
      </c>
      <c r="I192">
        <v>1</v>
      </c>
      <c r="J192" s="4">
        <v>11239.67</v>
      </c>
      <c r="K192" s="5">
        <v>0</v>
      </c>
      <c r="L192" s="4">
        <v>9118.07</v>
      </c>
      <c r="M192" t="s">
        <v>116</v>
      </c>
      <c r="N192" t="s">
        <v>60</v>
      </c>
      <c r="O192">
        <f>IF(TablaVentas[[#This Row],[Precio_unitario]]="","PENDIENTE",TablaVentas[[#This Row],[Unidades]]*TablaVentas[[#This Row],[Precio_unitario]]*(1-TablaVentas[[#This Row],[Descuento_pct]]))</f>
        <v>11239.67</v>
      </c>
      <c r="P192">
        <f>IF(TablaVentas[[#This Row],[Costo_unitario]]="","PENDIENTE",TablaVentas[[#This Row],[Unidades]]*TablaVentas[[#This Row],[Costo_unitario]])</f>
        <v>9118.07</v>
      </c>
      <c r="Q192">
        <f>IF(OR(TablaVentas[[#This Row],[Ingreso_neto]]="PENDIENTE",TablaVentas[[#This Row],[Costo_total]]="PENDIENTE"),"PENDIENTE",TablaVentas[[#This Row],[Ingreso_neto]]-TablaVentas[[#This Row],[Costo_total]])</f>
        <v>2121.6000000000004</v>
      </c>
    </row>
    <row r="193" spans="1:17">
      <c r="A193" t="s">
        <v>301</v>
      </c>
      <c r="B193">
        <v>1</v>
      </c>
      <c r="C193" s="3">
        <v>46098</v>
      </c>
      <c r="D193" t="s">
        <v>302</v>
      </c>
      <c r="E193" t="s">
        <v>93</v>
      </c>
      <c r="F193" t="s">
        <v>77</v>
      </c>
      <c r="G193" t="s">
        <v>57</v>
      </c>
      <c r="H193" t="s">
        <v>58</v>
      </c>
      <c r="I193">
        <v>4</v>
      </c>
      <c r="J193" s="4">
        <v>14883.61</v>
      </c>
      <c r="K193" s="5">
        <v>0</v>
      </c>
      <c r="L193" s="4">
        <v>8788.7900000000009</v>
      </c>
      <c r="M193" t="s">
        <v>42</v>
      </c>
      <c r="N193" t="s">
        <v>45</v>
      </c>
      <c r="O193">
        <f>IF(TablaVentas[[#This Row],[Precio_unitario]]="","PENDIENTE",TablaVentas[[#This Row],[Unidades]]*TablaVentas[[#This Row],[Precio_unitario]]*(1-TablaVentas[[#This Row],[Descuento_pct]]))</f>
        <v>59534.44</v>
      </c>
      <c r="P193">
        <f>IF(TablaVentas[[#This Row],[Costo_unitario]]="","PENDIENTE",TablaVentas[[#This Row],[Unidades]]*TablaVentas[[#This Row],[Costo_unitario]])</f>
        <v>35155.160000000003</v>
      </c>
      <c r="Q193">
        <f>IF(OR(TablaVentas[[#This Row],[Ingreso_neto]]="PENDIENTE",TablaVentas[[#This Row],[Costo_total]]="PENDIENTE"),"PENDIENTE",TablaVentas[[#This Row],[Ingreso_neto]]-TablaVentas[[#This Row],[Costo_total]])</f>
        <v>24379.279999999999</v>
      </c>
    </row>
    <row r="194" spans="1:17">
      <c r="A194" t="s">
        <v>301</v>
      </c>
      <c r="B194">
        <v>2</v>
      </c>
      <c r="C194" s="3">
        <v>46098</v>
      </c>
      <c r="D194" t="s">
        <v>302</v>
      </c>
      <c r="E194" t="s">
        <v>167</v>
      </c>
      <c r="F194" t="s">
        <v>77</v>
      </c>
      <c r="G194" t="s">
        <v>57</v>
      </c>
      <c r="H194" t="s">
        <v>58</v>
      </c>
      <c r="I194">
        <v>1</v>
      </c>
      <c r="J194" s="4">
        <v>18547.09</v>
      </c>
      <c r="K194" s="5">
        <v>0</v>
      </c>
      <c r="L194" s="4">
        <v>8704.4</v>
      </c>
      <c r="M194" t="s">
        <v>42</v>
      </c>
      <c r="N194" t="s">
        <v>60</v>
      </c>
      <c r="O194">
        <f>IF(TablaVentas[[#This Row],[Precio_unitario]]="","PENDIENTE",TablaVentas[[#This Row],[Unidades]]*TablaVentas[[#This Row],[Precio_unitario]]*(1-TablaVentas[[#This Row],[Descuento_pct]]))</f>
        <v>18547.09</v>
      </c>
      <c r="P194">
        <f>IF(TablaVentas[[#This Row],[Costo_unitario]]="","PENDIENTE",TablaVentas[[#This Row],[Unidades]]*TablaVentas[[#This Row],[Costo_unitario]])</f>
        <v>8704.4</v>
      </c>
      <c r="Q194">
        <f>IF(OR(TablaVentas[[#This Row],[Ingreso_neto]]="PENDIENTE",TablaVentas[[#This Row],[Costo_total]]="PENDIENTE"),"PENDIENTE",TablaVentas[[#This Row],[Ingreso_neto]]-TablaVentas[[#This Row],[Costo_total]])</f>
        <v>9842.69</v>
      </c>
    </row>
    <row r="195" spans="1:17">
      <c r="A195" t="s">
        <v>303</v>
      </c>
      <c r="B195">
        <v>1</v>
      </c>
      <c r="C195" s="3">
        <v>46058</v>
      </c>
      <c r="D195" t="s">
        <v>304</v>
      </c>
      <c r="E195" t="s">
        <v>211</v>
      </c>
      <c r="F195" t="s">
        <v>77</v>
      </c>
      <c r="G195" t="s">
        <v>50</v>
      </c>
      <c r="H195" t="s">
        <v>67</v>
      </c>
      <c r="I195">
        <v>4</v>
      </c>
      <c r="J195" s="4">
        <v>18908.62</v>
      </c>
      <c r="K195" s="5">
        <v>0</v>
      </c>
      <c r="L195" s="4">
        <v>13760.53</v>
      </c>
      <c r="M195" t="s">
        <v>42</v>
      </c>
      <c r="N195" t="s">
        <v>45</v>
      </c>
      <c r="O195">
        <f>IF(TablaVentas[[#This Row],[Precio_unitario]]="","PENDIENTE",TablaVentas[[#This Row],[Unidades]]*TablaVentas[[#This Row],[Precio_unitario]]*(1-TablaVentas[[#This Row],[Descuento_pct]]))</f>
        <v>75634.48</v>
      </c>
      <c r="P195">
        <f>IF(TablaVentas[[#This Row],[Costo_unitario]]="","PENDIENTE",TablaVentas[[#This Row],[Unidades]]*TablaVentas[[#This Row],[Costo_unitario]])</f>
        <v>55042.12</v>
      </c>
      <c r="Q195">
        <f>IF(OR(TablaVentas[[#This Row],[Ingreso_neto]]="PENDIENTE",TablaVentas[[#This Row],[Costo_total]]="PENDIENTE"),"PENDIENTE",TablaVentas[[#This Row],[Ingreso_neto]]-TablaVentas[[#This Row],[Costo_total]])</f>
        <v>20592.359999999993</v>
      </c>
    </row>
    <row r="196" spans="1:17">
      <c r="A196" t="s">
        <v>303</v>
      </c>
      <c r="B196">
        <v>2</v>
      </c>
      <c r="C196" s="3">
        <v>46058</v>
      </c>
      <c r="D196" t="s">
        <v>304</v>
      </c>
      <c r="E196" t="s">
        <v>38</v>
      </c>
      <c r="F196" t="s">
        <v>77</v>
      </c>
      <c r="G196" t="s">
        <v>50</v>
      </c>
      <c r="H196" t="s">
        <v>67</v>
      </c>
      <c r="I196">
        <v>1</v>
      </c>
      <c r="J196" s="4">
        <v>5349.94</v>
      </c>
      <c r="K196" s="5">
        <v>0.2</v>
      </c>
      <c r="L196" s="4">
        <v>3832.69</v>
      </c>
      <c r="M196" t="s">
        <v>42</v>
      </c>
      <c r="N196" t="s">
        <v>43</v>
      </c>
      <c r="O196">
        <f>IF(TablaVentas[[#This Row],[Precio_unitario]]="","PENDIENTE",TablaVentas[[#This Row],[Unidades]]*TablaVentas[[#This Row],[Precio_unitario]]*(1-TablaVentas[[#This Row],[Descuento_pct]]))</f>
        <v>4279.9520000000002</v>
      </c>
      <c r="P196">
        <f>IF(TablaVentas[[#This Row],[Costo_unitario]]="","PENDIENTE",TablaVentas[[#This Row],[Unidades]]*TablaVentas[[#This Row],[Costo_unitario]])</f>
        <v>3832.69</v>
      </c>
      <c r="Q196">
        <f>IF(OR(TablaVentas[[#This Row],[Ingreso_neto]]="PENDIENTE",TablaVentas[[#This Row],[Costo_total]]="PENDIENTE"),"PENDIENTE",TablaVentas[[#This Row],[Ingreso_neto]]-TablaVentas[[#This Row],[Costo_total]])</f>
        <v>447.26200000000017</v>
      </c>
    </row>
    <row r="197" spans="1:17">
      <c r="A197" t="s">
        <v>303</v>
      </c>
      <c r="B197">
        <v>3</v>
      </c>
      <c r="C197" s="3">
        <v>46058</v>
      </c>
      <c r="D197" t="s">
        <v>304</v>
      </c>
      <c r="E197" t="s">
        <v>217</v>
      </c>
      <c r="F197" t="s">
        <v>77</v>
      </c>
      <c r="G197" t="s">
        <v>50</v>
      </c>
      <c r="H197" t="s">
        <v>67</v>
      </c>
      <c r="I197">
        <v>1</v>
      </c>
      <c r="J197" s="4">
        <v>15459.53</v>
      </c>
      <c r="K197" s="5">
        <v>0</v>
      </c>
      <c r="L197" s="4">
        <v>14161.63</v>
      </c>
      <c r="M197" t="s">
        <v>42</v>
      </c>
      <c r="N197" t="s">
        <v>43</v>
      </c>
      <c r="O197">
        <f>IF(TablaVentas[[#This Row],[Precio_unitario]]="","PENDIENTE",TablaVentas[[#This Row],[Unidades]]*TablaVentas[[#This Row],[Precio_unitario]]*(1-TablaVentas[[#This Row],[Descuento_pct]]))</f>
        <v>15459.53</v>
      </c>
      <c r="P197">
        <f>IF(TablaVentas[[#This Row],[Costo_unitario]]="","PENDIENTE",TablaVentas[[#This Row],[Unidades]]*TablaVentas[[#This Row],[Costo_unitario]])</f>
        <v>14161.63</v>
      </c>
      <c r="Q197">
        <f>IF(OR(TablaVentas[[#This Row],[Ingreso_neto]]="PENDIENTE",TablaVentas[[#This Row],[Costo_total]]="PENDIENTE"),"PENDIENTE",TablaVentas[[#This Row],[Ingreso_neto]]-TablaVentas[[#This Row],[Costo_total]])</f>
        <v>1297.9000000000015</v>
      </c>
    </row>
    <row r="198" spans="1:17">
      <c r="A198" t="s">
        <v>305</v>
      </c>
      <c r="B198">
        <v>1</v>
      </c>
      <c r="C198" s="3">
        <v>46132</v>
      </c>
      <c r="D198" t="s">
        <v>131</v>
      </c>
      <c r="E198" t="s">
        <v>85</v>
      </c>
      <c r="F198" t="s">
        <v>39</v>
      </c>
      <c r="G198" t="s">
        <v>57</v>
      </c>
      <c r="H198" t="s">
        <v>102</v>
      </c>
      <c r="I198">
        <v>3</v>
      </c>
      <c r="J198" s="4">
        <v>501.64</v>
      </c>
      <c r="K198" s="5">
        <v>0.05</v>
      </c>
      <c r="L198" s="4">
        <v>307.75</v>
      </c>
      <c r="M198" t="s">
        <v>116</v>
      </c>
      <c r="N198" t="s">
        <v>52</v>
      </c>
      <c r="O198">
        <f>IF(TablaVentas[[#This Row],[Precio_unitario]]="","PENDIENTE",TablaVentas[[#This Row],[Unidades]]*TablaVentas[[#This Row],[Precio_unitario]]*(1-TablaVentas[[#This Row],[Descuento_pct]]))</f>
        <v>1429.674</v>
      </c>
      <c r="P198">
        <f>IF(TablaVentas[[#This Row],[Costo_unitario]]="","PENDIENTE",TablaVentas[[#This Row],[Unidades]]*TablaVentas[[#This Row],[Costo_unitario]])</f>
        <v>923.25</v>
      </c>
      <c r="Q198">
        <f>IF(OR(TablaVentas[[#This Row],[Ingreso_neto]]="PENDIENTE",TablaVentas[[#This Row],[Costo_total]]="PENDIENTE"),"PENDIENTE",TablaVentas[[#This Row],[Ingreso_neto]]-TablaVentas[[#This Row],[Costo_total]])</f>
        <v>506.42399999999998</v>
      </c>
    </row>
    <row r="199" spans="1:17">
      <c r="A199" t="s">
        <v>305</v>
      </c>
      <c r="B199">
        <v>2</v>
      </c>
      <c r="C199" s="3">
        <v>46132</v>
      </c>
      <c r="D199" t="s">
        <v>131</v>
      </c>
      <c r="E199" t="s">
        <v>101</v>
      </c>
      <c r="F199" t="s">
        <v>39</v>
      </c>
      <c r="G199" t="s">
        <v>57</v>
      </c>
      <c r="H199" t="s">
        <v>102</v>
      </c>
      <c r="I199">
        <v>1</v>
      </c>
      <c r="J199" s="4">
        <v>5138.3999999999996</v>
      </c>
      <c r="K199" s="5">
        <v>0</v>
      </c>
      <c r="L199" s="4">
        <v>2865.24</v>
      </c>
      <c r="M199" t="s">
        <v>42</v>
      </c>
      <c r="N199" t="s">
        <v>45</v>
      </c>
      <c r="O199">
        <f>IF(TablaVentas[[#This Row],[Precio_unitario]]="","PENDIENTE",TablaVentas[[#This Row],[Unidades]]*TablaVentas[[#This Row],[Precio_unitario]]*(1-TablaVentas[[#This Row],[Descuento_pct]]))</f>
        <v>5138.3999999999996</v>
      </c>
      <c r="P199">
        <f>IF(TablaVentas[[#This Row],[Costo_unitario]]="","PENDIENTE",TablaVentas[[#This Row],[Unidades]]*TablaVentas[[#This Row],[Costo_unitario]])</f>
        <v>2865.24</v>
      </c>
      <c r="Q199">
        <f>IF(OR(TablaVentas[[#This Row],[Ingreso_neto]]="PENDIENTE",TablaVentas[[#This Row],[Costo_total]]="PENDIENTE"),"PENDIENTE",TablaVentas[[#This Row],[Ingreso_neto]]-TablaVentas[[#This Row],[Costo_total]])</f>
        <v>2273.16</v>
      </c>
    </row>
    <row r="200" spans="1:17">
      <c r="A200" t="s">
        <v>305</v>
      </c>
      <c r="B200">
        <v>3</v>
      </c>
      <c r="C200" s="3">
        <v>46132</v>
      </c>
      <c r="D200" t="s">
        <v>131</v>
      </c>
      <c r="E200" t="s">
        <v>44</v>
      </c>
      <c r="F200" t="s">
        <v>39</v>
      </c>
      <c r="G200" t="s">
        <v>57</v>
      </c>
      <c r="H200" t="s">
        <v>102</v>
      </c>
      <c r="I200">
        <v>4</v>
      </c>
      <c r="J200" s="4">
        <v>14108.13</v>
      </c>
      <c r="K200" s="5">
        <v>0</v>
      </c>
      <c r="L200" s="4">
        <v>8980.68</v>
      </c>
      <c r="M200" t="s">
        <v>42</v>
      </c>
      <c r="N200" t="s">
        <v>45</v>
      </c>
      <c r="O200">
        <f>IF(TablaVentas[[#This Row],[Precio_unitario]]="","PENDIENTE",TablaVentas[[#This Row],[Unidades]]*TablaVentas[[#This Row],[Precio_unitario]]*(1-TablaVentas[[#This Row],[Descuento_pct]]))</f>
        <v>56432.52</v>
      </c>
      <c r="P200">
        <f>IF(TablaVentas[[#This Row],[Costo_unitario]]="","PENDIENTE",TablaVentas[[#This Row],[Unidades]]*TablaVentas[[#This Row],[Costo_unitario]])</f>
        <v>35922.720000000001</v>
      </c>
      <c r="Q200">
        <f>IF(OR(TablaVentas[[#This Row],[Ingreso_neto]]="PENDIENTE",TablaVentas[[#This Row],[Costo_total]]="PENDIENTE"),"PENDIENTE",TablaVentas[[#This Row],[Ingreso_neto]]-TablaVentas[[#This Row],[Costo_total]])</f>
        <v>20509.799999999996</v>
      </c>
    </row>
    <row r="201" spans="1:17">
      <c r="A201" t="s">
        <v>306</v>
      </c>
      <c r="B201">
        <v>1</v>
      </c>
      <c r="C201" s="3">
        <v>46036</v>
      </c>
      <c r="D201" t="s">
        <v>307</v>
      </c>
      <c r="E201" t="s">
        <v>123</v>
      </c>
      <c r="F201" t="s">
        <v>77</v>
      </c>
      <c r="G201" t="s">
        <v>40</v>
      </c>
      <c r="H201" t="s">
        <v>67</v>
      </c>
      <c r="I201">
        <v>2</v>
      </c>
      <c r="J201" s="4">
        <v>16135.42</v>
      </c>
      <c r="K201" s="5">
        <v>0</v>
      </c>
      <c r="L201" s="4">
        <v>12679.41</v>
      </c>
      <c r="M201" t="s">
        <v>42</v>
      </c>
      <c r="N201" t="s">
        <v>45</v>
      </c>
      <c r="O201">
        <f>IF(TablaVentas[[#This Row],[Precio_unitario]]="","PENDIENTE",TablaVentas[[#This Row],[Unidades]]*TablaVentas[[#This Row],[Precio_unitario]]*(1-TablaVentas[[#This Row],[Descuento_pct]]))</f>
        <v>32270.84</v>
      </c>
      <c r="P201">
        <f>IF(TablaVentas[[#This Row],[Costo_unitario]]="","PENDIENTE",TablaVentas[[#This Row],[Unidades]]*TablaVentas[[#This Row],[Costo_unitario]])</f>
        <v>25358.82</v>
      </c>
      <c r="Q201">
        <f>IF(OR(TablaVentas[[#This Row],[Ingreso_neto]]="PENDIENTE",TablaVentas[[#This Row],[Costo_total]]="PENDIENTE"),"PENDIENTE",TablaVentas[[#This Row],[Ingreso_neto]]-TablaVentas[[#This Row],[Costo_total]])</f>
        <v>6912.02</v>
      </c>
    </row>
    <row r="202" spans="1:17">
      <c r="A202" t="s">
        <v>306</v>
      </c>
      <c r="B202">
        <v>2</v>
      </c>
      <c r="C202" s="3">
        <v>46036</v>
      </c>
      <c r="D202" t="s">
        <v>307</v>
      </c>
      <c r="E202" t="s">
        <v>245</v>
      </c>
      <c r="F202" t="s">
        <v>77</v>
      </c>
      <c r="G202" t="s">
        <v>40</v>
      </c>
      <c r="H202" t="s">
        <v>67</v>
      </c>
      <c r="I202">
        <v>2</v>
      </c>
      <c r="J202" s="4">
        <v>18831.5</v>
      </c>
      <c r="K202" s="5">
        <v>0.2</v>
      </c>
      <c r="L202" s="4">
        <v>10507.24</v>
      </c>
      <c r="M202" t="s">
        <v>62</v>
      </c>
      <c r="N202" t="s">
        <v>43</v>
      </c>
      <c r="O202">
        <f>IF(TablaVentas[[#This Row],[Precio_unitario]]="","PENDIENTE",TablaVentas[[#This Row],[Unidades]]*TablaVentas[[#This Row],[Precio_unitario]]*(1-TablaVentas[[#This Row],[Descuento_pct]]))</f>
        <v>30130.400000000001</v>
      </c>
      <c r="P202">
        <f>IF(TablaVentas[[#This Row],[Costo_unitario]]="","PENDIENTE",TablaVentas[[#This Row],[Unidades]]*TablaVentas[[#This Row],[Costo_unitario]])</f>
        <v>21014.48</v>
      </c>
      <c r="Q202">
        <f>IF(OR(TablaVentas[[#This Row],[Ingreso_neto]]="PENDIENTE",TablaVentas[[#This Row],[Costo_total]]="PENDIENTE"),"PENDIENTE",TablaVentas[[#This Row],[Ingreso_neto]]-TablaVentas[[#This Row],[Costo_total]])</f>
        <v>9115.9200000000019</v>
      </c>
    </row>
    <row r="203" spans="1:17">
      <c r="A203" t="s">
        <v>306</v>
      </c>
      <c r="B203">
        <v>3</v>
      </c>
      <c r="C203" s="3">
        <v>46036</v>
      </c>
      <c r="D203" t="s">
        <v>307</v>
      </c>
      <c r="E203" t="s">
        <v>211</v>
      </c>
      <c r="F203" t="s">
        <v>77</v>
      </c>
      <c r="G203" t="s">
        <v>40</v>
      </c>
      <c r="H203" t="s">
        <v>67</v>
      </c>
      <c r="I203">
        <v>1</v>
      </c>
      <c r="J203" s="4">
        <v>18179.71</v>
      </c>
      <c r="K203" s="5">
        <v>0</v>
      </c>
      <c r="L203" s="4">
        <v>13760.53</v>
      </c>
      <c r="M203" t="s">
        <v>42</v>
      </c>
      <c r="N203" t="s">
        <v>52</v>
      </c>
      <c r="O203">
        <f>IF(TablaVentas[[#This Row],[Precio_unitario]]="","PENDIENTE",TablaVentas[[#This Row],[Unidades]]*TablaVentas[[#This Row],[Precio_unitario]]*(1-TablaVentas[[#This Row],[Descuento_pct]]))</f>
        <v>18179.71</v>
      </c>
      <c r="P203">
        <f>IF(TablaVentas[[#This Row],[Costo_unitario]]="","PENDIENTE",TablaVentas[[#This Row],[Unidades]]*TablaVentas[[#This Row],[Costo_unitario]])</f>
        <v>13760.53</v>
      </c>
      <c r="Q203">
        <f>IF(OR(TablaVentas[[#This Row],[Ingreso_neto]]="PENDIENTE",TablaVentas[[#This Row],[Costo_total]]="PENDIENTE"),"PENDIENTE",TablaVentas[[#This Row],[Ingreso_neto]]-TablaVentas[[#This Row],[Costo_total]])</f>
        <v>4419.1799999999985</v>
      </c>
    </row>
    <row r="204" spans="1:17">
      <c r="A204" t="s">
        <v>306</v>
      </c>
      <c r="B204">
        <v>4</v>
      </c>
      <c r="C204" s="3">
        <v>46036</v>
      </c>
      <c r="D204" t="s">
        <v>307</v>
      </c>
      <c r="E204" t="s">
        <v>90</v>
      </c>
      <c r="F204" t="s">
        <v>77</v>
      </c>
      <c r="G204" t="s">
        <v>40</v>
      </c>
      <c r="H204" t="s">
        <v>67</v>
      </c>
      <c r="I204">
        <v>4</v>
      </c>
      <c r="J204" s="4">
        <v>10065.719999999999</v>
      </c>
      <c r="K204" s="5">
        <v>0.2</v>
      </c>
      <c r="L204" s="4">
        <v>8174.87</v>
      </c>
      <c r="M204" t="s">
        <v>42</v>
      </c>
      <c r="N204" t="s">
        <v>52</v>
      </c>
      <c r="O204">
        <f>IF(TablaVentas[[#This Row],[Precio_unitario]]="","PENDIENTE",TablaVentas[[#This Row],[Unidades]]*TablaVentas[[#This Row],[Precio_unitario]]*(1-TablaVentas[[#This Row],[Descuento_pct]]))</f>
        <v>32210.304</v>
      </c>
      <c r="P204">
        <f>IF(TablaVentas[[#This Row],[Costo_unitario]]="","PENDIENTE",TablaVentas[[#This Row],[Unidades]]*TablaVentas[[#This Row],[Costo_unitario]])</f>
        <v>32699.48</v>
      </c>
      <c r="Q204">
        <f>IF(OR(TablaVentas[[#This Row],[Ingreso_neto]]="PENDIENTE",TablaVentas[[#This Row],[Costo_total]]="PENDIENTE"),"PENDIENTE",TablaVentas[[#This Row],[Ingreso_neto]]-TablaVentas[[#This Row],[Costo_total]])</f>
        <v>-489.17599999999948</v>
      </c>
    </row>
    <row r="205" spans="1:17">
      <c r="A205" t="s">
        <v>306</v>
      </c>
      <c r="B205">
        <v>5</v>
      </c>
      <c r="C205" s="3">
        <v>46036</v>
      </c>
      <c r="D205" t="s">
        <v>307</v>
      </c>
      <c r="E205" t="s">
        <v>68</v>
      </c>
      <c r="F205" t="s">
        <v>77</v>
      </c>
      <c r="G205" t="s">
        <v>40</v>
      </c>
      <c r="H205" t="s">
        <v>67</v>
      </c>
      <c r="I205">
        <v>1</v>
      </c>
      <c r="J205" s="4">
        <v>15493.05</v>
      </c>
      <c r="K205" s="5">
        <v>0</v>
      </c>
      <c r="L205" s="4">
        <v>9243.35</v>
      </c>
      <c r="M205" t="s">
        <v>42</v>
      </c>
      <c r="N205" t="s">
        <v>43</v>
      </c>
      <c r="O205">
        <f>IF(TablaVentas[[#This Row],[Precio_unitario]]="","PENDIENTE",TablaVentas[[#This Row],[Unidades]]*TablaVentas[[#This Row],[Precio_unitario]]*(1-TablaVentas[[#This Row],[Descuento_pct]]))</f>
        <v>15493.05</v>
      </c>
      <c r="P205">
        <f>IF(TablaVentas[[#This Row],[Costo_unitario]]="","PENDIENTE",TablaVentas[[#This Row],[Unidades]]*TablaVentas[[#This Row],[Costo_unitario]])</f>
        <v>9243.35</v>
      </c>
      <c r="Q205">
        <f>IF(OR(TablaVentas[[#This Row],[Ingreso_neto]]="PENDIENTE",TablaVentas[[#This Row],[Costo_total]]="PENDIENTE"),"PENDIENTE",TablaVentas[[#This Row],[Ingreso_neto]]-TablaVentas[[#This Row],[Costo_total]])</f>
        <v>6249.6999999999989</v>
      </c>
    </row>
    <row r="206" spans="1:17">
      <c r="A206" t="s">
        <v>308</v>
      </c>
      <c r="B206">
        <v>1</v>
      </c>
      <c r="C206" s="3">
        <v>46060</v>
      </c>
      <c r="D206" t="s">
        <v>309</v>
      </c>
      <c r="E206" t="s">
        <v>196</v>
      </c>
      <c r="F206" t="s">
        <v>77</v>
      </c>
      <c r="G206" t="s">
        <v>50</v>
      </c>
      <c r="H206" t="s">
        <v>124</v>
      </c>
      <c r="I206">
        <v>2</v>
      </c>
      <c r="J206" s="4">
        <v>694.08</v>
      </c>
      <c r="K206" s="5">
        <v>0.05</v>
      </c>
      <c r="L206" s="4">
        <v>485.16</v>
      </c>
      <c r="M206" t="s">
        <v>42</v>
      </c>
      <c r="N206" t="s">
        <v>45</v>
      </c>
      <c r="O206">
        <f>IF(TablaVentas[[#This Row],[Precio_unitario]]="","PENDIENTE",TablaVentas[[#This Row],[Unidades]]*TablaVentas[[#This Row],[Precio_unitario]]*(1-TablaVentas[[#This Row],[Descuento_pct]]))</f>
        <v>1318.752</v>
      </c>
      <c r="P206">
        <f>IF(TablaVentas[[#This Row],[Costo_unitario]]="","PENDIENTE",TablaVentas[[#This Row],[Unidades]]*TablaVentas[[#This Row],[Costo_unitario]])</f>
        <v>970.32</v>
      </c>
      <c r="Q206">
        <f>IF(OR(TablaVentas[[#This Row],[Ingreso_neto]]="PENDIENTE",TablaVentas[[#This Row],[Costo_total]]="PENDIENTE"),"PENDIENTE",TablaVentas[[#This Row],[Ingreso_neto]]-TablaVentas[[#This Row],[Costo_total]])</f>
        <v>348.4319999999999</v>
      </c>
    </row>
    <row r="207" spans="1:17">
      <c r="A207" t="s">
        <v>308</v>
      </c>
      <c r="B207">
        <v>2</v>
      </c>
      <c r="C207" s="3">
        <v>46060</v>
      </c>
      <c r="D207" t="s">
        <v>309</v>
      </c>
      <c r="E207" t="s">
        <v>193</v>
      </c>
      <c r="F207" t="s">
        <v>77</v>
      </c>
      <c r="G207" t="s">
        <v>50</v>
      </c>
      <c r="H207" t="s">
        <v>124</v>
      </c>
      <c r="I207">
        <v>2</v>
      </c>
      <c r="J207" s="4">
        <v>11201.71</v>
      </c>
      <c r="K207" s="5">
        <v>0</v>
      </c>
      <c r="L207" s="4">
        <v>5811.72</v>
      </c>
      <c r="M207" t="s">
        <v>42</v>
      </c>
      <c r="N207" t="s">
        <v>45</v>
      </c>
      <c r="O207">
        <f>IF(TablaVentas[[#This Row],[Precio_unitario]]="","PENDIENTE",TablaVentas[[#This Row],[Unidades]]*TablaVentas[[#This Row],[Precio_unitario]]*(1-TablaVentas[[#This Row],[Descuento_pct]]))</f>
        <v>22403.42</v>
      </c>
      <c r="P207">
        <f>IF(TablaVentas[[#This Row],[Costo_unitario]]="","PENDIENTE",TablaVentas[[#This Row],[Unidades]]*TablaVentas[[#This Row],[Costo_unitario]])</f>
        <v>11623.44</v>
      </c>
      <c r="Q207">
        <f>IF(OR(TablaVentas[[#This Row],[Ingreso_neto]]="PENDIENTE",TablaVentas[[#This Row],[Costo_total]]="PENDIENTE"),"PENDIENTE",TablaVentas[[#This Row],[Ingreso_neto]]-TablaVentas[[#This Row],[Costo_total]])</f>
        <v>10779.979999999998</v>
      </c>
    </row>
    <row r="208" spans="1:17">
      <c r="A208" t="s">
        <v>310</v>
      </c>
      <c r="B208">
        <v>1</v>
      </c>
      <c r="C208" s="3">
        <v>46176</v>
      </c>
      <c r="D208" t="s">
        <v>137</v>
      </c>
      <c r="E208" t="s">
        <v>113</v>
      </c>
      <c r="F208" t="s">
        <v>39</v>
      </c>
      <c r="G208" t="s">
        <v>40</v>
      </c>
      <c r="H208" t="s">
        <v>184</v>
      </c>
      <c r="I208">
        <v>4</v>
      </c>
      <c r="J208" s="4">
        <v>3269.83</v>
      </c>
      <c r="K208" s="5">
        <v>0.2</v>
      </c>
      <c r="L208" s="4">
        <v>2196.34</v>
      </c>
      <c r="M208" t="s">
        <v>42</v>
      </c>
      <c r="N208" t="s">
        <v>43</v>
      </c>
      <c r="O208">
        <f>IF(TablaVentas[[#This Row],[Precio_unitario]]="","PENDIENTE",TablaVentas[[#This Row],[Unidades]]*TablaVentas[[#This Row],[Precio_unitario]]*(1-TablaVentas[[#This Row],[Descuento_pct]]))</f>
        <v>10463.456</v>
      </c>
      <c r="P208">
        <f>IF(TablaVentas[[#This Row],[Costo_unitario]]="","PENDIENTE",TablaVentas[[#This Row],[Unidades]]*TablaVentas[[#This Row],[Costo_unitario]])</f>
        <v>8785.36</v>
      </c>
      <c r="Q208">
        <f>IF(OR(TablaVentas[[#This Row],[Ingreso_neto]]="PENDIENTE",TablaVentas[[#This Row],[Costo_total]]="PENDIENTE"),"PENDIENTE",TablaVentas[[#This Row],[Ingreso_neto]]-TablaVentas[[#This Row],[Costo_total]])</f>
        <v>1678.0959999999995</v>
      </c>
    </row>
    <row r="209" spans="1:17">
      <c r="A209" t="s">
        <v>311</v>
      </c>
      <c r="B209">
        <v>1</v>
      </c>
      <c r="C209" s="3">
        <v>46290</v>
      </c>
      <c r="D209" t="s">
        <v>312</v>
      </c>
      <c r="E209" t="s">
        <v>140</v>
      </c>
      <c r="F209" t="s">
        <v>77</v>
      </c>
      <c r="G209" t="s">
        <v>40</v>
      </c>
      <c r="H209" t="s">
        <v>58</v>
      </c>
      <c r="I209">
        <v>3</v>
      </c>
      <c r="J209" s="4">
        <v>3285.99</v>
      </c>
      <c r="K209" s="5">
        <v>0</v>
      </c>
      <c r="L209" s="4">
        <v>2427.63</v>
      </c>
      <c r="M209" t="s">
        <v>42</v>
      </c>
      <c r="N209" t="s">
        <v>45</v>
      </c>
      <c r="O209">
        <f>IF(TablaVentas[[#This Row],[Precio_unitario]]="","PENDIENTE",TablaVentas[[#This Row],[Unidades]]*TablaVentas[[#This Row],[Precio_unitario]]*(1-TablaVentas[[#This Row],[Descuento_pct]]))</f>
        <v>9857.9699999999993</v>
      </c>
      <c r="P209">
        <f>IF(TablaVentas[[#This Row],[Costo_unitario]]="","PENDIENTE",TablaVentas[[#This Row],[Unidades]]*TablaVentas[[#This Row],[Costo_unitario]])</f>
        <v>7282.89</v>
      </c>
      <c r="Q209">
        <f>IF(OR(TablaVentas[[#This Row],[Ingreso_neto]]="PENDIENTE",TablaVentas[[#This Row],[Costo_total]]="PENDIENTE"),"PENDIENTE",TablaVentas[[#This Row],[Ingreso_neto]]-TablaVentas[[#This Row],[Costo_total]])</f>
        <v>2575.079999999999</v>
      </c>
    </row>
    <row r="210" spans="1:17">
      <c r="A210" t="s">
        <v>311</v>
      </c>
      <c r="B210">
        <v>2</v>
      </c>
      <c r="C210" s="3">
        <v>46290</v>
      </c>
      <c r="D210" t="s">
        <v>312</v>
      </c>
      <c r="E210" t="s">
        <v>97</v>
      </c>
      <c r="F210" t="s">
        <v>77</v>
      </c>
      <c r="G210" t="s">
        <v>40</v>
      </c>
      <c r="H210" t="s">
        <v>58</v>
      </c>
      <c r="I210">
        <v>2</v>
      </c>
      <c r="J210" s="4">
        <v>15816.36</v>
      </c>
      <c r="K210" s="5">
        <v>0.1</v>
      </c>
      <c r="L210" s="4">
        <v>11424.77</v>
      </c>
      <c r="M210" t="s">
        <v>42</v>
      </c>
      <c r="N210" t="s">
        <v>45</v>
      </c>
      <c r="O210">
        <f>IF(TablaVentas[[#This Row],[Precio_unitario]]="","PENDIENTE",TablaVentas[[#This Row],[Unidades]]*TablaVentas[[#This Row],[Precio_unitario]]*(1-TablaVentas[[#This Row],[Descuento_pct]]))</f>
        <v>28469.448</v>
      </c>
      <c r="P210">
        <f>IF(TablaVentas[[#This Row],[Costo_unitario]]="","PENDIENTE",TablaVentas[[#This Row],[Unidades]]*TablaVentas[[#This Row],[Costo_unitario]])</f>
        <v>22849.54</v>
      </c>
      <c r="Q210">
        <f>IF(OR(TablaVentas[[#This Row],[Ingreso_neto]]="PENDIENTE",TablaVentas[[#This Row],[Costo_total]]="PENDIENTE"),"PENDIENTE",TablaVentas[[#This Row],[Ingreso_neto]]-TablaVentas[[#This Row],[Costo_total]])</f>
        <v>5619.9079999999994</v>
      </c>
    </row>
    <row r="211" spans="1:17">
      <c r="A211" t="s">
        <v>311</v>
      </c>
      <c r="B211">
        <v>3</v>
      </c>
      <c r="C211" s="3">
        <v>46290</v>
      </c>
      <c r="D211" t="s">
        <v>312</v>
      </c>
      <c r="E211" t="s">
        <v>106</v>
      </c>
      <c r="F211" t="s">
        <v>77</v>
      </c>
      <c r="G211" t="s">
        <v>40</v>
      </c>
      <c r="H211" t="s">
        <v>58</v>
      </c>
      <c r="I211">
        <v>2</v>
      </c>
      <c r="J211" s="4">
        <v>10328.06</v>
      </c>
      <c r="K211" s="5">
        <v>0</v>
      </c>
      <c r="L211" s="4">
        <v>8276.74</v>
      </c>
      <c r="M211" t="s">
        <v>42</v>
      </c>
      <c r="N211" t="s">
        <v>60</v>
      </c>
      <c r="O211">
        <f>IF(TablaVentas[[#This Row],[Precio_unitario]]="","PENDIENTE",TablaVentas[[#This Row],[Unidades]]*TablaVentas[[#This Row],[Precio_unitario]]*(1-TablaVentas[[#This Row],[Descuento_pct]]))</f>
        <v>20656.12</v>
      </c>
      <c r="P211">
        <f>IF(TablaVentas[[#This Row],[Costo_unitario]]="","PENDIENTE",TablaVentas[[#This Row],[Unidades]]*TablaVentas[[#This Row],[Costo_unitario]])</f>
        <v>16553.48</v>
      </c>
      <c r="Q211">
        <f>IF(OR(TablaVentas[[#This Row],[Ingreso_neto]]="PENDIENTE",TablaVentas[[#This Row],[Costo_total]]="PENDIENTE"),"PENDIENTE",TablaVentas[[#This Row],[Ingreso_neto]]-TablaVentas[[#This Row],[Costo_total]])</f>
        <v>4102.6399999999994</v>
      </c>
    </row>
    <row r="212" spans="1:17">
      <c r="A212" t="s">
        <v>313</v>
      </c>
      <c r="B212">
        <v>1</v>
      </c>
      <c r="C212" s="3">
        <v>46256</v>
      </c>
      <c r="D212" t="s">
        <v>314</v>
      </c>
      <c r="E212" t="s">
        <v>115</v>
      </c>
      <c r="F212" t="s">
        <v>66</v>
      </c>
      <c r="G212" t="s">
        <v>50</v>
      </c>
      <c r="H212" t="s">
        <v>67</v>
      </c>
      <c r="I212">
        <v>3</v>
      </c>
      <c r="J212" s="4">
        <v>1441.68</v>
      </c>
      <c r="K212" s="5">
        <v>0.1</v>
      </c>
      <c r="L212" s="4">
        <v>705.87</v>
      </c>
      <c r="M212" t="s">
        <v>42</v>
      </c>
      <c r="N212" t="s">
        <v>43</v>
      </c>
      <c r="O212">
        <f>IF(TablaVentas[[#This Row],[Precio_unitario]]="","PENDIENTE",TablaVentas[[#This Row],[Unidades]]*TablaVentas[[#This Row],[Precio_unitario]]*(1-TablaVentas[[#This Row],[Descuento_pct]]))</f>
        <v>3892.5360000000001</v>
      </c>
      <c r="P212">
        <f>IF(TablaVentas[[#This Row],[Costo_unitario]]="","PENDIENTE",TablaVentas[[#This Row],[Unidades]]*TablaVentas[[#This Row],[Costo_unitario]])</f>
        <v>2117.61</v>
      </c>
      <c r="Q212">
        <f>IF(OR(TablaVentas[[#This Row],[Ingreso_neto]]="PENDIENTE",TablaVentas[[#This Row],[Costo_total]]="PENDIENTE"),"PENDIENTE",TablaVentas[[#This Row],[Ingreso_neto]]-TablaVentas[[#This Row],[Costo_total]])</f>
        <v>1774.9259999999999</v>
      </c>
    </row>
    <row r="213" spans="1:17">
      <c r="A213" t="s">
        <v>313</v>
      </c>
      <c r="B213">
        <v>2</v>
      </c>
      <c r="C213" s="3">
        <v>46256</v>
      </c>
      <c r="D213" t="s">
        <v>314</v>
      </c>
      <c r="E213" t="s">
        <v>256</v>
      </c>
      <c r="F213" t="s">
        <v>66</v>
      </c>
      <c r="G213" t="s">
        <v>50</v>
      </c>
      <c r="H213" t="s">
        <v>67</v>
      </c>
      <c r="I213">
        <v>1</v>
      </c>
      <c r="J213" s="4">
        <v>18638.91</v>
      </c>
      <c r="K213" s="5">
        <v>0</v>
      </c>
      <c r="L213" s="4">
        <v>11666.57</v>
      </c>
      <c r="M213" t="s">
        <v>42</v>
      </c>
      <c r="N213" t="s">
        <v>52</v>
      </c>
      <c r="O213">
        <f>IF(TablaVentas[[#This Row],[Precio_unitario]]="","PENDIENTE",TablaVentas[[#This Row],[Unidades]]*TablaVentas[[#This Row],[Precio_unitario]]*(1-TablaVentas[[#This Row],[Descuento_pct]]))</f>
        <v>18638.91</v>
      </c>
      <c r="P213">
        <f>IF(TablaVentas[[#This Row],[Costo_unitario]]="","PENDIENTE",TablaVentas[[#This Row],[Unidades]]*TablaVentas[[#This Row],[Costo_unitario]])</f>
        <v>11666.57</v>
      </c>
      <c r="Q213">
        <f>IF(OR(TablaVentas[[#This Row],[Ingreso_neto]]="PENDIENTE",TablaVentas[[#This Row],[Costo_total]]="PENDIENTE"),"PENDIENTE",TablaVentas[[#This Row],[Ingreso_neto]]-TablaVentas[[#This Row],[Costo_total]])</f>
        <v>6972.34</v>
      </c>
    </row>
    <row r="214" spans="1:17">
      <c r="A214" t="s">
        <v>313</v>
      </c>
      <c r="B214">
        <v>3</v>
      </c>
      <c r="C214" s="3">
        <v>46256</v>
      </c>
      <c r="D214" t="s">
        <v>314</v>
      </c>
      <c r="E214" t="s">
        <v>227</v>
      </c>
      <c r="F214" t="s">
        <v>66</v>
      </c>
      <c r="G214" t="s">
        <v>50</v>
      </c>
      <c r="H214" t="s">
        <v>67</v>
      </c>
      <c r="I214">
        <v>1</v>
      </c>
      <c r="J214" s="4">
        <v>8334.43</v>
      </c>
      <c r="K214" s="5">
        <v>0</v>
      </c>
      <c r="L214" s="4">
        <v>6255.13</v>
      </c>
      <c r="M214" t="s">
        <v>42</v>
      </c>
      <c r="N214" t="s">
        <v>60</v>
      </c>
      <c r="O214">
        <f>IF(TablaVentas[[#This Row],[Precio_unitario]]="","PENDIENTE",TablaVentas[[#This Row],[Unidades]]*TablaVentas[[#This Row],[Precio_unitario]]*(1-TablaVentas[[#This Row],[Descuento_pct]]))</f>
        <v>8334.43</v>
      </c>
      <c r="P214">
        <f>IF(TablaVentas[[#This Row],[Costo_unitario]]="","PENDIENTE",TablaVentas[[#This Row],[Unidades]]*TablaVentas[[#This Row],[Costo_unitario]])</f>
        <v>6255.13</v>
      </c>
      <c r="Q214">
        <f>IF(OR(TablaVentas[[#This Row],[Ingreso_neto]]="PENDIENTE",TablaVentas[[#This Row],[Costo_total]]="PENDIENTE"),"PENDIENTE",TablaVentas[[#This Row],[Ingreso_neto]]-TablaVentas[[#This Row],[Costo_total]])</f>
        <v>2079.3000000000002</v>
      </c>
    </row>
    <row r="215" spans="1:17">
      <c r="A215" t="s">
        <v>313</v>
      </c>
      <c r="B215">
        <v>4</v>
      </c>
      <c r="C215" s="3">
        <v>46256</v>
      </c>
      <c r="D215" t="s">
        <v>314</v>
      </c>
      <c r="E215" t="s">
        <v>175</v>
      </c>
      <c r="F215" t="s">
        <v>66</v>
      </c>
      <c r="G215" t="s">
        <v>50</v>
      </c>
      <c r="H215" t="s">
        <v>67</v>
      </c>
      <c r="I215">
        <v>1</v>
      </c>
      <c r="J215" s="4">
        <v>2820.98</v>
      </c>
      <c r="K215" s="5">
        <v>0</v>
      </c>
      <c r="L215" s="4">
        <v>1857.39</v>
      </c>
      <c r="M215" t="s">
        <v>42</v>
      </c>
      <c r="N215" t="s">
        <v>60</v>
      </c>
      <c r="O215">
        <f>IF(TablaVentas[[#This Row],[Precio_unitario]]="","PENDIENTE",TablaVentas[[#This Row],[Unidades]]*TablaVentas[[#This Row],[Precio_unitario]]*(1-TablaVentas[[#This Row],[Descuento_pct]]))</f>
        <v>2820.98</v>
      </c>
      <c r="P215">
        <f>IF(TablaVentas[[#This Row],[Costo_unitario]]="","PENDIENTE",TablaVentas[[#This Row],[Unidades]]*TablaVentas[[#This Row],[Costo_unitario]])</f>
        <v>1857.39</v>
      </c>
      <c r="Q215">
        <f>IF(OR(TablaVentas[[#This Row],[Ingreso_neto]]="PENDIENTE",TablaVentas[[#This Row],[Costo_total]]="PENDIENTE"),"PENDIENTE",TablaVentas[[#This Row],[Ingreso_neto]]-TablaVentas[[#This Row],[Costo_total]])</f>
        <v>963.58999999999992</v>
      </c>
    </row>
    <row r="216" spans="1:17">
      <c r="A216" t="s">
        <v>313</v>
      </c>
      <c r="B216">
        <v>5</v>
      </c>
      <c r="C216" s="3">
        <v>46256</v>
      </c>
      <c r="D216" t="s">
        <v>314</v>
      </c>
      <c r="E216" t="s">
        <v>138</v>
      </c>
      <c r="F216" t="s">
        <v>66</v>
      </c>
      <c r="G216" t="s">
        <v>50</v>
      </c>
      <c r="H216" t="s">
        <v>67</v>
      </c>
      <c r="I216">
        <v>8</v>
      </c>
      <c r="J216" s="4">
        <v>6349.4</v>
      </c>
      <c r="K216" s="5">
        <v>0</v>
      </c>
      <c r="L216" s="4">
        <v>4665.62</v>
      </c>
      <c r="M216" t="s">
        <v>42</v>
      </c>
      <c r="N216" t="s">
        <v>43</v>
      </c>
      <c r="O216">
        <f>IF(TablaVentas[[#This Row],[Precio_unitario]]="","PENDIENTE",TablaVentas[[#This Row],[Unidades]]*TablaVentas[[#This Row],[Precio_unitario]]*(1-TablaVentas[[#This Row],[Descuento_pct]]))</f>
        <v>50795.199999999997</v>
      </c>
      <c r="P216">
        <f>IF(TablaVentas[[#This Row],[Costo_unitario]]="","PENDIENTE",TablaVentas[[#This Row],[Unidades]]*TablaVentas[[#This Row],[Costo_unitario]])</f>
        <v>37324.959999999999</v>
      </c>
      <c r="Q216">
        <f>IF(OR(TablaVentas[[#This Row],[Ingreso_neto]]="PENDIENTE",TablaVentas[[#This Row],[Costo_total]]="PENDIENTE"),"PENDIENTE",TablaVentas[[#This Row],[Ingreso_neto]]-TablaVentas[[#This Row],[Costo_total]])</f>
        <v>13470.239999999998</v>
      </c>
    </row>
    <row r="217" spans="1:17">
      <c r="A217" t="s">
        <v>315</v>
      </c>
      <c r="B217">
        <v>1</v>
      </c>
      <c r="C217" s="3">
        <v>46056</v>
      </c>
      <c r="D217" t="s">
        <v>316</v>
      </c>
      <c r="E217" t="s">
        <v>256</v>
      </c>
      <c r="F217" t="s">
        <v>39</v>
      </c>
      <c r="G217" t="s">
        <v>57</v>
      </c>
      <c r="H217" t="s">
        <v>51</v>
      </c>
      <c r="I217">
        <v>2</v>
      </c>
      <c r="J217" s="4">
        <v>17704.22</v>
      </c>
      <c r="K217" s="5">
        <v>0</v>
      </c>
      <c r="L217" s="4">
        <v>11666.57</v>
      </c>
      <c r="M217" t="s">
        <v>42</v>
      </c>
      <c r="N217" t="s">
        <v>45</v>
      </c>
      <c r="O217">
        <f>IF(TablaVentas[[#This Row],[Precio_unitario]]="","PENDIENTE",TablaVentas[[#This Row],[Unidades]]*TablaVentas[[#This Row],[Precio_unitario]]*(1-TablaVentas[[#This Row],[Descuento_pct]]))</f>
        <v>35408.44</v>
      </c>
      <c r="P217">
        <f>IF(TablaVentas[[#This Row],[Costo_unitario]]="","PENDIENTE",TablaVentas[[#This Row],[Unidades]]*TablaVentas[[#This Row],[Costo_unitario]])</f>
        <v>23333.14</v>
      </c>
      <c r="Q217">
        <f>IF(OR(TablaVentas[[#This Row],[Ingreso_neto]]="PENDIENTE",TablaVentas[[#This Row],[Costo_total]]="PENDIENTE"),"PENDIENTE",TablaVentas[[#This Row],[Ingreso_neto]]-TablaVentas[[#This Row],[Costo_total]])</f>
        <v>12075.300000000003</v>
      </c>
    </row>
    <row r="218" spans="1:17">
      <c r="A218" t="s">
        <v>315</v>
      </c>
      <c r="B218">
        <v>2</v>
      </c>
      <c r="C218" s="3">
        <v>46056</v>
      </c>
      <c r="D218" t="s">
        <v>316</v>
      </c>
      <c r="E218" t="s">
        <v>125</v>
      </c>
      <c r="F218" t="s">
        <v>39</v>
      </c>
      <c r="G218" t="s">
        <v>57</v>
      </c>
      <c r="H218" t="s">
        <v>51</v>
      </c>
      <c r="I218">
        <v>1</v>
      </c>
      <c r="J218" s="4">
        <v>1669.85</v>
      </c>
      <c r="K218" s="5">
        <v>0</v>
      </c>
      <c r="L218" s="4">
        <v>1044.32</v>
      </c>
      <c r="M218" t="s">
        <v>42</v>
      </c>
      <c r="N218" t="s">
        <v>43</v>
      </c>
      <c r="O218">
        <f>IF(TablaVentas[[#This Row],[Precio_unitario]]="","PENDIENTE",TablaVentas[[#This Row],[Unidades]]*TablaVentas[[#This Row],[Precio_unitario]]*(1-TablaVentas[[#This Row],[Descuento_pct]]))</f>
        <v>1669.85</v>
      </c>
      <c r="P218">
        <f>IF(TablaVentas[[#This Row],[Costo_unitario]]="","PENDIENTE",TablaVentas[[#This Row],[Unidades]]*TablaVentas[[#This Row],[Costo_unitario]])</f>
        <v>1044.32</v>
      </c>
      <c r="Q218">
        <f>IF(OR(TablaVentas[[#This Row],[Ingreso_neto]]="PENDIENTE",TablaVentas[[#This Row],[Costo_total]]="PENDIENTE"),"PENDIENTE",TablaVentas[[#This Row],[Ingreso_neto]]-TablaVentas[[#This Row],[Costo_total]])</f>
        <v>625.53</v>
      </c>
    </row>
    <row r="219" spans="1:17">
      <c r="A219" t="s">
        <v>317</v>
      </c>
      <c r="B219">
        <v>1</v>
      </c>
      <c r="C219" s="3">
        <v>46099</v>
      </c>
      <c r="D219" t="s">
        <v>72</v>
      </c>
      <c r="E219" t="s">
        <v>93</v>
      </c>
      <c r="F219" t="s">
        <v>56</v>
      </c>
      <c r="G219" t="s">
        <v>57</v>
      </c>
      <c r="H219" t="s">
        <v>41</v>
      </c>
      <c r="I219">
        <v>5</v>
      </c>
      <c r="J219" s="4">
        <v>16241.99</v>
      </c>
      <c r="K219" s="5">
        <v>0.05</v>
      </c>
      <c r="L219" s="4">
        <v>8788.7900000000009</v>
      </c>
      <c r="M219" t="s">
        <v>42</v>
      </c>
      <c r="N219" t="s">
        <v>52</v>
      </c>
      <c r="O219">
        <f>IF(TablaVentas[[#This Row],[Precio_unitario]]="","PENDIENTE",TablaVentas[[#This Row],[Unidades]]*TablaVentas[[#This Row],[Precio_unitario]]*(1-TablaVentas[[#This Row],[Descuento_pct]]))</f>
        <v>77149.452499999999</v>
      </c>
      <c r="P219">
        <f>IF(TablaVentas[[#This Row],[Costo_unitario]]="","PENDIENTE",TablaVentas[[#This Row],[Unidades]]*TablaVentas[[#This Row],[Costo_unitario]])</f>
        <v>43943.950000000004</v>
      </c>
      <c r="Q219">
        <f>IF(OR(TablaVentas[[#This Row],[Ingreso_neto]]="PENDIENTE",TablaVentas[[#This Row],[Costo_total]]="PENDIENTE"),"PENDIENTE",TablaVentas[[#This Row],[Ingreso_neto]]-TablaVentas[[#This Row],[Costo_total]])</f>
        <v>33205.502499999995</v>
      </c>
    </row>
    <row r="220" spans="1:17">
      <c r="A220" t="s">
        <v>317</v>
      </c>
      <c r="B220">
        <v>2</v>
      </c>
      <c r="C220" s="3">
        <v>46099</v>
      </c>
      <c r="D220" t="s">
        <v>72</v>
      </c>
      <c r="E220" t="s">
        <v>65</v>
      </c>
      <c r="F220" t="s">
        <v>56</v>
      </c>
      <c r="G220" t="s">
        <v>57</v>
      </c>
      <c r="H220" t="s">
        <v>41</v>
      </c>
      <c r="I220">
        <v>1</v>
      </c>
      <c r="J220" s="4">
        <v>10313.49</v>
      </c>
      <c r="K220" s="5">
        <v>0.15</v>
      </c>
      <c r="L220" s="4">
        <v>7328.02</v>
      </c>
      <c r="M220" t="s">
        <v>42</v>
      </c>
      <c r="N220" t="s">
        <v>45</v>
      </c>
      <c r="O220">
        <f>IF(TablaVentas[[#This Row],[Precio_unitario]]="","PENDIENTE",TablaVentas[[#This Row],[Unidades]]*TablaVentas[[#This Row],[Precio_unitario]]*(1-TablaVentas[[#This Row],[Descuento_pct]]))</f>
        <v>8766.4665000000005</v>
      </c>
      <c r="P220">
        <f>IF(TablaVentas[[#This Row],[Costo_unitario]]="","PENDIENTE",TablaVentas[[#This Row],[Unidades]]*TablaVentas[[#This Row],[Costo_unitario]])</f>
        <v>7328.02</v>
      </c>
      <c r="Q220">
        <f>IF(OR(TablaVentas[[#This Row],[Ingreso_neto]]="PENDIENTE",TablaVentas[[#This Row],[Costo_total]]="PENDIENTE"),"PENDIENTE",TablaVentas[[#This Row],[Ingreso_neto]]-TablaVentas[[#This Row],[Costo_total]])</f>
        <v>1438.4465</v>
      </c>
    </row>
    <row r="221" spans="1:17">
      <c r="A221" t="s">
        <v>318</v>
      </c>
      <c r="B221">
        <v>1</v>
      </c>
      <c r="C221" s="3">
        <v>46096</v>
      </c>
      <c r="D221" t="s">
        <v>319</v>
      </c>
      <c r="E221" t="s">
        <v>320</v>
      </c>
      <c r="F221" t="s">
        <v>77</v>
      </c>
      <c r="G221" t="s">
        <v>50</v>
      </c>
      <c r="H221" t="s">
        <v>82</v>
      </c>
      <c r="I221">
        <v>1</v>
      </c>
      <c r="J221" s="4">
        <v>4415.1499999999996</v>
      </c>
      <c r="K221" s="5">
        <v>0.05</v>
      </c>
      <c r="L221" s="4">
        <v>3065.66</v>
      </c>
      <c r="M221" t="s">
        <v>42</v>
      </c>
      <c r="N221" t="s">
        <v>43</v>
      </c>
      <c r="O221">
        <f>IF(TablaVentas[[#This Row],[Precio_unitario]]="","PENDIENTE",TablaVentas[[#This Row],[Unidades]]*TablaVentas[[#This Row],[Precio_unitario]]*(1-TablaVentas[[#This Row],[Descuento_pct]]))</f>
        <v>4194.392499999999</v>
      </c>
      <c r="P221">
        <f>IF(TablaVentas[[#This Row],[Costo_unitario]]="","PENDIENTE",TablaVentas[[#This Row],[Unidades]]*TablaVentas[[#This Row],[Costo_unitario]])</f>
        <v>3065.66</v>
      </c>
      <c r="Q221">
        <f>IF(OR(TablaVentas[[#This Row],[Ingreso_neto]]="PENDIENTE",TablaVentas[[#This Row],[Costo_total]]="PENDIENTE"),"PENDIENTE",TablaVentas[[#This Row],[Ingreso_neto]]-TablaVentas[[#This Row],[Costo_total]])</f>
        <v>1128.7324999999992</v>
      </c>
    </row>
    <row r="222" spans="1:17">
      <c r="A222" t="s">
        <v>318</v>
      </c>
      <c r="B222">
        <v>2</v>
      </c>
      <c r="C222" s="3">
        <v>46096</v>
      </c>
      <c r="D222" t="s">
        <v>319</v>
      </c>
      <c r="E222" t="s">
        <v>321</v>
      </c>
      <c r="F222" t="s">
        <v>77</v>
      </c>
      <c r="G222" t="s">
        <v>50</v>
      </c>
      <c r="H222" t="s">
        <v>82</v>
      </c>
      <c r="I222">
        <v>1</v>
      </c>
      <c r="J222" s="4">
        <v>1275</v>
      </c>
      <c r="K222" s="5">
        <v>0</v>
      </c>
      <c r="L222" s="4">
        <v>679.37</v>
      </c>
      <c r="M222" t="s">
        <v>42</v>
      </c>
      <c r="N222" t="s">
        <v>60</v>
      </c>
      <c r="O222">
        <f>IF(TablaVentas[[#This Row],[Precio_unitario]]="","PENDIENTE",TablaVentas[[#This Row],[Unidades]]*TablaVentas[[#This Row],[Precio_unitario]]*(1-TablaVentas[[#This Row],[Descuento_pct]]))</f>
        <v>1275</v>
      </c>
      <c r="P222">
        <f>IF(TablaVentas[[#This Row],[Costo_unitario]]="","PENDIENTE",TablaVentas[[#This Row],[Unidades]]*TablaVentas[[#This Row],[Costo_unitario]])</f>
        <v>679.37</v>
      </c>
      <c r="Q222">
        <f>IF(OR(TablaVentas[[#This Row],[Ingreso_neto]]="PENDIENTE",TablaVentas[[#This Row],[Costo_total]]="PENDIENTE"),"PENDIENTE",TablaVentas[[#This Row],[Ingreso_neto]]-TablaVentas[[#This Row],[Costo_total]])</f>
        <v>595.63</v>
      </c>
    </row>
    <row r="223" spans="1:17">
      <c r="A223" t="s">
        <v>322</v>
      </c>
      <c r="B223">
        <v>1</v>
      </c>
      <c r="C223" s="3">
        <v>46162</v>
      </c>
      <c r="D223" t="s">
        <v>220</v>
      </c>
      <c r="E223" t="s">
        <v>159</v>
      </c>
      <c r="F223" t="s">
        <v>39</v>
      </c>
      <c r="G223" t="s">
        <v>57</v>
      </c>
      <c r="H223" t="s">
        <v>124</v>
      </c>
      <c r="I223">
        <v>5</v>
      </c>
      <c r="J223" s="4">
        <v>12534.91</v>
      </c>
      <c r="K223" s="5">
        <v>0</v>
      </c>
      <c r="L223" s="4">
        <v>9317.3700000000008</v>
      </c>
      <c r="M223" t="s">
        <v>42</v>
      </c>
      <c r="N223" t="s">
        <v>60</v>
      </c>
      <c r="O223">
        <f>IF(TablaVentas[[#This Row],[Precio_unitario]]="","PENDIENTE",TablaVentas[[#This Row],[Unidades]]*TablaVentas[[#This Row],[Precio_unitario]]*(1-TablaVentas[[#This Row],[Descuento_pct]]))</f>
        <v>62674.55</v>
      </c>
      <c r="P223">
        <f>IF(TablaVentas[[#This Row],[Costo_unitario]]="","PENDIENTE",TablaVentas[[#This Row],[Unidades]]*TablaVentas[[#This Row],[Costo_unitario]])</f>
        <v>46586.850000000006</v>
      </c>
      <c r="Q223">
        <f>IF(OR(TablaVentas[[#This Row],[Ingreso_neto]]="PENDIENTE",TablaVentas[[#This Row],[Costo_total]]="PENDIENTE"),"PENDIENTE",TablaVentas[[#This Row],[Ingreso_neto]]-TablaVentas[[#This Row],[Costo_total]])</f>
        <v>16087.699999999997</v>
      </c>
    </row>
    <row r="224" spans="1:17">
      <c r="A224" t="s">
        <v>322</v>
      </c>
      <c r="B224">
        <v>2</v>
      </c>
      <c r="C224" s="3">
        <v>46162</v>
      </c>
      <c r="D224" t="s">
        <v>220</v>
      </c>
      <c r="E224" t="s">
        <v>143</v>
      </c>
      <c r="F224" t="s">
        <v>39</v>
      </c>
      <c r="G224" t="s">
        <v>57</v>
      </c>
      <c r="H224" t="s">
        <v>124</v>
      </c>
      <c r="I224">
        <v>1</v>
      </c>
      <c r="J224" s="4">
        <v>10131.36</v>
      </c>
      <c r="K224" s="5">
        <v>0.2</v>
      </c>
      <c r="L224" s="4">
        <v>6815.42</v>
      </c>
      <c r="M224" t="s">
        <v>42</v>
      </c>
      <c r="N224" t="s">
        <v>43</v>
      </c>
      <c r="O224">
        <f>IF(TablaVentas[[#This Row],[Precio_unitario]]="","PENDIENTE",TablaVentas[[#This Row],[Unidades]]*TablaVentas[[#This Row],[Precio_unitario]]*(1-TablaVentas[[#This Row],[Descuento_pct]]))</f>
        <v>8105.0880000000006</v>
      </c>
      <c r="P224">
        <f>IF(TablaVentas[[#This Row],[Costo_unitario]]="","PENDIENTE",TablaVentas[[#This Row],[Unidades]]*TablaVentas[[#This Row],[Costo_unitario]])</f>
        <v>6815.42</v>
      </c>
      <c r="Q224">
        <f>IF(OR(TablaVentas[[#This Row],[Ingreso_neto]]="PENDIENTE",TablaVentas[[#This Row],[Costo_total]]="PENDIENTE"),"PENDIENTE",TablaVentas[[#This Row],[Ingreso_neto]]-TablaVentas[[#This Row],[Costo_total]])</f>
        <v>1289.6680000000006</v>
      </c>
    </row>
    <row r="225" spans="1:17">
      <c r="A225" t="s">
        <v>322</v>
      </c>
      <c r="B225">
        <v>3</v>
      </c>
      <c r="C225" s="3">
        <v>46162</v>
      </c>
      <c r="D225" t="s">
        <v>220</v>
      </c>
      <c r="E225" t="s">
        <v>55</v>
      </c>
      <c r="F225" t="s">
        <v>39</v>
      </c>
      <c r="G225" t="s">
        <v>57</v>
      </c>
      <c r="H225" t="s">
        <v>124</v>
      </c>
      <c r="I225">
        <v>1</v>
      </c>
      <c r="J225" s="4">
        <v>12916.5</v>
      </c>
      <c r="K225" s="5">
        <v>0</v>
      </c>
      <c r="L225" s="4">
        <v>6407.85</v>
      </c>
      <c r="M225" t="s">
        <v>42</v>
      </c>
      <c r="N225" t="s">
        <v>43</v>
      </c>
      <c r="O225">
        <f>IF(TablaVentas[[#This Row],[Precio_unitario]]="","PENDIENTE",TablaVentas[[#This Row],[Unidades]]*TablaVentas[[#This Row],[Precio_unitario]]*(1-TablaVentas[[#This Row],[Descuento_pct]]))</f>
        <v>12916.5</v>
      </c>
      <c r="P225">
        <f>IF(TablaVentas[[#This Row],[Costo_unitario]]="","PENDIENTE",TablaVentas[[#This Row],[Unidades]]*TablaVentas[[#This Row],[Costo_unitario]])</f>
        <v>6407.85</v>
      </c>
      <c r="Q225">
        <f>IF(OR(TablaVentas[[#This Row],[Ingreso_neto]]="PENDIENTE",TablaVentas[[#This Row],[Costo_total]]="PENDIENTE"),"PENDIENTE",TablaVentas[[#This Row],[Ingreso_neto]]-TablaVentas[[#This Row],[Costo_total]])</f>
        <v>6508.65</v>
      </c>
    </row>
    <row r="226" spans="1:17">
      <c r="A226" t="s">
        <v>323</v>
      </c>
      <c r="B226">
        <v>1</v>
      </c>
      <c r="C226" s="3">
        <v>46140</v>
      </c>
      <c r="D226" t="s">
        <v>324</v>
      </c>
      <c r="E226" t="s">
        <v>85</v>
      </c>
      <c r="F226" t="s">
        <v>66</v>
      </c>
      <c r="G226" t="s">
        <v>57</v>
      </c>
      <c r="H226" t="s">
        <v>129</v>
      </c>
      <c r="I226">
        <v>8</v>
      </c>
      <c r="J226" s="4">
        <v>514.69000000000005</v>
      </c>
      <c r="K226" s="5">
        <v>0</v>
      </c>
      <c r="L226" s="4">
        <v>307.75</v>
      </c>
      <c r="M226" t="s">
        <v>116</v>
      </c>
      <c r="N226" t="s">
        <v>45</v>
      </c>
      <c r="O226">
        <f>IF(TablaVentas[[#This Row],[Precio_unitario]]="","PENDIENTE",TablaVentas[[#This Row],[Unidades]]*TablaVentas[[#This Row],[Precio_unitario]]*(1-TablaVentas[[#This Row],[Descuento_pct]]))</f>
        <v>4117.5200000000004</v>
      </c>
      <c r="P226">
        <f>IF(TablaVentas[[#This Row],[Costo_unitario]]="","PENDIENTE",TablaVentas[[#This Row],[Unidades]]*TablaVentas[[#This Row],[Costo_unitario]])</f>
        <v>2462</v>
      </c>
      <c r="Q226">
        <f>IF(OR(TablaVentas[[#This Row],[Ingreso_neto]]="PENDIENTE",TablaVentas[[#This Row],[Costo_total]]="PENDIENTE"),"PENDIENTE",TablaVentas[[#This Row],[Ingreso_neto]]-TablaVentas[[#This Row],[Costo_total]])</f>
        <v>1655.5200000000004</v>
      </c>
    </row>
    <row r="227" spans="1:17">
      <c r="A227" t="s">
        <v>323</v>
      </c>
      <c r="B227">
        <v>2</v>
      </c>
      <c r="C227" s="3">
        <v>46140</v>
      </c>
      <c r="D227" t="s">
        <v>324</v>
      </c>
      <c r="E227" t="s">
        <v>196</v>
      </c>
      <c r="F227" t="s">
        <v>66</v>
      </c>
      <c r="G227" t="s">
        <v>57</v>
      </c>
      <c r="H227" t="s">
        <v>129</v>
      </c>
      <c r="I227">
        <v>2</v>
      </c>
      <c r="J227" s="4">
        <v>825.03</v>
      </c>
      <c r="K227" s="5">
        <v>0.2</v>
      </c>
      <c r="L227" s="4">
        <v>485.16</v>
      </c>
      <c r="M227" t="s">
        <v>42</v>
      </c>
      <c r="N227" t="s">
        <v>43</v>
      </c>
      <c r="O227">
        <f>IF(TablaVentas[[#This Row],[Precio_unitario]]="","PENDIENTE",TablaVentas[[#This Row],[Unidades]]*TablaVentas[[#This Row],[Precio_unitario]]*(1-TablaVentas[[#This Row],[Descuento_pct]]))</f>
        <v>1320.048</v>
      </c>
      <c r="P227">
        <f>IF(TablaVentas[[#This Row],[Costo_unitario]]="","PENDIENTE",TablaVentas[[#This Row],[Unidades]]*TablaVentas[[#This Row],[Costo_unitario]])</f>
        <v>970.32</v>
      </c>
      <c r="Q227">
        <f>IF(OR(TablaVentas[[#This Row],[Ingreso_neto]]="PENDIENTE",TablaVentas[[#This Row],[Costo_total]]="PENDIENTE"),"PENDIENTE",TablaVentas[[#This Row],[Ingreso_neto]]-TablaVentas[[#This Row],[Costo_total]])</f>
        <v>349.72799999999995</v>
      </c>
    </row>
    <row r="228" spans="1:17">
      <c r="A228" t="s">
        <v>323</v>
      </c>
      <c r="B228">
        <v>3</v>
      </c>
      <c r="C228" s="3">
        <v>46140</v>
      </c>
      <c r="D228" t="s">
        <v>324</v>
      </c>
      <c r="E228" t="s">
        <v>98</v>
      </c>
      <c r="F228" t="s">
        <v>66</v>
      </c>
      <c r="G228" t="s">
        <v>57</v>
      </c>
      <c r="H228" t="s">
        <v>129</v>
      </c>
      <c r="I228">
        <v>4</v>
      </c>
      <c r="J228" s="4">
        <v>17144.349999999999</v>
      </c>
      <c r="K228" s="5">
        <v>0</v>
      </c>
      <c r="L228" s="4">
        <v>9881</v>
      </c>
      <c r="M228" t="s">
        <v>42</v>
      </c>
      <c r="N228" t="s">
        <v>43</v>
      </c>
      <c r="O228">
        <f>IF(TablaVentas[[#This Row],[Precio_unitario]]="","PENDIENTE",TablaVentas[[#This Row],[Unidades]]*TablaVentas[[#This Row],[Precio_unitario]]*(1-TablaVentas[[#This Row],[Descuento_pct]]))</f>
        <v>68577.399999999994</v>
      </c>
      <c r="P228">
        <f>IF(TablaVentas[[#This Row],[Costo_unitario]]="","PENDIENTE",TablaVentas[[#This Row],[Unidades]]*TablaVentas[[#This Row],[Costo_unitario]])</f>
        <v>39524</v>
      </c>
      <c r="Q228">
        <f>IF(OR(TablaVentas[[#This Row],[Ingreso_neto]]="PENDIENTE",TablaVentas[[#This Row],[Costo_total]]="PENDIENTE"),"PENDIENTE",TablaVentas[[#This Row],[Ingreso_neto]]-TablaVentas[[#This Row],[Costo_total]])</f>
        <v>29053.399999999994</v>
      </c>
    </row>
    <row r="229" spans="1:17">
      <c r="A229" t="s">
        <v>325</v>
      </c>
      <c r="B229">
        <v>1</v>
      </c>
      <c r="C229" s="3">
        <v>46235</v>
      </c>
      <c r="D229" t="s">
        <v>287</v>
      </c>
      <c r="E229" t="s">
        <v>326</v>
      </c>
      <c r="F229" t="s">
        <v>39</v>
      </c>
      <c r="G229" t="s">
        <v>57</v>
      </c>
      <c r="H229" t="s">
        <v>41</v>
      </c>
      <c r="I229">
        <v>1</v>
      </c>
      <c r="J229" s="4">
        <v>7510.91</v>
      </c>
      <c r="K229" s="5">
        <v>0.05</v>
      </c>
      <c r="L229" s="4">
        <v>4044.16</v>
      </c>
      <c r="M229" t="s">
        <v>42</v>
      </c>
      <c r="N229" t="s">
        <v>52</v>
      </c>
      <c r="O229">
        <f>IF(TablaVentas[[#This Row],[Precio_unitario]]="","PENDIENTE",TablaVentas[[#This Row],[Unidades]]*TablaVentas[[#This Row],[Precio_unitario]]*(1-TablaVentas[[#This Row],[Descuento_pct]]))</f>
        <v>7135.3644999999997</v>
      </c>
      <c r="P229">
        <f>IF(TablaVentas[[#This Row],[Costo_unitario]]="","PENDIENTE",TablaVentas[[#This Row],[Unidades]]*TablaVentas[[#This Row],[Costo_unitario]])</f>
        <v>4044.16</v>
      </c>
      <c r="Q229">
        <f>IF(OR(TablaVentas[[#This Row],[Ingreso_neto]]="PENDIENTE",TablaVentas[[#This Row],[Costo_total]]="PENDIENTE"),"PENDIENTE",TablaVentas[[#This Row],[Ingreso_neto]]-TablaVentas[[#This Row],[Costo_total]])</f>
        <v>3091.2044999999998</v>
      </c>
    </row>
    <row r="230" spans="1:17">
      <c r="A230" t="s">
        <v>327</v>
      </c>
      <c r="B230">
        <v>1</v>
      </c>
      <c r="C230" s="3">
        <v>46031</v>
      </c>
      <c r="D230" t="s">
        <v>64</v>
      </c>
      <c r="E230" t="s">
        <v>185</v>
      </c>
      <c r="F230" t="s">
        <v>77</v>
      </c>
      <c r="G230" t="s">
        <v>40</v>
      </c>
      <c r="H230" t="s">
        <v>41</v>
      </c>
      <c r="I230">
        <v>1</v>
      </c>
      <c r="J230" s="4">
        <v>17419.86</v>
      </c>
      <c r="K230" s="5">
        <v>0.15</v>
      </c>
      <c r="L230" s="4">
        <v>11904.09</v>
      </c>
      <c r="M230" t="s">
        <v>42</v>
      </c>
      <c r="N230" t="s">
        <v>52</v>
      </c>
      <c r="O230">
        <f>IF(TablaVentas[[#This Row],[Precio_unitario]]="","PENDIENTE",TablaVentas[[#This Row],[Unidades]]*TablaVentas[[#This Row],[Precio_unitario]]*(1-TablaVentas[[#This Row],[Descuento_pct]]))</f>
        <v>14806.880999999999</v>
      </c>
      <c r="P230">
        <f>IF(TablaVentas[[#This Row],[Costo_unitario]]="","PENDIENTE",TablaVentas[[#This Row],[Unidades]]*TablaVentas[[#This Row],[Costo_unitario]])</f>
        <v>11904.09</v>
      </c>
      <c r="Q230">
        <f>IF(OR(TablaVentas[[#This Row],[Ingreso_neto]]="PENDIENTE",TablaVentas[[#This Row],[Costo_total]]="PENDIENTE"),"PENDIENTE",TablaVentas[[#This Row],[Ingreso_neto]]-TablaVentas[[#This Row],[Costo_total]])</f>
        <v>2902.7909999999993</v>
      </c>
    </row>
    <row r="231" spans="1:17">
      <c r="A231" t="s">
        <v>327</v>
      </c>
      <c r="B231">
        <v>2</v>
      </c>
      <c r="C231" s="3">
        <v>46031</v>
      </c>
      <c r="D231" t="s">
        <v>64</v>
      </c>
      <c r="E231" t="s">
        <v>134</v>
      </c>
      <c r="F231" t="s">
        <v>77</v>
      </c>
      <c r="G231" t="s">
        <v>40</v>
      </c>
      <c r="H231" t="s">
        <v>41</v>
      </c>
      <c r="I231">
        <v>2</v>
      </c>
      <c r="J231" s="4">
        <v>281.77</v>
      </c>
      <c r="K231" s="5">
        <v>0.2</v>
      </c>
      <c r="L231" s="4">
        <v>176.47</v>
      </c>
      <c r="M231" t="s">
        <v>42</v>
      </c>
      <c r="N231" t="s">
        <v>52</v>
      </c>
      <c r="O231">
        <f>IF(TablaVentas[[#This Row],[Precio_unitario]]="","PENDIENTE",TablaVentas[[#This Row],[Unidades]]*TablaVentas[[#This Row],[Precio_unitario]]*(1-TablaVentas[[#This Row],[Descuento_pct]]))</f>
        <v>450.83199999999999</v>
      </c>
      <c r="P231">
        <f>IF(TablaVentas[[#This Row],[Costo_unitario]]="","PENDIENTE",TablaVentas[[#This Row],[Unidades]]*TablaVentas[[#This Row],[Costo_unitario]])</f>
        <v>352.94</v>
      </c>
      <c r="Q231">
        <f>IF(OR(TablaVentas[[#This Row],[Ingreso_neto]]="PENDIENTE",TablaVentas[[#This Row],[Costo_total]]="PENDIENTE"),"PENDIENTE",TablaVentas[[#This Row],[Ingreso_neto]]-TablaVentas[[#This Row],[Costo_total]])</f>
        <v>97.891999999999996</v>
      </c>
    </row>
    <row r="232" spans="1:17">
      <c r="A232" t="s">
        <v>328</v>
      </c>
      <c r="B232">
        <v>1</v>
      </c>
      <c r="C232" s="3">
        <v>46167</v>
      </c>
      <c r="D232" t="s">
        <v>329</v>
      </c>
      <c r="E232" t="s">
        <v>113</v>
      </c>
      <c r="F232" t="s">
        <v>66</v>
      </c>
      <c r="G232" t="s">
        <v>57</v>
      </c>
      <c r="H232" t="s">
        <v>82</v>
      </c>
      <c r="I232">
        <v>2</v>
      </c>
      <c r="J232" s="4">
        <v>2891.46</v>
      </c>
      <c r="K232" s="5">
        <v>0.05</v>
      </c>
      <c r="L232" s="4">
        <v>2196.34</v>
      </c>
      <c r="M232" t="s">
        <v>42</v>
      </c>
      <c r="N232" t="s">
        <v>45</v>
      </c>
      <c r="O232">
        <f>IF(TablaVentas[[#This Row],[Precio_unitario]]="","PENDIENTE",TablaVentas[[#This Row],[Unidades]]*TablaVentas[[#This Row],[Precio_unitario]]*(1-TablaVentas[[#This Row],[Descuento_pct]]))</f>
        <v>5493.7739999999994</v>
      </c>
      <c r="P232">
        <f>IF(TablaVentas[[#This Row],[Costo_unitario]]="","PENDIENTE",TablaVentas[[#This Row],[Unidades]]*TablaVentas[[#This Row],[Costo_unitario]])</f>
        <v>4392.68</v>
      </c>
      <c r="Q232">
        <f>IF(OR(TablaVentas[[#This Row],[Ingreso_neto]]="PENDIENTE",TablaVentas[[#This Row],[Costo_total]]="PENDIENTE"),"PENDIENTE",TablaVentas[[#This Row],[Ingreso_neto]]-TablaVentas[[#This Row],[Costo_total]])</f>
        <v>1101.0939999999991</v>
      </c>
    </row>
    <row r="233" spans="1:17">
      <c r="A233" t="s">
        <v>330</v>
      </c>
      <c r="B233">
        <v>1</v>
      </c>
      <c r="C233" s="3">
        <v>46264</v>
      </c>
      <c r="D233" t="s">
        <v>255</v>
      </c>
      <c r="E233" t="s">
        <v>119</v>
      </c>
      <c r="F233" t="s">
        <v>77</v>
      </c>
      <c r="G233" t="s">
        <v>40</v>
      </c>
      <c r="H233" t="s">
        <v>58</v>
      </c>
      <c r="I233">
        <v>3</v>
      </c>
      <c r="J233" s="4">
        <v>8164.56</v>
      </c>
      <c r="K233" s="5">
        <v>0</v>
      </c>
      <c r="L233" s="4">
        <v>6981.94</v>
      </c>
      <c r="M233" t="s">
        <v>42</v>
      </c>
      <c r="N233" t="s">
        <v>43</v>
      </c>
      <c r="O233">
        <f>IF(TablaVentas[[#This Row],[Precio_unitario]]="","PENDIENTE",TablaVentas[[#This Row],[Unidades]]*TablaVentas[[#This Row],[Precio_unitario]]*(1-TablaVentas[[#This Row],[Descuento_pct]]))</f>
        <v>24493.68</v>
      </c>
      <c r="P233">
        <f>IF(TablaVentas[[#This Row],[Costo_unitario]]="","PENDIENTE",TablaVentas[[#This Row],[Unidades]]*TablaVentas[[#This Row],[Costo_unitario]])</f>
        <v>20945.82</v>
      </c>
      <c r="Q233">
        <f>IF(OR(TablaVentas[[#This Row],[Ingreso_neto]]="PENDIENTE",TablaVentas[[#This Row],[Costo_total]]="PENDIENTE"),"PENDIENTE",TablaVentas[[#This Row],[Ingreso_neto]]-TablaVentas[[#This Row],[Costo_total]])</f>
        <v>3547.8600000000006</v>
      </c>
    </row>
    <row r="234" spans="1:17">
      <c r="A234" t="s">
        <v>330</v>
      </c>
      <c r="B234">
        <v>2</v>
      </c>
      <c r="C234" s="3">
        <v>46264</v>
      </c>
      <c r="D234" t="s">
        <v>255</v>
      </c>
      <c r="E234" t="s">
        <v>123</v>
      </c>
      <c r="F234" t="s">
        <v>77</v>
      </c>
      <c r="G234" t="s">
        <v>40</v>
      </c>
      <c r="H234" t="s">
        <v>58</v>
      </c>
      <c r="I234">
        <v>3</v>
      </c>
      <c r="J234" s="4">
        <v>18740.11</v>
      </c>
      <c r="K234" s="5">
        <v>0.2</v>
      </c>
      <c r="L234" s="4">
        <v>12679.41</v>
      </c>
      <c r="M234" t="s">
        <v>42</v>
      </c>
      <c r="N234" t="s">
        <v>45</v>
      </c>
      <c r="O234">
        <f>IF(TablaVentas[[#This Row],[Precio_unitario]]="","PENDIENTE",TablaVentas[[#This Row],[Unidades]]*TablaVentas[[#This Row],[Precio_unitario]]*(1-TablaVentas[[#This Row],[Descuento_pct]]))</f>
        <v>44976.264000000003</v>
      </c>
      <c r="P234">
        <f>IF(TablaVentas[[#This Row],[Costo_unitario]]="","PENDIENTE",TablaVentas[[#This Row],[Unidades]]*TablaVentas[[#This Row],[Costo_unitario]])</f>
        <v>38038.229999999996</v>
      </c>
      <c r="Q234">
        <f>IF(OR(TablaVentas[[#This Row],[Ingreso_neto]]="PENDIENTE",TablaVentas[[#This Row],[Costo_total]]="PENDIENTE"),"PENDIENTE",TablaVentas[[#This Row],[Ingreso_neto]]-TablaVentas[[#This Row],[Costo_total]])</f>
        <v>6938.0340000000069</v>
      </c>
    </row>
    <row r="235" spans="1:17">
      <c r="A235" t="s">
        <v>330</v>
      </c>
      <c r="B235">
        <v>3</v>
      </c>
      <c r="C235" s="3">
        <v>46264</v>
      </c>
      <c r="D235" t="s">
        <v>255</v>
      </c>
      <c r="E235" t="s">
        <v>65</v>
      </c>
      <c r="F235" t="s">
        <v>77</v>
      </c>
      <c r="G235" t="s">
        <v>40</v>
      </c>
      <c r="H235" t="s">
        <v>58</v>
      </c>
      <c r="I235">
        <v>1</v>
      </c>
      <c r="J235" s="4">
        <v>10672.42</v>
      </c>
      <c r="K235" s="5">
        <v>0.15</v>
      </c>
      <c r="L235" s="4">
        <v>7328.02</v>
      </c>
      <c r="M235" t="s">
        <v>42</v>
      </c>
      <c r="N235" t="s">
        <v>43</v>
      </c>
      <c r="O235">
        <f>IF(TablaVentas[[#This Row],[Precio_unitario]]="","PENDIENTE",TablaVentas[[#This Row],[Unidades]]*TablaVentas[[#This Row],[Precio_unitario]]*(1-TablaVentas[[#This Row],[Descuento_pct]]))</f>
        <v>9071.5570000000007</v>
      </c>
      <c r="P235">
        <f>IF(TablaVentas[[#This Row],[Costo_unitario]]="","PENDIENTE",TablaVentas[[#This Row],[Unidades]]*TablaVentas[[#This Row],[Costo_unitario]])</f>
        <v>7328.02</v>
      </c>
      <c r="Q235">
        <f>IF(OR(TablaVentas[[#This Row],[Ingreso_neto]]="PENDIENTE",TablaVentas[[#This Row],[Costo_total]]="PENDIENTE"),"PENDIENTE",TablaVentas[[#This Row],[Ingreso_neto]]-TablaVentas[[#This Row],[Costo_total]])</f>
        <v>1743.5370000000003</v>
      </c>
    </row>
    <row r="236" spans="1:17">
      <c r="A236" t="s">
        <v>330</v>
      </c>
      <c r="B236">
        <v>4</v>
      </c>
      <c r="C236" s="3">
        <v>46264</v>
      </c>
      <c r="D236" t="s">
        <v>255</v>
      </c>
      <c r="E236" t="s">
        <v>125</v>
      </c>
      <c r="F236" t="s">
        <v>77</v>
      </c>
      <c r="G236" t="s">
        <v>40</v>
      </c>
      <c r="H236" t="s">
        <v>58</v>
      </c>
      <c r="I236">
        <v>2</v>
      </c>
      <c r="J236" s="4">
        <v>1707.05</v>
      </c>
      <c r="K236" s="5">
        <v>0</v>
      </c>
      <c r="L236" s="4">
        <v>1044.32</v>
      </c>
      <c r="M236" t="s">
        <v>42</v>
      </c>
      <c r="N236" t="s">
        <v>45</v>
      </c>
      <c r="O236">
        <f>IF(TablaVentas[[#This Row],[Precio_unitario]]="","PENDIENTE",TablaVentas[[#This Row],[Unidades]]*TablaVentas[[#This Row],[Precio_unitario]]*(1-TablaVentas[[#This Row],[Descuento_pct]]))</f>
        <v>3414.1</v>
      </c>
      <c r="P236">
        <f>IF(TablaVentas[[#This Row],[Costo_unitario]]="","PENDIENTE",TablaVentas[[#This Row],[Unidades]]*TablaVentas[[#This Row],[Costo_unitario]])</f>
        <v>2088.64</v>
      </c>
      <c r="Q236">
        <f>IF(OR(TablaVentas[[#This Row],[Ingreso_neto]]="PENDIENTE",TablaVentas[[#This Row],[Costo_total]]="PENDIENTE"),"PENDIENTE",TablaVentas[[#This Row],[Ingreso_neto]]-TablaVentas[[#This Row],[Costo_total]])</f>
        <v>1325.46</v>
      </c>
    </row>
    <row r="237" spans="1:17">
      <c r="A237" t="s">
        <v>331</v>
      </c>
      <c r="B237">
        <v>1</v>
      </c>
      <c r="C237" s="3">
        <v>46290</v>
      </c>
      <c r="D237" t="s">
        <v>332</v>
      </c>
      <c r="E237" t="s">
        <v>115</v>
      </c>
      <c r="F237" t="s">
        <v>39</v>
      </c>
      <c r="G237" t="s">
        <v>40</v>
      </c>
      <c r="H237" t="s">
        <v>58</v>
      </c>
      <c r="I237">
        <v>3</v>
      </c>
      <c r="J237" s="4">
        <v>1292.6099999999999</v>
      </c>
      <c r="K237" s="5">
        <v>0</v>
      </c>
      <c r="L237" s="4">
        <v>705.87</v>
      </c>
      <c r="M237" t="s">
        <v>42</v>
      </c>
      <c r="N237" t="s">
        <v>52</v>
      </c>
      <c r="O237">
        <f>IF(TablaVentas[[#This Row],[Precio_unitario]]="","PENDIENTE",TablaVentas[[#This Row],[Unidades]]*TablaVentas[[#This Row],[Precio_unitario]]*(1-TablaVentas[[#This Row],[Descuento_pct]]))</f>
        <v>3877.83</v>
      </c>
      <c r="P237">
        <f>IF(TablaVentas[[#This Row],[Costo_unitario]]="","PENDIENTE",TablaVentas[[#This Row],[Unidades]]*TablaVentas[[#This Row],[Costo_unitario]])</f>
        <v>2117.61</v>
      </c>
      <c r="Q237">
        <f>IF(OR(TablaVentas[[#This Row],[Ingreso_neto]]="PENDIENTE",TablaVentas[[#This Row],[Costo_total]]="PENDIENTE"),"PENDIENTE",TablaVentas[[#This Row],[Ingreso_neto]]-TablaVentas[[#This Row],[Costo_total]])</f>
        <v>1760.2199999999998</v>
      </c>
    </row>
    <row r="238" spans="1:17">
      <c r="A238" t="s">
        <v>333</v>
      </c>
      <c r="B238">
        <v>1</v>
      </c>
      <c r="C238" s="3">
        <v>46086</v>
      </c>
      <c r="D238" t="s">
        <v>334</v>
      </c>
      <c r="E238" t="s">
        <v>335</v>
      </c>
      <c r="F238" t="s">
        <v>66</v>
      </c>
      <c r="G238" t="s">
        <v>50</v>
      </c>
      <c r="H238" t="s">
        <v>41</v>
      </c>
      <c r="I238">
        <v>2</v>
      </c>
      <c r="J238" s="4">
        <v>7547.62</v>
      </c>
      <c r="K238" s="5">
        <v>0</v>
      </c>
      <c r="L238" s="4">
        <v>5587.31</v>
      </c>
      <c r="M238" t="s">
        <v>116</v>
      </c>
      <c r="N238" t="s">
        <v>43</v>
      </c>
      <c r="O238">
        <f>IF(TablaVentas[[#This Row],[Precio_unitario]]="","PENDIENTE",TablaVentas[[#This Row],[Unidades]]*TablaVentas[[#This Row],[Precio_unitario]]*(1-TablaVentas[[#This Row],[Descuento_pct]]))</f>
        <v>15095.24</v>
      </c>
      <c r="P238">
        <f>IF(TablaVentas[[#This Row],[Costo_unitario]]="","PENDIENTE",TablaVentas[[#This Row],[Unidades]]*TablaVentas[[#This Row],[Costo_unitario]])</f>
        <v>11174.62</v>
      </c>
      <c r="Q238">
        <f>IF(OR(TablaVentas[[#This Row],[Ingreso_neto]]="PENDIENTE",TablaVentas[[#This Row],[Costo_total]]="PENDIENTE"),"PENDIENTE",TablaVentas[[#This Row],[Ingreso_neto]]-TablaVentas[[#This Row],[Costo_total]])</f>
        <v>3920.619999999999</v>
      </c>
    </row>
    <row r="239" spans="1:17">
      <c r="A239" t="s">
        <v>333</v>
      </c>
      <c r="B239">
        <v>2</v>
      </c>
      <c r="C239" s="3">
        <v>46086</v>
      </c>
      <c r="D239" t="s">
        <v>334</v>
      </c>
      <c r="E239" t="s">
        <v>293</v>
      </c>
      <c r="F239" t="s">
        <v>66</v>
      </c>
      <c r="G239" t="s">
        <v>50</v>
      </c>
      <c r="H239" t="s">
        <v>41</v>
      </c>
      <c r="I239">
        <v>1</v>
      </c>
      <c r="J239" s="4">
        <v>1211.8599999999999</v>
      </c>
      <c r="K239" s="5">
        <v>0.1</v>
      </c>
      <c r="L239" s="4">
        <v>936.52</v>
      </c>
      <c r="M239" t="s">
        <v>42</v>
      </c>
      <c r="N239" t="s">
        <v>60</v>
      </c>
      <c r="O239">
        <f>IF(TablaVentas[[#This Row],[Precio_unitario]]="","PENDIENTE",TablaVentas[[#This Row],[Unidades]]*TablaVentas[[#This Row],[Precio_unitario]]*(1-TablaVentas[[#This Row],[Descuento_pct]]))</f>
        <v>1090.674</v>
      </c>
      <c r="P239">
        <f>IF(TablaVentas[[#This Row],[Costo_unitario]]="","PENDIENTE",TablaVentas[[#This Row],[Unidades]]*TablaVentas[[#This Row],[Costo_unitario]])</f>
        <v>936.52</v>
      </c>
      <c r="Q239">
        <f>IF(OR(TablaVentas[[#This Row],[Ingreso_neto]]="PENDIENTE",TablaVentas[[#This Row],[Costo_total]]="PENDIENTE"),"PENDIENTE",TablaVentas[[#This Row],[Ingreso_neto]]-TablaVentas[[#This Row],[Costo_total]])</f>
        <v>154.154</v>
      </c>
    </row>
    <row r="240" spans="1:17">
      <c r="A240" t="s">
        <v>336</v>
      </c>
      <c r="B240">
        <v>1</v>
      </c>
      <c r="C240" s="3">
        <v>46110</v>
      </c>
      <c r="D240" t="s">
        <v>337</v>
      </c>
      <c r="E240" t="s">
        <v>152</v>
      </c>
      <c r="F240" t="s">
        <v>39</v>
      </c>
      <c r="G240" t="s">
        <v>57</v>
      </c>
      <c r="H240" t="s">
        <v>184</v>
      </c>
      <c r="I240">
        <v>2</v>
      </c>
      <c r="J240" s="4">
        <v>2529.9699999999998</v>
      </c>
      <c r="K240" s="5">
        <v>0</v>
      </c>
      <c r="L240" s="4">
        <v>1962.3</v>
      </c>
      <c r="M240" t="s">
        <v>42</v>
      </c>
      <c r="N240" t="s">
        <v>52</v>
      </c>
      <c r="O240">
        <f>IF(TablaVentas[[#This Row],[Precio_unitario]]="","PENDIENTE",TablaVentas[[#This Row],[Unidades]]*TablaVentas[[#This Row],[Precio_unitario]]*(1-TablaVentas[[#This Row],[Descuento_pct]]))</f>
        <v>5059.9399999999996</v>
      </c>
      <c r="P240">
        <f>IF(TablaVentas[[#This Row],[Costo_unitario]]="","PENDIENTE",TablaVentas[[#This Row],[Unidades]]*TablaVentas[[#This Row],[Costo_unitario]])</f>
        <v>3924.6</v>
      </c>
      <c r="Q240">
        <f>IF(OR(TablaVentas[[#This Row],[Ingreso_neto]]="PENDIENTE",TablaVentas[[#This Row],[Costo_total]]="PENDIENTE"),"PENDIENTE",TablaVentas[[#This Row],[Ingreso_neto]]-TablaVentas[[#This Row],[Costo_total]])</f>
        <v>1135.3399999999997</v>
      </c>
    </row>
    <row r="241" spans="1:17">
      <c r="A241" t="s">
        <v>336</v>
      </c>
      <c r="B241">
        <v>2</v>
      </c>
      <c r="C241" s="3">
        <v>46110</v>
      </c>
      <c r="D241" t="s">
        <v>337</v>
      </c>
      <c r="E241" t="s">
        <v>159</v>
      </c>
      <c r="F241" t="s">
        <v>39</v>
      </c>
      <c r="G241" t="s">
        <v>57</v>
      </c>
      <c r="H241" t="s">
        <v>184</v>
      </c>
      <c r="I241">
        <v>1</v>
      </c>
      <c r="J241" s="4">
        <v>11541.92</v>
      </c>
      <c r="K241" s="5">
        <v>0</v>
      </c>
      <c r="L241" s="4">
        <v>9317.3700000000008</v>
      </c>
      <c r="M241" t="s">
        <v>42</v>
      </c>
      <c r="N241" t="s">
        <v>60</v>
      </c>
      <c r="O241">
        <f>IF(TablaVentas[[#This Row],[Precio_unitario]]="","PENDIENTE",TablaVentas[[#This Row],[Unidades]]*TablaVentas[[#This Row],[Precio_unitario]]*(1-TablaVentas[[#This Row],[Descuento_pct]]))</f>
        <v>11541.92</v>
      </c>
      <c r="P241">
        <f>IF(TablaVentas[[#This Row],[Costo_unitario]]="","PENDIENTE",TablaVentas[[#This Row],[Unidades]]*TablaVentas[[#This Row],[Costo_unitario]])</f>
        <v>9317.3700000000008</v>
      </c>
      <c r="Q241">
        <f>IF(OR(TablaVentas[[#This Row],[Ingreso_neto]]="PENDIENTE",TablaVentas[[#This Row],[Costo_total]]="PENDIENTE"),"PENDIENTE",TablaVentas[[#This Row],[Ingreso_neto]]-TablaVentas[[#This Row],[Costo_total]])</f>
        <v>2224.5499999999993</v>
      </c>
    </row>
    <row r="242" spans="1:17">
      <c r="A242" t="s">
        <v>338</v>
      </c>
      <c r="B242">
        <v>1</v>
      </c>
      <c r="C242" s="3">
        <v>46266</v>
      </c>
      <c r="D242" t="s">
        <v>339</v>
      </c>
      <c r="E242" t="s">
        <v>236</v>
      </c>
      <c r="F242" t="s">
        <v>56</v>
      </c>
      <c r="G242" t="s">
        <v>57</v>
      </c>
      <c r="H242" t="s">
        <v>124</v>
      </c>
      <c r="I242">
        <v>3</v>
      </c>
      <c r="J242" s="4">
        <v>10292.91</v>
      </c>
      <c r="K242" s="5">
        <v>0</v>
      </c>
      <c r="L242" s="4">
        <v>8061.7</v>
      </c>
      <c r="M242" t="s">
        <v>42</v>
      </c>
      <c r="N242" t="s">
        <v>45</v>
      </c>
      <c r="O242">
        <f>IF(TablaVentas[[#This Row],[Precio_unitario]]="","PENDIENTE",TablaVentas[[#This Row],[Unidades]]*TablaVentas[[#This Row],[Precio_unitario]]*(1-TablaVentas[[#This Row],[Descuento_pct]]))</f>
        <v>30878.73</v>
      </c>
      <c r="P242">
        <f>IF(TablaVentas[[#This Row],[Costo_unitario]]="","PENDIENTE",TablaVentas[[#This Row],[Unidades]]*TablaVentas[[#This Row],[Costo_unitario]])</f>
        <v>24185.1</v>
      </c>
      <c r="Q242">
        <f>IF(OR(TablaVentas[[#This Row],[Ingreso_neto]]="PENDIENTE",TablaVentas[[#This Row],[Costo_total]]="PENDIENTE"),"PENDIENTE",TablaVentas[[#This Row],[Ingreso_neto]]-TablaVentas[[#This Row],[Costo_total]])</f>
        <v>6693.630000000001</v>
      </c>
    </row>
    <row r="243" spans="1:17">
      <c r="A243" t="s">
        <v>338</v>
      </c>
      <c r="B243">
        <v>2</v>
      </c>
      <c r="C243" s="3">
        <v>46266</v>
      </c>
      <c r="D243" t="s">
        <v>339</v>
      </c>
      <c r="E243" t="s">
        <v>76</v>
      </c>
      <c r="F243" t="s">
        <v>56</v>
      </c>
      <c r="G243" t="s">
        <v>57</v>
      </c>
      <c r="H243" t="s">
        <v>124</v>
      </c>
      <c r="I243">
        <v>4</v>
      </c>
      <c r="J243" s="4">
        <v>12896.24</v>
      </c>
      <c r="K243" s="5">
        <v>0.2</v>
      </c>
      <c r="L243" s="4">
        <v>7748.44</v>
      </c>
      <c r="M243" t="s">
        <v>42</v>
      </c>
      <c r="N243" t="s">
        <v>45</v>
      </c>
      <c r="O243">
        <f>IF(TablaVentas[[#This Row],[Precio_unitario]]="","PENDIENTE",TablaVentas[[#This Row],[Unidades]]*TablaVentas[[#This Row],[Precio_unitario]]*(1-TablaVentas[[#This Row],[Descuento_pct]]))</f>
        <v>41267.968000000001</v>
      </c>
      <c r="P243">
        <f>IF(TablaVentas[[#This Row],[Costo_unitario]]="","PENDIENTE",TablaVentas[[#This Row],[Unidades]]*TablaVentas[[#This Row],[Costo_unitario]])</f>
        <v>30993.759999999998</v>
      </c>
      <c r="Q243">
        <f>IF(OR(TablaVentas[[#This Row],[Ingreso_neto]]="PENDIENTE",TablaVentas[[#This Row],[Costo_total]]="PENDIENTE"),"PENDIENTE",TablaVentas[[#This Row],[Ingreso_neto]]-TablaVentas[[#This Row],[Costo_total]])</f>
        <v>10274.208000000002</v>
      </c>
    </row>
    <row r="244" spans="1:17">
      <c r="A244" t="s">
        <v>340</v>
      </c>
      <c r="B244">
        <v>1</v>
      </c>
      <c r="C244" s="3">
        <v>46172</v>
      </c>
      <c r="D244" t="s">
        <v>122</v>
      </c>
      <c r="E244" t="s">
        <v>148</v>
      </c>
      <c r="F244" t="s">
        <v>56</v>
      </c>
      <c r="G244" t="s">
        <v>50</v>
      </c>
      <c r="H244" t="s">
        <v>129</v>
      </c>
      <c r="I244">
        <v>2</v>
      </c>
      <c r="J244" s="4">
        <v>2817.27</v>
      </c>
      <c r="K244" s="5">
        <v>0.2</v>
      </c>
      <c r="L244" s="4">
        <v>2459.34</v>
      </c>
      <c r="M244" t="s">
        <v>42</v>
      </c>
      <c r="N244" t="s">
        <v>43</v>
      </c>
      <c r="O244">
        <f>IF(TablaVentas[[#This Row],[Precio_unitario]]="","PENDIENTE",TablaVentas[[#This Row],[Unidades]]*TablaVentas[[#This Row],[Precio_unitario]]*(1-TablaVentas[[#This Row],[Descuento_pct]]))</f>
        <v>4507.6320000000005</v>
      </c>
      <c r="P244">
        <f>IF(TablaVentas[[#This Row],[Costo_unitario]]="","PENDIENTE",TablaVentas[[#This Row],[Unidades]]*TablaVentas[[#This Row],[Costo_unitario]])</f>
        <v>4918.68</v>
      </c>
      <c r="Q244">
        <f>IF(OR(TablaVentas[[#This Row],[Ingreso_neto]]="PENDIENTE",TablaVentas[[#This Row],[Costo_total]]="PENDIENTE"),"PENDIENTE",TablaVentas[[#This Row],[Ingreso_neto]]-TablaVentas[[#This Row],[Costo_total]])</f>
        <v>-411.04799999999977</v>
      </c>
    </row>
    <row r="245" spans="1:17">
      <c r="A245" t="s">
        <v>340</v>
      </c>
      <c r="B245">
        <v>2</v>
      </c>
      <c r="C245" s="3">
        <v>46172</v>
      </c>
      <c r="D245" t="s">
        <v>122</v>
      </c>
      <c r="E245" t="s">
        <v>44</v>
      </c>
      <c r="F245" t="s">
        <v>56</v>
      </c>
      <c r="G245" t="s">
        <v>50</v>
      </c>
      <c r="H245" t="s">
        <v>129</v>
      </c>
      <c r="I245">
        <v>1</v>
      </c>
      <c r="J245" s="4">
        <v>13895.57</v>
      </c>
      <c r="K245" s="5">
        <v>0</v>
      </c>
      <c r="L245" s="4">
        <v>8980.68</v>
      </c>
      <c r="M245" t="s">
        <v>62</v>
      </c>
      <c r="N245" t="s">
        <v>60</v>
      </c>
      <c r="O245">
        <f>IF(TablaVentas[[#This Row],[Precio_unitario]]="","PENDIENTE",TablaVentas[[#This Row],[Unidades]]*TablaVentas[[#This Row],[Precio_unitario]]*(1-TablaVentas[[#This Row],[Descuento_pct]]))</f>
        <v>13895.57</v>
      </c>
      <c r="P245">
        <f>IF(TablaVentas[[#This Row],[Costo_unitario]]="","PENDIENTE",TablaVentas[[#This Row],[Unidades]]*TablaVentas[[#This Row],[Costo_unitario]])</f>
        <v>8980.68</v>
      </c>
      <c r="Q245">
        <f>IF(OR(TablaVentas[[#This Row],[Ingreso_neto]]="PENDIENTE",TablaVentas[[#This Row],[Costo_total]]="PENDIENTE"),"PENDIENTE",TablaVentas[[#This Row],[Ingreso_neto]]-TablaVentas[[#This Row],[Costo_total]])</f>
        <v>4914.8899999999994</v>
      </c>
    </row>
    <row r="246" spans="1:17">
      <c r="A246" t="s">
        <v>340</v>
      </c>
      <c r="B246">
        <v>3</v>
      </c>
      <c r="C246" s="3">
        <v>46172</v>
      </c>
      <c r="D246" t="s">
        <v>122</v>
      </c>
      <c r="E246" t="s">
        <v>185</v>
      </c>
      <c r="F246" t="s">
        <v>56</v>
      </c>
      <c r="G246" t="s">
        <v>50</v>
      </c>
      <c r="H246" t="s">
        <v>129</v>
      </c>
      <c r="I246">
        <v>4</v>
      </c>
      <c r="J246" s="4">
        <v>17077.38</v>
      </c>
      <c r="K246" s="5">
        <v>0</v>
      </c>
      <c r="L246" s="4">
        <v>11904.09</v>
      </c>
      <c r="M246" t="s">
        <v>116</v>
      </c>
      <c r="N246" t="s">
        <v>52</v>
      </c>
      <c r="O246">
        <f>IF(TablaVentas[[#This Row],[Precio_unitario]]="","PENDIENTE",TablaVentas[[#This Row],[Unidades]]*TablaVentas[[#This Row],[Precio_unitario]]*(1-TablaVentas[[#This Row],[Descuento_pct]]))</f>
        <v>68309.52</v>
      </c>
      <c r="P246">
        <f>IF(TablaVentas[[#This Row],[Costo_unitario]]="","PENDIENTE",TablaVentas[[#This Row],[Unidades]]*TablaVentas[[#This Row],[Costo_unitario]])</f>
        <v>47616.36</v>
      </c>
      <c r="Q246">
        <f>IF(OR(TablaVentas[[#This Row],[Ingreso_neto]]="PENDIENTE",TablaVentas[[#This Row],[Costo_total]]="PENDIENTE"),"PENDIENTE",TablaVentas[[#This Row],[Ingreso_neto]]-TablaVentas[[#This Row],[Costo_total]])</f>
        <v>20693.160000000003</v>
      </c>
    </row>
    <row r="247" spans="1:17">
      <c r="A247" t="s">
        <v>340</v>
      </c>
      <c r="B247">
        <v>4</v>
      </c>
      <c r="C247" s="3">
        <v>46172</v>
      </c>
      <c r="D247" t="s">
        <v>122</v>
      </c>
      <c r="E247" t="s">
        <v>262</v>
      </c>
      <c r="F247" t="s">
        <v>56</v>
      </c>
      <c r="G247" t="s">
        <v>50</v>
      </c>
      <c r="H247" t="s">
        <v>129</v>
      </c>
      <c r="I247">
        <v>8</v>
      </c>
      <c r="J247" s="4">
        <v>12421.8</v>
      </c>
      <c r="K247" s="5">
        <v>0</v>
      </c>
      <c r="L247" s="4">
        <v>8227.4599999999991</v>
      </c>
      <c r="M247" t="s">
        <v>42</v>
      </c>
      <c r="N247" t="s">
        <v>45</v>
      </c>
      <c r="O247">
        <f>IF(TablaVentas[[#This Row],[Precio_unitario]]="","PENDIENTE",TablaVentas[[#This Row],[Unidades]]*TablaVentas[[#This Row],[Precio_unitario]]*(1-TablaVentas[[#This Row],[Descuento_pct]]))</f>
        <v>99374.399999999994</v>
      </c>
      <c r="P247">
        <f>IF(TablaVentas[[#This Row],[Costo_unitario]]="","PENDIENTE",TablaVentas[[#This Row],[Unidades]]*TablaVentas[[#This Row],[Costo_unitario]])</f>
        <v>65819.679999999993</v>
      </c>
      <c r="Q247">
        <f>IF(OR(TablaVentas[[#This Row],[Ingreso_neto]]="PENDIENTE",TablaVentas[[#This Row],[Costo_total]]="PENDIENTE"),"PENDIENTE",TablaVentas[[#This Row],[Ingreso_neto]]-TablaVentas[[#This Row],[Costo_total]])</f>
        <v>33554.720000000001</v>
      </c>
    </row>
    <row r="248" spans="1:17">
      <c r="A248" t="s">
        <v>341</v>
      </c>
      <c r="B248">
        <v>1</v>
      </c>
      <c r="C248" s="3">
        <v>46160</v>
      </c>
      <c r="D248" t="s">
        <v>342</v>
      </c>
      <c r="E248" t="s">
        <v>86</v>
      </c>
      <c r="F248" t="s">
        <v>56</v>
      </c>
      <c r="G248" t="s">
        <v>40</v>
      </c>
      <c r="H248" t="s">
        <v>41</v>
      </c>
      <c r="I248">
        <v>2</v>
      </c>
      <c r="J248" s="4">
        <v>14034.26</v>
      </c>
      <c r="K248" s="5">
        <v>0.1</v>
      </c>
      <c r="L248" s="4">
        <v>11166.03</v>
      </c>
      <c r="M248" t="s">
        <v>42</v>
      </c>
      <c r="N248" t="s">
        <v>43</v>
      </c>
      <c r="O248">
        <f>IF(TablaVentas[[#This Row],[Precio_unitario]]="","PENDIENTE",TablaVentas[[#This Row],[Unidades]]*TablaVentas[[#This Row],[Precio_unitario]]*(1-TablaVentas[[#This Row],[Descuento_pct]]))</f>
        <v>25261.668000000001</v>
      </c>
      <c r="P248">
        <f>IF(TablaVentas[[#This Row],[Costo_unitario]]="","PENDIENTE",TablaVentas[[#This Row],[Unidades]]*TablaVentas[[#This Row],[Costo_unitario]])</f>
        <v>22332.06</v>
      </c>
      <c r="Q248">
        <f>IF(OR(TablaVentas[[#This Row],[Ingreso_neto]]="PENDIENTE",TablaVentas[[#This Row],[Costo_total]]="PENDIENTE"),"PENDIENTE",TablaVentas[[#This Row],[Ingreso_neto]]-TablaVentas[[#This Row],[Costo_total]])</f>
        <v>2929.6080000000002</v>
      </c>
    </row>
    <row r="249" spans="1:17">
      <c r="A249" t="s">
        <v>341</v>
      </c>
      <c r="B249">
        <v>2</v>
      </c>
      <c r="C249" s="3">
        <v>46160</v>
      </c>
      <c r="D249" t="s">
        <v>342</v>
      </c>
      <c r="E249" t="s">
        <v>271</v>
      </c>
      <c r="F249" t="s">
        <v>56</v>
      </c>
      <c r="G249" t="s">
        <v>40</v>
      </c>
      <c r="H249" t="s">
        <v>41</v>
      </c>
      <c r="I249">
        <v>1</v>
      </c>
      <c r="J249" s="4">
        <v>1103</v>
      </c>
      <c r="K249" s="5">
        <v>0</v>
      </c>
      <c r="L249" s="4">
        <v>759.03</v>
      </c>
      <c r="M249" t="s">
        <v>42</v>
      </c>
      <c r="N249" t="s">
        <v>43</v>
      </c>
      <c r="O249">
        <f>IF(TablaVentas[[#This Row],[Precio_unitario]]="","PENDIENTE",TablaVentas[[#This Row],[Unidades]]*TablaVentas[[#This Row],[Precio_unitario]]*(1-TablaVentas[[#This Row],[Descuento_pct]]))</f>
        <v>1103</v>
      </c>
      <c r="P249">
        <f>IF(TablaVentas[[#This Row],[Costo_unitario]]="","PENDIENTE",TablaVentas[[#This Row],[Unidades]]*TablaVentas[[#This Row],[Costo_unitario]])</f>
        <v>759.03</v>
      </c>
      <c r="Q249">
        <f>IF(OR(TablaVentas[[#This Row],[Ingreso_neto]]="PENDIENTE",TablaVentas[[#This Row],[Costo_total]]="PENDIENTE"),"PENDIENTE",TablaVentas[[#This Row],[Ingreso_neto]]-TablaVentas[[#This Row],[Costo_total]])</f>
        <v>343.97</v>
      </c>
    </row>
    <row r="250" spans="1:17">
      <c r="A250" t="s">
        <v>343</v>
      </c>
      <c r="B250">
        <v>1</v>
      </c>
      <c r="C250" s="3">
        <v>46295</v>
      </c>
      <c r="D250" t="s">
        <v>344</v>
      </c>
      <c r="E250" t="s">
        <v>138</v>
      </c>
      <c r="F250" t="s">
        <v>66</v>
      </c>
      <c r="G250" t="s">
        <v>57</v>
      </c>
      <c r="H250" t="s">
        <v>73</v>
      </c>
      <c r="I250">
        <v>2</v>
      </c>
      <c r="J250" s="4">
        <v>6964.91</v>
      </c>
      <c r="K250" s="5">
        <v>0.05</v>
      </c>
      <c r="L250" s="4">
        <v>4665.62</v>
      </c>
      <c r="M250" t="s">
        <v>42</v>
      </c>
      <c r="N250" t="s">
        <v>52</v>
      </c>
      <c r="O250">
        <f>IF(TablaVentas[[#This Row],[Precio_unitario]]="","PENDIENTE",TablaVentas[[#This Row],[Unidades]]*TablaVentas[[#This Row],[Precio_unitario]]*(1-TablaVentas[[#This Row],[Descuento_pct]]))</f>
        <v>13233.329</v>
      </c>
      <c r="P250">
        <f>IF(TablaVentas[[#This Row],[Costo_unitario]]="","PENDIENTE",TablaVentas[[#This Row],[Unidades]]*TablaVentas[[#This Row],[Costo_unitario]])</f>
        <v>9331.24</v>
      </c>
      <c r="Q250">
        <f>IF(OR(TablaVentas[[#This Row],[Ingreso_neto]]="PENDIENTE",TablaVentas[[#This Row],[Costo_total]]="PENDIENTE"),"PENDIENTE",TablaVentas[[#This Row],[Ingreso_neto]]-TablaVentas[[#This Row],[Costo_total]])</f>
        <v>3902.0889999999999</v>
      </c>
    </row>
    <row r="251" spans="1:17">
      <c r="A251" t="s">
        <v>343</v>
      </c>
      <c r="B251">
        <v>2</v>
      </c>
      <c r="C251" s="3">
        <v>46295</v>
      </c>
      <c r="D251" t="s">
        <v>344</v>
      </c>
      <c r="E251" t="s">
        <v>172</v>
      </c>
      <c r="F251" t="s">
        <v>66</v>
      </c>
      <c r="G251" t="s">
        <v>57</v>
      </c>
      <c r="H251" t="s">
        <v>73</v>
      </c>
      <c r="I251">
        <v>1</v>
      </c>
      <c r="J251" s="4">
        <v>16405.12</v>
      </c>
      <c r="K251" s="5">
        <v>0.1</v>
      </c>
      <c r="L251" s="4">
        <v>10830.17</v>
      </c>
      <c r="M251" t="s">
        <v>42</v>
      </c>
      <c r="N251" t="s">
        <v>52</v>
      </c>
      <c r="O251">
        <f>IF(TablaVentas[[#This Row],[Precio_unitario]]="","PENDIENTE",TablaVentas[[#This Row],[Unidades]]*TablaVentas[[#This Row],[Precio_unitario]]*(1-TablaVentas[[#This Row],[Descuento_pct]]))</f>
        <v>14764.608</v>
      </c>
      <c r="P251">
        <f>IF(TablaVentas[[#This Row],[Costo_unitario]]="","PENDIENTE",TablaVentas[[#This Row],[Unidades]]*TablaVentas[[#This Row],[Costo_unitario]])</f>
        <v>10830.17</v>
      </c>
      <c r="Q251">
        <f>IF(OR(TablaVentas[[#This Row],[Ingreso_neto]]="PENDIENTE",TablaVentas[[#This Row],[Costo_total]]="PENDIENTE"),"PENDIENTE",TablaVentas[[#This Row],[Ingreso_neto]]-TablaVentas[[#This Row],[Costo_total]])</f>
        <v>3934.4380000000001</v>
      </c>
    </row>
    <row r="252" spans="1:17">
      <c r="A252" t="s">
        <v>343</v>
      </c>
      <c r="B252">
        <v>3</v>
      </c>
      <c r="C252" s="3">
        <v>46295</v>
      </c>
      <c r="D252" t="s">
        <v>344</v>
      </c>
      <c r="E252" t="s">
        <v>293</v>
      </c>
      <c r="F252" t="s">
        <v>66</v>
      </c>
      <c r="G252" t="s">
        <v>57</v>
      </c>
      <c r="H252" t="s">
        <v>73</v>
      </c>
      <c r="I252">
        <v>1</v>
      </c>
      <c r="J252" s="4">
        <v>1148.19</v>
      </c>
      <c r="K252" s="5">
        <v>0.05</v>
      </c>
      <c r="L252" s="4">
        <v>936.52</v>
      </c>
      <c r="M252" t="s">
        <v>42</v>
      </c>
      <c r="N252" t="s">
        <v>60</v>
      </c>
      <c r="O252">
        <f>IF(TablaVentas[[#This Row],[Precio_unitario]]="","PENDIENTE",TablaVentas[[#This Row],[Unidades]]*TablaVentas[[#This Row],[Precio_unitario]]*(1-TablaVentas[[#This Row],[Descuento_pct]]))</f>
        <v>1090.7805000000001</v>
      </c>
      <c r="P252">
        <f>IF(TablaVentas[[#This Row],[Costo_unitario]]="","PENDIENTE",TablaVentas[[#This Row],[Unidades]]*TablaVentas[[#This Row],[Costo_unitario]])</f>
        <v>936.52</v>
      </c>
      <c r="Q252">
        <f>IF(OR(TablaVentas[[#This Row],[Ingreso_neto]]="PENDIENTE",TablaVentas[[#This Row],[Costo_total]]="PENDIENTE"),"PENDIENTE",TablaVentas[[#This Row],[Ingreso_neto]]-TablaVentas[[#This Row],[Costo_total]])</f>
        <v>154.26050000000009</v>
      </c>
    </row>
    <row r="253" spans="1:17">
      <c r="A253" t="s">
        <v>343</v>
      </c>
      <c r="B253">
        <v>4</v>
      </c>
      <c r="C253" s="3">
        <v>46295</v>
      </c>
      <c r="D253" t="s">
        <v>344</v>
      </c>
      <c r="E253" t="s">
        <v>90</v>
      </c>
      <c r="F253" t="s">
        <v>66</v>
      </c>
      <c r="G253" t="s">
        <v>57</v>
      </c>
      <c r="H253" t="s">
        <v>73</v>
      </c>
      <c r="I253">
        <v>1</v>
      </c>
      <c r="J253" s="4">
        <v>10848.29</v>
      </c>
      <c r="K253" s="5">
        <v>0.1</v>
      </c>
      <c r="L253" s="4">
        <v>8174.87</v>
      </c>
      <c r="M253" t="s">
        <v>42</v>
      </c>
      <c r="N253" t="s">
        <v>60</v>
      </c>
      <c r="O253">
        <f>IF(TablaVentas[[#This Row],[Precio_unitario]]="","PENDIENTE",TablaVentas[[#This Row],[Unidades]]*TablaVentas[[#This Row],[Precio_unitario]]*(1-TablaVentas[[#This Row],[Descuento_pct]]))</f>
        <v>9763.4610000000011</v>
      </c>
      <c r="P253">
        <f>IF(TablaVentas[[#This Row],[Costo_unitario]]="","PENDIENTE",TablaVentas[[#This Row],[Unidades]]*TablaVentas[[#This Row],[Costo_unitario]])</f>
        <v>8174.87</v>
      </c>
      <c r="Q253">
        <f>IF(OR(TablaVentas[[#This Row],[Ingreso_neto]]="PENDIENTE",TablaVentas[[#This Row],[Costo_total]]="PENDIENTE"),"PENDIENTE",TablaVentas[[#This Row],[Ingreso_neto]]-TablaVentas[[#This Row],[Costo_total]])</f>
        <v>1588.5910000000013</v>
      </c>
    </row>
    <row r="254" spans="1:17">
      <c r="A254" t="s">
        <v>345</v>
      </c>
      <c r="B254">
        <v>1</v>
      </c>
      <c r="C254" s="3">
        <v>46208</v>
      </c>
      <c r="D254" t="s">
        <v>147</v>
      </c>
      <c r="E254" t="s">
        <v>273</v>
      </c>
      <c r="F254" t="s">
        <v>39</v>
      </c>
      <c r="G254" t="s">
        <v>40</v>
      </c>
      <c r="H254" t="s">
        <v>58</v>
      </c>
      <c r="I254">
        <v>1</v>
      </c>
      <c r="J254" s="4">
        <v>1316.24</v>
      </c>
      <c r="K254" s="5">
        <v>0.2</v>
      </c>
      <c r="L254" s="4">
        <v>716.26</v>
      </c>
      <c r="M254" t="s">
        <v>42</v>
      </c>
      <c r="N254" t="s">
        <v>52</v>
      </c>
      <c r="O254">
        <f>IF(TablaVentas[[#This Row],[Precio_unitario]]="","PENDIENTE",TablaVentas[[#This Row],[Unidades]]*TablaVentas[[#This Row],[Precio_unitario]]*(1-TablaVentas[[#This Row],[Descuento_pct]]))</f>
        <v>1052.992</v>
      </c>
      <c r="P254">
        <f>IF(TablaVentas[[#This Row],[Costo_unitario]]="","PENDIENTE",TablaVentas[[#This Row],[Unidades]]*TablaVentas[[#This Row],[Costo_unitario]])</f>
        <v>716.26</v>
      </c>
      <c r="Q254">
        <f>IF(OR(TablaVentas[[#This Row],[Ingreso_neto]]="PENDIENTE",TablaVentas[[#This Row],[Costo_total]]="PENDIENTE"),"PENDIENTE",TablaVentas[[#This Row],[Ingreso_neto]]-TablaVentas[[#This Row],[Costo_total]])</f>
        <v>336.73199999999997</v>
      </c>
    </row>
    <row r="255" spans="1:17">
      <c r="A255" t="s">
        <v>345</v>
      </c>
      <c r="B255">
        <v>2</v>
      </c>
      <c r="C255" s="3">
        <v>46208</v>
      </c>
      <c r="D255" t="s">
        <v>147</v>
      </c>
      <c r="E255" t="s">
        <v>346</v>
      </c>
      <c r="F255" t="s">
        <v>39</v>
      </c>
      <c r="G255" t="s">
        <v>40</v>
      </c>
      <c r="H255" t="s">
        <v>58</v>
      </c>
      <c r="I255">
        <v>1</v>
      </c>
      <c r="J255" s="4">
        <v>2272.62</v>
      </c>
      <c r="K255" s="5">
        <v>0</v>
      </c>
      <c r="L255" s="4">
        <v>1175.74</v>
      </c>
      <c r="M255" t="s">
        <v>42</v>
      </c>
      <c r="N255" t="s">
        <v>52</v>
      </c>
      <c r="O255">
        <f>IF(TablaVentas[[#This Row],[Precio_unitario]]="","PENDIENTE",TablaVentas[[#This Row],[Unidades]]*TablaVentas[[#This Row],[Precio_unitario]]*(1-TablaVentas[[#This Row],[Descuento_pct]]))</f>
        <v>2272.62</v>
      </c>
      <c r="P255">
        <f>IF(TablaVentas[[#This Row],[Costo_unitario]]="","PENDIENTE",TablaVentas[[#This Row],[Unidades]]*TablaVentas[[#This Row],[Costo_unitario]])</f>
        <v>1175.74</v>
      </c>
      <c r="Q255">
        <f>IF(OR(TablaVentas[[#This Row],[Ingreso_neto]]="PENDIENTE",TablaVentas[[#This Row],[Costo_total]]="PENDIENTE"),"PENDIENTE",TablaVentas[[#This Row],[Ingreso_neto]]-TablaVentas[[#This Row],[Costo_total]])</f>
        <v>1096.8799999999999</v>
      </c>
    </row>
    <row r="256" spans="1:17">
      <c r="A256" t="s">
        <v>345</v>
      </c>
      <c r="B256">
        <v>3</v>
      </c>
      <c r="C256" s="3">
        <v>46208</v>
      </c>
      <c r="D256" t="s">
        <v>147</v>
      </c>
      <c r="E256" t="s">
        <v>226</v>
      </c>
      <c r="F256" t="s">
        <v>39</v>
      </c>
      <c r="G256" t="s">
        <v>40</v>
      </c>
      <c r="H256" t="s">
        <v>58</v>
      </c>
      <c r="I256">
        <v>4</v>
      </c>
      <c r="J256" s="4">
        <v>17572.740000000002</v>
      </c>
      <c r="K256" s="5">
        <v>0.15</v>
      </c>
      <c r="L256" s="4">
        <v>9976.68</v>
      </c>
      <c r="M256" t="s">
        <v>42</v>
      </c>
      <c r="N256" t="s">
        <v>45</v>
      </c>
      <c r="O256">
        <f>IF(TablaVentas[[#This Row],[Precio_unitario]]="","PENDIENTE",TablaVentas[[#This Row],[Unidades]]*TablaVentas[[#This Row],[Precio_unitario]]*(1-TablaVentas[[#This Row],[Descuento_pct]]))</f>
        <v>59747.316000000006</v>
      </c>
      <c r="P256">
        <f>IF(TablaVentas[[#This Row],[Costo_unitario]]="","PENDIENTE",TablaVentas[[#This Row],[Unidades]]*TablaVentas[[#This Row],[Costo_unitario]])</f>
        <v>39906.720000000001</v>
      </c>
      <c r="Q256">
        <f>IF(OR(TablaVentas[[#This Row],[Ingreso_neto]]="PENDIENTE",TablaVentas[[#This Row],[Costo_total]]="PENDIENTE"),"PENDIENTE",TablaVentas[[#This Row],[Ingreso_neto]]-TablaVentas[[#This Row],[Costo_total]])</f>
        <v>19840.596000000005</v>
      </c>
    </row>
    <row r="257" spans="1:17">
      <c r="A257" t="s">
        <v>345</v>
      </c>
      <c r="B257">
        <v>4</v>
      </c>
      <c r="C257" s="3">
        <v>46208</v>
      </c>
      <c r="D257" t="s">
        <v>147</v>
      </c>
      <c r="E257" t="s">
        <v>46</v>
      </c>
      <c r="F257" t="s">
        <v>39</v>
      </c>
      <c r="G257" t="s">
        <v>40</v>
      </c>
      <c r="H257" t="s">
        <v>58</v>
      </c>
      <c r="I257">
        <v>1</v>
      </c>
      <c r="J257" s="4">
        <v>4221.28</v>
      </c>
      <c r="K257" s="5">
        <v>0</v>
      </c>
      <c r="L257" s="4">
        <v>2957.6</v>
      </c>
      <c r="M257" t="s">
        <v>42</v>
      </c>
      <c r="N257" t="s">
        <v>52</v>
      </c>
      <c r="O257">
        <f>IF(TablaVentas[[#This Row],[Precio_unitario]]="","PENDIENTE",TablaVentas[[#This Row],[Unidades]]*TablaVentas[[#This Row],[Precio_unitario]]*(1-TablaVentas[[#This Row],[Descuento_pct]]))</f>
        <v>4221.28</v>
      </c>
      <c r="P257">
        <f>IF(TablaVentas[[#This Row],[Costo_unitario]]="","PENDIENTE",TablaVentas[[#This Row],[Unidades]]*TablaVentas[[#This Row],[Costo_unitario]])</f>
        <v>2957.6</v>
      </c>
      <c r="Q257">
        <f>IF(OR(TablaVentas[[#This Row],[Ingreso_neto]]="PENDIENTE",TablaVentas[[#This Row],[Costo_total]]="PENDIENTE"),"PENDIENTE",TablaVentas[[#This Row],[Ingreso_neto]]-TablaVentas[[#This Row],[Costo_total]])</f>
        <v>1263.6799999999998</v>
      </c>
    </row>
    <row r="258" spans="1:17">
      <c r="A258" t="s">
        <v>347</v>
      </c>
      <c r="B258">
        <v>1</v>
      </c>
      <c r="C258" s="3">
        <v>46087</v>
      </c>
      <c r="D258" t="s">
        <v>348</v>
      </c>
      <c r="E258" t="s">
        <v>258</v>
      </c>
      <c r="F258" t="s">
        <v>56</v>
      </c>
      <c r="G258" t="s">
        <v>40</v>
      </c>
      <c r="H258" t="s">
        <v>129</v>
      </c>
      <c r="I258">
        <v>1</v>
      </c>
      <c r="J258" s="4">
        <v>3538.83</v>
      </c>
      <c r="K258" s="5">
        <v>0.15</v>
      </c>
      <c r="L258" s="4">
        <v>2008.57</v>
      </c>
      <c r="M258" t="s">
        <v>42</v>
      </c>
      <c r="N258" t="s">
        <v>45</v>
      </c>
      <c r="O258">
        <f>IF(TablaVentas[[#This Row],[Precio_unitario]]="","PENDIENTE",TablaVentas[[#This Row],[Unidades]]*TablaVentas[[#This Row],[Precio_unitario]]*(1-TablaVentas[[#This Row],[Descuento_pct]]))</f>
        <v>3008.0054999999998</v>
      </c>
      <c r="P258">
        <f>IF(TablaVentas[[#This Row],[Costo_unitario]]="","PENDIENTE",TablaVentas[[#This Row],[Unidades]]*TablaVentas[[#This Row],[Costo_unitario]])</f>
        <v>2008.57</v>
      </c>
      <c r="Q258">
        <f>IF(OR(TablaVentas[[#This Row],[Ingreso_neto]]="PENDIENTE",TablaVentas[[#This Row],[Costo_total]]="PENDIENTE"),"PENDIENTE",TablaVentas[[#This Row],[Ingreso_neto]]-TablaVentas[[#This Row],[Costo_total]])</f>
        <v>999.43549999999982</v>
      </c>
    </row>
    <row r="259" spans="1:17">
      <c r="A259" t="s">
        <v>349</v>
      </c>
      <c r="B259">
        <v>1</v>
      </c>
      <c r="C259" s="3">
        <v>46210</v>
      </c>
      <c r="D259" t="s">
        <v>350</v>
      </c>
      <c r="E259" t="s">
        <v>211</v>
      </c>
      <c r="F259" t="s">
        <v>56</v>
      </c>
      <c r="G259" t="s">
        <v>50</v>
      </c>
      <c r="H259" t="s">
        <v>41</v>
      </c>
      <c r="I259">
        <v>2</v>
      </c>
      <c r="J259" s="4">
        <v>19441.150000000001</v>
      </c>
      <c r="K259" s="5">
        <v>0.2</v>
      </c>
      <c r="L259" s="4">
        <v>13760.53</v>
      </c>
      <c r="M259" t="s">
        <v>42</v>
      </c>
      <c r="N259" t="s">
        <v>45</v>
      </c>
      <c r="O259">
        <f>IF(TablaVentas[[#This Row],[Precio_unitario]]="","PENDIENTE",TablaVentas[[#This Row],[Unidades]]*TablaVentas[[#This Row],[Precio_unitario]]*(1-TablaVentas[[#This Row],[Descuento_pct]]))</f>
        <v>31105.840000000004</v>
      </c>
      <c r="P259">
        <f>IF(TablaVentas[[#This Row],[Costo_unitario]]="","PENDIENTE",TablaVentas[[#This Row],[Unidades]]*TablaVentas[[#This Row],[Costo_unitario]])</f>
        <v>27521.06</v>
      </c>
      <c r="Q259">
        <f>IF(OR(TablaVentas[[#This Row],[Ingreso_neto]]="PENDIENTE",TablaVentas[[#This Row],[Costo_total]]="PENDIENTE"),"PENDIENTE",TablaVentas[[#This Row],[Ingreso_neto]]-TablaVentas[[#This Row],[Costo_total]])</f>
        <v>3584.7800000000025</v>
      </c>
    </row>
    <row r="260" spans="1:17">
      <c r="A260" t="s">
        <v>351</v>
      </c>
      <c r="B260">
        <v>1</v>
      </c>
      <c r="C260" s="3">
        <v>46080</v>
      </c>
      <c r="D260" t="s">
        <v>352</v>
      </c>
      <c r="E260" t="s">
        <v>44</v>
      </c>
      <c r="F260" t="s">
        <v>39</v>
      </c>
      <c r="G260" t="s">
        <v>40</v>
      </c>
      <c r="H260" t="s">
        <v>102</v>
      </c>
      <c r="I260">
        <v>2</v>
      </c>
      <c r="J260" s="4">
        <v>14238.23</v>
      </c>
      <c r="K260" s="5">
        <v>0.1</v>
      </c>
      <c r="L260" s="4">
        <v>8980.68</v>
      </c>
      <c r="M260" t="s">
        <v>42</v>
      </c>
      <c r="N260" t="s">
        <v>60</v>
      </c>
      <c r="O260">
        <f>IF(TablaVentas[[#This Row],[Precio_unitario]]="","PENDIENTE",TablaVentas[[#This Row],[Unidades]]*TablaVentas[[#This Row],[Precio_unitario]]*(1-TablaVentas[[#This Row],[Descuento_pct]]))</f>
        <v>25628.813999999998</v>
      </c>
      <c r="P260">
        <f>IF(TablaVentas[[#This Row],[Costo_unitario]]="","PENDIENTE",TablaVentas[[#This Row],[Unidades]]*TablaVentas[[#This Row],[Costo_unitario]])</f>
        <v>17961.36</v>
      </c>
      <c r="Q260">
        <f>IF(OR(TablaVentas[[#This Row],[Ingreso_neto]]="PENDIENTE",TablaVentas[[#This Row],[Costo_total]]="PENDIENTE"),"PENDIENTE",TablaVentas[[#This Row],[Ingreso_neto]]-TablaVentas[[#This Row],[Costo_total]])</f>
        <v>7667.4539999999979</v>
      </c>
    </row>
    <row r="261" spans="1:17">
      <c r="A261" t="s">
        <v>351</v>
      </c>
      <c r="B261">
        <v>2</v>
      </c>
      <c r="C261" s="3">
        <v>46080</v>
      </c>
      <c r="D261" t="s">
        <v>352</v>
      </c>
      <c r="E261" t="s">
        <v>353</v>
      </c>
      <c r="F261" t="s">
        <v>39</v>
      </c>
      <c r="G261" t="s">
        <v>40</v>
      </c>
      <c r="H261" t="s">
        <v>102</v>
      </c>
      <c r="I261">
        <v>2</v>
      </c>
      <c r="J261" s="4">
        <v>2191.31</v>
      </c>
      <c r="K261" s="5">
        <v>0.2</v>
      </c>
      <c r="L261" s="4">
        <v>1479.71</v>
      </c>
      <c r="M261" t="s">
        <v>42</v>
      </c>
      <c r="N261" t="s">
        <v>60</v>
      </c>
      <c r="O261">
        <f>IF(TablaVentas[[#This Row],[Precio_unitario]]="","PENDIENTE",TablaVentas[[#This Row],[Unidades]]*TablaVentas[[#This Row],[Precio_unitario]]*(1-TablaVentas[[#This Row],[Descuento_pct]]))</f>
        <v>3506.096</v>
      </c>
      <c r="P261">
        <f>IF(TablaVentas[[#This Row],[Costo_unitario]]="","PENDIENTE",TablaVentas[[#This Row],[Unidades]]*TablaVentas[[#This Row],[Costo_unitario]])</f>
        <v>2959.42</v>
      </c>
      <c r="Q261">
        <f>IF(OR(TablaVentas[[#This Row],[Ingreso_neto]]="PENDIENTE",TablaVentas[[#This Row],[Costo_total]]="PENDIENTE"),"PENDIENTE",TablaVentas[[#This Row],[Ingreso_neto]]-TablaVentas[[#This Row],[Costo_total]])</f>
        <v>546.67599999999993</v>
      </c>
    </row>
    <row r="262" spans="1:17">
      <c r="A262" t="s">
        <v>351</v>
      </c>
      <c r="B262">
        <v>3</v>
      </c>
      <c r="C262" s="3">
        <v>46080</v>
      </c>
      <c r="D262" t="s">
        <v>352</v>
      </c>
      <c r="E262" t="s">
        <v>113</v>
      </c>
      <c r="F262" t="s">
        <v>39</v>
      </c>
      <c r="G262" t="s">
        <v>40</v>
      </c>
      <c r="H262" t="s">
        <v>102</v>
      </c>
      <c r="I262">
        <v>2</v>
      </c>
      <c r="J262" s="4">
        <v>3078.43</v>
      </c>
      <c r="K262" s="5">
        <v>0</v>
      </c>
      <c r="L262" s="4">
        <v>2196.34</v>
      </c>
      <c r="M262" t="s">
        <v>42</v>
      </c>
      <c r="N262" t="s">
        <v>45</v>
      </c>
      <c r="O262">
        <f>IF(TablaVentas[[#This Row],[Precio_unitario]]="","PENDIENTE",TablaVentas[[#This Row],[Unidades]]*TablaVentas[[#This Row],[Precio_unitario]]*(1-TablaVentas[[#This Row],[Descuento_pct]]))</f>
        <v>6156.86</v>
      </c>
      <c r="P262">
        <f>IF(TablaVentas[[#This Row],[Costo_unitario]]="","PENDIENTE",TablaVentas[[#This Row],[Unidades]]*TablaVentas[[#This Row],[Costo_unitario]])</f>
        <v>4392.68</v>
      </c>
      <c r="Q262">
        <f>IF(OR(TablaVentas[[#This Row],[Ingreso_neto]]="PENDIENTE",TablaVentas[[#This Row],[Costo_total]]="PENDIENTE"),"PENDIENTE",TablaVentas[[#This Row],[Ingreso_neto]]-TablaVentas[[#This Row],[Costo_total]])</f>
        <v>1764.1799999999994</v>
      </c>
    </row>
    <row r="263" spans="1:17">
      <c r="A263" t="s">
        <v>354</v>
      </c>
      <c r="B263">
        <v>1</v>
      </c>
      <c r="C263" s="3">
        <v>46273</v>
      </c>
      <c r="D263" t="s">
        <v>355</v>
      </c>
      <c r="E263" t="s">
        <v>125</v>
      </c>
      <c r="F263" t="s">
        <v>56</v>
      </c>
      <c r="G263" t="s">
        <v>40</v>
      </c>
      <c r="H263" t="s">
        <v>51</v>
      </c>
      <c r="I263">
        <v>2</v>
      </c>
      <c r="J263" s="4">
        <v>1709.19</v>
      </c>
      <c r="K263" s="5">
        <v>0</v>
      </c>
      <c r="L263" s="4">
        <v>1044.32</v>
      </c>
      <c r="M263" t="s">
        <v>62</v>
      </c>
      <c r="N263" t="s">
        <v>52</v>
      </c>
      <c r="O263">
        <f>IF(TablaVentas[[#This Row],[Precio_unitario]]="","PENDIENTE",TablaVentas[[#This Row],[Unidades]]*TablaVentas[[#This Row],[Precio_unitario]]*(1-TablaVentas[[#This Row],[Descuento_pct]]))</f>
        <v>3418.38</v>
      </c>
      <c r="P263">
        <f>IF(TablaVentas[[#This Row],[Costo_unitario]]="","PENDIENTE",TablaVentas[[#This Row],[Unidades]]*TablaVentas[[#This Row],[Costo_unitario]])</f>
        <v>2088.64</v>
      </c>
      <c r="Q263">
        <f>IF(OR(TablaVentas[[#This Row],[Ingreso_neto]]="PENDIENTE",TablaVentas[[#This Row],[Costo_total]]="PENDIENTE"),"PENDIENTE",TablaVentas[[#This Row],[Ingreso_neto]]-TablaVentas[[#This Row],[Costo_total]])</f>
        <v>1329.7400000000002</v>
      </c>
    </row>
    <row r="264" spans="1:17">
      <c r="A264" t="s">
        <v>354</v>
      </c>
      <c r="B264">
        <v>2</v>
      </c>
      <c r="C264" s="3">
        <v>46273</v>
      </c>
      <c r="D264" t="s">
        <v>355</v>
      </c>
      <c r="E264" t="s">
        <v>44</v>
      </c>
      <c r="F264" t="s">
        <v>56</v>
      </c>
      <c r="G264" t="s">
        <v>40</v>
      </c>
      <c r="H264" t="s">
        <v>51</v>
      </c>
      <c r="I264">
        <v>5</v>
      </c>
      <c r="J264" s="4">
        <v>13284.1</v>
      </c>
      <c r="K264" s="5">
        <v>0</v>
      </c>
      <c r="L264" s="4">
        <v>8980.68</v>
      </c>
      <c r="M264" t="s">
        <v>42</v>
      </c>
      <c r="N264" t="s">
        <v>52</v>
      </c>
      <c r="O264">
        <f>IF(TablaVentas[[#This Row],[Precio_unitario]]="","PENDIENTE",TablaVentas[[#This Row],[Unidades]]*TablaVentas[[#This Row],[Precio_unitario]]*(1-TablaVentas[[#This Row],[Descuento_pct]]))</f>
        <v>66420.5</v>
      </c>
      <c r="P264">
        <f>IF(TablaVentas[[#This Row],[Costo_unitario]]="","PENDIENTE",TablaVentas[[#This Row],[Unidades]]*TablaVentas[[#This Row],[Costo_unitario]])</f>
        <v>44903.4</v>
      </c>
      <c r="Q264">
        <f>IF(OR(TablaVentas[[#This Row],[Ingreso_neto]]="PENDIENTE",TablaVentas[[#This Row],[Costo_total]]="PENDIENTE"),"PENDIENTE",TablaVentas[[#This Row],[Ingreso_neto]]-TablaVentas[[#This Row],[Costo_total]])</f>
        <v>21517.1</v>
      </c>
    </row>
    <row r="265" spans="1:17">
      <c r="A265" t="s">
        <v>354</v>
      </c>
      <c r="B265">
        <v>3</v>
      </c>
      <c r="C265" s="3">
        <v>46273</v>
      </c>
      <c r="D265" t="s">
        <v>355</v>
      </c>
      <c r="E265" t="s">
        <v>65</v>
      </c>
      <c r="F265" t="s">
        <v>56</v>
      </c>
      <c r="G265" t="s">
        <v>40</v>
      </c>
      <c r="H265" t="s">
        <v>51</v>
      </c>
      <c r="I265">
        <v>3</v>
      </c>
      <c r="J265" s="4">
        <v>11409.98</v>
      </c>
      <c r="K265" s="5">
        <v>0</v>
      </c>
      <c r="L265" s="4">
        <v>7328.02</v>
      </c>
      <c r="M265" t="s">
        <v>116</v>
      </c>
      <c r="N265" t="s">
        <v>60</v>
      </c>
      <c r="O265">
        <f>IF(TablaVentas[[#This Row],[Precio_unitario]]="","PENDIENTE",TablaVentas[[#This Row],[Unidades]]*TablaVentas[[#This Row],[Precio_unitario]]*(1-TablaVentas[[#This Row],[Descuento_pct]]))</f>
        <v>34229.94</v>
      </c>
      <c r="P265">
        <f>IF(TablaVentas[[#This Row],[Costo_unitario]]="","PENDIENTE",TablaVentas[[#This Row],[Unidades]]*TablaVentas[[#This Row],[Costo_unitario]])</f>
        <v>21984.06</v>
      </c>
      <c r="Q265">
        <f>IF(OR(TablaVentas[[#This Row],[Ingreso_neto]]="PENDIENTE",TablaVentas[[#This Row],[Costo_total]]="PENDIENTE"),"PENDIENTE",TablaVentas[[#This Row],[Ingreso_neto]]-TablaVentas[[#This Row],[Costo_total]])</f>
        <v>12245.880000000001</v>
      </c>
    </row>
    <row r="266" spans="1:17">
      <c r="A266" t="s">
        <v>356</v>
      </c>
      <c r="B266">
        <v>1</v>
      </c>
      <c r="C266" s="3">
        <v>46042</v>
      </c>
      <c r="D266" t="s">
        <v>357</v>
      </c>
      <c r="E266" t="s">
        <v>59</v>
      </c>
      <c r="F266" t="s">
        <v>56</v>
      </c>
      <c r="G266" t="s">
        <v>50</v>
      </c>
      <c r="H266" t="s">
        <v>124</v>
      </c>
      <c r="I266">
        <v>2</v>
      </c>
      <c r="J266" s="4">
        <v>13114.28</v>
      </c>
      <c r="K266" s="5">
        <v>0.2</v>
      </c>
      <c r="L266" s="4">
        <v>10170.290000000001</v>
      </c>
      <c r="M266" t="s">
        <v>42</v>
      </c>
      <c r="N266" t="s">
        <v>45</v>
      </c>
      <c r="O266">
        <f>IF(TablaVentas[[#This Row],[Precio_unitario]]="","PENDIENTE",TablaVentas[[#This Row],[Unidades]]*TablaVentas[[#This Row],[Precio_unitario]]*(1-TablaVentas[[#This Row],[Descuento_pct]]))</f>
        <v>20982.848000000002</v>
      </c>
      <c r="P266">
        <f>IF(TablaVentas[[#This Row],[Costo_unitario]]="","PENDIENTE",TablaVentas[[#This Row],[Unidades]]*TablaVentas[[#This Row],[Costo_unitario]])</f>
        <v>20340.580000000002</v>
      </c>
      <c r="Q266">
        <f>IF(OR(TablaVentas[[#This Row],[Ingreso_neto]]="PENDIENTE",TablaVentas[[#This Row],[Costo_total]]="PENDIENTE"),"PENDIENTE",TablaVentas[[#This Row],[Ingreso_neto]]-TablaVentas[[#This Row],[Costo_total]])</f>
        <v>642.26800000000003</v>
      </c>
    </row>
    <row r="267" spans="1:17">
      <c r="A267" t="s">
        <v>358</v>
      </c>
      <c r="B267">
        <v>1</v>
      </c>
      <c r="C267" s="3">
        <v>46236</v>
      </c>
      <c r="D267" t="s">
        <v>359</v>
      </c>
      <c r="E267" t="s">
        <v>134</v>
      </c>
      <c r="F267" t="s">
        <v>77</v>
      </c>
      <c r="G267" t="s">
        <v>57</v>
      </c>
      <c r="H267" t="s">
        <v>124</v>
      </c>
      <c r="I267">
        <v>2</v>
      </c>
      <c r="J267" s="4">
        <v>271.58</v>
      </c>
      <c r="K267" s="5">
        <v>0.05</v>
      </c>
      <c r="L267" s="4">
        <v>176.47</v>
      </c>
      <c r="M267" t="s">
        <v>116</v>
      </c>
      <c r="N267" t="s">
        <v>45</v>
      </c>
      <c r="O267">
        <f>IF(TablaVentas[[#This Row],[Precio_unitario]]="","PENDIENTE",TablaVentas[[#This Row],[Unidades]]*TablaVentas[[#This Row],[Precio_unitario]]*(1-TablaVentas[[#This Row],[Descuento_pct]]))</f>
        <v>516.00199999999995</v>
      </c>
      <c r="P267">
        <f>IF(TablaVentas[[#This Row],[Costo_unitario]]="","PENDIENTE",TablaVentas[[#This Row],[Unidades]]*TablaVentas[[#This Row],[Costo_unitario]])</f>
        <v>352.94</v>
      </c>
      <c r="Q267">
        <f>IF(OR(TablaVentas[[#This Row],[Ingreso_neto]]="PENDIENTE",TablaVentas[[#This Row],[Costo_total]]="PENDIENTE"),"PENDIENTE",TablaVentas[[#This Row],[Ingreso_neto]]-TablaVentas[[#This Row],[Costo_total]])</f>
        <v>163.06199999999995</v>
      </c>
    </row>
    <row r="268" spans="1:17">
      <c r="A268" t="s">
        <v>358</v>
      </c>
      <c r="B268">
        <v>2</v>
      </c>
      <c r="C268" s="3">
        <v>46236</v>
      </c>
      <c r="D268" t="s">
        <v>359</v>
      </c>
      <c r="E268" t="s">
        <v>155</v>
      </c>
      <c r="F268" t="s">
        <v>77</v>
      </c>
      <c r="G268" t="s">
        <v>57</v>
      </c>
      <c r="H268" t="s">
        <v>124</v>
      </c>
      <c r="I268">
        <v>5</v>
      </c>
      <c r="J268" s="4">
        <v>775.07</v>
      </c>
      <c r="K268" s="5">
        <v>0</v>
      </c>
      <c r="L268" s="4">
        <v>397.1</v>
      </c>
      <c r="M268" t="s">
        <v>42</v>
      </c>
      <c r="N268" t="s">
        <v>52</v>
      </c>
      <c r="O268">
        <f>IF(TablaVentas[[#This Row],[Precio_unitario]]="","PENDIENTE",TablaVentas[[#This Row],[Unidades]]*TablaVentas[[#This Row],[Precio_unitario]]*(1-TablaVentas[[#This Row],[Descuento_pct]]))</f>
        <v>3875.3500000000004</v>
      </c>
      <c r="P268">
        <f>IF(TablaVentas[[#This Row],[Costo_unitario]]="","PENDIENTE",TablaVentas[[#This Row],[Unidades]]*TablaVentas[[#This Row],[Costo_unitario]])</f>
        <v>1985.5</v>
      </c>
      <c r="Q268">
        <f>IF(OR(TablaVentas[[#This Row],[Ingreso_neto]]="PENDIENTE",TablaVentas[[#This Row],[Costo_total]]="PENDIENTE"),"PENDIENTE",TablaVentas[[#This Row],[Ingreso_neto]]-TablaVentas[[#This Row],[Costo_total]])</f>
        <v>1889.8500000000004</v>
      </c>
    </row>
    <row r="269" spans="1:17">
      <c r="A269" t="s">
        <v>360</v>
      </c>
      <c r="B269">
        <v>1</v>
      </c>
      <c r="C269" s="3">
        <v>46284</v>
      </c>
      <c r="D269" t="s">
        <v>361</v>
      </c>
      <c r="E269" t="s">
        <v>114</v>
      </c>
      <c r="F269" t="s">
        <v>66</v>
      </c>
      <c r="G269" t="s">
        <v>50</v>
      </c>
      <c r="H269" t="s">
        <v>102</v>
      </c>
      <c r="I269">
        <v>1</v>
      </c>
      <c r="J269" s="4">
        <v>14013.97</v>
      </c>
      <c r="K269" s="5">
        <v>0.2</v>
      </c>
      <c r="L269" s="4">
        <v>8239.48</v>
      </c>
      <c r="M269" t="s">
        <v>42</v>
      </c>
      <c r="N269" t="s">
        <v>45</v>
      </c>
      <c r="O269">
        <f>IF(TablaVentas[[#This Row],[Precio_unitario]]="","PENDIENTE",TablaVentas[[#This Row],[Unidades]]*TablaVentas[[#This Row],[Precio_unitario]]*(1-TablaVentas[[#This Row],[Descuento_pct]]))</f>
        <v>11211.175999999999</v>
      </c>
      <c r="P269">
        <f>IF(TablaVentas[[#This Row],[Costo_unitario]]="","PENDIENTE",TablaVentas[[#This Row],[Unidades]]*TablaVentas[[#This Row],[Costo_unitario]])</f>
        <v>8239.48</v>
      </c>
      <c r="Q269">
        <f>IF(OR(TablaVentas[[#This Row],[Ingreso_neto]]="PENDIENTE",TablaVentas[[#This Row],[Costo_total]]="PENDIENTE"),"PENDIENTE",TablaVentas[[#This Row],[Ingreso_neto]]-TablaVentas[[#This Row],[Costo_total]])</f>
        <v>2971.6959999999999</v>
      </c>
    </row>
    <row r="270" spans="1:17">
      <c r="A270" t="s">
        <v>360</v>
      </c>
      <c r="B270">
        <v>2</v>
      </c>
      <c r="C270" s="3">
        <v>46284</v>
      </c>
      <c r="D270" t="s">
        <v>361</v>
      </c>
      <c r="E270" t="s">
        <v>59</v>
      </c>
      <c r="F270" t="s">
        <v>66</v>
      </c>
      <c r="G270" t="s">
        <v>50</v>
      </c>
      <c r="H270" t="s">
        <v>102</v>
      </c>
      <c r="I270">
        <v>4</v>
      </c>
      <c r="J270" s="4">
        <v>12916.52</v>
      </c>
      <c r="K270" s="5">
        <v>0</v>
      </c>
      <c r="L270" s="4">
        <v>10170.290000000001</v>
      </c>
      <c r="M270" t="s">
        <v>42</v>
      </c>
      <c r="N270" t="s">
        <v>43</v>
      </c>
      <c r="O270">
        <f>IF(TablaVentas[[#This Row],[Precio_unitario]]="","PENDIENTE",TablaVentas[[#This Row],[Unidades]]*TablaVentas[[#This Row],[Precio_unitario]]*(1-TablaVentas[[#This Row],[Descuento_pct]]))</f>
        <v>51666.080000000002</v>
      </c>
      <c r="P270">
        <f>IF(TablaVentas[[#This Row],[Costo_unitario]]="","PENDIENTE",TablaVentas[[#This Row],[Unidades]]*TablaVentas[[#This Row],[Costo_unitario]])</f>
        <v>40681.160000000003</v>
      </c>
      <c r="Q270">
        <f>IF(OR(TablaVentas[[#This Row],[Ingreso_neto]]="PENDIENTE",TablaVentas[[#This Row],[Costo_total]]="PENDIENTE"),"PENDIENTE",TablaVentas[[#This Row],[Ingreso_neto]]-TablaVentas[[#This Row],[Costo_total]])</f>
        <v>10984.919999999998</v>
      </c>
    </row>
    <row r="271" spans="1:17">
      <c r="A271" t="s">
        <v>362</v>
      </c>
      <c r="B271">
        <v>1</v>
      </c>
      <c r="C271" s="3">
        <v>46220</v>
      </c>
      <c r="D271" t="s">
        <v>147</v>
      </c>
      <c r="E271" t="s">
        <v>59</v>
      </c>
      <c r="F271" t="s">
        <v>39</v>
      </c>
      <c r="G271" t="s">
        <v>40</v>
      </c>
      <c r="H271" t="s">
        <v>184</v>
      </c>
      <c r="I271">
        <v>1</v>
      </c>
      <c r="J271" s="4">
        <v>14284.09</v>
      </c>
      <c r="K271" s="5">
        <v>0.1</v>
      </c>
      <c r="L271" s="4">
        <v>10170.290000000001</v>
      </c>
      <c r="M271" t="s">
        <v>42</v>
      </c>
      <c r="N271" t="s">
        <v>43</v>
      </c>
      <c r="O271">
        <f>IF(TablaVentas[[#This Row],[Precio_unitario]]="","PENDIENTE",TablaVentas[[#This Row],[Unidades]]*TablaVentas[[#This Row],[Precio_unitario]]*(1-TablaVentas[[#This Row],[Descuento_pct]]))</f>
        <v>12855.681</v>
      </c>
      <c r="P271">
        <f>IF(TablaVentas[[#This Row],[Costo_unitario]]="","PENDIENTE",TablaVentas[[#This Row],[Unidades]]*TablaVentas[[#This Row],[Costo_unitario]])</f>
        <v>10170.290000000001</v>
      </c>
      <c r="Q271">
        <f>IF(OR(TablaVentas[[#This Row],[Ingreso_neto]]="PENDIENTE",TablaVentas[[#This Row],[Costo_total]]="PENDIENTE"),"PENDIENTE",TablaVentas[[#This Row],[Ingreso_neto]]-TablaVentas[[#This Row],[Costo_total]])</f>
        <v>2685.3909999999996</v>
      </c>
    </row>
    <row r="272" spans="1:17">
      <c r="A272" t="s">
        <v>362</v>
      </c>
      <c r="B272">
        <v>2</v>
      </c>
      <c r="C272" s="3">
        <v>46220</v>
      </c>
      <c r="D272" t="s">
        <v>147</v>
      </c>
      <c r="E272" t="s">
        <v>69</v>
      </c>
      <c r="F272" t="s">
        <v>39</v>
      </c>
      <c r="G272" t="s">
        <v>40</v>
      </c>
      <c r="H272" t="s">
        <v>184</v>
      </c>
      <c r="I272">
        <v>5</v>
      </c>
      <c r="J272" s="4">
        <v>11712.73</v>
      </c>
      <c r="K272" s="5">
        <v>0.15</v>
      </c>
      <c r="L272" s="4">
        <v>10094.26</v>
      </c>
      <c r="M272" t="s">
        <v>42</v>
      </c>
      <c r="N272" t="s">
        <v>60</v>
      </c>
      <c r="O272">
        <f>IF(TablaVentas[[#This Row],[Precio_unitario]]="","PENDIENTE",TablaVentas[[#This Row],[Unidades]]*TablaVentas[[#This Row],[Precio_unitario]]*(1-TablaVentas[[#This Row],[Descuento_pct]]))</f>
        <v>49779.102499999994</v>
      </c>
      <c r="P272">
        <f>IF(TablaVentas[[#This Row],[Costo_unitario]]="","PENDIENTE",TablaVentas[[#This Row],[Unidades]]*TablaVentas[[#This Row],[Costo_unitario]])</f>
        <v>50471.3</v>
      </c>
      <c r="Q272">
        <f>IF(OR(TablaVentas[[#This Row],[Ingreso_neto]]="PENDIENTE",TablaVentas[[#This Row],[Costo_total]]="PENDIENTE"),"PENDIENTE",TablaVentas[[#This Row],[Ingreso_neto]]-TablaVentas[[#This Row],[Costo_total]])</f>
        <v>-692.19750000000931</v>
      </c>
    </row>
    <row r="273" spans="1:18">
      <c r="A273" t="s">
        <v>363</v>
      </c>
      <c r="B273">
        <v>1</v>
      </c>
      <c r="C273" s="3">
        <v>46245</v>
      </c>
      <c r="D273" t="s">
        <v>284</v>
      </c>
      <c r="E273" t="s">
        <v>133</v>
      </c>
      <c r="F273" t="s">
        <v>66</v>
      </c>
      <c r="G273" t="s">
        <v>50</v>
      </c>
      <c r="H273" t="s">
        <v>184</v>
      </c>
      <c r="I273">
        <v>1</v>
      </c>
      <c r="J273" s="4">
        <v>8093.69</v>
      </c>
      <c r="K273" s="5">
        <v>0</v>
      </c>
      <c r="L273" s="4">
        <v>4061.34</v>
      </c>
      <c r="M273" t="s">
        <v>42</v>
      </c>
      <c r="N273" t="s">
        <v>45</v>
      </c>
      <c r="O273">
        <f>IF(TablaVentas[[#This Row],[Precio_unitario]]="","PENDIENTE",TablaVentas[[#This Row],[Unidades]]*TablaVentas[[#This Row],[Precio_unitario]]*(1-TablaVentas[[#This Row],[Descuento_pct]]))</f>
        <v>8093.69</v>
      </c>
      <c r="P273">
        <f>IF(TablaVentas[[#This Row],[Costo_unitario]]="","PENDIENTE",TablaVentas[[#This Row],[Unidades]]*TablaVentas[[#This Row],[Costo_unitario]])</f>
        <v>4061.34</v>
      </c>
      <c r="Q273">
        <f>IF(OR(TablaVentas[[#This Row],[Ingreso_neto]]="PENDIENTE",TablaVentas[[#This Row],[Costo_total]]="PENDIENTE"),"PENDIENTE",TablaVentas[[#This Row],[Ingreso_neto]]-TablaVentas[[#This Row],[Costo_total]])</f>
        <v>4032.3499999999995</v>
      </c>
    </row>
    <row r="274" spans="1:18">
      <c r="A274" t="s">
        <v>364</v>
      </c>
      <c r="B274">
        <v>1</v>
      </c>
      <c r="C274" s="3">
        <v>46029</v>
      </c>
      <c r="D274" t="s">
        <v>324</v>
      </c>
      <c r="E274" t="s">
        <v>120</v>
      </c>
      <c r="F274" t="s">
        <v>66</v>
      </c>
      <c r="G274" t="s">
        <v>40</v>
      </c>
      <c r="H274" t="s">
        <v>184</v>
      </c>
      <c r="I274">
        <v>2</v>
      </c>
      <c r="J274" s="4">
        <v>13368.61</v>
      </c>
      <c r="K274" s="5">
        <v>0.15</v>
      </c>
      <c r="L274" s="4">
        <v>7975.26</v>
      </c>
      <c r="M274" t="s">
        <v>42</v>
      </c>
      <c r="N274" t="s">
        <v>45</v>
      </c>
      <c r="O274">
        <f>IF(TablaVentas[[#This Row],[Precio_unitario]]="","PENDIENTE",TablaVentas[[#This Row],[Unidades]]*TablaVentas[[#This Row],[Precio_unitario]]*(1-TablaVentas[[#This Row],[Descuento_pct]]))</f>
        <v>22726.636999999999</v>
      </c>
      <c r="P274">
        <f>IF(TablaVentas[[#This Row],[Costo_unitario]]="","PENDIENTE",TablaVentas[[#This Row],[Unidades]]*TablaVentas[[#This Row],[Costo_unitario]])</f>
        <v>15950.52</v>
      </c>
      <c r="Q274">
        <f>IF(OR(TablaVentas[[#This Row],[Ingreso_neto]]="PENDIENTE",TablaVentas[[#This Row],[Costo_total]]="PENDIENTE"),"PENDIENTE",TablaVentas[[#This Row],[Ingreso_neto]]-TablaVentas[[#This Row],[Costo_total]])</f>
        <v>6776.1169999999984</v>
      </c>
    </row>
    <row r="275" spans="1:18">
      <c r="A275" t="s">
        <v>365</v>
      </c>
      <c r="B275">
        <v>1</v>
      </c>
      <c r="C275" s="3">
        <v>46294</v>
      </c>
      <c r="D275" t="s">
        <v>366</v>
      </c>
      <c r="E275" t="s">
        <v>93</v>
      </c>
      <c r="F275" t="s">
        <v>39</v>
      </c>
      <c r="G275" t="s">
        <v>40</v>
      </c>
      <c r="H275" t="s">
        <v>58</v>
      </c>
      <c r="I275">
        <v>1</v>
      </c>
      <c r="J275" s="4">
        <v>15987.76</v>
      </c>
      <c r="K275" s="5">
        <v>0</v>
      </c>
      <c r="L275" s="4">
        <v>8788.7900000000009</v>
      </c>
      <c r="M275" t="s">
        <v>42</v>
      </c>
      <c r="N275" t="s">
        <v>52</v>
      </c>
      <c r="O275">
        <f>IF(TablaVentas[[#This Row],[Precio_unitario]]="","PENDIENTE",TablaVentas[[#This Row],[Unidades]]*TablaVentas[[#This Row],[Precio_unitario]]*(1-TablaVentas[[#This Row],[Descuento_pct]]))</f>
        <v>15987.76</v>
      </c>
      <c r="P275">
        <f>IF(TablaVentas[[#This Row],[Costo_unitario]]="","PENDIENTE",TablaVentas[[#This Row],[Unidades]]*TablaVentas[[#This Row],[Costo_unitario]])</f>
        <v>8788.7900000000009</v>
      </c>
      <c r="Q275">
        <f>IF(OR(TablaVentas[[#This Row],[Ingreso_neto]]="PENDIENTE",TablaVentas[[#This Row],[Costo_total]]="PENDIENTE"),"PENDIENTE",TablaVentas[[#This Row],[Ingreso_neto]]-TablaVentas[[#This Row],[Costo_total]])</f>
        <v>7198.9699999999993</v>
      </c>
    </row>
    <row r="276" spans="1:18">
      <c r="A276" t="s">
        <v>365</v>
      </c>
      <c r="B276">
        <v>2</v>
      </c>
      <c r="C276" s="3">
        <v>46294</v>
      </c>
      <c r="D276" t="s">
        <v>366</v>
      </c>
      <c r="E276" t="s">
        <v>367</v>
      </c>
      <c r="F276" t="s">
        <v>39</v>
      </c>
      <c r="G276" t="s">
        <v>40</v>
      </c>
      <c r="H276" t="s">
        <v>58</v>
      </c>
      <c r="I276">
        <v>1</v>
      </c>
      <c r="J276" s="4">
        <v>9927.85</v>
      </c>
      <c r="K276" s="5">
        <v>0.1</v>
      </c>
      <c r="L276" s="4">
        <v>5079.43</v>
      </c>
      <c r="M276" t="s">
        <v>42</v>
      </c>
      <c r="N276" t="s">
        <v>45</v>
      </c>
      <c r="O276">
        <f>IF(TablaVentas[[#This Row],[Precio_unitario]]="","PENDIENTE",TablaVentas[[#This Row],[Unidades]]*TablaVentas[[#This Row],[Precio_unitario]]*(1-TablaVentas[[#This Row],[Descuento_pct]]))</f>
        <v>8935.0650000000005</v>
      </c>
      <c r="P276">
        <f>IF(TablaVentas[[#This Row],[Costo_unitario]]="","PENDIENTE",TablaVentas[[#This Row],[Unidades]]*TablaVentas[[#This Row],[Costo_unitario]])</f>
        <v>5079.43</v>
      </c>
      <c r="Q276">
        <f>IF(OR(TablaVentas[[#This Row],[Ingreso_neto]]="PENDIENTE",TablaVentas[[#This Row],[Costo_total]]="PENDIENTE"),"PENDIENTE",TablaVentas[[#This Row],[Ingreso_neto]]-TablaVentas[[#This Row],[Costo_total]])</f>
        <v>3855.6350000000002</v>
      </c>
    </row>
    <row r="277" spans="1:18">
      <c r="A277" t="s">
        <v>368</v>
      </c>
      <c r="B277">
        <v>1</v>
      </c>
      <c r="C277" s="3">
        <v>46090</v>
      </c>
      <c r="D277" t="s">
        <v>369</v>
      </c>
      <c r="E277" t="s">
        <v>70</v>
      </c>
      <c r="F277" t="s">
        <v>56</v>
      </c>
      <c r="G277" t="s">
        <v>40</v>
      </c>
      <c r="H277" t="s">
        <v>124</v>
      </c>
      <c r="I277">
        <v>1</v>
      </c>
      <c r="J277" s="4">
        <v>15621.03</v>
      </c>
      <c r="K277" s="5">
        <v>0.2</v>
      </c>
      <c r="L277" s="4">
        <v>10571.25</v>
      </c>
      <c r="M277" t="s">
        <v>42</v>
      </c>
      <c r="N277" t="s">
        <v>60</v>
      </c>
      <c r="O277">
        <f>IF(TablaVentas[[#This Row],[Precio_unitario]]="","PENDIENTE",TablaVentas[[#This Row],[Unidades]]*TablaVentas[[#This Row],[Precio_unitario]]*(1-TablaVentas[[#This Row],[Descuento_pct]]))</f>
        <v>12496.824000000001</v>
      </c>
      <c r="P277">
        <f>IF(TablaVentas[[#This Row],[Costo_unitario]]="","PENDIENTE",TablaVentas[[#This Row],[Unidades]]*TablaVentas[[#This Row],[Costo_unitario]])</f>
        <v>10571.25</v>
      </c>
      <c r="Q277">
        <f>IF(OR(TablaVentas[[#This Row],[Ingreso_neto]]="PENDIENTE",TablaVentas[[#This Row],[Costo_total]]="PENDIENTE"),"PENDIENTE",TablaVentas[[#This Row],[Ingreso_neto]]-TablaVentas[[#This Row],[Costo_total]])</f>
        <v>1925.5740000000005</v>
      </c>
    </row>
    <row r="278" spans="1:18">
      <c r="A278" t="s">
        <v>368</v>
      </c>
      <c r="B278">
        <v>2</v>
      </c>
      <c r="C278" s="3">
        <v>46090</v>
      </c>
      <c r="D278" t="s">
        <v>369</v>
      </c>
      <c r="E278" t="s">
        <v>164</v>
      </c>
      <c r="F278" t="s">
        <v>56</v>
      </c>
      <c r="G278" t="s">
        <v>40</v>
      </c>
      <c r="H278" t="s">
        <v>124</v>
      </c>
      <c r="I278">
        <v>2</v>
      </c>
      <c r="J278" s="4">
        <v>6401.16</v>
      </c>
      <c r="K278" s="5">
        <v>0</v>
      </c>
      <c r="L278" s="4">
        <v>5050.04</v>
      </c>
      <c r="M278" t="s">
        <v>42</v>
      </c>
      <c r="N278" t="s">
        <v>45</v>
      </c>
      <c r="O278">
        <f>IF(TablaVentas[[#This Row],[Precio_unitario]]="","PENDIENTE",TablaVentas[[#This Row],[Unidades]]*TablaVentas[[#This Row],[Precio_unitario]]*(1-TablaVentas[[#This Row],[Descuento_pct]]))</f>
        <v>12802.32</v>
      </c>
      <c r="P278">
        <f>IF(TablaVentas[[#This Row],[Costo_unitario]]="","PENDIENTE",TablaVentas[[#This Row],[Unidades]]*TablaVentas[[#This Row],[Costo_unitario]])</f>
        <v>10100.08</v>
      </c>
      <c r="Q278">
        <f>IF(OR(TablaVentas[[#This Row],[Ingreso_neto]]="PENDIENTE",TablaVentas[[#This Row],[Costo_total]]="PENDIENTE"),"PENDIENTE",TablaVentas[[#This Row],[Ingreso_neto]]-TablaVentas[[#This Row],[Costo_total]])</f>
        <v>2702.24</v>
      </c>
    </row>
    <row r="279" spans="1:18">
      <c r="A279" t="s">
        <v>368</v>
      </c>
      <c r="B279">
        <v>3</v>
      </c>
      <c r="C279" s="3">
        <v>46090</v>
      </c>
      <c r="D279" t="s">
        <v>369</v>
      </c>
      <c r="E279" t="s">
        <v>277</v>
      </c>
      <c r="F279" t="s">
        <v>56</v>
      </c>
      <c r="G279" t="s">
        <v>40</v>
      </c>
      <c r="H279" t="s">
        <v>124</v>
      </c>
      <c r="I279">
        <v>3</v>
      </c>
      <c r="J279" s="4">
        <v>6121.59</v>
      </c>
      <c r="K279" s="5">
        <v>0</v>
      </c>
      <c r="L279" s="4">
        <v>4858.08</v>
      </c>
      <c r="M279" t="s">
        <v>116</v>
      </c>
      <c r="N279" t="s">
        <v>43</v>
      </c>
      <c r="O279">
        <f>IF(TablaVentas[[#This Row],[Precio_unitario]]="","PENDIENTE",TablaVentas[[#This Row],[Unidades]]*TablaVentas[[#This Row],[Precio_unitario]]*(1-TablaVentas[[#This Row],[Descuento_pct]]))</f>
        <v>18364.77</v>
      </c>
      <c r="P279">
        <f>IF(TablaVentas[[#This Row],[Costo_unitario]]="","PENDIENTE",TablaVentas[[#This Row],[Unidades]]*TablaVentas[[#This Row],[Costo_unitario]])</f>
        <v>14574.24</v>
      </c>
      <c r="Q279">
        <f>IF(OR(TablaVentas[[#This Row],[Ingreso_neto]]="PENDIENTE",TablaVentas[[#This Row],[Costo_total]]="PENDIENTE"),"PENDIENTE",TablaVentas[[#This Row],[Ingreso_neto]]-TablaVentas[[#This Row],[Costo_total]])</f>
        <v>3790.5300000000007</v>
      </c>
    </row>
    <row r="280" spans="1:18">
      <c r="A280" t="s">
        <v>370</v>
      </c>
      <c r="B280">
        <v>1</v>
      </c>
      <c r="C280" s="3">
        <v>46221</v>
      </c>
      <c r="D280" t="s">
        <v>230</v>
      </c>
      <c r="E280" t="s">
        <v>248</v>
      </c>
      <c r="F280" t="s">
        <v>77</v>
      </c>
      <c r="G280" t="s">
        <v>50</v>
      </c>
      <c r="H280" t="s">
        <v>184</v>
      </c>
      <c r="I280">
        <v>-3</v>
      </c>
      <c r="J280" s="4">
        <v>14096.18</v>
      </c>
      <c r="K280" s="5">
        <v>0</v>
      </c>
      <c r="L280" s="4">
        <v>6856.4</v>
      </c>
      <c r="M280" t="s">
        <v>42</v>
      </c>
      <c r="N280" t="s">
        <v>43</v>
      </c>
      <c r="O280">
        <f>IF(TablaVentas[[#This Row],[Precio_unitario]]="","PENDIENTE",TablaVentas[[#This Row],[Unidades]]*TablaVentas[[#This Row],[Precio_unitario]]*(1-TablaVentas[[#This Row],[Descuento_pct]]))</f>
        <v>-42288.54</v>
      </c>
      <c r="P280">
        <f>IF(TablaVentas[[#This Row],[Costo_unitario]]="","PENDIENTE",TablaVentas[[#This Row],[Unidades]]*TablaVentas[[#This Row],[Costo_unitario]])</f>
        <v>-20569.199999999997</v>
      </c>
      <c r="Q280">
        <f>IF(OR(TablaVentas[[#This Row],[Ingreso_neto]]="PENDIENTE",TablaVentas[[#This Row],[Costo_total]]="PENDIENTE"),"PENDIENTE",TablaVentas[[#This Row],[Ingreso_neto]]-TablaVentas[[#This Row],[Costo_total]])</f>
        <v>-21719.340000000004</v>
      </c>
      <c r="R280" t="s">
        <v>371</v>
      </c>
    </row>
    <row r="281" spans="1:18">
      <c r="A281" t="s">
        <v>370</v>
      </c>
      <c r="B281">
        <v>2</v>
      </c>
      <c r="C281" s="3">
        <v>46221</v>
      </c>
      <c r="D281" t="s">
        <v>230</v>
      </c>
      <c r="E281" t="s">
        <v>133</v>
      </c>
      <c r="F281" t="s">
        <v>77</v>
      </c>
      <c r="G281" t="s">
        <v>50</v>
      </c>
      <c r="H281" t="s">
        <v>184</v>
      </c>
      <c r="I281">
        <v>1</v>
      </c>
      <c r="J281" s="4">
        <v>8020.95</v>
      </c>
      <c r="K281" s="5">
        <v>0</v>
      </c>
      <c r="L281" s="4">
        <v>4061.34</v>
      </c>
      <c r="M281" t="s">
        <v>116</v>
      </c>
      <c r="N281" t="s">
        <v>45</v>
      </c>
      <c r="O281">
        <f>IF(TablaVentas[[#This Row],[Precio_unitario]]="","PENDIENTE",TablaVentas[[#This Row],[Unidades]]*TablaVentas[[#This Row],[Precio_unitario]]*(1-TablaVentas[[#This Row],[Descuento_pct]]))</f>
        <v>8020.95</v>
      </c>
      <c r="P281">
        <f>IF(TablaVentas[[#This Row],[Costo_unitario]]="","PENDIENTE",TablaVentas[[#This Row],[Unidades]]*TablaVentas[[#This Row],[Costo_unitario]])</f>
        <v>4061.34</v>
      </c>
      <c r="Q281">
        <f>IF(OR(TablaVentas[[#This Row],[Ingreso_neto]]="PENDIENTE",TablaVentas[[#This Row],[Costo_total]]="PENDIENTE"),"PENDIENTE",TablaVentas[[#This Row],[Ingreso_neto]]-TablaVentas[[#This Row],[Costo_total]])</f>
        <v>3959.6099999999997</v>
      </c>
    </row>
    <row r="282" spans="1:18">
      <c r="A282" t="s">
        <v>372</v>
      </c>
      <c r="B282">
        <v>1</v>
      </c>
      <c r="C282" s="3">
        <v>46288</v>
      </c>
      <c r="D282" t="s">
        <v>373</v>
      </c>
      <c r="E282" t="s">
        <v>144</v>
      </c>
      <c r="F282" t="s">
        <v>56</v>
      </c>
      <c r="G282" t="s">
        <v>57</v>
      </c>
      <c r="H282" t="s">
        <v>82</v>
      </c>
      <c r="I282">
        <v>1</v>
      </c>
      <c r="J282" s="4">
        <v>8748.76</v>
      </c>
      <c r="K282" s="5">
        <v>0.05</v>
      </c>
      <c r="L282" s="4">
        <v>5125.3599999999997</v>
      </c>
      <c r="M282" t="s">
        <v>42</v>
      </c>
      <c r="N282" t="s">
        <v>60</v>
      </c>
      <c r="O282">
        <f>IF(TablaVentas[[#This Row],[Precio_unitario]]="","PENDIENTE",TablaVentas[[#This Row],[Unidades]]*TablaVentas[[#This Row],[Precio_unitario]]*(1-TablaVentas[[#This Row],[Descuento_pct]]))</f>
        <v>8311.3220000000001</v>
      </c>
      <c r="P282">
        <f>IF(TablaVentas[[#This Row],[Costo_unitario]]="","PENDIENTE",TablaVentas[[#This Row],[Unidades]]*TablaVentas[[#This Row],[Costo_unitario]])</f>
        <v>5125.3599999999997</v>
      </c>
      <c r="Q282">
        <f>IF(OR(TablaVentas[[#This Row],[Ingreso_neto]]="PENDIENTE",TablaVentas[[#This Row],[Costo_total]]="PENDIENTE"),"PENDIENTE",TablaVentas[[#This Row],[Ingreso_neto]]-TablaVentas[[#This Row],[Costo_total]])</f>
        <v>3185.9620000000004</v>
      </c>
    </row>
    <row r="283" spans="1:18">
      <c r="A283" t="s">
        <v>372</v>
      </c>
      <c r="B283">
        <v>2</v>
      </c>
      <c r="C283" s="3">
        <v>46288</v>
      </c>
      <c r="D283" t="s">
        <v>373</v>
      </c>
      <c r="E283" t="s">
        <v>160</v>
      </c>
      <c r="F283" t="s">
        <v>56</v>
      </c>
      <c r="G283" t="s">
        <v>57</v>
      </c>
      <c r="H283" t="s">
        <v>82</v>
      </c>
      <c r="I283">
        <v>8</v>
      </c>
      <c r="J283" s="4">
        <v>7153.59</v>
      </c>
      <c r="K283" s="5">
        <v>0</v>
      </c>
      <c r="L283" s="4">
        <v>4082.15</v>
      </c>
      <c r="M283" t="s">
        <v>42</v>
      </c>
      <c r="N283" t="s">
        <v>60</v>
      </c>
      <c r="O283">
        <f>IF(TablaVentas[[#This Row],[Precio_unitario]]="","PENDIENTE",TablaVentas[[#This Row],[Unidades]]*TablaVentas[[#This Row],[Precio_unitario]]*(1-TablaVentas[[#This Row],[Descuento_pct]]))</f>
        <v>57228.72</v>
      </c>
      <c r="P283">
        <f>IF(TablaVentas[[#This Row],[Costo_unitario]]="","PENDIENTE",TablaVentas[[#This Row],[Unidades]]*TablaVentas[[#This Row],[Costo_unitario]])</f>
        <v>32657.200000000001</v>
      </c>
      <c r="Q283">
        <f>IF(OR(TablaVentas[[#This Row],[Ingreso_neto]]="PENDIENTE",TablaVentas[[#This Row],[Costo_total]]="PENDIENTE"),"PENDIENTE",TablaVentas[[#This Row],[Ingreso_neto]]-TablaVentas[[#This Row],[Costo_total]])</f>
        <v>24571.52</v>
      </c>
    </row>
    <row r="284" spans="1:18">
      <c r="A284" t="s">
        <v>372</v>
      </c>
      <c r="B284">
        <v>3</v>
      </c>
      <c r="C284" s="3">
        <v>46288</v>
      </c>
      <c r="D284" t="s">
        <v>373</v>
      </c>
      <c r="E284" t="s">
        <v>140</v>
      </c>
      <c r="F284" t="s">
        <v>56</v>
      </c>
      <c r="G284" t="s">
        <v>57</v>
      </c>
      <c r="H284" t="s">
        <v>82</v>
      </c>
      <c r="I284">
        <v>3</v>
      </c>
      <c r="J284" s="4">
        <v>2966.6</v>
      </c>
      <c r="K284" s="5">
        <v>0.1</v>
      </c>
      <c r="L284" s="4">
        <v>2427.63</v>
      </c>
      <c r="M284" t="s">
        <v>42</v>
      </c>
      <c r="N284" t="s">
        <v>60</v>
      </c>
      <c r="O284">
        <f>IF(TablaVentas[[#This Row],[Precio_unitario]]="","PENDIENTE",TablaVentas[[#This Row],[Unidades]]*TablaVentas[[#This Row],[Precio_unitario]]*(1-TablaVentas[[#This Row],[Descuento_pct]]))</f>
        <v>8009.82</v>
      </c>
      <c r="P284">
        <f>IF(TablaVentas[[#This Row],[Costo_unitario]]="","PENDIENTE",TablaVentas[[#This Row],[Unidades]]*TablaVentas[[#This Row],[Costo_unitario]])</f>
        <v>7282.89</v>
      </c>
      <c r="Q284">
        <f>IF(OR(TablaVentas[[#This Row],[Ingreso_neto]]="PENDIENTE",TablaVentas[[#This Row],[Costo_total]]="PENDIENTE"),"PENDIENTE",TablaVentas[[#This Row],[Ingreso_neto]]-TablaVentas[[#This Row],[Costo_total]])</f>
        <v>726.92999999999938</v>
      </c>
    </row>
    <row r="285" spans="1:18">
      <c r="A285" t="s">
        <v>372</v>
      </c>
      <c r="B285">
        <v>4</v>
      </c>
      <c r="C285" s="3">
        <v>46288</v>
      </c>
      <c r="D285" t="s">
        <v>373</v>
      </c>
      <c r="E285" t="s">
        <v>84</v>
      </c>
      <c r="F285" t="s">
        <v>56</v>
      </c>
      <c r="G285" t="s">
        <v>57</v>
      </c>
      <c r="H285" t="s">
        <v>82</v>
      </c>
      <c r="I285">
        <v>3</v>
      </c>
      <c r="J285" s="4">
        <v>14153.03</v>
      </c>
      <c r="K285" s="5">
        <v>0.2</v>
      </c>
      <c r="L285" s="4">
        <v>8576.0499999999993</v>
      </c>
      <c r="M285" t="s">
        <v>42</v>
      </c>
      <c r="N285" t="s">
        <v>43</v>
      </c>
      <c r="O285">
        <f>IF(TablaVentas[[#This Row],[Precio_unitario]]="","PENDIENTE",TablaVentas[[#This Row],[Unidades]]*TablaVentas[[#This Row],[Precio_unitario]]*(1-TablaVentas[[#This Row],[Descuento_pct]]))</f>
        <v>33967.272000000004</v>
      </c>
      <c r="P285">
        <f>IF(TablaVentas[[#This Row],[Costo_unitario]]="","PENDIENTE",TablaVentas[[#This Row],[Unidades]]*TablaVentas[[#This Row],[Costo_unitario]])</f>
        <v>25728.149999999998</v>
      </c>
      <c r="Q285">
        <f>IF(OR(TablaVentas[[#This Row],[Ingreso_neto]]="PENDIENTE",TablaVentas[[#This Row],[Costo_total]]="PENDIENTE"),"PENDIENTE",TablaVentas[[#This Row],[Ingreso_neto]]-TablaVentas[[#This Row],[Costo_total]])</f>
        <v>8239.1220000000067</v>
      </c>
    </row>
    <row r="286" spans="1:18">
      <c r="A286" t="s">
        <v>372</v>
      </c>
      <c r="B286">
        <v>5</v>
      </c>
      <c r="C286" s="3">
        <v>46288</v>
      </c>
      <c r="D286" t="s">
        <v>373</v>
      </c>
      <c r="E286" t="s">
        <v>159</v>
      </c>
      <c r="F286" t="s">
        <v>56</v>
      </c>
      <c r="G286" t="s">
        <v>57</v>
      </c>
      <c r="H286" t="s">
        <v>82</v>
      </c>
      <c r="I286">
        <v>2</v>
      </c>
      <c r="J286" s="4">
        <v>11967.54</v>
      </c>
      <c r="K286" s="5">
        <v>0</v>
      </c>
      <c r="L286" s="4">
        <v>9317.3700000000008</v>
      </c>
      <c r="M286" t="s">
        <v>42</v>
      </c>
      <c r="N286" t="s">
        <v>45</v>
      </c>
      <c r="O286">
        <f>IF(TablaVentas[[#This Row],[Precio_unitario]]="","PENDIENTE",TablaVentas[[#This Row],[Unidades]]*TablaVentas[[#This Row],[Precio_unitario]]*(1-TablaVentas[[#This Row],[Descuento_pct]]))</f>
        <v>23935.08</v>
      </c>
      <c r="P286">
        <f>IF(TablaVentas[[#This Row],[Costo_unitario]]="","PENDIENTE",TablaVentas[[#This Row],[Unidades]]*TablaVentas[[#This Row],[Costo_unitario]])</f>
        <v>18634.740000000002</v>
      </c>
      <c r="Q286">
        <f>IF(OR(TablaVentas[[#This Row],[Ingreso_neto]]="PENDIENTE",TablaVentas[[#This Row],[Costo_total]]="PENDIENTE"),"PENDIENTE",TablaVentas[[#This Row],[Ingreso_neto]]-TablaVentas[[#This Row],[Costo_total]])</f>
        <v>5300.34</v>
      </c>
    </row>
    <row r="287" spans="1:18">
      <c r="A287" t="s">
        <v>374</v>
      </c>
      <c r="B287">
        <v>1</v>
      </c>
      <c r="C287" s="3">
        <v>46146</v>
      </c>
      <c r="D287" t="s">
        <v>375</v>
      </c>
      <c r="E287" t="s">
        <v>90</v>
      </c>
      <c r="F287" t="s">
        <v>56</v>
      </c>
      <c r="G287" t="s">
        <v>40</v>
      </c>
      <c r="H287" t="s">
        <v>73</v>
      </c>
      <c r="I287">
        <v>1</v>
      </c>
      <c r="J287" s="4">
        <v>10296.83</v>
      </c>
      <c r="K287" s="5">
        <v>0.15</v>
      </c>
      <c r="L287" s="4">
        <v>8174.87</v>
      </c>
      <c r="M287" t="s">
        <v>42</v>
      </c>
      <c r="N287" t="s">
        <v>60</v>
      </c>
      <c r="O287">
        <f>IF(TablaVentas[[#This Row],[Precio_unitario]]="","PENDIENTE",TablaVentas[[#This Row],[Unidades]]*TablaVentas[[#This Row],[Precio_unitario]]*(1-TablaVentas[[#This Row],[Descuento_pct]]))</f>
        <v>8752.3055000000004</v>
      </c>
      <c r="P287">
        <f>IF(TablaVentas[[#This Row],[Costo_unitario]]="","PENDIENTE",TablaVentas[[#This Row],[Unidades]]*TablaVentas[[#This Row],[Costo_unitario]])</f>
        <v>8174.87</v>
      </c>
      <c r="Q287">
        <f>IF(OR(TablaVentas[[#This Row],[Ingreso_neto]]="PENDIENTE",TablaVentas[[#This Row],[Costo_total]]="PENDIENTE"),"PENDIENTE",TablaVentas[[#This Row],[Ingreso_neto]]-TablaVentas[[#This Row],[Costo_total]])</f>
        <v>577.4355000000005</v>
      </c>
    </row>
    <row r="288" spans="1:18">
      <c r="A288" t="s">
        <v>374</v>
      </c>
      <c r="B288">
        <v>2</v>
      </c>
      <c r="C288" s="3">
        <v>46146</v>
      </c>
      <c r="D288" t="s">
        <v>375</v>
      </c>
      <c r="E288" t="s">
        <v>156</v>
      </c>
      <c r="F288" t="s">
        <v>56</v>
      </c>
      <c r="G288" t="s">
        <v>40</v>
      </c>
      <c r="H288" t="s">
        <v>73</v>
      </c>
      <c r="I288">
        <v>4</v>
      </c>
      <c r="J288" s="4">
        <v>17888.150000000001</v>
      </c>
      <c r="K288" s="5">
        <v>0</v>
      </c>
      <c r="L288" s="4">
        <v>13981.13</v>
      </c>
      <c r="M288" t="s">
        <v>42</v>
      </c>
      <c r="N288" t="s">
        <v>43</v>
      </c>
      <c r="O288">
        <f>IF(TablaVentas[[#This Row],[Precio_unitario]]="","PENDIENTE",TablaVentas[[#This Row],[Unidades]]*TablaVentas[[#This Row],[Precio_unitario]]*(1-TablaVentas[[#This Row],[Descuento_pct]]))</f>
        <v>71552.600000000006</v>
      </c>
      <c r="P288">
        <f>IF(TablaVentas[[#This Row],[Costo_unitario]]="","PENDIENTE",TablaVentas[[#This Row],[Unidades]]*TablaVentas[[#This Row],[Costo_unitario]])</f>
        <v>55924.52</v>
      </c>
      <c r="Q288">
        <f>IF(OR(TablaVentas[[#This Row],[Ingreso_neto]]="PENDIENTE",TablaVentas[[#This Row],[Costo_total]]="PENDIENTE"),"PENDIENTE",TablaVentas[[#This Row],[Ingreso_neto]]-TablaVentas[[#This Row],[Costo_total]])</f>
        <v>15628.080000000009</v>
      </c>
    </row>
    <row r="289" spans="1:17">
      <c r="A289" t="s">
        <v>374</v>
      </c>
      <c r="B289">
        <v>3</v>
      </c>
      <c r="C289" s="3">
        <v>46146</v>
      </c>
      <c r="D289" t="s">
        <v>375</v>
      </c>
      <c r="E289" t="s">
        <v>120</v>
      </c>
      <c r="F289" t="s">
        <v>56</v>
      </c>
      <c r="G289" t="s">
        <v>40</v>
      </c>
      <c r="H289" t="s">
        <v>73</v>
      </c>
      <c r="I289">
        <v>5</v>
      </c>
      <c r="J289" s="4">
        <v>14000.36</v>
      </c>
      <c r="K289" s="5">
        <v>0</v>
      </c>
      <c r="L289" s="4">
        <v>7975.26</v>
      </c>
      <c r="M289" t="s">
        <v>42</v>
      </c>
      <c r="N289" t="s">
        <v>52</v>
      </c>
      <c r="O289">
        <f>IF(TablaVentas[[#This Row],[Precio_unitario]]="","PENDIENTE",TablaVentas[[#This Row],[Unidades]]*TablaVentas[[#This Row],[Precio_unitario]]*(1-TablaVentas[[#This Row],[Descuento_pct]]))</f>
        <v>70001.8</v>
      </c>
      <c r="P289">
        <f>IF(TablaVentas[[#This Row],[Costo_unitario]]="","PENDIENTE",TablaVentas[[#This Row],[Unidades]]*TablaVentas[[#This Row],[Costo_unitario]])</f>
        <v>39876.300000000003</v>
      </c>
      <c r="Q289">
        <f>IF(OR(TablaVentas[[#This Row],[Ingreso_neto]]="PENDIENTE",TablaVentas[[#This Row],[Costo_total]]="PENDIENTE"),"PENDIENTE",TablaVentas[[#This Row],[Ingreso_neto]]-TablaVentas[[#This Row],[Costo_total]])</f>
        <v>30125.5</v>
      </c>
    </row>
    <row r="290" spans="1:17">
      <c r="A290" t="s">
        <v>374</v>
      </c>
      <c r="B290">
        <v>4</v>
      </c>
      <c r="C290" s="3">
        <v>46146</v>
      </c>
      <c r="D290" t="s">
        <v>375</v>
      </c>
      <c r="E290" t="s">
        <v>203</v>
      </c>
      <c r="F290" t="s">
        <v>56</v>
      </c>
      <c r="G290" t="s">
        <v>40</v>
      </c>
      <c r="H290" t="s">
        <v>73</v>
      </c>
      <c r="I290">
        <v>1</v>
      </c>
      <c r="J290" s="4">
        <v>2059.14</v>
      </c>
      <c r="K290" s="5">
        <v>0</v>
      </c>
      <c r="L290" s="4">
        <v>1252.8399999999999</v>
      </c>
      <c r="M290" t="s">
        <v>42</v>
      </c>
      <c r="N290" t="s">
        <v>52</v>
      </c>
      <c r="O290">
        <f>IF(TablaVentas[[#This Row],[Precio_unitario]]="","PENDIENTE",TablaVentas[[#This Row],[Unidades]]*TablaVentas[[#This Row],[Precio_unitario]]*(1-TablaVentas[[#This Row],[Descuento_pct]]))</f>
        <v>2059.14</v>
      </c>
      <c r="P290">
        <f>IF(TablaVentas[[#This Row],[Costo_unitario]]="","PENDIENTE",TablaVentas[[#This Row],[Unidades]]*TablaVentas[[#This Row],[Costo_unitario]])</f>
        <v>1252.8399999999999</v>
      </c>
      <c r="Q290">
        <f>IF(OR(TablaVentas[[#This Row],[Ingreso_neto]]="PENDIENTE",TablaVentas[[#This Row],[Costo_total]]="PENDIENTE"),"PENDIENTE",TablaVentas[[#This Row],[Ingreso_neto]]-TablaVentas[[#This Row],[Costo_total]])</f>
        <v>806.3</v>
      </c>
    </row>
    <row r="291" spans="1:17">
      <c r="A291" t="s">
        <v>376</v>
      </c>
      <c r="B291">
        <v>1</v>
      </c>
      <c r="C291" s="3">
        <v>46179</v>
      </c>
      <c r="D291" t="s">
        <v>377</v>
      </c>
      <c r="E291" t="s">
        <v>378</v>
      </c>
      <c r="F291" t="s">
        <v>56</v>
      </c>
      <c r="G291" t="s">
        <v>40</v>
      </c>
      <c r="H291" t="s">
        <v>73</v>
      </c>
      <c r="I291">
        <v>1</v>
      </c>
      <c r="J291" s="4">
        <v>3383.37</v>
      </c>
      <c r="K291" s="5">
        <v>0</v>
      </c>
      <c r="L291" s="4">
        <v>2864.64</v>
      </c>
      <c r="M291" t="s">
        <v>42</v>
      </c>
      <c r="N291" t="s">
        <v>60</v>
      </c>
      <c r="O291">
        <f>IF(TablaVentas[[#This Row],[Precio_unitario]]="","PENDIENTE",TablaVentas[[#This Row],[Unidades]]*TablaVentas[[#This Row],[Precio_unitario]]*(1-TablaVentas[[#This Row],[Descuento_pct]]))</f>
        <v>3383.37</v>
      </c>
      <c r="P291">
        <f>IF(TablaVentas[[#This Row],[Costo_unitario]]="","PENDIENTE",TablaVentas[[#This Row],[Unidades]]*TablaVentas[[#This Row],[Costo_unitario]])</f>
        <v>2864.64</v>
      </c>
      <c r="Q291">
        <f>IF(OR(TablaVentas[[#This Row],[Ingreso_neto]]="PENDIENTE",TablaVentas[[#This Row],[Costo_total]]="PENDIENTE"),"PENDIENTE",TablaVentas[[#This Row],[Ingreso_neto]]-TablaVentas[[#This Row],[Costo_total]])</f>
        <v>518.73</v>
      </c>
    </row>
    <row r="292" spans="1:17">
      <c r="A292" t="s">
        <v>376</v>
      </c>
      <c r="B292">
        <v>2</v>
      </c>
      <c r="C292" s="3">
        <v>46179</v>
      </c>
      <c r="D292" t="s">
        <v>377</v>
      </c>
      <c r="E292" t="s">
        <v>164</v>
      </c>
      <c r="F292" t="s">
        <v>56</v>
      </c>
      <c r="G292" t="s">
        <v>40</v>
      </c>
      <c r="H292" t="s">
        <v>73</v>
      </c>
      <c r="I292">
        <v>1</v>
      </c>
      <c r="J292" s="4">
        <v>6075.94</v>
      </c>
      <c r="K292" s="5">
        <v>0.05</v>
      </c>
      <c r="L292" s="4">
        <v>5050.04</v>
      </c>
      <c r="M292" t="s">
        <v>42</v>
      </c>
      <c r="N292" t="s">
        <v>60</v>
      </c>
      <c r="O292">
        <f>IF(TablaVentas[[#This Row],[Precio_unitario]]="","PENDIENTE",TablaVentas[[#This Row],[Unidades]]*TablaVentas[[#This Row],[Precio_unitario]]*(1-TablaVentas[[#This Row],[Descuento_pct]]))</f>
        <v>5772.1429999999991</v>
      </c>
      <c r="P292">
        <f>IF(TablaVentas[[#This Row],[Costo_unitario]]="","PENDIENTE",TablaVentas[[#This Row],[Unidades]]*TablaVentas[[#This Row],[Costo_unitario]])</f>
        <v>5050.04</v>
      </c>
      <c r="Q292">
        <f>IF(OR(TablaVentas[[#This Row],[Ingreso_neto]]="PENDIENTE",TablaVentas[[#This Row],[Costo_total]]="PENDIENTE"),"PENDIENTE",TablaVentas[[#This Row],[Ingreso_neto]]-TablaVentas[[#This Row],[Costo_total]])</f>
        <v>722.10299999999916</v>
      </c>
    </row>
    <row r="293" spans="1:17">
      <c r="A293" t="s">
        <v>376</v>
      </c>
      <c r="B293">
        <v>3</v>
      </c>
      <c r="C293" s="3">
        <v>46179</v>
      </c>
      <c r="D293" t="s">
        <v>377</v>
      </c>
      <c r="E293" t="s">
        <v>160</v>
      </c>
      <c r="F293" t="s">
        <v>56</v>
      </c>
      <c r="G293" t="s">
        <v>40</v>
      </c>
      <c r="H293" t="s">
        <v>73</v>
      </c>
      <c r="I293">
        <v>2</v>
      </c>
      <c r="J293" s="4">
        <v>8033.48</v>
      </c>
      <c r="K293" s="5">
        <v>0</v>
      </c>
      <c r="L293" s="4">
        <v>4082.15</v>
      </c>
      <c r="M293" t="s">
        <v>42</v>
      </c>
      <c r="N293" t="s">
        <v>45</v>
      </c>
      <c r="O293">
        <f>IF(TablaVentas[[#This Row],[Precio_unitario]]="","PENDIENTE",TablaVentas[[#This Row],[Unidades]]*TablaVentas[[#This Row],[Precio_unitario]]*(1-TablaVentas[[#This Row],[Descuento_pct]]))</f>
        <v>16066.96</v>
      </c>
      <c r="P293">
        <f>IF(TablaVentas[[#This Row],[Costo_unitario]]="","PENDIENTE",TablaVentas[[#This Row],[Unidades]]*TablaVentas[[#This Row],[Costo_unitario]])</f>
        <v>8164.3</v>
      </c>
      <c r="Q293">
        <f>IF(OR(TablaVentas[[#This Row],[Ingreso_neto]]="PENDIENTE",TablaVentas[[#This Row],[Costo_total]]="PENDIENTE"),"PENDIENTE",TablaVentas[[#This Row],[Ingreso_neto]]-TablaVentas[[#This Row],[Costo_total]])</f>
        <v>7902.6599999999989</v>
      </c>
    </row>
    <row r="294" spans="1:17">
      <c r="A294" t="s">
        <v>379</v>
      </c>
      <c r="B294">
        <v>1</v>
      </c>
      <c r="C294" s="3">
        <v>46048</v>
      </c>
      <c r="D294" t="s">
        <v>380</v>
      </c>
      <c r="E294" t="s">
        <v>123</v>
      </c>
      <c r="F294" t="s">
        <v>66</v>
      </c>
      <c r="G294" t="s">
        <v>40</v>
      </c>
      <c r="H294" t="s">
        <v>82</v>
      </c>
      <c r="I294">
        <v>1</v>
      </c>
      <c r="J294" s="4">
        <v>17646.8</v>
      </c>
      <c r="K294" s="5">
        <v>0</v>
      </c>
      <c r="L294" s="4">
        <v>12679.41</v>
      </c>
      <c r="M294" t="s">
        <v>42</v>
      </c>
      <c r="N294" t="s">
        <v>60</v>
      </c>
      <c r="O294">
        <f>IF(TablaVentas[[#This Row],[Precio_unitario]]="","PENDIENTE",TablaVentas[[#This Row],[Unidades]]*TablaVentas[[#This Row],[Precio_unitario]]*(1-TablaVentas[[#This Row],[Descuento_pct]]))</f>
        <v>17646.8</v>
      </c>
      <c r="P294">
        <f>IF(TablaVentas[[#This Row],[Costo_unitario]]="","PENDIENTE",TablaVentas[[#This Row],[Unidades]]*TablaVentas[[#This Row],[Costo_unitario]])</f>
        <v>12679.41</v>
      </c>
      <c r="Q294">
        <f>IF(OR(TablaVentas[[#This Row],[Ingreso_neto]]="PENDIENTE",TablaVentas[[#This Row],[Costo_total]]="PENDIENTE"),"PENDIENTE",TablaVentas[[#This Row],[Ingreso_neto]]-TablaVentas[[#This Row],[Costo_total]])</f>
        <v>4967.3899999999994</v>
      </c>
    </row>
    <row r="295" spans="1:17">
      <c r="A295" t="s">
        <v>381</v>
      </c>
      <c r="B295">
        <v>1</v>
      </c>
      <c r="C295" s="3">
        <v>46101</v>
      </c>
      <c r="D295" t="s">
        <v>382</v>
      </c>
      <c r="E295" t="s">
        <v>128</v>
      </c>
      <c r="F295" t="s">
        <v>66</v>
      </c>
      <c r="G295" t="s">
        <v>40</v>
      </c>
      <c r="H295" t="s">
        <v>58</v>
      </c>
      <c r="I295">
        <v>1</v>
      </c>
      <c r="J295" s="4">
        <v>1567.69</v>
      </c>
      <c r="K295" s="5">
        <v>0.2</v>
      </c>
      <c r="L295" s="4">
        <v>900.08</v>
      </c>
      <c r="M295" t="s">
        <v>42</v>
      </c>
      <c r="N295" t="s">
        <v>43</v>
      </c>
      <c r="O295">
        <f>IF(TablaVentas[[#This Row],[Precio_unitario]]="","PENDIENTE",TablaVentas[[#This Row],[Unidades]]*TablaVentas[[#This Row],[Precio_unitario]]*(1-TablaVentas[[#This Row],[Descuento_pct]]))</f>
        <v>1254.152</v>
      </c>
      <c r="P295">
        <f>IF(TablaVentas[[#This Row],[Costo_unitario]]="","PENDIENTE",TablaVentas[[#This Row],[Unidades]]*TablaVentas[[#This Row],[Costo_unitario]])</f>
        <v>900.08</v>
      </c>
      <c r="Q295">
        <f>IF(OR(TablaVentas[[#This Row],[Ingreso_neto]]="PENDIENTE",TablaVentas[[#This Row],[Costo_total]]="PENDIENTE"),"PENDIENTE",TablaVentas[[#This Row],[Ingreso_neto]]-TablaVentas[[#This Row],[Costo_total]])</f>
        <v>354.072</v>
      </c>
    </row>
    <row r="296" spans="1:17">
      <c r="A296" t="s">
        <v>381</v>
      </c>
      <c r="B296">
        <v>2</v>
      </c>
      <c r="C296" s="3">
        <v>46101</v>
      </c>
      <c r="D296" t="s">
        <v>382</v>
      </c>
      <c r="E296" t="s">
        <v>223</v>
      </c>
      <c r="F296" t="s">
        <v>66</v>
      </c>
      <c r="G296" t="s">
        <v>40</v>
      </c>
      <c r="H296" t="s">
        <v>58</v>
      </c>
      <c r="I296">
        <v>3</v>
      </c>
      <c r="J296" s="4">
        <v>6260.37</v>
      </c>
      <c r="K296" s="5">
        <v>0</v>
      </c>
      <c r="L296" s="4">
        <v>3298.19</v>
      </c>
      <c r="M296" t="s">
        <v>42</v>
      </c>
      <c r="N296" t="s">
        <v>52</v>
      </c>
      <c r="O296">
        <f>IF(TablaVentas[[#This Row],[Precio_unitario]]="","PENDIENTE",TablaVentas[[#This Row],[Unidades]]*TablaVentas[[#This Row],[Precio_unitario]]*(1-TablaVentas[[#This Row],[Descuento_pct]]))</f>
        <v>18781.11</v>
      </c>
      <c r="P296">
        <f>IF(TablaVentas[[#This Row],[Costo_unitario]]="","PENDIENTE",TablaVentas[[#This Row],[Unidades]]*TablaVentas[[#This Row],[Costo_unitario]])</f>
        <v>9894.57</v>
      </c>
      <c r="Q296">
        <f>IF(OR(TablaVentas[[#This Row],[Ingreso_neto]]="PENDIENTE",TablaVentas[[#This Row],[Costo_total]]="PENDIENTE"),"PENDIENTE",TablaVentas[[#This Row],[Ingreso_neto]]-TablaVentas[[#This Row],[Costo_total]])</f>
        <v>8886.5400000000009</v>
      </c>
    </row>
    <row r="297" spans="1:17">
      <c r="A297" t="s">
        <v>383</v>
      </c>
      <c r="B297">
        <v>1</v>
      </c>
      <c r="C297" s="3">
        <v>46132</v>
      </c>
      <c r="D297" t="s">
        <v>384</v>
      </c>
      <c r="E297" t="s">
        <v>68</v>
      </c>
      <c r="F297" t="s">
        <v>66</v>
      </c>
      <c r="G297" t="s">
        <v>40</v>
      </c>
      <c r="H297" t="s">
        <v>102</v>
      </c>
      <c r="I297">
        <v>1</v>
      </c>
      <c r="J297" s="4">
        <v>14410.07</v>
      </c>
      <c r="K297" s="5">
        <v>0</v>
      </c>
      <c r="L297" s="4">
        <v>9243.35</v>
      </c>
      <c r="M297" t="s">
        <v>42</v>
      </c>
      <c r="N297" t="s">
        <v>45</v>
      </c>
      <c r="O297">
        <f>IF(TablaVentas[[#This Row],[Precio_unitario]]="","PENDIENTE",TablaVentas[[#This Row],[Unidades]]*TablaVentas[[#This Row],[Precio_unitario]]*(1-TablaVentas[[#This Row],[Descuento_pct]]))</f>
        <v>14410.07</v>
      </c>
      <c r="P297">
        <f>IF(TablaVentas[[#This Row],[Costo_unitario]]="","PENDIENTE",TablaVentas[[#This Row],[Unidades]]*TablaVentas[[#This Row],[Costo_unitario]])</f>
        <v>9243.35</v>
      </c>
      <c r="Q297">
        <f>IF(OR(TablaVentas[[#This Row],[Ingreso_neto]]="PENDIENTE",TablaVentas[[#This Row],[Costo_total]]="PENDIENTE"),"PENDIENTE",TablaVentas[[#This Row],[Ingreso_neto]]-TablaVentas[[#This Row],[Costo_total]])</f>
        <v>5166.7199999999993</v>
      </c>
    </row>
    <row r="298" spans="1:17">
      <c r="A298" t="s">
        <v>383</v>
      </c>
      <c r="B298">
        <v>2</v>
      </c>
      <c r="C298" s="3">
        <v>46132</v>
      </c>
      <c r="D298" t="s">
        <v>384</v>
      </c>
      <c r="E298" t="s">
        <v>125</v>
      </c>
      <c r="F298" t="s">
        <v>66</v>
      </c>
      <c r="G298" t="s">
        <v>40</v>
      </c>
      <c r="H298" t="s">
        <v>102</v>
      </c>
      <c r="I298">
        <v>2</v>
      </c>
      <c r="J298" s="4">
        <v>1846.81</v>
      </c>
      <c r="K298" s="5">
        <v>0.05</v>
      </c>
      <c r="L298" s="4">
        <v>1044.32</v>
      </c>
      <c r="M298" t="s">
        <v>42</v>
      </c>
      <c r="N298" t="s">
        <v>43</v>
      </c>
      <c r="O298">
        <f>IF(TablaVentas[[#This Row],[Precio_unitario]]="","PENDIENTE",TablaVentas[[#This Row],[Unidades]]*TablaVentas[[#This Row],[Precio_unitario]]*(1-TablaVentas[[#This Row],[Descuento_pct]]))</f>
        <v>3508.9389999999999</v>
      </c>
      <c r="P298">
        <f>IF(TablaVentas[[#This Row],[Costo_unitario]]="","PENDIENTE",TablaVentas[[#This Row],[Unidades]]*TablaVentas[[#This Row],[Costo_unitario]])</f>
        <v>2088.64</v>
      </c>
      <c r="Q298">
        <f>IF(OR(TablaVentas[[#This Row],[Ingreso_neto]]="PENDIENTE",TablaVentas[[#This Row],[Costo_total]]="PENDIENTE"),"PENDIENTE",TablaVentas[[#This Row],[Ingreso_neto]]-TablaVentas[[#This Row],[Costo_total]])</f>
        <v>1420.299</v>
      </c>
    </row>
    <row r="299" spans="1:17">
      <c r="A299" t="s">
        <v>385</v>
      </c>
      <c r="B299">
        <v>1</v>
      </c>
      <c r="C299" s="3">
        <v>46231</v>
      </c>
      <c r="D299" t="s">
        <v>386</v>
      </c>
      <c r="E299" t="s">
        <v>282</v>
      </c>
      <c r="F299" t="s">
        <v>66</v>
      </c>
      <c r="G299" t="s">
        <v>57</v>
      </c>
      <c r="H299" t="s">
        <v>124</v>
      </c>
      <c r="I299">
        <v>1</v>
      </c>
      <c r="J299" s="4">
        <v>3849.26</v>
      </c>
      <c r="K299" s="5">
        <v>0</v>
      </c>
      <c r="L299" s="4">
        <v>3399.5</v>
      </c>
      <c r="M299" t="s">
        <v>42</v>
      </c>
      <c r="N299" t="s">
        <v>45</v>
      </c>
      <c r="O299">
        <f>IF(TablaVentas[[#This Row],[Precio_unitario]]="","PENDIENTE",TablaVentas[[#This Row],[Unidades]]*TablaVentas[[#This Row],[Precio_unitario]]*(1-TablaVentas[[#This Row],[Descuento_pct]]))</f>
        <v>3849.26</v>
      </c>
      <c r="P299">
        <f>IF(TablaVentas[[#This Row],[Costo_unitario]]="","PENDIENTE",TablaVentas[[#This Row],[Unidades]]*TablaVentas[[#This Row],[Costo_unitario]])</f>
        <v>3399.5</v>
      </c>
      <c r="Q299">
        <f>IF(OR(TablaVentas[[#This Row],[Ingreso_neto]]="PENDIENTE",TablaVentas[[#This Row],[Costo_total]]="PENDIENTE"),"PENDIENTE",TablaVentas[[#This Row],[Ingreso_neto]]-TablaVentas[[#This Row],[Costo_total]])</f>
        <v>449.76000000000022</v>
      </c>
    </row>
    <row r="300" spans="1:17">
      <c r="A300" t="s">
        <v>385</v>
      </c>
      <c r="B300">
        <v>2</v>
      </c>
      <c r="C300" s="3">
        <v>46231</v>
      </c>
      <c r="D300" t="s">
        <v>386</v>
      </c>
      <c r="E300" t="s">
        <v>320</v>
      </c>
      <c r="F300" t="s">
        <v>66</v>
      </c>
      <c r="G300" t="s">
        <v>57</v>
      </c>
      <c r="H300" t="s">
        <v>124</v>
      </c>
      <c r="I300">
        <v>2</v>
      </c>
      <c r="J300" s="4">
        <v>4613.95</v>
      </c>
      <c r="K300" s="5">
        <v>0</v>
      </c>
      <c r="L300" s="4">
        <v>3065.66</v>
      </c>
      <c r="M300" t="s">
        <v>42</v>
      </c>
      <c r="N300" t="s">
        <v>45</v>
      </c>
      <c r="O300">
        <f>IF(TablaVentas[[#This Row],[Precio_unitario]]="","PENDIENTE",TablaVentas[[#This Row],[Unidades]]*TablaVentas[[#This Row],[Precio_unitario]]*(1-TablaVentas[[#This Row],[Descuento_pct]]))</f>
        <v>9227.9</v>
      </c>
      <c r="P300">
        <f>IF(TablaVentas[[#This Row],[Costo_unitario]]="","PENDIENTE",TablaVentas[[#This Row],[Unidades]]*TablaVentas[[#This Row],[Costo_unitario]])</f>
        <v>6131.32</v>
      </c>
      <c r="Q300">
        <f>IF(OR(TablaVentas[[#This Row],[Ingreso_neto]]="PENDIENTE",TablaVentas[[#This Row],[Costo_total]]="PENDIENTE"),"PENDIENTE",TablaVentas[[#This Row],[Ingreso_neto]]-TablaVentas[[#This Row],[Costo_total]])</f>
        <v>3096.58</v>
      </c>
    </row>
    <row r="301" spans="1:17">
      <c r="A301" t="s">
        <v>385</v>
      </c>
      <c r="B301">
        <v>3</v>
      </c>
      <c r="C301" s="3">
        <v>46231</v>
      </c>
      <c r="D301" t="s">
        <v>386</v>
      </c>
      <c r="E301" t="s">
        <v>172</v>
      </c>
      <c r="F301" t="s">
        <v>66</v>
      </c>
      <c r="G301" t="s">
        <v>57</v>
      </c>
      <c r="H301" t="s">
        <v>124</v>
      </c>
      <c r="I301">
        <v>3</v>
      </c>
      <c r="J301" s="4">
        <v>15441.22</v>
      </c>
      <c r="K301" s="5">
        <v>0</v>
      </c>
      <c r="L301" s="4">
        <v>10830.17</v>
      </c>
      <c r="M301" t="s">
        <v>116</v>
      </c>
      <c r="N301" t="s">
        <v>45</v>
      </c>
      <c r="O301">
        <f>IF(TablaVentas[[#This Row],[Precio_unitario]]="","PENDIENTE",TablaVentas[[#This Row],[Unidades]]*TablaVentas[[#This Row],[Precio_unitario]]*(1-TablaVentas[[#This Row],[Descuento_pct]]))</f>
        <v>46323.659999999996</v>
      </c>
      <c r="P301">
        <f>IF(TablaVentas[[#This Row],[Costo_unitario]]="","PENDIENTE",TablaVentas[[#This Row],[Unidades]]*TablaVentas[[#This Row],[Costo_unitario]])</f>
        <v>32490.510000000002</v>
      </c>
      <c r="Q301">
        <f>IF(OR(TablaVentas[[#This Row],[Ingreso_neto]]="PENDIENTE",TablaVentas[[#This Row],[Costo_total]]="PENDIENTE"),"PENDIENTE",TablaVentas[[#This Row],[Ingreso_neto]]-TablaVentas[[#This Row],[Costo_total]])</f>
        <v>13833.149999999994</v>
      </c>
    </row>
    <row r="302" spans="1:17">
      <c r="A302" t="s">
        <v>387</v>
      </c>
      <c r="B302">
        <v>1</v>
      </c>
      <c r="C302" s="3">
        <v>46239</v>
      </c>
      <c r="D302" t="s">
        <v>388</v>
      </c>
      <c r="E302" t="s">
        <v>38</v>
      </c>
      <c r="F302" t="s">
        <v>77</v>
      </c>
      <c r="G302" t="s">
        <v>40</v>
      </c>
      <c r="H302" t="s">
        <v>73</v>
      </c>
      <c r="I302">
        <v>2</v>
      </c>
      <c r="J302" s="4">
        <v>5875.75</v>
      </c>
      <c r="K302" s="5">
        <v>0.2</v>
      </c>
      <c r="L302" s="4">
        <v>3832.69</v>
      </c>
      <c r="M302" t="s">
        <v>42</v>
      </c>
      <c r="N302" t="s">
        <v>43</v>
      </c>
      <c r="O302">
        <f>IF(TablaVentas[[#This Row],[Precio_unitario]]="","PENDIENTE",TablaVentas[[#This Row],[Unidades]]*TablaVentas[[#This Row],[Precio_unitario]]*(1-TablaVentas[[#This Row],[Descuento_pct]]))</f>
        <v>9401.2000000000007</v>
      </c>
      <c r="P302">
        <f>IF(TablaVentas[[#This Row],[Costo_unitario]]="","PENDIENTE",TablaVentas[[#This Row],[Unidades]]*TablaVentas[[#This Row],[Costo_unitario]])</f>
        <v>7665.38</v>
      </c>
      <c r="Q302">
        <f>IF(OR(TablaVentas[[#This Row],[Ingreso_neto]]="PENDIENTE",TablaVentas[[#This Row],[Costo_total]]="PENDIENTE"),"PENDIENTE",TablaVentas[[#This Row],[Ingreso_neto]]-TablaVentas[[#This Row],[Costo_total]])</f>
        <v>1735.8200000000006</v>
      </c>
    </row>
    <row r="303" spans="1:17">
      <c r="A303" t="s">
        <v>389</v>
      </c>
      <c r="B303">
        <v>1</v>
      </c>
      <c r="C303" s="3">
        <v>46114</v>
      </c>
      <c r="D303" t="s">
        <v>390</v>
      </c>
      <c r="E303" t="s">
        <v>206</v>
      </c>
      <c r="F303" t="s">
        <v>56</v>
      </c>
      <c r="G303" t="s">
        <v>57</v>
      </c>
      <c r="H303" t="s">
        <v>41</v>
      </c>
      <c r="I303">
        <v>5</v>
      </c>
      <c r="J303" s="4">
        <v>5419.55</v>
      </c>
      <c r="K303" s="5">
        <v>0.15</v>
      </c>
      <c r="L303" s="4">
        <v>4008.77</v>
      </c>
      <c r="M303" t="s">
        <v>42</v>
      </c>
      <c r="N303" t="s">
        <v>43</v>
      </c>
      <c r="O303">
        <f>IF(TablaVentas[[#This Row],[Precio_unitario]]="","PENDIENTE",TablaVentas[[#This Row],[Unidades]]*TablaVentas[[#This Row],[Precio_unitario]]*(1-TablaVentas[[#This Row],[Descuento_pct]]))</f>
        <v>23033.087499999998</v>
      </c>
      <c r="P303">
        <f>IF(TablaVentas[[#This Row],[Costo_unitario]]="","PENDIENTE",TablaVentas[[#This Row],[Unidades]]*TablaVentas[[#This Row],[Costo_unitario]])</f>
        <v>20043.849999999999</v>
      </c>
      <c r="Q303">
        <f>IF(OR(TablaVentas[[#This Row],[Ingreso_neto]]="PENDIENTE",TablaVentas[[#This Row],[Costo_total]]="PENDIENTE"),"PENDIENTE",TablaVentas[[#This Row],[Ingreso_neto]]-TablaVentas[[#This Row],[Costo_total]])</f>
        <v>2989.2374999999993</v>
      </c>
    </row>
    <row r="304" spans="1:17">
      <c r="A304" t="s">
        <v>389</v>
      </c>
      <c r="B304">
        <v>2</v>
      </c>
      <c r="C304" s="3">
        <v>46114</v>
      </c>
      <c r="D304" t="s">
        <v>390</v>
      </c>
      <c r="E304" t="s">
        <v>271</v>
      </c>
      <c r="F304" t="s">
        <v>56</v>
      </c>
      <c r="G304" t="s">
        <v>57</v>
      </c>
      <c r="H304" t="s">
        <v>41</v>
      </c>
      <c r="I304">
        <v>5</v>
      </c>
      <c r="J304" s="4">
        <v>1106.57</v>
      </c>
      <c r="K304" s="5">
        <v>0</v>
      </c>
      <c r="L304" s="4">
        <v>759.03</v>
      </c>
      <c r="M304" t="s">
        <v>42</v>
      </c>
      <c r="N304" t="s">
        <v>43</v>
      </c>
      <c r="O304">
        <f>IF(TablaVentas[[#This Row],[Precio_unitario]]="","PENDIENTE",TablaVentas[[#This Row],[Unidades]]*TablaVentas[[#This Row],[Precio_unitario]]*(1-TablaVentas[[#This Row],[Descuento_pct]]))</f>
        <v>5532.8499999999995</v>
      </c>
      <c r="P304">
        <f>IF(TablaVentas[[#This Row],[Costo_unitario]]="","PENDIENTE",TablaVentas[[#This Row],[Unidades]]*TablaVentas[[#This Row],[Costo_unitario]])</f>
        <v>3795.1499999999996</v>
      </c>
      <c r="Q304">
        <f>IF(OR(TablaVentas[[#This Row],[Ingreso_neto]]="PENDIENTE",TablaVentas[[#This Row],[Costo_total]]="PENDIENTE"),"PENDIENTE",TablaVentas[[#This Row],[Ingreso_neto]]-TablaVentas[[#This Row],[Costo_total]])</f>
        <v>1737.6999999999998</v>
      </c>
    </row>
    <row r="305" spans="1:17">
      <c r="A305" t="s">
        <v>391</v>
      </c>
      <c r="B305">
        <v>1</v>
      </c>
      <c r="C305" s="3">
        <v>46169</v>
      </c>
      <c r="D305" t="s">
        <v>392</v>
      </c>
      <c r="E305" t="s">
        <v>167</v>
      </c>
      <c r="F305" t="s">
        <v>66</v>
      </c>
      <c r="G305" t="s">
        <v>50</v>
      </c>
      <c r="H305" t="s">
        <v>129</v>
      </c>
      <c r="I305">
        <v>3</v>
      </c>
      <c r="J305" s="4">
        <v>16589.04</v>
      </c>
      <c r="K305" s="5">
        <v>0</v>
      </c>
      <c r="L305" s="4">
        <v>8704.4</v>
      </c>
      <c r="M305" t="s">
        <v>42</v>
      </c>
      <c r="N305" t="s">
        <v>52</v>
      </c>
      <c r="O305">
        <f>IF(TablaVentas[[#This Row],[Precio_unitario]]="","PENDIENTE",TablaVentas[[#This Row],[Unidades]]*TablaVentas[[#This Row],[Precio_unitario]]*(1-TablaVentas[[#This Row],[Descuento_pct]]))</f>
        <v>49767.12</v>
      </c>
      <c r="P305">
        <f>IF(TablaVentas[[#This Row],[Costo_unitario]]="","PENDIENTE",TablaVentas[[#This Row],[Unidades]]*TablaVentas[[#This Row],[Costo_unitario]])</f>
        <v>26113.199999999997</v>
      </c>
      <c r="Q305">
        <f>IF(OR(TablaVentas[[#This Row],[Ingreso_neto]]="PENDIENTE",TablaVentas[[#This Row],[Costo_total]]="PENDIENTE"),"PENDIENTE",TablaVentas[[#This Row],[Ingreso_neto]]-TablaVentas[[#This Row],[Costo_total]])</f>
        <v>23653.920000000006</v>
      </c>
    </row>
    <row r="306" spans="1:17">
      <c r="A306" t="s">
        <v>393</v>
      </c>
      <c r="B306">
        <v>1</v>
      </c>
      <c r="C306" s="3">
        <v>46105</v>
      </c>
      <c r="D306" t="s">
        <v>394</v>
      </c>
      <c r="E306" t="s">
        <v>206</v>
      </c>
      <c r="F306" t="s">
        <v>56</v>
      </c>
      <c r="G306" t="s">
        <v>40</v>
      </c>
      <c r="H306" t="s">
        <v>67</v>
      </c>
      <c r="I306">
        <v>3</v>
      </c>
      <c r="J306" s="4">
        <v>5573.2</v>
      </c>
      <c r="K306" s="5">
        <v>0</v>
      </c>
      <c r="L306" s="4">
        <v>4008.77</v>
      </c>
      <c r="M306" t="s">
        <v>42</v>
      </c>
      <c r="N306" t="s">
        <v>52</v>
      </c>
      <c r="O306">
        <f>IF(TablaVentas[[#This Row],[Precio_unitario]]="","PENDIENTE",TablaVentas[[#This Row],[Unidades]]*TablaVentas[[#This Row],[Precio_unitario]]*(1-TablaVentas[[#This Row],[Descuento_pct]]))</f>
        <v>16719.599999999999</v>
      </c>
      <c r="P306">
        <f>IF(TablaVentas[[#This Row],[Costo_unitario]]="","PENDIENTE",TablaVentas[[#This Row],[Unidades]]*TablaVentas[[#This Row],[Costo_unitario]])</f>
        <v>12026.31</v>
      </c>
      <c r="Q306">
        <f>IF(OR(TablaVentas[[#This Row],[Ingreso_neto]]="PENDIENTE",TablaVentas[[#This Row],[Costo_total]]="PENDIENTE"),"PENDIENTE",TablaVentas[[#This Row],[Ingreso_neto]]-TablaVentas[[#This Row],[Costo_total]])</f>
        <v>4693.2899999999991</v>
      </c>
    </row>
    <row r="307" spans="1:17">
      <c r="A307" t="s">
        <v>395</v>
      </c>
      <c r="B307">
        <v>1</v>
      </c>
      <c r="C307" s="3">
        <v>46122</v>
      </c>
      <c r="D307" t="s">
        <v>396</v>
      </c>
      <c r="E307" t="s">
        <v>128</v>
      </c>
      <c r="F307" t="s">
        <v>39</v>
      </c>
      <c r="G307" t="s">
        <v>57</v>
      </c>
      <c r="H307" t="s">
        <v>82</v>
      </c>
      <c r="I307">
        <v>3</v>
      </c>
      <c r="J307" s="4">
        <v>1452.05</v>
      </c>
      <c r="K307" s="5">
        <v>0.1</v>
      </c>
      <c r="L307" s="4">
        <v>900.08</v>
      </c>
      <c r="M307" t="s">
        <v>42</v>
      </c>
      <c r="N307" t="s">
        <v>60</v>
      </c>
      <c r="O307">
        <f>IF(TablaVentas[[#This Row],[Precio_unitario]]="","PENDIENTE",TablaVentas[[#This Row],[Unidades]]*TablaVentas[[#This Row],[Precio_unitario]]*(1-TablaVentas[[#This Row],[Descuento_pct]]))</f>
        <v>3920.5349999999999</v>
      </c>
      <c r="P307">
        <f>IF(TablaVentas[[#This Row],[Costo_unitario]]="","PENDIENTE",TablaVentas[[#This Row],[Unidades]]*TablaVentas[[#This Row],[Costo_unitario]])</f>
        <v>2700.2400000000002</v>
      </c>
      <c r="Q307">
        <f>IF(OR(TablaVentas[[#This Row],[Ingreso_neto]]="PENDIENTE",TablaVentas[[#This Row],[Costo_total]]="PENDIENTE"),"PENDIENTE",TablaVentas[[#This Row],[Ingreso_neto]]-TablaVentas[[#This Row],[Costo_total]])</f>
        <v>1220.2949999999996</v>
      </c>
    </row>
    <row r="308" spans="1:17">
      <c r="A308" t="s">
        <v>395</v>
      </c>
      <c r="B308">
        <v>2</v>
      </c>
      <c r="C308" s="3">
        <v>46122</v>
      </c>
      <c r="D308" t="s">
        <v>396</v>
      </c>
      <c r="E308" t="s">
        <v>218</v>
      </c>
      <c r="F308" t="s">
        <v>39</v>
      </c>
      <c r="G308" t="s">
        <v>57</v>
      </c>
      <c r="H308" t="s">
        <v>82</v>
      </c>
      <c r="I308">
        <v>3</v>
      </c>
      <c r="J308" s="4">
        <v>4233.87</v>
      </c>
      <c r="K308" s="5">
        <v>0.1</v>
      </c>
      <c r="L308" s="4">
        <v>2833.97</v>
      </c>
      <c r="M308" t="s">
        <v>42</v>
      </c>
      <c r="N308" t="s">
        <v>52</v>
      </c>
      <c r="O308">
        <f>IF(TablaVentas[[#This Row],[Precio_unitario]]="","PENDIENTE",TablaVentas[[#This Row],[Unidades]]*TablaVentas[[#This Row],[Precio_unitario]]*(1-TablaVentas[[#This Row],[Descuento_pct]]))</f>
        <v>11431.449000000001</v>
      </c>
      <c r="P308">
        <f>IF(TablaVentas[[#This Row],[Costo_unitario]]="","PENDIENTE",TablaVentas[[#This Row],[Unidades]]*TablaVentas[[#This Row],[Costo_unitario]])</f>
        <v>8501.91</v>
      </c>
      <c r="Q308">
        <f>IF(OR(TablaVentas[[#This Row],[Ingreso_neto]]="PENDIENTE",TablaVentas[[#This Row],[Costo_total]]="PENDIENTE"),"PENDIENTE",TablaVentas[[#This Row],[Ingreso_neto]]-TablaVentas[[#This Row],[Costo_total]])</f>
        <v>2929.5390000000007</v>
      </c>
    </row>
    <row r="309" spans="1:17">
      <c r="A309" t="s">
        <v>395</v>
      </c>
      <c r="B309">
        <v>3</v>
      </c>
      <c r="C309" s="3">
        <v>46122</v>
      </c>
      <c r="D309" t="s">
        <v>396</v>
      </c>
      <c r="E309" t="s">
        <v>172</v>
      </c>
      <c r="F309" t="s">
        <v>39</v>
      </c>
      <c r="G309" t="s">
        <v>57</v>
      </c>
      <c r="H309" t="s">
        <v>82</v>
      </c>
      <c r="I309">
        <v>3</v>
      </c>
      <c r="J309" s="4">
        <v>17622.22</v>
      </c>
      <c r="K309" s="5">
        <v>0.15</v>
      </c>
      <c r="L309" s="4">
        <v>10830.17</v>
      </c>
      <c r="M309" t="s">
        <v>42</v>
      </c>
      <c r="N309" t="s">
        <v>60</v>
      </c>
      <c r="O309">
        <f>IF(TablaVentas[[#This Row],[Precio_unitario]]="","PENDIENTE",TablaVentas[[#This Row],[Unidades]]*TablaVentas[[#This Row],[Precio_unitario]]*(1-TablaVentas[[#This Row],[Descuento_pct]]))</f>
        <v>44936.661</v>
      </c>
      <c r="P309">
        <f>IF(TablaVentas[[#This Row],[Costo_unitario]]="","PENDIENTE",TablaVentas[[#This Row],[Unidades]]*TablaVentas[[#This Row],[Costo_unitario]])</f>
        <v>32490.510000000002</v>
      </c>
      <c r="Q309">
        <f>IF(OR(TablaVentas[[#This Row],[Ingreso_neto]]="PENDIENTE",TablaVentas[[#This Row],[Costo_total]]="PENDIENTE"),"PENDIENTE",TablaVentas[[#This Row],[Ingreso_neto]]-TablaVentas[[#This Row],[Costo_total]])</f>
        <v>12446.150999999998</v>
      </c>
    </row>
    <row r="310" spans="1:17">
      <c r="A310" t="s">
        <v>395</v>
      </c>
      <c r="B310">
        <v>4</v>
      </c>
      <c r="C310" s="3">
        <v>46122</v>
      </c>
      <c r="D310" t="s">
        <v>396</v>
      </c>
      <c r="E310" t="s">
        <v>397</v>
      </c>
      <c r="F310" t="s">
        <v>39</v>
      </c>
      <c r="G310" t="s">
        <v>57</v>
      </c>
      <c r="H310" t="s">
        <v>82</v>
      </c>
      <c r="I310">
        <v>4</v>
      </c>
      <c r="J310" s="4">
        <v>5936.71</v>
      </c>
      <c r="K310" s="5">
        <v>0.2</v>
      </c>
      <c r="L310" s="4">
        <v>3640.56</v>
      </c>
      <c r="M310" t="s">
        <v>42</v>
      </c>
      <c r="N310" t="s">
        <v>43</v>
      </c>
      <c r="O310">
        <f>IF(TablaVentas[[#This Row],[Precio_unitario]]="","PENDIENTE",TablaVentas[[#This Row],[Unidades]]*TablaVentas[[#This Row],[Precio_unitario]]*(1-TablaVentas[[#This Row],[Descuento_pct]]))</f>
        <v>18997.472000000002</v>
      </c>
      <c r="P310">
        <f>IF(TablaVentas[[#This Row],[Costo_unitario]]="","PENDIENTE",TablaVentas[[#This Row],[Unidades]]*TablaVentas[[#This Row],[Costo_unitario]])</f>
        <v>14562.24</v>
      </c>
      <c r="Q310">
        <f>IF(OR(TablaVentas[[#This Row],[Ingreso_neto]]="PENDIENTE",TablaVentas[[#This Row],[Costo_total]]="PENDIENTE"),"PENDIENTE",TablaVentas[[#This Row],[Ingreso_neto]]-TablaVentas[[#This Row],[Costo_total]])</f>
        <v>4435.2320000000018</v>
      </c>
    </row>
    <row r="311" spans="1:17">
      <c r="A311" t="s">
        <v>395</v>
      </c>
      <c r="B311">
        <v>5</v>
      </c>
      <c r="C311" s="3">
        <v>46122</v>
      </c>
      <c r="D311" t="s">
        <v>396</v>
      </c>
      <c r="E311" t="s">
        <v>277</v>
      </c>
      <c r="F311" t="s">
        <v>39</v>
      </c>
      <c r="G311" t="s">
        <v>57</v>
      </c>
      <c r="H311" t="s">
        <v>82</v>
      </c>
      <c r="I311">
        <v>1</v>
      </c>
      <c r="J311" s="4">
        <v>6011.86</v>
      </c>
      <c r="K311" s="5">
        <v>0.05</v>
      </c>
      <c r="L311" s="4">
        <v>4858.08</v>
      </c>
      <c r="M311" t="s">
        <v>42</v>
      </c>
      <c r="N311" t="s">
        <v>60</v>
      </c>
      <c r="O311">
        <f>IF(TablaVentas[[#This Row],[Precio_unitario]]="","PENDIENTE",TablaVentas[[#This Row],[Unidades]]*TablaVentas[[#This Row],[Precio_unitario]]*(1-TablaVentas[[#This Row],[Descuento_pct]]))</f>
        <v>5711.2669999999998</v>
      </c>
      <c r="P311">
        <f>IF(TablaVentas[[#This Row],[Costo_unitario]]="","PENDIENTE",TablaVentas[[#This Row],[Unidades]]*TablaVentas[[#This Row],[Costo_unitario]])</f>
        <v>4858.08</v>
      </c>
      <c r="Q311">
        <f>IF(OR(TablaVentas[[#This Row],[Ingreso_neto]]="PENDIENTE",TablaVentas[[#This Row],[Costo_total]]="PENDIENTE"),"PENDIENTE",TablaVentas[[#This Row],[Ingreso_neto]]-TablaVentas[[#This Row],[Costo_total]])</f>
        <v>853.1869999999999</v>
      </c>
    </row>
    <row r="312" spans="1:17">
      <c r="A312" t="s">
        <v>398</v>
      </c>
      <c r="B312">
        <v>1</v>
      </c>
      <c r="C312" s="3">
        <v>46077</v>
      </c>
      <c r="D312" t="s">
        <v>238</v>
      </c>
      <c r="E312" t="s">
        <v>164</v>
      </c>
      <c r="F312" t="s">
        <v>39</v>
      </c>
      <c r="G312" t="s">
        <v>40</v>
      </c>
      <c r="H312" t="s">
        <v>51</v>
      </c>
      <c r="I312">
        <v>2</v>
      </c>
      <c r="J312" s="4">
        <v>5791.05</v>
      </c>
      <c r="K312" s="5">
        <v>0</v>
      </c>
      <c r="L312" s="4">
        <v>5050.04</v>
      </c>
      <c r="M312" t="s">
        <v>42</v>
      </c>
      <c r="N312" t="s">
        <v>43</v>
      </c>
      <c r="O312">
        <f>IF(TablaVentas[[#This Row],[Precio_unitario]]="","PENDIENTE",TablaVentas[[#This Row],[Unidades]]*TablaVentas[[#This Row],[Precio_unitario]]*(1-TablaVentas[[#This Row],[Descuento_pct]]))</f>
        <v>11582.1</v>
      </c>
      <c r="P312">
        <f>IF(TablaVentas[[#This Row],[Costo_unitario]]="","PENDIENTE",TablaVentas[[#This Row],[Unidades]]*TablaVentas[[#This Row],[Costo_unitario]])</f>
        <v>10100.08</v>
      </c>
      <c r="Q312">
        <f>IF(OR(TablaVentas[[#This Row],[Ingreso_neto]]="PENDIENTE",TablaVentas[[#This Row],[Costo_total]]="PENDIENTE"),"PENDIENTE",TablaVentas[[#This Row],[Ingreso_neto]]-TablaVentas[[#This Row],[Costo_total]])</f>
        <v>1482.0200000000004</v>
      </c>
    </row>
    <row r="313" spans="1:17">
      <c r="A313" t="s">
        <v>398</v>
      </c>
      <c r="B313">
        <v>2</v>
      </c>
      <c r="C313" s="3">
        <v>46077</v>
      </c>
      <c r="D313" t="s">
        <v>238</v>
      </c>
      <c r="E313" t="s">
        <v>245</v>
      </c>
      <c r="F313" t="s">
        <v>39</v>
      </c>
      <c r="G313" t="s">
        <v>40</v>
      </c>
      <c r="H313" t="s">
        <v>51</v>
      </c>
      <c r="I313">
        <v>1</v>
      </c>
      <c r="J313" s="4">
        <v>19496.75</v>
      </c>
      <c r="K313" s="5">
        <v>0.1</v>
      </c>
      <c r="L313" s="4">
        <v>10507.24</v>
      </c>
      <c r="M313" t="s">
        <v>42</v>
      </c>
      <c r="N313" t="s">
        <v>43</v>
      </c>
      <c r="O313">
        <f>IF(TablaVentas[[#This Row],[Precio_unitario]]="","PENDIENTE",TablaVentas[[#This Row],[Unidades]]*TablaVentas[[#This Row],[Precio_unitario]]*(1-TablaVentas[[#This Row],[Descuento_pct]]))</f>
        <v>17547.075000000001</v>
      </c>
      <c r="P313">
        <f>IF(TablaVentas[[#This Row],[Costo_unitario]]="","PENDIENTE",TablaVentas[[#This Row],[Unidades]]*TablaVentas[[#This Row],[Costo_unitario]])</f>
        <v>10507.24</v>
      </c>
      <c r="Q313">
        <f>IF(OR(TablaVentas[[#This Row],[Ingreso_neto]]="PENDIENTE",TablaVentas[[#This Row],[Costo_total]]="PENDIENTE"),"PENDIENTE",TablaVentas[[#This Row],[Ingreso_neto]]-TablaVentas[[#This Row],[Costo_total]])</f>
        <v>7039.8350000000009</v>
      </c>
    </row>
    <row r="314" spans="1:17">
      <c r="A314" t="s">
        <v>398</v>
      </c>
      <c r="B314">
        <v>3</v>
      </c>
      <c r="C314" s="3">
        <v>46077</v>
      </c>
      <c r="D314" t="s">
        <v>238</v>
      </c>
      <c r="E314" t="s">
        <v>55</v>
      </c>
      <c r="F314" t="s">
        <v>39</v>
      </c>
      <c r="G314" t="s">
        <v>40</v>
      </c>
      <c r="H314" t="s">
        <v>51</v>
      </c>
      <c r="I314">
        <v>5</v>
      </c>
      <c r="J314" s="4">
        <v>11720.86</v>
      </c>
      <c r="K314" s="5">
        <v>0.05</v>
      </c>
      <c r="L314" s="4">
        <v>6407.85</v>
      </c>
      <c r="M314" t="s">
        <v>42</v>
      </c>
      <c r="N314" t="s">
        <v>45</v>
      </c>
      <c r="O314">
        <f>IF(TablaVentas[[#This Row],[Precio_unitario]]="","PENDIENTE",TablaVentas[[#This Row],[Unidades]]*TablaVentas[[#This Row],[Precio_unitario]]*(1-TablaVentas[[#This Row],[Descuento_pct]]))</f>
        <v>55674.084999999999</v>
      </c>
      <c r="P314">
        <f>IF(TablaVentas[[#This Row],[Costo_unitario]]="","PENDIENTE",TablaVentas[[#This Row],[Unidades]]*TablaVentas[[#This Row],[Costo_unitario]])</f>
        <v>32039.25</v>
      </c>
      <c r="Q314">
        <f>IF(OR(TablaVentas[[#This Row],[Ingreso_neto]]="PENDIENTE",TablaVentas[[#This Row],[Costo_total]]="PENDIENTE"),"PENDIENTE",TablaVentas[[#This Row],[Ingreso_neto]]-TablaVentas[[#This Row],[Costo_total]])</f>
        <v>23634.834999999999</v>
      </c>
    </row>
    <row r="315" spans="1:17">
      <c r="A315" t="s">
        <v>399</v>
      </c>
      <c r="B315">
        <v>1</v>
      </c>
      <c r="C315" s="3">
        <v>46160</v>
      </c>
      <c r="D315" t="s">
        <v>400</v>
      </c>
      <c r="E315" t="s">
        <v>135</v>
      </c>
      <c r="F315" t="s">
        <v>39</v>
      </c>
      <c r="G315" t="s">
        <v>40</v>
      </c>
      <c r="H315" t="s">
        <v>82</v>
      </c>
      <c r="I315">
        <v>1</v>
      </c>
      <c r="J315" s="4">
        <v>2098.89</v>
      </c>
      <c r="K315" s="5">
        <v>0.2</v>
      </c>
      <c r="L315" s="4">
        <v>1529.93</v>
      </c>
      <c r="M315" t="s">
        <v>42</v>
      </c>
      <c r="N315" t="s">
        <v>52</v>
      </c>
      <c r="O315">
        <f>IF(TablaVentas[[#This Row],[Precio_unitario]]="","PENDIENTE",TablaVentas[[#This Row],[Unidades]]*TablaVentas[[#This Row],[Precio_unitario]]*(1-TablaVentas[[#This Row],[Descuento_pct]]))</f>
        <v>1679.1120000000001</v>
      </c>
      <c r="P315">
        <f>IF(TablaVentas[[#This Row],[Costo_unitario]]="","PENDIENTE",TablaVentas[[#This Row],[Unidades]]*TablaVentas[[#This Row],[Costo_unitario]])</f>
        <v>1529.93</v>
      </c>
      <c r="Q315">
        <f>IF(OR(TablaVentas[[#This Row],[Ingreso_neto]]="PENDIENTE",TablaVentas[[#This Row],[Costo_total]]="PENDIENTE"),"PENDIENTE",TablaVentas[[#This Row],[Ingreso_neto]]-TablaVentas[[#This Row],[Costo_total]])</f>
        <v>149.18200000000002</v>
      </c>
    </row>
    <row r="316" spans="1:17">
      <c r="A316" t="s">
        <v>399</v>
      </c>
      <c r="B316">
        <v>2</v>
      </c>
      <c r="C316" s="3">
        <v>46160</v>
      </c>
      <c r="D316" t="s">
        <v>400</v>
      </c>
      <c r="E316" t="s">
        <v>68</v>
      </c>
      <c r="F316" t="s">
        <v>39</v>
      </c>
      <c r="G316" t="s">
        <v>40</v>
      </c>
      <c r="H316" t="s">
        <v>82</v>
      </c>
      <c r="I316">
        <v>1</v>
      </c>
      <c r="J316" s="4">
        <v>15979.53</v>
      </c>
      <c r="K316" s="5">
        <v>0</v>
      </c>
      <c r="L316" s="4">
        <v>9243.35</v>
      </c>
      <c r="M316" t="s">
        <v>116</v>
      </c>
      <c r="N316" t="s">
        <v>60</v>
      </c>
      <c r="O316">
        <f>IF(TablaVentas[[#This Row],[Precio_unitario]]="","PENDIENTE",TablaVentas[[#This Row],[Unidades]]*TablaVentas[[#This Row],[Precio_unitario]]*(1-TablaVentas[[#This Row],[Descuento_pct]]))</f>
        <v>15979.53</v>
      </c>
      <c r="P316">
        <f>IF(TablaVentas[[#This Row],[Costo_unitario]]="","PENDIENTE",TablaVentas[[#This Row],[Unidades]]*TablaVentas[[#This Row],[Costo_unitario]])</f>
        <v>9243.35</v>
      </c>
      <c r="Q316">
        <f>IF(OR(TablaVentas[[#This Row],[Ingreso_neto]]="PENDIENTE",TablaVentas[[#This Row],[Costo_total]]="PENDIENTE"),"PENDIENTE",TablaVentas[[#This Row],[Ingreso_neto]]-TablaVentas[[#This Row],[Costo_total]])</f>
        <v>6736.18</v>
      </c>
    </row>
    <row r="317" spans="1:17">
      <c r="A317" t="s">
        <v>401</v>
      </c>
      <c r="B317">
        <v>1</v>
      </c>
      <c r="C317" s="3">
        <v>46180</v>
      </c>
      <c r="D317" t="s">
        <v>402</v>
      </c>
      <c r="E317" t="s">
        <v>159</v>
      </c>
      <c r="F317" t="s">
        <v>39</v>
      </c>
      <c r="G317" t="s">
        <v>40</v>
      </c>
      <c r="H317" t="s">
        <v>124</v>
      </c>
      <c r="I317">
        <v>2</v>
      </c>
      <c r="J317" s="4">
        <v>11975.29</v>
      </c>
      <c r="K317" s="5">
        <v>0</v>
      </c>
      <c r="L317" s="4">
        <v>9317.3700000000008</v>
      </c>
      <c r="M317" t="s">
        <v>42</v>
      </c>
      <c r="N317" t="s">
        <v>52</v>
      </c>
      <c r="O317">
        <f>IF(TablaVentas[[#This Row],[Precio_unitario]]="","PENDIENTE",TablaVentas[[#This Row],[Unidades]]*TablaVentas[[#This Row],[Precio_unitario]]*(1-TablaVentas[[#This Row],[Descuento_pct]]))</f>
        <v>23950.58</v>
      </c>
      <c r="P317">
        <f>IF(TablaVentas[[#This Row],[Costo_unitario]]="","PENDIENTE",TablaVentas[[#This Row],[Unidades]]*TablaVentas[[#This Row],[Costo_unitario]])</f>
        <v>18634.740000000002</v>
      </c>
      <c r="Q317">
        <f>IF(OR(TablaVentas[[#This Row],[Ingreso_neto]]="PENDIENTE",TablaVentas[[#This Row],[Costo_total]]="PENDIENTE"),"PENDIENTE",TablaVentas[[#This Row],[Ingreso_neto]]-TablaVentas[[#This Row],[Costo_total]])</f>
        <v>5315.84</v>
      </c>
    </row>
    <row r="318" spans="1:17">
      <c r="A318" t="s">
        <v>401</v>
      </c>
      <c r="B318">
        <v>2</v>
      </c>
      <c r="C318" s="3">
        <v>46180</v>
      </c>
      <c r="D318" t="s">
        <v>402</v>
      </c>
      <c r="E318" t="s">
        <v>203</v>
      </c>
      <c r="F318" t="s">
        <v>39</v>
      </c>
      <c r="G318" t="s">
        <v>40</v>
      </c>
      <c r="H318" t="s">
        <v>124</v>
      </c>
      <c r="I318">
        <v>2</v>
      </c>
      <c r="J318" s="4">
        <v>1873</v>
      </c>
      <c r="K318" s="5">
        <v>0</v>
      </c>
      <c r="L318" s="4">
        <v>1252.8399999999999</v>
      </c>
      <c r="M318" t="s">
        <v>42</v>
      </c>
      <c r="N318" t="s">
        <v>52</v>
      </c>
      <c r="O318">
        <f>IF(TablaVentas[[#This Row],[Precio_unitario]]="","PENDIENTE",TablaVentas[[#This Row],[Unidades]]*TablaVentas[[#This Row],[Precio_unitario]]*(1-TablaVentas[[#This Row],[Descuento_pct]]))</f>
        <v>3746</v>
      </c>
      <c r="P318">
        <f>IF(TablaVentas[[#This Row],[Costo_unitario]]="","PENDIENTE",TablaVentas[[#This Row],[Unidades]]*TablaVentas[[#This Row],[Costo_unitario]])</f>
        <v>2505.6799999999998</v>
      </c>
      <c r="Q318">
        <f>IF(OR(TablaVentas[[#This Row],[Ingreso_neto]]="PENDIENTE",TablaVentas[[#This Row],[Costo_total]]="PENDIENTE"),"PENDIENTE",TablaVentas[[#This Row],[Ingreso_neto]]-TablaVentas[[#This Row],[Costo_total]])</f>
        <v>1240.3200000000002</v>
      </c>
    </row>
    <row r="319" spans="1:17">
      <c r="A319" t="s">
        <v>401</v>
      </c>
      <c r="B319">
        <v>3</v>
      </c>
      <c r="C319" s="3">
        <v>46180</v>
      </c>
      <c r="D319" t="s">
        <v>402</v>
      </c>
      <c r="E319" t="s">
        <v>185</v>
      </c>
      <c r="F319" t="s">
        <v>39</v>
      </c>
      <c r="G319" t="s">
        <v>40</v>
      </c>
      <c r="H319" t="s">
        <v>124</v>
      </c>
      <c r="I319">
        <v>12</v>
      </c>
      <c r="J319" s="4">
        <v>18159.57</v>
      </c>
      <c r="K319" s="5">
        <v>0</v>
      </c>
      <c r="L319" s="4">
        <v>11904.09</v>
      </c>
      <c r="M319" t="s">
        <v>42</v>
      </c>
      <c r="N319" t="s">
        <v>45</v>
      </c>
      <c r="O319">
        <f>IF(TablaVentas[[#This Row],[Precio_unitario]]="","PENDIENTE",TablaVentas[[#This Row],[Unidades]]*TablaVentas[[#This Row],[Precio_unitario]]*(1-TablaVentas[[#This Row],[Descuento_pct]]))</f>
        <v>217914.84</v>
      </c>
      <c r="P319">
        <f>IF(TablaVentas[[#This Row],[Costo_unitario]]="","PENDIENTE",TablaVentas[[#This Row],[Unidades]]*TablaVentas[[#This Row],[Costo_unitario]])</f>
        <v>142849.08000000002</v>
      </c>
      <c r="Q319">
        <f>IF(OR(TablaVentas[[#This Row],[Ingreso_neto]]="PENDIENTE",TablaVentas[[#This Row],[Costo_total]]="PENDIENTE"),"PENDIENTE",TablaVentas[[#This Row],[Ingreso_neto]]-TablaVentas[[#This Row],[Costo_total]])</f>
        <v>75065.75999999998</v>
      </c>
    </row>
    <row r="320" spans="1:17">
      <c r="A320" t="s">
        <v>401</v>
      </c>
      <c r="B320">
        <v>4</v>
      </c>
      <c r="C320" s="3">
        <v>46180</v>
      </c>
      <c r="D320" t="s">
        <v>402</v>
      </c>
      <c r="E320" t="s">
        <v>103</v>
      </c>
      <c r="F320" t="s">
        <v>39</v>
      </c>
      <c r="G320" t="s">
        <v>40</v>
      </c>
      <c r="H320" t="s">
        <v>124</v>
      </c>
      <c r="I320">
        <v>3</v>
      </c>
      <c r="J320" s="4">
        <v>13403.2</v>
      </c>
      <c r="K320" s="5">
        <v>0.05</v>
      </c>
      <c r="L320" s="4">
        <v>7549.71</v>
      </c>
      <c r="M320" t="s">
        <v>62</v>
      </c>
      <c r="N320" t="s">
        <v>60</v>
      </c>
      <c r="O320">
        <f>IF(TablaVentas[[#This Row],[Precio_unitario]]="","PENDIENTE",TablaVentas[[#This Row],[Unidades]]*TablaVentas[[#This Row],[Precio_unitario]]*(1-TablaVentas[[#This Row],[Descuento_pct]]))</f>
        <v>38199.120000000003</v>
      </c>
      <c r="P320">
        <f>IF(TablaVentas[[#This Row],[Costo_unitario]]="","PENDIENTE",TablaVentas[[#This Row],[Unidades]]*TablaVentas[[#This Row],[Costo_unitario]])</f>
        <v>22649.13</v>
      </c>
      <c r="Q320">
        <f>IF(OR(TablaVentas[[#This Row],[Ingreso_neto]]="PENDIENTE",TablaVentas[[#This Row],[Costo_total]]="PENDIENTE"),"PENDIENTE",TablaVentas[[#This Row],[Ingreso_neto]]-TablaVentas[[#This Row],[Costo_total]])</f>
        <v>15549.990000000002</v>
      </c>
    </row>
    <row r="321" spans="1:18">
      <c r="A321" t="s">
        <v>401</v>
      </c>
      <c r="B321">
        <v>5</v>
      </c>
      <c r="C321" s="3">
        <v>46180</v>
      </c>
      <c r="D321" t="s">
        <v>402</v>
      </c>
      <c r="E321" t="s">
        <v>403</v>
      </c>
      <c r="F321" t="s">
        <v>39</v>
      </c>
      <c r="G321" t="s">
        <v>40</v>
      </c>
      <c r="H321" t="s">
        <v>124</v>
      </c>
      <c r="I321">
        <v>3</v>
      </c>
      <c r="J321" s="4">
        <v>2753.26</v>
      </c>
      <c r="K321" s="5">
        <v>0</v>
      </c>
      <c r="L321" s="4">
        <v>1801.83</v>
      </c>
      <c r="M321" t="s">
        <v>42</v>
      </c>
      <c r="N321" t="s">
        <v>60</v>
      </c>
      <c r="O321">
        <f>IF(TablaVentas[[#This Row],[Precio_unitario]]="","PENDIENTE",TablaVentas[[#This Row],[Unidades]]*TablaVentas[[#This Row],[Precio_unitario]]*(1-TablaVentas[[#This Row],[Descuento_pct]]))</f>
        <v>8259.7800000000007</v>
      </c>
      <c r="P321">
        <f>IF(TablaVentas[[#This Row],[Costo_unitario]]="","PENDIENTE",TablaVentas[[#This Row],[Unidades]]*TablaVentas[[#This Row],[Costo_unitario]])</f>
        <v>5405.49</v>
      </c>
      <c r="Q321">
        <f>IF(OR(TablaVentas[[#This Row],[Ingreso_neto]]="PENDIENTE",TablaVentas[[#This Row],[Costo_total]]="PENDIENTE"),"PENDIENTE",TablaVentas[[#This Row],[Ingreso_neto]]-TablaVentas[[#This Row],[Costo_total]])</f>
        <v>2854.2900000000009</v>
      </c>
    </row>
    <row r="322" spans="1:18">
      <c r="A322" t="s">
        <v>404</v>
      </c>
      <c r="B322">
        <v>1</v>
      </c>
      <c r="C322" s="3">
        <v>46253</v>
      </c>
      <c r="D322" t="s">
        <v>244</v>
      </c>
      <c r="E322" t="s">
        <v>38</v>
      </c>
      <c r="F322" t="s">
        <v>77</v>
      </c>
      <c r="G322" t="s">
        <v>57</v>
      </c>
      <c r="H322" t="s">
        <v>184</v>
      </c>
      <c r="I322">
        <v>5</v>
      </c>
      <c r="J322" s="4">
        <v>5782.53</v>
      </c>
      <c r="K322" s="5">
        <v>0.05</v>
      </c>
      <c r="L322" s="4">
        <v>3832.69</v>
      </c>
      <c r="M322" t="s">
        <v>42</v>
      </c>
      <c r="N322" t="s">
        <v>45</v>
      </c>
      <c r="O322">
        <f>IF(TablaVentas[[#This Row],[Precio_unitario]]="","PENDIENTE",TablaVentas[[#This Row],[Unidades]]*TablaVentas[[#This Row],[Precio_unitario]]*(1-TablaVentas[[#This Row],[Descuento_pct]]))</f>
        <v>27467.017499999998</v>
      </c>
      <c r="P322">
        <f>IF(TablaVentas[[#This Row],[Costo_unitario]]="","PENDIENTE",TablaVentas[[#This Row],[Unidades]]*TablaVentas[[#This Row],[Costo_unitario]])</f>
        <v>19163.45</v>
      </c>
      <c r="Q322">
        <f>IF(OR(TablaVentas[[#This Row],[Ingreso_neto]]="PENDIENTE",TablaVentas[[#This Row],[Costo_total]]="PENDIENTE"),"PENDIENTE",TablaVentas[[#This Row],[Ingreso_neto]]-TablaVentas[[#This Row],[Costo_total]])</f>
        <v>8303.5674999999974</v>
      </c>
    </row>
    <row r="323" spans="1:18">
      <c r="A323" t="s">
        <v>404</v>
      </c>
      <c r="B323">
        <v>1</v>
      </c>
      <c r="C323" s="3">
        <v>46253</v>
      </c>
      <c r="D323" t="s">
        <v>244</v>
      </c>
      <c r="E323" t="s">
        <v>38</v>
      </c>
      <c r="F323" t="s">
        <v>77</v>
      </c>
      <c r="G323" t="s">
        <v>57</v>
      </c>
      <c r="H323" t="s">
        <v>184</v>
      </c>
      <c r="I323">
        <v>5</v>
      </c>
      <c r="J323" s="4">
        <v>5782.53</v>
      </c>
      <c r="K323" s="5">
        <v>0.05</v>
      </c>
      <c r="L323" s="4">
        <v>3832.69</v>
      </c>
      <c r="M323" t="s">
        <v>42</v>
      </c>
      <c r="N323" t="s">
        <v>45</v>
      </c>
      <c r="O323">
        <f>IF(TablaVentas[[#This Row],[Precio_unitario]]="","PENDIENTE",TablaVentas[[#This Row],[Unidades]]*TablaVentas[[#This Row],[Precio_unitario]]*(1-TablaVentas[[#This Row],[Descuento_pct]]))</f>
        <v>27467.017499999998</v>
      </c>
      <c r="P323">
        <f>IF(TablaVentas[[#This Row],[Costo_unitario]]="","PENDIENTE",TablaVentas[[#This Row],[Unidades]]*TablaVentas[[#This Row],[Costo_unitario]])</f>
        <v>19163.45</v>
      </c>
      <c r="Q323">
        <f>IF(OR(TablaVentas[[#This Row],[Ingreso_neto]]="PENDIENTE",TablaVentas[[#This Row],[Costo_total]]="PENDIENTE"),"PENDIENTE",TablaVentas[[#This Row],[Ingreso_neto]]-TablaVentas[[#This Row],[Costo_total]])</f>
        <v>8303.5674999999974</v>
      </c>
      <c r="R323" t="s">
        <v>405</v>
      </c>
    </row>
    <row r="324" spans="1:18">
      <c r="A324" t="s">
        <v>406</v>
      </c>
      <c r="B324">
        <v>1</v>
      </c>
      <c r="C324" s="3">
        <v>46143</v>
      </c>
      <c r="D324" t="s">
        <v>392</v>
      </c>
      <c r="E324" t="s">
        <v>84</v>
      </c>
      <c r="F324" t="s">
        <v>66</v>
      </c>
      <c r="G324" t="s">
        <v>50</v>
      </c>
      <c r="H324" t="s">
        <v>58</v>
      </c>
      <c r="I324">
        <v>1</v>
      </c>
      <c r="J324" s="4">
        <v>14728.53</v>
      </c>
      <c r="K324" s="5">
        <v>0.15</v>
      </c>
      <c r="L324" s="4">
        <v>8576.0499999999993</v>
      </c>
      <c r="M324" t="s">
        <v>42</v>
      </c>
      <c r="N324" t="s">
        <v>45</v>
      </c>
      <c r="O324">
        <f>IF(TablaVentas[[#This Row],[Precio_unitario]]="","PENDIENTE",TablaVentas[[#This Row],[Unidades]]*TablaVentas[[#This Row],[Precio_unitario]]*(1-TablaVentas[[#This Row],[Descuento_pct]]))</f>
        <v>12519.2505</v>
      </c>
      <c r="P324">
        <f>IF(TablaVentas[[#This Row],[Costo_unitario]]="","PENDIENTE",TablaVentas[[#This Row],[Unidades]]*TablaVentas[[#This Row],[Costo_unitario]])</f>
        <v>8576.0499999999993</v>
      </c>
      <c r="Q324">
        <f>IF(OR(TablaVentas[[#This Row],[Ingreso_neto]]="PENDIENTE",TablaVentas[[#This Row],[Costo_total]]="PENDIENTE"),"PENDIENTE",TablaVentas[[#This Row],[Ingreso_neto]]-TablaVentas[[#This Row],[Costo_total]])</f>
        <v>3943.2005000000008</v>
      </c>
    </row>
    <row r="325" spans="1:18">
      <c r="A325" t="s">
        <v>406</v>
      </c>
      <c r="B325">
        <v>2</v>
      </c>
      <c r="C325" s="3">
        <v>46143</v>
      </c>
      <c r="D325" t="s">
        <v>392</v>
      </c>
      <c r="E325" t="s">
        <v>397</v>
      </c>
      <c r="F325" t="s">
        <v>66</v>
      </c>
      <c r="G325" t="s">
        <v>50</v>
      </c>
      <c r="H325" t="s">
        <v>58</v>
      </c>
      <c r="I325">
        <v>2</v>
      </c>
      <c r="J325" s="4">
        <v>6103.68</v>
      </c>
      <c r="K325" s="5">
        <v>0.15</v>
      </c>
      <c r="L325" s="4">
        <v>3640.56</v>
      </c>
      <c r="M325" t="s">
        <v>42</v>
      </c>
      <c r="N325" t="s">
        <v>60</v>
      </c>
      <c r="O325">
        <f>IF(TablaVentas[[#This Row],[Precio_unitario]]="","PENDIENTE",TablaVentas[[#This Row],[Unidades]]*TablaVentas[[#This Row],[Precio_unitario]]*(1-TablaVentas[[#This Row],[Descuento_pct]]))</f>
        <v>10376.255999999999</v>
      </c>
      <c r="P325">
        <f>IF(TablaVentas[[#This Row],[Costo_unitario]]="","PENDIENTE",TablaVentas[[#This Row],[Unidades]]*TablaVentas[[#This Row],[Costo_unitario]])</f>
        <v>7281.12</v>
      </c>
      <c r="Q325">
        <f>IF(OR(TablaVentas[[#This Row],[Ingreso_neto]]="PENDIENTE",TablaVentas[[#This Row],[Costo_total]]="PENDIENTE"),"PENDIENTE",TablaVentas[[#This Row],[Ingreso_neto]]-TablaVentas[[#This Row],[Costo_total]])</f>
        <v>3095.1359999999995</v>
      </c>
    </row>
    <row r="326" spans="1:18">
      <c r="A326" t="s">
        <v>407</v>
      </c>
      <c r="B326">
        <v>1</v>
      </c>
      <c r="C326" s="3">
        <v>46260</v>
      </c>
      <c r="D326" t="s">
        <v>408</v>
      </c>
      <c r="E326" t="s">
        <v>134</v>
      </c>
      <c r="F326" t="s">
        <v>77</v>
      </c>
      <c r="G326" t="s">
        <v>57</v>
      </c>
      <c r="H326" t="s">
        <v>184</v>
      </c>
      <c r="I326">
        <v>1</v>
      </c>
      <c r="J326" s="4">
        <v>264.18</v>
      </c>
      <c r="K326" s="5">
        <v>0</v>
      </c>
      <c r="L326" s="4">
        <v>176.47</v>
      </c>
      <c r="M326" t="s">
        <v>116</v>
      </c>
      <c r="N326" t="s">
        <v>60</v>
      </c>
      <c r="O326">
        <f>IF(TablaVentas[[#This Row],[Precio_unitario]]="","PENDIENTE",TablaVentas[[#This Row],[Unidades]]*TablaVentas[[#This Row],[Precio_unitario]]*(1-TablaVentas[[#This Row],[Descuento_pct]]))</f>
        <v>264.18</v>
      </c>
      <c r="P326">
        <f>IF(TablaVentas[[#This Row],[Costo_unitario]]="","PENDIENTE",TablaVentas[[#This Row],[Unidades]]*TablaVentas[[#This Row],[Costo_unitario]])</f>
        <v>176.47</v>
      </c>
      <c r="Q326">
        <f>IF(OR(TablaVentas[[#This Row],[Ingreso_neto]]="PENDIENTE",TablaVentas[[#This Row],[Costo_total]]="PENDIENTE"),"PENDIENTE",TablaVentas[[#This Row],[Ingreso_neto]]-TablaVentas[[#This Row],[Costo_total]])</f>
        <v>87.710000000000008</v>
      </c>
    </row>
    <row r="327" spans="1:18">
      <c r="A327" t="s">
        <v>407</v>
      </c>
      <c r="B327">
        <v>2</v>
      </c>
      <c r="C327" s="3">
        <v>46260</v>
      </c>
      <c r="D327" t="s">
        <v>408</v>
      </c>
      <c r="E327" t="s">
        <v>152</v>
      </c>
      <c r="F327" t="s">
        <v>77</v>
      </c>
      <c r="G327" t="s">
        <v>57</v>
      </c>
      <c r="H327" t="s">
        <v>184</v>
      </c>
      <c r="I327">
        <v>3</v>
      </c>
      <c r="J327" s="4">
        <v>2577.5100000000002</v>
      </c>
      <c r="K327" s="5">
        <v>0</v>
      </c>
      <c r="L327" s="4">
        <v>1962.3</v>
      </c>
      <c r="M327" t="s">
        <v>116</v>
      </c>
      <c r="N327" t="s">
        <v>52</v>
      </c>
      <c r="O327">
        <f>IF(TablaVentas[[#This Row],[Precio_unitario]]="","PENDIENTE",TablaVentas[[#This Row],[Unidades]]*TablaVentas[[#This Row],[Precio_unitario]]*(1-TablaVentas[[#This Row],[Descuento_pct]]))</f>
        <v>7732.5300000000007</v>
      </c>
      <c r="P327">
        <f>IF(TablaVentas[[#This Row],[Costo_unitario]]="","PENDIENTE",TablaVentas[[#This Row],[Unidades]]*TablaVentas[[#This Row],[Costo_unitario]])</f>
        <v>5886.9</v>
      </c>
      <c r="Q327">
        <f>IF(OR(TablaVentas[[#This Row],[Ingreso_neto]]="PENDIENTE",TablaVentas[[#This Row],[Costo_total]]="PENDIENTE"),"PENDIENTE",TablaVentas[[#This Row],[Ingreso_neto]]-TablaVentas[[#This Row],[Costo_total]])</f>
        <v>1845.630000000001</v>
      </c>
    </row>
    <row r="328" spans="1:18">
      <c r="A328" t="s">
        <v>407</v>
      </c>
      <c r="B328">
        <v>3</v>
      </c>
      <c r="C328" s="3">
        <v>46260</v>
      </c>
      <c r="D328" t="s">
        <v>408</v>
      </c>
      <c r="E328" t="s">
        <v>227</v>
      </c>
      <c r="F328" t="s">
        <v>77</v>
      </c>
      <c r="G328" t="s">
        <v>57</v>
      </c>
      <c r="H328" t="s">
        <v>184</v>
      </c>
      <c r="I328">
        <v>1</v>
      </c>
      <c r="J328" s="4">
        <v>7855.79</v>
      </c>
      <c r="K328" s="5">
        <v>0</v>
      </c>
      <c r="L328" s="4">
        <v>6255.13</v>
      </c>
      <c r="M328" t="s">
        <v>42</v>
      </c>
      <c r="N328" t="s">
        <v>43</v>
      </c>
      <c r="O328">
        <f>IF(TablaVentas[[#This Row],[Precio_unitario]]="","PENDIENTE",TablaVentas[[#This Row],[Unidades]]*TablaVentas[[#This Row],[Precio_unitario]]*(1-TablaVentas[[#This Row],[Descuento_pct]]))</f>
        <v>7855.79</v>
      </c>
      <c r="P328">
        <f>IF(TablaVentas[[#This Row],[Costo_unitario]]="","PENDIENTE",TablaVentas[[#This Row],[Unidades]]*TablaVentas[[#This Row],[Costo_unitario]])</f>
        <v>6255.13</v>
      </c>
      <c r="Q328">
        <f>IF(OR(TablaVentas[[#This Row],[Ingreso_neto]]="PENDIENTE",TablaVentas[[#This Row],[Costo_total]]="PENDIENTE"),"PENDIENTE",TablaVentas[[#This Row],[Ingreso_neto]]-TablaVentas[[#This Row],[Costo_total]])</f>
        <v>1600.6599999999999</v>
      </c>
    </row>
    <row r="329" spans="1:18">
      <c r="A329" t="s">
        <v>407</v>
      </c>
      <c r="B329">
        <v>4</v>
      </c>
      <c r="C329" s="3">
        <v>46260</v>
      </c>
      <c r="D329" t="s">
        <v>408</v>
      </c>
      <c r="E329" t="s">
        <v>211</v>
      </c>
      <c r="F329" t="s">
        <v>77</v>
      </c>
      <c r="G329" t="s">
        <v>57</v>
      </c>
      <c r="H329" t="s">
        <v>184</v>
      </c>
      <c r="I329">
        <v>1</v>
      </c>
      <c r="J329" s="4">
        <v>19452.88</v>
      </c>
      <c r="K329" s="5">
        <v>0</v>
      </c>
      <c r="L329" s="4">
        <v>13760.53</v>
      </c>
      <c r="M329" t="s">
        <v>42</v>
      </c>
      <c r="N329" t="s">
        <v>45</v>
      </c>
      <c r="O329">
        <f>IF(TablaVentas[[#This Row],[Precio_unitario]]="","PENDIENTE",TablaVentas[[#This Row],[Unidades]]*TablaVentas[[#This Row],[Precio_unitario]]*(1-TablaVentas[[#This Row],[Descuento_pct]]))</f>
        <v>19452.88</v>
      </c>
      <c r="P329">
        <f>IF(TablaVentas[[#This Row],[Costo_unitario]]="","PENDIENTE",TablaVentas[[#This Row],[Unidades]]*TablaVentas[[#This Row],[Costo_unitario]])</f>
        <v>13760.53</v>
      </c>
      <c r="Q329">
        <f>IF(OR(TablaVentas[[#This Row],[Ingreso_neto]]="PENDIENTE",TablaVentas[[#This Row],[Costo_total]]="PENDIENTE"),"PENDIENTE",TablaVentas[[#This Row],[Ingreso_neto]]-TablaVentas[[#This Row],[Costo_total]])</f>
        <v>5692.35</v>
      </c>
    </row>
    <row r="330" spans="1:18">
      <c r="A330" t="s">
        <v>409</v>
      </c>
      <c r="B330">
        <v>1</v>
      </c>
      <c r="C330" s="3">
        <v>46038</v>
      </c>
      <c r="D330" t="s">
        <v>394</v>
      </c>
      <c r="E330" t="s">
        <v>97</v>
      </c>
      <c r="F330" t="s">
        <v>66</v>
      </c>
      <c r="G330" t="s">
        <v>50</v>
      </c>
      <c r="H330" t="s">
        <v>51</v>
      </c>
      <c r="I330">
        <v>8</v>
      </c>
      <c r="J330" s="4">
        <v>14317.79</v>
      </c>
      <c r="K330" s="5">
        <v>0</v>
      </c>
      <c r="L330" s="4">
        <v>11424.77</v>
      </c>
      <c r="M330" t="s">
        <v>42</v>
      </c>
      <c r="N330" t="s">
        <v>45</v>
      </c>
      <c r="O330">
        <f>IF(TablaVentas[[#This Row],[Precio_unitario]]="","PENDIENTE",TablaVentas[[#This Row],[Unidades]]*TablaVentas[[#This Row],[Precio_unitario]]*(1-TablaVentas[[#This Row],[Descuento_pct]]))</f>
        <v>114542.32</v>
      </c>
      <c r="P330">
        <f>IF(TablaVentas[[#This Row],[Costo_unitario]]="","PENDIENTE",TablaVentas[[#This Row],[Unidades]]*TablaVentas[[#This Row],[Costo_unitario]])</f>
        <v>91398.16</v>
      </c>
      <c r="Q330">
        <f>IF(OR(TablaVentas[[#This Row],[Ingreso_neto]]="PENDIENTE",TablaVentas[[#This Row],[Costo_total]]="PENDIENTE"),"PENDIENTE",TablaVentas[[#This Row],[Ingreso_neto]]-TablaVentas[[#This Row],[Costo_total]])</f>
        <v>23144.160000000003</v>
      </c>
    </row>
    <row r="331" spans="1:18">
      <c r="A331" t="s">
        <v>409</v>
      </c>
      <c r="B331">
        <v>2</v>
      </c>
      <c r="C331" s="3">
        <v>46038</v>
      </c>
      <c r="D331" t="s">
        <v>394</v>
      </c>
      <c r="E331" t="s">
        <v>410</v>
      </c>
      <c r="F331" t="s">
        <v>66</v>
      </c>
      <c r="G331" t="s">
        <v>50</v>
      </c>
      <c r="H331" t="s">
        <v>51</v>
      </c>
      <c r="I331">
        <v>4</v>
      </c>
      <c r="J331" s="4">
        <v>7350.88</v>
      </c>
      <c r="K331" s="5">
        <v>0</v>
      </c>
      <c r="L331" s="4">
        <v>5874.17</v>
      </c>
      <c r="M331" t="s">
        <v>42</v>
      </c>
      <c r="N331" t="s">
        <v>45</v>
      </c>
      <c r="O331">
        <f>IF(TablaVentas[[#This Row],[Precio_unitario]]="","PENDIENTE",TablaVentas[[#This Row],[Unidades]]*TablaVentas[[#This Row],[Precio_unitario]]*(1-TablaVentas[[#This Row],[Descuento_pct]]))</f>
        <v>29403.52</v>
      </c>
      <c r="P331">
        <f>IF(TablaVentas[[#This Row],[Costo_unitario]]="","PENDIENTE",TablaVentas[[#This Row],[Unidades]]*TablaVentas[[#This Row],[Costo_unitario]])</f>
        <v>23496.68</v>
      </c>
      <c r="Q331">
        <f>IF(OR(TablaVentas[[#This Row],[Ingreso_neto]]="PENDIENTE",TablaVentas[[#This Row],[Costo_total]]="PENDIENTE"),"PENDIENTE",TablaVentas[[#This Row],[Ingreso_neto]]-TablaVentas[[#This Row],[Costo_total]])</f>
        <v>5906.84</v>
      </c>
    </row>
    <row r="332" spans="1:18">
      <c r="A332" t="s">
        <v>409</v>
      </c>
      <c r="B332">
        <v>3</v>
      </c>
      <c r="C332" s="3">
        <v>46038</v>
      </c>
      <c r="D332" t="s">
        <v>394</v>
      </c>
      <c r="E332" t="s">
        <v>55</v>
      </c>
      <c r="F332" t="s">
        <v>66</v>
      </c>
      <c r="G332" t="s">
        <v>50</v>
      </c>
      <c r="H332" t="s">
        <v>51</v>
      </c>
      <c r="I332">
        <v>2</v>
      </c>
      <c r="J332" s="4">
        <v>11186.42</v>
      </c>
      <c r="K332" s="5">
        <v>0.1</v>
      </c>
      <c r="L332" s="4">
        <v>6407.85</v>
      </c>
      <c r="M332" t="s">
        <v>42</v>
      </c>
      <c r="N332" t="s">
        <v>43</v>
      </c>
      <c r="O332">
        <f>IF(TablaVentas[[#This Row],[Precio_unitario]]="","PENDIENTE",TablaVentas[[#This Row],[Unidades]]*TablaVentas[[#This Row],[Precio_unitario]]*(1-TablaVentas[[#This Row],[Descuento_pct]]))</f>
        <v>20135.556</v>
      </c>
      <c r="P332">
        <f>IF(TablaVentas[[#This Row],[Costo_unitario]]="","PENDIENTE",TablaVentas[[#This Row],[Unidades]]*TablaVentas[[#This Row],[Costo_unitario]])</f>
        <v>12815.7</v>
      </c>
      <c r="Q332">
        <f>IF(OR(TablaVentas[[#This Row],[Ingreso_neto]]="PENDIENTE",TablaVentas[[#This Row],[Costo_total]]="PENDIENTE"),"PENDIENTE",TablaVentas[[#This Row],[Ingreso_neto]]-TablaVentas[[#This Row],[Costo_total]])</f>
        <v>7319.8559999999998</v>
      </c>
    </row>
    <row r="333" spans="1:18">
      <c r="A333" t="s">
        <v>411</v>
      </c>
      <c r="B333">
        <v>1</v>
      </c>
      <c r="C333" s="3">
        <v>46234</v>
      </c>
      <c r="D333" t="s">
        <v>412</v>
      </c>
      <c r="E333" t="s">
        <v>119</v>
      </c>
      <c r="F333" t="s">
        <v>66</v>
      </c>
      <c r="G333" t="s">
        <v>57</v>
      </c>
      <c r="H333" t="s">
        <v>58</v>
      </c>
      <c r="I333">
        <v>1</v>
      </c>
      <c r="J333" s="4">
        <v>8999.8799999999992</v>
      </c>
      <c r="K333" s="5">
        <v>0.2</v>
      </c>
      <c r="L333" s="4">
        <v>6981.94</v>
      </c>
      <c r="M333" t="s">
        <v>42</v>
      </c>
      <c r="N333" t="s">
        <v>45</v>
      </c>
      <c r="O333">
        <f>IF(TablaVentas[[#This Row],[Precio_unitario]]="","PENDIENTE",TablaVentas[[#This Row],[Unidades]]*TablaVentas[[#This Row],[Precio_unitario]]*(1-TablaVentas[[#This Row],[Descuento_pct]]))</f>
        <v>7199.9039999999995</v>
      </c>
      <c r="P333">
        <f>IF(TablaVentas[[#This Row],[Costo_unitario]]="","PENDIENTE",TablaVentas[[#This Row],[Unidades]]*TablaVentas[[#This Row],[Costo_unitario]])</f>
        <v>6981.94</v>
      </c>
      <c r="Q333">
        <f>IF(OR(TablaVentas[[#This Row],[Ingreso_neto]]="PENDIENTE",TablaVentas[[#This Row],[Costo_total]]="PENDIENTE"),"PENDIENTE",TablaVentas[[#This Row],[Ingreso_neto]]-TablaVentas[[#This Row],[Costo_total]])</f>
        <v>217.96399999999994</v>
      </c>
    </row>
    <row r="334" spans="1:18">
      <c r="A334" t="s">
        <v>411</v>
      </c>
      <c r="B334">
        <v>2</v>
      </c>
      <c r="C334" s="3">
        <v>46234</v>
      </c>
      <c r="D334" t="s">
        <v>412</v>
      </c>
      <c r="E334" t="s">
        <v>282</v>
      </c>
      <c r="F334" t="s">
        <v>66</v>
      </c>
      <c r="G334" t="s">
        <v>57</v>
      </c>
      <c r="H334" t="s">
        <v>58</v>
      </c>
      <c r="I334">
        <v>2</v>
      </c>
      <c r="J334" s="4">
        <v>4499.63</v>
      </c>
      <c r="K334" s="5">
        <v>0.15</v>
      </c>
      <c r="L334" s="4">
        <v>3399.5</v>
      </c>
      <c r="M334" t="s">
        <v>42</v>
      </c>
      <c r="N334" t="s">
        <v>52</v>
      </c>
      <c r="O334">
        <f>IF(TablaVentas[[#This Row],[Precio_unitario]]="","PENDIENTE",TablaVentas[[#This Row],[Unidades]]*TablaVentas[[#This Row],[Precio_unitario]]*(1-TablaVentas[[#This Row],[Descuento_pct]]))</f>
        <v>7649.3710000000001</v>
      </c>
      <c r="P334">
        <f>IF(TablaVentas[[#This Row],[Costo_unitario]]="","PENDIENTE",TablaVentas[[#This Row],[Unidades]]*TablaVentas[[#This Row],[Costo_unitario]])</f>
        <v>6799</v>
      </c>
      <c r="Q334">
        <f>IF(OR(TablaVentas[[#This Row],[Ingreso_neto]]="PENDIENTE",TablaVentas[[#This Row],[Costo_total]]="PENDIENTE"),"PENDIENTE",TablaVentas[[#This Row],[Ingreso_neto]]-TablaVentas[[#This Row],[Costo_total]])</f>
        <v>850.37100000000009</v>
      </c>
    </row>
    <row r="335" spans="1:18">
      <c r="A335" t="s">
        <v>413</v>
      </c>
      <c r="B335">
        <v>1</v>
      </c>
      <c r="C335" s="3">
        <v>46168</v>
      </c>
      <c r="D335" t="s">
        <v>414</v>
      </c>
      <c r="E335" t="s">
        <v>135</v>
      </c>
      <c r="F335" t="s">
        <v>56</v>
      </c>
      <c r="G335" t="s">
        <v>57</v>
      </c>
      <c r="H335" t="s">
        <v>184</v>
      </c>
      <c r="I335">
        <v>1</v>
      </c>
      <c r="J335" s="4">
        <v>2067.2399999999998</v>
      </c>
      <c r="K335" s="5">
        <v>0</v>
      </c>
      <c r="L335" s="4">
        <v>1529.93</v>
      </c>
      <c r="M335" t="s">
        <v>42</v>
      </c>
      <c r="N335" t="s">
        <v>60</v>
      </c>
      <c r="O335">
        <f>IF(TablaVentas[[#This Row],[Precio_unitario]]="","PENDIENTE",TablaVentas[[#This Row],[Unidades]]*TablaVentas[[#This Row],[Precio_unitario]]*(1-TablaVentas[[#This Row],[Descuento_pct]]))</f>
        <v>2067.2399999999998</v>
      </c>
      <c r="P335">
        <f>IF(TablaVentas[[#This Row],[Costo_unitario]]="","PENDIENTE",TablaVentas[[#This Row],[Unidades]]*TablaVentas[[#This Row],[Costo_unitario]])</f>
        <v>1529.93</v>
      </c>
      <c r="Q335">
        <f>IF(OR(TablaVentas[[#This Row],[Ingreso_neto]]="PENDIENTE",TablaVentas[[#This Row],[Costo_total]]="PENDIENTE"),"PENDIENTE",TablaVentas[[#This Row],[Ingreso_neto]]-TablaVentas[[#This Row],[Costo_total]])</f>
        <v>537.30999999999972</v>
      </c>
    </row>
    <row r="336" spans="1:18">
      <c r="A336" t="s">
        <v>413</v>
      </c>
      <c r="B336">
        <v>2</v>
      </c>
      <c r="C336" s="3">
        <v>46168</v>
      </c>
      <c r="D336" t="s">
        <v>414</v>
      </c>
      <c r="E336" t="s">
        <v>151</v>
      </c>
      <c r="F336" t="s">
        <v>56</v>
      </c>
      <c r="G336" t="s">
        <v>57</v>
      </c>
      <c r="H336" t="s">
        <v>184</v>
      </c>
      <c r="I336">
        <v>2</v>
      </c>
      <c r="J336" s="4">
        <v>15428.94</v>
      </c>
      <c r="K336" s="5">
        <v>0.1</v>
      </c>
      <c r="L336" s="4">
        <v>8963.23</v>
      </c>
      <c r="M336" t="s">
        <v>42</v>
      </c>
      <c r="N336" t="s">
        <v>60</v>
      </c>
      <c r="O336">
        <f>IF(TablaVentas[[#This Row],[Precio_unitario]]="","PENDIENTE",TablaVentas[[#This Row],[Unidades]]*TablaVentas[[#This Row],[Precio_unitario]]*(1-TablaVentas[[#This Row],[Descuento_pct]]))</f>
        <v>27772.092000000001</v>
      </c>
      <c r="P336">
        <f>IF(TablaVentas[[#This Row],[Costo_unitario]]="","PENDIENTE",TablaVentas[[#This Row],[Unidades]]*TablaVentas[[#This Row],[Costo_unitario]])</f>
        <v>17926.46</v>
      </c>
      <c r="Q336">
        <f>IF(OR(TablaVentas[[#This Row],[Ingreso_neto]]="PENDIENTE",TablaVentas[[#This Row],[Costo_total]]="PENDIENTE"),"PENDIENTE",TablaVentas[[#This Row],[Ingreso_neto]]-TablaVentas[[#This Row],[Costo_total]])</f>
        <v>9845.6320000000014</v>
      </c>
    </row>
    <row r="337" spans="1:17">
      <c r="A337" t="s">
        <v>415</v>
      </c>
      <c r="B337">
        <v>1</v>
      </c>
      <c r="C337" s="3">
        <v>46241</v>
      </c>
      <c r="D337" t="s">
        <v>244</v>
      </c>
      <c r="E337" t="s">
        <v>93</v>
      </c>
      <c r="F337" t="s">
        <v>66</v>
      </c>
      <c r="G337" t="s">
        <v>57</v>
      </c>
      <c r="H337" t="s">
        <v>102</v>
      </c>
      <c r="I337">
        <v>1</v>
      </c>
      <c r="J337" s="4">
        <v>15039.9</v>
      </c>
      <c r="K337" s="5">
        <v>0</v>
      </c>
      <c r="L337" s="4">
        <v>8788.7900000000009</v>
      </c>
      <c r="M337" t="s">
        <v>42</v>
      </c>
      <c r="N337" t="s">
        <v>45</v>
      </c>
      <c r="O337">
        <f>IF(TablaVentas[[#This Row],[Precio_unitario]]="","PENDIENTE",TablaVentas[[#This Row],[Unidades]]*TablaVentas[[#This Row],[Precio_unitario]]*(1-TablaVentas[[#This Row],[Descuento_pct]]))</f>
        <v>15039.9</v>
      </c>
      <c r="P337">
        <f>IF(TablaVentas[[#This Row],[Costo_unitario]]="","PENDIENTE",TablaVentas[[#This Row],[Unidades]]*TablaVentas[[#This Row],[Costo_unitario]])</f>
        <v>8788.7900000000009</v>
      </c>
      <c r="Q337">
        <f>IF(OR(TablaVentas[[#This Row],[Ingreso_neto]]="PENDIENTE",TablaVentas[[#This Row],[Costo_total]]="PENDIENTE"),"PENDIENTE",TablaVentas[[#This Row],[Ingreso_neto]]-TablaVentas[[#This Row],[Costo_total]])</f>
        <v>6251.1099999999988</v>
      </c>
    </row>
    <row r="338" spans="1:17">
      <c r="A338" t="s">
        <v>415</v>
      </c>
      <c r="B338">
        <v>2</v>
      </c>
      <c r="C338" s="3">
        <v>46241</v>
      </c>
      <c r="D338" t="s">
        <v>244</v>
      </c>
      <c r="E338" t="s">
        <v>113</v>
      </c>
      <c r="F338" t="s">
        <v>66</v>
      </c>
      <c r="G338" t="s">
        <v>57</v>
      </c>
      <c r="H338" t="s">
        <v>102</v>
      </c>
      <c r="I338">
        <v>1</v>
      </c>
      <c r="J338" s="4">
        <v>3141.09</v>
      </c>
      <c r="K338" s="5">
        <v>0</v>
      </c>
      <c r="L338" s="4">
        <v>2196.34</v>
      </c>
      <c r="M338" t="s">
        <v>42</v>
      </c>
      <c r="N338" t="s">
        <v>52</v>
      </c>
      <c r="O338">
        <f>IF(TablaVentas[[#This Row],[Precio_unitario]]="","PENDIENTE",TablaVentas[[#This Row],[Unidades]]*TablaVentas[[#This Row],[Precio_unitario]]*(1-TablaVentas[[#This Row],[Descuento_pct]]))</f>
        <v>3141.09</v>
      </c>
      <c r="P338">
        <f>IF(TablaVentas[[#This Row],[Costo_unitario]]="","PENDIENTE",TablaVentas[[#This Row],[Unidades]]*TablaVentas[[#This Row],[Costo_unitario]])</f>
        <v>2196.34</v>
      </c>
      <c r="Q338">
        <f>IF(OR(TablaVentas[[#This Row],[Ingreso_neto]]="PENDIENTE",TablaVentas[[#This Row],[Costo_total]]="PENDIENTE"),"PENDIENTE",TablaVentas[[#This Row],[Ingreso_neto]]-TablaVentas[[#This Row],[Costo_total]])</f>
        <v>944.75</v>
      </c>
    </row>
    <row r="339" spans="1:17">
      <c r="A339" t="s">
        <v>415</v>
      </c>
      <c r="B339">
        <v>3</v>
      </c>
      <c r="C339" s="3">
        <v>46241</v>
      </c>
      <c r="D339" t="s">
        <v>244</v>
      </c>
      <c r="E339" t="s">
        <v>196</v>
      </c>
      <c r="F339" t="s">
        <v>66</v>
      </c>
      <c r="G339" t="s">
        <v>57</v>
      </c>
      <c r="H339" t="s">
        <v>102</v>
      </c>
      <c r="I339">
        <v>1</v>
      </c>
      <c r="J339" s="4">
        <v>708.15</v>
      </c>
      <c r="K339" s="5">
        <v>0</v>
      </c>
      <c r="L339" s="4">
        <v>485.16</v>
      </c>
      <c r="M339" t="s">
        <v>42</v>
      </c>
      <c r="N339" t="s">
        <v>45</v>
      </c>
      <c r="O339">
        <f>IF(TablaVentas[[#This Row],[Precio_unitario]]="","PENDIENTE",TablaVentas[[#This Row],[Unidades]]*TablaVentas[[#This Row],[Precio_unitario]]*(1-TablaVentas[[#This Row],[Descuento_pct]]))</f>
        <v>708.15</v>
      </c>
      <c r="P339">
        <f>IF(TablaVentas[[#This Row],[Costo_unitario]]="","PENDIENTE",TablaVentas[[#This Row],[Unidades]]*TablaVentas[[#This Row],[Costo_unitario]])</f>
        <v>485.16</v>
      </c>
      <c r="Q339">
        <f>IF(OR(TablaVentas[[#This Row],[Ingreso_neto]]="PENDIENTE",TablaVentas[[#This Row],[Costo_total]]="PENDIENTE"),"PENDIENTE",TablaVentas[[#This Row],[Ingreso_neto]]-TablaVentas[[#This Row],[Costo_total]])</f>
        <v>222.98999999999995</v>
      </c>
    </row>
    <row r="340" spans="1:17">
      <c r="A340" t="s">
        <v>416</v>
      </c>
      <c r="B340">
        <v>1</v>
      </c>
      <c r="C340" s="3">
        <v>46215</v>
      </c>
      <c r="D340" t="s">
        <v>369</v>
      </c>
      <c r="E340" t="s">
        <v>175</v>
      </c>
      <c r="F340" t="s">
        <v>66</v>
      </c>
      <c r="G340" t="s">
        <v>57</v>
      </c>
      <c r="H340" t="s">
        <v>184</v>
      </c>
      <c r="I340">
        <v>1</v>
      </c>
      <c r="J340" s="4">
        <v>2804.3</v>
      </c>
      <c r="K340" s="5">
        <v>0</v>
      </c>
      <c r="L340" s="4">
        <v>1857.39</v>
      </c>
      <c r="M340" t="s">
        <v>42</v>
      </c>
      <c r="N340" t="s">
        <v>43</v>
      </c>
      <c r="O340">
        <f>IF(TablaVentas[[#This Row],[Precio_unitario]]="","PENDIENTE",TablaVentas[[#This Row],[Unidades]]*TablaVentas[[#This Row],[Precio_unitario]]*(1-TablaVentas[[#This Row],[Descuento_pct]]))</f>
        <v>2804.3</v>
      </c>
      <c r="P340">
        <f>IF(TablaVentas[[#This Row],[Costo_unitario]]="","PENDIENTE",TablaVentas[[#This Row],[Unidades]]*TablaVentas[[#This Row],[Costo_unitario]])</f>
        <v>1857.39</v>
      </c>
      <c r="Q340">
        <f>IF(OR(TablaVentas[[#This Row],[Ingreso_neto]]="PENDIENTE",TablaVentas[[#This Row],[Costo_total]]="PENDIENTE"),"PENDIENTE",TablaVentas[[#This Row],[Ingreso_neto]]-TablaVentas[[#This Row],[Costo_total]])</f>
        <v>946.91000000000008</v>
      </c>
    </row>
    <row r="341" spans="1:17">
      <c r="A341" t="s">
        <v>416</v>
      </c>
      <c r="B341">
        <v>2</v>
      </c>
      <c r="C341" s="3">
        <v>46215</v>
      </c>
      <c r="D341" t="s">
        <v>369</v>
      </c>
      <c r="E341" t="s">
        <v>139</v>
      </c>
      <c r="F341" t="s">
        <v>66</v>
      </c>
      <c r="G341" t="s">
        <v>57</v>
      </c>
      <c r="H341" t="s">
        <v>184</v>
      </c>
      <c r="I341">
        <v>3</v>
      </c>
      <c r="J341" s="4">
        <v>10131.709999999999</v>
      </c>
      <c r="K341" s="5">
        <v>0.1</v>
      </c>
      <c r="L341" s="4">
        <v>8002.16</v>
      </c>
      <c r="M341" t="s">
        <v>42</v>
      </c>
      <c r="N341" t="s">
        <v>60</v>
      </c>
      <c r="O341">
        <f>IF(TablaVentas[[#This Row],[Precio_unitario]]="","PENDIENTE",TablaVentas[[#This Row],[Unidades]]*TablaVentas[[#This Row],[Precio_unitario]]*(1-TablaVentas[[#This Row],[Descuento_pct]]))</f>
        <v>27355.616999999998</v>
      </c>
      <c r="P341">
        <f>IF(TablaVentas[[#This Row],[Costo_unitario]]="","PENDIENTE",TablaVentas[[#This Row],[Unidades]]*TablaVentas[[#This Row],[Costo_unitario]])</f>
        <v>24006.48</v>
      </c>
      <c r="Q341">
        <f>IF(OR(TablaVentas[[#This Row],[Ingreso_neto]]="PENDIENTE",TablaVentas[[#This Row],[Costo_total]]="PENDIENTE"),"PENDIENTE",TablaVentas[[#This Row],[Ingreso_neto]]-TablaVentas[[#This Row],[Costo_total]])</f>
        <v>3349.1369999999988</v>
      </c>
    </row>
    <row r="342" spans="1:17">
      <c r="A342" t="s">
        <v>416</v>
      </c>
      <c r="B342">
        <v>3</v>
      </c>
      <c r="C342" s="3">
        <v>46215</v>
      </c>
      <c r="D342" t="s">
        <v>369</v>
      </c>
      <c r="E342" t="s">
        <v>120</v>
      </c>
      <c r="F342" t="s">
        <v>66</v>
      </c>
      <c r="G342" t="s">
        <v>57</v>
      </c>
      <c r="H342" t="s">
        <v>184</v>
      </c>
      <c r="I342">
        <v>1</v>
      </c>
      <c r="J342" s="4">
        <v>13890.26</v>
      </c>
      <c r="K342" s="5">
        <v>0</v>
      </c>
      <c r="L342" s="4">
        <v>7975.26</v>
      </c>
      <c r="M342" t="s">
        <v>42</v>
      </c>
      <c r="N342" t="s">
        <v>52</v>
      </c>
      <c r="O342">
        <f>IF(TablaVentas[[#This Row],[Precio_unitario]]="","PENDIENTE",TablaVentas[[#This Row],[Unidades]]*TablaVentas[[#This Row],[Precio_unitario]]*(1-TablaVentas[[#This Row],[Descuento_pct]]))</f>
        <v>13890.26</v>
      </c>
      <c r="P342">
        <f>IF(TablaVentas[[#This Row],[Costo_unitario]]="","PENDIENTE",TablaVentas[[#This Row],[Unidades]]*TablaVentas[[#This Row],[Costo_unitario]])</f>
        <v>7975.26</v>
      </c>
      <c r="Q342">
        <f>IF(OR(TablaVentas[[#This Row],[Ingreso_neto]]="PENDIENTE",TablaVentas[[#This Row],[Costo_total]]="PENDIENTE"),"PENDIENTE",TablaVentas[[#This Row],[Ingreso_neto]]-TablaVentas[[#This Row],[Costo_total]])</f>
        <v>5915</v>
      </c>
    </row>
    <row r="343" spans="1:17">
      <c r="A343" t="s">
        <v>416</v>
      </c>
      <c r="B343">
        <v>4</v>
      </c>
      <c r="C343" s="3">
        <v>46215</v>
      </c>
      <c r="D343" t="s">
        <v>369</v>
      </c>
      <c r="E343" t="s">
        <v>138</v>
      </c>
      <c r="F343" t="s">
        <v>66</v>
      </c>
      <c r="G343" t="s">
        <v>57</v>
      </c>
      <c r="H343" t="s">
        <v>184</v>
      </c>
      <c r="I343">
        <v>3</v>
      </c>
      <c r="J343" s="4">
        <v>6407.89</v>
      </c>
      <c r="K343" s="5">
        <v>0</v>
      </c>
      <c r="L343" s="4">
        <v>4665.62</v>
      </c>
      <c r="M343" t="s">
        <v>42</v>
      </c>
      <c r="N343" t="s">
        <v>52</v>
      </c>
      <c r="O343">
        <f>IF(TablaVentas[[#This Row],[Precio_unitario]]="","PENDIENTE",TablaVentas[[#This Row],[Unidades]]*TablaVentas[[#This Row],[Precio_unitario]]*(1-TablaVentas[[#This Row],[Descuento_pct]]))</f>
        <v>19223.670000000002</v>
      </c>
      <c r="P343">
        <f>IF(TablaVentas[[#This Row],[Costo_unitario]]="","PENDIENTE",TablaVentas[[#This Row],[Unidades]]*TablaVentas[[#This Row],[Costo_unitario]])</f>
        <v>13996.86</v>
      </c>
      <c r="Q343">
        <f>IF(OR(TablaVentas[[#This Row],[Ingreso_neto]]="PENDIENTE",TablaVentas[[#This Row],[Costo_total]]="PENDIENTE"),"PENDIENTE",TablaVentas[[#This Row],[Ingreso_neto]]-TablaVentas[[#This Row],[Costo_total]])</f>
        <v>5226.8100000000013</v>
      </c>
    </row>
    <row r="344" spans="1:17">
      <c r="A344" t="s">
        <v>416</v>
      </c>
      <c r="B344">
        <v>5</v>
      </c>
      <c r="C344" s="3">
        <v>46215</v>
      </c>
      <c r="D344" t="s">
        <v>369</v>
      </c>
      <c r="E344" t="s">
        <v>123</v>
      </c>
      <c r="F344" t="s">
        <v>66</v>
      </c>
      <c r="G344" t="s">
        <v>57</v>
      </c>
      <c r="H344" t="s">
        <v>184</v>
      </c>
      <c r="I344">
        <v>1</v>
      </c>
      <c r="J344" s="4">
        <v>16526.14</v>
      </c>
      <c r="K344" s="5">
        <v>0.05</v>
      </c>
      <c r="L344" s="4">
        <v>12679.41</v>
      </c>
      <c r="M344" t="s">
        <v>42</v>
      </c>
      <c r="N344" t="s">
        <v>45</v>
      </c>
      <c r="O344">
        <f>IF(TablaVentas[[#This Row],[Precio_unitario]]="","PENDIENTE",TablaVentas[[#This Row],[Unidades]]*TablaVentas[[#This Row],[Precio_unitario]]*(1-TablaVentas[[#This Row],[Descuento_pct]]))</f>
        <v>15699.832999999999</v>
      </c>
      <c r="P344">
        <f>IF(TablaVentas[[#This Row],[Costo_unitario]]="","PENDIENTE",TablaVentas[[#This Row],[Unidades]]*TablaVentas[[#This Row],[Costo_unitario]])</f>
        <v>12679.41</v>
      </c>
      <c r="Q344">
        <f>IF(OR(TablaVentas[[#This Row],[Ingreso_neto]]="PENDIENTE",TablaVentas[[#This Row],[Costo_total]]="PENDIENTE"),"PENDIENTE",TablaVentas[[#This Row],[Ingreso_neto]]-TablaVentas[[#This Row],[Costo_total]])</f>
        <v>3020.4229999999989</v>
      </c>
    </row>
    <row r="345" spans="1:17">
      <c r="A345" t="s">
        <v>417</v>
      </c>
      <c r="B345">
        <v>1</v>
      </c>
      <c r="C345" s="3">
        <v>46026</v>
      </c>
      <c r="D345" t="s">
        <v>418</v>
      </c>
      <c r="E345" t="s">
        <v>206</v>
      </c>
      <c r="F345" t="s">
        <v>66</v>
      </c>
      <c r="G345" t="s">
        <v>50</v>
      </c>
      <c r="H345" t="s">
        <v>102</v>
      </c>
      <c r="I345">
        <v>1</v>
      </c>
      <c r="J345" s="4">
        <v>5445.61</v>
      </c>
      <c r="K345" s="5">
        <v>0</v>
      </c>
      <c r="L345" s="4">
        <v>4008.77</v>
      </c>
      <c r="M345" t="s">
        <v>42</v>
      </c>
      <c r="N345" t="s">
        <v>52</v>
      </c>
      <c r="O345">
        <f>IF(TablaVentas[[#This Row],[Precio_unitario]]="","PENDIENTE",TablaVentas[[#This Row],[Unidades]]*TablaVentas[[#This Row],[Precio_unitario]]*(1-TablaVentas[[#This Row],[Descuento_pct]]))</f>
        <v>5445.61</v>
      </c>
      <c r="P345">
        <f>IF(TablaVentas[[#This Row],[Costo_unitario]]="","PENDIENTE",TablaVentas[[#This Row],[Unidades]]*TablaVentas[[#This Row],[Costo_unitario]])</f>
        <v>4008.77</v>
      </c>
      <c r="Q345">
        <f>IF(OR(TablaVentas[[#This Row],[Ingreso_neto]]="PENDIENTE",TablaVentas[[#This Row],[Costo_total]]="PENDIENTE"),"PENDIENTE",TablaVentas[[#This Row],[Ingreso_neto]]-TablaVentas[[#This Row],[Costo_total]])</f>
        <v>1436.8399999999997</v>
      </c>
    </row>
    <row r="346" spans="1:17">
      <c r="A346" t="s">
        <v>417</v>
      </c>
      <c r="B346">
        <v>2</v>
      </c>
      <c r="C346" s="3">
        <v>46026</v>
      </c>
      <c r="D346" t="s">
        <v>418</v>
      </c>
      <c r="E346" t="s">
        <v>103</v>
      </c>
      <c r="F346" t="s">
        <v>66</v>
      </c>
      <c r="G346" t="s">
        <v>50</v>
      </c>
      <c r="H346" t="s">
        <v>102</v>
      </c>
      <c r="I346">
        <v>8</v>
      </c>
      <c r="J346" s="4">
        <v>13429.46</v>
      </c>
      <c r="K346" s="5">
        <v>0.05</v>
      </c>
      <c r="L346" s="4">
        <v>7549.71</v>
      </c>
      <c r="M346" t="s">
        <v>42</v>
      </c>
      <c r="N346" t="s">
        <v>52</v>
      </c>
      <c r="O346">
        <f>IF(TablaVentas[[#This Row],[Precio_unitario]]="","PENDIENTE",TablaVentas[[#This Row],[Unidades]]*TablaVentas[[#This Row],[Precio_unitario]]*(1-TablaVentas[[#This Row],[Descuento_pct]]))</f>
        <v>102063.89599999999</v>
      </c>
      <c r="P346">
        <f>IF(TablaVentas[[#This Row],[Costo_unitario]]="","PENDIENTE",TablaVentas[[#This Row],[Unidades]]*TablaVentas[[#This Row],[Costo_unitario]])</f>
        <v>60397.68</v>
      </c>
      <c r="Q346">
        <f>IF(OR(TablaVentas[[#This Row],[Ingreso_neto]]="PENDIENTE",TablaVentas[[#This Row],[Costo_total]]="PENDIENTE"),"PENDIENTE",TablaVentas[[#This Row],[Ingreso_neto]]-TablaVentas[[#This Row],[Costo_total]])</f>
        <v>41666.215999999993</v>
      </c>
    </row>
    <row r="347" spans="1:17">
      <c r="A347" t="s">
        <v>417</v>
      </c>
      <c r="B347">
        <v>3</v>
      </c>
      <c r="C347" s="3">
        <v>46026</v>
      </c>
      <c r="D347" t="s">
        <v>418</v>
      </c>
      <c r="E347" t="s">
        <v>256</v>
      </c>
      <c r="F347" t="s">
        <v>66</v>
      </c>
      <c r="G347" t="s">
        <v>50</v>
      </c>
      <c r="H347" t="s">
        <v>102</v>
      </c>
      <c r="I347">
        <v>2</v>
      </c>
      <c r="J347" s="4">
        <v>20221.66</v>
      </c>
      <c r="K347" s="5">
        <v>0</v>
      </c>
      <c r="L347" s="4">
        <v>11666.57</v>
      </c>
      <c r="M347" t="s">
        <v>42</v>
      </c>
      <c r="N347" t="s">
        <v>43</v>
      </c>
      <c r="O347">
        <f>IF(TablaVentas[[#This Row],[Precio_unitario]]="","PENDIENTE",TablaVentas[[#This Row],[Unidades]]*TablaVentas[[#This Row],[Precio_unitario]]*(1-TablaVentas[[#This Row],[Descuento_pct]]))</f>
        <v>40443.32</v>
      </c>
      <c r="P347">
        <f>IF(TablaVentas[[#This Row],[Costo_unitario]]="","PENDIENTE",TablaVentas[[#This Row],[Unidades]]*TablaVentas[[#This Row],[Costo_unitario]])</f>
        <v>23333.14</v>
      </c>
      <c r="Q347">
        <f>IF(OR(TablaVentas[[#This Row],[Ingreso_neto]]="PENDIENTE",TablaVentas[[#This Row],[Costo_total]]="PENDIENTE"),"PENDIENTE",TablaVentas[[#This Row],[Ingreso_neto]]-TablaVentas[[#This Row],[Costo_total]])</f>
        <v>17110.18</v>
      </c>
    </row>
    <row r="348" spans="1:17">
      <c r="A348" t="s">
        <v>417</v>
      </c>
      <c r="B348">
        <v>4</v>
      </c>
      <c r="C348" s="3">
        <v>46026</v>
      </c>
      <c r="D348" t="s">
        <v>418</v>
      </c>
      <c r="E348" t="s">
        <v>159</v>
      </c>
      <c r="F348" t="s">
        <v>66</v>
      </c>
      <c r="G348" t="s">
        <v>50</v>
      </c>
      <c r="H348" t="s">
        <v>102</v>
      </c>
      <c r="I348">
        <v>2</v>
      </c>
      <c r="J348" s="4">
        <v>11922.42</v>
      </c>
      <c r="K348" s="5">
        <v>0.2</v>
      </c>
      <c r="L348" s="4">
        <v>9317.3700000000008</v>
      </c>
      <c r="M348" t="s">
        <v>42</v>
      </c>
      <c r="N348" t="s">
        <v>52</v>
      </c>
      <c r="O348">
        <f>IF(TablaVentas[[#This Row],[Precio_unitario]]="","PENDIENTE",TablaVentas[[#This Row],[Unidades]]*TablaVentas[[#This Row],[Precio_unitario]]*(1-TablaVentas[[#This Row],[Descuento_pct]]))</f>
        <v>19075.871999999999</v>
      </c>
      <c r="P348">
        <f>IF(TablaVentas[[#This Row],[Costo_unitario]]="","PENDIENTE",TablaVentas[[#This Row],[Unidades]]*TablaVentas[[#This Row],[Costo_unitario]])</f>
        <v>18634.740000000002</v>
      </c>
      <c r="Q348">
        <f>IF(OR(TablaVentas[[#This Row],[Ingreso_neto]]="PENDIENTE",TablaVentas[[#This Row],[Costo_total]]="PENDIENTE"),"PENDIENTE",TablaVentas[[#This Row],[Ingreso_neto]]-TablaVentas[[#This Row],[Costo_total]])</f>
        <v>441.13199999999779</v>
      </c>
    </row>
    <row r="349" spans="1:17">
      <c r="A349" t="s">
        <v>419</v>
      </c>
      <c r="B349">
        <v>1</v>
      </c>
      <c r="C349" s="3">
        <v>46251</v>
      </c>
      <c r="D349" t="s">
        <v>64</v>
      </c>
      <c r="E349" t="s">
        <v>212</v>
      </c>
      <c r="F349" t="s">
        <v>39</v>
      </c>
      <c r="G349" t="s">
        <v>50</v>
      </c>
      <c r="H349" t="s">
        <v>184</v>
      </c>
      <c r="I349">
        <v>2</v>
      </c>
      <c r="J349" s="4">
        <v>3330.06</v>
      </c>
      <c r="K349" s="5">
        <v>0.1</v>
      </c>
      <c r="L349" s="4">
        <v>2157.5500000000002</v>
      </c>
      <c r="M349" t="s">
        <v>42</v>
      </c>
      <c r="N349" t="s">
        <v>52</v>
      </c>
      <c r="O349">
        <f>IF(TablaVentas[[#This Row],[Precio_unitario]]="","PENDIENTE",TablaVentas[[#This Row],[Unidades]]*TablaVentas[[#This Row],[Precio_unitario]]*(1-TablaVentas[[#This Row],[Descuento_pct]]))</f>
        <v>5994.1080000000002</v>
      </c>
      <c r="P349">
        <f>IF(TablaVentas[[#This Row],[Costo_unitario]]="","PENDIENTE",TablaVentas[[#This Row],[Unidades]]*TablaVentas[[#This Row],[Costo_unitario]])</f>
        <v>4315.1000000000004</v>
      </c>
      <c r="Q349">
        <f>IF(OR(TablaVentas[[#This Row],[Ingreso_neto]]="PENDIENTE",TablaVentas[[#This Row],[Costo_total]]="PENDIENTE"),"PENDIENTE",TablaVentas[[#This Row],[Ingreso_neto]]-TablaVentas[[#This Row],[Costo_total]])</f>
        <v>1679.0079999999998</v>
      </c>
    </row>
    <row r="350" spans="1:17">
      <c r="A350" t="s">
        <v>419</v>
      </c>
      <c r="B350">
        <v>2</v>
      </c>
      <c r="C350" s="3">
        <v>46251</v>
      </c>
      <c r="D350" t="s">
        <v>64</v>
      </c>
      <c r="E350" t="s">
        <v>135</v>
      </c>
      <c r="F350" t="s">
        <v>39</v>
      </c>
      <c r="G350" t="s">
        <v>50</v>
      </c>
      <c r="H350" t="s">
        <v>184</v>
      </c>
      <c r="I350">
        <v>4</v>
      </c>
      <c r="J350" s="4">
        <v>1778.02</v>
      </c>
      <c r="K350" s="5">
        <v>0</v>
      </c>
      <c r="L350" s="4">
        <v>1529.93</v>
      </c>
      <c r="M350" t="s">
        <v>42</v>
      </c>
      <c r="N350" t="s">
        <v>60</v>
      </c>
      <c r="O350">
        <f>IF(TablaVentas[[#This Row],[Precio_unitario]]="","PENDIENTE",TablaVentas[[#This Row],[Unidades]]*TablaVentas[[#This Row],[Precio_unitario]]*(1-TablaVentas[[#This Row],[Descuento_pct]]))</f>
        <v>7112.08</v>
      </c>
      <c r="P350">
        <f>IF(TablaVentas[[#This Row],[Costo_unitario]]="","PENDIENTE",TablaVentas[[#This Row],[Unidades]]*TablaVentas[[#This Row],[Costo_unitario]])</f>
        <v>6119.72</v>
      </c>
      <c r="Q350">
        <f>IF(OR(TablaVentas[[#This Row],[Ingreso_neto]]="PENDIENTE",TablaVentas[[#This Row],[Costo_total]]="PENDIENTE"),"PENDIENTE",TablaVentas[[#This Row],[Ingreso_neto]]-TablaVentas[[#This Row],[Costo_total]])</f>
        <v>992.35999999999967</v>
      </c>
    </row>
    <row r="351" spans="1:17">
      <c r="A351" t="s">
        <v>420</v>
      </c>
      <c r="B351">
        <v>1</v>
      </c>
      <c r="C351" s="3">
        <v>46123</v>
      </c>
      <c r="D351" t="s">
        <v>337</v>
      </c>
      <c r="E351" t="s">
        <v>97</v>
      </c>
      <c r="F351" t="s">
        <v>39</v>
      </c>
      <c r="G351" t="s">
        <v>57</v>
      </c>
      <c r="H351" t="s">
        <v>124</v>
      </c>
      <c r="I351">
        <v>1</v>
      </c>
      <c r="J351" s="4">
        <v>15824.22</v>
      </c>
      <c r="K351" s="5">
        <v>0</v>
      </c>
      <c r="L351" s="4">
        <v>11424.77</v>
      </c>
      <c r="M351" t="s">
        <v>42</v>
      </c>
      <c r="N351" t="s">
        <v>43</v>
      </c>
      <c r="O351">
        <f>IF(TablaVentas[[#This Row],[Precio_unitario]]="","PENDIENTE",TablaVentas[[#This Row],[Unidades]]*TablaVentas[[#This Row],[Precio_unitario]]*(1-TablaVentas[[#This Row],[Descuento_pct]]))</f>
        <v>15824.22</v>
      </c>
      <c r="P351">
        <f>IF(TablaVentas[[#This Row],[Costo_unitario]]="","PENDIENTE",TablaVentas[[#This Row],[Unidades]]*TablaVentas[[#This Row],[Costo_unitario]])</f>
        <v>11424.77</v>
      </c>
      <c r="Q351">
        <f>IF(OR(TablaVentas[[#This Row],[Ingreso_neto]]="PENDIENTE",TablaVentas[[#This Row],[Costo_total]]="PENDIENTE"),"PENDIENTE",TablaVentas[[#This Row],[Ingreso_neto]]-TablaVentas[[#This Row],[Costo_total]])</f>
        <v>4399.4499999999989</v>
      </c>
    </row>
    <row r="352" spans="1:17">
      <c r="A352" t="s">
        <v>421</v>
      </c>
      <c r="B352">
        <v>1</v>
      </c>
      <c r="C352" s="3">
        <v>46239</v>
      </c>
      <c r="D352" t="s">
        <v>147</v>
      </c>
      <c r="E352" t="s">
        <v>46</v>
      </c>
      <c r="F352" t="s">
        <v>77</v>
      </c>
      <c r="G352" t="s">
        <v>40</v>
      </c>
      <c r="H352" t="s">
        <v>51</v>
      </c>
      <c r="I352">
        <v>1</v>
      </c>
      <c r="J352" s="4">
        <v>3754.54</v>
      </c>
      <c r="K352" s="5">
        <v>0</v>
      </c>
      <c r="L352" s="4">
        <v>2957.6</v>
      </c>
      <c r="M352" t="s">
        <v>42</v>
      </c>
      <c r="N352" t="s">
        <v>45</v>
      </c>
      <c r="O352">
        <f>IF(TablaVentas[[#This Row],[Precio_unitario]]="","PENDIENTE",TablaVentas[[#This Row],[Unidades]]*TablaVentas[[#This Row],[Precio_unitario]]*(1-TablaVentas[[#This Row],[Descuento_pct]]))</f>
        <v>3754.54</v>
      </c>
      <c r="P352">
        <f>IF(TablaVentas[[#This Row],[Costo_unitario]]="","PENDIENTE",TablaVentas[[#This Row],[Unidades]]*TablaVentas[[#This Row],[Costo_unitario]])</f>
        <v>2957.6</v>
      </c>
      <c r="Q352">
        <f>IF(OR(TablaVentas[[#This Row],[Ingreso_neto]]="PENDIENTE",TablaVentas[[#This Row],[Costo_total]]="PENDIENTE"),"PENDIENTE",TablaVentas[[#This Row],[Ingreso_neto]]-TablaVentas[[#This Row],[Costo_total]])</f>
        <v>796.94</v>
      </c>
    </row>
    <row r="353" spans="1:17">
      <c r="A353" t="s">
        <v>422</v>
      </c>
      <c r="B353">
        <v>1</v>
      </c>
      <c r="C353" s="3">
        <v>46121</v>
      </c>
      <c r="D353" t="s">
        <v>423</v>
      </c>
      <c r="E353" t="s">
        <v>367</v>
      </c>
      <c r="F353" t="s">
        <v>39</v>
      </c>
      <c r="G353" t="s">
        <v>57</v>
      </c>
      <c r="H353" t="s">
        <v>73</v>
      </c>
      <c r="I353">
        <v>1</v>
      </c>
      <c r="J353" s="4">
        <v>9914.06</v>
      </c>
      <c r="K353" s="5">
        <v>0.1</v>
      </c>
      <c r="L353" s="4">
        <v>5079.43</v>
      </c>
      <c r="M353" t="s">
        <v>42</v>
      </c>
      <c r="N353" t="s">
        <v>43</v>
      </c>
      <c r="O353">
        <f>IF(TablaVentas[[#This Row],[Precio_unitario]]="","PENDIENTE",TablaVentas[[#This Row],[Unidades]]*TablaVentas[[#This Row],[Precio_unitario]]*(1-TablaVentas[[#This Row],[Descuento_pct]]))</f>
        <v>8922.6540000000005</v>
      </c>
      <c r="P353">
        <f>IF(TablaVentas[[#This Row],[Costo_unitario]]="","PENDIENTE",TablaVentas[[#This Row],[Unidades]]*TablaVentas[[#This Row],[Costo_unitario]])</f>
        <v>5079.43</v>
      </c>
      <c r="Q353">
        <f>IF(OR(TablaVentas[[#This Row],[Ingreso_neto]]="PENDIENTE",TablaVentas[[#This Row],[Costo_total]]="PENDIENTE"),"PENDIENTE",TablaVentas[[#This Row],[Ingreso_neto]]-TablaVentas[[#This Row],[Costo_total]])</f>
        <v>3843.2240000000002</v>
      </c>
    </row>
    <row r="354" spans="1:17">
      <c r="A354" t="s">
        <v>422</v>
      </c>
      <c r="B354">
        <v>2</v>
      </c>
      <c r="C354" s="3">
        <v>46121</v>
      </c>
      <c r="D354" t="s">
        <v>423</v>
      </c>
      <c r="E354" t="s">
        <v>114</v>
      </c>
      <c r="F354" t="s">
        <v>39</v>
      </c>
      <c r="G354" t="s">
        <v>57</v>
      </c>
      <c r="H354" t="s">
        <v>73</v>
      </c>
      <c r="I354">
        <v>1</v>
      </c>
      <c r="J354" s="4">
        <v>14121.29</v>
      </c>
      <c r="K354" s="5">
        <v>0.2</v>
      </c>
      <c r="L354" s="4">
        <v>8239.48</v>
      </c>
      <c r="M354" t="s">
        <v>42</v>
      </c>
      <c r="N354" t="s">
        <v>43</v>
      </c>
      <c r="O354">
        <f>IF(TablaVentas[[#This Row],[Precio_unitario]]="","PENDIENTE",TablaVentas[[#This Row],[Unidades]]*TablaVentas[[#This Row],[Precio_unitario]]*(1-TablaVentas[[#This Row],[Descuento_pct]]))</f>
        <v>11297.032000000001</v>
      </c>
      <c r="P354">
        <f>IF(TablaVentas[[#This Row],[Costo_unitario]]="","PENDIENTE",TablaVentas[[#This Row],[Unidades]]*TablaVentas[[#This Row],[Costo_unitario]])</f>
        <v>8239.48</v>
      </c>
      <c r="Q354">
        <f>IF(OR(TablaVentas[[#This Row],[Ingreso_neto]]="PENDIENTE",TablaVentas[[#This Row],[Costo_total]]="PENDIENTE"),"PENDIENTE",TablaVentas[[#This Row],[Ingreso_neto]]-TablaVentas[[#This Row],[Costo_total]])</f>
        <v>3057.5520000000015</v>
      </c>
    </row>
    <row r="355" spans="1:17">
      <c r="A355" t="s">
        <v>422</v>
      </c>
      <c r="B355">
        <v>3</v>
      </c>
      <c r="C355" s="3">
        <v>46121</v>
      </c>
      <c r="D355" t="s">
        <v>423</v>
      </c>
      <c r="E355" t="s">
        <v>123</v>
      </c>
      <c r="F355" t="s">
        <v>39</v>
      </c>
      <c r="G355" t="s">
        <v>57</v>
      </c>
      <c r="H355" t="s">
        <v>73</v>
      </c>
      <c r="I355">
        <v>1</v>
      </c>
      <c r="J355" s="4">
        <v>17035.53</v>
      </c>
      <c r="K355" s="5">
        <v>0</v>
      </c>
      <c r="L355" s="4">
        <v>12679.41</v>
      </c>
      <c r="M355" t="s">
        <v>42</v>
      </c>
      <c r="N355" t="s">
        <v>60</v>
      </c>
      <c r="O355">
        <f>IF(TablaVentas[[#This Row],[Precio_unitario]]="","PENDIENTE",TablaVentas[[#This Row],[Unidades]]*TablaVentas[[#This Row],[Precio_unitario]]*(1-TablaVentas[[#This Row],[Descuento_pct]]))</f>
        <v>17035.53</v>
      </c>
      <c r="P355">
        <f>IF(TablaVentas[[#This Row],[Costo_unitario]]="","PENDIENTE",TablaVentas[[#This Row],[Unidades]]*TablaVentas[[#This Row],[Costo_unitario]])</f>
        <v>12679.41</v>
      </c>
      <c r="Q355">
        <f>IF(OR(TablaVentas[[#This Row],[Ingreso_neto]]="PENDIENTE",TablaVentas[[#This Row],[Costo_total]]="PENDIENTE"),"PENDIENTE",TablaVentas[[#This Row],[Ingreso_neto]]-TablaVentas[[#This Row],[Costo_total]])</f>
        <v>4356.119999999999</v>
      </c>
    </row>
    <row r="356" spans="1:17">
      <c r="A356" t="s">
        <v>424</v>
      </c>
      <c r="B356">
        <v>1</v>
      </c>
      <c r="C356" s="3">
        <v>46259</v>
      </c>
      <c r="D356" t="s">
        <v>361</v>
      </c>
      <c r="E356" t="s">
        <v>134</v>
      </c>
      <c r="F356" t="s">
        <v>56</v>
      </c>
      <c r="G356" t="s">
        <v>40</v>
      </c>
      <c r="H356" t="s">
        <v>184</v>
      </c>
      <c r="I356">
        <v>1</v>
      </c>
      <c r="J356" s="4">
        <v>270.58</v>
      </c>
      <c r="K356" s="5">
        <v>0.15</v>
      </c>
      <c r="L356" s="4">
        <v>176.47</v>
      </c>
      <c r="M356" t="s">
        <v>42</v>
      </c>
      <c r="N356" t="s">
        <v>43</v>
      </c>
      <c r="O356">
        <f>IF(TablaVentas[[#This Row],[Precio_unitario]]="","PENDIENTE",TablaVentas[[#This Row],[Unidades]]*TablaVentas[[#This Row],[Precio_unitario]]*(1-TablaVentas[[#This Row],[Descuento_pct]]))</f>
        <v>229.99299999999997</v>
      </c>
      <c r="P356">
        <f>IF(TablaVentas[[#This Row],[Costo_unitario]]="","PENDIENTE",TablaVentas[[#This Row],[Unidades]]*TablaVentas[[#This Row],[Costo_unitario]])</f>
        <v>176.47</v>
      </c>
      <c r="Q356">
        <f>IF(OR(TablaVentas[[#This Row],[Ingreso_neto]]="PENDIENTE",TablaVentas[[#This Row],[Costo_total]]="PENDIENTE"),"PENDIENTE",TablaVentas[[#This Row],[Ingreso_neto]]-TablaVentas[[#This Row],[Costo_total]])</f>
        <v>53.522999999999968</v>
      </c>
    </row>
    <row r="357" spans="1:17">
      <c r="A357" t="s">
        <v>424</v>
      </c>
      <c r="B357">
        <v>2</v>
      </c>
      <c r="C357" s="3">
        <v>46259</v>
      </c>
      <c r="D357" t="s">
        <v>361</v>
      </c>
      <c r="E357" t="s">
        <v>223</v>
      </c>
      <c r="F357" t="s">
        <v>56</v>
      </c>
      <c r="G357" t="s">
        <v>40</v>
      </c>
      <c r="H357" t="s">
        <v>184</v>
      </c>
      <c r="I357">
        <v>3</v>
      </c>
      <c r="J357" s="4">
        <v>6564.6</v>
      </c>
      <c r="K357" s="5">
        <v>0.05</v>
      </c>
      <c r="L357" s="4">
        <v>3298.19</v>
      </c>
      <c r="M357" t="s">
        <v>116</v>
      </c>
      <c r="N357" t="s">
        <v>60</v>
      </c>
      <c r="O357">
        <f>IF(TablaVentas[[#This Row],[Precio_unitario]]="","PENDIENTE",TablaVentas[[#This Row],[Unidades]]*TablaVentas[[#This Row],[Precio_unitario]]*(1-TablaVentas[[#This Row],[Descuento_pct]]))</f>
        <v>18709.11</v>
      </c>
      <c r="P357">
        <f>IF(TablaVentas[[#This Row],[Costo_unitario]]="","PENDIENTE",TablaVentas[[#This Row],[Unidades]]*TablaVentas[[#This Row],[Costo_unitario]])</f>
        <v>9894.57</v>
      </c>
      <c r="Q357">
        <f>IF(OR(TablaVentas[[#This Row],[Ingreso_neto]]="PENDIENTE",TablaVentas[[#This Row],[Costo_total]]="PENDIENTE"),"PENDIENTE",TablaVentas[[#This Row],[Ingreso_neto]]-TablaVentas[[#This Row],[Costo_total]])</f>
        <v>8814.5400000000009</v>
      </c>
    </row>
    <row r="358" spans="1:17">
      <c r="A358" t="s">
        <v>425</v>
      </c>
      <c r="B358">
        <v>1</v>
      </c>
      <c r="C358" s="3">
        <v>46027</v>
      </c>
      <c r="D358" t="s">
        <v>388</v>
      </c>
      <c r="E358" t="s">
        <v>135</v>
      </c>
      <c r="F358" t="s">
        <v>39</v>
      </c>
      <c r="G358" t="s">
        <v>57</v>
      </c>
      <c r="H358" t="s">
        <v>67</v>
      </c>
      <c r="I358">
        <v>1</v>
      </c>
      <c r="J358" s="4">
        <v>1901.42</v>
      </c>
      <c r="K358" s="5">
        <v>0</v>
      </c>
      <c r="L358" s="4">
        <v>1529.93</v>
      </c>
      <c r="M358" t="s">
        <v>116</v>
      </c>
      <c r="N358" t="s">
        <v>43</v>
      </c>
      <c r="O358">
        <f>IF(TablaVentas[[#This Row],[Precio_unitario]]="","PENDIENTE",TablaVentas[[#This Row],[Unidades]]*TablaVentas[[#This Row],[Precio_unitario]]*(1-TablaVentas[[#This Row],[Descuento_pct]]))</f>
        <v>1901.42</v>
      </c>
      <c r="P358">
        <f>IF(TablaVentas[[#This Row],[Costo_unitario]]="","PENDIENTE",TablaVentas[[#This Row],[Unidades]]*TablaVentas[[#This Row],[Costo_unitario]])</f>
        <v>1529.93</v>
      </c>
      <c r="Q358">
        <f>IF(OR(TablaVentas[[#This Row],[Ingreso_neto]]="PENDIENTE",TablaVentas[[#This Row],[Costo_total]]="PENDIENTE"),"PENDIENTE",TablaVentas[[#This Row],[Ingreso_neto]]-TablaVentas[[#This Row],[Costo_total]])</f>
        <v>371.49</v>
      </c>
    </row>
    <row r="359" spans="1:17">
      <c r="A359" t="s">
        <v>426</v>
      </c>
      <c r="B359">
        <v>1</v>
      </c>
      <c r="C359" s="3">
        <v>46199</v>
      </c>
      <c r="D359" t="s">
        <v>408</v>
      </c>
      <c r="E359" t="s">
        <v>159</v>
      </c>
      <c r="F359" t="s">
        <v>77</v>
      </c>
      <c r="G359" t="s">
        <v>40</v>
      </c>
      <c r="H359" t="s">
        <v>58</v>
      </c>
      <c r="I359">
        <v>2</v>
      </c>
      <c r="J359" s="4">
        <v>12547.07</v>
      </c>
      <c r="K359" s="5">
        <v>0</v>
      </c>
      <c r="L359" s="4">
        <v>9317.3700000000008</v>
      </c>
      <c r="M359" t="s">
        <v>42</v>
      </c>
      <c r="N359" t="s">
        <v>43</v>
      </c>
      <c r="O359">
        <f>IF(TablaVentas[[#This Row],[Precio_unitario]]="","PENDIENTE",TablaVentas[[#This Row],[Unidades]]*TablaVentas[[#This Row],[Precio_unitario]]*(1-TablaVentas[[#This Row],[Descuento_pct]]))</f>
        <v>25094.14</v>
      </c>
      <c r="P359">
        <f>IF(TablaVentas[[#This Row],[Costo_unitario]]="","PENDIENTE",TablaVentas[[#This Row],[Unidades]]*TablaVentas[[#This Row],[Costo_unitario]])</f>
        <v>18634.740000000002</v>
      </c>
      <c r="Q359">
        <f>IF(OR(TablaVentas[[#This Row],[Ingreso_neto]]="PENDIENTE",TablaVentas[[#This Row],[Costo_total]]="PENDIENTE"),"PENDIENTE",TablaVentas[[#This Row],[Ingreso_neto]]-TablaVentas[[#This Row],[Costo_total]])</f>
        <v>6459.3999999999978</v>
      </c>
    </row>
    <row r="360" spans="1:17">
      <c r="A360" t="s">
        <v>427</v>
      </c>
      <c r="B360">
        <v>1</v>
      </c>
      <c r="C360" s="3">
        <v>46116</v>
      </c>
      <c r="D360" t="s">
        <v>214</v>
      </c>
      <c r="E360" t="s">
        <v>125</v>
      </c>
      <c r="F360" t="s">
        <v>77</v>
      </c>
      <c r="G360" t="s">
        <v>57</v>
      </c>
      <c r="H360" t="s">
        <v>129</v>
      </c>
      <c r="I360">
        <v>5</v>
      </c>
      <c r="J360" s="4">
        <v>1580.1</v>
      </c>
      <c r="K360" s="5">
        <v>0</v>
      </c>
      <c r="L360" s="4">
        <v>1044.32</v>
      </c>
      <c r="M360" t="s">
        <v>42</v>
      </c>
      <c r="N360" t="s">
        <v>43</v>
      </c>
      <c r="O360">
        <f>IF(TablaVentas[[#This Row],[Precio_unitario]]="","PENDIENTE",TablaVentas[[#This Row],[Unidades]]*TablaVentas[[#This Row],[Precio_unitario]]*(1-TablaVentas[[#This Row],[Descuento_pct]]))</f>
        <v>7900.5</v>
      </c>
      <c r="P360">
        <f>IF(TablaVentas[[#This Row],[Costo_unitario]]="","PENDIENTE",TablaVentas[[#This Row],[Unidades]]*TablaVentas[[#This Row],[Costo_unitario]])</f>
        <v>5221.5999999999995</v>
      </c>
      <c r="Q360">
        <f>IF(OR(TablaVentas[[#This Row],[Ingreso_neto]]="PENDIENTE",TablaVentas[[#This Row],[Costo_total]]="PENDIENTE"),"PENDIENTE",TablaVentas[[#This Row],[Ingreso_neto]]-TablaVentas[[#This Row],[Costo_total]])</f>
        <v>2678.9000000000005</v>
      </c>
    </row>
    <row r="361" spans="1:17">
      <c r="A361" t="s">
        <v>427</v>
      </c>
      <c r="B361">
        <v>2</v>
      </c>
      <c r="C361" s="3">
        <v>46116</v>
      </c>
      <c r="D361" t="s">
        <v>214</v>
      </c>
      <c r="E361" t="s">
        <v>84</v>
      </c>
      <c r="F361" t="s">
        <v>77</v>
      </c>
      <c r="G361" t="s">
        <v>57</v>
      </c>
      <c r="H361" t="s">
        <v>129</v>
      </c>
      <c r="I361">
        <v>2</v>
      </c>
      <c r="J361" s="4">
        <v>15917.21</v>
      </c>
      <c r="K361" s="5">
        <v>0.05</v>
      </c>
      <c r="L361" s="4">
        <v>8576.0499999999993</v>
      </c>
      <c r="M361" t="s">
        <v>42</v>
      </c>
      <c r="N361" t="s">
        <v>45</v>
      </c>
      <c r="O361">
        <f>IF(TablaVentas[[#This Row],[Precio_unitario]]="","PENDIENTE",TablaVentas[[#This Row],[Unidades]]*TablaVentas[[#This Row],[Precio_unitario]]*(1-TablaVentas[[#This Row],[Descuento_pct]]))</f>
        <v>30242.698999999997</v>
      </c>
      <c r="P361">
        <f>IF(TablaVentas[[#This Row],[Costo_unitario]]="","PENDIENTE",TablaVentas[[#This Row],[Unidades]]*TablaVentas[[#This Row],[Costo_unitario]])</f>
        <v>17152.099999999999</v>
      </c>
      <c r="Q361">
        <f>IF(OR(TablaVentas[[#This Row],[Ingreso_neto]]="PENDIENTE",TablaVentas[[#This Row],[Costo_total]]="PENDIENTE"),"PENDIENTE",TablaVentas[[#This Row],[Ingreso_neto]]-TablaVentas[[#This Row],[Costo_total]])</f>
        <v>13090.598999999998</v>
      </c>
    </row>
    <row r="362" spans="1:17">
      <c r="A362" t="s">
        <v>427</v>
      </c>
      <c r="B362">
        <v>3</v>
      </c>
      <c r="C362" s="3">
        <v>46116</v>
      </c>
      <c r="D362" t="s">
        <v>214</v>
      </c>
      <c r="E362" t="s">
        <v>159</v>
      </c>
      <c r="F362" t="s">
        <v>77</v>
      </c>
      <c r="G362" t="s">
        <v>57</v>
      </c>
      <c r="H362" t="s">
        <v>129</v>
      </c>
      <c r="I362">
        <v>1</v>
      </c>
      <c r="J362" s="4">
        <v>12795.74</v>
      </c>
      <c r="K362" s="5">
        <v>0.05</v>
      </c>
      <c r="L362" s="4">
        <v>9317.3700000000008</v>
      </c>
      <c r="M362" t="s">
        <v>42</v>
      </c>
      <c r="N362" t="s">
        <v>43</v>
      </c>
      <c r="O362">
        <f>IF(TablaVentas[[#This Row],[Precio_unitario]]="","PENDIENTE",TablaVentas[[#This Row],[Unidades]]*TablaVentas[[#This Row],[Precio_unitario]]*(1-TablaVentas[[#This Row],[Descuento_pct]]))</f>
        <v>12155.953</v>
      </c>
      <c r="P362">
        <f>IF(TablaVentas[[#This Row],[Costo_unitario]]="","PENDIENTE",TablaVentas[[#This Row],[Unidades]]*TablaVentas[[#This Row],[Costo_unitario]])</f>
        <v>9317.3700000000008</v>
      </c>
      <c r="Q362">
        <f>IF(OR(TablaVentas[[#This Row],[Ingreso_neto]]="PENDIENTE",TablaVentas[[#This Row],[Costo_total]]="PENDIENTE"),"PENDIENTE",TablaVentas[[#This Row],[Ingreso_neto]]-TablaVentas[[#This Row],[Costo_total]])</f>
        <v>2838.5829999999987</v>
      </c>
    </row>
    <row r="363" spans="1:17">
      <c r="A363" t="s">
        <v>428</v>
      </c>
      <c r="B363">
        <v>1</v>
      </c>
      <c r="C363" s="3">
        <v>46126</v>
      </c>
      <c r="D363" t="s">
        <v>429</v>
      </c>
      <c r="E363" t="s">
        <v>106</v>
      </c>
      <c r="F363" t="s">
        <v>56</v>
      </c>
      <c r="G363" t="s">
        <v>57</v>
      </c>
      <c r="H363" t="s">
        <v>41</v>
      </c>
      <c r="I363">
        <v>4</v>
      </c>
      <c r="J363" s="4">
        <v>9508.34</v>
      </c>
      <c r="K363" s="5">
        <v>0</v>
      </c>
      <c r="L363" s="4">
        <v>8276.74</v>
      </c>
      <c r="M363" t="s">
        <v>42</v>
      </c>
      <c r="N363" t="s">
        <v>60</v>
      </c>
      <c r="O363">
        <f>IF(TablaVentas[[#This Row],[Precio_unitario]]="","PENDIENTE",TablaVentas[[#This Row],[Unidades]]*TablaVentas[[#This Row],[Precio_unitario]]*(1-TablaVentas[[#This Row],[Descuento_pct]]))</f>
        <v>38033.360000000001</v>
      </c>
      <c r="P363">
        <f>IF(TablaVentas[[#This Row],[Costo_unitario]]="","PENDIENTE",TablaVentas[[#This Row],[Unidades]]*TablaVentas[[#This Row],[Costo_unitario]])</f>
        <v>33106.959999999999</v>
      </c>
      <c r="Q363">
        <f>IF(OR(TablaVentas[[#This Row],[Ingreso_neto]]="PENDIENTE",TablaVentas[[#This Row],[Costo_total]]="PENDIENTE"),"PENDIENTE",TablaVentas[[#This Row],[Ingreso_neto]]-TablaVentas[[#This Row],[Costo_total]])</f>
        <v>4926.4000000000015</v>
      </c>
    </row>
    <row r="364" spans="1:17">
      <c r="A364" t="s">
        <v>430</v>
      </c>
      <c r="B364">
        <v>1</v>
      </c>
      <c r="C364" s="3">
        <v>46136</v>
      </c>
      <c r="D364" t="s">
        <v>150</v>
      </c>
      <c r="E364" t="s">
        <v>103</v>
      </c>
      <c r="F364" t="s">
        <v>77</v>
      </c>
      <c r="G364" t="s">
        <v>40</v>
      </c>
      <c r="H364" t="s">
        <v>51</v>
      </c>
      <c r="I364">
        <v>5</v>
      </c>
      <c r="J364" s="4">
        <v>13184.01</v>
      </c>
      <c r="K364" s="5">
        <v>0.15</v>
      </c>
      <c r="L364" s="4">
        <v>7549.71</v>
      </c>
      <c r="M364" t="s">
        <v>42</v>
      </c>
      <c r="N364" t="s">
        <v>60</v>
      </c>
      <c r="O364">
        <f>IF(TablaVentas[[#This Row],[Precio_unitario]]="","PENDIENTE",TablaVentas[[#This Row],[Unidades]]*TablaVentas[[#This Row],[Precio_unitario]]*(1-TablaVentas[[#This Row],[Descuento_pct]]))</f>
        <v>56032.042500000003</v>
      </c>
      <c r="P364">
        <f>IF(TablaVentas[[#This Row],[Costo_unitario]]="","PENDIENTE",TablaVentas[[#This Row],[Unidades]]*TablaVentas[[#This Row],[Costo_unitario]])</f>
        <v>37748.550000000003</v>
      </c>
      <c r="Q364">
        <f>IF(OR(TablaVentas[[#This Row],[Ingreso_neto]]="PENDIENTE",TablaVentas[[#This Row],[Costo_total]]="PENDIENTE"),"PENDIENTE",TablaVentas[[#This Row],[Ingreso_neto]]-TablaVentas[[#This Row],[Costo_total]])</f>
        <v>18283.4925</v>
      </c>
    </row>
    <row r="365" spans="1:17">
      <c r="A365" t="s">
        <v>430</v>
      </c>
      <c r="B365">
        <v>2</v>
      </c>
      <c r="C365" s="3">
        <v>46136</v>
      </c>
      <c r="D365" t="s">
        <v>150</v>
      </c>
      <c r="E365" t="s">
        <v>346</v>
      </c>
      <c r="F365" t="s">
        <v>77</v>
      </c>
      <c r="G365" t="s">
        <v>40</v>
      </c>
      <c r="H365" t="s">
        <v>51</v>
      </c>
      <c r="I365">
        <v>2</v>
      </c>
      <c r="J365" s="4">
        <v>2461.63</v>
      </c>
      <c r="K365" s="5">
        <v>0</v>
      </c>
      <c r="L365" s="4">
        <v>1175.74</v>
      </c>
      <c r="M365" t="s">
        <v>42</v>
      </c>
      <c r="N365" t="s">
        <v>60</v>
      </c>
      <c r="O365">
        <f>IF(TablaVentas[[#This Row],[Precio_unitario]]="","PENDIENTE",TablaVentas[[#This Row],[Unidades]]*TablaVentas[[#This Row],[Precio_unitario]]*(1-TablaVentas[[#This Row],[Descuento_pct]]))</f>
        <v>4923.26</v>
      </c>
      <c r="P365">
        <f>IF(TablaVentas[[#This Row],[Costo_unitario]]="","PENDIENTE",TablaVentas[[#This Row],[Unidades]]*TablaVentas[[#This Row],[Costo_unitario]])</f>
        <v>2351.48</v>
      </c>
      <c r="Q365">
        <f>IF(OR(TablaVentas[[#This Row],[Ingreso_neto]]="PENDIENTE",TablaVentas[[#This Row],[Costo_total]]="PENDIENTE"),"PENDIENTE",TablaVentas[[#This Row],[Ingreso_neto]]-TablaVentas[[#This Row],[Costo_total]])</f>
        <v>2571.7800000000002</v>
      </c>
    </row>
    <row r="366" spans="1:17">
      <c r="A366" t="s">
        <v>430</v>
      </c>
      <c r="B366">
        <v>3</v>
      </c>
      <c r="C366" s="3">
        <v>46136</v>
      </c>
      <c r="D366" t="s">
        <v>150</v>
      </c>
      <c r="E366" t="s">
        <v>84</v>
      </c>
      <c r="F366" t="s">
        <v>77</v>
      </c>
      <c r="G366" t="s">
        <v>40</v>
      </c>
      <c r="H366" t="s">
        <v>51</v>
      </c>
      <c r="I366">
        <v>1</v>
      </c>
      <c r="J366" s="4">
        <v>15820.4</v>
      </c>
      <c r="K366" s="5">
        <v>0</v>
      </c>
      <c r="L366" s="4">
        <v>8576.0499999999993</v>
      </c>
      <c r="M366" t="s">
        <v>42</v>
      </c>
      <c r="N366" t="s">
        <v>52</v>
      </c>
      <c r="O366">
        <f>IF(TablaVentas[[#This Row],[Precio_unitario]]="","PENDIENTE",TablaVentas[[#This Row],[Unidades]]*TablaVentas[[#This Row],[Precio_unitario]]*(1-TablaVentas[[#This Row],[Descuento_pct]]))</f>
        <v>15820.4</v>
      </c>
      <c r="P366">
        <f>IF(TablaVentas[[#This Row],[Costo_unitario]]="","PENDIENTE",TablaVentas[[#This Row],[Unidades]]*TablaVentas[[#This Row],[Costo_unitario]])</f>
        <v>8576.0499999999993</v>
      </c>
      <c r="Q366">
        <f>IF(OR(TablaVentas[[#This Row],[Ingreso_neto]]="PENDIENTE",TablaVentas[[#This Row],[Costo_total]]="PENDIENTE"),"PENDIENTE",TablaVentas[[#This Row],[Ingreso_neto]]-TablaVentas[[#This Row],[Costo_total]])</f>
        <v>7244.35</v>
      </c>
    </row>
    <row r="367" spans="1:17">
      <c r="A367" t="s">
        <v>430</v>
      </c>
      <c r="B367">
        <v>4</v>
      </c>
      <c r="C367" s="3">
        <v>46136</v>
      </c>
      <c r="D367" t="s">
        <v>150</v>
      </c>
      <c r="E367" t="s">
        <v>321</v>
      </c>
      <c r="F367" t="s">
        <v>77</v>
      </c>
      <c r="G367" t="s">
        <v>40</v>
      </c>
      <c r="H367" t="s">
        <v>51</v>
      </c>
      <c r="I367">
        <v>1</v>
      </c>
      <c r="J367" s="4">
        <v>1365.17</v>
      </c>
      <c r="K367" s="5">
        <v>0</v>
      </c>
      <c r="L367" s="4">
        <v>679.37</v>
      </c>
      <c r="M367" t="s">
        <v>42</v>
      </c>
      <c r="N367" t="s">
        <v>60</v>
      </c>
      <c r="O367">
        <f>IF(TablaVentas[[#This Row],[Precio_unitario]]="","PENDIENTE",TablaVentas[[#This Row],[Unidades]]*TablaVentas[[#This Row],[Precio_unitario]]*(1-TablaVentas[[#This Row],[Descuento_pct]]))</f>
        <v>1365.17</v>
      </c>
      <c r="P367">
        <f>IF(TablaVentas[[#This Row],[Costo_unitario]]="","PENDIENTE",TablaVentas[[#This Row],[Unidades]]*TablaVentas[[#This Row],[Costo_unitario]])</f>
        <v>679.37</v>
      </c>
      <c r="Q367">
        <f>IF(OR(TablaVentas[[#This Row],[Ingreso_neto]]="PENDIENTE",TablaVentas[[#This Row],[Costo_total]]="PENDIENTE"),"PENDIENTE",TablaVentas[[#This Row],[Ingreso_neto]]-TablaVentas[[#This Row],[Costo_total]])</f>
        <v>685.80000000000007</v>
      </c>
    </row>
    <row r="368" spans="1:17">
      <c r="A368" t="s">
        <v>431</v>
      </c>
      <c r="B368">
        <v>1</v>
      </c>
      <c r="C368" s="3">
        <v>46193</v>
      </c>
      <c r="D368" t="s">
        <v>64</v>
      </c>
      <c r="E368" t="s">
        <v>248</v>
      </c>
      <c r="F368" t="s">
        <v>66</v>
      </c>
      <c r="G368" t="s">
        <v>50</v>
      </c>
      <c r="H368" t="s">
        <v>129</v>
      </c>
      <c r="I368">
        <v>1</v>
      </c>
      <c r="J368" s="4">
        <v>12531.28</v>
      </c>
      <c r="K368" s="5">
        <v>0.2</v>
      </c>
      <c r="L368" s="4">
        <v>6856.4</v>
      </c>
      <c r="M368" t="s">
        <v>42</v>
      </c>
      <c r="N368" t="s">
        <v>43</v>
      </c>
      <c r="O368">
        <f>IF(TablaVentas[[#This Row],[Precio_unitario]]="","PENDIENTE",TablaVentas[[#This Row],[Unidades]]*TablaVentas[[#This Row],[Precio_unitario]]*(1-TablaVentas[[#This Row],[Descuento_pct]]))</f>
        <v>10025.024000000001</v>
      </c>
      <c r="P368">
        <f>IF(TablaVentas[[#This Row],[Costo_unitario]]="","PENDIENTE",TablaVentas[[#This Row],[Unidades]]*TablaVentas[[#This Row],[Costo_unitario]])</f>
        <v>6856.4</v>
      </c>
      <c r="Q368">
        <f>IF(OR(TablaVentas[[#This Row],[Ingreso_neto]]="PENDIENTE",TablaVentas[[#This Row],[Costo_total]]="PENDIENTE"),"PENDIENTE",TablaVentas[[#This Row],[Ingreso_neto]]-TablaVentas[[#This Row],[Costo_total]])</f>
        <v>3168.6240000000016</v>
      </c>
    </row>
    <row r="369" spans="1:17">
      <c r="A369" t="s">
        <v>432</v>
      </c>
      <c r="B369">
        <v>1</v>
      </c>
      <c r="C369" s="3">
        <v>46033</v>
      </c>
      <c r="D369" t="s">
        <v>179</v>
      </c>
      <c r="E369" t="s">
        <v>144</v>
      </c>
      <c r="F369" t="s">
        <v>39</v>
      </c>
      <c r="G369" t="s">
        <v>40</v>
      </c>
      <c r="H369" t="s">
        <v>82</v>
      </c>
      <c r="I369">
        <v>4</v>
      </c>
      <c r="J369" s="4">
        <v>8722.23</v>
      </c>
      <c r="K369" s="5">
        <v>0.15</v>
      </c>
      <c r="L369" s="4">
        <v>5125.3599999999997</v>
      </c>
      <c r="M369" t="s">
        <v>42</v>
      </c>
      <c r="N369" t="s">
        <v>45</v>
      </c>
      <c r="O369">
        <f>IF(TablaVentas[[#This Row],[Precio_unitario]]="","PENDIENTE",TablaVentas[[#This Row],[Unidades]]*TablaVentas[[#This Row],[Precio_unitario]]*(1-TablaVentas[[#This Row],[Descuento_pct]]))</f>
        <v>29655.581999999999</v>
      </c>
      <c r="P369">
        <f>IF(TablaVentas[[#This Row],[Costo_unitario]]="","PENDIENTE",TablaVentas[[#This Row],[Unidades]]*TablaVentas[[#This Row],[Costo_unitario]])</f>
        <v>20501.439999999999</v>
      </c>
      <c r="Q369">
        <f>IF(OR(TablaVentas[[#This Row],[Ingreso_neto]]="PENDIENTE",TablaVentas[[#This Row],[Costo_total]]="PENDIENTE"),"PENDIENTE",TablaVentas[[#This Row],[Ingreso_neto]]-TablaVentas[[#This Row],[Costo_total]])</f>
        <v>9154.1419999999998</v>
      </c>
    </row>
    <row r="370" spans="1:17">
      <c r="A370" t="s">
        <v>432</v>
      </c>
      <c r="B370">
        <v>2</v>
      </c>
      <c r="C370" s="3">
        <v>46033</v>
      </c>
      <c r="D370" t="s">
        <v>179</v>
      </c>
      <c r="E370" t="s">
        <v>70</v>
      </c>
      <c r="F370" t="s">
        <v>39</v>
      </c>
      <c r="G370" t="s">
        <v>40</v>
      </c>
      <c r="H370" t="s">
        <v>82</v>
      </c>
      <c r="I370">
        <v>2</v>
      </c>
      <c r="J370" s="4">
        <v>15476.91</v>
      </c>
      <c r="K370" s="5">
        <v>0</v>
      </c>
      <c r="L370" s="4">
        <v>10571.25</v>
      </c>
      <c r="M370" t="s">
        <v>42</v>
      </c>
      <c r="N370" t="s">
        <v>43</v>
      </c>
      <c r="O370">
        <f>IF(TablaVentas[[#This Row],[Precio_unitario]]="","PENDIENTE",TablaVentas[[#This Row],[Unidades]]*TablaVentas[[#This Row],[Precio_unitario]]*(1-TablaVentas[[#This Row],[Descuento_pct]]))</f>
        <v>30953.82</v>
      </c>
      <c r="P370">
        <f>IF(TablaVentas[[#This Row],[Costo_unitario]]="","PENDIENTE",TablaVentas[[#This Row],[Unidades]]*TablaVentas[[#This Row],[Costo_unitario]])</f>
        <v>21142.5</v>
      </c>
      <c r="Q370">
        <f>IF(OR(TablaVentas[[#This Row],[Ingreso_neto]]="PENDIENTE",TablaVentas[[#This Row],[Costo_total]]="PENDIENTE"),"PENDIENTE",TablaVentas[[#This Row],[Ingreso_neto]]-TablaVentas[[#This Row],[Costo_total]])</f>
        <v>9811.32</v>
      </c>
    </row>
    <row r="371" spans="1:17">
      <c r="A371" t="s">
        <v>433</v>
      </c>
      <c r="B371">
        <v>1</v>
      </c>
      <c r="C371" s="3">
        <v>46174</v>
      </c>
      <c r="D371" t="s">
        <v>187</v>
      </c>
      <c r="E371" t="s">
        <v>98</v>
      </c>
      <c r="F371" t="s">
        <v>77</v>
      </c>
      <c r="G371" t="s">
        <v>40</v>
      </c>
      <c r="H371" t="s">
        <v>51</v>
      </c>
      <c r="I371">
        <v>3</v>
      </c>
      <c r="J371" s="4">
        <v>17595.34</v>
      </c>
      <c r="K371" s="5">
        <v>0</v>
      </c>
      <c r="L371" s="4">
        <v>9881</v>
      </c>
      <c r="M371" t="s">
        <v>42</v>
      </c>
      <c r="N371" t="s">
        <v>43</v>
      </c>
      <c r="O371">
        <f>IF(TablaVentas[[#This Row],[Precio_unitario]]="","PENDIENTE",TablaVentas[[#This Row],[Unidades]]*TablaVentas[[#This Row],[Precio_unitario]]*(1-TablaVentas[[#This Row],[Descuento_pct]]))</f>
        <v>52786.020000000004</v>
      </c>
      <c r="P371">
        <f>IF(TablaVentas[[#This Row],[Costo_unitario]]="","PENDIENTE",TablaVentas[[#This Row],[Unidades]]*TablaVentas[[#This Row],[Costo_unitario]])</f>
        <v>29643</v>
      </c>
      <c r="Q371">
        <f>IF(OR(TablaVentas[[#This Row],[Ingreso_neto]]="PENDIENTE",TablaVentas[[#This Row],[Costo_total]]="PENDIENTE"),"PENDIENTE",TablaVentas[[#This Row],[Ingreso_neto]]-TablaVentas[[#This Row],[Costo_total]])</f>
        <v>23143.020000000004</v>
      </c>
    </row>
    <row r="372" spans="1:17">
      <c r="A372" t="s">
        <v>433</v>
      </c>
      <c r="B372">
        <v>2</v>
      </c>
      <c r="C372" s="3">
        <v>46174</v>
      </c>
      <c r="D372" t="s">
        <v>187</v>
      </c>
      <c r="E372" t="s">
        <v>321</v>
      </c>
      <c r="F372" t="s">
        <v>77</v>
      </c>
      <c r="G372" t="s">
        <v>40</v>
      </c>
      <c r="H372" t="s">
        <v>51</v>
      </c>
      <c r="I372">
        <v>5</v>
      </c>
      <c r="J372" s="4">
        <v>1209.45</v>
      </c>
      <c r="K372" s="5">
        <v>0.1</v>
      </c>
      <c r="L372" s="4">
        <v>679.37</v>
      </c>
      <c r="M372" t="s">
        <v>42</v>
      </c>
      <c r="N372" t="s">
        <v>45</v>
      </c>
      <c r="O372">
        <f>IF(TablaVentas[[#This Row],[Precio_unitario]]="","PENDIENTE",TablaVentas[[#This Row],[Unidades]]*TablaVentas[[#This Row],[Precio_unitario]]*(1-TablaVentas[[#This Row],[Descuento_pct]]))</f>
        <v>5442.5250000000005</v>
      </c>
      <c r="P372">
        <f>IF(TablaVentas[[#This Row],[Costo_unitario]]="","PENDIENTE",TablaVentas[[#This Row],[Unidades]]*TablaVentas[[#This Row],[Costo_unitario]])</f>
        <v>3396.85</v>
      </c>
      <c r="Q372">
        <f>IF(OR(TablaVentas[[#This Row],[Ingreso_neto]]="PENDIENTE",TablaVentas[[#This Row],[Costo_total]]="PENDIENTE"),"PENDIENTE",TablaVentas[[#This Row],[Ingreso_neto]]-TablaVentas[[#This Row],[Costo_total]])</f>
        <v>2045.6750000000006</v>
      </c>
    </row>
    <row r="373" spans="1:17">
      <c r="A373" t="s">
        <v>433</v>
      </c>
      <c r="B373">
        <v>3</v>
      </c>
      <c r="C373" s="3">
        <v>46174</v>
      </c>
      <c r="D373" t="s">
        <v>187</v>
      </c>
      <c r="E373" t="s">
        <v>233</v>
      </c>
      <c r="F373" t="s">
        <v>77</v>
      </c>
      <c r="G373" t="s">
        <v>40</v>
      </c>
      <c r="H373" t="s">
        <v>51</v>
      </c>
      <c r="I373">
        <v>3</v>
      </c>
      <c r="J373" s="4">
        <v>9518.61</v>
      </c>
      <c r="K373" s="5">
        <v>0.05</v>
      </c>
      <c r="L373" s="4">
        <v>5932.12</v>
      </c>
      <c r="M373" t="s">
        <v>42</v>
      </c>
      <c r="N373" t="s">
        <v>52</v>
      </c>
      <c r="O373">
        <f>IF(TablaVentas[[#This Row],[Precio_unitario]]="","PENDIENTE",TablaVentas[[#This Row],[Unidades]]*TablaVentas[[#This Row],[Precio_unitario]]*(1-TablaVentas[[#This Row],[Descuento_pct]]))</f>
        <v>27128.038499999999</v>
      </c>
      <c r="P373">
        <f>IF(TablaVentas[[#This Row],[Costo_unitario]]="","PENDIENTE",TablaVentas[[#This Row],[Unidades]]*TablaVentas[[#This Row],[Costo_unitario]])</f>
        <v>17796.36</v>
      </c>
      <c r="Q373">
        <f>IF(OR(TablaVentas[[#This Row],[Ingreso_neto]]="PENDIENTE",TablaVentas[[#This Row],[Costo_total]]="PENDIENTE"),"PENDIENTE",TablaVentas[[#This Row],[Ingreso_neto]]-TablaVentas[[#This Row],[Costo_total]])</f>
        <v>9331.6784999999982</v>
      </c>
    </row>
    <row r="374" spans="1:17">
      <c r="A374" t="s">
        <v>434</v>
      </c>
      <c r="B374">
        <v>1</v>
      </c>
      <c r="C374" s="3">
        <v>46055</v>
      </c>
      <c r="D374" t="s">
        <v>435</v>
      </c>
      <c r="E374" t="s">
        <v>218</v>
      </c>
      <c r="F374" t="s">
        <v>39</v>
      </c>
      <c r="G374" t="s">
        <v>57</v>
      </c>
      <c r="H374" t="s">
        <v>73</v>
      </c>
      <c r="I374">
        <v>1</v>
      </c>
      <c r="J374" s="4">
        <v>4448.37</v>
      </c>
      <c r="K374" s="5">
        <v>0</v>
      </c>
      <c r="L374" s="4">
        <v>2833.97</v>
      </c>
      <c r="M374" t="s">
        <v>42</v>
      </c>
      <c r="N374" t="s">
        <v>43</v>
      </c>
      <c r="O374">
        <f>IF(TablaVentas[[#This Row],[Precio_unitario]]="","PENDIENTE",TablaVentas[[#This Row],[Unidades]]*TablaVentas[[#This Row],[Precio_unitario]]*(1-TablaVentas[[#This Row],[Descuento_pct]]))</f>
        <v>4448.37</v>
      </c>
      <c r="P374">
        <f>IF(TablaVentas[[#This Row],[Costo_unitario]]="","PENDIENTE",TablaVentas[[#This Row],[Unidades]]*TablaVentas[[#This Row],[Costo_unitario]])</f>
        <v>2833.97</v>
      </c>
      <c r="Q374">
        <f>IF(OR(TablaVentas[[#This Row],[Ingreso_neto]]="PENDIENTE",TablaVentas[[#This Row],[Costo_total]]="PENDIENTE"),"PENDIENTE",TablaVentas[[#This Row],[Ingreso_neto]]-TablaVentas[[#This Row],[Costo_total]])</f>
        <v>1614.4</v>
      </c>
    </row>
    <row r="375" spans="1:17">
      <c r="A375" t="s">
        <v>434</v>
      </c>
      <c r="B375">
        <v>2</v>
      </c>
      <c r="C375" s="3">
        <v>46055</v>
      </c>
      <c r="D375" t="s">
        <v>435</v>
      </c>
      <c r="E375" t="s">
        <v>133</v>
      </c>
      <c r="F375" t="s">
        <v>39</v>
      </c>
      <c r="G375" t="s">
        <v>57</v>
      </c>
      <c r="H375" t="s">
        <v>73</v>
      </c>
      <c r="I375">
        <v>2</v>
      </c>
      <c r="J375" s="4">
        <v>8473.7999999999993</v>
      </c>
      <c r="K375" s="5">
        <v>0.15</v>
      </c>
      <c r="L375" s="4">
        <v>4061.34</v>
      </c>
      <c r="M375" t="s">
        <v>42</v>
      </c>
      <c r="N375" t="s">
        <v>52</v>
      </c>
      <c r="O375">
        <f>IF(TablaVentas[[#This Row],[Precio_unitario]]="","PENDIENTE",TablaVentas[[#This Row],[Unidades]]*TablaVentas[[#This Row],[Precio_unitario]]*(1-TablaVentas[[#This Row],[Descuento_pct]]))</f>
        <v>14405.46</v>
      </c>
      <c r="P375">
        <f>IF(TablaVentas[[#This Row],[Costo_unitario]]="","PENDIENTE",TablaVentas[[#This Row],[Unidades]]*TablaVentas[[#This Row],[Costo_unitario]])</f>
        <v>8122.68</v>
      </c>
      <c r="Q375">
        <f>IF(OR(TablaVentas[[#This Row],[Ingreso_neto]]="PENDIENTE",TablaVentas[[#This Row],[Costo_total]]="PENDIENTE"),"PENDIENTE",TablaVentas[[#This Row],[Ingreso_neto]]-TablaVentas[[#This Row],[Costo_total]])</f>
        <v>6282.7799999999988</v>
      </c>
    </row>
    <row r="376" spans="1:17">
      <c r="A376" t="s">
        <v>434</v>
      </c>
      <c r="B376">
        <v>3</v>
      </c>
      <c r="C376" s="3">
        <v>46055</v>
      </c>
      <c r="D376" t="s">
        <v>435</v>
      </c>
      <c r="E376" t="s">
        <v>273</v>
      </c>
      <c r="F376" t="s">
        <v>39</v>
      </c>
      <c r="G376" t="s">
        <v>57</v>
      </c>
      <c r="H376" t="s">
        <v>73</v>
      </c>
      <c r="I376">
        <v>2</v>
      </c>
      <c r="J376" s="4">
        <v>1532.61</v>
      </c>
      <c r="K376" s="5">
        <v>0</v>
      </c>
      <c r="L376" s="4">
        <v>716.26</v>
      </c>
      <c r="M376" t="s">
        <v>42</v>
      </c>
      <c r="N376" t="s">
        <v>43</v>
      </c>
      <c r="O376">
        <f>IF(TablaVentas[[#This Row],[Precio_unitario]]="","PENDIENTE",TablaVentas[[#This Row],[Unidades]]*TablaVentas[[#This Row],[Precio_unitario]]*(1-TablaVentas[[#This Row],[Descuento_pct]]))</f>
        <v>3065.22</v>
      </c>
      <c r="P376">
        <f>IF(TablaVentas[[#This Row],[Costo_unitario]]="","PENDIENTE",TablaVentas[[#This Row],[Unidades]]*TablaVentas[[#This Row],[Costo_unitario]])</f>
        <v>1432.52</v>
      </c>
      <c r="Q376">
        <f>IF(OR(TablaVentas[[#This Row],[Ingreso_neto]]="PENDIENTE",TablaVentas[[#This Row],[Costo_total]]="PENDIENTE"),"PENDIENTE",TablaVentas[[#This Row],[Ingreso_neto]]-TablaVentas[[#This Row],[Costo_total]])</f>
        <v>1632.6999999999998</v>
      </c>
    </row>
    <row r="377" spans="1:17">
      <c r="A377" t="s">
        <v>436</v>
      </c>
      <c r="B377">
        <v>1</v>
      </c>
      <c r="C377" s="3">
        <v>46092</v>
      </c>
      <c r="D377" t="s">
        <v>429</v>
      </c>
      <c r="E377" t="s">
        <v>69</v>
      </c>
      <c r="F377" t="s">
        <v>66</v>
      </c>
      <c r="G377" t="s">
        <v>57</v>
      </c>
      <c r="H377" t="s">
        <v>129</v>
      </c>
      <c r="I377">
        <v>1</v>
      </c>
      <c r="J377" s="4">
        <v>13638.02</v>
      </c>
      <c r="K377" s="5">
        <v>0.05</v>
      </c>
      <c r="L377" s="4">
        <v>10094.26</v>
      </c>
      <c r="M377" t="s">
        <v>42</v>
      </c>
      <c r="N377" t="s">
        <v>52</v>
      </c>
      <c r="O377">
        <f>IF(TablaVentas[[#This Row],[Precio_unitario]]="","PENDIENTE",TablaVentas[[#This Row],[Unidades]]*TablaVentas[[#This Row],[Precio_unitario]]*(1-TablaVentas[[#This Row],[Descuento_pct]]))</f>
        <v>12956.119000000001</v>
      </c>
      <c r="P377">
        <f>IF(TablaVentas[[#This Row],[Costo_unitario]]="","PENDIENTE",TablaVentas[[#This Row],[Unidades]]*TablaVentas[[#This Row],[Costo_unitario]])</f>
        <v>10094.26</v>
      </c>
      <c r="Q377">
        <f>IF(OR(TablaVentas[[#This Row],[Ingreso_neto]]="PENDIENTE",TablaVentas[[#This Row],[Costo_total]]="PENDIENTE"),"PENDIENTE",TablaVentas[[#This Row],[Ingreso_neto]]-TablaVentas[[#This Row],[Costo_total]])</f>
        <v>2861.8590000000004</v>
      </c>
    </row>
    <row r="378" spans="1:17">
      <c r="A378" t="s">
        <v>436</v>
      </c>
      <c r="B378">
        <v>2</v>
      </c>
      <c r="C378" s="3">
        <v>46092</v>
      </c>
      <c r="D378" t="s">
        <v>429</v>
      </c>
      <c r="E378" t="s">
        <v>193</v>
      </c>
      <c r="F378" t="s">
        <v>66</v>
      </c>
      <c r="G378" t="s">
        <v>57</v>
      </c>
      <c r="H378" t="s">
        <v>129</v>
      </c>
      <c r="I378">
        <v>5</v>
      </c>
      <c r="J378" s="4">
        <v>11865.24</v>
      </c>
      <c r="K378" s="5">
        <v>0.2</v>
      </c>
      <c r="L378" s="4">
        <v>5811.72</v>
      </c>
      <c r="M378" t="s">
        <v>42</v>
      </c>
      <c r="N378" t="s">
        <v>45</v>
      </c>
      <c r="O378">
        <f>IF(TablaVentas[[#This Row],[Precio_unitario]]="","PENDIENTE",TablaVentas[[#This Row],[Unidades]]*TablaVentas[[#This Row],[Precio_unitario]]*(1-TablaVentas[[#This Row],[Descuento_pct]]))</f>
        <v>47460.959999999999</v>
      </c>
      <c r="P378">
        <f>IF(TablaVentas[[#This Row],[Costo_unitario]]="","PENDIENTE",TablaVentas[[#This Row],[Unidades]]*TablaVentas[[#This Row],[Costo_unitario]])</f>
        <v>29058.600000000002</v>
      </c>
      <c r="Q378">
        <f>IF(OR(TablaVentas[[#This Row],[Ingreso_neto]]="PENDIENTE",TablaVentas[[#This Row],[Costo_total]]="PENDIENTE"),"PENDIENTE",TablaVentas[[#This Row],[Ingreso_neto]]-TablaVentas[[#This Row],[Costo_total]])</f>
        <v>18402.359999999997</v>
      </c>
    </row>
    <row r="379" spans="1:17">
      <c r="A379" t="s">
        <v>436</v>
      </c>
      <c r="B379">
        <v>3</v>
      </c>
      <c r="C379" s="3">
        <v>46092</v>
      </c>
      <c r="D379" t="s">
        <v>429</v>
      </c>
      <c r="E379" t="s">
        <v>163</v>
      </c>
      <c r="F379" t="s">
        <v>66</v>
      </c>
      <c r="G379" t="s">
        <v>57</v>
      </c>
      <c r="H379" t="s">
        <v>129</v>
      </c>
      <c r="I379">
        <v>1</v>
      </c>
      <c r="J379" s="4">
        <v>15280.42</v>
      </c>
      <c r="K379" s="5">
        <v>0.2</v>
      </c>
      <c r="L379" s="4">
        <v>12141.44</v>
      </c>
      <c r="M379" t="s">
        <v>42</v>
      </c>
      <c r="N379" t="s">
        <v>60</v>
      </c>
      <c r="O379">
        <f>IF(TablaVentas[[#This Row],[Precio_unitario]]="","PENDIENTE",TablaVentas[[#This Row],[Unidades]]*TablaVentas[[#This Row],[Precio_unitario]]*(1-TablaVentas[[#This Row],[Descuento_pct]]))</f>
        <v>12224.336000000001</v>
      </c>
      <c r="P379">
        <f>IF(TablaVentas[[#This Row],[Costo_unitario]]="","PENDIENTE",TablaVentas[[#This Row],[Unidades]]*TablaVentas[[#This Row],[Costo_unitario]])</f>
        <v>12141.44</v>
      </c>
      <c r="Q379">
        <f>IF(OR(TablaVentas[[#This Row],[Ingreso_neto]]="PENDIENTE",TablaVentas[[#This Row],[Costo_total]]="PENDIENTE"),"PENDIENTE",TablaVentas[[#This Row],[Ingreso_neto]]-TablaVentas[[#This Row],[Costo_total]])</f>
        <v>82.89600000000064</v>
      </c>
    </row>
    <row r="380" spans="1:17">
      <c r="A380" t="s">
        <v>437</v>
      </c>
      <c r="B380">
        <v>1</v>
      </c>
      <c r="C380" s="3">
        <v>46138</v>
      </c>
      <c r="D380" t="s">
        <v>438</v>
      </c>
      <c r="E380" t="s">
        <v>293</v>
      </c>
      <c r="F380" t="s">
        <v>66</v>
      </c>
      <c r="G380" t="s">
        <v>50</v>
      </c>
      <c r="H380" t="s">
        <v>67</v>
      </c>
      <c r="I380">
        <v>2</v>
      </c>
      <c r="J380" s="4">
        <v>1156.4000000000001</v>
      </c>
      <c r="K380" s="5">
        <v>0</v>
      </c>
      <c r="L380" s="4">
        <v>936.52</v>
      </c>
      <c r="M380" t="s">
        <v>42</v>
      </c>
      <c r="N380" t="s">
        <v>60</v>
      </c>
      <c r="O380">
        <f>IF(TablaVentas[[#This Row],[Precio_unitario]]="","PENDIENTE",TablaVentas[[#This Row],[Unidades]]*TablaVentas[[#This Row],[Precio_unitario]]*(1-TablaVentas[[#This Row],[Descuento_pct]]))</f>
        <v>2312.8000000000002</v>
      </c>
      <c r="P380">
        <f>IF(TablaVentas[[#This Row],[Costo_unitario]]="","PENDIENTE",TablaVentas[[#This Row],[Unidades]]*TablaVentas[[#This Row],[Costo_unitario]])</f>
        <v>1873.04</v>
      </c>
      <c r="Q380">
        <f>IF(OR(TablaVentas[[#This Row],[Ingreso_neto]]="PENDIENTE",TablaVentas[[#This Row],[Costo_total]]="PENDIENTE"),"PENDIENTE",TablaVentas[[#This Row],[Ingreso_neto]]-TablaVentas[[#This Row],[Costo_total]])</f>
        <v>439.76000000000022</v>
      </c>
    </row>
    <row r="381" spans="1:17">
      <c r="A381" t="s">
        <v>437</v>
      </c>
      <c r="B381">
        <v>2</v>
      </c>
      <c r="C381" s="3">
        <v>46138</v>
      </c>
      <c r="D381" t="s">
        <v>438</v>
      </c>
      <c r="E381" t="s">
        <v>335</v>
      </c>
      <c r="F381" t="s">
        <v>66</v>
      </c>
      <c r="G381" t="s">
        <v>50</v>
      </c>
      <c r="H381" t="s">
        <v>67</v>
      </c>
      <c r="I381">
        <v>3</v>
      </c>
      <c r="J381" s="4">
        <v>7480.7</v>
      </c>
      <c r="K381" s="5">
        <v>0</v>
      </c>
      <c r="L381" s="4">
        <v>5587.31</v>
      </c>
      <c r="M381" t="s">
        <v>42</v>
      </c>
      <c r="N381" t="s">
        <v>60</v>
      </c>
      <c r="O381">
        <f>IF(TablaVentas[[#This Row],[Precio_unitario]]="","PENDIENTE",TablaVentas[[#This Row],[Unidades]]*TablaVentas[[#This Row],[Precio_unitario]]*(1-TablaVentas[[#This Row],[Descuento_pct]]))</f>
        <v>22442.1</v>
      </c>
      <c r="P381">
        <f>IF(TablaVentas[[#This Row],[Costo_unitario]]="","PENDIENTE",TablaVentas[[#This Row],[Unidades]]*TablaVentas[[#This Row],[Costo_unitario]])</f>
        <v>16761.93</v>
      </c>
      <c r="Q381">
        <f>IF(OR(TablaVentas[[#This Row],[Ingreso_neto]]="PENDIENTE",TablaVentas[[#This Row],[Costo_total]]="PENDIENTE"),"PENDIENTE",TablaVentas[[#This Row],[Ingreso_neto]]-TablaVentas[[#This Row],[Costo_total]])</f>
        <v>5680.1699999999983</v>
      </c>
    </row>
    <row r="382" spans="1:17">
      <c r="A382" t="s">
        <v>437</v>
      </c>
      <c r="B382">
        <v>3</v>
      </c>
      <c r="C382" s="3">
        <v>46138</v>
      </c>
      <c r="D382" t="s">
        <v>438</v>
      </c>
      <c r="E382" t="s">
        <v>76</v>
      </c>
      <c r="F382" t="s">
        <v>66</v>
      </c>
      <c r="G382" t="s">
        <v>50</v>
      </c>
      <c r="H382" t="s">
        <v>67</v>
      </c>
      <c r="I382">
        <v>1</v>
      </c>
      <c r="J382" s="4">
        <v>13770.06</v>
      </c>
      <c r="K382" s="5">
        <v>0</v>
      </c>
      <c r="L382" s="4">
        <v>7748.44</v>
      </c>
      <c r="M382" t="s">
        <v>42</v>
      </c>
      <c r="N382" t="s">
        <v>45</v>
      </c>
      <c r="O382">
        <f>IF(TablaVentas[[#This Row],[Precio_unitario]]="","PENDIENTE",TablaVentas[[#This Row],[Unidades]]*TablaVentas[[#This Row],[Precio_unitario]]*(1-TablaVentas[[#This Row],[Descuento_pct]]))</f>
        <v>13770.06</v>
      </c>
      <c r="P382">
        <f>IF(TablaVentas[[#This Row],[Costo_unitario]]="","PENDIENTE",TablaVentas[[#This Row],[Unidades]]*TablaVentas[[#This Row],[Costo_unitario]])</f>
        <v>7748.44</v>
      </c>
      <c r="Q382">
        <f>IF(OR(TablaVentas[[#This Row],[Ingreso_neto]]="PENDIENTE",TablaVentas[[#This Row],[Costo_total]]="PENDIENTE"),"PENDIENTE",TablaVentas[[#This Row],[Ingreso_neto]]-TablaVentas[[#This Row],[Costo_total]])</f>
        <v>6021.62</v>
      </c>
    </row>
    <row r="383" spans="1:17">
      <c r="A383" t="s">
        <v>439</v>
      </c>
      <c r="B383">
        <v>1</v>
      </c>
      <c r="C383" s="3">
        <v>46078</v>
      </c>
      <c r="D383" t="s">
        <v>337</v>
      </c>
      <c r="E383" t="s">
        <v>326</v>
      </c>
      <c r="F383" t="s">
        <v>39</v>
      </c>
      <c r="G383" t="s">
        <v>57</v>
      </c>
      <c r="H383" t="s">
        <v>102</v>
      </c>
      <c r="I383">
        <v>2</v>
      </c>
      <c r="J383" s="4">
        <v>6973.78</v>
      </c>
      <c r="K383" s="5">
        <v>0.2</v>
      </c>
      <c r="L383" s="4">
        <v>4044.16</v>
      </c>
      <c r="M383" t="s">
        <v>42</v>
      </c>
      <c r="N383" t="s">
        <v>52</v>
      </c>
      <c r="O383">
        <f>IF(TablaVentas[[#This Row],[Precio_unitario]]="","PENDIENTE",TablaVentas[[#This Row],[Unidades]]*TablaVentas[[#This Row],[Precio_unitario]]*(1-TablaVentas[[#This Row],[Descuento_pct]]))</f>
        <v>11158.048000000001</v>
      </c>
      <c r="P383">
        <f>IF(TablaVentas[[#This Row],[Costo_unitario]]="","PENDIENTE",TablaVentas[[#This Row],[Unidades]]*TablaVentas[[#This Row],[Costo_unitario]])</f>
        <v>8088.32</v>
      </c>
      <c r="Q383">
        <f>IF(OR(TablaVentas[[#This Row],[Ingreso_neto]]="PENDIENTE",TablaVentas[[#This Row],[Costo_total]]="PENDIENTE"),"PENDIENTE",TablaVentas[[#This Row],[Ingreso_neto]]-TablaVentas[[#This Row],[Costo_total]])</f>
        <v>3069.728000000001</v>
      </c>
    </row>
    <row r="384" spans="1:17">
      <c r="A384" t="s">
        <v>439</v>
      </c>
      <c r="B384">
        <v>2</v>
      </c>
      <c r="C384" s="3">
        <v>46078</v>
      </c>
      <c r="D384" t="s">
        <v>337</v>
      </c>
      <c r="E384" t="s">
        <v>203</v>
      </c>
      <c r="F384" t="s">
        <v>39</v>
      </c>
      <c r="G384" t="s">
        <v>57</v>
      </c>
      <c r="H384" t="s">
        <v>102</v>
      </c>
      <c r="I384">
        <v>2</v>
      </c>
      <c r="J384" s="4">
        <v>2061.1</v>
      </c>
      <c r="K384" s="5">
        <v>0</v>
      </c>
      <c r="L384" s="4">
        <v>1252.8399999999999</v>
      </c>
      <c r="M384" t="s">
        <v>116</v>
      </c>
      <c r="N384" t="s">
        <v>45</v>
      </c>
      <c r="O384">
        <f>IF(TablaVentas[[#This Row],[Precio_unitario]]="","PENDIENTE",TablaVentas[[#This Row],[Unidades]]*TablaVentas[[#This Row],[Precio_unitario]]*(1-TablaVentas[[#This Row],[Descuento_pct]]))</f>
        <v>4122.2</v>
      </c>
      <c r="P384">
        <f>IF(TablaVentas[[#This Row],[Costo_unitario]]="","PENDIENTE",TablaVentas[[#This Row],[Unidades]]*TablaVentas[[#This Row],[Costo_unitario]])</f>
        <v>2505.6799999999998</v>
      </c>
      <c r="Q384">
        <f>IF(OR(TablaVentas[[#This Row],[Ingreso_neto]]="PENDIENTE",TablaVentas[[#This Row],[Costo_total]]="PENDIENTE"),"PENDIENTE",TablaVentas[[#This Row],[Ingreso_neto]]-TablaVentas[[#This Row],[Costo_total]])</f>
        <v>1616.52</v>
      </c>
    </row>
    <row r="385" spans="1:17">
      <c r="A385" t="s">
        <v>440</v>
      </c>
      <c r="B385">
        <v>1</v>
      </c>
      <c r="C385" s="3">
        <v>46148</v>
      </c>
      <c r="D385" t="s">
        <v>441</v>
      </c>
      <c r="E385" t="s">
        <v>134</v>
      </c>
      <c r="F385" t="s">
        <v>39</v>
      </c>
      <c r="G385" t="s">
        <v>50</v>
      </c>
      <c r="H385" t="s">
        <v>58</v>
      </c>
      <c r="I385">
        <v>3</v>
      </c>
      <c r="J385" s="4">
        <v>248.4</v>
      </c>
      <c r="K385" s="5">
        <v>0</v>
      </c>
      <c r="L385" s="4">
        <v>176.47</v>
      </c>
      <c r="M385" t="s">
        <v>42</v>
      </c>
      <c r="N385" t="s">
        <v>45</v>
      </c>
      <c r="O385">
        <f>IF(TablaVentas[[#This Row],[Precio_unitario]]="","PENDIENTE",TablaVentas[[#This Row],[Unidades]]*TablaVentas[[#This Row],[Precio_unitario]]*(1-TablaVentas[[#This Row],[Descuento_pct]]))</f>
        <v>745.2</v>
      </c>
      <c r="P385">
        <f>IF(TablaVentas[[#This Row],[Costo_unitario]]="","PENDIENTE",TablaVentas[[#This Row],[Unidades]]*TablaVentas[[#This Row],[Costo_unitario]])</f>
        <v>529.41</v>
      </c>
      <c r="Q385">
        <f>IF(OR(TablaVentas[[#This Row],[Ingreso_neto]]="PENDIENTE",TablaVentas[[#This Row],[Costo_total]]="PENDIENTE"),"PENDIENTE",TablaVentas[[#This Row],[Ingreso_neto]]-TablaVentas[[#This Row],[Costo_total]])</f>
        <v>215.79000000000008</v>
      </c>
    </row>
    <row r="386" spans="1:17">
      <c r="A386" t="s">
        <v>440</v>
      </c>
      <c r="B386">
        <v>2</v>
      </c>
      <c r="C386" s="3">
        <v>46148</v>
      </c>
      <c r="D386" t="s">
        <v>441</v>
      </c>
      <c r="E386" t="s">
        <v>97</v>
      </c>
      <c r="F386" t="s">
        <v>39</v>
      </c>
      <c r="G386" t="s">
        <v>50</v>
      </c>
      <c r="H386" t="s">
        <v>58</v>
      </c>
      <c r="I386">
        <v>12</v>
      </c>
      <c r="J386" s="4">
        <v>14856.04</v>
      </c>
      <c r="K386" s="5">
        <v>0.2</v>
      </c>
      <c r="L386" s="4">
        <v>11424.77</v>
      </c>
      <c r="M386" t="s">
        <v>116</v>
      </c>
      <c r="N386" t="s">
        <v>45</v>
      </c>
      <c r="O386">
        <f>IF(TablaVentas[[#This Row],[Precio_unitario]]="","PENDIENTE",TablaVentas[[#This Row],[Unidades]]*TablaVentas[[#This Row],[Precio_unitario]]*(1-TablaVentas[[#This Row],[Descuento_pct]]))</f>
        <v>142617.98400000003</v>
      </c>
      <c r="P386">
        <f>IF(TablaVentas[[#This Row],[Costo_unitario]]="","PENDIENTE",TablaVentas[[#This Row],[Unidades]]*TablaVentas[[#This Row],[Costo_unitario]])</f>
        <v>137097.24</v>
      </c>
      <c r="Q386">
        <f>IF(OR(TablaVentas[[#This Row],[Ingreso_neto]]="PENDIENTE",TablaVentas[[#This Row],[Costo_total]]="PENDIENTE"),"PENDIENTE",TablaVentas[[#This Row],[Ingreso_neto]]-TablaVentas[[#This Row],[Costo_total]])</f>
        <v>5520.7440000000352</v>
      </c>
    </row>
    <row r="387" spans="1:17">
      <c r="A387" t="s">
        <v>440</v>
      </c>
      <c r="B387">
        <v>3</v>
      </c>
      <c r="C387" s="3">
        <v>46148</v>
      </c>
      <c r="D387" t="s">
        <v>441</v>
      </c>
      <c r="E387" t="s">
        <v>273</v>
      </c>
      <c r="F387" t="s">
        <v>39</v>
      </c>
      <c r="G387" t="s">
        <v>50</v>
      </c>
      <c r="H387" t="s">
        <v>58</v>
      </c>
      <c r="I387">
        <v>1</v>
      </c>
      <c r="J387" s="4">
        <v>1505.31</v>
      </c>
      <c r="K387" s="5">
        <v>0</v>
      </c>
      <c r="L387" s="4">
        <v>716.26</v>
      </c>
      <c r="M387" t="s">
        <v>42</v>
      </c>
      <c r="N387" t="s">
        <v>45</v>
      </c>
      <c r="O387">
        <f>IF(TablaVentas[[#This Row],[Precio_unitario]]="","PENDIENTE",TablaVentas[[#This Row],[Unidades]]*TablaVentas[[#This Row],[Precio_unitario]]*(1-TablaVentas[[#This Row],[Descuento_pct]]))</f>
        <v>1505.31</v>
      </c>
      <c r="P387">
        <f>IF(TablaVentas[[#This Row],[Costo_unitario]]="","PENDIENTE",TablaVentas[[#This Row],[Unidades]]*TablaVentas[[#This Row],[Costo_unitario]])</f>
        <v>716.26</v>
      </c>
      <c r="Q387">
        <f>IF(OR(TablaVentas[[#This Row],[Ingreso_neto]]="PENDIENTE",TablaVentas[[#This Row],[Costo_total]]="PENDIENTE"),"PENDIENTE",TablaVentas[[#This Row],[Ingreso_neto]]-TablaVentas[[#This Row],[Costo_total]])</f>
        <v>789.05</v>
      </c>
    </row>
    <row r="388" spans="1:17">
      <c r="A388" t="s">
        <v>442</v>
      </c>
      <c r="B388">
        <v>1</v>
      </c>
      <c r="C388" s="3">
        <v>46081</v>
      </c>
      <c r="D388" t="s">
        <v>169</v>
      </c>
      <c r="E388" t="s">
        <v>258</v>
      </c>
      <c r="F388" t="s">
        <v>39</v>
      </c>
      <c r="G388" t="s">
        <v>57</v>
      </c>
      <c r="H388" t="s">
        <v>129</v>
      </c>
      <c r="I388">
        <v>1</v>
      </c>
      <c r="J388" s="4">
        <v>3905.88</v>
      </c>
      <c r="K388" s="5">
        <v>0.1</v>
      </c>
      <c r="L388" s="4">
        <v>2008.57</v>
      </c>
      <c r="M388" t="s">
        <v>42</v>
      </c>
      <c r="N388" t="s">
        <v>45</v>
      </c>
      <c r="O388">
        <f>IF(TablaVentas[[#This Row],[Precio_unitario]]="","PENDIENTE",TablaVentas[[#This Row],[Unidades]]*TablaVentas[[#This Row],[Precio_unitario]]*(1-TablaVentas[[#This Row],[Descuento_pct]]))</f>
        <v>3515.2920000000004</v>
      </c>
      <c r="P388">
        <f>IF(TablaVentas[[#This Row],[Costo_unitario]]="","PENDIENTE",TablaVentas[[#This Row],[Unidades]]*TablaVentas[[#This Row],[Costo_unitario]])</f>
        <v>2008.57</v>
      </c>
      <c r="Q388">
        <f>IF(OR(TablaVentas[[#This Row],[Ingreso_neto]]="PENDIENTE",TablaVentas[[#This Row],[Costo_total]]="PENDIENTE"),"PENDIENTE",TablaVentas[[#This Row],[Ingreso_neto]]-TablaVentas[[#This Row],[Costo_total]])</f>
        <v>1506.7220000000004</v>
      </c>
    </row>
    <row r="389" spans="1:17">
      <c r="A389" t="s">
        <v>443</v>
      </c>
      <c r="B389">
        <v>1</v>
      </c>
      <c r="C389" s="3">
        <v>46123</v>
      </c>
      <c r="D389" t="s">
        <v>444</v>
      </c>
      <c r="E389" t="s">
        <v>155</v>
      </c>
      <c r="F389" t="s">
        <v>39</v>
      </c>
      <c r="G389" t="s">
        <v>57</v>
      </c>
      <c r="H389" t="s">
        <v>41</v>
      </c>
      <c r="I389">
        <v>1</v>
      </c>
      <c r="J389" s="4">
        <v>751.28</v>
      </c>
      <c r="K389" s="5">
        <v>0.05</v>
      </c>
      <c r="L389" s="4">
        <v>397.1</v>
      </c>
      <c r="M389" t="s">
        <v>42</v>
      </c>
      <c r="N389" t="s">
        <v>45</v>
      </c>
      <c r="O389">
        <f>IF(TablaVentas[[#This Row],[Precio_unitario]]="","PENDIENTE",TablaVentas[[#This Row],[Unidades]]*TablaVentas[[#This Row],[Precio_unitario]]*(1-TablaVentas[[#This Row],[Descuento_pct]]))</f>
        <v>713.71599999999989</v>
      </c>
      <c r="P389">
        <f>IF(TablaVentas[[#This Row],[Costo_unitario]]="","PENDIENTE",TablaVentas[[#This Row],[Unidades]]*TablaVentas[[#This Row],[Costo_unitario]])</f>
        <v>397.1</v>
      </c>
      <c r="Q389">
        <f>IF(OR(TablaVentas[[#This Row],[Ingreso_neto]]="PENDIENTE",TablaVentas[[#This Row],[Costo_total]]="PENDIENTE"),"PENDIENTE",TablaVentas[[#This Row],[Ingreso_neto]]-TablaVentas[[#This Row],[Costo_total]])</f>
        <v>316.61599999999987</v>
      </c>
    </row>
    <row r="390" spans="1:17">
      <c r="A390" t="s">
        <v>443</v>
      </c>
      <c r="B390">
        <v>2</v>
      </c>
      <c r="C390" s="3">
        <v>46123</v>
      </c>
      <c r="D390" t="s">
        <v>444</v>
      </c>
      <c r="E390" t="s">
        <v>353</v>
      </c>
      <c r="F390" t="s">
        <v>39</v>
      </c>
      <c r="G390" t="s">
        <v>57</v>
      </c>
      <c r="H390" t="s">
        <v>41</v>
      </c>
      <c r="I390">
        <v>1</v>
      </c>
      <c r="J390" s="4">
        <v>2014.72</v>
      </c>
      <c r="K390" s="5">
        <v>0</v>
      </c>
      <c r="L390" s="4">
        <v>1479.71</v>
      </c>
      <c r="M390" t="s">
        <v>42</v>
      </c>
      <c r="N390" t="s">
        <v>43</v>
      </c>
      <c r="O390">
        <f>IF(TablaVentas[[#This Row],[Precio_unitario]]="","PENDIENTE",TablaVentas[[#This Row],[Unidades]]*TablaVentas[[#This Row],[Precio_unitario]]*(1-TablaVentas[[#This Row],[Descuento_pct]]))</f>
        <v>2014.72</v>
      </c>
      <c r="P390">
        <f>IF(TablaVentas[[#This Row],[Costo_unitario]]="","PENDIENTE",TablaVentas[[#This Row],[Unidades]]*TablaVentas[[#This Row],[Costo_unitario]])</f>
        <v>1479.71</v>
      </c>
      <c r="Q390">
        <f>IF(OR(TablaVentas[[#This Row],[Ingreso_neto]]="PENDIENTE",TablaVentas[[#This Row],[Costo_total]]="PENDIENTE"),"PENDIENTE",TablaVentas[[#This Row],[Ingreso_neto]]-TablaVentas[[#This Row],[Costo_total]])</f>
        <v>535.01</v>
      </c>
    </row>
    <row r="391" spans="1:17">
      <c r="A391" t="s">
        <v>443</v>
      </c>
      <c r="B391">
        <v>3</v>
      </c>
      <c r="C391" s="3">
        <v>46123</v>
      </c>
      <c r="D391" t="s">
        <v>444</v>
      </c>
      <c r="E391" t="s">
        <v>321</v>
      </c>
      <c r="F391" t="s">
        <v>39</v>
      </c>
      <c r="G391" t="s">
        <v>57</v>
      </c>
      <c r="H391" t="s">
        <v>41</v>
      </c>
      <c r="I391">
        <v>3</v>
      </c>
      <c r="J391" s="4">
        <v>1387.09</v>
      </c>
      <c r="K391" s="5">
        <v>0</v>
      </c>
      <c r="L391" s="4">
        <v>679.37</v>
      </c>
      <c r="M391" t="s">
        <v>42</v>
      </c>
      <c r="N391" t="s">
        <v>52</v>
      </c>
      <c r="O391">
        <f>IF(TablaVentas[[#This Row],[Precio_unitario]]="","PENDIENTE",TablaVentas[[#This Row],[Unidades]]*TablaVentas[[#This Row],[Precio_unitario]]*(1-TablaVentas[[#This Row],[Descuento_pct]]))</f>
        <v>4161.2699999999995</v>
      </c>
      <c r="P391">
        <f>IF(TablaVentas[[#This Row],[Costo_unitario]]="","PENDIENTE",TablaVentas[[#This Row],[Unidades]]*TablaVentas[[#This Row],[Costo_unitario]])</f>
        <v>2038.1100000000001</v>
      </c>
      <c r="Q391">
        <f>IF(OR(TablaVentas[[#This Row],[Ingreso_neto]]="PENDIENTE",TablaVentas[[#This Row],[Costo_total]]="PENDIENTE"),"PENDIENTE",TablaVentas[[#This Row],[Ingreso_neto]]-TablaVentas[[#This Row],[Costo_total]])</f>
        <v>2123.1599999999994</v>
      </c>
    </row>
    <row r="392" spans="1:17">
      <c r="A392" t="s">
        <v>445</v>
      </c>
      <c r="B392">
        <v>1</v>
      </c>
      <c r="C392" s="3">
        <v>46251</v>
      </c>
      <c r="D392" t="s">
        <v>446</v>
      </c>
      <c r="E392" t="s">
        <v>101</v>
      </c>
      <c r="F392" t="s">
        <v>66</v>
      </c>
      <c r="G392" t="s">
        <v>57</v>
      </c>
      <c r="H392" t="s">
        <v>67</v>
      </c>
      <c r="I392">
        <v>4</v>
      </c>
      <c r="J392" s="4">
        <v>5279.46</v>
      </c>
      <c r="K392" s="5">
        <v>0.15</v>
      </c>
      <c r="L392" s="4">
        <v>2865.24</v>
      </c>
      <c r="M392" t="s">
        <v>42</v>
      </c>
      <c r="N392" t="s">
        <v>52</v>
      </c>
      <c r="O392">
        <f>IF(TablaVentas[[#This Row],[Precio_unitario]]="","PENDIENTE",TablaVentas[[#This Row],[Unidades]]*TablaVentas[[#This Row],[Precio_unitario]]*(1-TablaVentas[[#This Row],[Descuento_pct]]))</f>
        <v>17950.164000000001</v>
      </c>
      <c r="P392">
        <f>IF(TablaVentas[[#This Row],[Costo_unitario]]="","PENDIENTE",TablaVentas[[#This Row],[Unidades]]*TablaVentas[[#This Row],[Costo_unitario]])</f>
        <v>11460.96</v>
      </c>
      <c r="Q392">
        <f>IF(OR(TablaVentas[[#This Row],[Ingreso_neto]]="PENDIENTE",TablaVentas[[#This Row],[Costo_total]]="PENDIENTE"),"PENDIENTE",TablaVentas[[#This Row],[Ingreso_neto]]-TablaVentas[[#This Row],[Costo_total]])</f>
        <v>6489.2040000000015</v>
      </c>
    </row>
    <row r="393" spans="1:17">
      <c r="A393" t="s">
        <v>447</v>
      </c>
      <c r="B393">
        <v>1</v>
      </c>
      <c r="C393" s="3">
        <v>46121</v>
      </c>
      <c r="D393" t="s">
        <v>279</v>
      </c>
      <c r="E393" t="s">
        <v>262</v>
      </c>
      <c r="F393" t="s">
        <v>56</v>
      </c>
      <c r="G393" t="s">
        <v>57</v>
      </c>
      <c r="H393" t="s">
        <v>124</v>
      </c>
      <c r="I393">
        <v>1</v>
      </c>
      <c r="J393" s="4">
        <v>14404.5</v>
      </c>
      <c r="K393" s="5">
        <v>0</v>
      </c>
      <c r="L393" s="4">
        <v>8227.4599999999991</v>
      </c>
      <c r="M393" t="s">
        <v>42</v>
      </c>
      <c r="N393" t="s">
        <v>43</v>
      </c>
      <c r="O393">
        <f>IF(TablaVentas[[#This Row],[Precio_unitario]]="","PENDIENTE",TablaVentas[[#This Row],[Unidades]]*TablaVentas[[#This Row],[Precio_unitario]]*(1-TablaVentas[[#This Row],[Descuento_pct]]))</f>
        <v>14404.5</v>
      </c>
      <c r="P393">
        <f>IF(TablaVentas[[#This Row],[Costo_unitario]]="","PENDIENTE",TablaVentas[[#This Row],[Unidades]]*TablaVentas[[#This Row],[Costo_unitario]])</f>
        <v>8227.4599999999991</v>
      </c>
      <c r="Q393">
        <f>IF(OR(TablaVentas[[#This Row],[Ingreso_neto]]="PENDIENTE",TablaVentas[[#This Row],[Costo_total]]="PENDIENTE"),"PENDIENTE",TablaVentas[[#This Row],[Ingreso_neto]]-TablaVentas[[#This Row],[Costo_total]])</f>
        <v>6177.0400000000009</v>
      </c>
    </row>
    <row r="394" spans="1:17">
      <c r="A394" t="s">
        <v>448</v>
      </c>
      <c r="B394">
        <v>1</v>
      </c>
      <c r="C394" s="3">
        <v>46200</v>
      </c>
      <c r="D394" t="s">
        <v>352</v>
      </c>
      <c r="E394" t="s">
        <v>159</v>
      </c>
      <c r="F394" t="s">
        <v>56</v>
      </c>
      <c r="G394" t="s">
        <v>57</v>
      </c>
      <c r="H394" t="s">
        <v>124</v>
      </c>
      <c r="I394">
        <v>2</v>
      </c>
      <c r="J394" s="4">
        <v>12984.64</v>
      </c>
      <c r="K394" s="5">
        <v>0</v>
      </c>
      <c r="L394" s="4">
        <v>9317.3700000000008</v>
      </c>
      <c r="M394" t="s">
        <v>42</v>
      </c>
      <c r="N394" t="s">
        <v>43</v>
      </c>
      <c r="O394">
        <f>IF(TablaVentas[[#This Row],[Precio_unitario]]="","PENDIENTE",TablaVentas[[#This Row],[Unidades]]*TablaVentas[[#This Row],[Precio_unitario]]*(1-TablaVentas[[#This Row],[Descuento_pct]]))</f>
        <v>25969.279999999999</v>
      </c>
      <c r="P394">
        <f>IF(TablaVentas[[#This Row],[Costo_unitario]]="","PENDIENTE",TablaVentas[[#This Row],[Unidades]]*TablaVentas[[#This Row],[Costo_unitario]])</f>
        <v>18634.740000000002</v>
      </c>
      <c r="Q394">
        <f>IF(OR(TablaVentas[[#This Row],[Ingreso_neto]]="PENDIENTE",TablaVentas[[#This Row],[Costo_total]]="PENDIENTE"),"PENDIENTE",TablaVentas[[#This Row],[Ingreso_neto]]-TablaVentas[[#This Row],[Costo_total]])</f>
        <v>7334.5399999999972</v>
      </c>
    </row>
    <row r="395" spans="1:17">
      <c r="A395" t="s">
        <v>448</v>
      </c>
      <c r="B395">
        <v>2</v>
      </c>
      <c r="C395" s="3">
        <v>46200</v>
      </c>
      <c r="D395" t="s">
        <v>352</v>
      </c>
      <c r="E395" t="s">
        <v>119</v>
      </c>
      <c r="F395" t="s">
        <v>56</v>
      </c>
      <c r="G395" t="s">
        <v>57</v>
      </c>
      <c r="H395" t="s">
        <v>124</v>
      </c>
      <c r="I395">
        <v>3</v>
      </c>
      <c r="J395" s="4">
        <v>9255.49</v>
      </c>
      <c r="K395" s="5">
        <v>0.2</v>
      </c>
      <c r="L395" s="4">
        <v>6981.94</v>
      </c>
      <c r="M395" t="s">
        <v>42</v>
      </c>
      <c r="N395" t="s">
        <v>45</v>
      </c>
      <c r="O395">
        <f>IF(TablaVentas[[#This Row],[Precio_unitario]]="","PENDIENTE",TablaVentas[[#This Row],[Unidades]]*TablaVentas[[#This Row],[Precio_unitario]]*(1-TablaVentas[[#This Row],[Descuento_pct]]))</f>
        <v>22213.176000000003</v>
      </c>
      <c r="P395">
        <f>IF(TablaVentas[[#This Row],[Costo_unitario]]="","PENDIENTE",TablaVentas[[#This Row],[Unidades]]*TablaVentas[[#This Row],[Costo_unitario]])</f>
        <v>20945.82</v>
      </c>
      <c r="Q395">
        <f>IF(OR(TablaVentas[[#This Row],[Ingreso_neto]]="PENDIENTE",TablaVentas[[#This Row],[Costo_total]]="PENDIENTE"),"PENDIENTE",TablaVentas[[#This Row],[Ingreso_neto]]-TablaVentas[[#This Row],[Costo_total]])</f>
        <v>1267.3560000000034</v>
      </c>
    </row>
    <row r="396" spans="1:17">
      <c r="A396" t="s">
        <v>449</v>
      </c>
      <c r="B396">
        <v>1</v>
      </c>
      <c r="C396" s="3">
        <v>46288</v>
      </c>
      <c r="D396" t="s">
        <v>450</v>
      </c>
      <c r="E396" t="s">
        <v>378</v>
      </c>
      <c r="F396" t="s">
        <v>66</v>
      </c>
      <c r="G396" t="s">
        <v>57</v>
      </c>
      <c r="H396" t="s">
        <v>67</v>
      </c>
      <c r="I396">
        <v>2</v>
      </c>
      <c r="J396" s="4">
        <v>3424.4</v>
      </c>
      <c r="K396" s="5">
        <v>0.2</v>
      </c>
      <c r="L396" s="4">
        <v>2864.64</v>
      </c>
      <c r="M396" t="s">
        <v>116</v>
      </c>
      <c r="N396" t="s">
        <v>45</v>
      </c>
      <c r="O396">
        <f>IF(TablaVentas[[#This Row],[Precio_unitario]]="","PENDIENTE",TablaVentas[[#This Row],[Unidades]]*TablaVentas[[#This Row],[Precio_unitario]]*(1-TablaVentas[[#This Row],[Descuento_pct]]))</f>
        <v>5479.0400000000009</v>
      </c>
      <c r="P396">
        <f>IF(TablaVentas[[#This Row],[Costo_unitario]]="","PENDIENTE",TablaVentas[[#This Row],[Unidades]]*TablaVentas[[#This Row],[Costo_unitario]])</f>
        <v>5729.28</v>
      </c>
      <c r="Q396">
        <f>IF(OR(TablaVentas[[#This Row],[Ingreso_neto]]="PENDIENTE",TablaVentas[[#This Row],[Costo_total]]="PENDIENTE"),"PENDIENTE",TablaVentas[[#This Row],[Ingreso_neto]]-TablaVentas[[#This Row],[Costo_total]])</f>
        <v>-250.23999999999887</v>
      </c>
    </row>
    <row r="397" spans="1:17">
      <c r="A397" t="s">
        <v>449</v>
      </c>
      <c r="B397">
        <v>2</v>
      </c>
      <c r="C397" s="3">
        <v>46288</v>
      </c>
      <c r="D397" t="s">
        <v>450</v>
      </c>
      <c r="E397" t="s">
        <v>367</v>
      </c>
      <c r="F397" t="s">
        <v>66</v>
      </c>
      <c r="G397" t="s">
        <v>57</v>
      </c>
      <c r="H397" t="s">
        <v>67</v>
      </c>
      <c r="I397">
        <v>1</v>
      </c>
      <c r="J397" s="4">
        <v>9727.19</v>
      </c>
      <c r="K397" s="5">
        <v>0</v>
      </c>
      <c r="L397" s="4">
        <v>5079.43</v>
      </c>
      <c r="M397" t="s">
        <v>42</v>
      </c>
      <c r="N397" t="s">
        <v>60</v>
      </c>
      <c r="O397">
        <f>IF(TablaVentas[[#This Row],[Precio_unitario]]="","PENDIENTE",TablaVentas[[#This Row],[Unidades]]*TablaVentas[[#This Row],[Precio_unitario]]*(1-TablaVentas[[#This Row],[Descuento_pct]]))</f>
        <v>9727.19</v>
      </c>
      <c r="P397">
        <f>IF(TablaVentas[[#This Row],[Costo_unitario]]="","PENDIENTE",TablaVentas[[#This Row],[Unidades]]*TablaVentas[[#This Row],[Costo_unitario]])</f>
        <v>5079.43</v>
      </c>
      <c r="Q397">
        <f>IF(OR(TablaVentas[[#This Row],[Ingreso_neto]]="PENDIENTE",TablaVentas[[#This Row],[Costo_total]]="PENDIENTE"),"PENDIENTE",TablaVentas[[#This Row],[Ingreso_neto]]-TablaVentas[[#This Row],[Costo_total]])</f>
        <v>4647.76</v>
      </c>
    </row>
    <row r="398" spans="1:17">
      <c r="A398" t="s">
        <v>451</v>
      </c>
      <c r="B398">
        <v>1</v>
      </c>
      <c r="C398" s="3">
        <v>46156</v>
      </c>
      <c r="D398" t="s">
        <v>452</v>
      </c>
      <c r="E398" t="s">
        <v>139</v>
      </c>
      <c r="F398" t="s">
        <v>77</v>
      </c>
      <c r="G398" t="s">
        <v>57</v>
      </c>
      <c r="H398" t="s">
        <v>41</v>
      </c>
      <c r="I398">
        <v>1</v>
      </c>
      <c r="J398" s="4">
        <v>9916.2800000000007</v>
      </c>
      <c r="K398" s="5">
        <v>0</v>
      </c>
      <c r="L398" s="4">
        <v>8002.16</v>
      </c>
      <c r="M398" t="s">
        <v>42</v>
      </c>
      <c r="N398" t="s">
        <v>45</v>
      </c>
      <c r="O398">
        <f>IF(TablaVentas[[#This Row],[Precio_unitario]]="","PENDIENTE",TablaVentas[[#This Row],[Unidades]]*TablaVentas[[#This Row],[Precio_unitario]]*(1-TablaVentas[[#This Row],[Descuento_pct]]))</f>
        <v>9916.2800000000007</v>
      </c>
      <c r="P398">
        <f>IF(TablaVentas[[#This Row],[Costo_unitario]]="","PENDIENTE",TablaVentas[[#This Row],[Unidades]]*TablaVentas[[#This Row],[Costo_unitario]])</f>
        <v>8002.16</v>
      </c>
      <c r="Q398">
        <f>IF(OR(TablaVentas[[#This Row],[Ingreso_neto]]="PENDIENTE",TablaVentas[[#This Row],[Costo_total]]="PENDIENTE"),"PENDIENTE",TablaVentas[[#This Row],[Ingreso_neto]]-TablaVentas[[#This Row],[Costo_total]])</f>
        <v>1914.1200000000008</v>
      </c>
    </row>
    <row r="399" spans="1:17">
      <c r="A399" t="s">
        <v>451</v>
      </c>
      <c r="B399">
        <v>2</v>
      </c>
      <c r="C399" s="3">
        <v>46156</v>
      </c>
      <c r="D399" t="s">
        <v>452</v>
      </c>
      <c r="E399" t="s">
        <v>97</v>
      </c>
      <c r="F399" t="s">
        <v>77</v>
      </c>
      <c r="G399" t="s">
        <v>57</v>
      </c>
      <c r="H399" t="s">
        <v>41</v>
      </c>
      <c r="I399">
        <v>2</v>
      </c>
      <c r="J399" s="4">
        <v>15050.51</v>
      </c>
      <c r="K399" s="5">
        <v>0</v>
      </c>
      <c r="L399" s="4">
        <v>11424.77</v>
      </c>
      <c r="M399" t="s">
        <v>42</v>
      </c>
      <c r="N399" t="s">
        <v>52</v>
      </c>
      <c r="O399">
        <f>IF(TablaVentas[[#This Row],[Precio_unitario]]="","PENDIENTE",TablaVentas[[#This Row],[Unidades]]*TablaVentas[[#This Row],[Precio_unitario]]*(1-TablaVentas[[#This Row],[Descuento_pct]]))</f>
        <v>30101.02</v>
      </c>
      <c r="P399">
        <f>IF(TablaVentas[[#This Row],[Costo_unitario]]="","PENDIENTE",TablaVentas[[#This Row],[Unidades]]*TablaVentas[[#This Row],[Costo_unitario]])</f>
        <v>22849.54</v>
      </c>
      <c r="Q399">
        <f>IF(OR(TablaVentas[[#This Row],[Ingreso_neto]]="PENDIENTE",TablaVentas[[#This Row],[Costo_total]]="PENDIENTE"),"PENDIENTE",TablaVentas[[#This Row],[Ingreso_neto]]-TablaVentas[[#This Row],[Costo_total]])</f>
        <v>7251.48</v>
      </c>
    </row>
    <row r="400" spans="1:17">
      <c r="A400" t="s">
        <v>453</v>
      </c>
      <c r="B400">
        <v>1</v>
      </c>
      <c r="C400" s="3">
        <v>46054</v>
      </c>
      <c r="D400" t="s">
        <v>435</v>
      </c>
      <c r="E400" t="s">
        <v>148</v>
      </c>
      <c r="F400" t="s">
        <v>66</v>
      </c>
      <c r="G400" t="s">
        <v>50</v>
      </c>
      <c r="H400" t="s">
        <v>67</v>
      </c>
      <c r="I400">
        <v>1</v>
      </c>
      <c r="J400" s="4">
        <v>2802.2</v>
      </c>
      <c r="K400" s="5">
        <v>0</v>
      </c>
      <c r="L400" s="4">
        <v>2459.34</v>
      </c>
      <c r="M400" t="s">
        <v>42</v>
      </c>
      <c r="N400" t="s">
        <v>43</v>
      </c>
      <c r="O400">
        <f>IF(TablaVentas[[#This Row],[Precio_unitario]]="","PENDIENTE",TablaVentas[[#This Row],[Unidades]]*TablaVentas[[#This Row],[Precio_unitario]]*(1-TablaVentas[[#This Row],[Descuento_pct]]))</f>
        <v>2802.2</v>
      </c>
      <c r="P400">
        <f>IF(TablaVentas[[#This Row],[Costo_unitario]]="","PENDIENTE",TablaVentas[[#This Row],[Unidades]]*TablaVentas[[#This Row],[Costo_unitario]])</f>
        <v>2459.34</v>
      </c>
      <c r="Q400">
        <f>IF(OR(TablaVentas[[#This Row],[Ingreso_neto]]="PENDIENTE",TablaVentas[[#This Row],[Costo_total]]="PENDIENTE"),"PENDIENTE",TablaVentas[[#This Row],[Ingreso_neto]]-TablaVentas[[#This Row],[Costo_total]])</f>
        <v>342.85999999999967</v>
      </c>
    </row>
    <row r="401" spans="1:17">
      <c r="A401" t="s">
        <v>453</v>
      </c>
      <c r="B401">
        <v>2</v>
      </c>
      <c r="C401" s="3">
        <v>46054</v>
      </c>
      <c r="D401" t="s">
        <v>435</v>
      </c>
      <c r="E401" t="s">
        <v>38</v>
      </c>
      <c r="F401" t="s">
        <v>66</v>
      </c>
      <c r="G401" t="s">
        <v>50</v>
      </c>
      <c r="H401" t="s">
        <v>67</v>
      </c>
      <c r="I401">
        <v>2</v>
      </c>
      <c r="J401" s="4">
        <v>6058.44</v>
      </c>
      <c r="K401" s="5">
        <v>0.05</v>
      </c>
      <c r="L401" s="4">
        <v>3832.69</v>
      </c>
      <c r="M401" t="s">
        <v>42</v>
      </c>
      <c r="N401" t="s">
        <v>60</v>
      </c>
      <c r="O401">
        <f>IF(TablaVentas[[#This Row],[Precio_unitario]]="","PENDIENTE",TablaVentas[[#This Row],[Unidades]]*TablaVentas[[#This Row],[Precio_unitario]]*(1-TablaVentas[[#This Row],[Descuento_pct]]))</f>
        <v>11511.035999999998</v>
      </c>
      <c r="P401">
        <f>IF(TablaVentas[[#This Row],[Costo_unitario]]="","PENDIENTE",TablaVentas[[#This Row],[Unidades]]*TablaVentas[[#This Row],[Costo_unitario]])</f>
        <v>7665.38</v>
      </c>
      <c r="Q401">
        <f>IF(OR(TablaVentas[[#This Row],[Ingreso_neto]]="PENDIENTE",TablaVentas[[#This Row],[Costo_total]]="PENDIENTE"),"PENDIENTE",TablaVentas[[#This Row],[Ingreso_neto]]-TablaVentas[[#This Row],[Costo_total]])</f>
        <v>3845.6559999999981</v>
      </c>
    </row>
    <row r="402" spans="1:17">
      <c r="A402" t="s">
        <v>454</v>
      </c>
      <c r="B402">
        <v>1</v>
      </c>
      <c r="C402" s="3">
        <v>46150</v>
      </c>
      <c r="D402" t="s">
        <v>240</v>
      </c>
      <c r="E402" t="s">
        <v>101</v>
      </c>
      <c r="F402" t="s">
        <v>39</v>
      </c>
      <c r="G402" t="s">
        <v>50</v>
      </c>
      <c r="H402" t="s">
        <v>67</v>
      </c>
      <c r="I402">
        <v>8</v>
      </c>
      <c r="J402" s="4">
        <v>4533.45</v>
      </c>
      <c r="K402" s="5">
        <v>0.1</v>
      </c>
      <c r="L402" s="4">
        <v>2865.24</v>
      </c>
      <c r="M402" t="s">
        <v>42</v>
      </c>
      <c r="N402" t="s">
        <v>45</v>
      </c>
      <c r="O402">
        <f>IF(TablaVentas[[#This Row],[Precio_unitario]]="","PENDIENTE",TablaVentas[[#This Row],[Unidades]]*TablaVentas[[#This Row],[Precio_unitario]]*(1-TablaVentas[[#This Row],[Descuento_pct]]))</f>
        <v>32640.84</v>
      </c>
      <c r="P402">
        <f>IF(TablaVentas[[#This Row],[Costo_unitario]]="","PENDIENTE",TablaVentas[[#This Row],[Unidades]]*TablaVentas[[#This Row],[Costo_unitario]])</f>
        <v>22921.919999999998</v>
      </c>
      <c r="Q402">
        <f>IF(OR(TablaVentas[[#This Row],[Ingreso_neto]]="PENDIENTE",TablaVentas[[#This Row],[Costo_total]]="PENDIENTE"),"PENDIENTE",TablaVentas[[#This Row],[Ingreso_neto]]-TablaVentas[[#This Row],[Costo_total]])</f>
        <v>9718.9200000000019</v>
      </c>
    </row>
    <row r="403" spans="1:17">
      <c r="A403" t="s">
        <v>454</v>
      </c>
      <c r="B403">
        <v>2</v>
      </c>
      <c r="C403" s="3">
        <v>46150</v>
      </c>
      <c r="D403" t="s">
        <v>240</v>
      </c>
      <c r="E403" t="s">
        <v>120</v>
      </c>
      <c r="F403" t="s">
        <v>39</v>
      </c>
      <c r="G403" t="s">
        <v>50</v>
      </c>
      <c r="H403" t="s">
        <v>67</v>
      </c>
      <c r="I403">
        <v>2</v>
      </c>
      <c r="J403" s="4">
        <v>11815.11</v>
      </c>
      <c r="K403" s="5">
        <v>0.2</v>
      </c>
      <c r="L403" s="4">
        <v>7975.26</v>
      </c>
      <c r="M403" t="s">
        <v>42</v>
      </c>
      <c r="N403" t="s">
        <v>45</v>
      </c>
      <c r="O403">
        <f>IF(TablaVentas[[#This Row],[Precio_unitario]]="","PENDIENTE",TablaVentas[[#This Row],[Unidades]]*TablaVentas[[#This Row],[Precio_unitario]]*(1-TablaVentas[[#This Row],[Descuento_pct]]))</f>
        <v>18904.176000000003</v>
      </c>
      <c r="P403">
        <f>IF(TablaVentas[[#This Row],[Costo_unitario]]="","PENDIENTE",TablaVentas[[#This Row],[Unidades]]*TablaVentas[[#This Row],[Costo_unitario]])</f>
        <v>15950.52</v>
      </c>
      <c r="Q403">
        <f>IF(OR(TablaVentas[[#This Row],[Ingreso_neto]]="PENDIENTE",TablaVentas[[#This Row],[Costo_total]]="PENDIENTE"),"PENDIENTE",TablaVentas[[#This Row],[Ingreso_neto]]-TablaVentas[[#This Row],[Costo_total]])</f>
        <v>2953.6560000000027</v>
      </c>
    </row>
    <row r="404" spans="1:17">
      <c r="A404" t="s">
        <v>455</v>
      </c>
      <c r="B404">
        <v>1</v>
      </c>
      <c r="C404" s="3">
        <v>46190</v>
      </c>
      <c r="D404" t="s">
        <v>298</v>
      </c>
      <c r="E404" t="s">
        <v>212</v>
      </c>
      <c r="F404" t="s">
        <v>66</v>
      </c>
      <c r="G404" t="s">
        <v>57</v>
      </c>
      <c r="H404" t="s">
        <v>67</v>
      </c>
      <c r="I404">
        <v>1</v>
      </c>
      <c r="J404" s="4">
        <v>3469</v>
      </c>
      <c r="K404" s="5">
        <v>0</v>
      </c>
      <c r="L404" s="4">
        <v>2157.5500000000002</v>
      </c>
      <c r="M404" t="s">
        <v>42</v>
      </c>
      <c r="N404" t="s">
        <v>60</v>
      </c>
      <c r="O404">
        <f>IF(TablaVentas[[#This Row],[Precio_unitario]]="","PENDIENTE",TablaVentas[[#This Row],[Unidades]]*TablaVentas[[#This Row],[Precio_unitario]]*(1-TablaVentas[[#This Row],[Descuento_pct]]))</f>
        <v>3469</v>
      </c>
      <c r="P404">
        <f>IF(TablaVentas[[#This Row],[Costo_unitario]]="","PENDIENTE",TablaVentas[[#This Row],[Unidades]]*TablaVentas[[#This Row],[Costo_unitario]])</f>
        <v>2157.5500000000002</v>
      </c>
      <c r="Q404">
        <f>IF(OR(TablaVentas[[#This Row],[Ingreso_neto]]="PENDIENTE",TablaVentas[[#This Row],[Costo_total]]="PENDIENTE"),"PENDIENTE",TablaVentas[[#This Row],[Ingreso_neto]]-TablaVentas[[#This Row],[Costo_total]])</f>
        <v>1311.4499999999998</v>
      </c>
    </row>
    <row r="405" spans="1:17">
      <c r="A405" t="s">
        <v>456</v>
      </c>
      <c r="B405">
        <v>1</v>
      </c>
      <c r="C405" s="3">
        <v>46247</v>
      </c>
      <c r="D405" t="s">
        <v>457</v>
      </c>
      <c r="E405" t="s">
        <v>89</v>
      </c>
      <c r="F405" t="s">
        <v>56</v>
      </c>
      <c r="G405" t="s">
        <v>57</v>
      </c>
      <c r="H405" t="s">
        <v>67</v>
      </c>
      <c r="I405">
        <v>2</v>
      </c>
      <c r="J405" s="4">
        <v>11114.53</v>
      </c>
      <c r="K405" s="5">
        <v>0</v>
      </c>
      <c r="L405" s="4">
        <v>9118.07</v>
      </c>
      <c r="M405" t="s">
        <v>42</v>
      </c>
      <c r="N405" t="s">
        <v>43</v>
      </c>
      <c r="O405">
        <f>IF(TablaVentas[[#This Row],[Precio_unitario]]="","PENDIENTE",TablaVentas[[#This Row],[Unidades]]*TablaVentas[[#This Row],[Precio_unitario]]*(1-TablaVentas[[#This Row],[Descuento_pct]]))</f>
        <v>22229.06</v>
      </c>
      <c r="P405">
        <f>IF(TablaVentas[[#This Row],[Costo_unitario]]="","PENDIENTE",TablaVentas[[#This Row],[Unidades]]*TablaVentas[[#This Row],[Costo_unitario]])</f>
        <v>18236.14</v>
      </c>
      <c r="Q405">
        <f>IF(OR(TablaVentas[[#This Row],[Ingreso_neto]]="PENDIENTE",TablaVentas[[#This Row],[Costo_total]]="PENDIENTE"),"PENDIENTE",TablaVentas[[#This Row],[Ingreso_neto]]-TablaVentas[[#This Row],[Costo_total]])</f>
        <v>3992.9200000000019</v>
      </c>
    </row>
    <row r="406" spans="1:17">
      <c r="A406" t="s">
        <v>456</v>
      </c>
      <c r="B406">
        <v>2</v>
      </c>
      <c r="C406" s="3">
        <v>46247</v>
      </c>
      <c r="D406" t="s">
        <v>457</v>
      </c>
      <c r="E406" t="s">
        <v>49</v>
      </c>
      <c r="F406" t="s">
        <v>56</v>
      </c>
      <c r="G406" t="s">
        <v>57</v>
      </c>
      <c r="H406" t="s">
        <v>67</v>
      </c>
      <c r="I406">
        <v>1</v>
      </c>
      <c r="J406" s="4">
        <v>3658.71</v>
      </c>
      <c r="K406" s="5">
        <v>0.05</v>
      </c>
      <c r="L406" s="4">
        <v>2950.52</v>
      </c>
      <c r="M406" t="s">
        <v>42</v>
      </c>
      <c r="N406" t="s">
        <v>60</v>
      </c>
      <c r="O406">
        <f>IF(TablaVentas[[#This Row],[Precio_unitario]]="","PENDIENTE",TablaVentas[[#This Row],[Unidades]]*TablaVentas[[#This Row],[Precio_unitario]]*(1-TablaVentas[[#This Row],[Descuento_pct]]))</f>
        <v>3475.7745</v>
      </c>
      <c r="P406">
        <f>IF(TablaVentas[[#This Row],[Costo_unitario]]="","PENDIENTE",TablaVentas[[#This Row],[Unidades]]*TablaVentas[[#This Row],[Costo_unitario]])</f>
        <v>2950.52</v>
      </c>
      <c r="Q406">
        <f>IF(OR(TablaVentas[[#This Row],[Ingreso_neto]]="PENDIENTE",TablaVentas[[#This Row],[Costo_total]]="PENDIENTE"),"PENDIENTE",TablaVentas[[#This Row],[Ingreso_neto]]-TablaVentas[[#This Row],[Costo_total]])</f>
        <v>525.25450000000001</v>
      </c>
    </row>
    <row r="407" spans="1:17">
      <c r="A407" t="s">
        <v>458</v>
      </c>
      <c r="B407">
        <v>1</v>
      </c>
      <c r="C407" s="3">
        <v>46187</v>
      </c>
      <c r="D407" t="s">
        <v>418</v>
      </c>
      <c r="E407" t="s">
        <v>98</v>
      </c>
      <c r="F407" t="s">
        <v>66</v>
      </c>
      <c r="G407" t="s">
        <v>57</v>
      </c>
      <c r="H407" t="s">
        <v>102</v>
      </c>
      <c r="I407">
        <v>3</v>
      </c>
      <c r="J407" s="4">
        <v>15708.92</v>
      </c>
      <c r="K407" s="5">
        <v>0</v>
      </c>
      <c r="L407" s="4">
        <v>9881</v>
      </c>
      <c r="M407" t="s">
        <v>42</v>
      </c>
      <c r="N407" t="s">
        <v>45</v>
      </c>
      <c r="O407">
        <f>IF(TablaVentas[[#This Row],[Precio_unitario]]="","PENDIENTE",TablaVentas[[#This Row],[Unidades]]*TablaVentas[[#This Row],[Precio_unitario]]*(1-TablaVentas[[#This Row],[Descuento_pct]]))</f>
        <v>47126.76</v>
      </c>
      <c r="P407">
        <f>IF(TablaVentas[[#This Row],[Costo_unitario]]="","PENDIENTE",TablaVentas[[#This Row],[Unidades]]*TablaVentas[[#This Row],[Costo_unitario]])</f>
        <v>29643</v>
      </c>
      <c r="Q407">
        <f>IF(OR(TablaVentas[[#This Row],[Ingreso_neto]]="PENDIENTE",TablaVentas[[#This Row],[Costo_total]]="PENDIENTE"),"PENDIENTE",TablaVentas[[#This Row],[Ingreso_neto]]-TablaVentas[[#This Row],[Costo_total]])</f>
        <v>17483.760000000002</v>
      </c>
    </row>
    <row r="408" spans="1:17">
      <c r="A408" t="s">
        <v>459</v>
      </c>
      <c r="B408">
        <v>1</v>
      </c>
      <c r="C408" s="3">
        <v>46238</v>
      </c>
      <c r="D408" t="s">
        <v>460</v>
      </c>
      <c r="E408" t="s">
        <v>94</v>
      </c>
      <c r="F408" t="s">
        <v>39</v>
      </c>
      <c r="G408" t="s">
        <v>40</v>
      </c>
      <c r="H408" t="s">
        <v>67</v>
      </c>
      <c r="I408">
        <v>4</v>
      </c>
      <c r="J408" s="4">
        <v>7192.35</v>
      </c>
      <c r="K408" s="5">
        <v>0</v>
      </c>
      <c r="L408" s="4">
        <v>4538.0600000000004</v>
      </c>
      <c r="M408" t="s">
        <v>42</v>
      </c>
      <c r="N408" t="s">
        <v>45</v>
      </c>
      <c r="O408">
        <f>IF(TablaVentas[[#This Row],[Precio_unitario]]="","PENDIENTE",TablaVentas[[#This Row],[Unidades]]*TablaVentas[[#This Row],[Precio_unitario]]*(1-TablaVentas[[#This Row],[Descuento_pct]]))</f>
        <v>28769.4</v>
      </c>
      <c r="P408">
        <f>IF(TablaVentas[[#This Row],[Costo_unitario]]="","PENDIENTE",TablaVentas[[#This Row],[Unidades]]*TablaVentas[[#This Row],[Costo_unitario]])</f>
        <v>18152.240000000002</v>
      </c>
      <c r="Q408">
        <f>IF(OR(TablaVentas[[#This Row],[Ingreso_neto]]="PENDIENTE",TablaVentas[[#This Row],[Costo_total]]="PENDIENTE"),"PENDIENTE",TablaVentas[[#This Row],[Ingreso_neto]]-TablaVentas[[#This Row],[Costo_total]])</f>
        <v>10617.16</v>
      </c>
    </row>
    <row r="409" spans="1:17">
      <c r="A409" t="s">
        <v>459</v>
      </c>
      <c r="B409">
        <v>2</v>
      </c>
      <c r="C409" s="3">
        <v>46238</v>
      </c>
      <c r="D409" t="s">
        <v>460</v>
      </c>
      <c r="E409" t="s">
        <v>97</v>
      </c>
      <c r="F409" t="s">
        <v>39</v>
      </c>
      <c r="G409" t="s">
        <v>40</v>
      </c>
      <c r="H409" t="s">
        <v>67</v>
      </c>
      <c r="I409">
        <v>1</v>
      </c>
      <c r="J409" s="4">
        <v>13799.11</v>
      </c>
      <c r="K409" s="5">
        <v>0</v>
      </c>
      <c r="L409" s="4">
        <v>11424.77</v>
      </c>
      <c r="M409" t="s">
        <v>42</v>
      </c>
      <c r="N409" t="s">
        <v>43</v>
      </c>
      <c r="O409">
        <f>IF(TablaVentas[[#This Row],[Precio_unitario]]="","PENDIENTE",TablaVentas[[#This Row],[Unidades]]*TablaVentas[[#This Row],[Precio_unitario]]*(1-TablaVentas[[#This Row],[Descuento_pct]]))</f>
        <v>13799.11</v>
      </c>
      <c r="P409">
        <f>IF(TablaVentas[[#This Row],[Costo_unitario]]="","PENDIENTE",TablaVentas[[#This Row],[Unidades]]*TablaVentas[[#This Row],[Costo_unitario]])</f>
        <v>11424.77</v>
      </c>
      <c r="Q409">
        <f>IF(OR(TablaVentas[[#This Row],[Ingreso_neto]]="PENDIENTE",TablaVentas[[#This Row],[Costo_total]]="PENDIENTE"),"PENDIENTE",TablaVentas[[#This Row],[Ingreso_neto]]-TablaVentas[[#This Row],[Costo_total]])</f>
        <v>2374.34</v>
      </c>
    </row>
    <row r="410" spans="1:17">
      <c r="A410" t="s">
        <v>459</v>
      </c>
      <c r="B410">
        <v>3</v>
      </c>
      <c r="C410" s="3">
        <v>46238</v>
      </c>
      <c r="D410" t="s">
        <v>460</v>
      </c>
      <c r="E410" t="s">
        <v>125</v>
      </c>
      <c r="F410" t="s">
        <v>39</v>
      </c>
      <c r="G410" t="s">
        <v>40</v>
      </c>
      <c r="H410" t="s">
        <v>67</v>
      </c>
      <c r="I410">
        <v>1</v>
      </c>
      <c r="J410" s="4">
        <v>1587.47</v>
      </c>
      <c r="K410" s="5">
        <v>0</v>
      </c>
      <c r="L410" s="4">
        <v>1044.32</v>
      </c>
      <c r="M410" t="s">
        <v>42</v>
      </c>
      <c r="N410" t="s">
        <v>43</v>
      </c>
      <c r="O410">
        <f>IF(TablaVentas[[#This Row],[Precio_unitario]]="","PENDIENTE",TablaVentas[[#This Row],[Unidades]]*TablaVentas[[#This Row],[Precio_unitario]]*(1-TablaVentas[[#This Row],[Descuento_pct]]))</f>
        <v>1587.47</v>
      </c>
      <c r="P410">
        <f>IF(TablaVentas[[#This Row],[Costo_unitario]]="","PENDIENTE",TablaVentas[[#This Row],[Unidades]]*TablaVentas[[#This Row],[Costo_unitario]])</f>
        <v>1044.32</v>
      </c>
      <c r="Q410">
        <f>IF(OR(TablaVentas[[#This Row],[Ingreso_neto]]="PENDIENTE",TablaVentas[[#This Row],[Costo_total]]="PENDIENTE"),"PENDIENTE",TablaVentas[[#This Row],[Ingreso_neto]]-TablaVentas[[#This Row],[Costo_total]])</f>
        <v>543.15000000000009</v>
      </c>
    </row>
    <row r="411" spans="1:17">
      <c r="A411" t="s">
        <v>461</v>
      </c>
      <c r="B411">
        <v>1</v>
      </c>
      <c r="C411" s="3">
        <v>46141</v>
      </c>
      <c r="D411" t="s">
        <v>462</v>
      </c>
      <c r="E411" t="s">
        <v>132</v>
      </c>
      <c r="F411" t="s">
        <v>39</v>
      </c>
      <c r="G411" t="s">
        <v>50</v>
      </c>
      <c r="H411" t="s">
        <v>58</v>
      </c>
      <c r="I411">
        <v>1</v>
      </c>
      <c r="J411" s="4">
        <v>18700.759999999998</v>
      </c>
      <c r="K411" s="5">
        <v>0</v>
      </c>
      <c r="L411" s="4">
        <v>11036.95</v>
      </c>
      <c r="M411" t="s">
        <v>42</v>
      </c>
      <c r="N411" t="s">
        <v>43</v>
      </c>
      <c r="O411">
        <f>IF(TablaVentas[[#This Row],[Precio_unitario]]="","PENDIENTE",TablaVentas[[#This Row],[Unidades]]*TablaVentas[[#This Row],[Precio_unitario]]*(1-TablaVentas[[#This Row],[Descuento_pct]]))</f>
        <v>18700.759999999998</v>
      </c>
      <c r="P411">
        <f>IF(TablaVentas[[#This Row],[Costo_unitario]]="","PENDIENTE",TablaVentas[[#This Row],[Unidades]]*TablaVentas[[#This Row],[Costo_unitario]])</f>
        <v>11036.95</v>
      </c>
      <c r="Q411">
        <f>IF(OR(TablaVentas[[#This Row],[Ingreso_neto]]="PENDIENTE",TablaVentas[[#This Row],[Costo_total]]="PENDIENTE"),"PENDIENTE",TablaVentas[[#This Row],[Ingreso_neto]]-TablaVentas[[#This Row],[Costo_total]])</f>
        <v>7663.8099999999977</v>
      </c>
    </row>
    <row r="412" spans="1:17">
      <c r="A412" t="s">
        <v>463</v>
      </c>
      <c r="B412">
        <v>1</v>
      </c>
      <c r="C412" s="3">
        <v>46291</v>
      </c>
      <c r="D412" t="s">
        <v>200</v>
      </c>
      <c r="E412" t="s">
        <v>46</v>
      </c>
      <c r="F412" t="s">
        <v>39</v>
      </c>
      <c r="G412" t="s">
        <v>57</v>
      </c>
      <c r="H412" t="s">
        <v>51</v>
      </c>
      <c r="I412">
        <v>1</v>
      </c>
      <c r="J412" s="4">
        <v>3887.96</v>
      </c>
      <c r="K412" s="5">
        <v>0.15</v>
      </c>
      <c r="L412" s="4">
        <v>2957.6</v>
      </c>
      <c r="M412" t="s">
        <v>116</v>
      </c>
      <c r="N412" t="s">
        <v>52</v>
      </c>
      <c r="O412">
        <f>IF(TablaVentas[[#This Row],[Precio_unitario]]="","PENDIENTE",TablaVentas[[#This Row],[Unidades]]*TablaVentas[[#This Row],[Precio_unitario]]*(1-TablaVentas[[#This Row],[Descuento_pct]]))</f>
        <v>3304.7660000000001</v>
      </c>
      <c r="P412">
        <f>IF(TablaVentas[[#This Row],[Costo_unitario]]="","PENDIENTE",TablaVentas[[#This Row],[Unidades]]*TablaVentas[[#This Row],[Costo_unitario]])</f>
        <v>2957.6</v>
      </c>
      <c r="Q412">
        <f>IF(OR(TablaVentas[[#This Row],[Ingreso_neto]]="PENDIENTE",TablaVentas[[#This Row],[Costo_total]]="PENDIENTE"),"PENDIENTE",TablaVentas[[#This Row],[Ingreso_neto]]-TablaVentas[[#This Row],[Costo_total]])</f>
        <v>347.16600000000017</v>
      </c>
    </row>
    <row r="413" spans="1:17">
      <c r="A413" t="s">
        <v>463</v>
      </c>
      <c r="B413">
        <v>2</v>
      </c>
      <c r="C413" s="3">
        <v>46291</v>
      </c>
      <c r="D413" t="s">
        <v>200</v>
      </c>
      <c r="E413" t="s">
        <v>98</v>
      </c>
      <c r="F413" t="s">
        <v>39</v>
      </c>
      <c r="G413" t="s">
        <v>57</v>
      </c>
      <c r="H413" t="s">
        <v>51</v>
      </c>
      <c r="I413">
        <v>4</v>
      </c>
      <c r="J413" s="4">
        <v>16262.44</v>
      </c>
      <c r="K413" s="5">
        <v>0.2</v>
      </c>
      <c r="L413" s="4">
        <v>9881</v>
      </c>
      <c r="M413" t="s">
        <v>42</v>
      </c>
      <c r="N413" t="s">
        <v>43</v>
      </c>
      <c r="O413">
        <f>IF(TablaVentas[[#This Row],[Precio_unitario]]="","PENDIENTE",TablaVentas[[#This Row],[Unidades]]*TablaVentas[[#This Row],[Precio_unitario]]*(1-TablaVentas[[#This Row],[Descuento_pct]]))</f>
        <v>52039.808000000005</v>
      </c>
      <c r="P413">
        <f>IF(TablaVentas[[#This Row],[Costo_unitario]]="","PENDIENTE",TablaVentas[[#This Row],[Unidades]]*TablaVentas[[#This Row],[Costo_unitario]])</f>
        <v>39524</v>
      </c>
      <c r="Q413">
        <f>IF(OR(TablaVentas[[#This Row],[Ingreso_neto]]="PENDIENTE",TablaVentas[[#This Row],[Costo_total]]="PENDIENTE"),"PENDIENTE",TablaVentas[[#This Row],[Ingreso_neto]]-TablaVentas[[#This Row],[Costo_total]])</f>
        <v>12515.808000000005</v>
      </c>
    </row>
    <row r="414" spans="1:17">
      <c r="A414" t="s">
        <v>464</v>
      </c>
      <c r="B414">
        <v>1</v>
      </c>
      <c r="C414" s="3">
        <v>46054</v>
      </c>
      <c r="D414" t="s">
        <v>465</v>
      </c>
      <c r="E414" t="s">
        <v>144</v>
      </c>
      <c r="F414" t="s">
        <v>77</v>
      </c>
      <c r="G414" t="s">
        <v>40</v>
      </c>
      <c r="H414" t="s">
        <v>58</v>
      </c>
      <c r="I414">
        <v>1</v>
      </c>
      <c r="J414" s="4">
        <v>8402.19</v>
      </c>
      <c r="K414" s="5">
        <v>0.1</v>
      </c>
      <c r="L414" s="4">
        <v>5125.3599999999997</v>
      </c>
      <c r="M414" t="s">
        <v>42</v>
      </c>
      <c r="N414" t="s">
        <v>60</v>
      </c>
      <c r="O414">
        <f>IF(TablaVentas[[#This Row],[Precio_unitario]]="","PENDIENTE",TablaVentas[[#This Row],[Unidades]]*TablaVentas[[#This Row],[Precio_unitario]]*(1-TablaVentas[[#This Row],[Descuento_pct]]))</f>
        <v>7561.9710000000005</v>
      </c>
      <c r="P414">
        <f>IF(TablaVentas[[#This Row],[Costo_unitario]]="","PENDIENTE",TablaVentas[[#This Row],[Unidades]]*TablaVentas[[#This Row],[Costo_unitario]])</f>
        <v>5125.3599999999997</v>
      </c>
      <c r="Q414">
        <f>IF(OR(TablaVentas[[#This Row],[Ingreso_neto]]="PENDIENTE",TablaVentas[[#This Row],[Costo_total]]="PENDIENTE"),"PENDIENTE",TablaVentas[[#This Row],[Ingreso_neto]]-TablaVentas[[#This Row],[Costo_total]])</f>
        <v>2436.6110000000008</v>
      </c>
    </row>
    <row r="415" spans="1:17">
      <c r="A415" t="s">
        <v>464</v>
      </c>
      <c r="B415">
        <v>2</v>
      </c>
      <c r="C415" s="3">
        <v>46054</v>
      </c>
      <c r="D415" t="s">
        <v>465</v>
      </c>
      <c r="E415" t="s">
        <v>277</v>
      </c>
      <c r="F415" t="s">
        <v>77</v>
      </c>
      <c r="G415" t="s">
        <v>40</v>
      </c>
      <c r="H415" t="s">
        <v>58</v>
      </c>
      <c r="I415">
        <v>3</v>
      </c>
      <c r="J415" s="4">
        <v>6743.29</v>
      </c>
      <c r="K415" s="5">
        <v>0</v>
      </c>
      <c r="L415" s="4">
        <v>4858.08</v>
      </c>
      <c r="M415" t="s">
        <v>42</v>
      </c>
      <c r="N415" t="s">
        <v>43</v>
      </c>
      <c r="O415">
        <f>IF(TablaVentas[[#This Row],[Precio_unitario]]="","PENDIENTE",TablaVentas[[#This Row],[Unidades]]*TablaVentas[[#This Row],[Precio_unitario]]*(1-TablaVentas[[#This Row],[Descuento_pct]]))</f>
        <v>20229.87</v>
      </c>
      <c r="P415">
        <f>IF(TablaVentas[[#This Row],[Costo_unitario]]="","PENDIENTE",TablaVentas[[#This Row],[Unidades]]*TablaVentas[[#This Row],[Costo_unitario]])</f>
        <v>14574.24</v>
      </c>
      <c r="Q415">
        <f>IF(OR(TablaVentas[[#This Row],[Ingreso_neto]]="PENDIENTE",TablaVentas[[#This Row],[Costo_total]]="PENDIENTE"),"PENDIENTE",TablaVentas[[#This Row],[Ingreso_neto]]-TablaVentas[[#This Row],[Costo_total]])</f>
        <v>5655.6299999999992</v>
      </c>
    </row>
    <row r="416" spans="1:17">
      <c r="A416" t="s">
        <v>466</v>
      </c>
      <c r="B416">
        <v>1</v>
      </c>
      <c r="C416" s="3">
        <v>46127</v>
      </c>
      <c r="D416" t="s">
        <v>429</v>
      </c>
      <c r="E416" t="s">
        <v>208</v>
      </c>
      <c r="F416" t="s">
        <v>39</v>
      </c>
      <c r="G416" t="s">
        <v>40</v>
      </c>
      <c r="H416" t="s">
        <v>41</v>
      </c>
      <c r="I416">
        <v>2</v>
      </c>
      <c r="J416" s="4">
        <v>9888.7900000000009</v>
      </c>
      <c r="K416" s="5">
        <v>0.15</v>
      </c>
      <c r="L416" s="4">
        <v>5535.31</v>
      </c>
      <c r="M416" t="s">
        <v>42</v>
      </c>
      <c r="N416" t="s">
        <v>60</v>
      </c>
      <c r="O416">
        <f>IF(TablaVentas[[#This Row],[Precio_unitario]]="","PENDIENTE",TablaVentas[[#This Row],[Unidades]]*TablaVentas[[#This Row],[Precio_unitario]]*(1-TablaVentas[[#This Row],[Descuento_pct]]))</f>
        <v>16810.942999999999</v>
      </c>
      <c r="P416">
        <f>IF(TablaVentas[[#This Row],[Costo_unitario]]="","PENDIENTE",TablaVentas[[#This Row],[Unidades]]*TablaVentas[[#This Row],[Costo_unitario]])</f>
        <v>11070.62</v>
      </c>
      <c r="Q416">
        <f>IF(OR(TablaVentas[[#This Row],[Ingreso_neto]]="PENDIENTE",TablaVentas[[#This Row],[Costo_total]]="PENDIENTE"),"PENDIENTE",TablaVentas[[#This Row],[Ingreso_neto]]-TablaVentas[[#This Row],[Costo_total]])</f>
        <v>5740.3229999999985</v>
      </c>
    </row>
    <row r="417" spans="1:17">
      <c r="A417" t="s">
        <v>466</v>
      </c>
      <c r="B417">
        <v>2</v>
      </c>
      <c r="C417" s="3">
        <v>46127</v>
      </c>
      <c r="D417" t="s">
        <v>429</v>
      </c>
      <c r="E417" t="s">
        <v>61</v>
      </c>
      <c r="F417" t="s">
        <v>39</v>
      </c>
      <c r="G417" t="s">
        <v>40</v>
      </c>
      <c r="H417" t="s">
        <v>41</v>
      </c>
      <c r="I417">
        <v>12</v>
      </c>
      <c r="J417" s="4">
        <v>4182.62</v>
      </c>
      <c r="K417" s="5">
        <v>0</v>
      </c>
      <c r="L417" s="4">
        <v>2554.06</v>
      </c>
      <c r="M417" t="s">
        <v>42</v>
      </c>
      <c r="N417" t="s">
        <v>43</v>
      </c>
      <c r="O417">
        <f>IF(TablaVentas[[#This Row],[Precio_unitario]]="","PENDIENTE",TablaVentas[[#This Row],[Unidades]]*TablaVentas[[#This Row],[Precio_unitario]]*(1-TablaVentas[[#This Row],[Descuento_pct]]))</f>
        <v>50191.44</v>
      </c>
      <c r="P417">
        <f>IF(TablaVentas[[#This Row],[Costo_unitario]]="","PENDIENTE",TablaVentas[[#This Row],[Unidades]]*TablaVentas[[#This Row],[Costo_unitario]])</f>
        <v>30648.720000000001</v>
      </c>
      <c r="Q417">
        <f>IF(OR(TablaVentas[[#This Row],[Ingreso_neto]]="PENDIENTE",TablaVentas[[#This Row],[Costo_total]]="PENDIENTE"),"PENDIENTE",TablaVentas[[#This Row],[Ingreso_neto]]-TablaVentas[[#This Row],[Costo_total]])</f>
        <v>19542.72</v>
      </c>
    </row>
    <row r="418" spans="1:17">
      <c r="A418" t="s">
        <v>467</v>
      </c>
      <c r="B418">
        <v>1</v>
      </c>
      <c r="C418" s="3">
        <v>46051</v>
      </c>
      <c r="D418" t="s">
        <v>281</v>
      </c>
      <c r="E418" t="s">
        <v>125</v>
      </c>
      <c r="F418" t="s">
        <v>56</v>
      </c>
      <c r="G418" t="s">
        <v>40</v>
      </c>
      <c r="H418" t="s">
        <v>51</v>
      </c>
      <c r="I418">
        <v>1</v>
      </c>
      <c r="J418" s="4">
        <v>1814.84</v>
      </c>
      <c r="K418" s="5">
        <v>0</v>
      </c>
      <c r="L418" s="4">
        <v>1044.32</v>
      </c>
      <c r="M418" t="s">
        <v>116</v>
      </c>
      <c r="N418" t="s">
        <v>45</v>
      </c>
      <c r="O418">
        <f>IF(TablaVentas[[#This Row],[Precio_unitario]]="","PENDIENTE",TablaVentas[[#This Row],[Unidades]]*TablaVentas[[#This Row],[Precio_unitario]]*(1-TablaVentas[[#This Row],[Descuento_pct]]))</f>
        <v>1814.84</v>
      </c>
      <c r="P418">
        <f>IF(TablaVentas[[#This Row],[Costo_unitario]]="","PENDIENTE",TablaVentas[[#This Row],[Unidades]]*TablaVentas[[#This Row],[Costo_unitario]])</f>
        <v>1044.32</v>
      </c>
      <c r="Q418">
        <f>IF(OR(TablaVentas[[#This Row],[Ingreso_neto]]="PENDIENTE",TablaVentas[[#This Row],[Costo_total]]="PENDIENTE"),"PENDIENTE",TablaVentas[[#This Row],[Ingreso_neto]]-TablaVentas[[#This Row],[Costo_total]])</f>
        <v>770.52</v>
      </c>
    </row>
    <row r="419" spans="1:17">
      <c r="A419" t="s">
        <v>467</v>
      </c>
      <c r="B419">
        <v>2</v>
      </c>
      <c r="C419" s="3">
        <v>46051</v>
      </c>
      <c r="D419" t="s">
        <v>281</v>
      </c>
      <c r="E419" t="s">
        <v>65</v>
      </c>
      <c r="F419" t="s">
        <v>56</v>
      </c>
      <c r="G419" t="s">
        <v>40</v>
      </c>
      <c r="H419" t="s">
        <v>51</v>
      </c>
      <c r="I419">
        <v>4</v>
      </c>
      <c r="J419" s="4">
        <v>11220.8</v>
      </c>
      <c r="K419" s="5">
        <v>0.15</v>
      </c>
      <c r="L419" s="4">
        <v>7328.02</v>
      </c>
      <c r="M419" t="s">
        <v>42</v>
      </c>
      <c r="N419" t="s">
        <v>52</v>
      </c>
      <c r="O419">
        <f>IF(TablaVentas[[#This Row],[Precio_unitario]]="","PENDIENTE",TablaVentas[[#This Row],[Unidades]]*TablaVentas[[#This Row],[Precio_unitario]]*(1-TablaVentas[[#This Row],[Descuento_pct]]))</f>
        <v>38150.719999999994</v>
      </c>
      <c r="P419">
        <f>IF(TablaVentas[[#This Row],[Costo_unitario]]="","PENDIENTE",TablaVentas[[#This Row],[Unidades]]*TablaVentas[[#This Row],[Costo_unitario]])</f>
        <v>29312.080000000002</v>
      </c>
      <c r="Q419">
        <f>IF(OR(TablaVentas[[#This Row],[Ingreso_neto]]="PENDIENTE",TablaVentas[[#This Row],[Costo_total]]="PENDIENTE"),"PENDIENTE",TablaVentas[[#This Row],[Ingreso_neto]]-TablaVentas[[#This Row],[Costo_total]])</f>
        <v>8838.6399999999921</v>
      </c>
    </row>
    <row r="420" spans="1:17">
      <c r="A420" t="s">
        <v>467</v>
      </c>
      <c r="B420">
        <v>3</v>
      </c>
      <c r="C420" s="3">
        <v>46051</v>
      </c>
      <c r="D420" t="s">
        <v>281</v>
      </c>
      <c r="E420" t="s">
        <v>59</v>
      </c>
      <c r="F420" t="s">
        <v>56</v>
      </c>
      <c r="G420" t="s">
        <v>40</v>
      </c>
      <c r="H420" t="s">
        <v>51</v>
      </c>
      <c r="I420">
        <v>1</v>
      </c>
      <c r="J420" s="4">
        <v>12740.15</v>
      </c>
      <c r="K420" s="5">
        <v>0</v>
      </c>
      <c r="L420" s="4">
        <v>10170.290000000001</v>
      </c>
      <c r="M420" t="s">
        <v>42</v>
      </c>
      <c r="N420" t="s">
        <v>52</v>
      </c>
      <c r="O420">
        <f>IF(TablaVentas[[#This Row],[Precio_unitario]]="","PENDIENTE",TablaVentas[[#This Row],[Unidades]]*TablaVentas[[#This Row],[Precio_unitario]]*(1-TablaVentas[[#This Row],[Descuento_pct]]))</f>
        <v>12740.15</v>
      </c>
      <c r="P420">
        <f>IF(TablaVentas[[#This Row],[Costo_unitario]]="","PENDIENTE",TablaVentas[[#This Row],[Unidades]]*TablaVentas[[#This Row],[Costo_unitario]])</f>
        <v>10170.290000000001</v>
      </c>
      <c r="Q420">
        <f>IF(OR(TablaVentas[[#This Row],[Ingreso_neto]]="PENDIENTE",TablaVentas[[#This Row],[Costo_total]]="PENDIENTE"),"PENDIENTE",TablaVentas[[#This Row],[Ingreso_neto]]-TablaVentas[[#This Row],[Costo_total]])</f>
        <v>2569.8599999999988</v>
      </c>
    </row>
    <row r="421" spans="1:17">
      <c r="A421" t="s">
        <v>468</v>
      </c>
      <c r="B421">
        <v>1</v>
      </c>
      <c r="C421" s="3">
        <v>46202</v>
      </c>
      <c r="D421" t="s">
        <v>402</v>
      </c>
      <c r="E421" t="s">
        <v>143</v>
      </c>
      <c r="F421" t="s">
        <v>39</v>
      </c>
      <c r="G421" t="s">
        <v>57</v>
      </c>
      <c r="H421" t="s">
        <v>58</v>
      </c>
      <c r="I421">
        <v>3</v>
      </c>
      <c r="J421" s="4">
        <v>8562.19</v>
      </c>
      <c r="K421" s="5">
        <v>0</v>
      </c>
      <c r="L421" s="4">
        <v>6815.42</v>
      </c>
      <c r="M421" t="s">
        <v>116</v>
      </c>
      <c r="N421" t="s">
        <v>43</v>
      </c>
      <c r="O421">
        <f>IF(TablaVentas[[#This Row],[Precio_unitario]]="","PENDIENTE",TablaVentas[[#This Row],[Unidades]]*TablaVentas[[#This Row],[Precio_unitario]]*(1-TablaVentas[[#This Row],[Descuento_pct]]))</f>
        <v>25686.57</v>
      </c>
      <c r="P421">
        <f>IF(TablaVentas[[#This Row],[Costo_unitario]]="","PENDIENTE",TablaVentas[[#This Row],[Unidades]]*TablaVentas[[#This Row],[Costo_unitario]])</f>
        <v>20446.260000000002</v>
      </c>
      <c r="Q421">
        <f>IF(OR(TablaVentas[[#This Row],[Ingreso_neto]]="PENDIENTE",TablaVentas[[#This Row],[Costo_total]]="PENDIENTE"),"PENDIENTE",TablaVentas[[#This Row],[Ingreso_neto]]-TablaVentas[[#This Row],[Costo_total]])</f>
        <v>5240.3099999999977</v>
      </c>
    </row>
    <row r="422" spans="1:17">
      <c r="A422" t="s">
        <v>469</v>
      </c>
      <c r="B422">
        <v>1</v>
      </c>
      <c r="C422" s="3">
        <v>46074</v>
      </c>
      <c r="D422" t="s">
        <v>189</v>
      </c>
      <c r="E422" t="s">
        <v>193</v>
      </c>
      <c r="F422" t="s">
        <v>66</v>
      </c>
      <c r="G422" t="s">
        <v>50</v>
      </c>
      <c r="H422" t="s">
        <v>51</v>
      </c>
      <c r="I422">
        <v>1</v>
      </c>
      <c r="J422" s="4">
        <v>10895.84</v>
      </c>
      <c r="K422" s="5">
        <v>0</v>
      </c>
      <c r="L422" s="4">
        <v>5811.72</v>
      </c>
      <c r="M422" t="s">
        <v>116</v>
      </c>
      <c r="N422" t="s">
        <v>60</v>
      </c>
      <c r="O422">
        <f>IF(TablaVentas[[#This Row],[Precio_unitario]]="","PENDIENTE",TablaVentas[[#This Row],[Unidades]]*TablaVentas[[#This Row],[Precio_unitario]]*(1-TablaVentas[[#This Row],[Descuento_pct]]))</f>
        <v>10895.84</v>
      </c>
      <c r="P422">
        <f>IF(TablaVentas[[#This Row],[Costo_unitario]]="","PENDIENTE",TablaVentas[[#This Row],[Unidades]]*TablaVentas[[#This Row],[Costo_unitario]])</f>
        <v>5811.72</v>
      </c>
      <c r="Q422">
        <f>IF(OR(TablaVentas[[#This Row],[Ingreso_neto]]="PENDIENTE",TablaVentas[[#This Row],[Costo_total]]="PENDIENTE"),"PENDIENTE",TablaVentas[[#This Row],[Ingreso_neto]]-TablaVentas[[#This Row],[Costo_total]])</f>
        <v>5084.12</v>
      </c>
    </row>
    <row r="423" spans="1:17">
      <c r="A423" t="s">
        <v>469</v>
      </c>
      <c r="B423">
        <v>2</v>
      </c>
      <c r="C423" s="3">
        <v>46074</v>
      </c>
      <c r="D423" t="s">
        <v>189</v>
      </c>
      <c r="E423" t="s">
        <v>128</v>
      </c>
      <c r="F423" t="s">
        <v>66</v>
      </c>
      <c r="G423" t="s">
        <v>50</v>
      </c>
      <c r="H423" t="s">
        <v>51</v>
      </c>
      <c r="I423">
        <v>1</v>
      </c>
      <c r="J423" s="4">
        <v>1438.06</v>
      </c>
      <c r="K423" s="5">
        <v>0</v>
      </c>
      <c r="L423" s="4">
        <v>900.08</v>
      </c>
      <c r="M423" t="s">
        <v>42</v>
      </c>
      <c r="N423" t="s">
        <v>52</v>
      </c>
      <c r="O423">
        <f>IF(TablaVentas[[#This Row],[Precio_unitario]]="","PENDIENTE",TablaVentas[[#This Row],[Unidades]]*TablaVentas[[#This Row],[Precio_unitario]]*(1-TablaVentas[[#This Row],[Descuento_pct]]))</f>
        <v>1438.06</v>
      </c>
      <c r="P423">
        <f>IF(TablaVentas[[#This Row],[Costo_unitario]]="","PENDIENTE",TablaVentas[[#This Row],[Unidades]]*TablaVentas[[#This Row],[Costo_unitario]])</f>
        <v>900.08</v>
      </c>
      <c r="Q423">
        <f>IF(OR(TablaVentas[[#This Row],[Ingreso_neto]]="PENDIENTE",TablaVentas[[#This Row],[Costo_total]]="PENDIENTE"),"PENDIENTE",TablaVentas[[#This Row],[Ingreso_neto]]-TablaVentas[[#This Row],[Costo_total]])</f>
        <v>537.9799999999999</v>
      </c>
    </row>
    <row r="424" spans="1:17">
      <c r="A424" t="s">
        <v>469</v>
      </c>
      <c r="B424">
        <v>3</v>
      </c>
      <c r="C424" s="3">
        <v>46074</v>
      </c>
      <c r="D424" t="s">
        <v>189</v>
      </c>
      <c r="E424" t="s">
        <v>59</v>
      </c>
      <c r="F424" t="s">
        <v>66</v>
      </c>
      <c r="G424" t="s">
        <v>50</v>
      </c>
      <c r="H424" t="s">
        <v>51</v>
      </c>
      <c r="I424">
        <v>2</v>
      </c>
      <c r="J424" s="4">
        <v>14809.11</v>
      </c>
      <c r="K424" s="5">
        <v>0.15</v>
      </c>
      <c r="L424" s="4">
        <v>10170.290000000001</v>
      </c>
      <c r="M424" t="s">
        <v>42</v>
      </c>
      <c r="N424" t="s">
        <v>43</v>
      </c>
      <c r="O424">
        <f>IF(TablaVentas[[#This Row],[Precio_unitario]]="","PENDIENTE",TablaVentas[[#This Row],[Unidades]]*TablaVentas[[#This Row],[Precio_unitario]]*(1-TablaVentas[[#This Row],[Descuento_pct]]))</f>
        <v>25175.487000000001</v>
      </c>
      <c r="P424">
        <f>IF(TablaVentas[[#This Row],[Costo_unitario]]="","PENDIENTE",TablaVentas[[#This Row],[Unidades]]*TablaVentas[[#This Row],[Costo_unitario]])</f>
        <v>20340.580000000002</v>
      </c>
      <c r="Q424">
        <f>IF(OR(TablaVentas[[#This Row],[Ingreso_neto]]="PENDIENTE",TablaVentas[[#This Row],[Costo_total]]="PENDIENTE"),"PENDIENTE",TablaVentas[[#This Row],[Ingreso_neto]]-TablaVentas[[#This Row],[Costo_total]])</f>
        <v>4834.9069999999992</v>
      </c>
    </row>
    <row r="425" spans="1:17">
      <c r="A425" t="s">
        <v>470</v>
      </c>
      <c r="B425">
        <v>1</v>
      </c>
      <c r="C425" s="3">
        <v>46077</v>
      </c>
      <c r="D425" t="s">
        <v>171</v>
      </c>
      <c r="E425" t="s">
        <v>125</v>
      </c>
      <c r="F425" t="s">
        <v>39</v>
      </c>
      <c r="G425" t="s">
        <v>40</v>
      </c>
      <c r="H425" t="s">
        <v>129</v>
      </c>
      <c r="I425">
        <v>1</v>
      </c>
      <c r="J425" s="4">
        <v>1592.4</v>
      </c>
      <c r="K425" s="5">
        <v>0</v>
      </c>
      <c r="L425" s="4">
        <v>1044.32</v>
      </c>
      <c r="M425" t="s">
        <v>62</v>
      </c>
      <c r="N425" t="s">
        <v>52</v>
      </c>
      <c r="O425">
        <f>IF(TablaVentas[[#This Row],[Precio_unitario]]="","PENDIENTE",TablaVentas[[#This Row],[Unidades]]*TablaVentas[[#This Row],[Precio_unitario]]*(1-TablaVentas[[#This Row],[Descuento_pct]]))</f>
        <v>1592.4</v>
      </c>
      <c r="P425">
        <f>IF(TablaVentas[[#This Row],[Costo_unitario]]="","PENDIENTE",TablaVentas[[#This Row],[Unidades]]*TablaVentas[[#This Row],[Costo_unitario]])</f>
        <v>1044.32</v>
      </c>
      <c r="Q425">
        <f>IF(OR(TablaVentas[[#This Row],[Ingreso_neto]]="PENDIENTE",TablaVentas[[#This Row],[Costo_total]]="PENDIENTE"),"PENDIENTE",TablaVentas[[#This Row],[Ingreso_neto]]-TablaVentas[[#This Row],[Costo_total]])</f>
        <v>548.08000000000015</v>
      </c>
    </row>
    <row r="426" spans="1:17">
      <c r="A426" t="s">
        <v>470</v>
      </c>
      <c r="B426">
        <v>2</v>
      </c>
      <c r="C426" s="3">
        <v>46077</v>
      </c>
      <c r="D426" t="s">
        <v>171</v>
      </c>
      <c r="E426" t="s">
        <v>78</v>
      </c>
      <c r="F426" t="s">
        <v>39</v>
      </c>
      <c r="G426" t="s">
        <v>40</v>
      </c>
      <c r="H426" t="s">
        <v>129</v>
      </c>
      <c r="I426">
        <v>2</v>
      </c>
      <c r="J426" s="4">
        <v>10094.77</v>
      </c>
      <c r="K426" s="5">
        <v>0.05</v>
      </c>
      <c r="L426" s="4">
        <v>5033.47</v>
      </c>
      <c r="M426" t="s">
        <v>42</v>
      </c>
      <c r="N426" t="s">
        <v>52</v>
      </c>
      <c r="O426">
        <f>IF(TablaVentas[[#This Row],[Precio_unitario]]="","PENDIENTE",TablaVentas[[#This Row],[Unidades]]*TablaVentas[[#This Row],[Precio_unitario]]*(1-TablaVentas[[#This Row],[Descuento_pct]]))</f>
        <v>19180.062999999998</v>
      </c>
      <c r="P426">
        <f>IF(TablaVentas[[#This Row],[Costo_unitario]]="","PENDIENTE",TablaVentas[[#This Row],[Unidades]]*TablaVentas[[#This Row],[Costo_unitario]])</f>
        <v>10066.94</v>
      </c>
      <c r="Q426">
        <f>IF(OR(TablaVentas[[#This Row],[Ingreso_neto]]="PENDIENTE",TablaVentas[[#This Row],[Costo_total]]="PENDIENTE"),"PENDIENTE",TablaVentas[[#This Row],[Ingreso_neto]]-TablaVentas[[#This Row],[Costo_total]])</f>
        <v>9113.1229999999978</v>
      </c>
    </row>
    <row r="427" spans="1:17">
      <c r="A427" t="s">
        <v>470</v>
      </c>
      <c r="B427">
        <v>3</v>
      </c>
      <c r="C427" s="3">
        <v>46077</v>
      </c>
      <c r="D427" t="s">
        <v>171</v>
      </c>
      <c r="E427" t="s">
        <v>90</v>
      </c>
      <c r="F427" t="s">
        <v>39</v>
      </c>
      <c r="G427" t="s">
        <v>40</v>
      </c>
      <c r="H427" t="s">
        <v>129</v>
      </c>
      <c r="I427">
        <v>3</v>
      </c>
      <c r="J427" s="4">
        <v>11149.2</v>
      </c>
      <c r="K427" s="5">
        <v>0</v>
      </c>
      <c r="L427" s="4">
        <v>8174.87</v>
      </c>
      <c r="M427" t="s">
        <v>42</v>
      </c>
      <c r="N427" t="s">
        <v>60</v>
      </c>
      <c r="O427">
        <f>IF(TablaVentas[[#This Row],[Precio_unitario]]="","PENDIENTE",TablaVentas[[#This Row],[Unidades]]*TablaVentas[[#This Row],[Precio_unitario]]*(1-TablaVentas[[#This Row],[Descuento_pct]]))</f>
        <v>33447.600000000006</v>
      </c>
      <c r="P427">
        <f>IF(TablaVentas[[#This Row],[Costo_unitario]]="","PENDIENTE",TablaVentas[[#This Row],[Unidades]]*TablaVentas[[#This Row],[Costo_unitario]])</f>
        <v>24524.61</v>
      </c>
      <c r="Q427">
        <f>IF(OR(TablaVentas[[#This Row],[Ingreso_neto]]="PENDIENTE",TablaVentas[[#This Row],[Costo_total]]="PENDIENTE"),"PENDIENTE",TablaVentas[[#This Row],[Ingreso_neto]]-TablaVentas[[#This Row],[Costo_total]])</f>
        <v>8922.9900000000052</v>
      </c>
    </row>
    <row r="428" spans="1:17">
      <c r="A428" t="s">
        <v>470</v>
      </c>
      <c r="B428">
        <v>4</v>
      </c>
      <c r="C428" s="3">
        <v>46077</v>
      </c>
      <c r="D428" t="s">
        <v>171</v>
      </c>
      <c r="E428" t="s">
        <v>134</v>
      </c>
      <c r="F428" t="s">
        <v>39</v>
      </c>
      <c r="G428" t="s">
        <v>40</v>
      </c>
      <c r="H428" t="s">
        <v>129</v>
      </c>
      <c r="I428">
        <v>1</v>
      </c>
      <c r="J428" s="4">
        <v>256.39999999999998</v>
      </c>
      <c r="K428" s="5">
        <v>0</v>
      </c>
      <c r="L428" s="4">
        <v>176.47</v>
      </c>
      <c r="M428" t="s">
        <v>42</v>
      </c>
      <c r="N428" t="s">
        <v>60</v>
      </c>
      <c r="O428">
        <f>IF(TablaVentas[[#This Row],[Precio_unitario]]="","PENDIENTE",TablaVentas[[#This Row],[Unidades]]*TablaVentas[[#This Row],[Precio_unitario]]*(1-TablaVentas[[#This Row],[Descuento_pct]]))</f>
        <v>256.39999999999998</v>
      </c>
      <c r="P428">
        <f>IF(TablaVentas[[#This Row],[Costo_unitario]]="","PENDIENTE",TablaVentas[[#This Row],[Unidades]]*TablaVentas[[#This Row],[Costo_unitario]])</f>
        <v>176.47</v>
      </c>
      <c r="Q428">
        <f>IF(OR(TablaVentas[[#This Row],[Ingreso_neto]]="PENDIENTE",TablaVentas[[#This Row],[Costo_total]]="PENDIENTE"),"PENDIENTE",TablaVentas[[#This Row],[Ingreso_neto]]-TablaVentas[[#This Row],[Costo_total]])</f>
        <v>79.929999999999978</v>
      </c>
    </row>
    <row r="429" spans="1:17">
      <c r="A429" t="s">
        <v>470</v>
      </c>
      <c r="B429">
        <v>5</v>
      </c>
      <c r="C429" s="3">
        <v>46077</v>
      </c>
      <c r="D429" t="s">
        <v>171</v>
      </c>
      <c r="E429" t="s">
        <v>135</v>
      </c>
      <c r="F429" t="s">
        <v>39</v>
      </c>
      <c r="G429" t="s">
        <v>40</v>
      </c>
      <c r="H429" t="s">
        <v>129</v>
      </c>
      <c r="I429">
        <v>1</v>
      </c>
      <c r="J429" s="4">
        <v>2101.5300000000002</v>
      </c>
      <c r="K429" s="5">
        <v>0</v>
      </c>
      <c r="L429" s="4">
        <v>1529.93</v>
      </c>
      <c r="M429" t="s">
        <v>42</v>
      </c>
      <c r="N429" t="s">
        <v>45</v>
      </c>
      <c r="O429">
        <f>IF(TablaVentas[[#This Row],[Precio_unitario]]="","PENDIENTE",TablaVentas[[#This Row],[Unidades]]*TablaVentas[[#This Row],[Precio_unitario]]*(1-TablaVentas[[#This Row],[Descuento_pct]]))</f>
        <v>2101.5300000000002</v>
      </c>
      <c r="P429">
        <f>IF(TablaVentas[[#This Row],[Costo_unitario]]="","PENDIENTE",TablaVentas[[#This Row],[Unidades]]*TablaVentas[[#This Row],[Costo_unitario]])</f>
        <v>1529.93</v>
      </c>
      <c r="Q429">
        <f>IF(OR(TablaVentas[[#This Row],[Ingreso_neto]]="PENDIENTE",TablaVentas[[#This Row],[Costo_total]]="PENDIENTE"),"PENDIENTE",TablaVentas[[#This Row],[Ingreso_neto]]-TablaVentas[[#This Row],[Costo_total]])</f>
        <v>571.60000000000014</v>
      </c>
    </row>
    <row r="430" spans="1:17">
      <c r="A430" t="s">
        <v>471</v>
      </c>
      <c r="B430">
        <v>1</v>
      </c>
      <c r="C430" s="3">
        <v>46103</v>
      </c>
      <c r="D430" t="s">
        <v>472</v>
      </c>
      <c r="E430" t="s">
        <v>138</v>
      </c>
      <c r="F430" t="s">
        <v>39</v>
      </c>
      <c r="G430" t="s">
        <v>57</v>
      </c>
      <c r="H430" t="s">
        <v>51</v>
      </c>
      <c r="I430">
        <v>1</v>
      </c>
      <c r="J430" s="4">
        <v>6765.11</v>
      </c>
      <c r="K430" s="5">
        <v>0</v>
      </c>
      <c r="L430" s="4">
        <v>4665.62</v>
      </c>
      <c r="M430" t="s">
        <v>42</v>
      </c>
      <c r="N430" t="s">
        <v>52</v>
      </c>
      <c r="O430">
        <f>IF(TablaVentas[[#This Row],[Precio_unitario]]="","PENDIENTE",TablaVentas[[#This Row],[Unidades]]*TablaVentas[[#This Row],[Precio_unitario]]*(1-TablaVentas[[#This Row],[Descuento_pct]]))</f>
        <v>6765.11</v>
      </c>
      <c r="P430">
        <f>IF(TablaVentas[[#This Row],[Costo_unitario]]="","PENDIENTE",TablaVentas[[#This Row],[Unidades]]*TablaVentas[[#This Row],[Costo_unitario]])</f>
        <v>4665.62</v>
      </c>
      <c r="Q430">
        <f>IF(OR(TablaVentas[[#This Row],[Ingreso_neto]]="PENDIENTE",TablaVentas[[#This Row],[Costo_total]]="PENDIENTE"),"PENDIENTE",TablaVentas[[#This Row],[Ingreso_neto]]-TablaVentas[[#This Row],[Costo_total]])</f>
        <v>2099.4899999999998</v>
      </c>
    </row>
    <row r="431" spans="1:17">
      <c r="A431" t="s">
        <v>473</v>
      </c>
      <c r="B431">
        <v>1</v>
      </c>
      <c r="C431" s="3">
        <v>46236</v>
      </c>
      <c r="D431" t="s">
        <v>474</v>
      </c>
      <c r="E431" t="s">
        <v>397</v>
      </c>
      <c r="F431" t="s">
        <v>39</v>
      </c>
      <c r="G431" t="s">
        <v>40</v>
      </c>
      <c r="H431" t="s">
        <v>184</v>
      </c>
      <c r="I431">
        <v>2</v>
      </c>
      <c r="J431" s="4">
        <v>6666.12</v>
      </c>
      <c r="K431" s="5">
        <v>0.05</v>
      </c>
      <c r="L431" s="4">
        <v>3640.56</v>
      </c>
      <c r="M431" t="s">
        <v>42</v>
      </c>
      <c r="N431" t="s">
        <v>45</v>
      </c>
      <c r="O431">
        <f>IF(TablaVentas[[#This Row],[Precio_unitario]]="","PENDIENTE",TablaVentas[[#This Row],[Unidades]]*TablaVentas[[#This Row],[Precio_unitario]]*(1-TablaVentas[[#This Row],[Descuento_pct]]))</f>
        <v>12665.627999999999</v>
      </c>
      <c r="P431">
        <f>IF(TablaVentas[[#This Row],[Costo_unitario]]="","PENDIENTE",TablaVentas[[#This Row],[Unidades]]*TablaVentas[[#This Row],[Costo_unitario]])</f>
        <v>7281.12</v>
      </c>
      <c r="Q431">
        <f>IF(OR(TablaVentas[[#This Row],[Ingreso_neto]]="PENDIENTE",TablaVentas[[#This Row],[Costo_total]]="PENDIENTE"),"PENDIENTE",TablaVentas[[#This Row],[Ingreso_neto]]-TablaVentas[[#This Row],[Costo_total]])</f>
        <v>5384.5079999999989</v>
      </c>
    </row>
    <row r="432" spans="1:17">
      <c r="A432" t="s">
        <v>473</v>
      </c>
      <c r="B432">
        <v>2</v>
      </c>
      <c r="C432" s="3">
        <v>46236</v>
      </c>
      <c r="D432" t="s">
        <v>474</v>
      </c>
      <c r="E432" t="s">
        <v>151</v>
      </c>
      <c r="F432" t="s">
        <v>39</v>
      </c>
      <c r="G432" t="s">
        <v>40</v>
      </c>
      <c r="H432" t="s">
        <v>184</v>
      </c>
      <c r="I432">
        <v>8</v>
      </c>
      <c r="J432" s="4">
        <v>16256.79</v>
      </c>
      <c r="K432" s="5">
        <v>0</v>
      </c>
      <c r="L432" s="4">
        <v>8963.23</v>
      </c>
      <c r="M432" t="s">
        <v>42</v>
      </c>
      <c r="N432" t="s">
        <v>60</v>
      </c>
      <c r="O432">
        <f>IF(TablaVentas[[#This Row],[Precio_unitario]]="","PENDIENTE",TablaVentas[[#This Row],[Unidades]]*TablaVentas[[#This Row],[Precio_unitario]]*(1-TablaVentas[[#This Row],[Descuento_pct]]))</f>
        <v>130054.32</v>
      </c>
      <c r="P432">
        <f>IF(TablaVentas[[#This Row],[Costo_unitario]]="","PENDIENTE",TablaVentas[[#This Row],[Unidades]]*TablaVentas[[#This Row],[Costo_unitario]])</f>
        <v>71705.84</v>
      </c>
      <c r="Q432">
        <f>IF(OR(TablaVentas[[#This Row],[Ingreso_neto]]="PENDIENTE",TablaVentas[[#This Row],[Costo_total]]="PENDIENTE"),"PENDIENTE",TablaVentas[[#This Row],[Ingreso_neto]]-TablaVentas[[#This Row],[Costo_total]])</f>
        <v>58348.48000000001</v>
      </c>
    </row>
    <row r="433" spans="1:17">
      <c r="A433" t="s">
        <v>475</v>
      </c>
      <c r="B433">
        <v>1</v>
      </c>
      <c r="C433" s="3">
        <v>46044</v>
      </c>
      <c r="D433" t="s">
        <v>476</v>
      </c>
      <c r="E433" t="s">
        <v>159</v>
      </c>
      <c r="F433" t="s">
        <v>66</v>
      </c>
      <c r="G433" t="s">
        <v>40</v>
      </c>
      <c r="H433" t="s">
        <v>67</v>
      </c>
      <c r="I433">
        <v>1</v>
      </c>
      <c r="J433" s="4">
        <v>11172.19</v>
      </c>
      <c r="K433" s="5">
        <v>0.05</v>
      </c>
      <c r="L433" s="4">
        <v>9317.3700000000008</v>
      </c>
      <c r="M433" t="s">
        <v>42</v>
      </c>
      <c r="N433" t="s">
        <v>43</v>
      </c>
      <c r="O433">
        <f>IF(TablaVentas[[#This Row],[Precio_unitario]]="","PENDIENTE",TablaVentas[[#This Row],[Unidades]]*TablaVentas[[#This Row],[Precio_unitario]]*(1-TablaVentas[[#This Row],[Descuento_pct]]))</f>
        <v>10613.5805</v>
      </c>
      <c r="P433">
        <f>IF(TablaVentas[[#This Row],[Costo_unitario]]="","PENDIENTE",TablaVentas[[#This Row],[Unidades]]*TablaVentas[[#This Row],[Costo_unitario]])</f>
        <v>9317.3700000000008</v>
      </c>
      <c r="Q433">
        <f>IF(OR(TablaVentas[[#This Row],[Ingreso_neto]]="PENDIENTE",TablaVentas[[#This Row],[Costo_total]]="PENDIENTE"),"PENDIENTE",TablaVentas[[#This Row],[Ingreso_neto]]-TablaVentas[[#This Row],[Costo_total]])</f>
        <v>1296.2104999999992</v>
      </c>
    </row>
    <row r="434" spans="1:17">
      <c r="A434" t="s">
        <v>477</v>
      </c>
      <c r="B434">
        <v>1</v>
      </c>
      <c r="C434" s="3">
        <v>46103</v>
      </c>
      <c r="D434" t="s">
        <v>478</v>
      </c>
      <c r="E434" t="s">
        <v>93</v>
      </c>
      <c r="F434" t="s">
        <v>39</v>
      </c>
      <c r="G434" t="s">
        <v>50</v>
      </c>
      <c r="H434" t="s">
        <v>67</v>
      </c>
      <c r="I434">
        <v>8</v>
      </c>
      <c r="J434" s="4">
        <v>14005.35</v>
      </c>
      <c r="K434" s="5">
        <v>0.05</v>
      </c>
      <c r="L434" s="4">
        <v>8788.7900000000009</v>
      </c>
      <c r="M434" t="s">
        <v>42</v>
      </c>
      <c r="N434" t="s">
        <v>43</v>
      </c>
      <c r="O434">
        <f>IF(TablaVentas[[#This Row],[Precio_unitario]]="","PENDIENTE",TablaVentas[[#This Row],[Unidades]]*TablaVentas[[#This Row],[Precio_unitario]]*(1-TablaVentas[[#This Row],[Descuento_pct]]))</f>
        <v>106440.66</v>
      </c>
      <c r="P434">
        <f>IF(TablaVentas[[#This Row],[Costo_unitario]]="","PENDIENTE",TablaVentas[[#This Row],[Unidades]]*TablaVentas[[#This Row],[Costo_unitario]])</f>
        <v>70310.320000000007</v>
      </c>
      <c r="Q434">
        <f>IF(OR(TablaVentas[[#This Row],[Ingreso_neto]]="PENDIENTE",TablaVentas[[#This Row],[Costo_total]]="PENDIENTE"),"PENDIENTE",TablaVentas[[#This Row],[Ingreso_neto]]-TablaVentas[[#This Row],[Costo_total]])</f>
        <v>36130.339999999997</v>
      </c>
    </row>
    <row r="435" spans="1:17">
      <c r="A435" t="s">
        <v>479</v>
      </c>
      <c r="B435">
        <v>1</v>
      </c>
      <c r="C435" s="3">
        <v>46042</v>
      </c>
      <c r="D435" t="s">
        <v>480</v>
      </c>
      <c r="E435" t="s">
        <v>90</v>
      </c>
      <c r="F435" t="s">
        <v>66</v>
      </c>
      <c r="G435" t="s">
        <v>40</v>
      </c>
      <c r="H435" t="s">
        <v>51</v>
      </c>
      <c r="I435">
        <v>1</v>
      </c>
      <c r="J435" s="4">
        <v>10483.41</v>
      </c>
      <c r="K435" s="5">
        <v>0</v>
      </c>
      <c r="L435" s="4">
        <v>8174.87</v>
      </c>
      <c r="M435" t="s">
        <v>42</v>
      </c>
      <c r="N435" t="s">
        <v>45</v>
      </c>
      <c r="O435">
        <f>IF(TablaVentas[[#This Row],[Precio_unitario]]="","PENDIENTE",TablaVentas[[#This Row],[Unidades]]*TablaVentas[[#This Row],[Precio_unitario]]*(1-TablaVentas[[#This Row],[Descuento_pct]]))</f>
        <v>10483.41</v>
      </c>
      <c r="P435">
        <f>IF(TablaVentas[[#This Row],[Costo_unitario]]="","PENDIENTE",TablaVentas[[#This Row],[Unidades]]*TablaVentas[[#This Row],[Costo_unitario]])</f>
        <v>8174.87</v>
      </c>
      <c r="Q435">
        <f>IF(OR(TablaVentas[[#This Row],[Ingreso_neto]]="PENDIENTE",TablaVentas[[#This Row],[Costo_total]]="PENDIENTE"),"PENDIENTE",TablaVentas[[#This Row],[Ingreso_neto]]-TablaVentas[[#This Row],[Costo_total]])</f>
        <v>2308.54</v>
      </c>
    </row>
    <row r="436" spans="1:17">
      <c r="A436" t="s">
        <v>479</v>
      </c>
      <c r="B436">
        <v>2</v>
      </c>
      <c r="C436" s="3">
        <v>46042</v>
      </c>
      <c r="D436" t="s">
        <v>480</v>
      </c>
      <c r="E436" t="s">
        <v>217</v>
      </c>
      <c r="F436" t="s">
        <v>66</v>
      </c>
      <c r="G436" t="s">
        <v>40</v>
      </c>
      <c r="H436" t="s">
        <v>51</v>
      </c>
      <c r="I436">
        <v>3</v>
      </c>
      <c r="J436" s="4">
        <v>17098.71</v>
      </c>
      <c r="K436" s="5">
        <v>0.05</v>
      </c>
      <c r="L436" s="4">
        <v>14161.63</v>
      </c>
      <c r="M436" t="s">
        <v>42</v>
      </c>
      <c r="N436" t="s">
        <v>52</v>
      </c>
      <c r="O436">
        <f>IF(TablaVentas[[#This Row],[Precio_unitario]]="","PENDIENTE",TablaVentas[[#This Row],[Unidades]]*TablaVentas[[#This Row],[Precio_unitario]]*(1-TablaVentas[[#This Row],[Descuento_pct]]))</f>
        <v>48731.323499999999</v>
      </c>
      <c r="P436">
        <f>IF(TablaVentas[[#This Row],[Costo_unitario]]="","PENDIENTE",TablaVentas[[#This Row],[Unidades]]*TablaVentas[[#This Row],[Costo_unitario]])</f>
        <v>42484.89</v>
      </c>
      <c r="Q436">
        <f>IF(OR(TablaVentas[[#This Row],[Ingreso_neto]]="PENDIENTE",TablaVentas[[#This Row],[Costo_total]]="PENDIENTE"),"PENDIENTE",TablaVentas[[#This Row],[Ingreso_neto]]-TablaVentas[[#This Row],[Costo_total]])</f>
        <v>6246.4334999999992</v>
      </c>
    </row>
    <row r="437" spans="1:17">
      <c r="A437" t="s">
        <v>479</v>
      </c>
      <c r="B437">
        <v>3</v>
      </c>
      <c r="C437" s="3">
        <v>46042</v>
      </c>
      <c r="D437" t="s">
        <v>480</v>
      </c>
      <c r="E437" t="s">
        <v>138</v>
      </c>
      <c r="F437" t="s">
        <v>66</v>
      </c>
      <c r="G437" t="s">
        <v>40</v>
      </c>
      <c r="H437" t="s">
        <v>51</v>
      </c>
      <c r="I437">
        <v>1</v>
      </c>
      <c r="J437" s="4">
        <v>6717.9</v>
      </c>
      <c r="K437" s="5">
        <v>0</v>
      </c>
      <c r="L437" s="4">
        <v>4665.62</v>
      </c>
      <c r="M437" t="s">
        <v>42</v>
      </c>
      <c r="N437" t="s">
        <v>60</v>
      </c>
      <c r="O437">
        <f>IF(TablaVentas[[#This Row],[Precio_unitario]]="","PENDIENTE",TablaVentas[[#This Row],[Unidades]]*TablaVentas[[#This Row],[Precio_unitario]]*(1-TablaVentas[[#This Row],[Descuento_pct]]))</f>
        <v>6717.9</v>
      </c>
      <c r="P437">
        <f>IF(TablaVentas[[#This Row],[Costo_unitario]]="","PENDIENTE",TablaVentas[[#This Row],[Unidades]]*TablaVentas[[#This Row],[Costo_unitario]])</f>
        <v>4665.62</v>
      </c>
      <c r="Q437">
        <f>IF(OR(TablaVentas[[#This Row],[Ingreso_neto]]="PENDIENTE",TablaVentas[[#This Row],[Costo_total]]="PENDIENTE"),"PENDIENTE",TablaVentas[[#This Row],[Ingreso_neto]]-TablaVentas[[#This Row],[Costo_total]])</f>
        <v>2052.2799999999997</v>
      </c>
    </row>
    <row r="438" spans="1:17">
      <c r="A438" t="s">
        <v>481</v>
      </c>
      <c r="B438">
        <v>1</v>
      </c>
      <c r="C438" s="3">
        <v>46102</v>
      </c>
      <c r="D438" t="s">
        <v>482</v>
      </c>
      <c r="E438" t="s">
        <v>156</v>
      </c>
      <c r="F438" t="s">
        <v>39</v>
      </c>
      <c r="G438" t="s">
        <v>50</v>
      </c>
      <c r="H438" t="s">
        <v>184</v>
      </c>
      <c r="I438">
        <v>8</v>
      </c>
      <c r="J438" s="4">
        <v>18227.46</v>
      </c>
      <c r="K438" s="5">
        <v>0.1</v>
      </c>
      <c r="L438" s="4">
        <v>13981.13</v>
      </c>
      <c r="M438" t="s">
        <v>116</v>
      </c>
      <c r="N438" t="s">
        <v>43</v>
      </c>
      <c r="O438">
        <f>IF(TablaVentas[[#This Row],[Precio_unitario]]="","PENDIENTE",TablaVentas[[#This Row],[Unidades]]*TablaVentas[[#This Row],[Precio_unitario]]*(1-TablaVentas[[#This Row],[Descuento_pct]]))</f>
        <v>131237.712</v>
      </c>
      <c r="P438">
        <f>IF(TablaVentas[[#This Row],[Costo_unitario]]="","PENDIENTE",TablaVentas[[#This Row],[Unidades]]*TablaVentas[[#This Row],[Costo_unitario]])</f>
        <v>111849.04</v>
      </c>
      <c r="Q438">
        <f>IF(OR(TablaVentas[[#This Row],[Ingreso_neto]]="PENDIENTE",TablaVentas[[#This Row],[Costo_total]]="PENDIENTE"),"PENDIENTE",TablaVentas[[#This Row],[Ingreso_neto]]-TablaVentas[[#This Row],[Costo_total]])</f>
        <v>19388.672000000006</v>
      </c>
    </row>
    <row r="439" spans="1:17">
      <c r="A439" t="s">
        <v>481</v>
      </c>
      <c r="B439">
        <v>2</v>
      </c>
      <c r="C439" s="3">
        <v>46102</v>
      </c>
      <c r="D439" t="s">
        <v>482</v>
      </c>
      <c r="E439" t="s">
        <v>410</v>
      </c>
      <c r="F439" t="s">
        <v>39</v>
      </c>
      <c r="G439" t="s">
        <v>50</v>
      </c>
      <c r="H439" t="s">
        <v>184</v>
      </c>
      <c r="I439">
        <v>1</v>
      </c>
      <c r="J439" s="4">
        <v>8273.4</v>
      </c>
      <c r="K439" s="5">
        <v>0</v>
      </c>
      <c r="L439" s="4">
        <v>5874.17</v>
      </c>
      <c r="M439" t="s">
        <v>42</v>
      </c>
      <c r="N439" t="s">
        <v>52</v>
      </c>
      <c r="O439">
        <f>IF(TablaVentas[[#This Row],[Precio_unitario]]="","PENDIENTE",TablaVentas[[#This Row],[Unidades]]*TablaVentas[[#This Row],[Precio_unitario]]*(1-TablaVentas[[#This Row],[Descuento_pct]]))</f>
        <v>8273.4</v>
      </c>
      <c r="P439">
        <f>IF(TablaVentas[[#This Row],[Costo_unitario]]="","PENDIENTE",TablaVentas[[#This Row],[Unidades]]*TablaVentas[[#This Row],[Costo_unitario]])</f>
        <v>5874.17</v>
      </c>
      <c r="Q439">
        <f>IF(OR(TablaVentas[[#This Row],[Ingreso_neto]]="PENDIENTE",TablaVentas[[#This Row],[Costo_total]]="PENDIENTE"),"PENDIENTE",TablaVentas[[#This Row],[Ingreso_neto]]-TablaVentas[[#This Row],[Costo_total]])</f>
        <v>2399.2299999999996</v>
      </c>
    </row>
    <row r="440" spans="1:17">
      <c r="A440" t="s">
        <v>481</v>
      </c>
      <c r="B440">
        <v>3</v>
      </c>
      <c r="C440" s="3">
        <v>46102</v>
      </c>
      <c r="D440" t="s">
        <v>482</v>
      </c>
      <c r="E440" t="s">
        <v>76</v>
      </c>
      <c r="F440" t="s">
        <v>39</v>
      </c>
      <c r="G440" t="s">
        <v>50</v>
      </c>
      <c r="H440" t="s">
        <v>184</v>
      </c>
      <c r="I440">
        <v>1</v>
      </c>
      <c r="J440" s="4">
        <v>14403.49</v>
      </c>
      <c r="K440" s="5">
        <v>0.2</v>
      </c>
      <c r="L440" s="4">
        <v>7748.44</v>
      </c>
      <c r="M440" t="s">
        <v>42</v>
      </c>
      <c r="N440" t="s">
        <v>45</v>
      </c>
      <c r="O440">
        <f>IF(TablaVentas[[#This Row],[Precio_unitario]]="","PENDIENTE",TablaVentas[[#This Row],[Unidades]]*TablaVentas[[#This Row],[Precio_unitario]]*(1-TablaVentas[[#This Row],[Descuento_pct]]))</f>
        <v>11522.792000000001</v>
      </c>
      <c r="P440">
        <f>IF(TablaVentas[[#This Row],[Costo_unitario]]="","PENDIENTE",TablaVentas[[#This Row],[Unidades]]*TablaVentas[[#This Row],[Costo_unitario]])</f>
        <v>7748.44</v>
      </c>
      <c r="Q440">
        <f>IF(OR(TablaVentas[[#This Row],[Ingreso_neto]]="PENDIENTE",TablaVentas[[#This Row],[Costo_total]]="PENDIENTE"),"PENDIENTE",TablaVentas[[#This Row],[Ingreso_neto]]-TablaVentas[[#This Row],[Costo_total]])</f>
        <v>3774.3520000000017</v>
      </c>
    </row>
    <row r="441" spans="1:17">
      <c r="A441" t="s">
        <v>481</v>
      </c>
      <c r="B441">
        <v>4</v>
      </c>
      <c r="C441" s="3">
        <v>46102</v>
      </c>
      <c r="D441" t="s">
        <v>482</v>
      </c>
      <c r="E441" t="s">
        <v>183</v>
      </c>
      <c r="F441" t="s">
        <v>39</v>
      </c>
      <c r="G441" t="s">
        <v>50</v>
      </c>
      <c r="H441" t="s">
        <v>184</v>
      </c>
      <c r="I441">
        <v>4</v>
      </c>
      <c r="J441" s="4">
        <v>5289.86</v>
      </c>
      <c r="K441" s="5">
        <v>0.2</v>
      </c>
      <c r="L441" s="4">
        <v>4325.7299999999996</v>
      </c>
      <c r="M441" t="s">
        <v>116</v>
      </c>
      <c r="N441" t="s">
        <v>43</v>
      </c>
      <c r="O441">
        <f>IF(TablaVentas[[#This Row],[Precio_unitario]]="","PENDIENTE",TablaVentas[[#This Row],[Unidades]]*TablaVentas[[#This Row],[Precio_unitario]]*(1-TablaVentas[[#This Row],[Descuento_pct]]))</f>
        <v>16927.552</v>
      </c>
      <c r="P441">
        <f>IF(TablaVentas[[#This Row],[Costo_unitario]]="","PENDIENTE",TablaVentas[[#This Row],[Unidades]]*TablaVentas[[#This Row],[Costo_unitario]])</f>
        <v>17302.919999999998</v>
      </c>
      <c r="Q441">
        <f>IF(OR(TablaVentas[[#This Row],[Ingreso_neto]]="PENDIENTE",TablaVentas[[#This Row],[Costo_total]]="PENDIENTE"),"PENDIENTE",TablaVentas[[#This Row],[Ingreso_neto]]-TablaVentas[[#This Row],[Costo_total]])</f>
        <v>-375.36799999999857</v>
      </c>
    </row>
    <row r="442" spans="1:17">
      <c r="A442" t="s">
        <v>483</v>
      </c>
      <c r="B442">
        <v>1</v>
      </c>
      <c r="C442" s="3">
        <v>46170</v>
      </c>
      <c r="D442" t="s">
        <v>484</v>
      </c>
      <c r="E442" t="s">
        <v>156</v>
      </c>
      <c r="F442" t="s">
        <v>77</v>
      </c>
      <c r="G442" t="s">
        <v>57</v>
      </c>
      <c r="H442" t="s">
        <v>67</v>
      </c>
      <c r="I442">
        <v>3</v>
      </c>
      <c r="J442" s="4">
        <v>18154.48</v>
      </c>
      <c r="K442" s="5">
        <v>0</v>
      </c>
      <c r="L442" s="4">
        <v>13981.13</v>
      </c>
      <c r="M442" t="s">
        <v>42</v>
      </c>
      <c r="N442" t="s">
        <v>52</v>
      </c>
      <c r="O442">
        <f>IF(TablaVentas[[#This Row],[Precio_unitario]]="","PENDIENTE",TablaVentas[[#This Row],[Unidades]]*TablaVentas[[#This Row],[Precio_unitario]]*(1-TablaVentas[[#This Row],[Descuento_pct]]))</f>
        <v>54463.44</v>
      </c>
      <c r="P442">
        <f>IF(TablaVentas[[#This Row],[Costo_unitario]]="","PENDIENTE",TablaVentas[[#This Row],[Unidades]]*TablaVentas[[#This Row],[Costo_unitario]])</f>
        <v>41943.39</v>
      </c>
      <c r="Q442">
        <f>IF(OR(TablaVentas[[#This Row],[Ingreso_neto]]="PENDIENTE",TablaVentas[[#This Row],[Costo_total]]="PENDIENTE"),"PENDIENTE",TablaVentas[[#This Row],[Ingreso_neto]]-TablaVentas[[#This Row],[Costo_total]])</f>
        <v>12520.050000000003</v>
      </c>
    </row>
    <row r="443" spans="1:17">
      <c r="A443" t="s">
        <v>483</v>
      </c>
      <c r="B443">
        <v>2</v>
      </c>
      <c r="C443" s="3">
        <v>46170</v>
      </c>
      <c r="D443" t="s">
        <v>484</v>
      </c>
      <c r="E443" t="s">
        <v>271</v>
      </c>
      <c r="F443" t="s">
        <v>77</v>
      </c>
      <c r="G443" t="s">
        <v>57</v>
      </c>
      <c r="H443" t="s">
        <v>67</v>
      </c>
      <c r="I443">
        <v>1</v>
      </c>
      <c r="J443" s="4">
        <v>978.5</v>
      </c>
      <c r="K443" s="5">
        <v>0.05</v>
      </c>
      <c r="L443" s="4">
        <v>759.03</v>
      </c>
      <c r="M443" t="s">
        <v>42</v>
      </c>
      <c r="N443" t="s">
        <v>45</v>
      </c>
      <c r="O443">
        <f>IF(TablaVentas[[#This Row],[Precio_unitario]]="","PENDIENTE",TablaVentas[[#This Row],[Unidades]]*TablaVentas[[#This Row],[Precio_unitario]]*(1-TablaVentas[[#This Row],[Descuento_pct]]))</f>
        <v>929.57499999999993</v>
      </c>
      <c r="P443">
        <f>IF(TablaVentas[[#This Row],[Costo_unitario]]="","PENDIENTE",TablaVentas[[#This Row],[Unidades]]*TablaVentas[[#This Row],[Costo_unitario]])</f>
        <v>759.03</v>
      </c>
      <c r="Q443">
        <f>IF(OR(TablaVentas[[#This Row],[Ingreso_neto]]="PENDIENTE",TablaVentas[[#This Row],[Costo_total]]="PENDIENTE"),"PENDIENTE",TablaVentas[[#This Row],[Ingreso_neto]]-TablaVentas[[#This Row],[Costo_total]])</f>
        <v>170.54499999999996</v>
      </c>
    </row>
    <row r="444" spans="1:17">
      <c r="A444" t="s">
        <v>485</v>
      </c>
      <c r="B444">
        <v>1</v>
      </c>
      <c r="C444" s="3">
        <v>46141</v>
      </c>
      <c r="D444" t="s">
        <v>486</v>
      </c>
      <c r="E444" t="s">
        <v>196</v>
      </c>
      <c r="F444" t="s">
        <v>39</v>
      </c>
      <c r="G444" t="s">
        <v>40</v>
      </c>
      <c r="H444" t="s">
        <v>129</v>
      </c>
      <c r="I444">
        <v>1</v>
      </c>
      <c r="J444" s="4">
        <v>702.55</v>
      </c>
      <c r="K444" s="5">
        <v>0.05</v>
      </c>
      <c r="L444" s="4">
        <v>485.16</v>
      </c>
      <c r="M444" t="s">
        <v>42</v>
      </c>
      <c r="N444" t="s">
        <v>45</v>
      </c>
      <c r="O444">
        <f>IF(TablaVentas[[#This Row],[Precio_unitario]]="","PENDIENTE",TablaVentas[[#This Row],[Unidades]]*TablaVentas[[#This Row],[Precio_unitario]]*(1-TablaVentas[[#This Row],[Descuento_pct]]))</f>
        <v>667.4224999999999</v>
      </c>
      <c r="P444">
        <f>IF(TablaVentas[[#This Row],[Costo_unitario]]="","PENDIENTE",TablaVentas[[#This Row],[Unidades]]*TablaVentas[[#This Row],[Costo_unitario]])</f>
        <v>485.16</v>
      </c>
      <c r="Q444">
        <f>IF(OR(TablaVentas[[#This Row],[Ingreso_neto]]="PENDIENTE",TablaVentas[[#This Row],[Costo_total]]="PENDIENTE"),"PENDIENTE",TablaVentas[[#This Row],[Ingreso_neto]]-TablaVentas[[#This Row],[Costo_total]])</f>
        <v>182.26249999999987</v>
      </c>
    </row>
    <row r="445" spans="1:17">
      <c r="A445" t="s">
        <v>485</v>
      </c>
      <c r="B445">
        <v>2</v>
      </c>
      <c r="C445" s="3">
        <v>46141</v>
      </c>
      <c r="D445" t="s">
        <v>486</v>
      </c>
      <c r="E445" t="s">
        <v>175</v>
      </c>
      <c r="F445" t="s">
        <v>39</v>
      </c>
      <c r="G445" t="s">
        <v>40</v>
      </c>
      <c r="H445" t="s">
        <v>129</v>
      </c>
      <c r="I445">
        <v>4</v>
      </c>
      <c r="J445" s="4">
        <v>2846.12</v>
      </c>
      <c r="K445" s="5">
        <v>0</v>
      </c>
      <c r="L445" s="4">
        <v>1857.39</v>
      </c>
      <c r="M445" t="s">
        <v>42</v>
      </c>
      <c r="N445" t="s">
        <v>45</v>
      </c>
      <c r="O445">
        <f>IF(TablaVentas[[#This Row],[Precio_unitario]]="","PENDIENTE",TablaVentas[[#This Row],[Unidades]]*TablaVentas[[#This Row],[Precio_unitario]]*(1-TablaVentas[[#This Row],[Descuento_pct]]))</f>
        <v>11384.48</v>
      </c>
      <c r="P445">
        <f>IF(TablaVentas[[#This Row],[Costo_unitario]]="","PENDIENTE",TablaVentas[[#This Row],[Unidades]]*TablaVentas[[#This Row],[Costo_unitario]])</f>
        <v>7429.56</v>
      </c>
      <c r="Q445">
        <f>IF(OR(TablaVentas[[#This Row],[Ingreso_neto]]="PENDIENTE",TablaVentas[[#This Row],[Costo_total]]="PENDIENTE"),"PENDIENTE",TablaVentas[[#This Row],[Ingreso_neto]]-TablaVentas[[#This Row],[Costo_total]])</f>
        <v>3954.9199999999992</v>
      </c>
    </row>
    <row r="446" spans="1:17">
      <c r="A446" t="s">
        <v>485</v>
      </c>
      <c r="B446">
        <v>3</v>
      </c>
      <c r="C446" s="3">
        <v>46141</v>
      </c>
      <c r="D446" t="s">
        <v>486</v>
      </c>
      <c r="E446" t="s">
        <v>151</v>
      </c>
      <c r="F446" t="s">
        <v>39</v>
      </c>
      <c r="G446" t="s">
        <v>40</v>
      </c>
      <c r="H446" t="s">
        <v>129</v>
      </c>
      <c r="I446">
        <v>2</v>
      </c>
      <c r="J446" s="4">
        <v>17729.919999999998</v>
      </c>
      <c r="K446" s="5">
        <v>0</v>
      </c>
      <c r="L446" s="4">
        <v>8963.23</v>
      </c>
      <c r="M446" t="s">
        <v>42</v>
      </c>
      <c r="N446" t="s">
        <v>60</v>
      </c>
      <c r="O446">
        <f>IF(TablaVentas[[#This Row],[Precio_unitario]]="","PENDIENTE",TablaVentas[[#This Row],[Unidades]]*TablaVentas[[#This Row],[Precio_unitario]]*(1-TablaVentas[[#This Row],[Descuento_pct]]))</f>
        <v>35459.839999999997</v>
      </c>
      <c r="P446">
        <f>IF(TablaVentas[[#This Row],[Costo_unitario]]="","PENDIENTE",TablaVentas[[#This Row],[Unidades]]*TablaVentas[[#This Row],[Costo_unitario]])</f>
        <v>17926.46</v>
      </c>
      <c r="Q446">
        <f>IF(OR(TablaVentas[[#This Row],[Ingreso_neto]]="PENDIENTE",TablaVentas[[#This Row],[Costo_total]]="PENDIENTE"),"PENDIENTE",TablaVentas[[#This Row],[Ingreso_neto]]-TablaVentas[[#This Row],[Costo_total]])</f>
        <v>17533.379999999997</v>
      </c>
    </row>
    <row r="447" spans="1:17">
      <c r="A447" t="s">
        <v>485</v>
      </c>
      <c r="B447">
        <v>4</v>
      </c>
      <c r="C447" s="3">
        <v>46141</v>
      </c>
      <c r="D447" t="s">
        <v>486</v>
      </c>
      <c r="E447" t="s">
        <v>156</v>
      </c>
      <c r="F447" t="s">
        <v>39</v>
      </c>
      <c r="G447" t="s">
        <v>40</v>
      </c>
      <c r="H447" t="s">
        <v>129</v>
      </c>
      <c r="I447">
        <v>3</v>
      </c>
      <c r="J447" s="4">
        <v>19733.38</v>
      </c>
      <c r="K447" s="5">
        <v>0</v>
      </c>
      <c r="L447" s="4">
        <v>13981.13</v>
      </c>
      <c r="M447" t="s">
        <v>42</v>
      </c>
      <c r="N447" t="s">
        <v>60</v>
      </c>
      <c r="O447">
        <f>IF(TablaVentas[[#This Row],[Precio_unitario]]="","PENDIENTE",TablaVentas[[#This Row],[Unidades]]*TablaVentas[[#This Row],[Precio_unitario]]*(1-TablaVentas[[#This Row],[Descuento_pct]]))</f>
        <v>59200.14</v>
      </c>
      <c r="P447">
        <f>IF(TablaVentas[[#This Row],[Costo_unitario]]="","PENDIENTE",TablaVentas[[#This Row],[Unidades]]*TablaVentas[[#This Row],[Costo_unitario]])</f>
        <v>41943.39</v>
      </c>
      <c r="Q447">
        <f>IF(OR(TablaVentas[[#This Row],[Ingreso_neto]]="PENDIENTE",TablaVentas[[#This Row],[Costo_total]]="PENDIENTE"),"PENDIENTE",TablaVentas[[#This Row],[Ingreso_neto]]-TablaVentas[[#This Row],[Costo_total]])</f>
        <v>17256.75</v>
      </c>
    </row>
    <row r="448" spans="1:17">
      <c r="A448" t="s">
        <v>487</v>
      </c>
      <c r="B448">
        <v>1</v>
      </c>
      <c r="C448" s="3">
        <v>46261</v>
      </c>
      <c r="D448" t="s">
        <v>88</v>
      </c>
      <c r="E448" t="s">
        <v>277</v>
      </c>
      <c r="F448" t="s">
        <v>66</v>
      </c>
      <c r="G448" t="s">
        <v>57</v>
      </c>
      <c r="H448" t="s">
        <v>67</v>
      </c>
      <c r="I448">
        <v>3</v>
      </c>
      <c r="J448" s="4">
        <v>6214.85</v>
      </c>
      <c r="K448" s="5">
        <v>0.05</v>
      </c>
      <c r="L448" s="4">
        <v>4858.08</v>
      </c>
      <c r="M448" t="s">
        <v>42</v>
      </c>
      <c r="N448" t="s">
        <v>43</v>
      </c>
      <c r="O448">
        <f>IF(TablaVentas[[#This Row],[Precio_unitario]]="","PENDIENTE",TablaVentas[[#This Row],[Unidades]]*TablaVentas[[#This Row],[Precio_unitario]]*(1-TablaVentas[[#This Row],[Descuento_pct]]))</f>
        <v>17712.322500000002</v>
      </c>
      <c r="P448">
        <f>IF(TablaVentas[[#This Row],[Costo_unitario]]="","PENDIENTE",TablaVentas[[#This Row],[Unidades]]*TablaVentas[[#This Row],[Costo_unitario]])</f>
        <v>14574.24</v>
      </c>
      <c r="Q448">
        <f>IF(OR(TablaVentas[[#This Row],[Ingreso_neto]]="PENDIENTE",TablaVentas[[#This Row],[Costo_total]]="PENDIENTE"),"PENDIENTE",TablaVentas[[#This Row],[Ingreso_neto]]-TablaVentas[[#This Row],[Costo_total]])</f>
        <v>3138.0825000000023</v>
      </c>
    </row>
    <row r="449" spans="1:18">
      <c r="A449" t="s">
        <v>487</v>
      </c>
      <c r="B449">
        <v>2</v>
      </c>
      <c r="C449" s="3">
        <v>46261</v>
      </c>
      <c r="D449" t="s">
        <v>88</v>
      </c>
      <c r="E449" t="s">
        <v>217</v>
      </c>
      <c r="F449" t="s">
        <v>66</v>
      </c>
      <c r="G449" t="s">
        <v>57</v>
      </c>
      <c r="H449" t="s">
        <v>67</v>
      </c>
      <c r="I449">
        <v>1</v>
      </c>
      <c r="J449" s="4">
        <v>17601.439999999999</v>
      </c>
      <c r="K449" s="5">
        <v>0.15</v>
      </c>
      <c r="L449" s="4">
        <v>14161.63</v>
      </c>
      <c r="M449" t="s">
        <v>42</v>
      </c>
      <c r="N449" t="s">
        <v>45</v>
      </c>
      <c r="O449">
        <f>IF(TablaVentas[[#This Row],[Precio_unitario]]="","PENDIENTE",TablaVentas[[#This Row],[Unidades]]*TablaVentas[[#This Row],[Precio_unitario]]*(1-TablaVentas[[#This Row],[Descuento_pct]]))</f>
        <v>14961.223999999998</v>
      </c>
      <c r="P449">
        <f>IF(TablaVentas[[#This Row],[Costo_unitario]]="","PENDIENTE",TablaVentas[[#This Row],[Unidades]]*TablaVentas[[#This Row],[Costo_unitario]])</f>
        <v>14161.63</v>
      </c>
      <c r="Q449">
        <f>IF(OR(TablaVentas[[#This Row],[Ingreso_neto]]="PENDIENTE",TablaVentas[[#This Row],[Costo_total]]="PENDIENTE"),"PENDIENTE",TablaVentas[[#This Row],[Ingreso_neto]]-TablaVentas[[#This Row],[Costo_total]])</f>
        <v>799.59399999999914</v>
      </c>
    </row>
    <row r="450" spans="1:18">
      <c r="A450" t="s">
        <v>488</v>
      </c>
      <c r="B450">
        <v>1</v>
      </c>
      <c r="C450" s="3">
        <v>46069</v>
      </c>
      <c r="D450" t="s">
        <v>489</v>
      </c>
      <c r="E450" t="s">
        <v>81</v>
      </c>
      <c r="F450" t="s">
        <v>66</v>
      </c>
      <c r="G450" t="s">
        <v>40</v>
      </c>
      <c r="H450" t="s">
        <v>124</v>
      </c>
      <c r="I450">
        <v>2</v>
      </c>
      <c r="J450" s="4">
        <v>16750.990000000002</v>
      </c>
      <c r="K450" s="5">
        <v>0.05</v>
      </c>
      <c r="L450" s="4">
        <v>11614.87</v>
      </c>
      <c r="M450" t="s">
        <v>42</v>
      </c>
      <c r="N450" t="s">
        <v>45</v>
      </c>
      <c r="O450">
        <f>IF(TablaVentas[[#This Row],[Precio_unitario]]="","PENDIENTE",TablaVentas[[#This Row],[Unidades]]*TablaVentas[[#This Row],[Precio_unitario]]*(1-TablaVentas[[#This Row],[Descuento_pct]]))</f>
        <v>31826.881000000001</v>
      </c>
      <c r="P450">
        <f>IF(TablaVentas[[#This Row],[Costo_unitario]]="","PENDIENTE",TablaVentas[[#This Row],[Unidades]]*TablaVentas[[#This Row],[Costo_unitario]])</f>
        <v>23229.74</v>
      </c>
      <c r="Q450">
        <f>IF(OR(TablaVentas[[#This Row],[Ingreso_neto]]="PENDIENTE",TablaVentas[[#This Row],[Costo_total]]="PENDIENTE"),"PENDIENTE",TablaVentas[[#This Row],[Ingreso_neto]]-TablaVentas[[#This Row],[Costo_total]])</f>
        <v>8597.1409999999996</v>
      </c>
    </row>
    <row r="451" spans="1:18">
      <c r="A451" t="s">
        <v>488</v>
      </c>
      <c r="B451">
        <v>2</v>
      </c>
      <c r="C451" s="3">
        <v>46069</v>
      </c>
      <c r="D451" t="s">
        <v>489</v>
      </c>
      <c r="E451" t="s">
        <v>97</v>
      </c>
      <c r="F451" t="s">
        <v>66</v>
      </c>
      <c r="G451" t="s">
        <v>40</v>
      </c>
      <c r="H451" t="s">
        <v>124</v>
      </c>
      <c r="I451">
        <v>3</v>
      </c>
      <c r="J451" s="4">
        <v>15539.17</v>
      </c>
      <c r="K451" s="5">
        <v>0</v>
      </c>
      <c r="L451" s="4">
        <v>11424.77</v>
      </c>
      <c r="M451" t="s">
        <v>42</v>
      </c>
      <c r="N451" t="s">
        <v>60</v>
      </c>
      <c r="O451">
        <f>IF(TablaVentas[[#This Row],[Precio_unitario]]="","PENDIENTE",TablaVentas[[#This Row],[Unidades]]*TablaVentas[[#This Row],[Precio_unitario]]*(1-TablaVentas[[#This Row],[Descuento_pct]]))</f>
        <v>46617.51</v>
      </c>
      <c r="P451">
        <f>IF(TablaVentas[[#This Row],[Costo_unitario]]="","PENDIENTE",TablaVentas[[#This Row],[Unidades]]*TablaVentas[[#This Row],[Costo_unitario]])</f>
        <v>34274.31</v>
      </c>
      <c r="Q451">
        <f>IF(OR(TablaVentas[[#This Row],[Ingreso_neto]]="PENDIENTE",TablaVentas[[#This Row],[Costo_total]]="PENDIENTE"),"PENDIENTE",TablaVentas[[#This Row],[Ingreso_neto]]-TablaVentas[[#This Row],[Costo_total]])</f>
        <v>12343.200000000004</v>
      </c>
    </row>
    <row r="452" spans="1:18">
      <c r="A452" t="s">
        <v>488</v>
      </c>
      <c r="B452">
        <v>3</v>
      </c>
      <c r="C452" s="3">
        <v>46069</v>
      </c>
      <c r="D452" t="s">
        <v>489</v>
      </c>
      <c r="E452" t="s">
        <v>44</v>
      </c>
      <c r="F452" t="s">
        <v>66</v>
      </c>
      <c r="G452" t="s">
        <v>40</v>
      </c>
      <c r="H452" t="s">
        <v>124</v>
      </c>
      <c r="I452">
        <v>1</v>
      </c>
      <c r="J452" s="4">
        <v>13769.57</v>
      </c>
      <c r="K452" s="5">
        <v>0</v>
      </c>
      <c r="L452" s="4">
        <v>8980.68</v>
      </c>
      <c r="M452" t="s">
        <v>42</v>
      </c>
      <c r="N452" t="s">
        <v>60</v>
      </c>
      <c r="O452">
        <f>IF(TablaVentas[[#This Row],[Precio_unitario]]="","PENDIENTE",TablaVentas[[#This Row],[Unidades]]*TablaVentas[[#This Row],[Precio_unitario]]*(1-TablaVentas[[#This Row],[Descuento_pct]]))</f>
        <v>13769.57</v>
      </c>
      <c r="P452">
        <f>IF(TablaVentas[[#This Row],[Costo_unitario]]="","PENDIENTE",TablaVentas[[#This Row],[Unidades]]*TablaVentas[[#This Row],[Costo_unitario]])</f>
        <v>8980.68</v>
      </c>
      <c r="Q452">
        <f>IF(OR(TablaVentas[[#This Row],[Ingreso_neto]]="PENDIENTE",TablaVentas[[#This Row],[Costo_total]]="PENDIENTE"),"PENDIENTE",TablaVentas[[#This Row],[Ingreso_neto]]-TablaVentas[[#This Row],[Costo_total]])</f>
        <v>4788.8899999999994</v>
      </c>
    </row>
    <row r="453" spans="1:18">
      <c r="A453" t="s">
        <v>488</v>
      </c>
      <c r="B453">
        <v>4</v>
      </c>
      <c r="C453" s="3">
        <v>46069</v>
      </c>
      <c r="D453" t="s">
        <v>489</v>
      </c>
      <c r="E453" t="s">
        <v>160</v>
      </c>
      <c r="F453" t="s">
        <v>66</v>
      </c>
      <c r="G453" t="s">
        <v>40</v>
      </c>
      <c r="H453" t="s">
        <v>124</v>
      </c>
      <c r="I453">
        <v>3</v>
      </c>
      <c r="J453" s="4">
        <v>8097.71</v>
      </c>
      <c r="K453" s="5">
        <v>0</v>
      </c>
      <c r="L453" s="4">
        <v>4082.15</v>
      </c>
      <c r="M453" t="s">
        <v>42</v>
      </c>
      <c r="N453" t="s">
        <v>52</v>
      </c>
      <c r="O453">
        <f>IF(TablaVentas[[#This Row],[Precio_unitario]]="","PENDIENTE",TablaVentas[[#This Row],[Unidades]]*TablaVentas[[#This Row],[Precio_unitario]]*(1-TablaVentas[[#This Row],[Descuento_pct]]))</f>
        <v>24293.13</v>
      </c>
      <c r="P453">
        <f>IF(TablaVentas[[#This Row],[Costo_unitario]]="","PENDIENTE",TablaVentas[[#This Row],[Unidades]]*TablaVentas[[#This Row],[Costo_unitario]])</f>
        <v>12246.45</v>
      </c>
      <c r="Q453">
        <f>IF(OR(TablaVentas[[#This Row],[Ingreso_neto]]="PENDIENTE",TablaVentas[[#This Row],[Costo_total]]="PENDIENTE"),"PENDIENTE",TablaVentas[[#This Row],[Ingreso_neto]]-TablaVentas[[#This Row],[Costo_total]])</f>
        <v>12046.68</v>
      </c>
    </row>
    <row r="454" spans="1:18">
      <c r="A454" t="s">
        <v>490</v>
      </c>
      <c r="B454">
        <v>1</v>
      </c>
      <c r="C454" s="3">
        <v>46141</v>
      </c>
      <c r="D454" t="s">
        <v>187</v>
      </c>
      <c r="E454" t="s">
        <v>156</v>
      </c>
      <c r="F454" t="s">
        <v>66</v>
      </c>
      <c r="G454" t="s">
        <v>57</v>
      </c>
      <c r="H454" t="s">
        <v>124</v>
      </c>
      <c r="I454">
        <v>4</v>
      </c>
      <c r="J454" s="4"/>
      <c r="K454" s="5">
        <v>0</v>
      </c>
      <c r="L454" s="4">
        <v>13981.13</v>
      </c>
      <c r="M454" t="s">
        <v>42</v>
      </c>
      <c r="N454" t="s">
        <v>45</v>
      </c>
      <c r="O454" t="str">
        <f>IF(TablaVentas[[#This Row],[Precio_unitario]]="","PENDIENTE",TablaVentas[[#This Row],[Unidades]]*TablaVentas[[#This Row],[Precio_unitario]]*(1-TablaVentas[[#This Row],[Descuento_pct]]))</f>
        <v>PENDIENTE</v>
      </c>
      <c r="P454">
        <f>IF(TablaVentas[[#This Row],[Costo_unitario]]="","PENDIENTE",TablaVentas[[#This Row],[Unidades]]*TablaVentas[[#This Row],[Costo_unitario]])</f>
        <v>55924.52</v>
      </c>
      <c r="Q454" t="str">
        <f>IF(OR(TablaVentas[[#This Row],[Ingreso_neto]]="PENDIENTE",TablaVentas[[#This Row],[Costo_total]]="PENDIENTE"),"PENDIENTE",TablaVentas[[#This Row],[Ingreso_neto]]-TablaVentas[[#This Row],[Costo_total]])</f>
        <v>PENDIENTE</v>
      </c>
      <c r="R454" t="s">
        <v>145</v>
      </c>
    </row>
    <row r="455" spans="1:18">
      <c r="A455" t="s">
        <v>490</v>
      </c>
      <c r="B455">
        <v>2</v>
      </c>
      <c r="C455" s="3">
        <v>46141</v>
      </c>
      <c r="D455" t="s">
        <v>187</v>
      </c>
      <c r="E455" t="s">
        <v>180</v>
      </c>
      <c r="F455" t="s">
        <v>66</v>
      </c>
      <c r="G455" t="s">
        <v>57</v>
      </c>
      <c r="H455" t="s">
        <v>124</v>
      </c>
      <c r="I455">
        <v>1</v>
      </c>
      <c r="J455" s="4">
        <v>5906.17</v>
      </c>
      <c r="K455" s="5">
        <v>0</v>
      </c>
      <c r="L455" s="4">
        <v>3824.92</v>
      </c>
      <c r="M455" t="s">
        <v>42</v>
      </c>
      <c r="N455" t="s">
        <v>60</v>
      </c>
      <c r="O455">
        <f>IF(TablaVentas[[#This Row],[Precio_unitario]]="","PENDIENTE",TablaVentas[[#This Row],[Unidades]]*TablaVentas[[#This Row],[Precio_unitario]]*(1-TablaVentas[[#This Row],[Descuento_pct]]))</f>
        <v>5906.17</v>
      </c>
      <c r="P455">
        <f>IF(TablaVentas[[#This Row],[Costo_unitario]]="","PENDIENTE",TablaVentas[[#This Row],[Unidades]]*TablaVentas[[#This Row],[Costo_unitario]])</f>
        <v>3824.92</v>
      </c>
      <c r="Q455">
        <f>IF(OR(TablaVentas[[#This Row],[Ingreso_neto]]="PENDIENTE",TablaVentas[[#This Row],[Costo_total]]="PENDIENTE"),"PENDIENTE",TablaVentas[[#This Row],[Ingreso_neto]]-TablaVentas[[#This Row],[Costo_total]])</f>
        <v>2081.25</v>
      </c>
    </row>
    <row r="456" spans="1:18">
      <c r="A456" t="s">
        <v>490</v>
      </c>
      <c r="B456">
        <v>3</v>
      </c>
      <c r="C456" s="3">
        <v>46141</v>
      </c>
      <c r="D456" t="s">
        <v>187</v>
      </c>
      <c r="E456" t="s">
        <v>85</v>
      </c>
      <c r="F456" t="s">
        <v>66</v>
      </c>
      <c r="G456" t="s">
        <v>57</v>
      </c>
      <c r="H456" t="s">
        <v>124</v>
      </c>
      <c r="I456">
        <v>1</v>
      </c>
      <c r="J456" s="4">
        <v>474.92</v>
      </c>
      <c r="K456" s="5">
        <v>0.15</v>
      </c>
      <c r="L456" s="4">
        <v>307.75</v>
      </c>
      <c r="M456" t="s">
        <v>42</v>
      </c>
      <c r="N456" t="s">
        <v>60</v>
      </c>
      <c r="O456">
        <f>IF(TablaVentas[[#This Row],[Precio_unitario]]="","PENDIENTE",TablaVentas[[#This Row],[Unidades]]*TablaVentas[[#This Row],[Precio_unitario]]*(1-TablaVentas[[#This Row],[Descuento_pct]]))</f>
        <v>403.68200000000002</v>
      </c>
      <c r="P456">
        <f>IF(TablaVentas[[#This Row],[Costo_unitario]]="","PENDIENTE",TablaVentas[[#This Row],[Unidades]]*TablaVentas[[#This Row],[Costo_unitario]])</f>
        <v>307.75</v>
      </c>
      <c r="Q456">
        <f>IF(OR(TablaVentas[[#This Row],[Ingreso_neto]]="PENDIENTE",TablaVentas[[#This Row],[Costo_total]]="PENDIENTE"),"PENDIENTE",TablaVentas[[#This Row],[Ingreso_neto]]-TablaVentas[[#This Row],[Costo_total]])</f>
        <v>95.932000000000016</v>
      </c>
    </row>
    <row r="457" spans="1:18">
      <c r="A457" t="s">
        <v>491</v>
      </c>
      <c r="B457">
        <v>1</v>
      </c>
      <c r="C457" s="3">
        <v>46205</v>
      </c>
      <c r="D457" t="s">
        <v>492</v>
      </c>
      <c r="E457" t="s">
        <v>180</v>
      </c>
      <c r="F457" t="s">
        <v>39</v>
      </c>
      <c r="G457" t="s">
        <v>40</v>
      </c>
      <c r="H457" t="s">
        <v>184</v>
      </c>
      <c r="I457">
        <v>3</v>
      </c>
      <c r="J457" s="4">
        <v>6134.73</v>
      </c>
      <c r="K457" s="5">
        <v>0.2</v>
      </c>
      <c r="L457" s="4">
        <v>3824.92</v>
      </c>
      <c r="M457" t="s">
        <v>42</v>
      </c>
      <c r="N457" t="s">
        <v>45</v>
      </c>
      <c r="O457">
        <f>IF(TablaVentas[[#This Row],[Precio_unitario]]="","PENDIENTE",TablaVentas[[#This Row],[Unidades]]*TablaVentas[[#This Row],[Precio_unitario]]*(1-TablaVentas[[#This Row],[Descuento_pct]]))</f>
        <v>14723.351999999999</v>
      </c>
      <c r="P457">
        <f>IF(TablaVentas[[#This Row],[Costo_unitario]]="","PENDIENTE",TablaVentas[[#This Row],[Unidades]]*TablaVentas[[#This Row],[Costo_unitario]])</f>
        <v>11474.76</v>
      </c>
      <c r="Q457">
        <f>IF(OR(TablaVentas[[#This Row],[Ingreso_neto]]="PENDIENTE",TablaVentas[[#This Row],[Costo_total]]="PENDIENTE"),"PENDIENTE",TablaVentas[[#This Row],[Ingreso_neto]]-TablaVentas[[#This Row],[Costo_total]])</f>
        <v>3248.5919999999987</v>
      </c>
    </row>
    <row r="458" spans="1:18">
      <c r="A458" t="s">
        <v>491</v>
      </c>
      <c r="B458">
        <v>2</v>
      </c>
      <c r="C458" s="3">
        <v>46205</v>
      </c>
      <c r="D458" t="s">
        <v>492</v>
      </c>
      <c r="E458" t="s">
        <v>78</v>
      </c>
      <c r="F458" t="s">
        <v>39</v>
      </c>
      <c r="G458" t="s">
        <v>40</v>
      </c>
      <c r="H458" t="s">
        <v>184</v>
      </c>
      <c r="I458">
        <v>4</v>
      </c>
      <c r="J458" s="4">
        <v>9100.0300000000007</v>
      </c>
      <c r="K458" s="5">
        <v>0.05</v>
      </c>
      <c r="L458" s="4">
        <v>5033.47</v>
      </c>
      <c r="M458" t="s">
        <v>42</v>
      </c>
      <c r="N458" t="s">
        <v>52</v>
      </c>
      <c r="O458">
        <f>IF(TablaVentas[[#This Row],[Precio_unitario]]="","PENDIENTE",TablaVentas[[#This Row],[Unidades]]*TablaVentas[[#This Row],[Precio_unitario]]*(1-TablaVentas[[#This Row],[Descuento_pct]]))</f>
        <v>34580.114000000001</v>
      </c>
      <c r="P458">
        <f>IF(TablaVentas[[#This Row],[Costo_unitario]]="","PENDIENTE",TablaVentas[[#This Row],[Unidades]]*TablaVentas[[#This Row],[Costo_unitario]])</f>
        <v>20133.88</v>
      </c>
      <c r="Q458">
        <f>IF(OR(TablaVentas[[#This Row],[Ingreso_neto]]="PENDIENTE",TablaVentas[[#This Row],[Costo_total]]="PENDIENTE"),"PENDIENTE",TablaVentas[[#This Row],[Ingreso_neto]]-TablaVentas[[#This Row],[Costo_total]])</f>
        <v>14446.234</v>
      </c>
    </row>
    <row r="459" spans="1:18">
      <c r="A459" t="s">
        <v>493</v>
      </c>
      <c r="B459">
        <v>1</v>
      </c>
      <c r="C459" s="3">
        <v>46026</v>
      </c>
      <c r="D459" t="s">
        <v>232</v>
      </c>
      <c r="E459" t="s">
        <v>163</v>
      </c>
      <c r="F459" t="s">
        <v>77</v>
      </c>
      <c r="G459" t="s">
        <v>57</v>
      </c>
      <c r="H459" t="s">
        <v>184</v>
      </c>
      <c r="I459">
        <v>2</v>
      </c>
      <c r="J459" s="4">
        <v>16039.15</v>
      </c>
      <c r="K459" s="5">
        <v>0.2</v>
      </c>
      <c r="L459" s="4">
        <v>12141.44</v>
      </c>
      <c r="M459" t="s">
        <v>42</v>
      </c>
      <c r="N459" t="s">
        <v>52</v>
      </c>
      <c r="O459">
        <f>IF(TablaVentas[[#This Row],[Precio_unitario]]="","PENDIENTE",TablaVentas[[#This Row],[Unidades]]*TablaVentas[[#This Row],[Precio_unitario]]*(1-TablaVentas[[#This Row],[Descuento_pct]]))</f>
        <v>25662.639999999999</v>
      </c>
      <c r="P459">
        <f>IF(TablaVentas[[#This Row],[Costo_unitario]]="","PENDIENTE",TablaVentas[[#This Row],[Unidades]]*TablaVentas[[#This Row],[Costo_unitario]])</f>
        <v>24282.880000000001</v>
      </c>
      <c r="Q459">
        <f>IF(OR(TablaVentas[[#This Row],[Ingreso_neto]]="PENDIENTE",TablaVentas[[#This Row],[Costo_total]]="PENDIENTE"),"PENDIENTE",TablaVentas[[#This Row],[Ingreso_neto]]-TablaVentas[[#This Row],[Costo_total]])</f>
        <v>1379.7599999999984</v>
      </c>
    </row>
    <row r="460" spans="1:18">
      <c r="A460" t="s">
        <v>493</v>
      </c>
      <c r="B460">
        <v>2</v>
      </c>
      <c r="C460" s="3">
        <v>46026</v>
      </c>
      <c r="D460" t="s">
        <v>232</v>
      </c>
      <c r="E460" t="s">
        <v>397</v>
      </c>
      <c r="F460" t="s">
        <v>77</v>
      </c>
      <c r="G460" t="s">
        <v>57</v>
      </c>
      <c r="H460" t="s">
        <v>184</v>
      </c>
      <c r="I460">
        <v>1</v>
      </c>
      <c r="J460" s="4">
        <v>6141.48</v>
      </c>
      <c r="K460" s="5">
        <v>0.15</v>
      </c>
      <c r="L460" s="4">
        <v>3640.56</v>
      </c>
      <c r="M460" t="s">
        <v>42</v>
      </c>
      <c r="N460" t="s">
        <v>52</v>
      </c>
      <c r="O460">
        <f>IF(TablaVentas[[#This Row],[Precio_unitario]]="","PENDIENTE",TablaVentas[[#This Row],[Unidades]]*TablaVentas[[#This Row],[Precio_unitario]]*(1-TablaVentas[[#This Row],[Descuento_pct]]))</f>
        <v>5220.2579999999998</v>
      </c>
      <c r="P460">
        <f>IF(TablaVentas[[#This Row],[Costo_unitario]]="","PENDIENTE",TablaVentas[[#This Row],[Unidades]]*TablaVentas[[#This Row],[Costo_unitario]])</f>
        <v>3640.56</v>
      </c>
      <c r="Q460">
        <f>IF(OR(TablaVentas[[#This Row],[Ingreso_neto]]="PENDIENTE",TablaVentas[[#This Row],[Costo_total]]="PENDIENTE"),"PENDIENTE",TablaVentas[[#This Row],[Ingreso_neto]]-TablaVentas[[#This Row],[Costo_total]])</f>
        <v>1579.6979999999999</v>
      </c>
    </row>
    <row r="461" spans="1:18">
      <c r="A461" t="s">
        <v>493</v>
      </c>
      <c r="B461">
        <v>3</v>
      </c>
      <c r="C461" s="3">
        <v>46026</v>
      </c>
      <c r="D461" t="s">
        <v>232</v>
      </c>
      <c r="E461" t="s">
        <v>109</v>
      </c>
      <c r="F461" t="s">
        <v>77</v>
      </c>
      <c r="G461" t="s">
        <v>57</v>
      </c>
      <c r="H461" t="s">
        <v>184</v>
      </c>
      <c r="I461">
        <v>3</v>
      </c>
      <c r="J461" s="4">
        <v>13927.23</v>
      </c>
      <c r="K461" s="5">
        <v>0</v>
      </c>
      <c r="L461" s="4">
        <v>9880.77</v>
      </c>
      <c r="M461" t="s">
        <v>42</v>
      </c>
      <c r="N461" t="s">
        <v>52</v>
      </c>
      <c r="O461">
        <f>IF(TablaVentas[[#This Row],[Precio_unitario]]="","PENDIENTE",TablaVentas[[#This Row],[Unidades]]*TablaVentas[[#This Row],[Precio_unitario]]*(1-TablaVentas[[#This Row],[Descuento_pct]]))</f>
        <v>41781.69</v>
      </c>
      <c r="P461">
        <f>IF(TablaVentas[[#This Row],[Costo_unitario]]="","PENDIENTE",TablaVentas[[#This Row],[Unidades]]*TablaVentas[[#This Row],[Costo_unitario]])</f>
        <v>29642.31</v>
      </c>
      <c r="Q461">
        <f>IF(OR(TablaVentas[[#This Row],[Ingreso_neto]]="PENDIENTE",TablaVentas[[#This Row],[Costo_total]]="PENDIENTE"),"PENDIENTE",TablaVentas[[#This Row],[Ingreso_neto]]-TablaVentas[[#This Row],[Costo_total]])</f>
        <v>12139.380000000001</v>
      </c>
    </row>
    <row r="462" spans="1:18">
      <c r="A462" t="s">
        <v>493</v>
      </c>
      <c r="B462">
        <v>4</v>
      </c>
      <c r="C462" s="3">
        <v>46026</v>
      </c>
      <c r="D462" t="s">
        <v>232</v>
      </c>
      <c r="E462" t="s">
        <v>353</v>
      </c>
      <c r="F462" t="s">
        <v>77</v>
      </c>
      <c r="G462" t="s">
        <v>57</v>
      </c>
      <c r="H462" t="s">
        <v>184</v>
      </c>
      <c r="I462">
        <v>2</v>
      </c>
      <c r="J462" s="4">
        <v>2301.4299999999998</v>
      </c>
      <c r="K462" s="5">
        <v>0.1</v>
      </c>
      <c r="L462" s="4">
        <v>1479.71</v>
      </c>
      <c r="M462" t="s">
        <v>42</v>
      </c>
      <c r="N462" t="s">
        <v>43</v>
      </c>
      <c r="O462">
        <f>IF(TablaVentas[[#This Row],[Precio_unitario]]="","PENDIENTE",TablaVentas[[#This Row],[Unidades]]*TablaVentas[[#This Row],[Precio_unitario]]*(1-TablaVentas[[#This Row],[Descuento_pct]]))</f>
        <v>4142.5739999999996</v>
      </c>
      <c r="P462">
        <f>IF(TablaVentas[[#This Row],[Costo_unitario]]="","PENDIENTE",TablaVentas[[#This Row],[Unidades]]*TablaVentas[[#This Row],[Costo_unitario]])</f>
        <v>2959.42</v>
      </c>
      <c r="Q462">
        <f>IF(OR(TablaVentas[[#This Row],[Ingreso_neto]]="PENDIENTE",TablaVentas[[#This Row],[Costo_total]]="PENDIENTE"),"PENDIENTE",TablaVentas[[#This Row],[Ingreso_neto]]-TablaVentas[[#This Row],[Costo_total]])</f>
        <v>1183.1539999999995</v>
      </c>
    </row>
    <row r="463" spans="1:18">
      <c r="A463" t="s">
        <v>494</v>
      </c>
      <c r="B463">
        <v>1</v>
      </c>
      <c r="C463" s="3">
        <v>46168</v>
      </c>
      <c r="D463" t="s">
        <v>495</v>
      </c>
      <c r="E463" t="s">
        <v>132</v>
      </c>
      <c r="F463" t="s">
        <v>39</v>
      </c>
      <c r="G463" t="s">
        <v>50</v>
      </c>
      <c r="H463" t="s">
        <v>67</v>
      </c>
      <c r="I463">
        <v>1</v>
      </c>
      <c r="J463" s="4">
        <v>16870.060000000001</v>
      </c>
      <c r="K463" s="5">
        <v>0</v>
      </c>
      <c r="L463" s="4">
        <v>11036.95</v>
      </c>
      <c r="M463" t="s">
        <v>42</v>
      </c>
      <c r="N463" t="s">
        <v>45</v>
      </c>
      <c r="O463">
        <f>IF(TablaVentas[[#This Row],[Precio_unitario]]="","PENDIENTE",TablaVentas[[#This Row],[Unidades]]*TablaVentas[[#This Row],[Precio_unitario]]*(1-TablaVentas[[#This Row],[Descuento_pct]]))</f>
        <v>16870.060000000001</v>
      </c>
      <c r="P463">
        <f>IF(TablaVentas[[#This Row],[Costo_unitario]]="","PENDIENTE",TablaVentas[[#This Row],[Unidades]]*TablaVentas[[#This Row],[Costo_unitario]])</f>
        <v>11036.95</v>
      </c>
      <c r="Q463">
        <f>IF(OR(TablaVentas[[#This Row],[Ingreso_neto]]="PENDIENTE",TablaVentas[[#This Row],[Costo_total]]="PENDIENTE"),"PENDIENTE",TablaVentas[[#This Row],[Ingreso_neto]]-TablaVentas[[#This Row],[Costo_total]])</f>
        <v>5833.1100000000006</v>
      </c>
    </row>
    <row r="464" spans="1:18">
      <c r="A464" t="s">
        <v>494</v>
      </c>
      <c r="B464">
        <v>2</v>
      </c>
      <c r="C464" s="3">
        <v>46168</v>
      </c>
      <c r="D464" t="s">
        <v>495</v>
      </c>
      <c r="E464" t="s">
        <v>208</v>
      </c>
      <c r="F464" t="s">
        <v>39</v>
      </c>
      <c r="G464" t="s">
        <v>50</v>
      </c>
      <c r="H464" t="s">
        <v>67</v>
      </c>
      <c r="I464">
        <v>2</v>
      </c>
      <c r="J464" s="4">
        <v>11239.06</v>
      </c>
      <c r="K464" s="5">
        <v>0.1</v>
      </c>
      <c r="L464" s="4">
        <v>5535.31</v>
      </c>
      <c r="M464" t="s">
        <v>42</v>
      </c>
      <c r="N464" t="s">
        <v>52</v>
      </c>
      <c r="O464">
        <f>IF(TablaVentas[[#This Row],[Precio_unitario]]="","PENDIENTE",TablaVentas[[#This Row],[Unidades]]*TablaVentas[[#This Row],[Precio_unitario]]*(1-TablaVentas[[#This Row],[Descuento_pct]]))</f>
        <v>20230.308000000001</v>
      </c>
      <c r="P464">
        <f>IF(TablaVentas[[#This Row],[Costo_unitario]]="","PENDIENTE",TablaVentas[[#This Row],[Unidades]]*TablaVentas[[#This Row],[Costo_unitario]])</f>
        <v>11070.62</v>
      </c>
      <c r="Q464">
        <f>IF(OR(TablaVentas[[#This Row],[Ingreso_neto]]="PENDIENTE",TablaVentas[[#This Row],[Costo_total]]="PENDIENTE"),"PENDIENTE",TablaVentas[[#This Row],[Ingreso_neto]]-TablaVentas[[#This Row],[Costo_total]])</f>
        <v>9159.6880000000001</v>
      </c>
    </row>
    <row r="465" spans="1:17">
      <c r="A465" t="s">
        <v>494</v>
      </c>
      <c r="B465">
        <v>3</v>
      </c>
      <c r="C465" s="3">
        <v>46168</v>
      </c>
      <c r="D465" t="s">
        <v>495</v>
      </c>
      <c r="E465" t="s">
        <v>76</v>
      </c>
      <c r="F465" t="s">
        <v>39</v>
      </c>
      <c r="G465" t="s">
        <v>50</v>
      </c>
      <c r="H465" t="s">
        <v>67</v>
      </c>
      <c r="I465">
        <v>4</v>
      </c>
      <c r="J465" s="4">
        <v>13660.61</v>
      </c>
      <c r="K465" s="5">
        <v>0</v>
      </c>
      <c r="L465" s="4">
        <v>7748.44</v>
      </c>
      <c r="M465" t="s">
        <v>42</v>
      </c>
      <c r="N465" t="s">
        <v>60</v>
      </c>
      <c r="O465">
        <f>IF(TablaVentas[[#This Row],[Precio_unitario]]="","PENDIENTE",TablaVentas[[#This Row],[Unidades]]*TablaVentas[[#This Row],[Precio_unitario]]*(1-TablaVentas[[#This Row],[Descuento_pct]]))</f>
        <v>54642.44</v>
      </c>
      <c r="P465">
        <f>IF(TablaVentas[[#This Row],[Costo_unitario]]="","PENDIENTE",TablaVentas[[#This Row],[Unidades]]*TablaVentas[[#This Row],[Costo_unitario]])</f>
        <v>30993.759999999998</v>
      </c>
      <c r="Q465">
        <f>IF(OR(TablaVentas[[#This Row],[Ingreso_neto]]="PENDIENTE",TablaVentas[[#This Row],[Costo_total]]="PENDIENTE"),"PENDIENTE",TablaVentas[[#This Row],[Ingreso_neto]]-TablaVentas[[#This Row],[Costo_total]])</f>
        <v>23648.680000000004</v>
      </c>
    </row>
    <row r="466" spans="1:17">
      <c r="A466" t="s">
        <v>496</v>
      </c>
      <c r="B466">
        <v>1</v>
      </c>
      <c r="C466" s="3">
        <v>46206</v>
      </c>
      <c r="D466" t="s">
        <v>497</v>
      </c>
      <c r="E466" t="s">
        <v>68</v>
      </c>
      <c r="F466" t="s">
        <v>56</v>
      </c>
      <c r="G466" t="s">
        <v>50</v>
      </c>
      <c r="H466" t="s">
        <v>184</v>
      </c>
      <c r="I466">
        <v>1</v>
      </c>
      <c r="J466" s="4">
        <v>16179.99</v>
      </c>
      <c r="K466" s="5">
        <v>0</v>
      </c>
      <c r="L466" s="4">
        <v>9243.35</v>
      </c>
      <c r="M466" t="s">
        <v>42</v>
      </c>
      <c r="N466" t="s">
        <v>43</v>
      </c>
      <c r="O466">
        <f>IF(TablaVentas[[#This Row],[Precio_unitario]]="","PENDIENTE",TablaVentas[[#This Row],[Unidades]]*TablaVentas[[#This Row],[Precio_unitario]]*(1-TablaVentas[[#This Row],[Descuento_pct]]))</f>
        <v>16179.99</v>
      </c>
      <c r="P466">
        <f>IF(TablaVentas[[#This Row],[Costo_unitario]]="","PENDIENTE",TablaVentas[[#This Row],[Unidades]]*TablaVentas[[#This Row],[Costo_unitario]])</f>
        <v>9243.35</v>
      </c>
      <c r="Q466">
        <f>IF(OR(TablaVentas[[#This Row],[Ingreso_neto]]="PENDIENTE",TablaVentas[[#This Row],[Costo_total]]="PENDIENTE"),"PENDIENTE",TablaVentas[[#This Row],[Ingreso_neto]]-TablaVentas[[#This Row],[Costo_total]])</f>
        <v>6936.6399999999994</v>
      </c>
    </row>
    <row r="467" spans="1:17">
      <c r="A467" t="s">
        <v>498</v>
      </c>
      <c r="B467">
        <v>1</v>
      </c>
      <c r="C467" s="3">
        <v>46239</v>
      </c>
      <c r="D467" t="s">
        <v>202</v>
      </c>
      <c r="E467" t="s">
        <v>320</v>
      </c>
      <c r="F467" t="s">
        <v>66</v>
      </c>
      <c r="G467" t="s">
        <v>40</v>
      </c>
      <c r="H467" t="s">
        <v>129</v>
      </c>
      <c r="I467">
        <v>1</v>
      </c>
      <c r="J467" s="4">
        <v>4743.29</v>
      </c>
      <c r="K467" s="5">
        <v>0</v>
      </c>
      <c r="L467" s="4">
        <v>3065.66</v>
      </c>
      <c r="M467" t="s">
        <v>42</v>
      </c>
      <c r="N467" t="s">
        <v>60</v>
      </c>
      <c r="O467">
        <f>IF(TablaVentas[[#This Row],[Precio_unitario]]="","PENDIENTE",TablaVentas[[#This Row],[Unidades]]*TablaVentas[[#This Row],[Precio_unitario]]*(1-TablaVentas[[#This Row],[Descuento_pct]]))</f>
        <v>4743.29</v>
      </c>
      <c r="P467">
        <f>IF(TablaVentas[[#This Row],[Costo_unitario]]="","PENDIENTE",TablaVentas[[#This Row],[Unidades]]*TablaVentas[[#This Row],[Costo_unitario]])</f>
        <v>3065.66</v>
      </c>
      <c r="Q467">
        <f>IF(OR(TablaVentas[[#This Row],[Ingreso_neto]]="PENDIENTE",TablaVentas[[#This Row],[Costo_total]]="PENDIENTE"),"PENDIENTE",TablaVentas[[#This Row],[Ingreso_neto]]-TablaVentas[[#This Row],[Costo_total]])</f>
        <v>1677.63</v>
      </c>
    </row>
    <row r="468" spans="1:17">
      <c r="A468" t="s">
        <v>499</v>
      </c>
      <c r="B468">
        <v>1</v>
      </c>
      <c r="C468" s="3">
        <v>46064</v>
      </c>
      <c r="D468" t="s">
        <v>307</v>
      </c>
      <c r="E468" t="s">
        <v>206</v>
      </c>
      <c r="F468" t="s">
        <v>39</v>
      </c>
      <c r="G468" t="s">
        <v>57</v>
      </c>
      <c r="H468" t="s">
        <v>51</v>
      </c>
      <c r="I468">
        <v>3</v>
      </c>
      <c r="J468" s="4">
        <v>5409.76</v>
      </c>
      <c r="K468" s="5">
        <v>0.15</v>
      </c>
      <c r="L468" s="4">
        <v>4008.77</v>
      </c>
      <c r="M468" t="s">
        <v>42</v>
      </c>
      <c r="N468" t="s">
        <v>60</v>
      </c>
      <c r="O468">
        <f>IF(TablaVentas[[#This Row],[Precio_unitario]]="","PENDIENTE",TablaVentas[[#This Row],[Unidades]]*TablaVentas[[#This Row],[Precio_unitario]]*(1-TablaVentas[[#This Row],[Descuento_pct]]))</f>
        <v>13794.888000000001</v>
      </c>
      <c r="P468">
        <f>IF(TablaVentas[[#This Row],[Costo_unitario]]="","PENDIENTE",TablaVentas[[#This Row],[Unidades]]*TablaVentas[[#This Row],[Costo_unitario]])</f>
        <v>12026.31</v>
      </c>
      <c r="Q468">
        <f>IF(OR(TablaVentas[[#This Row],[Ingreso_neto]]="PENDIENTE",TablaVentas[[#This Row],[Costo_total]]="PENDIENTE"),"PENDIENTE",TablaVentas[[#This Row],[Ingreso_neto]]-TablaVentas[[#This Row],[Costo_total]])</f>
        <v>1768.5780000000013</v>
      </c>
    </row>
    <row r="469" spans="1:17">
      <c r="A469" t="s">
        <v>499</v>
      </c>
      <c r="B469">
        <v>2</v>
      </c>
      <c r="C469" s="3">
        <v>46064</v>
      </c>
      <c r="D469" t="s">
        <v>307</v>
      </c>
      <c r="E469" t="s">
        <v>109</v>
      </c>
      <c r="F469" t="s">
        <v>39</v>
      </c>
      <c r="G469" t="s">
        <v>57</v>
      </c>
      <c r="H469" t="s">
        <v>51</v>
      </c>
      <c r="I469">
        <v>1</v>
      </c>
      <c r="J469" s="4">
        <v>16185.31</v>
      </c>
      <c r="K469" s="5">
        <v>0.2</v>
      </c>
      <c r="L469" s="4">
        <v>9880.77</v>
      </c>
      <c r="M469" t="s">
        <v>42</v>
      </c>
      <c r="N469" t="s">
        <v>52</v>
      </c>
      <c r="O469">
        <f>IF(TablaVentas[[#This Row],[Precio_unitario]]="","PENDIENTE",TablaVentas[[#This Row],[Unidades]]*TablaVentas[[#This Row],[Precio_unitario]]*(1-TablaVentas[[#This Row],[Descuento_pct]]))</f>
        <v>12948.248</v>
      </c>
      <c r="P469">
        <f>IF(TablaVentas[[#This Row],[Costo_unitario]]="","PENDIENTE",TablaVentas[[#This Row],[Unidades]]*TablaVentas[[#This Row],[Costo_unitario]])</f>
        <v>9880.77</v>
      </c>
      <c r="Q469">
        <f>IF(OR(TablaVentas[[#This Row],[Ingreso_neto]]="PENDIENTE",TablaVentas[[#This Row],[Costo_total]]="PENDIENTE"),"PENDIENTE",TablaVentas[[#This Row],[Ingreso_neto]]-TablaVentas[[#This Row],[Costo_total]])</f>
        <v>3067.4779999999992</v>
      </c>
    </row>
    <row r="470" spans="1:17">
      <c r="A470" t="s">
        <v>499</v>
      </c>
      <c r="B470">
        <v>3</v>
      </c>
      <c r="C470" s="3">
        <v>46064</v>
      </c>
      <c r="D470" t="s">
        <v>307</v>
      </c>
      <c r="E470" t="s">
        <v>144</v>
      </c>
      <c r="F470" t="s">
        <v>39</v>
      </c>
      <c r="G470" t="s">
        <v>57</v>
      </c>
      <c r="H470" t="s">
        <v>51</v>
      </c>
      <c r="I470">
        <v>8</v>
      </c>
      <c r="J470" s="4">
        <v>8875.5499999999993</v>
      </c>
      <c r="K470" s="5">
        <v>0</v>
      </c>
      <c r="L470" s="4">
        <v>5125.3599999999997</v>
      </c>
      <c r="M470" t="s">
        <v>42</v>
      </c>
      <c r="N470" t="s">
        <v>45</v>
      </c>
      <c r="O470">
        <f>IF(TablaVentas[[#This Row],[Precio_unitario]]="","PENDIENTE",TablaVentas[[#This Row],[Unidades]]*TablaVentas[[#This Row],[Precio_unitario]]*(1-TablaVentas[[#This Row],[Descuento_pct]]))</f>
        <v>71004.399999999994</v>
      </c>
      <c r="P470">
        <f>IF(TablaVentas[[#This Row],[Costo_unitario]]="","PENDIENTE",TablaVentas[[#This Row],[Unidades]]*TablaVentas[[#This Row],[Costo_unitario]])</f>
        <v>41002.879999999997</v>
      </c>
      <c r="Q470">
        <f>IF(OR(TablaVentas[[#This Row],[Ingreso_neto]]="PENDIENTE",TablaVentas[[#This Row],[Costo_total]]="PENDIENTE"),"PENDIENTE",TablaVentas[[#This Row],[Ingreso_neto]]-TablaVentas[[#This Row],[Costo_total]])</f>
        <v>30001.519999999997</v>
      </c>
    </row>
    <row r="471" spans="1:17">
      <c r="A471" t="s">
        <v>500</v>
      </c>
      <c r="B471">
        <v>1</v>
      </c>
      <c r="C471" s="3">
        <v>46217</v>
      </c>
      <c r="D471" t="s">
        <v>501</v>
      </c>
      <c r="E471" t="s">
        <v>208</v>
      </c>
      <c r="F471" t="s">
        <v>56</v>
      </c>
      <c r="G471" t="s">
        <v>57</v>
      </c>
      <c r="H471" t="s">
        <v>67</v>
      </c>
      <c r="I471">
        <v>3</v>
      </c>
      <c r="J471" s="4">
        <v>10489.26</v>
      </c>
      <c r="K471" s="5">
        <v>0</v>
      </c>
      <c r="L471" s="4">
        <v>5535.31</v>
      </c>
      <c r="M471" t="s">
        <v>42</v>
      </c>
      <c r="N471" t="s">
        <v>60</v>
      </c>
      <c r="O471">
        <f>IF(TablaVentas[[#This Row],[Precio_unitario]]="","PENDIENTE",TablaVentas[[#This Row],[Unidades]]*TablaVentas[[#This Row],[Precio_unitario]]*(1-TablaVentas[[#This Row],[Descuento_pct]]))</f>
        <v>31467.78</v>
      </c>
      <c r="P471">
        <f>IF(TablaVentas[[#This Row],[Costo_unitario]]="","PENDIENTE",TablaVentas[[#This Row],[Unidades]]*TablaVentas[[#This Row],[Costo_unitario]])</f>
        <v>16605.93</v>
      </c>
      <c r="Q471">
        <f>IF(OR(TablaVentas[[#This Row],[Ingreso_neto]]="PENDIENTE",TablaVentas[[#This Row],[Costo_total]]="PENDIENTE"),"PENDIENTE",TablaVentas[[#This Row],[Ingreso_neto]]-TablaVentas[[#This Row],[Costo_total]])</f>
        <v>14861.849999999999</v>
      </c>
    </row>
    <row r="472" spans="1:17">
      <c r="A472" t="s">
        <v>500</v>
      </c>
      <c r="B472">
        <v>2</v>
      </c>
      <c r="C472" s="3">
        <v>46217</v>
      </c>
      <c r="D472" t="s">
        <v>501</v>
      </c>
      <c r="E472" t="s">
        <v>139</v>
      </c>
      <c r="F472" t="s">
        <v>56</v>
      </c>
      <c r="G472" t="s">
        <v>57</v>
      </c>
      <c r="H472" t="s">
        <v>67</v>
      </c>
      <c r="I472">
        <v>1</v>
      </c>
      <c r="J472" s="4">
        <v>10393.1</v>
      </c>
      <c r="K472" s="5">
        <v>0.15</v>
      </c>
      <c r="L472" s="4">
        <v>8002.16</v>
      </c>
      <c r="M472" t="s">
        <v>62</v>
      </c>
      <c r="N472" t="s">
        <v>52</v>
      </c>
      <c r="O472">
        <f>IF(TablaVentas[[#This Row],[Precio_unitario]]="","PENDIENTE",TablaVentas[[#This Row],[Unidades]]*TablaVentas[[#This Row],[Precio_unitario]]*(1-TablaVentas[[#This Row],[Descuento_pct]]))</f>
        <v>8834.1350000000002</v>
      </c>
      <c r="P472">
        <f>IF(TablaVentas[[#This Row],[Costo_unitario]]="","PENDIENTE",TablaVentas[[#This Row],[Unidades]]*TablaVentas[[#This Row],[Costo_unitario]])</f>
        <v>8002.16</v>
      </c>
      <c r="Q472">
        <f>IF(OR(TablaVentas[[#This Row],[Ingreso_neto]]="PENDIENTE",TablaVentas[[#This Row],[Costo_total]]="PENDIENTE"),"PENDIENTE",TablaVentas[[#This Row],[Ingreso_neto]]-TablaVentas[[#This Row],[Costo_total]])</f>
        <v>831.97500000000036</v>
      </c>
    </row>
    <row r="473" spans="1:17">
      <c r="A473" t="s">
        <v>500</v>
      </c>
      <c r="B473">
        <v>3</v>
      </c>
      <c r="C473" s="3">
        <v>46217</v>
      </c>
      <c r="D473" t="s">
        <v>501</v>
      </c>
      <c r="E473" t="s">
        <v>397</v>
      </c>
      <c r="F473" t="s">
        <v>56</v>
      </c>
      <c r="G473" t="s">
        <v>57</v>
      </c>
      <c r="H473" t="s">
        <v>67</v>
      </c>
      <c r="I473">
        <v>1</v>
      </c>
      <c r="J473" s="4">
        <v>5884.07</v>
      </c>
      <c r="K473" s="5">
        <v>0.05</v>
      </c>
      <c r="L473" s="4">
        <v>3640.56</v>
      </c>
      <c r="M473" t="s">
        <v>42</v>
      </c>
      <c r="N473" t="s">
        <v>43</v>
      </c>
      <c r="O473">
        <f>IF(TablaVentas[[#This Row],[Precio_unitario]]="","PENDIENTE",TablaVentas[[#This Row],[Unidades]]*TablaVentas[[#This Row],[Precio_unitario]]*(1-TablaVentas[[#This Row],[Descuento_pct]]))</f>
        <v>5589.8664999999992</v>
      </c>
      <c r="P473">
        <f>IF(TablaVentas[[#This Row],[Costo_unitario]]="","PENDIENTE",TablaVentas[[#This Row],[Unidades]]*TablaVentas[[#This Row],[Costo_unitario]])</f>
        <v>3640.56</v>
      </c>
      <c r="Q473">
        <f>IF(OR(TablaVentas[[#This Row],[Ingreso_neto]]="PENDIENTE",TablaVentas[[#This Row],[Costo_total]]="PENDIENTE"),"PENDIENTE",TablaVentas[[#This Row],[Ingreso_neto]]-TablaVentas[[#This Row],[Costo_total]])</f>
        <v>1949.3064999999992</v>
      </c>
    </row>
    <row r="474" spans="1:17">
      <c r="A474" t="s">
        <v>502</v>
      </c>
      <c r="B474">
        <v>1</v>
      </c>
      <c r="C474" s="3">
        <v>46058</v>
      </c>
      <c r="D474" t="s">
        <v>478</v>
      </c>
      <c r="E474" t="s">
        <v>196</v>
      </c>
      <c r="F474" t="s">
        <v>56</v>
      </c>
      <c r="G474" t="s">
        <v>40</v>
      </c>
      <c r="H474" t="s">
        <v>184</v>
      </c>
      <c r="I474">
        <v>1</v>
      </c>
      <c r="J474" s="4">
        <v>748.78</v>
      </c>
      <c r="K474" s="5">
        <v>0</v>
      </c>
      <c r="L474" s="4">
        <v>485.16</v>
      </c>
      <c r="M474" t="s">
        <v>42</v>
      </c>
      <c r="N474" t="s">
        <v>52</v>
      </c>
      <c r="O474">
        <f>IF(TablaVentas[[#This Row],[Precio_unitario]]="","PENDIENTE",TablaVentas[[#This Row],[Unidades]]*TablaVentas[[#This Row],[Precio_unitario]]*(1-TablaVentas[[#This Row],[Descuento_pct]]))</f>
        <v>748.78</v>
      </c>
      <c r="P474">
        <f>IF(TablaVentas[[#This Row],[Costo_unitario]]="","PENDIENTE",TablaVentas[[#This Row],[Unidades]]*TablaVentas[[#This Row],[Costo_unitario]])</f>
        <v>485.16</v>
      </c>
      <c r="Q474">
        <f>IF(OR(TablaVentas[[#This Row],[Ingreso_neto]]="PENDIENTE",TablaVentas[[#This Row],[Costo_total]]="PENDIENTE"),"PENDIENTE",TablaVentas[[#This Row],[Ingreso_neto]]-TablaVentas[[#This Row],[Costo_total]])</f>
        <v>263.61999999999995</v>
      </c>
    </row>
    <row r="475" spans="1:17">
      <c r="A475" t="s">
        <v>503</v>
      </c>
      <c r="B475">
        <v>1</v>
      </c>
      <c r="C475" s="3">
        <v>46077</v>
      </c>
      <c r="D475" t="s">
        <v>482</v>
      </c>
      <c r="E475" t="s">
        <v>97</v>
      </c>
      <c r="F475" t="s">
        <v>77</v>
      </c>
      <c r="G475" t="s">
        <v>57</v>
      </c>
      <c r="H475" t="s">
        <v>51</v>
      </c>
      <c r="I475">
        <v>1</v>
      </c>
      <c r="J475" s="4">
        <v>14420.09</v>
      </c>
      <c r="K475" s="5">
        <v>0</v>
      </c>
      <c r="L475" s="4">
        <v>11424.77</v>
      </c>
      <c r="M475" t="s">
        <v>42</v>
      </c>
      <c r="N475" t="s">
        <v>43</v>
      </c>
      <c r="O475">
        <f>IF(TablaVentas[[#This Row],[Precio_unitario]]="","PENDIENTE",TablaVentas[[#This Row],[Unidades]]*TablaVentas[[#This Row],[Precio_unitario]]*(1-TablaVentas[[#This Row],[Descuento_pct]]))</f>
        <v>14420.09</v>
      </c>
      <c r="P475">
        <f>IF(TablaVentas[[#This Row],[Costo_unitario]]="","PENDIENTE",TablaVentas[[#This Row],[Unidades]]*TablaVentas[[#This Row],[Costo_unitario]])</f>
        <v>11424.77</v>
      </c>
      <c r="Q475">
        <f>IF(OR(TablaVentas[[#This Row],[Ingreso_neto]]="PENDIENTE",TablaVentas[[#This Row],[Costo_total]]="PENDIENTE"),"PENDIENTE",TablaVentas[[#This Row],[Ingreso_neto]]-TablaVentas[[#This Row],[Costo_total]])</f>
        <v>2995.3199999999997</v>
      </c>
    </row>
    <row r="476" spans="1:17">
      <c r="A476" t="s">
        <v>503</v>
      </c>
      <c r="B476">
        <v>2</v>
      </c>
      <c r="C476" s="3">
        <v>46077</v>
      </c>
      <c r="D476" t="s">
        <v>482</v>
      </c>
      <c r="E476" t="s">
        <v>115</v>
      </c>
      <c r="F476" t="s">
        <v>77</v>
      </c>
      <c r="G476" t="s">
        <v>57</v>
      </c>
      <c r="H476" t="s">
        <v>51</v>
      </c>
      <c r="I476">
        <v>3</v>
      </c>
      <c r="J476" s="4">
        <v>1380</v>
      </c>
      <c r="K476" s="5">
        <v>0.05</v>
      </c>
      <c r="L476" s="4">
        <v>705.87</v>
      </c>
      <c r="M476" t="s">
        <v>42</v>
      </c>
      <c r="N476" t="s">
        <v>60</v>
      </c>
      <c r="O476">
        <f>IF(TablaVentas[[#This Row],[Precio_unitario]]="","PENDIENTE",TablaVentas[[#This Row],[Unidades]]*TablaVentas[[#This Row],[Precio_unitario]]*(1-TablaVentas[[#This Row],[Descuento_pct]]))</f>
        <v>3933</v>
      </c>
      <c r="P476">
        <f>IF(TablaVentas[[#This Row],[Costo_unitario]]="","PENDIENTE",TablaVentas[[#This Row],[Unidades]]*TablaVentas[[#This Row],[Costo_unitario]])</f>
        <v>2117.61</v>
      </c>
      <c r="Q476">
        <f>IF(OR(TablaVentas[[#This Row],[Ingreso_neto]]="PENDIENTE",TablaVentas[[#This Row],[Costo_total]]="PENDIENTE"),"PENDIENTE",TablaVentas[[#This Row],[Ingreso_neto]]-TablaVentas[[#This Row],[Costo_total]])</f>
        <v>1815.3899999999999</v>
      </c>
    </row>
    <row r="477" spans="1:17">
      <c r="A477" t="s">
        <v>504</v>
      </c>
      <c r="B477">
        <v>1</v>
      </c>
      <c r="C477" s="3">
        <v>46221</v>
      </c>
      <c r="D477" t="s">
        <v>505</v>
      </c>
      <c r="E477" t="s">
        <v>185</v>
      </c>
      <c r="F477" t="s">
        <v>56</v>
      </c>
      <c r="G477" t="s">
        <v>50</v>
      </c>
      <c r="H477" t="s">
        <v>67</v>
      </c>
      <c r="I477">
        <v>1</v>
      </c>
      <c r="J477" s="4">
        <v>18041.37</v>
      </c>
      <c r="K477" s="5">
        <v>0</v>
      </c>
      <c r="L477" s="4">
        <v>11904.09</v>
      </c>
      <c r="M477" t="s">
        <v>42</v>
      </c>
      <c r="N477" t="s">
        <v>60</v>
      </c>
      <c r="O477">
        <f>IF(TablaVentas[[#This Row],[Precio_unitario]]="","PENDIENTE",TablaVentas[[#This Row],[Unidades]]*TablaVentas[[#This Row],[Precio_unitario]]*(1-TablaVentas[[#This Row],[Descuento_pct]]))</f>
        <v>18041.37</v>
      </c>
      <c r="P477">
        <f>IF(TablaVentas[[#This Row],[Costo_unitario]]="","PENDIENTE",TablaVentas[[#This Row],[Unidades]]*TablaVentas[[#This Row],[Costo_unitario]])</f>
        <v>11904.09</v>
      </c>
      <c r="Q477">
        <f>IF(OR(TablaVentas[[#This Row],[Ingreso_neto]]="PENDIENTE",TablaVentas[[#This Row],[Costo_total]]="PENDIENTE"),"PENDIENTE",TablaVentas[[#This Row],[Ingreso_neto]]-TablaVentas[[#This Row],[Costo_total]])</f>
        <v>6137.2799999999988</v>
      </c>
    </row>
    <row r="478" spans="1:17">
      <c r="A478" t="s">
        <v>506</v>
      </c>
      <c r="B478">
        <v>1</v>
      </c>
      <c r="C478" s="3">
        <v>46234</v>
      </c>
      <c r="D478" t="s">
        <v>507</v>
      </c>
      <c r="E478" t="s">
        <v>46</v>
      </c>
      <c r="F478" t="s">
        <v>77</v>
      </c>
      <c r="G478" t="s">
        <v>57</v>
      </c>
      <c r="H478" t="s">
        <v>124</v>
      </c>
      <c r="I478">
        <v>2</v>
      </c>
      <c r="J478" s="4">
        <v>3882.43</v>
      </c>
      <c r="K478" s="5">
        <v>0.2</v>
      </c>
      <c r="L478" s="4">
        <v>2957.6</v>
      </c>
      <c r="M478" t="s">
        <v>42</v>
      </c>
      <c r="N478" t="s">
        <v>52</v>
      </c>
      <c r="O478">
        <f>IF(TablaVentas[[#This Row],[Precio_unitario]]="","PENDIENTE",TablaVentas[[#This Row],[Unidades]]*TablaVentas[[#This Row],[Precio_unitario]]*(1-TablaVentas[[#This Row],[Descuento_pct]]))</f>
        <v>6211.8879999999999</v>
      </c>
      <c r="P478">
        <f>IF(TablaVentas[[#This Row],[Costo_unitario]]="","PENDIENTE",TablaVentas[[#This Row],[Unidades]]*TablaVentas[[#This Row],[Costo_unitario]])</f>
        <v>5915.2</v>
      </c>
      <c r="Q478">
        <f>IF(OR(TablaVentas[[#This Row],[Ingreso_neto]]="PENDIENTE",TablaVentas[[#This Row],[Costo_total]]="PENDIENTE"),"PENDIENTE",TablaVentas[[#This Row],[Ingreso_neto]]-TablaVentas[[#This Row],[Costo_total]])</f>
        <v>296.6880000000001</v>
      </c>
    </row>
    <row r="479" spans="1:17">
      <c r="A479" t="s">
        <v>506</v>
      </c>
      <c r="B479">
        <v>2</v>
      </c>
      <c r="C479" s="3">
        <v>46234</v>
      </c>
      <c r="D479" t="s">
        <v>507</v>
      </c>
      <c r="E479" t="s">
        <v>208</v>
      </c>
      <c r="F479" t="s">
        <v>77</v>
      </c>
      <c r="G479" t="s">
        <v>57</v>
      </c>
      <c r="H479" t="s">
        <v>124</v>
      </c>
      <c r="I479">
        <v>8</v>
      </c>
      <c r="J479" s="4">
        <v>11018.19</v>
      </c>
      <c r="K479" s="5">
        <v>0</v>
      </c>
      <c r="L479" s="4">
        <v>5535.31</v>
      </c>
      <c r="M479" t="s">
        <v>42</v>
      </c>
      <c r="N479" t="s">
        <v>52</v>
      </c>
      <c r="O479">
        <f>IF(TablaVentas[[#This Row],[Precio_unitario]]="","PENDIENTE",TablaVentas[[#This Row],[Unidades]]*TablaVentas[[#This Row],[Precio_unitario]]*(1-TablaVentas[[#This Row],[Descuento_pct]]))</f>
        <v>88145.52</v>
      </c>
      <c r="P479">
        <f>IF(TablaVentas[[#This Row],[Costo_unitario]]="","PENDIENTE",TablaVentas[[#This Row],[Unidades]]*TablaVentas[[#This Row],[Costo_unitario]])</f>
        <v>44282.48</v>
      </c>
      <c r="Q479">
        <f>IF(OR(TablaVentas[[#This Row],[Ingreso_neto]]="PENDIENTE",TablaVentas[[#This Row],[Costo_total]]="PENDIENTE"),"PENDIENTE",TablaVentas[[#This Row],[Ingreso_neto]]-TablaVentas[[#This Row],[Costo_total]])</f>
        <v>43863.040000000001</v>
      </c>
    </row>
    <row r="480" spans="1:17">
      <c r="A480" t="s">
        <v>506</v>
      </c>
      <c r="B480">
        <v>3</v>
      </c>
      <c r="C480" s="3">
        <v>46234</v>
      </c>
      <c r="D480" t="s">
        <v>507</v>
      </c>
      <c r="E480" t="s">
        <v>109</v>
      </c>
      <c r="F480" t="s">
        <v>77</v>
      </c>
      <c r="G480" t="s">
        <v>57</v>
      </c>
      <c r="H480" t="s">
        <v>124</v>
      </c>
      <c r="I480">
        <v>1</v>
      </c>
      <c r="J480" s="4">
        <v>15748.88</v>
      </c>
      <c r="K480" s="5">
        <v>0.2</v>
      </c>
      <c r="L480" s="4">
        <v>9880.77</v>
      </c>
      <c r="M480" t="s">
        <v>42</v>
      </c>
      <c r="N480" t="s">
        <v>45</v>
      </c>
      <c r="O480">
        <f>IF(TablaVentas[[#This Row],[Precio_unitario]]="","PENDIENTE",TablaVentas[[#This Row],[Unidades]]*TablaVentas[[#This Row],[Precio_unitario]]*(1-TablaVentas[[#This Row],[Descuento_pct]]))</f>
        <v>12599.103999999999</v>
      </c>
      <c r="P480">
        <f>IF(TablaVentas[[#This Row],[Costo_unitario]]="","PENDIENTE",TablaVentas[[#This Row],[Unidades]]*TablaVentas[[#This Row],[Costo_unitario]])</f>
        <v>9880.77</v>
      </c>
      <c r="Q480">
        <f>IF(OR(TablaVentas[[#This Row],[Ingreso_neto]]="PENDIENTE",TablaVentas[[#This Row],[Costo_total]]="PENDIENTE"),"PENDIENTE",TablaVentas[[#This Row],[Ingreso_neto]]-TablaVentas[[#This Row],[Costo_total]])</f>
        <v>2718.3339999999989</v>
      </c>
    </row>
    <row r="481" spans="1:17">
      <c r="A481" t="s">
        <v>508</v>
      </c>
      <c r="B481">
        <v>1</v>
      </c>
      <c r="C481" s="3">
        <v>46204</v>
      </c>
      <c r="D481" t="s">
        <v>408</v>
      </c>
      <c r="E481" t="s">
        <v>90</v>
      </c>
      <c r="F481" t="s">
        <v>56</v>
      </c>
      <c r="G481" t="s">
        <v>57</v>
      </c>
      <c r="H481" t="s">
        <v>51</v>
      </c>
      <c r="I481">
        <v>3</v>
      </c>
      <c r="J481" s="4">
        <v>11689.74</v>
      </c>
      <c r="K481" s="5">
        <v>0</v>
      </c>
      <c r="L481" s="4">
        <v>8174.87</v>
      </c>
      <c r="M481" t="s">
        <v>42</v>
      </c>
      <c r="N481" t="s">
        <v>43</v>
      </c>
      <c r="O481">
        <f>IF(TablaVentas[[#This Row],[Precio_unitario]]="","PENDIENTE",TablaVentas[[#This Row],[Unidades]]*TablaVentas[[#This Row],[Precio_unitario]]*(1-TablaVentas[[#This Row],[Descuento_pct]]))</f>
        <v>35069.22</v>
      </c>
      <c r="P481">
        <f>IF(TablaVentas[[#This Row],[Costo_unitario]]="","PENDIENTE",TablaVentas[[#This Row],[Unidades]]*TablaVentas[[#This Row],[Costo_unitario]])</f>
        <v>24524.61</v>
      </c>
      <c r="Q481">
        <f>IF(OR(TablaVentas[[#This Row],[Ingreso_neto]]="PENDIENTE",TablaVentas[[#This Row],[Costo_total]]="PENDIENTE"),"PENDIENTE",TablaVentas[[#This Row],[Ingreso_neto]]-TablaVentas[[#This Row],[Costo_total]])</f>
        <v>10544.61</v>
      </c>
    </row>
    <row r="482" spans="1:17">
      <c r="A482" t="s">
        <v>508</v>
      </c>
      <c r="B482">
        <v>2</v>
      </c>
      <c r="C482" s="3">
        <v>46204</v>
      </c>
      <c r="D482" t="s">
        <v>408</v>
      </c>
      <c r="E482" t="s">
        <v>208</v>
      </c>
      <c r="F482" t="s">
        <v>56</v>
      </c>
      <c r="G482" t="s">
        <v>57</v>
      </c>
      <c r="H482" t="s">
        <v>51</v>
      </c>
      <c r="I482">
        <v>3</v>
      </c>
      <c r="J482" s="4">
        <v>11195.83</v>
      </c>
      <c r="K482" s="5">
        <v>0.2</v>
      </c>
      <c r="L482" s="4">
        <v>5535.31</v>
      </c>
      <c r="M482" t="s">
        <v>42</v>
      </c>
      <c r="N482" t="s">
        <v>43</v>
      </c>
      <c r="O482">
        <f>IF(TablaVentas[[#This Row],[Precio_unitario]]="","PENDIENTE",TablaVentas[[#This Row],[Unidades]]*TablaVentas[[#This Row],[Precio_unitario]]*(1-TablaVentas[[#This Row],[Descuento_pct]]))</f>
        <v>26869.991999999998</v>
      </c>
      <c r="P482">
        <f>IF(TablaVentas[[#This Row],[Costo_unitario]]="","PENDIENTE",TablaVentas[[#This Row],[Unidades]]*TablaVentas[[#This Row],[Costo_unitario]])</f>
        <v>16605.93</v>
      </c>
      <c r="Q482">
        <f>IF(OR(TablaVentas[[#This Row],[Ingreso_neto]]="PENDIENTE",TablaVentas[[#This Row],[Costo_total]]="PENDIENTE"),"PENDIENTE",TablaVentas[[#This Row],[Ingreso_neto]]-TablaVentas[[#This Row],[Costo_total]])</f>
        <v>10264.061999999998</v>
      </c>
    </row>
    <row r="483" spans="1:17">
      <c r="A483" t="s">
        <v>509</v>
      </c>
      <c r="B483">
        <v>1</v>
      </c>
      <c r="C483" s="3">
        <v>46171</v>
      </c>
      <c r="D483" t="s">
        <v>295</v>
      </c>
      <c r="E483" t="s">
        <v>76</v>
      </c>
      <c r="F483" t="s">
        <v>56</v>
      </c>
      <c r="G483" t="s">
        <v>57</v>
      </c>
      <c r="H483" t="s">
        <v>73</v>
      </c>
      <c r="I483">
        <v>3</v>
      </c>
      <c r="J483" s="4">
        <v>12843.01</v>
      </c>
      <c r="K483" s="5">
        <v>0</v>
      </c>
      <c r="L483" s="4">
        <v>7748.44</v>
      </c>
      <c r="M483" t="s">
        <v>42</v>
      </c>
      <c r="N483" t="s">
        <v>52</v>
      </c>
      <c r="O483">
        <f>IF(TablaVentas[[#This Row],[Precio_unitario]]="","PENDIENTE",TablaVentas[[#This Row],[Unidades]]*TablaVentas[[#This Row],[Precio_unitario]]*(1-TablaVentas[[#This Row],[Descuento_pct]]))</f>
        <v>38529.03</v>
      </c>
      <c r="P483">
        <f>IF(TablaVentas[[#This Row],[Costo_unitario]]="","PENDIENTE",TablaVentas[[#This Row],[Unidades]]*TablaVentas[[#This Row],[Costo_unitario]])</f>
        <v>23245.32</v>
      </c>
      <c r="Q483">
        <f>IF(OR(TablaVentas[[#This Row],[Ingreso_neto]]="PENDIENTE",TablaVentas[[#This Row],[Costo_total]]="PENDIENTE"),"PENDIENTE",TablaVentas[[#This Row],[Ingreso_neto]]-TablaVentas[[#This Row],[Costo_total]])</f>
        <v>15283.71</v>
      </c>
    </row>
    <row r="484" spans="1:17">
      <c r="A484" t="s">
        <v>509</v>
      </c>
      <c r="B484">
        <v>2</v>
      </c>
      <c r="C484" s="3">
        <v>46171</v>
      </c>
      <c r="D484" t="s">
        <v>295</v>
      </c>
      <c r="E484" t="s">
        <v>119</v>
      </c>
      <c r="F484" t="s">
        <v>56</v>
      </c>
      <c r="G484" t="s">
        <v>57</v>
      </c>
      <c r="H484" t="s">
        <v>73</v>
      </c>
      <c r="I484">
        <v>8</v>
      </c>
      <c r="J484" s="4">
        <v>8678.66</v>
      </c>
      <c r="K484" s="5">
        <v>0.2</v>
      </c>
      <c r="L484" s="4">
        <v>6981.94</v>
      </c>
      <c r="M484" t="s">
        <v>42</v>
      </c>
      <c r="N484" t="s">
        <v>60</v>
      </c>
      <c r="O484">
        <f>IF(TablaVentas[[#This Row],[Precio_unitario]]="","PENDIENTE",TablaVentas[[#This Row],[Unidades]]*TablaVentas[[#This Row],[Precio_unitario]]*(1-TablaVentas[[#This Row],[Descuento_pct]]))</f>
        <v>55543.423999999999</v>
      </c>
      <c r="P484">
        <f>IF(TablaVentas[[#This Row],[Costo_unitario]]="","PENDIENTE",TablaVentas[[#This Row],[Unidades]]*TablaVentas[[#This Row],[Costo_unitario]])</f>
        <v>55855.519999999997</v>
      </c>
      <c r="Q484">
        <f>IF(OR(TablaVentas[[#This Row],[Ingreso_neto]]="PENDIENTE",TablaVentas[[#This Row],[Costo_total]]="PENDIENTE"),"PENDIENTE",TablaVentas[[#This Row],[Ingreso_neto]]-TablaVentas[[#This Row],[Costo_total]])</f>
        <v>-312.09599999999773</v>
      </c>
    </row>
    <row r="485" spans="1:17">
      <c r="A485" t="s">
        <v>510</v>
      </c>
      <c r="B485">
        <v>1</v>
      </c>
      <c r="C485" s="3">
        <v>46280</v>
      </c>
      <c r="D485" t="s">
        <v>369</v>
      </c>
      <c r="E485" t="s">
        <v>277</v>
      </c>
      <c r="F485" t="s">
        <v>39</v>
      </c>
      <c r="G485" t="s">
        <v>40</v>
      </c>
      <c r="H485" t="s">
        <v>184</v>
      </c>
      <c r="I485">
        <v>3</v>
      </c>
      <c r="J485" s="4">
        <v>6618.94</v>
      </c>
      <c r="K485" s="5">
        <v>0</v>
      </c>
      <c r="L485" s="4">
        <v>4858.08</v>
      </c>
      <c r="M485" t="s">
        <v>42</v>
      </c>
      <c r="N485" t="s">
        <v>52</v>
      </c>
      <c r="O485">
        <f>IF(TablaVentas[[#This Row],[Precio_unitario]]="","PENDIENTE",TablaVentas[[#This Row],[Unidades]]*TablaVentas[[#This Row],[Precio_unitario]]*(1-TablaVentas[[#This Row],[Descuento_pct]]))</f>
        <v>19856.82</v>
      </c>
      <c r="P485">
        <f>IF(TablaVentas[[#This Row],[Costo_unitario]]="","PENDIENTE",TablaVentas[[#This Row],[Unidades]]*TablaVentas[[#This Row],[Costo_unitario]])</f>
        <v>14574.24</v>
      </c>
      <c r="Q485">
        <f>IF(OR(TablaVentas[[#This Row],[Ingreso_neto]]="PENDIENTE",TablaVentas[[#This Row],[Costo_total]]="PENDIENTE"),"PENDIENTE",TablaVentas[[#This Row],[Ingreso_neto]]-TablaVentas[[#This Row],[Costo_total]])</f>
        <v>5282.58</v>
      </c>
    </row>
    <row r="486" spans="1:17">
      <c r="A486" t="s">
        <v>511</v>
      </c>
      <c r="B486">
        <v>1</v>
      </c>
      <c r="C486" s="3">
        <v>46103</v>
      </c>
      <c r="D486" t="s">
        <v>230</v>
      </c>
      <c r="E486" t="s">
        <v>367</v>
      </c>
      <c r="F486" t="s">
        <v>56</v>
      </c>
      <c r="G486" t="s">
        <v>50</v>
      </c>
      <c r="H486" t="s">
        <v>82</v>
      </c>
      <c r="I486">
        <v>2</v>
      </c>
      <c r="J486" s="4">
        <v>10250.49</v>
      </c>
      <c r="K486" s="5">
        <v>0</v>
      </c>
      <c r="L486" s="4">
        <v>5079.43</v>
      </c>
      <c r="M486" t="s">
        <v>42</v>
      </c>
      <c r="N486" t="s">
        <v>43</v>
      </c>
      <c r="O486">
        <f>IF(TablaVentas[[#This Row],[Precio_unitario]]="","PENDIENTE",TablaVentas[[#This Row],[Unidades]]*TablaVentas[[#This Row],[Precio_unitario]]*(1-TablaVentas[[#This Row],[Descuento_pct]]))</f>
        <v>20500.98</v>
      </c>
      <c r="P486">
        <f>IF(TablaVentas[[#This Row],[Costo_unitario]]="","PENDIENTE",TablaVentas[[#This Row],[Unidades]]*TablaVentas[[#This Row],[Costo_unitario]])</f>
        <v>10158.86</v>
      </c>
      <c r="Q486">
        <f>IF(OR(TablaVentas[[#This Row],[Ingreso_neto]]="PENDIENTE",TablaVentas[[#This Row],[Costo_total]]="PENDIENTE"),"PENDIENTE",TablaVentas[[#This Row],[Ingreso_neto]]-TablaVentas[[#This Row],[Costo_total]])</f>
        <v>10342.119999999999</v>
      </c>
    </row>
    <row r="487" spans="1:17">
      <c r="A487" t="s">
        <v>512</v>
      </c>
      <c r="B487">
        <v>1</v>
      </c>
      <c r="C487" s="3">
        <v>46103</v>
      </c>
      <c r="D487" t="s">
        <v>200</v>
      </c>
      <c r="E487" t="s">
        <v>353</v>
      </c>
      <c r="F487" t="s">
        <v>77</v>
      </c>
      <c r="G487" t="s">
        <v>50</v>
      </c>
      <c r="H487" t="s">
        <v>67</v>
      </c>
      <c r="I487">
        <v>2</v>
      </c>
      <c r="J487" s="4">
        <v>2167.6</v>
      </c>
      <c r="K487" s="5">
        <v>0</v>
      </c>
      <c r="L487" s="4">
        <v>1479.71</v>
      </c>
      <c r="M487" t="s">
        <v>42</v>
      </c>
      <c r="N487" t="s">
        <v>52</v>
      </c>
      <c r="O487">
        <f>IF(TablaVentas[[#This Row],[Precio_unitario]]="","PENDIENTE",TablaVentas[[#This Row],[Unidades]]*TablaVentas[[#This Row],[Precio_unitario]]*(1-TablaVentas[[#This Row],[Descuento_pct]]))</f>
        <v>4335.2</v>
      </c>
      <c r="P487">
        <f>IF(TablaVentas[[#This Row],[Costo_unitario]]="","PENDIENTE",TablaVentas[[#This Row],[Unidades]]*TablaVentas[[#This Row],[Costo_unitario]])</f>
        <v>2959.42</v>
      </c>
      <c r="Q487">
        <f>IF(OR(TablaVentas[[#This Row],[Ingreso_neto]]="PENDIENTE",TablaVentas[[#This Row],[Costo_total]]="PENDIENTE"),"PENDIENTE",TablaVentas[[#This Row],[Ingreso_neto]]-TablaVentas[[#This Row],[Costo_total]])</f>
        <v>1375.7799999999997</v>
      </c>
    </row>
    <row r="488" spans="1:17">
      <c r="A488" t="s">
        <v>512</v>
      </c>
      <c r="B488">
        <v>2</v>
      </c>
      <c r="C488" s="3">
        <v>46103</v>
      </c>
      <c r="D488" t="s">
        <v>200</v>
      </c>
      <c r="E488" t="s">
        <v>103</v>
      </c>
      <c r="F488" t="s">
        <v>77</v>
      </c>
      <c r="G488" t="s">
        <v>50</v>
      </c>
      <c r="H488" t="s">
        <v>67</v>
      </c>
      <c r="I488">
        <v>2</v>
      </c>
      <c r="J488" s="4">
        <v>11997.85</v>
      </c>
      <c r="K488" s="5">
        <v>0</v>
      </c>
      <c r="L488" s="4">
        <v>7549.71</v>
      </c>
      <c r="M488" t="s">
        <v>42</v>
      </c>
      <c r="N488" t="s">
        <v>43</v>
      </c>
      <c r="O488">
        <f>IF(TablaVentas[[#This Row],[Precio_unitario]]="","PENDIENTE",TablaVentas[[#This Row],[Unidades]]*TablaVentas[[#This Row],[Precio_unitario]]*(1-TablaVentas[[#This Row],[Descuento_pct]]))</f>
        <v>23995.7</v>
      </c>
      <c r="P488">
        <f>IF(TablaVentas[[#This Row],[Costo_unitario]]="","PENDIENTE",TablaVentas[[#This Row],[Unidades]]*TablaVentas[[#This Row],[Costo_unitario]])</f>
        <v>15099.42</v>
      </c>
      <c r="Q488">
        <f>IF(OR(TablaVentas[[#This Row],[Ingreso_neto]]="PENDIENTE",TablaVentas[[#This Row],[Costo_total]]="PENDIENTE"),"PENDIENTE",TablaVentas[[#This Row],[Ingreso_neto]]-TablaVentas[[#This Row],[Costo_total]])</f>
        <v>8896.2800000000007</v>
      </c>
    </row>
    <row r="489" spans="1:17">
      <c r="A489" t="s">
        <v>512</v>
      </c>
      <c r="B489">
        <v>3</v>
      </c>
      <c r="C489" s="3">
        <v>46103</v>
      </c>
      <c r="D489" t="s">
        <v>200</v>
      </c>
      <c r="E489" t="s">
        <v>403</v>
      </c>
      <c r="F489" t="s">
        <v>77</v>
      </c>
      <c r="G489" t="s">
        <v>50</v>
      </c>
      <c r="H489" t="s">
        <v>67</v>
      </c>
      <c r="I489">
        <v>1</v>
      </c>
      <c r="J489" s="4">
        <v>2862.18</v>
      </c>
      <c r="K489" s="5">
        <v>0.2</v>
      </c>
      <c r="L489" s="4">
        <v>1801.83</v>
      </c>
      <c r="M489" t="s">
        <v>42</v>
      </c>
      <c r="N489" t="s">
        <v>60</v>
      </c>
      <c r="O489">
        <f>IF(TablaVentas[[#This Row],[Precio_unitario]]="","PENDIENTE",TablaVentas[[#This Row],[Unidades]]*TablaVentas[[#This Row],[Precio_unitario]]*(1-TablaVentas[[#This Row],[Descuento_pct]]))</f>
        <v>2289.7440000000001</v>
      </c>
      <c r="P489">
        <f>IF(TablaVentas[[#This Row],[Costo_unitario]]="","PENDIENTE",TablaVentas[[#This Row],[Unidades]]*TablaVentas[[#This Row],[Costo_unitario]])</f>
        <v>1801.83</v>
      </c>
      <c r="Q489">
        <f>IF(OR(TablaVentas[[#This Row],[Ingreso_neto]]="PENDIENTE",TablaVentas[[#This Row],[Costo_total]]="PENDIENTE"),"PENDIENTE",TablaVentas[[#This Row],[Ingreso_neto]]-TablaVentas[[#This Row],[Costo_total]])</f>
        <v>487.91400000000021</v>
      </c>
    </row>
    <row r="490" spans="1:17">
      <c r="A490" t="s">
        <v>512</v>
      </c>
      <c r="B490">
        <v>4</v>
      </c>
      <c r="C490" s="3">
        <v>46103</v>
      </c>
      <c r="D490" t="s">
        <v>200</v>
      </c>
      <c r="E490" t="s">
        <v>248</v>
      </c>
      <c r="F490" t="s">
        <v>77</v>
      </c>
      <c r="G490" t="s">
        <v>50</v>
      </c>
      <c r="H490" t="s">
        <v>67</v>
      </c>
      <c r="I490">
        <v>4</v>
      </c>
      <c r="J490" s="4">
        <v>13481.8</v>
      </c>
      <c r="K490" s="5">
        <v>0.15</v>
      </c>
      <c r="L490" s="4">
        <v>6856.4</v>
      </c>
      <c r="M490" t="s">
        <v>42</v>
      </c>
      <c r="N490" t="s">
        <v>60</v>
      </c>
      <c r="O490">
        <f>IF(TablaVentas[[#This Row],[Precio_unitario]]="","PENDIENTE",TablaVentas[[#This Row],[Unidades]]*TablaVentas[[#This Row],[Precio_unitario]]*(1-TablaVentas[[#This Row],[Descuento_pct]]))</f>
        <v>45838.119999999995</v>
      </c>
      <c r="P490">
        <f>IF(TablaVentas[[#This Row],[Costo_unitario]]="","PENDIENTE",TablaVentas[[#This Row],[Unidades]]*TablaVentas[[#This Row],[Costo_unitario]])</f>
        <v>27425.599999999999</v>
      </c>
      <c r="Q490">
        <f>IF(OR(TablaVentas[[#This Row],[Ingreso_neto]]="PENDIENTE",TablaVentas[[#This Row],[Costo_total]]="PENDIENTE"),"PENDIENTE",TablaVentas[[#This Row],[Ingreso_neto]]-TablaVentas[[#This Row],[Costo_total]])</f>
        <v>18412.519999999997</v>
      </c>
    </row>
    <row r="491" spans="1:17">
      <c r="A491" t="s">
        <v>513</v>
      </c>
      <c r="B491">
        <v>1</v>
      </c>
      <c r="C491" s="3">
        <v>46195</v>
      </c>
      <c r="D491" t="s">
        <v>514</v>
      </c>
      <c r="E491" t="s">
        <v>97</v>
      </c>
      <c r="F491" t="s">
        <v>39</v>
      </c>
      <c r="G491" t="s">
        <v>40</v>
      </c>
      <c r="H491" t="s">
        <v>184</v>
      </c>
      <c r="I491">
        <v>2</v>
      </c>
      <c r="J491" s="4">
        <v>14240.39</v>
      </c>
      <c r="K491" s="5">
        <v>0</v>
      </c>
      <c r="L491" s="4">
        <v>11424.77</v>
      </c>
      <c r="M491" t="s">
        <v>42</v>
      </c>
      <c r="N491" t="s">
        <v>52</v>
      </c>
      <c r="O491">
        <f>IF(TablaVentas[[#This Row],[Precio_unitario]]="","PENDIENTE",TablaVentas[[#This Row],[Unidades]]*TablaVentas[[#This Row],[Precio_unitario]]*(1-TablaVentas[[#This Row],[Descuento_pct]]))</f>
        <v>28480.78</v>
      </c>
      <c r="P491">
        <f>IF(TablaVentas[[#This Row],[Costo_unitario]]="","PENDIENTE",TablaVentas[[#This Row],[Unidades]]*TablaVentas[[#This Row],[Costo_unitario]])</f>
        <v>22849.54</v>
      </c>
      <c r="Q491">
        <f>IF(OR(TablaVentas[[#This Row],[Ingreso_neto]]="PENDIENTE",TablaVentas[[#This Row],[Costo_total]]="PENDIENTE"),"PENDIENTE",TablaVentas[[#This Row],[Ingreso_neto]]-TablaVentas[[#This Row],[Costo_total]])</f>
        <v>5631.239999999998</v>
      </c>
    </row>
    <row r="492" spans="1:17">
      <c r="A492" t="s">
        <v>515</v>
      </c>
      <c r="B492">
        <v>1</v>
      </c>
      <c r="C492" s="3">
        <v>46131</v>
      </c>
      <c r="D492" t="s">
        <v>198</v>
      </c>
      <c r="E492" t="s">
        <v>59</v>
      </c>
      <c r="F492" t="s">
        <v>66</v>
      </c>
      <c r="G492" t="s">
        <v>40</v>
      </c>
      <c r="H492" t="s">
        <v>129</v>
      </c>
      <c r="I492">
        <v>1</v>
      </c>
      <c r="J492" s="4">
        <v>13070.67</v>
      </c>
      <c r="K492" s="5">
        <v>0.15</v>
      </c>
      <c r="L492" s="4">
        <v>10170.290000000001</v>
      </c>
      <c r="M492" t="s">
        <v>42</v>
      </c>
      <c r="N492" t="s">
        <v>60</v>
      </c>
      <c r="O492">
        <f>IF(TablaVentas[[#This Row],[Precio_unitario]]="","PENDIENTE",TablaVentas[[#This Row],[Unidades]]*TablaVentas[[#This Row],[Precio_unitario]]*(1-TablaVentas[[#This Row],[Descuento_pct]]))</f>
        <v>11110.0695</v>
      </c>
      <c r="P492">
        <f>IF(TablaVentas[[#This Row],[Costo_unitario]]="","PENDIENTE",TablaVentas[[#This Row],[Unidades]]*TablaVentas[[#This Row],[Costo_unitario]])</f>
        <v>10170.290000000001</v>
      </c>
      <c r="Q492">
        <f>IF(OR(TablaVentas[[#This Row],[Ingreso_neto]]="PENDIENTE",TablaVentas[[#This Row],[Costo_total]]="PENDIENTE"),"PENDIENTE",TablaVentas[[#This Row],[Ingreso_neto]]-TablaVentas[[#This Row],[Costo_total]])</f>
        <v>939.77949999999873</v>
      </c>
    </row>
    <row r="493" spans="1:17">
      <c r="A493" t="s">
        <v>515</v>
      </c>
      <c r="B493">
        <v>2</v>
      </c>
      <c r="C493" s="3">
        <v>46131</v>
      </c>
      <c r="D493" t="s">
        <v>198</v>
      </c>
      <c r="E493" t="s">
        <v>196</v>
      </c>
      <c r="F493" t="s">
        <v>66</v>
      </c>
      <c r="G493" t="s">
        <v>40</v>
      </c>
      <c r="H493" t="s">
        <v>129</v>
      </c>
      <c r="I493">
        <v>2</v>
      </c>
      <c r="J493" s="4">
        <v>710</v>
      </c>
      <c r="K493" s="5">
        <v>0</v>
      </c>
      <c r="L493" s="4">
        <v>485.16</v>
      </c>
      <c r="M493" t="s">
        <v>42</v>
      </c>
      <c r="N493" t="s">
        <v>43</v>
      </c>
      <c r="O493">
        <f>IF(TablaVentas[[#This Row],[Precio_unitario]]="","PENDIENTE",TablaVentas[[#This Row],[Unidades]]*TablaVentas[[#This Row],[Precio_unitario]]*(1-TablaVentas[[#This Row],[Descuento_pct]]))</f>
        <v>1420</v>
      </c>
      <c r="P493">
        <f>IF(TablaVentas[[#This Row],[Costo_unitario]]="","PENDIENTE",TablaVentas[[#This Row],[Unidades]]*TablaVentas[[#This Row],[Costo_unitario]])</f>
        <v>970.32</v>
      </c>
      <c r="Q493">
        <f>IF(OR(TablaVentas[[#This Row],[Ingreso_neto]]="PENDIENTE",TablaVentas[[#This Row],[Costo_total]]="PENDIENTE"),"PENDIENTE",TablaVentas[[#This Row],[Ingreso_neto]]-TablaVentas[[#This Row],[Costo_total]])</f>
        <v>449.67999999999995</v>
      </c>
    </row>
    <row r="494" spans="1:17">
      <c r="A494" t="s">
        <v>515</v>
      </c>
      <c r="B494">
        <v>3</v>
      </c>
      <c r="C494" s="3">
        <v>46131</v>
      </c>
      <c r="D494" t="s">
        <v>198</v>
      </c>
      <c r="E494" t="s">
        <v>132</v>
      </c>
      <c r="F494" t="s">
        <v>66</v>
      </c>
      <c r="G494" t="s">
        <v>40</v>
      </c>
      <c r="H494" t="s">
        <v>129</v>
      </c>
      <c r="I494">
        <v>1</v>
      </c>
      <c r="J494" s="4">
        <v>18718.599999999999</v>
      </c>
      <c r="K494" s="5">
        <v>0</v>
      </c>
      <c r="L494" s="4">
        <v>11036.95</v>
      </c>
      <c r="M494" t="s">
        <v>42</v>
      </c>
      <c r="N494" t="s">
        <v>60</v>
      </c>
      <c r="O494">
        <f>IF(TablaVentas[[#This Row],[Precio_unitario]]="","PENDIENTE",TablaVentas[[#This Row],[Unidades]]*TablaVentas[[#This Row],[Precio_unitario]]*(1-TablaVentas[[#This Row],[Descuento_pct]]))</f>
        <v>18718.599999999999</v>
      </c>
      <c r="P494">
        <f>IF(TablaVentas[[#This Row],[Costo_unitario]]="","PENDIENTE",TablaVentas[[#This Row],[Unidades]]*TablaVentas[[#This Row],[Costo_unitario]])</f>
        <v>11036.95</v>
      </c>
      <c r="Q494">
        <f>IF(OR(TablaVentas[[#This Row],[Ingreso_neto]]="PENDIENTE",TablaVentas[[#This Row],[Costo_total]]="PENDIENTE"),"PENDIENTE",TablaVentas[[#This Row],[Ingreso_neto]]-TablaVentas[[#This Row],[Costo_total]])</f>
        <v>7681.6499999999978</v>
      </c>
    </row>
    <row r="495" spans="1:17">
      <c r="A495" t="s">
        <v>516</v>
      </c>
      <c r="B495">
        <v>1</v>
      </c>
      <c r="C495" s="3">
        <v>46132</v>
      </c>
      <c r="D495" t="s">
        <v>177</v>
      </c>
      <c r="E495" t="s">
        <v>248</v>
      </c>
      <c r="F495" t="s">
        <v>56</v>
      </c>
      <c r="G495" t="s">
        <v>40</v>
      </c>
      <c r="H495" t="s">
        <v>124</v>
      </c>
      <c r="I495">
        <v>2</v>
      </c>
      <c r="J495" s="4">
        <v>12450.26</v>
      </c>
      <c r="K495" s="5">
        <v>0.2</v>
      </c>
      <c r="L495" s="4">
        <v>6856.4</v>
      </c>
      <c r="M495" t="s">
        <v>42</v>
      </c>
      <c r="N495" t="s">
        <v>52</v>
      </c>
      <c r="O495">
        <f>IF(TablaVentas[[#This Row],[Precio_unitario]]="","PENDIENTE",TablaVentas[[#This Row],[Unidades]]*TablaVentas[[#This Row],[Precio_unitario]]*(1-TablaVentas[[#This Row],[Descuento_pct]]))</f>
        <v>19920.416000000001</v>
      </c>
      <c r="P495">
        <f>IF(TablaVentas[[#This Row],[Costo_unitario]]="","PENDIENTE",TablaVentas[[#This Row],[Unidades]]*TablaVentas[[#This Row],[Costo_unitario]])</f>
        <v>13712.8</v>
      </c>
      <c r="Q495">
        <f>IF(OR(TablaVentas[[#This Row],[Ingreso_neto]]="PENDIENTE",TablaVentas[[#This Row],[Costo_total]]="PENDIENTE"),"PENDIENTE",TablaVentas[[#This Row],[Ingreso_neto]]-TablaVentas[[#This Row],[Costo_total]])</f>
        <v>6207.6160000000018</v>
      </c>
    </row>
    <row r="496" spans="1:17">
      <c r="A496" t="s">
        <v>516</v>
      </c>
      <c r="B496">
        <v>2</v>
      </c>
      <c r="C496" s="3">
        <v>46132</v>
      </c>
      <c r="D496" t="s">
        <v>177</v>
      </c>
      <c r="E496" t="s">
        <v>245</v>
      </c>
      <c r="F496" t="s">
        <v>56</v>
      </c>
      <c r="G496" t="s">
        <v>40</v>
      </c>
      <c r="H496" t="s">
        <v>124</v>
      </c>
      <c r="I496">
        <v>3</v>
      </c>
      <c r="J496" s="4">
        <v>16768.18</v>
      </c>
      <c r="K496" s="5">
        <v>0.2</v>
      </c>
      <c r="L496" s="4">
        <v>10507.24</v>
      </c>
      <c r="M496" t="s">
        <v>42</v>
      </c>
      <c r="N496" t="s">
        <v>60</v>
      </c>
      <c r="O496">
        <f>IF(TablaVentas[[#This Row],[Precio_unitario]]="","PENDIENTE",TablaVentas[[#This Row],[Unidades]]*TablaVentas[[#This Row],[Precio_unitario]]*(1-TablaVentas[[#This Row],[Descuento_pct]]))</f>
        <v>40243.632000000005</v>
      </c>
      <c r="P496">
        <f>IF(TablaVentas[[#This Row],[Costo_unitario]]="","PENDIENTE",TablaVentas[[#This Row],[Unidades]]*TablaVentas[[#This Row],[Costo_unitario]])</f>
        <v>31521.72</v>
      </c>
      <c r="Q496">
        <f>IF(OR(TablaVentas[[#This Row],[Ingreso_neto]]="PENDIENTE",TablaVentas[[#This Row],[Costo_total]]="PENDIENTE"),"PENDIENTE",TablaVentas[[#This Row],[Ingreso_neto]]-TablaVentas[[#This Row],[Costo_total]])</f>
        <v>8721.9120000000039</v>
      </c>
    </row>
    <row r="497" spans="1:17">
      <c r="A497" t="s">
        <v>517</v>
      </c>
      <c r="B497">
        <v>1</v>
      </c>
      <c r="C497" s="3">
        <v>46214</v>
      </c>
      <c r="D497" t="s">
        <v>518</v>
      </c>
      <c r="E497" t="s">
        <v>83</v>
      </c>
      <c r="F497" t="s">
        <v>39</v>
      </c>
      <c r="G497" t="s">
        <v>50</v>
      </c>
      <c r="H497" t="s">
        <v>184</v>
      </c>
      <c r="I497">
        <v>3</v>
      </c>
      <c r="J497" s="4">
        <v>15743.38</v>
      </c>
      <c r="K497" s="5">
        <v>0</v>
      </c>
      <c r="L497" s="4">
        <v>12723.77</v>
      </c>
      <c r="M497" t="s">
        <v>42</v>
      </c>
      <c r="N497" t="s">
        <v>45</v>
      </c>
      <c r="O497">
        <f>IF(TablaVentas[[#This Row],[Precio_unitario]]="","PENDIENTE",TablaVentas[[#This Row],[Unidades]]*TablaVentas[[#This Row],[Precio_unitario]]*(1-TablaVentas[[#This Row],[Descuento_pct]]))</f>
        <v>47230.14</v>
      </c>
      <c r="P497">
        <f>IF(TablaVentas[[#This Row],[Costo_unitario]]="","PENDIENTE",TablaVentas[[#This Row],[Unidades]]*TablaVentas[[#This Row],[Costo_unitario]])</f>
        <v>38171.31</v>
      </c>
      <c r="Q497">
        <f>IF(OR(TablaVentas[[#This Row],[Ingreso_neto]]="PENDIENTE",TablaVentas[[#This Row],[Costo_total]]="PENDIENTE"),"PENDIENTE",TablaVentas[[#This Row],[Ingreso_neto]]-TablaVentas[[#This Row],[Costo_total]])</f>
        <v>9058.8300000000017</v>
      </c>
    </row>
    <row r="498" spans="1:17">
      <c r="A498" t="s">
        <v>517</v>
      </c>
      <c r="B498">
        <v>2</v>
      </c>
      <c r="C498" s="3">
        <v>46214</v>
      </c>
      <c r="D498" t="s">
        <v>518</v>
      </c>
      <c r="E498" t="s">
        <v>38</v>
      </c>
      <c r="F498" t="s">
        <v>39</v>
      </c>
      <c r="G498" t="s">
        <v>50</v>
      </c>
      <c r="H498" t="s">
        <v>184</v>
      </c>
      <c r="I498">
        <v>3</v>
      </c>
      <c r="J498" s="4">
        <v>6170.24</v>
      </c>
      <c r="K498" s="5">
        <v>0</v>
      </c>
      <c r="L498" s="4">
        <v>3832.69</v>
      </c>
      <c r="M498" t="s">
        <v>42</v>
      </c>
      <c r="N498" t="s">
        <v>43</v>
      </c>
      <c r="O498">
        <f>IF(TablaVentas[[#This Row],[Precio_unitario]]="","PENDIENTE",TablaVentas[[#This Row],[Unidades]]*TablaVentas[[#This Row],[Precio_unitario]]*(1-TablaVentas[[#This Row],[Descuento_pct]]))</f>
        <v>18510.72</v>
      </c>
      <c r="P498">
        <f>IF(TablaVentas[[#This Row],[Costo_unitario]]="","PENDIENTE",TablaVentas[[#This Row],[Unidades]]*TablaVentas[[#This Row],[Costo_unitario]])</f>
        <v>11498.07</v>
      </c>
      <c r="Q498">
        <f>IF(OR(TablaVentas[[#This Row],[Ingreso_neto]]="PENDIENTE",TablaVentas[[#This Row],[Costo_total]]="PENDIENTE"),"PENDIENTE",TablaVentas[[#This Row],[Ingreso_neto]]-TablaVentas[[#This Row],[Costo_total]])</f>
        <v>7012.6500000000015</v>
      </c>
    </row>
    <row r="499" spans="1:17">
      <c r="A499" t="s">
        <v>517</v>
      </c>
      <c r="B499">
        <v>3</v>
      </c>
      <c r="C499" s="3">
        <v>46214</v>
      </c>
      <c r="D499" t="s">
        <v>518</v>
      </c>
      <c r="E499" t="s">
        <v>68</v>
      </c>
      <c r="F499" t="s">
        <v>39</v>
      </c>
      <c r="G499" t="s">
        <v>50</v>
      </c>
      <c r="H499" t="s">
        <v>184</v>
      </c>
      <c r="I499">
        <v>2</v>
      </c>
      <c r="J499" s="4">
        <v>16547.91</v>
      </c>
      <c r="K499" s="5">
        <v>0.05</v>
      </c>
      <c r="L499" s="4">
        <v>9243.35</v>
      </c>
      <c r="M499" t="s">
        <v>42</v>
      </c>
      <c r="N499" t="s">
        <v>52</v>
      </c>
      <c r="O499">
        <f>IF(TablaVentas[[#This Row],[Precio_unitario]]="","PENDIENTE",TablaVentas[[#This Row],[Unidades]]*TablaVentas[[#This Row],[Precio_unitario]]*(1-TablaVentas[[#This Row],[Descuento_pct]]))</f>
        <v>31441.028999999999</v>
      </c>
      <c r="P499">
        <f>IF(TablaVentas[[#This Row],[Costo_unitario]]="","PENDIENTE",TablaVentas[[#This Row],[Unidades]]*TablaVentas[[#This Row],[Costo_unitario]])</f>
        <v>18486.7</v>
      </c>
      <c r="Q499">
        <f>IF(OR(TablaVentas[[#This Row],[Ingreso_neto]]="PENDIENTE",TablaVentas[[#This Row],[Costo_total]]="PENDIENTE"),"PENDIENTE",TablaVentas[[#This Row],[Ingreso_neto]]-TablaVentas[[#This Row],[Costo_total]])</f>
        <v>12954.328999999998</v>
      </c>
    </row>
    <row r="500" spans="1:17">
      <c r="A500" t="s">
        <v>519</v>
      </c>
      <c r="B500">
        <v>1</v>
      </c>
      <c r="C500" s="3">
        <v>46203</v>
      </c>
      <c r="D500" t="s">
        <v>478</v>
      </c>
      <c r="E500" t="s">
        <v>212</v>
      </c>
      <c r="F500" t="s">
        <v>39</v>
      </c>
      <c r="G500" t="s">
        <v>57</v>
      </c>
      <c r="H500" t="s">
        <v>102</v>
      </c>
      <c r="I500">
        <v>2</v>
      </c>
      <c r="J500" s="4">
        <v>3696.23</v>
      </c>
      <c r="K500" s="5">
        <v>0.2</v>
      </c>
      <c r="L500" s="4">
        <v>2157.5500000000002</v>
      </c>
      <c r="M500" t="s">
        <v>42</v>
      </c>
      <c r="N500" t="s">
        <v>43</v>
      </c>
      <c r="O500">
        <f>IF(TablaVentas[[#This Row],[Precio_unitario]]="","PENDIENTE",TablaVentas[[#This Row],[Unidades]]*TablaVentas[[#This Row],[Precio_unitario]]*(1-TablaVentas[[#This Row],[Descuento_pct]]))</f>
        <v>5913.9680000000008</v>
      </c>
      <c r="P500">
        <f>IF(TablaVentas[[#This Row],[Costo_unitario]]="","PENDIENTE",TablaVentas[[#This Row],[Unidades]]*TablaVentas[[#This Row],[Costo_unitario]])</f>
        <v>4315.1000000000004</v>
      </c>
      <c r="Q500">
        <f>IF(OR(TablaVentas[[#This Row],[Ingreso_neto]]="PENDIENTE",TablaVentas[[#This Row],[Costo_total]]="PENDIENTE"),"PENDIENTE",TablaVentas[[#This Row],[Ingreso_neto]]-TablaVentas[[#This Row],[Costo_total]])</f>
        <v>1598.8680000000004</v>
      </c>
    </row>
    <row r="501" spans="1:17">
      <c r="A501" t="s">
        <v>519</v>
      </c>
      <c r="B501">
        <v>2</v>
      </c>
      <c r="C501" s="3">
        <v>46203</v>
      </c>
      <c r="D501" t="s">
        <v>478</v>
      </c>
      <c r="E501" t="s">
        <v>144</v>
      </c>
      <c r="F501" t="s">
        <v>39</v>
      </c>
      <c r="G501" t="s">
        <v>57</v>
      </c>
      <c r="H501" t="s">
        <v>102</v>
      </c>
      <c r="I501">
        <v>5</v>
      </c>
      <c r="J501" s="4">
        <v>9122.43</v>
      </c>
      <c r="K501" s="5">
        <v>0</v>
      </c>
      <c r="L501" s="4">
        <v>5125.3599999999997</v>
      </c>
      <c r="M501" t="s">
        <v>42</v>
      </c>
      <c r="N501" t="s">
        <v>45</v>
      </c>
      <c r="O501">
        <f>IF(TablaVentas[[#This Row],[Precio_unitario]]="","PENDIENTE",TablaVentas[[#This Row],[Unidades]]*TablaVentas[[#This Row],[Precio_unitario]]*(1-TablaVentas[[#This Row],[Descuento_pct]]))</f>
        <v>45612.15</v>
      </c>
      <c r="P501">
        <f>IF(TablaVentas[[#This Row],[Costo_unitario]]="","PENDIENTE",TablaVentas[[#This Row],[Unidades]]*TablaVentas[[#This Row],[Costo_unitario]])</f>
        <v>25626.799999999999</v>
      </c>
      <c r="Q501">
        <f>IF(OR(TablaVentas[[#This Row],[Ingreso_neto]]="PENDIENTE",TablaVentas[[#This Row],[Costo_total]]="PENDIENTE"),"PENDIENTE",TablaVentas[[#This Row],[Ingreso_neto]]-TablaVentas[[#This Row],[Costo_total]])</f>
        <v>19985.350000000002</v>
      </c>
    </row>
    <row r="502" spans="1:17">
      <c r="A502" t="s">
        <v>519</v>
      </c>
      <c r="B502">
        <v>3</v>
      </c>
      <c r="C502" s="3">
        <v>46203</v>
      </c>
      <c r="D502" t="s">
        <v>478</v>
      </c>
      <c r="E502" t="s">
        <v>180</v>
      </c>
      <c r="F502" t="s">
        <v>39</v>
      </c>
      <c r="G502" t="s">
        <v>57</v>
      </c>
      <c r="H502" t="s">
        <v>102</v>
      </c>
      <c r="I502">
        <v>1</v>
      </c>
      <c r="J502" s="4">
        <v>5910.04</v>
      </c>
      <c r="K502" s="5">
        <v>0.15</v>
      </c>
      <c r="L502" s="4">
        <v>3824.92</v>
      </c>
      <c r="M502" t="s">
        <v>42</v>
      </c>
      <c r="N502" t="s">
        <v>45</v>
      </c>
      <c r="O502">
        <f>IF(TablaVentas[[#This Row],[Precio_unitario]]="","PENDIENTE",TablaVentas[[#This Row],[Unidades]]*TablaVentas[[#This Row],[Precio_unitario]]*(1-TablaVentas[[#This Row],[Descuento_pct]]))</f>
        <v>5023.5339999999997</v>
      </c>
      <c r="P502">
        <f>IF(TablaVentas[[#This Row],[Costo_unitario]]="","PENDIENTE",TablaVentas[[#This Row],[Unidades]]*TablaVentas[[#This Row],[Costo_unitario]])</f>
        <v>3824.92</v>
      </c>
      <c r="Q502">
        <f>IF(OR(TablaVentas[[#This Row],[Ingreso_neto]]="PENDIENTE",TablaVentas[[#This Row],[Costo_total]]="PENDIENTE"),"PENDIENTE",TablaVentas[[#This Row],[Ingreso_neto]]-TablaVentas[[#This Row],[Costo_total]])</f>
        <v>1198.6139999999996</v>
      </c>
    </row>
    <row r="503" spans="1:17">
      <c r="A503" t="s">
        <v>519</v>
      </c>
      <c r="B503">
        <v>4</v>
      </c>
      <c r="C503" s="3">
        <v>46203</v>
      </c>
      <c r="D503" t="s">
        <v>478</v>
      </c>
      <c r="E503" t="s">
        <v>140</v>
      </c>
      <c r="F503" t="s">
        <v>39</v>
      </c>
      <c r="G503" t="s">
        <v>57</v>
      </c>
      <c r="H503" t="s">
        <v>102</v>
      </c>
      <c r="I503">
        <v>2</v>
      </c>
      <c r="J503" s="4">
        <v>2788.94</v>
      </c>
      <c r="K503" s="5">
        <v>0</v>
      </c>
      <c r="L503" s="4">
        <v>2427.63</v>
      </c>
      <c r="M503" t="s">
        <v>42</v>
      </c>
      <c r="N503" t="s">
        <v>52</v>
      </c>
      <c r="O503">
        <f>IF(TablaVentas[[#This Row],[Precio_unitario]]="","PENDIENTE",TablaVentas[[#This Row],[Unidades]]*TablaVentas[[#This Row],[Precio_unitario]]*(1-TablaVentas[[#This Row],[Descuento_pct]]))</f>
        <v>5577.88</v>
      </c>
      <c r="P503">
        <f>IF(TablaVentas[[#This Row],[Costo_unitario]]="","PENDIENTE",TablaVentas[[#This Row],[Unidades]]*TablaVentas[[#This Row],[Costo_unitario]])</f>
        <v>4855.26</v>
      </c>
      <c r="Q503">
        <f>IF(OR(TablaVentas[[#This Row],[Ingreso_neto]]="PENDIENTE",TablaVentas[[#This Row],[Costo_total]]="PENDIENTE"),"PENDIENTE",TablaVentas[[#This Row],[Ingreso_neto]]-TablaVentas[[#This Row],[Costo_total]])</f>
        <v>722.61999999999989</v>
      </c>
    </row>
    <row r="504" spans="1:17">
      <c r="A504" t="s">
        <v>520</v>
      </c>
      <c r="B504">
        <v>1</v>
      </c>
      <c r="C504" s="3">
        <v>46248</v>
      </c>
      <c r="D504" t="s">
        <v>291</v>
      </c>
      <c r="E504" t="s">
        <v>183</v>
      </c>
      <c r="F504" t="s">
        <v>56</v>
      </c>
      <c r="G504" t="s">
        <v>50</v>
      </c>
      <c r="H504" t="s">
        <v>129</v>
      </c>
      <c r="I504">
        <v>3</v>
      </c>
      <c r="J504" s="4">
        <v>5369.3</v>
      </c>
      <c r="K504" s="5">
        <v>0.05</v>
      </c>
      <c r="L504" s="4">
        <v>4325.7299999999996</v>
      </c>
      <c r="M504" t="s">
        <v>42</v>
      </c>
      <c r="N504" t="s">
        <v>43</v>
      </c>
      <c r="O504">
        <f>IF(TablaVentas[[#This Row],[Precio_unitario]]="","PENDIENTE",TablaVentas[[#This Row],[Unidades]]*TablaVentas[[#This Row],[Precio_unitario]]*(1-TablaVentas[[#This Row],[Descuento_pct]]))</f>
        <v>15302.505000000001</v>
      </c>
      <c r="P504">
        <f>IF(TablaVentas[[#This Row],[Costo_unitario]]="","PENDIENTE",TablaVentas[[#This Row],[Unidades]]*TablaVentas[[#This Row],[Costo_unitario]])</f>
        <v>12977.189999999999</v>
      </c>
      <c r="Q504">
        <f>IF(OR(TablaVentas[[#This Row],[Ingreso_neto]]="PENDIENTE",TablaVentas[[#This Row],[Costo_total]]="PENDIENTE"),"PENDIENTE",TablaVentas[[#This Row],[Ingreso_neto]]-TablaVentas[[#This Row],[Costo_total]])</f>
        <v>2325.3150000000023</v>
      </c>
    </row>
    <row r="505" spans="1:17">
      <c r="A505" t="s">
        <v>521</v>
      </c>
      <c r="B505">
        <v>1</v>
      </c>
      <c r="C505" s="3">
        <v>46201</v>
      </c>
      <c r="D505" t="s">
        <v>522</v>
      </c>
      <c r="E505" t="s">
        <v>69</v>
      </c>
      <c r="F505" t="s">
        <v>56</v>
      </c>
      <c r="G505" t="s">
        <v>40</v>
      </c>
      <c r="H505" t="s">
        <v>184</v>
      </c>
      <c r="I505">
        <v>5</v>
      </c>
      <c r="J505" s="4">
        <v>12701.2</v>
      </c>
      <c r="K505" s="5">
        <v>0</v>
      </c>
      <c r="L505" s="4">
        <v>10094.26</v>
      </c>
      <c r="M505" t="s">
        <v>42</v>
      </c>
      <c r="N505" t="s">
        <v>52</v>
      </c>
      <c r="O505">
        <f>IF(TablaVentas[[#This Row],[Precio_unitario]]="","PENDIENTE",TablaVentas[[#This Row],[Unidades]]*TablaVentas[[#This Row],[Precio_unitario]]*(1-TablaVentas[[#This Row],[Descuento_pct]]))</f>
        <v>63506</v>
      </c>
      <c r="P505">
        <f>IF(TablaVentas[[#This Row],[Costo_unitario]]="","PENDIENTE",TablaVentas[[#This Row],[Unidades]]*TablaVentas[[#This Row],[Costo_unitario]])</f>
        <v>50471.3</v>
      </c>
      <c r="Q505">
        <f>IF(OR(TablaVentas[[#This Row],[Ingreso_neto]]="PENDIENTE",TablaVentas[[#This Row],[Costo_total]]="PENDIENTE"),"PENDIENTE",TablaVentas[[#This Row],[Ingreso_neto]]-TablaVentas[[#This Row],[Costo_total]])</f>
        <v>13034.699999999997</v>
      </c>
    </row>
    <row r="506" spans="1:17">
      <c r="A506" t="s">
        <v>521</v>
      </c>
      <c r="B506">
        <v>2</v>
      </c>
      <c r="C506" s="3">
        <v>46201</v>
      </c>
      <c r="D506" t="s">
        <v>522</v>
      </c>
      <c r="E506" t="s">
        <v>211</v>
      </c>
      <c r="F506" t="s">
        <v>56</v>
      </c>
      <c r="G506" t="s">
        <v>40</v>
      </c>
      <c r="H506" t="s">
        <v>184</v>
      </c>
      <c r="I506">
        <v>1</v>
      </c>
      <c r="J506" s="4">
        <v>16970.669999999998</v>
      </c>
      <c r="K506" s="5">
        <v>0</v>
      </c>
      <c r="L506" s="4">
        <v>13760.53</v>
      </c>
      <c r="M506" t="s">
        <v>42</v>
      </c>
      <c r="N506" t="s">
        <v>43</v>
      </c>
      <c r="O506">
        <f>IF(TablaVentas[[#This Row],[Precio_unitario]]="","PENDIENTE",TablaVentas[[#This Row],[Unidades]]*TablaVentas[[#This Row],[Precio_unitario]]*(1-TablaVentas[[#This Row],[Descuento_pct]]))</f>
        <v>16970.669999999998</v>
      </c>
      <c r="P506">
        <f>IF(TablaVentas[[#This Row],[Costo_unitario]]="","PENDIENTE",TablaVentas[[#This Row],[Unidades]]*TablaVentas[[#This Row],[Costo_unitario]])</f>
        <v>13760.53</v>
      </c>
      <c r="Q506">
        <f>IF(OR(TablaVentas[[#This Row],[Ingreso_neto]]="PENDIENTE",TablaVentas[[#This Row],[Costo_total]]="PENDIENTE"),"PENDIENTE",TablaVentas[[#This Row],[Ingreso_neto]]-TablaVentas[[#This Row],[Costo_total]])</f>
        <v>3210.1399999999976</v>
      </c>
    </row>
    <row r="507" spans="1:17">
      <c r="A507" t="s">
        <v>523</v>
      </c>
      <c r="B507">
        <v>1</v>
      </c>
      <c r="C507" s="3">
        <v>46082</v>
      </c>
      <c r="D507" t="s">
        <v>524</v>
      </c>
      <c r="E507" t="s">
        <v>346</v>
      </c>
      <c r="F507" t="s">
        <v>66</v>
      </c>
      <c r="G507" t="s">
        <v>40</v>
      </c>
      <c r="H507" t="s">
        <v>41</v>
      </c>
      <c r="I507">
        <v>1</v>
      </c>
      <c r="J507" s="4">
        <v>2181.91</v>
      </c>
      <c r="K507" s="5">
        <v>0.15</v>
      </c>
      <c r="L507" s="4">
        <v>1175.74</v>
      </c>
      <c r="M507" t="s">
        <v>42</v>
      </c>
      <c r="N507" t="s">
        <v>60</v>
      </c>
      <c r="O507">
        <f>IF(TablaVentas[[#This Row],[Precio_unitario]]="","PENDIENTE",TablaVentas[[#This Row],[Unidades]]*TablaVentas[[#This Row],[Precio_unitario]]*(1-TablaVentas[[#This Row],[Descuento_pct]]))</f>
        <v>1854.6234999999999</v>
      </c>
      <c r="P507">
        <f>IF(TablaVentas[[#This Row],[Costo_unitario]]="","PENDIENTE",TablaVentas[[#This Row],[Unidades]]*TablaVentas[[#This Row],[Costo_unitario]])</f>
        <v>1175.74</v>
      </c>
      <c r="Q507">
        <f>IF(OR(TablaVentas[[#This Row],[Ingreso_neto]]="PENDIENTE",TablaVentas[[#This Row],[Costo_total]]="PENDIENTE"),"PENDIENTE",TablaVentas[[#This Row],[Ingreso_neto]]-TablaVentas[[#This Row],[Costo_total]])</f>
        <v>678.88349999999991</v>
      </c>
    </row>
    <row r="508" spans="1:17">
      <c r="A508" t="s">
        <v>523</v>
      </c>
      <c r="B508">
        <v>2</v>
      </c>
      <c r="C508" s="3">
        <v>46082</v>
      </c>
      <c r="D508" t="s">
        <v>524</v>
      </c>
      <c r="E508" t="s">
        <v>217</v>
      </c>
      <c r="F508" t="s">
        <v>66</v>
      </c>
      <c r="G508" t="s">
        <v>40</v>
      </c>
      <c r="H508" t="s">
        <v>41</v>
      </c>
      <c r="I508">
        <v>8</v>
      </c>
      <c r="J508" s="4">
        <v>15593.54</v>
      </c>
      <c r="K508" s="5">
        <v>0</v>
      </c>
      <c r="L508" s="4">
        <v>14161.63</v>
      </c>
      <c r="M508" t="s">
        <v>42</v>
      </c>
      <c r="N508" t="s">
        <v>60</v>
      </c>
      <c r="O508">
        <f>IF(TablaVentas[[#This Row],[Precio_unitario]]="","PENDIENTE",TablaVentas[[#This Row],[Unidades]]*TablaVentas[[#This Row],[Precio_unitario]]*(1-TablaVentas[[#This Row],[Descuento_pct]]))</f>
        <v>124748.32</v>
      </c>
      <c r="P508">
        <f>IF(TablaVentas[[#This Row],[Costo_unitario]]="","PENDIENTE",TablaVentas[[#This Row],[Unidades]]*TablaVentas[[#This Row],[Costo_unitario]])</f>
        <v>113293.04</v>
      </c>
      <c r="Q508">
        <f>IF(OR(TablaVentas[[#This Row],[Ingreso_neto]]="PENDIENTE",TablaVentas[[#This Row],[Costo_total]]="PENDIENTE"),"PENDIENTE",TablaVentas[[#This Row],[Ingreso_neto]]-TablaVentas[[#This Row],[Costo_total]])</f>
        <v>11455.280000000013</v>
      </c>
    </row>
    <row r="509" spans="1:17">
      <c r="A509" t="s">
        <v>523</v>
      </c>
      <c r="B509">
        <v>3</v>
      </c>
      <c r="C509" s="3">
        <v>46082</v>
      </c>
      <c r="D509" t="s">
        <v>524</v>
      </c>
      <c r="E509" t="s">
        <v>218</v>
      </c>
      <c r="F509" t="s">
        <v>66</v>
      </c>
      <c r="G509" t="s">
        <v>40</v>
      </c>
      <c r="H509" t="s">
        <v>41</v>
      </c>
      <c r="I509">
        <v>8</v>
      </c>
      <c r="J509" s="4">
        <v>4387.8900000000003</v>
      </c>
      <c r="K509" s="5">
        <v>0.15</v>
      </c>
      <c r="L509" s="4">
        <v>2833.97</v>
      </c>
      <c r="M509" t="s">
        <v>42</v>
      </c>
      <c r="N509" t="s">
        <v>45</v>
      </c>
      <c r="O509">
        <f>IF(TablaVentas[[#This Row],[Precio_unitario]]="","PENDIENTE",TablaVentas[[#This Row],[Unidades]]*TablaVentas[[#This Row],[Precio_unitario]]*(1-TablaVentas[[#This Row],[Descuento_pct]]))</f>
        <v>29837.652000000002</v>
      </c>
      <c r="P509">
        <f>IF(TablaVentas[[#This Row],[Costo_unitario]]="","PENDIENTE",TablaVentas[[#This Row],[Unidades]]*TablaVentas[[#This Row],[Costo_unitario]])</f>
        <v>22671.759999999998</v>
      </c>
      <c r="Q509">
        <f>IF(OR(TablaVentas[[#This Row],[Ingreso_neto]]="PENDIENTE",TablaVentas[[#This Row],[Costo_total]]="PENDIENTE"),"PENDIENTE",TablaVentas[[#This Row],[Ingreso_neto]]-TablaVentas[[#This Row],[Costo_total]])</f>
        <v>7165.8920000000035</v>
      </c>
    </row>
    <row r="510" spans="1:17">
      <c r="A510" t="s">
        <v>525</v>
      </c>
      <c r="B510">
        <v>1</v>
      </c>
      <c r="C510" s="3">
        <v>46085</v>
      </c>
      <c r="D510" t="s">
        <v>429</v>
      </c>
      <c r="E510" t="s">
        <v>160</v>
      </c>
      <c r="F510" t="s">
        <v>39</v>
      </c>
      <c r="G510" t="s">
        <v>40</v>
      </c>
      <c r="H510" t="s">
        <v>124</v>
      </c>
      <c r="I510">
        <v>2</v>
      </c>
      <c r="J510" s="4">
        <v>7820.95</v>
      </c>
      <c r="K510" s="5">
        <v>0</v>
      </c>
      <c r="L510" s="4">
        <v>4082.15</v>
      </c>
      <c r="M510" t="s">
        <v>42</v>
      </c>
      <c r="N510" t="s">
        <v>52</v>
      </c>
      <c r="O510">
        <f>IF(TablaVentas[[#This Row],[Precio_unitario]]="","PENDIENTE",TablaVentas[[#This Row],[Unidades]]*TablaVentas[[#This Row],[Precio_unitario]]*(1-TablaVentas[[#This Row],[Descuento_pct]]))</f>
        <v>15641.9</v>
      </c>
      <c r="P510">
        <f>IF(TablaVentas[[#This Row],[Costo_unitario]]="","PENDIENTE",TablaVentas[[#This Row],[Unidades]]*TablaVentas[[#This Row],[Costo_unitario]])</f>
        <v>8164.3</v>
      </c>
      <c r="Q510">
        <f>IF(OR(TablaVentas[[#This Row],[Ingreso_neto]]="PENDIENTE",TablaVentas[[#This Row],[Costo_total]]="PENDIENTE"),"PENDIENTE",TablaVentas[[#This Row],[Ingreso_neto]]-TablaVentas[[#This Row],[Costo_total]])</f>
        <v>7477.5999999999995</v>
      </c>
    </row>
    <row r="511" spans="1:17">
      <c r="A511" t="s">
        <v>526</v>
      </c>
      <c r="B511">
        <v>1</v>
      </c>
      <c r="C511" s="3">
        <v>46186</v>
      </c>
      <c r="D511" t="s">
        <v>527</v>
      </c>
      <c r="E511" t="s">
        <v>223</v>
      </c>
      <c r="F511" t="s">
        <v>77</v>
      </c>
      <c r="G511" t="s">
        <v>50</v>
      </c>
      <c r="H511" t="s">
        <v>73</v>
      </c>
      <c r="I511">
        <v>3</v>
      </c>
      <c r="J511" s="4">
        <v>6000.87</v>
      </c>
      <c r="K511" s="5">
        <v>0</v>
      </c>
      <c r="L511" s="4">
        <v>3298.19</v>
      </c>
      <c r="M511" t="s">
        <v>42</v>
      </c>
      <c r="N511" t="s">
        <v>60</v>
      </c>
      <c r="O511">
        <f>IF(TablaVentas[[#This Row],[Precio_unitario]]="","PENDIENTE",TablaVentas[[#This Row],[Unidades]]*TablaVentas[[#This Row],[Precio_unitario]]*(1-TablaVentas[[#This Row],[Descuento_pct]]))</f>
        <v>18002.61</v>
      </c>
      <c r="P511">
        <f>IF(TablaVentas[[#This Row],[Costo_unitario]]="","PENDIENTE",TablaVentas[[#This Row],[Unidades]]*TablaVentas[[#This Row],[Costo_unitario]])</f>
        <v>9894.57</v>
      </c>
      <c r="Q511">
        <f>IF(OR(TablaVentas[[#This Row],[Ingreso_neto]]="PENDIENTE",TablaVentas[[#This Row],[Costo_total]]="PENDIENTE"),"PENDIENTE",TablaVentas[[#This Row],[Ingreso_neto]]-TablaVentas[[#This Row],[Costo_total]])</f>
        <v>8108.0400000000009</v>
      </c>
    </row>
    <row r="512" spans="1:17">
      <c r="A512" t="s">
        <v>528</v>
      </c>
      <c r="B512">
        <v>1</v>
      </c>
      <c r="C512" s="3">
        <v>46224</v>
      </c>
      <c r="D512" t="s">
        <v>529</v>
      </c>
      <c r="E512" t="s">
        <v>223</v>
      </c>
      <c r="F512" t="s">
        <v>66</v>
      </c>
      <c r="G512" t="s">
        <v>50</v>
      </c>
      <c r="H512" t="s">
        <v>124</v>
      </c>
      <c r="I512">
        <v>2</v>
      </c>
      <c r="J512" s="4">
        <v>5904.07</v>
      </c>
      <c r="K512" s="5">
        <v>0.2</v>
      </c>
      <c r="L512" s="4">
        <v>3298.19</v>
      </c>
      <c r="M512" t="s">
        <v>42</v>
      </c>
      <c r="N512" t="s">
        <v>52</v>
      </c>
      <c r="O512">
        <f>IF(TablaVentas[[#This Row],[Precio_unitario]]="","PENDIENTE",TablaVentas[[#This Row],[Unidades]]*TablaVentas[[#This Row],[Precio_unitario]]*(1-TablaVentas[[#This Row],[Descuento_pct]]))</f>
        <v>9446.5120000000006</v>
      </c>
      <c r="P512">
        <f>IF(TablaVentas[[#This Row],[Costo_unitario]]="","PENDIENTE",TablaVentas[[#This Row],[Unidades]]*TablaVentas[[#This Row],[Costo_unitario]])</f>
        <v>6596.38</v>
      </c>
      <c r="Q512">
        <f>IF(OR(TablaVentas[[#This Row],[Ingreso_neto]]="PENDIENTE",TablaVentas[[#This Row],[Costo_total]]="PENDIENTE"),"PENDIENTE",TablaVentas[[#This Row],[Ingreso_neto]]-TablaVentas[[#This Row],[Costo_total]])</f>
        <v>2850.1320000000005</v>
      </c>
    </row>
    <row r="513" spans="1:17">
      <c r="A513" t="s">
        <v>528</v>
      </c>
      <c r="B513">
        <v>2</v>
      </c>
      <c r="C513" s="3">
        <v>46224</v>
      </c>
      <c r="D513" t="s">
        <v>529</v>
      </c>
      <c r="E513" t="s">
        <v>203</v>
      </c>
      <c r="F513" t="s">
        <v>66</v>
      </c>
      <c r="G513" t="s">
        <v>50</v>
      </c>
      <c r="H513" t="s">
        <v>124</v>
      </c>
      <c r="I513">
        <v>4</v>
      </c>
      <c r="J513" s="4">
        <v>1978.8</v>
      </c>
      <c r="K513" s="5">
        <v>0</v>
      </c>
      <c r="L513" s="4">
        <v>1252.8399999999999</v>
      </c>
      <c r="M513" t="s">
        <v>42</v>
      </c>
      <c r="N513" t="s">
        <v>43</v>
      </c>
      <c r="O513">
        <f>IF(TablaVentas[[#This Row],[Precio_unitario]]="","PENDIENTE",TablaVentas[[#This Row],[Unidades]]*TablaVentas[[#This Row],[Precio_unitario]]*(1-TablaVentas[[#This Row],[Descuento_pct]]))</f>
        <v>7915.2</v>
      </c>
      <c r="P513">
        <f>IF(TablaVentas[[#This Row],[Costo_unitario]]="","PENDIENTE",TablaVentas[[#This Row],[Unidades]]*TablaVentas[[#This Row],[Costo_unitario]])</f>
        <v>5011.3599999999997</v>
      </c>
      <c r="Q513">
        <f>IF(OR(TablaVentas[[#This Row],[Ingreso_neto]]="PENDIENTE",TablaVentas[[#This Row],[Costo_total]]="PENDIENTE"),"PENDIENTE",TablaVentas[[#This Row],[Ingreso_neto]]-TablaVentas[[#This Row],[Costo_total]])</f>
        <v>2903.84</v>
      </c>
    </row>
    <row r="514" spans="1:17">
      <c r="A514" t="s">
        <v>530</v>
      </c>
      <c r="B514">
        <v>1</v>
      </c>
      <c r="C514" s="3">
        <v>46233</v>
      </c>
      <c r="D514" t="s">
        <v>441</v>
      </c>
      <c r="E514" t="s">
        <v>245</v>
      </c>
      <c r="F514" t="s">
        <v>39</v>
      </c>
      <c r="G514" t="s">
        <v>57</v>
      </c>
      <c r="H514" t="s">
        <v>102</v>
      </c>
      <c r="I514">
        <v>2</v>
      </c>
      <c r="J514" s="4">
        <v>17349.669999999998</v>
      </c>
      <c r="K514" s="5">
        <v>0.05</v>
      </c>
      <c r="L514" s="4">
        <v>10507.24</v>
      </c>
      <c r="M514" t="s">
        <v>42</v>
      </c>
      <c r="N514" t="s">
        <v>52</v>
      </c>
      <c r="O514">
        <f>IF(TablaVentas[[#This Row],[Precio_unitario]]="","PENDIENTE",TablaVentas[[#This Row],[Unidades]]*TablaVentas[[#This Row],[Precio_unitario]]*(1-TablaVentas[[#This Row],[Descuento_pct]]))</f>
        <v>32964.372999999992</v>
      </c>
      <c r="P514">
        <f>IF(TablaVentas[[#This Row],[Costo_unitario]]="","PENDIENTE",TablaVentas[[#This Row],[Unidades]]*TablaVentas[[#This Row],[Costo_unitario]])</f>
        <v>21014.48</v>
      </c>
      <c r="Q514">
        <f>IF(OR(TablaVentas[[#This Row],[Ingreso_neto]]="PENDIENTE",TablaVentas[[#This Row],[Costo_total]]="PENDIENTE"),"PENDIENTE",TablaVentas[[#This Row],[Ingreso_neto]]-TablaVentas[[#This Row],[Costo_total]])</f>
        <v>11949.892999999993</v>
      </c>
    </row>
    <row r="515" spans="1:17">
      <c r="A515" t="s">
        <v>531</v>
      </c>
      <c r="B515">
        <v>1</v>
      </c>
      <c r="C515" s="3">
        <v>46199</v>
      </c>
      <c r="D515" t="s">
        <v>532</v>
      </c>
      <c r="E515" t="s">
        <v>397</v>
      </c>
      <c r="F515" t="s">
        <v>77</v>
      </c>
      <c r="G515" t="s">
        <v>40</v>
      </c>
      <c r="H515" t="s">
        <v>58</v>
      </c>
      <c r="I515">
        <v>2</v>
      </c>
      <c r="J515" s="4">
        <v>6413.68</v>
      </c>
      <c r="K515" s="5">
        <v>0</v>
      </c>
      <c r="L515" s="4">
        <v>3640.56</v>
      </c>
      <c r="M515" t="s">
        <v>42</v>
      </c>
      <c r="N515" t="s">
        <v>60</v>
      </c>
      <c r="O515">
        <f>IF(TablaVentas[[#This Row],[Precio_unitario]]="","PENDIENTE",TablaVentas[[#This Row],[Unidades]]*TablaVentas[[#This Row],[Precio_unitario]]*(1-TablaVentas[[#This Row],[Descuento_pct]]))</f>
        <v>12827.36</v>
      </c>
      <c r="P515">
        <f>IF(TablaVentas[[#This Row],[Costo_unitario]]="","PENDIENTE",TablaVentas[[#This Row],[Unidades]]*TablaVentas[[#This Row],[Costo_unitario]])</f>
        <v>7281.12</v>
      </c>
      <c r="Q515">
        <f>IF(OR(TablaVentas[[#This Row],[Ingreso_neto]]="PENDIENTE",TablaVentas[[#This Row],[Costo_total]]="PENDIENTE"),"PENDIENTE",TablaVentas[[#This Row],[Ingreso_neto]]-TablaVentas[[#This Row],[Costo_total]])</f>
        <v>5546.2400000000007</v>
      </c>
    </row>
    <row r="516" spans="1:17">
      <c r="A516" t="s">
        <v>531</v>
      </c>
      <c r="B516">
        <v>2</v>
      </c>
      <c r="C516" s="3">
        <v>46199</v>
      </c>
      <c r="D516" t="s">
        <v>532</v>
      </c>
      <c r="E516" t="s">
        <v>271</v>
      </c>
      <c r="F516" t="s">
        <v>77</v>
      </c>
      <c r="G516" t="s">
        <v>40</v>
      </c>
      <c r="H516" t="s">
        <v>58</v>
      </c>
      <c r="I516">
        <v>1</v>
      </c>
      <c r="J516" s="4">
        <v>1039.21</v>
      </c>
      <c r="K516" s="5">
        <v>0</v>
      </c>
      <c r="L516" s="4">
        <v>759.03</v>
      </c>
      <c r="M516" t="s">
        <v>42</v>
      </c>
      <c r="N516" t="s">
        <v>43</v>
      </c>
      <c r="O516">
        <f>IF(TablaVentas[[#This Row],[Precio_unitario]]="","PENDIENTE",TablaVentas[[#This Row],[Unidades]]*TablaVentas[[#This Row],[Precio_unitario]]*(1-TablaVentas[[#This Row],[Descuento_pct]]))</f>
        <v>1039.21</v>
      </c>
      <c r="P516">
        <f>IF(TablaVentas[[#This Row],[Costo_unitario]]="","PENDIENTE",TablaVentas[[#This Row],[Unidades]]*TablaVentas[[#This Row],[Costo_unitario]])</f>
        <v>759.03</v>
      </c>
      <c r="Q516">
        <f>IF(OR(TablaVentas[[#This Row],[Ingreso_neto]]="PENDIENTE",TablaVentas[[#This Row],[Costo_total]]="PENDIENTE"),"PENDIENTE",TablaVentas[[#This Row],[Ingreso_neto]]-TablaVentas[[#This Row],[Costo_total]])</f>
        <v>280.18000000000006</v>
      </c>
    </row>
    <row r="517" spans="1:17">
      <c r="A517" t="s">
        <v>533</v>
      </c>
      <c r="B517">
        <v>1</v>
      </c>
      <c r="C517" s="3">
        <v>46186</v>
      </c>
      <c r="D517" t="s">
        <v>534</v>
      </c>
      <c r="E517" t="s">
        <v>101</v>
      </c>
      <c r="F517" t="s">
        <v>77</v>
      </c>
      <c r="G517" t="s">
        <v>40</v>
      </c>
      <c r="H517" t="s">
        <v>51</v>
      </c>
      <c r="I517">
        <v>1</v>
      </c>
      <c r="J517" s="4">
        <v>4851.34</v>
      </c>
      <c r="K517" s="5">
        <v>0</v>
      </c>
      <c r="L517" s="4">
        <v>2865.24</v>
      </c>
      <c r="M517" t="s">
        <v>42</v>
      </c>
      <c r="N517" t="s">
        <v>45</v>
      </c>
      <c r="O517">
        <f>IF(TablaVentas[[#This Row],[Precio_unitario]]="","PENDIENTE",TablaVentas[[#This Row],[Unidades]]*TablaVentas[[#This Row],[Precio_unitario]]*(1-TablaVentas[[#This Row],[Descuento_pct]]))</f>
        <v>4851.34</v>
      </c>
      <c r="P517">
        <f>IF(TablaVentas[[#This Row],[Costo_unitario]]="","PENDIENTE",TablaVentas[[#This Row],[Unidades]]*TablaVentas[[#This Row],[Costo_unitario]])</f>
        <v>2865.24</v>
      </c>
      <c r="Q517">
        <f>IF(OR(TablaVentas[[#This Row],[Ingreso_neto]]="PENDIENTE",TablaVentas[[#This Row],[Costo_total]]="PENDIENTE"),"PENDIENTE",TablaVentas[[#This Row],[Ingreso_neto]]-TablaVentas[[#This Row],[Costo_total]])</f>
        <v>1986.1000000000004</v>
      </c>
    </row>
    <row r="518" spans="1:17">
      <c r="A518" t="s">
        <v>533</v>
      </c>
      <c r="B518">
        <v>2</v>
      </c>
      <c r="C518" s="3">
        <v>46186</v>
      </c>
      <c r="D518" t="s">
        <v>534</v>
      </c>
      <c r="E518" t="s">
        <v>55</v>
      </c>
      <c r="F518" t="s">
        <v>77</v>
      </c>
      <c r="G518" t="s">
        <v>40</v>
      </c>
      <c r="H518" t="s">
        <v>51</v>
      </c>
      <c r="I518">
        <v>2</v>
      </c>
      <c r="J518" s="4">
        <v>12020.74</v>
      </c>
      <c r="K518" s="5">
        <v>0.1</v>
      </c>
      <c r="L518" s="4">
        <v>6407.85</v>
      </c>
      <c r="M518" t="s">
        <v>42</v>
      </c>
      <c r="N518" t="s">
        <v>43</v>
      </c>
      <c r="O518">
        <f>IF(TablaVentas[[#This Row],[Precio_unitario]]="","PENDIENTE",TablaVentas[[#This Row],[Unidades]]*TablaVentas[[#This Row],[Precio_unitario]]*(1-TablaVentas[[#This Row],[Descuento_pct]]))</f>
        <v>21637.331999999999</v>
      </c>
      <c r="P518">
        <f>IF(TablaVentas[[#This Row],[Costo_unitario]]="","PENDIENTE",TablaVentas[[#This Row],[Unidades]]*TablaVentas[[#This Row],[Costo_unitario]])</f>
        <v>12815.7</v>
      </c>
      <c r="Q518">
        <f>IF(OR(TablaVentas[[#This Row],[Ingreso_neto]]="PENDIENTE",TablaVentas[[#This Row],[Costo_total]]="PENDIENTE"),"PENDIENTE",TablaVentas[[#This Row],[Ingreso_neto]]-TablaVentas[[#This Row],[Costo_total]])</f>
        <v>8821.6319999999978</v>
      </c>
    </row>
    <row r="519" spans="1:17">
      <c r="A519" t="s">
        <v>533</v>
      </c>
      <c r="B519">
        <v>3</v>
      </c>
      <c r="C519" s="3">
        <v>46186</v>
      </c>
      <c r="D519" t="s">
        <v>534</v>
      </c>
      <c r="E519" t="s">
        <v>245</v>
      </c>
      <c r="F519" t="s">
        <v>77</v>
      </c>
      <c r="G519" t="s">
        <v>40</v>
      </c>
      <c r="H519" t="s">
        <v>51</v>
      </c>
      <c r="I519">
        <v>2</v>
      </c>
      <c r="J519" s="4">
        <v>19577.419999999998</v>
      </c>
      <c r="K519" s="5">
        <v>0</v>
      </c>
      <c r="L519" s="4">
        <v>10507.24</v>
      </c>
      <c r="M519" t="s">
        <v>42</v>
      </c>
      <c r="N519" t="s">
        <v>45</v>
      </c>
      <c r="O519">
        <f>IF(TablaVentas[[#This Row],[Precio_unitario]]="","PENDIENTE",TablaVentas[[#This Row],[Unidades]]*TablaVentas[[#This Row],[Precio_unitario]]*(1-TablaVentas[[#This Row],[Descuento_pct]]))</f>
        <v>39154.839999999997</v>
      </c>
      <c r="P519">
        <f>IF(TablaVentas[[#This Row],[Costo_unitario]]="","PENDIENTE",TablaVentas[[#This Row],[Unidades]]*TablaVentas[[#This Row],[Costo_unitario]])</f>
        <v>21014.48</v>
      </c>
      <c r="Q519">
        <f>IF(OR(TablaVentas[[#This Row],[Ingreso_neto]]="PENDIENTE",TablaVentas[[#This Row],[Costo_total]]="PENDIENTE"),"PENDIENTE",TablaVentas[[#This Row],[Ingreso_neto]]-TablaVentas[[#This Row],[Costo_total]])</f>
        <v>18140.359999999997</v>
      </c>
    </row>
    <row r="520" spans="1:17">
      <c r="A520" t="s">
        <v>535</v>
      </c>
      <c r="B520">
        <v>1</v>
      </c>
      <c r="C520" s="3">
        <v>46058</v>
      </c>
      <c r="D520" t="s">
        <v>536</v>
      </c>
      <c r="E520" t="s">
        <v>226</v>
      </c>
      <c r="F520" t="s">
        <v>39</v>
      </c>
      <c r="G520" t="s">
        <v>40</v>
      </c>
      <c r="H520" t="s">
        <v>51</v>
      </c>
      <c r="I520">
        <v>8</v>
      </c>
      <c r="J520" s="4">
        <v>16682.21</v>
      </c>
      <c r="K520" s="5">
        <v>0.05</v>
      </c>
      <c r="L520" s="4">
        <v>9976.68</v>
      </c>
      <c r="M520" t="s">
        <v>62</v>
      </c>
      <c r="N520" t="s">
        <v>60</v>
      </c>
      <c r="O520">
        <f>IF(TablaVentas[[#This Row],[Precio_unitario]]="","PENDIENTE",TablaVentas[[#This Row],[Unidades]]*TablaVentas[[#This Row],[Precio_unitario]]*(1-TablaVentas[[#This Row],[Descuento_pct]]))</f>
        <v>126784.79599999999</v>
      </c>
      <c r="P520">
        <f>IF(TablaVentas[[#This Row],[Costo_unitario]]="","PENDIENTE",TablaVentas[[#This Row],[Unidades]]*TablaVentas[[#This Row],[Costo_unitario]])</f>
        <v>79813.440000000002</v>
      </c>
      <c r="Q520">
        <f>IF(OR(TablaVentas[[#This Row],[Ingreso_neto]]="PENDIENTE",TablaVentas[[#This Row],[Costo_total]]="PENDIENTE"),"PENDIENTE",TablaVentas[[#This Row],[Ingreso_neto]]-TablaVentas[[#This Row],[Costo_total]])</f>
        <v>46971.355999999985</v>
      </c>
    </row>
    <row r="521" spans="1:17">
      <c r="A521" t="s">
        <v>535</v>
      </c>
      <c r="B521">
        <v>2</v>
      </c>
      <c r="C521" s="3">
        <v>46058</v>
      </c>
      <c r="D521" t="s">
        <v>536</v>
      </c>
      <c r="E521" t="s">
        <v>537</v>
      </c>
      <c r="F521" t="s">
        <v>39</v>
      </c>
      <c r="G521" t="s">
        <v>40</v>
      </c>
      <c r="H521" t="s">
        <v>51</v>
      </c>
      <c r="I521">
        <v>1</v>
      </c>
      <c r="J521" s="4">
        <v>5823.53</v>
      </c>
      <c r="K521" s="5">
        <v>0</v>
      </c>
      <c r="L521" s="4">
        <v>4556.2299999999996</v>
      </c>
      <c r="M521" t="s">
        <v>116</v>
      </c>
      <c r="N521" t="s">
        <v>60</v>
      </c>
      <c r="O521">
        <f>IF(TablaVentas[[#This Row],[Precio_unitario]]="","PENDIENTE",TablaVentas[[#This Row],[Unidades]]*TablaVentas[[#This Row],[Precio_unitario]]*(1-TablaVentas[[#This Row],[Descuento_pct]]))</f>
        <v>5823.53</v>
      </c>
      <c r="P521">
        <f>IF(TablaVentas[[#This Row],[Costo_unitario]]="","PENDIENTE",TablaVentas[[#This Row],[Unidades]]*TablaVentas[[#This Row],[Costo_unitario]])</f>
        <v>4556.2299999999996</v>
      </c>
      <c r="Q521">
        <f>IF(OR(TablaVentas[[#This Row],[Ingreso_neto]]="PENDIENTE",TablaVentas[[#This Row],[Costo_total]]="PENDIENTE"),"PENDIENTE",TablaVentas[[#This Row],[Ingreso_neto]]-TablaVentas[[#This Row],[Costo_total]])</f>
        <v>1267.3000000000002</v>
      </c>
    </row>
    <row r="522" spans="1:17">
      <c r="A522" t="s">
        <v>535</v>
      </c>
      <c r="B522">
        <v>3</v>
      </c>
      <c r="C522" s="3">
        <v>46058</v>
      </c>
      <c r="D522" t="s">
        <v>536</v>
      </c>
      <c r="E522" t="s">
        <v>320</v>
      </c>
      <c r="F522" t="s">
        <v>39</v>
      </c>
      <c r="G522" t="s">
        <v>40</v>
      </c>
      <c r="H522" t="s">
        <v>51</v>
      </c>
      <c r="I522">
        <v>3</v>
      </c>
      <c r="J522" s="4">
        <v>4490.91</v>
      </c>
      <c r="K522" s="5">
        <v>0</v>
      </c>
      <c r="L522" s="4">
        <v>3065.66</v>
      </c>
      <c r="M522" t="s">
        <v>42</v>
      </c>
      <c r="N522" t="s">
        <v>45</v>
      </c>
      <c r="O522">
        <f>IF(TablaVentas[[#This Row],[Precio_unitario]]="","PENDIENTE",TablaVentas[[#This Row],[Unidades]]*TablaVentas[[#This Row],[Precio_unitario]]*(1-TablaVentas[[#This Row],[Descuento_pct]]))</f>
        <v>13472.73</v>
      </c>
      <c r="P522">
        <f>IF(TablaVentas[[#This Row],[Costo_unitario]]="","PENDIENTE",TablaVentas[[#This Row],[Unidades]]*TablaVentas[[#This Row],[Costo_unitario]])</f>
        <v>9196.98</v>
      </c>
      <c r="Q522">
        <f>IF(OR(TablaVentas[[#This Row],[Ingreso_neto]]="PENDIENTE",TablaVentas[[#This Row],[Costo_total]]="PENDIENTE"),"PENDIENTE",TablaVentas[[#This Row],[Ingreso_neto]]-TablaVentas[[#This Row],[Costo_total]])</f>
        <v>4275.75</v>
      </c>
    </row>
    <row r="523" spans="1:17">
      <c r="A523" t="s">
        <v>535</v>
      </c>
      <c r="B523">
        <v>4</v>
      </c>
      <c r="C523" s="3">
        <v>46058</v>
      </c>
      <c r="D523" t="s">
        <v>536</v>
      </c>
      <c r="E523" t="s">
        <v>49</v>
      </c>
      <c r="F523" t="s">
        <v>39</v>
      </c>
      <c r="G523" t="s">
        <v>40</v>
      </c>
      <c r="H523" t="s">
        <v>51</v>
      </c>
      <c r="I523">
        <v>8</v>
      </c>
      <c r="J523" s="4">
        <v>3757.33</v>
      </c>
      <c r="K523" s="5">
        <v>0</v>
      </c>
      <c r="L523" s="4">
        <v>2950.52</v>
      </c>
      <c r="M523" t="s">
        <v>42</v>
      </c>
      <c r="N523" t="s">
        <v>45</v>
      </c>
      <c r="O523">
        <f>IF(TablaVentas[[#This Row],[Precio_unitario]]="","PENDIENTE",TablaVentas[[#This Row],[Unidades]]*TablaVentas[[#This Row],[Precio_unitario]]*(1-TablaVentas[[#This Row],[Descuento_pct]]))</f>
        <v>30058.639999999999</v>
      </c>
      <c r="P523">
        <f>IF(TablaVentas[[#This Row],[Costo_unitario]]="","PENDIENTE",TablaVentas[[#This Row],[Unidades]]*TablaVentas[[#This Row],[Costo_unitario]])</f>
        <v>23604.16</v>
      </c>
      <c r="Q523">
        <f>IF(OR(TablaVentas[[#This Row],[Ingreso_neto]]="PENDIENTE",TablaVentas[[#This Row],[Costo_total]]="PENDIENTE"),"PENDIENTE",TablaVentas[[#This Row],[Ingreso_neto]]-TablaVentas[[#This Row],[Costo_total]])</f>
        <v>6454.48</v>
      </c>
    </row>
    <row r="524" spans="1:17">
      <c r="A524" t="s">
        <v>538</v>
      </c>
      <c r="B524">
        <v>1</v>
      </c>
      <c r="C524" s="3">
        <v>46027</v>
      </c>
      <c r="D524" t="s">
        <v>96</v>
      </c>
      <c r="E524" t="s">
        <v>109</v>
      </c>
      <c r="F524" t="s">
        <v>56</v>
      </c>
      <c r="G524" t="s">
        <v>50</v>
      </c>
      <c r="H524" t="s">
        <v>124</v>
      </c>
      <c r="I524">
        <v>4</v>
      </c>
      <c r="J524" s="4">
        <v>15967.28</v>
      </c>
      <c r="K524" s="5">
        <v>0</v>
      </c>
      <c r="L524" s="4">
        <v>9880.77</v>
      </c>
      <c r="M524" t="s">
        <v>42</v>
      </c>
      <c r="N524" t="s">
        <v>45</v>
      </c>
      <c r="O524">
        <f>IF(TablaVentas[[#This Row],[Precio_unitario]]="","PENDIENTE",TablaVentas[[#This Row],[Unidades]]*TablaVentas[[#This Row],[Precio_unitario]]*(1-TablaVentas[[#This Row],[Descuento_pct]]))</f>
        <v>63869.120000000003</v>
      </c>
      <c r="P524">
        <f>IF(TablaVentas[[#This Row],[Costo_unitario]]="","PENDIENTE",TablaVentas[[#This Row],[Unidades]]*TablaVentas[[#This Row],[Costo_unitario]])</f>
        <v>39523.08</v>
      </c>
      <c r="Q524">
        <f>IF(OR(TablaVentas[[#This Row],[Ingreso_neto]]="PENDIENTE",TablaVentas[[#This Row],[Costo_total]]="PENDIENTE"),"PENDIENTE",TablaVentas[[#This Row],[Ingreso_neto]]-TablaVentas[[#This Row],[Costo_total]])</f>
        <v>24346.04</v>
      </c>
    </row>
    <row r="525" spans="1:17">
      <c r="A525" t="s">
        <v>538</v>
      </c>
      <c r="B525">
        <v>2</v>
      </c>
      <c r="C525" s="3">
        <v>46027</v>
      </c>
      <c r="D525" t="s">
        <v>96</v>
      </c>
      <c r="E525" t="s">
        <v>144</v>
      </c>
      <c r="F525" t="s">
        <v>56</v>
      </c>
      <c r="G525" t="s">
        <v>50</v>
      </c>
      <c r="H525" t="s">
        <v>124</v>
      </c>
      <c r="I525">
        <v>2</v>
      </c>
      <c r="J525" s="4">
        <v>9324.98</v>
      </c>
      <c r="K525" s="5">
        <v>0</v>
      </c>
      <c r="L525" s="4">
        <v>5125.3599999999997</v>
      </c>
      <c r="M525" t="s">
        <v>42</v>
      </c>
      <c r="N525" t="s">
        <v>43</v>
      </c>
      <c r="O525">
        <f>IF(TablaVentas[[#This Row],[Precio_unitario]]="","PENDIENTE",TablaVentas[[#This Row],[Unidades]]*TablaVentas[[#This Row],[Precio_unitario]]*(1-TablaVentas[[#This Row],[Descuento_pct]]))</f>
        <v>18649.96</v>
      </c>
      <c r="P525">
        <f>IF(TablaVentas[[#This Row],[Costo_unitario]]="","PENDIENTE",TablaVentas[[#This Row],[Unidades]]*TablaVentas[[#This Row],[Costo_unitario]])</f>
        <v>10250.719999999999</v>
      </c>
      <c r="Q525">
        <f>IF(OR(TablaVentas[[#This Row],[Ingreso_neto]]="PENDIENTE",TablaVentas[[#This Row],[Costo_total]]="PENDIENTE"),"PENDIENTE",TablaVentas[[#This Row],[Ingreso_neto]]-TablaVentas[[#This Row],[Costo_total]])</f>
        <v>8399.24</v>
      </c>
    </row>
    <row r="526" spans="1:17">
      <c r="A526" t="s">
        <v>538</v>
      </c>
      <c r="B526">
        <v>3</v>
      </c>
      <c r="C526" s="3">
        <v>46027</v>
      </c>
      <c r="D526" t="s">
        <v>96</v>
      </c>
      <c r="E526" t="s">
        <v>335</v>
      </c>
      <c r="F526" t="s">
        <v>56</v>
      </c>
      <c r="G526" t="s">
        <v>50</v>
      </c>
      <c r="H526" t="s">
        <v>124</v>
      </c>
      <c r="I526">
        <v>2</v>
      </c>
      <c r="J526" s="4">
        <v>6910.34</v>
      </c>
      <c r="K526" s="5">
        <v>0.15</v>
      </c>
      <c r="L526" s="4">
        <v>5587.31</v>
      </c>
      <c r="M526" t="s">
        <v>42</v>
      </c>
      <c r="N526" t="s">
        <v>43</v>
      </c>
      <c r="O526">
        <f>IF(TablaVentas[[#This Row],[Precio_unitario]]="","PENDIENTE",TablaVentas[[#This Row],[Unidades]]*TablaVentas[[#This Row],[Precio_unitario]]*(1-TablaVentas[[#This Row],[Descuento_pct]]))</f>
        <v>11747.578</v>
      </c>
      <c r="P526">
        <f>IF(TablaVentas[[#This Row],[Costo_unitario]]="","PENDIENTE",TablaVentas[[#This Row],[Unidades]]*TablaVentas[[#This Row],[Costo_unitario]])</f>
        <v>11174.62</v>
      </c>
      <c r="Q526">
        <f>IF(OR(TablaVentas[[#This Row],[Ingreso_neto]]="PENDIENTE",TablaVentas[[#This Row],[Costo_total]]="PENDIENTE"),"PENDIENTE",TablaVentas[[#This Row],[Ingreso_neto]]-TablaVentas[[#This Row],[Costo_total]])</f>
        <v>572.95799999999872</v>
      </c>
    </row>
    <row r="527" spans="1:17">
      <c r="A527" t="s">
        <v>538</v>
      </c>
      <c r="B527">
        <v>4</v>
      </c>
      <c r="C527" s="3">
        <v>46027</v>
      </c>
      <c r="D527" t="s">
        <v>96</v>
      </c>
      <c r="E527" t="s">
        <v>81</v>
      </c>
      <c r="F527" t="s">
        <v>56</v>
      </c>
      <c r="G527" t="s">
        <v>50</v>
      </c>
      <c r="H527" t="s">
        <v>124</v>
      </c>
      <c r="I527">
        <v>4</v>
      </c>
      <c r="J527" s="4">
        <v>16574.05</v>
      </c>
      <c r="K527" s="5">
        <v>0</v>
      </c>
      <c r="L527" s="4">
        <v>11614.87</v>
      </c>
      <c r="M527" t="s">
        <v>42</v>
      </c>
      <c r="N527" t="s">
        <v>45</v>
      </c>
      <c r="O527">
        <f>IF(TablaVentas[[#This Row],[Precio_unitario]]="","PENDIENTE",TablaVentas[[#This Row],[Unidades]]*TablaVentas[[#This Row],[Precio_unitario]]*(1-TablaVentas[[#This Row],[Descuento_pct]]))</f>
        <v>66296.2</v>
      </c>
      <c r="P527">
        <f>IF(TablaVentas[[#This Row],[Costo_unitario]]="","PENDIENTE",TablaVentas[[#This Row],[Unidades]]*TablaVentas[[#This Row],[Costo_unitario]])</f>
        <v>46459.48</v>
      </c>
      <c r="Q527">
        <f>IF(OR(TablaVentas[[#This Row],[Ingreso_neto]]="PENDIENTE",TablaVentas[[#This Row],[Costo_total]]="PENDIENTE"),"PENDIENTE",TablaVentas[[#This Row],[Ingreso_neto]]-TablaVentas[[#This Row],[Costo_total]])</f>
        <v>19836.719999999994</v>
      </c>
    </row>
    <row r="528" spans="1:17">
      <c r="A528" t="s">
        <v>538</v>
      </c>
      <c r="B528">
        <v>5</v>
      </c>
      <c r="C528" s="3">
        <v>46027</v>
      </c>
      <c r="D528" t="s">
        <v>96</v>
      </c>
      <c r="E528" t="s">
        <v>208</v>
      </c>
      <c r="F528" t="s">
        <v>56</v>
      </c>
      <c r="G528" t="s">
        <v>50</v>
      </c>
      <c r="H528" t="s">
        <v>124</v>
      </c>
      <c r="I528">
        <v>1</v>
      </c>
      <c r="J528" s="4">
        <v>10607.85</v>
      </c>
      <c r="K528" s="5">
        <v>0</v>
      </c>
      <c r="L528" s="4">
        <v>5535.31</v>
      </c>
      <c r="M528" t="s">
        <v>42</v>
      </c>
      <c r="N528" t="s">
        <v>43</v>
      </c>
      <c r="O528">
        <f>IF(TablaVentas[[#This Row],[Precio_unitario]]="","PENDIENTE",TablaVentas[[#This Row],[Unidades]]*TablaVentas[[#This Row],[Precio_unitario]]*(1-TablaVentas[[#This Row],[Descuento_pct]]))</f>
        <v>10607.85</v>
      </c>
      <c r="P528">
        <f>IF(TablaVentas[[#This Row],[Costo_unitario]]="","PENDIENTE",TablaVentas[[#This Row],[Unidades]]*TablaVentas[[#This Row],[Costo_unitario]])</f>
        <v>5535.31</v>
      </c>
      <c r="Q528">
        <f>IF(OR(TablaVentas[[#This Row],[Ingreso_neto]]="PENDIENTE",TablaVentas[[#This Row],[Costo_total]]="PENDIENTE"),"PENDIENTE",TablaVentas[[#This Row],[Ingreso_neto]]-TablaVentas[[#This Row],[Costo_total]])</f>
        <v>5072.54</v>
      </c>
    </row>
    <row r="529" spans="1:17">
      <c r="A529" t="s">
        <v>539</v>
      </c>
      <c r="B529">
        <v>1</v>
      </c>
      <c r="C529" s="3">
        <v>46213</v>
      </c>
      <c r="D529" t="s">
        <v>540</v>
      </c>
      <c r="E529" t="s">
        <v>38</v>
      </c>
      <c r="F529" t="s">
        <v>77</v>
      </c>
      <c r="G529" t="s">
        <v>50</v>
      </c>
      <c r="H529" t="s">
        <v>41</v>
      </c>
      <c r="I529">
        <v>3</v>
      </c>
      <c r="J529" s="4">
        <v>6145.87</v>
      </c>
      <c r="K529" s="5">
        <v>0.15</v>
      </c>
      <c r="L529" s="4">
        <v>3832.69</v>
      </c>
      <c r="M529" t="s">
        <v>42</v>
      </c>
      <c r="N529" t="s">
        <v>60</v>
      </c>
      <c r="O529">
        <f>IF(TablaVentas[[#This Row],[Precio_unitario]]="","PENDIENTE",TablaVentas[[#This Row],[Unidades]]*TablaVentas[[#This Row],[Precio_unitario]]*(1-TablaVentas[[#This Row],[Descuento_pct]]))</f>
        <v>15671.968500000001</v>
      </c>
      <c r="P529">
        <f>IF(TablaVentas[[#This Row],[Costo_unitario]]="","PENDIENTE",TablaVentas[[#This Row],[Unidades]]*TablaVentas[[#This Row],[Costo_unitario]])</f>
        <v>11498.07</v>
      </c>
      <c r="Q529">
        <f>IF(OR(TablaVentas[[#This Row],[Ingreso_neto]]="PENDIENTE",TablaVentas[[#This Row],[Costo_total]]="PENDIENTE"),"PENDIENTE",TablaVentas[[#This Row],[Ingreso_neto]]-TablaVentas[[#This Row],[Costo_total]])</f>
        <v>4173.8985000000011</v>
      </c>
    </row>
    <row r="530" spans="1:17">
      <c r="A530" t="s">
        <v>539</v>
      </c>
      <c r="B530">
        <v>2</v>
      </c>
      <c r="C530" s="3">
        <v>46213</v>
      </c>
      <c r="D530" t="s">
        <v>540</v>
      </c>
      <c r="E530" t="s">
        <v>262</v>
      </c>
      <c r="F530" t="s">
        <v>77</v>
      </c>
      <c r="G530" t="s">
        <v>50</v>
      </c>
      <c r="H530" t="s">
        <v>41</v>
      </c>
      <c r="I530">
        <v>1</v>
      </c>
      <c r="J530" s="4">
        <v>12509.84</v>
      </c>
      <c r="K530" s="5">
        <v>0</v>
      </c>
      <c r="L530" s="4">
        <v>8227.4599999999991</v>
      </c>
      <c r="M530" t="s">
        <v>42</v>
      </c>
      <c r="N530" t="s">
        <v>60</v>
      </c>
      <c r="O530">
        <f>IF(TablaVentas[[#This Row],[Precio_unitario]]="","PENDIENTE",TablaVentas[[#This Row],[Unidades]]*TablaVentas[[#This Row],[Precio_unitario]]*(1-TablaVentas[[#This Row],[Descuento_pct]]))</f>
        <v>12509.84</v>
      </c>
      <c r="P530">
        <f>IF(TablaVentas[[#This Row],[Costo_unitario]]="","PENDIENTE",TablaVentas[[#This Row],[Unidades]]*TablaVentas[[#This Row],[Costo_unitario]])</f>
        <v>8227.4599999999991</v>
      </c>
      <c r="Q530">
        <f>IF(OR(TablaVentas[[#This Row],[Ingreso_neto]]="PENDIENTE",TablaVentas[[#This Row],[Costo_total]]="PENDIENTE"),"PENDIENTE",TablaVentas[[#This Row],[Ingreso_neto]]-TablaVentas[[#This Row],[Costo_total]])</f>
        <v>4282.380000000001</v>
      </c>
    </row>
    <row r="531" spans="1:17">
      <c r="A531" t="s">
        <v>539</v>
      </c>
      <c r="B531">
        <v>3</v>
      </c>
      <c r="C531" s="3">
        <v>46213</v>
      </c>
      <c r="D531" t="s">
        <v>540</v>
      </c>
      <c r="E531" t="s">
        <v>55</v>
      </c>
      <c r="F531" t="s">
        <v>77</v>
      </c>
      <c r="G531" t="s">
        <v>50</v>
      </c>
      <c r="H531" t="s">
        <v>41</v>
      </c>
      <c r="I531">
        <v>2</v>
      </c>
      <c r="J531" s="4">
        <v>11613.82</v>
      </c>
      <c r="K531" s="5">
        <v>0</v>
      </c>
      <c r="L531" s="4">
        <v>6407.85</v>
      </c>
      <c r="M531" t="s">
        <v>42</v>
      </c>
      <c r="N531" t="s">
        <v>45</v>
      </c>
      <c r="O531">
        <f>IF(TablaVentas[[#This Row],[Precio_unitario]]="","PENDIENTE",TablaVentas[[#This Row],[Unidades]]*TablaVentas[[#This Row],[Precio_unitario]]*(1-TablaVentas[[#This Row],[Descuento_pct]]))</f>
        <v>23227.64</v>
      </c>
      <c r="P531">
        <f>IF(TablaVentas[[#This Row],[Costo_unitario]]="","PENDIENTE",TablaVentas[[#This Row],[Unidades]]*TablaVentas[[#This Row],[Costo_unitario]])</f>
        <v>12815.7</v>
      </c>
      <c r="Q531">
        <f>IF(OR(TablaVentas[[#This Row],[Ingreso_neto]]="PENDIENTE",TablaVentas[[#This Row],[Costo_total]]="PENDIENTE"),"PENDIENTE",TablaVentas[[#This Row],[Ingreso_neto]]-TablaVentas[[#This Row],[Costo_total]])</f>
        <v>10411.939999999999</v>
      </c>
    </row>
    <row r="532" spans="1:17">
      <c r="A532" t="s">
        <v>541</v>
      </c>
      <c r="B532">
        <v>1</v>
      </c>
      <c r="C532" s="3">
        <v>46267</v>
      </c>
      <c r="D532" t="s">
        <v>542</v>
      </c>
      <c r="E532" t="s">
        <v>132</v>
      </c>
      <c r="F532" t="s">
        <v>77</v>
      </c>
      <c r="G532" t="s">
        <v>50</v>
      </c>
      <c r="H532" t="s">
        <v>67</v>
      </c>
      <c r="I532">
        <v>5</v>
      </c>
      <c r="J532" s="4">
        <v>17482.650000000001</v>
      </c>
      <c r="K532" s="5">
        <v>0.15</v>
      </c>
      <c r="L532" s="4">
        <v>11036.95</v>
      </c>
      <c r="M532" t="s">
        <v>42</v>
      </c>
      <c r="N532" t="s">
        <v>52</v>
      </c>
      <c r="O532">
        <f>IF(TablaVentas[[#This Row],[Precio_unitario]]="","PENDIENTE",TablaVentas[[#This Row],[Unidades]]*TablaVentas[[#This Row],[Precio_unitario]]*(1-TablaVentas[[#This Row],[Descuento_pct]]))</f>
        <v>74301.262499999997</v>
      </c>
      <c r="P532">
        <f>IF(TablaVentas[[#This Row],[Costo_unitario]]="","PENDIENTE",TablaVentas[[#This Row],[Unidades]]*TablaVentas[[#This Row],[Costo_unitario]])</f>
        <v>55184.75</v>
      </c>
      <c r="Q532">
        <f>IF(OR(TablaVentas[[#This Row],[Ingreso_neto]]="PENDIENTE",TablaVentas[[#This Row],[Costo_total]]="PENDIENTE"),"PENDIENTE",TablaVentas[[#This Row],[Ingreso_neto]]-TablaVentas[[#This Row],[Costo_total]])</f>
        <v>19116.512499999997</v>
      </c>
    </row>
    <row r="533" spans="1:17">
      <c r="A533" t="s">
        <v>541</v>
      </c>
      <c r="B533">
        <v>2</v>
      </c>
      <c r="C533" s="3">
        <v>46267</v>
      </c>
      <c r="D533" t="s">
        <v>542</v>
      </c>
      <c r="E533" t="s">
        <v>94</v>
      </c>
      <c r="F533" t="s">
        <v>77</v>
      </c>
      <c r="G533" t="s">
        <v>50</v>
      </c>
      <c r="H533" t="s">
        <v>67</v>
      </c>
      <c r="I533">
        <v>2</v>
      </c>
      <c r="J533" s="4">
        <v>7371.23</v>
      </c>
      <c r="K533" s="5">
        <v>0.15</v>
      </c>
      <c r="L533" s="4">
        <v>4538.0600000000004</v>
      </c>
      <c r="M533" t="s">
        <v>42</v>
      </c>
      <c r="N533" t="s">
        <v>60</v>
      </c>
      <c r="O533">
        <f>IF(TablaVentas[[#This Row],[Precio_unitario]]="","PENDIENTE",TablaVentas[[#This Row],[Unidades]]*TablaVentas[[#This Row],[Precio_unitario]]*(1-TablaVentas[[#This Row],[Descuento_pct]]))</f>
        <v>12531.090999999999</v>
      </c>
      <c r="P533">
        <f>IF(TablaVentas[[#This Row],[Costo_unitario]]="","PENDIENTE",TablaVentas[[#This Row],[Unidades]]*TablaVentas[[#This Row],[Costo_unitario]])</f>
        <v>9076.1200000000008</v>
      </c>
      <c r="Q533">
        <f>IF(OR(TablaVentas[[#This Row],[Ingreso_neto]]="PENDIENTE",TablaVentas[[#This Row],[Costo_total]]="PENDIENTE"),"PENDIENTE",TablaVentas[[#This Row],[Ingreso_neto]]-TablaVentas[[#This Row],[Costo_total]])</f>
        <v>3454.9709999999977</v>
      </c>
    </row>
    <row r="534" spans="1:17">
      <c r="A534" t="s">
        <v>543</v>
      </c>
      <c r="B534">
        <v>1</v>
      </c>
      <c r="C534" s="3">
        <v>46132</v>
      </c>
      <c r="D534" t="s">
        <v>544</v>
      </c>
      <c r="E534" t="s">
        <v>159</v>
      </c>
      <c r="F534" t="s">
        <v>66</v>
      </c>
      <c r="G534" t="s">
        <v>40</v>
      </c>
      <c r="H534" t="s">
        <v>67</v>
      </c>
      <c r="I534">
        <v>1</v>
      </c>
      <c r="J534" s="4">
        <v>11711.83</v>
      </c>
      <c r="K534" s="5">
        <v>0</v>
      </c>
      <c r="L534" s="4">
        <v>9317.3700000000008</v>
      </c>
      <c r="M534" t="s">
        <v>42</v>
      </c>
      <c r="N534" t="s">
        <v>45</v>
      </c>
      <c r="O534">
        <f>IF(TablaVentas[[#This Row],[Precio_unitario]]="","PENDIENTE",TablaVentas[[#This Row],[Unidades]]*TablaVentas[[#This Row],[Precio_unitario]]*(1-TablaVentas[[#This Row],[Descuento_pct]]))</f>
        <v>11711.83</v>
      </c>
      <c r="P534">
        <f>IF(TablaVentas[[#This Row],[Costo_unitario]]="","PENDIENTE",TablaVentas[[#This Row],[Unidades]]*TablaVentas[[#This Row],[Costo_unitario]])</f>
        <v>9317.3700000000008</v>
      </c>
      <c r="Q534">
        <f>IF(OR(TablaVentas[[#This Row],[Ingreso_neto]]="PENDIENTE",TablaVentas[[#This Row],[Costo_total]]="PENDIENTE"),"PENDIENTE",TablaVentas[[#This Row],[Ingreso_neto]]-TablaVentas[[#This Row],[Costo_total]])</f>
        <v>2394.4599999999991</v>
      </c>
    </row>
    <row r="535" spans="1:17">
      <c r="A535" t="s">
        <v>543</v>
      </c>
      <c r="B535">
        <v>2</v>
      </c>
      <c r="C535" s="3">
        <v>46132</v>
      </c>
      <c r="D535" t="s">
        <v>544</v>
      </c>
      <c r="E535" t="s">
        <v>90</v>
      </c>
      <c r="F535" t="s">
        <v>66</v>
      </c>
      <c r="G535" t="s">
        <v>40</v>
      </c>
      <c r="H535" t="s">
        <v>67</v>
      </c>
      <c r="I535">
        <v>1</v>
      </c>
      <c r="J535" s="4">
        <v>11696.47</v>
      </c>
      <c r="K535" s="5">
        <v>0</v>
      </c>
      <c r="L535" s="4">
        <v>8174.87</v>
      </c>
      <c r="M535" t="s">
        <v>42</v>
      </c>
      <c r="N535" t="s">
        <v>45</v>
      </c>
      <c r="O535">
        <f>IF(TablaVentas[[#This Row],[Precio_unitario]]="","PENDIENTE",TablaVentas[[#This Row],[Unidades]]*TablaVentas[[#This Row],[Precio_unitario]]*(1-TablaVentas[[#This Row],[Descuento_pct]]))</f>
        <v>11696.47</v>
      </c>
      <c r="P535">
        <f>IF(TablaVentas[[#This Row],[Costo_unitario]]="","PENDIENTE",TablaVentas[[#This Row],[Unidades]]*TablaVentas[[#This Row],[Costo_unitario]])</f>
        <v>8174.87</v>
      </c>
      <c r="Q535">
        <f>IF(OR(TablaVentas[[#This Row],[Ingreso_neto]]="PENDIENTE",TablaVentas[[#This Row],[Costo_total]]="PENDIENTE"),"PENDIENTE",TablaVentas[[#This Row],[Ingreso_neto]]-TablaVentas[[#This Row],[Costo_total]])</f>
        <v>3521.5999999999995</v>
      </c>
    </row>
    <row r="536" spans="1:17">
      <c r="A536" t="s">
        <v>545</v>
      </c>
      <c r="B536">
        <v>1</v>
      </c>
      <c r="C536" s="3">
        <v>46251</v>
      </c>
      <c r="D536" t="s">
        <v>546</v>
      </c>
      <c r="E536" t="s">
        <v>151</v>
      </c>
      <c r="F536" t="s">
        <v>66</v>
      </c>
      <c r="G536" t="s">
        <v>40</v>
      </c>
      <c r="H536" t="s">
        <v>124</v>
      </c>
      <c r="I536">
        <v>2</v>
      </c>
      <c r="J536" s="4">
        <v>16891.25</v>
      </c>
      <c r="K536" s="5">
        <v>0.2</v>
      </c>
      <c r="L536" s="4">
        <v>8963.23</v>
      </c>
      <c r="M536" t="s">
        <v>42</v>
      </c>
      <c r="N536" t="s">
        <v>43</v>
      </c>
      <c r="O536">
        <f>IF(TablaVentas[[#This Row],[Precio_unitario]]="","PENDIENTE",TablaVentas[[#This Row],[Unidades]]*TablaVentas[[#This Row],[Precio_unitario]]*(1-TablaVentas[[#This Row],[Descuento_pct]]))</f>
        <v>27026</v>
      </c>
      <c r="P536">
        <f>IF(TablaVentas[[#This Row],[Costo_unitario]]="","PENDIENTE",TablaVentas[[#This Row],[Unidades]]*TablaVentas[[#This Row],[Costo_unitario]])</f>
        <v>17926.46</v>
      </c>
      <c r="Q536">
        <f>IF(OR(TablaVentas[[#This Row],[Ingreso_neto]]="PENDIENTE",TablaVentas[[#This Row],[Costo_total]]="PENDIENTE"),"PENDIENTE",TablaVentas[[#This Row],[Ingreso_neto]]-TablaVentas[[#This Row],[Costo_total]])</f>
        <v>9099.5400000000009</v>
      </c>
    </row>
    <row r="537" spans="1:17">
      <c r="A537" t="s">
        <v>547</v>
      </c>
      <c r="B537">
        <v>1</v>
      </c>
      <c r="C537" s="3">
        <v>46293</v>
      </c>
      <c r="D537" t="s">
        <v>255</v>
      </c>
      <c r="E537" t="s">
        <v>321</v>
      </c>
      <c r="F537" t="s">
        <v>77</v>
      </c>
      <c r="G537" t="s">
        <v>40</v>
      </c>
      <c r="H537" t="s">
        <v>41</v>
      </c>
      <c r="I537">
        <v>1</v>
      </c>
      <c r="J537" s="4">
        <v>1237.7</v>
      </c>
      <c r="K537" s="5">
        <v>0.05</v>
      </c>
      <c r="L537" s="4">
        <v>679.37</v>
      </c>
      <c r="M537" t="s">
        <v>42</v>
      </c>
      <c r="N537" t="s">
        <v>52</v>
      </c>
      <c r="O537">
        <f>IF(TablaVentas[[#This Row],[Precio_unitario]]="","PENDIENTE",TablaVentas[[#This Row],[Unidades]]*TablaVentas[[#This Row],[Precio_unitario]]*(1-TablaVentas[[#This Row],[Descuento_pct]]))</f>
        <v>1175.8150000000001</v>
      </c>
      <c r="P537">
        <f>IF(TablaVentas[[#This Row],[Costo_unitario]]="","PENDIENTE",TablaVentas[[#This Row],[Unidades]]*TablaVentas[[#This Row],[Costo_unitario]])</f>
        <v>679.37</v>
      </c>
      <c r="Q537">
        <f>IF(OR(TablaVentas[[#This Row],[Ingreso_neto]]="PENDIENTE",TablaVentas[[#This Row],[Costo_total]]="PENDIENTE"),"PENDIENTE",TablaVentas[[#This Row],[Ingreso_neto]]-TablaVentas[[#This Row],[Costo_total]])</f>
        <v>496.44500000000005</v>
      </c>
    </row>
    <row r="538" spans="1:17">
      <c r="A538" t="s">
        <v>547</v>
      </c>
      <c r="B538">
        <v>2</v>
      </c>
      <c r="C538" s="3">
        <v>46293</v>
      </c>
      <c r="D538" t="s">
        <v>255</v>
      </c>
      <c r="E538" t="s">
        <v>326</v>
      </c>
      <c r="F538" t="s">
        <v>77</v>
      </c>
      <c r="G538" t="s">
        <v>40</v>
      </c>
      <c r="H538" t="s">
        <v>41</v>
      </c>
      <c r="I538">
        <v>1</v>
      </c>
      <c r="J538" s="4">
        <v>7696.91</v>
      </c>
      <c r="K538" s="5">
        <v>0.15</v>
      </c>
      <c r="L538" s="4">
        <v>4044.16</v>
      </c>
      <c r="M538" t="s">
        <v>42</v>
      </c>
      <c r="N538" t="s">
        <v>45</v>
      </c>
      <c r="O538">
        <f>IF(TablaVentas[[#This Row],[Precio_unitario]]="","PENDIENTE",TablaVentas[[#This Row],[Unidades]]*TablaVentas[[#This Row],[Precio_unitario]]*(1-TablaVentas[[#This Row],[Descuento_pct]]))</f>
        <v>6542.3734999999997</v>
      </c>
      <c r="P538">
        <f>IF(TablaVentas[[#This Row],[Costo_unitario]]="","PENDIENTE",TablaVentas[[#This Row],[Unidades]]*TablaVentas[[#This Row],[Costo_unitario]])</f>
        <v>4044.16</v>
      </c>
      <c r="Q538">
        <f>IF(OR(TablaVentas[[#This Row],[Ingreso_neto]]="PENDIENTE",TablaVentas[[#This Row],[Costo_total]]="PENDIENTE"),"PENDIENTE",TablaVentas[[#This Row],[Ingreso_neto]]-TablaVentas[[#This Row],[Costo_total]])</f>
        <v>2498.2134999999998</v>
      </c>
    </row>
    <row r="539" spans="1:17">
      <c r="A539" t="s">
        <v>548</v>
      </c>
      <c r="B539">
        <v>1</v>
      </c>
      <c r="C539" s="3">
        <v>46026</v>
      </c>
      <c r="D539" t="s">
        <v>438</v>
      </c>
      <c r="E539" t="s">
        <v>125</v>
      </c>
      <c r="F539" t="s">
        <v>66</v>
      </c>
      <c r="G539" t="s">
        <v>40</v>
      </c>
      <c r="H539" t="s">
        <v>58</v>
      </c>
      <c r="I539">
        <v>8</v>
      </c>
      <c r="J539" s="4">
        <v>1569.54</v>
      </c>
      <c r="K539" s="5">
        <v>0</v>
      </c>
      <c r="L539" s="4">
        <v>1044.32</v>
      </c>
      <c r="M539" t="s">
        <v>42</v>
      </c>
      <c r="N539" t="s">
        <v>43</v>
      </c>
      <c r="O539">
        <f>IF(TablaVentas[[#This Row],[Precio_unitario]]="","PENDIENTE",TablaVentas[[#This Row],[Unidades]]*TablaVentas[[#This Row],[Precio_unitario]]*(1-TablaVentas[[#This Row],[Descuento_pct]]))</f>
        <v>12556.32</v>
      </c>
      <c r="P539">
        <f>IF(TablaVentas[[#This Row],[Costo_unitario]]="","PENDIENTE",TablaVentas[[#This Row],[Unidades]]*TablaVentas[[#This Row],[Costo_unitario]])</f>
        <v>8354.56</v>
      </c>
      <c r="Q539">
        <f>IF(OR(TablaVentas[[#This Row],[Ingreso_neto]]="PENDIENTE",TablaVentas[[#This Row],[Costo_total]]="PENDIENTE"),"PENDIENTE",TablaVentas[[#This Row],[Ingreso_neto]]-TablaVentas[[#This Row],[Costo_total]])</f>
        <v>4201.76</v>
      </c>
    </row>
    <row r="540" spans="1:17">
      <c r="A540" t="s">
        <v>548</v>
      </c>
      <c r="B540">
        <v>2</v>
      </c>
      <c r="C540" s="3">
        <v>46026</v>
      </c>
      <c r="D540" t="s">
        <v>438</v>
      </c>
      <c r="E540" t="s">
        <v>346</v>
      </c>
      <c r="F540" t="s">
        <v>66</v>
      </c>
      <c r="G540" t="s">
        <v>40</v>
      </c>
      <c r="H540" t="s">
        <v>58</v>
      </c>
      <c r="I540">
        <v>1</v>
      </c>
      <c r="J540" s="4">
        <v>2176.94</v>
      </c>
      <c r="K540" s="5">
        <v>0.2</v>
      </c>
      <c r="L540" s="4">
        <v>1175.74</v>
      </c>
      <c r="M540" t="s">
        <v>42</v>
      </c>
      <c r="N540" t="s">
        <v>60</v>
      </c>
      <c r="O540">
        <f>IF(TablaVentas[[#This Row],[Precio_unitario]]="","PENDIENTE",TablaVentas[[#This Row],[Unidades]]*TablaVentas[[#This Row],[Precio_unitario]]*(1-TablaVentas[[#This Row],[Descuento_pct]]))</f>
        <v>1741.5520000000001</v>
      </c>
      <c r="P540">
        <f>IF(TablaVentas[[#This Row],[Costo_unitario]]="","PENDIENTE",TablaVentas[[#This Row],[Unidades]]*TablaVentas[[#This Row],[Costo_unitario]])</f>
        <v>1175.74</v>
      </c>
      <c r="Q540">
        <f>IF(OR(TablaVentas[[#This Row],[Ingreso_neto]]="PENDIENTE",TablaVentas[[#This Row],[Costo_total]]="PENDIENTE"),"PENDIENTE",TablaVentas[[#This Row],[Ingreso_neto]]-TablaVentas[[#This Row],[Costo_total]])</f>
        <v>565.81200000000013</v>
      </c>
    </row>
    <row r="541" spans="1:17">
      <c r="A541" t="s">
        <v>548</v>
      </c>
      <c r="B541">
        <v>3</v>
      </c>
      <c r="C541" s="3">
        <v>46026</v>
      </c>
      <c r="D541" t="s">
        <v>438</v>
      </c>
      <c r="E541" t="s">
        <v>164</v>
      </c>
      <c r="F541" t="s">
        <v>66</v>
      </c>
      <c r="G541" t="s">
        <v>40</v>
      </c>
      <c r="H541" t="s">
        <v>58</v>
      </c>
      <c r="I541">
        <v>1</v>
      </c>
      <c r="J541" s="4">
        <v>5619.43</v>
      </c>
      <c r="K541" s="5">
        <v>0</v>
      </c>
      <c r="L541" s="4">
        <v>5050.04</v>
      </c>
      <c r="M541" t="s">
        <v>116</v>
      </c>
      <c r="N541" t="s">
        <v>52</v>
      </c>
      <c r="O541">
        <f>IF(TablaVentas[[#This Row],[Precio_unitario]]="","PENDIENTE",TablaVentas[[#This Row],[Unidades]]*TablaVentas[[#This Row],[Precio_unitario]]*(1-TablaVentas[[#This Row],[Descuento_pct]]))</f>
        <v>5619.43</v>
      </c>
      <c r="P541">
        <f>IF(TablaVentas[[#This Row],[Costo_unitario]]="","PENDIENTE",TablaVentas[[#This Row],[Unidades]]*TablaVentas[[#This Row],[Costo_unitario]])</f>
        <v>5050.04</v>
      </c>
      <c r="Q541">
        <f>IF(OR(TablaVentas[[#This Row],[Ingreso_neto]]="PENDIENTE",TablaVentas[[#This Row],[Costo_total]]="PENDIENTE"),"PENDIENTE",TablaVentas[[#This Row],[Ingreso_neto]]-TablaVentas[[#This Row],[Costo_total]])</f>
        <v>569.39000000000033</v>
      </c>
    </row>
    <row r="542" spans="1:17">
      <c r="A542" t="s">
        <v>549</v>
      </c>
      <c r="B542">
        <v>1</v>
      </c>
      <c r="C542" s="3">
        <v>46034</v>
      </c>
      <c r="D542" t="s">
        <v>550</v>
      </c>
      <c r="E542" t="s">
        <v>93</v>
      </c>
      <c r="F542" t="s">
        <v>66</v>
      </c>
      <c r="G542" t="s">
        <v>57</v>
      </c>
      <c r="H542" t="s">
        <v>129</v>
      </c>
      <c r="I542">
        <v>2</v>
      </c>
      <c r="J542" s="4">
        <v>14689.33</v>
      </c>
      <c r="K542" s="5">
        <v>0</v>
      </c>
      <c r="L542" s="4">
        <v>8788.7900000000009</v>
      </c>
      <c r="M542" t="s">
        <v>42</v>
      </c>
      <c r="N542" t="s">
        <v>45</v>
      </c>
      <c r="O542">
        <f>IF(TablaVentas[[#This Row],[Precio_unitario]]="","PENDIENTE",TablaVentas[[#This Row],[Unidades]]*TablaVentas[[#This Row],[Precio_unitario]]*(1-TablaVentas[[#This Row],[Descuento_pct]]))</f>
        <v>29378.66</v>
      </c>
      <c r="P542">
        <f>IF(TablaVentas[[#This Row],[Costo_unitario]]="","PENDIENTE",TablaVentas[[#This Row],[Unidades]]*TablaVentas[[#This Row],[Costo_unitario]])</f>
        <v>17577.580000000002</v>
      </c>
      <c r="Q542">
        <f>IF(OR(TablaVentas[[#This Row],[Ingreso_neto]]="PENDIENTE",TablaVentas[[#This Row],[Costo_total]]="PENDIENTE"),"PENDIENTE",TablaVentas[[#This Row],[Ingreso_neto]]-TablaVentas[[#This Row],[Costo_total]])</f>
        <v>11801.079999999998</v>
      </c>
    </row>
    <row r="543" spans="1:17">
      <c r="A543" t="s">
        <v>549</v>
      </c>
      <c r="B543">
        <v>2</v>
      </c>
      <c r="C543" s="3">
        <v>46034</v>
      </c>
      <c r="D543" t="s">
        <v>550</v>
      </c>
      <c r="E543" t="s">
        <v>537</v>
      </c>
      <c r="F543" t="s">
        <v>66</v>
      </c>
      <c r="G543" t="s">
        <v>57</v>
      </c>
      <c r="H543" t="s">
        <v>129</v>
      </c>
      <c r="I543">
        <v>1</v>
      </c>
      <c r="J543" s="4">
        <v>5754.59</v>
      </c>
      <c r="K543" s="5">
        <v>0</v>
      </c>
      <c r="L543" s="4">
        <v>4556.2299999999996</v>
      </c>
      <c r="M543" t="s">
        <v>42</v>
      </c>
      <c r="N543" t="s">
        <v>45</v>
      </c>
      <c r="O543">
        <f>IF(TablaVentas[[#This Row],[Precio_unitario]]="","PENDIENTE",TablaVentas[[#This Row],[Unidades]]*TablaVentas[[#This Row],[Precio_unitario]]*(1-TablaVentas[[#This Row],[Descuento_pct]]))</f>
        <v>5754.59</v>
      </c>
      <c r="P543">
        <f>IF(TablaVentas[[#This Row],[Costo_unitario]]="","PENDIENTE",TablaVentas[[#This Row],[Unidades]]*TablaVentas[[#This Row],[Costo_unitario]])</f>
        <v>4556.2299999999996</v>
      </c>
      <c r="Q543">
        <f>IF(OR(TablaVentas[[#This Row],[Ingreso_neto]]="PENDIENTE",TablaVentas[[#This Row],[Costo_total]]="PENDIENTE"),"PENDIENTE",TablaVentas[[#This Row],[Ingreso_neto]]-TablaVentas[[#This Row],[Costo_total]])</f>
        <v>1198.3600000000006</v>
      </c>
    </row>
    <row r="544" spans="1:17">
      <c r="A544" t="s">
        <v>549</v>
      </c>
      <c r="B544">
        <v>3</v>
      </c>
      <c r="C544" s="3">
        <v>46034</v>
      </c>
      <c r="D544" t="s">
        <v>550</v>
      </c>
      <c r="E544" t="s">
        <v>367</v>
      </c>
      <c r="F544" t="s">
        <v>66</v>
      </c>
      <c r="G544" t="s">
        <v>57</v>
      </c>
      <c r="H544" t="s">
        <v>129</v>
      </c>
      <c r="I544">
        <v>1</v>
      </c>
      <c r="J544" s="4">
        <v>10399.4</v>
      </c>
      <c r="K544" s="5">
        <v>0</v>
      </c>
      <c r="L544" s="4">
        <v>5079.43</v>
      </c>
      <c r="M544" t="s">
        <v>42</v>
      </c>
      <c r="N544" t="s">
        <v>45</v>
      </c>
      <c r="O544">
        <f>IF(TablaVentas[[#This Row],[Precio_unitario]]="","PENDIENTE",TablaVentas[[#This Row],[Unidades]]*TablaVentas[[#This Row],[Precio_unitario]]*(1-TablaVentas[[#This Row],[Descuento_pct]]))</f>
        <v>10399.4</v>
      </c>
      <c r="P544">
        <f>IF(TablaVentas[[#This Row],[Costo_unitario]]="","PENDIENTE",TablaVentas[[#This Row],[Unidades]]*TablaVentas[[#This Row],[Costo_unitario]])</f>
        <v>5079.43</v>
      </c>
      <c r="Q544">
        <f>IF(OR(TablaVentas[[#This Row],[Ingreso_neto]]="PENDIENTE",TablaVentas[[#This Row],[Costo_total]]="PENDIENTE"),"PENDIENTE",TablaVentas[[#This Row],[Ingreso_neto]]-TablaVentas[[#This Row],[Costo_total]])</f>
        <v>5319.9699999999993</v>
      </c>
    </row>
    <row r="545" spans="1:17">
      <c r="A545" t="s">
        <v>549</v>
      </c>
      <c r="B545">
        <v>4</v>
      </c>
      <c r="C545" s="3">
        <v>46034</v>
      </c>
      <c r="D545" t="s">
        <v>550</v>
      </c>
      <c r="E545" t="s">
        <v>346</v>
      </c>
      <c r="F545" t="s">
        <v>66</v>
      </c>
      <c r="G545" t="s">
        <v>57</v>
      </c>
      <c r="H545" t="s">
        <v>129</v>
      </c>
      <c r="I545">
        <v>5</v>
      </c>
      <c r="J545" s="4">
        <v>2340.0500000000002</v>
      </c>
      <c r="K545" s="5">
        <v>0.05</v>
      </c>
      <c r="L545" s="4">
        <v>1175.74</v>
      </c>
      <c r="M545" t="s">
        <v>42</v>
      </c>
      <c r="N545" t="s">
        <v>52</v>
      </c>
      <c r="O545">
        <f>IF(TablaVentas[[#This Row],[Precio_unitario]]="","PENDIENTE",TablaVentas[[#This Row],[Unidades]]*TablaVentas[[#This Row],[Precio_unitario]]*(1-TablaVentas[[#This Row],[Descuento_pct]]))</f>
        <v>11115.237499999999</v>
      </c>
      <c r="P545">
        <f>IF(TablaVentas[[#This Row],[Costo_unitario]]="","PENDIENTE",TablaVentas[[#This Row],[Unidades]]*TablaVentas[[#This Row],[Costo_unitario]])</f>
        <v>5878.7</v>
      </c>
      <c r="Q545">
        <f>IF(OR(TablaVentas[[#This Row],[Ingreso_neto]]="PENDIENTE",TablaVentas[[#This Row],[Costo_total]]="PENDIENTE"),"PENDIENTE",TablaVentas[[#This Row],[Ingreso_neto]]-TablaVentas[[#This Row],[Costo_total]])</f>
        <v>5236.5374999999995</v>
      </c>
    </row>
    <row r="546" spans="1:17">
      <c r="A546" t="s">
        <v>551</v>
      </c>
      <c r="B546">
        <v>1</v>
      </c>
      <c r="C546" s="3">
        <v>46080</v>
      </c>
      <c r="D546" t="s">
        <v>390</v>
      </c>
      <c r="E546" t="s">
        <v>68</v>
      </c>
      <c r="F546" t="s">
        <v>66</v>
      </c>
      <c r="G546" t="s">
        <v>40</v>
      </c>
      <c r="H546" t="s">
        <v>58</v>
      </c>
      <c r="I546">
        <v>1</v>
      </c>
      <c r="J546" s="4">
        <v>14009.66</v>
      </c>
      <c r="K546" s="5">
        <v>0.15</v>
      </c>
      <c r="L546" s="4">
        <v>9243.35</v>
      </c>
      <c r="M546" t="s">
        <v>42</v>
      </c>
      <c r="N546" t="s">
        <v>45</v>
      </c>
      <c r="O546">
        <f>IF(TablaVentas[[#This Row],[Precio_unitario]]="","PENDIENTE",TablaVentas[[#This Row],[Unidades]]*TablaVentas[[#This Row],[Precio_unitario]]*(1-TablaVentas[[#This Row],[Descuento_pct]]))</f>
        <v>11908.210999999999</v>
      </c>
      <c r="P546">
        <f>IF(TablaVentas[[#This Row],[Costo_unitario]]="","PENDIENTE",TablaVentas[[#This Row],[Unidades]]*TablaVentas[[#This Row],[Costo_unitario]])</f>
        <v>9243.35</v>
      </c>
      <c r="Q546">
        <f>IF(OR(TablaVentas[[#This Row],[Ingreso_neto]]="PENDIENTE",TablaVentas[[#This Row],[Costo_total]]="PENDIENTE"),"PENDIENTE",TablaVentas[[#This Row],[Ingreso_neto]]-TablaVentas[[#This Row],[Costo_total]])</f>
        <v>2664.860999999999</v>
      </c>
    </row>
    <row r="547" spans="1:17">
      <c r="A547" t="s">
        <v>552</v>
      </c>
      <c r="B547">
        <v>1</v>
      </c>
      <c r="C547" s="3">
        <v>46203</v>
      </c>
      <c r="D547" t="s">
        <v>80</v>
      </c>
      <c r="E547" t="s">
        <v>206</v>
      </c>
      <c r="F547" t="s">
        <v>39</v>
      </c>
      <c r="G547" t="s">
        <v>40</v>
      </c>
      <c r="H547" t="s">
        <v>73</v>
      </c>
      <c r="I547">
        <v>4</v>
      </c>
      <c r="J547" s="4">
        <v>5058.84</v>
      </c>
      <c r="K547" s="5">
        <v>0</v>
      </c>
      <c r="L547" s="4">
        <v>4008.77</v>
      </c>
      <c r="M547" t="s">
        <v>42</v>
      </c>
      <c r="N547" t="s">
        <v>52</v>
      </c>
      <c r="O547">
        <f>IF(TablaVentas[[#This Row],[Precio_unitario]]="","PENDIENTE",TablaVentas[[#This Row],[Unidades]]*TablaVentas[[#This Row],[Precio_unitario]]*(1-TablaVentas[[#This Row],[Descuento_pct]]))</f>
        <v>20235.36</v>
      </c>
      <c r="P547">
        <f>IF(TablaVentas[[#This Row],[Costo_unitario]]="","PENDIENTE",TablaVentas[[#This Row],[Unidades]]*TablaVentas[[#This Row],[Costo_unitario]])</f>
        <v>16035.08</v>
      </c>
      <c r="Q547">
        <f>IF(OR(TablaVentas[[#This Row],[Ingreso_neto]]="PENDIENTE",TablaVentas[[#This Row],[Costo_total]]="PENDIENTE"),"PENDIENTE",TablaVentas[[#This Row],[Ingreso_neto]]-TablaVentas[[#This Row],[Costo_total]])</f>
        <v>4200.2800000000007</v>
      </c>
    </row>
    <row r="548" spans="1:17">
      <c r="A548" t="s">
        <v>552</v>
      </c>
      <c r="B548">
        <v>2</v>
      </c>
      <c r="C548" s="3">
        <v>46203</v>
      </c>
      <c r="D548" t="s">
        <v>80</v>
      </c>
      <c r="E548" t="s">
        <v>106</v>
      </c>
      <c r="F548" t="s">
        <v>39</v>
      </c>
      <c r="G548" t="s">
        <v>40</v>
      </c>
      <c r="H548" t="s">
        <v>73</v>
      </c>
      <c r="I548">
        <v>1</v>
      </c>
      <c r="J548" s="4">
        <v>9567.5499999999993</v>
      </c>
      <c r="K548" s="5">
        <v>0</v>
      </c>
      <c r="L548" s="4">
        <v>8276.74</v>
      </c>
      <c r="M548" t="s">
        <v>42</v>
      </c>
      <c r="N548" t="s">
        <v>52</v>
      </c>
      <c r="O548">
        <f>IF(TablaVentas[[#This Row],[Precio_unitario]]="","PENDIENTE",TablaVentas[[#This Row],[Unidades]]*TablaVentas[[#This Row],[Precio_unitario]]*(1-TablaVentas[[#This Row],[Descuento_pct]]))</f>
        <v>9567.5499999999993</v>
      </c>
      <c r="P548">
        <f>IF(TablaVentas[[#This Row],[Costo_unitario]]="","PENDIENTE",TablaVentas[[#This Row],[Unidades]]*TablaVentas[[#This Row],[Costo_unitario]])</f>
        <v>8276.74</v>
      </c>
      <c r="Q548">
        <f>IF(OR(TablaVentas[[#This Row],[Ingreso_neto]]="PENDIENTE",TablaVentas[[#This Row],[Costo_total]]="PENDIENTE"),"PENDIENTE",TablaVentas[[#This Row],[Ingreso_neto]]-TablaVentas[[#This Row],[Costo_total]])</f>
        <v>1290.8099999999995</v>
      </c>
    </row>
    <row r="549" spans="1:17">
      <c r="A549" t="s">
        <v>553</v>
      </c>
      <c r="B549">
        <v>1</v>
      </c>
      <c r="C549" s="3">
        <v>46134</v>
      </c>
      <c r="D549" t="s">
        <v>554</v>
      </c>
      <c r="E549" t="s">
        <v>227</v>
      </c>
      <c r="F549" t="s">
        <v>77</v>
      </c>
      <c r="G549" t="s">
        <v>40</v>
      </c>
      <c r="H549" t="s">
        <v>41</v>
      </c>
      <c r="I549">
        <v>1</v>
      </c>
      <c r="J549" s="4">
        <v>8973.42</v>
      </c>
      <c r="K549" s="5">
        <v>0.15</v>
      </c>
      <c r="L549" s="4">
        <v>6255.13</v>
      </c>
      <c r="M549" t="s">
        <v>42</v>
      </c>
      <c r="N549" t="s">
        <v>45</v>
      </c>
      <c r="O549">
        <f>IF(TablaVentas[[#This Row],[Precio_unitario]]="","PENDIENTE",TablaVentas[[#This Row],[Unidades]]*TablaVentas[[#This Row],[Precio_unitario]]*(1-TablaVentas[[#This Row],[Descuento_pct]]))</f>
        <v>7627.4070000000002</v>
      </c>
      <c r="P549">
        <f>IF(TablaVentas[[#This Row],[Costo_unitario]]="","PENDIENTE",TablaVentas[[#This Row],[Unidades]]*TablaVentas[[#This Row],[Costo_unitario]])</f>
        <v>6255.13</v>
      </c>
      <c r="Q549">
        <f>IF(OR(TablaVentas[[#This Row],[Ingreso_neto]]="PENDIENTE",TablaVentas[[#This Row],[Costo_total]]="PENDIENTE"),"PENDIENTE",TablaVentas[[#This Row],[Ingreso_neto]]-TablaVentas[[#This Row],[Costo_total]])</f>
        <v>1372.277</v>
      </c>
    </row>
    <row r="550" spans="1:17">
      <c r="A550" t="s">
        <v>553</v>
      </c>
      <c r="B550">
        <v>2</v>
      </c>
      <c r="C550" s="3">
        <v>46134</v>
      </c>
      <c r="D550" t="s">
        <v>554</v>
      </c>
      <c r="E550" t="s">
        <v>119</v>
      </c>
      <c r="F550" t="s">
        <v>77</v>
      </c>
      <c r="G550" t="s">
        <v>40</v>
      </c>
      <c r="H550" t="s">
        <v>41</v>
      </c>
      <c r="I550">
        <v>1</v>
      </c>
      <c r="J550" s="4">
        <v>8611.3799999999992</v>
      </c>
      <c r="K550" s="5">
        <v>0.15</v>
      </c>
      <c r="L550" s="4">
        <v>6981.94</v>
      </c>
      <c r="M550" t="s">
        <v>42</v>
      </c>
      <c r="N550" t="s">
        <v>45</v>
      </c>
      <c r="O550">
        <f>IF(TablaVentas[[#This Row],[Precio_unitario]]="","PENDIENTE",TablaVentas[[#This Row],[Unidades]]*TablaVentas[[#This Row],[Precio_unitario]]*(1-TablaVentas[[#This Row],[Descuento_pct]]))</f>
        <v>7319.6729999999989</v>
      </c>
      <c r="P550">
        <f>IF(TablaVentas[[#This Row],[Costo_unitario]]="","PENDIENTE",TablaVentas[[#This Row],[Unidades]]*TablaVentas[[#This Row],[Costo_unitario]])</f>
        <v>6981.94</v>
      </c>
      <c r="Q550">
        <f>IF(OR(TablaVentas[[#This Row],[Ingreso_neto]]="PENDIENTE",TablaVentas[[#This Row],[Costo_total]]="PENDIENTE"),"PENDIENTE",TablaVentas[[#This Row],[Ingreso_neto]]-TablaVentas[[#This Row],[Costo_total]])</f>
        <v>337.73299999999927</v>
      </c>
    </row>
    <row r="551" spans="1:17">
      <c r="A551" t="s">
        <v>553</v>
      </c>
      <c r="B551">
        <v>3</v>
      </c>
      <c r="C551" s="3">
        <v>46134</v>
      </c>
      <c r="D551" t="s">
        <v>554</v>
      </c>
      <c r="E551" t="s">
        <v>133</v>
      </c>
      <c r="F551" t="s">
        <v>77</v>
      </c>
      <c r="G551" t="s">
        <v>40</v>
      </c>
      <c r="H551" t="s">
        <v>41</v>
      </c>
      <c r="I551">
        <v>2</v>
      </c>
      <c r="J551" s="4">
        <v>7655.14</v>
      </c>
      <c r="K551" s="5">
        <v>0</v>
      </c>
      <c r="L551" s="4">
        <v>4061.34</v>
      </c>
      <c r="M551" t="s">
        <v>42</v>
      </c>
      <c r="N551" t="s">
        <v>60</v>
      </c>
      <c r="O551">
        <f>IF(TablaVentas[[#This Row],[Precio_unitario]]="","PENDIENTE",TablaVentas[[#This Row],[Unidades]]*TablaVentas[[#This Row],[Precio_unitario]]*(1-TablaVentas[[#This Row],[Descuento_pct]]))</f>
        <v>15310.28</v>
      </c>
      <c r="P551">
        <f>IF(TablaVentas[[#This Row],[Costo_unitario]]="","PENDIENTE",TablaVentas[[#This Row],[Unidades]]*TablaVentas[[#This Row],[Costo_unitario]])</f>
        <v>8122.68</v>
      </c>
      <c r="Q551">
        <f>IF(OR(TablaVentas[[#This Row],[Ingreso_neto]]="PENDIENTE",TablaVentas[[#This Row],[Costo_total]]="PENDIENTE"),"PENDIENTE",TablaVentas[[#This Row],[Ingreso_neto]]-TablaVentas[[#This Row],[Costo_total]])</f>
        <v>7187.6</v>
      </c>
    </row>
    <row r="552" spans="1:17">
      <c r="A552" t="s">
        <v>555</v>
      </c>
      <c r="B552">
        <v>1</v>
      </c>
      <c r="C552" s="3">
        <v>46050</v>
      </c>
      <c r="D552" t="s">
        <v>505</v>
      </c>
      <c r="E552" t="s">
        <v>83</v>
      </c>
      <c r="F552" t="s">
        <v>66</v>
      </c>
      <c r="G552" t="s">
        <v>40</v>
      </c>
      <c r="H552" t="s">
        <v>124</v>
      </c>
      <c r="I552">
        <v>1</v>
      </c>
      <c r="J552" s="4">
        <v>16178.7</v>
      </c>
      <c r="K552" s="5">
        <v>0</v>
      </c>
      <c r="L552" s="4">
        <v>12723.77</v>
      </c>
      <c r="M552" t="s">
        <v>42</v>
      </c>
      <c r="N552" t="s">
        <v>45</v>
      </c>
      <c r="O552">
        <f>IF(TablaVentas[[#This Row],[Precio_unitario]]="","PENDIENTE",TablaVentas[[#This Row],[Unidades]]*TablaVentas[[#This Row],[Precio_unitario]]*(1-TablaVentas[[#This Row],[Descuento_pct]]))</f>
        <v>16178.7</v>
      </c>
      <c r="P552">
        <f>IF(TablaVentas[[#This Row],[Costo_unitario]]="","PENDIENTE",TablaVentas[[#This Row],[Unidades]]*TablaVentas[[#This Row],[Costo_unitario]])</f>
        <v>12723.77</v>
      </c>
      <c r="Q552">
        <f>IF(OR(TablaVentas[[#This Row],[Ingreso_neto]]="PENDIENTE",TablaVentas[[#This Row],[Costo_total]]="PENDIENTE"),"PENDIENTE",TablaVentas[[#This Row],[Ingreso_neto]]-TablaVentas[[#This Row],[Costo_total]])</f>
        <v>3454.9300000000003</v>
      </c>
    </row>
    <row r="553" spans="1:17">
      <c r="A553" t="s">
        <v>555</v>
      </c>
      <c r="B553">
        <v>2</v>
      </c>
      <c r="C553" s="3">
        <v>46050</v>
      </c>
      <c r="D553" t="s">
        <v>505</v>
      </c>
      <c r="E553" t="s">
        <v>120</v>
      </c>
      <c r="F553" t="s">
        <v>66</v>
      </c>
      <c r="G553" t="s">
        <v>40</v>
      </c>
      <c r="H553" t="s">
        <v>124</v>
      </c>
      <c r="I553">
        <v>1</v>
      </c>
      <c r="J553" s="4">
        <v>13711.43</v>
      </c>
      <c r="K553" s="5">
        <v>0.2</v>
      </c>
      <c r="L553" s="4">
        <v>7975.26</v>
      </c>
      <c r="M553" t="s">
        <v>116</v>
      </c>
      <c r="N553" t="s">
        <v>45</v>
      </c>
      <c r="O553">
        <f>IF(TablaVentas[[#This Row],[Precio_unitario]]="","PENDIENTE",TablaVentas[[#This Row],[Unidades]]*TablaVentas[[#This Row],[Precio_unitario]]*(1-TablaVentas[[#This Row],[Descuento_pct]]))</f>
        <v>10969.144</v>
      </c>
      <c r="P553">
        <f>IF(TablaVentas[[#This Row],[Costo_unitario]]="","PENDIENTE",TablaVentas[[#This Row],[Unidades]]*TablaVentas[[#This Row],[Costo_unitario]])</f>
        <v>7975.26</v>
      </c>
      <c r="Q553">
        <f>IF(OR(TablaVentas[[#This Row],[Ingreso_neto]]="PENDIENTE",TablaVentas[[#This Row],[Costo_total]]="PENDIENTE"),"PENDIENTE",TablaVentas[[#This Row],[Ingreso_neto]]-TablaVentas[[#This Row],[Costo_total]])</f>
        <v>2993.884</v>
      </c>
    </row>
    <row r="554" spans="1:17">
      <c r="A554" t="s">
        <v>555</v>
      </c>
      <c r="B554">
        <v>3</v>
      </c>
      <c r="C554" s="3">
        <v>46050</v>
      </c>
      <c r="D554" t="s">
        <v>505</v>
      </c>
      <c r="E554" t="s">
        <v>256</v>
      </c>
      <c r="F554" t="s">
        <v>66</v>
      </c>
      <c r="G554" t="s">
        <v>40</v>
      </c>
      <c r="H554" t="s">
        <v>124</v>
      </c>
      <c r="I554">
        <v>1</v>
      </c>
      <c r="J554" s="4">
        <v>18624.560000000001</v>
      </c>
      <c r="K554" s="5">
        <v>0</v>
      </c>
      <c r="L554" s="4">
        <v>11666.57</v>
      </c>
      <c r="M554" t="s">
        <v>42</v>
      </c>
      <c r="N554" t="s">
        <v>43</v>
      </c>
      <c r="O554">
        <f>IF(TablaVentas[[#This Row],[Precio_unitario]]="","PENDIENTE",TablaVentas[[#This Row],[Unidades]]*TablaVentas[[#This Row],[Precio_unitario]]*(1-TablaVentas[[#This Row],[Descuento_pct]]))</f>
        <v>18624.560000000001</v>
      </c>
      <c r="P554">
        <f>IF(TablaVentas[[#This Row],[Costo_unitario]]="","PENDIENTE",TablaVentas[[#This Row],[Unidades]]*TablaVentas[[#This Row],[Costo_unitario]])</f>
        <v>11666.57</v>
      </c>
      <c r="Q554">
        <f>IF(OR(TablaVentas[[#This Row],[Ingreso_neto]]="PENDIENTE",TablaVentas[[#This Row],[Costo_total]]="PENDIENTE"),"PENDIENTE",TablaVentas[[#This Row],[Ingreso_neto]]-TablaVentas[[#This Row],[Costo_total]])</f>
        <v>6957.9900000000016</v>
      </c>
    </row>
    <row r="555" spans="1:17">
      <c r="A555" t="s">
        <v>555</v>
      </c>
      <c r="B555">
        <v>4</v>
      </c>
      <c r="C555" s="3">
        <v>46050</v>
      </c>
      <c r="D555" t="s">
        <v>505</v>
      </c>
      <c r="E555" t="s">
        <v>277</v>
      </c>
      <c r="F555" t="s">
        <v>66</v>
      </c>
      <c r="G555" t="s">
        <v>40</v>
      </c>
      <c r="H555" t="s">
        <v>124</v>
      </c>
      <c r="I555">
        <v>2</v>
      </c>
      <c r="J555" s="4">
        <v>6506.39</v>
      </c>
      <c r="K555" s="5">
        <v>0</v>
      </c>
      <c r="L555" s="4">
        <v>4858.08</v>
      </c>
      <c r="M555" t="s">
        <v>42</v>
      </c>
      <c r="N555" t="s">
        <v>43</v>
      </c>
      <c r="O555">
        <f>IF(TablaVentas[[#This Row],[Precio_unitario]]="","PENDIENTE",TablaVentas[[#This Row],[Unidades]]*TablaVentas[[#This Row],[Precio_unitario]]*(1-TablaVentas[[#This Row],[Descuento_pct]]))</f>
        <v>13012.78</v>
      </c>
      <c r="P555">
        <f>IF(TablaVentas[[#This Row],[Costo_unitario]]="","PENDIENTE",TablaVentas[[#This Row],[Unidades]]*TablaVentas[[#This Row],[Costo_unitario]])</f>
        <v>9716.16</v>
      </c>
      <c r="Q555">
        <f>IF(OR(TablaVentas[[#This Row],[Ingreso_neto]]="PENDIENTE",TablaVentas[[#This Row],[Costo_total]]="PENDIENTE"),"PENDIENTE",TablaVentas[[#This Row],[Ingreso_neto]]-TablaVentas[[#This Row],[Costo_total]])</f>
        <v>3296.6200000000008</v>
      </c>
    </row>
    <row r="556" spans="1:17">
      <c r="A556" t="s">
        <v>556</v>
      </c>
      <c r="B556">
        <v>1</v>
      </c>
      <c r="C556" s="3">
        <v>46214</v>
      </c>
      <c r="D556" t="s">
        <v>557</v>
      </c>
      <c r="E556" t="s">
        <v>180</v>
      </c>
      <c r="F556" t="s">
        <v>77</v>
      </c>
      <c r="G556" t="s">
        <v>57</v>
      </c>
      <c r="H556" t="s">
        <v>51</v>
      </c>
      <c r="I556">
        <v>1</v>
      </c>
      <c r="J556" s="4">
        <v>6124.03</v>
      </c>
      <c r="K556" s="5">
        <v>0</v>
      </c>
      <c r="L556" s="4">
        <v>3824.92</v>
      </c>
      <c r="M556" t="s">
        <v>42</v>
      </c>
      <c r="N556" t="s">
        <v>45</v>
      </c>
      <c r="O556">
        <f>IF(TablaVentas[[#This Row],[Precio_unitario]]="","PENDIENTE",TablaVentas[[#This Row],[Unidades]]*TablaVentas[[#This Row],[Precio_unitario]]*(1-TablaVentas[[#This Row],[Descuento_pct]]))</f>
        <v>6124.03</v>
      </c>
      <c r="P556">
        <f>IF(TablaVentas[[#This Row],[Costo_unitario]]="","PENDIENTE",TablaVentas[[#This Row],[Unidades]]*TablaVentas[[#This Row],[Costo_unitario]])</f>
        <v>3824.92</v>
      </c>
      <c r="Q556">
        <f>IF(OR(TablaVentas[[#This Row],[Ingreso_neto]]="PENDIENTE",TablaVentas[[#This Row],[Costo_total]]="PENDIENTE"),"PENDIENTE",TablaVentas[[#This Row],[Ingreso_neto]]-TablaVentas[[#This Row],[Costo_total]])</f>
        <v>2299.1099999999997</v>
      </c>
    </row>
    <row r="557" spans="1:17">
      <c r="A557" t="s">
        <v>558</v>
      </c>
      <c r="B557">
        <v>1</v>
      </c>
      <c r="C557" s="3">
        <v>46102</v>
      </c>
      <c r="D557" t="s">
        <v>131</v>
      </c>
      <c r="E557" t="s">
        <v>346</v>
      </c>
      <c r="F557" t="s">
        <v>77</v>
      </c>
      <c r="G557" t="s">
        <v>50</v>
      </c>
      <c r="H557" t="s">
        <v>124</v>
      </c>
      <c r="I557">
        <v>3</v>
      </c>
      <c r="J557" s="4">
        <v>2322.2600000000002</v>
      </c>
      <c r="K557" s="5">
        <v>0.15</v>
      </c>
      <c r="L557" s="4">
        <v>1175.74</v>
      </c>
      <c r="M557" t="s">
        <v>42</v>
      </c>
      <c r="N557" t="s">
        <v>60</v>
      </c>
      <c r="O557">
        <f>IF(TablaVentas[[#This Row],[Precio_unitario]]="","PENDIENTE",TablaVentas[[#This Row],[Unidades]]*TablaVentas[[#This Row],[Precio_unitario]]*(1-TablaVentas[[#This Row],[Descuento_pct]]))</f>
        <v>5921.7630000000008</v>
      </c>
      <c r="P557">
        <f>IF(TablaVentas[[#This Row],[Costo_unitario]]="","PENDIENTE",TablaVentas[[#This Row],[Unidades]]*TablaVentas[[#This Row],[Costo_unitario]])</f>
        <v>3527.2200000000003</v>
      </c>
      <c r="Q557">
        <f>IF(OR(TablaVentas[[#This Row],[Ingreso_neto]]="PENDIENTE",TablaVentas[[#This Row],[Costo_total]]="PENDIENTE"),"PENDIENTE",TablaVentas[[#This Row],[Ingreso_neto]]-TablaVentas[[#This Row],[Costo_total]])</f>
        <v>2394.5430000000006</v>
      </c>
    </row>
    <row r="558" spans="1:17">
      <c r="A558" t="s">
        <v>558</v>
      </c>
      <c r="B558">
        <v>2</v>
      </c>
      <c r="C558" s="3">
        <v>46102</v>
      </c>
      <c r="D558" t="s">
        <v>131</v>
      </c>
      <c r="E558" t="s">
        <v>148</v>
      </c>
      <c r="F558" t="s">
        <v>77</v>
      </c>
      <c r="G558" t="s">
        <v>50</v>
      </c>
      <c r="H558" t="s">
        <v>124</v>
      </c>
      <c r="I558">
        <v>12</v>
      </c>
      <c r="J558" s="4">
        <v>3164.06</v>
      </c>
      <c r="K558" s="5">
        <v>0</v>
      </c>
      <c r="L558" s="4">
        <v>2459.34</v>
      </c>
      <c r="M558" t="s">
        <v>42</v>
      </c>
      <c r="N558" t="s">
        <v>60</v>
      </c>
      <c r="O558">
        <f>IF(TablaVentas[[#This Row],[Precio_unitario]]="","PENDIENTE",TablaVentas[[#This Row],[Unidades]]*TablaVentas[[#This Row],[Precio_unitario]]*(1-TablaVentas[[#This Row],[Descuento_pct]]))</f>
        <v>37968.720000000001</v>
      </c>
      <c r="P558">
        <f>IF(TablaVentas[[#This Row],[Costo_unitario]]="","PENDIENTE",TablaVentas[[#This Row],[Unidades]]*TablaVentas[[#This Row],[Costo_unitario]])</f>
        <v>29512.080000000002</v>
      </c>
      <c r="Q558">
        <f>IF(OR(TablaVentas[[#This Row],[Ingreso_neto]]="PENDIENTE",TablaVentas[[#This Row],[Costo_total]]="PENDIENTE"),"PENDIENTE",TablaVentas[[#This Row],[Ingreso_neto]]-TablaVentas[[#This Row],[Costo_total]])</f>
        <v>8456.64</v>
      </c>
    </row>
    <row r="559" spans="1:17">
      <c r="A559" t="s">
        <v>559</v>
      </c>
      <c r="B559">
        <v>1</v>
      </c>
      <c r="C559" s="3">
        <v>46075</v>
      </c>
      <c r="D559" t="s">
        <v>380</v>
      </c>
      <c r="E559" t="s">
        <v>114</v>
      </c>
      <c r="F559" t="s">
        <v>39</v>
      </c>
      <c r="G559" t="s">
        <v>40</v>
      </c>
      <c r="H559" t="s">
        <v>58</v>
      </c>
      <c r="I559">
        <v>2</v>
      </c>
      <c r="J559" s="4">
        <v>14617.82</v>
      </c>
      <c r="K559" s="5">
        <v>0</v>
      </c>
      <c r="L559" s="4">
        <v>8239.48</v>
      </c>
      <c r="M559" t="s">
        <v>42</v>
      </c>
      <c r="N559" t="s">
        <v>60</v>
      </c>
      <c r="O559">
        <f>IF(TablaVentas[[#This Row],[Precio_unitario]]="","PENDIENTE",TablaVentas[[#This Row],[Unidades]]*TablaVentas[[#This Row],[Precio_unitario]]*(1-TablaVentas[[#This Row],[Descuento_pct]]))</f>
        <v>29235.64</v>
      </c>
      <c r="P559">
        <f>IF(TablaVentas[[#This Row],[Costo_unitario]]="","PENDIENTE",TablaVentas[[#This Row],[Unidades]]*TablaVentas[[#This Row],[Costo_unitario]])</f>
        <v>16478.96</v>
      </c>
      <c r="Q559">
        <f>IF(OR(TablaVentas[[#This Row],[Ingreso_neto]]="PENDIENTE",TablaVentas[[#This Row],[Costo_total]]="PENDIENTE"),"PENDIENTE",TablaVentas[[#This Row],[Ingreso_neto]]-TablaVentas[[#This Row],[Costo_total]])</f>
        <v>12756.68</v>
      </c>
    </row>
    <row r="560" spans="1:17">
      <c r="A560" t="s">
        <v>559</v>
      </c>
      <c r="B560">
        <v>2</v>
      </c>
      <c r="C560" s="3">
        <v>46075</v>
      </c>
      <c r="D560" t="s">
        <v>380</v>
      </c>
      <c r="E560" t="s">
        <v>203</v>
      </c>
      <c r="F560" t="s">
        <v>39</v>
      </c>
      <c r="G560" t="s">
        <v>40</v>
      </c>
      <c r="H560" t="s">
        <v>58</v>
      </c>
      <c r="I560">
        <v>1</v>
      </c>
      <c r="J560" s="4">
        <v>1872.56</v>
      </c>
      <c r="K560" s="5">
        <v>0.1</v>
      </c>
      <c r="L560" s="4">
        <v>1252.8399999999999</v>
      </c>
      <c r="M560" t="s">
        <v>42</v>
      </c>
      <c r="N560" t="s">
        <v>52</v>
      </c>
      <c r="O560">
        <f>IF(TablaVentas[[#This Row],[Precio_unitario]]="","PENDIENTE",TablaVentas[[#This Row],[Unidades]]*TablaVentas[[#This Row],[Precio_unitario]]*(1-TablaVentas[[#This Row],[Descuento_pct]]))</f>
        <v>1685.3040000000001</v>
      </c>
      <c r="P560">
        <f>IF(TablaVentas[[#This Row],[Costo_unitario]]="","PENDIENTE",TablaVentas[[#This Row],[Unidades]]*TablaVentas[[#This Row],[Costo_unitario]])</f>
        <v>1252.8399999999999</v>
      </c>
      <c r="Q560">
        <f>IF(OR(TablaVentas[[#This Row],[Ingreso_neto]]="PENDIENTE",TablaVentas[[#This Row],[Costo_total]]="PENDIENTE"),"PENDIENTE",TablaVentas[[#This Row],[Ingreso_neto]]-TablaVentas[[#This Row],[Costo_total]])</f>
        <v>432.46400000000017</v>
      </c>
    </row>
    <row r="561" spans="1:17">
      <c r="A561" t="s">
        <v>559</v>
      </c>
      <c r="B561">
        <v>3</v>
      </c>
      <c r="C561" s="3">
        <v>46075</v>
      </c>
      <c r="D561" t="s">
        <v>380</v>
      </c>
      <c r="E561" t="s">
        <v>46</v>
      </c>
      <c r="F561" t="s">
        <v>39</v>
      </c>
      <c r="G561" t="s">
        <v>40</v>
      </c>
      <c r="H561" t="s">
        <v>58</v>
      </c>
      <c r="I561">
        <v>3</v>
      </c>
      <c r="J561" s="4">
        <v>3880.9</v>
      </c>
      <c r="K561" s="5">
        <v>0</v>
      </c>
      <c r="L561" s="4">
        <v>2957.6</v>
      </c>
      <c r="M561" t="s">
        <v>42</v>
      </c>
      <c r="N561" t="s">
        <v>60</v>
      </c>
      <c r="O561">
        <f>IF(TablaVentas[[#This Row],[Precio_unitario]]="","PENDIENTE",TablaVentas[[#This Row],[Unidades]]*TablaVentas[[#This Row],[Precio_unitario]]*(1-TablaVentas[[#This Row],[Descuento_pct]]))</f>
        <v>11642.7</v>
      </c>
      <c r="P561">
        <f>IF(TablaVentas[[#This Row],[Costo_unitario]]="","PENDIENTE",TablaVentas[[#This Row],[Unidades]]*TablaVentas[[#This Row],[Costo_unitario]])</f>
        <v>8872.7999999999993</v>
      </c>
      <c r="Q561">
        <f>IF(OR(TablaVentas[[#This Row],[Ingreso_neto]]="PENDIENTE",TablaVentas[[#This Row],[Costo_total]]="PENDIENTE"),"PENDIENTE",TablaVentas[[#This Row],[Ingreso_neto]]-TablaVentas[[#This Row],[Costo_total]])</f>
        <v>2769.9000000000015</v>
      </c>
    </row>
    <row r="562" spans="1:17">
      <c r="A562" t="s">
        <v>559</v>
      </c>
      <c r="B562">
        <v>4</v>
      </c>
      <c r="C562" s="3">
        <v>46075</v>
      </c>
      <c r="D562" t="s">
        <v>380</v>
      </c>
      <c r="E562" t="s">
        <v>217</v>
      </c>
      <c r="F562" t="s">
        <v>39</v>
      </c>
      <c r="G562" t="s">
        <v>40</v>
      </c>
      <c r="H562" t="s">
        <v>58</v>
      </c>
      <c r="I562">
        <v>12</v>
      </c>
      <c r="J562" s="4">
        <v>18187.55</v>
      </c>
      <c r="K562" s="5">
        <v>0.15</v>
      </c>
      <c r="L562" s="4">
        <v>14161.63</v>
      </c>
      <c r="M562" t="s">
        <v>116</v>
      </c>
      <c r="N562" t="s">
        <v>45</v>
      </c>
      <c r="O562">
        <f>IF(TablaVentas[[#This Row],[Precio_unitario]]="","PENDIENTE",TablaVentas[[#This Row],[Unidades]]*TablaVentas[[#This Row],[Precio_unitario]]*(1-TablaVentas[[#This Row],[Descuento_pct]]))</f>
        <v>185513.00999999998</v>
      </c>
      <c r="P562">
        <f>IF(TablaVentas[[#This Row],[Costo_unitario]]="","PENDIENTE",TablaVentas[[#This Row],[Unidades]]*TablaVentas[[#This Row],[Costo_unitario]])</f>
        <v>169939.56</v>
      </c>
      <c r="Q562">
        <f>IF(OR(TablaVentas[[#This Row],[Ingreso_neto]]="PENDIENTE",TablaVentas[[#This Row],[Costo_total]]="PENDIENTE"),"PENDIENTE",TablaVentas[[#This Row],[Ingreso_neto]]-TablaVentas[[#This Row],[Costo_total]])</f>
        <v>15573.449999999983</v>
      </c>
    </row>
    <row r="563" spans="1:17">
      <c r="A563" t="s">
        <v>560</v>
      </c>
      <c r="B563">
        <v>1</v>
      </c>
      <c r="C563" s="3">
        <v>46062</v>
      </c>
      <c r="D563" t="s">
        <v>527</v>
      </c>
      <c r="E563" t="s">
        <v>335</v>
      </c>
      <c r="F563" t="s">
        <v>66</v>
      </c>
      <c r="G563" t="s">
        <v>50</v>
      </c>
      <c r="H563" t="s">
        <v>82</v>
      </c>
      <c r="I563">
        <v>1</v>
      </c>
      <c r="J563" s="4">
        <v>7193.69</v>
      </c>
      <c r="K563" s="5">
        <v>0</v>
      </c>
      <c r="L563" s="4">
        <v>5587.31</v>
      </c>
      <c r="M563" t="s">
        <v>42</v>
      </c>
      <c r="N563" t="s">
        <v>52</v>
      </c>
      <c r="O563">
        <f>IF(TablaVentas[[#This Row],[Precio_unitario]]="","PENDIENTE",TablaVentas[[#This Row],[Unidades]]*TablaVentas[[#This Row],[Precio_unitario]]*(1-TablaVentas[[#This Row],[Descuento_pct]]))</f>
        <v>7193.69</v>
      </c>
      <c r="P563">
        <f>IF(TablaVentas[[#This Row],[Costo_unitario]]="","PENDIENTE",TablaVentas[[#This Row],[Unidades]]*TablaVentas[[#This Row],[Costo_unitario]])</f>
        <v>5587.31</v>
      </c>
      <c r="Q563">
        <f>IF(OR(TablaVentas[[#This Row],[Ingreso_neto]]="PENDIENTE",TablaVentas[[#This Row],[Costo_total]]="PENDIENTE"),"PENDIENTE",TablaVentas[[#This Row],[Ingreso_neto]]-TablaVentas[[#This Row],[Costo_total]])</f>
        <v>1606.3799999999992</v>
      </c>
    </row>
    <row r="564" spans="1:17">
      <c r="A564" t="s">
        <v>560</v>
      </c>
      <c r="B564">
        <v>2</v>
      </c>
      <c r="C564" s="3">
        <v>46062</v>
      </c>
      <c r="D564" t="s">
        <v>527</v>
      </c>
      <c r="E564" t="s">
        <v>320</v>
      </c>
      <c r="F564" t="s">
        <v>66</v>
      </c>
      <c r="G564" t="s">
        <v>50</v>
      </c>
      <c r="H564" t="s">
        <v>82</v>
      </c>
      <c r="I564">
        <v>1</v>
      </c>
      <c r="J564" s="4">
        <v>4481.29</v>
      </c>
      <c r="K564" s="5">
        <v>0.05</v>
      </c>
      <c r="L564" s="4">
        <v>3065.66</v>
      </c>
      <c r="M564" t="s">
        <v>42</v>
      </c>
      <c r="N564" t="s">
        <v>43</v>
      </c>
      <c r="O564">
        <f>IF(TablaVentas[[#This Row],[Precio_unitario]]="","PENDIENTE",TablaVentas[[#This Row],[Unidades]]*TablaVentas[[#This Row],[Precio_unitario]]*(1-TablaVentas[[#This Row],[Descuento_pct]]))</f>
        <v>4257.2254999999996</v>
      </c>
      <c r="P564">
        <f>IF(TablaVentas[[#This Row],[Costo_unitario]]="","PENDIENTE",TablaVentas[[#This Row],[Unidades]]*TablaVentas[[#This Row],[Costo_unitario]])</f>
        <v>3065.66</v>
      </c>
      <c r="Q564">
        <f>IF(OR(TablaVentas[[#This Row],[Ingreso_neto]]="PENDIENTE",TablaVentas[[#This Row],[Costo_total]]="PENDIENTE"),"PENDIENTE",TablaVentas[[#This Row],[Ingreso_neto]]-TablaVentas[[#This Row],[Costo_total]])</f>
        <v>1191.5654999999997</v>
      </c>
    </row>
    <row r="565" spans="1:17">
      <c r="A565" t="s">
        <v>560</v>
      </c>
      <c r="B565">
        <v>3</v>
      </c>
      <c r="C565" s="3">
        <v>46062</v>
      </c>
      <c r="D565" t="s">
        <v>527</v>
      </c>
      <c r="E565" t="s">
        <v>236</v>
      </c>
      <c r="F565" t="s">
        <v>66</v>
      </c>
      <c r="G565" t="s">
        <v>50</v>
      </c>
      <c r="H565" t="s">
        <v>82</v>
      </c>
      <c r="I565">
        <v>4</v>
      </c>
      <c r="J565" s="4">
        <v>10300.84</v>
      </c>
      <c r="K565" s="5">
        <v>0.2</v>
      </c>
      <c r="L565" s="4">
        <v>8061.7</v>
      </c>
      <c r="M565" t="s">
        <v>62</v>
      </c>
      <c r="N565" t="s">
        <v>43</v>
      </c>
      <c r="O565">
        <f>IF(TablaVentas[[#This Row],[Precio_unitario]]="","PENDIENTE",TablaVentas[[#This Row],[Unidades]]*TablaVentas[[#This Row],[Precio_unitario]]*(1-TablaVentas[[#This Row],[Descuento_pct]]))</f>
        <v>32962.688000000002</v>
      </c>
      <c r="P565">
        <f>IF(TablaVentas[[#This Row],[Costo_unitario]]="","PENDIENTE",TablaVentas[[#This Row],[Unidades]]*TablaVentas[[#This Row],[Costo_unitario]])</f>
        <v>32246.799999999999</v>
      </c>
      <c r="Q565">
        <f>IF(OR(TablaVentas[[#This Row],[Ingreso_neto]]="PENDIENTE",TablaVentas[[#This Row],[Costo_total]]="PENDIENTE"),"PENDIENTE",TablaVentas[[#This Row],[Ingreso_neto]]-TablaVentas[[#This Row],[Costo_total]])</f>
        <v>715.88800000000265</v>
      </c>
    </row>
    <row r="566" spans="1:17">
      <c r="A566" t="s">
        <v>560</v>
      </c>
      <c r="B566">
        <v>4</v>
      </c>
      <c r="C566" s="3">
        <v>46062</v>
      </c>
      <c r="D566" t="s">
        <v>527</v>
      </c>
      <c r="E566" t="s">
        <v>83</v>
      </c>
      <c r="F566" t="s">
        <v>66</v>
      </c>
      <c r="G566" t="s">
        <v>50</v>
      </c>
      <c r="H566" t="s">
        <v>82</v>
      </c>
      <c r="I566">
        <v>2</v>
      </c>
      <c r="J566" s="4">
        <v>15360.92</v>
      </c>
      <c r="K566" s="5">
        <v>0.15</v>
      </c>
      <c r="L566" s="4">
        <v>12723.77</v>
      </c>
      <c r="M566" t="s">
        <v>42</v>
      </c>
      <c r="N566" t="s">
        <v>45</v>
      </c>
      <c r="O566">
        <f>IF(TablaVentas[[#This Row],[Precio_unitario]]="","PENDIENTE",TablaVentas[[#This Row],[Unidades]]*TablaVentas[[#This Row],[Precio_unitario]]*(1-TablaVentas[[#This Row],[Descuento_pct]]))</f>
        <v>26113.563999999998</v>
      </c>
      <c r="P566">
        <f>IF(TablaVentas[[#This Row],[Costo_unitario]]="","PENDIENTE",TablaVentas[[#This Row],[Unidades]]*TablaVentas[[#This Row],[Costo_unitario]])</f>
        <v>25447.54</v>
      </c>
      <c r="Q566">
        <f>IF(OR(TablaVentas[[#This Row],[Ingreso_neto]]="PENDIENTE",TablaVentas[[#This Row],[Costo_total]]="PENDIENTE"),"PENDIENTE",TablaVentas[[#This Row],[Ingreso_neto]]-TablaVentas[[#This Row],[Costo_total]])</f>
        <v>666.02399999999761</v>
      </c>
    </row>
    <row r="567" spans="1:17">
      <c r="A567" t="s">
        <v>561</v>
      </c>
      <c r="B567">
        <v>1</v>
      </c>
      <c r="C567" s="3">
        <v>46141</v>
      </c>
      <c r="D567" t="s">
        <v>562</v>
      </c>
      <c r="E567" t="s">
        <v>397</v>
      </c>
      <c r="F567" t="s">
        <v>66</v>
      </c>
      <c r="G567" t="s">
        <v>50</v>
      </c>
      <c r="H567" t="s">
        <v>129</v>
      </c>
      <c r="I567">
        <v>3</v>
      </c>
      <c r="J567" s="4">
        <v>6670.79</v>
      </c>
      <c r="K567" s="5">
        <v>0</v>
      </c>
      <c r="L567" s="4">
        <v>3640.56</v>
      </c>
      <c r="M567" t="s">
        <v>42</v>
      </c>
      <c r="N567" t="s">
        <v>43</v>
      </c>
      <c r="O567">
        <f>IF(TablaVentas[[#This Row],[Precio_unitario]]="","PENDIENTE",TablaVentas[[#This Row],[Unidades]]*TablaVentas[[#This Row],[Precio_unitario]]*(1-TablaVentas[[#This Row],[Descuento_pct]]))</f>
        <v>20012.37</v>
      </c>
      <c r="P567">
        <f>IF(TablaVentas[[#This Row],[Costo_unitario]]="","PENDIENTE",TablaVentas[[#This Row],[Unidades]]*TablaVentas[[#This Row],[Costo_unitario]])</f>
        <v>10921.68</v>
      </c>
      <c r="Q567">
        <f>IF(OR(TablaVentas[[#This Row],[Ingreso_neto]]="PENDIENTE",TablaVentas[[#This Row],[Costo_total]]="PENDIENTE"),"PENDIENTE",TablaVentas[[#This Row],[Ingreso_neto]]-TablaVentas[[#This Row],[Costo_total]])</f>
        <v>9090.6899999999987</v>
      </c>
    </row>
    <row r="568" spans="1:17">
      <c r="A568" t="s">
        <v>561</v>
      </c>
      <c r="B568">
        <v>2</v>
      </c>
      <c r="C568" s="3">
        <v>46141</v>
      </c>
      <c r="D568" t="s">
        <v>562</v>
      </c>
      <c r="E568" t="s">
        <v>537</v>
      </c>
      <c r="F568" t="s">
        <v>66</v>
      </c>
      <c r="G568" t="s">
        <v>50</v>
      </c>
      <c r="H568" t="s">
        <v>129</v>
      </c>
      <c r="I568">
        <v>1</v>
      </c>
      <c r="J568" s="4">
        <v>5645.83</v>
      </c>
      <c r="K568" s="5">
        <v>0</v>
      </c>
      <c r="L568" s="4">
        <v>4556.2299999999996</v>
      </c>
      <c r="M568" t="s">
        <v>42</v>
      </c>
      <c r="N568" t="s">
        <v>45</v>
      </c>
      <c r="O568">
        <f>IF(TablaVentas[[#This Row],[Precio_unitario]]="","PENDIENTE",TablaVentas[[#This Row],[Unidades]]*TablaVentas[[#This Row],[Precio_unitario]]*(1-TablaVentas[[#This Row],[Descuento_pct]]))</f>
        <v>5645.83</v>
      </c>
      <c r="P568">
        <f>IF(TablaVentas[[#This Row],[Costo_unitario]]="","PENDIENTE",TablaVentas[[#This Row],[Unidades]]*TablaVentas[[#This Row],[Costo_unitario]])</f>
        <v>4556.2299999999996</v>
      </c>
      <c r="Q568">
        <f>IF(OR(TablaVentas[[#This Row],[Ingreso_neto]]="PENDIENTE",TablaVentas[[#This Row],[Costo_total]]="PENDIENTE"),"PENDIENTE",TablaVentas[[#This Row],[Ingreso_neto]]-TablaVentas[[#This Row],[Costo_total]])</f>
        <v>1089.6000000000004</v>
      </c>
    </row>
    <row r="569" spans="1:17">
      <c r="A569" t="s">
        <v>563</v>
      </c>
      <c r="B569">
        <v>1</v>
      </c>
      <c r="C569" s="3">
        <v>46116</v>
      </c>
      <c r="D569" t="s">
        <v>564</v>
      </c>
      <c r="E569" t="s">
        <v>277</v>
      </c>
      <c r="F569" t="s">
        <v>77</v>
      </c>
      <c r="G569" t="s">
        <v>40</v>
      </c>
      <c r="H569" t="s">
        <v>41</v>
      </c>
      <c r="I569">
        <v>2</v>
      </c>
      <c r="J569" s="4">
        <v>6835.49</v>
      </c>
      <c r="K569" s="5">
        <v>0.2</v>
      </c>
      <c r="L569" s="4">
        <v>4858.08</v>
      </c>
      <c r="M569" t="s">
        <v>42</v>
      </c>
      <c r="N569" t="s">
        <v>60</v>
      </c>
      <c r="O569">
        <f>IF(TablaVentas[[#This Row],[Precio_unitario]]="","PENDIENTE",TablaVentas[[#This Row],[Unidades]]*TablaVentas[[#This Row],[Precio_unitario]]*(1-TablaVentas[[#This Row],[Descuento_pct]]))</f>
        <v>10936.784</v>
      </c>
      <c r="P569">
        <f>IF(TablaVentas[[#This Row],[Costo_unitario]]="","PENDIENTE",TablaVentas[[#This Row],[Unidades]]*TablaVentas[[#This Row],[Costo_unitario]])</f>
        <v>9716.16</v>
      </c>
      <c r="Q569">
        <f>IF(OR(TablaVentas[[#This Row],[Ingreso_neto]]="PENDIENTE",TablaVentas[[#This Row],[Costo_total]]="PENDIENTE"),"PENDIENTE",TablaVentas[[#This Row],[Ingreso_neto]]-TablaVentas[[#This Row],[Costo_total]])</f>
        <v>1220.6239999999998</v>
      </c>
    </row>
    <row r="570" spans="1:17">
      <c r="A570" t="s">
        <v>563</v>
      </c>
      <c r="B570">
        <v>2</v>
      </c>
      <c r="C570" s="3">
        <v>46116</v>
      </c>
      <c r="D570" t="s">
        <v>564</v>
      </c>
      <c r="E570" t="s">
        <v>233</v>
      </c>
      <c r="F570" t="s">
        <v>77</v>
      </c>
      <c r="G570" t="s">
        <v>40</v>
      </c>
      <c r="H570" t="s">
        <v>41</v>
      </c>
      <c r="I570">
        <v>8</v>
      </c>
      <c r="J570" s="4">
        <v>10501.86</v>
      </c>
      <c r="K570" s="5">
        <v>0</v>
      </c>
      <c r="L570" s="4">
        <v>5932.12</v>
      </c>
      <c r="M570" t="s">
        <v>42</v>
      </c>
      <c r="N570" t="s">
        <v>43</v>
      </c>
      <c r="O570">
        <f>IF(TablaVentas[[#This Row],[Precio_unitario]]="","PENDIENTE",TablaVentas[[#This Row],[Unidades]]*TablaVentas[[#This Row],[Precio_unitario]]*(1-TablaVentas[[#This Row],[Descuento_pct]]))</f>
        <v>84014.88</v>
      </c>
      <c r="P570">
        <f>IF(TablaVentas[[#This Row],[Costo_unitario]]="","PENDIENTE",TablaVentas[[#This Row],[Unidades]]*TablaVentas[[#This Row],[Costo_unitario]])</f>
        <v>47456.959999999999</v>
      </c>
      <c r="Q570">
        <f>IF(OR(TablaVentas[[#This Row],[Ingreso_neto]]="PENDIENTE",TablaVentas[[#This Row],[Costo_total]]="PENDIENTE"),"PENDIENTE",TablaVentas[[#This Row],[Ingreso_neto]]-TablaVentas[[#This Row],[Costo_total]])</f>
        <v>36557.920000000006</v>
      </c>
    </row>
    <row r="571" spans="1:17">
      <c r="A571" t="s">
        <v>563</v>
      </c>
      <c r="B571">
        <v>3</v>
      </c>
      <c r="C571" s="3">
        <v>46116</v>
      </c>
      <c r="D571" t="s">
        <v>564</v>
      </c>
      <c r="E571" t="s">
        <v>151</v>
      </c>
      <c r="F571" t="s">
        <v>77</v>
      </c>
      <c r="G571" t="s">
        <v>40</v>
      </c>
      <c r="H571" t="s">
        <v>41</v>
      </c>
      <c r="I571">
        <v>3</v>
      </c>
      <c r="J571" s="4">
        <v>17318.95</v>
      </c>
      <c r="K571" s="5">
        <v>0</v>
      </c>
      <c r="L571" s="4">
        <v>8963.23</v>
      </c>
      <c r="M571" t="s">
        <v>42</v>
      </c>
      <c r="N571" t="s">
        <v>43</v>
      </c>
      <c r="O571">
        <f>IF(TablaVentas[[#This Row],[Precio_unitario]]="","PENDIENTE",TablaVentas[[#This Row],[Unidades]]*TablaVentas[[#This Row],[Precio_unitario]]*(1-TablaVentas[[#This Row],[Descuento_pct]]))</f>
        <v>51956.850000000006</v>
      </c>
      <c r="P571">
        <f>IF(TablaVentas[[#This Row],[Costo_unitario]]="","PENDIENTE",TablaVentas[[#This Row],[Unidades]]*TablaVentas[[#This Row],[Costo_unitario]])</f>
        <v>26889.69</v>
      </c>
      <c r="Q571">
        <f>IF(OR(TablaVentas[[#This Row],[Ingreso_neto]]="PENDIENTE",TablaVentas[[#This Row],[Costo_total]]="PENDIENTE"),"PENDIENTE",TablaVentas[[#This Row],[Ingreso_neto]]-TablaVentas[[#This Row],[Costo_total]])</f>
        <v>25067.160000000007</v>
      </c>
    </row>
    <row r="572" spans="1:17">
      <c r="A572" t="s">
        <v>563</v>
      </c>
      <c r="B572">
        <v>4</v>
      </c>
      <c r="C572" s="3">
        <v>46116</v>
      </c>
      <c r="D572" t="s">
        <v>564</v>
      </c>
      <c r="E572" t="s">
        <v>139</v>
      </c>
      <c r="F572" t="s">
        <v>77</v>
      </c>
      <c r="G572" t="s">
        <v>40</v>
      </c>
      <c r="H572" t="s">
        <v>41</v>
      </c>
      <c r="I572">
        <v>4</v>
      </c>
      <c r="J572" s="4">
        <v>9932.34</v>
      </c>
      <c r="K572" s="5">
        <v>0</v>
      </c>
      <c r="L572" s="4">
        <v>8002.16</v>
      </c>
      <c r="M572" t="s">
        <v>42</v>
      </c>
      <c r="N572" t="s">
        <v>60</v>
      </c>
      <c r="O572">
        <f>IF(TablaVentas[[#This Row],[Precio_unitario]]="","PENDIENTE",TablaVentas[[#This Row],[Unidades]]*TablaVentas[[#This Row],[Precio_unitario]]*(1-TablaVentas[[#This Row],[Descuento_pct]]))</f>
        <v>39729.360000000001</v>
      </c>
      <c r="P572">
        <f>IF(TablaVentas[[#This Row],[Costo_unitario]]="","PENDIENTE",TablaVentas[[#This Row],[Unidades]]*TablaVentas[[#This Row],[Costo_unitario]])</f>
        <v>32008.639999999999</v>
      </c>
      <c r="Q572">
        <f>IF(OR(TablaVentas[[#This Row],[Ingreso_neto]]="PENDIENTE",TablaVentas[[#This Row],[Costo_total]]="PENDIENTE"),"PENDIENTE",TablaVentas[[#This Row],[Ingreso_neto]]-TablaVentas[[#This Row],[Costo_total]])</f>
        <v>7720.7200000000012</v>
      </c>
    </row>
    <row r="573" spans="1:17">
      <c r="A573" t="s">
        <v>565</v>
      </c>
      <c r="B573">
        <v>1</v>
      </c>
      <c r="C573" s="3">
        <v>46276</v>
      </c>
      <c r="D573" t="s">
        <v>37</v>
      </c>
      <c r="E573" t="s">
        <v>138</v>
      </c>
      <c r="F573" t="s">
        <v>77</v>
      </c>
      <c r="G573" t="s">
        <v>50</v>
      </c>
      <c r="H573" t="s">
        <v>129</v>
      </c>
      <c r="I573">
        <v>1</v>
      </c>
      <c r="J573" s="4">
        <v>7102.07</v>
      </c>
      <c r="K573" s="5">
        <v>0</v>
      </c>
      <c r="L573" s="4">
        <v>4665.62</v>
      </c>
      <c r="M573" t="s">
        <v>42</v>
      </c>
      <c r="N573" t="s">
        <v>52</v>
      </c>
      <c r="O573">
        <f>IF(TablaVentas[[#This Row],[Precio_unitario]]="","PENDIENTE",TablaVentas[[#This Row],[Unidades]]*TablaVentas[[#This Row],[Precio_unitario]]*(1-TablaVentas[[#This Row],[Descuento_pct]]))</f>
        <v>7102.07</v>
      </c>
      <c r="P573">
        <f>IF(TablaVentas[[#This Row],[Costo_unitario]]="","PENDIENTE",TablaVentas[[#This Row],[Unidades]]*TablaVentas[[#This Row],[Costo_unitario]])</f>
        <v>4665.62</v>
      </c>
      <c r="Q573">
        <f>IF(OR(TablaVentas[[#This Row],[Ingreso_neto]]="PENDIENTE",TablaVentas[[#This Row],[Costo_total]]="PENDIENTE"),"PENDIENTE",TablaVentas[[#This Row],[Ingreso_neto]]-TablaVentas[[#This Row],[Costo_total]])</f>
        <v>2436.4499999999998</v>
      </c>
    </row>
    <row r="574" spans="1:17">
      <c r="A574" t="s">
        <v>565</v>
      </c>
      <c r="B574">
        <v>2</v>
      </c>
      <c r="C574" s="3">
        <v>46276</v>
      </c>
      <c r="D574" t="s">
        <v>37</v>
      </c>
      <c r="E574" t="s">
        <v>160</v>
      </c>
      <c r="F574" t="s">
        <v>77</v>
      </c>
      <c r="G574" t="s">
        <v>50</v>
      </c>
      <c r="H574" t="s">
        <v>129</v>
      </c>
      <c r="I574">
        <v>3</v>
      </c>
      <c r="J574" s="4">
        <v>6991.29</v>
      </c>
      <c r="K574" s="5">
        <v>0</v>
      </c>
      <c r="L574" s="4">
        <v>4082.15</v>
      </c>
      <c r="M574" t="s">
        <v>42</v>
      </c>
      <c r="N574" t="s">
        <v>60</v>
      </c>
      <c r="O574">
        <f>IF(TablaVentas[[#This Row],[Precio_unitario]]="","PENDIENTE",TablaVentas[[#This Row],[Unidades]]*TablaVentas[[#This Row],[Precio_unitario]]*(1-TablaVentas[[#This Row],[Descuento_pct]]))</f>
        <v>20973.87</v>
      </c>
      <c r="P574">
        <f>IF(TablaVentas[[#This Row],[Costo_unitario]]="","PENDIENTE",TablaVentas[[#This Row],[Unidades]]*TablaVentas[[#This Row],[Costo_unitario]])</f>
        <v>12246.45</v>
      </c>
      <c r="Q574">
        <f>IF(OR(TablaVentas[[#This Row],[Ingreso_neto]]="PENDIENTE",TablaVentas[[#This Row],[Costo_total]]="PENDIENTE"),"PENDIENTE",TablaVentas[[#This Row],[Ingreso_neto]]-TablaVentas[[#This Row],[Costo_total]])</f>
        <v>8727.4199999999983</v>
      </c>
    </row>
    <row r="575" spans="1:17">
      <c r="A575" t="s">
        <v>565</v>
      </c>
      <c r="B575">
        <v>3</v>
      </c>
      <c r="C575" s="3">
        <v>46276</v>
      </c>
      <c r="D575" t="s">
        <v>37</v>
      </c>
      <c r="E575" t="s">
        <v>248</v>
      </c>
      <c r="F575" t="s">
        <v>77</v>
      </c>
      <c r="G575" t="s">
        <v>50</v>
      </c>
      <c r="H575" t="s">
        <v>129</v>
      </c>
      <c r="I575">
        <v>2</v>
      </c>
      <c r="J575" s="4">
        <v>11761.48</v>
      </c>
      <c r="K575" s="5">
        <v>0</v>
      </c>
      <c r="L575" s="4">
        <v>6856.4</v>
      </c>
      <c r="M575" t="s">
        <v>42</v>
      </c>
      <c r="N575" t="s">
        <v>43</v>
      </c>
      <c r="O575">
        <f>IF(TablaVentas[[#This Row],[Precio_unitario]]="","PENDIENTE",TablaVentas[[#This Row],[Unidades]]*TablaVentas[[#This Row],[Precio_unitario]]*(1-TablaVentas[[#This Row],[Descuento_pct]]))</f>
        <v>23522.959999999999</v>
      </c>
      <c r="P575">
        <f>IF(TablaVentas[[#This Row],[Costo_unitario]]="","PENDIENTE",TablaVentas[[#This Row],[Unidades]]*TablaVentas[[#This Row],[Costo_unitario]])</f>
        <v>13712.8</v>
      </c>
      <c r="Q575">
        <f>IF(OR(TablaVentas[[#This Row],[Ingreso_neto]]="PENDIENTE",TablaVentas[[#This Row],[Costo_total]]="PENDIENTE"),"PENDIENTE",TablaVentas[[#This Row],[Ingreso_neto]]-TablaVentas[[#This Row],[Costo_total]])</f>
        <v>9810.16</v>
      </c>
    </row>
    <row r="576" spans="1:17">
      <c r="A576" t="s">
        <v>565</v>
      </c>
      <c r="B576">
        <v>4</v>
      </c>
      <c r="C576" s="3">
        <v>46276</v>
      </c>
      <c r="D576" t="s">
        <v>37</v>
      </c>
      <c r="E576" t="s">
        <v>68</v>
      </c>
      <c r="F576" t="s">
        <v>77</v>
      </c>
      <c r="G576" t="s">
        <v>50</v>
      </c>
      <c r="H576" t="s">
        <v>129</v>
      </c>
      <c r="I576">
        <v>4</v>
      </c>
      <c r="J576" s="4">
        <v>16036.15</v>
      </c>
      <c r="K576" s="5">
        <v>0</v>
      </c>
      <c r="L576" s="4">
        <v>9243.35</v>
      </c>
      <c r="M576" t="s">
        <v>42</v>
      </c>
      <c r="N576" t="s">
        <v>43</v>
      </c>
      <c r="O576">
        <f>IF(TablaVentas[[#This Row],[Precio_unitario]]="","PENDIENTE",TablaVentas[[#This Row],[Unidades]]*TablaVentas[[#This Row],[Precio_unitario]]*(1-TablaVentas[[#This Row],[Descuento_pct]]))</f>
        <v>64144.6</v>
      </c>
      <c r="P576">
        <f>IF(TablaVentas[[#This Row],[Costo_unitario]]="","PENDIENTE",TablaVentas[[#This Row],[Unidades]]*TablaVentas[[#This Row],[Costo_unitario]])</f>
        <v>36973.4</v>
      </c>
      <c r="Q576">
        <f>IF(OR(TablaVentas[[#This Row],[Ingreso_neto]]="PENDIENTE",TablaVentas[[#This Row],[Costo_total]]="PENDIENTE"),"PENDIENTE",TablaVentas[[#This Row],[Ingreso_neto]]-TablaVentas[[#This Row],[Costo_total]])</f>
        <v>27171.199999999997</v>
      </c>
    </row>
    <row r="577" spans="1:17">
      <c r="A577" t="s">
        <v>566</v>
      </c>
      <c r="B577">
        <v>1</v>
      </c>
      <c r="C577" s="3">
        <v>46086</v>
      </c>
      <c r="D577" t="s">
        <v>542</v>
      </c>
      <c r="E577" t="s">
        <v>94</v>
      </c>
      <c r="F577" t="s">
        <v>77</v>
      </c>
      <c r="G577" t="s">
        <v>50</v>
      </c>
      <c r="H577" t="s">
        <v>129</v>
      </c>
      <c r="I577">
        <v>2</v>
      </c>
      <c r="J577" s="4">
        <v>7338.12</v>
      </c>
      <c r="K577" s="5">
        <v>0.15</v>
      </c>
      <c r="L577" s="4">
        <v>4538.0600000000004</v>
      </c>
      <c r="M577" t="s">
        <v>116</v>
      </c>
      <c r="N577" t="s">
        <v>45</v>
      </c>
      <c r="O577">
        <f>IF(TablaVentas[[#This Row],[Precio_unitario]]="","PENDIENTE",TablaVentas[[#This Row],[Unidades]]*TablaVentas[[#This Row],[Precio_unitario]]*(1-TablaVentas[[#This Row],[Descuento_pct]]))</f>
        <v>12474.804</v>
      </c>
      <c r="P577">
        <f>IF(TablaVentas[[#This Row],[Costo_unitario]]="","PENDIENTE",TablaVentas[[#This Row],[Unidades]]*TablaVentas[[#This Row],[Costo_unitario]])</f>
        <v>9076.1200000000008</v>
      </c>
      <c r="Q577">
        <f>IF(OR(TablaVentas[[#This Row],[Ingreso_neto]]="PENDIENTE",TablaVentas[[#This Row],[Costo_total]]="PENDIENTE"),"PENDIENTE",TablaVentas[[#This Row],[Ingreso_neto]]-TablaVentas[[#This Row],[Costo_total]])</f>
        <v>3398.6839999999993</v>
      </c>
    </row>
    <row r="578" spans="1:17">
      <c r="A578" t="s">
        <v>567</v>
      </c>
      <c r="B578">
        <v>1</v>
      </c>
      <c r="C578" s="3">
        <v>46270</v>
      </c>
      <c r="D578" t="s">
        <v>568</v>
      </c>
      <c r="E578" t="s">
        <v>160</v>
      </c>
      <c r="F578" t="s">
        <v>77</v>
      </c>
      <c r="G578" t="s">
        <v>40</v>
      </c>
      <c r="H578" t="s">
        <v>129</v>
      </c>
      <c r="I578">
        <v>8</v>
      </c>
      <c r="J578" s="4">
        <v>7323.28</v>
      </c>
      <c r="K578" s="5">
        <v>0.15</v>
      </c>
      <c r="L578" s="4">
        <v>4082.15</v>
      </c>
      <c r="M578" t="s">
        <v>42</v>
      </c>
      <c r="N578" t="s">
        <v>52</v>
      </c>
      <c r="O578">
        <f>IF(TablaVentas[[#This Row],[Precio_unitario]]="","PENDIENTE",TablaVentas[[#This Row],[Unidades]]*TablaVentas[[#This Row],[Precio_unitario]]*(1-TablaVentas[[#This Row],[Descuento_pct]]))</f>
        <v>49798.303999999996</v>
      </c>
      <c r="P578">
        <f>IF(TablaVentas[[#This Row],[Costo_unitario]]="","PENDIENTE",TablaVentas[[#This Row],[Unidades]]*TablaVentas[[#This Row],[Costo_unitario]])</f>
        <v>32657.200000000001</v>
      </c>
      <c r="Q578">
        <f>IF(OR(TablaVentas[[#This Row],[Ingreso_neto]]="PENDIENTE",TablaVentas[[#This Row],[Costo_total]]="PENDIENTE"),"PENDIENTE",TablaVentas[[#This Row],[Ingreso_neto]]-TablaVentas[[#This Row],[Costo_total]])</f>
        <v>17141.103999999996</v>
      </c>
    </row>
    <row r="579" spans="1:17">
      <c r="A579" t="s">
        <v>567</v>
      </c>
      <c r="B579">
        <v>2</v>
      </c>
      <c r="C579" s="3">
        <v>46270</v>
      </c>
      <c r="D579" t="s">
        <v>568</v>
      </c>
      <c r="E579" t="s">
        <v>175</v>
      </c>
      <c r="F579" t="s">
        <v>77</v>
      </c>
      <c r="G579" t="s">
        <v>40</v>
      </c>
      <c r="H579" t="s">
        <v>129</v>
      </c>
      <c r="I579">
        <v>1</v>
      </c>
      <c r="J579" s="4">
        <v>2761.87</v>
      </c>
      <c r="K579" s="5">
        <v>0</v>
      </c>
      <c r="L579" s="4">
        <v>1857.39</v>
      </c>
      <c r="M579" t="s">
        <v>42</v>
      </c>
      <c r="N579" t="s">
        <v>60</v>
      </c>
      <c r="O579">
        <f>IF(TablaVentas[[#This Row],[Precio_unitario]]="","PENDIENTE",TablaVentas[[#This Row],[Unidades]]*TablaVentas[[#This Row],[Precio_unitario]]*(1-TablaVentas[[#This Row],[Descuento_pct]]))</f>
        <v>2761.87</v>
      </c>
      <c r="P579">
        <f>IF(TablaVentas[[#This Row],[Costo_unitario]]="","PENDIENTE",TablaVentas[[#This Row],[Unidades]]*TablaVentas[[#This Row],[Costo_unitario]])</f>
        <v>1857.39</v>
      </c>
      <c r="Q579">
        <f>IF(OR(TablaVentas[[#This Row],[Ingreso_neto]]="PENDIENTE",TablaVentas[[#This Row],[Costo_total]]="PENDIENTE"),"PENDIENTE",TablaVentas[[#This Row],[Ingreso_neto]]-TablaVentas[[#This Row],[Costo_total]])</f>
        <v>904.47999999999979</v>
      </c>
    </row>
    <row r="580" spans="1:17">
      <c r="A580" t="s">
        <v>567</v>
      </c>
      <c r="B580">
        <v>3</v>
      </c>
      <c r="C580" s="3">
        <v>46270</v>
      </c>
      <c r="D580" t="s">
        <v>568</v>
      </c>
      <c r="E580" t="s">
        <v>172</v>
      </c>
      <c r="F580" t="s">
        <v>77</v>
      </c>
      <c r="G580" t="s">
        <v>40</v>
      </c>
      <c r="H580" t="s">
        <v>129</v>
      </c>
      <c r="I580">
        <v>1</v>
      </c>
      <c r="J580" s="4">
        <v>15151.59</v>
      </c>
      <c r="K580" s="5">
        <v>0.15</v>
      </c>
      <c r="L580" s="4">
        <v>10830.17</v>
      </c>
      <c r="M580" t="s">
        <v>42</v>
      </c>
      <c r="N580" t="s">
        <v>60</v>
      </c>
      <c r="O580">
        <f>IF(TablaVentas[[#This Row],[Precio_unitario]]="","PENDIENTE",TablaVentas[[#This Row],[Unidades]]*TablaVentas[[#This Row],[Precio_unitario]]*(1-TablaVentas[[#This Row],[Descuento_pct]]))</f>
        <v>12878.851500000001</v>
      </c>
      <c r="P580">
        <f>IF(TablaVentas[[#This Row],[Costo_unitario]]="","PENDIENTE",TablaVentas[[#This Row],[Unidades]]*TablaVentas[[#This Row],[Costo_unitario]])</f>
        <v>10830.17</v>
      </c>
      <c r="Q580">
        <f>IF(OR(TablaVentas[[#This Row],[Ingreso_neto]]="PENDIENTE",TablaVentas[[#This Row],[Costo_total]]="PENDIENTE"),"PENDIENTE",TablaVentas[[#This Row],[Ingreso_neto]]-TablaVentas[[#This Row],[Costo_total]])</f>
        <v>2048.6815000000006</v>
      </c>
    </row>
    <row r="581" spans="1:17">
      <c r="A581" t="s">
        <v>567</v>
      </c>
      <c r="B581">
        <v>4</v>
      </c>
      <c r="C581" s="3">
        <v>46270</v>
      </c>
      <c r="D581" t="s">
        <v>568</v>
      </c>
      <c r="E581" t="s">
        <v>353</v>
      </c>
      <c r="F581" t="s">
        <v>77</v>
      </c>
      <c r="G581" t="s">
        <v>40</v>
      </c>
      <c r="H581" t="s">
        <v>129</v>
      </c>
      <c r="I581">
        <v>2</v>
      </c>
      <c r="J581" s="4">
        <v>1967.33</v>
      </c>
      <c r="K581" s="5">
        <v>0.2</v>
      </c>
      <c r="L581" s="4">
        <v>1479.71</v>
      </c>
      <c r="M581" t="s">
        <v>116</v>
      </c>
      <c r="N581" t="s">
        <v>60</v>
      </c>
      <c r="O581">
        <f>IF(TablaVentas[[#This Row],[Precio_unitario]]="","PENDIENTE",TablaVentas[[#This Row],[Unidades]]*TablaVentas[[#This Row],[Precio_unitario]]*(1-TablaVentas[[#This Row],[Descuento_pct]]))</f>
        <v>3147.7280000000001</v>
      </c>
      <c r="P581">
        <f>IF(TablaVentas[[#This Row],[Costo_unitario]]="","PENDIENTE",TablaVentas[[#This Row],[Unidades]]*TablaVentas[[#This Row],[Costo_unitario]])</f>
        <v>2959.42</v>
      </c>
      <c r="Q581">
        <f>IF(OR(TablaVentas[[#This Row],[Ingreso_neto]]="PENDIENTE",TablaVentas[[#This Row],[Costo_total]]="PENDIENTE"),"PENDIENTE",TablaVentas[[#This Row],[Ingreso_neto]]-TablaVentas[[#This Row],[Costo_total]])</f>
        <v>188.30799999999999</v>
      </c>
    </row>
    <row r="582" spans="1:17">
      <c r="A582" t="s">
        <v>569</v>
      </c>
      <c r="B582">
        <v>1</v>
      </c>
      <c r="C582" s="3">
        <v>46161</v>
      </c>
      <c r="D582" t="s">
        <v>570</v>
      </c>
      <c r="E582" t="s">
        <v>83</v>
      </c>
      <c r="F582" t="s">
        <v>56</v>
      </c>
      <c r="G582" t="s">
        <v>40</v>
      </c>
      <c r="H582" t="s">
        <v>102</v>
      </c>
      <c r="I582">
        <v>1</v>
      </c>
      <c r="J582" s="4">
        <v>15234.26</v>
      </c>
      <c r="K582" s="5">
        <v>0</v>
      </c>
      <c r="L582" s="4">
        <v>12723.77</v>
      </c>
      <c r="M582" t="s">
        <v>42</v>
      </c>
      <c r="N582" t="s">
        <v>43</v>
      </c>
      <c r="O582">
        <f>IF(TablaVentas[[#This Row],[Precio_unitario]]="","PENDIENTE",TablaVentas[[#This Row],[Unidades]]*TablaVentas[[#This Row],[Precio_unitario]]*(1-TablaVentas[[#This Row],[Descuento_pct]]))</f>
        <v>15234.26</v>
      </c>
      <c r="P582">
        <f>IF(TablaVentas[[#This Row],[Costo_unitario]]="","PENDIENTE",TablaVentas[[#This Row],[Unidades]]*TablaVentas[[#This Row],[Costo_unitario]])</f>
        <v>12723.77</v>
      </c>
      <c r="Q582">
        <f>IF(OR(TablaVentas[[#This Row],[Ingreso_neto]]="PENDIENTE",TablaVentas[[#This Row],[Costo_total]]="PENDIENTE"),"PENDIENTE",TablaVentas[[#This Row],[Ingreso_neto]]-TablaVentas[[#This Row],[Costo_total]])</f>
        <v>2510.4899999999998</v>
      </c>
    </row>
    <row r="583" spans="1:17">
      <c r="A583" t="s">
        <v>569</v>
      </c>
      <c r="B583">
        <v>2</v>
      </c>
      <c r="C583" s="3">
        <v>46161</v>
      </c>
      <c r="D583" t="s">
        <v>570</v>
      </c>
      <c r="E583" t="s">
        <v>89</v>
      </c>
      <c r="F583" t="s">
        <v>56</v>
      </c>
      <c r="G583" t="s">
        <v>40</v>
      </c>
      <c r="H583" t="s">
        <v>102</v>
      </c>
      <c r="I583">
        <v>1</v>
      </c>
      <c r="J583" s="4">
        <v>12041.56</v>
      </c>
      <c r="K583" s="5">
        <v>0</v>
      </c>
      <c r="L583" s="4">
        <v>9118.07</v>
      </c>
      <c r="M583" t="s">
        <v>42</v>
      </c>
      <c r="N583" t="s">
        <v>60</v>
      </c>
      <c r="O583">
        <f>IF(TablaVentas[[#This Row],[Precio_unitario]]="","PENDIENTE",TablaVentas[[#This Row],[Unidades]]*TablaVentas[[#This Row],[Precio_unitario]]*(1-TablaVentas[[#This Row],[Descuento_pct]]))</f>
        <v>12041.56</v>
      </c>
      <c r="P583">
        <f>IF(TablaVentas[[#This Row],[Costo_unitario]]="","PENDIENTE",TablaVentas[[#This Row],[Unidades]]*TablaVentas[[#This Row],[Costo_unitario]])</f>
        <v>9118.07</v>
      </c>
      <c r="Q583">
        <f>IF(OR(TablaVentas[[#This Row],[Ingreso_neto]]="PENDIENTE",TablaVentas[[#This Row],[Costo_total]]="PENDIENTE"),"PENDIENTE",TablaVentas[[#This Row],[Ingreso_neto]]-TablaVentas[[#This Row],[Costo_total]])</f>
        <v>2923.49</v>
      </c>
    </row>
    <row r="584" spans="1:17">
      <c r="A584" t="s">
        <v>569</v>
      </c>
      <c r="B584">
        <v>3</v>
      </c>
      <c r="C584" s="3">
        <v>46161</v>
      </c>
      <c r="D584" t="s">
        <v>570</v>
      </c>
      <c r="E584" t="s">
        <v>38</v>
      </c>
      <c r="F584" t="s">
        <v>56</v>
      </c>
      <c r="G584" t="s">
        <v>40</v>
      </c>
      <c r="H584" t="s">
        <v>102</v>
      </c>
      <c r="I584">
        <v>3</v>
      </c>
      <c r="J584" s="4">
        <v>5882.22</v>
      </c>
      <c r="K584" s="5">
        <v>0.15</v>
      </c>
      <c r="L584" s="4">
        <v>3832.69</v>
      </c>
      <c r="M584" t="s">
        <v>42</v>
      </c>
      <c r="N584" t="s">
        <v>43</v>
      </c>
      <c r="O584">
        <f>IF(TablaVentas[[#This Row],[Precio_unitario]]="","PENDIENTE",TablaVentas[[#This Row],[Unidades]]*TablaVentas[[#This Row],[Precio_unitario]]*(1-TablaVentas[[#This Row],[Descuento_pct]]))</f>
        <v>14999.661</v>
      </c>
      <c r="P584">
        <f>IF(TablaVentas[[#This Row],[Costo_unitario]]="","PENDIENTE",TablaVentas[[#This Row],[Unidades]]*TablaVentas[[#This Row],[Costo_unitario]])</f>
        <v>11498.07</v>
      </c>
      <c r="Q584">
        <f>IF(OR(TablaVentas[[#This Row],[Ingreso_neto]]="PENDIENTE",TablaVentas[[#This Row],[Costo_total]]="PENDIENTE"),"PENDIENTE",TablaVentas[[#This Row],[Ingreso_neto]]-TablaVentas[[#This Row],[Costo_total]])</f>
        <v>3501.5910000000003</v>
      </c>
    </row>
    <row r="585" spans="1:17">
      <c r="A585" t="s">
        <v>571</v>
      </c>
      <c r="B585">
        <v>1</v>
      </c>
      <c r="C585" s="3">
        <v>46044</v>
      </c>
      <c r="D585" t="s">
        <v>572</v>
      </c>
      <c r="E585" t="s">
        <v>175</v>
      </c>
      <c r="F585" t="s">
        <v>56</v>
      </c>
      <c r="G585" t="s">
        <v>50</v>
      </c>
      <c r="H585" t="s">
        <v>82</v>
      </c>
      <c r="I585">
        <v>5</v>
      </c>
      <c r="J585" s="4">
        <v>2484.17</v>
      </c>
      <c r="K585" s="5">
        <v>0.1</v>
      </c>
      <c r="L585" s="4">
        <v>1857.39</v>
      </c>
      <c r="M585" t="s">
        <v>42</v>
      </c>
      <c r="N585" t="s">
        <v>43</v>
      </c>
      <c r="O585">
        <f>IF(TablaVentas[[#This Row],[Precio_unitario]]="","PENDIENTE",TablaVentas[[#This Row],[Unidades]]*TablaVentas[[#This Row],[Precio_unitario]]*(1-TablaVentas[[#This Row],[Descuento_pct]]))</f>
        <v>11178.765000000001</v>
      </c>
      <c r="P585">
        <f>IF(TablaVentas[[#This Row],[Costo_unitario]]="","PENDIENTE",TablaVentas[[#This Row],[Unidades]]*TablaVentas[[#This Row],[Costo_unitario]])</f>
        <v>9286.9500000000007</v>
      </c>
      <c r="Q585">
        <f>IF(OR(TablaVentas[[#This Row],[Ingreso_neto]]="PENDIENTE",TablaVentas[[#This Row],[Costo_total]]="PENDIENTE"),"PENDIENTE",TablaVentas[[#This Row],[Ingreso_neto]]-TablaVentas[[#This Row],[Costo_total]])</f>
        <v>1891.8150000000005</v>
      </c>
    </row>
    <row r="586" spans="1:17">
      <c r="A586" t="s">
        <v>571</v>
      </c>
      <c r="B586">
        <v>2</v>
      </c>
      <c r="C586" s="3">
        <v>46044</v>
      </c>
      <c r="D586" t="s">
        <v>572</v>
      </c>
      <c r="E586" t="s">
        <v>172</v>
      </c>
      <c r="F586" t="s">
        <v>56</v>
      </c>
      <c r="G586" t="s">
        <v>50</v>
      </c>
      <c r="H586" t="s">
        <v>82</v>
      </c>
      <c r="I586">
        <v>1</v>
      </c>
      <c r="J586" s="4">
        <v>14954.99</v>
      </c>
      <c r="K586" s="5">
        <v>0.2</v>
      </c>
      <c r="L586" s="4">
        <v>10830.17</v>
      </c>
      <c r="M586" t="s">
        <v>42</v>
      </c>
      <c r="N586" t="s">
        <v>45</v>
      </c>
      <c r="O586">
        <f>IF(TablaVentas[[#This Row],[Precio_unitario]]="","PENDIENTE",TablaVentas[[#This Row],[Unidades]]*TablaVentas[[#This Row],[Precio_unitario]]*(1-TablaVentas[[#This Row],[Descuento_pct]]))</f>
        <v>11963.992</v>
      </c>
      <c r="P586">
        <f>IF(TablaVentas[[#This Row],[Costo_unitario]]="","PENDIENTE",TablaVentas[[#This Row],[Unidades]]*TablaVentas[[#This Row],[Costo_unitario]])</f>
        <v>10830.17</v>
      </c>
      <c r="Q586">
        <f>IF(OR(TablaVentas[[#This Row],[Ingreso_neto]]="PENDIENTE",TablaVentas[[#This Row],[Costo_total]]="PENDIENTE"),"PENDIENTE",TablaVentas[[#This Row],[Ingreso_neto]]-TablaVentas[[#This Row],[Costo_total]])</f>
        <v>1133.8220000000001</v>
      </c>
    </row>
    <row r="587" spans="1:17">
      <c r="A587" t="s">
        <v>571</v>
      </c>
      <c r="B587">
        <v>3</v>
      </c>
      <c r="C587" s="3">
        <v>46044</v>
      </c>
      <c r="D587" t="s">
        <v>572</v>
      </c>
      <c r="E587" t="s">
        <v>367</v>
      </c>
      <c r="F587" t="s">
        <v>56</v>
      </c>
      <c r="G587" t="s">
        <v>50</v>
      </c>
      <c r="H587" t="s">
        <v>82</v>
      </c>
      <c r="I587">
        <v>3</v>
      </c>
      <c r="J587" s="4">
        <v>10114.59</v>
      </c>
      <c r="K587" s="5">
        <v>0.15</v>
      </c>
      <c r="L587" s="4">
        <v>5079.43</v>
      </c>
      <c r="M587" t="s">
        <v>42</v>
      </c>
      <c r="N587" t="s">
        <v>45</v>
      </c>
      <c r="O587">
        <f>IF(TablaVentas[[#This Row],[Precio_unitario]]="","PENDIENTE",TablaVentas[[#This Row],[Unidades]]*TablaVentas[[#This Row],[Precio_unitario]]*(1-TablaVentas[[#This Row],[Descuento_pct]]))</f>
        <v>25792.2045</v>
      </c>
      <c r="P587">
        <f>IF(TablaVentas[[#This Row],[Costo_unitario]]="","PENDIENTE",TablaVentas[[#This Row],[Unidades]]*TablaVentas[[#This Row],[Costo_unitario]])</f>
        <v>15238.29</v>
      </c>
      <c r="Q587">
        <f>IF(OR(TablaVentas[[#This Row],[Ingreso_neto]]="PENDIENTE",TablaVentas[[#This Row],[Costo_total]]="PENDIENTE"),"PENDIENTE",TablaVentas[[#This Row],[Ingreso_neto]]-TablaVentas[[#This Row],[Costo_total]])</f>
        <v>10553.914499999999</v>
      </c>
    </row>
    <row r="588" spans="1:17">
      <c r="A588" t="s">
        <v>571</v>
      </c>
      <c r="B588">
        <v>4</v>
      </c>
      <c r="C588" s="3">
        <v>46044</v>
      </c>
      <c r="D588" t="s">
        <v>572</v>
      </c>
      <c r="E588" t="s">
        <v>133</v>
      </c>
      <c r="F588" t="s">
        <v>56</v>
      </c>
      <c r="G588" t="s">
        <v>50</v>
      </c>
      <c r="H588" t="s">
        <v>82</v>
      </c>
      <c r="I588">
        <v>2</v>
      </c>
      <c r="J588" s="4">
        <v>8046.09</v>
      </c>
      <c r="K588" s="5">
        <v>0.05</v>
      </c>
      <c r="L588" s="4">
        <v>4061.34</v>
      </c>
      <c r="M588" t="s">
        <v>42</v>
      </c>
      <c r="N588" t="s">
        <v>52</v>
      </c>
      <c r="O588">
        <f>IF(TablaVentas[[#This Row],[Precio_unitario]]="","PENDIENTE",TablaVentas[[#This Row],[Unidades]]*TablaVentas[[#This Row],[Precio_unitario]]*(1-TablaVentas[[#This Row],[Descuento_pct]]))</f>
        <v>15287.571</v>
      </c>
      <c r="P588">
        <f>IF(TablaVentas[[#This Row],[Costo_unitario]]="","PENDIENTE",TablaVentas[[#This Row],[Unidades]]*TablaVentas[[#This Row],[Costo_unitario]])</f>
        <v>8122.68</v>
      </c>
      <c r="Q588">
        <f>IF(OR(TablaVentas[[#This Row],[Ingreso_neto]]="PENDIENTE",TablaVentas[[#This Row],[Costo_total]]="PENDIENTE"),"PENDIENTE",TablaVentas[[#This Row],[Ingreso_neto]]-TablaVentas[[#This Row],[Costo_total]])</f>
        <v>7164.8909999999996</v>
      </c>
    </row>
    <row r="589" spans="1:17">
      <c r="A589" t="s">
        <v>573</v>
      </c>
      <c r="B589">
        <v>1</v>
      </c>
      <c r="C589" s="3">
        <v>46238</v>
      </c>
      <c r="D589" t="s">
        <v>574</v>
      </c>
      <c r="E589" t="s">
        <v>217</v>
      </c>
      <c r="F589" t="s">
        <v>77</v>
      </c>
      <c r="G589" t="s">
        <v>57</v>
      </c>
      <c r="H589" t="s">
        <v>51</v>
      </c>
      <c r="I589">
        <v>1</v>
      </c>
      <c r="J589" s="4">
        <v>16443.080000000002</v>
      </c>
      <c r="K589" s="5">
        <v>0</v>
      </c>
      <c r="L589" s="4">
        <v>14161.63</v>
      </c>
      <c r="M589" t="s">
        <v>42</v>
      </c>
      <c r="N589" t="s">
        <v>43</v>
      </c>
      <c r="O589">
        <f>IF(TablaVentas[[#This Row],[Precio_unitario]]="","PENDIENTE",TablaVentas[[#This Row],[Unidades]]*TablaVentas[[#This Row],[Precio_unitario]]*(1-TablaVentas[[#This Row],[Descuento_pct]]))</f>
        <v>16443.080000000002</v>
      </c>
      <c r="P589">
        <f>IF(TablaVentas[[#This Row],[Costo_unitario]]="","PENDIENTE",TablaVentas[[#This Row],[Unidades]]*TablaVentas[[#This Row],[Costo_unitario]])</f>
        <v>14161.63</v>
      </c>
      <c r="Q589">
        <f>IF(OR(TablaVentas[[#This Row],[Ingreso_neto]]="PENDIENTE",TablaVentas[[#This Row],[Costo_total]]="PENDIENTE"),"PENDIENTE",TablaVentas[[#This Row],[Ingreso_neto]]-TablaVentas[[#This Row],[Costo_total]])</f>
        <v>2281.4500000000025</v>
      </c>
    </row>
    <row r="590" spans="1:17">
      <c r="A590" t="s">
        <v>575</v>
      </c>
      <c r="B590">
        <v>1</v>
      </c>
      <c r="C590" s="3">
        <v>46138</v>
      </c>
      <c r="D590" t="s">
        <v>302</v>
      </c>
      <c r="E590" t="s">
        <v>277</v>
      </c>
      <c r="F590" t="s">
        <v>66</v>
      </c>
      <c r="G590" t="s">
        <v>50</v>
      </c>
      <c r="H590" t="s">
        <v>73</v>
      </c>
      <c r="I590">
        <v>8</v>
      </c>
      <c r="J590" s="4">
        <v>6727.62</v>
      </c>
      <c r="K590" s="5">
        <v>0</v>
      </c>
      <c r="L590" s="4">
        <v>4858.08</v>
      </c>
      <c r="M590" t="s">
        <v>42</v>
      </c>
      <c r="N590" t="s">
        <v>52</v>
      </c>
      <c r="O590">
        <f>IF(TablaVentas[[#This Row],[Precio_unitario]]="","PENDIENTE",TablaVentas[[#This Row],[Unidades]]*TablaVentas[[#This Row],[Precio_unitario]]*(1-TablaVentas[[#This Row],[Descuento_pct]]))</f>
        <v>53820.959999999999</v>
      </c>
      <c r="P590">
        <f>IF(TablaVentas[[#This Row],[Costo_unitario]]="","PENDIENTE",TablaVentas[[#This Row],[Unidades]]*TablaVentas[[#This Row],[Costo_unitario]])</f>
        <v>38864.639999999999</v>
      </c>
      <c r="Q590">
        <f>IF(OR(TablaVentas[[#This Row],[Ingreso_neto]]="PENDIENTE",TablaVentas[[#This Row],[Costo_total]]="PENDIENTE"),"PENDIENTE",TablaVentas[[#This Row],[Ingreso_neto]]-TablaVentas[[#This Row],[Costo_total]])</f>
        <v>14956.32</v>
      </c>
    </row>
    <row r="591" spans="1:17">
      <c r="A591" t="s">
        <v>575</v>
      </c>
      <c r="B591">
        <v>2</v>
      </c>
      <c r="C591" s="3">
        <v>46138</v>
      </c>
      <c r="D591" t="s">
        <v>302</v>
      </c>
      <c r="E591" t="s">
        <v>282</v>
      </c>
      <c r="F591" t="s">
        <v>66</v>
      </c>
      <c r="G591" t="s">
        <v>50</v>
      </c>
      <c r="H591" t="s">
        <v>73</v>
      </c>
      <c r="I591">
        <v>1</v>
      </c>
      <c r="J591" s="4">
        <v>4489.1400000000003</v>
      </c>
      <c r="K591" s="5">
        <v>0.15</v>
      </c>
      <c r="L591" s="4">
        <v>3399.5</v>
      </c>
      <c r="M591" t="s">
        <v>42</v>
      </c>
      <c r="N591" t="s">
        <v>60</v>
      </c>
      <c r="O591">
        <f>IF(TablaVentas[[#This Row],[Precio_unitario]]="","PENDIENTE",TablaVentas[[#This Row],[Unidades]]*TablaVentas[[#This Row],[Precio_unitario]]*(1-TablaVentas[[#This Row],[Descuento_pct]]))</f>
        <v>3815.7690000000002</v>
      </c>
      <c r="P591">
        <f>IF(TablaVentas[[#This Row],[Costo_unitario]]="","PENDIENTE",TablaVentas[[#This Row],[Unidades]]*TablaVentas[[#This Row],[Costo_unitario]])</f>
        <v>3399.5</v>
      </c>
      <c r="Q591">
        <f>IF(OR(TablaVentas[[#This Row],[Ingreso_neto]]="PENDIENTE",TablaVentas[[#This Row],[Costo_total]]="PENDIENTE"),"PENDIENTE",TablaVentas[[#This Row],[Ingreso_neto]]-TablaVentas[[#This Row],[Costo_total]])</f>
        <v>416.26900000000023</v>
      </c>
    </row>
    <row r="592" spans="1:17">
      <c r="A592" t="s">
        <v>576</v>
      </c>
      <c r="B592">
        <v>1</v>
      </c>
      <c r="C592" s="3">
        <v>46147</v>
      </c>
      <c r="D592" t="s">
        <v>80</v>
      </c>
      <c r="E592" t="s">
        <v>245</v>
      </c>
      <c r="F592" t="s">
        <v>77</v>
      </c>
      <c r="G592" t="s">
        <v>50</v>
      </c>
      <c r="H592" t="s">
        <v>184</v>
      </c>
      <c r="I592">
        <v>12</v>
      </c>
      <c r="J592" s="4">
        <v>17493.53</v>
      </c>
      <c r="K592" s="5">
        <v>0.2</v>
      </c>
      <c r="L592" s="4">
        <v>10507.24</v>
      </c>
      <c r="M592" t="s">
        <v>42</v>
      </c>
      <c r="N592" t="s">
        <v>60</v>
      </c>
      <c r="O592">
        <f>IF(TablaVentas[[#This Row],[Precio_unitario]]="","PENDIENTE",TablaVentas[[#This Row],[Unidades]]*TablaVentas[[#This Row],[Precio_unitario]]*(1-TablaVentas[[#This Row],[Descuento_pct]]))</f>
        <v>167937.88800000001</v>
      </c>
      <c r="P592">
        <f>IF(TablaVentas[[#This Row],[Costo_unitario]]="","PENDIENTE",TablaVentas[[#This Row],[Unidades]]*TablaVentas[[#This Row],[Costo_unitario]])</f>
        <v>126086.88</v>
      </c>
      <c r="Q592">
        <f>IF(OR(TablaVentas[[#This Row],[Ingreso_neto]]="PENDIENTE",TablaVentas[[#This Row],[Costo_total]]="PENDIENTE"),"PENDIENTE",TablaVentas[[#This Row],[Ingreso_neto]]-TablaVentas[[#This Row],[Costo_total]])</f>
        <v>41851.008000000002</v>
      </c>
    </row>
    <row r="593" spans="1:17">
      <c r="A593" t="s">
        <v>576</v>
      </c>
      <c r="B593">
        <v>2</v>
      </c>
      <c r="C593" s="3">
        <v>46147</v>
      </c>
      <c r="D593" t="s">
        <v>80</v>
      </c>
      <c r="E593" t="s">
        <v>68</v>
      </c>
      <c r="F593" t="s">
        <v>77</v>
      </c>
      <c r="G593" t="s">
        <v>50</v>
      </c>
      <c r="H593" t="s">
        <v>184</v>
      </c>
      <c r="I593">
        <v>1</v>
      </c>
      <c r="J593" s="4">
        <v>16235.6</v>
      </c>
      <c r="K593" s="5">
        <v>0.2</v>
      </c>
      <c r="L593" s="4">
        <v>9243.35</v>
      </c>
      <c r="M593" t="s">
        <v>42</v>
      </c>
      <c r="N593" t="s">
        <v>60</v>
      </c>
      <c r="O593">
        <f>IF(TablaVentas[[#This Row],[Precio_unitario]]="","PENDIENTE",TablaVentas[[#This Row],[Unidades]]*TablaVentas[[#This Row],[Precio_unitario]]*(1-TablaVentas[[#This Row],[Descuento_pct]]))</f>
        <v>12988.480000000001</v>
      </c>
      <c r="P593">
        <f>IF(TablaVentas[[#This Row],[Costo_unitario]]="","PENDIENTE",TablaVentas[[#This Row],[Unidades]]*TablaVentas[[#This Row],[Costo_unitario]])</f>
        <v>9243.35</v>
      </c>
      <c r="Q593">
        <f>IF(OR(TablaVentas[[#This Row],[Ingreso_neto]]="PENDIENTE",TablaVentas[[#This Row],[Costo_total]]="PENDIENTE"),"PENDIENTE",TablaVentas[[#This Row],[Ingreso_neto]]-TablaVentas[[#This Row],[Costo_total]])</f>
        <v>3745.130000000001</v>
      </c>
    </row>
    <row r="594" spans="1:17">
      <c r="A594" t="s">
        <v>576</v>
      </c>
      <c r="B594">
        <v>3</v>
      </c>
      <c r="C594" s="3">
        <v>46147</v>
      </c>
      <c r="D594" t="s">
        <v>80</v>
      </c>
      <c r="E594" t="s">
        <v>103</v>
      </c>
      <c r="F594" t="s">
        <v>77</v>
      </c>
      <c r="G594" t="s">
        <v>50</v>
      </c>
      <c r="H594" t="s">
        <v>184</v>
      </c>
      <c r="I594">
        <v>2</v>
      </c>
      <c r="J594" s="4">
        <v>12148.38</v>
      </c>
      <c r="K594" s="5">
        <v>0</v>
      </c>
      <c r="L594" s="4">
        <v>7549.71</v>
      </c>
      <c r="M594" t="s">
        <v>62</v>
      </c>
      <c r="N594" t="s">
        <v>60</v>
      </c>
      <c r="O594">
        <f>IF(TablaVentas[[#This Row],[Precio_unitario]]="","PENDIENTE",TablaVentas[[#This Row],[Unidades]]*TablaVentas[[#This Row],[Precio_unitario]]*(1-TablaVentas[[#This Row],[Descuento_pct]]))</f>
        <v>24296.76</v>
      </c>
      <c r="P594">
        <f>IF(TablaVentas[[#This Row],[Costo_unitario]]="","PENDIENTE",TablaVentas[[#This Row],[Unidades]]*TablaVentas[[#This Row],[Costo_unitario]])</f>
        <v>15099.42</v>
      </c>
      <c r="Q594">
        <f>IF(OR(TablaVentas[[#This Row],[Ingreso_neto]]="PENDIENTE",TablaVentas[[#This Row],[Costo_total]]="PENDIENTE"),"PENDIENTE",TablaVentas[[#This Row],[Ingreso_neto]]-TablaVentas[[#This Row],[Costo_total]])</f>
        <v>9197.3399999999983</v>
      </c>
    </row>
    <row r="595" spans="1:17">
      <c r="A595" t="s">
        <v>576</v>
      </c>
      <c r="B595">
        <v>4</v>
      </c>
      <c r="C595" s="3">
        <v>46147</v>
      </c>
      <c r="D595" t="s">
        <v>80</v>
      </c>
      <c r="E595" t="s">
        <v>155</v>
      </c>
      <c r="F595" t="s">
        <v>77</v>
      </c>
      <c r="G595" t="s">
        <v>50</v>
      </c>
      <c r="H595" t="s">
        <v>184</v>
      </c>
      <c r="I595">
        <v>1</v>
      </c>
      <c r="J595" s="4">
        <v>754.98</v>
      </c>
      <c r="K595" s="5">
        <v>0.2</v>
      </c>
      <c r="L595" s="4">
        <v>397.1</v>
      </c>
      <c r="M595" t="s">
        <v>42</v>
      </c>
      <c r="N595" t="s">
        <v>45</v>
      </c>
      <c r="O595">
        <f>IF(TablaVentas[[#This Row],[Precio_unitario]]="","PENDIENTE",TablaVentas[[#This Row],[Unidades]]*TablaVentas[[#This Row],[Precio_unitario]]*(1-TablaVentas[[#This Row],[Descuento_pct]]))</f>
        <v>603.98400000000004</v>
      </c>
      <c r="P595">
        <f>IF(TablaVentas[[#This Row],[Costo_unitario]]="","PENDIENTE",TablaVentas[[#This Row],[Unidades]]*TablaVentas[[#This Row],[Costo_unitario]])</f>
        <v>397.1</v>
      </c>
      <c r="Q595">
        <f>IF(OR(TablaVentas[[#This Row],[Ingreso_neto]]="PENDIENTE",TablaVentas[[#This Row],[Costo_total]]="PENDIENTE"),"PENDIENTE",TablaVentas[[#This Row],[Ingreso_neto]]-TablaVentas[[#This Row],[Costo_total]])</f>
        <v>206.88400000000001</v>
      </c>
    </row>
    <row r="596" spans="1:17">
      <c r="A596" t="s">
        <v>576</v>
      </c>
      <c r="B596">
        <v>5</v>
      </c>
      <c r="C596" s="3">
        <v>46147</v>
      </c>
      <c r="D596" t="s">
        <v>80</v>
      </c>
      <c r="E596" t="s">
        <v>272</v>
      </c>
      <c r="F596" t="s">
        <v>77</v>
      </c>
      <c r="G596" t="s">
        <v>50</v>
      </c>
      <c r="H596" t="s">
        <v>184</v>
      </c>
      <c r="I596">
        <v>2</v>
      </c>
      <c r="J596" s="4">
        <v>607.65</v>
      </c>
      <c r="K596" s="5">
        <v>0</v>
      </c>
      <c r="L596" s="4">
        <v>443</v>
      </c>
      <c r="M596" t="s">
        <v>42</v>
      </c>
      <c r="N596" t="s">
        <v>60</v>
      </c>
      <c r="O596">
        <f>IF(TablaVentas[[#This Row],[Precio_unitario]]="","PENDIENTE",TablaVentas[[#This Row],[Unidades]]*TablaVentas[[#This Row],[Precio_unitario]]*(1-TablaVentas[[#This Row],[Descuento_pct]]))</f>
        <v>1215.3</v>
      </c>
      <c r="P596">
        <f>IF(TablaVentas[[#This Row],[Costo_unitario]]="","PENDIENTE",TablaVentas[[#This Row],[Unidades]]*TablaVentas[[#This Row],[Costo_unitario]])</f>
        <v>886</v>
      </c>
      <c r="Q596">
        <f>IF(OR(TablaVentas[[#This Row],[Ingreso_neto]]="PENDIENTE",TablaVentas[[#This Row],[Costo_total]]="PENDIENTE"),"PENDIENTE",TablaVentas[[#This Row],[Ingreso_neto]]-TablaVentas[[#This Row],[Costo_total]])</f>
        <v>329.29999999999995</v>
      </c>
    </row>
    <row r="597" spans="1:17">
      <c r="A597" t="s">
        <v>577</v>
      </c>
      <c r="B597">
        <v>1</v>
      </c>
      <c r="C597" s="3">
        <v>46198</v>
      </c>
      <c r="D597" t="s">
        <v>122</v>
      </c>
      <c r="E597" t="s">
        <v>227</v>
      </c>
      <c r="F597" t="s">
        <v>56</v>
      </c>
      <c r="G597" t="s">
        <v>57</v>
      </c>
      <c r="H597" t="s">
        <v>124</v>
      </c>
      <c r="I597">
        <v>2</v>
      </c>
      <c r="J597" s="4">
        <v>8591.85</v>
      </c>
      <c r="K597" s="5">
        <v>0</v>
      </c>
      <c r="L597" s="4">
        <v>6255.13</v>
      </c>
      <c r="M597" t="s">
        <v>42</v>
      </c>
      <c r="N597" t="s">
        <v>52</v>
      </c>
      <c r="O597">
        <f>IF(TablaVentas[[#This Row],[Precio_unitario]]="","PENDIENTE",TablaVentas[[#This Row],[Unidades]]*TablaVentas[[#This Row],[Precio_unitario]]*(1-TablaVentas[[#This Row],[Descuento_pct]]))</f>
        <v>17183.7</v>
      </c>
      <c r="P597">
        <f>IF(TablaVentas[[#This Row],[Costo_unitario]]="","PENDIENTE",TablaVentas[[#This Row],[Unidades]]*TablaVentas[[#This Row],[Costo_unitario]])</f>
        <v>12510.26</v>
      </c>
      <c r="Q597">
        <f>IF(OR(TablaVentas[[#This Row],[Ingreso_neto]]="PENDIENTE",TablaVentas[[#This Row],[Costo_total]]="PENDIENTE"),"PENDIENTE",TablaVentas[[#This Row],[Ingreso_neto]]-TablaVentas[[#This Row],[Costo_total]])</f>
        <v>4673.4400000000005</v>
      </c>
    </row>
    <row r="598" spans="1:17">
      <c r="A598" t="s">
        <v>577</v>
      </c>
      <c r="B598">
        <v>2</v>
      </c>
      <c r="C598" s="3">
        <v>46198</v>
      </c>
      <c r="D598" t="s">
        <v>122</v>
      </c>
      <c r="E598" t="s">
        <v>193</v>
      </c>
      <c r="F598" t="s">
        <v>56</v>
      </c>
      <c r="G598" t="s">
        <v>57</v>
      </c>
      <c r="H598" t="s">
        <v>124</v>
      </c>
      <c r="I598">
        <v>2</v>
      </c>
      <c r="J598" s="4">
        <v>10433.049999999999</v>
      </c>
      <c r="K598" s="5">
        <v>0.2</v>
      </c>
      <c r="L598" s="4">
        <v>5811.72</v>
      </c>
      <c r="M598" t="s">
        <v>42</v>
      </c>
      <c r="N598" t="s">
        <v>43</v>
      </c>
      <c r="O598">
        <f>IF(TablaVentas[[#This Row],[Precio_unitario]]="","PENDIENTE",TablaVentas[[#This Row],[Unidades]]*TablaVentas[[#This Row],[Precio_unitario]]*(1-TablaVentas[[#This Row],[Descuento_pct]]))</f>
        <v>16692.88</v>
      </c>
      <c r="P598">
        <f>IF(TablaVentas[[#This Row],[Costo_unitario]]="","PENDIENTE",TablaVentas[[#This Row],[Unidades]]*TablaVentas[[#This Row],[Costo_unitario]])</f>
        <v>11623.44</v>
      </c>
      <c r="Q598">
        <f>IF(OR(TablaVentas[[#This Row],[Ingreso_neto]]="PENDIENTE",TablaVentas[[#This Row],[Costo_total]]="PENDIENTE"),"PENDIENTE",TablaVentas[[#This Row],[Ingreso_neto]]-TablaVentas[[#This Row],[Costo_total]])</f>
        <v>5069.4400000000005</v>
      </c>
    </row>
    <row r="599" spans="1:17">
      <c r="A599" t="s">
        <v>577</v>
      </c>
      <c r="B599">
        <v>3</v>
      </c>
      <c r="C599" s="3">
        <v>46198</v>
      </c>
      <c r="D599" t="s">
        <v>122</v>
      </c>
      <c r="E599" t="s">
        <v>110</v>
      </c>
      <c r="F599" t="s">
        <v>56</v>
      </c>
      <c r="G599" t="s">
        <v>57</v>
      </c>
      <c r="H599" t="s">
        <v>124</v>
      </c>
      <c r="I599">
        <v>2</v>
      </c>
      <c r="J599" s="4">
        <v>5639.27</v>
      </c>
      <c r="K599" s="5">
        <v>0.2</v>
      </c>
      <c r="L599" s="4">
        <v>4205.6899999999996</v>
      </c>
      <c r="M599" t="s">
        <v>42</v>
      </c>
      <c r="N599" t="s">
        <v>60</v>
      </c>
      <c r="O599">
        <f>IF(TablaVentas[[#This Row],[Precio_unitario]]="","PENDIENTE",TablaVentas[[#This Row],[Unidades]]*TablaVentas[[#This Row],[Precio_unitario]]*(1-TablaVentas[[#This Row],[Descuento_pct]]))</f>
        <v>9022.8320000000003</v>
      </c>
      <c r="P599">
        <f>IF(TablaVentas[[#This Row],[Costo_unitario]]="","PENDIENTE",TablaVentas[[#This Row],[Unidades]]*TablaVentas[[#This Row],[Costo_unitario]])</f>
        <v>8411.3799999999992</v>
      </c>
      <c r="Q599">
        <f>IF(OR(TablaVentas[[#This Row],[Ingreso_neto]]="PENDIENTE",TablaVentas[[#This Row],[Costo_total]]="PENDIENTE"),"PENDIENTE",TablaVentas[[#This Row],[Ingreso_neto]]-TablaVentas[[#This Row],[Costo_total]])</f>
        <v>611.45200000000114</v>
      </c>
    </row>
    <row r="600" spans="1:17">
      <c r="A600" t="s">
        <v>577</v>
      </c>
      <c r="B600">
        <v>4</v>
      </c>
      <c r="C600" s="3">
        <v>46198</v>
      </c>
      <c r="D600" t="s">
        <v>122</v>
      </c>
      <c r="E600" t="s">
        <v>262</v>
      </c>
      <c r="F600" t="s">
        <v>56</v>
      </c>
      <c r="G600" t="s">
        <v>57</v>
      </c>
      <c r="H600" t="s">
        <v>124</v>
      </c>
      <c r="I600">
        <v>12</v>
      </c>
      <c r="J600" s="4">
        <v>12762.95</v>
      </c>
      <c r="K600" s="5">
        <v>0</v>
      </c>
      <c r="L600" s="4">
        <v>8227.4599999999991</v>
      </c>
      <c r="M600" t="s">
        <v>42</v>
      </c>
      <c r="N600" t="s">
        <v>43</v>
      </c>
      <c r="O600">
        <f>IF(TablaVentas[[#This Row],[Precio_unitario]]="","PENDIENTE",TablaVentas[[#This Row],[Unidades]]*TablaVentas[[#This Row],[Precio_unitario]]*(1-TablaVentas[[#This Row],[Descuento_pct]]))</f>
        <v>153155.40000000002</v>
      </c>
      <c r="P600">
        <f>IF(TablaVentas[[#This Row],[Costo_unitario]]="","PENDIENTE",TablaVentas[[#This Row],[Unidades]]*TablaVentas[[#This Row],[Costo_unitario]])</f>
        <v>98729.51999999999</v>
      </c>
      <c r="Q600">
        <f>IF(OR(TablaVentas[[#This Row],[Ingreso_neto]]="PENDIENTE",TablaVentas[[#This Row],[Costo_total]]="PENDIENTE"),"PENDIENTE",TablaVentas[[#This Row],[Ingreso_neto]]-TablaVentas[[#This Row],[Costo_total]])</f>
        <v>54425.880000000034</v>
      </c>
    </row>
    <row r="601" spans="1:17">
      <c r="A601" t="s">
        <v>578</v>
      </c>
      <c r="B601">
        <v>1</v>
      </c>
      <c r="C601" s="3">
        <v>46096</v>
      </c>
      <c r="D601" t="s">
        <v>350</v>
      </c>
      <c r="E601" t="s">
        <v>203</v>
      </c>
      <c r="F601" t="s">
        <v>56</v>
      </c>
      <c r="G601" t="s">
        <v>57</v>
      </c>
      <c r="H601" t="s">
        <v>51</v>
      </c>
      <c r="I601">
        <v>5</v>
      </c>
      <c r="J601" s="4">
        <v>1824.11</v>
      </c>
      <c r="K601" s="5">
        <v>0.2</v>
      </c>
      <c r="L601" s="4">
        <v>1252.8399999999999</v>
      </c>
      <c r="M601" t="s">
        <v>42</v>
      </c>
      <c r="N601" t="s">
        <v>52</v>
      </c>
      <c r="O601">
        <f>IF(TablaVentas[[#This Row],[Precio_unitario]]="","PENDIENTE",TablaVentas[[#This Row],[Unidades]]*TablaVentas[[#This Row],[Precio_unitario]]*(1-TablaVentas[[#This Row],[Descuento_pct]]))</f>
        <v>7296.44</v>
      </c>
      <c r="P601">
        <f>IF(TablaVentas[[#This Row],[Costo_unitario]]="","PENDIENTE",TablaVentas[[#This Row],[Unidades]]*TablaVentas[[#This Row],[Costo_unitario]])</f>
        <v>6264.2</v>
      </c>
      <c r="Q601">
        <f>IF(OR(TablaVentas[[#This Row],[Ingreso_neto]]="PENDIENTE",TablaVentas[[#This Row],[Costo_total]]="PENDIENTE"),"PENDIENTE",TablaVentas[[#This Row],[Ingreso_neto]]-TablaVentas[[#This Row],[Costo_total]])</f>
        <v>1032.2399999999998</v>
      </c>
    </row>
    <row r="602" spans="1:17">
      <c r="A602" t="s">
        <v>578</v>
      </c>
      <c r="B602">
        <v>2</v>
      </c>
      <c r="C602" s="3">
        <v>46096</v>
      </c>
      <c r="D602" t="s">
        <v>350</v>
      </c>
      <c r="E602" t="s">
        <v>256</v>
      </c>
      <c r="F602" t="s">
        <v>56</v>
      </c>
      <c r="G602" t="s">
        <v>57</v>
      </c>
      <c r="H602" t="s">
        <v>51</v>
      </c>
      <c r="I602">
        <v>2</v>
      </c>
      <c r="J602" s="4">
        <v>19764.45</v>
      </c>
      <c r="K602" s="5">
        <v>0</v>
      </c>
      <c r="L602" s="4">
        <v>11666.57</v>
      </c>
      <c r="M602" t="s">
        <v>42</v>
      </c>
      <c r="N602" t="s">
        <v>60</v>
      </c>
      <c r="O602">
        <f>IF(TablaVentas[[#This Row],[Precio_unitario]]="","PENDIENTE",TablaVentas[[#This Row],[Unidades]]*TablaVentas[[#This Row],[Precio_unitario]]*(1-TablaVentas[[#This Row],[Descuento_pct]]))</f>
        <v>39528.9</v>
      </c>
      <c r="P602">
        <f>IF(TablaVentas[[#This Row],[Costo_unitario]]="","PENDIENTE",TablaVentas[[#This Row],[Unidades]]*TablaVentas[[#This Row],[Costo_unitario]])</f>
        <v>23333.14</v>
      </c>
      <c r="Q602">
        <f>IF(OR(TablaVentas[[#This Row],[Ingreso_neto]]="PENDIENTE",TablaVentas[[#This Row],[Costo_total]]="PENDIENTE"),"PENDIENTE",TablaVentas[[#This Row],[Ingreso_neto]]-TablaVentas[[#This Row],[Costo_total]])</f>
        <v>16195.760000000002</v>
      </c>
    </row>
    <row r="603" spans="1:17">
      <c r="A603" t="s">
        <v>578</v>
      </c>
      <c r="B603">
        <v>3</v>
      </c>
      <c r="C603" s="3">
        <v>46096</v>
      </c>
      <c r="D603" t="s">
        <v>350</v>
      </c>
      <c r="E603" t="s">
        <v>273</v>
      </c>
      <c r="F603" t="s">
        <v>56</v>
      </c>
      <c r="G603" t="s">
        <v>57</v>
      </c>
      <c r="H603" t="s">
        <v>51</v>
      </c>
      <c r="I603">
        <v>1</v>
      </c>
      <c r="J603" s="4">
        <v>1467.44</v>
      </c>
      <c r="K603" s="5">
        <v>0</v>
      </c>
      <c r="L603" s="4">
        <v>716.26</v>
      </c>
      <c r="M603" t="s">
        <v>42</v>
      </c>
      <c r="N603" t="s">
        <v>52</v>
      </c>
      <c r="O603">
        <f>IF(TablaVentas[[#This Row],[Precio_unitario]]="","PENDIENTE",TablaVentas[[#This Row],[Unidades]]*TablaVentas[[#This Row],[Precio_unitario]]*(1-TablaVentas[[#This Row],[Descuento_pct]]))</f>
        <v>1467.44</v>
      </c>
      <c r="P603">
        <f>IF(TablaVentas[[#This Row],[Costo_unitario]]="","PENDIENTE",TablaVentas[[#This Row],[Unidades]]*TablaVentas[[#This Row],[Costo_unitario]])</f>
        <v>716.26</v>
      </c>
      <c r="Q603">
        <f>IF(OR(TablaVentas[[#This Row],[Ingreso_neto]]="PENDIENTE",TablaVentas[[#This Row],[Costo_total]]="PENDIENTE"),"PENDIENTE",TablaVentas[[#This Row],[Ingreso_neto]]-TablaVentas[[#This Row],[Costo_total]])</f>
        <v>751.18000000000006</v>
      </c>
    </row>
    <row r="604" spans="1:17">
      <c r="A604" t="s">
        <v>578</v>
      </c>
      <c r="B604">
        <v>4</v>
      </c>
      <c r="C604" s="3">
        <v>46096</v>
      </c>
      <c r="D604" t="s">
        <v>350</v>
      </c>
      <c r="E604" t="s">
        <v>226</v>
      </c>
      <c r="F604" t="s">
        <v>56</v>
      </c>
      <c r="G604" t="s">
        <v>57</v>
      </c>
      <c r="H604" t="s">
        <v>51</v>
      </c>
      <c r="I604">
        <v>1</v>
      </c>
      <c r="J604" s="4">
        <v>17463.79</v>
      </c>
      <c r="K604" s="5">
        <v>0</v>
      </c>
      <c r="L604" s="4">
        <v>9976.68</v>
      </c>
      <c r="M604" t="s">
        <v>42</v>
      </c>
      <c r="N604" t="s">
        <v>45</v>
      </c>
      <c r="O604">
        <f>IF(TablaVentas[[#This Row],[Precio_unitario]]="","PENDIENTE",TablaVentas[[#This Row],[Unidades]]*TablaVentas[[#This Row],[Precio_unitario]]*(1-TablaVentas[[#This Row],[Descuento_pct]]))</f>
        <v>17463.79</v>
      </c>
      <c r="P604">
        <f>IF(TablaVentas[[#This Row],[Costo_unitario]]="","PENDIENTE",TablaVentas[[#This Row],[Unidades]]*TablaVentas[[#This Row],[Costo_unitario]])</f>
        <v>9976.68</v>
      </c>
      <c r="Q604">
        <f>IF(OR(TablaVentas[[#This Row],[Ingreso_neto]]="PENDIENTE",TablaVentas[[#This Row],[Costo_total]]="PENDIENTE"),"PENDIENTE",TablaVentas[[#This Row],[Ingreso_neto]]-TablaVentas[[#This Row],[Costo_total]])</f>
        <v>7487.1100000000006</v>
      </c>
    </row>
    <row r="605" spans="1:17">
      <c r="A605" t="s">
        <v>579</v>
      </c>
      <c r="B605">
        <v>1</v>
      </c>
      <c r="C605" s="3">
        <v>46157</v>
      </c>
      <c r="D605" t="s">
        <v>580</v>
      </c>
      <c r="E605" t="s">
        <v>326</v>
      </c>
      <c r="F605" t="s">
        <v>39</v>
      </c>
      <c r="G605" t="s">
        <v>50</v>
      </c>
      <c r="H605" t="s">
        <v>58</v>
      </c>
      <c r="I605">
        <v>3</v>
      </c>
      <c r="J605" s="4">
        <v>8092.97</v>
      </c>
      <c r="K605" s="5">
        <v>0</v>
      </c>
      <c r="L605" s="4">
        <v>4044.16</v>
      </c>
      <c r="M605" t="s">
        <v>42</v>
      </c>
      <c r="N605" t="s">
        <v>43</v>
      </c>
      <c r="O605">
        <f>IF(TablaVentas[[#This Row],[Precio_unitario]]="","PENDIENTE",TablaVentas[[#This Row],[Unidades]]*TablaVentas[[#This Row],[Precio_unitario]]*(1-TablaVentas[[#This Row],[Descuento_pct]]))</f>
        <v>24278.91</v>
      </c>
      <c r="P605">
        <f>IF(TablaVentas[[#This Row],[Costo_unitario]]="","PENDIENTE",TablaVentas[[#This Row],[Unidades]]*TablaVentas[[#This Row],[Costo_unitario]])</f>
        <v>12132.48</v>
      </c>
      <c r="Q605">
        <f>IF(OR(TablaVentas[[#This Row],[Ingreso_neto]]="PENDIENTE",TablaVentas[[#This Row],[Costo_total]]="PENDIENTE"),"PENDIENTE",TablaVentas[[#This Row],[Ingreso_neto]]-TablaVentas[[#This Row],[Costo_total]])</f>
        <v>12146.43</v>
      </c>
    </row>
    <row r="606" spans="1:17">
      <c r="A606" t="s">
        <v>579</v>
      </c>
      <c r="B606">
        <v>2</v>
      </c>
      <c r="C606" s="3">
        <v>46157</v>
      </c>
      <c r="D606" t="s">
        <v>580</v>
      </c>
      <c r="E606" t="s">
        <v>236</v>
      </c>
      <c r="F606" t="s">
        <v>39</v>
      </c>
      <c r="G606" t="s">
        <v>50</v>
      </c>
      <c r="H606" t="s">
        <v>58</v>
      </c>
      <c r="I606">
        <v>1</v>
      </c>
      <c r="J606" s="4">
        <v>9444.7900000000009</v>
      </c>
      <c r="K606" s="5">
        <v>0.2</v>
      </c>
      <c r="L606" s="4">
        <v>8061.7</v>
      </c>
      <c r="M606" t="s">
        <v>42</v>
      </c>
      <c r="N606" t="s">
        <v>43</v>
      </c>
      <c r="O606">
        <f>IF(TablaVentas[[#This Row],[Precio_unitario]]="","PENDIENTE",TablaVentas[[#This Row],[Unidades]]*TablaVentas[[#This Row],[Precio_unitario]]*(1-TablaVentas[[#This Row],[Descuento_pct]]))</f>
        <v>7555.8320000000012</v>
      </c>
      <c r="P606">
        <f>IF(TablaVentas[[#This Row],[Costo_unitario]]="","PENDIENTE",TablaVentas[[#This Row],[Unidades]]*TablaVentas[[#This Row],[Costo_unitario]])</f>
        <v>8061.7</v>
      </c>
      <c r="Q606">
        <f>IF(OR(TablaVentas[[#This Row],[Ingreso_neto]]="PENDIENTE",TablaVentas[[#This Row],[Costo_total]]="PENDIENTE"),"PENDIENTE",TablaVentas[[#This Row],[Ingreso_neto]]-TablaVentas[[#This Row],[Costo_total]])</f>
        <v>-505.86799999999857</v>
      </c>
    </row>
    <row r="607" spans="1:17">
      <c r="A607" t="s">
        <v>579</v>
      </c>
      <c r="B607">
        <v>3</v>
      </c>
      <c r="C607" s="3">
        <v>46157</v>
      </c>
      <c r="D607" t="s">
        <v>580</v>
      </c>
      <c r="E607" t="s">
        <v>262</v>
      </c>
      <c r="F607" t="s">
        <v>39</v>
      </c>
      <c r="G607" t="s">
        <v>50</v>
      </c>
      <c r="H607" t="s">
        <v>58</v>
      </c>
      <c r="I607">
        <v>3</v>
      </c>
      <c r="J607" s="4">
        <v>13997.54</v>
      </c>
      <c r="K607" s="5">
        <v>0.15</v>
      </c>
      <c r="L607" s="4">
        <v>8227.4599999999991</v>
      </c>
      <c r="M607" t="s">
        <v>116</v>
      </c>
      <c r="N607" t="s">
        <v>52</v>
      </c>
      <c r="O607">
        <f>IF(TablaVentas[[#This Row],[Precio_unitario]]="","PENDIENTE",TablaVentas[[#This Row],[Unidades]]*TablaVentas[[#This Row],[Precio_unitario]]*(1-TablaVentas[[#This Row],[Descuento_pct]]))</f>
        <v>35693.726999999999</v>
      </c>
      <c r="P607">
        <f>IF(TablaVentas[[#This Row],[Costo_unitario]]="","PENDIENTE",TablaVentas[[#This Row],[Unidades]]*TablaVentas[[#This Row],[Costo_unitario]])</f>
        <v>24682.379999999997</v>
      </c>
      <c r="Q607">
        <f>IF(OR(TablaVentas[[#This Row],[Ingreso_neto]]="PENDIENTE",TablaVentas[[#This Row],[Costo_total]]="PENDIENTE"),"PENDIENTE",TablaVentas[[#This Row],[Ingreso_neto]]-TablaVentas[[#This Row],[Costo_total]])</f>
        <v>11011.347000000002</v>
      </c>
    </row>
    <row r="608" spans="1:17">
      <c r="A608" t="s">
        <v>581</v>
      </c>
      <c r="B608">
        <v>1</v>
      </c>
      <c r="C608" s="3">
        <v>46094</v>
      </c>
      <c r="D608" t="s">
        <v>177</v>
      </c>
      <c r="E608" t="s">
        <v>262</v>
      </c>
      <c r="F608" t="s">
        <v>77</v>
      </c>
      <c r="G608" t="s">
        <v>50</v>
      </c>
      <c r="H608" t="s">
        <v>124</v>
      </c>
      <c r="I608">
        <v>1</v>
      </c>
      <c r="J608" s="4">
        <v>12939.11</v>
      </c>
      <c r="K608" s="5">
        <v>0</v>
      </c>
      <c r="L608" s="4">
        <v>8227.4599999999991</v>
      </c>
      <c r="M608" t="s">
        <v>42</v>
      </c>
      <c r="N608" t="s">
        <v>52</v>
      </c>
      <c r="O608">
        <f>IF(TablaVentas[[#This Row],[Precio_unitario]]="","PENDIENTE",TablaVentas[[#This Row],[Unidades]]*TablaVentas[[#This Row],[Precio_unitario]]*(1-TablaVentas[[#This Row],[Descuento_pct]]))</f>
        <v>12939.11</v>
      </c>
      <c r="P608">
        <f>IF(TablaVentas[[#This Row],[Costo_unitario]]="","PENDIENTE",TablaVentas[[#This Row],[Unidades]]*TablaVentas[[#This Row],[Costo_unitario]])</f>
        <v>8227.4599999999991</v>
      </c>
      <c r="Q608">
        <f>IF(OR(TablaVentas[[#This Row],[Ingreso_neto]]="PENDIENTE",TablaVentas[[#This Row],[Costo_total]]="PENDIENTE"),"PENDIENTE",TablaVentas[[#This Row],[Ingreso_neto]]-TablaVentas[[#This Row],[Costo_total]])</f>
        <v>4711.6500000000015</v>
      </c>
    </row>
    <row r="609" spans="1:17">
      <c r="A609" t="s">
        <v>582</v>
      </c>
      <c r="B609">
        <v>1</v>
      </c>
      <c r="C609" s="3">
        <v>46151</v>
      </c>
      <c r="D609" t="s">
        <v>350</v>
      </c>
      <c r="E609" t="s">
        <v>208</v>
      </c>
      <c r="F609" t="s">
        <v>66</v>
      </c>
      <c r="G609" t="s">
        <v>57</v>
      </c>
      <c r="H609" t="s">
        <v>41</v>
      </c>
      <c r="I609">
        <v>2</v>
      </c>
      <c r="J609" s="4">
        <v>10214.23</v>
      </c>
      <c r="K609" s="5">
        <v>0</v>
      </c>
      <c r="L609" s="4">
        <v>5535.31</v>
      </c>
      <c r="M609" t="s">
        <v>42</v>
      </c>
      <c r="N609" t="s">
        <v>52</v>
      </c>
      <c r="O609">
        <f>IF(TablaVentas[[#This Row],[Precio_unitario]]="","PENDIENTE",TablaVentas[[#This Row],[Unidades]]*TablaVentas[[#This Row],[Precio_unitario]]*(1-TablaVentas[[#This Row],[Descuento_pct]]))</f>
        <v>20428.46</v>
      </c>
      <c r="P609">
        <f>IF(TablaVentas[[#This Row],[Costo_unitario]]="","PENDIENTE",TablaVentas[[#This Row],[Unidades]]*TablaVentas[[#This Row],[Costo_unitario]])</f>
        <v>11070.62</v>
      </c>
      <c r="Q609">
        <f>IF(OR(TablaVentas[[#This Row],[Ingreso_neto]]="PENDIENTE",TablaVentas[[#This Row],[Costo_total]]="PENDIENTE"),"PENDIENTE",TablaVentas[[#This Row],[Ingreso_neto]]-TablaVentas[[#This Row],[Costo_total]])</f>
        <v>9357.8399999999983</v>
      </c>
    </row>
    <row r="610" spans="1:17">
      <c r="A610" t="s">
        <v>582</v>
      </c>
      <c r="B610">
        <v>2</v>
      </c>
      <c r="C610" s="3">
        <v>46151</v>
      </c>
      <c r="D610" t="s">
        <v>350</v>
      </c>
      <c r="E610" t="s">
        <v>175</v>
      </c>
      <c r="F610" t="s">
        <v>66</v>
      </c>
      <c r="G610" t="s">
        <v>57</v>
      </c>
      <c r="H610" t="s">
        <v>41</v>
      </c>
      <c r="I610">
        <v>4</v>
      </c>
      <c r="J610" s="4">
        <v>2840.47</v>
      </c>
      <c r="K610" s="5">
        <v>0</v>
      </c>
      <c r="L610" s="4">
        <v>1857.39</v>
      </c>
      <c r="M610" t="s">
        <v>42</v>
      </c>
      <c r="N610" t="s">
        <v>60</v>
      </c>
      <c r="O610">
        <f>IF(TablaVentas[[#This Row],[Precio_unitario]]="","PENDIENTE",TablaVentas[[#This Row],[Unidades]]*TablaVentas[[#This Row],[Precio_unitario]]*(1-TablaVentas[[#This Row],[Descuento_pct]]))</f>
        <v>11361.88</v>
      </c>
      <c r="P610">
        <f>IF(TablaVentas[[#This Row],[Costo_unitario]]="","PENDIENTE",TablaVentas[[#This Row],[Unidades]]*TablaVentas[[#This Row],[Costo_unitario]])</f>
        <v>7429.56</v>
      </c>
      <c r="Q610">
        <f>IF(OR(TablaVentas[[#This Row],[Ingreso_neto]]="PENDIENTE",TablaVentas[[#This Row],[Costo_total]]="PENDIENTE"),"PENDIENTE",TablaVentas[[#This Row],[Ingreso_neto]]-TablaVentas[[#This Row],[Costo_total]])</f>
        <v>3932.3199999999988</v>
      </c>
    </row>
    <row r="611" spans="1:17">
      <c r="A611" t="s">
        <v>583</v>
      </c>
      <c r="B611">
        <v>1</v>
      </c>
      <c r="C611" s="3">
        <v>46275</v>
      </c>
      <c r="D611" t="s">
        <v>584</v>
      </c>
      <c r="E611" t="s">
        <v>155</v>
      </c>
      <c r="F611" t="s">
        <v>77</v>
      </c>
      <c r="G611" t="s">
        <v>50</v>
      </c>
      <c r="H611" t="s">
        <v>124</v>
      </c>
      <c r="I611">
        <v>1</v>
      </c>
      <c r="J611" s="4">
        <v>721.3</v>
      </c>
      <c r="K611" s="5">
        <v>0</v>
      </c>
      <c r="L611" s="4">
        <v>397.1</v>
      </c>
      <c r="M611" t="s">
        <v>42</v>
      </c>
      <c r="N611" t="s">
        <v>52</v>
      </c>
      <c r="O611">
        <f>IF(TablaVentas[[#This Row],[Precio_unitario]]="","PENDIENTE",TablaVentas[[#This Row],[Unidades]]*TablaVentas[[#This Row],[Precio_unitario]]*(1-TablaVentas[[#This Row],[Descuento_pct]]))</f>
        <v>721.3</v>
      </c>
      <c r="P611">
        <f>IF(TablaVentas[[#This Row],[Costo_unitario]]="","PENDIENTE",TablaVentas[[#This Row],[Unidades]]*TablaVentas[[#This Row],[Costo_unitario]])</f>
        <v>397.1</v>
      </c>
      <c r="Q611">
        <f>IF(OR(TablaVentas[[#This Row],[Ingreso_neto]]="PENDIENTE",TablaVentas[[#This Row],[Costo_total]]="PENDIENTE"),"PENDIENTE",TablaVentas[[#This Row],[Ingreso_neto]]-TablaVentas[[#This Row],[Costo_total]])</f>
        <v>324.19999999999993</v>
      </c>
    </row>
    <row r="612" spans="1:17">
      <c r="A612" t="s">
        <v>583</v>
      </c>
      <c r="B612">
        <v>2</v>
      </c>
      <c r="C612" s="3">
        <v>46275</v>
      </c>
      <c r="D612" t="s">
        <v>584</v>
      </c>
      <c r="E612" t="s">
        <v>49</v>
      </c>
      <c r="F612" t="s">
        <v>77</v>
      </c>
      <c r="G612" t="s">
        <v>50</v>
      </c>
      <c r="H612" t="s">
        <v>124</v>
      </c>
      <c r="I612">
        <v>1</v>
      </c>
      <c r="J612" s="4">
        <v>4292.8</v>
      </c>
      <c r="K612" s="5">
        <v>0</v>
      </c>
      <c r="L612" s="4">
        <v>2950.52</v>
      </c>
      <c r="M612" t="s">
        <v>42</v>
      </c>
      <c r="N612" t="s">
        <v>43</v>
      </c>
      <c r="O612">
        <f>IF(TablaVentas[[#This Row],[Precio_unitario]]="","PENDIENTE",TablaVentas[[#This Row],[Unidades]]*TablaVentas[[#This Row],[Precio_unitario]]*(1-TablaVentas[[#This Row],[Descuento_pct]]))</f>
        <v>4292.8</v>
      </c>
      <c r="P612">
        <f>IF(TablaVentas[[#This Row],[Costo_unitario]]="","PENDIENTE",TablaVentas[[#This Row],[Unidades]]*TablaVentas[[#This Row],[Costo_unitario]])</f>
        <v>2950.52</v>
      </c>
      <c r="Q612">
        <f>IF(OR(TablaVentas[[#This Row],[Ingreso_neto]]="PENDIENTE",TablaVentas[[#This Row],[Costo_total]]="PENDIENTE"),"PENDIENTE",TablaVentas[[#This Row],[Ingreso_neto]]-TablaVentas[[#This Row],[Costo_total]])</f>
        <v>1342.2800000000002</v>
      </c>
    </row>
    <row r="613" spans="1:17">
      <c r="A613" t="s">
        <v>583</v>
      </c>
      <c r="B613">
        <v>3</v>
      </c>
      <c r="C613" s="3">
        <v>46275</v>
      </c>
      <c r="D613" t="s">
        <v>584</v>
      </c>
      <c r="E613" t="s">
        <v>106</v>
      </c>
      <c r="F613" t="s">
        <v>77</v>
      </c>
      <c r="G613" t="s">
        <v>50</v>
      </c>
      <c r="H613" t="s">
        <v>124</v>
      </c>
      <c r="I613">
        <v>2</v>
      </c>
      <c r="J613" s="4">
        <v>10156.58</v>
      </c>
      <c r="K613" s="5">
        <v>0.05</v>
      </c>
      <c r="L613" s="4">
        <v>8276.74</v>
      </c>
      <c r="M613" t="s">
        <v>42</v>
      </c>
      <c r="N613" t="s">
        <v>43</v>
      </c>
      <c r="O613">
        <f>IF(TablaVentas[[#This Row],[Precio_unitario]]="","PENDIENTE",TablaVentas[[#This Row],[Unidades]]*TablaVentas[[#This Row],[Precio_unitario]]*(1-TablaVentas[[#This Row],[Descuento_pct]]))</f>
        <v>19297.502</v>
      </c>
      <c r="P613">
        <f>IF(TablaVentas[[#This Row],[Costo_unitario]]="","PENDIENTE",TablaVentas[[#This Row],[Unidades]]*TablaVentas[[#This Row],[Costo_unitario]])</f>
        <v>16553.48</v>
      </c>
      <c r="Q613">
        <f>IF(OR(TablaVentas[[#This Row],[Ingreso_neto]]="PENDIENTE",TablaVentas[[#This Row],[Costo_total]]="PENDIENTE"),"PENDIENTE",TablaVentas[[#This Row],[Ingreso_neto]]-TablaVentas[[#This Row],[Costo_total]])</f>
        <v>2744.0220000000008</v>
      </c>
    </row>
    <row r="614" spans="1:17">
      <c r="A614" t="s">
        <v>583</v>
      </c>
      <c r="B614">
        <v>4</v>
      </c>
      <c r="C614" s="3">
        <v>46275</v>
      </c>
      <c r="D614" t="s">
        <v>584</v>
      </c>
      <c r="E614" t="s">
        <v>378</v>
      </c>
      <c r="F614" t="s">
        <v>77</v>
      </c>
      <c r="G614" t="s">
        <v>50</v>
      </c>
      <c r="H614" t="s">
        <v>124</v>
      </c>
      <c r="I614">
        <v>1</v>
      </c>
      <c r="J614" s="4">
        <v>3401.04</v>
      </c>
      <c r="K614" s="5">
        <v>0</v>
      </c>
      <c r="L614" s="4">
        <v>2864.64</v>
      </c>
      <c r="M614" t="s">
        <v>42</v>
      </c>
      <c r="N614" t="s">
        <v>52</v>
      </c>
      <c r="O614">
        <f>IF(TablaVentas[[#This Row],[Precio_unitario]]="","PENDIENTE",TablaVentas[[#This Row],[Unidades]]*TablaVentas[[#This Row],[Precio_unitario]]*(1-TablaVentas[[#This Row],[Descuento_pct]]))</f>
        <v>3401.04</v>
      </c>
      <c r="P614">
        <f>IF(TablaVentas[[#This Row],[Costo_unitario]]="","PENDIENTE",TablaVentas[[#This Row],[Unidades]]*TablaVentas[[#This Row],[Costo_unitario]])</f>
        <v>2864.64</v>
      </c>
      <c r="Q614">
        <f>IF(OR(TablaVentas[[#This Row],[Ingreso_neto]]="PENDIENTE",TablaVentas[[#This Row],[Costo_total]]="PENDIENTE"),"PENDIENTE",TablaVentas[[#This Row],[Ingreso_neto]]-TablaVentas[[#This Row],[Costo_total]])</f>
        <v>536.40000000000009</v>
      </c>
    </row>
    <row r="615" spans="1:17">
      <c r="A615" t="s">
        <v>585</v>
      </c>
      <c r="B615">
        <v>1</v>
      </c>
      <c r="C615" s="3">
        <v>46039</v>
      </c>
      <c r="D615" t="s">
        <v>316</v>
      </c>
      <c r="E615" t="s">
        <v>70</v>
      </c>
      <c r="F615" t="s">
        <v>77</v>
      </c>
      <c r="G615" t="s">
        <v>50</v>
      </c>
      <c r="H615" t="s">
        <v>82</v>
      </c>
      <c r="I615">
        <v>1</v>
      </c>
      <c r="J615" s="4">
        <v>15535.05</v>
      </c>
      <c r="K615" s="5">
        <v>0.15</v>
      </c>
      <c r="L615" s="4">
        <v>10571.25</v>
      </c>
      <c r="M615" t="s">
        <v>42</v>
      </c>
      <c r="N615" t="s">
        <v>52</v>
      </c>
      <c r="O615">
        <f>IF(TablaVentas[[#This Row],[Precio_unitario]]="","PENDIENTE",TablaVentas[[#This Row],[Unidades]]*TablaVentas[[#This Row],[Precio_unitario]]*(1-TablaVentas[[#This Row],[Descuento_pct]]))</f>
        <v>13204.7925</v>
      </c>
      <c r="P615">
        <f>IF(TablaVentas[[#This Row],[Costo_unitario]]="","PENDIENTE",TablaVentas[[#This Row],[Unidades]]*TablaVentas[[#This Row],[Costo_unitario]])</f>
        <v>10571.25</v>
      </c>
      <c r="Q615">
        <f>IF(OR(TablaVentas[[#This Row],[Ingreso_neto]]="PENDIENTE",TablaVentas[[#This Row],[Costo_total]]="PENDIENTE"),"PENDIENTE",TablaVentas[[#This Row],[Ingreso_neto]]-TablaVentas[[#This Row],[Costo_total]])</f>
        <v>2633.5424999999996</v>
      </c>
    </row>
    <row r="616" spans="1:17">
      <c r="A616" t="s">
        <v>585</v>
      </c>
      <c r="B616">
        <v>2</v>
      </c>
      <c r="C616" s="3">
        <v>46039</v>
      </c>
      <c r="D616" t="s">
        <v>316</v>
      </c>
      <c r="E616" t="s">
        <v>245</v>
      </c>
      <c r="F616" t="s">
        <v>77</v>
      </c>
      <c r="G616" t="s">
        <v>50</v>
      </c>
      <c r="H616" t="s">
        <v>82</v>
      </c>
      <c r="I616">
        <v>1</v>
      </c>
      <c r="J616" s="4">
        <v>18573.419999999998</v>
      </c>
      <c r="K616" s="5">
        <v>0.15</v>
      </c>
      <c r="L616" s="4">
        <v>10507.24</v>
      </c>
      <c r="M616" t="s">
        <v>42</v>
      </c>
      <c r="N616" t="s">
        <v>43</v>
      </c>
      <c r="O616">
        <f>IF(TablaVentas[[#This Row],[Precio_unitario]]="","PENDIENTE",TablaVentas[[#This Row],[Unidades]]*TablaVentas[[#This Row],[Precio_unitario]]*(1-TablaVentas[[#This Row],[Descuento_pct]]))</f>
        <v>15787.406999999997</v>
      </c>
      <c r="P616">
        <f>IF(TablaVentas[[#This Row],[Costo_unitario]]="","PENDIENTE",TablaVentas[[#This Row],[Unidades]]*TablaVentas[[#This Row],[Costo_unitario]])</f>
        <v>10507.24</v>
      </c>
      <c r="Q616">
        <f>IF(OR(TablaVentas[[#This Row],[Ingreso_neto]]="PENDIENTE",TablaVentas[[#This Row],[Costo_total]]="PENDIENTE"),"PENDIENTE",TablaVentas[[#This Row],[Ingreso_neto]]-TablaVentas[[#This Row],[Costo_total]])</f>
        <v>5280.1669999999976</v>
      </c>
    </row>
    <row r="617" spans="1:17">
      <c r="A617" t="s">
        <v>585</v>
      </c>
      <c r="B617">
        <v>3</v>
      </c>
      <c r="C617" s="3">
        <v>46039</v>
      </c>
      <c r="D617" t="s">
        <v>316</v>
      </c>
      <c r="E617" t="s">
        <v>114</v>
      </c>
      <c r="F617" t="s">
        <v>77</v>
      </c>
      <c r="G617" t="s">
        <v>50</v>
      </c>
      <c r="H617" t="s">
        <v>82</v>
      </c>
      <c r="I617">
        <v>1</v>
      </c>
      <c r="J617" s="4">
        <v>13530.66</v>
      </c>
      <c r="K617" s="5">
        <v>0.1</v>
      </c>
      <c r="L617" s="4">
        <v>8239.48</v>
      </c>
      <c r="M617" t="s">
        <v>42</v>
      </c>
      <c r="N617" t="s">
        <v>60</v>
      </c>
      <c r="O617">
        <f>IF(TablaVentas[[#This Row],[Precio_unitario]]="","PENDIENTE",TablaVentas[[#This Row],[Unidades]]*TablaVentas[[#This Row],[Precio_unitario]]*(1-TablaVentas[[#This Row],[Descuento_pct]]))</f>
        <v>12177.594000000001</v>
      </c>
      <c r="P617">
        <f>IF(TablaVentas[[#This Row],[Costo_unitario]]="","PENDIENTE",TablaVentas[[#This Row],[Unidades]]*TablaVentas[[#This Row],[Costo_unitario]])</f>
        <v>8239.48</v>
      </c>
      <c r="Q617">
        <f>IF(OR(TablaVentas[[#This Row],[Ingreso_neto]]="PENDIENTE",TablaVentas[[#This Row],[Costo_total]]="PENDIENTE"),"PENDIENTE",TablaVentas[[#This Row],[Ingreso_neto]]-TablaVentas[[#This Row],[Costo_total]])</f>
        <v>3938.1140000000014</v>
      </c>
    </row>
    <row r="618" spans="1:17">
      <c r="A618" t="s">
        <v>586</v>
      </c>
      <c r="B618">
        <v>1</v>
      </c>
      <c r="C618" s="3">
        <v>46186</v>
      </c>
      <c r="D618" t="s">
        <v>460</v>
      </c>
      <c r="E618" t="s">
        <v>159</v>
      </c>
      <c r="F618" t="s">
        <v>77</v>
      </c>
      <c r="G618" t="s">
        <v>50</v>
      </c>
      <c r="H618" t="s">
        <v>67</v>
      </c>
      <c r="I618">
        <v>1</v>
      </c>
      <c r="J618" s="4">
        <v>12334.83</v>
      </c>
      <c r="K618" s="5">
        <v>0</v>
      </c>
      <c r="L618" s="4">
        <v>9317.3700000000008</v>
      </c>
      <c r="M618" t="s">
        <v>62</v>
      </c>
      <c r="N618" t="s">
        <v>45</v>
      </c>
      <c r="O618">
        <f>IF(TablaVentas[[#This Row],[Precio_unitario]]="","PENDIENTE",TablaVentas[[#This Row],[Unidades]]*TablaVentas[[#This Row],[Precio_unitario]]*(1-TablaVentas[[#This Row],[Descuento_pct]]))</f>
        <v>12334.83</v>
      </c>
      <c r="P618">
        <f>IF(TablaVentas[[#This Row],[Costo_unitario]]="","PENDIENTE",TablaVentas[[#This Row],[Unidades]]*TablaVentas[[#This Row],[Costo_unitario]])</f>
        <v>9317.3700000000008</v>
      </c>
      <c r="Q618">
        <f>IF(OR(TablaVentas[[#This Row],[Ingreso_neto]]="PENDIENTE",TablaVentas[[#This Row],[Costo_total]]="PENDIENTE"),"PENDIENTE",TablaVentas[[#This Row],[Ingreso_neto]]-TablaVentas[[#This Row],[Costo_total]])</f>
        <v>3017.4599999999991</v>
      </c>
    </row>
    <row r="619" spans="1:17">
      <c r="A619" t="s">
        <v>586</v>
      </c>
      <c r="B619">
        <v>2</v>
      </c>
      <c r="C619" s="3">
        <v>46186</v>
      </c>
      <c r="D619" t="s">
        <v>460</v>
      </c>
      <c r="E619" t="s">
        <v>227</v>
      </c>
      <c r="F619" t="s">
        <v>77</v>
      </c>
      <c r="G619" t="s">
        <v>50</v>
      </c>
      <c r="H619" t="s">
        <v>67</v>
      </c>
      <c r="I619">
        <v>1</v>
      </c>
      <c r="J619" s="4">
        <v>7617.91</v>
      </c>
      <c r="K619" s="5">
        <v>0</v>
      </c>
      <c r="L619" s="4">
        <v>6255.13</v>
      </c>
      <c r="M619" t="s">
        <v>42</v>
      </c>
      <c r="N619" t="s">
        <v>60</v>
      </c>
      <c r="O619">
        <f>IF(TablaVentas[[#This Row],[Precio_unitario]]="","PENDIENTE",TablaVentas[[#This Row],[Unidades]]*TablaVentas[[#This Row],[Precio_unitario]]*(1-TablaVentas[[#This Row],[Descuento_pct]]))</f>
        <v>7617.91</v>
      </c>
      <c r="P619">
        <f>IF(TablaVentas[[#This Row],[Costo_unitario]]="","PENDIENTE",TablaVentas[[#This Row],[Unidades]]*TablaVentas[[#This Row],[Costo_unitario]])</f>
        <v>6255.13</v>
      </c>
      <c r="Q619">
        <f>IF(OR(TablaVentas[[#This Row],[Ingreso_neto]]="PENDIENTE",TablaVentas[[#This Row],[Costo_total]]="PENDIENTE"),"PENDIENTE",TablaVentas[[#This Row],[Ingreso_neto]]-TablaVentas[[#This Row],[Costo_total]])</f>
        <v>1362.7799999999997</v>
      </c>
    </row>
    <row r="620" spans="1:17">
      <c r="A620" t="s">
        <v>586</v>
      </c>
      <c r="B620">
        <v>3</v>
      </c>
      <c r="C620" s="3">
        <v>46186</v>
      </c>
      <c r="D620" t="s">
        <v>460</v>
      </c>
      <c r="E620" t="s">
        <v>397</v>
      </c>
      <c r="F620" t="s">
        <v>77</v>
      </c>
      <c r="G620" t="s">
        <v>50</v>
      </c>
      <c r="H620" t="s">
        <v>67</v>
      </c>
      <c r="I620">
        <v>2</v>
      </c>
      <c r="J620" s="4">
        <v>6458.81</v>
      </c>
      <c r="K620" s="5">
        <v>0</v>
      </c>
      <c r="L620" s="4">
        <v>3640.56</v>
      </c>
      <c r="M620" t="s">
        <v>42</v>
      </c>
      <c r="N620" t="s">
        <v>60</v>
      </c>
      <c r="O620">
        <f>IF(TablaVentas[[#This Row],[Precio_unitario]]="","PENDIENTE",TablaVentas[[#This Row],[Unidades]]*TablaVentas[[#This Row],[Precio_unitario]]*(1-TablaVentas[[#This Row],[Descuento_pct]]))</f>
        <v>12917.62</v>
      </c>
      <c r="P620">
        <f>IF(TablaVentas[[#This Row],[Costo_unitario]]="","PENDIENTE",TablaVentas[[#This Row],[Unidades]]*TablaVentas[[#This Row],[Costo_unitario]])</f>
        <v>7281.12</v>
      </c>
      <c r="Q620">
        <f>IF(OR(TablaVentas[[#This Row],[Ingreso_neto]]="PENDIENTE",TablaVentas[[#This Row],[Costo_total]]="PENDIENTE"),"PENDIENTE",TablaVentas[[#This Row],[Ingreso_neto]]-TablaVentas[[#This Row],[Costo_total]])</f>
        <v>5636.5000000000009</v>
      </c>
    </row>
    <row r="621" spans="1:17">
      <c r="A621" t="s">
        <v>586</v>
      </c>
      <c r="B621">
        <v>4</v>
      </c>
      <c r="C621" s="3">
        <v>46186</v>
      </c>
      <c r="D621" t="s">
        <v>460</v>
      </c>
      <c r="E621" t="s">
        <v>172</v>
      </c>
      <c r="F621" t="s">
        <v>77</v>
      </c>
      <c r="G621" t="s">
        <v>50</v>
      </c>
      <c r="H621" t="s">
        <v>67</v>
      </c>
      <c r="I621">
        <v>3</v>
      </c>
      <c r="J621" s="4">
        <v>17672.73</v>
      </c>
      <c r="K621" s="5">
        <v>0</v>
      </c>
      <c r="L621" s="4">
        <v>10830.17</v>
      </c>
      <c r="M621" t="s">
        <v>42</v>
      </c>
      <c r="N621" t="s">
        <v>45</v>
      </c>
      <c r="O621">
        <f>IF(TablaVentas[[#This Row],[Precio_unitario]]="","PENDIENTE",TablaVentas[[#This Row],[Unidades]]*TablaVentas[[#This Row],[Precio_unitario]]*(1-TablaVentas[[#This Row],[Descuento_pct]]))</f>
        <v>53018.19</v>
      </c>
      <c r="P621">
        <f>IF(TablaVentas[[#This Row],[Costo_unitario]]="","PENDIENTE",TablaVentas[[#This Row],[Unidades]]*TablaVentas[[#This Row],[Costo_unitario]])</f>
        <v>32490.510000000002</v>
      </c>
      <c r="Q621">
        <f>IF(OR(TablaVentas[[#This Row],[Ingreso_neto]]="PENDIENTE",TablaVentas[[#This Row],[Costo_total]]="PENDIENTE"),"PENDIENTE",TablaVentas[[#This Row],[Ingreso_neto]]-TablaVentas[[#This Row],[Costo_total]])</f>
        <v>20527.68</v>
      </c>
    </row>
    <row r="622" spans="1:17">
      <c r="A622" t="s">
        <v>586</v>
      </c>
      <c r="B622">
        <v>5</v>
      </c>
      <c r="C622" s="3">
        <v>46186</v>
      </c>
      <c r="D622" t="s">
        <v>460</v>
      </c>
      <c r="E622" t="s">
        <v>109</v>
      </c>
      <c r="F622" t="s">
        <v>77</v>
      </c>
      <c r="G622" t="s">
        <v>50</v>
      </c>
      <c r="H622" t="s">
        <v>67</v>
      </c>
      <c r="I622">
        <v>8</v>
      </c>
      <c r="J622" s="4">
        <v>14778.26</v>
      </c>
      <c r="K622" s="5">
        <v>0</v>
      </c>
      <c r="L622" s="4">
        <v>9880.77</v>
      </c>
      <c r="M622" t="s">
        <v>62</v>
      </c>
      <c r="N622" t="s">
        <v>45</v>
      </c>
      <c r="O622">
        <f>IF(TablaVentas[[#This Row],[Precio_unitario]]="","PENDIENTE",TablaVentas[[#This Row],[Unidades]]*TablaVentas[[#This Row],[Precio_unitario]]*(1-TablaVentas[[#This Row],[Descuento_pct]]))</f>
        <v>118226.08</v>
      </c>
      <c r="P622">
        <f>IF(TablaVentas[[#This Row],[Costo_unitario]]="","PENDIENTE",TablaVentas[[#This Row],[Unidades]]*TablaVentas[[#This Row],[Costo_unitario]])</f>
        <v>79046.16</v>
      </c>
      <c r="Q622">
        <f>IF(OR(TablaVentas[[#This Row],[Ingreso_neto]]="PENDIENTE",TablaVentas[[#This Row],[Costo_total]]="PENDIENTE"),"PENDIENTE",TablaVentas[[#This Row],[Ingreso_neto]]-TablaVentas[[#This Row],[Costo_total]])</f>
        <v>39179.919999999998</v>
      </c>
    </row>
    <row r="623" spans="1:17">
      <c r="A623" t="s">
        <v>587</v>
      </c>
      <c r="B623">
        <v>1</v>
      </c>
      <c r="C623" s="3">
        <v>46253</v>
      </c>
      <c r="D623" t="s">
        <v>474</v>
      </c>
      <c r="E623" t="s">
        <v>70</v>
      </c>
      <c r="F623" t="s">
        <v>66</v>
      </c>
      <c r="G623" t="s">
        <v>40</v>
      </c>
      <c r="H623" t="s">
        <v>51</v>
      </c>
      <c r="I623">
        <v>3</v>
      </c>
      <c r="J623" s="4">
        <v>14545.08</v>
      </c>
      <c r="K623" s="5">
        <v>0.05</v>
      </c>
      <c r="L623" s="4">
        <v>10571.25</v>
      </c>
      <c r="M623" t="s">
        <v>116</v>
      </c>
      <c r="N623" t="s">
        <v>43</v>
      </c>
      <c r="O623">
        <f>IF(TablaVentas[[#This Row],[Precio_unitario]]="","PENDIENTE",TablaVentas[[#This Row],[Unidades]]*TablaVentas[[#This Row],[Precio_unitario]]*(1-TablaVentas[[#This Row],[Descuento_pct]]))</f>
        <v>41453.477999999996</v>
      </c>
      <c r="P623">
        <f>IF(TablaVentas[[#This Row],[Costo_unitario]]="","PENDIENTE",TablaVentas[[#This Row],[Unidades]]*TablaVentas[[#This Row],[Costo_unitario]])</f>
        <v>31713.75</v>
      </c>
      <c r="Q623">
        <f>IF(OR(TablaVentas[[#This Row],[Ingreso_neto]]="PENDIENTE",TablaVentas[[#This Row],[Costo_total]]="PENDIENTE"),"PENDIENTE",TablaVentas[[#This Row],[Ingreso_neto]]-TablaVentas[[#This Row],[Costo_total]])</f>
        <v>9739.7279999999955</v>
      </c>
    </row>
    <row r="624" spans="1:17">
      <c r="A624" t="s">
        <v>587</v>
      </c>
      <c r="B624">
        <v>2</v>
      </c>
      <c r="C624" s="3">
        <v>46253</v>
      </c>
      <c r="D624" t="s">
        <v>474</v>
      </c>
      <c r="E624" t="s">
        <v>144</v>
      </c>
      <c r="F624" t="s">
        <v>66</v>
      </c>
      <c r="G624" t="s">
        <v>40</v>
      </c>
      <c r="H624" t="s">
        <v>51</v>
      </c>
      <c r="I624">
        <v>2</v>
      </c>
      <c r="J624" s="4">
        <v>10079.74</v>
      </c>
      <c r="K624" s="5">
        <v>0.15</v>
      </c>
      <c r="L624" s="4">
        <v>5125.3599999999997</v>
      </c>
      <c r="M624" t="s">
        <v>42</v>
      </c>
      <c r="N624" t="s">
        <v>45</v>
      </c>
      <c r="O624">
        <f>IF(TablaVentas[[#This Row],[Precio_unitario]]="","PENDIENTE",TablaVentas[[#This Row],[Unidades]]*TablaVentas[[#This Row],[Precio_unitario]]*(1-TablaVentas[[#This Row],[Descuento_pct]]))</f>
        <v>17135.558000000001</v>
      </c>
      <c r="P624">
        <f>IF(TablaVentas[[#This Row],[Costo_unitario]]="","PENDIENTE",TablaVentas[[#This Row],[Unidades]]*TablaVentas[[#This Row],[Costo_unitario]])</f>
        <v>10250.719999999999</v>
      </c>
      <c r="Q624">
        <f>IF(OR(TablaVentas[[#This Row],[Ingreso_neto]]="PENDIENTE",TablaVentas[[#This Row],[Costo_total]]="PENDIENTE"),"PENDIENTE",TablaVentas[[#This Row],[Ingreso_neto]]-TablaVentas[[#This Row],[Costo_total]])</f>
        <v>6884.8380000000016</v>
      </c>
    </row>
    <row r="625" spans="1:18">
      <c r="A625" t="s">
        <v>587</v>
      </c>
      <c r="B625">
        <v>3</v>
      </c>
      <c r="C625" s="3">
        <v>46253</v>
      </c>
      <c r="D625" t="s">
        <v>474</v>
      </c>
      <c r="E625" t="s">
        <v>588</v>
      </c>
      <c r="F625" t="s">
        <v>66</v>
      </c>
      <c r="G625" t="s">
        <v>40</v>
      </c>
      <c r="H625" t="s">
        <v>51</v>
      </c>
      <c r="I625">
        <v>2</v>
      </c>
      <c r="J625" s="4">
        <v>8480.74</v>
      </c>
      <c r="K625" s="5">
        <v>0.2</v>
      </c>
      <c r="L625" s="4">
        <v>6255.13</v>
      </c>
      <c r="M625" t="s">
        <v>42</v>
      </c>
      <c r="N625" t="s">
        <v>60</v>
      </c>
      <c r="O625">
        <f>IF(TablaVentas[[#This Row],[Precio_unitario]]="","PENDIENTE",TablaVentas[[#This Row],[Unidades]]*TablaVentas[[#This Row],[Precio_unitario]]*(1-TablaVentas[[#This Row],[Descuento_pct]]))</f>
        <v>13569.184000000001</v>
      </c>
      <c r="P625">
        <f>IF(TablaVentas[[#This Row],[Costo_unitario]]="","PENDIENTE",TablaVentas[[#This Row],[Unidades]]*TablaVentas[[#This Row],[Costo_unitario]])</f>
        <v>12510.26</v>
      </c>
      <c r="Q625">
        <f>IF(OR(TablaVentas[[#This Row],[Ingreso_neto]]="PENDIENTE",TablaVentas[[#This Row],[Costo_total]]="PENDIENTE"),"PENDIENTE",TablaVentas[[#This Row],[Ingreso_neto]]-TablaVentas[[#This Row],[Costo_total]])</f>
        <v>1058.9240000000009</v>
      </c>
      <c r="R625" t="s">
        <v>589</v>
      </c>
    </row>
    <row r="626" spans="1:18">
      <c r="A626" t="s">
        <v>590</v>
      </c>
      <c r="B626">
        <v>1</v>
      </c>
      <c r="C626" s="3">
        <v>46137</v>
      </c>
      <c r="D626" t="s">
        <v>350</v>
      </c>
      <c r="E626" t="s">
        <v>113</v>
      </c>
      <c r="F626" t="s">
        <v>66</v>
      </c>
      <c r="G626" t="s">
        <v>40</v>
      </c>
      <c r="H626" t="s">
        <v>82</v>
      </c>
      <c r="I626">
        <v>8</v>
      </c>
      <c r="J626" s="4">
        <v>2892.1</v>
      </c>
      <c r="K626" s="5">
        <v>0</v>
      </c>
      <c r="L626" s="4">
        <v>2196.34</v>
      </c>
      <c r="M626" t="s">
        <v>116</v>
      </c>
      <c r="N626" t="s">
        <v>43</v>
      </c>
      <c r="O626">
        <f>IF(TablaVentas[[#This Row],[Precio_unitario]]="","PENDIENTE",TablaVentas[[#This Row],[Unidades]]*TablaVentas[[#This Row],[Precio_unitario]]*(1-TablaVentas[[#This Row],[Descuento_pct]]))</f>
        <v>23136.799999999999</v>
      </c>
      <c r="P626">
        <f>IF(TablaVentas[[#This Row],[Costo_unitario]]="","PENDIENTE",TablaVentas[[#This Row],[Unidades]]*TablaVentas[[#This Row],[Costo_unitario]])</f>
        <v>17570.72</v>
      </c>
      <c r="Q626">
        <f>IF(OR(TablaVentas[[#This Row],[Ingreso_neto]]="PENDIENTE",TablaVentas[[#This Row],[Costo_total]]="PENDIENTE"),"PENDIENTE",TablaVentas[[#This Row],[Ingreso_neto]]-TablaVentas[[#This Row],[Costo_total]])</f>
        <v>5566.0799999999981</v>
      </c>
    </row>
    <row r="627" spans="1:18">
      <c r="A627" t="s">
        <v>590</v>
      </c>
      <c r="B627">
        <v>2</v>
      </c>
      <c r="C627" s="3">
        <v>46137</v>
      </c>
      <c r="D627" t="s">
        <v>350</v>
      </c>
      <c r="E627" t="s">
        <v>115</v>
      </c>
      <c r="F627" t="s">
        <v>66</v>
      </c>
      <c r="G627" t="s">
        <v>40</v>
      </c>
      <c r="H627" t="s">
        <v>82</v>
      </c>
      <c r="I627">
        <v>1</v>
      </c>
      <c r="J627" s="4">
        <v>1341.46</v>
      </c>
      <c r="K627" s="5">
        <v>0.15</v>
      </c>
      <c r="L627" s="4">
        <v>705.87</v>
      </c>
      <c r="M627" t="s">
        <v>42</v>
      </c>
      <c r="N627" t="s">
        <v>45</v>
      </c>
      <c r="O627">
        <f>IF(TablaVentas[[#This Row],[Precio_unitario]]="","PENDIENTE",TablaVentas[[#This Row],[Unidades]]*TablaVentas[[#This Row],[Precio_unitario]]*(1-TablaVentas[[#This Row],[Descuento_pct]]))</f>
        <v>1140.241</v>
      </c>
      <c r="P627">
        <f>IF(TablaVentas[[#This Row],[Costo_unitario]]="","PENDIENTE",TablaVentas[[#This Row],[Unidades]]*TablaVentas[[#This Row],[Costo_unitario]])</f>
        <v>705.87</v>
      </c>
      <c r="Q627">
        <f>IF(OR(TablaVentas[[#This Row],[Ingreso_neto]]="PENDIENTE",TablaVentas[[#This Row],[Costo_total]]="PENDIENTE"),"PENDIENTE",TablaVentas[[#This Row],[Ingreso_neto]]-TablaVentas[[#This Row],[Costo_total]])</f>
        <v>434.37099999999998</v>
      </c>
    </row>
    <row r="628" spans="1:18">
      <c r="A628" t="s">
        <v>591</v>
      </c>
      <c r="B628">
        <v>1</v>
      </c>
      <c r="C628" s="3">
        <v>46090</v>
      </c>
      <c r="D628" t="s">
        <v>536</v>
      </c>
      <c r="E628" t="s">
        <v>262</v>
      </c>
      <c r="F628" t="s">
        <v>66</v>
      </c>
      <c r="G628" t="s">
        <v>57</v>
      </c>
      <c r="H628" t="s">
        <v>82</v>
      </c>
      <c r="I628">
        <v>2</v>
      </c>
      <c r="J628" s="4">
        <v>12629.32</v>
      </c>
      <c r="K628" s="5">
        <v>0</v>
      </c>
      <c r="L628" s="4">
        <v>8227.4599999999991</v>
      </c>
      <c r="M628" t="s">
        <v>42</v>
      </c>
      <c r="N628" t="s">
        <v>45</v>
      </c>
      <c r="O628">
        <f>IF(TablaVentas[[#This Row],[Precio_unitario]]="","PENDIENTE",TablaVentas[[#This Row],[Unidades]]*TablaVentas[[#This Row],[Precio_unitario]]*(1-TablaVentas[[#This Row],[Descuento_pct]]))</f>
        <v>25258.639999999999</v>
      </c>
      <c r="P628">
        <f>IF(TablaVentas[[#This Row],[Costo_unitario]]="","PENDIENTE",TablaVentas[[#This Row],[Unidades]]*TablaVentas[[#This Row],[Costo_unitario]])</f>
        <v>16454.919999999998</v>
      </c>
      <c r="Q628">
        <f>IF(OR(TablaVentas[[#This Row],[Ingreso_neto]]="PENDIENTE",TablaVentas[[#This Row],[Costo_total]]="PENDIENTE"),"PENDIENTE",TablaVentas[[#This Row],[Ingreso_neto]]-TablaVentas[[#This Row],[Costo_total]])</f>
        <v>8803.7200000000012</v>
      </c>
    </row>
    <row r="629" spans="1:18">
      <c r="A629" t="s">
        <v>591</v>
      </c>
      <c r="B629">
        <v>2</v>
      </c>
      <c r="C629" s="3">
        <v>46090</v>
      </c>
      <c r="D629" t="s">
        <v>536</v>
      </c>
      <c r="E629" t="s">
        <v>144</v>
      </c>
      <c r="F629" t="s">
        <v>66</v>
      </c>
      <c r="G629" t="s">
        <v>57</v>
      </c>
      <c r="H629" t="s">
        <v>82</v>
      </c>
      <c r="I629">
        <v>1</v>
      </c>
      <c r="J629" s="4">
        <v>8932.64</v>
      </c>
      <c r="K629" s="5">
        <v>0</v>
      </c>
      <c r="L629" s="4">
        <v>5125.3599999999997</v>
      </c>
      <c r="M629" t="s">
        <v>116</v>
      </c>
      <c r="N629" t="s">
        <v>60</v>
      </c>
      <c r="O629">
        <f>IF(TablaVentas[[#This Row],[Precio_unitario]]="","PENDIENTE",TablaVentas[[#This Row],[Unidades]]*TablaVentas[[#This Row],[Precio_unitario]]*(1-TablaVentas[[#This Row],[Descuento_pct]]))</f>
        <v>8932.64</v>
      </c>
      <c r="P629">
        <f>IF(TablaVentas[[#This Row],[Costo_unitario]]="","PENDIENTE",TablaVentas[[#This Row],[Unidades]]*TablaVentas[[#This Row],[Costo_unitario]])</f>
        <v>5125.3599999999997</v>
      </c>
      <c r="Q629">
        <f>IF(OR(TablaVentas[[#This Row],[Ingreso_neto]]="PENDIENTE",TablaVentas[[#This Row],[Costo_total]]="PENDIENTE"),"PENDIENTE",TablaVentas[[#This Row],[Ingreso_neto]]-TablaVentas[[#This Row],[Costo_total]])</f>
        <v>3807.2799999999997</v>
      </c>
    </row>
    <row r="630" spans="1:18">
      <c r="A630" t="s">
        <v>591</v>
      </c>
      <c r="B630">
        <v>3</v>
      </c>
      <c r="C630" s="3">
        <v>46090</v>
      </c>
      <c r="D630" t="s">
        <v>536</v>
      </c>
      <c r="E630" t="s">
        <v>164</v>
      </c>
      <c r="F630" t="s">
        <v>66</v>
      </c>
      <c r="G630" t="s">
        <v>57</v>
      </c>
      <c r="H630" t="s">
        <v>82</v>
      </c>
      <c r="I630">
        <v>1</v>
      </c>
      <c r="J630" s="4">
        <v>5875.07</v>
      </c>
      <c r="K630" s="5">
        <v>0</v>
      </c>
      <c r="L630" s="4">
        <v>5050.04</v>
      </c>
      <c r="M630" t="s">
        <v>42</v>
      </c>
      <c r="N630" t="s">
        <v>60</v>
      </c>
      <c r="O630">
        <f>IF(TablaVentas[[#This Row],[Precio_unitario]]="","PENDIENTE",TablaVentas[[#This Row],[Unidades]]*TablaVentas[[#This Row],[Precio_unitario]]*(1-TablaVentas[[#This Row],[Descuento_pct]]))</f>
        <v>5875.07</v>
      </c>
      <c r="P630">
        <f>IF(TablaVentas[[#This Row],[Costo_unitario]]="","PENDIENTE",TablaVentas[[#This Row],[Unidades]]*TablaVentas[[#This Row],[Costo_unitario]])</f>
        <v>5050.04</v>
      </c>
      <c r="Q630">
        <f>IF(OR(TablaVentas[[#This Row],[Ingreso_neto]]="PENDIENTE",TablaVentas[[#This Row],[Costo_total]]="PENDIENTE"),"PENDIENTE",TablaVentas[[#This Row],[Ingreso_neto]]-TablaVentas[[#This Row],[Costo_total]])</f>
        <v>825.02999999999975</v>
      </c>
    </row>
    <row r="631" spans="1:18">
      <c r="A631" t="s">
        <v>592</v>
      </c>
      <c r="B631">
        <v>1</v>
      </c>
      <c r="C631" s="3">
        <v>46188</v>
      </c>
      <c r="D631" t="s">
        <v>593</v>
      </c>
      <c r="E631" t="s">
        <v>109</v>
      </c>
      <c r="F631" t="s">
        <v>66</v>
      </c>
      <c r="G631" t="s">
        <v>50</v>
      </c>
      <c r="H631" t="s">
        <v>58</v>
      </c>
      <c r="I631">
        <v>1</v>
      </c>
      <c r="J631" s="4">
        <v>14928.6</v>
      </c>
      <c r="K631" s="5">
        <v>0</v>
      </c>
      <c r="L631" s="4">
        <v>9880.77</v>
      </c>
      <c r="M631" t="s">
        <v>42</v>
      </c>
      <c r="N631" t="s">
        <v>43</v>
      </c>
      <c r="O631">
        <f>IF(TablaVentas[[#This Row],[Precio_unitario]]="","PENDIENTE",TablaVentas[[#This Row],[Unidades]]*TablaVentas[[#This Row],[Precio_unitario]]*(1-TablaVentas[[#This Row],[Descuento_pct]]))</f>
        <v>14928.6</v>
      </c>
      <c r="P631">
        <f>IF(TablaVentas[[#This Row],[Costo_unitario]]="","PENDIENTE",TablaVentas[[#This Row],[Unidades]]*TablaVentas[[#This Row],[Costo_unitario]])</f>
        <v>9880.77</v>
      </c>
      <c r="Q631">
        <f>IF(OR(TablaVentas[[#This Row],[Ingreso_neto]]="PENDIENTE",TablaVentas[[#This Row],[Costo_total]]="PENDIENTE"),"PENDIENTE",TablaVentas[[#This Row],[Ingreso_neto]]-TablaVentas[[#This Row],[Costo_total]])</f>
        <v>5047.83</v>
      </c>
    </row>
    <row r="632" spans="1:18">
      <c r="A632" t="s">
        <v>592</v>
      </c>
      <c r="B632">
        <v>2</v>
      </c>
      <c r="C632" s="3">
        <v>46188</v>
      </c>
      <c r="D632" t="s">
        <v>593</v>
      </c>
      <c r="E632" t="s">
        <v>155</v>
      </c>
      <c r="F632" t="s">
        <v>66</v>
      </c>
      <c r="G632" t="s">
        <v>50</v>
      </c>
      <c r="H632" t="s">
        <v>58</v>
      </c>
      <c r="I632">
        <v>2</v>
      </c>
      <c r="J632" s="4">
        <v>773.2</v>
      </c>
      <c r="K632" s="5">
        <v>0</v>
      </c>
      <c r="L632" s="4">
        <v>397.1</v>
      </c>
      <c r="M632" t="s">
        <v>42</v>
      </c>
      <c r="N632" t="s">
        <v>60</v>
      </c>
      <c r="O632">
        <f>IF(TablaVentas[[#This Row],[Precio_unitario]]="","PENDIENTE",TablaVentas[[#This Row],[Unidades]]*TablaVentas[[#This Row],[Precio_unitario]]*(1-TablaVentas[[#This Row],[Descuento_pct]]))</f>
        <v>1546.4</v>
      </c>
      <c r="P632">
        <f>IF(TablaVentas[[#This Row],[Costo_unitario]]="","PENDIENTE",TablaVentas[[#This Row],[Unidades]]*TablaVentas[[#This Row],[Costo_unitario]])</f>
        <v>794.2</v>
      </c>
      <c r="Q632">
        <f>IF(OR(TablaVentas[[#This Row],[Ingreso_neto]]="PENDIENTE",TablaVentas[[#This Row],[Costo_total]]="PENDIENTE"),"PENDIENTE",TablaVentas[[#This Row],[Ingreso_neto]]-TablaVentas[[#This Row],[Costo_total]])</f>
        <v>752.2</v>
      </c>
    </row>
    <row r="633" spans="1:18">
      <c r="A633" t="s">
        <v>594</v>
      </c>
      <c r="B633">
        <v>1</v>
      </c>
      <c r="C633" s="3">
        <v>46203</v>
      </c>
      <c r="D633" t="s">
        <v>495</v>
      </c>
      <c r="E633" t="s">
        <v>163</v>
      </c>
      <c r="F633" t="s">
        <v>56</v>
      </c>
      <c r="G633" t="s">
        <v>57</v>
      </c>
      <c r="H633" t="s">
        <v>73</v>
      </c>
      <c r="I633">
        <v>1</v>
      </c>
      <c r="J633" s="4">
        <v>17817.03</v>
      </c>
      <c r="K633" s="5">
        <v>0.1</v>
      </c>
      <c r="L633" s="4">
        <v>12141.44</v>
      </c>
      <c r="M633" t="s">
        <v>42</v>
      </c>
      <c r="N633" t="s">
        <v>43</v>
      </c>
      <c r="O633">
        <f>IF(TablaVentas[[#This Row],[Precio_unitario]]="","PENDIENTE",TablaVentas[[#This Row],[Unidades]]*TablaVentas[[#This Row],[Precio_unitario]]*(1-TablaVentas[[#This Row],[Descuento_pct]]))</f>
        <v>16035.326999999999</v>
      </c>
      <c r="P633">
        <f>IF(TablaVentas[[#This Row],[Costo_unitario]]="","PENDIENTE",TablaVentas[[#This Row],[Unidades]]*TablaVentas[[#This Row],[Costo_unitario]])</f>
        <v>12141.44</v>
      </c>
      <c r="Q633">
        <f>IF(OR(TablaVentas[[#This Row],[Ingreso_neto]]="PENDIENTE",TablaVentas[[#This Row],[Costo_total]]="PENDIENTE"),"PENDIENTE",TablaVentas[[#This Row],[Ingreso_neto]]-TablaVentas[[#This Row],[Costo_total]])</f>
        <v>3893.8869999999988</v>
      </c>
    </row>
    <row r="634" spans="1:18">
      <c r="A634" t="s">
        <v>594</v>
      </c>
      <c r="B634">
        <v>2</v>
      </c>
      <c r="C634" s="3">
        <v>46203</v>
      </c>
      <c r="D634" t="s">
        <v>495</v>
      </c>
      <c r="E634" t="s">
        <v>38</v>
      </c>
      <c r="F634" t="s">
        <v>56</v>
      </c>
      <c r="G634" t="s">
        <v>57</v>
      </c>
      <c r="H634" t="s">
        <v>73</v>
      </c>
      <c r="I634">
        <v>4</v>
      </c>
      <c r="J634" s="4">
        <v>6012.34</v>
      </c>
      <c r="K634" s="5">
        <v>0</v>
      </c>
      <c r="L634" s="4">
        <v>3832.69</v>
      </c>
      <c r="M634" t="s">
        <v>42</v>
      </c>
      <c r="N634" t="s">
        <v>43</v>
      </c>
      <c r="O634">
        <f>IF(TablaVentas[[#This Row],[Precio_unitario]]="","PENDIENTE",TablaVentas[[#This Row],[Unidades]]*TablaVentas[[#This Row],[Precio_unitario]]*(1-TablaVentas[[#This Row],[Descuento_pct]]))</f>
        <v>24049.360000000001</v>
      </c>
      <c r="P634">
        <f>IF(TablaVentas[[#This Row],[Costo_unitario]]="","PENDIENTE",TablaVentas[[#This Row],[Unidades]]*TablaVentas[[#This Row],[Costo_unitario]])</f>
        <v>15330.76</v>
      </c>
      <c r="Q634">
        <f>IF(OR(TablaVentas[[#This Row],[Ingreso_neto]]="PENDIENTE",TablaVentas[[#This Row],[Costo_total]]="PENDIENTE"),"PENDIENTE",TablaVentas[[#This Row],[Ingreso_neto]]-TablaVentas[[#This Row],[Costo_total]])</f>
        <v>8718.6</v>
      </c>
    </row>
    <row r="635" spans="1:18">
      <c r="A635" t="s">
        <v>594</v>
      </c>
      <c r="B635">
        <v>3</v>
      </c>
      <c r="C635" s="3">
        <v>46203</v>
      </c>
      <c r="D635" t="s">
        <v>495</v>
      </c>
      <c r="E635" t="s">
        <v>152</v>
      </c>
      <c r="F635" t="s">
        <v>56</v>
      </c>
      <c r="G635" t="s">
        <v>57</v>
      </c>
      <c r="H635" t="s">
        <v>73</v>
      </c>
      <c r="I635">
        <v>1</v>
      </c>
      <c r="J635" s="4">
        <v>2881.26</v>
      </c>
      <c r="K635" s="5">
        <v>0</v>
      </c>
      <c r="L635" s="4">
        <v>1962.3</v>
      </c>
      <c r="M635" t="s">
        <v>42</v>
      </c>
      <c r="N635" t="s">
        <v>60</v>
      </c>
      <c r="O635">
        <f>IF(TablaVentas[[#This Row],[Precio_unitario]]="","PENDIENTE",TablaVentas[[#This Row],[Unidades]]*TablaVentas[[#This Row],[Precio_unitario]]*(1-TablaVentas[[#This Row],[Descuento_pct]]))</f>
        <v>2881.26</v>
      </c>
      <c r="P635">
        <f>IF(TablaVentas[[#This Row],[Costo_unitario]]="","PENDIENTE",TablaVentas[[#This Row],[Unidades]]*TablaVentas[[#This Row],[Costo_unitario]])</f>
        <v>1962.3</v>
      </c>
      <c r="Q635">
        <f>IF(OR(TablaVentas[[#This Row],[Ingreso_neto]]="PENDIENTE",TablaVentas[[#This Row],[Costo_total]]="PENDIENTE"),"PENDIENTE",TablaVentas[[#This Row],[Ingreso_neto]]-TablaVentas[[#This Row],[Costo_total]])</f>
        <v>918.96000000000026</v>
      </c>
    </row>
    <row r="636" spans="1:18">
      <c r="A636" t="s">
        <v>594</v>
      </c>
      <c r="B636">
        <v>4</v>
      </c>
      <c r="C636" s="3">
        <v>46203</v>
      </c>
      <c r="D636" t="s">
        <v>495</v>
      </c>
      <c r="E636" t="s">
        <v>76</v>
      </c>
      <c r="F636" t="s">
        <v>56</v>
      </c>
      <c r="G636" t="s">
        <v>57</v>
      </c>
      <c r="H636" t="s">
        <v>73</v>
      </c>
      <c r="I636">
        <v>1</v>
      </c>
      <c r="J636" s="4">
        <v>13506.77</v>
      </c>
      <c r="K636" s="5">
        <v>0</v>
      </c>
      <c r="L636" s="4">
        <v>7748.44</v>
      </c>
      <c r="M636" t="s">
        <v>42</v>
      </c>
      <c r="N636" t="s">
        <v>45</v>
      </c>
      <c r="O636">
        <f>IF(TablaVentas[[#This Row],[Precio_unitario]]="","PENDIENTE",TablaVentas[[#This Row],[Unidades]]*TablaVentas[[#This Row],[Precio_unitario]]*(1-TablaVentas[[#This Row],[Descuento_pct]]))</f>
        <v>13506.77</v>
      </c>
      <c r="P636">
        <f>IF(TablaVentas[[#This Row],[Costo_unitario]]="","PENDIENTE",TablaVentas[[#This Row],[Unidades]]*TablaVentas[[#This Row],[Costo_unitario]])</f>
        <v>7748.44</v>
      </c>
      <c r="Q636">
        <f>IF(OR(TablaVentas[[#This Row],[Ingreso_neto]]="PENDIENTE",TablaVentas[[#This Row],[Costo_total]]="PENDIENTE"),"PENDIENTE",TablaVentas[[#This Row],[Ingreso_neto]]-TablaVentas[[#This Row],[Costo_total]])</f>
        <v>5758.3300000000008</v>
      </c>
    </row>
    <row r="637" spans="1:18">
      <c r="A637" t="s">
        <v>595</v>
      </c>
      <c r="B637">
        <v>1</v>
      </c>
      <c r="C637" s="3">
        <v>46024</v>
      </c>
      <c r="D637" t="s">
        <v>342</v>
      </c>
      <c r="E637" t="s">
        <v>68</v>
      </c>
      <c r="F637" t="s">
        <v>77</v>
      </c>
      <c r="G637" t="s">
        <v>57</v>
      </c>
      <c r="H637" t="s">
        <v>41</v>
      </c>
      <c r="I637">
        <v>5</v>
      </c>
      <c r="J637" s="4">
        <v>16257.94</v>
      </c>
      <c r="K637" s="5">
        <v>0.2</v>
      </c>
      <c r="L637" s="4">
        <v>9243.35</v>
      </c>
      <c r="M637" t="s">
        <v>42</v>
      </c>
      <c r="N637" t="s">
        <v>45</v>
      </c>
      <c r="O637">
        <f>IF(TablaVentas[[#This Row],[Precio_unitario]]="","PENDIENTE",TablaVentas[[#This Row],[Unidades]]*TablaVentas[[#This Row],[Precio_unitario]]*(1-TablaVentas[[#This Row],[Descuento_pct]]))</f>
        <v>65031.76</v>
      </c>
      <c r="P637">
        <f>IF(TablaVentas[[#This Row],[Costo_unitario]]="","PENDIENTE",TablaVentas[[#This Row],[Unidades]]*TablaVentas[[#This Row],[Costo_unitario]])</f>
        <v>46216.75</v>
      </c>
      <c r="Q637">
        <f>IF(OR(TablaVentas[[#This Row],[Ingreso_neto]]="PENDIENTE",TablaVentas[[#This Row],[Costo_total]]="PENDIENTE"),"PENDIENTE",TablaVentas[[#This Row],[Ingreso_neto]]-TablaVentas[[#This Row],[Costo_total]])</f>
        <v>18815.010000000002</v>
      </c>
    </row>
    <row r="638" spans="1:18">
      <c r="A638" t="s">
        <v>595</v>
      </c>
      <c r="B638">
        <v>2</v>
      </c>
      <c r="C638" s="3">
        <v>46024</v>
      </c>
      <c r="D638" t="s">
        <v>342</v>
      </c>
      <c r="E638" t="s">
        <v>110</v>
      </c>
      <c r="F638" t="s">
        <v>77</v>
      </c>
      <c r="G638" t="s">
        <v>57</v>
      </c>
      <c r="H638" t="s">
        <v>41</v>
      </c>
      <c r="I638">
        <v>4</v>
      </c>
      <c r="J638" s="4">
        <v>5891.9</v>
      </c>
      <c r="K638" s="5">
        <v>0</v>
      </c>
      <c r="L638" s="4">
        <v>4205.6899999999996</v>
      </c>
      <c r="M638" t="s">
        <v>42</v>
      </c>
      <c r="N638" t="s">
        <v>45</v>
      </c>
      <c r="O638">
        <f>IF(TablaVentas[[#This Row],[Precio_unitario]]="","PENDIENTE",TablaVentas[[#This Row],[Unidades]]*TablaVentas[[#This Row],[Precio_unitario]]*(1-TablaVentas[[#This Row],[Descuento_pct]]))</f>
        <v>23567.599999999999</v>
      </c>
      <c r="P638">
        <f>IF(TablaVentas[[#This Row],[Costo_unitario]]="","PENDIENTE",TablaVentas[[#This Row],[Unidades]]*TablaVentas[[#This Row],[Costo_unitario]])</f>
        <v>16822.759999999998</v>
      </c>
      <c r="Q638">
        <f>IF(OR(TablaVentas[[#This Row],[Ingreso_neto]]="PENDIENTE",TablaVentas[[#This Row],[Costo_total]]="PENDIENTE"),"PENDIENTE",TablaVentas[[#This Row],[Ingreso_neto]]-TablaVentas[[#This Row],[Costo_total]])</f>
        <v>6744.84</v>
      </c>
    </row>
    <row r="639" spans="1:18">
      <c r="A639" t="s">
        <v>595</v>
      </c>
      <c r="B639">
        <v>3</v>
      </c>
      <c r="C639" s="3">
        <v>46024</v>
      </c>
      <c r="D639" t="s">
        <v>342</v>
      </c>
      <c r="E639" t="s">
        <v>144</v>
      </c>
      <c r="F639" t="s">
        <v>77</v>
      </c>
      <c r="G639" t="s">
        <v>57</v>
      </c>
      <c r="H639" t="s">
        <v>41</v>
      </c>
      <c r="I639">
        <v>8</v>
      </c>
      <c r="J639" s="4">
        <v>9066.8700000000008</v>
      </c>
      <c r="K639" s="5">
        <v>0</v>
      </c>
      <c r="L639" s="4">
        <v>5125.3599999999997</v>
      </c>
      <c r="M639" t="s">
        <v>42</v>
      </c>
      <c r="N639" t="s">
        <v>52</v>
      </c>
      <c r="O639">
        <f>IF(TablaVentas[[#This Row],[Precio_unitario]]="","PENDIENTE",TablaVentas[[#This Row],[Unidades]]*TablaVentas[[#This Row],[Precio_unitario]]*(1-TablaVentas[[#This Row],[Descuento_pct]]))</f>
        <v>72534.960000000006</v>
      </c>
      <c r="P639">
        <f>IF(TablaVentas[[#This Row],[Costo_unitario]]="","PENDIENTE",TablaVentas[[#This Row],[Unidades]]*TablaVentas[[#This Row],[Costo_unitario]])</f>
        <v>41002.879999999997</v>
      </c>
      <c r="Q639">
        <f>IF(OR(TablaVentas[[#This Row],[Ingreso_neto]]="PENDIENTE",TablaVentas[[#This Row],[Costo_total]]="PENDIENTE"),"PENDIENTE",TablaVentas[[#This Row],[Ingreso_neto]]-TablaVentas[[#This Row],[Costo_total]])</f>
        <v>31532.080000000009</v>
      </c>
    </row>
    <row r="640" spans="1:18">
      <c r="A640" t="s">
        <v>596</v>
      </c>
      <c r="B640">
        <v>1</v>
      </c>
      <c r="C640" s="3">
        <v>46024</v>
      </c>
      <c r="D640" t="s">
        <v>375</v>
      </c>
      <c r="E640" t="s">
        <v>76</v>
      </c>
      <c r="F640" t="s">
        <v>66</v>
      </c>
      <c r="G640" t="s">
        <v>40</v>
      </c>
      <c r="H640" t="s">
        <v>129</v>
      </c>
      <c r="I640">
        <v>1</v>
      </c>
      <c r="J640" s="4">
        <v>13307.61</v>
      </c>
      <c r="K640" s="5">
        <v>0.1</v>
      </c>
      <c r="L640" s="4">
        <v>7748.44</v>
      </c>
      <c r="M640" t="s">
        <v>42</v>
      </c>
      <c r="N640" t="s">
        <v>43</v>
      </c>
      <c r="O640">
        <f>IF(TablaVentas[[#This Row],[Precio_unitario]]="","PENDIENTE",TablaVentas[[#This Row],[Unidades]]*TablaVentas[[#This Row],[Precio_unitario]]*(1-TablaVentas[[#This Row],[Descuento_pct]]))</f>
        <v>11976.849</v>
      </c>
      <c r="P640">
        <f>IF(TablaVentas[[#This Row],[Costo_unitario]]="","PENDIENTE",TablaVentas[[#This Row],[Unidades]]*TablaVentas[[#This Row],[Costo_unitario]])</f>
        <v>7748.44</v>
      </c>
      <c r="Q640">
        <f>IF(OR(TablaVentas[[#This Row],[Ingreso_neto]]="PENDIENTE",TablaVentas[[#This Row],[Costo_total]]="PENDIENTE"),"PENDIENTE",TablaVentas[[#This Row],[Ingreso_neto]]-TablaVentas[[#This Row],[Costo_total]])</f>
        <v>4228.4090000000006</v>
      </c>
    </row>
    <row r="641" spans="1:17">
      <c r="A641" t="s">
        <v>596</v>
      </c>
      <c r="B641">
        <v>2</v>
      </c>
      <c r="C641" s="3">
        <v>46024</v>
      </c>
      <c r="D641" t="s">
        <v>375</v>
      </c>
      <c r="E641" t="s">
        <v>282</v>
      </c>
      <c r="F641" t="s">
        <v>66</v>
      </c>
      <c r="G641" t="s">
        <v>40</v>
      </c>
      <c r="H641" t="s">
        <v>129</v>
      </c>
      <c r="I641">
        <v>4</v>
      </c>
      <c r="J641" s="4">
        <v>4337.78</v>
      </c>
      <c r="K641" s="5">
        <v>0</v>
      </c>
      <c r="L641" s="4">
        <v>3399.5</v>
      </c>
      <c r="M641" t="s">
        <v>42</v>
      </c>
      <c r="N641" t="s">
        <v>52</v>
      </c>
      <c r="O641">
        <f>IF(TablaVentas[[#This Row],[Precio_unitario]]="","PENDIENTE",TablaVentas[[#This Row],[Unidades]]*TablaVentas[[#This Row],[Precio_unitario]]*(1-TablaVentas[[#This Row],[Descuento_pct]]))</f>
        <v>17351.12</v>
      </c>
      <c r="P641">
        <f>IF(TablaVentas[[#This Row],[Costo_unitario]]="","PENDIENTE",TablaVentas[[#This Row],[Unidades]]*TablaVentas[[#This Row],[Costo_unitario]])</f>
        <v>13598</v>
      </c>
      <c r="Q641">
        <f>IF(OR(TablaVentas[[#This Row],[Ingreso_neto]]="PENDIENTE",TablaVentas[[#This Row],[Costo_total]]="PENDIENTE"),"PENDIENTE",TablaVentas[[#This Row],[Ingreso_neto]]-TablaVentas[[#This Row],[Costo_total]])</f>
        <v>3753.119999999999</v>
      </c>
    </row>
    <row r="642" spans="1:17">
      <c r="A642" t="s">
        <v>596</v>
      </c>
      <c r="B642">
        <v>3</v>
      </c>
      <c r="C642" s="3">
        <v>46024</v>
      </c>
      <c r="D642" t="s">
        <v>375</v>
      </c>
      <c r="E642" t="s">
        <v>101</v>
      </c>
      <c r="F642" t="s">
        <v>66</v>
      </c>
      <c r="G642" t="s">
        <v>40</v>
      </c>
      <c r="H642" t="s">
        <v>129</v>
      </c>
      <c r="I642">
        <v>3</v>
      </c>
      <c r="J642" s="4">
        <v>4569.7700000000004</v>
      </c>
      <c r="K642" s="5">
        <v>0.15</v>
      </c>
      <c r="L642" s="4">
        <v>2865.24</v>
      </c>
      <c r="M642" t="s">
        <v>42</v>
      </c>
      <c r="N642" t="s">
        <v>60</v>
      </c>
      <c r="O642">
        <f>IF(TablaVentas[[#This Row],[Precio_unitario]]="","PENDIENTE",TablaVentas[[#This Row],[Unidades]]*TablaVentas[[#This Row],[Precio_unitario]]*(1-TablaVentas[[#This Row],[Descuento_pct]]))</f>
        <v>11652.913500000001</v>
      </c>
      <c r="P642">
        <f>IF(TablaVentas[[#This Row],[Costo_unitario]]="","PENDIENTE",TablaVentas[[#This Row],[Unidades]]*TablaVentas[[#This Row],[Costo_unitario]])</f>
        <v>8595.7199999999993</v>
      </c>
      <c r="Q642">
        <f>IF(OR(TablaVentas[[#This Row],[Ingreso_neto]]="PENDIENTE",TablaVentas[[#This Row],[Costo_total]]="PENDIENTE"),"PENDIENTE",TablaVentas[[#This Row],[Ingreso_neto]]-TablaVentas[[#This Row],[Costo_total]])</f>
        <v>3057.1935000000012</v>
      </c>
    </row>
    <row r="643" spans="1:17">
      <c r="A643" t="s">
        <v>596</v>
      </c>
      <c r="B643">
        <v>4</v>
      </c>
      <c r="C643" s="3">
        <v>46024</v>
      </c>
      <c r="D643" t="s">
        <v>375</v>
      </c>
      <c r="E643" t="s">
        <v>68</v>
      </c>
      <c r="F643" t="s">
        <v>66</v>
      </c>
      <c r="G643" t="s">
        <v>40</v>
      </c>
      <c r="H643" t="s">
        <v>129</v>
      </c>
      <c r="I643">
        <v>1</v>
      </c>
      <c r="J643" s="4">
        <v>15642.24</v>
      </c>
      <c r="K643" s="5">
        <v>0</v>
      </c>
      <c r="L643" s="4">
        <v>9243.35</v>
      </c>
      <c r="M643" t="s">
        <v>42</v>
      </c>
      <c r="N643" t="s">
        <v>60</v>
      </c>
      <c r="O643">
        <f>IF(TablaVentas[[#This Row],[Precio_unitario]]="","PENDIENTE",TablaVentas[[#This Row],[Unidades]]*TablaVentas[[#This Row],[Precio_unitario]]*(1-TablaVentas[[#This Row],[Descuento_pct]]))</f>
        <v>15642.24</v>
      </c>
      <c r="P643">
        <f>IF(TablaVentas[[#This Row],[Costo_unitario]]="","PENDIENTE",TablaVentas[[#This Row],[Unidades]]*TablaVentas[[#This Row],[Costo_unitario]])</f>
        <v>9243.35</v>
      </c>
      <c r="Q643">
        <f>IF(OR(TablaVentas[[#This Row],[Ingreso_neto]]="PENDIENTE",TablaVentas[[#This Row],[Costo_total]]="PENDIENTE"),"PENDIENTE",TablaVentas[[#This Row],[Ingreso_neto]]-TablaVentas[[#This Row],[Costo_total]])</f>
        <v>6398.8899999999994</v>
      </c>
    </row>
    <row r="644" spans="1:17">
      <c r="A644" t="s">
        <v>596</v>
      </c>
      <c r="B644">
        <v>5</v>
      </c>
      <c r="C644" s="3">
        <v>46024</v>
      </c>
      <c r="D644" t="s">
        <v>375</v>
      </c>
      <c r="E644" t="s">
        <v>144</v>
      </c>
      <c r="F644" t="s">
        <v>66</v>
      </c>
      <c r="G644" t="s">
        <v>40</v>
      </c>
      <c r="H644" t="s">
        <v>129</v>
      </c>
      <c r="I644">
        <v>1</v>
      </c>
      <c r="J644" s="4">
        <v>8572.3799999999992</v>
      </c>
      <c r="K644" s="5">
        <v>0</v>
      </c>
      <c r="L644" s="4">
        <v>5125.3599999999997</v>
      </c>
      <c r="M644" t="s">
        <v>42</v>
      </c>
      <c r="N644" t="s">
        <v>52</v>
      </c>
      <c r="O644">
        <f>IF(TablaVentas[[#This Row],[Precio_unitario]]="","PENDIENTE",TablaVentas[[#This Row],[Unidades]]*TablaVentas[[#This Row],[Precio_unitario]]*(1-TablaVentas[[#This Row],[Descuento_pct]]))</f>
        <v>8572.3799999999992</v>
      </c>
      <c r="P644">
        <f>IF(TablaVentas[[#This Row],[Costo_unitario]]="","PENDIENTE",TablaVentas[[#This Row],[Unidades]]*TablaVentas[[#This Row],[Costo_unitario]])</f>
        <v>5125.3599999999997</v>
      </c>
      <c r="Q644">
        <f>IF(OR(TablaVentas[[#This Row],[Ingreso_neto]]="PENDIENTE",TablaVentas[[#This Row],[Costo_total]]="PENDIENTE"),"PENDIENTE",TablaVentas[[#This Row],[Ingreso_neto]]-TablaVentas[[#This Row],[Costo_total]])</f>
        <v>3447.0199999999995</v>
      </c>
    </row>
    <row r="645" spans="1:17">
      <c r="A645" t="s">
        <v>597</v>
      </c>
      <c r="B645">
        <v>1</v>
      </c>
      <c r="C645" s="3">
        <v>46031</v>
      </c>
      <c r="D645" t="s">
        <v>291</v>
      </c>
      <c r="E645" t="s">
        <v>185</v>
      </c>
      <c r="F645" t="s">
        <v>39</v>
      </c>
      <c r="G645" t="s">
        <v>40</v>
      </c>
      <c r="H645" t="s">
        <v>58</v>
      </c>
      <c r="I645">
        <v>3</v>
      </c>
      <c r="J645" s="4">
        <v>15837.27</v>
      </c>
      <c r="K645" s="5">
        <v>0</v>
      </c>
      <c r="L645" s="4">
        <v>11904.09</v>
      </c>
      <c r="M645" t="s">
        <v>42</v>
      </c>
      <c r="N645" t="s">
        <v>43</v>
      </c>
      <c r="O645">
        <f>IF(TablaVentas[[#This Row],[Precio_unitario]]="","PENDIENTE",TablaVentas[[#This Row],[Unidades]]*TablaVentas[[#This Row],[Precio_unitario]]*(1-TablaVentas[[#This Row],[Descuento_pct]]))</f>
        <v>47511.81</v>
      </c>
      <c r="P645">
        <f>IF(TablaVentas[[#This Row],[Costo_unitario]]="","PENDIENTE",TablaVentas[[#This Row],[Unidades]]*TablaVentas[[#This Row],[Costo_unitario]])</f>
        <v>35712.270000000004</v>
      </c>
      <c r="Q645">
        <f>IF(OR(TablaVentas[[#This Row],[Ingreso_neto]]="PENDIENTE",TablaVentas[[#This Row],[Costo_total]]="PENDIENTE"),"PENDIENTE",TablaVentas[[#This Row],[Ingreso_neto]]-TablaVentas[[#This Row],[Costo_total]])</f>
        <v>11799.539999999994</v>
      </c>
    </row>
    <row r="646" spans="1:17">
      <c r="A646" t="s">
        <v>597</v>
      </c>
      <c r="B646">
        <v>2</v>
      </c>
      <c r="C646" s="3">
        <v>46031</v>
      </c>
      <c r="D646" t="s">
        <v>291</v>
      </c>
      <c r="E646" t="s">
        <v>272</v>
      </c>
      <c r="F646" t="s">
        <v>39</v>
      </c>
      <c r="G646" t="s">
        <v>40</v>
      </c>
      <c r="H646" t="s">
        <v>58</v>
      </c>
      <c r="I646">
        <v>5</v>
      </c>
      <c r="J646" s="4">
        <v>698.38</v>
      </c>
      <c r="K646" s="5">
        <v>0.15</v>
      </c>
      <c r="L646" s="4">
        <v>443</v>
      </c>
      <c r="M646" t="s">
        <v>42</v>
      </c>
      <c r="N646" t="s">
        <v>52</v>
      </c>
      <c r="O646">
        <f>IF(TablaVentas[[#This Row],[Precio_unitario]]="","PENDIENTE",TablaVentas[[#This Row],[Unidades]]*TablaVentas[[#This Row],[Precio_unitario]]*(1-TablaVentas[[#This Row],[Descuento_pct]]))</f>
        <v>2968.1149999999998</v>
      </c>
      <c r="P646">
        <f>IF(TablaVentas[[#This Row],[Costo_unitario]]="","PENDIENTE",TablaVentas[[#This Row],[Unidades]]*TablaVentas[[#This Row],[Costo_unitario]])</f>
        <v>2215</v>
      </c>
      <c r="Q646">
        <f>IF(OR(TablaVentas[[#This Row],[Ingreso_neto]]="PENDIENTE",TablaVentas[[#This Row],[Costo_total]]="PENDIENTE"),"PENDIENTE",TablaVentas[[#This Row],[Ingreso_neto]]-TablaVentas[[#This Row],[Costo_total]])</f>
        <v>753.11499999999978</v>
      </c>
    </row>
    <row r="647" spans="1:17">
      <c r="A647" t="s">
        <v>597</v>
      </c>
      <c r="B647">
        <v>3</v>
      </c>
      <c r="C647" s="3">
        <v>46031</v>
      </c>
      <c r="D647" t="s">
        <v>291</v>
      </c>
      <c r="E647" t="s">
        <v>140</v>
      </c>
      <c r="F647" t="s">
        <v>39</v>
      </c>
      <c r="G647" t="s">
        <v>40</v>
      </c>
      <c r="H647" t="s">
        <v>58</v>
      </c>
      <c r="I647">
        <v>2</v>
      </c>
      <c r="J647" s="4">
        <v>3190.61</v>
      </c>
      <c r="K647" s="5">
        <v>0</v>
      </c>
      <c r="L647" s="4">
        <v>2427.63</v>
      </c>
      <c r="M647" t="s">
        <v>42</v>
      </c>
      <c r="N647" t="s">
        <v>45</v>
      </c>
      <c r="O647">
        <f>IF(TablaVentas[[#This Row],[Precio_unitario]]="","PENDIENTE",TablaVentas[[#This Row],[Unidades]]*TablaVentas[[#This Row],[Precio_unitario]]*(1-TablaVentas[[#This Row],[Descuento_pct]]))</f>
        <v>6381.22</v>
      </c>
      <c r="P647">
        <f>IF(TablaVentas[[#This Row],[Costo_unitario]]="","PENDIENTE",TablaVentas[[#This Row],[Unidades]]*TablaVentas[[#This Row],[Costo_unitario]])</f>
        <v>4855.26</v>
      </c>
      <c r="Q647">
        <f>IF(OR(TablaVentas[[#This Row],[Ingreso_neto]]="PENDIENTE",TablaVentas[[#This Row],[Costo_total]]="PENDIENTE"),"PENDIENTE",TablaVentas[[#This Row],[Ingreso_neto]]-TablaVentas[[#This Row],[Costo_total]])</f>
        <v>1525.96</v>
      </c>
    </row>
    <row r="648" spans="1:17">
      <c r="A648" t="s">
        <v>598</v>
      </c>
      <c r="B648">
        <v>1</v>
      </c>
      <c r="C648" s="3">
        <v>46040</v>
      </c>
      <c r="D648" t="s">
        <v>392</v>
      </c>
      <c r="E648" t="s">
        <v>203</v>
      </c>
      <c r="F648" t="s">
        <v>66</v>
      </c>
      <c r="G648" t="s">
        <v>57</v>
      </c>
      <c r="H648" t="s">
        <v>102</v>
      </c>
      <c r="I648">
        <v>2</v>
      </c>
      <c r="J648" s="4">
        <v>2060.19</v>
      </c>
      <c r="K648" s="5">
        <v>0</v>
      </c>
      <c r="L648" s="4">
        <v>1252.8399999999999</v>
      </c>
      <c r="M648" t="s">
        <v>42</v>
      </c>
      <c r="N648" t="s">
        <v>45</v>
      </c>
      <c r="O648">
        <f>IF(TablaVentas[[#This Row],[Precio_unitario]]="","PENDIENTE",TablaVentas[[#This Row],[Unidades]]*TablaVentas[[#This Row],[Precio_unitario]]*(1-TablaVentas[[#This Row],[Descuento_pct]]))</f>
        <v>4120.38</v>
      </c>
      <c r="P648">
        <f>IF(TablaVentas[[#This Row],[Costo_unitario]]="","PENDIENTE",TablaVentas[[#This Row],[Unidades]]*TablaVentas[[#This Row],[Costo_unitario]])</f>
        <v>2505.6799999999998</v>
      </c>
      <c r="Q648">
        <f>IF(OR(TablaVentas[[#This Row],[Ingreso_neto]]="PENDIENTE",TablaVentas[[#This Row],[Costo_total]]="PENDIENTE"),"PENDIENTE",TablaVentas[[#This Row],[Ingreso_neto]]-TablaVentas[[#This Row],[Costo_total]])</f>
        <v>1614.7000000000003</v>
      </c>
    </row>
    <row r="649" spans="1:17">
      <c r="A649" t="s">
        <v>599</v>
      </c>
      <c r="B649">
        <v>1</v>
      </c>
      <c r="C649" s="3">
        <v>46176</v>
      </c>
      <c r="D649" t="s">
        <v>396</v>
      </c>
      <c r="E649" t="s">
        <v>103</v>
      </c>
      <c r="F649" t="s">
        <v>39</v>
      </c>
      <c r="G649" t="s">
        <v>50</v>
      </c>
      <c r="H649" t="s">
        <v>102</v>
      </c>
      <c r="I649">
        <v>1</v>
      </c>
      <c r="J649" s="4">
        <v>13624.43</v>
      </c>
      <c r="K649" s="5">
        <v>0.15</v>
      </c>
      <c r="L649" s="4">
        <v>7549.71</v>
      </c>
      <c r="M649" t="s">
        <v>42</v>
      </c>
      <c r="N649" t="s">
        <v>45</v>
      </c>
      <c r="O649">
        <f>IF(TablaVentas[[#This Row],[Precio_unitario]]="","PENDIENTE",TablaVentas[[#This Row],[Unidades]]*TablaVentas[[#This Row],[Precio_unitario]]*(1-TablaVentas[[#This Row],[Descuento_pct]]))</f>
        <v>11580.7655</v>
      </c>
      <c r="P649">
        <f>IF(TablaVentas[[#This Row],[Costo_unitario]]="","PENDIENTE",TablaVentas[[#This Row],[Unidades]]*TablaVentas[[#This Row],[Costo_unitario]])</f>
        <v>7549.71</v>
      </c>
      <c r="Q649">
        <f>IF(OR(TablaVentas[[#This Row],[Ingreso_neto]]="PENDIENTE",TablaVentas[[#This Row],[Costo_total]]="PENDIENTE"),"PENDIENTE",TablaVentas[[#This Row],[Ingreso_neto]]-TablaVentas[[#This Row],[Costo_total]])</f>
        <v>4031.0554999999995</v>
      </c>
    </row>
    <row r="650" spans="1:17">
      <c r="A650" t="s">
        <v>599</v>
      </c>
      <c r="B650">
        <v>2</v>
      </c>
      <c r="C650" s="3">
        <v>46176</v>
      </c>
      <c r="D650" t="s">
        <v>396</v>
      </c>
      <c r="E650" t="s">
        <v>93</v>
      </c>
      <c r="F650" t="s">
        <v>39</v>
      </c>
      <c r="G650" t="s">
        <v>50</v>
      </c>
      <c r="H650" t="s">
        <v>102</v>
      </c>
      <c r="I650">
        <v>3</v>
      </c>
      <c r="J650" s="4">
        <v>14153.95</v>
      </c>
      <c r="K650" s="5">
        <v>0.05</v>
      </c>
      <c r="L650" s="4">
        <v>8788.7900000000009</v>
      </c>
      <c r="M650" t="s">
        <v>42</v>
      </c>
      <c r="N650" t="s">
        <v>43</v>
      </c>
      <c r="O650">
        <f>IF(TablaVentas[[#This Row],[Precio_unitario]]="","PENDIENTE",TablaVentas[[#This Row],[Unidades]]*TablaVentas[[#This Row],[Precio_unitario]]*(1-TablaVentas[[#This Row],[Descuento_pct]]))</f>
        <v>40338.757500000007</v>
      </c>
      <c r="P650">
        <f>IF(TablaVentas[[#This Row],[Costo_unitario]]="","PENDIENTE",TablaVentas[[#This Row],[Unidades]]*TablaVentas[[#This Row],[Costo_unitario]])</f>
        <v>26366.370000000003</v>
      </c>
      <c r="Q650">
        <f>IF(OR(TablaVentas[[#This Row],[Ingreso_neto]]="PENDIENTE",TablaVentas[[#This Row],[Costo_total]]="PENDIENTE"),"PENDIENTE",TablaVentas[[#This Row],[Ingreso_neto]]-TablaVentas[[#This Row],[Costo_total]])</f>
        <v>13972.387500000004</v>
      </c>
    </row>
    <row r="651" spans="1:17">
      <c r="A651" t="s">
        <v>599</v>
      </c>
      <c r="B651">
        <v>3</v>
      </c>
      <c r="C651" s="3">
        <v>46176</v>
      </c>
      <c r="D651" t="s">
        <v>396</v>
      </c>
      <c r="E651" t="s">
        <v>84</v>
      </c>
      <c r="F651" t="s">
        <v>39</v>
      </c>
      <c r="G651" t="s">
        <v>50</v>
      </c>
      <c r="H651" t="s">
        <v>102</v>
      </c>
      <c r="I651">
        <v>2</v>
      </c>
      <c r="J651" s="4">
        <v>15718.66</v>
      </c>
      <c r="K651" s="5">
        <v>0</v>
      </c>
      <c r="L651" s="4">
        <v>8576.0499999999993</v>
      </c>
      <c r="M651" t="s">
        <v>42</v>
      </c>
      <c r="N651" t="s">
        <v>43</v>
      </c>
      <c r="O651">
        <f>IF(TablaVentas[[#This Row],[Precio_unitario]]="","PENDIENTE",TablaVentas[[#This Row],[Unidades]]*TablaVentas[[#This Row],[Precio_unitario]]*(1-TablaVentas[[#This Row],[Descuento_pct]]))</f>
        <v>31437.32</v>
      </c>
      <c r="P651">
        <f>IF(TablaVentas[[#This Row],[Costo_unitario]]="","PENDIENTE",TablaVentas[[#This Row],[Unidades]]*TablaVentas[[#This Row],[Costo_unitario]])</f>
        <v>17152.099999999999</v>
      </c>
      <c r="Q651">
        <f>IF(OR(TablaVentas[[#This Row],[Ingreso_neto]]="PENDIENTE",TablaVentas[[#This Row],[Costo_total]]="PENDIENTE"),"PENDIENTE",TablaVentas[[#This Row],[Ingreso_neto]]-TablaVentas[[#This Row],[Costo_total]])</f>
        <v>14285.220000000001</v>
      </c>
    </row>
    <row r="652" spans="1:17">
      <c r="A652" t="s">
        <v>599</v>
      </c>
      <c r="B652">
        <v>4</v>
      </c>
      <c r="C652" s="3">
        <v>46176</v>
      </c>
      <c r="D652" t="s">
        <v>396</v>
      </c>
      <c r="E652" t="s">
        <v>143</v>
      </c>
      <c r="F652" t="s">
        <v>39</v>
      </c>
      <c r="G652" t="s">
        <v>50</v>
      </c>
      <c r="H652" t="s">
        <v>102</v>
      </c>
      <c r="I652">
        <v>2</v>
      </c>
      <c r="J652" s="4">
        <v>9414.91</v>
      </c>
      <c r="K652" s="5">
        <v>0</v>
      </c>
      <c r="L652" s="4">
        <v>6815.42</v>
      </c>
      <c r="M652" t="s">
        <v>42</v>
      </c>
      <c r="N652" t="s">
        <v>52</v>
      </c>
      <c r="O652">
        <f>IF(TablaVentas[[#This Row],[Precio_unitario]]="","PENDIENTE",TablaVentas[[#This Row],[Unidades]]*TablaVentas[[#This Row],[Precio_unitario]]*(1-TablaVentas[[#This Row],[Descuento_pct]]))</f>
        <v>18829.82</v>
      </c>
      <c r="P652">
        <f>IF(TablaVentas[[#This Row],[Costo_unitario]]="","PENDIENTE",TablaVentas[[#This Row],[Unidades]]*TablaVentas[[#This Row],[Costo_unitario]])</f>
        <v>13630.84</v>
      </c>
      <c r="Q652">
        <f>IF(OR(TablaVentas[[#This Row],[Ingreso_neto]]="PENDIENTE",TablaVentas[[#This Row],[Costo_total]]="PENDIENTE"),"PENDIENTE",TablaVentas[[#This Row],[Ingreso_neto]]-TablaVentas[[#This Row],[Costo_total]])</f>
        <v>5198.9799999999996</v>
      </c>
    </row>
    <row r="653" spans="1:17">
      <c r="A653" t="s">
        <v>599</v>
      </c>
      <c r="B653">
        <v>5</v>
      </c>
      <c r="C653" s="3">
        <v>46176</v>
      </c>
      <c r="D653" t="s">
        <v>396</v>
      </c>
      <c r="E653" t="s">
        <v>272</v>
      </c>
      <c r="F653" t="s">
        <v>39</v>
      </c>
      <c r="G653" t="s">
        <v>50</v>
      </c>
      <c r="H653" t="s">
        <v>102</v>
      </c>
      <c r="I653">
        <v>4</v>
      </c>
      <c r="J653" s="4">
        <v>704.3</v>
      </c>
      <c r="K653" s="5">
        <v>0</v>
      </c>
      <c r="L653" s="4">
        <v>443</v>
      </c>
      <c r="M653" t="s">
        <v>42</v>
      </c>
      <c r="N653" t="s">
        <v>45</v>
      </c>
      <c r="O653">
        <f>IF(TablaVentas[[#This Row],[Precio_unitario]]="","PENDIENTE",TablaVentas[[#This Row],[Unidades]]*TablaVentas[[#This Row],[Precio_unitario]]*(1-TablaVentas[[#This Row],[Descuento_pct]]))</f>
        <v>2817.2</v>
      </c>
      <c r="P653">
        <f>IF(TablaVentas[[#This Row],[Costo_unitario]]="","PENDIENTE",TablaVentas[[#This Row],[Unidades]]*TablaVentas[[#This Row],[Costo_unitario]])</f>
        <v>1772</v>
      </c>
      <c r="Q653">
        <f>IF(OR(TablaVentas[[#This Row],[Ingreso_neto]]="PENDIENTE",TablaVentas[[#This Row],[Costo_total]]="PENDIENTE"),"PENDIENTE",TablaVentas[[#This Row],[Ingreso_neto]]-TablaVentas[[#This Row],[Costo_total]])</f>
        <v>1045.1999999999998</v>
      </c>
    </row>
    <row r="654" spans="1:17">
      <c r="A654" t="s">
        <v>600</v>
      </c>
      <c r="B654">
        <v>1</v>
      </c>
      <c r="C654" s="3">
        <v>46092</v>
      </c>
      <c r="D654" t="s">
        <v>601</v>
      </c>
      <c r="E654" t="s">
        <v>258</v>
      </c>
      <c r="F654" t="s">
        <v>77</v>
      </c>
      <c r="G654" t="s">
        <v>50</v>
      </c>
      <c r="H654" t="s">
        <v>129</v>
      </c>
      <c r="I654">
        <v>1</v>
      </c>
      <c r="J654" s="4">
        <v>3817.35</v>
      </c>
      <c r="K654" s="5">
        <v>0</v>
      </c>
      <c r="L654" s="4">
        <v>2008.57</v>
      </c>
      <c r="M654" t="s">
        <v>42</v>
      </c>
      <c r="N654" t="s">
        <v>43</v>
      </c>
      <c r="O654">
        <f>IF(TablaVentas[[#This Row],[Precio_unitario]]="","PENDIENTE",TablaVentas[[#This Row],[Unidades]]*TablaVentas[[#This Row],[Precio_unitario]]*(1-TablaVentas[[#This Row],[Descuento_pct]]))</f>
        <v>3817.35</v>
      </c>
      <c r="P654">
        <f>IF(TablaVentas[[#This Row],[Costo_unitario]]="","PENDIENTE",TablaVentas[[#This Row],[Unidades]]*TablaVentas[[#This Row],[Costo_unitario]])</f>
        <v>2008.57</v>
      </c>
      <c r="Q654">
        <f>IF(OR(TablaVentas[[#This Row],[Ingreso_neto]]="PENDIENTE",TablaVentas[[#This Row],[Costo_total]]="PENDIENTE"),"PENDIENTE",TablaVentas[[#This Row],[Ingreso_neto]]-TablaVentas[[#This Row],[Costo_total]])</f>
        <v>1808.78</v>
      </c>
    </row>
    <row r="655" spans="1:17">
      <c r="A655" t="s">
        <v>600</v>
      </c>
      <c r="B655">
        <v>2</v>
      </c>
      <c r="C655" s="3">
        <v>46092</v>
      </c>
      <c r="D655" t="s">
        <v>601</v>
      </c>
      <c r="E655" t="s">
        <v>163</v>
      </c>
      <c r="F655" t="s">
        <v>77</v>
      </c>
      <c r="G655" t="s">
        <v>50</v>
      </c>
      <c r="H655" t="s">
        <v>129</v>
      </c>
      <c r="I655">
        <v>1</v>
      </c>
      <c r="J655" s="4">
        <v>15905.2</v>
      </c>
      <c r="K655" s="5">
        <v>0.1</v>
      </c>
      <c r="L655" s="4">
        <v>12141.44</v>
      </c>
      <c r="M655" t="s">
        <v>116</v>
      </c>
      <c r="N655" t="s">
        <v>45</v>
      </c>
      <c r="O655">
        <f>IF(TablaVentas[[#This Row],[Precio_unitario]]="","PENDIENTE",TablaVentas[[#This Row],[Unidades]]*TablaVentas[[#This Row],[Precio_unitario]]*(1-TablaVentas[[#This Row],[Descuento_pct]]))</f>
        <v>14314.68</v>
      </c>
      <c r="P655">
        <f>IF(TablaVentas[[#This Row],[Costo_unitario]]="","PENDIENTE",TablaVentas[[#This Row],[Unidades]]*TablaVentas[[#This Row],[Costo_unitario]])</f>
        <v>12141.44</v>
      </c>
      <c r="Q655">
        <f>IF(OR(TablaVentas[[#This Row],[Ingreso_neto]]="PENDIENTE",TablaVentas[[#This Row],[Costo_total]]="PENDIENTE"),"PENDIENTE",TablaVentas[[#This Row],[Ingreso_neto]]-TablaVentas[[#This Row],[Costo_total]])</f>
        <v>2173.2399999999998</v>
      </c>
    </row>
    <row r="656" spans="1:17">
      <c r="A656" t="s">
        <v>602</v>
      </c>
      <c r="B656">
        <v>1</v>
      </c>
      <c r="C656" s="3">
        <v>46251</v>
      </c>
      <c r="D656" t="s">
        <v>238</v>
      </c>
      <c r="E656" t="s">
        <v>85</v>
      </c>
      <c r="F656" t="s">
        <v>77</v>
      </c>
      <c r="G656" t="s">
        <v>57</v>
      </c>
      <c r="H656" t="s">
        <v>41</v>
      </c>
      <c r="I656">
        <v>2</v>
      </c>
      <c r="J656" s="4">
        <v>482.46</v>
      </c>
      <c r="K656" s="5">
        <v>0</v>
      </c>
      <c r="L656" s="4">
        <v>307.75</v>
      </c>
      <c r="M656" t="s">
        <v>42</v>
      </c>
      <c r="N656" t="s">
        <v>43</v>
      </c>
      <c r="O656">
        <f>IF(TablaVentas[[#This Row],[Precio_unitario]]="","PENDIENTE",TablaVentas[[#This Row],[Unidades]]*TablaVentas[[#This Row],[Precio_unitario]]*(1-TablaVentas[[#This Row],[Descuento_pct]]))</f>
        <v>964.92</v>
      </c>
      <c r="P656">
        <f>IF(TablaVentas[[#This Row],[Costo_unitario]]="","PENDIENTE",TablaVentas[[#This Row],[Unidades]]*TablaVentas[[#This Row],[Costo_unitario]])</f>
        <v>615.5</v>
      </c>
      <c r="Q656">
        <f>IF(OR(TablaVentas[[#This Row],[Ingreso_neto]]="PENDIENTE",TablaVentas[[#This Row],[Costo_total]]="PENDIENTE"),"PENDIENTE",TablaVentas[[#This Row],[Ingreso_neto]]-TablaVentas[[#This Row],[Costo_total]])</f>
        <v>349.41999999999996</v>
      </c>
    </row>
    <row r="657" spans="1:17">
      <c r="A657" t="s">
        <v>602</v>
      </c>
      <c r="B657">
        <v>2</v>
      </c>
      <c r="C657" s="3">
        <v>46251</v>
      </c>
      <c r="D657" t="s">
        <v>238</v>
      </c>
      <c r="E657" t="s">
        <v>106</v>
      </c>
      <c r="F657" t="s">
        <v>77</v>
      </c>
      <c r="G657" t="s">
        <v>57</v>
      </c>
      <c r="H657" t="s">
        <v>41</v>
      </c>
      <c r="I657">
        <v>2</v>
      </c>
      <c r="J657" s="4">
        <v>10654.46</v>
      </c>
      <c r="K657" s="5">
        <v>0</v>
      </c>
      <c r="L657" s="4">
        <v>8276.74</v>
      </c>
      <c r="M657" t="s">
        <v>42</v>
      </c>
      <c r="N657" t="s">
        <v>45</v>
      </c>
      <c r="O657">
        <f>IF(TablaVentas[[#This Row],[Precio_unitario]]="","PENDIENTE",TablaVentas[[#This Row],[Unidades]]*TablaVentas[[#This Row],[Precio_unitario]]*(1-TablaVentas[[#This Row],[Descuento_pct]]))</f>
        <v>21308.92</v>
      </c>
      <c r="P657">
        <f>IF(TablaVentas[[#This Row],[Costo_unitario]]="","PENDIENTE",TablaVentas[[#This Row],[Unidades]]*TablaVentas[[#This Row],[Costo_unitario]])</f>
        <v>16553.48</v>
      </c>
      <c r="Q657">
        <f>IF(OR(TablaVentas[[#This Row],[Ingreso_neto]]="PENDIENTE",TablaVentas[[#This Row],[Costo_total]]="PENDIENTE"),"PENDIENTE",TablaVentas[[#This Row],[Ingreso_neto]]-TablaVentas[[#This Row],[Costo_total]])</f>
        <v>4755.4399999999987</v>
      </c>
    </row>
    <row r="658" spans="1:17">
      <c r="A658" t="s">
        <v>603</v>
      </c>
      <c r="B658">
        <v>1</v>
      </c>
      <c r="C658" s="3">
        <v>46248</v>
      </c>
      <c r="D658" t="s">
        <v>604</v>
      </c>
      <c r="E658" t="s">
        <v>353</v>
      </c>
      <c r="F658" t="s">
        <v>39</v>
      </c>
      <c r="G658" t="s">
        <v>40</v>
      </c>
      <c r="H658" t="s">
        <v>41</v>
      </c>
      <c r="I658">
        <v>2</v>
      </c>
      <c r="J658" s="4">
        <v>2044.4</v>
      </c>
      <c r="K658" s="5">
        <v>0</v>
      </c>
      <c r="L658" s="4">
        <v>1479.71</v>
      </c>
      <c r="M658" t="s">
        <v>42</v>
      </c>
      <c r="N658" t="s">
        <v>43</v>
      </c>
      <c r="O658">
        <f>IF(TablaVentas[[#This Row],[Precio_unitario]]="","PENDIENTE",TablaVentas[[#This Row],[Unidades]]*TablaVentas[[#This Row],[Precio_unitario]]*(1-TablaVentas[[#This Row],[Descuento_pct]]))</f>
        <v>4088.8</v>
      </c>
      <c r="P658">
        <f>IF(TablaVentas[[#This Row],[Costo_unitario]]="","PENDIENTE",TablaVentas[[#This Row],[Unidades]]*TablaVentas[[#This Row],[Costo_unitario]])</f>
        <v>2959.42</v>
      </c>
      <c r="Q658">
        <f>IF(OR(TablaVentas[[#This Row],[Ingreso_neto]]="PENDIENTE",TablaVentas[[#This Row],[Costo_total]]="PENDIENTE"),"PENDIENTE",TablaVentas[[#This Row],[Ingreso_neto]]-TablaVentas[[#This Row],[Costo_total]])</f>
        <v>1129.3800000000001</v>
      </c>
    </row>
    <row r="659" spans="1:17">
      <c r="A659" t="s">
        <v>603</v>
      </c>
      <c r="B659">
        <v>2</v>
      </c>
      <c r="C659" s="3">
        <v>46248</v>
      </c>
      <c r="D659" t="s">
        <v>604</v>
      </c>
      <c r="E659" t="s">
        <v>86</v>
      </c>
      <c r="F659" t="s">
        <v>39</v>
      </c>
      <c r="G659" t="s">
        <v>40</v>
      </c>
      <c r="H659" t="s">
        <v>41</v>
      </c>
      <c r="I659">
        <v>1</v>
      </c>
      <c r="J659" s="4">
        <v>15766.37</v>
      </c>
      <c r="K659" s="5">
        <v>0.2</v>
      </c>
      <c r="L659" s="4">
        <v>11166.03</v>
      </c>
      <c r="M659" t="s">
        <v>42</v>
      </c>
      <c r="N659" t="s">
        <v>43</v>
      </c>
      <c r="O659">
        <f>IF(TablaVentas[[#This Row],[Precio_unitario]]="","PENDIENTE",TablaVentas[[#This Row],[Unidades]]*TablaVentas[[#This Row],[Precio_unitario]]*(1-TablaVentas[[#This Row],[Descuento_pct]]))</f>
        <v>12613.096000000001</v>
      </c>
      <c r="P659">
        <f>IF(TablaVentas[[#This Row],[Costo_unitario]]="","PENDIENTE",TablaVentas[[#This Row],[Unidades]]*TablaVentas[[#This Row],[Costo_unitario]])</f>
        <v>11166.03</v>
      </c>
      <c r="Q659">
        <f>IF(OR(TablaVentas[[#This Row],[Ingreso_neto]]="PENDIENTE",TablaVentas[[#This Row],[Costo_total]]="PENDIENTE"),"PENDIENTE",TablaVentas[[#This Row],[Ingreso_neto]]-TablaVentas[[#This Row],[Costo_total]])</f>
        <v>1447.0660000000007</v>
      </c>
    </row>
    <row r="660" spans="1:17">
      <c r="A660" t="s">
        <v>605</v>
      </c>
      <c r="B660">
        <v>1</v>
      </c>
      <c r="C660" s="3">
        <v>46232</v>
      </c>
      <c r="D660" t="s">
        <v>606</v>
      </c>
      <c r="E660" t="s">
        <v>114</v>
      </c>
      <c r="F660" t="s">
        <v>39</v>
      </c>
      <c r="G660" t="s">
        <v>40</v>
      </c>
      <c r="H660" t="s">
        <v>124</v>
      </c>
      <c r="I660">
        <v>2</v>
      </c>
      <c r="J660" s="4">
        <v>14963.31</v>
      </c>
      <c r="K660" s="5">
        <v>0.05</v>
      </c>
      <c r="L660" s="4">
        <v>8239.48</v>
      </c>
      <c r="M660" t="s">
        <v>42</v>
      </c>
      <c r="N660" t="s">
        <v>43</v>
      </c>
      <c r="O660">
        <f>IF(TablaVentas[[#This Row],[Precio_unitario]]="","PENDIENTE",TablaVentas[[#This Row],[Unidades]]*TablaVentas[[#This Row],[Precio_unitario]]*(1-TablaVentas[[#This Row],[Descuento_pct]]))</f>
        <v>28430.288999999997</v>
      </c>
      <c r="P660">
        <f>IF(TablaVentas[[#This Row],[Costo_unitario]]="","PENDIENTE",TablaVentas[[#This Row],[Unidades]]*TablaVentas[[#This Row],[Costo_unitario]])</f>
        <v>16478.96</v>
      </c>
      <c r="Q660">
        <f>IF(OR(TablaVentas[[#This Row],[Ingreso_neto]]="PENDIENTE",TablaVentas[[#This Row],[Costo_total]]="PENDIENTE"),"PENDIENTE",TablaVentas[[#This Row],[Ingreso_neto]]-TablaVentas[[#This Row],[Costo_total]])</f>
        <v>11951.328999999998</v>
      </c>
    </row>
    <row r="661" spans="1:17">
      <c r="A661" t="s">
        <v>607</v>
      </c>
      <c r="B661">
        <v>1</v>
      </c>
      <c r="C661" s="3">
        <v>46272</v>
      </c>
      <c r="D661" t="s">
        <v>314</v>
      </c>
      <c r="E661" t="s">
        <v>115</v>
      </c>
      <c r="F661" t="s">
        <v>39</v>
      </c>
      <c r="G661" t="s">
        <v>50</v>
      </c>
      <c r="H661" t="s">
        <v>102</v>
      </c>
      <c r="I661">
        <v>5</v>
      </c>
      <c r="J661" s="4">
        <v>1326.46</v>
      </c>
      <c r="K661" s="5">
        <v>0.2</v>
      </c>
      <c r="L661" s="4">
        <v>705.87</v>
      </c>
      <c r="M661" t="s">
        <v>42</v>
      </c>
      <c r="N661" t="s">
        <v>52</v>
      </c>
      <c r="O661">
        <f>IF(TablaVentas[[#This Row],[Precio_unitario]]="","PENDIENTE",TablaVentas[[#This Row],[Unidades]]*TablaVentas[[#This Row],[Precio_unitario]]*(1-TablaVentas[[#This Row],[Descuento_pct]]))</f>
        <v>5305.84</v>
      </c>
      <c r="P661">
        <f>IF(TablaVentas[[#This Row],[Costo_unitario]]="","PENDIENTE",TablaVentas[[#This Row],[Unidades]]*TablaVentas[[#This Row],[Costo_unitario]])</f>
        <v>3529.35</v>
      </c>
      <c r="Q661">
        <f>IF(OR(TablaVentas[[#This Row],[Ingreso_neto]]="PENDIENTE",TablaVentas[[#This Row],[Costo_total]]="PENDIENTE"),"PENDIENTE",TablaVentas[[#This Row],[Ingreso_neto]]-TablaVentas[[#This Row],[Costo_total]])</f>
        <v>1776.4900000000002</v>
      </c>
    </row>
    <row r="662" spans="1:17">
      <c r="A662" t="s">
        <v>608</v>
      </c>
      <c r="B662">
        <v>1</v>
      </c>
      <c r="C662" s="3">
        <v>46084</v>
      </c>
      <c r="D662" t="s">
        <v>489</v>
      </c>
      <c r="E662" t="s">
        <v>155</v>
      </c>
      <c r="F662" t="s">
        <v>39</v>
      </c>
      <c r="G662" t="s">
        <v>57</v>
      </c>
      <c r="H662" t="s">
        <v>73</v>
      </c>
      <c r="I662">
        <v>5</v>
      </c>
      <c r="J662" s="4">
        <v>800.36</v>
      </c>
      <c r="K662" s="5">
        <v>0.2</v>
      </c>
      <c r="L662" s="4">
        <v>397.1</v>
      </c>
      <c r="M662" t="s">
        <v>42</v>
      </c>
      <c r="N662" t="s">
        <v>60</v>
      </c>
      <c r="O662">
        <f>IF(TablaVentas[[#This Row],[Precio_unitario]]="","PENDIENTE",TablaVentas[[#This Row],[Unidades]]*TablaVentas[[#This Row],[Precio_unitario]]*(1-TablaVentas[[#This Row],[Descuento_pct]]))</f>
        <v>3201.4400000000005</v>
      </c>
      <c r="P662">
        <f>IF(TablaVentas[[#This Row],[Costo_unitario]]="","PENDIENTE",TablaVentas[[#This Row],[Unidades]]*TablaVentas[[#This Row],[Costo_unitario]])</f>
        <v>1985.5</v>
      </c>
      <c r="Q662">
        <f>IF(OR(TablaVentas[[#This Row],[Ingreso_neto]]="PENDIENTE",TablaVentas[[#This Row],[Costo_total]]="PENDIENTE"),"PENDIENTE",TablaVentas[[#This Row],[Ingreso_neto]]-TablaVentas[[#This Row],[Costo_total]])</f>
        <v>1215.9400000000005</v>
      </c>
    </row>
    <row r="663" spans="1:17">
      <c r="A663" t="s">
        <v>608</v>
      </c>
      <c r="B663">
        <v>2</v>
      </c>
      <c r="C663" s="3">
        <v>46084</v>
      </c>
      <c r="D663" t="s">
        <v>489</v>
      </c>
      <c r="E663" t="s">
        <v>282</v>
      </c>
      <c r="F663" t="s">
        <v>39</v>
      </c>
      <c r="G663" t="s">
        <v>57</v>
      </c>
      <c r="H663" t="s">
        <v>73</v>
      </c>
      <c r="I663">
        <v>3</v>
      </c>
      <c r="J663" s="4">
        <v>3859.48</v>
      </c>
      <c r="K663" s="5">
        <v>0</v>
      </c>
      <c r="L663" s="4">
        <v>3399.5</v>
      </c>
      <c r="M663" t="s">
        <v>42</v>
      </c>
      <c r="N663" t="s">
        <v>60</v>
      </c>
      <c r="O663">
        <f>IF(TablaVentas[[#This Row],[Precio_unitario]]="","PENDIENTE",TablaVentas[[#This Row],[Unidades]]*TablaVentas[[#This Row],[Precio_unitario]]*(1-TablaVentas[[#This Row],[Descuento_pct]]))</f>
        <v>11578.44</v>
      </c>
      <c r="P663">
        <f>IF(TablaVentas[[#This Row],[Costo_unitario]]="","PENDIENTE",TablaVentas[[#This Row],[Unidades]]*TablaVentas[[#This Row],[Costo_unitario]])</f>
        <v>10198.5</v>
      </c>
      <c r="Q663">
        <f>IF(OR(TablaVentas[[#This Row],[Ingreso_neto]]="PENDIENTE",TablaVentas[[#This Row],[Costo_total]]="PENDIENTE"),"PENDIENTE",TablaVentas[[#This Row],[Ingreso_neto]]-TablaVentas[[#This Row],[Costo_total]])</f>
        <v>1379.9400000000005</v>
      </c>
    </row>
    <row r="664" spans="1:17">
      <c r="A664" t="s">
        <v>608</v>
      </c>
      <c r="B664">
        <v>3</v>
      </c>
      <c r="C664" s="3">
        <v>46084</v>
      </c>
      <c r="D664" t="s">
        <v>489</v>
      </c>
      <c r="E664" t="s">
        <v>68</v>
      </c>
      <c r="F664" t="s">
        <v>39</v>
      </c>
      <c r="G664" t="s">
        <v>57</v>
      </c>
      <c r="H664" t="s">
        <v>73</v>
      </c>
      <c r="I664">
        <v>1</v>
      </c>
      <c r="J664" s="4">
        <v>15880.09</v>
      </c>
      <c r="K664" s="5">
        <v>0</v>
      </c>
      <c r="L664" s="4">
        <v>9243.35</v>
      </c>
      <c r="M664" t="s">
        <v>42</v>
      </c>
      <c r="N664" t="s">
        <v>60</v>
      </c>
      <c r="O664">
        <f>IF(TablaVentas[[#This Row],[Precio_unitario]]="","PENDIENTE",TablaVentas[[#This Row],[Unidades]]*TablaVentas[[#This Row],[Precio_unitario]]*(1-TablaVentas[[#This Row],[Descuento_pct]]))</f>
        <v>15880.09</v>
      </c>
      <c r="P664">
        <f>IF(TablaVentas[[#This Row],[Costo_unitario]]="","PENDIENTE",TablaVentas[[#This Row],[Unidades]]*TablaVentas[[#This Row],[Costo_unitario]])</f>
        <v>9243.35</v>
      </c>
      <c r="Q664">
        <f>IF(OR(TablaVentas[[#This Row],[Ingreso_neto]]="PENDIENTE",TablaVentas[[#This Row],[Costo_total]]="PENDIENTE"),"PENDIENTE",TablaVentas[[#This Row],[Ingreso_neto]]-TablaVentas[[#This Row],[Costo_total]])</f>
        <v>6636.74</v>
      </c>
    </row>
    <row r="665" spans="1:17">
      <c r="A665" t="s">
        <v>609</v>
      </c>
      <c r="B665">
        <v>1</v>
      </c>
      <c r="C665" s="3">
        <v>46236</v>
      </c>
      <c r="D665" t="s">
        <v>108</v>
      </c>
      <c r="E665" t="s">
        <v>353</v>
      </c>
      <c r="F665" t="s">
        <v>39</v>
      </c>
      <c r="G665" t="s">
        <v>50</v>
      </c>
      <c r="H665" t="s">
        <v>124</v>
      </c>
      <c r="I665">
        <v>3</v>
      </c>
      <c r="J665" s="4">
        <v>2293.79</v>
      </c>
      <c r="K665" s="5">
        <v>0</v>
      </c>
      <c r="L665" s="4">
        <v>1479.71</v>
      </c>
      <c r="M665" t="s">
        <v>42</v>
      </c>
      <c r="N665" t="s">
        <v>60</v>
      </c>
      <c r="O665">
        <f>IF(TablaVentas[[#This Row],[Precio_unitario]]="","PENDIENTE",TablaVentas[[#This Row],[Unidades]]*TablaVentas[[#This Row],[Precio_unitario]]*(1-TablaVentas[[#This Row],[Descuento_pct]]))</f>
        <v>6881.37</v>
      </c>
      <c r="P665">
        <f>IF(TablaVentas[[#This Row],[Costo_unitario]]="","PENDIENTE",TablaVentas[[#This Row],[Unidades]]*TablaVentas[[#This Row],[Costo_unitario]])</f>
        <v>4439.13</v>
      </c>
      <c r="Q665">
        <f>IF(OR(TablaVentas[[#This Row],[Ingreso_neto]]="PENDIENTE",TablaVentas[[#This Row],[Costo_total]]="PENDIENTE"),"PENDIENTE",TablaVentas[[#This Row],[Ingreso_neto]]-TablaVentas[[#This Row],[Costo_total]])</f>
        <v>2442.2399999999998</v>
      </c>
    </row>
    <row r="666" spans="1:17">
      <c r="A666" t="s">
        <v>609</v>
      </c>
      <c r="B666">
        <v>2</v>
      </c>
      <c r="C666" s="3">
        <v>46236</v>
      </c>
      <c r="D666" t="s">
        <v>108</v>
      </c>
      <c r="E666" t="s">
        <v>233</v>
      </c>
      <c r="F666" t="s">
        <v>39</v>
      </c>
      <c r="G666" t="s">
        <v>50</v>
      </c>
      <c r="H666" t="s">
        <v>124</v>
      </c>
      <c r="I666">
        <v>1</v>
      </c>
      <c r="J666" s="4">
        <v>9349.67</v>
      </c>
      <c r="K666" s="5">
        <v>0.2</v>
      </c>
      <c r="L666" s="4">
        <v>5932.12</v>
      </c>
      <c r="M666" t="s">
        <v>42</v>
      </c>
      <c r="N666" t="s">
        <v>60</v>
      </c>
      <c r="O666">
        <f>IF(TablaVentas[[#This Row],[Precio_unitario]]="","PENDIENTE",TablaVentas[[#This Row],[Unidades]]*TablaVentas[[#This Row],[Precio_unitario]]*(1-TablaVentas[[#This Row],[Descuento_pct]]))</f>
        <v>7479.7360000000008</v>
      </c>
      <c r="P666">
        <f>IF(TablaVentas[[#This Row],[Costo_unitario]]="","PENDIENTE",TablaVentas[[#This Row],[Unidades]]*TablaVentas[[#This Row],[Costo_unitario]])</f>
        <v>5932.12</v>
      </c>
      <c r="Q666">
        <f>IF(OR(TablaVentas[[#This Row],[Ingreso_neto]]="PENDIENTE",TablaVentas[[#This Row],[Costo_total]]="PENDIENTE"),"PENDIENTE",TablaVentas[[#This Row],[Ingreso_neto]]-TablaVentas[[#This Row],[Costo_total]])</f>
        <v>1547.6160000000009</v>
      </c>
    </row>
    <row r="667" spans="1:17">
      <c r="A667" t="s">
        <v>609</v>
      </c>
      <c r="B667">
        <v>3</v>
      </c>
      <c r="C667" s="3">
        <v>46236</v>
      </c>
      <c r="D667" t="s">
        <v>108</v>
      </c>
      <c r="E667" t="s">
        <v>537</v>
      </c>
      <c r="F667" t="s">
        <v>39</v>
      </c>
      <c r="G667" t="s">
        <v>50</v>
      </c>
      <c r="H667" t="s">
        <v>124</v>
      </c>
      <c r="I667">
        <v>5</v>
      </c>
      <c r="J667" s="4">
        <v>5114.78</v>
      </c>
      <c r="K667" s="5">
        <v>0.05</v>
      </c>
      <c r="L667" s="4">
        <v>4556.2299999999996</v>
      </c>
      <c r="M667" t="s">
        <v>42</v>
      </c>
      <c r="N667" t="s">
        <v>43</v>
      </c>
      <c r="O667">
        <f>IF(TablaVentas[[#This Row],[Precio_unitario]]="","PENDIENTE",TablaVentas[[#This Row],[Unidades]]*TablaVentas[[#This Row],[Precio_unitario]]*(1-TablaVentas[[#This Row],[Descuento_pct]]))</f>
        <v>24295.204999999998</v>
      </c>
      <c r="P667">
        <f>IF(TablaVentas[[#This Row],[Costo_unitario]]="","PENDIENTE",TablaVentas[[#This Row],[Unidades]]*TablaVentas[[#This Row],[Costo_unitario]])</f>
        <v>22781.149999999998</v>
      </c>
      <c r="Q667">
        <f>IF(OR(TablaVentas[[#This Row],[Ingreso_neto]]="PENDIENTE",TablaVentas[[#This Row],[Costo_total]]="PENDIENTE"),"PENDIENTE",TablaVentas[[#This Row],[Ingreso_neto]]-TablaVentas[[#This Row],[Costo_total]])</f>
        <v>1514.0550000000003</v>
      </c>
    </row>
    <row r="668" spans="1:17">
      <c r="A668" t="s">
        <v>610</v>
      </c>
      <c r="B668">
        <v>1</v>
      </c>
      <c r="C668" s="3">
        <v>46076</v>
      </c>
      <c r="D668" t="s">
        <v>457</v>
      </c>
      <c r="E668" t="s">
        <v>109</v>
      </c>
      <c r="F668" t="s">
        <v>77</v>
      </c>
      <c r="G668" t="s">
        <v>57</v>
      </c>
      <c r="H668" t="s">
        <v>184</v>
      </c>
      <c r="I668">
        <v>1</v>
      </c>
      <c r="J668" s="4">
        <v>14318.7</v>
      </c>
      <c r="K668" s="5">
        <v>0.05</v>
      </c>
      <c r="L668" s="4">
        <v>9880.77</v>
      </c>
      <c r="M668" t="s">
        <v>42</v>
      </c>
      <c r="N668" t="s">
        <v>52</v>
      </c>
      <c r="O668">
        <f>IF(TablaVentas[[#This Row],[Precio_unitario]]="","PENDIENTE",TablaVentas[[#This Row],[Unidades]]*TablaVentas[[#This Row],[Precio_unitario]]*(1-TablaVentas[[#This Row],[Descuento_pct]]))</f>
        <v>13602.764999999999</v>
      </c>
      <c r="P668">
        <f>IF(TablaVentas[[#This Row],[Costo_unitario]]="","PENDIENTE",TablaVentas[[#This Row],[Unidades]]*TablaVentas[[#This Row],[Costo_unitario]])</f>
        <v>9880.77</v>
      </c>
      <c r="Q668">
        <f>IF(OR(TablaVentas[[#This Row],[Ingreso_neto]]="PENDIENTE",TablaVentas[[#This Row],[Costo_total]]="PENDIENTE"),"PENDIENTE",TablaVentas[[#This Row],[Ingreso_neto]]-TablaVentas[[#This Row],[Costo_total]])</f>
        <v>3721.994999999999</v>
      </c>
    </row>
    <row r="669" spans="1:17">
      <c r="A669" t="s">
        <v>610</v>
      </c>
      <c r="B669">
        <v>2</v>
      </c>
      <c r="C669" s="3">
        <v>46076</v>
      </c>
      <c r="D669" t="s">
        <v>457</v>
      </c>
      <c r="E669" t="s">
        <v>155</v>
      </c>
      <c r="F669" t="s">
        <v>77</v>
      </c>
      <c r="G669" t="s">
        <v>57</v>
      </c>
      <c r="H669" t="s">
        <v>184</v>
      </c>
      <c r="I669">
        <v>1</v>
      </c>
      <c r="J669" s="4">
        <v>761.3</v>
      </c>
      <c r="K669" s="5">
        <v>0</v>
      </c>
      <c r="L669" s="4">
        <v>397.1</v>
      </c>
      <c r="M669" t="s">
        <v>42</v>
      </c>
      <c r="N669" t="s">
        <v>60</v>
      </c>
      <c r="O669">
        <f>IF(TablaVentas[[#This Row],[Precio_unitario]]="","PENDIENTE",TablaVentas[[#This Row],[Unidades]]*TablaVentas[[#This Row],[Precio_unitario]]*(1-TablaVentas[[#This Row],[Descuento_pct]]))</f>
        <v>761.3</v>
      </c>
      <c r="P669">
        <f>IF(TablaVentas[[#This Row],[Costo_unitario]]="","PENDIENTE",TablaVentas[[#This Row],[Unidades]]*TablaVentas[[#This Row],[Costo_unitario]])</f>
        <v>397.1</v>
      </c>
      <c r="Q669">
        <f>IF(OR(TablaVentas[[#This Row],[Ingreso_neto]]="PENDIENTE",TablaVentas[[#This Row],[Costo_total]]="PENDIENTE"),"PENDIENTE",TablaVentas[[#This Row],[Ingreso_neto]]-TablaVentas[[#This Row],[Costo_total]])</f>
        <v>364.19999999999993</v>
      </c>
    </row>
    <row r="670" spans="1:17">
      <c r="A670" t="s">
        <v>610</v>
      </c>
      <c r="B670">
        <v>3</v>
      </c>
      <c r="C670" s="3">
        <v>46076</v>
      </c>
      <c r="D670" t="s">
        <v>457</v>
      </c>
      <c r="E670" t="s">
        <v>83</v>
      </c>
      <c r="F670" t="s">
        <v>77</v>
      </c>
      <c r="G670" t="s">
        <v>57</v>
      </c>
      <c r="H670" t="s">
        <v>184</v>
      </c>
      <c r="I670">
        <v>5</v>
      </c>
      <c r="J670" s="4">
        <v>15811.87</v>
      </c>
      <c r="K670" s="5">
        <v>0</v>
      </c>
      <c r="L670" s="4">
        <v>12723.77</v>
      </c>
      <c r="M670" t="s">
        <v>42</v>
      </c>
      <c r="N670" t="s">
        <v>52</v>
      </c>
      <c r="O670">
        <f>IF(TablaVentas[[#This Row],[Precio_unitario]]="","PENDIENTE",TablaVentas[[#This Row],[Unidades]]*TablaVentas[[#This Row],[Precio_unitario]]*(1-TablaVentas[[#This Row],[Descuento_pct]]))</f>
        <v>79059.350000000006</v>
      </c>
      <c r="P670">
        <f>IF(TablaVentas[[#This Row],[Costo_unitario]]="","PENDIENTE",TablaVentas[[#This Row],[Unidades]]*TablaVentas[[#This Row],[Costo_unitario]])</f>
        <v>63618.850000000006</v>
      </c>
      <c r="Q670">
        <f>IF(OR(TablaVentas[[#This Row],[Ingreso_neto]]="PENDIENTE",TablaVentas[[#This Row],[Costo_total]]="PENDIENTE"),"PENDIENTE",TablaVentas[[#This Row],[Ingreso_neto]]-TablaVentas[[#This Row],[Costo_total]])</f>
        <v>15440.5</v>
      </c>
    </row>
    <row r="671" spans="1:17">
      <c r="A671" t="s">
        <v>610</v>
      </c>
      <c r="B671">
        <v>4</v>
      </c>
      <c r="C671" s="3">
        <v>46076</v>
      </c>
      <c r="D671" t="s">
        <v>457</v>
      </c>
      <c r="E671" t="s">
        <v>410</v>
      </c>
      <c r="F671" t="s">
        <v>77</v>
      </c>
      <c r="G671" t="s">
        <v>57</v>
      </c>
      <c r="H671" t="s">
        <v>184</v>
      </c>
      <c r="I671">
        <v>1</v>
      </c>
      <c r="J671" s="4">
        <v>8026.13</v>
      </c>
      <c r="K671" s="5">
        <v>0</v>
      </c>
      <c r="L671" s="4">
        <v>5874.17</v>
      </c>
      <c r="M671" t="s">
        <v>42</v>
      </c>
      <c r="N671" t="s">
        <v>60</v>
      </c>
      <c r="O671">
        <f>IF(TablaVentas[[#This Row],[Precio_unitario]]="","PENDIENTE",TablaVentas[[#This Row],[Unidades]]*TablaVentas[[#This Row],[Precio_unitario]]*(1-TablaVentas[[#This Row],[Descuento_pct]]))</f>
        <v>8026.13</v>
      </c>
      <c r="P671">
        <f>IF(TablaVentas[[#This Row],[Costo_unitario]]="","PENDIENTE",TablaVentas[[#This Row],[Unidades]]*TablaVentas[[#This Row],[Costo_unitario]])</f>
        <v>5874.17</v>
      </c>
      <c r="Q671">
        <f>IF(OR(TablaVentas[[#This Row],[Ingreso_neto]]="PENDIENTE",TablaVentas[[#This Row],[Costo_total]]="PENDIENTE"),"PENDIENTE",TablaVentas[[#This Row],[Ingreso_neto]]-TablaVentas[[#This Row],[Costo_total]])</f>
        <v>2151.96</v>
      </c>
    </row>
    <row r="672" spans="1:17">
      <c r="A672" t="s">
        <v>611</v>
      </c>
      <c r="B672">
        <v>1</v>
      </c>
      <c r="C672" s="3">
        <v>46224</v>
      </c>
      <c r="D672" t="s">
        <v>532</v>
      </c>
      <c r="E672" t="s">
        <v>211</v>
      </c>
      <c r="F672" t="s">
        <v>66</v>
      </c>
      <c r="G672" t="s">
        <v>57</v>
      </c>
      <c r="H672" t="s">
        <v>102</v>
      </c>
      <c r="I672">
        <v>3</v>
      </c>
      <c r="J672" s="4">
        <v>18084.419999999998</v>
      </c>
      <c r="K672" s="5">
        <v>0</v>
      </c>
      <c r="L672" s="4">
        <v>13760.53</v>
      </c>
      <c r="M672" t="s">
        <v>42</v>
      </c>
      <c r="N672" t="s">
        <v>43</v>
      </c>
      <c r="O672">
        <f>IF(TablaVentas[[#This Row],[Precio_unitario]]="","PENDIENTE",TablaVentas[[#This Row],[Unidades]]*TablaVentas[[#This Row],[Precio_unitario]]*(1-TablaVentas[[#This Row],[Descuento_pct]]))</f>
        <v>54253.259999999995</v>
      </c>
      <c r="P672">
        <f>IF(TablaVentas[[#This Row],[Costo_unitario]]="","PENDIENTE",TablaVentas[[#This Row],[Unidades]]*TablaVentas[[#This Row],[Costo_unitario]])</f>
        <v>41281.590000000004</v>
      </c>
      <c r="Q672">
        <f>IF(OR(TablaVentas[[#This Row],[Ingreso_neto]]="PENDIENTE",TablaVentas[[#This Row],[Costo_total]]="PENDIENTE"),"PENDIENTE",TablaVentas[[#This Row],[Ingreso_neto]]-TablaVentas[[#This Row],[Costo_total]])</f>
        <v>12971.669999999991</v>
      </c>
    </row>
    <row r="673" spans="1:17">
      <c r="A673" t="s">
        <v>611</v>
      </c>
      <c r="B673">
        <v>2</v>
      </c>
      <c r="C673" s="3">
        <v>46224</v>
      </c>
      <c r="D673" t="s">
        <v>532</v>
      </c>
      <c r="E673" t="s">
        <v>114</v>
      </c>
      <c r="F673" t="s">
        <v>66</v>
      </c>
      <c r="G673" t="s">
        <v>57</v>
      </c>
      <c r="H673" t="s">
        <v>102</v>
      </c>
      <c r="I673">
        <v>1</v>
      </c>
      <c r="J673" s="4">
        <v>15658.61</v>
      </c>
      <c r="K673" s="5">
        <v>0.05</v>
      </c>
      <c r="L673" s="4">
        <v>8239.48</v>
      </c>
      <c r="M673" t="s">
        <v>42</v>
      </c>
      <c r="N673" t="s">
        <v>52</v>
      </c>
      <c r="O673">
        <f>IF(TablaVentas[[#This Row],[Precio_unitario]]="","PENDIENTE",TablaVentas[[#This Row],[Unidades]]*TablaVentas[[#This Row],[Precio_unitario]]*(1-TablaVentas[[#This Row],[Descuento_pct]]))</f>
        <v>14875.6795</v>
      </c>
      <c r="P673">
        <f>IF(TablaVentas[[#This Row],[Costo_unitario]]="","PENDIENTE",TablaVentas[[#This Row],[Unidades]]*TablaVentas[[#This Row],[Costo_unitario]])</f>
        <v>8239.48</v>
      </c>
      <c r="Q673">
        <f>IF(OR(TablaVentas[[#This Row],[Ingreso_neto]]="PENDIENTE",TablaVentas[[#This Row],[Costo_total]]="PENDIENTE"),"PENDIENTE",TablaVentas[[#This Row],[Ingreso_neto]]-TablaVentas[[#This Row],[Costo_total]])</f>
        <v>6636.1995000000006</v>
      </c>
    </row>
    <row r="674" spans="1:17">
      <c r="A674" t="s">
        <v>612</v>
      </c>
      <c r="B674">
        <v>1</v>
      </c>
      <c r="C674" s="3">
        <v>46154</v>
      </c>
      <c r="D674" t="s">
        <v>613</v>
      </c>
      <c r="E674" t="s">
        <v>81</v>
      </c>
      <c r="F674" t="s">
        <v>66</v>
      </c>
      <c r="G674" t="s">
        <v>50</v>
      </c>
      <c r="H674" t="s">
        <v>129</v>
      </c>
      <c r="I674">
        <v>4</v>
      </c>
      <c r="J674" s="4">
        <v>17713.849999999999</v>
      </c>
      <c r="K674" s="5">
        <v>0.15</v>
      </c>
      <c r="L674" s="4">
        <v>11614.87</v>
      </c>
      <c r="M674" t="s">
        <v>42</v>
      </c>
      <c r="N674" t="s">
        <v>43</v>
      </c>
      <c r="O674">
        <f>IF(TablaVentas[[#This Row],[Precio_unitario]]="","PENDIENTE",TablaVentas[[#This Row],[Unidades]]*TablaVentas[[#This Row],[Precio_unitario]]*(1-TablaVentas[[#This Row],[Descuento_pct]]))</f>
        <v>60227.09</v>
      </c>
      <c r="P674">
        <f>IF(TablaVentas[[#This Row],[Costo_unitario]]="","PENDIENTE",TablaVentas[[#This Row],[Unidades]]*TablaVentas[[#This Row],[Costo_unitario]])</f>
        <v>46459.48</v>
      </c>
      <c r="Q674">
        <f>IF(OR(TablaVentas[[#This Row],[Ingreso_neto]]="PENDIENTE",TablaVentas[[#This Row],[Costo_total]]="PENDIENTE"),"PENDIENTE",TablaVentas[[#This Row],[Ingreso_neto]]-TablaVentas[[#This Row],[Costo_total]])</f>
        <v>13767.609999999993</v>
      </c>
    </row>
    <row r="675" spans="1:17">
      <c r="A675" t="s">
        <v>612</v>
      </c>
      <c r="B675">
        <v>2</v>
      </c>
      <c r="C675" s="3">
        <v>46154</v>
      </c>
      <c r="D675" t="s">
        <v>613</v>
      </c>
      <c r="E675" t="s">
        <v>156</v>
      </c>
      <c r="F675" t="s">
        <v>66</v>
      </c>
      <c r="G675" t="s">
        <v>50</v>
      </c>
      <c r="H675" t="s">
        <v>129</v>
      </c>
      <c r="I675">
        <v>2</v>
      </c>
      <c r="J675" s="4">
        <v>17201.900000000001</v>
      </c>
      <c r="K675" s="5">
        <v>0.1</v>
      </c>
      <c r="L675" s="4">
        <v>13981.13</v>
      </c>
      <c r="M675" t="s">
        <v>42</v>
      </c>
      <c r="N675" t="s">
        <v>52</v>
      </c>
      <c r="O675">
        <f>IF(TablaVentas[[#This Row],[Precio_unitario]]="","PENDIENTE",TablaVentas[[#This Row],[Unidades]]*TablaVentas[[#This Row],[Precio_unitario]]*(1-TablaVentas[[#This Row],[Descuento_pct]]))</f>
        <v>30963.420000000002</v>
      </c>
      <c r="P675">
        <f>IF(TablaVentas[[#This Row],[Costo_unitario]]="","PENDIENTE",TablaVentas[[#This Row],[Unidades]]*TablaVentas[[#This Row],[Costo_unitario]])</f>
        <v>27962.26</v>
      </c>
      <c r="Q675">
        <f>IF(OR(TablaVentas[[#This Row],[Ingreso_neto]]="PENDIENTE",TablaVentas[[#This Row],[Costo_total]]="PENDIENTE"),"PENDIENTE",TablaVentas[[#This Row],[Ingreso_neto]]-TablaVentas[[#This Row],[Costo_total]])</f>
        <v>3001.1600000000035</v>
      </c>
    </row>
    <row r="676" spans="1:17">
      <c r="A676" t="s">
        <v>614</v>
      </c>
      <c r="B676">
        <v>1</v>
      </c>
      <c r="C676" s="3">
        <v>46138</v>
      </c>
      <c r="D676" t="s">
        <v>615</v>
      </c>
      <c r="E676" t="s">
        <v>114</v>
      </c>
      <c r="F676" t="s">
        <v>39</v>
      </c>
      <c r="G676" t="s">
        <v>40</v>
      </c>
      <c r="H676" t="s">
        <v>58</v>
      </c>
      <c r="I676">
        <v>1</v>
      </c>
      <c r="J676" s="4">
        <v>14922.08</v>
      </c>
      <c r="K676" s="5">
        <v>0</v>
      </c>
      <c r="L676" s="4">
        <v>8239.48</v>
      </c>
      <c r="M676" t="s">
        <v>42</v>
      </c>
      <c r="N676" t="s">
        <v>60</v>
      </c>
      <c r="O676">
        <f>IF(TablaVentas[[#This Row],[Precio_unitario]]="","PENDIENTE",TablaVentas[[#This Row],[Unidades]]*TablaVentas[[#This Row],[Precio_unitario]]*(1-TablaVentas[[#This Row],[Descuento_pct]]))</f>
        <v>14922.08</v>
      </c>
      <c r="P676">
        <f>IF(TablaVentas[[#This Row],[Costo_unitario]]="","PENDIENTE",TablaVentas[[#This Row],[Unidades]]*TablaVentas[[#This Row],[Costo_unitario]])</f>
        <v>8239.48</v>
      </c>
      <c r="Q676">
        <f>IF(OR(TablaVentas[[#This Row],[Ingreso_neto]]="PENDIENTE",TablaVentas[[#This Row],[Costo_total]]="PENDIENTE"),"PENDIENTE",TablaVentas[[#This Row],[Ingreso_neto]]-TablaVentas[[#This Row],[Costo_total]])</f>
        <v>6682.6</v>
      </c>
    </row>
    <row r="677" spans="1:17">
      <c r="A677" t="s">
        <v>614</v>
      </c>
      <c r="B677">
        <v>2</v>
      </c>
      <c r="C677" s="3">
        <v>46138</v>
      </c>
      <c r="D677" t="s">
        <v>615</v>
      </c>
      <c r="E677" t="s">
        <v>159</v>
      </c>
      <c r="F677" t="s">
        <v>39</v>
      </c>
      <c r="G677" t="s">
        <v>40</v>
      </c>
      <c r="H677" t="s">
        <v>58</v>
      </c>
      <c r="I677">
        <v>8</v>
      </c>
      <c r="J677" s="4">
        <v>12856.85</v>
      </c>
      <c r="K677" s="5">
        <v>0.1</v>
      </c>
      <c r="L677" s="4">
        <v>9317.3700000000008</v>
      </c>
      <c r="M677" t="s">
        <v>42</v>
      </c>
      <c r="N677" t="s">
        <v>60</v>
      </c>
      <c r="O677">
        <f>IF(TablaVentas[[#This Row],[Precio_unitario]]="","PENDIENTE",TablaVentas[[#This Row],[Unidades]]*TablaVentas[[#This Row],[Precio_unitario]]*(1-TablaVentas[[#This Row],[Descuento_pct]]))</f>
        <v>92569.32</v>
      </c>
      <c r="P677">
        <f>IF(TablaVentas[[#This Row],[Costo_unitario]]="","PENDIENTE",TablaVentas[[#This Row],[Unidades]]*TablaVentas[[#This Row],[Costo_unitario]])</f>
        <v>74538.960000000006</v>
      </c>
      <c r="Q677">
        <f>IF(OR(TablaVentas[[#This Row],[Ingreso_neto]]="PENDIENTE",TablaVentas[[#This Row],[Costo_total]]="PENDIENTE"),"PENDIENTE",TablaVentas[[#This Row],[Ingreso_neto]]-TablaVentas[[#This Row],[Costo_total]])</f>
        <v>18030.36</v>
      </c>
    </row>
    <row r="678" spans="1:17">
      <c r="A678" t="s">
        <v>614</v>
      </c>
      <c r="B678">
        <v>3</v>
      </c>
      <c r="C678" s="3">
        <v>46138</v>
      </c>
      <c r="D678" t="s">
        <v>615</v>
      </c>
      <c r="E678" t="s">
        <v>55</v>
      </c>
      <c r="F678" t="s">
        <v>39</v>
      </c>
      <c r="G678" t="s">
        <v>40</v>
      </c>
      <c r="H678" t="s">
        <v>58</v>
      </c>
      <c r="I678">
        <v>4</v>
      </c>
      <c r="J678" s="4">
        <v>11321.56</v>
      </c>
      <c r="K678" s="5">
        <v>0</v>
      </c>
      <c r="L678" s="4">
        <v>6407.85</v>
      </c>
      <c r="M678" t="s">
        <v>42</v>
      </c>
      <c r="N678" t="s">
        <v>60</v>
      </c>
      <c r="O678">
        <f>IF(TablaVentas[[#This Row],[Precio_unitario]]="","PENDIENTE",TablaVentas[[#This Row],[Unidades]]*TablaVentas[[#This Row],[Precio_unitario]]*(1-TablaVentas[[#This Row],[Descuento_pct]]))</f>
        <v>45286.239999999998</v>
      </c>
      <c r="P678">
        <f>IF(TablaVentas[[#This Row],[Costo_unitario]]="","PENDIENTE",TablaVentas[[#This Row],[Unidades]]*TablaVentas[[#This Row],[Costo_unitario]])</f>
        <v>25631.4</v>
      </c>
      <c r="Q678">
        <f>IF(OR(TablaVentas[[#This Row],[Ingreso_neto]]="PENDIENTE",TablaVentas[[#This Row],[Costo_total]]="PENDIENTE"),"PENDIENTE",TablaVentas[[#This Row],[Ingreso_neto]]-TablaVentas[[#This Row],[Costo_total]])</f>
        <v>19654.839999999997</v>
      </c>
    </row>
    <row r="679" spans="1:17">
      <c r="A679" t="s">
        <v>616</v>
      </c>
      <c r="B679">
        <v>1</v>
      </c>
      <c r="C679" s="3">
        <v>46104</v>
      </c>
      <c r="D679" t="s">
        <v>64</v>
      </c>
      <c r="E679" t="s">
        <v>103</v>
      </c>
      <c r="F679" t="s">
        <v>77</v>
      </c>
      <c r="G679" t="s">
        <v>50</v>
      </c>
      <c r="H679" t="s">
        <v>73</v>
      </c>
      <c r="I679">
        <v>1</v>
      </c>
      <c r="J679" s="4">
        <v>13733.8</v>
      </c>
      <c r="K679" s="5">
        <v>0.2</v>
      </c>
      <c r="L679" s="4">
        <v>7549.71</v>
      </c>
      <c r="M679" t="s">
        <v>42</v>
      </c>
      <c r="N679" t="s">
        <v>60</v>
      </c>
      <c r="O679">
        <f>IF(TablaVentas[[#This Row],[Precio_unitario]]="","PENDIENTE",TablaVentas[[#This Row],[Unidades]]*TablaVentas[[#This Row],[Precio_unitario]]*(1-TablaVentas[[#This Row],[Descuento_pct]]))</f>
        <v>10987.04</v>
      </c>
      <c r="P679">
        <f>IF(TablaVentas[[#This Row],[Costo_unitario]]="","PENDIENTE",TablaVentas[[#This Row],[Unidades]]*TablaVentas[[#This Row],[Costo_unitario]])</f>
        <v>7549.71</v>
      </c>
      <c r="Q679">
        <f>IF(OR(TablaVentas[[#This Row],[Ingreso_neto]]="PENDIENTE",TablaVentas[[#This Row],[Costo_total]]="PENDIENTE"),"PENDIENTE",TablaVentas[[#This Row],[Ingreso_neto]]-TablaVentas[[#This Row],[Costo_total]])</f>
        <v>3437.3300000000008</v>
      </c>
    </row>
    <row r="680" spans="1:17">
      <c r="A680" t="s">
        <v>617</v>
      </c>
      <c r="B680">
        <v>1</v>
      </c>
      <c r="C680" s="3">
        <v>46197</v>
      </c>
      <c r="D680" t="s">
        <v>618</v>
      </c>
      <c r="E680" t="s">
        <v>143</v>
      </c>
      <c r="F680" t="s">
        <v>39</v>
      </c>
      <c r="G680" t="s">
        <v>40</v>
      </c>
      <c r="H680" t="s">
        <v>67</v>
      </c>
      <c r="I680">
        <v>1</v>
      </c>
      <c r="J680" s="4">
        <v>8789.43</v>
      </c>
      <c r="K680" s="5">
        <v>0</v>
      </c>
      <c r="L680" s="4">
        <v>6815.42</v>
      </c>
      <c r="M680" t="s">
        <v>116</v>
      </c>
      <c r="N680" t="s">
        <v>45</v>
      </c>
      <c r="O680">
        <f>IF(TablaVentas[[#This Row],[Precio_unitario]]="","PENDIENTE",TablaVentas[[#This Row],[Unidades]]*TablaVentas[[#This Row],[Precio_unitario]]*(1-TablaVentas[[#This Row],[Descuento_pct]]))</f>
        <v>8789.43</v>
      </c>
      <c r="P680">
        <f>IF(TablaVentas[[#This Row],[Costo_unitario]]="","PENDIENTE",TablaVentas[[#This Row],[Unidades]]*TablaVentas[[#This Row],[Costo_unitario]])</f>
        <v>6815.42</v>
      </c>
      <c r="Q680">
        <f>IF(OR(TablaVentas[[#This Row],[Ingreso_neto]]="PENDIENTE",TablaVentas[[#This Row],[Costo_total]]="PENDIENTE"),"PENDIENTE",TablaVentas[[#This Row],[Ingreso_neto]]-TablaVentas[[#This Row],[Costo_total]])</f>
        <v>1974.0100000000002</v>
      </c>
    </row>
    <row r="681" spans="1:17">
      <c r="A681" t="s">
        <v>617</v>
      </c>
      <c r="B681">
        <v>2</v>
      </c>
      <c r="C681" s="3">
        <v>46197</v>
      </c>
      <c r="D681" t="s">
        <v>618</v>
      </c>
      <c r="E681" t="s">
        <v>262</v>
      </c>
      <c r="F681" t="s">
        <v>39</v>
      </c>
      <c r="G681" t="s">
        <v>40</v>
      </c>
      <c r="H681" t="s">
        <v>67</v>
      </c>
      <c r="I681">
        <v>1</v>
      </c>
      <c r="J681" s="4">
        <v>13257.48</v>
      </c>
      <c r="K681" s="5">
        <v>0</v>
      </c>
      <c r="L681" s="4">
        <v>8227.4599999999991</v>
      </c>
      <c r="M681" t="s">
        <v>42</v>
      </c>
      <c r="N681" t="s">
        <v>60</v>
      </c>
      <c r="O681">
        <f>IF(TablaVentas[[#This Row],[Precio_unitario]]="","PENDIENTE",TablaVentas[[#This Row],[Unidades]]*TablaVentas[[#This Row],[Precio_unitario]]*(1-TablaVentas[[#This Row],[Descuento_pct]]))</f>
        <v>13257.48</v>
      </c>
      <c r="P681">
        <f>IF(TablaVentas[[#This Row],[Costo_unitario]]="","PENDIENTE",TablaVentas[[#This Row],[Unidades]]*TablaVentas[[#This Row],[Costo_unitario]])</f>
        <v>8227.4599999999991</v>
      </c>
      <c r="Q681">
        <f>IF(OR(TablaVentas[[#This Row],[Ingreso_neto]]="PENDIENTE",TablaVentas[[#This Row],[Costo_total]]="PENDIENTE"),"PENDIENTE",TablaVentas[[#This Row],[Ingreso_neto]]-TablaVentas[[#This Row],[Costo_total]])</f>
        <v>5030.0200000000004</v>
      </c>
    </row>
    <row r="682" spans="1:17">
      <c r="A682" t="s">
        <v>617</v>
      </c>
      <c r="B682">
        <v>3</v>
      </c>
      <c r="C682" s="3">
        <v>46197</v>
      </c>
      <c r="D682" t="s">
        <v>618</v>
      </c>
      <c r="E682" t="s">
        <v>113</v>
      </c>
      <c r="F682" t="s">
        <v>39</v>
      </c>
      <c r="G682" t="s">
        <v>40</v>
      </c>
      <c r="H682" t="s">
        <v>67</v>
      </c>
      <c r="I682">
        <v>1</v>
      </c>
      <c r="J682" s="4">
        <v>2940.04</v>
      </c>
      <c r="K682" s="5">
        <v>0.05</v>
      </c>
      <c r="L682" s="4">
        <v>2196.34</v>
      </c>
      <c r="M682" t="s">
        <v>42</v>
      </c>
      <c r="N682" t="s">
        <v>60</v>
      </c>
      <c r="O682">
        <f>IF(TablaVentas[[#This Row],[Precio_unitario]]="","PENDIENTE",TablaVentas[[#This Row],[Unidades]]*TablaVentas[[#This Row],[Precio_unitario]]*(1-TablaVentas[[#This Row],[Descuento_pct]]))</f>
        <v>2793.038</v>
      </c>
      <c r="P682">
        <f>IF(TablaVentas[[#This Row],[Costo_unitario]]="","PENDIENTE",TablaVentas[[#This Row],[Unidades]]*TablaVentas[[#This Row],[Costo_unitario]])</f>
        <v>2196.34</v>
      </c>
      <c r="Q682">
        <f>IF(OR(TablaVentas[[#This Row],[Ingreso_neto]]="PENDIENTE",TablaVentas[[#This Row],[Costo_total]]="PENDIENTE"),"PENDIENTE",TablaVentas[[#This Row],[Ingreso_neto]]-TablaVentas[[#This Row],[Costo_total]])</f>
        <v>596.69799999999987</v>
      </c>
    </row>
    <row r="683" spans="1:17">
      <c r="A683" t="s">
        <v>619</v>
      </c>
      <c r="B683">
        <v>1</v>
      </c>
      <c r="C683" s="3">
        <v>46051</v>
      </c>
      <c r="D683" t="s">
        <v>620</v>
      </c>
      <c r="E683" t="s">
        <v>49</v>
      </c>
      <c r="F683" t="s">
        <v>77</v>
      </c>
      <c r="G683" t="s">
        <v>40</v>
      </c>
      <c r="H683" t="s">
        <v>82</v>
      </c>
      <c r="I683">
        <v>2</v>
      </c>
      <c r="J683" s="4">
        <v>4149.47</v>
      </c>
      <c r="K683" s="5">
        <v>0</v>
      </c>
      <c r="L683" s="4">
        <v>2950.52</v>
      </c>
      <c r="M683" t="s">
        <v>42</v>
      </c>
      <c r="N683" t="s">
        <v>45</v>
      </c>
      <c r="O683">
        <f>IF(TablaVentas[[#This Row],[Precio_unitario]]="","PENDIENTE",TablaVentas[[#This Row],[Unidades]]*TablaVentas[[#This Row],[Precio_unitario]]*(1-TablaVentas[[#This Row],[Descuento_pct]]))</f>
        <v>8298.94</v>
      </c>
      <c r="P683">
        <f>IF(TablaVentas[[#This Row],[Costo_unitario]]="","PENDIENTE",TablaVentas[[#This Row],[Unidades]]*TablaVentas[[#This Row],[Costo_unitario]])</f>
        <v>5901.04</v>
      </c>
      <c r="Q683">
        <f>IF(OR(TablaVentas[[#This Row],[Ingreso_neto]]="PENDIENTE",TablaVentas[[#This Row],[Costo_total]]="PENDIENTE"),"PENDIENTE",TablaVentas[[#This Row],[Ingreso_neto]]-TablaVentas[[#This Row],[Costo_total]])</f>
        <v>2397.9000000000005</v>
      </c>
    </row>
    <row r="684" spans="1:17">
      <c r="A684" t="s">
        <v>619</v>
      </c>
      <c r="B684">
        <v>2</v>
      </c>
      <c r="C684" s="3">
        <v>46051</v>
      </c>
      <c r="D684" t="s">
        <v>620</v>
      </c>
      <c r="E684" t="s">
        <v>138</v>
      </c>
      <c r="F684" t="s">
        <v>77</v>
      </c>
      <c r="G684" t="s">
        <v>40</v>
      </c>
      <c r="H684" t="s">
        <v>82</v>
      </c>
      <c r="I684">
        <v>3</v>
      </c>
      <c r="J684" s="4">
        <v>6523.09</v>
      </c>
      <c r="K684" s="5">
        <v>0.15</v>
      </c>
      <c r="L684" s="4">
        <v>4665.62</v>
      </c>
      <c r="M684" t="s">
        <v>42</v>
      </c>
      <c r="N684" t="s">
        <v>60</v>
      </c>
      <c r="O684">
        <f>IF(TablaVentas[[#This Row],[Precio_unitario]]="","PENDIENTE",TablaVentas[[#This Row],[Unidades]]*TablaVentas[[#This Row],[Precio_unitario]]*(1-TablaVentas[[#This Row],[Descuento_pct]]))</f>
        <v>16633.879499999999</v>
      </c>
      <c r="P684">
        <f>IF(TablaVentas[[#This Row],[Costo_unitario]]="","PENDIENTE",TablaVentas[[#This Row],[Unidades]]*TablaVentas[[#This Row],[Costo_unitario]])</f>
        <v>13996.86</v>
      </c>
      <c r="Q684">
        <f>IF(OR(TablaVentas[[#This Row],[Ingreso_neto]]="PENDIENTE",TablaVentas[[#This Row],[Costo_total]]="PENDIENTE"),"PENDIENTE",TablaVentas[[#This Row],[Ingreso_neto]]-TablaVentas[[#This Row],[Costo_total]])</f>
        <v>2637.0194999999985</v>
      </c>
    </row>
    <row r="685" spans="1:17">
      <c r="A685" t="s">
        <v>619</v>
      </c>
      <c r="B685">
        <v>3</v>
      </c>
      <c r="C685" s="3">
        <v>46051</v>
      </c>
      <c r="D685" t="s">
        <v>620</v>
      </c>
      <c r="E685" t="s">
        <v>128</v>
      </c>
      <c r="F685" t="s">
        <v>77</v>
      </c>
      <c r="G685" t="s">
        <v>40</v>
      </c>
      <c r="H685" t="s">
        <v>82</v>
      </c>
      <c r="I685">
        <v>8</v>
      </c>
      <c r="J685" s="4">
        <v>1721.88</v>
      </c>
      <c r="K685" s="5">
        <v>0</v>
      </c>
      <c r="L685" s="4">
        <v>900.08</v>
      </c>
      <c r="M685" t="s">
        <v>42</v>
      </c>
      <c r="N685" t="s">
        <v>45</v>
      </c>
      <c r="O685">
        <f>IF(TablaVentas[[#This Row],[Precio_unitario]]="","PENDIENTE",TablaVentas[[#This Row],[Unidades]]*TablaVentas[[#This Row],[Precio_unitario]]*(1-TablaVentas[[#This Row],[Descuento_pct]]))</f>
        <v>13775.04</v>
      </c>
      <c r="P685">
        <f>IF(TablaVentas[[#This Row],[Costo_unitario]]="","PENDIENTE",TablaVentas[[#This Row],[Unidades]]*TablaVentas[[#This Row],[Costo_unitario]])</f>
        <v>7200.64</v>
      </c>
      <c r="Q685">
        <f>IF(OR(TablaVentas[[#This Row],[Ingreso_neto]]="PENDIENTE",TablaVentas[[#This Row],[Costo_total]]="PENDIENTE"),"PENDIENTE",TablaVentas[[#This Row],[Ingreso_neto]]-TablaVentas[[#This Row],[Costo_total]])</f>
        <v>6574.4000000000005</v>
      </c>
    </row>
    <row r="686" spans="1:17">
      <c r="A686" t="s">
        <v>619</v>
      </c>
      <c r="B686">
        <v>4</v>
      </c>
      <c r="C686" s="3">
        <v>46051</v>
      </c>
      <c r="D686" t="s">
        <v>620</v>
      </c>
      <c r="E686" t="s">
        <v>140</v>
      </c>
      <c r="F686" t="s">
        <v>77</v>
      </c>
      <c r="G686" t="s">
        <v>40</v>
      </c>
      <c r="H686" t="s">
        <v>82</v>
      </c>
      <c r="I686">
        <v>8</v>
      </c>
      <c r="J686" s="4">
        <v>2855.92</v>
      </c>
      <c r="K686" s="5">
        <v>0.2</v>
      </c>
      <c r="L686" s="4">
        <v>2427.63</v>
      </c>
      <c r="M686" t="s">
        <v>42</v>
      </c>
      <c r="N686" t="s">
        <v>43</v>
      </c>
      <c r="O686">
        <f>IF(TablaVentas[[#This Row],[Precio_unitario]]="","PENDIENTE",TablaVentas[[#This Row],[Unidades]]*TablaVentas[[#This Row],[Precio_unitario]]*(1-TablaVentas[[#This Row],[Descuento_pct]]))</f>
        <v>18277.888000000003</v>
      </c>
      <c r="P686">
        <f>IF(TablaVentas[[#This Row],[Costo_unitario]]="","PENDIENTE",TablaVentas[[#This Row],[Unidades]]*TablaVentas[[#This Row],[Costo_unitario]])</f>
        <v>19421.04</v>
      </c>
      <c r="Q686">
        <f>IF(OR(TablaVentas[[#This Row],[Ingreso_neto]]="PENDIENTE",TablaVentas[[#This Row],[Costo_total]]="PENDIENTE"),"PENDIENTE",TablaVentas[[#This Row],[Ingreso_neto]]-TablaVentas[[#This Row],[Costo_total]])</f>
        <v>-1143.1519999999982</v>
      </c>
    </row>
    <row r="687" spans="1:17">
      <c r="A687" t="s">
        <v>621</v>
      </c>
      <c r="B687">
        <v>1</v>
      </c>
      <c r="C687" s="3">
        <v>46067</v>
      </c>
      <c r="D687" t="s">
        <v>622</v>
      </c>
      <c r="E687" t="s">
        <v>46</v>
      </c>
      <c r="F687" t="s">
        <v>39</v>
      </c>
      <c r="G687" t="s">
        <v>50</v>
      </c>
      <c r="H687" t="s">
        <v>73</v>
      </c>
      <c r="I687">
        <v>1</v>
      </c>
      <c r="J687" s="4">
        <v>3847.83</v>
      </c>
      <c r="K687" s="5">
        <v>0</v>
      </c>
      <c r="L687" s="4">
        <v>2957.6</v>
      </c>
      <c r="M687" t="s">
        <v>42</v>
      </c>
      <c r="N687" t="s">
        <v>60</v>
      </c>
      <c r="O687">
        <f>IF(TablaVentas[[#This Row],[Precio_unitario]]="","PENDIENTE",TablaVentas[[#This Row],[Unidades]]*TablaVentas[[#This Row],[Precio_unitario]]*(1-TablaVentas[[#This Row],[Descuento_pct]]))</f>
        <v>3847.83</v>
      </c>
      <c r="P687">
        <f>IF(TablaVentas[[#This Row],[Costo_unitario]]="","PENDIENTE",TablaVentas[[#This Row],[Unidades]]*TablaVentas[[#This Row],[Costo_unitario]])</f>
        <v>2957.6</v>
      </c>
      <c r="Q687">
        <f>IF(OR(TablaVentas[[#This Row],[Ingreso_neto]]="PENDIENTE",TablaVentas[[#This Row],[Costo_total]]="PENDIENTE"),"PENDIENTE",TablaVentas[[#This Row],[Ingreso_neto]]-TablaVentas[[#This Row],[Costo_total]])</f>
        <v>890.23</v>
      </c>
    </row>
    <row r="688" spans="1:17">
      <c r="A688" t="s">
        <v>621</v>
      </c>
      <c r="B688">
        <v>2</v>
      </c>
      <c r="C688" s="3">
        <v>46067</v>
      </c>
      <c r="D688" t="s">
        <v>622</v>
      </c>
      <c r="E688" t="s">
        <v>113</v>
      </c>
      <c r="F688" t="s">
        <v>39</v>
      </c>
      <c r="G688" t="s">
        <v>50</v>
      </c>
      <c r="H688" t="s">
        <v>73</v>
      </c>
      <c r="I688">
        <v>2</v>
      </c>
      <c r="J688" s="4">
        <v>2963.64</v>
      </c>
      <c r="K688" s="5">
        <v>0.1</v>
      </c>
      <c r="L688" s="4">
        <v>2196.34</v>
      </c>
      <c r="M688" t="s">
        <v>42</v>
      </c>
      <c r="N688" t="s">
        <v>43</v>
      </c>
      <c r="O688">
        <f>IF(TablaVentas[[#This Row],[Precio_unitario]]="","PENDIENTE",TablaVentas[[#This Row],[Unidades]]*TablaVentas[[#This Row],[Precio_unitario]]*(1-TablaVentas[[#This Row],[Descuento_pct]]))</f>
        <v>5334.5519999999997</v>
      </c>
      <c r="P688">
        <f>IF(TablaVentas[[#This Row],[Costo_unitario]]="","PENDIENTE",TablaVentas[[#This Row],[Unidades]]*TablaVentas[[#This Row],[Costo_unitario]])</f>
        <v>4392.68</v>
      </c>
      <c r="Q688">
        <f>IF(OR(TablaVentas[[#This Row],[Ingreso_neto]]="PENDIENTE",TablaVentas[[#This Row],[Costo_total]]="PENDIENTE"),"PENDIENTE",TablaVentas[[#This Row],[Ingreso_neto]]-TablaVentas[[#This Row],[Costo_total]])</f>
        <v>941.87199999999939</v>
      </c>
    </row>
    <row r="689" spans="1:17">
      <c r="A689" t="s">
        <v>623</v>
      </c>
      <c r="B689">
        <v>1</v>
      </c>
      <c r="C689" s="3">
        <v>46245</v>
      </c>
      <c r="D689" t="s">
        <v>302</v>
      </c>
      <c r="E689" t="s">
        <v>367</v>
      </c>
      <c r="F689" t="s">
        <v>56</v>
      </c>
      <c r="G689" t="s">
        <v>57</v>
      </c>
      <c r="H689" t="s">
        <v>73</v>
      </c>
      <c r="I689">
        <v>1</v>
      </c>
      <c r="J689" s="4">
        <v>8963.8799999999992</v>
      </c>
      <c r="K689" s="5">
        <v>0.05</v>
      </c>
      <c r="L689" s="4">
        <v>5079.43</v>
      </c>
      <c r="M689" t="s">
        <v>42</v>
      </c>
      <c r="N689" t="s">
        <v>60</v>
      </c>
      <c r="O689">
        <f>IF(TablaVentas[[#This Row],[Precio_unitario]]="","PENDIENTE",TablaVentas[[#This Row],[Unidades]]*TablaVentas[[#This Row],[Precio_unitario]]*(1-TablaVentas[[#This Row],[Descuento_pct]]))</f>
        <v>8515.6859999999997</v>
      </c>
      <c r="P689">
        <f>IF(TablaVentas[[#This Row],[Costo_unitario]]="","PENDIENTE",TablaVentas[[#This Row],[Unidades]]*TablaVentas[[#This Row],[Costo_unitario]])</f>
        <v>5079.43</v>
      </c>
      <c r="Q689">
        <f>IF(OR(TablaVentas[[#This Row],[Ingreso_neto]]="PENDIENTE",TablaVentas[[#This Row],[Costo_total]]="PENDIENTE"),"PENDIENTE",TablaVentas[[#This Row],[Ingreso_neto]]-TablaVentas[[#This Row],[Costo_total]])</f>
        <v>3436.2559999999994</v>
      </c>
    </row>
    <row r="690" spans="1:17">
      <c r="A690" t="s">
        <v>623</v>
      </c>
      <c r="B690">
        <v>2</v>
      </c>
      <c r="C690" s="3">
        <v>46245</v>
      </c>
      <c r="D690" t="s">
        <v>302</v>
      </c>
      <c r="E690" t="s">
        <v>38</v>
      </c>
      <c r="F690" t="s">
        <v>56</v>
      </c>
      <c r="G690" t="s">
        <v>57</v>
      </c>
      <c r="H690" t="s">
        <v>73</v>
      </c>
      <c r="I690">
        <v>1</v>
      </c>
      <c r="J690" s="4">
        <v>5585.38</v>
      </c>
      <c r="K690" s="5">
        <v>0</v>
      </c>
      <c r="L690" s="4">
        <v>3832.69</v>
      </c>
      <c r="M690" t="s">
        <v>42</v>
      </c>
      <c r="N690" t="s">
        <v>60</v>
      </c>
      <c r="O690">
        <f>IF(TablaVentas[[#This Row],[Precio_unitario]]="","PENDIENTE",TablaVentas[[#This Row],[Unidades]]*TablaVentas[[#This Row],[Precio_unitario]]*(1-TablaVentas[[#This Row],[Descuento_pct]]))</f>
        <v>5585.38</v>
      </c>
      <c r="P690">
        <f>IF(TablaVentas[[#This Row],[Costo_unitario]]="","PENDIENTE",TablaVentas[[#This Row],[Unidades]]*TablaVentas[[#This Row],[Costo_unitario]])</f>
        <v>3832.69</v>
      </c>
      <c r="Q690">
        <f>IF(OR(TablaVentas[[#This Row],[Ingreso_neto]]="PENDIENTE",TablaVentas[[#This Row],[Costo_total]]="PENDIENTE"),"PENDIENTE",TablaVentas[[#This Row],[Ingreso_neto]]-TablaVentas[[#This Row],[Costo_total]])</f>
        <v>1752.69</v>
      </c>
    </row>
    <row r="691" spans="1:17">
      <c r="A691" t="s">
        <v>623</v>
      </c>
      <c r="B691">
        <v>3</v>
      </c>
      <c r="C691" s="3">
        <v>46245</v>
      </c>
      <c r="D691" t="s">
        <v>302</v>
      </c>
      <c r="E691" t="s">
        <v>193</v>
      </c>
      <c r="F691" t="s">
        <v>56</v>
      </c>
      <c r="G691" t="s">
        <v>57</v>
      </c>
      <c r="H691" t="s">
        <v>73</v>
      </c>
      <c r="I691">
        <v>2</v>
      </c>
      <c r="J691" s="4">
        <v>11872</v>
      </c>
      <c r="K691" s="5">
        <v>0</v>
      </c>
      <c r="L691" s="4">
        <v>5811.72</v>
      </c>
      <c r="M691" t="s">
        <v>42</v>
      </c>
      <c r="N691" t="s">
        <v>43</v>
      </c>
      <c r="O691">
        <f>IF(TablaVentas[[#This Row],[Precio_unitario]]="","PENDIENTE",TablaVentas[[#This Row],[Unidades]]*TablaVentas[[#This Row],[Precio_unitario]]*(1-TablaVentas[[#This Row],[Descuento_pct]]))</f>
        <v>23744</v>
      </c>
      <c r="P691">
        <f>IF(TablaVentas[[#This Row],[Costo_unitario]]="","PENDIENTE",TablaVentas[[#This Row],[Unidades]]*TablaVentas[[#This Row],[Costo_unitario]])</f>
        <v>11623.44</v>
      </c>
      <c r="Q691">
        <f>IF(OR(TablaVentas[[#This Row],[Ingreso_neto]]="PENDIENTE",TablaVentas[[#This Row],[Costo_total]]="PENDIENTE"),"PENDIENTE",TablaVentas[[#This Row],[Ingreso_neto]]-TablaVentas[[#This Row],[Costo_total]])</f>
        <v>12120.56</v>
      </c>
    </row>
    <row r="692" spans="1:17">
      <c r="A692" t="s">
        <v>623</v>
      </c>
      <c r="B692">
        <v>4</v>
      </c>
      <c r="C692" s="3">
        <v>46245</v>
      </c>
      <c r="D692" t="s">
        <v>302</v>
      </c>
      <c r="E692" t="s">
        <v>185</v>
      </c>
      <c r="F692" t="s">
        <v>56</v>
      </c>
      <c r="G692" t="s">
        <v>57</v>
      </c>
      <c r="H692" t="s">
        <v>73</v>
      </c>
      <c r="I692">
        <v>1</v>
      </c>
      <c r="J692" s="4">
        <v>16997.599999999999</v>
      </c>
      <c r="K692" s="5">
        <v>0</v>
      </c>
      <c r="L692" s="4">
        <v>11904.09</v>
      </c>
      <c r="M692" t="s">
        <v>42</v>
      </c>
      <c r="N692" t="s">
        <v>60</v>
      </c>
      <c r="O692">
        <f>IF(TablaVentas[[#This Row],[Precio_unitario]]="","PENDIENTE",TablaVentas[[#This Row],[Unidades]]*TablaVentas[[#This Row],[Precio_unitario]]*(1-TablaVentas[[#This Row],[Descuento_pct]]))</f>
        <v>16997.599999999999</v>
      </c>
      <c r="P692">
        <f>IF(TablaVentas[[#This Row],[Costo_unitario]]="","PENDIENTE",TablaVentas[[#This Row],[Unidades]]*TablaVentas[[#This Row],[Costo_unitario]])</f>
        <v>11904.09</v>
      </c>
      <c r="Q692">
        <f>IF(OR(TablaVentas[[#This Row],[Ingreso_neto]]="PENDIENTE",TablaVentas[[#This Row],[Costo_total]]="PENDIENTE"),"PENDIENTE",TablaVentas[[#This Row],[Ingreso_neto]]-TablaVentas[[#This Row],[Costo_total]])</f>
        <v>5093.5099999999984</v>
      </c>
    </row>
    <row r="693" spans="1:17">
      <c r="A693" t="s">
        <v>623</v>
      </c>
      <c r="B693">
        <v>5</v>
      </c>
      <c r="C693" s="3">
        <v>46245</v>
      </c>
      <c r="D693" t="s">
        <v>302</v>
      </c>
      <c r="E693" t="s">
        <v>89</v>
      </c>
      <c r="F693" t="s">
        <v>56</v>
      </c>
      <c r="G693" t="s">
        <v>57</v>
      </c>
      <c r="H693" t="s">
        <v>73</v>
      </c>
      <c r="I693">
        <v>1</v>
      </c>
      <c r="J693" s="4">
        <v>12425.59</v>
      </c>
      <c r="K693" s="5">
        <v>0.1</v>
      </c>
      <c r="L693" s="4">
        <v>9118.07</v>
      </c>
      <c r="M693" t="s">
        <v>42</v>
      </c>
      <c r="N693" t="s">
        <v>45</v>
      </c>
      <c r="O693">
        <f>IF(TablaVentas[[#This Row],[Precio_unitario]]="","PENDIENTE",TablaVentas[[#This Row],[Unidades]]*TablaVentas[[#This Row],[Precio_unitario]]*(1-TablaVentas[[#This Row],[Descuento_pct]]))</f>
        <v>11183.031000000001</v>
      </c>
      <c r="P693">
        <f>IF(TablaVentas[[#This Row],[Costo_unitario]]="","PENDIENTE",TablaVentas[[#This Row],[Unidades]]*TablaVentas[[#This Row],[Costo_unitario]])</f>
        <v>9118.07</v>
      </c>
      <c r="Q693">
        <f>IF(OR(TablaVentas[[#This Row],[Ingreso_neto]]="PENDIENTE",TablaVentas[[#This Row],[Costo_total]]="PENDIENTE"),"PENDIENTE",TablaVentas[[#This Row],[Ingreso_neto]]-TablaVentas[[#This Row],[Costo_total]])</f>
        <v>2064.9610000000011</v>
      </c>
    </row>
    <row r="694" spans="1:17">
      <c r="A694" t="s">
        <v>624</v>
      </c>
      <c r="B694">
        <v>1</v>
      </c>
      <c r="C694" s="3">
        <v>46071</v>
      </c>
      <c r="D694" t="s">
        <v>625</v>
      </c>
      <c r="E694" t="s">
        <v>155</v>
      </c>
      <c r="F694" t="s">
        <v>66</v>
      </c>
      <c r="G694" t="s">
        <v>50</v>
      </c>
      <c r="H694" t="s">
        <v>129</v>
      </c>
      <c r="I694">
        <v>1</v>
      </c>
      <c r="J694" s="4">
        <v>762.23</v>
      </c>
      <c r="K694" s="5">
        <v>0.15</v>
      </c>
      <c r="L694" s="4">
        <v>397.1</v>
      </c>
      <c r="M694" t="s">
        <v>42</v>
      </c>
      <c r="N694" t="s">
        <v>60</v>
      </c>
      <c r="O694">
        <f>IF(TablaVentas[[#This Row],[Precio_unitario]]="","PENDIENTE",TablaVentas[[#This Row],[Unidades]]*TablaVentas[[#This Row],[Precio_unitario]]*(1-TablaVentas[[#This Row],[Descuento_pct]]))</f>
        <v>647.89549999999997</v>
      </c>
      <c r="P694">
        <f>IF(TablaVentas[[#This Row],[Costo_unitario]]="","PENDIENTE",TablaVentas[[#This Row],[Unidades]]*TablaVentas[[#This Row],[Costo_unitario]])</f>
        <v>397.1</v>
      </c>
      <c r="Q694">
        <f>IF(OR(TablaVentas[[#This Row],[Ingreso_neto]]="PENDIENTE",TablaVentas[[#This Row],[Costo_total]]="PENDIENTE"),"PENDIENTE",TablaVentas[[#This Row],[Ingreso_neto]]-TablaVentas[[#This Row],[Costo_total]])</f>
        <v>250.79549999999995</v>
      </c>
    </row>
    <row r="695" spans="1:17">
      <c r="A695" t="s">
        <v>624</v>
      </c>
      <c r="B695">
        <v>2</v>
      </c>
      <c r="C695" s="3">
        <v>46071</v>
      </c>
      <c r="D695" t="s">
        <v>625</v>
      </c>
      <c r="E695" t="s">
        <v>78</v>
      </c>
      <c r="F695" t="s">
        <v>66</v>
      </c>
      <c r="G695" t="s">
        <v>50</v>
      </c>
      <c r="H695" t="s">
        <v>129</v>
      </c>
      <c r="I695">
        <v>2</v>
      </c>
      <c r="J695" s="4">
        <v>9099.98</v>
      </c>
      <c r="K695" s="5">
        <v>0</v>
      </c>
      <c r="L695" s="4">
        <v>5033.47</v>
      </c>
      <c r="M695" t="s">
        <v>42</v>
      </c>
      <c r="N695" t="s">
        <v>60</v>
      </c>
      <c r="O695">
        <f>IF(TablaVentas[[#This Row],[Precio_unitario]]="","PENDIENTE",TablaVentas[[#This Row],[Unidades]]*TablaVentas[[#This Row],[Precio_unitario]]*(1-TablaVentas[[#This Row],[Descuento_pct]]))</f>
        <v>18199.96</v>
      </c>
      <c r="P695">
        <f>IF(TablaVentas[[#This Row],[Costo_unitario]]="","PENDIENTE",TablaVentas[[#This Row],[Unidades]]*TablaVentas[[#This Row],[Costo_unitario]])</f>
        <v>10066.94</v>
      </c>
      <c r="Q695">
        <f>IF(OR(TablaVentas[[#This Row],[Ingreso_neto]]="PENDIENTE",TablaVentas[[#This Row],[Costo_total]]="PENDIENTE"),"PENDIENTE",TablaVentas[[#This Row],[Ingreso_neto]]-TablaVentas[[#This Row],[Costo_total]])</f>
        <v>8133.0199999999986</v>
      </c>
    </row>
    <row r="696" spans="1:17">
      <c r="A696" t="s">
        <v>624</v>
      </c>
      <c r="B696">
        <v>3</v>
      </c>
      <c r="C696" s="3">
        <v>46071</v>
      </c>
      <c r="D696" t="s">
        <v>625</v>
      </c>
      <c r="E696" t="s">
        <v>196</v>
      </c>
      <c r="F696" t="s">
        <v>66</v>
      </c>
      <c r="G696" t="s">
        <v>50</v>
      </c>
      <c r="H696" t="s">
        <v>129</v>
      </c>
      <c r="I696">
        <v>1</v>
      </c>
      <c r="J696" s="4">
        <v>769.63</v>
      </c>
      <c r="K696" s="5">
        <v>0.15</v>
      </c>
      <c r="L696" s="4">
        <v>485.16</v>
      </c>
      <c r="M696" t="s">
        <v>42</v>
      </c>
      <c r="N696" t="s">
        <v>60</v>
      </c>
      <c r="O696">
        <f>IF(TablaVentas[[#This Row],[Precio_unitario]]="","PENDIENTE",TablaVentas[[#This Row],[Unidades]]*TablaVentas[[#This Row],[Precio_unitario]]*(1-TablaVentas[[#This Row],[Descuento_pct]]))</f>
        <v>654.18549999999993</v>
      </c>
      <c r="P696">
        <f>IF(TablaVentas[[#This Row],[Costo_unitario]]="","PENDIENTE",TablaVentas[[#This Row],[Unidades]]*TablaVentas[[#This Row],[Costo_unitario]])</f>
        <v>485.16</v>
      </c>
      <c r="Q696">
        <f>IF(OR(TablaVentas[[#This Row],[Ingreso_neto]]="PENDIENTE",TablaVentas[[#This Row],[Costo_total]]="PENDIENTE"),"PENDIENTE",TablaVentas[[#This Row],[Ingreso_neto]]-TablaVentas[[#This Row],[Costo_total]])</f>
        <v>169.02549999999991</v>
      </c>
    </row>
    <row r="697" spans="1:17">
      <c r="A697" t="s">
        <v>624</v>
      </c>
      <c r="B697">
        <v>4</v>
      </c>
      <c r="C697" s="3">
        <v>46071</v>
      </c>
      <c r="D697" t="s">
        <v>625</v>
      </c>
      <c r="E697" t="s">
        <v>378</v>
      </c>
      <c r="F697" t="s">
        <v>66</v>
      </c>
      <c r="G697" t="s">
        <v>50</v>
      </c>
      <c r="H697" t="s">
        <v>129</v>
      </c>
      <c r="I697">
        <v>12</v>
      </c>
      <c r="J697" s="4">
        <v>3361.13</v>
      </c>
      <c r="K697" s="5">
        <v>0.2</v>
      </c>
      <c r="L697" s="4">
        <v>2864.64</v>
      </c>
      <c r="M697" t="s">
        <v>42</v>
      </c>
      <c r="N697" t="s">
        <v>52</v>
      </c>
      <c r="O697">
        <f>IF(TablaVentas[[#This Row],[Precio_unitario]]="","PENDIENTE",TablaVentas[[#This Row],[Unidades]]*TablaVentas[[#This Row],[Precio_unitario]]*(1-TablaVentas[[#This Row],[Descuento_pct]]))</f>
        <v>32266.847999999998</v>
      </c>
      <c r="P697">
        <f>IF(TablaVentas[[#This Row],[Costo_unitario]]="","PENDIENTE",TablaVentas[[#This Row],[Unidades]]*TablaVentas[[#This Row],[Costo_unitario]])</f>
        <v>34375.68</v>
      </c>
      <c r="Q697">
        <f>IF(OR(TablaVentas[[#This Row],[Ingreso_neto]]="PENDIENTE",TablaVentas[[#This Row],[Costo_total]]="PENDIENTE"),"PENDIENTE",TablaVentas[[#This Row],[Ingreso_neto]]-TablaVentas[[#This Row],[Costo_total]])</f>
        <v>-2108.8320000000022</v>
      </c>
    </row>
    <row r="698" spans="1:17">
      <c r="A698" t="s">
        <v>624</v>
      </c>
      <c r="B698">
        <v>5</v>
      </c>
      <c r="C698" s="3">
        <v>46071</v>
      </c>
      <c r="D698" t="s">
        <v>625</v>
      </c>
      <c r="E698" t="s">
        <v>211</v>
      </c>
      <c r="F698" t="s">
        <v>66</v>
      </c>
      <c r="G698" t="s">
        <v>50</v>
      </c>
      <c r="H698" t="s">
        <v>129</v>
      </c>
      <c r="I698">
        <v>2</v>
      </c>
      <c r="J698" s="4">
        <v>16644.580000000002</v>
      </c>
      <c r="K698" s="5">
        <v>0</v>
      </c>
      <c r="L698" s="4">
        <v>13760.53</v>
      </c>
      <c r="M698" t="s">
        <v>42</v>
      </c>
      <c r="N698" t="s">
        <v>45</v>
      </c>
      <c r="O698">
        <f>IF(TablaVentas[[#This Row],[Precio_unitario]]="","PENDIENTE",TablaVentas[[#This Row],[Unidades]]*TablaVentas[[#This Row],[Precio_unitario]]*(1-TablaVentas[[#This Row],[Descuento_pct]]))</f>
        <v>33289.160000000003</v>
      </c>
      <c r="P698">
        <f>IF(TablaVentas[[#This Row],[Costo_unitario]]="","PENDIENTE",TablaVentas[[#This Row],[Unidades]]*TablaVentas[[#This Row],[Costo_unitario]])</f>
        <v>27521.06</v>
      </c>
      <c r="Q698">
        <f>IF(OR(TablaVentas[[#This Row],[Ingreso_neto]]="PENDIENTE",TablaVentas[[#This Row],[Costo_total]]="PENDIENTE"),"PENDIENTE",TablaVentas[[#This Row],[Ingreso_neto]]-TablaVentas[[#This Row],[Costo_total]])</f>
        <v>5768.1000000000022</v>
      </c>
    </row>
    <row r="699" spans="1:17">
      <c r="A699" t="s">
        <v>626</v>
      </c>
      <c r="B699">
        <v>1</v>
      </c>
      <c r="C699" s="3">
        <v>46112</v>
      </c>
      <c r="D699" t="s">
        <v>627</v>
      </c>
      <c r="E699" t="s">
        <v>262</v>
      </c>
      <c r="F699" t="s">
        <v>77</v>
      </c>
      <c r="G699" t="s">
        <v>57</v>
      </c>
      <c r="H699" t="s">
        <v>51</v>
      </c>
      <c r="I699">
        <v>5</v>
      </c>
      <c r="J699" s="4">
        <v>13018.47</v>
      </c>
      <c r="K699" s="5">
        <v>0.1</v>
      </c>
      <c r="L699" s="4">
        <v>8227.4599999999991</v>
      </c>
      <c r="M699" t="s">
        <v>42</v>
      </c>
      <c r="N699" t="s">
        <v>60</v>
      </c>
      <c r="O699">
        <f>IF(TablaVentas[[#This Row],[Precio_unitario]]="","PENDIENTE",TablaVentas[[#This Row],[Unidades]]*TablaVentas[[#This Row],[Precio_unitario]]*(1-TablaVentas[[#This Row],[Descuento_pct]]))</f>
        <v>58583.114999999998</v>
      </c>
      <c r="P699">
        <f>IF(TablaVentas[[#This Row],[Costo_unitario]]="","PENDIENTE",TablaVentas[[#This Row],[Unidades]]*TablaVentas[[#This Row],[Costo_unitario]])</f>
        <v>41137.299999999996</v>
      </c>
      <c r="Q699">
        <f>IF(OR(TablaVentas[[#This Row],[Ingreso_neto]]="PENDIENTE",TablaVentas[[#This Row],[Costo_total]]="PENDIENTE"),"PENDIENTE",TablaVentas[[#This Row],[Ingreso_neto]]-TablaVentas[[#This Row],[Costo_total]])</f>
        <v>17445.815000000002</v>
      </c>
    </row>
    <row r="700" spans="1:17">
      <c r="A700" t="s">
        <v>626</v>
      </c>
      <c r="B700">
        <v>2</v>
      </c>
      <c r="C700" s="3">
        <v>46112</v>
      </c>
      <c r="D700" t="s">
        <v>627</v>
      </c>
      <c r="E700" t="s">
        <v>253</v>
      </c>
      <c r="F700" t="s">
        <v>77</v>
      </c>
      <c r="G700" t="s">
        <v>57</v>
      </c>
      <c r="H700" t="s">
        <v>51</v>
      </c>
      <c r="I700">
        <v>2</v>
      </c>
      <c r="J700" s="4">
        <v>3091.55</v>
      </c>
      <c r="K700" s="5">
        <v>0</v>
      </c>
      <c r="L700" s="4">
        <v>2486.1799999999998</v>
      </c>
      <c r="M700" t="s">
        <v>42</v>
      </c>
      <c r="N700" t="s">
        <v>52</v>
      </c>
      <c r="O700">
        <f>IF(TablaVentas[[#This Row],[Precio_unitario]]="","PENDIENTE",TablaVentas[[#This Row],[Unidades]]*TablaVentas[[#This Row],[Precio_unitario]]*(1-TablaVentas[[#This Row],[Descuento_pct]]))</f>
        <v>6183.1</v>
      </c>
      <c r="P700">
        <f>IF(TablaVentas[[#This Row],[Costo_unitario]]="","PENDIENTE",TablaVentas[[#This Row],[Unidades]]*TablaVentas[[#This Row],[Costo_unitario]])</f>
        <v>4972.3599999999997</v>
      </c>
      <c r="Q700">
        <f>IF(OR(TablaVentas[[#This Row],[Ingreso_neto]]="PENDIENTE",TablaVentas[[#This Row],[Costo_total]]="PENDIENTE"),"PENDIENTE",TablaVentas[[#This Row],[Ingreso_neto]]-TablaVentas[[#This Row],[Costo_total]])</f>
        <v>1210.7400000000007</v>
      </c>
    </row>
    <row r="701" spans="1:17">
      <c r="A701" t="s">
        <v>626</v>
      </c>
      <c r="B701">
        <v>3</v>
      </c>
      <c r="C701" s="3">
        <v>46112</v>
      </c>
      <c r="D701" t="s">
        <v>627</v>
      </c>
      <c r="E701" t="s">
        <v>163</v>
      </c>
      <c r="F701" t="s">
        <v>77</v>
      </c>
      <c r="G701" t="s">
        <v>57</v>
      </c>
      <c r="H701" t="s">
        <v>51</v>
      </c>
      <c r="I701">
        <v>1</v>
      </c>
      <c r="J701" s="4">
        <v>17086.080000000002</v>
      </c>
      <c r="K701" s="5">
        <v>0</v>
      </c>
      <c r="L701" s="4">
        <v>12141.44</v>
      </c>
      <c r="M701" t="s">
        <v>42</v>
      </c>
      <c r="N701" t="s">
        <v>43</v>
      </c>
      <c r="O701">
        <f>IF(TablaVentas[[#This Row],[Precio_unitario]]="","PENDIENTE",TablaVentas[[#This Row],[Unidades]]*TablaVentas[[#This Row],[Precio_unitario]]*(1-TablaVentas[[#This Row],[Descuento_pct]]))</f>
        <v>17086.080000000002</v>
      </c>
      <c r="P701">
        <f>IF(TablaVentas[[#This Row],[Costo_unitario]]="","PENDIENTE",TablaVentas[[#This Row],[Unidades]]*TablaVentas[[#This Row],[Costo_unitario]])</f>
        <v>12141.44</v>
      </c>
      <c r="Q701">
        <f>IF(OR(TablaVentas[[#This Row],[Ingreso_neto]]="PENDIENTE",TablaVentas[[#This Row],[Costo_total]]="PENDIENTE"),"PENDIENTE",TablaVentas[[#This Row],[Ingreso_neto]]-TablaVentas[[#This Row],[Costo_total]])</f>
        <v>4944.6400000000012</v>
      </c>
    </row>
    <row r="702" spans="1:17">
      <c r="A702" t="s">
        <v>626</v>
      </c>
      <c r="B702">
        <v>4</v>
      </c>
      <c r="C702" s="3">
        <v>46112</v>
      </c>
      <c r="D702" t="s">
        <v>627</v>
      </c>
      <c r="E702" t="s">
        <v>134</v>
      </c>
      <c r="F702" t="s">
        <v>77</v>
      </c>
      <c r="G702" t="s">
        <v>57</v>
      </c>
      <c r="H702" t="s">
        <v>51</v>
      </c>
      <c r="I702">
        <v>1</v>
      </c>
      <c r="J702" s="4">
        <v>249.31</v>
      </c>
      <c r="K702" s="5">
        <v>0.05</v>
      </c>
      <c r="L702" s="4">
        <v>176.47</v>
      </c>
      <c r="M702" t="s">
        <v>42</v>
      </c>
      <c r="N702" t="s">
        <v>52</v>
      </c>
      <c r="O702">
        <f>IF(TablaVentas[[#This Row],[Precio_unitario]]="","PENDIENTE",TablaVentas[[#This Row],[Unidades]]*TablaVentas[[#This Row],[Precio_unitario]]*(1-TablaVentas[[#This Row],[Descuento_pct]]))</f>
        <v>236.84449999999998</v>
      </c>
      <c r="P702">
        <f>IF(TablaVentas[[#This Row],[Costo_unitario]]="","PENDIENTE",TablaVentas[[#This Row],[Unidades]]*TablaVentas[[#This Row],[Costo_unitario]])</f>
        <v>176.47</v>
      </c>
      <c r="Q702">
        <f>IF(OR(TablaVentas[[#This Row],[Ingreso_neto]]="PENDIENTE",TablaVentas[[#This Row],[Costo_total]]="PENDIENTE"),"PENDIENTE",TablaVentas[[#This Row],[Ingreso_neto]]-TablaVentas[[#This Row],[Costo_total]])</f>
        <v>60.374499999999983</v>
      </c>
    </row>
    <row r="703" spans="1:17">
      <c r="A703" t="s">
        <v>626</v>
      </c>
      <c r="B703">
        <v>5</v>
      </c>
      <c r="C703" s="3">
        <v>46112</v>
      </c>
      <c r="D703" t="s">
        <v>627</v>
      </c>
      <c r="E703" t="s">
        <v>256</v>
      </c>
      <c r="F703" t="s">
        <v>77</v>
      </c>
      <c r="G703" t="s">
        <v>57</v>
      </c>
      <c r="H703" t="s">
        <v>51</v>
      </c>
      <c r="I703">
        <v>3</v>
      </c>
      <c r="J703" s="4">
        <v>18251.8</v>
      </c>
      <c r="K703" s="5">
        <v>0.1</v>
      </c>
      <c r="L703" s="4">
        <v>11666.57</v>
      </c>
      <c r="M703" t="s">
        <v>42</v>
      </c>
      <c r="N703" t="s">
        <v>43</v>
      </c>
      <c r="O703">
        <f>IF(TablaVentas[[#This Row],[Precio_unitario]]="","PENDIENTE",TablaVentas[[#This Row],[Unidades]]*TablaVentas[[#This Row],[Precio_unitario]]*(1-TablaVentas[[#This Row],[Descuento_pct]]))</f>
        <v>49279.859999999993</v>
      </c>
      <c r="P703">
        <f>IF(TablaVentas[[#This Row],[Costo_unitario]]="","PENDIENTE",TablaVentas[[#This Row],[Unidades]]*TablaVentas[[#This Row],[Costo_unitario]])</f>
        <v>34999.71</v>
      </c>
      <c r="Q703">
        <f>IF(OR(TablaVentas[[#This Row],[Ingreso_neto]]="PENDIENTE",TablaVentas[[#This Row],[Costo_total]]="PENDIENTE"),"PENDIENTE",TablaVentas[[#This Row],[Ingreso_neto]]-TablaVentas[[#This Row],[Costo_total]])</f>
        <v>14280.149999999994</v>
      </c>
    </row>
    <row r="704" spans="1:17">
      <c r="A704" t="s">
        <v>628</v>
      </c>
      <c r="B704">
        <v>1</v>
      </c>
      <c r="C704" s="3">
        <v>46145</v>
      </c>
      <c r="D704" t="s">
        <v>205</v>
      </c>
      <c r="E704" t="s">
        <v>159</v>
      </c>
      <c r="F704" t="s">
        <v>56</v>
      </c>
      <c r="G704" t="s">
        <v>57</v>
      </c>
      <c r="H704" t="s">
        <v>41</v>
      </c>
      <c r="I704">
        <v>1</v>
      </c>
      <c r="J704" s="4">
        <v>13052.66</v>
      </c>
      <c r="K704" s="5">
        <v>0.2</v>
      </c>
      <c r="L704" s="4">
        <v>9317.3700000000008</v>
      </c>
      <c r="M704" t="s">
        <v>42</v>
      </c>
      <c r="N704" t="s">
        <v>52</v>
      </c>
      <c r="O704">
        <f>IF(TablaVentas[[#This Row],[Precio_unitario]]="","PENDIENTE",TablaVentas[[#This Row],[Unidades]]*TablaVentas[[#This Row],[Precio_unitario]]*(1-TablaVentas[[#This Row],[Descuento_pct]]))</f>
        <v>10442.128000000001</v>
      </c>
      <c r="P704">
        <f>IF(TablaVentas[[#This Row],[Costo_unitario]]="","PENDIENTE",TablaVentas[[#This Row],[Unidades]]*TablaVentas[[#This Row],[Costo_unitario]])</f>
        <v>9317.3700000000008</v>
      </c>
      <c r="Q704">
        <f>IF(OR(TablaVentas[[#This Row],[Ingreso_neto]]="PENDIENTE",TablaVentas[[#This Row],[Costo_total]]="PENDIENTE"),"PENDIENTE",TablaVentas[[#This Row],[Ingreso_neto]]-TablaVentas[[#This Row],[Costo_total]])</f>
        <v>1124.7579999999998</v>
      </c>
    </row>
    <row r="705" spans="1:17">
      <c r="A705" t="s">
        <v>628</v>
      </c>
      <c r="B705">
        <v>2</v>
      </c>
      <c r="C705" s="3">
        <v>46145</v>
      </c>
      <c r="D705" t="s">
        <v>205</v>
      </c>
      <c r="E705" t="s">
        <v>271</v>
      </c>
      <c r="F705" t="s">
        <v>56</v>
      </c>
      <c r="G705" t="s">
        <v>57</v>
      </c>
      <c r="H705" t="s">
        <v>41</v>
      </c>
      <c r="I705">
        <v>2</v>
      </c>
      <c r="J705" s="4">
        <v>1029.94</v>
      </c>
      <c r="K705" s="5">
        <v>0.2</v>
      </c>
      <c r="L705" s="4">
        <v>759.03</v>
      </c>
      <c r="M705" t="s">
        <v>42</v>
      </c>
      <c r="N705" t="s">
        <v>43</v>
      </c>
      <c r="O705">
        <f>IF(TablaVentas[[#This Row],[Precio_unitario]]="","PENDIENTE",TablaVentas[[#This Row],[Unidades]]*TablaVentas[[#This Row],[Precio_unitario]]*(1-TablaVentas[[#This Row],[Descuento_pct]]))</f>
        <v>1647.9040000000002</v>
      </c>
      <c r="P705">
        <f>IF(TablaVentas[[#This Row],[Costo_unitario]]="","PENDIENTE",TablaVentas[[#This Row],[Unidades]]*TablaVentas[[#This Row],[Costo_unitario]])</f>
        <v>1518.06</v>
      </c>
      <c r="Q705">
        <f>IF(OR(TablaVentas[[#This Row],[Ingreso_neto]]="PENDIENTE",TablaVentas[[#This Row],[Costo_total]]="PENDIENTE"),"PENDIENTE",TablaVentas[[#This Row],[Ingreso_neto]]-TablaVentas[[#This Row],[Costo_total]])</f>
        <v>129.84400000000028</v>
      </c>
    </row>
    <row r="706" spans="1:17">
      <c r="A706" t="s">
        <v>628</v>
      </c>
      <c r="B706">
        <v>3</v>
      </c>
      <c r="C706" s="3">
        <v>46145</v>
      </c>
      <c r="D706" t="s">
        <v>205</v>
      </c>
      <c r="E706" t="s">
        <v>206</v>
      </c>
      <c r="F706" t="s">
        <v>56</v>
      </c>
      <c r="G706" t="s">
        <v>57</v>
      </c>
      <c r="H706" t="s">
        <v>41</v>
      </c>
      <c r="I706">
        <v>2</v>
      </c>
      <c r="J706" s="4">
        <v>5886.88</v>
      </c>
      <c r="K706" s="5">
        <v>0.2</v>
      </c>
      <c r="L706" s="4">
        <v>4008.77</v>
      </c>
      <c r="M706" t="s">
        <v>42</v>
      </c>
      <c r="N706" t="s">
        <v>45</v>
      </c>
      <c r="O706">
        <f>IF(TablaVentas[[#This Row],[Precio_unitario]]="","PENDIENTE",TablaVentas[[#This Row],[Unidades]]*TablaVentas[[#This Row],[Precio_unitario]]*(1-TablaVentas[[#This Row],[Descuento_pct]]))</f>
        <v>9419.0079999999998</v>
      </c>
      <c r="P706">
        <f>IF(TablaVentas[[#This Row],[Costo_unitario]]="","PENDIENTE",TablaVentas[[#This Row],[Unidades]]*TablaVentas[[#This Row],[Costo_unitario]])</f>
        <v>8017.54</v>
      </c>
      <c r="Q706">
        <f>IF(OR(TablaVentas[[#This Row],[Ingreso_neto]]="PENDIENTE",TablaVentas[[#This Row],[Costo_total]]="PENDIENTE"),"PENDIENTE",TablaVentas[[#This Row],[Ingreso_neto]]-TablaVentas[[#This Row],[Costo_total]])</f>
        <v>1401.4679999999998</v>
      </c>
    </row>
    <row r="707" spans="1:17">
      <c r="A707" t="s">
        <v>629</v>
      </c>
      <c r="B707">
        <v>1</v>
      </c>
      <c r="C707" s="3">
        <v>46114</v>
      </c>
      <c r="D707" t="s">
        <v>630</v>
      </c>
      <c r="E707" t="s">
        <v>262</v>
      </c>
      <c r="F707" t="s">
        <v>39</v>
      </c>
      <c r="G707" t="s">
        <v>57</v>
      </c>
      <c r="H707" t="s">
        <v>41</v>
      </c>
      <c r="I707">
        <v>5</v>
      </c>
      <c r="J707" s="4">
        <v>13174.32</v>
      </c>
      <c r="K707" s="5">
        <v>0.2</v>
      </c>
      <c r="L707" s="4">
        <v>8227.4599999999991</v>
      </c>
      <c r="M707" t="s">
        <v>42</v>
      </c>
      <c r="N707" t="s">
        <v>60</v>
      </c>
      <c r="O707">
        <f>IF(TablaVentas[[#This Row],[Precio_unitario]]="","PENDIENTE",TablaVentas[[#This Row],[Unidades]]*TablaVentas[[#This Row],[Precio_unitario]]*(1-TablaVentas[[#This Row],[Descuento_pct]]))</f>
        <v>52697.280000000006</v>
      </c>
      <c r="P707">
        <f>IF(TablaVentas[[#This Row],[Costo_unitario]]="","PENDIENTE",TablaVentas[[#This Row],[Unidades]]*TablaVentas[[#This Row],[Costo_unitario]])</f>
        <v>41137.299999999996</v>
      </c>
      <c r="Q707">
        <f>IF(OR(TablaVentas[[#This Row],[Ingreso_neto]]="PENDIENTE",TablaVentas[[#This Row],[Costo_total]]="PENDIENTE"),"PENDIENTE",TablaVentas[[#This Row],[Ingreso_neto]]-TablaVentas[[#This Row],[Costo_total]])</f>
        <v>11559.98000000001</v>
      </c>
    </row>
    <row r="708" spans="1:17">
      <c r="A708" t="s">
        <v>631</v>
      </c>
      <c r="B708">
        <v>1</v>
      </c>
      <c r="C708" s="3">
        <v>46259</v>
      </c>
      <c r="D708" t="s">
        <v>394</v>
      </c>
      <c r="E708" t="s">
        <v>410</v>
      </c>
      <c r="F708" t="s">
        <v>77</v>
      </c>
      <c r="G708" t="s">
        <v>57</v>
      </c>
      <c r="H708" t="s">
        <v>51</v>
      </c>
      <c r="I708">
        <v>1</v>
      </c>
      <c r="J708" s="4">
        <v>8352.65</v>
      </c>
      <c r="K708" s="5">
        <v>0.2</v>
      </c>
      <c r="L708" s="4">
        <v>5874.17</v>
      </c>
      <c r="M708" t="s">
        <v>42</v>
      </c>
      <c r="N708" t="s">
        <v>60</v>
      </c>
      <c r="O708">
        <f>IF(TablaVentas[[#This Row],[Precio_unitario]]="","PENDIENTE",TablaVentas[[#This Row],[Unidades]]*TablaVentas[[#This Row],[Precio_unitario]]*(1-TablaVentas[[#This Row],[Descuento_pct]]))</f>
        <v>6682.12</v>
      </c>
      <c r="P708">
        <f>IF(TablaVentas[[#This Row],[Costo_unitario]]="","PENDIENTE",TablaVentas[[#This Row],[Unidades]]*TablaVentas[[#This Row],[Costo_unitario]])</f>
        <v>5874.17</v>
      </c>
      <c r="Q708">
        <f>IF(OR(TablaVentas[[#This Row],[Ingreso_neto]]="PENDIENTE",TablaVentas[[#This Row],[Costo_total]]="PENDIENTE"),"PENDIENTE",TablaVentas[[#This Row],[Ingreso_neto]]-TablaVentas[[#This Row],[Costo_total]])</f>
        <v>807.94999999999982</v>
      </c>
    </row>
    <row r="709" spans="1:17">
      <c r="A709" t="s">
        <v>631</v>
      </c>
      <c r="B709">
        <v>2</v>
      </c>
      <c r="C709" s="3">
        <v>46259</v>
      </c>
      <c r="D709" t="s">
        <v>394</v>
      </c>
      <c r="E709" t="s">
        <v>44</v>
      </c>
      <c r="F709" t="s">
        <v>77</v>
      </c>
      <c r="G709" t="s">
        <v>57</v>
      </c>
      <c r="H709" t="s">
        <v>51</v>
      </c>
      <c r="I709">
        <v>5</v>
      </c>
      <c r="J709" s="4">
        <v>13718.19</v>
      </c>
      <c r="K709" s="5">
        <v>0</v>
      </c>
      <c r="L709" s="4">
        <v>8980.68</v>
      </c>
      <c r="M709" t="s">
        <v>42</v>
      </c>
      <c r="N709" t="s">
        <v>43</v>
      </c>
      <c r="O709">
        <f>IF(TablaVentas[[#This Row],[Precio_unitario]]="","PENDIENTE",TablaVentas[[#This Row],[Unidades]]*TablaVentas[[#This Row],[Precio_unitario]]*(1-TablaVentas[[#This Row],[Descuento_pct]]))</f>
        <v>68590.95</v>
      </c>
      <c r="P709">
        <f>IF(TablaVentas[[#This Row],[Costo_unitario]]="","PENDIENTE",TablaVentas[[#This Row],[Unidades]]*TablaVentas[[#This Row],[Costo_unitario]])</f>
        <v>44903.4</v>
      </c>
      <c r="Q709">
        <f>IF(OR(TablaVentas[[#This Row],[Ingreso_neto]]="PENDIENTE",TablaVentas[[#This Row],[Costo_total]]="PENDIENTE"),"PENDIENTE",TablaVentas[[#This Row],[Ingreso_neto]]-TablaVentas[[#This Row],[Costo_total]])</f>
        <v>23687.549999999996</v>
      </c>
    </row>
    <row r="710" spans="1:17">
      <c r="A710" t="s">
        <v>631</v>
      </c>
      <c r="B710">
        <v>3</v>
      </c>
      <c r="C710" s="3">
        <v>46259</v>
      </c>
      <c r="D710" t="s">
        <v>394</v>
      </c>
      <c r="E710" t="s">
        <v>353</v>
      </c>
      <c r="F710" t="s">
        <v>77</v>
      </c>
      <c r="G710" t="s">
        <v>57</v>
      </c>
      <c r="H710" t="s">
        <v>51</v>
      </c>
      <c r="I710">
        <v>2</v>
      </c>
      <c r="J710" s="4">
        <v>2208.86</v>
      </c>
      <c r="K710" s="5">
        <v>0</v>
      </c>
      <c r="L710" s="4">
        <v>1479.71</v>
      </c>
      <c r="M710" t="s">
        <v>42</v>
      </c>
      <c r="N710" t="s">
        <v>45</v>
      </c>
      <c r="O710">
        <f>IF(TablaVentas[[#This Row],[Precio_unitario]]="","PENDIENTE",TablaVentas[[#This Row],[Unidades]]*TablaVentas[[#This Row],[Precio_unitario]]*(1-TablaVentas[[#This Row],[Descuento_pct]]))</f>
        <v>4417.72</v>
      </c>
      <c r="P710">
        <f>IF(TablaVentas[[#This Row],[Costo_unitario]]="","PENDIENTE",TablaVentas[[#This Row],[Unidades]]*TablaVentas[[#This Row],[Costo_unitario]])</f>
        <v>2959.42</v>
      </c>
      <c r="Q710">
        <f>IF(OR(TablaVentas[[#This Row],[Ingreso_neto]]="PENDIENTE",TablaVentas[[#This Row],[Costo_total]]="PENDIENTE"),"PENDIENTE",TablaVentas[[#This Row],[Ingreso_neto]]-TablaVentas[[#This Row],[Costo_total]])</f>
        <v>1458.3000000000002</v>
      </c>
    </row>
    <row r="711" spans="1:17">
      <c r="A711" t="s">
        <v>631</v>
      </c>
      <c r="B711">
        <v>4</v>
      </c>
      <c r="C711" s="3">
        <v>46259</v>
      </c>
      <c r="D711" t="s">
        <v>394</v>
      </c>
      <c r="E711" t="s">
        <v>175</v>
      </c>
      <c r="F711" t="s">
        <v>77</v>
      </c>
      <c r="G711" t="s">
        <v>57</v>
      </c>
      <c r="H711" t="s">
        <v>51</v>
      </c>
      <c r="I711">
        <v>4</v>
      </c>
      <c r="J711" s="4">
        <v>2863.09</v>
      </c>
      <c r="K711" s="5">
        <v>0.2</v>
      </c>
      <c r="L711" s="4">
        <v>1857.39</v>
      </c>
      <c r="M711" t="s">
        <v>42</v>
      </c>
      <c r="N711" t="s">
        <v>52</v>
      </c>
      <c r="O711">
        <f>IF(TablaVentas[[#This Row],[Precio_unitario]]="","PENDIENTE",TablaVentas[[#This Row],[Unidades]]*TablaVentas[[#This Row],[Precio_unitario]]*(1-TablaVentas[[#This Row],[Descuento_pct]]))</f>
        <v>9161.8880000000008</v>
      </c>
      <c r="P711">
        <f>IF(TablaVentas[[#This Row],[Costo_unitario]]="","PENDIENTE",TablaVentas[[#This Row],[Unidades]]*TablaVentas[[#This Row],[Costo_unitario]])</f>
        <v>7429.56</v>
      </c>
      <c r="Q711">
        <f>IF(OR(TablaVentas[[#This Row],[Ingreso_neto]]="PENDIENTE",TablaVentas[[#This Row],[Costo_total]]="PENDIENTE"),"PENDIENTE",TablaVentas[[#This Row],[Ingreso_neto]]-TablaVentas[[#This Row],[Costo_total]])</f>
        <v>1732.3280000000004</v>
      </c>
    </row>
    <row r="712" spans="1:17">
      <c r="A712" t="s">
        <v>632</v>
      </c>
      <c r="B712">
        <v>1</v>
      </c>
      <c r="C712" s="3">
        <v>46288</v>
      </c>
      <c r="D712" t="s">
        <v>633</v>
      </c>
      <c r="E712" t="s">
        <v>226</v>
      </c>
      <c r="F712" t="s">
        <v>66</v>
      </c>
      <c r="G712" t="s">
        <v>50</v>
      </c>
      <c r="H712" t="s">
        <v>124</v>
      </c>
      <c r="I712">
        <v>12</v>
      </c>
      <c r="J712" s="4">
        <v>16509.560000000001</v>
      </c>
      <c r="K712" s="5">
        <v>0.05</v>
      </c>
      <c r="L712" s="4">
        <v>9976.68</v>
      </c>
      <c r="M712" t="s">
        <v>42</v>
      </c>
      <c r="N712" t="s">
        <v>60</v>
      </c>
      <c r="O712">
        <f>IF(TablaVentas[[#This Row],[Precio_unitario]]="","PENDIENTE",TablaVentas[[#This Row],[Unidades]]*TablaVentas[[#This Row],[Precio_unitario]]*(1-TablaVentas[[#This Row],[Descuento_pct]]))</f>
        <v>188208.98400000003</v>
      </c>
      <c r="P712">
        <f>IF(TablaVentas[[#This Row],[Costo_unitario]]="","PENDIENTE",TablaVentas[[#This Row],[Unidades]]*TablaVentas[[#This Row],[Costo_unitario]])</f>
        <v>119720.16</v>
      </c>
      <c r="Q712">
        <f>IF(OR(TablaVentas[[#This Row],[Ingreso_neto]]="PENDIENTE",TablaVentas[[#This Row],[Costo_total]]="PENDIENTE"),"PENDIENTE",TablaVentas[[#This Row],[Ingreso_neto]]-TablaVentas[[#This Row],[Costo_total]])</f>
        <v>68488.824000000022</v>
      </c>
    </row>
    <row r="713" spans="1:17">
      <c r="A713" t="s">
        <v>632</v>
      </c>
      <c r="B713">
        <v>2</v>
      </c>
      <c r="C713" s="3">
        <v>46288</v>
      </c>
      <c r="D713" t="s">
        <v>633</v>
      </c>
      <c r="E713" t="s">
        <v>326</v>
      </c>
      <c r="F713" t="s">
        <v>66</v>
      </c>
      <c r="G713" t="s">
        <v>50</v>
      </c>
      <c r="H713" t="s">
        <v>124</v>
      </c>
      <c r="I713">
        <v>1</v>
      </c>
      <c r="J713" s="4">
        <v>7542.67</v>
      </c>
      <c r="K713" s="5">
        <v>0</v>
      </c>
      <c r="L713" s="4">
        <v>4044.16</v>
      </c>
      <c r="M713" t="s">
        <v>42</v>
      </c>
      <c r="N713" t="s">
        <v>45</v>
      </c>
      <c r="O713">
        <f>IF(TablaVentas[[#This Row],[Precio_unitario]]="","PENDIENTE",TablaVentas[[#This Row],[Unidades]]*TablaVentas[[#This Row],[Precio_unitario]]*(1-TablaVentas[[#This Row],[Descuento_pct]]))</f>
        <v>7542.67</v>
      </c>
      <c r="P713">
        <f>IF(TablaVentas[[#This Row],[Costo_unitario]]="","PENDIENTE",TablaVentas[[#This Row],[Unidades]]*TablaVentas[[#This Row],[Costo_unitario]])</f>
        <v>4044.16</v>
      </c>
      <c r="Q713">
        <f>IF(OR(TablaVentas[[#This Row],[Ingreso_neto]]="PENDIENTE",TablaVentas[[#This Row],[Costo_total]]="PENDIENTE"),"PENDIENTE",TablaVentas[[#This Row],[Ingreso_neto]]-TablaVentas[[#This Row],[Costo_total]])</f>
        <v>3498.51</v>
      </c>
    </row>
    <row r="714" spans="1:17">
      <c r="A714" t="s">
        <v>632</v>
      </c>
      <c r="B714">
        <v>3</v>
      </c>
      <c r="C714" s="3">
        <v>46288</v>
      </c>
      <c r="D714" t="s">
        <v>633</v>
      </c>
      <c r="E714" t="s">
        <v>61</v>
      </c>
      <c r="F714" t="s">
        <v>66</v>
      </c>
      <c r="G714" t="s">
        <v>50</v>
      </c>
      <c r="H714" t="s">
        <v>124</v>
      </c>
      <c r="I714">
        <v>4</v>
      </c>
      <c r="J714" s="4">
        <v>4867.3500000000004</v>
      </c>
      <c r="K714" s="5">
        <v>0.1</v>
      </c>
      <c r="L714" s="4">
        <v>2554.06</v>
      </c>
      <c r="M714" t="s">
        <v>42</v>
      </c>
      <c r="N714" t="s">
        <v>43</v>
      </c>
      <c r="O714">
        <f>IF(TablaVentas[[#This Row],[Precio_unitario]]="","PENDIENTE",TablaVentas[[#This Row],[Unidades]]*TablaVentas[[#This Row],[Precio_unitario]]*(1-TablaVentas[[#This Row],[Descuento_pct]]))</f>
        <v>17522.460000000003</v>
      </c>
      <c r="P714">
        <f>IF(TablaVentas[[#This Row],[Costo_unitario]]="","PENDIENTE",TablaVentas[[#This Row],[Unidades]]*TablaVentas[[#This Row],[Costo_unitario]])</f>
        <v>10216.24</v>
      </c>
      <c r="Q714">
        <f>IF(OR(TablaVentas[[#This Row],[Ingreso_neto]]="PENDIENTE",TablaVentas[[#This Row],[Costo_total]]="PENDIENTE"),"PENDIENTE",TablaVentas[[#This Row],[Ingreso_neto]]-TablaVentas[[#This Row],[Costo_total]])</f>
        <v>7306.220000000003</v>
      </c>
    </row>
    <row r="715" spans="1:17">
      <c r="A715" t="s">
        <v>632</v>
      </c>
      <c r="B715">
        <v>4</v>
      </c>
      <c r="C715" s="3">
        <v>46288</v>
      </c>
      <c r="D715" t="s">
        <v>633</v>
      </c>
      <c r="E715" t="s">
        <v>115</v>
      </c>
      <c r="F715" t="s">
        <v>66</v>
      </c>
      <c r="G715" t="s">
        <v>50</v>
      </c>
      <c r="H715" t="s">
        <v>124</v>
      </c>
      <c r="I715">
        <v>2</v>
      </c>
      <c r="J715" s="4">
        <v>1281.54</v>
      </c>
      <c r="K715" s="5">
        <v>0.15</v>
      </c>
      <c r="L715" s="4">
        <v>705.87</v>
      </c>
      <c r="M715" t="s">
        <v>42</v>
      </c>
      <c r="N715" t="s">
        <v>45</v>
      </c>
      <c r="O715">
        <f>IF(TablaVentas[[#This Row],[Precio_unitario]]="","PENDIENTE",TablaVentas[[#This Row],[Unidades]]*TablaVentas[[#This Row],[Precio_unitario]]*(1-TablaVentas[[#This Row],[Descuento_pct]]))</f>
        <v>2178.6179999999999</v>
      </c>
      <c r="P715">
        <f>IF(TablaVentas[[#This Row],[Costo_unitario]]="","PENDIENTE",TablaVentas[[#This Row],[Unidades]]*TablaVentas[[#This Row],[Costo_unitario]])</f>
        <v>1411.74</v>
      </c>
      <c r="Q715">
        <f>IF(OR(TablaVentas[[#This Row],[Ingreso_neto]]="PENDIENTE",TablaVentas[[#This Row],[Costo_total]]="PENDIENTE"),"PENDIENTE",TablaVentas[[#This Row],[Ingreso_neto]]-TablaVentas[[#This Row],[Costo_total]])</f>
        <v>766.87799999999993</v>
      </c>
    </row>
    <row r="716" spans="1:17">
      <c r="A716" t="s">
        <v>634</v>
      </c>
      <c r="B716">
        <v>1</v>
      </c>
      <c r="C716" s="3">
        <v>46139</v>
      </c>
      <c r="D716" t="s">
        <v>635</v>
      </c>
      <c r="E716" t="s">
        <v>109</v>
      </c>
      <c r="F716" t="s">
        <v>66</v>
      </c>
      <c r="G716" t="s">
        <v>50</v>
      </c>
      <c r="H716" t="s">
        <v>73</v>
      </c>
      <c r="I716">
        <v>3</v>
      </c>
      <c r="J716" s="4">
        <v>15622</v>
      </c>
      <c r="K716" s="5">
        <v>0</v>
      </c>
      <c r="L716" s="4">
        <v>9880.77</v>
      </c>
      <c r="M716" t="s">
        <v>42</v>
      </c>
      <c r="N716" t="s">
        <v>43</v>
      </c>
      <c r="O716">
        <f>IF(TablaVentas[[#This Row],[Precio_unitario]]="","PENDIENTE",TablaVentas[[#This Row],[Unidades]]*TablaVentas[[#This Row],[Precio_unitario]]*(1-TablaVentas[[#This Row],[Descuento_pct]]))</f>
        <v>46866</v>
      </c>
      <c r="P716">
        <f>IF(TablaVentas[[#This Row],[Costo_unitario]]="","PENDIENTE",TablaVentas[[#This Row],[Unidades]]*TablaVentas[[#This Row],[Costo_unitario]])</f>
        <v>29642.31</v>
      </c>
      <c r="Q716">
        <f>IF(OR(TablaVentas[[#This Row],[Ingreso_neto]]="PENDIENTE",TablaVentas[[#This Row],[Costo_total]]="PENDIENTE"),"PENDIENTE",TablaVentas[[#This Row],[Ingreso_neto]]-TablaVentas[[#This Row],[Costo_total]])</f>
        <v>17223.689999999999</v>
      </c>
    </row>
    <row r="717" spans="1:17">
      <c r="A717" t="s">
        <v>634</v>
      </c>
      <c r="B717">
        <v>2</v>
      </c>
      <c r="C717" s="3">
        <v>46139</v>
      </c>
      <c r="D717" t="s">
        <v>635</v>
      </c>
      <c r="E717" t="s">
        <v>144</v>
      </c>
      <c r="F717" t="s">
        <v>66</v>
      </c>
      <c r="G717" t="s">
        <v>50</v>
      </c>
      <c r="H717" t="s">
        <v>73</v>
      </c>
      <c r="I717">
        <v>1</v>
      </c>
      <c r="J717" s="4">
        <v>9666.99</v>
      </c>
      <c r="K717" s="5">
        <v>0.1</v>
      </c>
      <c r="L717" s="4">
        <v>5125.3599999999997</v>
      </c>
      <c r="M717" t="s">
        <v>42</v>
      </c>
      <c r="N717" t="s">
        <v>52</v>
      </c>
      <c r="O717">
        <f>IF(TablaVentas[[#This Row],[Precio_unitario]]="","PENDIENTE",TablaVentas[[#This Row],[Unidades]]*TablaVentas[[#This Row],[Precio_unitario]]*(1-TablaVentas[[#This Row],[Descuento_pct]]))</f>
        <v>8700.2909999999993</v>
      </c>
      <c r="P717">
        <f>IF(TablaVentas[[#This Row],[Costo_unitario]]="","PENDIENTE",TablaVentas[[#This Row],[Unidades]]*TablaVentas[[#This Row],[Costo_unitario]])</f>
        <v>5125.3599999999997</v>
      </c>
      <c r="Q717">
        <f>IF(OR(TablaVentas[[#This Row],[Ingreso_neto]]="PENDIENTE",TablaVentas[[#This Row],[Costo_total]]="PENDIENTE"),"PENDIENTE",TablaVentas[[#This Row],[Ingreso_neto]]-TablaVentas[[#This Row],[Costo_total]])</f>
        <v>3574.9309999999996</v>
      </c>
    </row>
    <row r="718" spans="1:17">
      <c r="A718" t="s">
        <v>634</v>
      </c>
      <c r="B718">
        <v>3</v>
      </c>
      <c r="C718" s="3">
        <v>46139</v>
      </c>
      <c r="D718" t="s">
        <v>635</v>
      </c>
      <c r="E718" t="s">
        <v>321</v>
      </c>
      <c r="F718" t="s">
        <v>66</v>
      </c>
      <c r="G718" t="s">
        <v>50</v>
      </c>
      <c r="H718" t="s">
        <v>73</v>
      </c>
      <c r="I718">
        <v>2</v>
      </c>
      <c r="J718" s="4">
        <v>1266.18</v>
      </c>
      <c r="K718" s="5">
        <v>0.2</v>
      </c>
      <c r="L718" s="4">
        <v>679.37</v>
      </c>
      <c r="M718" t="s">
        <v>42</v>
      </c>
      <c r="N718" t="s">
        <v>60</v>
      </c>
      <c r="O718">
        <f>IF(TablaVentas[[#This Row],[Precio_unitario]]="","PENDIENTE",TablaVentas[[#This Row],[Unidades]]*TablaVentas[[#This Row],[Precio_unitario]]*(1-TablaVentas[[#This Row],[Descuento_pct]]))</f>
        <v>2025.8880000000001</v>
      </c>
      <c r="P718">
        <f>IF(TablaVentas[[#This Row],[Costo_unitario]]="","PENDIENTE",TablaVentas[[#This Row],[Unidades]]*TablaVentas[[#This Row],[Costo_unitario]])</f>
        <v>1358.74</v>
      </c>
      <c r="Q718">
        <f>IF(OR(TablaVentas[[#This Row],[Ingreso_neto]]="PENDIENTE",TablaVentas[[#This Row],[Costo_total]]="PENDIENTE"),"PENDIENTE",TablaVentas[[#This Row],[Ingreso_neto]]-TablaVentas[[#This Row],[Costo_total]])</f>
        <v>667.14800000000014</v>
      </c>
    </row>
    <row r="719" spans="1:17">
      <c r="A719" t="s">
        <v>636</v>
      </c>
      <c r="B719">
        <v>1</v>
      </c>
      <c r="C719" s="3">
        <v>46064</v>
      </c>
      <c r="D719" t="s">
        <v>75</v>
      </c>
      <c r="E719" t="s">
        <v>125</v>
      </c>
      <c r="F719" t="s">
        <v>66</v>
      </c>
      <c r="G719" t="s">
        <v>40</v>
      </c>
      <c r="H719" t="s">
        <v>129</v>
      </c>
      <c r="I719">
        <v>1</v>
      </c>
      <c r="J719" s="4">
        <v>1667.46</v>
      </c>
      <c r="K719" s="5">
        <v>0</v>
      </c>
      <c r="L719" s="4">
        <v>1044.32</v>
      </c>
      <c r="M719" t="s">
        <v>42</v>
      </c>
      <c r="N719" t="s">
        <v>45</v>
      </c>
      <c r="O719">
        <f>IF(TablaVentas[[#This Row],[Precio_unitario]]="","PENDIENTE",TablaVentas[[#This Row],[Unidades]]*TablaVentas[[#This Row],[Precio_unitario]]*(1-TablaVentas[[#This Row],[Descuento_pct]]))</f>
        <v>1667.46</v>
      </c>
      <c r="P719">
        <f>IF(TablaVentas[[#This Row],[Costo_unitario]]="","PENDIENTE",TablaVentas[[#This Row],[Unidades]]*TablaVentas[[#This Row],[Costo_unitario]])</f>
        <v>1044.32</v>
      </c>
      <c r="Q719">
        <f>IF(OR(TablaVentas[[#This Row],[Ingreso_neto]]="PENDIENTE",TablaVentas[[#This Row],[Costo_total]]="PENDIENTE"),"PENDIENTE",TablaVentas[[#This Row],[Ingreso_neto]]-TablaVentas[[#This Row],[Costo_total]])</f>
        <v>623.1400000000001</v>
      </c>
    </row>
    <row r="720" spans="1:17">
      <c r="A720" t="s">
        <v>636</v>
      </c>
      <c r="B720">
        <v>2</v>
      </c>
      <c r="C720" s="3">
        <v>46064</v>
      </c>
      <c r="D720" t="s">
        <v>75</v>
      </c>
      <c r="E720" t="s">
        <v>90</v>
      </c>
      <c r="F720" t="s">
        <v>66</v>
      </c>
      <c r="G720" t="s">
        <v>40</v>
      </c>
      <c r="H720" t="s">
        <v>129</v>
      </c>
      <c r="I720">
        <v>1</v>
      </c>
      <c r="J720" s="4">
        <v>10778.55</v>
      </c>
      <c r="K720" s="5">
        <v>0</v>
      </c>
      <c r="L720" s="4">
        <v>8174.87</v>
      </c>
      <c r="M720" t="s">
        <v>42</v>
      </c>
      <c r="N720" t="s">
        <v>60</v>
      </c>
      <c r="O720">
        <f>IF(TablaVentas[[#This Row],[Precio_unitario]]="","PENDIENTE",TablaVentas[[#This Row],[Unidades]]*TablaVentas[[#This Row],[Precio_unitario]]*(1-TablaVentas[[#This Row],[Descuento_pct]]))</f>
        <v>10778.55</v>
      </c>
      <c r="P720">
        <f>IF(TablaVentas[[#This Row],[Costo_unitario]]="","PENDIENTE",TablaVentas[[#This Row],[Unidades]]*TablaVentas[[#This Row],[Costo_unitario]])</f>
        <v>8174.87</v>
      </c>
      <c r="Q720">
        <f>IF(OR(TablaVentas[[#This Row],[Ingreso_neto]]="PENDIENTE",TablaVentas[[#This Row],[Costo_total]]="PENDIENTE"),"PENDIENTE",TablaVentas[[#This Row],[Ingreso_neto]]-TablaVentas[[#This Row],[Costo_total]])</f>
        <v>2603.6799999999994</v>
      </c>
    </row>
    <row r="721" spans="1:17">
      <c r="A721" t="s">
        <v>637</v>
      </c>
      <c r="B721">
        <v>1</v>
      </c>
      <c r="C721" s="3">
        <v>46236</v>
      </c>
      <c r="D721" t="s">
        <v>369</v>
      </c>
      <c r="E721" t="s">
        <v>175</v>
      </c>
      <c r="F721" t="s">
        <v>56</v>
      </c>
      <c r="G721" t="s">
        <v>57</v>
      </c>
      <c r="H721" t="s">
        <v>184</v>
      </c>
      <c r="I721">
        <v>1</v>
      </c>
      <c r="J721" s="4">
        <v>2502.91</v>
      </c>
      <c r="K721" s="5">
        <v>0</v>
      </c>
      <c r="L721" s="4">
        <v>1857.39</v>
      </c>
      <c r="M721" t="s">
        <v>42</v>
      </c>
      <c r="N721" t="s">
        <v>52</v>
      </c>
      <c r="O721">
        <f>IF(TablaVentas[[#This Row],[Precio_unitario]]="","PENDIENTE",TablaVentas[[#This Row],[Unidades]]*TablaVentas[[#This Row],[Precio_unitario]]*(1-TablaVentas[[#This Row],[Descuento_pct]]))</f>
        <v>2502.91</v>
      </c>
      <c r="P721">
        <f>IF(TablaVentas[[#This Row],[Costo_unitario]]="","PENDIENTE",TablaVentas[[#This Row],[Unidades]]*TablaVentas[[#This Row],[Costo_unitario]])</f>
        <v>1857.39</v>
      </c>
      <c r="Q721">
        <f>IF(OR(TablaVentas[[#This Row],[Ingreso_neto]]="PENDIENTE",TablaVentas[[#This Row],[Costo_total]]="PENDIENTE"),"PENDIENTE",TablaVentas[[#This Row],[Ingreso_neto]]-TablaVentas[[#This Row],[Costo_total]])</f>
        <v>645.51999999999975</v>
      </c>
    </row>
    <row r="722" spans="1:17">
      <c r="A722" t="s">
        <v>638</v>
      </c>
      <c r="B722">
        <v>1</v>
      </c>
      <c r="C722" s="3">
        <v>46169</v>
      </c>
      <c r="D722" t="s">
        <v>639</v>
      </c>
      <c r="E722" t="s">
        <v>378</v>
      </c>
      <c r="F722" t="s">
        <v>39</v>
      </c>
      <c r="G722" t="s">
        <v>50</v>
      </c>
      <c r="H722" t="s">
        <v>51</v>
      </c>
      <c r="I722">
        <v>1</v>
      </c>
      <c r="J722" s="4">
        <v>3636.53</v>
      </c>
      <c r="K722" s="5">
        <v>0.1</v>
      </c>
      <c r="L722" s="4">
        <v>2864.64</v>
      </c>
      <c r="M722" t="s">
        <v>42</v>
      </c>
      <c r="N722" t="s">
        <v>45</v>
      </c>
      <c r="O722">
        <f>IF(TablaVentas[[#This Row],[Precio_unitario]]="","PENDIENTE",TablaVentas[[#This Row],[Unidades]]*TablaVentas[[#This Row],[Precio_unitario]]*(1-TablaVentas[[#This Row],[Descuento_pct]]))</f>
        <v>3272.8770000000004</v>
      </c>
      <c r="P722">
        <f>IF(TablaVentas[[#This Row],[Costo_unitario]]="","PENDIENTE",TablaVentas[[#This Row],[Unidades]]*TablaVentas[[#This Row],[Costo_unitario]])</f>
        <v>2864.64</v>
      </c>
      <c r="Q722">
        <f>IF(OR(TablaVentas[[#This Row],[Ingreso_neto]]="PENDIENTE",TablaVentas[[#This Row],[Costo_total]]="PENDIENTE"),"PENDIENTE",TablaVentas[[#This Row],[Ingreso_neto]]-TablaVentas[[#This Row],[Costo_total]])</f>
        <v>408.23700000000053</v>
      </c>
    </row>
    <row r="723" spans="1:17">
      <c r="A723" t="s">
        <v>638</v>
      </c>
      <c r="B723">
        <v>2</v>
      </c>
      <c r="C723" s="3">
        <v>46169</v>
      </c>
      <c r="D723" t="s">
        <v>639</v>
      </c>
      <c r="E723" t="s">
        <v>160</v>
      </c>
      <c r="F723" t="s">
        <v>39</v>
      </c>
      <c r="G723" t="s">
        <v>50</v>
      </c>
      <c r="H723" t="s">
        <v>51</v>
      </c>
      <c r="I723">
        <v>3</v>
      </c>
      <c r="J723" s="4">
        <v>7311.25</v>
      </c>
      <c r="K723" s="5">
        <v>0</v>
      </c>
      <c r="L723" s="4">
        <v>4082.15</v>
      </c>
      <c r="M723" t="s">
        <v>42</v>
      </c>
      <c r="N723" t="s">
        <v>43</v>
      </c>
      <c r="O723">
        <f>IF(TablaVentas[[#This Row],[Precio_unitario]]="","PENDIENTE",TablaVentas[[#This Row],[Unidades]]*TablaVentas[[#This Row],[Precio_unitario]]*(1-TablaVentas[[#This Row],[Descuento_pct]]))</f>
        <v>21933.75</v>
      </c>
      <c r="P723">
        <f>IF(TablaVentas[[#This Row],[Costo_unitario]]="","PENDIENTE",TablaVentas[[#This Row],[Unidades]]*TablaVentas[[#This Row],[Costo_unitario]])</f>
        <v>12246.45</v>
      </c>
      <c r="Q723">
        <f>IF(OR(TablaVentas[[#This Row],[Ingreso_neto]]="PENDIENTE",TablaVentas[[#This Row],[Costo_total]]="PENDIENTE"),"PENDIENTE",TablaVentas[[#This Row],[Ingreso_neto]]-TablaVentas[[#This Row],[Costo_total]])</f>
        <v>9687.2999999999993</v>
      </c>
    </row>
    <row r="724" spans="1:17">
      <c r="A724" t="s">
        <v>640</v>
      </c>
      <c r="B724">
        <v>1</v>
      </c>
      <c r="C724" s="3">
        <v>46222</v>
      </c>
      <c r="D724" t="s">
        <v>225</v>
      </c>
      <c r="E724" t="s">
        <v>217</v>
      </c>
      <c r="F724" t="s">
        <v>39</v>
      </c>
      <c r="G724" t="s">
        <v>57</v>
      </c>
      <c r="H724" t="s">
        <v>41</v>
      </c>
      <c r="I724">
        <v>3</v>
      </c>
      <c r="J724" s="4">
        <v>15649.61</v>
      </c>
      <c r="K724" s="5">
        <v>0.05</v>
      </c>
      <c r="L724" s="4">
        <v>14161.63</v>
      </c>
      <c r="M724" t="s">
        <v>42</v>
      </c>
      <c r="N724" t="s">
        <v>52</v>
      </c>
      <c r="O724">
        <f>IF(TablaVentas[[#This Row],[Precio_unitario]]="","PENDIENTE",TablaVentas[[#This Row],[Unidades]]*TablaVentas[[#This Row],[Precio_unitario]]*(1-TablaVentas[[#This Row],[Descuento_pct]]))</f>
        <v>44601.388500000001</v>
      </c>
      <c r="P724">
        <f>IF(TablaVentas[[#This Row],[Costo_unitario]]="","PENDIENTE",TablaVentas[[#This Row],[Unidades]]*TablaVentas[[#This Row],[Costo_unitario]])</f>
        <v>42484.89</v>
      </c>
      <c r="Q724">
        <f>IF(OR(TablaVentas[[#This Row],[Ingreso_neto]]="PENDIENTE",TablaVentas[[#This Row],[Costo_total]]="PENDIENTE"),"PENDIENTE",TablaVentas[[#This Row],[Ingreso_neto]]-TablaVentas[[#This Row],[Costo_total]])</f>
        <v>2116.4985000000015</v>
      </c>
    </row>
    <row r="725" spans="1:17">
      <c r="A725" t="s">
        <v>640</v>
      </c>
      <c r="B725">
        <v>2</v>
      </c>
      <c r="C725" s="3">
        <v>46222</v>
      </c>
      <c r="D725" t="s">
        <v>225</v>
      </c>
      <c r="E725" t="s">
        <v>410</v>
      </c>
      <c r="F725" t="s">
        <v>39</v>
      </c>
      <c r="G725" t="s">
        <v>57</v>
      </c>
      <c r="H725" t="s">
        <v>41</v>
      </c>
      <c r="I725">
        <v>1</v>
      </c>
      <c r="J725" s="4">
        <v>8112.26</v>
      </c>
      <c r="K725" s="5">
        <v>0.1</v>
      </c>
      <c r="L725" s="4">
        <v>5874.17</v>
      </c>
      <c r="M725" t="s">
        <v>42</v>
      </c>
      <c r="N725" t="s">
        <v>45</v>
      </c>
      <c r="O725">
        <f>IF(TablaVentas[[#This Row],[Precio_unitario]]="","PENDIENTE",TablaVentas[[#This Row],[Unidades]]*TablaVentas[[#This Row],[Precio_unitario]]*(1-TablaVentas[[#This Row],[Descuento_pct]]))</f>
        <v>7301.0340000000006</v>
      </c>
      <c r="P725">
        <f>IF(TablaVentas[[#This Row],[Costo_unitario]]="","PENDIENTE",TablaVentas[[#This Row],[Unidades]]*TablaVentas[[#This Row],[Costo_unitario]])</f>
        <v>5874.17</v>
      </c>
      <c r="Q725">
        <f>IF(OR(TablaVentas[[#This Row],[Ingreso_neto]]="PENDIENTE",TablaVentas[[#This Row],[Costo_total]]="PENDIENTE"),"PENDIENTE",TablaVentas[[#This Row],[Ingreso_neto]]-TablaVentas[[#This Row],[Costo_total]])</f>
        <v>1426.8640000000005</v>
      </c>
    </row>
    <row r="726" spans="1:17">
      <c r="A726" t="s">
        <v>641</v>
      </c>
      <c r="B726">
        <v>1</v>
      </c>
      <c r="C726" s="3">
        <v>46081</v>
      </c>
      <c r="D726" t="s">
        <v>380</v>
      </c>
      <c r="E726" t="s">
        <v>89</v>
      </c>
      <c r="F726" t="s">
        <v>56</v>
      </c>
      <c r="G726" t="s">
        <v>50</v>
      </c>
      <c r="H726" t="s">
        <v>58</v>
      </c>
      <c r="I726">
        <v>5</v>
      </c>
      <c r="J726" s="4">
        <v>10984.78</v>
      </c>
      <c r="K726" s="5">
        <v>0</v>
      </c>
      <c r="L726" s="4">
        <v>9118.07</v>
      </c>
      <c r="M726" t="s">
        <v>42</v>
      </c>
      <c r="N726" t="s">
        <v>52</v>
      </c>
      <c r="O726">
        <f>IF(TablaVentas[[#This Row],[Precio_unitario]]="","PENDIENTE",TablaVentas[[#This Row],[Unidades]]*TablaVentas[[#This Row],[Precio_unitario]]*(1-TablaVentas[[#This Row],[Descuento_pct]]))</f>
        <v>54923.9</v>
      </c>
      <c r="P726">
        <f>IF(TablaVentas[[#This Row],[Costo_unitario]]="","PENDIENTE",TablaVentas[[#This Row],[Unidades]]*TablaVentas[[#This Row],[Costo_unitario]])</f>
        <v>45590.35</v>
      </c>
      <c r="Q726">
        <f>IF(OR(TablaVentas[[#This Row],[Ingreso_neto]]="PENDIENTE",TablaVentas[[#This Row],[Costo_total]]="PENDIENTE"),"PENDIENTE",TablaVentas[[#This Row],[Ingreso_neto]]-TablaVentas[[#This Row],[Costo_total]])</f>
        <v>9333.5500000000029</v>
      </c>
    </row>
    <row r="727" spans="1:17">
      <c r="A727" t="s">
        <v>641</v>
      </c>
      <c r="B727">
        <v>2</v>
      </c>
      <c r="C727" s="3">
        <v>46081</v>
      </c>
      <c r="D727" t="s">
        <v>380</v>
      </c>
      <c r="E727" t="s">
        <v>175</v>
      </c>
      <c r="F727" t="s">
        <v>56</v>
      </c>
      <c r="G727" t="s">
        <v>50</v>
      </c>
      <c r="H727" t="s">
        <v>58</v>
      </c>
      <c r="I727">
        <v>1</v>
      </c>
      <c r="J727" s="4">
        <v>2813.65</v>
      </c>
      <c r="K727" s="5">
        <v>0</v>
      </c>
      <c r="L727" s="4">
        <v>1857.39</v>
      </c>
      <c r="M727" t="s">
        <v>62</v>
      </c>
      <c r="N727" t="s">
        <v>43</v>
      </c>
      <c r="O727">
        <f>IF(TablaVentas[[#This Row],[Precio_unitario]]="","PENDIENTE",TablaVentas[[#This Row],[Unidades]]*TablaVentas[[#This Row],[Precio_unitario]]*(1-TablaVentas[[#This Row],[Descuento_pct]]))</f>
        <v>2813.65</v>
      </c>
      <c r="P727">
        <f>IF(TablaVentas[[#This Row],[Costo_unitario]]="","PENDIENTE",TablaVentas[[#This Row],[Unidades]]*TablaVentas[[#This Row],[Costo_unitario]])</f>
        <v>1857.39</v>
      </c>
      <c r="Q727">
        <f>IF(OR(TablaVentas[[#This Row],[Ingreso_neto]]="PENDIENTE",TablaVentas[[#This Row],[Costo_total]]="PENDIENTE"),"PENDIENTE",TablaVentas[[#This Row],[Ingreso_neto]]-TablaVentas[[#This Row],[Costo_total]])</f>
        <v>956.26</v>
      </c>
    </row>
    <row r="728" spans="1:17">
      <c r="A728" t="s">
        <v>641</v>
      </c>
      <c r="B728">
        <v>3</v>
      </c>
      <c r="C728" s="3">
        <v>46081</v>
      </c>
      <c r="D728" t="s">
        <v>380</v>
      </c>
      <c r="E728" t="s">
        <v>226</v>
      </c>
      <c r="F728" t="s">
        <v>56</v>
      </c>
      <c r="G728" t="s">
        <v>50</v>
      </c>
      <c r="H728" t="s">
        <v>58</v>
      </c>
      <c r="I728">
        <v>2</v>
      </c>
      <c r="J728" s="4">
        <v>18392.740000000002</v>
      </c>
      <c r="K728" s="5">
        <v>0.1</v>
      </c>
      <c r="L728" s="4">
        <v>9976.68</v>
      </c>
      <c r="M728" t="s">
        <v>42</v>
      </c>
      <c r="N728" t="s">
        <v>60</v>
      </c>
      <c r="O728">
        <f>IF(TablaVentas[[#This Row],[Precio_unitario]]="","PENDIENTE",TablaVentas[[#This Row],[Unidades]]*TablaVentas[[#This Row],[Precio_unitario]]*(1-TablaVentas[[#This Row],[Descuento_pct]]))</f>
        <v>33106.932000000001</v>
      </c>
      <c r="P728">
        <f>IF(TablaVentas[[#This Row],[Costo_unitario]]="","PENDIENTE",TablaVentas[[#This Row],[Unidades]]*TablaVentas[[#This Row],[Costo_unitario]])</f>
        <v>19953.36</v>
      </c>
      <c r="Q728">
        <f>IF(OR(TablaVentas[[#This Row],[Ingreso_neto]]="PENDIENTE",TablaVentas[[#This Row],[Costo_total]]="PENDIENTE"),"PENDIENTE",TablaVentas[[#This Row],[Ingreso_neto]]-TablaVentas[[#This Row],[Costo_total]])</f>
        <v>13153.572</v>
      </c>
    </row>
    <row r="729" spans="1:17">
      <c r="A729" t="s">
        <v>641</v>
      </c>
      <c r="B729">
        <v>4</v>
      </c>
      <c r="C729" s="3">
        <v>46081</v>
      </c>
      <c r="D729" t="s">
        <v>380</v>
      </c>
      <c r="E729" t="s">
        <v>193</v>
      </c>
      <c r="F729" t="s">
        <v>56</v>
      </c>
      <c r="G729" t="s">
        <v>50</v>
      </c>
      <c r="H729" t="s">
        <v>58</v>
      </c>
      <c r="I729">
        <v>3</v>
      </c>
      <c r="J729" s="4">
        <v>10851.74</v>
      </c>
      <c r="K729" s="5">
        <v>0.15</v>
      </c>
      <c r="L729" s="4">
        <v>5811.72</v>
      </c>
      <c r="M729" t="s">
        <v>42</v>
      </c>
      <c r="N729" t="s">
        <v>52</v>
      </c>
      <c r="O729">
        <f>IF(TablaVentas[[#This Row],[Precio_unitario]]="","PENDIENTE",TablaVentas[[#This Row],[Unidades]]*TablaVentas[[#This Row],[Precio_unitario]]*(1-TablaVentas[[#This Row],[Descuento_pct]]))</f>
        <v>27671.937000000002</v>
      </c>
      <c r="P729">
        <f>IF(TablaVentas[[#This Row],[Costo_unitario]]="","PENDIENTE",TablaVentas[[#This Row],[Unidades]]*TablaVentas[[#This Row],[Costo_unitario]])</f>
        <v>17435.16</v>
      </c>
      <c r="Q729">
        <f>IF(OR(TablaVentas[[#This Row],[Ingreso_neto]]="PENDIENTE",TablaVentas[[#This Row],[Costo_total]]="PENDIENTE"),"PENDIENTE",TablaVentas[[#This Row],[Ingreso_neto]]-TablaVentas[[#This Row],[Costo_total]])</f>
        <v>10236.777000000002</v>
      </c>
    </row>
    <row r="730" spans="1:17">
      <c r="A730" t="s">
        <v>642</v>
      </c>
      <c r="B730">
        <v>1</v>
      </c>
      <c r="C730" s="3">
        <v>46087</v>
      </c>
      <c r="D730" t="s">
        <v>452</v>
      </c>
      <c r="E730" t="s">
        <v>223</v>
      </c>
      <c r="F730" t="s">
        <v>77</v>
      </c>
      <c r="G730" t="s">
        <v>40</v>
      </c>
      <c r="H730" t="s">
        <v>51</v>
      </c>
      <c r="I730">
        <v>8</v>
      </c>
      <c r="J730" s="4">
        <v>6764.88</v>
      </c>
      <c r="K730" s="5">
        <v>0.2</v>
      </c>
      <c r="L730" s="4">
        <v>3298.19</v>
      </c>
      <c r="M730" t="s">
        <v>62</v>
      </c>
      <c r="N730" t="s">
        <v>45</v>
      </c>
      <c r="O730">
        <f>IF(TablaVentas[[#This Row],[Precio_unitario]]="","PENDIENTE",TablaVentas[[#This Row],[Unidades]]*TablaVentas[[#This Row],[Precio_unitario]]*(1-TablaVentas[[#This Row],[Descuento_pct]]))</f>
        <v>43295.232000000004</v>
      </c>
      <c r="P730">
        <f>IF(TablaVentas[[#This Row],[Costo_unitario]]="","PENDIENTE",TablaVentas[[#This Row],[Unidades]]*TablaVentas[[#This Row],[Costo_unitario]])</f>
        <v>26385.52</v>
      </c>
      <c r="Q730">
        <f>IF(OR(TablaVentas[[#This Row],[Ingreso_neto]]="PENDIENTE",TablaVentas[[#This Row],[Costo_total]]="PENDIENTE"),"PENDIENTE",TablaVentas[[#This Row],[Ingreso_neto]]-TablaVentas[[#This Row],[Costo_total]])</f>
        <v>16909.712000000003</v>
      </c>
    </row>
    <row r="731" spans="1:17">
      <c r="A731" t="s">
        <v>643</v>
      </c>
      <c r="B731">
        <v>1</v>
      </c>
      <c r="C731" s="3">
        <v>46151</v>
      </c>
      <c r="D731" t="s">
        <v>644</v>
      </c>
      <c r="E731" t="s">
        <v>160</v>
      </c>
      <c r="F731" t="s">
        <v>66</v>
      </c>
      <c r="G731" t="s">
        <v>40</v>
      </c>
      <c r="H731" t="s">
        <v>82</v>
      </c>
      <c r="I731">
        <v>2</v>
      </c>
      <c r="J731" s="4">
        <v>8174.86</v>
      </c>
      <c r="K731" s="5">
        <v>0.1</v>
      </c>
      <c r="L731" s="4">
        <v>4082.15</v>
      </c>
      <c r="M731" t="s">
        <v>42</v>
      </c>
      <c r="N731" t="s">
        <v>52</v>
      </c>
      <c r="O731">
        <f>IF(TablaVentas[[#This Row],[Precio_unitario]]="","PENDIENTE",TablaVentas[[#This Row],[Unidades]]*TablaVentas[[#This Row],[Precio_unitario]]*(1-TablaVentas[[#This Row],[Descuento_pct]]))</f>
        <v>14714.748</v>
      </c>
      <c r="P731">
        <f>IF(TablaVentas[[#This Row],[Costo_unitario]]="","PENDIENTE",TablaVentas[[#This Row],[Unidades]]*TablaVentas[[#This Row],[Costo_unitario]])</f>
        <v>8164.3</v>
      </c>
      <c r="Q731">
        <f>IF(OR(TablaVentas[[#This Row],[Ingreso_neto]]="PENDIENTE",TablaVentas[[#This Row],[Costo_total]]="PENDIENTE"),"PENDIENTE",TablaVentas[[#This Row],[Ingreso_neto]]-TablaVentas[[#This Row],[Costo_total]])</f>
        <v>6550.4479999999994</v>
      </c>
    </row>
    <row r="732" spans="1:17">
      <c r="A732" t="s">
        <v>643</v>
      </c>
      <c r="B732">
        <v>2</v>
      </c>
      <c r="C732" s="3">
        <v>46151</v>
      </c>
      <c r="D732" t="s">
        <v>644</v>
      </c>
      <c r="E732" t="s">
        <v>175</v>
      </c>
      <c r="F732" t="s">
        <v>66</v>
      </c>
      <c r="G732" t="s">
        <v>40</v>
      </c>
      <c r="H732" t="s">
        <v>82</v>
      </c>
      <c r="I732">
        <v>1</v>
      </c>
      <c r="J732" s="4">
        <v>2686.39</v>
      </c>
      <c r="K732" s="5">
        <v>0</v>
      </c>
      <c r="L732" s="4">
        <v>1857.39</v>
      </c>
      <c r="M732" t="s">
        <v>42</v>
      </c>
      <c r="N732" t="s">
        <v>60</v>
      </c>
      <c r="O732">
        <f>IF(TablaVentas[[#This Row],[Precio_unitario]]="","PENDIENTE",TablaVentas[[#This Row],[Unidades]]*TablaVentas[[#This Row],[Precio_unitario]]*(1-TablaVentas[[#This Row],[Descuento_pct]]))</f>
        <v>2686.39</v>
      </c>
      <c r="P732">
        <f>IF(TablaVentas[[#This Row],[Costo_unitario]]="","PENDIENTE",TablaVentas[[#This Row],[Unidades]]*TablaVentas[[#This Row],[Costo_unitario]])</f>
        <v>1857.39</v>
      </c>
      <c r="Q732">
        <f>IF(OR(TablaVentas[[#This Row],[Ingreso_neto]]="PENDIENTE",TablaVentas[[#This Row],[Costo_total]]="PENDIENTE"),"PENDIENTE",TablaVentas[[#This Row],[Ingreso_neto]]-TablaVentas[[#This Row],[Costo_total]])</f>
        <v>828.99999999999977</v>
      </c>
    </row>
    <row r="733" spans="1:17">
      <c r="A733" t="s">
        <v>643</v>
      </c>
      <c r="B733">
        <v>3</v>
      </c>
      <c r="C733" s="3">
        <v>46151</v>
      </c>
      <c r="D733" t="s">
        <v>644</v>
      </c>
      <c r="E733" t="s">
        <v>125</v>
      </c>
      <c r="F733" t="s">
        <v>66</v>
      </c>
      <c r="G733" t="s">
        <v>40</v>
      </c>
      <c r="H733" t="s">
        <v>82</v>
      </c>
      <c r="I733">
        <v>8</v>
      </c>
      <c r="J733" s="4">
        <v>1741.61</v>
      </c>
      <c r="K733" s="5">
        <v>0.1</v>
      </c>
      <c r="L733" s="4">
        <v>1044.32</v>
      </c>
      <c r="M733" t="s">
        <v>116</v>
      </c>
      <c r="N733" t="s">
        <v>43</v>
      </c>
      <c r="O733">
        <f>IF(TablaVentas[[#This Row],[Precio_unitario]]="","PENDIENTE",TablaVentas[[#This Row],[Unidades]]*TablaVentas[[#This Row],[Precio_unitario]]*(1-TablaVentas[[#This Row],[Descuento_pct]]))</f>
        <v>12539.591999999999</v>
      </c>
      <c r="P733">
        <f>IF(TablaVentas[[#This Row],[Costo_unitario]]="","PENDIENTE",TablaVentas[[#This Row],[Unidades]]*TablaVentas[[#This Row],[Costo_unitario]])</f>
        <v>8354.56</v>
      </c>
      <c r="Q733">
        <f>IF(OR(TablaVentas[[#This Row],[Ingreso_neto]]="PENDIENTE",TablaVentas[[#This Row],[Costo_total]]="PENDIENTE"),"PENDIENTE",TablaVentas[[#This Row],[Ingreso_neto]]-TablaVentas[[#This Row],[Costo_total]])</f>
        <v>4185.0319999999992</v>
      </c>
    </row>
    <row r="734" spans="1:17">
      <c r="A734" t="s">
        <v>645</v>
      </c>
      <c r="B734">
        <v>1</v>
      </c>
      <c r="C734" s="3">
        <v>46046</v>
      </c>
      <c r="D734" t="s">
        <v>495</v>
      </c>
      <c r="E734" t="s">
        <v>183</v>
      </c>
      <c r="F734" t="s">
        <v>77</v>
      </c>
      <c r="G734" t="s">
        <v>40</v>
      </c>
      <c r="H734" t="s">
        <v>102</v>
      </c>
      <c r="I734">
        <v>1</v>
      </c>
      <c r="J734" s="4">
        <v>4988.1000000000004</v>
      </c>
      <c r="K734" s="5">
        <v>0.1</v>
      </c>
      <c r="L734" s="4">
        <v>4325.7299999999996</v>
      </c>
      <c r="M734" t="s">
        <v>42</v>
      </c>
      <c r="N734" t="s">
        <v>45</v>
      </c>
      <c r="O734">
        <f>IF(TablaVentas[[#This Row],[Precio_unitario]]="","PENDIENTE",TablaVentas[[#This Row],[Unidades]]*TablaVentas[[#This Row],[Precio_unitario]]*(1-TablaVentas[[#This Row],[Descuento_pct]]))</f>
        <v>4489.2900000000009</v>
      </c>
      <c r="P734">
        <f>IF(TablaVentas[[#This Row],[Costo_unitario]]="","PENDIENTE",TablaVentas[[#This Row],[Unidades]]*TablaVentas[[#This Row],[Costo_unitario]])</f>
        <v>4325.7299999999996</v>
      </c>
      <c r="Q734">
        <f>IF(OR(TablaVentas[[#This Row],[Ingreso_neto]]="PENDIENTE",TablaVentas[[#This Row],[Costo_total]]="PENDIENTE"),"PENDIENTE",TablaVentas[[#This Row],[Ingreso_neto]]-TablaVentas[[#This Row],[Costo_total]])</f>
        <v>163.56000000000131</v>
      </c>
    </row>
    <row r="735" spans="1:17">
      <c r="A735" t="s">
        <v>645</v>
      </c>
      <c r="B735">
        <v>2</v>
      </c>
      <c r="C735" s="3">
        <v>46046</v>
      </c>
      <c r="D735" t="s">
        <v>495</v>
      </c>
      <c r="E735" t="s">
        <v>148</v>
      </c>
      <c r="F735" t="s">
        <v>77</v>
      </c>
      <c r="G735" t="s">
        <v>40</v>
      </c>
      <c r="H735" t="s">
        <v>102</v>
      </c>
      <c r="I735">
        <v>2</v>
      </c>
      <c r="J735" s="4">
        <v>2829.45</v>
      </c>
      <c r="K735" s="5">
        <v>0</v>
      </c>
      <c r="L735" s="4">
        <v>2459.34</v>
      </c>
      <c r="M735" t="s">
        <v>42</v>
      </c>
      <c r="N735" t="s">
        <v>52</v>
      </c>
      <c r="O735">
        <f>IF(TablaVentas[[#This Row],[Precio_unitario]]="","PENDIENTE",TablaVentas[[#This Row],[Unidades]]*TablaVentas[[#This Row],[Precio_unitario]]*(1-TablaVentas[[#This Row],[Descuento_pct]]))</f>
        <v>5658.9</v>
      </c>
      <c r="P735">
        <f>IF(TablaVentas[[#This Row],[Costo_unitario]]="","PENDIENTE",TablaVentas[[#This Row],[Unidades]]*TablaVentas[[#This Row],[Costo_unitario]])</f>
        <v>4918.68</v>
      </c>
      <c r="Q735">
        <f>IF(OR(TablaVentas[[#This Row],[Ingreso_neto]]="PENDIENTE",TablaVentas[[#This Row],[Costo_total]]="PENDIENTE"),"PENDIENTE",TablaVentas[[#This Row],[Ingreso_neto]]-TablaVentas[[#This Row],[Costo_total]])</f>
        <v>740.21999999999935</v>
      </c>
    </row>
    <row r="736" spans="1:17">
      <c r="A736" t="s">
        <v>645</v>
      </c>
      <c r="B736">
        <v>3</v>
      </c>
      <c r="C736" s="3">
        <v>46046</v>
      </c>
      <c r="D736" t="s">
        <v>495</v>
      </c>
      <c r="E736" t="s">
        <v>208</v>
      </c>
      <c r="F736" t="s">
        <v>77</v>
      </c>
      <c r="G736" t="s">
        <v>40</v>
      </c>
      <c r="H736" t="s">
        <v>102</v>
      </c>
      <c r="I736">
        <v>2</v>
      </c>
      <c r="J736" s="4">
        <v>10322.33</v>
      </c>
      <c r="K736" s="5">
        <v>0</v>
      </c>
      <c r="L736" s="4">
        <v>5535.31</v>
      </c>
      <c r="M736" t="s">
        <v>116</v>
      </c>
      <c r="N736" t="s">
        <v>60</v>
      </c>
      <c r="O736">
        <f>IF(TablaVentas[[#This Row],[Precio_unitario]]="","PENDIENTE",TablaVentas[[#This Row],[Unidades]]*TablaVentas[[#This Row],[Precio_unitario]]*(1-TablaVentas[[#This Row],[Descuento_pct]]))</f>
        <v>20644.66</v>
      </c>
      <c r="P736">
        <f>IF(TablaVentas[[#This Row],[Costo_unitario]]="","PENDIENTE",TablaVentas[[#This Row],[Unidades]]*TablaVentas[[#This Row],[Costo_unitario]])</f>
        <v>11070.62</v>
      </c>
      <c r="Q736">
        <f>IF(OR(TablaVentas[[#This Row],[Ingreso_neto]]="PENDIENTE",TablaVentas[[#This Row],[Costo_total]]="PENDIENTE"),"PENDIENTE",TablaVentas[[#This Row],[Ingreso_neto]]-TablaVentas[[#This Row],[Costo_total]])</f>
        <v>9574.0399999999991</v>
      </c>
    </row>
    <row r="737" spans="1:17">
      <c r="A737" t="s">
        <v>646</v>
      </c>
      <c r="B737">
        <v>1</v>
      </c>
      <c r="C737" s="3">
        <v>46123</v>
      </c>
      <c r="D737" t="s">
        <v>214</v>
      </c>
      <c r="E737" t="s">
        <v>410</v>
      </c>
      <c r="F737" t="s">
        <v>66</v>
      </c>
      <c r="G737" t="s">
        <v>50</v>
      </c>
      <c r="H737" t="s">
        <v>82</v>
      </c>
      <c r="I737">
        <v>2</v>
      </c>
      <c r="J737" s="4">
        <v>7916.3</v>
      </c>
      <c r="K737" s="5">
        <v>0</v>
      </c>
      <c r="L737" s="4">
        <v>5874.17</v>
      </c>
      <c r="M737" t="s">
        <v>42</v>
      </c>
      <c r="N737" t="s">
        <v>45</v>
      </c>
      <c r="O737">
        <f>IF(TablaVentas[[#This Row],[Precio_unitario]]="","PENDIENTE",TablaVentas[[#This Row],[Unidades]]*TablaVentas[[#This Row],[Precio_unitario]]*(1-TablaVentas[[#This Row],[Descuento_pct]]))</f>
        <v>15832.6</v>
      </c>
      <c r="P737">
        <f>IF(TablaVentas[[#This Row],[Costo_unitario]]="","PENDIENTE",TablaVentas[[#This Row],[Unidades]]*TablaVentas[[#This Row],[Costo_unitario]])</f>
        <v>11748.34</v>
      </c>
      <c r="Q737">
        <f>IF(OR(TablaVentas[[#This Row],[Ingreso_neto]]="PENDIENTE",TablaVentas[[#This Row],[Costo_total]]="PENDIENTE"),"PENDIENTE",TablaVentas[[#This Row],[Ingreso_neto]]-TablaVentas[[#This Row],[Costo_total]])</f>
        <v>4084.26</v>
      </c>
    </row>
    <row r="738" spans="1:17">
      <c r="A738" t="s">
        <v>647</v>
      </c>
      <c r="B738">
        <v>1</v>
      </c>
      <c r="C738" s="3">
        <v>46292</v>
      </c>
      <c r="D738" t="s">
        <v>648</v>
      </c>
      <c r="E738" t="s">
        <v>132</v>
      </c>
      <c r="F738" t="s">
        <v>56</v>
      </c>
      <c r="G738" t="s">
        <v>40</v>
      </c>
      <c r="H738" t="s">
        <v>73</v>
      </c>
      <c r="I738">
        <v>4</v>
      </c>
      <c r="J738" s="4">
        <v>17383.75</v>
      </c>
      <c r="K738" s="5">
        <v>0.1</v>
      </c>
      <c r="L738" s="4">
        <v>11036.95</v>
      </c>
      <c r="M738" t="s">
        <v>42</v>
      </c>
      <c r="N738" t="s">
        <v>45</v>
      </c>
      <c r="O738">
        <f>IF(TablaVentas[[#This Row],[Precio_unitario]]="","PENDIENTE",TablaVentas[[#This Row],[Unidades]]*TablaVentas[[#This Row],[Precio_unitario]]*(1-TablaVentas[[#This Row],[Descuento_pct]]))</f>
        <v>62581.5</v>
      </c>
      <c r="P738">
        <f>IF(TablaVentas[[#This Row],[Costo_unitario]]="","PENDIENTE",TablaVentas[[#This Row],[Unidades]]*TablaVentas[[#This Row],[Costo_unitario]])</f>
        <v>44147.8</v>
      </c>
      <c r="Q738">
        <f>IF(OR(TablaVentas[[#This Row],[Ingreso_neto]]="PENDIENTE",TablaVentas[[#This Row],[Costo_total]]="PENDIENTE"),"PENDIENTE",TablaVentas[[#This Row],[Ingreso_neto]]-TablaVentas[[#This Row],[Costo_total]])</f>
        <v>18433.699999999997</v>
      </c>
    </row>
    <row r="739" spans="1:17">
      <c r="A739" t="s">
        <v>649</v>
      </c>
      <c r="B739">
        <v>1</v>
      </c>
      <c r="C739" s="3">
        <v>46293</v>
      </c>
      <c r="D739" t="s">
        <v>295</v>
      </c>
      <c r="E739" t="s">
        <v>167</v>
      </c>
      <c r="F739" t="s">
        <v>77</v>
      </c>
      <c r="G739" t="s">
        <v>50</v>
      </c>
      <c r="H739" t="s">
        <v>67</v>
      </c>
      <c r="I739">
        <v>1</v>
      </c>
      <c r="J739" s="4">
        <v>15664.49</v>
      </c>
      <c r="K739" s="5">
        <v>0.05</v>
      </c>
      <c r="L739" s="4">
        <v>8704.4</v>
      </c>
      <c r="M739" t="s">
        <v>62</v>
      </c>
      <c r="N739" t="s">
        <v>52</v>
      </c>
      <c r="O739">
        <f>IF(TablaVentas[[#This Row],[Precio_unitario]]="","PENDIENTE",TablaVentas[[#This Row],[Unidades]]*TablaVentas[[#This Row],[Precio_unitario]]*(1-TablaVentas[[#This Row],[Descuento_pct]]))</f>
        <v>14881.2655</v>
      </c>
      <c r="P739">
        <f>IF(TablaVentas[[#This Row],[Costo_unitario]]="","PENDIENTE",TablaVentas[[#This Row],[Unidades]]*TablaVentas[[#This Row],[Costo_unitario]])</f>
        <v>8704.4</v>
      </c>
      <c r="Q739">
        <f>IF(OR(TablaVentas[[#This Row],[Ingreso_neto]]="PENDIENTE",TablaVentas[[#This Row],[Costo_total]]="PENDIENTE"),"PENDIENTE",TablaVentas[[#This Row],[Ingreso_neto]]-TablaVentas[[#This Row],[Costo_total]])</f>
        <v>6176.8654999999999</v>
      </c>
    </row>
    <row r="740" spans="1:17">
      <c r="A740" t="s">
        <v>649</v>
      </c>
      <c r="B740">
        <v>2</v>
      </c>
      <c r="C740" s="3">
        <v>46293</v>
      </c>
      <c r="D740" t="s">
        <v>295</v>
      </c>
      <c r="E740" t="s">
        <v>138</v>
      </c>
      <c r="F740" t="s">
        <v>77</v>
      </c>
      <c r="G740" t="s">
        <v>50</v>
      </c>
      <c r="H740" t="s">
        <v>67</v>
      </c>
      <c r="I740">
        <v>1</v>
      </c>
      <c r="J740" s="4">
        <v>7173.17</v>
      </c>
      <c r="K740" s="5">
        <v>0</v>
      </c>
      <c r="L740" s="4">
        <v>4665.62</v>
      </c>
      <c r="M740" t="s">
        <v>42</v>
      </c>
      <c r="N740" t="s">
        <v>43</v>
      </c>
      <c r="O740">
        <f>IF(TablaVentas[[#This Row],[Precio_unitario]]="","PENDIENTE",TablaVentas[[#This Row],[Unidades]]*TablaVentas[[#This Row],[Precio_unitario]]*(1-TablaVentas[[#This Row],[Descuento_pct]]))</f>
        <v>7173.17</v>
      </c>
      <c r="P740">
        <f>IF(TablaVentas[[#This Row],[Costo_unitario]]="","PENDIENTE",TablaVentas[[#This Row],[Unidades]]*TablaVentas[[#This Row],[Costo_unitario]])</f>
        <v>4665.62</v>
      </c>
      <c r="Q740">
        <f>IF(OR(TablaVentas[[#This Row],[Ingreso_neto]]="PENDIENTE",TablaVentas[[#This Row],[Costo_total]]="PENDIENTE"),"PENDIENTE",TablaVentas[[#This Row],[Ingreso_neto]]-TablaVentas[[#This Row],[Costo_total]])</f>
        <v>2507.5500000000002</v>
      </c>
    </row>
    <row r="741" spans="1:17">
      <c r="A741" t="s">
        <v>650</v>
      </c>
      <c r="B741">
        <v>1</v>
      </c>
      <c r="C741" s="3">
        <v>46183</v>
      </c>
      <c r="D741" t="s">
        <v>438</v>
      </c>
      <c r="E741" t="s">
        <v>139</v>
      </c>
      <c r="F741" t="s">
        <v>77</v>
      </c>
      <c r="G741" t="s">
        <v>57</v>
      </c>
      <c r="H741" t="s">
        <v>102</v>
      </c>
      <c r="I741">
        <v>5</v>
      </c>
      <c r="J741" s="4">
        <v>10388.23</v>
      </c>
      <c r="K741" s="5">
        <v>0.05</v>
      </c>
      <c r="L741" s="4">
        <v>8002.16</v>
      </c>
      <c r="M741" t="s">
        <v>116</v>
      </c>
      <c r="N741" t="s">
        <v>52</v>
      </c>
      <c r="O741">
        <f>IF(TablaVentas[[#This Row],[Precio_unitario]]="","PENDIENTE",TablaVentas[[#This Row],[Unidades]]*TablaVentas[[#This Row],[Precio_unitario]]*(1-TablaVentas[[#This Row],[Descuento_pct]]))</f>
        <v>49344.092499999992</v>
      </c>
      <c r="P741">
        <f>IF(TablaVentas[[#This Row],[Costo_unitario]]="","PENDIENTE",TablaVentas[[#This Row],[Unidades]]*TablaVentas[[#This Row],[Costo_unitario]])</f>
        <v>40010.800000000003</v>
      </c>
      <c r="Q741">
        <f>IF(OR(TablaVentas[[#This Row],[Ingreso_neto]]="PENDIENTE",TablaVentas[[#This Row],[Costo_total]]="PENDIENTE"),"PENDIENTE",TablaVentas[[#This Row],[Ingreso_neto]]-TablaVentas[[#This Row],[Costo_total]])</f>
        <v>9333.2924999999886</v>
      </c>
    </row>
    <row r="742" spans="1:17">
      <c r="A742" t="s">
        <v>650</v>
      </c>
      <c r="B742">
        <v>2</v>
      </c>
      <c r="C742" s="3">
        <v>46183</v>
      </c>
      <c r="D742" t="s">
        <v>438</v>
      </c>
      <c r="E742" t="s">
        <v>183</v>
      </c>
      <c r="F742" t="s">
        <v>77</v>
      </c>
      <c r="G742" t="s">
        <v>57</v>
      </c>
      <c r="H742" t="s">
        <v>102</v>
      </c>
      <c r="I742">
        <v>3</v>
      </c>
      <c r="J742" s="4">
        <v>5562.88</v>
      </c>
      <c r="K742" s="5">
        <v>0</v>
      </c>
      <c r="L742" s="4">
        <v>4325.7299999999996</v>
      </c>
      <c r="M742" t="s">
        <v>42</v>
      </c>
      <c r="N742" t="s">
        <v>45</v>
      </c>
      <c r="O742">
        <f>IF(TablaVentas[[#This Row],[Precio_unitario]]="","PENDIENTE",TablaVentas[[#This Row],[Unidades]]*TablaVentas[[#This Row],[Precio_unitario]]*(1-TablaVentas[[#This Row],[Descuento_pct]]))</f>
        <v>16688.64</v>
      </c>
      <c r="P742">
        <f>IF(TablaVentas[[#This Row],[Costo_unitario]]="","PENDIENTE",TablaVentas[[#This Row],[Unidades]]*TablaVentas[[#This Row],[Costo_unitario]])</f>
        <v>12977.189999999999</v>
      </c>
      <c r="Q742">
        <f>IF(OR(TablaVentas[[#This Row],[Ingreso_neto]]="PENDIENTE",TablaVentas[[#This Row],[Costo_total]]="PENDIENTE"),"PENDIENTE",TablaVentas[[#This Row],[Ingreso_neto]]-TablaVentas[[#This Row],[Costo_total]])</f>
        <v>3711.4500000000007</v>
      </c>
    </row>
    <row r="743" spans="1:17">
      <c r="A743" t="s">
        <v>650</v>
      </c>
      <c r="B743">
        <v>3</v>
      </c>
      <c r="C743" s="3">
        <v>46183</v>
      </c>
      <c r="D743" t="s">
        <v>438</v>
      </c>
      <c r="E743" t="s">
        <v>293</v>
      </c>
      <c r="F743" t="s">
        <v>77</v>
      </c>
      <c r="G743" t="s">
        <v>57</v>
      </c>
      <c r="H743" t="s">
        <v>102</v>
      </c>
      <c r="I743">
        <v>3</v>
      </c>
      <c r="J743" s="4">
        <v>1094.6600000000001</v>
      </c>
      <c r="K743" s="5">
        <v>0.1</v>
      </c>
      <c r="L743" s="4">
        <v>936.52</v>
      </c>
      <c r="M743" t="s">
        <v>42</v>
      </c>
      <c r="N743" t="s">
        <v>45</v>
      </c>
      <c r="O743">
        <f>IF(TablaVentas[[#This Row],[Precio_unitario]]="","PENDIENTE",TablaVentas[[#This Row],[Unidades]]*TablaVentas[[#This Row],[Precio_unitario]]*(1-TablaVentas[[#This Row],[Descuento_pct]]))</f>
        <v>2955.5820000000003</v>
      </c>
      <c r="P743">
        <f>IF(TablaVentas[[#This Row],[Costo_unitario]]="","PENDIENTE",TablaVentas[[#This Row],[Unidades]]*TablaVentas[[#This Row],[Costo_unitario]])</f>
        <v>2809.56</v>
      </c>
      <c r="Q743">
        <f>IF(OR(TablaVentas[[#This Row],[Ingreso_neto]]="PENDIENTE",TablaVentas[[#This Row],[Costo_total]]="PENDIENTE"),"PENDIENTE",TablaVentas[[#This Row],[Ingreso_neto]]-TablaVentas[[#This Row],[Costo_total]])</f>
        <v>146.02200000000039</v>
      </c>
    </row>
    <row r="744" spans="1:17">
      <c r="A744" t="s">
        <v>651</v>
      </c>
      <c r="B744">
        <v>1</v>
      </c>
      <c r="C744" s="3">
        <v>46285</v>
      </c>
      <c r="D744" t="s">
        <v>222</v>
      </c>
      <c r="E744" t="s">
        <v>148</v>
      </c>
      <c r="F744" t="s">
        <v>56</v>
      </c>
      <c r="G744" t="s">
        <v>50</v>
      </c>
      <c r="H744" t="s">
        <v>82</v>
      </c>
      <c r="I744">
        <v>3</v>
      </c>
      <c r="J744" s="4">
        <v>3094.35</v>
      </c>
      <c r="K744" s="5">
        <v>0</v>
      </c>
      <c r="L744" s="4">
        <v>2459.34</v>
      </c>
      <c r="M744" t="s">
        <v>42</v>
      </c>
      <c r="N744" t="s">
        <v>45</v>
      </c>
      <c r="O744">
        <f>IF(TablaVentas[[#This Row],[Precio_unitario]]="","PENDIENTE",TablaVentas[[#This Row],[Unidades]]*TablaVentas[[#This Row],[Precio_unitario]]*(1-TablaVentas[[#This Row],[Descuento_pct]]))</f>
        <v>9283.0499999999993</v>
      </c>
      <c r="P744">
        <f>IF(TablaVentas[[#This Row],[Costo_unitario]]="","PENDIENTE",TablaVentas[[#This Row],[Unidades]]*TablaVentas[[#This Row],[Costo_unitario]])</f>
        <v>7378.02</v>
      </c>
      <c r="Q744">
        <f>IF(OR(TablaVentas[[#This Row],[Ingreso_neto]]="PENDIENTE",TablaVentas[[#This Row],[Costo_total]]="PENDIENTE"),"PENDIENTE",TablaVentas[[#This Row],[Ingreso_neto]]-TablaVentas[[#This Row],[Costo_total]])</f>
        <v>1905.0299999999988</v>
      </c>
    </row>
    <row r="745" spans="1:17">
      <c r="A745" t="s">
        <v>651</v>
      </c>
      <c r="B745">
        <v>2</v>
      </c>
      <c r="C745" s="3">
        <v>46285</v>
      </c>
      <c r="D745" t="s">
        <v>222</v>
      </c>
      <c r="E745" t="s">
        <v>120</v>
      </c>
      <c r="F745" t="s">
        <v>56</v>
      </c>
      <c r="G745" t="s">
        <v>50</v>
      </c>
      <c r="H745" t="s">
        <v>82</v>
      </c>
      <c r="I745">
        <v>1</v>
      </c>
      <c r="J745" s="4">
        <v>12696.14</v>
      </c>
      <c r="K745" s="5">
        <v>0</v>
      </c>
      <c r="L745" s="4">
        <v>7975.26</v>
      </c>
      <c r="M745" t="s">
        <v>116</v>
      </c>
      <c r="N745" t="s">
        <v>52</v>
      </c>
      <c r="O745">
        <f>IF(TablaVentas[[#This Row],[Precio_unitario]]="","PENDIENTE",TablaVentas[[#This Row],[Unidades]]*TablaVentas[[#This Row],[Precio_unitario]]*(1-TablaVentas[[#This Row],[Descuento_pct]]))</f>
        <v>12696.14</v>
      </c>
      <c r="P745">
        <f>IF(TablaVentas[[#This Row],[Costo_unitario]]="","PENDIENTE",TablaVentas[[#This Row],[Unidades]]*TablaVentas[[#This Row],[Costo_unitario]])</f>
        <v>7975.26</v>
      </c>
      <c r="Q745">
        <f>IF(OR(TablaVentas[[#This Row],[Ingreso_neto]]="PENDIENTE",TablaVentas[[#This Row],[Costo_total]]="PENDIENTE"),"PENDIENTE",TablaVentas[[#This Row],[Ingreso_neto]]-TablaVentas[[#This Row],[Costo_total]])</f>
        <v>4720.8799999999992</v>
      </c>
    </row>
    <row r="746" spans="1:17">
      <c r="A746" t="s">
        <v>651</v>
      </c>
      <c r="B746">
        <v>3</v>
      </c>
      <c r="C746" s="3">
        <v>46285</v>
      </c>
      <c r="D746" t="s">
        <v>222</v>
      </c>
      <c r="E746" t="s">
        <v>132</v>
      </c>
      <c r="F746" t="s">
        <v>56</v>
      </c>
      <c r="G746" t="s">
        <v>50</v>
      </c>
      <c r="H746" t="s">
        <v>82</v>
      </c>
      <c r="I746">
        <v>1</v>
      </c>
      <c r="J746" s="4">
        <v>16618.11</v>
      </c>
      <c r="K746" s="5">
        <v>0.15</v>
      </c>
      <c r="L746" s="4">
        <v>11036.95</v>
      </c>
      <c r="M746" t="s">
        <v>42</v>
      </c>
      <c r="N746" t="s">
        <v>45</v>
      </c>
      <c r="O746">
        <f>IF(TablaVentas[[#This Row],[Precio_unitario]]="","PENDIENTE",TablaVentas[[#This Row],[Unidades]]*TablaVentas[[#This Row],[Precio_unitario]]*(1-TablaVentas[[#This Row],[Descuento_pct]]))</f>
        <v>14125.3935</v>
      </c>
      <c r="P746">
        <f>IF(TablaVentas[[#This Row],[Costo_unitario]]="","PENDIENTE",TablaVentas[[#This Row],[Unidades]]*TablaVentas[[#This Row],[Costo_unitario]])</f>
        <v>11036.95</v>
      </c>
      <c r="Q746">
        <f>IF(OR(TablaVentas[[#This Row],[Ingreso_neto]]="PENDIENTE",TablaVentas[[#This Row],[Costo_total]]="PENDIENTE"),"PENDIENTE",TablaVentas[[#This Row],[Ingreso_neto]]-TablaVentas[[#This Row],[Costo_total]])</f>
        <v>3088.4434999999994</v>
      </c>
    </row>
    <row r="747" spans="1:17">
      <c r="A747" t="s">
        <v>651</v>
      </c>
      <c r="B747">
        <v>4</v>
      </c>
      <c r="C747" s="3">
        <v>46285</v>
      </c>
      <c r="D747" t="s">
        <v>222</v>
      </c>
      <c r="E747" t="s">
        <v>378</v>
      </c>
      <c r="F747" t="s">
        <v>56</v>
      </c>
      <c r="G747" t="s">
        <v>50</v>
      </c>
      <c r="H747" t="s">
        <v>82</v>
      </c>
      <c r="I747">
        <v>2</v>
      </c>
      <c r="J747" s="4">
        <v>3605.54</v>
      </c>
      <c r="K747" s="5">
        <v>0.2</v>
      </c>
      <c r="L747" s="4">
        <v>2864.64</v>
      </c>
      <c r="M747" t="s">
        <v>42</v>
      </c>
      <c r="N747" t="s">
        <v>45</v>
      </c>
      <c r="O747">
        <f>IF(TablaVentas[[#This Row],[Precio_unitario]]="","PENDIENTE",TablaVentas[[#This Row],[Unidades]]*TablaVentas[[#This Row],[Precio_unitario]]*(1-TablaVentas[[#This Row],[Descuento_pct]]))</f>
        <v>5768.8640000000005</v>
      </c>
      <c r="P747">
        <f>IF(TablaVentas[[#This Row],[Costo_unitario]]="","PENDIENTE",TablaVentas[[#This Row],[Unidades]]*TablaVentas[[#This Row],[Costo_unitario]])</f>
        <v>5729.28</v>
      </c>
      <c r="Q747">
        <f>IF(OR(TablaVentas[[#This Row],[Ingreso_neto]]="PENDIENTE",TablaVentas[[#This Row],[Costo_total]]="PENDIENTE"),"PENDIENTE",TablaVentas[[#This Row],[Ingreso_neto]]-TablaVentas[[#This Row],[Costo_total]])</f>
        <v>39.584000000000742</v>
      </c>
    </row>
    <row r="748" spans="1:17">
      <c r="A748" t="s">
        <v>651</v>
      </c>
      <c r="B748">
        <v>5</v>
      </c>
      <c r="C748" s="3">
        <v>46285</v>
      </c>
      <c r="D748" t="s">
        <v>222</v>
      </c>
      <c r="E748" t="s">
        <v>262</v>
      </c>
      <c r="F748" t="s">
        <v>56</v>
      </c>
      <c r="G748" t="s">
        <v>50</v>
      </c>
      <c r="H748" t="s">
        <v>82</v>
      </c>
      <c r="I748">
        <v>5</v>
      </c>
      <c r="J748" s="4">
        <v>13731.22</v>
      </c>
      <c r="K748" s="5">
        <v>0.15</v>
      </c>
      <c r="L748" s="4">
        <v>8227.4599999999991</v>
      </c>
      <c r="M748" t="s">
        <v>42</v>
      </c>
      <c r="N748" t="s">
        <v>43</v>
      </c>
      <c r="O748">
        <f>IF(TablaVentas[[#This Row],[Precio_unitario]]="","PENDIENTE",TablaVentas[[#This Row],[Unidades]]*TablaVentas[[#This Row],[Precio_unitario]]*(1-TablaVentas[[#This Row],[Descuento_pct]]))</f>
        <v>58357.68499999999</v>
      </c>
      <c r="P748">
        <f>IF(TablaVentas[[#This Row],[Costo_unitario]]="","PENDIENTE",TablaVentas[[#This Row],[Unidades]]*TablaVentas[[#This Row],[Costo_unitario]])</f>
        <v>41137.299999999996</v>
      </c>
      <c r="Q748">
        <f>IF(OR(TablaVentas[[#This Row],[Ingreso_neto]]="PENDIENTE",TablaVentas[[#This Row],[Costo_total]]="PENDIENTE"),"PENDIENTE",TablaVentas[[#This Row],[Ingreso_neto]]-TablaVentas[[#This Row],[Costo_total]])</f>
        <v>17220.384999999995</v>
      </c>
    </row>
    <row r="749" spans="1:17">
      <c r="A749" t="s">
        <v>652</v>
      </c>
      <c r="B749">
        <v>1</v>
      </c>
      <c r="C749" s="3">
        <v>46168</v>
      </c>
      <c r="D749" t="s">
        <v>557</v>
      </c>
      <c r="E749" t="s">
        <v>211</v>
      </c>
      <c r="F749" t="s">
        <v>77</v>
      </c>
      <c r="G749" t="s">
        <v>57</v>
      </c>
      <c r="H749" t="s">
        <v>129</v>
      </c>
      <c r="I749">
        <v>3</v>
      </c>
      <c r="J749" s="4">
        <v>16812.29</v>
      </c>
      <c r="K749" s="5">
        <v>0</v>
      </c>
      <c r="L749" s="4">
        <v>13760.53</v>
      </c>
      <c r="M749" t="s">
        <v>42</v>
      </c>
      <c r="N749" t="s">
        <v>45</v>
      </c>
      <c r="O749">
        <f>IF(TablaVentas[[#This Row],[Precio_unitario]]="","PENDIENTE",TablaVentas[[#This Row],[Unidades]]*TablaVentas[[#This Row],[Precio_unitario]]*(1-TablaVentas[[#This Row],[Descuento_pct]]))</f>
        <v>50436.87</v>
      </c>
      <c r="P749">
        <f>IF(TablaVentas[[#This Row],[Costo_unitario]]="","PENDIENTE",TablaVentas[[#This Row],[Unidades]]*TablaVentas[[#This Row],[Costo_unitario]])</f>
        <v>41281.590000000004</v>
      </c>
      <c r="Q749">
        <f>IF(OR(TablaVentas[[#This Row],[Ingreso_neto]]="PENDIENTE",TablaVentas[[#This Row],[Costo_total]]="PENDIENTE"),"PENDIENTE",TablaVentas[[#This Row],[Ingreso_neto]]-TablaVentas[[#This Row],[Costo_total]])</f>
        <v>9155.2799999999988</v>
      </c>
    </row>
    <row r="750" spans="1:17">
      <c r="A750" t="s">
        <v>653</v>
      </c>
      <c r="B750">
        <v>1</v>
      </c>
      <c r="C750" s="3">
        <v>46265</v>
      </c>
      <c r="D750" t="s">
        <v>359</v>
      </c>
      <c r="E750" t="s">
        <v>378</v>
      </c>
      <c r="F750" t="s">
        <v>56</v>
      </c>
      <c r="G750" t="s">
        <v>57</v>
      </c>
      <c r="H750" t="s">
        <v>129</v>
      </c>
      <c r="I750">
        <v>3</v>
      </c>
      <c r="J750" s="4">
        <v>3294.88</v>
      </c>
      <c r="K750" s="5">
        <v>0.1</v>
      </c>
      <c r="L750" s="4">
        <v>2864.64</v>
      </c>
      <c r="M750" t="s">
        <v>42</v>
      </c>
      <c r="N750" t="s">
        <v>45</v>
      </c>
      <c r="O750">
        <f>IF(TablaVentas[[#This Row],[Precio_unitario]]="","PENDIENTE",TablaVentas[[#This Row],[Unidades]]*TablaVentas[[#This Row],[Precio_unitario]]*(1-TablaVentas[[#This Row],[Descuento_pct]]))</f>
        <v>8896.1759999999995</v>
      </c>
      <c r="P750">
        <f>IF(TablaVentas[[#This Row],[Costo_unitario]]="","PENDIENTE",TablaVentas[[#This Row],[Unidades]]*TablaVentas[[#This Row],[Costo_unitario]])</f>
        <v>8593.92</v>
      </c>
      <c r="Q750">
        <f>IF(OR(TablaVentas[[#This Row],[Ingreso_neto]]="PENDIENTE",TablaVentas[[#This Row],[Costo_total]]="PENDIENTE"),"PENDIENTE",TablaVentas[[#This Row],[Ingreso_neto]]-TablaVentas[[#This Row],[Costo_total]])</f>
        <v>302.2559999999994</v>
      </c>
    </row>
    <row r="751" spans="1:17">
      <c r="A751" t="s">
        <v>653</v>
      </c>
      <c r="B751">
        <v>2</v>
      </c>
      <c r="C751" s="3">
        <v>46265</v>
      </c>
      <c r="D751" t="s">
        <v>359</v>
      </c>
      <c r="E751" t="s">
        <v>218</v>
      </c>
      <c r="F751" t="s">
        <v>56</v>
      </c>
      <c r="G751" t="s">
        <v>57</v>
      </c>
      <c r="H751" t="s">
        <v>129</v>
      </c>
      <c r="I751">
        <v>1</v>
      </c>
      <c r="J751" s="4">
        <v>4726.13</v>
      </c>
      <c r="K751" s="5">
        <v>0</v>
      </c>
      <c r="L751" s="4">
        <v>2833.97</v>
      </c>
      <c r="M751" t="s">
        <v>42</v>
      </c>
      <c r="N751" t="s">
        <v>52</v>
      </c>
      <c r="O751">
        <f>IF(TablaVentas[[#This Row],[Precio_unitario]]="","PENDIENTE",TablaVentas[[#This Row],[Unidades]]*TablaVentas[[#This Row],[Precio_unitario]]*(1-TablaVentas[[#This Row],[Descuento_pct]]))</f>
        <v>4726.13</v>
      </c>
      <c r="P751">
        <f>IF(TablaVentas[[#This Row],[Costo_unitario]]="","PENDIENTE",TablaVentas[[#This Row],[Unidades]]*TablaVentas[[#This Row],[Costo_unitario]])</f>
        <v>2833.97</v>
      </c>
      <c r="Q751">
        <f>IF(OR(TablaVentas[[#This Row],[Ingreso_neto]]="PENDIENTE",TablaVentas[[#This Row],[Costo_total]]="PENDIENTE"),"PENDIENTE",TablaVentas[[#This Row],[Ingreso_neto]]-TablaVentas[[#This Row],[Costo_total]])</f>
        <v>1892.1600000000003</v>
      </c>
    </row>
    <row r="752" spans="1:17">
      <c r="A752" t="s">
        <v>654</v>
      </c>
      <c r="B752">
        <v>1</v>
      </c>
      <c r="C752" s="3">
        <v>46214</v>
      </c>
      <c r="D752" t="s">
        <v>655</v>
      </c>
      <c r="E752" t="s">
        <v>84</v>
      </c>
      <c r="F752" t="s">
        <v>77</v>
      </c>
      <c r="G752" t="s">
        <v>40</v>
      </c>
      <c r="H752" t="s">
        <v>58</v>
      </c>
      <c r="I752">
        <v>1</v>
      </c>
      <c r="J752" s="4">
        <v>14579.02</v>
      </c>
      <c r="K752" s="5">
        <v>0</v>
      </c>
      <c r="L752" s="4">
        <v>8576.0499999999993</v>
      </c>
      <c r="M752" t="s">
        <v>42</v>
      </c>
      <c r="N752" t="s">
        <v>45</v>
      </c>
      <c r="O752">
        <f>IF(TablaVentas[[#This Row],[Precio_unitario]]="","PENDIENTE",TablaVentas[[#This Row],[Unidades]]*TablaVentas[[#This Row],[Precio_unitario]]*(1-TablaVentas[[#This Row],[Descuento_pct]]))</f>
        <v>14579.02</v>
      </c>
      <c r="P752">
        <f>IF(TablaVentas[[#This Row],[Costo_unitario]]="","PENDIENTE",TablaVentas[[#This Row],[Unidades]]*TablaVentas[[#This Row],[Costo_unitario]])</f>
        <v>8576.0499999999993</v>
      </c>
      <c r="Q752">
        <f>IF(OR(TablaVentas[[#This Row],[Ingreso_neto]]="PENDIENTE",TablaVentas[[#This Row],[Costo_total]]="PENDIENTE"),"PENDIENTE",TablaVentas[[#This Row],[Ingreso_neto]]-TablaVentas[[#This Row],[Costo_total]])</f>
        <v>6002.9700000000012</v>
      </c>
    </row>
    <row r="753" spans="1:17">
      <c r="A753" t="s">
        <v>656</v>
      </c>
      <c r="B753">
        <v>1</v>
      </c>
      <c r="C753" s="3">
        <v>46130</v>
      </c>
      <c r="D753" t="s">
        <v>72</v>
      </c>
      <c r="E753" t="s">
        <v>97</v>
      </c>
      <c r="F753" t="s">
        <v>56</v>
      </c>
      <c r="G753" t="s">
        <v>40</v>
      </c>
      <c r="H753" t="s">
        <v>67</v>
      </c>
      <c r="I753">
        <v>2</v>
      </c>
      <c r="J753" s="4">
        <v>16105.64</v>
      </c>
      <c r="K753" s="5">
        <v>0.05</v>
      </c>
      <c r="L753" s="4">
        <v>11424.77</v>
      </c>
      <c r="M753" t="s">
        <v>42</v>
      </c>
      <c r="N753" t="s">
        <v>52</v>
      </c>
      <c r="O753">
        <f>IF(TablaVentas[[#This Row],[Precio_unitario]]="","PENDIENTE",TablaVentas[[#This Row],[Unidades]]*TablaVentas[[#This Row],[Precio_unitario]]*(1-TablaVentas[[#This Row],[Descuento_pct]]))</f>
        <v>30600.715999999997</v>
      </c>
      <c r="P753">
        <f>IF(TablaVentas[[#This Row],[Costo_unitario]]="","PENDIENTE",TablaVentas[[#This Row],[Unidades]]*TablaVentas[[#This Row],[Costo_unitario]])</f>
        <v>22849.54</v>
      </c>
      <c r="Q753">
        <f>IF(OR(TablaVentas[[#This Row],[Ingreso_neto]]="PENDIENTE",TablaVentas[[#This Row],[Costo_total]]="PENDIENTE"),"PENDIENTE",TablaVentas[[#This Row],[Ingreso_neto]]-TablaVentas[[#This Row],[Costo_total]])</f>
        <v>7751.1759999999958</v>
      </c>
    </row>
    <row r="754" spans="1:17">
      <c r="A754" t="s">
        <v>656</v>
      </c>
      <c r="B754">
        <v>2</v>
      </c>
      <c r="C754" s="3">
        <v>46130</v>
      </c>
      <c r="D754" t="s">
        <v>72</v>
      </c>
      <c r="E754" t="s">
        <v>38</v>
      </c>
      <c r="F754" t="s">
        <v>56</v>
      </c>
      <c r="G754" t="s">
        <v>40</v>
      </c>
      <c r="H754" t="s">
        <v>67</v>
      </c>
      <c r="I754">
        <v>1</v>
      </c>
      <c r="J754" s="4">
        <v>6028</v>
      </c>
      <c r="K754" s="5">
        <v>0</v>
      </c>
      <c r="L754" s="4">
        <v>3832.69</v>
      </c>
      <c r="M754" t="s">
        <v>42</v>
      </c>
      <c r="N754" t="s">
        <v>45</v>
      </c>
      <c r="O754">
        <f>IF(TablaVentas[[#This Row],[Precio_unitario]]="","PENDIENTE",TablaVentas[[#This Row],[Unidades]]*TablaVentas[[#This Row],[Precio_unitario]]*(1-TablaVentas[[#This Row],[Descuento_pct]]))</f>
        <v>6028</v>
      </c>
      <c r="P754">
        <f>IF(TablaVentas[[#This Row],[Costo_unitario]]="","PENDIENTE",TablaVentas[[#This Row],[Unidades]]*TablaVentas[[#This Row],[Costo_unitario]])</f>
        <v>3832.69</v>
      </c>
      <c r="Q754">
        <f>IF(OR(TablaVentas[[#This Row],[Ingreso_neto]]="PENDIENTE",TablaVentas[[#This Row],[Costo_total]]="PENDIENTE"),"PENDIENTE",TablaVentas[[#This Row],[Ingreso_neto]]-TablaVentas[[#This Row],[Costo_total]])</f>
        <v>2195.31</v>
      </c>
    </row>
    <row r="755" spans="1:17">
      <c r="A755" t="s">
        <v>656</v>
      </c>
      <c r="B755">
        <v>3</v>
      </c>
      <c r="C755" s="3">
        <v>46130</v>
      </c>
      <c r="D755" t="s">
        <v>72</v>
      </c>
      <c r="E755" t="s">
        <v>138</v>
      </c>
      <c r="F755" t="s">
        <v>56</v>
      </c>
      <c r="G755" t="s">
        <v>40</v>
      </c>
      <c r="H755" t="s">
        <v>67</v>
      </c>
      <c r="I755">
        <v>5</v>
      </c>
      <c r="J755" s="4">
        <v>6503.41</v>
      </c>
      <c r="K755" s="5">
        <v>0</v>
      </c>
      <c r="L755" s="4">
        <v>4665.62</v>
      </c>
      <c r="M755" t="s">
        <v>42</v>
      </c>
      <c r="N755" t="s">
        <v>60</v>
      </c>
      <c r="O755">
        <f>IF(TablaVentas[[#This Row],[Precio_unitario]]="","PENDIENTE",TablaVentas[[#This Row],[Unidades]]*TablaVentas[[#This Row],[Precio_unitario]]*(1-TablaVentas[[#This Row],[Descuento_pct]]))</f>
        <v>32517.05</v>
      </c>
      <c r="P755">
        <f>IF(TablaVentas[[#This Row],[Costo_unitario]]="","PENDIENTE",TablaVentas[[#This Row],[Unidades]]*TablaVentas[[#This Row],[Costo_unitario]])</f>
        <v>23328.1</v>
      </c>
      <c r="Q755">
        <f>IF(OR(TablaVentas[[#This Row],[Ingreso_neto]]="PENDIENTE",TablaVentas[[#This Row],[Costo_total]]="PENDIENTE"),"PENDIENTE",TablaVentas[[#This Row],[Ingreso_neto]]-TablaVentas[[#This Row],[Costo_total]])</f>
        <v>9188.9500000000007</v>
      </c>
    </row>
    <row r="756" spans="1:17">
      <c r="A756" t="s">
        <v>657</v>
      </c>
      <c r="B756">
        <v>1</v>
      </c>
      <c r="C756" s="3">
        <v>46023</v>
      </c>
      <c r="D756" t="s">
        <v>289</v>
      </c>
      <c r="E756" t="s">
        <v>172</v>
      </c>
      <c r="F756" t="s">
        <v>39</v>
      </c>
      <c r="G756" t="s">
        <v>50</v>
      </c>
      <c r="H756" t="s">
        <v>102</v>
      </c>
      <c r="I756">
        <v>2</v>
      </c>
      <c r="J756" s="4">
        <v>16887.990000000002</v>
      </c>
      <c r="K756" s="5">
        <v>0.1</v>
      </c>
      <c r="L756" s="4">
        <v>10830.17</v>
      </c>
      <c r="M756" t="s">
        <v>42</v>
      </c>
      <c r="N756" t="s">
        <v>60</v>
      </c>
      <c r="O756">
        <f>IF(TablaVentas[[#This Row],[Precio_unitario]]="","PENDIENTE",TablaVentas[[#This Row],[Unidades]]*TablaVentas[[#This Row],[Precio_unitario]]*(1-TablaVentas[[#This Row],[Descuento_pct]]))</f>
        <v>30398.382000000005</v>
      </c>
      <c r="P756">
        <f>IF(TablaVentas[[#This Row],[Costo_unitario]]="","PENDIENTE",TablaVentas[[#This Row],[Unidades]]*TablaVentas[[#This Row],[Costo_unitario]])</f>
        <v>21660.34</v>
      </c>
      <c r="Q756">
        <f>IF(OR(TablaVentas[[#This Row],[Ingreso_neto]]="PENDIENTE",TablaVentas[[#This Row],[Costo_total]]="PENDIENTE"),"PENDIENTE",TablaVentas[[#This Row],[Ingreso_neto]]-TablaVentas[[#This Row],[Costo_total]])</f>
        <v>8738.0420000000049</v>
      </c>
    </row>
    <row r="757" spans="1:17">
      <c r="A757" t="s">
        <v>657</v>
      </c>
      <c r="B757">
        <v>2</v>
      </c>
      <c r="C757" s="3">
        <v>46023</v>
      </c>
      <c r="D757" t="s">
        <v>289</v>
      </c>
      <c r="E757" t="s">
        <v>46</v>
      </c>
      <c r="F757" t="s">
        <v>39</v>
      </c>
      <c r="G757" t="s">
        <v>50</v>
      </c>
      <c r="H757" t="s">
        <v>102</v>
      </c>
      <c r="I757">
        <v>2</v>
      </c>
      <c r="J757" s="4">
        <v>4097.68</v>
      </c>
      <c r="K757" s="5">
        <v>0</v>
      </c>
      <c r="L757" s="4">
        <v>2957.6</v>
      </c>
      <c r="M757" t="s">
        <v>42</v>
      </c>
      <c r="N757" t="s">
        <v>45</v>
      </c>
      <c r="O757">
        <f>IF(TablaVentas[[#This Row],[Precio_unitario]]="","PENDIENTE",TablaVentas[[#This Row],[Unidades]]*TablaVentas[[#This Row],[Precio_unitario]]*(1-TablaVentas[[#This Row],[Descuento_pct]]))</f>
        <v>8195.36</v>
      </c>
      <c r="P757">
        <f>IF(TablaVentas[[#This Row],[Costo_unitario]]="","PENDIENTE",TablaVentas[[#This Row],[Unidades]]*TablaVentas[[#This Row],[Costo_unitario]])</f>
        <v>5915.2</v>
      </c>
      <c r="Q757">
        <f>IF(OR(TablaVentas[[#This Row],[Ingreso_neto]]="PENDIENTE",TablaVentas[[#This Row],[Costo_total]]="PENDIENTE"),"PENDIENTE",TablaVentas[[#This Row],[Ingreso_neto]]-TablaVentas[[#This Row],[Costo_total]])</f>
        <v>2280.1600000000008</v>
      </c>
    </row>
    <row r="758" spans="1:17">
      <c r="A758" t="s">
        <v>658</v>
      </c>
      <c r="B758">
        <v>1</v>
      </c>
      <c r="C758" s="3">
        <v>46195</v>
      </c>
      <c r="D758" t="s">
        <v>171</v>
      </c>
      <c r="E758" t="s">
        <v>106</v>
      </c>
      <c r="F758" t="s">
        <v>39</v>
      </c>
      <c r="G758" t="s">
        <v>50</v>
      </c>
      <c r="H758" t="s">
        <v>67</v>
      </c>
      <c r="I758">
        <v>2</v>
      </c>
      <c r="J758" s="4">
        <v>9328.8700000000008</v>
      </c>
      <c r="K758" s="5">
        <v>0</v>
      </c>
      <c r="L758" s="4">
        <v>8276.74</v>
      </c>
      <c r="M758" t="s">
        <v>42</v>
      </c>
      <c r="N758" t="s">
        <v>60</v>
      </c>
      <c r="O758">
        <f>IF(TablaVentas[[#This Row],[Precio_unitario]]="","PENDIENTE",TablaVentas[[#This Row],[Unidades]]*TablaVentas[[#This Row],[Precio_unitario]]*(1-TablaVentas[[#This Row],[Descuento_pct]]))</f>
        <v>18657.740000000002</v>
      </c>
      <c r="P758">
        <f>IF(TablaVentas[[#This Row],[Costo_unitario]]="","PENDIENTE",TablaVentas[[#This Row],[Unidades]]*TablaVentas[[#This Row],[Costo_unitario]])</f>
        <v>16553.48</v>
      </c>
      <c r="Q758">
        <f>IF(OR(TablaVentas[[#This Row],[Ingreso_neto]]="PENDIENTE",TablaVentas[[#This Row],[Costo_total]]="PENDIENTE"),"PENDIENTE",TablaVentas[[#This Row],[Ingreso_neto]]-TablaVentas[[#This Row],[Costo_total]])</f>
        <v>2104.260000000002</v>
      </c>
    </row>
    <row r="759" spans="1:17">
      <c r="A759" t="s">
        <v>659</v>
      </c>
      <c r="B759">
        <v>1</v>
      </c>
      <c r="C759" s="3">
        <v>46272</v>
      </c>
      <c r="D759" t="s">
        <v>127</v>
      </c>
      <c r="E759" t="s">
        <v>44</v>
      </c>
      <c r="F759" t="s">
        <v>77</v>
      </c>
      <c r="G759" t="s">
        <v>40</v>
      </c>
      <c r="H759" t="s">
        <v>82</v>
      </c>
      <c r="I759">
        <v>3</v>
      </c>
      <c r="J759" s="4">
        <v>14448.45</v>
      </c>
      <c r="K759" s="5">
        <v>0</v>
      </c>
      <c r="L759" s="4">
        <v>8980.68</v>
      </c>
      <c r="M759" t="s">
        <v>42</v>
      </c>
      <c r="N759" t="s">
        <v>52</v>
      </c>
      <c r="O759">
        <f>IF(TablaVentas[[#This Row],[Precio_unitario]]="","PENDIENTE",TablaVentas[[#This Row],[Unidades]]*TablaVentas[[#This Row],[Precio_unitario]]*(1-TablaVentas[[#This Row],[Descuento_pct]]))</f>
        <v>43345.350000000006</v>
      </c>
      <c r="P759">
        <f>IF(TablaVentas[[#This Row],[Costo_unitario]]="","PENDIENTE",TablaVentas[[#This Row],[Unidades]]*TablaVentas[[#This Row],[Costo_unitario]])</f>
        <v>26942.04</v>
      </c>
      <c r="Q759">
        <f>IF(OR(TablaVentas[[#This Row],[Ingreso_neto]]="PENDIENTE",TablaVentas[[#This Row],[Costo_total]]="PENDIENTE"),"PENDIENTE",TablaVentas[[#This Row],[Ingreso_neto]]-TablaVentas[[#This Row],[Costo_total]])</f>
        <v>16403.310000000005</v>
      </c>
    </row>
    <row r="760" spans="1:17">
      <c r="A760" t="s">
        <v>659</v>
      </c>
      <c r="B760">
        <v>2</v>
      </c>
      <c r="C760" s="3">
        <v>46272</v>
      </c>
      <c r="D760" t="s">
        <v>127</v>
      </c>
      <c r="E760" t="s">
        <v>65</v>
      </c>
      <c r="F760" t="s">
        <v>77</v>
      </c>
      <c r="G760" t="s">
        <v>40</v>
      </c>
      <c r="H760" t="s">
        <v>82</v>
      </c>
      <c r="I760">
        <v>1</v>
      </c>
      <c r="J760" s="4">
        <v>12056.6</v>
      </c>
      <c r="K760" s="5">
        <v>0.15</v>
      </c>
      <c r="L760" s="4">
        <v>7328.02</v>
      </c>
      <c r="M760" t="s">
        <v>42</v>
      </c>
      <c r="N760" t="s">
        <v>43</v>
      </c>
      <c r="O760">
        <f>IF(TablaVentas[[#This Row],[Precio_unitario]]="","PENDIENTE",TablaVentas[[#This Row],[Unidades]]*TablaVentas[[#This Row],[Precio_unitario]]*(1-TablaVentas[[#This Row],[Descuento_pct]]))</f>
        <v>10248.11</v>
      </c>
      <c r="P760">
        <f>IF(TablaVentas[[#This Row],[Costo_unitario]]="","PENDIENTE",TablaVentas[[#This Row],[Unidades]]*TablaVentas[[#This Row],[Costo_unitario]])</f>
        <v>7328.02</v>
      </c>
      <c r="Q760">
        <f>IF(OR(TablaVentas[[#This Row],[Ingreso_neto]]="PENDIENTE",TablaVentas[[#This Row],[Costo_total]]="PENDIENTE"),"PENDIENTE",TablaVentas[[#This Row],[Ingreso_neto]]-TablaVentas[[#This Row],[Costo_total]])</f>
        <v>2920.09</v>
      </c>
    </row>
    <row r="761" spans="1:17">
      <c r="A761" t="s">
        <v>659</v>
      </c>
      <c r="B761">
        <v>3</v>
      </c>
      <c r="C761" s="3">
        <v>46272</v>
      </c>
      <c r="D761" t="s">
        <v>127</v>
      </c>
      <c r="E761" t="s">
        <v>410</v>
      </c>
      <c r="F761" t="s">
        <v>77</v>
      </c>
      <c r="G761" t="s">
        <v>40</v>
      </c>
      <c r="H761" t="s">
        <v>82</v>
      </c>
      <c r="I761">
        <v>4</v>
      </c>
      <c r="J761" s="4">
        <v>8552.58</v>
      </c>
      <c r="K761" s="5">
        <v>0.2</v>
      </c>
      <c r="L761" s="4">
        <v>5874.17</v>
      </c>
      <c r="M761" t="s">
        <v>42</v>
      </c>
      <c r="N761" t="s">
        <v>45</v>
      </c>
      <c r="O761">
        <f>IF(TablaVentas[[#This Row],[Precio_unitario]]="","PENDIENTE",TablaVentas[[#This Row],[Unidades]]*TablaVentas[[#This Row],[Precio_unitario]]*(1-TablaVentas[[#This Row],[Descuento_pct]]))</f>
        <v>27368.256000000001</v>
      </c>
      <c r="P761">
        <f>IF(TablaVentas[[#This Row],[Costo_unitario]]="","PENDIENTE",TablaVentas[[#This Row],[Unidades]]*TablaVentas[[#This Row],[Costo_unitario]])</f>
        <v>23496.68</v>
      </c>
      <c r="Q761">
        <f>IF(OR(TablaVentas[[#This Row],[Ingreso_neto]]="PENDIENTE",TablaVentas[[#This Row],[Costo_total]]="PENDIENTE"),"PENDIENTE",TablaVentas[[#This Row],[Ingreso_neto]]-TablaVentas[[#This Row],[Costo_total]])</f>
        <v>3871.5760000000009</v>
      </c>
    </row>
    <row r="762" spans="1:17">
      <c r="A762" t="s">
        <v>660</v>
      </c>
      <c r="B762">
        <v>1</v>
      </c>
      <c r="C762" s="3">
        <v>46048</v>
      </c>
      <c r="D762" t="s">
        <v>661</v>
      </c>
      <c r="E762" t="s">
        <v>151</v>
      </c>
      <c r="F762" t="s">
        <v>39</v>
      </c>
      <c r="G762" t="s">
        <v>50</v>
      </c>
      <c r="H762" t="s">
        <v>184</v>
      </c>
      <c r="I762">
        <v>3</v>
      </c>
      <c r="J762" s="4">
        <v>16650.060000000001</v>
      </c>
      <c r="K762" s="5">
        <v>0</v>
      </c>
      <c r="L762" s="4">
        <v>8963.23</v>
      </c>
      <c r="M762" t="s">
        <v>42</v>
      </c>
      <c r="N762" t="s">
        <v>60</v>
      </c>
      <c r="O762">
        <f>IF(TablaVentas[[#This Row],[Precio_unitario]]="","PENDIENTE",TablaVentas[[#This Row],[Unidades]]*TablaVentas[[#This Row],[Precio_unitario]]*(1-TablaVentas[[#This Row],[Descuento_pct]]))</f>
        <v>49950.180000000008</v>
      </c>
      <c r="P762">
        <f>IF(TablaVentas[[#This Row],[Costo_unitario]]="","PENDIENTE",TablaVentas[[#This Row],[Unidades]]*TablaVentas[[#This Row],[Costo_unitario]])</f>
        <v>26889.69</v>
      </c>
      <c r="Q762">
        <f>IF(OR(TablaVentas[[#This Row],[Ingreso_neto]]="PENDIENTE",TablaVentas[[#This Row],[Costo_total]]="PENDIENTE"),"PENDIENTE",TablaVentas[[#This Row],[Ingreso_neto]]-TablaVentas[[#This Row],[Costo_total]])</f>
        <v>23060.490000000009</v>
      </c>
    </row>
    <row r="763" spans="1:17">
      <c r="A763" t="s">
        <v>662</v>
      </c>
      <c r="B763">
        <v>1</v>
      </c>
      <c r="C763" s="3">
        <v>46056</v>
      </c>
      <c r="D763" t="s">
        <v>663</v>
      </c>
      <c r="E763" t="s">
        <v>110</v>
      </c>
      <c r="F763" t="s">
        <v>56</v>
      </c>
      <c r="G763" t="s">
        <v>57</v>
      </c>
      <c r="H763" t="s">
        <v>41</v>
      </c>
      <c r="I763">
        <v>1</v>
      </c>
      <c r="J763" s="4">
        <v>5888.22</v>
      </c>
      <c r="K763" s="5">
        <v>0</v>
      </c>
      <c r="L763" s="4">
        <v>4205.6899999999996</v>
      </c>
      <c r="M763" t="s">
        <v>42</v>
      </c>
      <c r="N763" t="s">
        <v>60</v>
      </c>
      <c r="O763">
        <f>IF(TablaVentas[[#This Row],[Precio_unitario]]="","PENDIENTE",TablaVentas[[#This Row],[Unidades]]*TablaVentas[[#This Row],[Precio_unitario]]*(1-TablaVentas[[#This Row],[Descuento_pct]]))</f>
        <v>5888.22</v>
      </c>
      <c r="P763">
        <f>IF(TablaVentas[[#This Row],[Costo_unitario]]="","PENDIENTE",TablaVentas[[#This Row],[Unidades]]*TablaVentas[[#This Row],[Costo_unitario]])</f>
        <v>4205.6899999999996</v>
      </c>
      <c r="Q763">
        <f>IF(OR(TablaVentas[[#This Row],[Ingreso_neto]]="PENDIENTE",TablaVentas[[#This Row],[Costo_total]]="PENDIENTE"),"PENDIENTE",TablaVentas[[#This Row],[Ingreso_neto]]-TablaVentas[[#This Row],[Costo_total]])</f>
        <v>1682.5300000000007</v>
      </c>
    </row>
    <row r="764" spans="1:17">
      <c r="A764" t="s">
        <v>662</v>
      </c>
      <c r="B764">
        <v>2</v>
      </c>
      <c r="C764" s="3">
        <v>46056</v>
      </c>
      <c r="D764" t="s">
        <v>663</v>
      </c>
      <c r="E764" t="s">
        <v>115</v>
      </c>
      <c r="F764" t="s">
        <v>56</v>
      </c>
      <c r="G764" t="s">
        <v>57</v>
      </c>
      <c r="H764" t="s">
        <v>41</v>
      </c>
      <c r="I764">
        <v>1</v>
      </c>
      <c r="J764" s="4">
        <v>1339.6</v>
      </c>
      <c r="K764" s="5">
        <v>0</v>
      </c>
      <c r="L764" s="4">
        <v>705.87</v>
      </c>
      <c r="M764" t="s">
        <v>42</v>
      </c>
      <c r="N764" t="s">
        <v>43</v>
      </c>
      <c r="O764">
        <f>IF(TablaVentas[[#This Row],[Precio_unitario]]="","PENDIENTE",TablaVentas[[#This Row],[Unidades]]*TablaVentas[[#This Row],[Precio_unitario]]*(1-TablaVentas[[#This Row],[Descuento_pct]]))</f>
        <v>1339.6</v>
      </c>
      <c r="P764">
        <f>IF(TablaVentas[[#This Row],[Costo_unitario]]="","PENDIENTE",TablaVentas[[#This Row],[Unidades]]*TablaVentas[[#This Row],[Costo_unitario]])</f>
        <v>705.87</v>
      </c>
      <c r="Q764">
        <f>IF(OR(TablaVentas[[#This Row],[Ingreso_neto]]="PENDIENTE",TablaVentas[[#This Row],[Costo_total]]="PENDIENTE"),"PENDIENTE",TablaVentas[[#This Row],[Ingreso_neto]]-TablaVentas[[#This Row],[Costo_total]])</f>
        <v>633.7299999999999</v>
      </c>
    </row>
    <row r="765" spans="1:17">
      <c r="A765" t="s">
        <v>662</v>
      </c>
      <c r="B765">
        <v>3</v>
      </c>
      <c r="C765" s="3">
        <v>46056</v>
      </c>
      <c r="D765" t="s">
        <v>663</v>
      </c>
      <c r="E765" t="s">
        <v>68</v>
      </c>
      <c r="F765" t="s">
        <v>56</v>
      </c>
      <c r="G765" t="s">
        <v>57</v>
      </c>
      <c r="H765" t="s">
        <v>41</v>
      </c>
      <c r="I765">
        <v>1</v>
      </c>
      <c r="J765" s="4">
        <v>15151.1</v>
      </c>
      <c r="K765" s="5">
        <v>0</v>
      </c>
      <c r="L765" s="4">
        <v>9243.35</v>
      </c>
      <c r="M765" t="s">
        <v>42</v>
      </c>
      <c r="N765" t="s">
        <v>43</v>
      </c>
      <c r="O765">
        <f>IF(TablaVentas[[#This Row],[Precio_unitario]]="","PENDIENTE",TablaVentas[[#This Row],[Unidades]]*TablaVentas[[#This Row],[Precio_unitario]]*(1-TablaVentas[[#This Row],[Descuento_pct]]))</f>
        <v>15151.1</v>
      </c>
      <c r="P765">
        <f>IF(TablaVentas[[#This Row],[Costo_unitario]]="","PENDIENTE",TablaVentas[[#This Row],[Unidades]]*TablaVentas[[#This Row],[Costo_unitario]])</f>
        <v>9243.35</v>
      </c>
      <c r="Q765">
        <f>IF(OR(TablaVentas[[#This Row],[Ingreso_neto]]="PENDIENTE",TablaVentas[[#This Row],[Costo_total]]="PENDIENTE"),"PENDIENTE",TablaVentas[[#This Row],[Ingreso_neto]]-TablaVentas[[#This Row],[Costo_total]])</f>
        <v>5907.75</v>
      </c>
    </row>
    <row r="766" spans="1:17">
      <c r="A766" t="s">
        <v>664</v>
      </c>
      <c r="B766">
        <v>1</v>
      </c>
      <c r="C766" s="3">
        <v>46188</v>
      </c>
      <c r="D766" t="s">
        <v>665</v>
      </c>
      <c r="E766" t="s">
        <v>135</v>
      </c>
      <c r="F766" t="s">
        <v>39</v>
      </c>
      <c r="G766" t="s">
        <v>40</v>
      </c>
      <c r="H766" t="s">
        <v>184</v>
      </c>
      <c r="I766">
        <v>1</v>
      </c>
      <c r="J766" s="4">
        <v>1945.83</v>
      </c>
      <c r="K766" s="5">
        <v>0</v>
      </c>
      <c r="L766" s="4">
        <v>1529.93</v>
      </c>
      <c r="M766" t="s">
        <v>42</v>
      </c>
      <c r="N766" t="s">
        <v>45</v>
      </c>
      <c r="O766">
        <f>IF(TablaVentas[[#This Row],[Precio_unitario]]="","PENDIENTE",TablaVentas[[#This Row],[Unidades]]*TablaVentas[[#This Row],[Precio_unitario]]*(1-TablaVentas[[#This Row],[Descuento_pct]]))</f>
        <v>1945.83</v>
      </c>
      <c r="P766">
        <f>IF(TablaVentas[[#This Row],[Costo_unitario]]="","PENDIENTE",TablaVentas[[#This Row],[Unidades]]*TablaVentas[[#This Row],[Costo_unitario]])</f>
        <v>1529.93</v>
      </c>
      <c r="Q766">
        <f>IF(OR(TablaVentas[[#This Row],[Ingreso_neto]]="PENDIENTE",TablaVentas[[#This Row],[Costo_total]]="PENDIENTE"),"PENDIENTE",TablaVentas[[#This Row],[Ingreso_neto]]-TablaVentas[[#This Row],[Costo_total]])</f>
        <v>415.89999999999986</v>
      </c>
    </row>
    <row r="767" spans="1:17">
      <c r="A767" t="s">
        <v>664</v>
      </c>
      <c r="B767">
        <v>2</v>
      </c>
      <c r="C767" s="3">
        <v>46188</v>
      </c>
      <c r="D767" t="s">
        <v>665</v>
      </c>
      <c r="E767" t="s">
        <v>218</v>
      </c>
      <c r="F767" t="s">
        <v>39</v>
      </c>
      <c r="G767" t="s">
        <v>40</v>
      </c>
      <c r="H767" t="s">
        <v>184</v>
      </c>
      <c r="I767">
        <v>1</v>
      </c>
      <c r="J767" s="4">
        <v>4779.3100000000004</v>
      </c>
      <c r="K767" s="5">
        <v>0</v>
      </c>
      <c r="L767" s="4">
        <v>2833.97</v>
      </c>
      <c r="M767" t="s">
        <v>62</v>
      </c>
      <c r="N767" t="s">
        <v>43</v>
      </c>
      <c r="O767">
        <f>IF(TablaVentas[[#This Row],[Precio_unitario]]="","PENDIENTE",TablaVentas[[#This Row],[Unidades]]*TablaVentas[[#This Row],[Precio_unitario]]*(1-TablaVentas[[#This Row],[Descuento_pct]]))</f>
        <v>4779.3100000000004</v>
      </c>
      <c r="P767">
        <f>IF(TablaVentas[[#This Row],[Costo_unitario]]="","PENDIENTE",TablaVentas[[#This Row],[Unidades]]*TablaVentas[[#This Row],[Costo_unitario]])</f>
        <v>2833.97</v>
      </c>
      <c r="Q767">
        <f>IF(OR(TablaVentas[[#This Row],[Ingreso_neto]]="PENDIENTE",TablaVentas[[#This Row],[Costo_total]]="PENDIENTE"),"PENDIENTE",TablaVentas[[#This Row],[Ingreso_neto]]-TablaVentas[[#This Row],[Costo_total]])</f>
        <v>1945.3400000000006</v>
      </c>
    </row>
    <row r="768" spans="1:17">
      <c r="A768" t="s">
        <v>664</v>
      </c>
      <c r="B768">
        <v>3</v>
      </c>
      <c r="C768" s="3">
        <v>46188</v>
      </c>
      <c r="D768" t="s">
        <v>665</v>
      </c>
      <c r="E768" t="s">
        <v>59</v>
      </c>
      <c r="F768" t="s">
        <v>39</v>
      </c>
      <c r="G768" t="s">
        <v>40</v>
      </c>
      <c r="H768" t="s">
        <v>184</v>
      </c>
      <c r="I768">
        <v>2</v>
      </c>
      <c r="J768" s="4">
        <v>14898.55</v>
      </c>
      <c r="K768" s="5">
        <v>0.1</v>
      </c>
      <c r="L768" s="4">
        <v>10170.290000000001</v>
      </c>
      <c r="M768" t="s">
        <v>42</v>
      </c>
      <c r="N768" t="s">
        <v>60</v>
      </c>
      <c r="O768">
        <f>IF(TablaVentas[[#This Row],[Precio_unitario]]="","PENDIENTE",TablaVentas[[#This Row],[Unidades]]*TablaVentas[[#This Row],[Precio_unitario]]*(1-TablaVentas[[#This Row],[Descuento_pct]]))</f>
        <v>26817.39</v>
      </c>
      <c r="P768">
        <f>IF(TablaVentas[[#This Row],[Costo_unitario]]="","PENDIENTE",TablaVentas[[#This Row],[Unidades]]*TablaVentas[[#This Row],[Costo_unitario]])</f>
        <v>20340.580000000002</v>
      </c>
      <c r="Q768">
        <f>IF(OR(TablaVentas[[#This Row],[Ingreso_neto]]="PENDIENTE",TablaVentas[[#This Row],[Costo_total]]="PENDIENTE"),"PENDIENTE",TablaVentas[[#This Row],[Ingreso_neto]]-TablaVentas[[#This Row],[Costo_total]])</f>
        <v>6476.8099999999977</v>
      </c>
    </row>
    <row r="769" spans="1:17">
      <c r="A769" t="s">
        <v>664</v>
      </c>
      <c r="B769">
        <v>4</v>
      </c>
      <c r="C769" s="3">
        <v>46188</v>
      </c>
      <c r="D769" t="s">
        <v>665</v>
      </c>
      <c r="E769" t="s">
        <v>206</v>
      </c>
      <c r="F769" t="s">
        <v>39</v>
      </c>
      <c r="G769" t="s">
        <v>40</v>
      </c>
      <c r="H769" t="s">
        <v>184</v>
      </c>
      <c r="I769">
        <v>8</v>
      </c>
      <c r="J769" s="4">
        <v>5318.86</v>
      </c>
      <c r="K769" s="5">
        <v>0</v>
      </c>
      <c r="L769" s="4">
        <v>4008.77</v>
      </c>
      <c r="M769" t="s">
        <v>42</v>
      </c>
      <c r="N769" t="s">
        <v>45</v>
      </c>
      <c r="O769">
        <f>IF(TablaVentas[[#This Row],[Precio_unitario]]="","PENDIENTE",TablaVentas[[#This Row],[Unidades]]*TablaVentas[[#This Row],[Precio_unitario]]*(1-TablaVentas[[#This Row],[Descuento_pct]]))</f>
        <v>42550.879999999997</v>
      </c>
      <c r="P769">
        <f>IF(TablaVentas[[#This Row],[Costo_unitario]]="","PENDIENTE",TablaVentas[[#This Row],[Unidades]]*TablaVentas[[#This Row],[Costo_unitario]])</f>
        <v>32070.16</v>
      </c>
      <c r="Q769">
        <f>IF(OR(TablaVentas[[#This Row],[Ingreso_neto]]="PENDIENTE",TablaVentas[[#This Row],[Costo_total]]="PENDIENTE"),"PENDIENTE",TablaVentas[[#This Row],[Ingreso_neto]]-TablaVentas[[#This Row],[Costo_total]])</f>
        <v>10480.719999999998</v>
      </c>
    </row>
    <row r="770" spans="1:17">
      <c r="A770" t="s">
        <v>666</v>
      </c>
      <c r="B770">
        <v>1</v>
      </c>
      <c r="C770" s="3">
        <v>46288</v>
      </c>
      <c r="D770" t="s">
        <v>667</v>
      </c>
      <c r="E770" t="s">
        <v>253</v>
      </c>
      <c r="F770" t="s">
        <v>77</v>
      </c>
      <c r="G770" t="s">
        <v>40</v>
      </c>
      <c r="H770" t="s">
        <v>82</v>
      </c>
      <c r="I770">
        <v>1</v>
      </c>
      <c r="J770" s="4">
        <v>2972.54</v>
      </c>
      <c r="K770" s="5">
        <v>0.15</v>
      </c>
      <c r="L770" s="4">
        <v>2486.1799999999998</v>
      </c>
      <c r="M770" t="s">
        <v>42</v>
      </c>
      <c r="N770" t="s">
        <v>43</v>
      </c>
      <c r="O770">
        <f>IF(TablaVentas[[#This Row],[Precio_unitario]]="","PENDIENTE",TablaVentas[[#This Row],[Unidades]]*TablaVentas[[#This Row],[Precio_unitario]]*(1-TablaVentas[[#This Row],[Descuento_pct]]))</f>
        <v>2526.6590000000001</v>
      </c>
      <c r="P770">
        <f>IF(TablaVentas[[#This Row],[Costo_unitario]]="","PENDIENTE",TablaVentas[[#This Row],[Unidades]]*TablaVentas[[#This Row],[Costo_unitario]])</f>
        <v>2486.1799999999998</v>
      </c>
      <c r="Q770">
        <f>IF(OR(TablaVentas[[#This Row],[Ingreso_neto]]="PENDIENTE",TablaVentas[[#This Row],[Costo_total]]="PENDIENTE"),"PENDIENTE",TablaVentas[[#This Row],[Ingreso_neto]]-TablaVentas[[#This Row],[Costo_total]])</f>
        <v>40.479000000000269</v>
      </c>
    </row>
    <row r="771" spans="1:17">
      <c r="A771" t="s">
        <v>666</v>
      </c>
      <c r="B771">
        <v>2</v>
      </c>
      <c r="C771" s="3">
        <v>46288</v>
      </c>
      <c r="D771" t="s">
        <v>667</v>
      </c>
      <c r="E771" t="s">
        <v>236</v>
      </c>
      <c r="F771" t="s">
        <v>77</v>
      </c>
      <c r="G771" t="s">
        <v>40</v>
      </c>
      <c r="H771" t="s">
        <v>82</v>
      </c>
      <c r="I771">
        <v>4</v>
      </c>
      <c r="J771" s="4">
        <v>10380.42</v>
      </c>
      <c r="K771" s="5">
        <v>0.05</v>
      </c>
      <c r="L771" s="4">
        <v>8061.7</v>
      </c>
      <c r="M771" t="s">
        <v>42</v>
      </c>
      <c r="N771" t="s">
        <v>45</v>
      </c>
      <c r="O771">
        <f>IF(TablaVentas[[#This Row],[Precio_unitario]]="","PENDIENTE",TablaVentas[[#This Row],[Unidades]]*TablaVentas[[#This Row],[Precio_unitario]]*(1-TablaVentas[[#This Row],[Descuento_pct]]))</f>
        <v>39445.595999999998</v>
      </c>
      <c r="P771">
        <f>IF(TablaVentas[[#This Row],[Costo_unitario]]="","PENDIENTE",TablaVentas[[#This Row],[Unidades]]*TablaVentas[[#This Row],[Costo_unitario]])</f>
        <v>32246.799999999999</v>
      </c>
      <c r="Q771">
        <f>IF(OR(TablaVentas[[#This Row],[Ingreso_neto]]="PENDIENTE",TablaVentas[[#This Row],[Costo_total]]="PENDIENTE"),"PENDIENTE",TablaVentas[[#This Row],[Ingreso_neto]]-TablaVentas[[#This Row],[Costo_total]])</f>
        <v>7198.7959999999985</v>
      </c>
    </row>
    <row r="772" spans="1:17">
      <c r="A772" t="s">
        <v>666</v>
      </c>
      <c r="B772">
        <v>3</v>
      </c>
      <c r="C772" s="3">
        <v>46288</v>
      </c>
      <c r="D772" t="s">
        <v>667</v>
      </c>
      <c r="E772" t="s">
        <v>86</v>
      </c>
      <c r="F772" t="s">
        <v>77</v>
      </c>
      <c r="G772" t="s">
        <v>40</v>
      </c>
      <c r="H772" t="s">
        <v>82</v>
      </c>
      <c r="I772">
        <v>1</v>
      </c>
      <c r="J772" s="4">
        <v>14446.53</v>
      </c>
      <c r="K772" s="5">
        <v>0.1</v>
      </c>
      <c r="L772" s="4">
        <v>11166.03</v>
      </c>
      <c r="M772" t="s">
        <v>42</v>
      </c>
      <c r="N772" t="s">
        <v>52</v>
      </c>
      <c r="O772">
        <f>IF(TablaVentas[[#This Row],[Precio_unitario]]="","PENDIENTE",TablaVentas[[#This Row],[Unidades]]*TablaVentas[[#This Row],[Precio_unitario]]*(1-TablaVentas[[#This Row],[Descuento_pct]]))</f>
        <v>13001.877</v>
      </c>
      <c r="P772">
        <f>IF(TablaVentas[[#This Row],[Costo_unitario]]="","PENDIENTE",TablaVentas[[#This Row],[Unidades]]*TablaVentas[[#This Row],[Costo_unitario]])</f>
        <v>11166.03</v>
      </c>
      <c r="Q772">
        <f>IF(OR(TablaVentas[[#This Row],[Ingreso_neto]]="PENDIENTE",TablaVentas[[#This Row],[Costo_total]]="PENDIENTE"),"PENDIENTE",TablaVentas[[#This Row],[Ingreso_neto]]-TablaVentas[[#This Row],[Costo_total]])</f>
        <v>1835.8469999999998</v>
      </c>
    </row>
    <row r="773" spans="1:17">
      <c r="A773" t="s">
        <v>668</v>
      </c>
      <c r="B773">
        <v>1</v>
      </c>
      <c r="C773" s="3">
        <v>46160</v>
      </c>
      <c r="D773" t="s">
        <v>669</v>
      </c>
      <c r="E773" t="s">
        <v>125</v>
      </c>
      <c r="F773" t="s">
        <v>66</v>
      </c>
      <c r="G773" t="s">
        <v>57</v>
      </c>
      <c r="H773" t="s">
        <v>82</v>
      </c>
      <c r="I773">
        <v>1</v>
      </c>
      <c r="J773" s="4">
        <v>1842.79</v>
      </c>
      <c r="K773" s="5">
        <v>0</v>
      </c>
      <c r="L773" s="4">
        <v>1044.32</v>
      </c>
      <c r="M773" t="s">
        <v>42</v>
      </c>
      <c r="N773" t="s">
        <v>43</v>
      </c>
      <c r="O773">
        <f>IF(TablaVentas[[#This Row],[Precio_unitario]]="","PENDIENTE",TablaVentas[[#This Row],[Unidades]]*TablaVentas[[#This Row],[Precio_unitario]]*(1-TablaVentas[[#This Row],[Descuento_pct]]))</f>
        <v>1842.79</v>
      </c>
      <c r="P773">
        <f>IF(TablaVentas[[#This Row],[Costo_unitario]]="","PENDIENTE",TablaVentas[[#This Row],[Unidades]]*TablaVentas[[#This Row],[Costo_unitario]])</f>
        <v>1044.32</v>
      </c>
      <c r="Q773">
        <f>IF(OR(TablaVentas[[#This Row],[Ingreso_neto]]="PENDIENTE",TablaVentas[[#This Row],[Costo_total]]="PENDIENTE"),"PENDIENTE",TablaVentas[[#This Row],[Ingreso_neto]]-TablaVentas[[#This Row],[Costo_total]])</f>
        <v>798.47</v>
      </c>
    </row>
    <row r="774" spans="1:17">
      <c r="A774" t="s">
        <v>670</v>
      </c>
      <c r="B774">
        <v>1</v>
      </c>
      <c r="C774" s="3">
        <v>46098</v>
      </c>
      <c r="D774" t="s">
        <v>495</v>
      </c>
      <c r="E774" t="s">
        <v>335</v>
      </c>
      <c r="F774" t="s">
        <v>56</v>
      </c>
      <c r="G774" t="s">
        <v>40</v>
      </c>
      <c r="H774" t="s">
        <v>184</v>
      </c>
      <c r="I774">
        <v>2</v>
      </c>
      <c r="J774" s="4">
        <v>7097.18</v>
      </c>
      <c r="K774" s="5">
        <v>0.1</v>
      </c>
      <c r="L774" s="4">
        <v>5587.31</v>
      </c>
      <c r="M774" t="s">
        <v>42</v>
      </c>
      <c r="N774" t="s">
        <v>45</v>
      </c>
      <c r="O774">
        <f>IF(TablaVentas[[#This Row],[Precio_unitario]]="","PENDIENTE",TablaVentas[[#This Row],[Unidades]]*TablaVentas[[#This Row],[Precio_unitario]]*(1-TablaVentas[[#This Row],[Descuento_pct]]))</f>
        <v>12774.924000000001</v>
      </c>
      <c r="P774">
        <f>IF(TablaVentas[[#This Row],[Costo_unitario]]="","PENDIENTE",TablaVentas[[#This Row],[Unidades]]*TablaVentas[[#This Row],[Costo_unitario]])</f>
        <v>11174.62</v>
      </c>
      <c r="Q774">
        <f>IF(OR(TablaVentas[[#This Row],[Ingreso_neto]]="PENDIENTE",TablaVentas[[#This Row],[Costo_total]]="PENDIENTE"),"PENDIENTE",TablaVentas[[#This Row],[Ingreso_neto]]-TablaVentas[[#This Row],[Costo_total]])</f>
        <v>1600.3040000000001</v>
      </c>
    </row>
    <row r="775" spans="1:17">
      <c r="A775" t="s">
        <v>670</v>
      </c>
      <c r="B775">
        <v>2</v>
      </c>
      <c r="C775" s="3">
        <v>46098</v>
      </c>
      <c r="D775" t="s">
        <v>495</v>
      </c>
      <c r="E775" t="s">
        <v>282</v>
      </c>
      <c r="F775" t="s">
        <v>56</v>
      </c>
      <c r="G775" t="s">
        <v>40</v>
      </c>
      <c r="H775" t="s">
        <v>184</v>
      </c>
      <c r="I775">
        <v>2</v>
      </c>
      <c r="J775" s="4">
        <v>4143.42</v>
      </c>
      <c r="K775" s="5">
        <v>0.1</v>
      </c>
      <c r="L775" s="4">
        <v>3399.5</v>
      </c>
      <c r="M775" t="s">
        <v>42</v>
      </c>
      <c r="N775" t="s">
        <v>45</v>
      </c>
      <c r="O775">
        <f>IF(TablaVentas[[#This Row],[Precio_unitario]]="","PENDIENTE",TablaVentas[[#This Row],[Unidades]]*TablaVentas[[#This Row],[Precio_unitario]]*(1-TablaVentas[[#This Row],[Descuento_pct]]))</f>
        <v>7458.1559999999999</v>
      </c>
      <c r="P775">
        <f>IF(TablaVentas[[#This Row],[Costo_unitario]]="","PENDIENTE",TablaVentas[[#This Row],[Unidades]]*TablaVentas[[#This Row],[Costo_unitario]])</f>
        <v>6799</v>
      </c>
      <c r="Q775">
        <f>IF(OR(TablaVentas[[#This Row],[Ingreso_neto]]="PENDIENTE",TablaVentas[[#This Row],[Costo_total]]="PENDIENTE"),"PENDIENTE",TablaVentas[[#This Row],[Ingreso_neto]]-TablaVentas[[#This Row],[Costo_total]])</f>
        <v>659.15599999999995</v>
      </c>
    </row>
    <row r="776" spans="1:17">
      <c r="A776" t="s">
        <v>671</v>
      </c>
      <c r="B776">
        <v>1</v>
      </c>
      <c r="C776" s="3">
        <v>46101</v>
      </c>
      <c r="D776" t="s">
        <v>672</v>
      </c>
      <c r="E776" t="s">
        <v>119</v>
      </c>
      <c r="F776" t="s">
        <v>77</v>
      </c>
      <c r="G776" t="s">
        <v>40</v>
      </c>
      <c r="H776" t="s">
        <v>58</v>
      </c>
      <c r="I776">
        <v>2</v>
      </c>
      <c r="J776" s="4">
        <v>8903.17</v>
      </c>
      <c r="K776" s="5">
        <v>0.15</v>
      </c>
      <c r="L776" s="4">
        <v>6981.94</v>
      </c>
      <c r="M776" t="s">
        <v>42</v>
      </c>
      <c r="N776" t="s">
        <v>60</v>
      </c>
      <c r="O776">
        <f>IF(TablaVentas[[#This Row],[Precio_unitario]]="","PENDIENTE",TablaVentas[[#This Row],[Unidades]]*TablaVentas[[#This Row],[Precio_unitario]]*(1-TablaVentas[[#This Row],[Descuento_pct]]))</f>
        <v>15135.388999999999</v>
      </c>
      <c r="P776">
        <f>IF(TablaVentas[[#This Row],[Costo_unitario]]="","PENDIENTE",TablaVentas[[#This Row],[Unidades]]*TablaVentas[[#This Row],[Costo_unitario]])</f>
        <v>13963.88</v>
      </c>
      <c r="Q776">
        <f>IF(OR(TablaVentas[[#This Row],[Ingreso_neto]]="PENDIENTE",TablaVentas[[#This Row],[Costo_total]]="PENDIENTE"),"PENDIENTE",TablaVentas[[#This Row],[Ingreso_neto]]-TablaVentas[[#This Row],[Costo_total]])</f>
        <v>1171.509</v>
      </c>
    </row>
    <row r="777" spans="1:17">
      <c r="A777" t="s">
        <v>671</v>
      </c>
      <c r="B777">
        <v>2</v>
      </c>
      <c r="C777" s="3">
        <v>46101</v>
      </c>
      <c r="D777" t="s">
        <v>672</v>
      </c>
      <c r="E777" t="s">
        <v>114</v>
      </c>
      <c r="F777" t="s">
        <v>77</v>
      </c>
      <c r="G777" t="s">
        <v>40</v>
      </c>
      <c r="H777" t="s">
        <v>58</v>
      </c>
      <c r="I777">
        <v>1</v>
      </c>
      <c r="J777" s="4">
        <v>15621.65</v>
      </c>
      <c r="K777" s="5">
        <v>0.2</v>
      </c>
      <c r="L777" s="4">
        <v>8239.48</v>
      </c>
      <c r="M777" t="s">
        <v>42</v>
      </c>
      <c r="N777" t="s">
        <v>45</v>
      </c>
      <c r="O777">
        <f>IF(TablaVentas[[#This Row],[Precio_unitario]]="","PENDIENTE",TablaVentas[[#This Row],[Unidades]]*TablaVentas[[#This Row],[Precio_unitario]]*(1-TablaVentas[[#This Row],[Descuento_pct]]))</f>
        <v>12497.32</v>
      </c>
      <c r="P777">
        <f>IF(TablaVentas[[#This Row],[Costo_unitario]]="","PENDIENTE",TablaVentas[[#This Row],[Unidades]]*TablaVentas[[#This Row],[Costo_unitario]])</f>
        <v>8239.48</v>
      </c>
      <c r="Q777">
        <f>IF(OR(TablaVentas[[#This Row],[Ingreso_neto]]="PENDIENTE",TablaVentas[[#This Row],[Costo_total]]="PENDIENTE"),"PENDIENTE",TablaVentas[[#This Row],[Ingreso_neto]]-TablaVentas[[#This Row],[Costo_total]])</f>
        <v>4257.84</v>
      </c>
    </row>
    <row r="778" spans="1:17">
      <c r="A778" t="s">
        <v>671</v>
      </c>
      <c r="B778">
        <v>3</v>
      </c>
      <c r="C778" s="3">
        <v>46101</v>
      </c>
      <c r="D778" t="s">
        <v>672</v>
      </c>
      <c r="E778" t="s">
        <v>403</v>
      </c>
      <c r="F778" t="s">
        <v>77</v>
      </c>
      <c r="G778" t="s">
        <v>40</v>
      </c>
      <c r="H778" t="s">
        <v>58</v>
      </c>
      <c r="I778">
        <v>3</v>
      </c>
      <c r="J778" s="4">
        <v>2889.13</v>
      </c>
      <c r="K778" s="5">
        <v>0.1</v>
      </c>
      <c r="L778" s="4">
        <v>1801.83</v>
      </c>
      <c r="M778" t="s">
        <v>42</v>
      </c>
      <c r="N778" t="s">
        <v>60</v>
      </c>
      <c r="O778">
        <f>IF(TablaVentas[[#This Row],[Precio_unitario]]="","PENDIENTE",TablaVentas[[#This Row],[Unidades]]*TablaVentas[[#This Row],[Precio_unitario]]*(1-TablaVentas[[#This Row],[Descuento_pct]]))</f>
        <v>7800.6509999999998</v>
      </c>
      <c r="P778">
        <f>IF(TablaVentas[[#This Row],[Costo_unitario]]="","PENDIENTE",TablaVentas[[#This Row],[Unidades]]*TablaVentas[[#This Row],[Costo_unitario]])</f>
        <v>5405.49</v>
      </c>
      <c r="Q778">
        <f>IF(OR(TablaVentas[[#This Row],[Ingreso_neto]]="PENDIENTE",TablaVentas[[#This Row],[Costo_total]]="PENDIENTE"),"PENDIENTE",TablaVentas[[#This Row],[Ingreso_neto]]-TablaVentas[[#This Row],[Costo_total]])</f>
        <v>2395.1610000000001</v>
      </c>
    </row>
    <row r="779" spans="1:17">
      <c r="A779" t="s">
        <v>673</v>
      </c>
      <c r="B779">
        <v>1</v>
      </c>
      <c r="C779" s="3">
        <v>46285</v>
      </c>
      <c r="D779" t="s">
        <v>300</v>
      </c>
      <c r="E779" t="s">
        <v>61</v>
      </c>
      <c r="F779" t="s">
        <v>66</v>
      </c>
      <c r="G779" t="s">
        <v>50</v>
      </c>
      <c r="H779" t="s">
        <v>58</v>
      </c>
      <c r="I779">
        <v>2</v>
      </c>
      <c r="J779" s="4">
        <v>4574.67</v>
      </c>
      <c r="K779" s="5">
        <v>0.05</v>
      </c>
      <c r="L779" s="4">
        <v>2554.06</v>
      </c>
      <c r="M779" t="s">
        <v>42</v>
      </c>
      <c r="N779" t="s">
        <v>60</v>
      </c>
      <c r="O779">
        <f>IF(TablaVentas[[#This Row],[Precio_unitario]]="","PENDIENTE",TablaVentas[[#This Row],[Unidades]]*TablaVentas[[#This Row],[Precio_unitario]]*(1-TablaVentas[[#This Row],[Descuento_pct]]))</f>
        <v>8691.8729999999996</v>
      </c>
      <c r="P779">
        <f>IF(TablaVentas[[#This Row],[Costo_unitario]]="","PENDIENTE",TablaVentas[[#This Row],[Unidades]]*TablaVentas[[#This Row],[Costo_unitario]])</f>
        <v>5108.12</v>
      </c>
      <c r="Q779">
        <f>IF(OR(TablaVentas[[#This Row],[Ingreso_neto]]="PENDIENTE",TablaVentas[[#This Row],[Costo_total]]="PENDIENTE"),"PENDIENTE",TablaVentas[[#This Row],[Ingreso_neto]]-TablaVentas[[#This Row],[Costo_total]])</f>
        <v>3583.7529999999997</v>
      </c>
    </row>
    <row r="780" spans="1:17">
      <c r="A780" t="s">
        <v>673</v>
      </c>
      <c r="B780">
        <v>2</v>
      </c>
      <c r="C780" s="3">
        <v>46285</v>
      </c>
      <c r="D780" t="s">
        <v>300</v>
      </c>
      <c r="E780" t="s">
        <v>159</v>
      </c>
      <c r="F780" t="s">
        <v>66</v>
      </c>
      <c r="G780" t="s">
        <v>50</v>
      </c>
      <c r="H780" t="s">
        <v>58</v>
      </c>
      <c r="I780">
        <v>12</v>
      </c>
      <c r="J780" s="4">
        <v>11613.67</v>
      </c>
      <c r="K780" s="5">
        <v>0.1</v>
      </c>
      <c r="L780" s="4">
        <v>9317.3700000000008</v>
      </c>
      <c r="M780" t="s">
        <v>42</v>
      </c>
      <c r="N780" t="s">
        <v>45</v>
      </c>
      <c r="O780">
        <f>IF(TablaVentas[[#This Row],[Precio_unitario]]="","PENDIENTE",TablaVentas[[#This Row],[Unidades]]*TablaVentas[[#This Row],[Precio_unitario]]*(1-TablaVentas[[#This Row],[Descuento_pct]]))</f>
        <v>125427.63600000001</v>
      </c>
      <c r="P780">
        <f>IF(TablaVentas[[#This Row],[Costo_unitario]]="","PENDIENTE",TablaVentas[[#This Row],[Unidades]]*TablaVentas[[#This Row],[Costo_unitario]])</f>
        <v>111808.44</v>
      </c>
      <c r="Q780">
        <f>IF(OR(TablaVentas[[#This Row],[Ingreso_neto]]="PENDIENTE",TablaVentas[[#This Row],[Costo_total]]="PENDIENTE"),"PENDIENTE",TablaVentas[[#This Row],[Ingreso_neto]]-TablaVentas[[#This Row],[Costo_total]])</f>
        <v>13619.196000000011</v>
      </c>
    </row>
    <row r="781" spans="1:17">
      <c r="A781" t="s">
        <v>673</v>
      </c>
      <c r="B781">
        <v>3</v>
      </c>
      <c r="C781" s="3">
        <v>46285</v>
      </c>
      <c r="D781" t="s">
        <v>300</v>
      </c>
      <c r="E781" t="s">
        <v>94</v>
      </c>
      <c r="F781" t="s">
        <v>66</v>
      </c>
      <c r="G781" t="s">
        <v>50</v>
      </c>
      <c r="H781" t="s">
        <v>58</v>
      </c>
      <c r="I781">
        <v>2</v>
      </c>
      <c r="J781" s="4">
        <v>7239.12</v>
      </c>
      <c r="K781" s="5">
        <v>0</v>
      </c>
      <c r="L781" s="4">
        <v>4538.0600000000004</v>
      </c>
      <c r="M781" t="s">
        <v>42</v>
      </c>
      <c r="N781" t="s">
        <v>60</v>
      </c>
      <c r="O781">
        <f>IF(TablaVentas[[#This Row],[Precio_unitario]]="","PENDIENTE",TablaVentas[[#This Row],[Unidades]]*TablaVentas[[#This Row],[Precio_unitario]]*(1-TablaVentas[[#This Row],[Descuento_pct]]))</f>
        <v>14478.24</v>
      </c>
      <c r="P781">
        <f>IF(TablaVentas[[#This Row],[Costo_unitario]]="","PENDIENTE",TablaVentas[[#This Row],[Unidades]]*TablaVentas[[#This Row],[Costo_unitario]])</f>
        <v>9076.1200000000008</v>
      </c>
      <c r="Q781">
        <f>IF(OR(TablaVentas[[#This Row],[Ingreso_neto]]="PENDIENTE",TablaVentas[[#This Row],[Costo_total]]="PENDIENTE"),"PENDIENTE",TablaVentas[[#This Row],[Ingreso_neto]]-TablaVentas[[#This Row],[Costo_total]])</f>
        <v>5402.119999999999</v>
      </c>
    </row>
    <row r="782" spans="1:17">
      <c r="A782" t="s">
        <v>673</v>
      </c>
      <c r="B782">
        <v>4</v>
      </c>
      <c r="C782" s="3">
        <v>46285</v>
      </c>
      <c r="D782" t="s">
        <v>300</v>
      </c>
      <c r="E782" t="s">
        <v>223</v>
      </c>
      <c r="F782" t="s">
        <v>66</v>
      </c>
      <c r="G782" t="s">
        <v>50</v>
      </c>
      <c r="H782" t="s">
        <v>58</v>
      </c>
      <c r="I782">
        <v>1</v>
      </c>
      <c r="J782" s="4">
        <v>6839.06</v>
      </c>
      <c r="K782" s="5">
        <v>0</v>
      </c>
      <c r="L782" s="4">
        <v>3298.19</v>
      </c>
      <c r="M782" t="s">
        <v>42</v>
      </c>
      <c r="N782" t="s">
        <v>43</v>
      </c>
      <c r="O782">
        <f>IF(TablaVentas[[#This Row],[Precio_unitario]]="","PENDIENTE",TablaVentas[[#This Row],[Unidades]]*TablaVentas[[#This Row],[Precio_unitario]]*(1-TablaVentas[[#This Row],[Descuento_pct]]))</f>
        <v>6839.06</v>
      </c>
      <c r="P782">
        <f>IF(TablaVentas[[#This Row],[Costo_unitario]]="","PENDIENTE",TablaVentas[[#This Row],[Unidades]]*TablaVentas[[#This Row],[Costo_unitario]])</f>
        <v>3298.19</v>
      </c>
      <c r="Q782">
        <f>IF(OR(TablaVentas[[#This Row],[Ingreso_neto]]="PENDIENTE",TablaVentas[[#This Row],[Costo_total]]="PENDIENTE"),"PENDIENTE",TablaVentas[[#This Row],[Ingreso_neto]]-TablaVentas[[#This Row],[Costo_total]])</f>
        <v>3540.8700000000003</v>
      </c>
    </row>
    <row r="783" spans="1:17">
      <c r="A783" t="s">
        <v>674</v>
      </c>
      <c r="B783">
        <v>1</v>
      </c>
      <c r="C783" s="3">
        <v>46248</v>
      </c>
      <c r="D783" t="s">
        <v>489</v>
      </c>
      <c r="E783" t="s">
        <v>236</v>
      </c>
      <c r="F783" t="s">
        <v>39</v>
      </c>
      <c r="G783" t="s">
        <v>40</v>
      </c>
      <c r="H783" t="s">
        <v>51</v>
      </c>
      <c r="I783">
        <v>2</v>
      </c>
      <c r="J783" s="4">
        <v>10058.049999999999</v>
      </c>
      <c r="K783" s="5">
        <v>0</v>
      </c>
      <c r="L783" s="4">
        <v>8061.7</v>
      </c>
      <c r="M783" t="s">
        <v>42</v>
      </c>
      <c r="N783" t="s">
        <v>45</v>
      </c>
      <c r="O783">
        <f>IF(TablaVentas[[#This Row],[Precio_unitario]]="","PENDIENTE",TablaVentas[[#This Row],[Unidades]]*TablaVentas[[#This Row],[Precio_unitario]]*(1-TablaVentas[[#This Row],[Descuento_pct]]))</f>
        <v>20116.099999999999</v>
      </c>
      <c r="P783">
        <f>IF(TablaVentas[[#This Row],[Costo_unitario]]="","PENDIENTE",TablaVentas[[#This Row],[Unidades]]*TablaVentas[[#This Row],[Costo_unitario]])</f>
        <v>16123.4</v>
      </c>
      <c r="Q783">
        <f>IF(OR(TablaVentas[[#This Row],[Ingreso_neto]]="PENDIENTE",TablaVentas[[#This Row],[Costo_total]]="PENDIENTE"),"PENDIENTE",TablaVentas[[#This Row],[Ingreso_neto]]-TablaVentas[[#This Row],[Costo_total]])</f>
        <v>3992.6999999999989</v>
      </c>
    </row>
    <row r="784" spans="1:17">
      <c r="A784" t="s">
        <v>675</v>
      </c>
      <c r="B784">
        <v>1</v>
      </c>
      <c r="C784" s="3">
        <v>46273</v>
      </c>
      <c r="D784" t="s">
        <v>676</v>
      </c>
      <c r="E784" t="s">
        <v>258</v>
      </c>
      <c r="F784" t="s">
        <v>66</v>
      </c>
      <c r="G784" t="s">
        <v>40</v>
      </c>
      <c r="H784" t="s">
        <v>184</v>
      </c>
      <c r="I784">
        <v>2</v>
      </c>
      <c r="J784" s="4">
        <v>3814.25</v>
      </c>
      <c r="K784" s="5">
        <v>0</v>
      </c>
      <c r="L784" s="4">
        <v>2008.57</v>
      </c>
      <c r="M784" t="s">
        <v>42</v>
      </c>
      <c r="N784" t="s">
        <v>45</v>
      </c>
      <c r="O784">
        <f>IF(TablaVentas[[#This Row],[Precio_unitario]]="","PENDIENTE",TablaVentas[[#This Row],[Unidades]]*TablaVentas[[#This Row],[Precio_unitario]]*(1-TablaVentas[[#This Row],[Descuento_pct]]))</f>
        <v>7628.5</v>
      </c>
      <c r="P784">
        <f>IF(TablaVentas[[#This Row],[Costo_unitario]]="","PENDIENTE",TablaVentas[[#This Row],[Unidades]]*TablaVentas[[#This Row],[Costo_unitario]])</f>
        <v>4017.14</v>
      </c>
      <c r="Q784">
        <f>IF(OR(TablaVentas[[#This Row],[Ingreso_neto]]="PENDIENTE",TablaVentas[[#This Row],[Costo_total]]="PENDIENTE"),"PENDIENTE",TablaVentas[[#This Row],[Ingreso_neto]]-TablaVentas[[#This Row],[Costo_total]])</f>
        <v>3611.36</v>
      </c>
    </row>
    <row r="785" spans="1:17">
      <c r="A785" t="s">
        <v>675</v>
      </c>
      <c r="B785">
        <v>2</v>
      </c>
      <c r="C785" s="3">
        <v>46273</v>
      </c>
      <c r="D785" t="s">
        <v>676</v>
      </c>
      <c r="E785" t="s">
        <v>46</v>
      </c>
      <c r="F785" t="s">
        <v>66</v>
      </c>
      <c r="G785" t="s">
        <v>40</v>
      </c>
      <c r="H785" t="s">
        <v>184</v>
      </c>
      <c r="I785">
        <v>8</v>
      </c>
      <c r="J785" s="4">
        <v>4205.0200000000004</v>
      </c>
      <c r="K785" s="5">
        <v>0</v>
      </c>
      <c r="L785" s="4">
        <v>2957.6</v>
      </c>
      <c r="M785" t="s">
        <v>42</v>
      </c>
      <c r="N785" t="s">
        <v>45</v>
      </c>
      <c r="O785">
        <f>IF(TablaVentas[[#This Row],[Precio_unitario]]="","PENDIENTE",TablaVentas[[#This Row],[Unidades]]*TablaVentas[[#This Row],[Precio_unitario]]*(1-TablaVentas[[#This Row],[Descuento_pct]]))</f>
        <v>33640.160000000003</v>
      </c>
      <c r="P785">
        <f>IF(TablaVentas[[#This Row],[Costo_unitario]]="","PENDIENTE",TablaVentas[[#This Row],[Unidades]]*TablaVentas[[#This Row],[Costo_unitario]])</f>
        <v>23660.799999999999</v>
      </c>
      <c r="Q785">
        <f>IF(OR(TablaVentas[[#This Row],[Ingreso_neto]]="PENDIENTE",TablaVentas[[#This Row],[Costo_total]]="PENDIENTE"),"PENDIENTE",TablaVentas[[#This Row],[Ingreso_neto]]-TablaVentas[[#This Row],[Costo_total]])</f>
        <v>9979.3600000000042</v>
      </c>
    </row>
    <row r="786" spans="1:17">
      <c r="A786" t="s">
        <v>677</v>
      </c>
      <c r="B786">
        <v>1</v>
      </c>
      <c r="C786" s="3">
        <v>46231</v>
      </c>
      <c r="D786" t="s">
        <v>462</v>
      </c>
      <c r="E786" t="s">
        <v>76</v>
      </c>
      <c r="F786" t="s">
        <v>77</v>
      </c>
      <c r="G786" t="s">
        <v>57</v>
      </c>
      <c r="H786" t="s">
        <v>58</v>
      </c>
      <c r="I786">
        <v>1</v>
      </c>
      <c r="J786" s="4">
        <v>13310.29</v>
      </c>
      <c r="K786" s="5">
        <v>0.1</v>
      </c>
      <c r="L786" s="4">
        <v>7748.44</v>
      </c>
      <c r="M786" t="s">
        <v>42</v>
      </c>
      <c r="N786" t="s">
        <v>45</v>
      </c>
      <c r="O786">
        <f>IF(TablaVentas[[#This Row],[Precio_unitario]]="","PENDIENTE",TablaVentas[[#This Row],[Unidades]]*TablaVentas[[#This Row],[Precio_unitario]]*(1-TablaVentas[[#This Row],[Descuento_pct]]))</f>
        <v>11979.261</v>
      </c>
      <c r="P786">
        <f>IF(TablaVentas[[#This Row],[Costo_unitario]]="","PENDIENTE",TablaVentas[[#This Row],[Unidades]]*TablaVentas[[#This Row],[Costo_unitario]])</f>
        <v>7748.44</v>
      </c>
      <c r="Q786">
        <f>IF(OR(TablaVentas[[#This Row],[Ingreso_neto]]="PENDIENTE",TablaVentas[[#This Row],[Costo_total]]="PENDIENTE"),"PENDIENTE",TablaVentas[[#This Row],[Ingreso_neto]]-TablaVentas[[#This Row],[Costo_total]])</f>
        <v>4230.8210000000008</v>
      </c>
    </row>
    <row r="787" spans="1:17">
      <c r="A787" t="s">
        <v>677</v>
      </c>
      <c r="B787">
        <v>2</v>
      </c>
      <c r="C787" s="3">
        <v>46231</v>
      </c>
      <c r="D787" t="s">
        <v>462</v>
      </c>
      <c r="E787" t="s">
        <v>183</v>
      </c>
      <c r="F787" t="s">
        <v>77</v>
      </c>
      <c r="G787" t="s">
        <v>57</v>
      </c>
      <c r="H787" t="s">
        <v>58</v>
      </c>
      <c r="I787">
        <v>4</v>
      </c>
      <c r="J787" s="4">
        <v>5404.72</v>
      </c>
      <c r="K787" s="5">
        <v>0.2</v>
      </c>
      <c r="L787" s="4">
        <v>4325.7299999999996</v>
      </c>
      <c r="M787" t="s">
        <v>62</v>
      </c>
      <c r="N787" t="s">
        <v>43</v>
      </c>
      <c r="O787">
        <f>IF(TablaVentas[[#This Row],[Precio_unitario]]="","PENDIENTE",TablaVentas[[#This Row],[Unidades]]*TablaVentas[[#This Row],[Precio_unitario]]*(1-TablaVentas[[#This Row],[Descuento_pct]]))</f>
        <v>17295.104000000003</v>
      </c>
      <c r="P787">
        <f>IF(TablaVentas[[#This Row],[Costo_unitario]]="","PENDIENTE",TablaVentas[[#This Row],[Unidades]]*TablaVentas[[#This Row],[Costo_unitario]])</f>
        <v>17302.919999999998</v>
      </c>
      <c r="Q787">
        <f>IF(OR(TablaVentas[[#This Row],[Ingreso_neto]]="PENDIENTE",TablaVentas[[#This Row],[Costo_total]]="PENDIENTE"),"PENDIENTE",TablaVentas[[#This Row],[Ingreso_neto]]-TablaVentas[[#This Row],[Costo_total]])</f>
        <v>-7.8159999999952561</v>
      </c>
    </row>
    <row r="788" spans="1:17">
      <c r="A788" t="s">
        <v>678</v>
      </c>
      <c r="B788">
        <v>1</v>
      </c>
      <c r="C788" s="3">
        <v>46261</v>
      </c>
      <c r="D788" t="s">
        <v>400</v>
      </c>
      <c r="E788" t="s">
        <v>61</v>
      </c>
      <c r="F788" t="s">
        <v>56</v>
      </c>
      <c r="G788" t="s">
        <v>57</v>
      </c>
      <c r="H788" t="s">
        <v>82</v>
      </c>
      <c r="I788">
        <v>3</v>
      </c>
      <c r="J788" s="4">
        <v>4293.3</v>
      </c>
      <c r="K788" s="5">
        <v>0.15</v>
      </c>
      <c r="L788" s="4">
        <v>2554.06</v>
      </c>
      <c r="M788" t="s">
        <v>42</v>
      </c>
      <c r="N788" t="s">
        <v>52</v>
      </c>
      <c r="O788">
        <f>IF(TablaVentas[[#This Row],[Precio_unitario]]="","PENDIENTE",TablaVentas[[#This Row],[Unidades]]*TablaVentas[[#This Row],[Precio_unitario]]*(1-TablaVentas[[#This Row],[Descuento_pct]]))</f>
        <v>10947.915000000001</v>
      </c>
      <c r="P788">
        <f>IF(TablaVentas[[#This Row],[Costo_unitario]]="","PENDIENTE",TablaVentas[[#This Row],[Unidades]]*TablaVentas[[#This Row],[Costo_unitario]])</f>
        <v>7662.18</v>
      </c>
      <c r="Q788">
        <f>IF(OR(TablaVentas[[#This Row],[Ingreso_neto]]="PENDIENTE",TablaVentas[[#This Row],[Costo_total]]="PENDIENTE"),"PENDIENTE",TablaVentas[[#This Row],[Ingreso_neto]]-TablaVentas[[#This Row],[Costo_total]])</f>
        <v>3285.7350000000006</v>
      </c>
    </row>
    <row r="789" spans="1:17">
      <c r="A789" t="s">
        <v>679</v>
      </c>
      <c r="B789">
        <v>1</v>
      </c>
      <c r="C789" s="3">
        <v>46155</v>
      </c>
      <c r="D789" t="s">
        <v>680</v>
      </c>
      <c r="E789" t="s">
        <v>152</v>
      </c>
      <c r="F789" t="s">
        <v>56</v>
      </c>
      <c r="G789" t="s">
        <v>40</v>
      </c>
      <c r="H789" t="s">
        <v>124</v>
      </c>
      <c r="I789">
        <v>1</v>
      </c>
      <c r="J789" s="4">
        <v>2503.9699999999998</v>
      </c>
      <c r="K789" s="5">
        <v>0.15</v>
      </c>
      <c r="L789" s="4">
        <v>1962.3</v>
      </c>
      <c r="M789" t="s">
        <v>42</v>
      </c>
      <c r="N789" t="s">
        <v>45</v>
      </c>
      <c r="O789">
        <f>IF(TablaVentas[[#This Row],[Precio_unitario]]="","PENDIENTE",TablaVentas[[#This Row],[Unidades]]*TablaVentas[[#This Row],[Precio_unitario]]*(1-TablaVentas[[#This Row],[Descuento_pct]]))</f>
        <v>2128.3744999999999</v>
      </c>
      <c r="P789">
        <f>IF(TablaVentas[[#This Row],[Costo_unitario]]="","PENDIENTE",TablaVentas[[#This Row],[Unidades]]*TablaVentas[[#This Row],[Costo_unitario]])</f>
        <v>1962.3</v>
      </c>
      <c r="Q789">
        <f>IF(OR(TablaVentas[[#This Row],[Ingreso_neto]]="PENDIENTE",TablaVentas[[#This Row],[Costo_total]]="PENDIENTE"),"PENDIENTE",TablaVentas[[#This Row],[Ingreso_neto]]-TablaVentas[[#This Row],[Costo_total]])</f>
        <v>166.07449999999994</v>
      </c>
    </row>
    <row r="790" spans="1:17">
      <c r="A790" t="s">
        <v>679</v>
      </c>
      <c r="B790">
        <v>2</v>
      </c>
      <c r="C790" s="3">
        <v>46155</v>
      </c>
      <c r="D790" t="s">
        <v>680</v>
      </c>
      <c r="E790" t="s">
        <v>69</v>
      </c>
      <c r="F790" t="s">
        <v>56</v>
      </c>
      <c r="G790" t="s">
        <v>40</v>
      </c>
      <c r="H790" t="s">
        <v>124</v>
      </c>
      <c r="I790">
        <v>1</v>
      </c>
      <c r="J790" s="4">
        <v>12668.68</v>
      </c>
      <c r="K790" s="5">
        <v>0.15</v>
      </c>
      <c r="L790" s="4">
        <v>10094.26</v>
      </c>
      <c r="M790" t="s">
        <v>42</v>
      </c>
      <c r="N790" t="s">
        <v>43</v>
      </c>
      <c r="O790">
        <f>IF(TablaVentas[[#This Row],[Precio_unitario]]="","PENDIENTE",TablaVentas[[#This Row],[Unidades]]*TablaVentas[[#This Row],[Precio_unitario]]*(1-TablaVentas[[#This Row],[Descuento_pct]]))</f>
        <v>10768.378000000001</v>
      </c>
      <c r="P790">
        <f>IF(TablaVentas[[#This Row],[Costo_unitario]]="","PENDIENTE",TablaVentas[[#This Row],[Unidades]]*TablaVentas[[#This Row],[Costo_unitario]])</f>
        <v>10094.26</v>
      </c>
      <c r="Q790">
        <f>IF(OR(TablaVentas[[#This Row],[Ingreso_neto]]="PENDIENTE",TablaVentas[[#This Row],[Costo_total]]="PENDIENTE"),"PENDIENTE",TablaVentas[[#This Row],[Ingreso_neto]]-TablaVentas[[#This Row],[Costo_total]])</f>
        <v>674.11800000000039</v>
      </c>
    </row>
    <row r="791" spans="1:17">
      <c r="A791" t="s">
        <v>679</v>
      </c>
      <c r="B791">
        <v>3</v>
      </c>
      <c r="C791" s="3">
        <v>46155</v>
      </c>
      <c r="D791" t="s">
        <v>680</v>
      </c>
      <c r="E791" t="s">
        <v>143</v>
      </c>
      <c r="F791" t="s">
        <v>56</v>
      </c>
      <c r="G791" t="s">
        <v>40</v>
      </c>
      <c r="H791" t="s">
        <v>124</v>
      </c>
      <c r="I791">
        <v>1</v>
      </c>
      <c r="J791" s="4">
        <v>8637.35</v>
      </c>
      <c r="K791" s="5">
        <v>0.15</v>
      </c>
      <c r="L791" s="4">
        <v>6815.42</v>
      </c>
      <c r="M791" t="s">
        <v>116</v>
      </c>
      <c r="N791" t="s">
        <v>60</v>
      </c>
      <c r="O791">
        <f>IF(TablaVentas[[#This Row],[Precio_unitario]]="","PENDIENTE",TablaVentas[[#This Row],[Unidades]]*TablaVentas[[#This Row],[Precio_unitario]]*(1-TablaVentas[[#This Row],[Descuento_pct]]))</f>
        <v>7341.7475000000004</v>
      </c>
      <c r="P791">
        <f>IF(TablaVentas[[#This Row],[Costo_unitario]]="","PENDIENTE",TablaVentas[[#This Row],[Unidades]]*TablaVentas[[#This Row],[Costo_unitario]])</f>
        <v>6815.42</v>
      </c>
      <c r="Q791">
        <f>IF(OR(TablaVentas[[#This Row],[Ingreso_neto]]="PENDIENTE",TablaVentas[[#This Row],[Costo_total]]="PENDIENTE"),"PENDIENTE",TablaVentas[[#This Row],[Ingreso_neto]]-TablaVentas[[#This Row],[Costo_total]])</f>
        <v>526.32750000000033</v>
      </c>
    </row>
    <row r="792" spans="1:17">
      <c r="A792" t="s">
        <v>681</v>
      </c>
      <c r="B792">
        <v>1</v>
      </c>
      <c r="C792" s="3">
        <v>46148</v>
      </c>
      <c r="D792" t="s">
        <v>75</v>
      </c>
      <c r="E792" t="s">
        <v>156</v>
      </c>
      <c r="F792" t="s">
        <v>77</v>
      </c>
      <c r="G792" t="s">
        <v>50</v>
      </c>
      <c r="H792" t="s">
        <v>124</v>
      </c>
      <c r="I792">
        <v>1</v>
      </c>
      <c r="J792" s="4">
        <v>20269.490000000002</v>
      </c>
      <c r="K792" s="5">
        <v>0</v>
      </c>
      <c r="L792" s="4">
        <v>13981.13</v>
      </c>
      <c r="M792" t="s">
        <v>42</v>
      </c>
      <c r="N792" t="s">
        <v>43</v>
      </c>
      <c r="O792">
        <f>IF(TablaVentas[[#This Row],[Precio_unitario]]="","PENDIENTE",TablaVentas[[#This Row],[Unidades]]*TablaVentas[[#This Row],[Precio_unitario]]*(1-TablaVentas[[#This Row],[Descuento_pct]]))</f>
        <v>20269.490000000002</v>
      </c>
      <c r="P792">
        <f>IF(TablaVentas[[#This Row],[Costo_unitario]]="","PENDIENTE",TablaVentas[[#This Row],[Unidades]]*TablaVentas[[#This Row],[Costo_unitario]])</f>
        <v>13981.13</v>
      </c>
      <c r="Q792">
        <f>IF(OR(TablaVentas[[#This Row],[Ingreso_neto]]="PENDIENTE",TablaVentas[[#This Row],[Costo_total]]="PENDIENTE"),"PENDIENTE",TablaVentas[[#This Row],[Ingreso_neto]]-TablaVentas[[#This Row],[Costo_total]])</f>
        <v>6288.3600000000024</v>
      </c>
    </row>
    <row r="793" spans="1:17">
      <c r="A793" t="s">
        <v>681</v>
      </c>
      <c r="B793">
        <v>2</v>
      </c>
      <c r="C793" s="3">
        <v>46148</v>
      </c>
      <c r="D793" t="s">
        <v>75</v>
      </c>
      <c r="E793" t="s">
        <v>143</v>
      </c>
      <c r="F793" t="s">
        <v>77</v>
      </c>
      <c r="G793" t="s">
        <v>50</v>
      </c>
      <c r="H793" t="s">
        <v>124</v>
      </c>
      <c r="I793">
        <v>2</v>
      </c>
      <c r="J793" s="4">
        <v>10129.67</v>
      </c>
      <c r="K793" s="5">
        <v>0</v>
      </c>
      <c r="L793" s="4">
        <v>6815.42</v>
      </c>
      <c r="M793" t="s">
        <v>42</v>
      </c>
      <c r="N793" t="s">
        <v>43</v>
      </c>
      <c r="O793">
        <f>IF(TablaVentas[[#This Row],[Precio_unitario]]="","PENDIENTE",TablaVentas[[#This Row],[Unidades]]*TablaVentas[[#This Row],[Precio_unitario]]*(1-TablaVentas[[#This Row],[Descuento_pct]]))</f>
        <v>20259.34</v>
      </c>
      <c r="P793">
        <f>IF(TablaVentas[[#This Row],[Costo_unitario]]="","PENDIENTE",TablaVentas[[#This Row],[Unidades]]*TablaVentas[[#This Row],[Costo_unitario]])</f>
        <v>13630.84</v>
      </c>
      <c r="Q793">
        <f>IF(OR(TablaVentas[[#This Row],[Ingreso_neto]]="PENDIENTE",TablaVentas[[#This Row],[Costo_total]]="PENDIENTE"),"PENDIENTE",TablaVentas[[#This Row],[Ingreso_neto]]-TablaVentas[[#This Row],[Costo_total]])</f>
        <v>6628.5</v>
      </c>
    </row>
    <row r="794" spans="1:17">
      <c r="A794" t="s">
        <v>682</v>
      </c>
      <c r="B794">
        <v>1</v>
      </c>
      <c r="C794" s="3">
        <v>46216</v>
      </c>
      <c r="D794" t="s">
        <v>554</v>
      </c>
      <c r="E794" t="s">
        <v>180</v>
      </c>
      <c r="F794" t="s">
        <v>66</v>
      </c>
      <c r="G794" t="s">
        <v>50</v>
      </c>
      <c r="H794" t="s">
        <v>41</v>
      </c>
      <c r="I794">
        <v>8</v>
      </c>
      <c r="J794" s="4">
        <v>6143.68</v>
      </c>
      <c r="K794" s="5">
        <v>0.1</v>
      </c>
      <c r="L794" s="4">
        <v>3824.92</v>
      </c>
      <c r="M794" t="s">
        <v>42</v>
      </c>
      <c r="N794" t="s">
        <v>60</v>
      </c>
      <c r="O794">
        <f>IF(TablaVentas[[#This Row],[Precio_unitario]]="","PENDIENTE",TablaVentas[[#This Row],[Unidades]]*TablaVentas[[#This Row],[Precio_unitario]]*(1-TablaVentas[[#This Row],[Descuento_pct]]))</f>
        <v>44234.496000000006</v>
      </c>
      <c r="P794">
        <f>IF(TablaVentas[[#This Row],[Costo_unitario]]="","PENDIENTE",TablaVentas[[#This Row],[Unidades]]*TablaVentas[[#This Row],[Costo_unitario]])</f>
        <v>30599.360000000001</v>
      </c>
      <c r="Q794">
        <f>IF(OR(TablaVentas[[#This Row],[Ingreso_neto]]="PENDIENTE",TablaVentas[[#This Row],[Costo_total]]="PENDIENTE"),"PENDIENTE",TablaVentas[[#This Row],[Ingreso_neto]]-TablaVentas[[#This Row],[Costo_total]])</f>
        <v>13635.136000000006</v>
      </c>
    </row>
    <row r="795" spans="1:17">
      <c r="A795" t="s">
        <v>682</v>
      </c>
      <c r="B795">
        <v>2</v>
      </c>
      <c r="C795" s="3">
        <v>46216</v>
      </c>
      <c r="D795" t="s">
        <v>554</v>
      </c>
      <c r="E795" t="s">
        <v>143</v>
      </c>
      <c r="F795" t="s">
        <v>66</v>
      </c>
      <c r="G795" t="s">
        <v>50</v>
      </c>
      <c r="H795" t="s">
        <v>41</v>
      </c>
      <c r="I795">
        <v>2</v>
      </c>
      <c r="J795" s="4">
        <v>10188.68</v>
      </c>
      <c r="K795" s="5">
        <v>0.1</v>
      </c>
      <c r="L795" s="4">
        <v>6815.42</v>
      </c>
      <c r="M795" t="s">
        <v>42</v>
      </c>
      <c r="N795" t="s">
        <v>45</v>
      </c>
      <c r="O795">
        <f>IF(TablaVentas[[#This Row],[Precio_unitario]]="","PENDIENTE",TablaVentas[[#This Row],[Unidades]]*TablaVentas[[#This Row],[Precio_unitario]]*(1-TablaVentas[[#This Row],[Descuento_pct]]))</f>
        <v>18339.624</v>
      </c>
      <c r="P795">
        <f>IF(TablaVentas[[#This Row],[Costo_unitario]]="","PENDIENTE",TablaVentas[[#This Row],[Unidades]]*TablaVentas[[#This Row],[Costo_unitario]])</f>
        <v>13630.84</v>
      </c>
      <c r="Q795">
        <f>IF(OR(TablaVentas[[#This Row],[Ingreso_neto]]="PENDIENTE",TablaVentas[[#This Row],[Costo_total]]="PENDIENTE"),"PENDIENTE",TablaVentas[[#This Row],[Ingreso_neto]]-TablaVentas[[#This Row],[Costo_total]])</f>
        <v>4708.7839999999997</v>
      </c>
    </row>
    <row r="796" spans="1:17">
      <c r="A796" t="s">
        <v>683</v>
      </c>
      <c r="B796">
        <v>1</v>
      </c>
      <c r="C796" s="3">
        <v>46116</v>
      </c>
      <c r="D796" t="s">
        <v>465</v>
      </c>
      <c r="E796" t="s">
        <v>320</v>
      </c>
      <c r="F796" t="s">
        <v>39</v>
      </c>
      <c r="G796" t="s">
        <v>40</v>
      </c>
      <c r="H796" t="s">
        <v>41</v>
      </c>
      <c r="I796">
        <v>1</v>
      </c>
      <c r="J796" s="4">
        <v>5067.42</v>
      </c>
      <c r="K796" s="5">
        <v>0.15</v>
      </c>
      <c r="L796" s="4">
        <v>3065.66</v>
      </c>
      <c r="M796" t="s">
        <v>42</v>
      </c>
      <c r="N796" t="s">
        <v>52</v>
      </c>
      <c r="O796">
        <f>IF(TablaVentas[[#This Row],[Precio_unitario]]="","PENDIENTE",TablaVentas[[#This Row],[Unidades]]*TablaVentas[[#This Row],[Precio_unitario]]*(1-TablaVentas[[#This Row],[Descuento_pct]]))</f>
        <v>4307.3069999999998</v>
      </c>
      <c r="P796">
        <f>IF(TablaVentas[[#This Row],[Costo_unitario]]="","PENDIENTE",TablaVentas[[#This Row],[Unidades]]*TablaVentas[[#This Row],[Costo_unitario]])</f>
        <v>3065.66</v>
      </c>
      <c r="Q796">
        <f>IF(OR(TablaVentas[[#This Row],[Ingreso_neto]]="PENDIENTE",TablaVentas[[#This Row],[Costo_total]]="PENDIENTE"),"PENDIENTE",TablaVentas[[#This Row],[Ingreso_neto]]-TablaVentas[[#This Row],[Costo_total]])</f>
        <v>1241.6469999999999</v>
      </c>
    </row>
    <row r="797" spans="1:17">
      <c r="A797" t="s">
        <v>684</v>
      </c>
      <c r="B797">
        <v>1</v>
      </c>
      <c r="C797" s="3">
        <v>46187</v>
      </c>
      <c r="D797" t="s">
        <v>388</v>
      </c>
      <c r="E797" t="s">
        <v>46</v>
      </c>
      <c r="F797" t="s">
        <v>39</v>
      </c>
      <c r="G797" t="s">
        <v>50</v>
      </c>
      <c r="H797" t="s">
        <v>73</v>
      </c>
      <c r="I797">
        <v>2</v>
      </c>
      <c r="J797" s="4">
        <v>4113.07</v>
      </c>
      <c r="K797" s="5">
        <v>0.15</v>
      </c>
      <c r="L797" s="4">
        <v>2957.6</v>
      </c>
      <c r="M797" t="s">
        <v>42</v>
      </c>
      <c r="N797" t="s">
        <v>43</v>
      </c>
      <c r="O797">
        <f>IF(TablaVentas[[#This Row],[Precio_unitario]]="","PENDIENTE",TablaVentas[[#This Row],[Unidades]]*TablaVentas[[#This Row],[Precio_unitario]]*(1-TablaVentas[[#This Row],[Descuento_pct]]))</f>
        <v>6992.2189999999991</v>
      </c>
      <c r="P797">
        <f>IF(TablaVentas[[#This Row],[Costo_unitario]]="","PENDIENTE",TablaVentas[[#This Row],[Unidades]]*TablaVentas[[#This Row],[Costo_unitario]])</f>
        <v>5915.2</v>
      </c>
      <c r="Q797">
        <f>IF(OR(TablaVentas[[#This Row],[Ingreso_neto]]="PENDIENTE",TablaVentas[[#This Row],[Costo_total]]="PENDIENTE"),"PENDIENTE",TablaVentas[[#This Row],[Ingreso_neto]]-TablaVentas[[#This Row],[Costo_total]])</f>
        <v>1077.0189999999993</v>
      </c>
    </row>
    <row r="798" spans="1:17">
      <c r="A798" t="s">
        <v>684</v>
      </c>
      <c r="B798">
        <v>2</v>
      </c>
      <c r="C798" s="3">
        <v>46187</v>
      </c>
      <c r="D798" t="s">
        <v>388</v>
      </c>
      <c r="E798" t="s">
        <v>86</v>
      </c>
      <c r="F798" t="s">
        <v>39</v>
      </c>
      <c r="G798" t="s">
        <v>50</v>
      </c>
      <c r="H798" t="s">
        <v>73</v>
      </c>
      <c r="I798">
        <v>2</v>
      </c>
      <c r="J798" s="4">
        <v>15569.43</v>
      </c>
      <c r="K798" s="5">
        <v>0.2</v>
      </c>
      <c r="L798" s="4">
        <v>11166.03</v>
      </c>
      <c r="M798" t="s">
        <v>42</v>
      </c>
      <c r="N798" t="s">
        <v>45</v>
      </c>
      <c r="O798">
        <f>IF(TablaVentas[[#This Row],[Precio_unitario]]="","PENDIENTE",TablaVentas[[#This Row],[Unidades]]*TablaVentas[[#This Row],[Precio_unitario]]*(1-TablaVentas[[#This Row],[Descuento_pct]]))</f>
        <v>24911.088000000003</v>
      </c>
      <c r="P798">
        <f>IF(TablaVentas[[#This Row],[Costo_unitario]]="","PENDIENTE",TablaVentas[[#This Row],[Unidades]]*TablaVentas[[#This Row],[Costo_unitario]])</f>
        <v>22332.06</v>
      </c>
      <c r="Q798">
        <f>IF(OR(TablaVentas[[#This Row],[Ingreso_neto]]="PENDIENTE",TablaVentas[[#This Row],[Costo_total]]="PENDIENTE"),"PENDIENTE",TablaVentas[[#This Row],[Ingreso_neto]]-TablaVentas[[#This Row],[Costo_total]])</f>
        <v>2579.0280000000021</v>
      </c>
    </row>
    <row r="799" spans="1:17">
      <c r="A799" t="s">
        <v>685</v>
      </c>
      <c r="B799">
        <v>1</v>
      </c>
      <c r="C799" s="3">
        <v>46295</v>
      </c>
      <c r="D799" t="s">
        <v>402</v>
      </c>
      <c r="E799" t="s">
        <v>206</v>
      </c>
      <c r="F799" t="s">
        <v>77</v>
      </c>
      <c r="G799" t="s">
        <v>50</v>
      </c>
      <c r="H799" t="s">
        <v>67</v>
      </c>
      <c r="I799">
        <v>1</v>
      </c>
      <c r="J799" s="4">
        <v>5290.89</v>
      </c>
      <c r="K799" s="5">
        <v>0</v>
      </c>
      <c r="L799" s="4">
        <v>4008.77</v>
      </c>
      <c r="M799" t="s">
        <v>42</v>
      </c>
      <c r="N799" t="s">
        <v>43</v>
      </c>
      <c r="O799">
        <f>IF(TablaVentas[[#This Row],[Precio_unitario]]="","PENDIENTE",TablaVentas[[#This Row],[Unidades]]*TablaVentas[[#This Row],[Precio_unitario]]*(1-TablaVentas[[#This Row],[Descuento_pct]]))</f>
        <v>5290.89</v>
      </c>
      <c r="P799">
        <f>IF(TablaVentas[[#This Row],[Costo_unitario]]="","PENDIENTE",TablaVentas[[#This Row],[Unidades]]*TablaVentas[[#This Row],[Costo_unitario]])</f>
        <v>4008.77</v>
      </c>
      <c r="Q799">
        <f>IF(OR(TablaVentas[[#This Row],[Ingreso_neto]]="PENDIENTE",TablaVentas[[#This Row],[Costo_total]]="PENDIENTE"),"PENDIENTE",TablaVentas[[#This Row],[Ingreso_neto]]-TablaVentas[[#This Row],[Costo_total]])</f>
        <v>1282.1200000000003</v>
      </c>
    </row>
    <row r="800" spans="1:17">
      <c r="A800" t="s">
        <v>685</v>
      </c>
      <c r="B800">
        <v>2</v>
      </c>
      <c r="C800" s="3">
        <v>46295</v>
      </c>
      <c r="D800" t="s">
        <v>402</v>
      </c>
      <c r="E800" t="s">
        <v>403</v>
      </c>
      <c r="F800" t="s">
        <v>77</v>
      </c>
      <c r="G800" t="s">
        <v>50</v>
      </c>
      <c r="H800" t="s">
        <v>67</v>
      </c>
      <c r="I800">
        <v>3</v>
      </c>
      <c r="J800" s="4">
        <v>2809.28</v>
      </c>
      <c r="K800" s="5">
        <v>0</v>
      </c>
      <c r="L800" s="4">
        <v>1801.83</v>
      </c>
      <c r="M800" t="s">
        <v>42</v>
      </c>
      <c r="N800" t="s">
        <v>45</v>
      </c>
      <c r="O800">
        <f>IF(TablaVentas[[#This Row],[Precio_unitario]]="","PENDIENTE",TablaVentas[[#This Row],[Unidades]]*TablaVentas[[#This Row],[Precio_unitario]]*(1-TablaVentas[[#This Row],[Descuento_pct]]))</f>
        <v>8427.84</v>
      </c>
      <c r="P800">
        <f>IF(TablaVentas[[#This Row],[Costo_unitario]]="","PENDIENTE",TablaVentas[[#This Row],[Unidades]]*TablaVentas[[#This Row],[Costo_unitario]])</f>
        <v>5405.49</v>
      </c>
      <c r="Q800">
        <f>IF(OR(TablaVentas[[#This Row],[Ingreso_neto]]="PENDIENTE",TablaVentas[[#This Row],[Costo_total]]="PENDIENTE"),"PENDIENTE",TablaVentas[[#This Row],[Ingreso_neto]]-TablaVentas[[#This Row],[Costo_total]])</f>
        <v>3022.3500000000004</v>
      </c>
    </row>
    <row r="801" spans="1:17">
      <c r="A801" t="s">
        <v>686</v>
      </c>
      <c r="B801">
        <v>1</v>
      </c>
      <c r="C801" s="3">
        <v>46086</v>
      </c>
      <c r="D801" t="s">
        <v>182</v>
      </c>
      <c r="E801" t="s">
        <v>378</v>
      </c>
      <c r="F801" t="s">
        <v>56</v>
      </c>
      <c r="G801" t="s">
        <v>50</v>
      </c>
      <c r="H801" t="s">
        <v>51</v>
      </c>
      <c r="I801">
        <v>1</v>
      </c>
      <c r="J801" s="4">
        <v>3322.61</v>
      </c>
      <c r="K801" s="5">
        <v>0</v>
      </c>
      <c r="L801" s="4">
        <v>2864.64</v>
      </c>
      <c r="M801" t="s">
        <v>42</v>
      </c>
      <c r="N801" t="s">
        <v>60</v>
      </c>
      <c r="O801">
        <f>IF(TablaVentas[[#This Row],[Precio_unitario]]="","PENDIENTE",TablaVentas[[#This Row],[Unidades]]*TablaVentas[[#This Row],[Precio_unitario]]*(1-TablaVentas[[#This Row],[Descuento_pct]]))</f>
        <v>3322.61</v>
      </c>
      <c r="P801">
        <f>IF(TablaVentas[[#This Row],[Costo_unitario]]="","PENDIENTE",TablaVentas[[#This Row],[Unidades]]*TablaVentas[[#This Row],[Costo_unitario]])</f>
        <v>2864.64</v>
      </c>
      <c r="Q801">
        <f>IF(OR(TablaVentas[[#This Row],[Ingreso_neto]]="PENDIENTE",TablaVentas[[#This Row],[Costo_total]]="PENDIENTE"),"PENDIENTE",TablaVentas[[#This Row],[Ingreso_neto]]-TablaVentas[[#This Row],[Costo_total]])</f>
        <v>457.97000000000025</v>
      </c>
    </row>
    <row r="802" spans="1:17">
      <c r="A802" t="s">
        <v>686</v>
      </c>
      <c r="B802">
        <v>2</v>
      </c>
      <c r="C802" s="3">
        <v>46086</v>
      </c>
      <c r="D802" t="s">
        <v>182</v>
      </c>
      <c r="E802" t="s">
        <v>164</v>
      </c>
      <c r="F802" t="s">
        <v>56</v>
      </c>
      <c r="G802" t="s">
        <v>50</v>
      </c>
      <c r="H802" t="s">
        <v>51</v>
      </c>
      <c r="I802">
        <v>1</v>
      </c>
      <c r="J802" s="4">
        <v>5921.92</v>
      </c>
      <c r="K802" s="5">
        <v>0.05</v>
      </c>
      <c r="L802" s="4">
        <v>5050.04</v>
      </c>
      <c r="M802" t="s">
        <v>42</v>
      </c>
      <c r="N802" t="s">
        <v>60</v>
      </c>
      <c r="O802">
        <f>IF(TablaVentas[[#This Row],[Precio_unitario]]="","PENDIENTE",TablaVentas[[#This Row],[Unidades]]*TablaVentas[[#This Row],[Precio_unitario]]*(1-TablaVentas[[#This Row],[Descuento_pct]]))</f>
        <v>5625.8239999999996</v>
      </c>
      <c r="P802">
        <f>IF(TablaVentas[[#This Row],[Costo_unitario]]="","PENDIENTE",TablaVentas[[#This Row],[Unidades]]*TablaVentas[[#This Row],[Costo_unitario]])</f>
        <v>5050.04</v>
      </c>
      <c r="Q802">
        <f>IF(OR(TablaVentas[[#This Row],[Ingreso_neto]]="PENDIENTE",TablaVentas[[#This Row],[Costo_total]]="PENDIENTE"),"PENDIENTE",TablaVentas[[#This Row],[Ingreso_neto]]-TablaVentas[[#This Row],[Costo_total]])</f>
        <v>575.78399999999965</v>
      </c>
    </row>
    <row r="803" spans="1:17">
      <c r="A803" t="s">
        <v>687</v>
      </c>
      <c r="B803">
        <v>1</v>
      </c>
      <c r="C803" s="3">
        <v>46239</v>
      </c>
      <c r="D803" t="s">
        <v>688</v>
      </c>
      <c r="E803" t="s">
        <v>216</v>
      </c>
      <c r="F803" t="s">
        <v>66</v>
      </c>
      <c r="G803" t="s">
        <v>57</v>
      </c>
      <c r="H803" t="s">
        <v>184</v>
      </c>
      <c r="I803">
        <v>4</v>
      </c>
      <c r="J803" s="4">
        <v>16120.49</v>
      </c>
      <c r="K803" s="5">
        <v>0</v>
      </c>
      <c r="L803" s="4">
        <v>12064.41</v>
      </c>
      <c r="M803" t="s">
        <v>42</v>
      </c>
      <c r="N803" t="s">
        <v>43</v>
      </c>
      <c r="O803">
        <f>IF(TablaVentas[[#This Row],[Precio_unitario]]="","PENDIENTE",TablaVentas[[#This Row],[Unidades]]*TablaVentas[[#This Row],[Precio_unitario]]*(1-TablaVentas[[#This Row],[Descuento_pct]]))</f>
        <v>64481.96</v>
      </c>
      <c r="P803">
        <f>IF(TablaVentas[[#This Row],[Costo_unitario]]="","PENDIENTE",TablaVentas[[#This Row],[Unidades]]*TablaVentas[[#This Row],[Costo_unitario]])</f>
        <v>48257.64</v>
      </c>
      <c r="Q803">
        <f>IF(OR(TablaVentas[[#This Row],[Ingreso_neto]]="PENDIENTE",TablaVentas[[#This Row],[Costo_total]]="PENDIENTE"),"PENDIENTE",TablaVentas[[#This Row],[Ingreso_neto]]-TablaVentas[[#This Row],[Costo_total]])</f>
        <v>16224.32</v>
      </c>
    </row>
    <row r="804" spans="1:17">
      <c r="A804" t="s">
        <v>689</v>
      </c>
      <c r="B804">
        <v>1</v>
      </c>
      <c r="C804" s="3">
        <v>46288</v>
      </c>
      <c r="D804" t="s">
        <v>690</v>
      </c>
      <c r="E804" t="s">
        <v>69</v>
      </c>
      <c r="F804" t="s">
        <v>66</v>
      </c>
      <c r="G804" t="s">
        <v>50</v>
      </c>
      <c r="H804" t="s">
        <v>67</v>
      </c>
      <c r="I804">
        <v>1</v>
      </c>
      <c r="J804" s="4">
        <v>11714.68</v>
      </c>
      <c r="K804" s="5">
        <v>0.15</v>
      </c>
      <c r="L804" s="4">
        <v>10094.26</v>
      </c>
      <c r="M804" t="s">
        <v>116</v>
      </c>
      <c r="N804" t="s">
        <v>52</v>
      </c>
      <c r="O804">
        <f>IF(TablaVentas[[#This Row],[Precio_unitario]]="","PENDIENTE",TablaVentas[[#This Row],[Unidades]]*TablaVentas[[#This Row],[Precio_unitario]]*(1-TablaVentas[[#This Row],[Descuento_pct]]))</f>
        <v>9957.4779999999992</v>
      </c>
      <c r="P804">
        <f>IF(TablaVentas[[#This Row],[Costo_unitario]]="","PENDIENTE",TablaVentas[[#This Row],[Unidades]]*TablaVentas[[#This Row],[Costo_unitario]])</f>
        <v>10094.26</v>
      </c>
      <c r="Q804">
        <f>IF(OR(TablaVentas[[#This Row],[Ingreso_neto]]="PENDIENTE",TablaVentas[[#This Row],[Costo_total]]="PENDIENTE"),"PENDIENTE",TablaVentas[[#This Row],[Ingreso_neto]]-TablaVentas[[#This Row],[Costo_total]])</f>
        <v>-136.78200000000106</v>
      </c>
    </row>
    <row r="805" spans="1:17">
      <c r="A805" t="s">
        <v>689</v>
      </c>
      <c r="B805">
        <v>2</v>
      </c>
      <c r="C805" s="3">
        <v>46288</v>
      </c>
      <c r="D805" t="s">
        <v>690</v>
      </c>
      <c r="E805" t="s">
        <v>397</v>
      </c>
      <c r="F805" t="s">
        <v>66</v>
      </c>
      <c r="G805" t="s">
        <v>50</v>
      </c>
      <c r="H805" t="s">
        <v>67</v>
      </c>
      <c r="I805">
        <v>1</v>
      </c>
      <c r="J805" s="4">
        <v>5819.19</v>
      </c>
      <c r="K805" s="5">
        <v>0</v>
      </c>
      <c r="L805" s="4">
        <v>3640.56</v>
      </c>
      <c r="M805" t="s">
        <v>42</v>
      </c>
      <c r="N805" t="s">
        <v>60</v>
      </c>
      <c r="O805">
        <f>IF(TablaVentas[[#This Row],[Precio_unitario]]="","PENDIENTE",TablaVentas[[#This Row],[Unidades]]*TablaVentas[[#This Row],[Precio_unitario]]*(1-TablaVentas[[#This Row],[Descuento_pct]]))</f>
        <v>5819.19</v>
      </c>
      <c r="P805">
        <f>IF(TablaVentas[[#This Row],[Costo_unitario]]="","PENDIENTE",TablaVentas[[#This Row],[Unidades]]*TablaVentas[[#This Row],[Costo_unitario]])</f>
        <v>3640.56</v>
      </c>
      <c r="Q805">
        <f>IF(OR(TablaVentas[[#This Row],[Ingreso_neto]]="PENDIENTE",TablaVentas[[#This Row],[Costo_total]]="PENDIENTE"),"PENDIENTE",TablaVentas[[#This Row],[Ingreso_neto]]-TablaVentas[[#This Row],[Costo_total]])</f>
        <v>2178.6299999999997</v>
      </c>
    </row>
    <row r="806" spans="1:17">
      <c r="A806" t="s">
        <v>691</v>
      </c>
      <c r="B806">
        <v>1</v>
      </c>
      <c r="C806" s="3">
        <v>46290</v>
      </c>
      <c r="D806" t="s">
        <v>492</v>
      </c>
      <c r="E806" t="s">
        <v>172</v>
      </c>
      <c r="F806" t="s">
        <v>77</v>
      </c>
      <c r="G806" t="s">
        <v>57</v>
      </c>
      <c r="H806" t="s">
        <v>82</v>
      </c>
      <c r="I806">
        <v>2</v>
      </c>
      <c r="J806" s="4">
        <v>15042.22</v>
      </c>
      <c r="K806" s="5">
        <v>0.2</v>
      </c>
      <c r="L806" s="4">
        <v>10830.17</v>
      </c>
      <c r="M806" t="s">
        <v>42</v>
      </c>
      <c r="N806" t="s">
        <v>60</v>
      </c>
      <c r="O806">
        <f>IF(TablaVentas[[#This Row],[Precio_unitario]]="","PENDIENTE",TablaVentas[[#This Row],[Unidades]]*TablaVentas[[#This Row],[Precio_unitario]]*(1-TablaVentas[[#This Row],[Descuento_pct]]))</f>
        <v>24067.552</v>
      </c>
      <c r="P806">
        <f>IF(TablaVentas[[#This Row],[Costo_unitario]]="","PENDIENTE",TablaVentas[[#This Row],[Unidades]]*TablaVentas[[#This Row],[Costo_unitario]])</f>
        <v>21660.34</v>
      </c>
      <c r="Q806">
        <f>IF(OR(TablaVentas[[#This Row],[Ingreso_neto]]="PENDIENTE",TablaVentas[[#This Row],[Costo_total]]="PENDIENTE"),"PENDIENTE",TablaVentas[[#This Row],[Ingreso_neto]]-TablaVentas[[#This Row],[Costo_total]])</f>
        <v>2407.2119999999995</v>
      </c>
    </row>
    <row r="807" spans="1:17">
      <c r="A807" t="s">
        <v>692</v>
      </c>
      <c r="B807">
        <v>1</v>
      </c>
      <c r="C807" s="3">
        <v>46149</v>
      </c>
      <c r="D807" t="s">
        <v>309</v>
      </c>
      <c r="E807" t="s">
        <v>378</v>
      </c>
      <c r="F807" t="s">
        <v>77</v>
      </c>
      <c r="G807" t="s">
        <v>57</v>
      </c>
      <c r="H807" t="s">
        <v>67</v>
      </c>
      <c r="I807">
        <v>1</v>
      </c>
      <c r="J807" s="4">
        <v>3615.33</v>
      </c>
      <c r="K807" s="5">
        <v>0</v>
      </c>
      <c r="L807" s="4">
        <v>2864.64</v>
      </c>
      <c r="M807" t="s">
        <v>42</v>
      </c>
      <c r="N807" t="s">
        <v>52</v>
      </c>
      <c r="O807">
        <f>IF(TablaVentas[[#This Row],[Precio_unitario]]="","PENDIENTE",TablaVentas[[#This Row],[Unidades]]*TablaVentas[[#This Row],[Precio_unitario]]*(1-TablaVentas[[#This Row],[Descuento_pct]]))</f>
        <v>3615.33</v>
      </c>
      <c r="P807">
        <f>IF(TablaVentas[[#This Row],[Costo_unitario]]="","PENDIENTE",TablaVentas[[#This Row],[Unidades]]*TablaVentas[[#This Row],[Costo_unitario]])</f>
        <v>2864.64</v>
      </c>
      <c r="Q807">
        <f>IF(OR(TablaVentas[[#This Row],[Ingreso_neto]]="PENDIENTE",TablaVentas[[#This Row],[Costo_total]]="PENDIENTE"),"PENDIENTE",TablaVentas[[#This Row],[Ingreso_neto]]-TablaVentas[[#This Row],[Costo_total]])</f>
        <v>750.69</v>
      </c>
    </row>
    <row r="808" spans="1:17">
      <c r="A808" t="s">
        <v>692</v>
      </c>
      <c r="B808">
        <v>2</v>
      </c>
      <c r="C808" s="3">
        <v>46149</v>
      </c>
      <c r="D808" t="s">
        <v>309</v>
      </c>
      <c r="E808" t="s">
        <v>140</v>
      </c>
      <c r="F808" t="s">
        <v>77</v>
      </c>
      <c r="G808" t="s">
        <v>57</v>
      </c>
      <c r="H808" t="s">
        <v>67</v>
      </c>
      <c r="I808">
        <v>12</v>
      </c>
      <c r="J808" s="4">
        <v>3190.46</v>
      </c>
      <c r="K808" s="5">
        <v>0</v>
      </c>
      <c r="L808" s="4">
        <v>2427.63</v>
      </c>
      <c r="M808" t="s">
        <v>62</v>
      </c>
      <c r="N808" t="s">
        <v>60</v>
      </c>
      <c r="O808">
        <f>IF(TablaVentas[[#This Row],[Precio_unitario]]="","PENDIENTE",TablaVentas[[#This Row],[Unidades]]*TablaVentas[[#This Row],[Precio_unitario]]*(1-TablaVentas[[#This Row],[Descuento_pct]]))</f>
        <v>38285.520000000004</v>
      </c>
      <c r="P808">
        <f>IF(TablaVentas[[#This Row],[Costo_unitario]]="","PENDIENTE",TablaVentas[[#This Row],[Unidades]]*TablaVentas[[#This Row],[Costo_unitario]])</f>
        <v>29131.56</v>
      </c>
      <c r="Q808">
        <f>IF(OR(TablaVentas[[#This Row],[Ingreso_neto]]="PENDIENTE",TablaVentas[[#This Row],[Costo_total]]="PENDIENTE"),"PENDIENTE",TablaVentas[[#This Row],[Ingreso_neto]]-TablaVentas[[#This Row],[Costo_total]])</f>
        <v>9153.9600000000028</v>
      </c>
    </row>
    <row r="809" spans="1:17">
      <c r="A809" t="s">
        <v>693</v>
      </c>
      <c r="B809">
        <v>1</v>
      </c>
      <c r="C809" s="3">
        <v>46129</v>
      </c>
      <c r="D809" t="s">
        <v>189</v>
      </c>
      <c r="E809" t="s">
        <v>61</v>
      </c>
      <c r="F809" t="s">
        <v>66</v>
      </c>
      <c r="G809" t="s">
        <v>50</v>
      </c>
      <c r="H809" t="s">
        <v>102</v>
      </c>
      <c r="I809">
        <v>4</v>
      </c>
      <c r="J809" s="4">
        <v>4951.0200000000004</v>
      </c>
      <c r="K809" s="5">
        <v>0</v>
      </c>
      <c r="L809" s="4">
        <v>2554.06</v>
      </c>
      <c r="M809" t="s">
        <v>42</v>
      </c>
      <c r="N809" t="s">
        <v>52</v>
      </c>
      <c r="O809">
        <f>IF(TablaVentas[[#This Row],[Precio_unitario]]="","PENDIENTE",TablaVentas[[#This Row],[Unidades]]*TablaVentas[[#This Row],[Precio_unitario]]*(1-TablaVentas[[#This Row],[Descuento_pct]]))</f>
        <v>19804.080000000002</v>
      </c>
      <c r="P809">
        <f>IF(TablaVentas[[#This Row],[Costo_unitario]]="","PENDIENTE",TablaVentas[[#This Row],[Unidades]]*TablaVentas[[#This Row],[Costo_unitario]])</f>
        <v>10216.24</v>
      </c>
      <c r="Q809">
        <f>IF(OR(TablaVentas[[#This Row],[Ingreso_neto]]="PENDIENTE",TablaVentas[[#This Row],[Costo_total]]="PENDIENTE"),"PENDIENTE",TablaVentas[[#This Row],[Ingreso_neto]]-TablaVentas[[#This Row],[Costo_total]])</f>
        <v>9587.840000000002</v>
      </c>
    </row>
    <row r="810" spans="1:17">
      <c r="A810" t="s">
        <v>693</v>
      </c>
      <c r="B810">
        <v>2</v>
      </c>
      <c r="C810" s="3">
        <v>46129</v>
      </c>
      <c r="D810" t="s">
        <v>189</v>
      </c>
      <c r="E810" t="s">
        <v>94</v>
      </c>
      <c r="F810" t="s">
        <v>66</v>
      </c>
      <c r="G810" t="s">
        <v>50</v>
      </c>
      <c r="H810" t="s">
        <v>102</v>
      </c>
      <c r="I810">
        <v>4</v>
      </c>
      <c r="J810" s="4">
        <v>8031.38</v>
      </c>
      <c r="K810" s="5">
        <v>0.1</v>
      </c>
      <c r="L810" s="4">
        <v>4538.0600000000004</v>
      </c>
      <c r="M810" t="s">
        <v>42</v>
      </c>
      <c r="N810" t="s">
        <v>52</v>
      </c>
      <c r="O810">
        <f>IF(TablaVentas[[#This Row],[Precio_unitario]]="","PENDIENTE",TablaVentas[[#This Row],[Unidades]]*TablaVentas[[#This Row],[Precio_unitario]]*(1-TablaVentas[[#This Row],[Descuento_pct]]))</f>
        <v>28912.968000000001</v>
      </c>
      <c r="P810">
        <f>IF(TablaVentas[[#This Row],[Costo_unitario]]="","PENDIENTE",TablaVentas[[#This Row],[Unidades]]*TablaVentas[[#This Row],[Costo_unitario]])</f>
        <v>18152.240000000002</v>
      </c>
      <c r="Q810">
        <f>IF(OR(TablaVentas[[#This Row],[Ingreso_neto]]="PENDIENTE",TablaVentas[[#This Row],[Costo_total]]="PENDIENTE"),"PENDIENTE",TablaVentas[[#This Row],[Ingreso_neto]]-TablaVentas[[#This Row],[Costo_total]])</f>
        <v>10760.727999999999</v>
      </c>
    </row>
    <row r="811" spans="1:17">
      <c r="A811" t="s">
        <v>693</v>
      </c>
      <c r="B811">
        <v>3</v>
      </c>
      <c r="C811" s="3">
        <v>46129</v>
      </c>
      <c r="D811" t="s">
        <v>189</v>
      </c>
      <c r="E811" t="s">
        <v>143</v>
      </c>
      <c r="F811" t="s">
        <v>66</v>
      </c>
      <c r="G811" t="s">
        <v>50</v>
      </c>
      <c r="H811" t="s">
        <v>102</v>
      </c>
      <c r="I811">
        <v>2</v>
      </c>
      <c r="J811" s="4">
        <v>8998.65</v>
      </c>
      <c r="K811" s="5">
        <v>0</v>
      </c>
      <c r="L811" s="4">
        <v>6815.42</v>
      </c>
      <c r="M811" t="s">
        <v>42</v>
      </c>
      <c r="N811" t="s">
        <v>45</v>
      </c>
      <c r="O811">
        <f>IF(TablaVentas[[#This Row],[Precio_unitario]]="","PENDIENTE",TablaVentas[[#This Row],[Unidades]]*TablaVentas[[#This Row],[Precio_unitario]]*(1-TablaVentas[[#This Row],[Descuento_pct]]))</f>
        <v>17997.3</v>
      </c>
      <c r="P811">
        <f>IF(TablaVentas[[#This Row],[Costo_unitario]]="","PENDIENTE",TablaVentas[[#This Row],[Unidades]]*TablaVentas[[#This Row],[Costo_unitario]])</f>
        <v>13630.84</v>
      </c>
      <c r="Q811">
        <f>IF(OR(TablaVentas[[#This Row],[Ingreso_neto]]="PENDIENTE",TablaVentas[[#This Row],[Costo_total]]="PENDIENTE"),"PENDIENTE",TablaVentas[[#This Row],[Ingreso_neto]]-TablaVentas[[#This Row],[Costo_total]])</f>
        <v>4366.4599999999991</v>
      </c>
    </row>
    <row r="812" spans="1:17">
      <c r="A812" t="s">
        <v>694</v>
      </c>
      <c r="B812">
        <v>1</v>
      </c>
      <c r="C812" s="3">
        <v>46245</v>
      </c>
      <c r="D812" t="s">
        <v>137</v>
      </c>
      <c r="E812" t="s">
        <v>132</v>
      </c>
      <c r="F812" t="s">
        <v>39</v>
      </c>
      <c r="G812" t="s">
        <v>50</v>
      </c>
      <c r="H812" t="s">
        <v>41</v>
      </c>
      <c r="I812">
        <v>3</v>
      </c>
      <c r="J812" s="4">
        <v>17448.07</v>
      </c>
      <c r="K812" s="5">
        <v>0</v>
      </c>
      <c r="L812" s="4">
        <v>11036.95</v>
      </c>
      <c r="M812" t="s">
        <v>42</v>
      </c>
      <c r="N812" t="s">
        <v>60</v>
      </c>
      <c r="O812">
        <f>IF(TablaVentas[[#This Row],[Precio_unitario]]="","PENDIENTE",TablaVentas[[#This Row],[Unidades]]*TablaVentas[[#This Row],[Precio_unitario]]*(1-TablaVentas[[#This Row],[Descuento_pct]]))</f>
        <v>52344.21</v>
      </c>
      <c r="P812">
        <f>IF(TablaVentas[[#This Row],[Costo_unitario]]="","PENDIENTE",TablaVentas[[#This Row],[Unidades]]*TablaVentas[[#This Row],[Costo_unitario]])</f>
        <v>33110.850000000006</v>
      </c>
      <c r="Q812">
        <f>IF(OR(TablaVentas[[#This Row],[Ingreso_neto]]="PENDIENTE",TablaVentas[[#This Row],[Costo_total]]="PENDIENTE"),"PENDIENTE",TablaVentas[[#This Row],[Ingreso_neto]]-TablaVentas[[#This Row],[Costo_total]])</f>
        <v>19233.359999999993</v>
      </c>
    </row>
    <row r="813" spans="1:17">
      <c r="A813" t="s">
        <v>694</v>
      </c>
      <c r="B813">
        <v>2</v>
      </c>
      <c r="C813" s="3">
        <v>46245</v>
      </c>
      <c r="D813" t="s">
        <v>137</v>
      </c>
      <c r="E813" t="s">
        <v>353</v>
      </c>
      <c r="F813" t="s">
        <v>39</v>
      </c>
      <c r="G813" t="s">
        <v>50</v>
      </c>
      <c r="H813" t="s">
        <v>41</v>
      </c>
      <c r="I813">
        <v>4</v>
      </c>
      <c r="J813" s="4">
        <v>2255.29</v>
      </c>
      <c r="K813" s="5">
        <v>0</v>
      </c>
      <c r="L813" s="4">
        <v>1479.71</v>
      </c>
      <c r="M813" t="s">
        <v>42</v>
      </c>
      <c r="N813" t="s">
        <v>52</v>
      </c>
      <c r="O813">
        <f>IF(TablaVentas[[#This Row],[Precio_unitario]]="","PENDIENTE",TablaVentas[[#This Row],[Unidades]]*TablaVentas[[#This Row],[Precio_unitario]]*(1-TablaVentas[[#This Row],[Descuento_pct]]))</f>
        <v>9021.16</v>
      </c>
      <c r="P813">
        <f>IF(TablaVentas[[#This Row],[Costo_unitario]]="","PENDIENTE",TablaVentas[[#This Row],[Unidades]]*TablaVentas[[#This Row],[Costo_unitario]])</f>
        <v>5918.84</v>
      </c>
      <c r="Q813">
        <f>IF(OR(TablaVentas[[#This Row],[Ingreso_neto]]="PENDIENTE",TablaVentas[[#This Row],[Costo_total]]="PENDIENTE"),"PENDIENTE",TablaVentas[[#This Row],[Ingreso_neto]]-TablaVentas[[#This Row],[Costo_total]])</f>
        <v>3102.3199999999997</v>
      </c>
    </row>
    <row r="814" spans="1:17">
      <c r="A814" t="s">
        <v>694</v>
      </c>
      <c r="B814">
        <v>3</v>
      </c>
      <c r="C814" s="3">
        <v>46245</v>
      </c>
      <c r="D814" t="s">
        <v>137</v>
      </c>
      <c r="E814" t="s">
        <v>175</v>
      </c>
      <c r="F814" t="s">
        <v>39</v>
      </c>
      <c r="G814" t="s">
        <v>50</v>
      </c>
      <c r="H814" t="s">
        <v>41</v>
      </c>
      <c r="I814">
        <v>2</v>
      </c>
      <c r="J814" s="4">
        <v>2750.77</v>
      </c>
      <c r="K814" s="5">
        <v>0</v>
      </c>
      <c r="L814" s="4">
        <v>1857.39</v>
      </c>
      <c r="M814" t="s">
        <v>42</v>
      </c>
      <c r="N814" t="s">
        <v>43</v>
      </c>
      <c r="O814">
        <f>IF(TablaVentas[[#This Row],[Precio_unitario]]="","PENDIENTE",TablaVentas[[#This Row],[Unidades]]*TablaVentas[[#This Row],[Precio_unitario]]*(1-TablaVentas[[#This Row],[Descuento_pct]]))</f>
        <v>5501.54</v>
      </c>
      <c r="P814">
        <f>IF(TablaVentas[[#This Row],[Costo_unitario]]="","PENDIENTE",TablaVentas[[#This Row],[Unidades]]*TablaVentas[[#This Row],[Costo_unitario]])</f>
        <v>3714.78</v>
      </c>
      <c r="Q814">
        <f>IF(OR(TablaVentas[[#This Row],[Ingreso_neto]]="PENDIENTE",TablaVentas[[#This Row],[Costo_total]]="PENDIENTE"),"PENDIENTE",TablaVentas[[#This Row],[Ingreso_neto]]-TablaVentas[[#This Row],[Costo_total]])</f>
        <v>1786.7599999999998</v>
      </c>
    </row>
    <row r="815" spans="1:17">
      <c r="A815" t="s">
        <v>694</v>
      </c>
      <c r="B815">
        <v>4</v>
      </c>
      <c r="C815" s="3">
        <v>46245</v>
      </c>
      <c r="D815" t="s">
        <v>137</v>
      </c>
      <c r="E815" t="s">
        <v>76</v>
      </c>
      <c r="F815" t="s">
        <v>39</v>
      </c>
      <c r="G815" t="s">
        <v>50</v>
      </c>
      <c r="H815" t="s">
        <v>41</v>
      </c>
      <c r="I815">
        <v>3</v>
      </c>
      <c r="J815" s="4">
        <v>14453.85</v>
      </c>
      <c r="K815" s="5">
        <v>0</v>
      </c>
      <c r="L815" s="4">
        <v>7748.44</v>
      </c>
      <c r="M815" t="s">
        <v>42</v>
      </c>
      <c r="N815" t="s">
        <v>43</v>
      </c>
      <c r="O815">
        <f>IF(TablaVentas[[#This Row],[Precio_unitario]]="","PENDIENTE",TablaVentas[[#This Row],[Unidades]]*TablaVentas[[#This Row],[Precio_unitario]]*(1-TablaVentas[[#This Row],[Descuento_pct]]))</f>
        <v>43361.55</v>
      </c>
      <c r="P815">
        <f>IF(TablaVentas[[#This Row],[Costo_unitario]]="","PENDIENTE",TablaVentas[[#This Row],[Unidades]]*TablaVentas[[#This Row],[Costo_unitario]])</f>
        <v>23245.32</v>
      </c>
      <c r="Q815">
        <f>IF(OR(TablaVentas[[#This Row],[Ingreso_neto]]="PENDIENTE",TablaVentas[[#This Row],[Costo_total]]="PENDIENTE"),"PENDIENTE",TablaVentas[[#This Row],[Ingreso_neto]]-TablaVentas[[#This Row],[Costo_total]])</f>
        <v>20116.230000000003</v>
      </c>
    </row>
    <row r="816" spans="1:17">
      <c r="A816" t="s">
        <v>695</v>
      </c>
      <c r="B816">
        <v>1</v>
      </c>
      <c r="C816" s="3">
        <v>46276</v>
      </c>
      <c r="D816" t="s">
        <v>214</v>
      </c>
      <c r="E816" t="s">
        <v>93</v>
      </c>
      <c r="F816" t="s">
        <v>77</v>
      </c>
      <c r="G816" t="s">
        <v>57</v>
      </c>
      <c r="H816" t="s">
        <v>124</v>
      </c>
      <c r="I816">
        <v>5</v>
      </c>
      <c r="J816" s="4">
        <v>15613.58</v>
      </c>
      <c r="K816" s="5">
        <v>0</v>
      </c>
      <c r="L816" s="4">
        <v>8788.7900000000009</v>
      </c>
      <c r="M816" t="s">
        <v>42</v>
      </c>
      <c r="N816" t="s">
        <v>45</v>
      </c>
      <c r="O816">
        <f>IF(TablaVentas[[#This Row],[Precio_unitario]]="","PENDIENTE",TablaVentas[[#This Row],[Unidades]]*TablaVentas[[#This Row],[Precio_unitario]]*(1-TablaVentas[[#This Row],[Descuento_pct]]))</f>
        <v>78067.899999999994</v>
      </c>
      <c r="P816">
        <f>IF(TablaVentas[[#This Row],[Costo_unitario]]="","PENDIENTE",TablaVentas[[#This Row],[Unidades]]*TablaVentas[[#This Row],[Costo_unitario]])</f>
        <v>43943.950000000004</v>
      </c>
      <c r="Q816">
        <f>IF(OR(TablaVentas[[#This Row],[Ingreso_neto]]="PENDIENTE",TablaVentas[[#This Row],[Costo_total]]="PENDIENTE"),"PENDIENTE",TablaVentas[[#This Row],[Ingreso_neto]]-TablaVentas[[#This Row],[Costo_total]])</f>
        <v>34123.94999999999</v>
      </c>
    </row>
    <row r="817" spans="1:17">
      <c r="A817" t="s">
        <v>695</v>
      </c>
      <c r="B817">
        <v>2</v>
      </c>
      <c r="C817" s="3">
        <v>46276</v>
      </c>
      <c r="D817" t="s">
        <v>214</v>
      </c>
      <c r="E817" t="s">
        <v>144</v>
      </c>
      <c r="F817" t="s">
        <v>77</v>
      </c>
      <c r="G817" t="s">
        <v>57</v>
      </c>
      <c r="H817" t="s">
        <v>124</v>
      </c>
      <c r="I817">
        <v>4</v>
      </c>
      <c r="J817" s="4">
        <v>8786.9699999999993</v>
      </c>
      <c r="K817" s="5">
        <v>0</v>
      </c>
      <c r="L817" s="4">
        <v>5125.3599999999997</v>
      </c>
      <c r="M817" t="s">
        <v>42</v>
      </c>
      <c r="N817" t="s">
        <v>60</v>
      </c>
      <c r="O817">
        <f>IF(TablaVentas[[#This Row],[Precio_unitario]]="","PENDIENTE",TablaVentas[[#This Row],[Unidades]]*TablaVentas[[#This Row],[Precio_unitario]]*(1-TablaVentas[[#This Row],[Descuento_pct]]))</f>
        <v>35147.879999999997</v>
      </c>
      <c r="P817">
        <f>IF(TablaVentas[[#This Row],[Costo_unitario]]="","PENDIENTE",TablaVentas[[#This Row],[Unidades]]*TablaVentas[[#This Row],[Costo_unitario]])</f>
        <v>20501.439999999999</v>
      </c>
      <c r="Q817">
        <f>IF(OR(TablaVentas[[#This Row],[Ingreso_neto]]="PENDIENTE",TablaVentas[[#This Row],[Costo_total]]="PENDIENTE"),"PENDIENTE",TablaVentas[[#This Row],[Ingreso_neto]]-TablaVentas[[#This Row],[Costo_total]])</f>
        <v>14646.439999999999</v>
      </c>
    </row>
    <row r="818" spans="1:17">
      <c r="A818" t="s">
        <v>695</v>
      </c>
      <c r="B818">
        <v>3</v>
      </c>
      <c r="C818" s="3">
        <v>46276</v>
      </c>
      <c r="D818" t="s">
        <v>214</v>
      </c>
      <c r="E818" t="s">
        <v>106</v>
      </c>
      <c r="F818" t="s">
        <v>77</v>
      </c>
      <c r="G818" t="s">
        <v>57</v>
      </c>
      <c r="H818" t="s">
        <v>124</v>
      </c>
      <c r="I818">
        <v>12</v>
      </c>
      <c r="J818" s="4">
        <v>9029.9500000000007</v>
      </c>
      <c r="K818" s="5">
        <v>0</v>
      </c>
      <c r="L818" s="4">
        <v>8276.74</v>
      </c>
      <c r="M818" t="s">
        <v>42</v>
      </c>
      <c r="N818" t="s">
        <v>45</v>
      </c>
      <c r="O818">
        <f>IF(TablaVentas[[#This Row],[Precio_unitario]]="","PENDIENTE",TablaVentas[[#This Row],[Unidades]]*TablaVentas[[#This Row],[Precio_unitario]]*(1-TablaVentas[[#This Row],[Descuento_pct]]))</f>
        <v>108359.40000000001</v>
      </c>
      <c r="P818">
        <f>IF(TablaVentas[[#This Row],[Costo_unitario]]="","PENDIENTE",TablaVentas[[#This Row],[Unidades]]*TablaVentas[[#This Row],[Costo_unitario]])</f>
        <v>99320.88</v>
      </c>
      <c r="Q818">
        <f>IF(OR(TablaVentas[[#This Row],[Ingreso_neto]]="PENDIENTE",TablaVentas[[#This Row],[Costo_total]]="PENDIENTE"),"PENDIENTE",TablaVentas[[#This Row],[Ingreso_neto]]-TablaVentas[[#This Row],[Costo_total]])</f>
        <v>9038.5200000000041</v>
      </c>
    </row>
    <row r="819" spans="1:17">
      <c r="A819" t="s">
        <v>696</v>
      </c>
      <c r="B819">
        <v>1</v>
      </c>
      <c r="C819" s="3">
        <v>46236</v>
      </c>
      <c r="D819" t="s">
        <v>478</v>
      </c>
      <c r="E819" t="s">
        <v>134</v>
      </c>
      <c r="F819" t="s">
        <v>77</v>
      </c>
      <c r="G819" t="s">
        <v>40</v>
      </c>
      <c r="H819" t="s">
        <v>124</v>
      </c>
      <c r="I819">
        <v>8</v>
      </c>
      <c r="J819" s="4">
        <v>262.8</v>
      </c>
      <c r="K819" s="5">
        <v>0</v>
      </c>
      <c r="L819" s="4">
        <v>176.47</v>
      </c>
      <c r="M819" t="s">
        <v>42</v>
      </c>
      <c r="N819" t="s">
        <v>45</v>
      </c>
      <c r="O819">
        <f>IF(TablaVentas[[#This Row],[Precio_unitario]]="","PENDIENTE",TablaVentas[[#This Row],[Unidades]]*TablaVentas[[#This Row],[Precio_unitario]]*(1-TablaVentas[[#This Row],[Descuento_pct]]))</f>
        <v>2102.4</v>
      </c>
      <c r="P819">
        <f>IF(TablaVentas[[#This Row],[Costo_unitario]]="","PENDIENTE",TablaVentas[[#This Row],[Unidades]]*TablaVentas[[#This Row],[Costo_unitario]])</f>
        <v>1411.76</v>
      </c>
      <c r="Q819">
        <f>IF(OR(TablaVentas[[#This Row],[Ingreso_neto]]="PENDIENTE",TablaVentas[[#This Row],[Costo_total]]="PENDIENTE"),"PENDIENTE",TablaVentas[[#This Row],[Ingreso_neto]]-TablaVentas[[#This Row],[Costo_total]])</f>
        <v>690.6400000000001</v>
      </c>
    </row>
    <row r="820" spans="1:17">
      <c r="A820" t="s">
        <v>696</v>
      </c>
      <c r="B820">
        <v>2</v>
      </c>
      <c r="C820" s="3">
        <v>46236</v>
      </c>
      <c r="D820" t="s">
        <v>478</v>
      </c>
      <c r="E820" t="s">
        <v>180</v>
      </c>
      <c r="F820" t="s">
        <v>77</v>
      </c>
      <c r="G820" t="s">
        <v>40</v>
      </c>
      <c r="H820" t="s">
        <v>124</v>
      </c>
      <c r="I820">
        <v>1</v>
      </c>
      <c r="J820" s="4">
        <v>6836.42</v>
      </c>
      <c r="K820" s="5">
        <v>0.2</v>
      </c>
      <c r="L820" s="4">
        <v>3824.92</v>
      </c>
      <c r="M820" t="s">
        <v>42</v>
      </c>
      <c r="N820" t="s">
        <v>52</v>
      </c>
      <c r="O820">
        <f>IF(TablaVentas[[#This Row],[Precio_unitario]]="","PENDIENTE",TablaVentas[[#This Row],[Unidades]]*TablaVentas[[#This Row],[Precio_unitario]]*(1-TablaVentas[[#This Row],[Descuento_pct]]))</f>
        <v>5469.1360000000004</v>
      </c>
      <c r="P820">
        <f>IF(TablaVentas[[#This Row],[Costo_unitario]]="","PENDIENTE",TablaVentas[[#This Row],[Unidades]]*TablaVentas[[#This Row],[Costo_unitario]])</f>
        <v>3824.92</v>
      </c>
      <c r="Q820">
        <f>IF(OR(TablaVentas[[#This Row],[Ingreso_neto]]="PENDIENTE",TablaVentas[[#This Row],[Costo_total]]="PENDIENTE"),"PENDIENTE",TablaVentas[[#This Row],[Ingreso_neto]]-TablaVentas[[#This Row],[Costo_total]])</f>
        <v>1644.2160000000003</v>
      </c>
    </row>
    <row r="821" spans="1:17">
      <c r="A821" t="s">
        <v>697</v>
      </c>
      <c r="B821">
        <v>1</v>
      </c>
      <c r="C821" s="3">
        <v>46175</v>
      </c>
      <c r="D821" t="s">
        <v>518</v>
      </c>
      <c r="E821" t="s">
        <v>113</v>
      </c>
      <c r="F821" t="s">
        <v>66</v>
      </c>
      <c r="G821" t="s">
        <v>50</v>
      </c>
      <c r="H821" t="s">
        <v>51</v>
      </c>
      <c r="I821">
        <v>2</v>
      </c>
      <c r="J821" s="4">
        <v>3157.34</v>
      </c>
      <c r="K821" s="5">
        <v>0.2</v>
      </c>
      <c r="L821" s="4">
        <v>2196.34</v>
      </c>
      <c r="M821" t="s">
        <v>42</v>
      </c>
      <c r="N821" t="s">
        <v>45</v>
      </c>
      <c r="O821">
        <f>IF(TablaVentas[[#This Row],[Precio_unitario]]="","PENDIENTE",TablaVentas[[#This Row],[Unidades]]*TablaVentas[[#This Row],[Precio_unitario]]*(1-TablaVentas[[#This Row],[Descuento_pct]]))</f>
        <v>5051.7440000000006</v>
      </c>
      <c r="P821">
        <f>IF(TablaVentas[[#This Row],[Costo_unitario]]="","PENDIENTE",TablaVentas[[#This Row],[Unidades]]*TablaVentas[[#This Row],[Costo_unitario]])</f>
        <v>4392.68</v>
      </c>
      <c r="Q821">
        <f>IF(OR(TablaVentas[[#This Row],[Ingreso_neto]]="PENDIENTE",TablaVentas[[#This Row],[Costo_total]]="PENDIENTE"),"PENDIENTE",TablaVentas[[#This Row],[Ingreso_neto]]-TablaVentas[[#This Row],[Costo_total]])</f>
        <v>659.06400000000031</v>
      </c>
    </row>
    <row r="822" spans="1:17">
      <c r="A822" t="s">
        <v>698</v>
      </c>
      <c r="B822">
        <v>1</v>
      </c>
      <c r="C822" s="3">
        <v>46095</v>
      </c>
      <c r="D822" t="s">
        <v>414</v>
      </c>
      <c r="E822" t="s">
        <v>110</v>
      </c>
      <c r="F822" t="s">
        <v>77</v>
      </c>
      <c r="G822" t="s">
        <v>40</v>
      </c>
      <c r="H822" t="s">
        <v>129</v>
      </c>
      <c r="I822">
        <v>2</v>
      </c>
      <c r="J822" s="4">
        <v>5328.89</v>
      </c>
      <c r="K822" s="5">
        <v>0</v>
      </c>
      <c r="L822" s="4">
        <v>4205.6899999999996</v>
      </c>
      <c r="M822" t="s">
        <v>42</v>
      </c>
      <c r="N822" t="s">
        <v>60</v>
      </c>
      <c r="O822">
        <f>IF(TablaVentas[[#This Row],[Precio_unitario]]="","PENDIENTE",TablaVentas[[#This Row],[Unidades]]*TablaVentas[[#This Row],[Precio_unitario]]*(1-TablaVentas[[#This Row],[Descuento_pct]]))</f>
        <v>10657.78</v>
      </c>
      <c r="P822">
        <f>IF(TablaVentas[[#This Row],[Costo_unitario]]="","PENDIENTE",TablaVentas[[#This Row],[Unidades]]*TablaVentas[[#This Row],[Costo_unitario]])</f>
        <v>8411.3799999999992</v>
      </c>
      <c r="Q822">
        <f>IF(OR(TablaVentas[[#This Row],[Ingreso_neto]]="PENDIENTE",TablaVentas[[#This Row],[Costo_total]]="PENDIENTE"),"PENDIENTE",TablaVentas[[#This Row],[Ingreso_neto]]-TablaVentas[[#This Row],[Costo_total]])</f>
        <v>2246.4000000000015</v>
      </c>
    </row>
    <row r="823" spans="1:17">
      <c r="A823" t="s">
        <v>698</v>
      </c>
      <c r="B823">
        <v>2</v>
      </c>
      <c r="C823" s="3">
        <v>46095</v>
      </c>
      <c r="D823" t="s">
        <v>414</v>
      </c>
      <c r="E823" t="s">
        <v>103</v>
      </c>
      <c r="F823" t="s">
        <v>77</v>
      </c>
      <c r="G823" t="s">
        <v>40</v>
      </c>
      <c r="H823" t="s">
        <v>129</v>
      </c>
      <c r="I823">
        <v>5</v>
      </c>
      <c r="J823" s="4">
        <v>11773.76</v>
      </c>
      <c r="K823" s="5">
        <v>0.1</v>
      </c>
      <c r="L823" s="4">
        <v>7549.71</v>
      </c>
      <c r="M823" t="s">
        <v>42</v>
      </c>
      <c r="N823" t="s">
        <v>45</v>
      </c>
      <c r="O823">
        <f>IF(TablaVentas[[#This Row],[Precio_unitario]]="","PENDIENTE",TablaVentas[[#This Row],[Unidades]]*TablaVentas[[#This Row],[Precio_unitario]]*(1-TablaVentas[[#This Row],[Descuento_pct]]))</f>
        <v>52981.920000000006</v>
      </c>
      <c r="P823">
        <f>IF(TablaVentas[[#This Row],[Costo_unitario]]="","PENDIENTE",TablaVentas[[#This Row],[Unidades]]*TablaVentas[[#This Row],[Costo_unitario]])</f>
        <v>37748.550000000003</v>
      </c>
      <c r="Q823">
        <f>IF(OR(TablaVentas[[#This Row],[Ingreso_neto]]="PENDIENTE",TablaVentas[[#This Row],[Costo_total]]="PENDIENTE"),"PENDIENTE",TablaVentas[[#This Row],[Ingreso_neto]]-TablaVentas[[#This Row],[Costo_total]])</f>
        <v>15233.370000000003</v>
      </c>
    </row>
    <row r="824" spans="1:17">
      <c r="A824" t="s">
        <v>698</v>
      </c>
      <c r="B824">
        <v>3</v>
      </c>
      <c r="C824" s="3">
        <v>46095</v>
      </c>
      <c r="D824" t="s">
        <v>414</v>
      </c>
      <c r="E824" t="s">
        <v>378</v>
      </c>
      <c r="F824" t="s">
        <v>77</v>
      </c>
      <c r="G824" t="s">
        <v>40</v>
      </c>
      <c r="H824" t="s">
        <v>129</v>
      </c>
      <c r="I824">
        <v>1</v>
      </c>
      <c r="J824" s="4">
        <v>3472.33</v>
      </c>
      <c r="K824" s="5">
        <v>0</v>
      </c>
      <c r="L824" s="4">
        <v>2864.64</v>
      </c>
      <c r="M824" t="s">
        <v>42</v>
      </c>
      <c r="N824" t="s">
        <v>60</v>
      </c>
      <c r="O824">
        <f>IF(TablaVentas[[#This Row],[Precio_unitario]]="","PENDIENTE",TablaVentas[[#This Row],[Unidades]]*TablaVentas[[#This Row],[Precio_unitario]]*(1-TablaVentas[[#This Row],[Descuento_pct]]))</f>
        <v>3472.33</v>
      </c>
      <c r="P824">
        <f>IF(TablaVentas[[#This Row],[Costo_unitario]]="","PENDIENTE",TablaVentas[[#This Row],[Unidades]]*TablaVentas[[#This Row],[Costo_unitario]])</f>
        <v>2864.64</v>
      </c>
      <c r="Q824">
        <f>IF(OR(TablaVentas[[#This Row],[Ingreso_neto]]="PENDIENTE",TablaVentas[[#This Row],[Costo_total]]="PENDIENTE"),"PENDIENTE",TablaVentas[[#This Row],[Ingreso_neto]]-TablaVentas[[#This Row],[Costo_total]])</f>
        <v>607.69000000000005</v>
      </c>
    </row>
    <row r="825" spans="1:17">
      <c r="A825" t="s">
        <v>698</v>
      </c>
      <c r="B825">
        <v>4</v>
      </c>
      <c r="C825" s="3">
        <v>46095</v>
      </c>
      <c r="D825" t="s">
        <v>414</v>
      </c>
      <c r="E825" t="s">
        <v>156</v>
      </c>
      <c r="F825" t="s">
        <v>77</v>
      </c>
      <c r="G825" t="s">
        <v>40</v>
      </c>
      <c r="H825" t="s">
        <v>129</v>
      </c>
      <c r="I825">
        <v>1</v>
      </c>
      <c r="J825" s="4">
        <v>17179.25</v>
      </c>
      <c r="K825" s="5">
        <v>0</v>
      </c>
      <c r="L825" s="4">
        <v>13981.13</v>
      </c>
      <c r="M825" t="s">
        <v>42</v>
      </c>
      <c r="N825" t="s">
        <v>43</v>
      </c>
      <c r="O825">
        <f>IF(TablaVentas[[#This Row],[Precio_unitario]]="","PENDIENTE",TablaVentas[[#This Row],[Unidades]]*TablaVentas[[#This Row],[Precio_unitario]]*(1-TablaVentas[[#This Row],[Descuento_pct]]))</f>
        <v>17179.25</v>
      </c>
      <c r="P825">
        <f>IF(TablaVentas[[#This Row],[Costo_unitario]]="","PENDIENTE",TablaVentas[[#This Row],[Unidades]]*TablaVentas[[#This Row],[Costo_unitario]])</f>
        <v>13981.13</v>
      </c>
      <c r="Q825">
        <f>IF(OR(TablaVentas[[#This Row],[Ingreso_neto]]="PENDIENTE",TablaVentas[[#This Row],[Costo_total]]="PENDIENTE"),"PENDIENTE",TablaVentas[[#This Row],[Ingreso_neto]]-TablaVentas[[#This Row],[Costo_total]])</f>
        <v>3198.1200000000008</v>
      </c>
    </row>
    <row r="826" spans="1:17">
      <c r="A826" t="s">
        <v>699</v>
      </c>
      <c r="B826">
        <v>1</v>
      </c>
      <c r="C826" s="3">
        <v>46122</v>
      </c>
      <c r="D826" t="s">
        <v>291</v>
      </c>
      <c r="E826" t="s">
        <v>335</v>
      </c>
      <c r="F826" t="s">
        <v>56</v>
      </c>
      <c r="G826" t="s">
        <v>40</v>
      </c>
      <c r="H826" t="s">
        <v>51</v>
      </c>
      <c r="I826">
        <v>5</v>
      </c>
      <c r="J826" s="4">
        <v>7600.44</v>
      </c>
      <c r="K826" s="5">
        <v>0.2</v>
      </c>
      <c r="L826" s="4">
        <v>5587.31</v>
      </c>
      <c r="M826" t="s">
        <v>42</v>
      </c>
      <c r="N826" t="s">
        <v>43</v>
      </c>
      <c r="O826">
        <f>IF(TablaVentas[[#This Row],[Precio_unitario]]="","PENDIENTE",TablaVentas[[#This Row],[Unidades]]*TablaVentas[[#This Row],[Precio_unitario]]*(1-TablaVentas[[#This Row],[Descuento_pct]]))</f>
        <v>30401.759999999998</v>
      </c>
      <c r="P826">
        <f>IF(TablaVentas[[#This Row],[Costo_unitario]]="","PENDIENTE",TablaVentas[[#This Row],[Unidades]]*TablaVentas[[#This Row],[Costo_unitario]])</f>
        <v>27936.550000000003</v>
      </c>
      <c r="Q826">
        <f>IF(OR(TablaVentas[[#This Row],[Ingreso_neto]]="PENDIENTE",TablaVentas[[#This Row],[Costo_total]]="PENDIENTE"),"PENDIENTE",TablaVentas[[#This Row],[Ingreso_neto]]-TablaVentas[[#This Row],[Costo_total]])</f>
        <v>2465.2099999999955</v>
      </c>
    </row>
    <row r="827" spans="1:17">
      <c r="A827" t="s">
        <v>699</v>
      </c>
      <c r="B827">
        <v>2</v>
      </c>
      <c r="C827" s="3">
        <v>46122</v>
      </c>
      <c r="D827" t="s">
        <v>291</v>
      </c>
      <c r="E827" t="s">
        <v>321</v>
      </c>
      <c r="F827" t="s">
        <v>56</v>
      </c>
      <c r="G827" t="s">
        <v>40</v>
      </c>
      <c r="H827" t="s">
        <v>51</v>
      </c>
      <c r="I827">
        <v>5</v>
      </c>
      <c r="J827" s="4">
        <v>1305.72</v>
      </c>
      <c r="K827" s="5">
        <v>0.05</v>
      </c>
      <c r="L827" s="4">
        <v>679.37</v>
      </c>
      <c r="M827" t="s">
        <v>42</v>
      </c>
      <c r="N827" t="s">
        <v>52</v>
      </c>
      <c r="O827">
        <f>IF(TablaVentas[[#This Row],[Precio_unitario]]="","PENDIENTE",TablaVentas[[#This Row],[Unidades]]*TablaVentas[[#This Row],[Precio_unitario]]*(1-TablaVentas[[#This Row],[Descuento_pct]]))</f>
        <v>6202.17</v>
      </c>
      <c r="P827">
        <f>IF(TablaVentas[[#This Row],[Costo_unitario]]="","PENDIENTE",TablaVentas[[#This Row],[Unidades]]*TablaVentas[[#This Row],[Costo_unitario]])</f>
        <v>3396.85</v>
      </c>
      <c r="Q827">
        <f>IF(OR(TablaVentas[[#This Row],[Ingreso_neto]]="PENDIENTE",TablaVentas[[#This Row],[Costo_total]]="PENDIENTE"),"PENDIENTE",TablaVentas[[#This Row],[Ingreso_neto]]-TablaVentas[[#This Row],[Costo_total]])</f>
        <v>2805.32</v>
      </c>
    </row>
    <row r="828" spans="1:17">
      <c r="A828" t="s">
        <v>700</v>
      </c>
      <c r="B828">
        <v>1</v>
      </c>
      <c r="C828" s="3">
        <v>46177</v>
      </c>
      <c r="D828" t="s">
        <v>480</v>
      </c>
      <c r="E828" t="s">
        <v>212</v>
      </c>
      <c r="F828" t="s">
        <v>39</v>
      </c>
      <c r="G828" t="s">
        <v>50</v>
      </c>
      <c r="H828" t="s">
        <v>124</v>
      </c>
      <c r="I828">
        <v>5</v>
      </c>
      <c r="J828" s="4">
        <v>3657.58</v>
      </c>
      <c r="K828" s="5">
        <v>0.15</v>
      </c>
      <c r="L828" s="4">
        <v>2157.5500000000002</v>
      </c>
      <c r="M828" t="s">
        <v>42</v>
      </c>
      <c r="N828" t="s">
        <v>60</v>
      </c>
      <c r="O828">
        <f>IF(TablaVentas[[#This Row],[Precio_unitario]]="","PENDIENTE",TablaVentas[[#This Row],[Unidades]]*TablaVentas[[#This Row],[Precio_unitario]]*(1-TablaVentas[[#This Row],[Descuento_pct]]))</f>
        <v>15544.715</v>
      </c>
      <c r="P828">
        <f>IF(TablaVentas[[#This Row],[Costo_unitario]]="","PENDIENTE",TablaVentas[[#This Row],[Unidades]]*TablaVentas[[#This Row],[Costo_unitario]])</f>
        <v>10787.75</v>
      </c>
      <c r="Q828">
        <f>IF(OR(TablaVentas[[#This Row],[Ingreso_neto]]="PENDIENTE",TablaVentas[[#This Row],[Costo_total]]="PENDIENTE"),"PENDIENTE",TablaVentas[[#This Row],[Ingreso_neto]]-TablaVentas[[#This Row],[Costo_total]])</f>
        <v>4756.9650000000001</v>
      </c>
    </row>
    <row r="829" spans="1:17">
      <c r="A829" t="s">
        <v>700</v>
      </c>
      <c r="B829">
        <v>2</v>
      </c>
      <c r="C829" s="3">
        <v>46177</v>
      </c>
      <c r="D829" t="s">
        <v>480</v>
      </c>
      <c r="E829" t="s">
        <v>217</v>
      </c>
      <c r="F829" t="s">
        <v>39</v>
      </c>
      <c r="G829" t="s">
        <v>50</v>
      </c>
      <c r="H829" t="s">
        <v>124</v>
      </c>
      <c r="I829">
        <v>1</v>
      </c>
      <c r="J829" s="4">
        <v>17414.62</v>
      </c>
      <c r="K829" s="5">
        <v>0.05</v>
      </c>
      <c r="L829" s="4">
        <v>14161.63</v>
      </c>
      <c r="M829" t="s">
        <v>42</v>
      </c>
      <c r="N829" t="s">
        <v>60</v>
      </c>
      <c r="O829">
        <f>IF(TablaVentas[[#This Row],[Precio_unitario]]="","PENDIENTE",TablaVentas[[#This Row],[Unidades]]*TablaVentas[[#This Row],[Precio_unitario]]*(1-TablaVentas[[#This Row],[Descuento_pct]]))</f>
        <v>16543.888999999999</v>
      </c>
      <c r="P829">
        <f>IF(TablaVentas[[#This Row],[Costo_unitario]]="","PENDIENTE",TablaVentas[[#This Row],[Unidades]]*TablaVentas[[#This Row],[Costo_unitario]])</f>
        <v>14161.63</v>
      </c>
      <c r="Q829">
        <f>IF(OR(TablaVentas[[#This Row],[Ingreso_neto]]="PENDIENTE",TablaVentas[[#This Row],[Costo_total]]="PENDIENTE"),"PENDIENTE",TablaVentas[[#This Row],[Ingreso_neto]]-TablaVentas[[#This Row],[Costo_total]])</f>
        <v>2382.259</v>
      </c>
    </row>
    <row r="830" spans="1:17">
      <c r="A830" t="s">
        <v>700</v>
      </c>
      <c r="B830">
        <v>3</v>
      </c>
      <c r="C830" s="3">
        <v>46177</v>
      </c>
      <c r="D830" t="s">
        <v>480</v>
      </c>
      <c r="E830" t="s">
        <v>227</v>
      </c>
      <c r="F830" t="s">
        <v>39</v>
      </c>
      <c r="G830" t="s">
        <v>50</v>
      </c>
      <c r="H830" t="s">
        <v>124</v>
      </c>
      <c r="I830">
        <v>4</v>
      </c>
      <c r="J830" s="4">
        <v>8784.7000000000007</v>
      </c>
      <c r="K830" s="5">
        <v>0</v>
      </c>
      <c r="L830" s="4">
        <v>6255.13</v>
      </c>
      <c r="M830" t="s">
        <v>42</v>
      </c>
      <c r="N830" t="s">
        <v>43</v>
      </c>
      <c r="O830">
        <f>IF(TablaVentas[[#This Row],[Precio_unitario]]="","PENDIENTE",TablaVentas[[#This Row],[Unidades]]*TablaVentas[[#This Row],[Precio_unitario]]*(1-TablaVentas[[#This Row],[Descuento_pct]]))</f>
        <v>35138.800000000003</v>
      </c>
      <c r="P830">
        <f>IF(TablaVentas[[#This Row],[Costo_unitario]]="","PENDIENTE",TablaVentas[[#This Row],[Unidades]]*TablaVentas[[#This Row],[Costo_unitario]])</f>
        <v>25020.52</v>
      </c>
      <c r="Q830">
        <f>IF(OR(TablaVentas[[#This Row],[Ingreso_neto]]="PENDIENTE",TablaVentas[[#This Row],[Costo_total]]="PENDIENTE"),"PENDIENTE",TablaVentas[[#This Row],[Ingreso_neto]]-TablaVentas[[#This Row],[Costo_total]])</f>
        <v>10118.280000000002</v>
      </c>
    </row>
    <row r="831" spans="1:17">
      <c r="A831" t="s">
        <v>701</v>
      </c>
      <c r="B831">
        <v>1</v>
      </c>
      <c r="C831" s="3">
        <v>46273</v>
      </c>
      <c r="D831" t="s">
        <v>639</v>
      </c>
      <c r="E831" t="s">
        <v>160</v>
      </c>
      <c r="F831" t="s">
        <v>39</v>
      </c>
      <c r="G831" t="s">
        <v>50</v>
      </c>
      <c r="H831" t="s">
        <v>67</v>
      </c>
      <c r="I831">
        <v>2</v>
      </c>
      <c r="J831" s="4">
        <v>7417.45</v>
      </c>
      <c r="K831" s="5">
        <v>0.15</v>
      </c>
      <c r="L831" s="4">
        <v>4082.15</v>
      </c>
      <c r="M831" t="s">
        <v>42</v>
      </c>
      <c r="N831" t="s">
        <v>60</v>
      </c>
      <c r="O831">
        <f>IF(TablaVentas[[#This Row],[Precio_unitario]]="","PENDIENTE",TablaVentas[[#This Row],[Unidades]]*TablaVentas[[#This Row],[Precio_unitario]]*(1-TablaVentas[[#This Row],[Descuento_pct]]))</f>
        <v>12609.664999999999</v>
      </c>
      <c r="P831">
        <f>IF(TablaVentas[[#This Row],[Costo_unitario]]="","PENDIENTE",TablaVentas[[#This Row],[Unidades]]*TablaVentas[[#This Row],[Costo_unitario]])</f>
        <v>8164.3</v>
      </c>
      <c r="Q831">
        <f>IF(OR(TablaVentas[[#This Row],[Ingreso_neto]]="PENDIENTE",TablaVentas[[#This Row],[Costo_total]]="PENDIENTE"),"PENDIENTE",TablaVentas[[#This Row],[Ingreso_neto]]-TablaVentas[[#This Row],[Costo_total]])</f>
        <v>4445.3649999999989</v>
      </c>
    </row>
    <row r="832" spans="1:17">
      <c r="A832" t="s">
        <v>701</v>
      </c>
      <c r="B832">
        <v>2</v>
      </c>
      <c r="C832" s="3">
        <v>46273</v>
      </c>
      <c r="D832" t="s">
        <v>639</v>
      </c>
      <c r="E832" t="s">
        <v>233</v>
      </c>
      <c r="F832" t="s">
        <v>39</v>
      </c>
      <c r="G832" t="s">
        <v>50</v>
      </c>
      <c r="H832" t="s">
        <v>67</v>
      </c>
      <c r="I832">
        <v>1</v>
      </c>
      <c r="J832" s="4">
        <v>9421.5400000000009</v>
      </c>
      <c r="K832" s="5">
        <v>0.15</v>
      </c>
      <c r="L832" s="4">
        <v>5932.12</v>
      </c>
      <c r="M832" t="s">
        <v>42</v>
      </c>
      <c r="N832" t="s">
        <v>45</v>
      </c>
      <c r="O832">
        <f>IF(TablaVentas[[#This Row],[Precio_unitario]]="","PENDIENTE",TablaVentas[[#This Row],[Unidades]]*TablaVentas[[#This Row],[Precio_unitario]]*(1-TablaVentas[[#This Row],[Descuento_pct]]))</f>
        <v>8008.3090000000002</v>
      </c>
      <c r="P832">
        <f>IF(TablaVentas[[#This Row],[Costo_unitario]]="","PENDIENTE",TablaVentas[[#This Row],[Unidades]]*TablaVentas[[#This Row],[Costo_unitario]])</f>
        <v>5932.12</v>
      </c>
      <c r="Q832">
        <f>IF(OR(TablaVentas[[#This Row],[Ingreso_neto]]="PENDIENTE",TablaVentas[[#This Row],[Costo_total]]="PENDIENTE"),"PENDIENTE",TablaVentas[[#This Row],[Ingreso_neto]]-TablaVentas[[#This Row],[Costo_total]])</f>
        <v>2076.1890000000003</v>
      </c>
    </row>
    <row r="833" spans="1:17">
      <c r="A833" t="s">
        <v>701</v>
      </c>
      <c r="B833">
        <v>3</v>
      </c>
      <c r="C833" s="3">
        <v>46273</v>
      </c>
      <c r="D833" t="s">
        <v>639</v>
      </c>
      <c r="E833" t="s">
        <v>367</v>
      </c>
      <c r="F833" t="s">
        <v>39</v>
      </c>
      <c r="G833" t="s">
        <v>50</v>
      </c>
      <c r="H833" t="s">
        <v>67</v>
      </c>
      <c r="I833">
        <v>8</v>
      </c>
      <c r="J833" s="4">
        <v>8818.5</v>
      </c>
      <c r="K833" s="5">
        <v>0.15</v>
      </c>
      <c r="L833" s="4">
        <v>5079.43</v>
      </c>
      <c r="M833" t="s">
        <v>42</v>
      </c>
      <c r="N833" t="s">
        <v>52</v>
      </c>
      <c r="O833">
        <f>IF(TablaVentas[[#This Row],[Precio_unitario]]="","PENDIENTE",TablaVentas[[#This Row],[Unidades]]*TablaVentas[[#This Row],[Precio_unitario]]*(1-TablaVentas[[#This Row],[Descuento_pct]]))</f>
        <v>59965.799999999996</v>
      </c>
      <c r="P833">
        <f>IF(TablaVentas[[#This Row],[Costo_unitario]]="","PENDIENTE",TablaVentas[[#This Row],[Unidades]]*TablaVentas[[#This Row],[Costo_unitario]])</f>
        <v>40635.440000000002</v>
      </c>
      <c r="Q833">
        <f>IF(OR(TablaVentas[[#This Row],[Ingreso_neto]]="PENDIENTE",TablaVentas[[#This Row],[Costo_total]]="PENDIENTE"),"PENDIENTE",TablaVentas[[#This Row],[Ingreso_neto]]-TablaVentas[[#This Row],[Costo_total]])</f>
        <v>19330.359999999993</v>
      </c>
    </row>
    <row r="834" spans="1:17">
      <c r="A834" t="s">
        <v>702</v>
      </c>
      <c r="B834">
        <v>1</v>
      </c>
      <c r="C834" s="3">
        <v>46109</v>
      </c>
      <c r="D834" t="s">
        <v>703</v>
      </c>
      <c r="E834" t="s">
        <v>277</v>
      </c>
      <c r="F834" t="s">
        <v>39</v>
      </c>
      <c r="G834" t="s">
        <v>40</v>
      </c>
      <c r="H834" t="s">
        <v>73</v>
      </c>
      <c r="I834">
        <v>1</v>
      </c>
      <c r="J834" s="4">
        <v>6827.31</v>
      </c>
      <c r="K834" s="5">
        <v>0</v>
      </c>
      <c r="L834" s="4">
        <v>4858.08</v>
      </c>
      <c r="M834" t="s">
        <v>42</v>
      </c>
      <c r="N834" t="s">
        <v>52</v>
      </c>
      <c r="O834">
        <f>IF(TablaVentas[[#This Row],[Precio_unitario]]="","PENDIENTE",TablaVentas[[#This Row],[Unidades]]*TablaVentas[[#This Row],[Precio_unitario]]*(1-TablaVentas[[#This Row],[Descuento_pct]]))</f>
        <v>6827.31</v>
      </c>
      <c r="P834">
        <f>IF(TablaVentas[[#This Row],[Costo_unitario]]="","PENDIENTE",TablaVentas[[#This Row],[Unidades]]*TablaVentas[[#This Row],[Costo_unitario]])</f>
        <v>4858.08</v>
      </c>
      <c r="Q834">
        <f>IF(OR(TablaVentas[[#This Row],[Ingreso_neto]]="PENDIENTE",TablaVentas[[#This Row],[Costo_total]]="PENDIENTE"),"PENDIENTE",TablaVentas[[#This Row],[Ingreso_neto]]-TablaVentas[[#This Row],[Costo_total]])</f>
        <v>1969.2300000000005</v>
      </c>
    </row>
    <row r="835" spans="1:17">
      <c r="A835" t="s">
        <v>702</v>
      </c>
      <c r="B835">
        <v>2</v>
      </c>
      <c r="C835" s="3">
        <v>46109</v>
      </c>
      <c r="D835" t="s">
        <v>703</v>
      </c>
      <c r="E835" t="s">
        <v>133</v>
      </c>
      <c r="F835" t="s">
        <v>39</v>
      </c>
      <c r="G835" t="s">
        <v>40</v>
      </c>
      <c r="H835" t="s">
        <v>73</v>
      </c>
      <c r="I835">
        <v>1</v>
      </c>
      <c r="J835" s="4">
        <v>7114.74</v>
      </c>
      <c r="K835" s="5">
        <v>0.2</v>
      </c>
      <c r="L835" s="4">
        <v>4061.34</v>
      </c>
      <c r="M835" t="s">
        <v>62</v>
      </c>
      <c r="N835" t="s">
        <v>45</v>
      </c>
      <c r="O835">
        <f>IF(TablaVentas[[#This Row],[Precio_unitario]]="","PENDIENTE",TablaVentas[[#This Row],[Unidades]]*TablaVentas[[#This Row],[Precio_unitario]]*(1-TablaVentas[[#This Row],[Descuento_pct]]))</f>
        <v>5691.7920000000004</v>
      </c>
      <c r="P835">
        <f>IF(TablaVentas[[#This Row],[Costo_unitario]]="","PENDIENTE",TablaVentas[[#This Row],[Unidades]]*TablaVentas[[#This Row],[Costo_unitario]])</f>
        <v>4061.34</v>
      </c>
      <c r="Q835">
        <f>IF(OR(TablaVentas[[#This Row],[Ingreso_neto]]="PENDIENTE",TablaVentas[[#This Row],[Costo_total]]="PENDIENTE"),"PENDIENTE",TablaVentas[[#This Row],[Ingreso_neto]]-TablaVentas[[#This Row],[Costo_total]])</f>
        <v>1630.4520000000002</v>
      </c>
    </row>
    <row r="836" spans="1:17">
      <c r="A836" t="s">
        <v>702</v>
      </c>
      <c r="B836">
        <v>3</v>
      </c>
      <c r="C836" s="3">
        <v>46109</v>
      </c>
      <c r="D836" t="s">
        <v>703</v>
      </c>
      <c r="E836" t="s">
        <v>271</v>
      </c>
      <c r="F836" t="s">
        <v>39</v>
      </c>
      <c r="G836" t="s">
        <v>40</v>
      </c>
      <c r="H836" t="s">
        <v>73</v>
      </c>
      <c r="I836">
        <v>3</v>
      </c>
      <c r="J836" s="4">
        <v>1081.45</v>
      </c>
      <c r="K836" s="5">
        <v>0</v>
      </c>
      <c r="L836" s="4">
        <v>759.03</v>
      </c>
      <c r="M836" t="s">
        <v>42</v>
      </c>
      <c r="N836" t="s">
        <v>43</v>
      </c>
      <c r="O836">
        <f>IF(TablaVentas[[#This Row],[Precio_unitario]]="","PENDIENTE",TablaVentas[[#This Row],[Unidades]]*TablaVentas[[#This Row],[Precio_unitario]]*(1-TablaVentas[[#This Row],[Descuento_pct]]))</f>
        <v>3244.3500000000004</v>
      </c>
      <c r="P836">
        <f>IF(TablaVentas[[#This Row],[Costo_unitario]]="","PENDIENTE",TablaVentas[[#This Row],[Unidades]]*TablaVentas[[#This Row],[Costo_unitario]])</f>
        <v>2277.09</v>
      </c>
      <c r="Q836">
        <f>IF(OR(TablaVentas[[#This Row],[Ingreso_neto]]="PENDIENTE",TablaVentas[[#This Row],[Costo_total]]="PENDIENTE"),"PENDIENTE",TablaVentas[[#This Row],[Ingreso_neto]]-TablaVentas[[#This Row],[Costo_total]])</f>
        <v>967.26000000000022</v>
      </c>
    </row>
    <row r="837" spans="1:17">
      <c r="A837" t="s">
        <v>702</v>
      </c>
      <c r="B837">
        <v>4</v>
      </c>
      <c r="C837" s="3">
        <v>46109</v>
      </c>
      <c r="D837" t="s">
        <v>703</v>
      </c>
      <c r="E837" t="s">
        <v>155</v>
      </c>
      <c r="F837" t="s">
        <v>39</v>
      </c>
      <c r="G837" t="s">
        <v>40</v>
      </c>
      <c r="H837" t="s">
        <v>73</v>
      </c>
      <c r="I837">
        <v>4</v>
      </c>
      <c r="J837" s="4">
        <v>701.05</v>
      </c>
      <c r="K837" s="5">
        <v>0</v>
      </c>
      <c r="L837" s="4">
        <v>397.1</v>
      </c>
      <c r="M837" t="s">
        <v>42</v>
      </c>
      <c r="N837" t="s">
        <v>45</v>
      </c>
      <c r="O837">
        <f>IF(TablaVentas[[#This Row],[Precio_unitario]]="","PENDIENTE",TablaVentas[[#This Row],[Unidades]]*TablaVentas[[#This Row],[Precio_unitario]]*(1-TablaVentas[[#This Row],[Descuento_pct]]))</f>
        <v>2804.2</v>
      </c>
      <c r="P837">
        <f>IF(TablaVentas[[#This Row],[Costo_unitario]]="","PENDIENTE",TablaVentas[[#This Row],[Unidades]]*TablaVentas[[#This Row],[Costo_unitario]])</f>
        <v>1588.4</v>
      </c>
      <c r="Q837">
        <f>IF(OR(TablaVentas[[#This Row],[Ingreso_neto]]="PENDIENTE",TablaVentas[[#This Row],[Costo_total]]="PENDIENTE"),"PENDIENTE",TablaVentas[[#This Row],[Ingreso_neto]]-TablaVentas[[#This Row],[Costo_total]])</f>
        <v>1215.7999999999997</v>
      </c>
    </row>
    <row r="838" spans="1:17">
      <c r="A838" t="s">
        <v>704</v>
      </c>
      <c r="B838">
        <v>1</v>
      </c>
      <c r="C838" s="3">
        <v>46057</v>
      </c>
      <c r="D838" t="s">
        <v>220</v>
      </c>
      <c r="E838" t="s">
        <v>262</v>
      </c>
      <c r="F838" t="s">
        <v>66</v>
      </c>
      <c r="G838" t="s">
        <v>57</v>
      </c>
      <c r="H838" t="s">
        <v>82</v>
      </c>
      <c r="I838">
        <v>4</v>
      </c>
      <c r="J838" s="4">
        <v>12733.08</v>
      </c>
      <c r="K838" s="5">
        <v>0</v>
      </c>
      <c r="L838" s="4">
        <v>8227.4599999999991</v>
      </c>
      <c r="M838" t="s">
        <v>42</v>
      </c>
      <c r="N838" t="s">
        <v>52</v>
      </c>
      <c r="O838">
        <f>IF(TablaVentas[[#This Row],[Precio_unitario]]="","PENDIENTE",TablaVentas[[#This Row],[Unidades]]*TablaVentas[[#This Row],[Precio_unitario]]*(1-TablaVentas[[#This Row],[Descuento_pct]]))</f>
        <v>50932.32</v>
      </c>
      <c r="P838">
        <f>IF(TablaVentas[[#This Row],[Costo_unitario]]="","PENDIENTE",TablaVentas[[#This Row],[Unidades]]*TablaVentas[[#This Row],[Costo_unitario]])</f>
        <v>32909.839999999997</v>
      </c>
      <c r="Q838">
        <f>IF(OR(TablaVentas[[#This Row],[Ingreso_neto]]="PENDIENTE",TablaVentas[[#This Row],[Costo_total]]="PENDIENTE"),"PENDIENTE",TablaVentas[[#This Row],[Ingreso_neto]]-TablaVentas[[#This Row],[Costo_total]])</f>
        <v>18022.480000000003</v>
      </c>
    </row>
    <row r="839" spans="1:17">
      <c r="A839" t="s">
        <v>704</v>
      </c>
      <c r="B839">
        <v>2</v>
      </c>
      <c r="C839" s="3">
        <v>46057</v>
      </c>
      <c r="D839" t="s">
        <v>220</v>
      </c>
      <c r="E839" t="s">
        <v>113</v>
      </c>
      <c r="F839" t="s">
        <v>66</v>
      </c>
      <c r="G839" t="s">
        <v>57</v>
      </c>
      <c r="H839" t="s">
        <v>82</v>
      </c>
      <c r="I839">
        <v>2</v>
      </c>
      <c r="J839" s="4">
        <v>2872.39</v>
      </c>
      <c r="K839" s="5">
        <v>0</v>
      </c>
      <c r="L839" s="4">
        <v>2196.34</v>
      </c>
      <c r="M839" t="s">
        <v>42</v>
      </c>
      <c r="N839" t="s">
        <v>52</v>
      </c>
      <c r="O839">
        <f>IF(TablaVentas[[#This Row],[Precio_unitario]]="","PENDIENTE",TablaVentas[[#This Row],[Unidades]]*TablaVentas[[#This Row],[Precio_unitario]]*(1-TablaVentas[[#This Row],[Descuento_pct]]))</f>
        <v>5744.78</v>
      </c>
      <c r="P839">
        <f>IF(TablaVentas[[#This Row],[Costo_unitario]]="","PENDIENTE",TablaVentas[[#This Row],[Unidades]]*TablaVentas[[#This Row],[Costo_unitario]])</f>
        <v>4392.68</v>
      </c>
      <c r="Q839">
        <f>IF(OR(TablaVentas[[#This Row],[Ingreso_neto]]="PENDIENTE",TablaVentas[[#This Row],[Costo_total]]="PENDIENTE"),"PENDIENTE",TablaVentas[[#This Row],[Ingreso_neto]]-TablaVentas[[#This Row],[Costo_total]])</f>
        <v>1352.0999999999995</v>
      </c>
    </row>
    <row r="840" spans="1:17">
      <c r="A840" t="s">
        <v>704</v>
      </c>
      <c r="B840">
        <v>3</v>
      </c>
      <c r="C840" s="3">
        <v>46057</v>
      </c>
      <c r="D840" t="s">
        <v>220</v>
      </c>
      <c r="E840" t="s">
        <v>218</v>
      </c>
      <c r="F840" t="s">
        <v>66</v>
      </c>
      <c r="G840" t="s">
        <v>57</v>
      </c>
      <c r="H840" t="s">
        <v>82</v>
      </c>
      <c r="I840">
        <v>3</v>
      </c>
      <c r="J840" s="4">
        <v>4969.08</v>
      </c>
      <c r="K840" s="5">
        <v>0.1</v>
      </c>
      <c r="L840" s="4">
        <v>2833.97</v>
      </c>
      <c r="M840" t="s">
        <v>42</v>
      </c>
      <c r="N840" t="s">
        <v>52</v>
      </c>
      <c r="O840">
        <f>IF(TablaVentas[[#This Row],[Precio_unitario]]="","PENDIENTE",TablaVentas[[#This Row],[Unidades]]*TablaVentas[[#This Row],[Precio_unitario]]*(1-TablaVentas[[#This Row],[Descuento_pct]]))</f>
        <v>13416.516</v>
      </c>
      <c r="P840">
        <f>IF(TablaVentas[[#This Row],[Costo_unitario]]="","PENDIENTE",TablaVentas[[#This Row],[Unidades]]*TablaVentas[[#This Row],[Costo_unitario]])</f>
        <v>8501.91</v>
      </c>
      <c r="Q840">
        <f>IF(OR(TablaVentas[[#This Row],[Ingreso_neto]]="PENDIENTE",TablaVentas[[#This Row],[Costo_total]]="PENDIENTE"),"PENDIENTE",TablaVentas[[#This Row],[Ingreso_neto]]-TablaVentas[[#This Row],[Costo_total]])</f>
        <v>4914.6059999999998</v>
      </c>
    </row>
    <row r="841" spans="1:17">
      <c r="A841" t="s">
        <v>704</v>
      </c>
      <c r="B841">
        <v>4</v>
      </c>
      <c r="C841" s="3">
        <v>46057</v>
      </c>
      <c r="D841" t="s">
        <v>220</v>
      </c>
      <c r="E841" t="s">
        <v>175</v>
      </c>
      <c r="F841" t="s">
        <v>66</v>
      </c>
      <c r="G841" t="s">
        <v>57</v>
      </c>
      <c r="H841" t="s">
        <v>82</v>
      </c>
      <c r="I841">
        <v>4</v>
      </c>
      <c r="J841" s="4">
        <v>2660.25</v>
      </c>
      <c r="K841" s="5">
        <v>0.05</v>
      </c>
      <c r="L841" s="4">
        <v>1857.39</v>
      </c>
      <c r="M841" t="s">
        <v>42</v>
      </c>
      <c r="N841" t="s">
        <v>45</v>
      </c>
      <c r="O841">
        <f>IF(TablaVentas[[#This Row],[Precio_unitario]]="","PENDIENTE",TablaVentas[[#This Row],[Unidades]]*TablaVentas[[#This Row],[Precio_unitario]]*(1-TablaVentas[[#This Row],[Descuento_pct]]))</f>
        <v>10108.949999999999</v>
      </c>
      <c r="P841">
        <f>IF(TablaVentas[[#This Row],[Costo_unitario]]="","PENDIENTE",TablaVentas[[#This Row],[Unidades]]*TablaVentas[[#This Row],[Costo_unitario]])</f>
        <v>7429.56</v>
      </c>
      <c r="Q841">
        <f>IF(OR(TablaVentas[[#This Row],[Ingreso_neto]]="PENDIENTE",TablaVentas[[#This Row],[Costo_total]]="PENDIENTE"),"PENDIENTE",TablaVentas[[#This Row],[Ingreso_neto]]-TablaVentas[[#This Row],[Costo_total]])</f>
        <v>2679.3899999999985</v>
      </c>
    </row>
    <row r="842" spans="1:17">
      <c r="A842" t="s">
        <v>705</v>
      </c>
      <c r="B842">
        <v>1</v>
      </c>
      <c r="C842" s="3">
        <v>46256</v>
      </c>
      <c r="D842" t="s">
        <v>606</v>
      </c>
      <c r="E842" t="s">
        <v>262</v>
      </c>
      <c r="F842" t="s">
        <v>66</v>
      </c>
      <c r="G842" t="s">
        <v>50</v>
      </c>
      <c r="H842" t="s">
        <v>58</v>
      </c>
      <c r="I842">
        <v>2</v>
      </c>
      <c r="J842" s="4">
        <v>13666.44</v>
      </c>
      <c r="K842" s="5">
        <v>0.2</v>
      </c>
      <c r="L842" s="4">
        <v>8227.4599999999991</v>
      </c>
      <c r="M842" t="s">
        <v>42</v>
      </c>
      <c r="N842" t="s">
        <v>60</v>
      </c>
      <c r="O842">
        <f>IF(TablaVentas[[#This Row],[Precio_unitario]]="","PENDIENTE",TablaVentas[[#This Row],[Unidades]]*TablaVentas[[#This Row],[Precio_unitario]]*(1-TablaVentas[[#This Row],[Descuento_pct]]))</f>
        <v>21866.304000000004</v>
      </c>
      <c r="P842">
        <f>IF(TablaVentas[[#This Row],[Costo_unitario]]="","PENDIENTE",TablaVentas[[#This Row],[Unidades]]*TablaVentas[[#This Row],[Costo_unitario]])</f>
        <v>16454.919999999998</v>
      </c>
      <c r="Q842">
        <f>IF(OR(TablaVentas[[#This Row],[Ingreso_neto]]="PENDIENTE",TablaVentas[[#This Row],[Costo_total]]="PENDIENTE"),"PENDIENTE",TablaVentas[[#This Row],[Ingreso_neto]]-TablaVentas[[#This Row],[Costo_total]])</f>
        <v>5411.3840000000055</v>
      </c>
    </row>
    <row r="843" spans="1:17">
      <c r="A843" t="s">
        <v>705</v>
      </c>
      <c r="B843">
        <v>2</v>
      </c>
      <c r="C843" s="3">
        <v>46256</v>
      </c>
      <c r="D843" t="s">
        <v>606</v>
      </c>
      <c r="E843" t="s">
        <v>148</v>
      </c>
      <c r="F843" t="s">
        <v>66</v>
      </c>
      <c r="G843" t="s">
        <v>50</v>
      </c>
      <c r="H843" t="s">
        <v>58</v>
      </c>
      <c r="I843">
        <v>2</v>
      </c>
      <c r="J843" s="4">
        <v>2957.04</v>
      </c>
      <c r="K843" s="5">
        <v>0.05</v>
      </c>
      <c r="L843" s="4">
        <v>2459.34</v>
      </c>
      <c r="M843" t="s">
        <v>42</v>
      </c>
      <c r="N843" t="s">
        <v>60</v>
      </c>
      <c r="O843">
        <f>IF(TablaVentas[[#This Row],[Precio_unitario]]="","PENDIENTE",TablaVentas[[#This Row],[Unidades]]*TablaVentas[[#This Row],[Precio_unitario]]*(1-TablaVentas[[#This Row],[Descuento_pct]]))</f>
        <v>5618.3759999999993</v>
      </c>
      <c r="P843">
        <f>IF(TablaVentas[[#This Row],[Costo_unitario]]="","PENDIENTE",TablaVentas[[#This Row],[Unidades]]*TablaVentas[[#This Row],[Costo_unitario]])</f>
        <v>4918.68</v>
      </c>
      <c r="Q843">
        <f>IF(OR(TablaVentas[[#This Row],[Ingreso_neto]]="PENDIENTE",TablaVentas[[#This Row],[Costo_total]]="PENDIENTE"),"PENDIENTE",TablaVentas[[#This Row],[Ingreso_neto]]-TablaVentas[[#This Row],[Costo_total]])</f>
        <v>699.695999999999</v>
      </c>
    </row>
    <row r="844" spans="1:17">
      <c r="A844" t="s">
        <v>706</v>
      </c>
      <c r="B844">
        <v>1</v>
      </c>
      <c r="C844" s="3">
        <v>46292</v>
      </c>
      <c r="D844" t="s">
        <v>688</v>
      </c>
      <c r="E844" t="s">
        <v>90</v>
      </c>
      <c r="F844" t="s">
        <v>77</v>
      </c>
      <c r="G844" t="s">
        <v>57</v>
      </c>
      <c r="H844" t="s">
        <v>102</v>
      </c>
      <c r="I844">
        <v>1</v>
      </c>
      <c r="J844" s="4">
        <v>10821.8</v>
      </c>
      <c r="K844" s="5">
        <v>0.2</v>
      </c>
      <c r="L844" s="4">
        <v>8174.87</v>
      </c>
      <c r="M844" t="s">
        <v>42</v>
      </c>
      <c r="N844" t="s">
        <v>52</v>
      </c>
      <c r="O844">
        <f>IF(TablaVentas[[#This Row],[Precio_unitario]]="","PENDIENTE",TablaVentas[[#This Row],[Unidades]]*TablaVentas[[#This Row],[Precio_unitario]]*(1-TablaVentas[[#This Row],[Descuento_pct]]))</f>
        <v>8657.44</v>
      </c>
      <c r="P844">
        <f>IF(TablaVentas[[#This Row],[Costo_unitario]]="","PENDIENTE",TablaVentas[[#This Row],[Unidades]]*TablaVentas[[#This Row],[Costo_unitario]])</f>
        <v>8174.87</v>
      </c>
      <c r="Q844">
        <f>IF(OR(TablaVentas[[#This Row],[Ingreso_neto]]="PENDIENTE",TablaVentas[[#This Row],[Costo_total]]="PENDIENTE"),"PENDIENTE",TablaVentas[[#This Row],[Ingreso_neto]]-TablaVentas[[#This Row],[Costo_total]])</f>
        <v>482.57000000000062</v>
      </c>
    </row>
    <row r="845" spans="1:17">
      <c r="A845" t="s">
        <v>706</v>
      </c>
      <c r="B845">
        <v>2</v>
      </c>
      <c r="C845" s="3">
        <v>46292</v>
      </c>
      <c r="D845" t="s">
        <v>688</v>
      </c>
      <c r="E845" t="s">
        <v>85</v>
      </c>
      <c r="F845" t="s">
        <v>77</v>
      </c>
      <c r="G845" t="s">
        <v>57</v>
      </c>
      <c r="H845" t="s">
        <v>102</v>
      </c>
      <c r="I845">
        <v>1</v>
      </c>
      <c r="J845" s="4">
        <v>486.89</v>
      </c>
      <c r="K845" s="5">
        <v>0</v>
      </c>
      <c r="L845" s="4">
        <v>307.75</v>
      </c>
      <c r="M845" t="s">
        <v>42</v>
      </c>
      <c r="N845" t="s">
        <v>52</v>
      </c>
      <c r="O845">
        <f>IF(TablaVentas[[#This Row],[Precio_unitario]]="","PENDIENTE",TablaVentas[[#This Row],[Unidades]]*TablaVentas[[#This Row],[Precio_unitario]]*(1-TablaVentas[[#This Row],[Descuento_pct]]))</f>
        <v>486.89</v>
      </c>
      <c r="P845">
        <f>IF(TablaVentas[[#This Row],[Costo_unitario]]="","PENDIENTE",TablaVentas[[#This Row],[Unidades]]*TablaVentas[[#This Row],[Costo_unitario]])</f>
        <v>307.75</v>
      </c>
      <c r="Q845">
        <f>IF(OR(TablaVentas[[#This Row],[Ingreso_neto]]="PENDIENTE",TablaVentas[[#This Row],[Costo_total]]="PENDIENTE"),"PENDIENTE",TablaVentas[[#This Row],[Ingreso_neto]]-TablaVentas[[#This Row],[Costo_total]])</f>
        <v>179.14</v>
      </c>
    </row>
    <row r="846" spans="1:17">
      <c r="A846" t="s">
        <v>706</v>
      </c>
      <c r="B846">
        <v>3</v>
      </c>
      <c r="C846" s="3">
        <v>46292</v>
      </c>
      <c r="D846" t="s">
        <v>688</v>
      </c>
      <c r="E846" t="s">
        <v>70</v>
      </c>
      <c r="F846" t="s">
        <v>77</v>
      </c>
      <c r="G846" t="s">
        <v>57</v>
      </c>
      <c r="H846" t="s">
        <v>102</v>
      </c>
      <c r="I846">
        <v>2</v>
      </c>
      <c r="J846" s="4">
        <v>15501.01</v>
      </c>
      <c r="K846" s="5">
        <v>0</v>
      </c>
      <c r="L846" s="4">
        <v>10571.25</v>
      </c>
      <c r="M846" t="s">
        <v>42</v>
      </c>
      <c r="N846" t="s">
        <v>43</v>
      </c>
      <c r="O846">
        <f>IF(TablaVentas[[#This Row],[Precio_unitario]]="","PENDIENTE",TablaVentas[[#This Row],[Unidades]]*TablaVentas[[#This Row],[Precio_unitario]]*(1-TablaVentas[[#This Row],[Descuento_pct]]))</f>
        <v>31002.02</v>
      </c>
      <c r="P846">
        <f>IF(TablaVentas[[#This Row],[Costo_unitario]]="","PENDIENTE",TablaVentas[[#This Row],[Unidades]]*TablaVentas[[#This Row],[Costo_unitario]])</f>
        <v>21142.5</v>
      </c>
      <c r="Q846">
        <f>IF(OR(TablaVentas[[#This Row],[Ingreso_neto]]="PENDIENTE",TablaVentas[[#This Row],[Costo_total]]="PENDIENTE"),"PENDIENTE",TablaVentas[[#This Row],[Ingreso_neto]]-TablaVentas[[#This Row],[Costo_total]])</f>
        <v>9859.52</v>
      </c>
    </row>
    <row r="847" spans="1:17">
      <c r="A847" t="s">
        <v>707</v>
      </c>
      <c r="B847">
        <v>1</v>
      </c>
      <c r="C847" s="3">
        <v>46204</v>
      </c>
      <c r="D847" t="s">
        <v>342</v>
      </c>
      <c r="E847" t="s">
        <v>138</v>
      </c>
      <c r="F847" t="s">
        <v>66</v>
      </c>
      <c r="G847" t="s">
        <v>57</v>
      </c>
      <c r="H847" t="s">
        <v>124</v>
      </c>
      <c r="I847">
        <v>3</v>
      </c>
      <c r="J847" s="4">
        <v>7201</v>
      </c>
      <c r="K847" s="5">
        <v>0</v>
      </c>
      <c r="L847" s="4">
        <v>4665.62</v>
      </c>
      <c r="M847" t="s">
        <v>42</v>
      </c>
      <c r="N847" t="s">
        <v>52</v>
      </c>
      <c r="O847">
        <f>IF(TablaVentas[[#This Row],[Precio_unitario]]="","PENDIENTE",TablaVentas[[#This Row],[Unidades]]*TablaVentas[[#This Row],[Precio_unitario]]*(1-TablaVentas[[#This Row],[Descuento_pct]]))</f>
        <v>21603</v>
      </c>
      <c r="P847">
        <f>IF(TablaVentas[[#This Row],[Costo_unitario]]="","PENDIENTE",TablaVentas[[#This Row],[Unidades]]*TablaVentas[[#This Row],[Costo_unitario]])</f>
        <v>13996.86</v>
      </c>
      <c r="Q847">
        <f>IF(OR(TablaVentas[[#This Row],[Ingreso_neto]]="PENDIENTE",TablaVentas[[#This Row],[Costo_total]]="PENDIENTE"),"PENDIENTE",TablaVentas[[#This Row],[Ingreso_neto]]-TablaVentas[[#This Row],[Costo_total]])</f>
        <v>7606.1399999999994</v>
      </c>
    </row>
    <row r="848" spans="1:17">
      <c r="A848" t="s">
        <v>707</v>
      </c>
      <c r="B848">
        <v>2</v>
      </c>
      <c r="C848" s="3">
        <v>46204</v>
      </c>
      <c r="D848" t="s">
        <v>342</v>
      </c>
      <c r="E848" t="s">
        <v>155</v>
      </c>
      <c r="F848" t="s">
        <v>66</v>
      </c>
      <c r="G848" t="s">
        <v>57</v>
      </c>
      <c r="H848" t="s">
        <v>124</v>
      </c>
      <c r="I848">
        <v>2</v>
      </c>
      <c r="J848" s="4">
        <v>791.09</v>
      </c>
      <c r="K848" s="5">
        <v>0.1</v>
      </c>
      <c r="L848" s="4">
        <v>397.1</v>
      </c>
      <c r="M848" t="s">
        <v>42</v>
      </c>
      <c r="N848" t="s">
        <v>60</v>
      </c>
      <c r="O848">
        <f>IF(TablaVentas[[#This Row],[Precio_unitario]]="","PENDIENTE",TablaVentas[[#This Row],[Unidades]]*TablaVentas[[#This Row],[Precio_unitario]]*(1-TablaVentas[[#This Row],[Descuento_pct]]))</f>
        <v>1423.962</v>
      </c>
      <c r="P848">
        <f>IF(TablaVentas[[#This Row],[Costo_unitario]]="","PENDIENTE",TablaVentas[[#This Row],[Unidades]]*TablaVentas[[#This Row],[Costo_unitario]])</f>
        <v>794.2</v>
      </c>
      <c r="Q848">
        <f>IF(OR(TablaVentas[[#This Row],[Ingreso_neto]]="PENDIENTE",TablaVentas[[#This Row],[Costo_total]]="PENDIENTE"),"PENDIENTE",TablaVentas[[#This Row],[Ingreso_neto]]-TablaVentas[[#This Row],[Costo_total]])</f>
        <v>629.76199999999994</v>
      </c>
    </row>
    <row r="849" spans="1:17">
      <c r="A849" t="s">
        <v>708</v>
      </c>
      <c r="B849">
        <v>1</v>
      </c>
      <c r="C849" s="3">
        <v>46117</v>
      </c>
      <c r="D849" t="s">
        <v>709</v>
      </c>
      <c r="E849" t="s">
        <v>93</v>
      </c>
      <c r="F849" t="s">
        <v>77</v>
      </c>
      <c r="G849" t="s">
        <v>57</v>
      </c>
      <c r="H849" t="s">
        <v>51</v>
      </c>
      <c r="I849">
        <v>5</v>
      </c>
      <c r="J849" s="4">
        <v>15125.67</v>
      </c>
      <c r="K849" s="5">
        <v>0.1</v>
      </c>
      <c r="L849" s="4">
        <v>8788.7900000000009</v>
      </c>
      <c r="M849" t="s">
        <v>42</v>
      </c>
      <c r="N849" t="s">
        <v>43</v>
      </c>
      <c r="O849">
        <f>IF(TablaVentas[[#This Row],[Precio_unitario]]="","PENDIENTE",TablaVentas[[#This Row],[Unidades]]*TablaVentas[[#This Row],[Precio_unitario]]*(1-TablaVentas[[#This Row],[Descuento_pct]]))</f>
        <v>68065.515000000014</v>
      </c>
      <c r="P849">
        <f>IF(TablaVentas[[#This Row],[Costo_unitario]]="","PENDIENTE",TablaVentas[[#This Row],[Unidades]]*TablaVentas[[#This Row],[Costo_unitario]])</f>
        <v>43943.950000000004</v>
      </c>
      <c r="Q849">
        <f>IF(OR(TablaVentas[[#This Row],[Ingreso_neto]]="PENDIENTE",TablaVentas[[#This Row],[Costo_total]]="PENDIENTE"),"PENDIENTE",TablaVentas[[#This Row],[Ingreso_neto]]-TablaVentas[[#This Row],[Costo_total]])</f>
        <v>24121.56500000001</v>
      </c>
    </row>
    <row r="850" spans="1:17">
      <c r="A850" t="s">
        <v>708</v>
      </c>
      <c r="B850">
        <v>2</v>
      </c>
      <c r="C850" s="3">
        <v>46117</v>
      </c>
      <c r="D850" t="s">
        <v>709</v>
      </c>
      <c r="E850" t="s">
        <v>258</v>
      </c>
      <c r="F850" t="s">
        <v>77</v>
      </c>
      <c r="G850" t="s">
        <v>57</v>
      </c>
      <c r="H850" t="s">
        <v>51</v>
      </c>
      <c r="I850">
        <v>3</v>
      </c>
      <c r="J850" s="4">
        <v>3806.11</v>
      </c>
      <c r="K850" s="5">
        <v>0.15</v>
      </c>
      <c r="L850" s="4">
        <v>2008.57</v>
      </c>
      <c r="M850" t="s">
        <v>42</v>
      </c>
      <c r="N850" t="s">
        <v>43</v>
      </c>
      <c r="O850">
        <f>IF(TablaVentas[[#This Row],[Precio_unitario]]="","PENDIENTE",TablaVentas[[#This Row],[Unidades]]*TablaVentas[[#This Row],[Precio_unitario]]*(1-TablaVentas[[#This Row],[Descuento_pct]]))</f>
        <v>9705.5805</v>
      </c>
      <c r="P850">
        <f>IF(TablaVentas[[#This Row],[Costo_unitario]]="","PENDIENTE",TablaVentas[[#This Row],[Unidades]]*TablaVentas[[#This Row],[Costo_unitario]])</f>
        <v>6025.71</v>
      </c>
      <c r="Q850">
        <f>IF(OR(TablaVentas[[#This Row],[Ingreso_neto]]="PENDIENTE",TablaVentas[[#This Row],[Costo_total]]="PENDIENTE"),"PENDIENTE",TablaVentas[[#This Row],[Ingreso_neto]]-TablaVentas[[#This Row],[Costo_total]])</f>
        <v>3679.8705</v>
      </c>
    </row>
    <row r="851" spans="1:17">
      <c r="A851" t="s">
        <v>708</v>
      </c>
      <c r="B851">
        <v>3</v>
      </c>
      <c r="C851" s="3">
        <v>46117</v>
      </c>
      <c r="D851" t="s">
        <v>709</v>
      </c>
      <c r="E851" t="s">
        <v>70</v>
      </c>
      <c r="F851" t="s">
        <v>77</v>
      </c>
      <c r="G851" t="s">
        <v>57</v>
      </c>
      <c r="H851" t="s">
        <v>51</v>
      </c>
      <c r="I851">
        <v>1</v>
      </c>
      <c r="J851" s="4">
        <v>14404.79</v>
      </c>
      <c r="K851" s="5">
        <v>0</v>
      </c>
      <c r="L851" s="4">
        <v>10571.25</v>
      </c>
      <c r="M851" t="s">
        <v>42</v>
      </c>
      <c r="N851" t="s">
        <v>60</v>
      </c>
      <c r="O851">
        <f>IF(TablaVentas[[#This Row],[Precio_unitario]]="","PENDIENTE",TablaVentas[[#This Row],[Unidades]]*TablaVentas[[#This Row],[Precio_unitario]]*(1-TablaVentas[[#This Row],[Descuento_pct]]))</f>
        <v>14404.79</v>
      </c>
      <c r="P851">
        <f>IF(TablaVentas[[#This Row],[Costo_unitario]]="","PENDIENTE",TablaVentas[[#This Row],[Unidades]]*TablaVentas[[#This Row],[Costo_unitario]])</f>
        <v>10571.25</v>
      </c>
      <c r="Q851">
        <f>IF(OR(TablaVentas[[#This Row],[Ingreso_neto]]="PENDIENTE",TablaVentas[[#This Row],[Costo_total]]="PENDIENTE"),"PENDIENTE",TablaVentas[[#This Row],[Ingreso_neto]]-TablaVentas[[#This Row],[Costo_total]])</f>
        <v>3833.5400000000009</v>
      </c>
    </row>
    <row r="852" spans="1:17">
      <c r="A852" t="s">
        <v>710</v>
      </c>
      <c r="B852">
        <v>1</v>
      </c>
      <c r="C852" s="3">
        <v>46131</v>
      </c>
      <c r="D852" t="s">
        <v>302</v>
      </c>
      <c r="E852" t="s">
        <v>123</v>
      </c>
      <c r="F852" t="s">
        <v>39</v>
      </c>
      <c r="G852" t="s">
        <v>50</v>
      </c>
      <c r="H852" t="s">
        <v>82</v>
      </c>
      <c r="I852">
        <v>8</v>
      </c>
      <c r="J852" s="4">
        <v>18644.13</v>
      </c>
      <c r="K852" s="5">
        <v>0.05</v>
      </c>
      <c r="L852" s="4">
        <v>12679.41</v>
      </c>
      <c r="M852" t="s">
        <v>42</v>
      </c>
      <c r="N852" t="s">
        <v>45</v>
      </c>
      <c r="O852">
        <f>IF(TablaVentas[[#This Row],[Precio_unitario]]="","PENDIENTE",TablaVentas[[#This Row],[Unidades]]*TablaVentas[[#This Row],[Precio_unitario]]*(1-TablaVentas[[#This Row],[Descuento_pct]]))</f>
        <v>141695.38800000001</v>
      </c>
      <c r="P852">
        <f>IF(TablaVentas[[#This Row],[Costo_unitario]]="","PENDIENTE",TablaVentas[[#This Row],[Unidades]]*TablaVentas[[#This Row],[Costo_unitario]])</f>
        <v>101435.28</v>
      </c>
      <c r="Q852">
        <f>IF(OR(TablaVentas[[#This Row],[Ingreso_neto]]="PENDIENTE",TablaVentas[[#This Row],[Costo_total]]="PENDIENTE"),"PENDIENTE",TablaVentas[[#This Row],[Ingreso_neto]]-TablaVentas[[#This Row],[Costo_total]])</f>
        <v>40260.108000000007</v>
      </c>
    </row>
    <row r="853" spans="1:17">
      <c r="A853" t="s">
        <v>710</v>
      </c>
      <c r="B853">
        <v>2</v>
      </c>
      <c r="C853" s="3">
        <v>46131</v>
      </c>
      <c r="D853" t="s">
        <v>302</v>
      </c>
      <c r="E853" t="s">
        <v>90</v>
      </c>
      <c r="F853" t="s">
        <v>39</v>
      </c>
      <c r="G853" t="s">
        <v>50</v>
      </c>
      <c r="H853" t="s">
        <v>82</v>
      </c>
      <c r="I853">
        <v>1</v>
      </c>
      <c r="J853" s="4">
        <v>9928.77</v>
      </c>
      <c r="K853" s="5">
        <v>0</v>
      </c>
      <c r="L853" s="4">
        <v>8174.87</v>
      </c>
      <c r="M853" t="s">
        <v>42</v>
      </c>
      <c r="N853" t="s">
        <v>60</v>
      </c>
      <c r="O853">
        <f>IF(TablaVentas[[#This Row],[Precio_unitario]]="","PENDIENTE",TablaVentas[[#This Row],[Unidades]]*TablaVentas[[#This Row],[Precio_unitario]]*(1-TablaVentas[[#This Row],[Descuento_pct]]))</f>
        <v>9928.77</v>
      </c>
      <c r="P853">
        <f>IF(TablaVentas[[#This Row],[Costo_unitario]]="","PENDIENTE",TablaVentas[[#This Row],[Unidades]]*TablaVentas[[#This Row],[Costo_unitario]])</f>
        <v>8174.87</v>
      </c>
      <c r="Q853">
        <f>IF(OR(TablaVentas[[#This Row],[Ingreso_neto]]="PENDIENTE",TablaVentas[[#This Row],[Costo_total]]="PENDIENTE"),"PENDIENTE",TablaVentas[[#This Row],[Ingreso_neto]]-TablaVentas[[#This Row],[Costo_total]])</f>
        <v>1753.9000000000005</v>
      </c>
    </row>
    <row r="854" spans="1:17">
      <c r="A854" t="s">
        <v>710</v>
      </c>
      <c r="B854">
        <v>3</v>
      </c>
      <c r="C854" s="3">
        <v>46131</v>
      </c>
      <c r="D854" t="s">
        <v>302</v>
      </c>
      <c r="E854" t="s">
        <v>203</v>
      </c>
      <c r="F854" t="s">
        <v>39</v>
      </c>
      <c r="G854" t="s">
        <v>50</v>
      </c>
      <c r="H854" t="s">
        <v>82</v>
      </c>
      <c r="I854">
        <v>2</v>
      </c>
      <c r="J854" s="4">
        <v>1896.44</v>
      </c>
      <c r="K854" s="5">
        <v>0.05</v>
      </c>
      <c r="L854" s="4">
        <v>1252.8399999999999</v>
      </c>
      <c r="M854" t="s">
        <v>42</v>
      </c>
      <c r="N854" t="s">
        <v>60</v>
      </c>
      <c r="O854">
        <f>IF(TablaVentas[[#This Row],[Precio_unitario]]="","PENDIENTE",TablaVentas[[#This Row],[Unidades]]*TablaVentas[[#This Row],[Precio_unitario]]*(1-TablaVentas[[#This Row],[Descuento_pct]]))</f>
        <v>3603.2359999999999</v>
      </c>
      <c r="P854">
        <f>IF(TablaVentas[[#This Row],[Costo_unitario]]="","PENDIENTE",TablaVentas[[#This Row],[Unidades]]*TablaVentas[[#This Row],[Costo_unitario]])</f>
        <v>2505.6799999999998</v>
      </c>
      <c r="Q854">
        <f>IF(OR(TablaVentas[[#This Row],[Ingreso_neto]]="PENDIENTE",TablaVentas[[#This Row],[Costo_total]]="PENDIENTE"),"PENDIENTE",TablaVentas[[#This Row],[Ingreso_neto]]-TablaVentas[[#This Row],[Costo_total]])</f>
        <v>1097.556</v>
      </c>
    </row>
    <row r="855" spans="1:17">
      <c r="A855" t="s">
        <v>711</v>
      </c>
      <c r="B855">
        <v>1</v>
      </c>
      <c r="C855" s="3">
        <v>46051</v>
      </c>
      <c r="D855" t="s">
        <v>264</v>
      </c>
      <c r="E855" t="s">
        <v>223</v>
      </c>
      <c r="F855" t="s">
        <v>56</v>
      </c>
      <c r="G855" t="s">
        <v>50</v>
      </c>
      <c r="H855" t="s">
        <v>124</v>
      </c>
      <c r="I855">
        <v>5</v>
      </c>
      <c r="J855" s="4">
        <v>6021.42</v>
      </c>
      <c r="K855" s="5">
        <v>0.15</v>
      </c>
      <c r="L855" s="4">
        <v>3298.19</v>
      </c>
      <c r="M855" t="s">
        <v>42</v>
      </c>
      <c r="N855" t="s">
        <v>45</v>
      </c>
      <c r="O855">
        <f>IF(TablaVentas[[#This Row],[Precio_unitario]]="","PENDIENTE",TablaVentas[[#This Row],[Unidades]]*TablaVentas[[#This Row],[Precio_unitario]]*(1-TablaVentas[[#This Row],[Descuento_pct]]))</f>
        <v>25591.035</v>
      </c>
      <c r="P855">
        <f>IF(TablaVentas[[#This Row],[Costo_unitario]]="","PENDIENTE",TablaVentas[[#This Row],[Unidades]]*TablaVentas[[#This Row],[Costo_unitario]])</f>
        <v>16490.95</v>
      </c>
      <c r="Q855">
        <f>IF(OR(TablaVentas[[#This Row],[Ingreso_neto]]="PENDIENTE",TablaVentas[[#This Row],[Costo_total]]="PENDIENTE"),"PENDIENTE",TablaVentas[[#This Row],[Ingreso_neto]]-TablaVentas[[#This Row],[Costo_total]])</f>
        <v>9100.0849999999991</v>
      </c>
    </row>
    <row r="856" spans="1:17">
      <c r="A856" t="s">
        <v>711</v>
      </c>
      <c r="B856">
        <v>2</v>
      </c>
      <c r="C856" s="3">
        <v>46051</v>
      </c>
      <c r="D856" t="s">
        <v>264</v>
      </c>
      <c r="E856" t="s">
        <v>211</v>
      </c>
      <c r="F856" t="s">
        <v>56</v>
      </c>
      <c r="G856" t="s">
        <v>50</v>
      </c>
      <c r="H856" t="s">
        <v>124</v>
      </c>
      <c r="I856">
        <v>1</v>
      </c>
      <c r="J856" s="4">
        <v>19617</v>
      </c>
      <c r="K856" s="5">
        <v>0</v>
      </c>
      <c r="L856" s="4">
        <v>13760.53</v>
      </c>
      <c r="M856" t="s">
        <v>42</v>
      </c>
      <c r="N856" t="s">
        <v>43</v>
      </c>
      <c r="O856">
        <f>IF(TablaVentas[[#This Row],[Precio_unitario]]="","PENDIENTE",TablaVentas[[#This Row],[Unidades]]*TablaVentas[[#This Row],[Precio_unitario]]*(1-TablaVentas[[#This Row],[Descuento_pct]]))</f>
        <v>19617</v>
      </c>
      <c r="P856">
        <f>IF(TablaVentas[[#This Row],[Costo_unitario]]="","PENDIENTE",TablaVentas[[#This Row],[Unidades]]*TablaVentas[[#This Row],[Costo_unitario]])</f>
        <v>13760.53</v>
      </c>
      <c r="Q856">
        <f>IF(OR(TablaVentas[[#This Row],[Ingreso_neto]]="PENDIENTE",TablaVentas[[#This Row],[Costo_total]]="PENDIENTE"),"PENDIENTE",TablaVentas[[#This Row],[Ingreso_neto]]-TablaVentas[[#This Row],[Costo_total]])</f>
        <v>5856.4699999999993</v>
      </c>
    </row>
    <row r="857" spans="1:17">
      <c r="A857" t="s">
        <v>712</v>
      </c>
      <c r="B857">
        <v>1</v>
      </c>
      <c r="C857" s="3">
        <v>46042</v>
      </c>
      <c r="D857" t="s">
        <v>225</v>
      </c>
      <c r="E857" t="s">
        <v>135</v>
      </c>
      <c r="F857" t="s">
        <v>56</v>
      </c>
      <c r="G857" t="s">
        <v>57</v>
      </c>
      <c r="H857" t="s">
        <v>124</v>
      </c>
      <c r="I857">
        <v>5</v>
      </c>
      <c r="J857" s="4">
        <v>2111.63</v>
      </c>
      <c r="K857" s="5">
        <v>0.05</v>
      </c>
      <c r="L857" s="4">
        <v>1529.93</v>
      </c>
      <c r="M857" t="s">
        <v>42</v>
      </c>
      <c r="N857" t="s">
        <v>45</v>
      </c>
      <c r="O857">
        <f>IF(TablaVentas[[#This Row],[Precio_unitario]]="","PENDIENTE",TablaVentas[[#This Row],[Unidades]]*TablaVentas[[#This Row],[Precio_unitario]]*(1-TablaVentas[[#This Row],[Descuento_pct]]))</f>
        <v>10030.2425</v>
      </c>
      <c r="P857">
        <f>IF(TablaVentas[[#This Row],[Costo_unitario]]="","PENDIENTE",TablaVentas[[#This Row],[Unidades]]*TablaVentas[[#This Row],[Costo_unitario]])</f>
        <v>7649.6500000000005</v>
      </c>
      <c r="Q857">
        <f>IF(OR(TablaVentas[[#This Row],[Ingreso_neto]]="PENDIENTE",TablaVentas[[#This Row],[Costo_total]]="PENDIENTE"),"PENDIENTE",TablaVentas[[#This Row],[Ingreso_neto]]-TablaVentas[[#This Row],[Costo_total]])</f>
        <v>2380.5924999999997</v>
      </c>
    </row>
    <row r="858" spans="1:17">
      <c r="A858" t="s">
        <v>713</v>
      </c>
      <c r="B858">
        <v>1</v>
      </c>
      <c r="C858" s="3">
        <v>46247</v>
      </c>
      <c r="D858" t="s">
        <v>307</v>
      </c>
      <c r="E858" t="s">
        <v>537</v>
      </c>
      <c r="F858" t="s">
        <v>39</v>
      </c>
      <c r="G858" t="s">
        <v>40</v>
      </c>
      <c r="H858" t="s">
        <v>41</v>
      </c>
      <c r="I858">
        <v>2</v>
      </c>
      <c r="J858" s="4">
        <v>5514.07</v>
      </c>
      <c r="K858" s="5">
        <v>0</v>
      </c>
      <c r="L858" s="4">
        <v>4556.2299999999996</v>
      </c>
      <c r="M858" t="s">
        <v>42</v>
      </c>
      <c r="N858" t="s">
        <v>45</v>
      </c>
      <c r="O858">
        <f>IF(TablaVentas[[#This Row],[Precio_unitario]]="","PENDIENTE",TablaVentas[[#This Row],[Unidades]]*TablaVentas[[#This Row],[Precio_unitario]]*(1-TablaVentas[[#This Row],[Descuento_pct]]))</f>
        <v>11028.14</v>
      </c>
      <c r="P858">
        <f>IF(TablaVentas[[#This Row],[Costo_unitario]]="","PENDIENTE",TablaVentas[[#This Row],[Unidades]]*TablaVentas[[#This Row],[Costo_unitario]])</f>
        <v>9112.4599999999991</v>
      </c>
      <c r="Q858">
        <f>IF(OR(TablaVentas[[#This Row],[Ingreso_neto]]="PENDIENTE",TablaVentas[[#This Row],[Costo_total]]="PENDIENTE"),"PENDIENTE",TablaVentas[[#This Row],[Ingreso_neto]]-TablaVentas[[#This Row],[Costo_total]])</f>
        <v>1915.6800000000003</v>
      </c>
    </row>
    <row r="859" spans="1:17">
      <c r="A859" t="s">
        <v>714</v>
      </c>
      <c r="B859">
        <v>1</v>
      </c>
      <c r="C859" s="3">
        <v>46239</v>
      </c>
      <c r="D859" t="s">
        <v>492</v>
      </c>
      <c r="E859" t="s">
        <v>132</v>
      </c>
      <c r="F859" t="s">
        <v>56</v>
      </c>
      <c r="G859" t="s">
        <v>57</v>
      </c>
      <c r="H859" t="s">
        <v>102</v>
      </c>
      <c r="I859">
        <v>1</v>
      </c>
      <c r="J859" s="4">
        <v>17921.2</v>
      </c>
      <c r="K859" s="5">
        <v>0</v>
      </c>
      <c r="L859" s="4">
        <v>11036.95</v>
      </c>
      <c r="M859" t="s">
        <v>42</v>
      </c>
      <c r="N859" t="s">
        <v>45</v>
      </c>
      <c r="O859">
        <f>IF(TablaVentas[[#This Row],[Precio_unitario]]="","PENDIENTE",TablaVentas[[#This Row],[Unidades]]*TablaVentas[[#This Row],[Precio_unitario]]*(1-TablaVentas[[#This Row],[Descuento_pct]]))</f>
        <v>17921.2</v>
      </c>
      <c r="P859">
        <f>IF(TablaVentas[[#This Row],[Costo_unitario]]="","PENDIENTE",TablaVentas[[#This Row],[Unidades]]*TablaVentas[[#This Row],[Costo_unitario]])</f>
        <v>11036.95</v>
      </c>
      <c r="Q859">
        <f>IF(OR(TablaVentas[[#This Row],[Ingreso_neto]]="PENDIENTE",TablaVentas[[#This Row],[Costo_total]]="PENDIENTE"),"PENDIENTE",TablaVentas[[#This Row],[Ingreso_neto]]-TablaVentas[[#This Row],[Costo_total]])</f>
        <v>6884.25</v>
      </c>
    </row>
    <row r="860" spans="1:17">
      <c r="A860" t="s">
        <v>714</v>
      </c>
      <c r="B860">
        <v>2</v>
      </c>
      <c r="C860" s="3">
        <v>46239</v>
      </c>
      <c r="D860" t="s">
        <v>492</v>
      </c>
      <c r="E860" t="s">
        <v>94</v>
      </c>
      <c r="F860" t="s">
        <v>56</v>
      </c>
      <c r="G860" t="s">
        <v>57</v>
      </c>
      <c r="H860" t="s">
        <v>102</v>
      </c>
      <c r="I860">
        <v>12</v>
      </c>
      <c r="J860" s="4">
        <v>8146.49</v>
      </c>
      <c r="K860" s="5">
        <v>0</v>
      </c>
      <c r="L860" s="4">
        <v>4538.0600000000004</v>
      </c>
      <c r="M860" t="s">
        <v>42</v>
      </c>
      <c r="N860" t="s">
        <v>45</v>
      </c>
      <c r="O860">
        <f>IF(TablaVentas[[#This Row],[Precio_unitario]]="","PENDIENTE",TablaVentas[[#This Row],[Unidades]]*TablaVentas[[#This Row],[Precio_unitario]]*(1-TablaVentas[[#This Row],[Descuento_pct]]))</f>
        <v>97757.88</v>
      </c>
      <c r="P860">
        <f>IF(TablaVentas[[#This Row],[Costo_unitario]]="","PENDIENTE",TablaVentas[[#This Row],[Unidades]]*TablaVentas[[#This Row],[Costo_unitario]])</f>
        <v>54456.72</v>
      </c>
      <c r="Q860">
        <f>IF(OR(TablaVentas[[#This Row],[Ingreso_neto]]="PENDIENTE",TablaVentas[[#This Row],[Costo_total]]="PENDIENTE"),"PENDIENTE",TablaVentas[[#This Row],[Ingreso_neto]]-TablaVentas[[#This Row],[Costo_total]])</f>
        <v>43301.16</v>
      </c>
    </row>
    <row r="861" spans="1:17">
      <c r="A861" t="s">
        <v>714</v>
      </c>
      <c r="B861">
        <v>3</v>
      </c>
      <c r="C861" s="3">
        <v>46239</v>
      </c>
      <c r="D861" t="s">
        <v>492</v>
      </c>
      <c r="E861" t="s">
        <v>98</v>
      </c>
      <c r="F861" t="s">
        <v>56</v>
      </c>
      <c r="G861" t="s">
        <v>57</v>
      </c>
      <c r="H861" t="s">
        <v>102</v>
      </c>
      <c r="I861">
        <v>5</v>
      </c>
      <c r="J861" s="4">
        <v>15930.26</v>
      </c>
      <c r="K861" s="5">
        <v>0.05</v>
      </c>
      <c r="L861" s="4">
        <v>9881</v>
      </c>
      <c r="M861" t="s">
        <v>42</v>
      </c>
      <c r="N861" t="s">
        <v>60</v>
      </c>
      <c r="O861">
        <f>IF(TablaVentas[[#This Row],[Precio_unitario]]="","PENDIENTE",TablaVentas[[#This Row],[Unidades]]*TablaVentas[[#This Row],[Precio_unitario]]*(1-TablaVentas[[#This Row],[Descuento_pct]]))</f>
        <v>75668.735000000001</v>
      </c>
      <c r="P861">
        <f>IF(TablaVentas[[#This Row],[Costo_unitario]]="","PENDIENTE",TablaVentas[[#This Row],[Unidades]]*TablaVentas[[#This Row],[Costo_unitario]])</f>
        <v>49405</v>
      </c>
      <c r="Q861">
        <f>IF(OR(TablaVentas[[#This Row],[Ingreso_neto]]="PENDIENTE",TablaVentas[[#This Row],[Costo_total]]="PENDIENTE"),"PENDIENTE",TablaVentas[[#This Row],[Ingreso_neto]]-TablaVentas[[#This Row],[Costo_total]])</f>
        <v>26263.735000000001</v>
      </c>
    </row>
    <row r="862" spans="1:17">
      <c r="A862" t="s">
        <v>714</v>
      </c>
      <c r="B862">
        <v>4</v>
      </c>
      <c r="C862" s="3">
        <v>46239</v>
      </c>
      <c r="D862" t="s">
        <v>492</v>
      </c>
      <c r="E862" t="s">
        <v>410</v>
      </c>
      <c r="F862" t="s">
        <v>56</v>
      </c>
      <c r="G862" t="s">
        <v>57</v>
      </c>
      <c r="H862" t="s">
        <v>102</v>
      </c>
      <c r="I862">
        <v>3</v>
      </c>
      <c r="J862" s="4">
        <v>8193.99</v>
      </c>
      <c r="K862" s="5">
        <v>0.1</v>
      </c>
      <c r="L862" s="4">
        <v>5874.17</v>
      </c>
      <c r="M862" t="s">
        <v>42</v>
      </c>
      <c r="N862" t="s">
        <v>52</v>
      </c>
      <c r="O862">
        <f>IF(TablaVentas[[#This Row],[Precio_unitario]]="","PENDIENTE",TablaVentas[[#This Row],[Unidades]]*TablaVentas[[#This Row],[Precio_unitario]]*(1-TablaVentas[[#This Row],[Descuento_pct]]))</f>
        <v>22123.773000000001</v>
      </c>
      <c r="P862">
        <f>IF(TablaVentas[[#This Row],[Costo_unitario]]="","PENDIENTE",TablaVentas[[#This Row],[Unidades]]*TablaVentas[[#This Row],[Costo_unitario]])</f>
        <v>17622.510000000002</v>
      </c>
      <c r="Q862">
        <f>IF(OR(TablaVentas[[#This Row],[Ingreso_neto]]="PENDIENTE",TablaVentas[[#This Row],[Costo_total]]="PENDIENTE"),"PENDIENTE",TablaVentas[[#This Row],[Ingreso_neto]]-TablaVentas[[#This Row],[Costo_total]])</f>
        <v>4501.262999999999</v>
      </c>
    </row>
    <row r="863" spans="1:17">
      <c r="A863" t="s">
        <v>715</v>
      </c>
      <c r="B863">
        <v>1</v>
      </c>
      <c r="C863" s="3">
        <v>46174</v>
      </c>
      <c r="D863" t="s">
        <v>48</v>
      </c>
      <c r="E863" t="s">
        <v>353</v>
      </c>
      <c r="F863" t="s">
        <v>77</v>
      </c>
      <c r="G863" t="s">
        <v>40</v>
      </c>
      <c r="H863" t="s">
        <v>51</v>
      </c>
      <c r="I863">
        <v>3</v>
      </c>
      <c r="J863" s="4">
        <v>2202.5300000000002</v>
      </c>
      <c r="K863" s="5">
        <v>0</v>
      </c>
      <c r="L863" s="4">
        <v>1479.71</v>
      </c>
      <c r="M863" t="s">
        <v>42</v>
      </c>
      <c r="N863" t="s">
        <v>52</v>
      </c>
      <c r="O863">
        <f>IF(TablaVentas[[#This Row],[Precio_unitario]]="","PENDIENTE",TablaVentas[[#This Row],[Unidades]]*TablaVentas[[#This Row],[Precio_unitario]]*(1-TablaVentas[[#This Row],[Descuento_pct]]))</f>
        <v>6607.59</v>
      </c>
      <c r="P863">
        <f>IF(TablaVentas[[#This Row],[Costo_unitario]]="","PENDIENTE",TablaVentas[[#This Row],[Unidades]]*TablaVentas[[#This Row],[Costo_unitario]])</f>
        <v>4439.13</v>
      </c>
      <c r="Q863">
        <f>IF(OR(TablaVentas[[#This Row],[Ingreso_neto]]="PENDIENTE",TablaVentas[[#This Row],[Costo_total]]="PENDIENTE"),"PENDIENTE",TablaVentas[[#This Row],[Ingreso_neto]]-TablaVentas[[#This Row],[Costo_total]])</f>
        <v>2168.46</v>
      </c>
    </row>
    <row r="864" spans="1:17">
      <c r="A864" t="s">
        <v>715</v>
      </c>
      <c r="B864">
        <v>2</v>
      </c>
      <c r="C864" s="3">
        <v>46174</v>
      </c>
      <c r="D864" t="s">
        <v>48</v>
      </c>
      <c r="E864" t="s">
        <v>410</v>
      </c>
      <c r="F864" t="s">
        <v>77</v>
      </c>
      <c r="G864" t="s">
        <v>40</v>
      </c>
      <c r="H864" t="s">
        <v>51</v>
      </c>
      <c r="I864">
        <v>1</v>
      </c>
      <c r="J864" s="4">
        <v>7357.5</v>
      </c>
      <c r="K864" s="5">
        <v>0.15</v>
      </c>
      <c r="L864" s="4">
        <v>5874.17</v>
      </c>
      <c r="M864" t="s">
        <v>42</v>
      </c>
      <c r="N864" t="s">
        <v>43</v>
      </c>
      <c r="O864">
        <f>IF(TablaVentas[[#This Row],[Precio_unitario]]="","PENDIENTE",TablaVentas[[#This Row],[Unidades]]*TablaVentas[[#This Row],[Precio_unitario]]*(1-TablaVentas[[#This Row],[Descuento_pct]]))</f>
        <v>6253.875</v>
      </c>
      <c r="P864">
        <f>IF(TablaVentas[[#This Row],[Costo_unitario]]="","PENDIENTE",TablaVentas[[#This Row],[Unidades]]*TablaVentas[[#This Row],[Costo_unitario]])</f>
        <v>5874.17</v>
      </c>
      <c r="Q864">
        <f>IF(OR(TablaVentas[[#This Row],[Ingreso_neto]]="PENDIENTE",TablaVentas[[#This Row],[Costo_total]]="PENDIENTE"),"PENDIENTE",TablaVentas[[#This Row],[Ingreso_neto]]-TablaVentas[[#This Row],[Costo_total]])</f>
        <v>379.70499999999993</v>
      </c>
    </row>
    <row r="865" spans="1:17">
      <c r="A865" t="s">
        <v>716</v>
      </c>
      <c r="B865">
        <v>1</v>
      </c>
      <c r="C865" s="3">
        <v>46234</v>
      </c>
      <c r="D865" t="s">
        <v>289</v>
      </c>
      <c r="E865" t="s">
        <v>537</v>
      </c>
      <c r="F865" t="s">
        <v>56</v>
      </c>
      <c r="G865" t="s">
        <v>40</v>
      </c>
      <c r="H865" t="s">
        <v>102</v>
      </c>
      <c r="I865">
        <v>1</v>
      </c>
      <c r="J865" s="4">
        <v>5348.06</v>
      </c>
      <c r="K865" s="5">
        <v>0.15</v>
      </c>
      <c r="L865" s="4">
        <v>4556.2299999999996</v>
      </c>
      <c r="M865" t="s">
        <v>42</v>
      </c>
      <c r="N865" t="s">
        <v>60</v>
      </c>
      <c r="O865">
        <f>IF(TablaVentas[[#This Row],[Precio_unitario]]="","PENDIENTE",TablaVentas[[#This Row],[Unidades]]*TablaVentas[[#This Row],[Precio_unitario]]*(1-TablaVentas[[#This Row],[Descuento_pct]]))</f>
        <v>4545.8510000000006</v>
      </c>
      <c r="P865">
        <f>IF(TablaVentas[[#This Row],[Costo_unitario]]="","PENDIENTE",TablaVentas[[#This Row],[Unidades]]*TablaVentas[[#This Row],[Costo_unitario]])</f>
        <v>4556.2299999999996</v>
      </c>
      <c r="Q865">
        <f>IF(OR(TablaVentas[[#This Row],[Ingreso_neto]]="PENDIENTE",TablaVentas[[#This Row],[Costo_total]]="PENDIENTE"),"PENDIENTE",TablaVentas[[#This Row],[Ingreso_neto]]-TablaVentas[[#This Row],[Costo_total]])</f>
        <v>-10.378999999998996</v>
      </c>
    </row>
    <row r="866" spans="1:17">
      <c r="A866" t="s">
        <v>716</v>
      </c>
      <c r="B866">
        <v>2</v>
      </c>
      <c r="C866" s="3">
        <v>46234</v>
      </c>
      <c r="D866" t="s">
        <v>289</v>
      </c>
      <c r="E866" t="s">
        <v>163</v>
      </c>
      <c r="F866" t="s">
        <v>56</v>
      </c>
      <c r="G866" t="s">
        <v>40</v>
      </c>
      <c r="H866" t="s">
        <v>102</v>
      </c>
      <c r="I866">
        <v>1</v>
      </c>
      <c r="J866" s="4">
        <v>16320.55</v>
      </c>
      <c r="K866" s="5">
        <v>0.1</v>
      </c>
      <c r="L866" s="4">
        <v>12141.44</v>
      </c>
      <c r="M866" t="s">
        <v>42</v>
      </c>
      <c r="N866" t="s">
        <v>45</v>
      </c>
      <c r="O866">
        <f>IF(TablaVentas[[#This Row],[Precio_unitario]]="","PENDIENTE",TablaVentas[[#This Row],[Unidades]]*TablaVentas[[#This Row],[Precio_unitario]]*(1-TablaVentas[[#This Row],[Descuento_pct]]))</f>
        <v>14688.494999999999</v>
      </c>
      <c r="P866">
        <f>IF(TablaVentas[[#This Row],[Costo_unitario]]="","PENDIENTE",TablaVentas[[#This Row],[Unidades]]*TablaVentas[[#This Row],[Costo_unitario]])</f>
        <v>12141.44</v>
      </c>
      <c r="Q866">
        <f>IF(OR(TablaVentas[[#This Row],[Ingreso_neto]]="PENDIENTE",TablaVentas[[#This Row],[Costo_total]]="PENDIENTE"),"PENDIENTE",TablaVentas[[#This Row],[Ingreso_neto]]-TablaVentas[[#This Row],[Costo_total]])</f>
        <v>2547.0549999999985</v>
      </c>
    </row>
    <row r="867" spans="1:17">
      <c r="A867" t="s">
        <v>716</v>
      </c>
      <c r="B867">
        <v>3</v>
      </c>
      <c r="C867" s="3">
        <v>46234</v>
      </c>
      <c r="D867" t="s">
        <v>289</v>
      </c>
      <c r="E867" t="s">
        <v>93</v>
      </c>
      <c r="F867" t="s">
        <v>56</v>
      </c>
      <c r="G867" t="s">
        <v>40</v>
      </c>
      <c r="H867" t="s">
        <v>102</v>
      </c>
      <c r="I867">
        <v>1</v>
      </c>
      <c r="J867" s="4">
        <v>15348.24</v>
      </c>
      <c r="K867" s="5">
        <v>0.15</v>
      </c>
      <c r="L867" s="4">
        <v>8788.7900000000009</v>
      </c>
      <c r="M867" t="s">
        <v>42</v>
      </c>
      <c r="N867" t="s">
        <v>60</v>
      </c>
      <c r="O867">
        <f>IF(TablaVentas[[#This Row],[Precio_unitario]]="","PENDIENTE",TablaVentas[[#This Row],[Unidades]]*TablaVentas[[#This Row],[Precio_unitario]]*(1-TablaVentas[[#This Row],[Descuento_pct]]))</f>
        <v>13046.003999999999</v>
      </c>
      <c r="P867">
        <f>IF(TablaVentas[[#This Row],[Costo_unitario]]="","PENDIENTE",TablaVentas[[#This Row],[Unidades]]*TablaVentas[[#This Row],[Costo_unitario]])</f>
        <v>8788.7900000000009</v>
      </c>
      <c r="Q867">
        <f>IF(OR(TablaVentas[[#This Row],[Ingreso_neto]]="PENDIENTE",TablaVentas[[#This Row],[Costo_total]]="PENDIENTE"),"PENDIENTE",TablaVentas[[#This Row],[Ingreso_neto]]-TablaVentas[[#This Row],[Costo_total]])</f>
        <v>4257.2139999999981</v>
      </c>
    </row>
    <row r="868" spans="1:17">
      <c r="A868" t="s">
        <v>717</v>
      </c>
      <c r="B868">
        <v>1</v>
      </c>
      <c r="C868" s="3">
        <v>46163</v>
      </c>
      <c r="D868" t="s">
        <v>112</v>
      </c>
      <c r="E868" t="s">
        <v>248</v>
      </c>
      <c r="F868" t="s">
        <v>77</v>
      </c>
      <c r="G868" t="s">
        <v>40</v>
      </c>
      <c r="H868" t="s">
        <v>67</v>
      </c>
      <c r="I868">
        <v>3</v>
      </c>
      <c r="J868" s="4">
        <v>13522.89</v>
      </c>
      <c r="K868" s="5">
        <v>0</v>
      </c>
      <c r="L868" s="4">
        <v>6856.4</v>
      </c>
      <c r="M868" t="s">
        <v>42</v>
      </c>
      <c r="N868" t="s">
        <v>43</v>
      </c>
      <c r="O868">
        <f>IF(TablaVentas[[#This Row],[Precio_unitario]]="","PENDIENTE",TablaVentas[[#This Row],[Unidades]]*TablaVentas[[#This Row],[Precio_unitario]]*(1-TablaVentas[[#This Row],[Descuento_pct]]))</f>
        <v>40568.67</v>
      </c>
      <c r="P868">
        <f>IF(TablaVentas[[#This Row],[Costo_unitario]]="","PENDIENTE",TablaVentas[[#This Row],[Unidades]]*TablaVentas[[#This Row],[Costo_unitario]])</f>
        <v>20569.199999999997</v>
      </c>
      <c r="Q868">
        <f>IF(OR(TablaVentas[[#This Row],[Ingreso_neto]]="PENDIENTE",TablaVentas[[#This Row],[Costo_total]]="PENDIENTE"),"PENDIENTE",TablaVentas[[#This Row],[Ingreso_neto]]-TablaVentas[[#This Row],[Costo_total]])</f>
        <v>19999.47</v>
      </c>
    </row>
    <row r="869" spans="1:17">
      <c r="A869" t="s">
        <v>717</v>
      </c>
      <c r="B869">
        <v>2</v>
      </c>
      <c r="C869" s="3">
        <v>46163</v>
      </c>
      <c r="D869" t="s">
        <v>112</v>
      </c>
      <c r="E869" t="s">
        <v>223</v>
      </c>
      <c r="F869" t="s">
        <v>77</v>
      </c>
      <c r="G869" t="s">
        <v>40</v>
      </c>
      <c r="H869" t="s">
        <v>67</v>
      </c>
      <c r="I869">
        <v>1</v>
      </c>
      <c r="J869" s="4">
        <v>6461.81</v>
      </c>
      <c r="K869" s="5">
        <v>0.1</v>
      </c>
      <c r="L869" s="4">
        <v>3298.19</v>
      </c>
      <c r="M869" t="s">
        <v>62</v>
      </c>
      <c r="N869" t="s">
        <v>60</v>
      </c>
      <c r="O869">
        <f>IF(TablaVentas[[#This Row],[Precio_unitario]]="","PENDIENTE",TablaVentas[[#This Row],[Unidades]]*TablaVentas[[#This Row],[Precio_unitario]]*(1-TablaVentas[[#This Row],[Descuento_pct]]))</f>
        <v>5815.6290000000008</v>
      </c>
      <c r="P869">
        <f>IF(TablaVentas[[#This Row],[Costo_unitario]]="","PENDIENTE",TablaVentas[[#This Row],[Unidades]]*TablaVentas[[#This Row],[Costo_unitario]])</f>
        <v>3298.19</v>
      </c>
      <c r="Q869">
        <f>IF(OR(TablaVentas[[#This Row],[Ingreso_neto]]="PENDIENTE",TablaVentas[[#This Row],[Costo_total]]="PENDIENTE"),"PENDIENTE",TablaVentas[[#This Row],[Ingreso_neto]]-TablaVentas[[#This Row],[Costo_total]])</f>
        <v>2517.4390000000008</v>
      </c>
    </row>
    <row r="870" spans="1:17">
      <c r="A870" t="s">
        <v>717</v>
      </c>
      <c r="B870">
        <v>3</v>
      </c>
      <c r="C870" s="3">
        <v>46163</v>
      </c>
      <c r="D870" t="s">
        <v>112</v>
      </c>
      <c r="E870" t="s">
        <v>277</v>
      </c>
      <c r="F870" t="s">
        <v>77</v>
      </c>
      <c r="G870" t="s">
        <v>40</v>
      </c>
      <c r="H870" t="s">
        <v>67</v>
      </c>
      <c r="I870">
        <v>12</v>
      </c>
      <c r="J870" s="4">
        <v>6983.39</v>
      </c>
      <c r="K870" s="5">
        <v>0.1</v>
      </c>
      <c r="L870" s="4">
        <v>4858.08</v>
      </c>
      <c r="M870" t="s">
        <v>62</v>
      </c>
      <c r="N870" t="s">
        <v>45</v>
      </c>
      <c r="O870">
        <f>IF(TablaVentas[[#This Row],[Precio_unitario]]="","PENDIENTE",TablaVentas[[#This Row],[Unidades]]*TablaVentas[[#This Row],[Precio_unitario]]*(1-TablaVentas[[#This Row],[Descuento_pct]]))</f>
        <v>75420.612000000008</v>
      </c>
      <c r="P870">
        <f>IF(TablaVentas[[#This Row],[Costo_unitario]]="","PENDIENTE",TablaVentas[[#This Row],[Unidades]]*TablaVentas[[#This Row],[Costo_unitario]])</f>
        <v>58296.959999999999</v>
      </c>
      <c r="Q870">
        <f>IF(OR(TablaVentas[[#This Row],[Ingreso_neto]]="PENDIENTE",TablaVentas[[#This Row],[Costo_total]]="PENDIENTE"),"PENDIENTE",TablaVentas[[#This Row],[Ingreso_neto]]-TablaVentas[[#This Row],[Costo_total]])</f>
        <v>17123.652000000009</v>
      </c>
    </row>
    <row r="871" spans="1:17">
      <c r="A871" t="s">
        <v>718</v>
      </c>
      <c r="B871">
        <v>1</v>
      </c>
      <c r="C871" s="3">
        <v>46101</v>
      </c>
      <c r="D871" t="s">
        <v>601</v>
      </c>
      <c r="E871" t="s">
        <v>160</v>
      </c>
      <c r="F871" t="s">
        <v>39</v>
      </c>
      <c r="G871" t="s">
        <v>57</v>
      </c>
      <c r="H871" t="s">
        <v>184</v>
      </c>
      <c r="I871">
        <v>2</v>
      </c>
      <c r="J871" s="4">
        <v>7678.12</v>
      </c>
      <c r="K871" s="5">
        <v>0</v>
      </c>
      <c r="L871" s="4">
        <v>4082.15</v>
      </c>
      <c r="M871" t="s">
        <v>42</v>
      </c>
      <c r="N871" t="s">
        <v>43</v>
      </c>
      <c r="O871">
        <f>IF(TablaVentas[[#This Row],[Precio_unitario]]="","PENDIENTE",TablaVentas[[#This Row],[Unidades]]*TablaVentas[[#This Row],[Precio_unitario]]*(1-TablaVentas[[#This Row],[Descuento_pct]]))</f>
        <v>15356.24</v>
      </c>
      <c r="P871">
        <f>IF(TablaVentas[[#This Row],[Costo_unitario]]="","PENDIENTE",TablaVentas[[#This Row],[Unidades]]*TablaVentas[[#This Row],[Costo_unitario]])</f>
        <v>8164.3</v>
      </c>
      <c r="Q871">
        <f>IF(OR(TablaVentas[[#This Row],[Ingreso_neto]]="PENDIENTE",TablaVentas[[#This Row],[Costo_total]]="PENDIENTE"),"PENDIENTE",TablaVentas[[#This Row],[Ingreso_neto]]-TablaVentas[[#This Row],[Costo_total]])</f>
        <v>7191.94</v>
      </c>
    </row>
    <row r="872" spans="1:17">
      <c r="A872" t="s">
        <v>718</v>
      </c>
      <c r="B872">
        <v>2</v>
      </c>
      <c r="C872" s="3">
        <v>46101</v>
      </c>
      <c r="D872" t="s">
        <v>601</v>
      </c>
      <c r="E872" t="s">
        <v>128</v>
      </c>
      <c r="F872" t="s">
        <v>39</v>
      </c>
      <c r="G872" t="s">
        <v>57</v>
      </c>
      <c r="H872" t="s">
        <v>184</v>
      </c>
      <c r="I872">
        <v>3</v>
      </c>
      <c r="J872" s="4">
        <v>1529.75</v>
      </c>
      <c r="K872" s="5">
        <v>0</v>
      </c>
      <c r="L872" s="4">
        <v>900.08</v>
      </c>
      <c r="M872" t="s">
        <v>62</v>
      </c>
      <c r="N872" t="s">
        <v>52</v>
      </c>
      <c r="O872">
        <f>IF(TablaVentas[[#This Row],[Precio_unitario]]="","PENDIENTE",TablaVentas[[#This Row],[Unidades]]*TablaVentas[[#This Row],[Precio_unitario]]*(1-TablaVentas[[#This Row],[Descuento_pct]]))</f>
        <v>4589.25</v>
      </c>
      <c r="P872">
        <f>IF(TablaVentas[[#This Row],[Costo_unitario]]="","PENDIENTE",TablaVentas[[#This Row],[Unidades]]*TablaVentas[[#This Row],[Costo_unitario]])</f>
        <v>2700.2400000000002</v>
      </c>
      <c r="Q872">
        <f>IF(OR(TablaVentas[[#This Row],[Ingreso_neto]]="PENDIENTE",TablaVentas[[#This Row],[Costo_total]]="PENDIENTE"),"PENDIENTE",TablaVentas[[#This Row],[Ingreso_neto]]-TablaVentas[[#This Row],[Costo_total]])</f>
        <v>1889.0099999999998</v>
      </c>
    </row>
    <row r="873" spans="1:17">
      <c r="A873" t="s">
        <v>718</v>
      </c>
      <c r="B873">
        <v>3</v>
      </c>
      <c r="C873" s="3">
        <v>46101</v>
      </c>
      <c r="D873" t="s">
        <v>601</v>
      </c>
      <c r="E873" t="s">
        <v>81</v>
      </c>
      <c r="F873" t="s">
        <v>39</v>
      </c>
      <c r="G873" t="s">
        <v>57</v>
      </c>
      <c r="H873" t="s">
        <v>184</v>
      </c>
      <c r="I873">
        <v>2</v>
      </c>
      <c r="J873" s="4">
        <v>15179.59</v>
      </c>
      <c r="K873" s="5">
        <v>0.05</v>
      </c>
      <c r="L873" s="4">
        <v>11614.87</v>
      </c>
      <c r="M873" t="s">
        <v>42</v>
      </c>
      <c r="N873" t="s">
        <v>43</v>
      </c>
      <c r="O873">
        <f>IF(TablaVentas[[#This Row],[Precio_unitario]]="","PENDIENTE",TablaVentas[[#This Row],[Unidades]]*TablaVentas[[#This Row],[Precio_unitario]]*(1-TablaVentas[[#This Row],[Descuento_pct]]))</f>
        <v>28841.220999999998</v>
      </c>
      <c r="P873">
        <f>IF(TablaVentas[[#This Row],[Costo_unitario]]="","PENDIENTE",TablaVentas[[#This Row],[Unidades]]*TablaVentas[[#This Row],[Costo_unitario]])</f>
        <v>23229.74</v>
      </c>
      <c r="Q873">
        <f>IF(OR(TablaVentas[[#This Row],[Ingreso_neto]]="PENDIENTE",TablaVentas[[#This Row],[Costo_total]]="PENDIENTE"),"PENDIENTE",TablaVentas[[#This Row],[Ingreso_neto]]-TablaVentas[[#This Row],[Costo_total]])</f>
        <v>5611.4809999999961</v>
      </c>
    </row>
    <row r="874" spans="1:17">
      <c r="A874" t="s">
        <v>719</v>
      </c>
      <c r="B874">
        <v>1</v>
      </c>
      <c r="C874" s="3">
        <v>46240</v>
      </c>
      <c r="D874" t="s">
        <v>720</v>
      </c>
      <c r="E874" t="s">
        <v>211</v>
      </c>
      <c r="F874" t="s">
        <v>77</v>
      </c>
      <c r="G874" t="s">
        <v>50</v>
      </c>
      <c r="H874" t="s">
        <v>124</v>
      </c>
      <c r="I874">
        <v>1</v>
      </c>
      <c r="J874" s="4">
        <v>19519.71</v>
      </c>
      <c r="K874" s="5">
        <v>0</v>
      </c>
      <c r="L874" s="4">
        <v>13760.53</v>
      </c>
      <c r="M874" t="s">
        <v>42</v>
      </c>
      <c r="N874" t="s">
        <v>43</v>
      </c>
      <c r="O874">
        <f>IF(TablaVentas[[#This Row],[Precio_unitario]]="","PENDIENTE",TablaVentas[[#This Row],[Unidades]]*TablaVentas[[#This Row],[Precio_unitario]]*(1-TablaVentas[[#This Row],[Descuento_pct]]))</f>
        <v>19519.71</v>
      </c>
      <c r="P874">
        <f>IF(TablaVentas[[#This Row],[Costo_unitario]]="","PENDIENTE",TablaVentas[[#This Row],[Unidades]]*TablaVentas[[#This Row],[Costo_unitario]])</f>
        <v>13760.53</v>
      </c>
      <c r="Q874">
        <f>IF(OR(TablaVentas[[#This Row],[Ingreso_neto]]="PENDIENTE",TablaVentas[[#This Row],[Costo_total]]="PENDIENTE"),"PENDIENTE",TablaVentas[[#This Row],[Ingreso_neto]]-TablaVentas[[#This Row],[Costo_total]])</f>
        <v>5759.1799999999985</v>
      </c>
    </row>
    <row r="875" spans="1:17">
      <c r="A875" t="s">
        <v>719</v>
      </c>
      <c r="B875">
        <v>2</v>
      </c>
      <c r="C875" s="3">
        <v>46240</v>
      </c>
      <c r="D875" t="s">
        <v>720</v>
      </c>
      <c r="E875" t="s">
        <v>49</v>
      </c>
      <c r="F875" t="s">
        <v>77</v>
      </c>
      <c r="G875" t="s">
        <v>50</v>
      </c>
      <c r="H875" t="s">
        <v>124</v>
      </c>
      <c r="I875">
        <v>5</v>
      </c>
      <c r="J875" s="4">
        <v>3978.33</v>
      </c>
      <c r="K875" s="5">
        <v>0.2</v>
      </c>
      <c r="L875" s="4">
        <v>2950.52</v>
      </c>
      <c r="M875" t="s">
        <v>62</v>
      </c>
      <c r="N875" t="s">
        <v>60</v>
      </c>
      <c r="O875">
        <f>IF(TablaVentas[[#This Row],[Precio_unitario]]="","PENDIENTE",TablaVentas[[#This Row],[Unidades]]*TablaVentas[[#This Row],[Precio_unitario]]*(1-TablaVentas[[#This Row],[Descuento_pct]]))</f>
        <v>15913.320000000002</v>
      </c>
      <c r="P875">
        <f>IF(TablaVentas[[#This Row],[Costo_unitario]]="","PENDIENTE",TablaVentas[[#This Row],[Unidades]]*TablaVentas[[#This Row],[Costo_unitario]])</f>
        <v>14752.6</v>
      </c>
      <c r="Q875">
        <f>IF(OR(TablaVentas[[#This Row],[Ingreso_neto]]="PENDIENTE",TablaVentas[[#This Row],[Costo_total]]="PENDIENTE"),"PENDIENTE",TablaVentas[[#This Row],[Ingreso_neto]]-TablaVentas[[#This Row],[Costo_total]])</f>
        <v>1160.7200000000012</v>
      </c>
    </row>
    <row r="876" spans="1:17">
      <c r="A876" t="s">
        <v>721</v>
      </c>
      <c r="B876">
        <v>1</v>
      </c>
      <c r="C876" s="3">
        <v>46266</v>
      </c>
      <c r="D876" t="s">
        <v>665</v>
      </c>
      <c r="E876" t="s">
        <v>139</v>
      </c>
      <c r="F876" t="s">
        <v>66</v>
      </c>
      <c r="G876" t="s">
        <v>57</v>
      </c>
      <c r="H876" t="s">
        <v>124</v>
      </c>
      <c r="I876">
        <v>2</v>
      </c>
      <c r="J876" s="4">
        <v>10623.54</v>
      </c>
      <c r="K876" s="5">
        <v>0.05</v>
      </c>
      <c r="L876" s="4">
        <v>8002.16</v>
      </c>
      <c r="M876" t="s">
        <v>42</v>
      </c>
      <c r="N876" t="s">
        <v>45</v>
      </c>
      <c r="O876">
        <f>IF(TablaVentas[[#This Row],[Precio_unitario]]="","PENDIENTE",TablaVentas[[#This Row],[Unidades]]*TablaVentas[[#This Row],[Precio_unitario]]*(1-TablaVentas[[#This Row],[Descuento_pct]]))</f>
        <v>20184.726000000002</v>
      </c>
      <c r="P876">
        <f>IF(TablaVentas[[#This Row],[Costo_unitario]]="","PENDIENTE",TablaVentas[[#This Row],[Unidades]]*TablaVentas[[#This Row],[Costo_unitario]])</f>
        <v>16004.32</v>
      </c>
      <c r="Q876">
        <f>IF(OR(TablaVentas[[#This Row],[Ingreso_neto]]="PENDIENTE",TablaVentas[[#This Row],[Costo_total]]="PENDIENTE"),"PENDIENTE",TablaVentas[[#This Row],[Ingreso_neto]]-TablaVentas[[#This Row],[Costo_total]])</f>
        <v>4180.4060000000027</v>
      </c>
    </row>
    <row r="877" spans="1:17">
      <c r="A877" t="s">
        <v>721</v>
      </c>
      <c r="B877">
        <v>2</v>
      </c>
      <c r="C877" s="3">
        <v>46266</v>
      </c>
      <c r="D877" t="s">
        <v>665</v>
      </c>
      <c r="E877" t="s">
        <v>167</v>
      </c>
      <c r="F877" t="s">
        <v>66</v>
      </c>
      <c r="G877" t="s">
        <v>57</v>
      </c>
      <c r="H877" t="s">
        <v>124</v>
      </c>
      <c r="I877">
        <v>1</v>
      </c>
      <c r="J877" s="4">
        <v>17524.48</v>
      </c>
      <c r="K877" s="5">
        <v>0</v>
      </c>
      <c r="L877" s="4">
        <v>8704.4</v>
      </c>
      <c r="M877" t="s">
        <v>42</v>
      </c>
      <c r="N877" t="s">
        <v>52</v>
      </c>
      <c r="O877">
        <f>IF(TablaVentas[[#This Row],[Precio_unitario]]="","PENDIENTE",TablaVentas[[#This Row],[Unidades]]*TablaVentas[[#This Row],[Precio_unitario]]*(1-TablaVentas[[#This Row],[Descuento_pct]]))</f>
        <v>17524.48</v>
      </c>
      <c r="P877">
        <f>IF(TablaVentas[[#This Row],[Costo_unitario]]="","PENDIENTE",TablaVentas[[#This Row],[Unidades]]*TablaVentas[[#This Row],[Costo_unitario]])</f>
        <v>8704.4</v>
      </c>
      <c r="Q877">
        <f>IF(OR(TablaVentas[[#This Row],[Ingreso_neto]]="PENDIENTE",TablaVentas[[#This Row],[Costo_total]]="PENDIENTE"),"PENDIENTE",TablaVentas[[#This Row],[Ingreso_neto]]-TablaVentas[[#This Row],[Costo_total]])</f>
        <v>8820.08</v>
      </c>
    </row>
    <row r="878" spans="1:17">
      <c r="A878" t="s">
        <v>721</v>
      </c>
      <c r="B878">
        <v>3</v>
      </c>
      <c r="C878" s="3">
        <v>46266</v>
      </c>
      <c r="D878" t="s">
        <v>665</v>
      </c>
      <c r="E878" t="s">
        <v>135</v>
      </c>
      <c r="F878" t="s">
        <v>66</v>
      </c>
      <c r="G878" t="s">
        <v>57</v>
      </c>
      <c r="H878" t="s">
        <v>124</v>
      </c>
      <c r="I878">
        <v>4</v>
      </c>
      <c r="J878" s="4">
        <v>1813.27</v>
      </c>
      <c r="K878" s="5">
        <v>0</v>
      </c>
      <c r="L878" s="4">
        <v>1529.93</v>
      </c>
      <c r="M878" t="s">
        <v>42</v>
      </c>
      <c r="N878" t="s">
        <v>52</v>
      </c>
      <c r="O878">
        <f>IF(TablaVentas[[#This Row],[Precio_unitario]]="","PENDIENTE",TablaVentas[[#This Row],[Unidades]]*TablaVentas[[#This Row],[Precio_unitario]]*(1-TablaVentas[[#This Row],[Descuento_pct]]))</f>
        <v>7253.08</v>
      </c>
      <c r="P878">
        <f>IF(TablaVentas[[#This Row],[Costo_unitario]]="","PENDIENTE",TablaVentas[[#This Row],[Unidades]]*TablaVentas[[#This Row],[Costo_unitario]])</f>
        <v>6119.72</v>
      </c>
      <c r="Q878">
        <f>IF(OR(TablaVentas[[#This Row],[Ingreso_neto]]="PENDIENTE",TablaVentas[[#This Row],[Costo_total]]="PENDIENTE"),"PENDIENTE",TablaVentas[[#This Row],[Ingreso_neto]]-TablaVentas[[#This Row],[Costo_total]])</f>
        <v>1133.3599999999997</v>
      </c>
    </row>
    <row r="879" spans="1:17">
      <c r="A879" t="s">
        <v>721</v>
      </c>
      <c r="B879">
        <v>4</v>
      </c>
      <c r="C879" s="3">
        <v>46266</v>
      </c>
      <c r="D879" t="s">
        <v>665</v>
      </c>
      <c r="E879" t="s">
        <v>180</v>
      </c>
      <c r="F879" t="s">
        <v>66</v>
      </c>
      <c r="G879" t="s">
        <v>57</v>
      </c>
      <c r="H879" t="s">
        <v>124</v>
      </c>
      <c r="I879">
        <v>1</v>
      </c>
      <c r="J879" s="4">
        <v>6872.75</v>
      </c>
      <c r="K879" s="5">
        <v>0</v>
      </c>
      <c r="L879" s="4">
        <v>3824.92</v>
      </c>
      <c r="M879" t="s">
        <v>42</v>
      </c>
      <c r="N879" t="s">
        <v>52</v>
      </c>
      <c r="O879">
        <f>IF(TablaVentas[[#This Row],[Precio_unitario]]="","PENDIENTE",TablaVentas[[#This Row],[Unidades]]*TablaVentas[[#This Row],[Precio_unitario]]*(1-TablaVentas[[#This Row],[Descuento_pct]]))</f>
        <v>6872.75</v>
      </c>
      <c r="P879">
        <f>IF(TablaVentas[[#This Row],[Costo_unitario]]="","PENDIENTE",TablaVentas[[#This Row],[Unidades]]*TablaVentas[[#This Row],[Costo_unitario]])</f>
        <v>3824.92</v>
      </c>
      <c r="Q879">
        <f>IF(OR(TablaVentas[[#This Row],[Ingreso_neto]]="PENDIENTE",TablaVentas[[#This Row],[Costo_total]]="PENDIENTE"),"PENDIENTE",TablaVentas[[#This Row],[Ingreso_neto]]-TablaVentas[[#This Row],[Costo_total]])</f>
        <v>3047.83</v>
      </c>
    </row>
    <row r="880" spans="1:17">
      <c r="A880" t="s">
        <v>721</v>
      </c>
      <c r="B880">
        <v>5</v>
      </c>
      <c r="C880" s="3">
        <v>46266</v>
      </c>
      <c r="D880" t="s">
        <v>665</v>
      </c>
      <c r="E880" t="s">
        <v>206</v>
      </c>
      <c r="F880" t="s">
        <v>66</v>
      </c>
      <c r="G880" t="s">
        <v>57</v>
      </c>
      <c r="H880" t="s">
        <v>124</v>
      </c>
      <c r="I880">
        <v>2</v>
      </c>
      <c r="J880" s="4">
        <v>5645.27</v>
      </c>
      <c r="K880" s="5">
        <v>0</v>
      </c>
      <c r="L880" s="4">
        <v>4008.77</v>
      </c>
      <c r="M880" t="s">
        <v>116</v>
      </c>
      <c r="N880" t="s">
        <v>43</v>
      </c>
      <c r="O880">
        <f>IF(TablaVentas[[#This Row],[Precio_unitario]]="","PENDIENTE",TablaVentas[[#This Row],[Unidades]]*TablaVentas[[#This Row],[Precio_unitario]]*(1-TablaVentas[[#This Row],[Descuento_pct]]))</f>
        <v>11290.54</v>
      </c>
      <c r="P880">
        <f>IF(TablaVentas[[#This Row],[Costo_unitario]]="","PENDIENTE",TablaVentas[[#This Row],[Unidades]]*TablaVentas[[#This Row],[Costo_unitario]])</f>
        <v>8017.54</v>
      </c>
      <c r="Q880">
        <f>IF(OR(TablaVentas[[#This Row],[Ingreso_neto]]="PENDIENTE",TablaVentas[[#This Row],[Costo_total]]="PENDIENTE"),"PENDIENTE",TablaVentas[[#This Row],[Ingreso_neto]]-TablaVentas[[#This Row],[Costo_total]])</f>
        <v>3273.0000000000009</v>
      </c>
    </row>
    <row r="881" spans="1:18">
      <c r="A881" t="s">
        <v>722</v>
      </c>
      <c r="B881">
        <v>1</v>
      </c>
      <c r="C881" s="3">
        <v>46027</v>
      </c>
      <c r="D881" t="s">
        <v>54</v>
      </c>
      <c r="E881" t="s">
        <v>167</v>
      </c>
      <c r="F881" t="s">
        <v>77</v>
      </c>
      <c r="G881" t="s">
        <v>50</v>
      </c>
      <c r="H881" t="s">
        <v>82</v>
      </c>
      <c r="I881">
        <v>1</v>
      </c>
      <c r="J881" s="4">
        <v>16325.36</v>
      </c>
      <c r="K881" s="5">
        <v>0.15</v>
      </c>
      <c r="L881" s="4">
        <v>8704.4</v>
      </c>
      <c r="M881" t="s">
        <v>62</v>
      </c>
      <c r="N881" t="s">
        <v>52</v>
      </c>
      <c r="O881">
        <f>IF(TablaVentas[[#This Row],[Precio_unitario]]="","PENDIENTE",TablaVentas[[#This Row],[Unidades]]*TablaVentas[[#This Row],[Precio_unitario]]*(1-TablaVentas[[#This Row],[Descuento_pct]]))</f>
        <v>13876.556</v>
      </c>
      <c r="P881">
        <f>IF(TablaVentas[[#This Row],[Costo_unitario]]="","PENDIENTE",TablaVentas[[#This Row],[Unidades]]*TablaVentas[[#This Row],[Costo_unitario]])</f>
        <v>8704.4</v>
      </c>
      <c r="Q881">
        <f>IF(OR(TablaVentas[[#This Row],[Ingreso_neto]]="PENDIENTE",TablaVentas[[#This Row],[Costo_total]]="PENDIENTE"),"PENDIENTE",TablaVentas[[#This Row],[Ingreso_neto]]-TablaVentas[[#This Row],[Costo_total]])</f>
        <v>5172.1560000000009</v>
      </c>
    </row>
    <row r="882" spans="1:18">
      <c r="A882" t="s">
        <v>722</v>
      </c>
      <c r="B882">
        <v>2</v>
      </c>
      <c r="C882" s="3">
        <v>46027</v>
      </c>
      <c r="D882" t="s">
        <v>54</v>
      </c>
      <c r="E882" t="s">
        <v>144</v>
      </c>
      <c r="F882" t="s">
        <v>77</v>
      </c>
      <c r="G882" t="s">
        <v>50</v>
      </c>
      <c r="H882" t="s">
        <v>82</v>
      </c>
      <c r="I882">
        <v>2</v>
      </c>
      <c r="J882" s="4">
        <v>9035.48</v>
      </c>
      <c r="K882" s="5">
        <v>0</v>
      </c>
      <c r="L882" s="4">
        <v>5125.3599999999997</v>
      </c>
      <c r="M882" t="s">
        <v>42</v>
      </c>
      <c r="N882" t="s">
        <v>43</v>
      </c>
      <c r="O882">
        <f>IF(TablaVentas[[#This Row],[Precio_unitario]]="","PENDIENTE",TablaVentas[[#This Row],[Unidades]]*TablaVentas[[#This Row],[Precio_unitario]]*(1-TablaVentas[[#This Row],[Descuento_pct]]))</f>
        <v>18070.96</v>
      </c>
      <c r="P882">
        <f>IF(TablaVentas[[#This Row],[Costo_unitario]]="","PENDIENTE",TablaVentas[[#This Row],[Unidades]]*TablaVentas[[#This Row],[Costo_unitario]])</f>
        <v>10250.719999999999</v>
      </c>
      <c r="Q882">
        <f>IF(OR(TablaVentas[[#This Row],[Ingreso_neto]]="PENDIENTE",TablaVentas[[#This Row],[Costo_total]]="PENDIENTE"),"PENDIENTE",TablaVentas[[#This Row],[Ingreso_neto]]-TablaVentas[[#This Row],[Costo_total]])</f>
        <v>7820.24</v>
      </c>
    </row>
    <row r="883" spans="1:18">
      <c r="A883" t="s">
        <v>722</v>
      </c>
      <c r="B883">
        <v>3</v>
      </c>
      <c r="C883" s="3">
        <v>46027</v>
      </c>
      <c r="D883" t="s">
        <v>54</v>
      </c>
      <c r="E883" t="s">
        <v>85</v>
      </c>
      <c r="F883" t="s">
        <v>77</v>
      </c>
      <c r="G883" t="s">
        <v>50</v>
      </c>
      <c r="H883" t="s">
        <v>82</v>
      </c>
      <c r="I883">
        <v>3</v>
      </c>
      <c r="J883" s="4">
        <v>506.9</v>
      </c>
      <c r="K883" s="5">
        <v>0</v>
      </c>
      <c r="L883" s="4">
        <v>307.75</v>
      </c>
      <c r="M883" t="s">
        <v>42</v>
      </c>
      <c r="N883" t="s">
        <v>45</v>
      </c>
      <c r="O883">
        <f>IF(TablaVentas[[#This Row],[Precio_unitario]]="","PENDIENTE",TablaVentas[[#This Row],[Unidades]]*TablaVentas[[#This Row],[Precio_unitario]]*(1-TablaVentas[[#This Row],[Descuento_pct]]))</f>
        <v>1520.6999999999998</v>
      </c>
      <c r="P883">
        <f>IF(TablaVentas[[#This Row],[Costo_unitario]]="","PENDIENTE",TablaVentas[[#This Row],[Unidades]]*TablaVentas[[#This Row],[Costo_unitario]])</f>
        <v>923.25</v>
      </c>
      <c r="Q883">
        <f>IF(OR(TablaVentas[[#This Row],[Ingreso_neto]]="PENDIENTE",TablaVentas[[#This Row],[Costo_total]]="PENDIENTE"),"PENDIENTE",TablaVentas[[#This Row],[Ingreso_neto]]-TablaVentas[[#This Row],[Costo_total]])</f>
        <v>597.44999999999982</v>
      </c>
    </row>
    <row r="884" spans="1:18">
      <c r="A884" t="s">
        <v>722</v>
      </c>
      <c r="B884">
        <v>4</v>
      </c>
      <c r="C884" s="3">
        <v>46027</v>
      </c>
      <c r="D884" t="s">
        <v>54</v>
      </c>
      <c r="E884" t="s">
        <v>203</v>
      </c>
      <c r="F884" t="s">
        <v>77</v>
      </c>
      <c r="G884" t="s">
        <v>50</v>
      </c>
      <c r="H884" t="s">
        <v>82</v>
      </c>
      <c r="I884">
        <v>3</v>
      </c>
      <c r="J884" s="4">
        <v>2034.78</v>
      </c>
      <c r="K884" s="5">
        <v>0.2</v>
      </c>
      <c r="L884" s="4">
        <v>1252.8399999999999</v>
      </c>
      <c r="M884" t="s">
        <v>42</v>
      </c>
      <c r="N884" t="s">
        <v>45</v>
      </c>
      <c r="O884">
        <f>IF(TablaVentas[[#This Row],[Precio_unitario]]="","PENDIENTE",TablaVentas[[#This Row],[Unidades]]*TablaVentas[[#This Row],[Precio_unitario]]*(1-TablaVentas[[#This Row],[Descuento_pct]]))</f>
        <v>4883.4720000000007</v>
      </c>
      <c r="P884">
        <f>IF(TablaVentas[[#This Row],[Costo_unitario]]="","PENDIENTE",TablaVentas[[#This Row],[Unidades]]*TablaVentas[[#This Row],[Costo_unitario]])</f>
        <v>3758.5199999999995</v>
      </c>
      <c r="Q884">
        <f>IF(OR(TablaVentas[[#This Row],[Ingreso_neto]]="PENDIENTE",TablaVentas[[#This Row],[Costo_total]]="PENDIENTE"),"PENDIENTE",TablaVentas[[#This Row],[Ingreso_neto]]-TablaVentas[[#This Row],[Costo_total]])</f>
        <v>1124.9520000000011</v>
      </c>
    </row>
    <row r="885" spans="1:18">
      <c r="A885" t="s">
        <v>723</v>
      </c>
      <c r="B885">
        <v>1</v>
      </c>
      <c r="C885" s="3">
        <v>46191</v>
      </c>
      <c r="D885" t="s">
        <v>622</v>
      </c>
      <c r="E885" t="s">
        <v>248</v>
      </c>
      <c r="F885" t="s">
        <v>39</v>
      </c>
      <c r="G885" t="s">
        <v>40</v>
      </c>
      <c r="H885" t="s">
        <v>124</v>
      </c>
      <c r="I885">
        <v>1</v>
      </c>
      <c r="J885" s="4">
        <v>13348.9</v>
      </c>
      <c r="K885" s="5">
        <v>0.15</v>
      </c>
      <c r="L885" s="4">
        <v>6856.4</v>
      </c>
      <c r="M885" t="s">
        <v>42</v>
      </c>
      <c r="N885" t="s">
        <v>43</v>
      </c>
      <c r="O885">
        <f>IF(TablaVentas[[#This Row],[Precio_unitario]]="","PENDIENTE",TablaVentas[[#This Row],[Unidades]]*TablaVentas[[#This Row],[Precio_unitario]]*(1-TablaVentas[[#This Row],[Descuento_pct]]))</f>
        <v>11346.564999999999</v>
      </c>
      <c r="P885">
        <f>IF(TablaVentas[[#This Row],[Costo_unitario]]="","PENDIENTE",TablaVentas[[#This Row],[Unidades]]*TablaVentas[[#This Row],[Costo_unitario]])</f>
        <v>6856.4</v>
      </c>
      <c r="Q885">
        <f>IF(OR(TablaVentas[[#This Row],[Ingreso_neto]]="PENDIENTE",TablaVentas[[#This Row],[Costo_total]]="PENDIENTE"),"PENDIENTE",TablaVentas[[#This Row],[Ingreso_neto]]-TablaVentas[[#This Row],[Costo_total]])</f>
        <v>4490.1649999999991</v>
      </c>
    </row>
    <row r="886" spans="1:18">
      <c r="A886" t="s">
        <v>723</v>
      </c>
      <c r="B886">
        <v>2</v>
      </c>
      <c r="C886" s="3">
        <v>46191</v>
      </c>
      <c r="D886" t="s">
        <v>622</v>
      </c>
      <c r="E886" t="s">
        <v>81</v>
      </c>
      <c r="F886" t="s">
        <v>39</v>
      </c>
      <c r="G886" t="s">
        <v>40</v>
      </c>
      <c r="H886" t="s">
        <v>124</v>
      </c>
      <c r="I886">
        <v>2</v>
      </c>
      <c r="J886" s="4">
        <v>18082.900000000001</v>
      </c>
      <c r="K886" s="5">
        <v>0</v>
      </c>
      <c r="L886" s="4">
        <v>11614.87</v>
      </c>
      <c r="M886" t="s">
        <v>42</v>
      </c>
      <c r="N886" t="s">
        <v>52</v>
      </c>
      <c r="O886">
        <f>IF(TablaVentas[[#This Row],[Precio_unitario]]="","PENDIENTE",TablaVentas[[#This Row],[Unidades]]*TablaVentas[[#This Row],[Precio_unitario]]*(1-TablaVentas[[#This Row],[Descuento_pct]]))</f>
        <v>36165.800000000003</v>
      </c>
      <c r="P886">
        <f>IF(TablaVentas[[#This Row],[Costo_unitario]]="","PENDIENTE",TablaVentas[[#This Row],[Unidades]]*TablaVentas[[#This Row],[Costo_unitario]])</f>
        <v>23229.74</v>
      </c>
      <c r="Q886">
        <f>IF(OR(TablaVentas[[#This Row],[Ingreso_neto]]="PENDIENTE",TablaVentas[[#This Row],[Costo_total]]="PENDIENTE"),"PENDIENTE",TablaVentas[[#This Row],[Ingreso_neto]]-TablaVentas[[#This Row],[Costo_total]])</f>
        <v>12936.060000000001</v>
      </c>
    </row>
    <row r="887" spans="1:18">
      <c r="A887" t="s">
        <v>723</v>
      </c>
      <c r="B887">
        <v>3</v>
      </c>
      <c r="C887" s="3">
        <v>46191</v>
      </c>
      <c r="D887" t="s">
        <v>622</v>
      </c>
      <c r="E887" t="s">
        <v>134</v>
      </c>
      <c r="F887" t="s">
        <v>39</v>
      </c>
      <c r="G887" t="s">
        <v>40</v>
      </c>
      <c r="H887" t="s">
        <v>124</v>
      </c>
      <c r="I887">
        <v>1</v>
      </c>
      <c r="J887" s="4">
        <v>269.91000000000003</v>
      </c>
      <c r="K887" s="5">
        <v>0</v>
      </c>
      <c r="L887" s="4">
        <v>176.47</v>
      </c>
      <c r="M887" t="s">
        <v>42</v>
      </c>
      <c r="N887" t="s">
        <v>45</v>
      </c>
      <c r="O887">
        <f>IF(TablaVentas[[#This Row],[Precio_unitario]]="","PENDIENTE",TablaVentas[[#This Row],[Unidades]]*TablaVentas[[#This Row],[Precio_unitario]]*(1-TablaVentas[[#This Row],[Descuento_pct]]))</f>
        <v>269.91000000000003</v>
      </c>
      <c r="P887">
        <f>IF(TablaVentas[[#This Row],[Costo_unitario]]="","PENDIENTE",TablaVentas[[#This Row],[Unidades]]*TablaVentas[[#This Row],[Costo_unitario]])</f>
        <v>176.47</v>
      </c>
      <c r="Q887">
        <f>IF(OR(TablaVentas[[#This Row],[Ingreso_neto]]="PENDIENTE",TablaVentas[[#This Row],[Costo_total]]="PENDIENTE"),"PENDIENTE",TablaVentas[[#This Row],[Ingreso_neto]]-TablaVentas[[#This Row],[Costo_total]])</f>
        <v>93.440000000000026</v>
      </c>
    </row>
    <row r="888" spans="1:18">
      <c r="A888" t="s">
        <v>724</v>
      </c>
      <c r="B888">
        <v>1</v>
      </c>
      <c r="C888" s="3">
        <v>46085</v>
      </c>
      <c r="D888" t="s">
        <v>574</v>
      </c>
      <c r="E888" t="s">
        <v>353</v>
      </c>
      <c r="F888" t="s">
        <v>56</v>
      </c>
      <c r="G888" t="s">
        <v>57</v>
      </c>
      <c r="H888" t="s">
        <v>124</v>
      </c>
      <c r="I888">
        <v>2</v>
      </c>
      <c r="J888" s="4">
        <v>2030.74</v>
      </c>
      <c r="K888" s="5">
        <v>0</v>
      </c>
      <c r="L888" s="4">
        <v>1479.71</v>
      </c>
      <c r="M888" t="s">
        <v>42</v>
      </c>
      <c r="N888" t="s">
        <v>43</v>
      </c>
      <c r="O888">
        <f>IF(TablaVentas[[#This Row],[Precio_unitario]]="","PENDIENTE",TablaVentas[[#This Row],[Unidades]]*TablaVentas[[#This Row],[Precio_unitario]]*(1-TablaVentas[[#This Row],[Descuento_pct]]))</f>
        <v>4061.48</v>
      </c>
      <c r="P888">
        <f>IF(TablaVentas[[#This Row],[Costo_unitario]]="","PENDIENTE",TablaVentas[[#This Row],[Unidades]]*TablaVentas[[#This Row],[Costo_unitario]])</f>
        <v>2959.42</v>
      </c>
      <c r="Q888">
        <f>IF(OR(TablaVentas[[#This Row],[Ingreso_neto]]="PENDIENTE",TablaVentas[[#This Row],[Costo_total]]="PENDIENTE"),"PENDIENTE",TablaVentas[[#This Row],[Ingreso_neto]]-TablaVentas[[#This Row],[Costo_total]])</f>
        <v>1102.06</v>
      </c>
    </row>
    <row r="889" spans="1:18">
      <c r="A889" t="s">
        <v>724</v>
      </c>
      <c r="B889">
        <v>2</v>
      </c>
      <c r="C889" s="3">
        <v>46085</v>
      </c>
      <c r="D889" t="s">
        <v>574</v>
      </c>
      <c r="E889" t="s">
        <v>203</v>
      </c>
      <c r="F889" t="s">
        <v>56</v>
      </c>
      <c r="G889" t="s">
        <v>57</v>
      </c>
      <c r="H889" t="s">
        <v>124</v>
      </c>
      <c r="I889">
        <v>2</v>
      </c>
      <c r="J889" s="4">
        <v>1897.22</v>
      </c>
      <c r="K889" s="5">
        <v>0.1</v>
      </c>
      <c r="L889" s="4">
        <v>1252.8399999999999</v>
      </c>
      <c r="M889" t="s">
        <v>42</v>
      </c>
      <c r="N889" t="s">
        <v>60</v>
      </c>
      <c r="O889">
        <f>IF(TablaVentas[[#This Row],[Precio_unitario]]="","PENDIENTE",TablaVentas[[#This Row],[Unidades]]*TablaVentas[[#This Row],[Precio_unitario]]*(1-TablaVentas[[#This Row],[Descuento_pct]]))</f>
        <v>3414.9960000000001</v>
      </c>
      <c r="P889">
        <f>IF(TablaVentas[[#This Row],[Costo_unitario]]="","PENDIENTE",TablaVentas[[#This Row],[Unidades]]*TablaVentas[[#This Row],[Costo_unitario]])</f>
        <v>2505.6799999999998</v>
      </c>
      <c r="Q889">
        <f>IF(OR(TablaVentas[[#This Row],[Ingreso_neto]]="PENDIENTE",TablaVentas[[#This Row],[Costo_total]]="PENDIENTE"),"PENDIENTE",TablaVentas[[#This Row],[Ingreso_neto]]-TablaVentas[[#This Row],[Costo_total]])</f>
        <v>909.31600000000026</v>
      </c>
    </row>
    <row r="890" spans="1:18">
      <c r="A890" t="s">
        <v>725</v>
      </c>
      <c r="B890">
        <v>1</v>
      </c>
      <c r="C890" s="3">
        <v>46026</v>
      </c>
      <c r="D890" t="s">
        <v>394</v>
      </c>
      <c r="E890" t="s">
        <v>226</v>
      </c>
      <c r="F890" t="s">
        <v>39</v>
      </c>
      <c r="G890" t="s">
        <v>50</v>
      </c>
      <c r="H890" t="s">
        <v>124</v>
      </c>
      <c r="I890">
        <v>1</v>
      </c>
      <c r="J890" s="4">
        <v>17166.650000000001</v>
      </c>
      <c r="K890" s="5">
        <v>0.1</v>
      </c>
      <c r="L890" s="4">
        <v>9976.68</v>
      </c>
      <c r="M890" t="s">
        <v>42</v>
      </c>
      <c r="N890" t="s">
        <v>43</v>
      </c>
      <c r="O890">
        <f>IF(TablaVentas[[#This Row],[Precio_unitario]]="","PENDIENTE",TablaVentas[[#This Row],[Unidades]]*TablaVentas[[#This Row],[Precio_unitario]]*(1-TablaVentas[[#This Row],[Descuento_pct]]))</f>
        <v>15449.985000000002</v>
      </c>
      <c r="P890">
        <f>IF(TablaVentas[[#This Row],[Costo_unitario]]="","PENDIENTE",TablaVentas[[#This Row],[Unidades]]*TablaVentas[[#This Row],[Costo_unitario]])</f>
        <v>9976.68</v>
      </c>
      <c r="Q890">
        <f>IF(OR(TablaVentas[[#This Row],[Ingreso_neto]]="PENDIENTE",TablaVentas[[#This Row],[Costo_total]]="PENDIENTE"),"PENDIENTE",TablaVentas[[#This Row],[Ingreso_neto]]-TablaVentas[[#This Row],[Costo_total]])</f>
        <v>5473.3050000000021</v>
      </c>
    </row>
    <row r="891" spans="1:18">
      <c r="A891" t="s">
        <v>726</v>
      </c>
      <c r="B891">
        <v>1</v>
      </c>
      <c r="C891" s="3">
        <v>46244</v>
      </c>
      <c r="D891" t="s">
        <v>536</v>
      </c>
      <c r="E891" t="s">
        <v>128</v>
      </c>
      <c r="F891" t="s">
        <v>39</v>
      </c>
      <c r="G891" t="s">
        <v>40</v>
      </c>
      <c r="H891" t="s">
        <v>102</v>
      </c>
      <c r="I891">
        <v>1</v>
      </c>
      <c r="J891" s="4">
        <v>1688.12</v>
      </c>
      <c r="K891" s="5">
        <v>0</v>
      </c>
      <c r="L891" s="4">
        <v>900.08</v>
      </c>
      <c r="M891" t="s">
        <v>42</v>
      </c>
      <c r="N891" t="s">
        <v>52</v>
      </c>
      <c r="O891">
        <f>IF(TablaVentas[[#This Row],[Precio_unitario]]="","PENDIENTE",TablaVentas[[#This Row],[Unidades]]*TablaVentas[[#This Row],[Precio_unitario]]*(1-TablaVentas[[#This Row],[Descuento_pct]]))</f>
        <v>1688.12</v>
      </c>
      <c r="P891">
        <f>IF(TablaVentas[[#This Row],[Costo_unitario]]="","PENDIENTE",TablaVentas[[#This Row],[Unidades]]*TablaVentas[[#This Row],[Costo_unitario]])</f>
        <v>900.08</v>
      </c>
      <c r="Q891">
        <f>IF(OR(TablaVentas[[#This Row],[Ingreso_neto]]="PENDIENTE",TablaVentas[[#This Row],[Costo_total]]="PENDIENTE"),"PENDIENTE",TablaVentas[[#This Row],[Ingreso_neto]]-TablaVentas[[#This Row],[Costo_total]])</f>
        <v>788.03999999999985</v>
      </c>
    </row>
    <row r="892" spans="1:18">
      <c r="A892" t="s">
        <v>726</v>
      </c>
      <c r="B892">
        <v>2</v>
      </c>
      <c r="C892" s="3">
        <v>46244</v>
      </c>
      <c r="D892" t="s">
        <v>536</v>
      </c>
      <c r="E892" t="s">
        <v>172</v>
      </c>
      <c r="F892" t="s">
        <v>39</v>
      </c>
      <c r="G892" t="s">
        <v>40</v>
      </c>
      <c r="H892" t="s">
        <v>102</v>
      </c>
      <c r="I892">
        <v>1</v>
      </c>
      <c r="J892" s="4">
        <v>16998.66</v>
      </c>
      <c r="K892" s="5">
        <v>0.15</v>
      </c>
      <c r="L892" s="4">
        <v>10830.17</v>
      </c>
      <c r="M892" t="s">
        <v>42</v>
      </c>
      <c r="N892" t="s">
        <v>52</v>
      </c>
      <c r="O892">
        <f>IF(TablaVentas[[#This Row],[Precio_unitario]]="","PENDIENTE",TablaVentas[[#This Row],[Unidades]]*TablaVentas[[#This Row],[Precio_unitario]]*(1-TablaVentas[[#This Row],[Descuento_pct]]))</f>
        <v>14448.860999999999</v>
      </c>
      <c r="P892">
        <f>IF(TablaVentas[[#This Row],[Costo_unitario]]="","PENDIENTE",TablaVentas[[#This Row],[Unidades]]*TablaVentas[[#This Row],[Costo_unitario]])</f>
        <v>10830.17</v>
      </c>
      <c r="Q892">
        <f>IF(OR(TablaVentas[[#This Row],[Ingreso_neto]]="PENDIENTE",TablaVentas[[#This Row],[Costo_total]]="PENDIENTE"),"PENDIENTE",TablaVentas[[#This Row],[Ingreso_neto]]-TablaVentas[[#This Row],[Costo_total]])</f>
        <v>3618.6909999999989</v>
      </c>
    </row>
    <row r="893" spans="1:18">
      <c r="A893" t="s">
        <v>727</v>
      </c>
      <c r="B893">
        <v>1</v>
      </c>
      <c r="C893" s="3">
        <v>46099</v>
      </c>
      <c r="D893" t="s">
        <v>620</v>
      </c>
      <c r="E893" t="s">
        <v>81</v>
      </c>
      <c r="F893" t="s">
        <v>66</v>
      </c>
      <c r="G893" t="s">
        <v>57</v>
      </c>
      <c r="H893" t="s">
        <v>184</v>
      </c>
      <c r="I893">
        <v>2</v>
      </c>
      <c r="J893" s="4">
        <v>16026.02</v>
      </c>
      <c r="K893" s="5">
        <v>0.15</v>
      </c>
      <c r="L893" s="4"/>
      <c r="M893" t="s">
        <v>42</v>
      </c>
      <c r="N893" t="s">
        <v>52</v>
      </c>
      <c r="O893">
        <f>IF(TablaVentas[[#This Row],[Precio_unitario]]="","PENDIENTE",TablaVentas[[#This Row],[Unidades]]*TablaVentas[[#This Row],[Precio_unitario]]*(1-TablaVentas[[#This Row],[Descuento_pct]]))</f>
        <v>27244.234</v>
      </c>
      <c r="P893" t="str">
        <f>IF(TablaVentas[[#This Row],[Costo_unitario]]="","PENDIENTE",TablaVentas[[#This Row],[Unidades]]*TablaVentas[[#This Row],[Costo_unitario]])</f>
        <v>PENDIENTE</v>
      </c>
      <c r="Q893" t="str">
        <f>IF(OR(TablaVentas[[#This Row],[Ingreso_neto]]="PENDIENTE",TablaVentas[[#This Row],[Costo_total]]="PENDIENTE"),"PENDIENTE",TablaVentas[[#This Row],[Ingreso_neto]]-TablaVentas[[#This Row],[Costo_total]])</f>
        <v>PENDIENTE</v>
      </c>
      <c r="R893" t="s">
        <v>210</v>
      </c>
    </row>
    <row r="894" spans="1:18">
      <c r="A894" t="s">
        <v>727</v>
      </c>
      <c r="B894">
        <v>2</v>
      </c>
      <c r="C894" s="3">
        <v>46099</v>
      </c>
      <c r="D894" t="s">
        <v>620</v>
      </c>
      <c r="E894" t="s">
        <v>367</v>
      </c>
      <c r="F894" t="s">
        <v>66</v>
      </c>
      <c r="G894" t="s">
        <v>57</v>
      </c>
      <c r="H894" t="s">
        <v>184</v>
      </c>
      <c r="I894">
        <v>2</v>
      </c>
      <c r="J894" s="4">
        <v>9018.89</v>
      </c>
      <c r="K894" s="5">
        <v>0.15</v>
      </c>
      <c r="L894" s="4">
        <v>5079.43</v>
      </c>
      <c r="M894" t="s">
        <v>42</v>
      </c>
      <c r="N894" t="s">
        <v>60</v>
      </c>
      <c r="O894">
        <f>IF(TablaVentas[[#This Row],[Precio_unitario]]="","PENDIENTE",TablaVentas[[#This Row],[Unidades]]*TablaVentas[[#This Row],[Precio_unitario]]*(1-TablaVentas[[#This Row],[Descuento_pct]]))</f>
        <v>15332.112999999999</v>
      </c>
      <c r="P894">
        <f>IF(TablaVentas[[#This Row],[Costo_unitario]]="","PENDIENTE",TablaVentas[[#This Row],[Unidades]]*TablaVentas[[#This Row],[Costo_unitario]])</f>
        <v>10158.86</v>
      </c>
      <c r="Q894">
        <f>IF(OR(TablaVentas[[#This Row],[Ingreso_neto]]="PENDIENTE",TablaVentas[[#This Row],[Costo_total]]="PENDIENTE"),"PENDIENTE",TablaVentas[[#This Row],[Ingreso_neto]]-TablaVentas[[#This Row],[Costo_total]])</f>
        <v>5173.2529999999988</v>
      </c>
    </row>
    <row r="895" spans="1:18">
      <c r="A895" t="s">
        <v>727</v>
      </c>
      <c r="B895">
        <v>3</v>
      </c>
      <c r="C895" s="3">
        <v>46099</v>
      </c>
      <c r="D895" t="s">
        <v>620</v>
      </c>
      <c r="E895" t="s">
        <v>101</v>
      </c>
      <c r="F895" t="s">
        <v>66</v>
      </c>
      <c r="G895" t="s">
        <v>57</v>
      </c>
      <c r="H895" t="s">
        <v>184</v>
      </c>
      <c r="I895">
        <v>4</v>
      </c>
      <c r="J895" s="4">
        <v>4788.24</v>
      </c>
      <c r="K895" s="5">
        <v>0.05</v>
      </c>
      <c r="L895" s="4">
        <v>2865.24</v>
      </c>
      <c r="M895" t="s">
        <v>42</v>
      </c>
      <c r="N895" t="s">
        <v>60</v>
      </c>
      <c r="O895">
        <f>IF(TablaVentas[[#This Row],[Precio_unitario]]="","PENDIENTE",TablaVentas[[#This Row],[Unidades]]*TablaVentas[[#This Row],[Precio_unitario]]*(1-TablaVentas[[#This Row],[Descuento_pct]]))</f>
        <v>18195.311999999998</v>
      </c>
      <c r="P895">
        <f>IF(TablaVentas[[#This Row],[Costo_unitario]]="","PENDIENTE",TablaVentas[[#This Row],[Unidades]]*TablaVentas[[#This Row],[Costo_unitario]])</f>
        <v>11460.96</v>
      </c>
      <c r="Q895">
        <f>IF(OR(TablaVentas[[#This Row],[Ingreso_neto]]="PENDIENTE",TablaVentas[[#This Row],[Costo_total]]="PENDIENTE"),"PENDIENTE",TablaVentas[[#This Row],[Ingreso_neto]]-TablaVentas[[#This Row],[Costo_total]])</f>
        <v>6734.351999999999</v>
      </c>
    </row>
    <row r="896" spans="1:18">
      <c r="A896" t="s">
        <v>728</v>
      </c>
      <c r="B896">
        <v>1</v>
      </c>
      <c r="C896" s="3">
        <v>46072</v>
      </c>
      <c r="D896" t="s">
        <v>54</v>
      </c>
      <c r="E896" t="s">
        <v>163</v>
      </c>
      <c r="F896" t="s">
        <v>56</v>
      </c>
      <c r="G896" t="s">
        <v>57</v>
      </c>
      <c r="H896" t="s">
        <v>184</v>
      </c>
      <c r="I896">
        <v>1</v>
      </c>
      <c r="J896" s="4">
        <v>17831.75</v>
      </c>
      <c r="K896" s="5">
        <v>0</v>
      </c>
      <c r="L896" s="4">
        <v>12141.44</v>
      </c>
      <c r="M896" t="s">
        <v>42</v>
      </c>
      <c r="N896" t="s">
        <v>43</v>
      </c>
      <c r="O896">
        <f>IF(TablaVentas[[#This Row],[Precio_unitario]]="","PENDIENTE",TablaVentas[[#This Row],[Unidades]]*TablaVentas[[#This Row],[Precio_unitario]]*(1-TablaVentas[[#This Row],[Descuento_pct]]))</f>
        <v>17831.75</v>
      </c>
      <c r="P896">
        <f>IF(TablaVentas[[#This Row],[Costo_unitario]]="","PENDIENTE",TablaVentas[[#This Row],[Unidades]]*TablaVentas[[#This Row],[Costo_unitario]])</f>
        <v>12141.44</v>
      </c>
      <c r="Q896">
        <f>IF(OR(TablaVentas[[#This Row],[Ingreso_neto]]="PENDIENTE",TablaVentas[[#This Row],[Costo_total]]="PENDIENTE"),"PENDIENTE",TablaVentas[[#This Row],[Ingreso_neto]]-TablaVentas[[#This Row],[Costo_total]])</f>
        <v>5690.3099999999995</v>
      </c>
    </row>
    <row r="897" spans="1:17">
      <c r="A897" t="s">
        <v>729</v>
      </c>
      <c r="B897">
        <v>1</v>
      </c>
      <c r="C897" s="3">
        <v>46225</v>
      </c>
      <c r="D897" t="s">
        <v>522</v>
      </c>
      <c r="E897" t="s">
        <v>49</v>
      </c>
      <c r="F897" t="s">
        <v>77</v>
      </c>
      <c r="G897" t="s">
        <v>57</v>
      </c>
      <c r="H897" t="s">
        <v>124</v>
      </c>
      <c r="I897">
        <v>3</v>
      </c>
      <c r="J897" s="4">
        <v>4144.3100000000004</v>
      </c>
      <c r="K897" s="5">
        <v>0</v>
      </c>
      <c r="L897" s="4">
        <v>2950.52</v>
      </c>
      <c r="M897" t="s">
        <v>42</v>
      </c>
      <c r="N897" t="s">
        <v>45</v>
      </c>
      <c r="O897">
        <f>IF(TablaVentas[[#This Row],[Precio_unitario]]="","PENDIENTE",TablaVentas[[#This Row],[Unidades]]*TablaVentas[[#This Row],[Precio_unitario]]*(1-TablaVentas[[#This Row],[Descuento_pct]]))</f>
        <v>12432.93</v>
      </c>
      <c r="P897">
        <f>IF(TablaVentas[[#This Row],[Costo_unitario]]="","PENDIENTE",TablaVentas[[#This Row],[Unidades]]*TablaVentas[[#This Row],[Costo_unitario]])</f>
        <v>8851.56</v>
      </c>
      <c r="Q897">
        <f>IF(OR(TablaVentas[[#This Row],[Ingreso_neto]]="PENDIENTE",TablaVentas[[#This Row],[Costo_total]]="PENDIENTE"),"PENDIENTE",TablaVentas[[#This Row],[Ingreso_neto]]-TablaVentas[[#This Row],[Costo_total]])</f>
        <v>3581.3700000000008</v>
      </c>
    </row>
    <row r="898" spans="1:17">
      <c r="A898" t="s">
        <v>729</v>
      </c>
      <c r="B898">
        <v>2</v>
      </c>
      <c r="C898" s="3">
        <v>46225</v>
      </c>
      <c r="D898" t="s">
        <v>522</v>
      </c>
      <c r="E898" t="s">
        <v>114</v>
      </c>
      <c r="F898" t="s">
        <v>77</v>
      </c>
      <c r="G898" t="s">
        <v>57</v>
      </c>
      <c r="H898" t="s">
        <v>124</v>
      </c>
      <c r="I898">
        <v>4</v>
      </c>
      <c r="J898" s="4">
        <v>14802.65</v>
      </c>
      <c r="K898" s="5">
        <v>0.2</v>
      </c>
      <c r="L898" s="4">
        <v>8239.48</v>
      </c>
      <c r="M898" t="s">
        <v>42</v>
      </c>
      <c r="N898" t="s">
        <v>60</v>
      </c>
      <c r="O898">
        <f>IF(TablaVentas[[#This Row],[Precio_unitario]]="","PENDIENTE",TablaVentas[[#This Row],[Unidades]]*TablaVentas[[#This Row],[Precio_unitario]]*(1-TablaVentas[[#This Row],[Descuento_pct]]))</f>
        <v>47368.480000000003</v>
      </c>
      <c r="P898">
        <f>IF(TablaVentas[[#This Row],[Costo_unitario]]="","PENDIENTE",TablaVentas[[#This Row],[Unidades]]*TablaVentas[[#This Row],[Costo_unitario]])</f>
        <v>32957.919999999998</v>
      </c>
      <c r="Q898">
        <f>IF(OR(TablaVentas[[#This Row],[Ingreso_neto]]="PENDIENTE",TablaVentas[[#This Row],[Costo_total]]="PENDIENTE"),"PENDIENTE",TablaVentas[[#This Row],[Ingreso_neto]]-TablaVentas[[#This Row],[Costo_total]])</f>
        <v>14410.560000000005</v>
      </c>
    </row>
    <row r="899" spans="1:17">
      <c r="A899" t="s">
        <v>729</v>
      </c>
      <c r="B899">
        <v>3</v>
      </c>
      <c r="C899" s="3">
        <v>46225</v>
      </c>
      <c r="D899" t="s">
        <v>522</v>
      </c>
      <c r="E899" t="s">
        <v>59</v>
      </c>
      <c r="F899" t="s">
        <v>77</v>
      </c>
      <c r="G899" t="s">
        <v>57</v>
      </c>
      <c r="H899" t="s">
        <v>124</v>
      </c>
      <c r="I899">
        <v>1</v>
      </c>
      <c r="J899" s="4">
        <v>13315.5</v>
      </c>
      <c r="K899" s="5">
        <v>0</v>
      </c>
      <c r="L899" s="4">
        <v>10170.290000000001</v>
      </c>
      <c r="M899" t="s">
        <v>42</v>
      </c>
      <c r="N899" t="s">
        <v>52</v>
      </c>
      <c r="O899">
        <f>IF(TablaVentas[[#This Row],[Precio_unitario]]="","PENDIENTE",TablaVentas[[#This Row],[Unidades]]*TablaVentas[[#This Row],[Precio_unitario]]*(1-TablaVentas[[#This Row],[Descuento_pct]]))</f>
        <v>13315.5</v>
      </c>
      <c r="P899">
        <f>IF(TablaVentas[[#This Row],[Costo_unitario]]="","PENDIENTE",TablaVentas[[#This Row],[Unidades]]*TablaVentas[[#This Row],[Costo_unitario]])</f>
        <v>10170.290000000001</v>
      </c>
      <c r="Q899">
        <f>IF(OR(TablaVentas[[#This Row],[Ingreso_neto]]="PENDIENTE",TablaVentas[[#This Row],[Costo_total]]="PENDIENTE"),"PENDIENTE",TablaVentas[[#This Row],[Ingreso_neto]]-TablaVentas[[#This Row],[Costo_total]])</f>
        <v>3145.2099999999991</v>
      </c>
    </row>
    <row r="900" spans="1:17">
      <c r="A900" t="s">
        <v>729</v>
      </c>
      <c r="B900">
        <v>4</v>
      </c>
      <c r="C900" s="3">
        <v>46225</v>
      </c>
      <c r="D900" t="s">
        <v>522</v>
      </c>
      <c r="E900" t="s">
        <v>160</v>
      </c>
      <c r="F900" t="s">
        <v>77</v>
      </c>
      <c r="G900" t="s">
        <v>57</v>
      </c>
      <c r="H900" t="s">
        <v>124</v>
      </c>
      <c r="I900">
        <v>3</v>
      </c>
      <c r="J900" s="4">
        <v>7965.11</v>
      </c>
      <c r="K900" s="5">
        <v>0.2</v>
      </c>
      <c r="L900" s="4">
        <v>4082.15</v>
      </c>
      <c r="M900" t="s">
        <v>42</v>
      </c>
      <c r="N900" t="s">
        <v>43</v>
      </c>
      <c r="O900">
        <f>IF(TablaVentas[[#This Row],[Precio_unitario]]="","PENDIENTE",TablaVentas[[#This Row],[Unidades]]*TablaVentas[[#This Row],[Precio_unitario]]*(1-TablaVentas[[#This Row],[Descuento_pct]]))</f>
        <v>19116.263999999999</v>
      </c>
      <c r="P900">
        <f>IF(TablaVentas[[#This Row],[Costo_unitario]]="","PENDIENTE",TablaVentas[[#This Row],[Unidades]]*TablaVentas[[#This Row],[Costo_unitario]])</f>
        <v>12246.45</v>
      </c>
      <c r="Q900">
        <f>IF(OR(TablaVentas[[#This Row],[Ingreso_neto]]="PENDIENTE",TablaVentas[[#This Row],[Costo_total]]="PENDIENTE"),"PENDIENTE",TablaVentas[[#This Row],[Ingreso_neto]]-TablaVentas[[#This Row],[Costo_total]])</f>
        <v>6869.8139999999985</v>
      </c>
    </row>
    <row r="901" spans="1:17">
      <c r="A901" t="s">
        <v>730</v>
      </c>
      <c r="B901">
        <v>1</v>
      </c>
      <c r="C901" s="3">
        <v>46173</v>
      </c>
      <c r="D901" t="s">
        <v>618</v>
      </c>
      <c r="E901" t="s">
        <v>148</v>
      </c>
      <c r="F901" t="s">
        <v>39</v>
      </c>
      <c r="G901" t="s">
        <v>57</v>
      </c>
      <c r="H901" t="s">
        <v>51</v>
      </c>
      <c r="I901">
        <v>1</v>
      </c>
      <c r="J901" s="4">
        <v>2745.97</v>
      </c>
      <c r="K901" s="5">
        <v>0</v>
      </c>
      <c r="L901" s="4">
        <v>2459.34</v>
      </c>
      <c r="M901" t="s">
        <v>42</v>
      </c>
      <c r="N901" t="s">
        <v>60</v>
      </c>
      <c r="O901">
        <f>IF(TablaVentas[[#This Row],[Precio_unitario]]="","PENDIENTE",TablaVentas[[#This Row],[Unidades]]*TablaVentas[[#This Row],[Precio_unitario]]*(1-TablaVentas[[#This Row],[Descuento_pct]]))</f>
        <v>2745.97</v>
      </c>
      <c r="P901">
        <f>IF(TablaVentas[[#This Row],[Costo_unitario]]="","PENDIENTE",TablaVentas[[#This Row],[Unidades]]*TablaVentas[[#This Row],[Costo_unitario]])</f>
        <v>2459.34</v>
      </c>
      <c r="Q901">
        <f>IF(OR(TablaVentas[[#This Row],[Ingreso_neto]]="PENDIENTE",TablaVentas[[#This Row],[Costo_total]]="PENDIENTE"),"PENDIENTE",TablaVentas[[#This Row],[Ingreso_neto]]-TablaVentas[[#This Row],[Costo_total]])</f>
        <v>286.62999999999965</v>
      </c>
    </row>
    <row r="902" spans="1:17">
      <c r="A902" t="s">
        <v>730</v>
      </c>
      <c r="B902">
        <v>2</v>
      </c>
      <c r="C902" s="3">
        <v>46173</v>
      </c>
      <c r="D902" t="s">
        <v>618</v>
      </c>
      <c r="E902" t="s">
        <v>233</v>
      </c>
      <c r="F902" t="s">
        <v>39</v>
      </c>
      <c r="G902" t="s">
        <v>57</v>
      </c>
      <c r="H902" t="s">
        <v>51</v>
      </c>
      <c r="I902">
        <v>2</v>
      </c>
      <c r="J902" s="4">
        <v>10180.530000000001</v>
      </c>
      <c r="K902" s="5">
        <v>0.2</v>
      </c>
      <c r="L902" s="4">
        <v>5932.12</v>
      </c>
      <c r="M902" t="s">
        <v>42</v>
      </c>
      <c r="N902" t="s">
        <v>52</v>
      </c>
      <c r="O902">
        <f>IF(TablaVentas[[#This Row],[Precio_unitario]]="","PENDIENTE",TablaVentas[[#This Row],[Unidades]]*TablaVentas[[#This Row],[Precio_unitario]]*(1-TablaVentas[[#This Row],[Descuento_pct]]))</f>
        <v>16288.848000000002</v>
      </c>
      <c r="P902">
        <f>IF(TablaVentas[[#This Row],[Costo_unitario]]="","PENDIENTE",TablaVentas[[#This Row],[Unidades]]*TablaVentas[[#This Row],[Costo_unitario]])</f>
        <v>11864.24</v>
      </c>
      <c r="Q902">
        <f>IF(OR(TablaVentas[[#This Row],[Ingreso_neto]]="PENDIENTE",TablaVentas[[#This Row],[Costo_total]]="PENDIENTE"),"PENDIENTE",TablaVentas[[#This Row],[Ingreso_neto]]-TablaVentas[[#This Row],[Costo_total]])</f>
        <v>4424.608000000002</v>
      </c>
    </row>
    <row r="903" spans="1:17">
      <c r="A903" t="s">
        <v>730</v>
      </c>
      <c r="B903">
        <v>3</v>
      </c>
      <c r="C903" s="3">
        <v>46173</v>
      </c>
      <c r="D903" t="s">
        <v>618</v>
      </c>
      <c r="E903" t="s">
        <v>282</v>
      </c>
      <c r="F903" t="s">
        <v>39</v>
      </c>
      <c r="G903" t="s">
        <v>57</v>
      </c>
      <c r="H903" t="s">
        <v>51</v>
      </c>
      <c r="I903">
        <v>1</v>
      </c>
      <c r="J903" s="4">
        <v>4371.29</v>
      </c>
      <c r="K903" s="5">
        <v>0.05</v>
      </c>
      <c r="L903" s="4">
        <v>3399.5</v>
      </c>
      <c r="M903" t="s">
        <v>62</v>
      </c>
      <c r="N903" t="s">
        <v>52</v>
      </c>
      <c r="O903">
        <f>IF(TablaVentas[[#This Row],[Precio_unitario]]="","PENDIENTE",TablaVentas[[#This Row],[Unidades]]*TablaVentas[[#This Row],[Precio_unitario]]*(1-TablaVentas[[#This Row],[Descuento_pct]]))</f>
        <v>4152.7254999999996</v>
      </c>
      <c r="P903">
        <f>IF(TablaVentas[[#This Row],[Costo_unitario]]="","PENDIENTE",TablaVentas[[#This Row],[Unidades]]*TablaVentas[[#This Row],[Costo_unitario]])</f>
        <v>3399.5</v>
      </c>
      <c r="Q903">
        <f>IF(OR(TablaVentas[[#This Row],[Ingreso_neto]]="PENDIENTE",TablaVentas[[#This Row],[Costo_total]]="PENDIENTE"),"PENDIENTE",TablaVentas[[#This Row],[Ingreso_neto]]-TablaVentas[[#This Row],[Costo_total]])</f>
        <v>753.22549999999956</v>
      </c>
    </row>
    <row r="904" spans="1:17">
      <c r="A904" t="s">
        <v>730</v>
      </c>
      <c r="B904">
        <v>4</v>
      </c>
      <c r="C904" s="3">
        <v>46173</v>
      </c>
      <c r="D904" t="s">
        <v>618</v>
      </c>
      <c r="E904" t="s">
        <v>86</v>
      </c>
      <c r="F904" t="s">
        <v>39</v>
      </c>
      <c r="G904" t="s">
        <v>57</v>
      </c>
      <c r="H904" t="s">
        <v>51</v>
      </c>
      <c r="I904">
        <v>8</v>
      </c>
      <c r="J904" s="4">
        <v>15761.32</v>
      </c>
      <c r="K904" s="5">
        <v>0.1</v>
      </c>
      <c r="L904" s="4">
        <v>11166.03</v>
      </c>
      <c r="M904" t="s">
        <v>42</v>
      </c>
      <c r="N904" t="s">
        <v>43</v>
      </c>
      <c r="O904">
        <f>IF(TablaVentas[[#This Row],[Precio_unitario]]="","PENDIENTE",TablaVentas[[#This Row],[Unidades]]*TablaVentas[[#This Row],[Precio_unitario]]*(1-TablaVentas[[#This Row],[Descuento_pct]]))</f>
        <v>113481.504</v>
      </c>
      <c r="P904">
        <f>IF(TablaVentas[[#This Row],[Costo_unitario]]="","PENDIENTE",TablaVentas[[#This Row],[Unidades]]*TablaVentas[[#This Row],[Costo_unitario]])</f>
        <v>89328.24</v>
      </c>
      <c r="Q904">
        <f>IF(OR(TablaVentas[[#This Row],[Ingreso_neto]]="PENDIENTE",TablaVentas[[#This Row],[Costo_total]]="PENDIENTE"),"PENDIENTE",TablaVentas[[#This Row],[Ingreso_neto]]-TablaVentas[[#This Row],[Costo_total]])</f>
        <v>24153.263999999996</v>
      </c>
    </row>
    <row r="905" spans="1:17">
      <c r="A905" t="s">
        <v>731</v>
      </c>
      <c r="B905">
        <v>1</v>
      </c>
      <c r="C905" s="3">
        <v>46091</v>
      </c>
      <c r="D905" t="s">
        <v>472</v>
      </c>
      <c r="E905" t="s">
        <v>65</v>
      </c>
      <c r="F905" t="s">
        <v>39</v>
      </c>
      <c r="G905" t="s">
        <v>57</v>
      </c>
      <c r="H905" t="s">
        <v>73</v>
      </c>
      <c r="I905">
        <v>8</v>
      </c>
      <c r="J905" s="4">
        <v>10490.7</v>
      </c>
      <c r="K905" s="5">
        <v>0</v>
      </c>
      <c r="L905" s="4">
        <v>7328.02</v>
      </c>
      <c r="M905" t="s">
        <v>42</v>
      </c>
      <c r="N905" t="s">
        <v>45</v>
      </c>
      <c r="O905">
        <f>IF(TablaVentas[[#This Row],[Precio_unitario]]="","PENDIENTE",TablaVentas[[#This Row],[Unidades]]*TablaVentas[[#This Row],[Precio_unitario]]*(1-TablaVentas[[#This Row],[Descuento_pct]]))</f>
        <v>83925.6</v>
      </c>
      <c r="P905">
        <f>IF(TablaVentas[[#This Row],[Costo_unitario]]="","PENDIENTE",TablaVentas[[#This Row],[Unidades]]*TablaVentas[[#This Row],[Costo_unitario]])</f>
        <v>58624.160000000003</v>
      </c>
      <c r="Q905">
        <f>IF(OR(TablaVentas[[#This Row],[Ingreso_neto]]="PENDIENTE",TablaVentas[[#This Row],[Costo_total]]="PENDIENTE"),"PENDIENTE",TablaVentas[[#This Row],[Ingreso_neto]]-TablaVentas[[#This Row],[Costo_total]])</f>
        <v>25301.440000000002</v>
      </c>
    </row>
    <row r="906" spans="1:17">
      <c r="A906" t="s">
        <v>731</v>
      </c>
      <c r="B906">
        <v>2</v>
      </c>
      <c r="C906" s="3">
        <v>46091</v>
      </c>
      <c r="D906" t="s">
        <v>472</v>
      </c>
      <c r="E906" t="s">
        <v>273</v>
      </c>
      <c r="F906" t="s">
        <v>39</v>
      </c>
      <c r="G906" t="s">
        <v>57</v>
      </c>
      <c r="H906" t="s">
        <v>73</v>
      </c>
      <c r="I906">
        <v>3</v>
      </c>
      <c r="J906" s="4">
        <v>1466.31</v>
      </c>
      <c r="K906" s="5">
        <v>0.1</v>
      </c>
      <c r="L906" s="4">
        <v>716.26</v>
      </c>
      <c r="M906" t="s">
        <v>42</v>
      </c>
      <c r="N906" t="s">
        <v>60</v>
      </c>
      <c r="O906">
        <f>IF(TablaVentas[[#This Row],[Precio_unitario]]="","PENDIENTE",TablaVentas[[#This Row],[Unidades]]*TablaVentas[[#This Row],[Precio_unitario]]*(1-TablaVentas[[#This Row],[Descuento_pct]]))</f>
        <v>3959.0370000000003</v>
      </c>
      <c r="P906">
        <f>IF(TablaVentas[[#This Row],[Costo_unitario]]="","PENDIENTE",TablaVentas[[#This Row],[Unidades]]*TablaVentas[[#This Row],[Costo_unitario]])</f>
        <v>2148.7799999999997</v>
      </c>
      <c r="Q906">
        <f>IF(OR(TablaVentas[[#This Row],[Ingreso_neto]]="PENDIENTE",TablaVentas[[#This Row],[Costo_total]]="PENDIENTE"),"PENDIENTE",TablaVentas[[#This Row],[Ingreso_neto]]-TablaVentas[[#This Row],[Costo_total]])</f>
        <v>1810.2570000000005</v>
      </c>
    </row>
    <row r="907" spans="1:17">
      <c r="A907" t="s">
        <v>731</v>
      </c>
      <c r="B907">
        <v>3</v>
      </c>
      <c r="C907" s="3">
        <v>46091</v>
      </c>
      <c r="D907" t="s">
        <v>472</v>
      </c>
      <c r="E907" t="s">
        <v>262</v>
      </c>
      <c r="F907" t="s">
        <v>39</v>
      </c>
      <c r="G907" t="s">
        <v>57</v>
      </c>
      <c r="H907" t="s">
        <v>73</v>
      </c>
      <c r="I907">
        <v>1</v>
      </c>
      <c r="J907" s="4">
        <v>12558.36</v>
      </c>
      <c r="K907" s="5">
        <v>0.15</v>
      </c>
      <c r="L907" s="4">
        <v>8227.4599999999991</v>
      </c>
      <c r="M907" t="s">
        <v>42</v>
      </c>
      <c r="N907" t="s">
        <v>60</v>
      </c>
      <c r="O907">
        <f>IF(TablaVentas[[#This Row],[Precio_unitario]]="","PENDIENTE",TablaVentas[[#This Row],[Unidades]]*TablaVentas[[#This Row],[Precio_unitario]]*(1-TablaVentas[[#This Row],[Descuento_pct]]))</f>
        <v>10674.606</v>
      </c>
      <c r="P907">
        <f>IF(TablaVentas[[#This Row],[Costo_unitario]]="","PENDIENTE",TablaVentas[[#This Row],[Unidades]]*TablaVentas[[#This Row],[Costo_unitario]])</f>
        <v>8227.4599999999991</v>
      </c>
      <c r="Q907">
        <f>IF(OR(TablaVentas[[#This Row],[Ingreso_neto]]="PENDIENTE",TablaVentas[[#This Row],[Costo_total]]="PENDIENTE"),"PENDIENTE",TablaVentas[[#This Row],[Ingreso_neto]]-TablaVentas[[#This Row],[Costo_total]])</f>
        <v>2447.1460000000006</v>
      </c>
    </row>
    <row r="908" spans="1:17">
      <c r="A908" t="s">
        <v>732</v>
      </c>
      <c r="B908">
        <v>1</v>
      </c>
      <c r="C908" s="3">
        <v>46223</v>
      </c>
      <c r="D908" t="s">
        <v>613</v>
      </c>
      <c r="E908" t="s">
        <v>46</v>
      </c>
      <c r="F908" t="s">
        <v>66</v>
      </c>
      <c r="G908" t="s">
        <v>57</v>
      </c>
      <c r="H908" t="s">
        <v>41</v>
      </c>
      <c r="I908">
        <v>4</v>
      </c>
      <c r="J908" s="4">
        <v>4007.46</v>
      </c>
      <c r="K908" s="5">
        <v>0</v>
      </c>
      <c r="L908" s="4">
        <v>2957.6</v>
      </c>
      <c r="M908" t="s">
        <v>42</v>
      </c>
      <c r="N908" t="s">
        <v>45</v>
      </c>
      <c r="O908">
        <f>IF(TablaVentas[[#This Row],[Precio_unitario]]="","PENDIENTE",TablaVentas[[#This Row],[Unidades]]*TablaVentas[[#This Row],[Precio_unitario]]*(1-TablaVentas[[#This Row],[Descuento_pct]]))</f>
        <v>16029.84</v>
      </c>
      <c r="P908">
        <f>IF(TablaVentas[[#This Row],[Costo_unitario]]="","PENDIENTE",TablaVentas[[#This Row],[Unidades]]*TablaVentas[[#This Row],[Costo_unitario]])</f>
        <v>11830.4</v>
      </c>
      <c r="Q908">
        <f>IF(OR(TablaVentas[[#This Row],[Ingreso_neto]]="PENDIENTE",TablaVentas[[#This Row],[Costo_total]]="PENDIENTE"),"PENDIENTE",TablaVentas[[#This Row],[Ingreso_neto]]-TablaVentas[[#This Row],[Costo_total]])</f>
        <v>4199.4400000000005</v>
      </c>
    </row>
    <row r="909" spans="1:17">
      <c r="A909" t="s">
        <v>732</v>
      </c>
      <c r="B909">
        <v>2</v>
      </c>
      <c r="C909" s="3">
        <v>46223</v>
      </c>
      <c r="D909" t="s">
        <v>613</v>
      </c>
      <c r="E909" t="s">
        <v>148</v>
      </c>
      <c r="F909" t="s">
        <v>66</v>
      </c>
      <c r="G909" t="s">
        <v>57</v>
      </c>
      <c r="H909" t="s">
        <v>41</v>
      </c>
      <c r="I909">
        <v>3</v>
      </c>
      <c r="J909" s="4">
        <v>3084.53</v>
      </c>
      <c r="K909" s="5">
        <v>0.1</v>
      </c>
      <c r="L909" s="4">
        <v>2459.34</v>
      </c>
      <c r="M909" t="s">
        <v>116</v>
      </c>
      <c r="N909" t="s">
        <v>52</v>
      </c>
      <c r="O909">
        <f>IF(TablaVentas[[#This Row],[Precio_unitario]]="","PENDIENTE",TablaVentas[[#This Row],[Unidades]]*TablaVentas[[#This Row],[Precio_unitario]]*(1-TablaVentas[[#This Row],[Descuento_pct]]))</f>
        <v>8328.2309999999998</v>
      </c>
      <c r="P909">
        <f>IF(TablaVentas[[#This Row],[Costo_unitario]]="","PENDIENTE",TablaVentas[[#This Row],[Unidades]]*TablaVentas[[#This Row],[Costo_unitario]])</f>
        <v>7378.02</v>
      </c>
      <c r="Q909">
        <f>IF(OR(TablaVentas[[#This Row],[Ingreso_neto]]="PENDIENTE",TablaVentas[[#This Row],[Costo_total]]="PENDIENTE"),"PENDIENTE",TablaVentas[[#This Row],[Ingreso_neto]]-TablaVentas[[#This Row],[Costo_total]])</f>
        <v>950.21099999999933</v>
      </c>
    </row>
    <row r="910" spans="1:17">
      <c r="A910" t="s">
        <v>733</v>
      </c>
      <c r="B910">
        <v>1</v>
      </c>
      <c r="C910" s="3">
        <v>46177</v>
      </c>
      <c r="D910" t="s">
        <v>501</v>
      </c>
      <c r="E910" t="s">
        <v>163</v>
      </c>
      <c r="F910" t="s">
        <v>39</v>
      </c>
      <c r="G910" t="s">
        <v>57</v>
      </c>
      <c r="H910" t="s">
        <v>82</v>
      </c>
      <c r="I910">
        <v>1</v>
      </c>
      <c r="J910" s="4">
        <v>17042.189999999999</v>
      </c>
      <c r="K910" s="5">
        <v>0.15</v>
      </c>
      <c r="L910" s="4">
        <v>12141.44</v>
      </c>
      <c r="M910" t="s">
        <v>42</v>
      </c>
      <c r="N910" t="s">
        <v>60</v>
      </c>
      <c r="O910">
        <f>IF(TablaVentas[[#This Row],[Precio_unitario]]="","PENDIENTE",TablaVentas[[#This Row],[Unidades]]*TablaVentas[[#This Row],[Precio_unitario]]*(1-TablaVentas[[#This Row],[Descuento_pct]]))</f>
        <v>14485.861499999999</v>
      </c>
      <c r="P910">
        <f>IF(TablaVentas[[#This Row],[Costo_unitario]]="","PENDIENTE",TablaVentas[[#This Row],[Unidades]]*TablaVentas[[#This Row],[Costo_unitario]])</f>
        <v>12141.44</v>
      </c>
      <c r="Q910">
        <f>IF(OR(TablaVentas[[#This Row],[Ingreso_neto]]="PENDIENTE",TablaVentas[[#This Row],[Costo_total]]="PENDIENTE"),"PENDIENTE",TablaVentas[[#This Row],[Ingreso_neto]]-TablaVentas[[#This Row],[Costo_total]])</f>
        <v>2344.4214999999986</v>
      </c>
    </row>
    <row r="911" spans="1:17">
      <c r="A911" t="s">
        <v>734</v>
      </c>
      <c r="B911">
        <v>1</v>
      </c>
      <c r="C911" s="3">
        <v>46190</v>
      </c>
      <c r="D911" t="s">
        <v>355</v>
      </c>
      <c r="E911" t="s">
        <v>59</v>
      </c>
      <c r="F911" t="s">
        <v>39</v>
      </c>
      <c r="G911" t="s">
        <v>57</v>
      </c>
      <c r="H911" t="s">
        <v>73</v>
      </c>
      <c r="I911">
        <v>1</v>
      </c>
      <c r="J911" s="4">
        <v>15252.19</v>
      </c>
      <c r="K911" s="5">
        <v>0</v>
      </c>
      <c r="L911" s="4">
        <v>10170.290000000001</v>
      </c>
      <c r="M911" t="s">
        <v>42</v>
      </c>
      <c r="N911" t="s">
        <v>60</v>
      </c>
      <c r="O911">
        <f>IF(TablaVentas[[#This Row],[Precio_unitario]]="","PENDIENTE",TablaVentas[[#This Row],[Unidades]]*TablaVentas[[#This Row],[Precio_unitario]]*(1-TablaVentas[[#This Row],[Descuento_pct]]))</f>
        <v>15252.19</v>
      </c>
      <c r="P911">
        <f>IF(TablaVentas[[#This Row],[Costo_unitario]]="","PENDIENTE",TablaVentas[[#This Row],[Unidades]]*TablaVentas[[#This Row],[Costo_unitario]])</f>
        <v>10170.290000000001</v>
      </c>
      <c r="Q911">
        <f>IF(OR(TablaVentas[[#This Row],[Ingreso_neto]]="PENDIENTE",TablaVentas[[#This Row],[Costo_total]]="PENDIENTE"),"PENDIENTE",TablaVentas[[#This Row],[Ingreso_neto]]-TablaVentas[[#This Row],[Costo_total]])</f>
        <v>5081.8999999999996</v>
      </c>
    </row>
    <row r="912" spans="1:17">
      <c r="A912" t="s">
        <v>734</v>
      </c>
      <c r="B912">
        <v>2</v>
      </c>
      <c r="C912" s="3">
        <v>46190</v>
      </c>
      <c r="D912" t="s">
        <v>355</v>
      </c>
      <c r="E912" t="s">
        <v>93</v>
      </c>
      <c r="F912" t="s">
        <v>39</v>
      </c>
      <c r="G912" t="s">
        <v>57</v>
      </c>
      <c r="H912" t="s">
        <v>73</v>
      </c>
      <c r="I912">
        <v>4</v>
      </c>
      <c r="J912" s="4">
        <v>15089.24</v>
      </c>
      <c r="K912" s="5">
        <v>0</v>
      </c>
      <c r="L912" s="4">
        <v>8788.7900000000009</v>
      </c>
      <c r="M912" t="s">
        <v>42</v>
      </c>
      <c r="N912" t="s">
        <v>43</v>
      </c>
      <c r="O912">
        <f>IF(TablaVentas[[#This Row],[Precio_unitario]]="","PENDIENTE",TablaVentas[[#This Row],[Unidades]]*TablaVentas[[#This Row],[Precio_unitario]]*(1-TablaVentas[[#This Row],[Descuento_pct]]))</f>
        <v>60356.959999999999</v>
      </c>
      <c r="P912">
        <f>IF(TablaVentas[[#This Row],[Costo_unitario]]="","PENDIENTE",TablaVentas[[#This Row],[Unidades]]*TablaVentas[[#This Row],[Costo_unitario]])</f>
        <v>35155.160000000003</v>
      </c>
      <c r="Q912">
        <f>IF(OR(TablaVentas[[#This Row],[Ingreso_neto]]="PENDIENTE",TablaVentas[[#This Row],[Costo_total]]="PENDIENTE"),"PENDIENTE",TablaVentas[[#This Row],[Ingreso_neto]]-TablaVentas[[#This Row],[Costo_total]])</f>
        <v>25201.799999999996</v>
      </c>
    </row>
    <row r="913" spans="1:17">
      <c r="A913" t="s">
        <v>734</v>
      </c>
      <c r="B913">
        <v>3</v>
      </c>
      <c r="C913" s="3">
        <v>46190</v>
      </c>
      <c r="D913" t="s">
        <v>355</v>
      </c>
      <c r="E913" t="s">
        <v>208</v>
      </c>
      <c r="F913" t="s">
        <v>39</v>
      </c>
      <c r="G913" t="s">
        <v>57</v>
      </c>
      <c r="H913" t="s">
        <v>73</v>
      </c>
      <c r="I913">
        <v>2</v>
      </c>
      <c r="J913" s="4">
        <v>10719.81</v>
      </c>
      <c r="K913" s="5">
        <v>0</v>
      </c>
      <c r="L913" s="4">
        <v>5535.31</v>
      </c>
      <c r="M913" t="s">
        <v>42</v>
      </c>
      <c r="N913" t="s">
        <v>52</v>
      </c>
      <c r="O913">
        <f>IF(TablaVentas[[#This Row],[Precio_unitario]]="","PENDIENTE",TablaVentas[[#This Row],[Unidades]]*TablaVentas[[#This Row],[Precio_unitario]]*(1-TablaVentas[[#This Row],[Descuento_pct]]))</f>
        <v>21439.62</v>
      </c>
      <c r="P913">
        <f>IF(TablaVentas[[#This Row],[Costo_unitario]]="","PENDIENTE",TablaVentas[[#This Row],[Unidades]]*TablaVentas[[#This Row],[Costo_unitario]])</f>
        <v>11070.62</v>
      </c>
      <c r="Q913">
        <f>IF(OR(TablaVentas[[#This Row],[Ingreso_neto]]="PENDIENTE",TablaVentas[[#This Row],[Costo_total]]="PENDIENTE"),"PENDIENTE",TablaVentas[[#This Row],[Ingreso_neto]]-TablaVentas[[#This Row],[Costo_total]])</f>
        <v>10368.999999999998</v>
      </c>
    </row>
    <row r="914" spans="1:17">
      <c r="A914" t="s">
        <v>735</v>
      </c>
      <c r="B914">
        <v>1</v>
      </c>
      <c r="C914" s="3">
        <v>46126</v>
      </c>
      <c r="D914" t="s">
        <v>198</v>
      </c>
      <c r="E914" t="s">
        <v>320</v>
      </c>
      <c r="F914" t="s">
        <v>56</v>
      </c>
      <c r="G914" t="s">
        <v>40</v>
      </c>
      <c r="H914" t="s">
        <v>41</v>
      </c>
      <c r="I914">
        <v>3</v>
      </c>
      <c r="J914" s="4">
        <v>4953.46</v>
      </c>
      <c r="K914" s="5">
        <v>0.05</v>
      </c>
      <c r="L914" s="4">
        <v>3065.66</v>
      </c>
      <c r="M914" t="s">
        <v>116</v>
      </c>
      <c r="N914" t="s">
        <v>43</v>
      </c>
      <c r="O914">
        <f>IF(TablaVentas[[#This Row],[Precio_unitario]]="","PENDIENTE",TablaVentas[[#This Row],[Unidades]]*TablaVentas[[#This Row],[Precio_unitario]]*(1-TablaVentas[[#This Row],[Descuento_pct]]))</f>
        <v>14117.361000000001</v>
      </c>
      <c r="P914">
        <f>IF(TablaVentas[[#This Row],[Costo_unitario]]="","PENDIENTE",TablaVentas[[#This Row],[Unidades]]*TablaVentas[[#This Row],[Costo_unitario]])</f>
        <v>9196.98</v>
      </c>
      <c r="Q914">
        <f>IF(OR(TablaVentas[[#This Row],[Ingreso_neto]]="PENDIENTE",TablaVentas[[#This Row],[Costo_total]]="PENDIENTE"),"PENDIENTE",TablaVentas[[#This Row],[Ingreso_neto]]-TablaVentas[[#This Row],[Costo_total]])</f>
        <v>4920.3810000000012</v>
      </c>
    </row>
    <row r="915" spans="1:17">
      <c r="A915" t="s">
        <v>735</v>
      </c>
      <c r="B915">
        <v>2</v>
      </c>
      <c r="C915" s="3">
        <v>46126</v>
      </c>
      <c r="D915" t="s">
        <v>198</v>
      </c>
      <c r="E915" t="s">
        <v>49</v>
      </c>
      <c r="F915" t="s">
        <v>56</v>
      </c>
      <c r="G915" t="s">
        <v>40</v>
      </c>
      <c r="H915" t="s">
        <v>41</v>
      </c>
      <c r="I915">
        <v>5</v>
      </c>
      <c r="J915" s="4">
        <v>3996.71</v>
      </c>
      <c r="K915" s="5">
        <v>0</v>
      </c>
      <c r="L915" s="4">
        <v>2950.52</v>
      </c>
      <c r="M915" t="s">
        <v>42</v>
      </c>
      <c r="N915" t="s">
        <v>45</v>
      </c>
      <c r="O915">
        <f>IF(TablaVentas[[#This Row],[Precio_unitario]]="","PENDIENTE",TablaVentas[[#This Row],[Unidades]]*TablaVentas[[#This Row],[Precio_unitario]]*(1-TablaVentas[[#This Row],[Descuento_pct]]))</f>
        <v>19983.55</v>
      </c>
      <c r="P915">
        <f>IF(TablaVentas[[#This Row],[Costo_unitario]]="","PENDIENTE",TablaVentas[[#This Row],[Unidades]]*TablaVentas[[#This Row],[Costo_unitario]])</f>
        <v>14752.6</v>
      </c>
      <c r="Q915">
        <f>IF(OR(TablaVentas[[#This Row],[Ingreso_neto]]="PENDIENTE",TablaVentas[[#This Row],[Costo_total]]="PENDIENTE"),"PENDIENTE",TablaVentas[[#This Row],[Ingreso_neto]]-TablaVentas[[#This Row],[Costo_total]])</f>
        <v>5230.9499999999989</v>
      </c>
    </row>
    <row r="916" spans="1:17">
      <c r="A916" t="s">
        <v>735</v>
      </c>
      <c r="B916">
        <v>3</v>
      </c>
      <c r="C916" s="3">
        <v>46126</v>
      </c>
      <c r="D916" t="s">
        <v>198</v>
      </c>
      <c r="E916" t="s">
        <v>59</v>
      </c>
      <c r="F916" t="s">
        <v>56</v>
      </c>
      <c r="G916" t="s">
        <v>40</v>
      </c>
      <c r="H916" t="s">
        <v>41</v>
      </c>
      <c r="I916">
        <v>4</v>
      </c>
      <c r="J916" s="4">
        <v>13508.94</v>
      </c>
      <c r="K916" s="5">
        <v>0</v>
      </c>
      <c r="L916" s="4">
        <v>10170.290000000001</v>
      </c>
      <c r="M916" t="s">
        <v>42</v>
      </c>
      <c r="N916" t="s">
        <v>43</v>
      </c>
      <c r="O916">
        <f>IF(TablaVentas[[#This Row],[Precio_unitario]]="","PENDIENTE",TablaVentas[[#This Row],[Unidades]]*TablaVentas[[#This Row],[Precio_unitario]]*(1-TablaVentas[[#This Row],[Descuento_pct]]))</f>
        <v>54035.76</v>
      </c>
      <c r="P916">
        <f>IF(TablaVentas[[#This Row],[Costo_unitario]]="","PENDIENTE",TablaVentas[[#This Row],[Unidades]]*TablaVentas[[#This Row],[Costo_unitario]])</f>
        <v>40681.160000000003</v>
      </c>
      <c r="Q916">
        <f>IF(OR(TablaVentas[[#This Row],[Ingreso_neto]]="PENDIENTE",TablaVentas[[#This Row],[Costo_total]]="PENDIENTE"),"PENDIENTE",TablaVentas[[#This Row],[Ingreso_neto]]-TablaVentas[[#This Row],[Costo_total]])</f>
        <v>13354.599999999999</v>
      </c>
    </row>
    <row r="917" spans="1:17">
      <c r="A917" t="s">
        <v>736</v>
      </c>
      <c r="B917">
        <v>1</v>
      </c>
      <c r="C917" s="3">
        <v>46217</v>
      </c>
      <c r="D917" t="s">
        <v>737</v>
      </c>
      <c r="E917" t="s">
        <v>84</v>
      </c>
      <c r="F917" t="s">
        <v>77</v>
      </c>
      <c r="G917" t="s">
        <v>57</v>
      </c>
      <c r="H917" t="s">
        <v>41</v>
      </c>
      <c r="I917">
        <v>1</v>
      </c>
      <c r="J917" s="4">
        <v>15813.26</v>
      </c>
      <c r="K917" s="5">
        <v>0.1</v>
      </c>
      <c r="L917" s="4">
        <v>8576.0499999999993</v>
      </c>
      <c r="M917" t="s">
        <v>42</v>
      </c>
      <c r="N917" t="s">
        <v>45</v>
      </c>
      <c r="O917">
        <f>IF(TablaVentas[[#This Row],[Precio_unitario]]="","PENDIENTE",TablaVentas[[#This Row],[Unidades]]*TablaVentas[[#This Row],[Precio_unitario]]*(1-TablaVentas[[#This Row],[Descuento_pct]]))</f>
        <v>14231.934000000001</v>
      </c>
      <c r="P917">
        <f>IF(TablaVentas[[#This Row],[Costo_unitario]]="","PENDIENTE",TablaVentas[[#This Row],[Unidades]]*TablaVentas[[#This Row],[Costo_unitario]])</f>
        <v>8576.0499999999993</v>
      </c>
      <c r="Q917">
        <f>IF(OR(TablaVentas[[#This Row],[Ingreso_neto]]="PENDIENTE",TablaVentas[[#This Row],[Costo_total]]="PENDIENTE"),"PENDIENTE",TablaVentas[[#This Row],[Ingreso_neto]]-TablaVentas[[#This Row],[Costo_total]])</f>
        <v>5655.8840000000018</v>
      </c>
    </row>
    <row r="918" spans="1:17">
      <c r="A918" t="s">
        <v>736</v>
      </c>
      <c r="B918">
        <v>2</v>
      </c>
      <c r="C918" s="3">
        <v>46217</v>
      </c>
      <c r="D918" t="s">
        <v>737</v>
      </c>
      <c r="E918" t="s">
        <v>110</v>
      </c>
      <c r="F918" t="s">
        <v>77</v>
      </c>
      <c r="G918" t="s">
        <v>57</v>
      </c>
      <c r="H918" t="s">
        <v>41</v>
      </c>
      <c r="I918">
        <v>3</v>
      </c>
      <c r="J918" s="4">
        <v>5050.4399999999996</v>
      </c>
      <c r="K918" s="5">
        <v>0.2</v>
      </c>
      <c r="L918" s="4">
        <v>4205.6899999999996</v>
      </c>
      <c r="M918" t="s">
        <v>116</v>
      </c>
      <c r="N918" t="s">
        <v>52</v>
      </c>
      <c r="O918">
        <f>IF(TablaVentas[[#This Row],[Precio_unitario]]="","PENDIENTE",TablaVentas[[#This Row],[Unidades]]*TablaVentas[[#This Row],[Precio_unitario]]*(1-TablaVentas[[#This Row],[Descuento_pct]]))</f>
        <v>12121.056</v>
      </c>
      <c r="P918">
        <f>IF(TablaVentas[[#This Row],[Costo_unitario]]="","PENDIENTE",TablaVentas[[#This Row],[Unidades]]*TablaVentas[[#This Row],[Costo_unitario]])</f>
        <v>12617.07</v>
      </c>
      <c r="Q918">
        <f>IF(OR(TablaVentas[[#This Row],[Ingreso_neto]]="PENDIENTE",TablaVentas[[#This Row],[Costo_total]]="PENDIENTE"),"PENDIENTE",TablaVentas[[#This Row],[Ingreso_neto]]-TablaVentas[[#This Row],[Costo_total]])</f>
        <v>-496.01399999999921</v>
      </c>
    </row>
    <row r="919" spans="1:17">
      <c r="A919" t="s">
        <v>738</v>
      </c>
      <c r="B919">
        <v>1</v>
      </c>
      <c r="C919" s="3">
        <v>46099</v>
      </c>
      <c r="D919" t="s">
        <v>739</v>
      </c>
      <c r="E919" t="s">
        <v>180</v>
      </c>
      <c r="F919" t="s">
        <v>77</v>
      </c>
      <c r="G919" t="s">
        <v>57</v>
      </c>
      <c r="H919" t="s">
        <v>51</v>
      </c>
      <c r="I919">
        <v>2</v>
      </c>
      <c r="J919" s="4">
        <v>5943.55</v>
      </c>
      <c r="K919" s="5">
        <v>0</v>
      </c>
      <c r="L919" s="4">
        <v>3824.92</v>
      </c>
      <c r="M919" t="s">
        <v>42</v>
      </c>
      <c r="N919" t="s">
        <v>43</v>
      </c>
      <c r="O919">
        <f>IF(TablaVentas[[#This Row],[Precio_unitario]]="","PENDIENTE",TablaVentas[[#This Row],[Unidades]]*TablaVentas[[#This Row],[Precio_unitario]]*(1-TablaVentas[[#This Row],[Descuento_pct]]))</f>
        <v>11887.1</v>
      </c>
      <c r="P919">
        <f>IF(TablaVentas[[#This Row],[Costo_unitario]]="","PENDIENTE",TablaVentas[[#This Row],[Unidades]]*TablaVentas[[#This Row],[Costo_unitario]])</f>
        <v>7649.84</v>
      </c>
      <c r="Q919">
        <f>IF(OR(TablaVentas[[#This Row],[Ingreso_neto]]="PENDIENTE",TablaVentas[[#This Row],[Costo_total]]="PENDIENTE"),"PENDIENTE",TablaVentas[[#This Row],[Ingreso_neto]]-TablaVentas[[#This Row],[Costo_total]])</f>
        <v>4237.26</v>
      </c>
    </row>
    <row r="920" spans="1:17">
      <c r="A920" t="s">
        <v>738</v>
      </c>
      <c r="B920">
        <v>2</v>
      </c>
      <c r="C920" s="3">
        <v>46099</v>
      </c>
      <c r="D920" t="s">
        <v>739</v>
      </c>
      <c r="E920" t="s">
        <v>256</v>
      </c>
      <c r="F920" t="s">
        <v>77</v>
      </c>
      <c r="G920" t="s">
        <v>57</v>
      </c>
      <c r="H920" t="s">
        <v>51</v>
      </c>
      <c r="I920">
        <v>2</v>
      </c>
      <c r="J920" s="4">
        <v>17545.87</v>
      </c>
      <c r="K920" s="5">
        <v>0.1</v>
      </c>
      <c r="L920" s="4">
        <v>11666.57</v>
      </c>
      <c r="M920" t="s">
        <v>42</v>
      </c>
      <c r="N920" t="s">
        <v>43</v>
      </c>
      <c r="O920">
        <f>IF(TablaVentas[[#This Row],[Precio_unitario]]="","PENDIENTE",TablaVentas[[#This Row],[Unidades]]*TablaVentas[[#This Row],[Precio_unitario]]*(1-TablaVentas[[#This Row],[Descuento_pct]]))</f>
        <v>31582.565999999999</v>
      </c>
      <c r="P920">
        <f>IF(TablaVentas[[#This Row],[Costo_unitario]]="","PENDIENTE",TablaVentas[[#This Row],[Unidades]]*TablaVentas[[#This Row],[Costo_unitario]])</f>
        <v>23333.14</v>
      </c>
      <c r="Q920">
        <f>IF(OR(TablaVentas[[#This Row],[Ingreso_neto]]="PENDIENTE",TablaVentas[[#This Row],[Costo_total]]="PENDIENTE"),"PENDIENTE",TablaVentas[[#This Row],[Ingreso_neto]]-TablaVentas[[#This Row],[Costo_total]])</f>
        <v>8249.4259999999995</v>
      </c>
    </row>
    <row r="921" spans="1:17">
      <c r="A921" t="s">
        <v>738</v>
      </c>
      <c r="B921">
        <v>3</v>
      </c>
      <c r="C921" s="3">
        <v>46099</v>
      </c>
      <c r="D921" t="s">
        <v>739</v>
      </c>
      <c r="E921" t="s">
        <v>193</v>
      </c>
      <c r="F921" t="s">
        <v>77</v>
      </c>
      <c r="G921" t="s">
        <v>57</v>
      </c>
      <c r="H921" t="s">
        <v>51</v>
      </c>
      <c r="I921">
        <v>3</v>
      </c>
      <c r="J921" s="4">
        <v>10980.61</v>
      </c>
      <c r="K921" s="5">
        <v>0</v>
      </c>
      <c r="L921" s="4">
        <v>5811.72</v>
      </c>
      <c r="M921" t="s">
        <v>42</v>
      </c>
      <c r="N921" t="s">
        <v>45</v>
      </c>
      <c r="O921">
        <f>IF(TablaVentas[[#This Row],[Precio_unitario]]="","PENDIENTE",TablaVentas[[#This Row],[Unidades]]*TablaVentas[[#This Row],[Precio_unitario]]*(1-TablaVentas[[#This Row],[Descuento_pct]]))</f>
        <v>32941.83</v>
      </c>
      <c r="P921">
        <f>IF(TablaVentas[[#This Row],[Costo_unitario]]="","PENDIENTE",TablaVentas[[#This Row],[Unidades]]*TablaVentas[[#This Row],[Costo_unitario]])</f>
        <v>17435.16</v>
      </c>
      <c r="Q921">
        <f>IF(OR(TablaVentas[[#This Row],[Ingreso_neto]]="PENDIENTE",TablaVentas[[#This Row],[Costo_total]]="PENDIENTE"),"PENDIENTE",TablaVentas[[#This Row],[Ingreso_neto]]-TablaVentas[[#This Row],[Costo_total]])</f>
        <v>15506.670000000002</v>
      </c>
    </row>
    <row r="922" spans="1:17">
      <c r="A922" t="s">
        <v>738</v>
      </c>
      <c r="B922">
        <v>4</v>
      </c>
      <c r="C922" s="3">
        <v>46099</v>
      </c>
      <c r="D922" t="s">
        <v>739</v>
      </c>
      <c r="E922" t="s">
        <v>70</v>
      </c>
      <c r="F922" t="s">
        <v>77</v>
      </c>
      <c r="G922" t="s">
        <v>57</v>
      </c>
      <c r="H922" t="s">
        <v>51</v>
      </c>
      <c r="I922">
        <v>1</v>
      </c>
      <c r="J922" s="4">
        <v>14560.24</v>
      </c>
      <c r="K922" s="5">
        <v>0.15</v>
      </c>
      <c r="L922" s="4">
        <v>10571.25</v>
      </c>
      <c r="M922" t="s">
        <v>42</v>
      </c>
      <c r="N922" t="s">
        <v>43</v>
      </c>
      <c r="O922">
        <f>IF(TablaVentas[[#This Row],[Precio_unitario]]="","PENDIENTE",TablaVentas[[#This Row],[Unidades]]*TablaVentas[[#This Row],[Precio_unitario]]*(1-TablaVentas[[#This Row],[Descuento_pct]]))</f>
        <v>12376.204</v>
      </c>
      <c r="P922">
        <f>IF(TablaVentas[[#This Row],[Costo_unitario]]="","PENDIENTE",TablaVentas[[#This Row],[Unidades]]*TablaVentas[[#This Row],[Costo_unitario]])</f>
        <v>10571.25</v>
      </c>
      <c r="Q922">
        <f>IF(OR(TablaVentas[[#This Row],[Ingreso_neto]]="PENDIENTE",TablaVentas[[#This Row],[Costo_total]]="PENDIENTE"),"PENDIENTE",TablaVentas[[#This Row],[Ingreso_neto]]-TablaVentas[[#This Row],[Costo_total]])</f>
        <v>1804.9539999999997</v>
      </c>
    </row>
    <row r="923" spans="1:17">
      <c r="A923" t="s">
        <v>740</v>
      </c>
      <c r="B923">
        <v>1</v>
      </c>
      <c r="C923" s="3">
        <v>46157</v>
      </c>
      <c r="D923" t="s">
        <v>476</v>
      </c>
      <c r="E923" t="s">
        <v>68</v>
      </c>
      <c r="F923" t="s">
        <v>66</v>
      </c>
      <c r="G923" t="s">
        <v>57</v>
      </c>
      <c r="H923" t="s">
        <v>82</v>
      </c>
      <c r="I923">
        <v>5</v>
      </c>
      <c r="J923" s="4">
        <v>16139.4</v>
      </c>
      <c r="K923" s="5">
        <v>0</v>
      </c>
      <c r="L923" s="4">
        <v>9243.35</v>
      </c>
      <c r="M923" t="s">
        <v>42</v>
      </c>
      <c r="N923" t="s">
        <v>43</v>
      </c>
      <c r="O923">
        <f>IF(TablaVentas[[#This Row],[Precio_unitario]]="","PENDIENTE",TablaVentas[[#This Row],[Unidades]]*TablaVentas[[#This Row],[Precio_unitario]]*(1-TablaVentas[[#This Row],[Descuento_pct]]))</f>
        <v>80697</v>
      </c>
      <c r="P923">
        <f>IF(TablaVentas[[#This Row],[Costo_unitario]]="","PENDIENTE",TablaVentas[[#This Row],[Unidades]]*TablaVentas[[#This Row],[Costo_unitario]])</f>
        <v>46216.75</v>
      </c>
      <c r="Q923">
        <f>IF(OR(TablaVentas[[#This Row],[Ingreso_neto]]="PENDIENTE",TablaVentas[[#This Row],[Costo_total]]="PENDIENTE"),"PENDIENTE",TablaVentas[[#This Row],[Ingreso_neto]]-TablaVentas[[#This Row],[Costo_total]])</f>
        <v>34480.25</v>
      </c>
    </row>
    <row r="924" spans="1:17">
      <c r="A924" t="s">
        <v>740</v>
      </c>
      <c r="B924">
        <v>2</v>
      </c>
      <c r="C924" s="3">
        <v>46157</v>
      </c>
      <c r="D924" t="s">
        <v>476</v>
      </c>
      <c r="E924" t="s">
        <v>226</v>
      </c>
      <c r="F924" t="s">
        <v>66</v>
      </c>
      <c r="G924" t="s">
        <v>57</v>
      </c>
      <c r="H924" t="s">
        <v>82</v>
      </c>
      <c r="I924">
        <v>2</v>
      </c>
      <c r="J924" s="4">
        <v>16934.21</v>
      </c>
      <c r="K924" s="5">
        <v>0</v>
      </c>
      <c r="L924" s="4">
        <v>9976.68</v>
      </c>
      <c r="M924" t="s">
        <v>42</v>
      </c>
      <c r="N924" t="s">
        <v>60</v>
      </c>
      <c r="O924">
        <f>IF(TablaVentas[[#This Row],[Precio_unitario]]="","PENDIENTE",TablaVentas[[#This Row],[Unidades]]*TablaVentas[[#This Row],[Precio_unitario]]*(1-TablaVentas[[#This Row],[Descuento_pct]]))</f>
        <v>33868.42</v>
      </c>
      <c r="P924">
        <f>IF(TablaVentas[[#This Row],[Costo_unitario]]="","PENDIENTE",TablaVentas[[#This Row],[Unidades]]*TablaVentas[[#This Row],[Costo_unitario]])</f>
        <v>19953.36</v>
      </c>
      <c r="Q924">
        <f>IF(OR(TablaVentas[[#This Row],[Ingreso_neto]]="PENDIENTE",TablaVentas[[#This Row],[Costo_total]]="PENDIENTE"),"PENDIENTE",TablaVentas[[#This Row],[Ingreso_neto]]-TablaVentas[[#This Row],[Costo_total]])</f>
        <v>13915.059999999998</v>
      </c>
    </row>
    <row r="925" spans="1:17">
      <c r="A925" t="s">
        <v>740</v>
      </c>
      <c r="B925">
        <v>3</v>
      </c>
      <c r="C925" s="3">
        <v>46157</v>
      </c>
      <c r="D925" t="s">
        <v>476</v>
      </c>
      <c r="E925" t="s">
        <v>273</v>
      </c>
      <c r="F925" t="s">
        <v>66</v>
      </c>
      <c r="G925" t="s">
        <v>57</v>
      </c>
      <c r="H925" t="s">
        <v>82</v>
      </c>
      <c r="I925">
        <v>1</v>
      </c>
      <c r="J925" s="4">
        <v>1327.83</v>
      </c>
      <c r="K925" s="5">
        <v>0.05</v>
      </c>
      <c r="L925" s="4">
        <v>716.26</v>
      </c>
      <c r="M925" t="s">
        <v>42</v>
      </c>
      <c r="N925" t="s">
        <v>45</v>
      </c>
      <c r="O925">
        <f>IF(TablaVentas[[#This Row],[Precio_unitario]]="","PENDIENTE",TablaVentas[[#This Row],[Unidades]]*TablaVentas[[#This Row],[Precio_unitario]]*(1-TablaVentas[[#This Row],[Descuento_pct]]))</f>
        <v>1261.4385</v>
      </c>
      <c r="P925">
        <f>IF(TablaVentas[[#This Row],[Costo_unitario]]="","PENDIENTE",TablaVentas[[#This Row],[Unidades]]*TablaVentas[[#This Row],[Costo_unitario]])</f>
        <v>716.26</v>
      </c>
      <c r="Q925">
        <f>IF(OR(TablaVentas[[#This Row],[Ingreso_neto]]="PENDIENTE",TablaVentas[[#This Row],[Costo_total]]="PENDIENTE"),"PENDIENTE",TablaVentas[[#This Row],[Ingreso_neto]]-TablaVentas[[#This Row],[Costo_total]])</f>
        <v>545.17849999999999</v>
      </c>
    </row>
    <row r="926" spans="1:17">
      <c r="A926" t="s">
        <v>740</v>
      </c>
      <c r="B926">
        <v>4</v>
      </c>
      <c r="C926" s="3">
        <v>46157</v>
      </c>
      <c r="D926" t="s">
        <v>476</v>
      </c>
      <c r="E926" t="s">
        <v>233</v>
      </c>
      <c r="F926" t="s">
        <v>66</v>
      </c>
      <c r="G926" t="s">
        <v>57</v>
      </c>
      <c r="H926" t="s">
        <v>82</v>
      </c>
      <c r="I926">
        <v>2</v>
      </c>
      <c r="J926" s="4">
        <v>10596.08</v>
      </c>
      <c r="K926" s="5">
        <v>0</v>
      </c>
      <c r="L926" s="4">
        <v>5932.12</v>
      </c>
      <c r="M926" t="s">
        <v>42</v>
      </c>
      <c r="N926" t="s">
        <v>60</v>
      </c>
      <c r="O926">
        <f>IF(TablaVentas[[#This Row],[Precio_unitario]]="","PENDIENTE",TablaVentas[[#This Row],[Unidades]]*TablaVentas[[#This Row],[Precio_unitario]]*(1-TablaVentas[[#This Row],[Descuento_pct]]))</f>
        <v>21192.16</v>
      </c>
      <c r="P926">
        <f>IF(TablaVentas[[#This Row],[Costo_unitario]]="","PENDIENTE",TablaVentas[[#This Row],[Unidades]]*TablaVentas[[#This Row],[Costo_unitario]])</f>
        <v>11864.24</v>
      </c>
      <c r="Q926">
        <f>IF(OR(TablaVentas[[#This Row],[Ingreso_neto]]="PENDIENTE",TablaVentas[[#This Row],[Costo_total]]="PENDIENTE"),"PENDIENTE",TablaVentas[[#This Row],[Ingreso_neto]]-TablaVentas[[#This Row],[Costo_total]])</f>
        <v>9327.92</v>
      </c>
    </row>
    <row r="927" spans="1:17">
      <c r="A927" t="s">
        <v>741</v>
      </c>
      <c r="B927">
        <v>1</v>
      </c>
      <c r="C927" s="3">
        <v>46168</v>
      </c>
      <c r="D927" t="s">
        <v>742</v>
      </c>
      <c r="E927" t="s">
        <v>84</v>
      </c>
      <c r="F927" t="s">
        <v>77</v>
      </c>
      <c r="G927" t="s">
        <v>50</v>
      </c>
      <c r="H927" t="s">
        <v>129</v>
      </c>
      <c r="I927">
        <v>5</v>
      </c>
      <c r="J927" s="4">
        <v>15069.1</v>
      </c>
      <c r="K927" s="5">
        <v>0</v>
      </c>
      <c r="L927" s="4">
        <v>8576.0499999999993</v>
      </c>
      <c r="M927" t="s">
        <v>42</v>
      </c>
      <c r="N927" t="s">
        <v>43</v>
      </c>
      <c r="O927">
        <f>IF(TablaVentas[[#This Row],[Precio_unitario]]="","PENDIENTE",TablaVentas[[#This Row],[Unidades]]*TablaVentas[[#This Row],[Precio_unitario]]*(1-TablaVentas[[#This Row],[Descuento_pct]]))</f>
        <v>75345.5</v>
      </c>
      <c r="P927">
        <f>IF(TablaVentas[[#This Row],[Costo_unitario]]="","PENDIENTE",TablaVentas[[#This Row],[Unidades]]*TablaVentas[[#This Row],[Costo_unitario]])</f>
        <v>42880.25</v>
      </c>
      <c r="Q927">
        <f>IF(OR(TablaVentas[[#This Row],[Ingreso_neto]]="PENDIENTE",TablaVentas[[#This Row],[Costo_total]]="PENDIENTE"),"PENDIENTE",TablaVentas[[#This Row],[Ingreso_neto]]-TablaVentas[[#This Row],[Costo_total]])</f>
        <v>32465.25</v>
      </c>
    </row>
    <row r="928" spans="1:17">
      <c r="A928" t="s">
        <v>741</v>
      </c>
      <c r="B928">
        <v>2</v>
      </c>
      <c r="C928" s="3">
        <v>46168</v>
      </c>
      <c r="D928" t="s">
        <v>742</v>
      </c>
      <c r="E928" t="s">
        <v>81</v>
      </c>
      <c r="F928" t="s">
        <v>77</v>
      </c>
      <c r="G928" t="s">
        <v>50</v>
      </c>
      <c r="H928" t="s">
        <v>129</v>
      </c>
      <c r="I928">
        <v>1</v>
      </c>
      <c r="J928" s="4">
        <v>17314.43</v>
      </c>
      <c r="K928" s="5">
        <v>0.1</v>
      </c>
      <c r="L928" s="4">
        <v>11614.87</v>
      </c>
      <c r="M928" t="s">
        <v>42</v>
      </c>
      <c r="N928" t="s">
        <v>60</v>
      </c>
      <c r="O928">
        <f>IF(TablaVentas[[#This Row],[Precio_unitario]]="","PENDIENTE",TablaVentas[[#This Row],[Unidades]]*TablaVentas[[#This Row],[Precio_unitario]]*(1-TablaVentas[[#This Row],[Descuento_pct]]))</f>
        <v>15582.987000000001</v>
      </c>
      <c r="P928">
        <f>IF(TablaVentas[[#This Row],[Costo_unitario]]="","PENDIENTE",TablaVentas[[#This Row],[Unidades]]*TablaVentas[[#This Row],[Costo_unitario]])</f>
        <v>11614.87</v>
      </c>
      <c r="Q928">
        <f>IF(OR(TablaVentas[[#This Row],[Ingreso_neto]]="PENDIENTE",TablaVentas[[#This Row],[Costo_total]]="PENDIENTE"),"PENDIENTE",TablaVentas[[#This Row],[Ingreso_neto]]-TablaVentas[[#This Row],[Costo_total]])</f>
        <v>3968.1170000000002</v>
      </c>
    </row>
    <row r="929" spans="1:17">
      <c r="A929" t="s">
        <v>741</v>
      </c>
      <c r="B929">
        <v>3</v>
      </c>
      <c r="C929" s="3">
        <v>46168</v>
      </c>
      <c r="D929" t="s">
        <v>742</v>
      </c>
      <c r="E929" t="s">
        <v>160</v>
      </c>
      <c r="F929" t="s">
        <v>77</v>
      </c>
      <c r="G929" t="s">
        <v>50</v>
      </c>
      <c r="H929" t="s">
        <v>129</v>
      </c>
      <c r="I929">
        <v>5</v>
      </c>
      <c r="J929" s="4">
        <v>8000.16</v>
      </c>
      <c r="K929" s="5">
        <v>0.05</v>
      </c>
      <c r="L929" s="4">
        <v>4082.15</v>
      </c>
      <c r="M929" t="s">
        <v>42</v>
      </c>
      <c r="N929" t="s">
        <v>43</v>
      </c>
      <c r="O929">
        <f>IF(TablaVentas[[#This Row],[Precio_unitario]]="","PENDIENTE",TablaVentas[[#This Row],[Unidades]]*TablaVentas[[#This Row],[Precio_unitario]]*(1-TablaVentas[[#This Row],[Descuento_pct]]))</f>
        <v>38000.76</v>
      </c>
      <c r="P929">
        <f>IF(TablaVentas[[#This Row],[Costo_unitario]]="","PENDIENTE",TablaVentas[[#This Row],[Unidades]]*TablaVentas[[#This Row],[Costo_unitario]])</f>
        <v>20410.75</v>
      </c>
      <c r="Q929">
        <f>IF(OR(TablaVentas[[#This Row],[Ingreso_neto]]="PENDIENTE",TablaVentas[[#This Row],[Costo_total]]="PENDIENTE"),"PENDIENTE",TablaVentas[[#This Row],[Ingreso_neto]]-TablaVentas[[#This Row],[Costo_total]])</f>
        <v>17590.010000000002</v>
      </c>
    </row>
    <row r="930" spans="1:17">
      <c r="A930" t="s">
        <v>741</v>
      </c>
      <c r="B930">
        <v>4</v>
      </c>
      <c r="C930" s="3">
        <v>46168</v>
      </c>
      <c r="D930" t="s">
        <v>742</v>
      </c>
      <c r="E930" t="s">
        <v>114</v>
      </c>
      <c r="F930" t="s">
        <v>77</v>
      </c>
      <c r="G930" t="s">
        <v>50</v>
      </c>
      <c r="H930" t="s">
        <v>129</v>
      </c>
      <c r="I930">
        <v>2</v>
      </c>
      <c r="J930" s="4">
        <v>15041.04</v>
      </c>
      <c r="K930" s="5">
        <v>0.15</v>
      </c>
      <c r="L930" s="4">
        <v>8239.48</v>
      </c>
      <c r="M930" t="s">
        <v>42</v>
      </c>
      <c r="N930" t="s">
        <v>60</v>
      </c>
      <c r="O930">
        <f>IF(TablaVentas[[#This Row],[Precio_unitario]]="","PENDIENTE",TablaVentas[[#This Row],[Unidades]]*TablaVentas[[#This Row],[Precio_unitario]]*(1-TablaVentas[[#This Row],[Descuento_pct]]))</f>
        <v>25569.768</v>
      </c>
      <c r="P930">
        <f>IF(TablaVentas[[#This Row],[Costo_unitario]]="","PENDIENTE",TablaVentas[[#This Row],[Unidades]]*TablaVentas[[#This Row],[Costo_unitario]])</f>
        <v>16478.96</v>
      </c>
      <c r="Q930">
        <f>IF(OR(TablaVentas[[#This Row],[Ingreso_neto]]="PENDIENTE",TablaVentas[[#This Row],[Costo_total]]="PENDIENTE"),"PENDIENTE",TablaVentas[[#This Row],[Ingreso_neto]]-TablaVentas[[#This Row],[Costo_total]])</f>
        <v>9090.8080000000009</v>
      </c>
    </row>
    <row r="931" spans="1:17">
      <c r="A931" t="s">
        <v>743</v>
      </c>
      <c r="B931">
        <v>1</v>
      </c>
      <c r="C931" s="3">
        <v>46147</v>
      </c>
      <c r="D931" t="s">
        <v>220</v>
      </c>
      <c r="E931" t="s">
        <v>217</v>
      </c>
      <c r="F931" t="s">
        <v>77</v>
      </c>
      <c r="G931" t="s">
        <v>57</v>
      </c>
      <c r="H931" t="s">
        <v>67</v>
      </c>
      <c r="I931">
        <v>2</v>
      </c>
      <c r="J931" s="4">
        <v>17327.11</v>
      </c>
      <c r="K931" s="5">
        <v>0.1</v>
      </c>
      <c r="L931" s="4">
        <v>14161.63</v>
      </c>
      <c r="M931" t="s">
        <v>116</v>
      </c>
      <c r="N931" t="s">
        <v>43</v>
      </c>
      <c r="O931">
        <f>IF(TablaVentas[[#This Row],[Precio_unitario]]="","PENDIENTE",TablaVentas[[#This Row],[Unidades]]*TablaVentas[[#This Row],[Precio_unitario]]*(1-TablaVentas[[#This Row],[Descuento_pct]]))</f>
        <v>31188.798000000003</v>
      </c>
      <c r="P931">
        <f>IF(TablaVentas[[#This Row],[Costo_unitario]]="","PENDIENTE",TablaVentas[[#This Row],[Unidades]]*TablaVentas[[#This Row],[Costo_unitario]])</f>
        <v>28323.26</v>
      </c>
      <c r="Q931">
        <f>IF(OR(TablaVentas[[#This Row],[Ingreso_neto]]="PENDIENTE",TablaVentas[[#This Row],[Costo_total]]="PENDIENTE"),"PENDIENTE",TablaVentas[[#This Row],[Ingreso_neto]]-TablaVentas[[#This Row],[Costo_total]])</f>
        <v>2865.5380000000041</v>
      </c>
    </row>
    <row r="932" spans="1:17">
      <c r="A932" t="s">
        <v>743</v>
      </c>
      <c r="B932">
        <v>2</v>
      </c>
      <c r="C932" s="3">
        <v>46147</v>
      </c>
      <c r="D932" t="s">
        <v>220</v>
      </c>
      <c r="E932" t="s">
        <v>212</v>
      </c>
      <c r="F932" t="s">
        <v>77</v>
      </c>
      <c r="G932" t="s">
        <v>57</v>
      </c>
      <c r="H932" t="s">
        <v>67</v>
      </c>
      <c r="I932">
        <v>2</v>
      </c>
      <c r="J932" s="4">
        <v>3756.05</v>
      </c>
      <c r="K932" s="5">
        <v>0</v>
      </c>
      <c r="L932" s="4">
        <v>2157.5500000000002</v>
      </c>
      <c r="M932" t="s">
        <v>42</v>
      </c>
      <c r="N932" t="s">
        <v>45</v>
      </c>
      <c r="O932">
        <f>IF(TablaVentas[[#This Row],[Precio_unitario]]="","PENDIENTE",TablaVentas[[#This Row],[Unidades]]*TablaVentas[[#This Row],[Precio_unitario]]*(1-TablaVentas[[#This Row],[Descuento_pct]]))</f>
        <v>7512.1</v>
      </c>
      <c r="P932">
        <f>IF(TablaVentas[[#This Row],[Costo_unitario]]="","PENDIENTE",TablaVentas[[#This Row],[Unidades]]*TablaVentas[[#This Row],[Costo_unitario]])</f>
        <v>4315.1000000000004</v>
      </c>
      <c r="Q932">
        <f>IF(OR(TablaVentas[[#This Row],[Ingreso_neto]]="PENDIENTE",TablaVentas[[#This Row],[Costo_total]]="PENDIENTE"),"PENDIENTE",TablaVentas[[#This Row],[Ingreso_neto]]-TablaVentas[[#This Row],[Costo_total]])</f>
        <v>3197</v>
      </c>
    </row>
    <row r="933" spans="1:17">
      <c r="A933" t="s">
        <v>744</v>
      </c>
      <c r="B933">
        <v>1</v>
      </c>
      <c r="C933" s="3">
        <v>46029</v>
      </c>
      <c r="D933" t="s">
        <v>514</v>
      </c>
      <c r="E933" t="s">
        <v>203</v>
      </c>
      <c r="F933" t="s">
        <v>39</v>
      </c>
      <c r="G933" t="s">
        <v>40</v>
      </c>
      <c r="H933" t="s">
        <v>184</v>
      </c>
      <c r="I933">
        <v>1</v>
      </c>
      <c r="J933" s="4">
        <v>2007.51</v>
      </c>
      <c r="K933" s="5">
        <v>0.2</v>
      </c>
      <c r="L933" s="4">
        <v>1252.8399999999999</v>
      </c>
      <c r="M933" t="s">
        <v>42</v>
      </c>
      <c r="N933" t="s">
        <v>43</v>
      </c>
      <c r="O933">
        <f>IF(TablaVentas[[#This Row],[Precio_unitario]]="","PENDIENTE",TablaVentas[[#This Row],[Unidades]]*TablaVentas[[#This Row],[Precio_unitario]]*(1-TablaVentas[[#This Row],[Descuento_pct]]))</f>
        <v>1606.008</v>
      </c>
      <c r="P933">
        <f>IF(TablaVentas[[#This Row],[Costo_unitario]]="","PENDIENTE",TablaVentas[[#This Row],[Unidades]]*TablaVentas[[#This Row],[Costo_unitario]])</f>
        <v>1252.8399999999999</v>
      </c>
      <c r="Q933">
        <f>IF(OR(TablaVentas[[#This Row],[Ingreso_neto]]="PENDIENTE",TablaVentas[[#This Row],[Costo_total]]="PENDIENTE"),"PENDIENTE",TablaVentas[[#This Row],[Ingreso_neto]]-TablaVentas[[#This Row],[Costo_total]])</f>
        <v>353.16800000000012</v>
      </c>
    </row>
    <row r="934" spans="1:17">
      <c r="A934" t="s">
        <v>744</v>
      </c>
      <c r="B934">
        <v>2</v>
      </c>
      <c r="C934" s="3">
        <v>46029</v>
      </c>
      <c r="D934" t="s">
        <v>514</v>
      </c>
      <c r="E934" t="s">
        <v>135</v>
      </c>
      <c r="F934" t="s">
        <v>39</v>
      </c>
      <c r="G934" t="s">
        <v>40</v>
      </c>
      <c r="H934" t="s">
        <v>184</v>
      </c>
      <c r="I934">
        <v>2</v>
      </c>
      <c r="J934" s="4">
        <v>1889.62</v>
      </c>
      <c r="K934" s="5">
        <v>0.2</v>
      </c>
      <c r="L934" s="4">
        <v>1529.93</v>
      </c>
      <c r="M934" t="s">
        <v>42</v>
      </c>
      <c r="N934" t="s">
        <v>43</v>
      </c>
      <c r="O934">
        <f>IF(TablaVentas[[#This Row],[Precio_unitario]]="","PENDIENTE",TablaVentas[[#This Row],[Unidades]]*TablaVentas[[#This Row],[Precio_unitario]]*(1-TablaVentas[[#This Row],[Descuento_pct]]))</f>
        <v>3023.3919999999998</v>
      </c>
      <c r="P934">
        <f>IF(TablaVentas[[#This Row],[Costo_unitario]]="","PENDIENTE",TablaVentas[[#This Row],[Unidades]]*TablaVentas[[#This Row],[Costo_unitario]])</f>
        <v>3059.86</v>
      </c>
      <c r="Q934">
        <f>IF(OR(TablaVentas[[#This Row],[Ingreso_neto]]="PENDIENTE",TablaVentas[[#This Row],[Costo_total]]="PENDIENTE"),"PENDIENTE",TablaVentas[[#This Row],[Ingreso_neto]]-TablaVentas[[#This Row],[Costo_total]])</f>
        <v>-36.468000000000302</v>
      </c>
    </row>
    <row r="935" spans="1:17">
      <c r="A935" t="s">
        <v>745</v>
      </c>
      <c r="B935">
        <v>1</v>
      </c>
      <c r="C935" s="3">
        <v>46028</v>
      </c>
      <c r="D935" t="s">
        <v>384</v>
      </c>
      <c r="E935" t="s">
        <v>256</v>
      </c>
      <c r="F935" t="s">
        <v>66</v>
      </c>
      <c r="G935" t="s">
        <v>50</v>
      </c>
      <c r="H935" t="s">
        <v>73</v>
      </c>
      <c r="I935">
        <v>1</v>
      </c>
      <c r="J935" s="4">
        <v>19604.29</v>
      </c>
      <c r="K935" s="5">
        <v>0.2</v>
      </c>
      <c r="L935" s="4">
        <v>11666.57</v>
      </c>
      <c r="M935" t="s">
        <v>42</v>
      </c>
      <c r="N935" t="s">
        <v>52</v>
      </c>
      <c r="O935">
        <f>IF(TablaVentas[[#This Row],[Precio_unitario]]="","PENDIENTE",TablaVentas[[#This Row],[Unidades]]*TablaVentas[[#This Row],[Precio_unitario]]*(1-TablaVentas[[#This Row],[Descuento_pct]]))</f>
        <v>15683.432000000001</v>
      </c>
      <c r="P935">
        <f>IF(TablaVentas[[#This Row],[Costo_unitario]]="","PENDIENTE",TablaVentas[[#This Row],[Unidades]]*TablaVentas[[#This Row],[Costo_unitario]])</f>
        <v>11666.57</v>
      </c>
      <c r="Q935">
        <f>IF(OR(TablaVentas[[#This Row],[Ingreso_neto]]="PENDIENTE",TablaVentas[[#This Row],[Costo_total]]="PENDIENTE"),"PENDIENTE",TablaVentas[[#This Row],[Ingreso_neto]]-TablaVentas[[#This Row],[Costo_total]])</f>
        <v>4016.862000000001</v>
      </c>
    </row>
    <row r="936" spans="1:17">
      <c r="A936" t="s">
        <v>746</v>
      </c>
      <c r="B936">
        <v>1</v>
      </c>
      <c r="C936" s="3">
        <v>46048</v>
      </c>
      <c r="D936" t="s">
        <v>482</v>
      </c>
      <c r="E936" t="s">
        <v>226</v>
      </c>
      <c r="F936" t="s">
        <v>77</v>
      </c>
      <c r="G936" t="s">
        <v>40</v>
      </c>
      <c r="H936" t="s">
        <v>73</v>
      </c>
      <c r="I936">
        <v>1</v>
      </c>
      <c r="J936" s="4">
        <v>16506.330000000002</v>
      </c>
      <c r="K936" s="5">
        <v>0.15</v>
      </c>
      <c r="L936" s="4">
        <v>9976.68</v>
      </c>
      <c r="M936" t="s">
        <v>42</v>
      </c>
      <c r="N936" t="s">
        <v>45</v>
      </c>
      <c r="O936">
        <f>IF(TablaVentas[[#This Row],[Precio_unitario]]="","PENDIENTE",TablaVentas[[#This Row],[Unidades]]*TablaVentas[[#This Row],[Precio_unitario]]*(1-TablaVentas[[#This Row],[Descuento_pct]]))</f>
        <v>14030.380500000001</v>
      </c>
      <c r="P936">
        <f>IF(TablaVentas[[#This Row],[Costo_unitario]]="","PENDIENTE",TablaVentas[[#This Row],[Unidades]]*TablaVentas[[#This Row],[Costo_unitario]])</f>
        <v>9976.68</v>
      </c>
      <c r="Q936">
        <f>IF(OR(TablaVentas[[#This Row],[Ingreso_neto]]="PENDIENTE",TablaVentas[[#This Row],[Costo_total]]="PENDIENTE"),"PENDIENTE",TablaVentas[[#This Row],[Ingreso_neto]]-TablaVentas[[#This Row],[Costo_total]])</f>
        <v>4053.7005000000008</v>
      </c>
    </row>
    <row r="937" spans="1:17">
      <c r="A937" t="s">
        <v>747</v>
      </c>
      <c r="B937">
        <v>1</v>
      </c>
      <c r="C937" s="3">
        <v>46121</v>
      </c>
      <c r="D937" t="s">
        <v>438</v>
      </c>
      <c r="E937" t="s">
        <v>410</v>
      </c>
      <c r="F937" t="s">
        <v>66</v>
      </c>
      <c r="G937" t="s">
        <v>50</v>
      </c>
      <c r="H937" t="s">
        <v>51</v>
      </c>
      <c r="I937">
        <v>1</v>
      </c>
      <c r="J937" s="4">
        <v>8265.8700000000008</v>
      </c>
      <c r="K937" s="5">
        <v>0.05</v>
      </c>
      <c r="L937" s="4">
        <v>5874.17</v>
      </c>
      <c r="M937" t="s">
        <v>42</v>
      </c>
      <c r="N937" t="s">
        <v>52</v>
      </c>
      <c r="O937">
        <f>IF(TablaVentas[[#This Row],[Precio_unitario]]="","PENDIENTE",TablaVentas[[#This Row],[Unidades]]*TablaVentas[[#This Row],[Precio_unitario]]*(1-TablaVentas[[#This Row],[Descuento_pct]]))</f>
        <v>7852.5765000000001</v>
      </c>
      <c r="P937">
        <f>IF(TablaVentas[[#This Row],[Costo_unitario]]="","PENDIENTE",TablaVentas[[#This Row],[Unidades]]*TablaVentas[[#This Row],[Costo_unitario]])</f>
        <v>5874.17</v>
      </c>
      <c r="Q937">
        <f>IF(OR(TablaVentas[[#This Row],[Ingreso_neto]]="PENDIENTE",TablaVentas[[#This Row],[Costo_total]]="PENDIENTE"),"PENDIENTE",TablaVentas[[#This Row],[Ingreso_neto]]-TablaVentas[[#This Row],[Costo_total]])</f>
        <v>1978.4065000000001</v>
      </c>
    </row>
    <row r="938" spans="1:17">
      <c r="A938" t="s">
        <v>747</v>
      </c>
      <c r="B938">
        <v>2</v>
      </c>
      <c r="C938" s="3">
        <v>46121</v>
      </c>
      <c r="D938" t="s">
        <v>438</v>
      </c>
      <c r="E938" t="s">
        <v>38</v>
      </c>
      <c r="F938" t="s">
        <v>66</v>
      </c>
      <c r="G938" t="s">
        <v>50</v>
      </c>
      <c r="H938" t="s">
        <v>51</v>
      </c>
      <c r="I938">
        <v>4</v>
      </c>
      <c r="J938" s="4">
        <v>5517.4</v>
      </c>
      <c r="K938" s="5">
        <v>0.05</v>
      </c>
      <c r="L938" s="4">
        <v>3832.69</v>
      </c>
      <c r="M938" t="s">
        <v>116</v>
      </c>
      <c r="N938" t="s">
        <v>43</v>
      </c>
      <c r="O938">
        <f>IF(TablaVentas[[#This Row],[Precio_unitario]]="","PENDIENTE",TablaVentas[[#This Row],[Unidades]]*TablaVentas[[#This Row],[Precio_unitario]]*(1-TablaVentas[[#This Row],[Descuento_pct]]))</f>
        <v>20966.12</v>
      </c>
      <c r="P938">
        <f>IF(TablaVentas[[#This Row],[Costo_unitario]]="","PENDIENTE",TablaVentas[[#This Row],[Unidades]]*TablaVentas[[#This Row],[Costo_unitario]])</f>
        <v>15330.76</v>
      </c>
      <c r="Q938">
        <f>IF(OR(TablaVentas[[#This Row],[Ingreso_neto]]="PENDIENTE",TablaVentas[[#This Row],[Costo_total]]="PENDIENTE"),"PENDIENTE",TablaVentas[[#This Row],[Ingreso_neto]]-TablaVentas[[#This Row],[Costo_total]])</f>
        <v>5635.3599999999988</v>
      </c>
    </row>
    <row r="939" spans="1:17">
      <c r="A939" t="s">
        <v>747</v>
      </c>
      <c r="B939">
        <v>3</v>
      </c>
      <c r="C939" s="3">
        <v>46121</v>
      </c>
      <c r="D939" t="s">
        <v>438</v>
      </c>
      <c r="E939" t="s">
        <v>226</v>
      </c>
      <c r="F939" t="s">
        <v>66</v>
      </c>
      <c r="G939" t="s">
        <v>50</v>
      </c>
      <c r="H939" t="s">
        <v>51</v>
      </c>
      <c r="I939">
        <v>5</v>
      </c>
      <c r="J939" s="4">
        <v>18194.169999999998</v>
      </c>
      <c r="K939" s="5">
        <v>0</v>
      </c>
      <c r="L939" s="4">
        <v>9976.68</v>
      </c>
      <c r="M939" t="s">
        <v>42</v>
      </c>
      <c r="N939" t="s">
        <v>45</v>
      </c>
      <c r="O939">
        <f>IF(TablaVentas[[#This Row],[Precio_unitario]]="","PENDIENTE",TablaVentas[[#This Row],[Unidades]]*TablaVentas[[#This Row],[Precio_unitario]]*(1-TablaVentas[[#This Row],[Descuento_pct]]))</f>
        <v>90970.849999999991</v>
      </c>
      <c r="P939">
        <f>IF(TablaVentas[[#This Row],[Costo_unitario]]="","PENDIENTE",TablaVentas[[#This Row],[Unidades]]*TablaVentas[[#This Row],[Costo_unitario]])</f>
        <v>49883.4</v>
      </c>
      <c r="Q939">
        <f>IF(OR(TablaVentas[[#This Row],[Ingreso_neto]]="PENDIENTE",TablaVentas[[#This Row],[Costo_total]]="PENDIENTE"),"PENDIENTE",TablaVentas[[#This Row],[Ingreso_neto]]-TablaVentas[[#This Row],[Costo_total]])</f>
        <v>41087.44999999999</v>
      </c>
    </row>
    <row r="940" spans="1:17">
      <c r="A940" t="s">
        <v>747</v>
      </c>
      <c r="B940">
        <v>4</v>
      </c>
      <c r="C940" s="3">
        <v>46121</v>
      </c>
      <c r="D940" t="s">
        <v>438</v>
      </c>
      <c r="E940" t="s">
        <v>537</v>
      </c>
      <c r="F940" t="s">
        <v>66</v>
      </c>
      <c r="G940" t="s">
        <v>50</v>
      </c>
      <c r="H940" t="s">
        <v>51</v>
      </c>
      <c r="I940">
        <v>1</v>
      </c>
      <c r="J940" s="4">
        <v>5324.65</v>
      </c>
      <c r="K940" s="5">
        <v>0.15</v>
      </c>
      <c r="L940" s="4">
        <v>4556.2299999999996</v>
      </c>
      <c r="M940" t="s">
        <v>42</v>
      </c>
      <c r="N940" t="s">
        <v>43</v>
      </c>
      <c r="O940">
        <f>IF(TablaVentas[[#This Row],[Precio_unitario]]="","PENDIENTE",TablaVentas[[#This Row],[Unidades]]*TablaVentas[[#This Row],[Precio_unitario]]*(1-TablaVentas[[#This Row],[Descuento_pct]]))</f>
        <v>4525.9524999999994</v>
      </c>
      <c r="P940">
        <f>IF(TablaVentas[[#This Row],[Costo_unitario]]="","PENDIENTE",TablaVentas[[#This Row],[Unidades]]*TablaVentas[[#This Row],[Costo_unitario]])</f>
        <v>4556.2299999999996</v>
      </c>
      <c r="Q940">
        <f>IF(OR(TablaVentas[[#This Row],[Ingreso_neto]]="PENDIENTE",TablaVentas[[#This Row],[Costo_total]]="PENDIENTE"),"PENDIENTE",TablaVentas[[#This Row],[Ingreso_neto]]-TablaVentas[[#This Row],[Costo_total]])</f>
        <v>-30.277500000000146</v>
      </c>
    </row>
    <row r="941" spans="1:17">
      <c r="A941" t="s">
        <v>748</v>
      </c>
      <c r="B941">
        <v>1</v>
      </c>
      <c r="C941" s="3">
        <v>46236</v>
      </c>
      <c r="D941" t="s">
        <v>749</v>
      </c>
      <c r="E941" t="s">
        <v>123</v>
      </c>
      <c r="F941" t="s">
        <v>39</v>
      </c>
      <c r="G941" t="s">
        <v>40</v>
      </c>
      <c r="H941" t="s">
        <v>124</v>
      </c>
      <c r="I941">
        <v>8</v>
      </c>
      <c r="J941" s="4">
        <v>16392.59</v>
      </c>
      <c r="K941" s="5">
        <v>0.1</v>
      </c>
      <c r="L941" s="4">
        <v>12679.41</v>
      </c>
      <c r="M941" t="s">
        <v>42</v>
      </c>
      <c r="N941" t="s">
        <v>43</v>
      </c>
      <c r="O941">
        <f>IF(TablaVentas[[#This Row],[Precio_unitario]]="","PENDIENTE",TablaVentas[[#This Row],[Unidades]]*TablaVentas[[#This Row],[Precio_unitario]]*(1-TablaVentas[[#This Row],[Descuento_pct]]))</f>
        <v>118026.648</v>
      </c>
      <c r="P941">
        <f>IF(TablaVentas[[#This Row],[Costo_unitario]]="","PENDIENTE",TablaVentas[[#This Row],[Unidades]]*TablaVentas[[#This Row],[Costo_unitario]])</f>
        <v>101435.28</v>
      </c>
      <c r="Q941">
        <f>IF(OR(TablaVentas[[#This Row],[Ingreso_neto]]="PENDIENTE",TablaVentas[[#This Row],[Costo_total]]="PENDIENTE"),"PENDIENTE",TablaVentas[[#This Row],[Ingreso_neto]]-TablaVentas[[#This Row],[Costo_total]])</f>
        <v>16591.368000000002</v>
      </c>
    </row>
    <row r="942" spans="1:17">
      <c r="A942" t="s">
        <v>748</v>
      </c>
      <c r="B942">
        <v>2</v>
      </c>
      <c r="C942" s="3">
        <v>46236</v>
      </c>
      <c r="D942" t="s">
        <v>749</v>
      </c>
      <c r="E942" t="s">
        <v>110</v>
      </c>
      <c r="F942" t="s">
        <v>39</v>
      </c>
      <c r="G942" t="s">
        <v>40</v>
      </c>
      <c r="H942" t="s">
        <v>124</v>
      </c>
      <c r="I942">
        <v>2</v>
      </c>
      <c r="J942" s="4">
        <v>5595.02</v>
      </c>
      <c r="K942" s="5">
        <v>0</v>
      </c>
      <c r="L942" s="4">
        <v>4205.6899999999996</v>
      </c>
      <c r="M942" t="s">
        <v>116</v>
      </c>
      <c r="N942" t="s">
        <v>60</v>
      </c>
      <c r="O942">
        <f>IF(TablaVentas[[#This Row],[Precio_unitario]]="","PENDIENTE",TablaVentas[[#This Row],[Unidades]]*TablaVentas[[#This Row],[Precio_unitario]]*(1-TablaVentas[[#This Row],[Descuento_pct]]))</f>
        <v>11190.04</v>
      </c>
      <c r="P942">
        <f>IF(TablaVentas[[#This Row],[Costo_unitario]]="","PENDIENTE",TablaVentas[[#This Row],[Unidades]]*TablaVentas[[#This Row],[Costo_unitario]])</f>
        <v>8411.3799999999992</v>
      </c>
      <c r="Q942">
        <f>IF(OR(TablaVentas[[#This Row],[Ingreso_neto]]="PENDIENTE",TablaVentas[[#This Row],[Costo_total]]="PENDIENTE"),"PENDIENTE",TablaVentas[[#This Row],[Ingreso_neto]]-TablaVentas[[#This Row],[Costo_total]])</f>
        <v>2778.6600000000017</v>
      </c>
    </row>
    <row r="943" spans="1:17">
      <c r="A943" t="s">
        <v>748</v>
      </c>
      <c r="B943">
        <v>3</v>
      </c>
      <c r="C943" s="3">
        <v>46236</v>
      </c>
      <c r="D943" t="s">
        <v>749</v>
      </c>
      <c r="E943" t="s">
        <v>44</v>
      </c>
      <c r="F943" t="s">
        <v>39</v>
      </c>
      <c r="G943" t="s">
        <v>40</v>
      </c>
      <c r="H943" t="s">
        <v>124</v>
      </c>
      <c r="I943">
        <v>2</v>
      </c>
      <c r="J943" s="4">
        <v>14847.53</v>
      </c>
      <c r="K943" s="5">
        <v>0.05</v>
      </c>
      <c r="L943" s="4">
        <v>8980.68</v>
      </c>
      <c r="M943" t="s">
        <v>42</v>
      </c>
      <c r="N943" t="s">
        <v>52</v>
      </c>
      <c r="O943">
        <f>IF(TablaVentas[[#This Row],[Precio_unitario]]="","PENDIENTE",TablaVentas[[#This Row],[Unidades]]*TablaVentas[[#This Row],[Precio_unitario]]*(1-TablaVentas[[#This Row],[Descuento_pct]]))</f>
        <v>28210.307000000001</v>
      </c>
      <c r="P943">
        <f>IF(TablaVentas[[#This Row],[Costo_unitario]]="","PENDIENTE",TablaVentas[[#This Row],[Unidades]]*TablaVentas[[#This Row],[Costo_unitario]])</f>
        <v>17961.36</v>
      </c>
      <c r="Q943">
        <f>IF(OR(TablaVentas[[#This Row],[Ingreso_neto]]="PENDIENTE",TablaVentas[[#This Row],[Costo_total]]="PENDIENTE"),"PENDIENTE",TablaVentas[[#This Row],[Ingreso_neto]]-TablaVentas[[#This Row],[Costo_total]])</f>
        <v>10248.947</v>
      </c>
    </row>
    <row r="944" spans="1:17">
      <c r="A944" t="s">
        <v>750</v>
      </c>
      <c r="B944">
        <v>1</v>
      </c>
      <c r="C944" s="3">
        <v>46062</v>
      </c>
      <c r="D944" t="s">
        <v>350</v>
      </c>
      <c r="E944" t="s">
        <v>133</v>
      </c>
      <c r="F944" t="s">
        <v>77</v>
      </c>
      <c r="G944" t="s">
        <v>57</v>
      </c>
      <c r="H944" t="s">
        <v>51</v>
      </c>
      <c r="I944">
        <v>2</v>
      </c>
      <c r="J944" s="4">
        <v>7805.91</v>
      </c>
      <c r="K944" s="5">
        <v>0.2</v>
      </c>
      <c r="L944" s="4">
        <v>4061.34</v>
      </c>
      <c r="M944" t="s">
        <v>42</v>
      </c>
      <c r="N944" t="s">
        <v>45</v>
      </c>
      <c r="O944">
        <f>IF(TablaVentas[[#This Row],[Precio_unitario]]="","PENDIENTE",TablaVentas[[#This Row],[Unidades]]*TablaVentas[[#This Row],[Precio_unitario]]*(1-TablaVentas[[#This Row],[Descuento_pct]]))</f>
        <v>12489.456</v>
      </c>
      <c r="P944">
        <f>IF(TablaVentas[[#This Row],[Costo_unitario]]="","PENDIENTE",TablaVentas[[#This Row],[Unidades]]*TablaVentas[[#This Row],[Costo_unitario]])</f>
        <v>8122.68</v>
      </c>
      <c r="Q944">
        <f>IF(OR(TablaVentas[[#This Row],[Ingreso_neto]]="PENDIENTE",TablaVentas[[#This Row],[Costo_total]]="PENDIENTE"),"PENDIENTE",TablaVentas[[#This Row],[Ingreso_neto]]-TablaVentas[[#This Row],[Costo_total]])</f>
        <v>4366.7759999999998</v>
      </c>
    </row>
    <row r="945" spans="1:17">
      <c r="A945" t="s">
        <v>750</v>
      </c>
      <c r="B945">
        <v>2</v>
      </c>
      <c r="C945" s="3">
        <v>46062</v>
      </c>
      <c r="D945" t="s">
        <v>350</v>
      </c>
      <c r="E945" t="s">
        <v>85</v>
      </c>
      <c r="F945" t="s">
        <v>77</v>
      </c>
      <c r="G945" t="s">
        <v>57</v>
      </c>
      <c r="H945" t="s">
        <v>51</v>
      </c>
      <c r="I945">
        <v>4</v>
      </c>
      <c r="J945" s="4">
        <v>485.75</v>
      </c>
      <c r="K945" s="5">
        <v>0</v>
      </c>
      <c r="L945" s="4">
        <v>307.75</v>
      </c>
      <c r="M945" t="s">
        <v>42</v>
      </c>
      <c r="N945" t="s">
        <v>45</v>
      </c>
      <c r="O945">
        <f>IF(TablaVentas[[#This Row],[Precio_unitario]]="","PENDIENTE",TablaVentas[[#This Row],[Unidades]]*TablaVentas[[#This Row],[Precio_unitario]]*(1-TablaVentas[[#This Row],[Descuento_pct]]))</f>
        <v>1943</v>
      </c>
      <c r="P945">
        <f>IF(TablaVentas[[#This Row],[Costo_unitario]]="","PENDIENTE",TablaVentas[[#This Row],[Unidades]]*TablaVentas[[#This Row],[Costo_unitario]])</f>
        <v>1231</v>
      </c>
      <c r="Q945">
        <f>IF(OR(TablaVentas[[#This Row],[Ingreso_neto]]="PENDIENTE",TablaVentas[[#This Row],[Costo_total]]="PENDIENTE"),"PENDIENTE",TablaVentas[[#This Row],[Ingreso_neto]]-TablaVentas[[#This Row],[Costo_total]])</f>
        <v>712</v>
      </c>
    </row>
    <row r="946" spans="1:17">
      <c r="A946" t="s">
        <v>750</v>
      </c>
      <c r="B946">
        <v>3</v>
      </c>
      <c r="C946" s="3">
        <v>46062</v>
      </c>
      <c r="D946" t="s">
        <v>350</v>
      </c>
      <c r="E946" t="s">
        <v>180</v>
      </c>
      <c r="F946" t="s">
        <v>77</v>
      </c>
      <c r="G946" t="s">
        <v>57</v>
      </c>
      <c r="H946" t="s">
        <v>51</v>
      </c>
      <c r="I946">
        <v>4</v>
      </c>
      <c r="J946" s="4">
        <v>5870.49</v>
      </c>
      <c r="K946" s="5">
        <v>0.05</v>
      </c>
      <c r="L946" s="4">
        <v>3824.92</v>
      </c>
      <c r="M946" t="s">
        <v>42</v>
      </c>
      <c r="N946" t="s">
        <v>60</v>
      </c>
      <c r="O946">
        <f>IF(TablaVentas[[#This Row],[Precio_unitario]]="","PENDIENTE",TablaVentas[[#This Row],[Unidades]]*TablaVentas[[#This Row],[Precio_unitario]]*(1-TablaVentas[[#This Row],[Descuento_pct]]))</f>
        <v>22307.861999999997</v>
      </c>
      <c r="P946">
        <f>IF(TablaVentas[[#This Row],[Costo_unitario]]="","PENDIENTE",TablaVentas[[#This Row],[Unidades]]*TablaVentas[[#This Row],[Costo_unitario]])</f>
        <v>15299.68</v>
      </c>
      <c r="Q946">
        <f>IF(OR(TablaVentas[[#This Row],[Ingreso_neto]]="PENDIENTE",TablaVentas[[#This Row],[Costo_total]]="PENDIENTE"),"PENDIENTE",TablaVentas[[#This Row],[Ingreso_neto]]-TablaVentas[[#This Row],[Costo_total]])</f>
        <v>7008.1819999999971</v>
      </c>
    </row>
    <row r="947" spans="1:17">
      <c r="A947" t="s">
        <v>751</v>
      </c>
      <c r="B947">
        <v>1</v>
      </c>
      <c r="C947" s="3">
        <v>46277</v>
      </c>
      <c r="D947" t="s">
        <v>752</v>
      </c>
      <c r="E947" t="s">
        <v>326</v>
      </c>
      <c r="F947" t="s">
        <v>39</v>
      </c>
      <c r="G947" t="s">
        <v>40</v>
      </c>
      <c r="H947" t="s">
        <v>41</v>
      </c>
      <c r="I947">
        <v>5</v>
      </c>
      <c r="J947" s="4">
        <v>7657.11</v>
      </c>
      <c r="K947" s="5">
        <v>0</v>
      </c>
      <c r="L947" s="4">
        <v>4044.16</v>
      </c>
      <c r="M947" t="s">
        <v>42</v>
      </c>
      <c r="N947" t="s">
        <v>52</v>
      </c>
      <c r="O947">
        <f>IF(TablaVentas[[#This Row],[Precio_unitario]]="","PENDIENTE",TablaVentas[[#This Row],[Unidades]]*TablaVentas[[#This Row],[Precio_unitario]]*(1-TablaVentas[[#This Row],[Descuento_pct]]))</f>
        <v>38285.549999999996</v>
      </c>
      <c r="P947">
        <f>IF(TablaVentas[[#This Row],[Costo_unitario]]="","PENDIENTE",TablaVentas[[#This Row],[Unidades]]*TablaVentas[[#This Row],[Costo_unitario]])</f>
        <v>20220.8</v>
      </c>
      <c r="Q947">
        <f>IF(OR(TablaVentas[[#This Row],[Ingreso_neto]]="PENDIENTE",TablaVentas[[#This Row],[Costo_total]]="PENDIENTE"),"PENDIENTE",TablaVentas[[#This Row],[Ingreso_neto]]-TablaVentas[[#This Row],[Costo_total]])</f>
        <v>18064.749999999996</v>
      </c>
    </row>
    <row r="948" spans="1:17">
      <c r="A948" t="s">
        <v>751</v>
      </c>
      <c r="B948">
        <v>2</v>
      </c>
      <c r="C948" s="3">
        <v>46277</v>
      </c>
      <c r="D948" t="s">
        <v>752</v>
      </c>
      <c r="E948" t="s">
        <v>46</v>
      </c>
      <c r="F948" t="s">
        <v>39</v>
      </c>
      <c r="G948" t="s">
        <v>40</v>
      </c>
      <c r="H948" t="s">
        <v>41</v>
      </c>
      <c r="I948">
        <v>4</v>
      </c>
      <c r="J948" s="4">
        <v>4029.51</v>
      </c>
      <c r="K948" s="5">
        <v>0</v>
      </c>
      <c r="L948" s="4">
        <v>2957.6</v>
      </c>
      <c r="M948" t="s">
        <v>42</v>
      </c>
      <c r="N948" t="s">
        <v>60</v>
      </c>
      <c r="O948">
        <f>IF(TablaVentas[[#This Row],[Precio_unitario]]="","PENDIENTE",TablaVentas[[#This Row],[Unidades]]*TablaVentas[[#This Row],[Precio_unitario]]*(1-TablaVentas[[#This Row],[Descuento_pct]]))</f>
        <v>16118.04</v>
      </c>
      <c r="P948">
        <f>IF(TablaVentas[[#This Row],[Costo_unitario]]="","PENDIENTE",TablaVentas[[#This Row],[Unidades]]*TablaVentas[[#This Row],[Costo_unitario]])</f>
        <v>11830.4</v>
      </c>
      <c r="Q948">
        <f>IF(OR(TablaVentas[[#This Row],[Ingreso_neto]]="PENDIENTE",TablaVentas[[#This Row],[Costo_total]]="PENDIENTE"),"PENDIENTE",TablaVentas[[#This Row],[Ingreso_neto]]-TablaVentas[[#This Row],[Costo_total]])</f>
        <v>4287.6400000000012</v>
      </c>
    </row>
    <row r="949" spans="1:17">
      <c r="A949" t="s">
        <v>753</v>
      </c>
      <c r="B949">
        <v>1</v>
      </c>
      <c r="C949" s="3">
        <v>46100</v>
      </c>
      <c r="D949" t="s">
        <v>423</v>
      </c>
      <c r="E949" t="s">
        <v>253</v>
      </c>
      <c r="F949" t="s">
        <v>39</v>
      </c>
      <c r="G949" t="s">
        <v>40</v>
      </c>
      <c r="H949" t="s">
        <v>73</v>
      </c>
      <c r="I949">
        <v>1</v>
      </c>
      <c r="J949" s="4">
        <v>3208</v>
      </c>
      <c r="K949" s="5">
        <v>0.1</v>
      </c>
      <c r="L949" s="4">
        <v>2486.1799999999998</v>
      </c>
      <c r="M949" t="s">
        <v>42</v>
      </c>
      <c r="N949" t="s">
        <v>52</v>
      </c>
      <c r="O949">
        <f>IF(TablaVentas[[#This Row],[Precio_unitario]]="","PENDIENTE",TablaVentas[[#This Row],[Unidades]]*TablaVentas[[#This Row],[Precio_unitario]]*(1-TablaVentas[[#This Row],[Descuento_pct]]))</f>
        <v>2887.2000000000003</v>
      </c>
      <c r="P949">
        <f>IF(TablaVentas[[#This Row],[Costo_unitario]]="","PENDIENTE",TablaVentas[[#This Row],[Unidades]]*TablaVentas[[#This Row],[Costo_unitario]])</f>
        <v>2486.1799999999998</v>
      </c>
      <c r="Q949">
        <f>IF(OR(TablaVentas[[#This Row],[Ingreso_neto]]="PENDIENTE",TablaVentas[[#This Row],[Costo_total]]="PENDIENTE"),"PENDIENTE",TablaVentas[[#This Row],[Ingreso_neto]]-TablaVentas[[#This Row],[Costo_total]])</f>
        <v>401.02000000000044</v>
      </c>
    </row>
    <row r="950" spans="1:17">
      <c r="A950" t="s">
        <v>753</v>
      </c>
      <c r="B950">
        <v>2</v>
      </c>
      <c r="C950" s="3">
        <v>46100</v>
      </c>
      <c r="D950" t="s">
        <v>423</v>
      </c>
      <c r="E950" t="s">
        <v>193</v>
      </c>
      <c r="F950" t="s">
        <v>39</v>
      </c>
      <c r="G950" t="s">
        <v>40</v>
      </c>
      <c r="H950" t="s">
        <v>73</v>
      </c>
      <c r="I950">
        <v>1</v>
      </c>
      <c r="J950" s="4">
        <v>10907.02</v>
      </c>
      <c r="K950" s="5">
        <v>0.2</v>
      </c>
      <c r="L950" s="4">
        <v>5811.72</v>
      </c>
      <c r="M950" t="s">
        <v>42</v>
      </c>
      <c r="N950" t="s">
        <v>43</v>
      </c>
      <c r="O950">
        <f>IF(TablaVentas[[#This Row],[Precio_unitario]]="","PENDIENTE",TablaVentas[[#This Row],[Unidades]]*TablaVentas[[#This Row],[Precio_unitario]]*(1-TablaVentas[[#This Row],[Descuento_pct]]))</f>
        <v>8725.616</v>
      </c>
      <c r="P950">
        <f>IF(TablaVentas[[#This Row],[Costo_unitario]]="","PENDIENTE",TablaVentas[[#This Row],[Unidades]]*TablaVentas[[#This Row],[Costo_unitario]])</f>
        <v>5811.72</v>
      </c>
      <c r="Q950">
        <f>IF(OR(TablaVentas[[#This Row],[Ingreso_neto]]="PENDIENTE",TablaVentas[[#This Row],[Costo_total]]="PENDIENTE"),"PENDIENTE",TablaVentas[[#This Row],[Ingreso_neto]]-TablaVentas[[#This Row],[Costo_total]])</f>
        <v>2913.8959999999997</v>
      </c>
    </row>
    <row r="951" spans="1:17">
      <c r="A951" t="s">
        <v>753</v>
      </c>
      <c r="B951">
        <v>3</v>
      </c>
      <c r="C951" s="3">
        <v>46100</v>
      </c>
      <c r="D951" t="s">
        <v>423</v>
      </c>
      <c r="E951" t="s">
        <v>277</v>
      </c>
      <c r="F951" t="s">
        <v>39</v>
      </c>
      <c r="G951" t="s">
        <v>40</v>
      </c>
      <c r="H951" t="s">
        <v>73</v>
      </c>
      <c r="I951">
        <v>5</v>
      </c>
      <c r="J951" s="4">
        <v>7037.93</v>
      </c>
      <c r="K951" s="5">
        <v>0</v>
      </c>
      <c r="L951" s="4">
        <v>4858.08</v>
      </c>
      <c r="M951" t="s">
        <v>42</v>
      </c>
      <c r="N951" t="s">
        <v>45</v>
      </c>
      <c r="O951">
        <f>IF(TablaVentas[[#This Row],[Precio_unitario]]="","PENDIENTE",TablaVentas[[#This Row],[Unidades]]*TablaVentas[[#This Row],[Precio_unitario]]*(1-TablaVentas[[#This Row],[Descuento_pct]]))</f>
        <v>35189.65</v>
      </c>
      <c r="P951">
        <f>IF(TablaVentas[[#This Row],[Costo_unitario]]="","PENDIENTE",TablaVentas[[#This Row],[Unidades]]*TablaVentas[[#This Row],[Costo_unitario]])</f>
        <v>24290.400000000001</v>
      </c>
      <c r="Q951">
        <f>IF(OR(TablaVentas[[#This Row],[Ingreso_neto]]="PENDIENTE",TablaVentas[[#This Row],[Costo_total]]="PENDIENTE"),"PENDIENTE",TablaVentas[[#This Row],[Ingreso_neto]]-TablaVentas[[#This Row],[Costo_total]])</f>
        <v>10899.25</v>
      </c>
    </row>
    <row r="952" spans="1:17">
      <c r="A952" t="s">
        <v>754</v>
      </c>
      <c r="B952">
        <v>1</v>
      </c>
      <c r="C952" s="3">
        <v>46086</v>
      </c>
      <c r="D952" t="s">
        <v>615</v>
      </c>
      <c r="E952" t="s">
        <v>78</v>
      </c>
      <c r="F952" t="s">
        <v>77</v>
      </c>
      <c r="G952" t="s">
        <v>50</v>
      </c>
      <c r="H952" t="s">
        <v>102</v>
      </c>
      <c r="I952">
        <v>2</v>
      </c>
      <c r="J952" s="4">
        <v>9322.34</v>
      </c>
      <c r="K952" s="5">
        <v>0.1</v>
      </c>
      <c r="L952" s="4">
        <v>5033.47</v>
      </c>
      <c r="M952" t="s">
        <v>42</v>
      </c>
      <c r="N952" t="s">
        <v>45</v>
      </c>
      <c r="O952">
        <f>IF(TablaVentas[[#This Row],[Precio_unitario]]="","PENDIENTE",TablaVentas[[#This Row],[Unidades]]*TablaVentas[[#This Row],[Precio_unitario]]*(1-TablaVentas[[#This Row],[Descuento_pct]]))</f>
        <v>16780.212</v>
      </c>
      <c r="P952">
        <f>IF(TablaVentas[[#This Row],[Costo_unitario]]="","PENDIENTE",TablaVentas[[#This Row],[Unidades]]*TablaVentas[[#This Row],[Costo_unitario]])</f>
        <v>10066.94</v>
      </c>
      <c r="Q952">
        <f>IF(OR(TablaVentas[[#This Row],[Ingreso_neto]]="PENDIENTE",TablaVentas[[#This Row],[Costo_total]]="PENDIENTE"),"PENDIENTE",TablaVentas[[#This Row],[Ingreso_neto]]-TablaVentas[[#This Row],[Costo_total]])</f>
        <v>6713.271999999999</v>
      </c>
    </row>
    <row r="953" spans="1:17">
      <c r="A953" t="s">
        <v>755</v>
      </c>
      <c r="B953">
        <v>1</v>
      </c>
      <c r="C953" s="3">
        <v>46103</v>
      </c>
      <c r="D953" t="s">
        <v>402</v>
      </c>
      <c r="E953" t="s">
        <v>90</v>
      </c>
      <c r="F953" t="s">
        <v>39</v>
      </c>
      <c r="G953" t="s">
        <v>50</v>
      </c>
      <c r="H953" t="s">
        <v>73</v>
      </c>
      <c r="I953">
        <v>4</v>
      </c>
      <c r="J953" s="4">
        <v>10171.91</v>
      </c>
      <c r="K953" s="5">
        <v>0</v>
      </c>
      <c r="L953" s="4">
        <v>8174.87</v>
      </c>
      <c r="M953" t="s">
        <v>42</v>
      </c>
      <c r="N953" t="s">
        <v>43</v>
      </c>
      <c r="O953">
        <f>IF(TablaVentas[[#This Row],[Precio_unitario]]="","PENDIENTE",TablaVentas[[#This Row],[Unidades]]*TablaVentas[[#This Row],[Precio_unitario]]*(1-TablaVentas[[#This Row],[Descuento_pct]]))</f>
        <v>40687.64</v>
      </c>
      <c r="P953">
        <f>IF(TablaVentas[[#This Row],[Costo_unitario]]="","PENDIENTE",TablaVentas[[#This Row],[Unidades]]*TablaVentas[[#This Row],[Costo_unitario]])</f>
        <v>32699.48</v>
      </c>
      <c r="Q953">
        <f>IF(OR(TablaVentas[[#This Row],[Ingreso_neto]]="PENDIENTE",TablaVentas[[#This Row],[Costo_total]]="PENDIENTE"),"PENDIENTE",TablaVentas[[#This Row],[Ingreso_neto]]-TablaVentas[[#This Row],[Costo_total]])</f>
        <v>7988.16</v>
      </c>
    </row>
    <row r="954" spans="1:17">
      <c r="A954" t="s">
        <v>756</v>
      </c>
      <c r="B954">
        <v>1</v>
      </c>
      <c r="C954" s="3">
        <v>46208</v>
      </c>
      <c r="D954" t="s">
        <v>423</v>
      </c>
      <c r="E954" t="s">
        <v>293</v>
      </c>
      <c r="F954" t="s">
        <v>56</v>
      </c>
      <c r="G954" t="s">
        <v>50</v>
      </c>
      <c r="H954" t="s">
        <v>51</v>
      </c>
      <c r="I954">
        <v>3</v>
      </c>
      <c r="J954" s="4">
        <v>1227.58</v>
      </c>
      <c r="K954" s="5">
        <v>0.15</v>
      </c>
      <c r="L954" s="4">
        <v>936.52</v>
      </c>
      <c r="M954" t="s">
        <v>42</v>
      </c>
      <c r="N954" t="s">
        <v>52</v>
      </c>
      <c r="O954">
        <f>IF(TablaVentas[[#This Row],[Precio_unitario]]="","PENDIENTE",TablaVentas[[#This Row],[Unidades]]*TablaVentas[[#This Row],[Precio_unitario]]*(1-TablaVentas[[#This Row],[Descuento_pct]]))</f>
        <v>3130.3289999999997</v>
      </c>
      <c r="P954">
        <f>IF(TablaVentas[[#This Row],[Costo_unitario]]="","PENDIENTE",TablaVentas[[#This Row],[Unidades]]*TablaVentas[[#This Row],[Costo_unitario]])</f>
        <v>2809.56</v>
      </c>
      <c r="Q954">
        <f>IF(OR(TablaVentas[[#This Row],[Ingreso_neto]]="PENDIENTE",TablaVentas[[#This Row],[Costo_total]]="PENDIENTE"),"PENDIENTE",TablaVentas[[#This Row],[Ingreso_neto]]-TablaVentas[[#This Row],[Costo_total]])</f>
        <v>320.76899999999978</v>
      </c>
    </row>
    <row r="955" spans="1:17">
      <c r="A955" t="s">
        <v>756</v>
      </c>
      <c r="B955">
        <v>2</v>
      </c>
      <c r="C955" s="3">
        <v>46208</v>
      </c>
      <c r="D955" t="s">
        <v>423</v>
      </c>
      <c r="E955" t="s">
        <v>172</v>
      </c>
      <c r="F955" t="s">
        <v>56</v>
      </c>
      <c r="G955" t="s">
        <v>50</v>
      </c>
      <c r="H955" t="s">
        <v>51</v>
      </c>
      <c r="I955">
        <v>1</v>
      </c>
      <c r="J955" s="4">
        <v>17016.060000000001</v>
      </c>
      <c r="K955" s="5">
        <v>0</v>
      </c>
      <c r="L955" s="4">
        <v>10830.17</v>
      </c>
      <c r="M955" t="s">
        <v>42</v>
      </c>
      <c r="N955" t="s">
        <v>45</v>
      </c>
      <c r="O955">
        <f>IF(TablaVentas[[#This Row],[Precio_unitario]]="","PENDIENTE",TablaVentas[[#This Row],[Unidades]]*TablaVentas[[#This Row],[Precio_unitario]]*(1-TablaVentas[[#This Row],[Descuento_pct]]))</f>
        <v>17016.060000000001</v>
      </c>
      <c r="P955">
        <f>IF(TablaVentas[[#This Row],[Costo_unitario]]="","PENDIENTE",TablaVentas[[#This Row],[Unidades]]*TablaVentas[[#This Row],[Costo_unitario]])</f>
        <v>10830.17</v>
      </c>
      <c r="Q955">
        <f>IF(OR(TablaVentas[[#This Row],[Ingreso_neto]]="PENDIENTE",TablaVentas[[#This Row],[Costo_total]]="PENDIENTE"),"PENDIENTE",TablaVentas[[#This Row],[Ingreso_neto]]-TablaVentas[[#This Row],[Costo_total]])</f>
        <v>6185.8900000000012</v>
      </c>
    </row>
    <row r="956" spans="1:17">
      <c r="A956" t="s">
        <v>757</v>
      </c>
      <c r="B956">
        <v>1</v>
      </c>
      <c r="C956" s="3">
        <v>46242</v>
      </c>
      <c r="D956" t="s">
        <v>252</v>
      </c>
      <c r="E956" t="s">
        <v>367</v>
      </c>
      <c r="F956" t="s">
        <v>77</v>
      </c>
      <c r="G956" t="s">
        <v>50</v>
      </c>
      <c r="H956" t="s">
        <v>102</v>
      </c>
      <c r="I956">
        <v>1</v>
      </c>
      <c r="J956" s="4">
        <v>10304.43</v>
      </c>
      <c r="K956" s="5">
        <v>0</v>
      </c>
      <c r="L956" s="4">
        <v>5079.43</v>
      </c>
      <c r="M956" t="s">
        <v>42</v>
      </c>
      <c r="N956" t="s">
        <v>45</v>
      </c>
      <c r="O956">
        <f>IF(TablaVentas[[#This Row],[Precio_unitario]]="","PENDIENTE",TablaVentas[[#This Row],[Unidades]]*TablaVentas[[#This Row],[Precio_unitario]]*(1-TablaVentas[[#This Row],[Descuento_pct]]))</f>
        <v>10304.43</v>
      </c>
      <c r="P956">
        <f>IF(TablaVentas[[#This Row],[Costo_unitario]]="","PENDIENTE",TablaVentas[[#This Row],[Unidades]]*TablaVentas[[#This Row],[Costo_unitario]])</f>
        <v>5079.43</v>
      </c>
      <c r="Q956">
        <f>IF(OR(TablaVentas[[#This Row],[Ingreso_neto]]="PENDIENTE",TablaVentas[[#This Row],[Costo_total]]="PENDIENTE"),"PENDIENTE",TablaVentas[[#This Row],[Ingreso_neto]]-TablaVentas[[#This Row],[Costo_total]])</f>
        <v>5225</v>
      </c>
    </row>
    <row r="957" spans="1:17">
      <c r="A957" t="s">
        <v>758</v>
      </c>
      <c r="B957">
        <v>1</v>
      </c>
      <c r="C957" s="3">
        <v>46036</v>
      </c>
      <c r="D957" t="s">
        <v>158</v>
      </c>
      <c r="E957" t="s">
        <v>49</v>
      </c>
      <c r="F957" t="s">
        <v>66</v>
      </c>
      <c r="G957" t="s">
        <v>40</v>
      </c>
      <c r="H957" t="s">
        <v>41</v>
      </c>
      <c r="I957">
        <v>3</v>
      </c>
      <c r="J957" s="4">
        <v>3967.26</v>
      </c>
      <c r="K957" s="5">
        <v>0</v>
      </c>
      <c r="L957" s="4">
        <v>2950.52</v>
      </c>
      <c r="M957" t="s">
        <v>62</v>
      </c>
      <c r="N957" t="s">
        <v>52</v>
      </c>
      <c r="O957">
        <f>IF(TablaVentas[[#This Row],[Precio_unitario]]="","PENDIENTE",TablaVentas[[#This Row],[Unidades]]*TablaVentas[[#This Row],[Precio_unitario]]*(1-TablaVentas[[#This Row],[Descuento_pct]]))</f>
        <v>11901.78</v>
      </c>
      <c r="P957">
        <f>IF(TablaVentas[[#This Row],[Costo_unitario]]="","PENDIENTE",TablaVentas[[#This Row],[Unidades]]*TablaVentas[[#This Row],[Costo_unitario]])</f>
        <v>8851.56</v>
      </c>
      <c r="Q957">
        <f>IF(OR(TablaVentas[[#This Row],[Ingreso_neto]]="PENDIENTE",TablaVentas[[#This Row],[Costo_total]]="PENDIENTE"),"PENDIENTE",TablaVentas[[#This Row],[Ingreso_neto]]-TablaVentas[[#This Row],[Costo_total]])</f>
        <v>3050.2200000000012</v>
      </c>
    </row>
    <row r="958" spans="1:17">
      <c r="A958" t="s">
        <v>759</v>
      </c>
      <c r="B958">
        <v>1</v>
      </c>
      <c r="C958" s="3">
        <v>46261</v>
      </c>
      <c r="D958" t="s">
        <v>100</v>
      </c>
      <c r="E958" t="s">
        <v>206</v>
      </c>
      <c r="F958" t="s">
        <v>66</v>
      </c>
      <c r="G958" t="s">
        <v>50</v>
      </c>
      <c r="H958" t="s">
        <v>58</v>
      </c>
      <c r="I958">
        <v>3</v>
      </c>
      <c r="J958" s="4">
        <v>5105.42</v>
      </c>
      <c r="K958" s="5">
        <v>0</v>
      </c>
      <c r="L958" s="4">
        <v>4008.77</v>
      </c>
      <c r="M958" t="s">
        <v>42</v>
      </c>
      <c r="N958" t="s">
        <v>43</v>
      </c>
      <c r="O958">
        <f>IF(TablaVentas[[#This Row],[Precio_unitario]]="","PENDIENTE",TablaVentas[[#This Row],[Unidades]]*TablaVentas[[#This Row],[Precio_unitario]]*(1-TablaVentas[[#This Row],[Descuento_pct]]))</f>
        <v>15316.26</v>
      </c>
      <c r="P958">
        <f>IF(TablaVentas[[#This Row],[Costo_unitario]]="","PENDIENTE",TablaVentas[[#This Row],[Unidades]]*TablaVentas[[#This Row],[Costo_unitario]])</f>
        <v>12026.31</v>
      </c>
      <c r="Q958">
        <f>IF(OR(TablaVentas[[#This Row],[Ingreso_neto]]="PENDIENTE",TablaVentas[[#This Row],[Costo_total]]="PENDIENTE"),"PENDIENTE",TablaVentas[[#This Row],[Ingreso_neto]]-TablaVentas[[#This Row],[Costo_total]])</f>
        <v>3289.9500000000007</v>
      </c>
    </row>
    <row r="959" spans="1:17">
      <c r="A959" t="s">
        <v>760</v>
      </c>
      <c r="B959">
        <v>1</v>
      </c>
      <c r="C959" s="3">
        <v>46256</v>
      </c>
      <c r="D959" t="s">
        <v>761</v>
      </c>
      <c r="E959" t="s">
        <v>68</v>
      </c>
      <c r="F959" t="s">
        <v>39</v>
      </c>
      <c r="G959" t="s">
        <v>50</v>
      </c>
      <c r="H959" t="s">
        <v>67</v>
      </c>
      <c r="I959">
        <v>2</v>
      </c>
      <c r="J959" s="4">
        <v>14618.2</v>
      </c>
      <c r="K959" s="5">
        <v>0.05</v>
      </c>
      <c r="L959" s="4">
        <v>9243.35</v>
      </c>
      <c r="M959" t="s">
        <v>42</v>
      </c>
      <c r="N959" t="s">
        <v>52</v>
      </c>
      <c r="O959">
        <f>IF(TablaVentas[[#This Row],[Precio_unitario]]="","PENDIENTE",TablaVentas[[#This Row],[Unidades]]*TablaVentas[[#This Row],[Precio_unitario]]*(1-TablaVentas[[#This Row],[Descuento_pct]]))</f>
        <v>27774.58</v>
      </c>
      <c r="P959">
        <f>IF(TablaVentas[[#This Row],[Costo_unitario]]="","PENDIENTE",TablaVentas[[#This Row],[Unidades]]*TablaVentas[[#This Row],[Costo_unitario]])</f>
        <v>18486.7</v>
      </c>
      <c r="Q959">
        <f>IF(OR(TablaVentas[[#This Row],[Ingreso_neto]]="PENDIENTE",TablaVentas[[#This Row],[Costo_total]]="PENDIENTE"),"PENDIENTE",TablaVentas[[#This Row],[Ingreso_neto]]-TablaVentas[[#This Row],[Costo_total]])</f>
        <v>9287.880000000001</v>
      </c>
    </row>
    <row r="960" spans="1:17">
      <c r="A960" t="s">
        <v>762</v>
      </c>
      <c r="B960">
        <v>1</v>
      </c>
      <c r="C960" s="3">
        <v>46154</v>
      </c>
      <c r="D960" t="s">
        <v>264</v>
      </c>
      <c r="E960" t="s">
        <v>151</v>
      </c>
      <c r="F960" t="s">
        <v>39</v>
      </c>
      <c r="G960" t="s">
        <v>40</v>
      </c>
      <c r="H960" t="s">
        <v>41</v>
      </c>
      <c r="I960">
        <v>2</v>
      </c>
      <c r="J960" s="4">
        <v>15897.24</v>
      </c>
      <c r="K960" s="5">
        <v>0</v>
      </c>
      <c r="L960" s="4">
        <v>8963.23</v>
      </c>
      <c r="M960" t="s">
        <v>42</v>
      </c>
      <c r="N960" t="s">
        <v>43</v>
      </c>
      <c r="O960">
        <f>IF(TablaVentas[[#This Row],[Precio_unitario]]="","PENDIENTE",TablaVentas[[#This Row],[Unidades]]*TablaVentas[[#This Row],[Precio_unitario]]*(1-TablaVentas[[#This Row],[Descuento_pct]]))</f>
        <v>31794.48</v>
      </c>
      <c r="P960">
        <f>IF(TablaVentas[[#This Row],[Costo_unitario]]="","PENDIENTE",TablaVentas[[#This Row],[Unidades]]*TablaVentas[[#This Row],[Costo_unitario]])</f>
        <v>17926.46</v>
      </c>
      <c r="Q960">
        <f>IF(OR(TablaVentas[[#This Row],[Ingreso_neto]]="PENDIENTE",TablaVentas[[#This Row],[Costo_total]]="PENDIENTE"),"PENDIENTE",TablaVentas[[#This Row],[Ingreso_neto]]-TablaVentas[[#This Row],[Costo_total]])</f>
        <v>13868.02</v>
      </c>
    </row>
    <row r="961" spans="1:17">
      <c r="A961" t="s">
        <v>762</v>
      </c>
      <c r="B961">
        <v>2</v>
      </c>
      <c r="C961" s="3">
        <v>46154</v>
      </c>
      <c r="D961" t="s">
        <v>264</v>
      </c>
      <c r="E961" t="s">
        <v>44</v>
      </c>
      <c r="F961" t="s">
        <v>39</v>
      </c>
      <c r="G961" t="s">
        <v>40</v>
      </c>
      <c r="H961" t="s">
        <v>41</v>
      </c>
      <c r="I961">
        <v>1</v>
      </c>
      <c r="J961" s="4">
        <v>13948.51</v>
      </c>
      <c r="K961" s="5">
        <v>0</v>
      </c>
      <c r="L961" s="4">
        <v>8980.68</v>
      </c>
      <c r="M961" t="s">
        <v>42</v>
      </c>
      <c r="N961" t="s">
        <v>60</v>
      </c>
      <c r="O961">
        <f>IF(TablaVentas[[#This Row],[Precio_unitario]]="","PENDIENTE",TablaVentas[[#This Row],[Unidades]]*TablaVentas[[#This Row],[Precio_unitario]]*(1-TablaVentas[[#This Row],[Descuento_pct]]))</f>
        <v>13948.51</v>
      </c>
      <c r="P961">
        <f>IF(TablaVentas[[#This Row],[Costo_unitario]]="","PENDIENTE",TablaVentas[[#This Row],[Unidades]]*TablaVentas[[#This Row],[Costo_unitario]])</f>
        <v>8980.68</v>
      </c>
      <c r="Q961">
        <f>IF(OR(TablaVentas[[#This Row],[Ingreso_neto]]="PENDIENTE",TablaVentas[[#This Row],[Costo_total]]="PENDIENTE"),"PENDIENTE",TablaVentas[[#This Row],[Ingreso_neto]]-TablaVentas[[#This Row],[Costo_total]])</f>
        <v>4967.83</v>
      </c>
    </row>
    <row r="962" spans="1:17">
      <c r="A962" t="s">
        <v>763</v>
      </c>
      <c r="B962">
        <v>1</v>
      </c>
      <c r="C962" s="3">
        <v>46148</v>
      </c>
      <c r="D962" t="s">
        <v>319</v>
      </c>
      <c r="E962" t="s">
        <v>89</v>
      </c>
      <c r="F962" t="s">
        <v>66</v>
      </c>
      <c r="G962" t="s">
        <v>50</v>
      </c>
      <c r="H962" t="s">
        <v>51</v>
      </c>
      <c r="I962">
        <v>12</v>
      </c>
      <c r="J962" s="4">
        <v>11135.26</v>
      </c>
      <c r="K962" s="5">
        <v>0</v>
      </c>
      <c r="L962" s="4">
        <v>9118.07</v>
      </c>
      <c r="M962" t="s">
        <v>42</v>
      </c>
      <c r="N962" t="s">
        <v>45</v>
      </c>
      <c r="O962">
        <f>IF(TablaVentas[[#This Row],[Precio_unitario]]="","PENDIENTE",TablaVentas[[#This Row],[Unidades]]*TablaVentas[[#This Row],[Precio_unitario]]*(1-TablaVentas[[#This Row],[Descuento_pct]]))</f>
        <v>133623.12</v>
      </c>
      <c r="P962">
        <f>IF(TablaVentas[[#This Row],[Costo_unitario]]="","PENDIENTE",TablaVentas[[#This Row],[Unidades]]*TablaVentas[[#This Row],[Costo_unitario]])</f>
        <v>109416.84</v>
      </c>
      <c r="Q962">
        <f>IF(OR(TablaVentas[[#This Row],[Ingreso_neto]]="PENDIENTE",TablaVentas[[#This Row],[Costo_total]]="PENDIENTE"),"PENDIENTE",TablaVentas[[#This Row],[Ingreso_neto]]-TablaVentas[[#This Row],[Costo_total]])</f>
        <v>24206.28</v>
      </c>
    </row>
    <row r="963" spans="1:17">
      <c r="A963" t="s">
        <v>763</v>
      </c>
      <c r="B963">
        <v>2</v>
      </c>
      <c r="C963" s="3">
        <v>46148</v>
      </c>
      <c r="D963" t="s">
        <v>319</v>
      </c>
      <c r="E963" t="s">
        <v>81</v>
      </c>
      <c r="F963" t="s">
        <v>66</v>
      </c>
      <c r="G963" t="s">
        <v>50</v>
      </c>
      <c r="H963" t="s">
        <v>51</v>
      </c>
      <c r="I963">
        <v>3</v>
      </c>
      <c r="J963" s="4">
        <v>15541.04</v>
      </c>
      <c r="K963" s="5">
        <v>0.2</v>
      </c>
      <c r="L963" s="4">
        <v>11614.87</v>
      </c>
      <c r="M963" t="s">
        <v>42</v>
      </c>
      <c r="N963" t="s">
        <v>52</v>
      </c>
      <c r="O963">
        <f>IF(TablaVentas[[#This Row],[Precio_unitario]]="","PENDIENTE",TablaVentas[[#This Row],[Unidades]]*TablaVentas[[#This Row],[Precio_unitario]]*(1-TablaVentas[[#This Row],[Descuento_pct]]))</f>
        <v>37298.496000000006</v>
      </c>
      <c r="P963">
        <f>IF(TablaVentas[[#This Row],[Costo_unitario]]="","PENDIENTE",TablaVentas[[#This Row],[Unidades]]*TablaVentas[[#This Row],[Costo_unitario]])</f>
        <v>34844.61</v>
      </c>
      <c r="Q963">
        <f>IF(OR(TablaVentas[[#This Row],[Ingreso_neto]]="PENDIENTE",TablaVentas[[#This Row],[Costo_total]]="PENDIENTE"),"PENDIENTE",TablaVentas[[#This Row],[Ingreso_neto]]-TablaVentas[[#This Row],[Costo_total]])</f>
        <v>2453.8860000000059</v>
      </c>
    </row>
    <row r="964" spans="1:17">
      <c r="A964" t="s">
        <v>763</v>
      </c>
      <c r="B964">
        <v>3</v>
      </c>
      <c r="C964" s="3">
        <v>46148</v>
      </c>
      <c r="D964" t="s">
        <v>319</v>
      </c>
      <c r="E964" t="s">
        <v>109</v>
      </c>
      <c r="F964" t="s">
        <v>66</v>
      </c>
      <c r="G964" t="s">
        <v>50</v>
      </c>
      <c r="H964" t="s">
        <v>51</v>
      </c>
      <c r="I964">
        <v>2</v>
      </c>
      <c r="J964" s="4">
        <v>14843.67</v>
      </c>
      <c r="K964" s="5">
        <v>0</v>
      </c>
      <c r="L964" s="4">
        <v>9880.77</v>
      </c>
      <c r="M964" t="s">
        <v>42</v>
      </c>
      <c r="N964" t="s">
        <v>43</v>
      </c>
      <c r="O964">
        <f>IF(TablaVentas[[#This Row],[Precio_unitario]]="","PENDIENTE",TablaVentas[[#This Row],[Unidades]]*TablaVentas[[#This Row],[Precio_unitario]]*(1-TablaVentas[[#This Row],[Descuento_pct]]))</f>
        <v>29687.34</v>
      </c>
      <c r="P964">
        <f>IF(TablaVentas[[#This Row],[Costo_unitario]]="","PENDIENTE",TablaVentas[[#This Row],[Unidades]]*TablaVentas[[#This Row],[Costo_unitario]])</f>
        <v>19761.54</v>
      </c>
      <c r="Q964">
        <f>IF(OR(TablaVentas[[#This Row],[Ingreso_neto]]="PENDIENTE",TablaVentas[[#This Row],[Costo_total]]="PENDIENTE"),"PENDIENTE",TablaVentas[[#This Row],[Ingreso_neto]]-TablaVentas[[#This Row],[Costo_total]])</f>
        <v>9925.7999999999993</v>
      </c>
    </row>
    <row r="965" spans="1:17">
      <c r="A965" t="s">
        <v>764</v>
      </c>
      <c r="B965">
        <v>1</v>
      </c>
      <c r="C965" s="3">
        <v>46256</v>
      </c>
      <c r="D965" t="s">
        <v>518</v>
      </c>
      <c r="E965" t="s">
        <v>78</v>
      </c>
      <c r="F965" t="s">
        <v>77</v>
      </c>
      <c r="G965" t="s">
        <v>50</v>
      </c>
      <c r="H965" t="s">
        <v>58</v>
      </c>
      <c r="I965">
        <v>1</v>
      </c>
      <c r="J965" s="4">
        <v>9038.01</v>
      </c>
      <c r="K965" s="5">
        <v>0.15</v>
      </c>
      <c r="L965" s="4">
        <v>5033.47</v>
      </c>
      <c r="M965" t="s">
        <v>42</v>
      </c>
      <c r="N965" t="s">
        <v>60</v>
      </c>
      <c r="O965">
        <f>IF(TablaVentas[[#This Row],[Precio_unitario]]="","PENDIENTE",TablaVentas[[#This Row],[Unidades]]*TablaVentas[[#This Row],[Precio_unitario]]*(1-TablaVentas[[#This Row],[Descuento_pct]]))</f>
        <v>7682.3085000000001</v>
      </c>
      <c r="P965">
        <f>IF(TablaVentas[[#This Row],[Costo_unitario]]="","PENDIENTE",TablaVentas[[#This Row],[Unidades]]*TablaVentas[[#This Row],[Costo_unitario]])</f>
        <v>5033.47</v>
      </c>
      <c r="Q965">
        <f>IF(OR(TablaVentas[[#This Row],[Ingreso_neto]]="PENDIENTE",TablaVentas[[#This Row],[Costo_total]]="PENDIENTE"),"PENDIENTE",TablaVentas[[#This Row],[Ingreso_neto]]-TablaVentas[[#This Row],[Costo_total]])</f>
        <v>2648.8384999999998</v>
      </c>
    </row>
    <row r="966" spans="1:17">
      <c r="A966" t="s">
        <v>764</v>
      </c>
      <c r="B966">
        <v>2</v>
      </c>
      <c r="C966" s="3">
        <v>46256</v>
      </c>
      <c r="D966" t="s">
        <v>518</v>
      </c>
      <c r="E966" t="s">
        <v>245</v>
      </c>
      <c r="F966" t="s">
        <v>77</v>
      </c>
      <c r="G966" t="s">
        <v>50</v>
      </c>
      <c r="H966" t="s">
        <v>58</v>
      </c>
      <c r="I966">
        <v>1</v>
      </c>
      <c r="J966" s="4">
        <v>18219.21</v>
      </c>
      <c r="K966" s="5">
        <v>0</v>
      </c>
      <c r="L966" s="4">
        <v>10507.24</v>
      </c>
      <c r="M966" t="s">
        <v>42</v>
      </c>
      <c r="N966" t="s">
        <v>52</v>
      </c>
      <c r="O966">
        <f>IF(TablaVentas[[#This Row],[Precio_unitario]]="","PENDIENTE",TablaVentas[[#This Row],[Unidades]]*TablaVentas[[#This Row],[Precio_unitario]]*(1-TablaVentas[[#This Row],[Descuento_pct]]))</f>
        <v>18219.21</v>
      </c>
      <c r="P966">
        <f>IF(TablaVentas[[#This Row],[Costo_unitario]]="","PENDIENTE",TablaVentas[[#This Row],[Unidades]]*TablaVentas[[#This Row],[Costo_unitario]])</f>
        <v>10507.24</v>
      </c>
      <c r="Q966">
        <f>IF(OR(TablaVentas[[#This Row],[Ingreso_neto]]="PENDIENTE",TablaVentas[[#This Row],[Costo_total]]="PENDIENTE"),"PENDIENTE",TablaVentas[[#This Row],[Ingreso_neto]]-TablaVentas[[#This Row],[Costo_total]])</f>
        <v>7711.9699999999993</v>
      </c>
    </row>
    <row r="967" spans="1:17">
      <c r="A967" t="s">
        <v>764</v>
      </c>
      <c r="B967">
        <v>3</v>
      </c>
      <c r="C967" s="3">
        <v>46256</v>
      </c>
      <c r="D967" t="s">
        <v>518</v>
      </c>
      <c r="E967" t="s">
        <v>69</v>
      </c>
      <c r="F967" t="s">
        <v>77</v>
      </c>
      <c r="G967" t="s">
        <v>50</v>
      </c>
      <c r="H967" t="s">
        <v>58</v>
      </c>
      <c r="I967">
        <v>1</v>
      </c>
      <c r="J967" s="4">
        <v>12572.08</v>
      </c>
      <c r="K967" s="5">
        <v>0</v>
      </c>
      <c r="L967" s="4">
        <v>10094.26</v>
      </c>
      <c r="M967" t="s">
        <v>116</v>
      </c>
      <c r="N967" t="s">
        <v>60</v>
      </c>
      <c r="O967">
        <f>IF(TablaVentas[[#This Row],[Precio_unitario]]="","PENDIENTE",TablaVentas[[#This Row],[Unidades]]*TablaVentas[[#This Row],[Precio_unitario]]*(1-TablaVentas[[#This Row],[Descuento_pct]]))</f>
        <v>12572.08</v>
      </c>
      <c r="P967">
        <f>IF(TablaVentas[[#This Row],[Costo_unitario]]="","PENDIENTE",TablaVentas[[#This Row],[Unidades]]*TablaVentas[[#This Row],[Costo_unitario]])</f>
        <v>10094.26</v>
      </c>
      <c r="Q967">
        <f>IF(OR(TablaVentas[[#This Row],[Ingreso_neto]]="PENDIENTE",TablaVentas[[#This Row],[Costo_total]]="PENDIENTE"),"PENDIENTE",TablaVentas[[#This Row],[Ingreso_neto]]-TablaVentas[[#This Row],[Costo_total]])</f>
        <v>2477.8199999999997</v>
      </c>
    </row>
    <row r="968" spans="1:17">
      <c r="A968" t="s">
        <v>765</v>
      </c>
      <c r="B968">
        <v>1</v>
      </c>
      <c r="C968" s="3">
        <v>46118</v>
      </c>
      <c r="D968" t="s">
        <v>766</v>
      </c>
      <c r="E968" t="s">
        <v>90</v>
      </c>
      <c r="F968" t="s">
        <v>66</v>
      </c>
      <c r="G968" t="s">
        <v>57</v>
      </c>
      <c r="H968" t="s">
        <v>124</v>
      </c>
      <c r="I968">
        <v>1</v>
      </c>
      <c r="J968" s="4">
        <v>10354.84</v>
      </c>
      <c r="K968" s="5">
        <v>0.05</v>
      </c>
      <c r="L968" s="4">
        <v>8174.87</v>
      </c>
      <c r="M968" t="s">
        <v>42</v>
      </c>
      <c r="N968" t="s">
        <v>52</v>
      </c>
      <c r="O968">
        <f>IF(TablaVentas[[#This Row],[Precio_unitario]]="","PENDIENTE",TablaVentas[[#This Row],[Unidades]]*TablaVentas[[#This Row],[Precio_unitario]]*(1-TablaVentas[[#This Row],[Descuento_pct]]))</f>
        <v>9837.098</v>
      </c>
      <c r="P968">
        <f>IF(TablaVentas[[#This Row],[Costo_unitario]]="","PENDIENTE",TablaVentas[[#This Row],[Unidades]]*TablaVentas[[#This Row],[Costo_unitario]])</f>
        <v>8174.87</v>
      </c>
      <c r="Q968">
        <f>IF(OR(TablaVentas[[#This Row],[Ingreso_neto]]="PENDIENTE",TablaVentas[[#This Row],[Costo_total]]="PENDIENTE"),"PENDIENTE",TablaVentas[[#This Row],[Ingreso_neto]]-TablaVentas[[#This Row],[Costo_total]])</f>
        <v>1662.2280000000001</v>
      </c>
    </row>
    <row r="969" spans="1:17">
      <c r="A969" t="s">
        <v>765</v>
      </c>
      <c r="B969">
        <v>2</v>
      </c>
      <c r="C969" s="3">
        <v>46118</v>
      </c>
      <c r="D969" t="s">
        <v>766</v>
      </c>
      <c r="E969" t="s">
        <v>106</v>
      </c>
      <c r="F969" t="s">
        <v>66</v>
      </c>
      <c r="G969" t="s">
        <v>57</v>
      </c>
      <c r="H969" t="s">
        <v>124</v>
      </c>
      <c r="I969">
        <v>1</v>
      </c>
      <c r="J969" s="4">
        <v>9931.07</v>
      </c>
      <c r="K969" s="5">
        <v>0</v>
      </c>
      <c r="L969" s="4">
        <v>8276.74</v>
      </c>
      <c r="M969" t="s">
        <v>42</v>
      </c>
      <c r="N969" t="s">
        <v>60</v>
      </c>
      <c r="O969">
        <f>IF(TablaVentas[[#This Row],[Precio_unitario]]="","PENDIENTE",TablaVentas[[#This Row],[Unidades]]*TablaVentas[[#This Row],[Precio_unitario]]*(1-TablaVentas[[#This Row],[Descuento_pct]]))</f>
        <v>9931.07</v>
      </c>
      <c r="P969">
        <f>IF(TablaVentas[[#This Row],[Costo_unitario]]="","PENDIENTE",TablaVentas[[#This Row],[Unidades]]*TablaVentas[[#This Row],[Costo_unitario]])</f>
        <v>8276.74</v>
      </c>
      <c r="Q969">
        <f>IF(OR(TablaVentas[[#This Row],[Ingreso_neto]]="PENDIENTE",TablaVentas[[#This Row],[Costo_total]]="PENDIENTE"),"PENDIENTE",TablaVentas[[#This Row],[Ingreso_neto]]-TablaVentas[[#This Row],[Costo_total]])</f>
        <v>1654.33</v>
      </c>
    </row>
    <row r="970" spans="1:17">
      <c r="A970" t="s">
        <v>767</v>
      </c>
      <c r="B970">
        <v>1</v>
      </c>
      <c r="C970" s="3">
        <v>46188</v>
      </c>
      <c r="D970" t="s">
        <v>179</v>
      </c>
      <c r="E970" t="s">
        <v>44</v>
      </c>
      <c r="F970" t="s">
        <v>66</v>
      </c>
      <c r="G970" t="s">
        <v>50</v>
      </c>
      <c r="H970" t="s">
        <v>129</v>
      </c>
      <c r="I970">
        <v>2</v>
      </c>
      <c r="J970" s="4">
        <v>13178.69</v>
      </c>
      <c r="K970" s="5">
        <v>0</v>
      </c>
      <c r="L970" s="4">
        <v>8980.68</v>
      </c>
      <c r="M970" t="s">
        <v>42</v>
      </c>
      <c r="N970" t="s">
        <v>52</v>
      </c>
      <c r="O970">
        <f>IF(TablaVentas[[#This Row],[Precio_unitario]]="","PENDIENTE",TablaVentas[[#This Row],[Unidades]]*TablaVentas[[#This Row],[Precio_unitario]]*(1-TablaVentas[[#This Row],[Descuento_pct]]))</f>
        <v>26357.38</v>
      </c>
      <c r="P970">
        <f>IF(TablaVentas[[#This Row],[Costo_unitario]]="","PENDIENTE",TablaVentas[[#This Row],[Unidades]]*TablaVentas[[#This Row],[Costo_unitario]])</f>
        <v>17961.36</v>
      </c>
      <c r="Q970">
        <f>IF(OR(TablaVentas[[#This Row],[Ingreso_neto]]="PENDIENTE",TablaVentas[[#This Row],[Costo_total]]="PENDIENTE"),"PENDIENTE",TablaVentas[[#This Row],[Ingreso_neto]]-TablaVentas[[#This Row],[Costo_total]])</f>
        <v>8396.02</v>
      </c>
    </row>
    <row r="971" spans="1:17">
      <c r="A971" t="s">
        <v>767</v>
      </c>
      <c r="B971">
        <v>2</v>
      </c>
      <c r="C971" s="3">
        <v>46188</v>
      </c>
      <c r="D971" t="s">
        <v>179</v>
      </c>
      <c r="E971" t="s">
        <v>135</v>
      </c>
      <c r="F971" t="s">
        <v>66</v>
      </c>
      <c r="G971" t="s">
        <v>50</v>
      </c>
      <c r="H971" t="s">
        <v>129</v>
      </c>
      <c r="I971">
        <v>1</v>
      </c>
      <c r="J971" s="4">
        <v>1970.52</v>
      </c>
      <c r="K971" s="5">
        <v>0</v>
      </c>
      <c r="L971" s="4">
        <v>1529.93</v>
      </c>
      <c r="M971" t="s">
        <v>42</v>
      </c>
      <c r="N971" t="s">
        <v>43</v>
      </c>
      <c r="O971">
        <f>IF(TablaVentas[[#This Row],[Precio_unitario]]="","PENDIENTE",TablaVentas[[#This Row],[Unidades]]*TablaVentas[[#This Row],[Precio_unitario]]*(1-TablaVentas[[#This Row],[Descuento_pct]]))</f>
        <v>1970.52</v>
      </c>
      <c r="P971">
        <f>IF(TablaVentas[[#This Row],[Costo_unitario]]="","PENDIENTE",TablaVentas[[#This Row],[Unidades]]*TablaVentas[[#This Row],[Costo_unitario]])</f>
        <v>1529.93</v>
      </c>
      <c r="Q971">
        <f>IF(OR(TablaVentas[[#This Row],[Ingreso_neto]]="PENDIENTE",TablaVentas[[#This Row],[Costo_total]]="PENDIENTE"),"PENDIENTE",TablaVentas[[#This Row],[Ingreso_neto]]-TablaVentas[[#This Row],[Costo_total]])</f>
        <v>440.58999999999992</v>
      </c>
    </row>
    <row r="972" spans="1:17">
      <c r="A972" t="s">
        <v>768</v>
      </c>
      <c r="B972">
        <v>1</v>
      </c>
      <c r="C972" s="3">
        <v>46241</v>
      </c>
      <c r="D972" t="s">
        <v>492</v>
      </c>
      <c r="E972" t="s">
        <v>123</v>
      </c>
      <c r="F972" t="s">
        <v>77</v>
      </c>
      <c r="G972" t="s">
        <v>57</v>
      </c>
      <c r="H972" t="s">
        <v>41</v>
      </c>
      <c r="I972">
        <v>8</v>
      </c>
      <c r="J972" s="4">
        <v>16179.91</v>
      </c>
      <c r="K972" s="5">
        <v>0.15</v>
      </c>
      <c r="L972" s="4">
        <v>12679.41</v>
      </c>
      <c r="M972" t="s">
        <v>42</v>
      </c>
      <c r="N972" t="s">
        <v>45</v>
      </c>
      <c r="O972">
        <f>IF(TablaVentas[[#This Row],[Precio_unitario]]="","PENDIENTE",TablaVentas[[#This Row],[Unidades]]*TablaVentas[[#This Row],[Precio_unitario]]*(1-TablaVentas[[#This Row],[Descuento_pct]]))</f>
        <v>110023.38799999999</v>
      </c>
      <c r="P972">
        <f>IF(TablaVentas[[#This Row],[Costo_unitario]]="","PENDIENTE",TablaVentas[[#This Row],[Unidades]]*TablaVentas[[#This Row],[Costo_unitario]])</f>
        <v>101435.28</v>
      </c>
      <c r="Q972">
        <f>IF(OR(TablaVentas[[#This Row],[Ingreso_neto]]="PENDIENTE",TablaVentas[[#This Row],[Costo_total]]="PENDIENTE"),"PENDIENTE",TablaVentas[[#This Row],[Ingreso_neto]]-TablaVentas[[#This Row],[Costo_total]])</f>
        <v>8588.1079999999929</v>
      </c>
    </row>
    <row r="973" spans="1:17">
      <c r="A973" t="s">
        <v>768</v>
      </c>
      <c r="B973">
        <v>2</v>
      </c>
      <c r="C973" s="3">
        <v>46241</v>
      </c>
      <c r="D973" t="s">
        <v>492</v>
      </c>
      <c r="E973" t="s">
        <v>223</v>
      </c>
      <c r="F973" t="s">
        <v>77</v>
      </c>
      <c r="G973" t="s">
        <v>57</v>
      </c>
      <c r="H973" t="s">
        <v>41</v>
      </c>
      <c r="I973">
        <v>12</v>
      </c>
      <c r="J973" s="4">
        <v>6659.96</v>
      </c>
      <c r="K973" s="5">
        <v>0</v>
      </c>
      <c r="L973" s="4">
        <v>3298.19</v>
      </c>
      <c r="M973" t="s">
        <v>42</v>
      </c>
      <c r="N973" t="s">
        <v>60</v>
      </c>
      <c r="O973">
        <f>IF(TablaVentas[[#This Row],[Precio_unitario]]="","PENDIENTE",TablaVentas[[#This Row],[Unidades]]*TablaVentas[[#This Row],[Precio_unitario]]*(1-TablaVentas[[#This Row],[Descuento_pct]]))</f>
        <v>79919.520000000004</v>
      </c>
      <c r="P973">
        <f>IF(TablaVentas[[#This Row],[Costo_unitario]]="","PENDIENTE",TablaVentas[[#This Row],[Unidades]]*TablaVentas[[#This Row],[Costo_unitario]])</f>
        <v>39578.28</v>
      </c>
      <c r="Q973">
        <f>IF(OR(TablaVentas[[#This Row],[Ingreso_neto]]="PENDIENTE",TablaVentas[[#This Row],[Costo_total]]="PENDIENTE"),"PENDIENTE",TablaVentas[[#This Row],[Ingreso_neto]]-TablaVentas[[#This Row],[Costo_total]])</f>
        <v>40341.240000000005</v>
      </c>
    </row>
    <row r="974" spans="1:17">
      <c r="A974" t="s">
        <v>769</v>
      </c>
      <c r="B974">
        <v>1</v>
      </c>
      <c r="C974" s="3">
        <v>46031</v>
      </c>
      <c r="D974" t="s">
        <v>770</v>
      </c>
      <c r="E974" t="s">
        <v>125</v>
      </c>
      <c r="F974" t="s">
        <v>39</v>
      </c>
      <c r="G974" t="s">
        <v>40</v>
      </c>
      <c r="H974" t="s">
        <v>82</v>
      </c>
      <c r="I974">
        <v>1</v>
      </c>
      <c r="J974" s="4">
        <v>1752.21</v>
      </c>
      <c r="K974" s="5">
        <v>0</v>
      </c>
      <c r="L974" s="4">
        <v>1044.32</v>
      </c>
      <c r="M974" t="s">
        <v>42</v>
      </c>
      <c r="N974" t="s">
        <v>60</v>
      </c>
      <c r="O974">
        <f>IF(TablaVentas[[#This Row],[Precio_unitario]]="","PENDIENTE",TablaVentas[[#This Row],[Unidades]]*TablaVentas[[#This Row],[Precio_unitario]]*(1-TablaVentas[[#This Row],[Descuento_pct]]))</f>
        <v>1752.21</v>
      </c>
      <c r="P974">
        <f>IF(TablaVentas[[#This Row],[Costo_unitario]]="","PENDIENTE",TablaVentas[[#This Row],[Unidades]]*TablaVentas[[#This Row],[Costo_unitario]])</f>
        <v>1044.32</v>
      </c>
      <c r="Q974">
        <f>IF(OR(TablaVentas[[#This Row],[Ingreso_neto]]="PENDIENTE",TablaVentas[[#This Row],[Costo_total]]="PENDIENTE"),"PENDIENTE",TablaVentas[[#This Row],[Ingreso_neto]]-TablaVentas[[#This Row],[Costo_total]])</f>
        <v>707.8900000000001</v>
      </c>
    </row>
    <row r="975" spans="1:17">
      <c r="A975" t="s">
        <v>769</v>
      </c>
      <c r="B975">
        <v>2</v>
      </c>
      <c r="C975" s="3">
        <v>46031</v>
      </c>
      <c r="D975" t="s">
        <v>770</v>
      </c>
      <c r="E975" t="s">
        <v>119</v>
      </c>
      <c r="F975" t="s">
        <v>39</v>
      </c>
      <c r="G975" t="s">
        <v>40</v>
      </c>
      <c r="H975" t="s">
        <v>82</v>
      </c>
      <c r="I975">
        <v>1</v>
      </c>
      <c r="J975" s="4">
        <v>8974.43</v>
      </c>
      <c r="K975" s="5">
        <v>0.05</v>
      </c>
      <c r="L975" s="4">
        <v>6981.94</v>
      </c>
      <c r="M975" t="s">
        <v>116</v>
      </c>
      <c r="N975" t="s">
        <v>52</v>
      </c>
      <c r="O975">
        <f>IF(TablaVentas[[#This Row],[Precio_unitario]]="","PENDIENTE",TablaVentas[[#This Row],[Unidades]]*TablaVentas[[#This Row],[Precio_unitario]]*(1-TablaVentas[[#This Row],[Descuento_pct]]))</f>
        <v>8525.7085000000006</v>
      </c>
      <c r="P975">
        <f>IF(TablaVentas[[#This Row],[Costo_unitario]]="","PENDIENTE",TablaVentas[[#This Row],[Unidades]]*TablaVentas[[#This Row],[Costo_unitario]])</f>
        <v>6981.94</v>
      </c>
      <c r="Q975">
        <f>IF(OR(TablaVentas[[#This Row],[Ingreso_neto]]="PENDIENTE",TablaVentas[[#This Row],[Costo_total]]="PENDIENTE"),"PENDIENTE",TablaVentas[[#This Row],[Ingreso_neto]]-TablaVentas[[#This Row],[Costo_total]])</f>
        <v>1543.768500000001</v>
      </c>
    </row>
    <row r="976" spans="1:17">
      <c r="A976" t="s">
        <v>769</v>
      </c>
      <c r="B976">
        <v>3</v>
      </c>
      <c r="C976" s="3">
        <v>46031</v>
      </c>
      <c r="D976" t="s">
        <v>770</v>
      </c>
      <c r="E976" t="s">
        <v>321</v>
      </c>
      <c r="F976" t="s">
        <v>39</v>
      </c>
      <c r="G976" t="s">
        <v>40</v>
      </c>
      <c r="H976" t="s">
        <v>82</v>
      </c>
      <c r="I976">
        <v>1</v>
      </c>
      <c r="J976" s="4">
        <v>1275.1300000000001</v>
      </c>
      <c r="K976" s="5">
        <v>0.1</v>
      </c>
      <c r="L976" s="4">
        <v>679.37</v>
      </c>
      <c r="M976" t="s">
        <v>42</v>
      </c>
      <c r="N976" t="s">
        <v>43</v>
      </c>
      <c r="O976">
        <f>IF(TablaVentas[[#This Row],[Precio_unitario]]="","PENDIENTE",TablaVentas[[#This Row],[Unidades]]*TablaVentas[[#This Row],[Precio_unitario]]*(1-TablaVentas[[#This Row],[Descuento_pct]]))</f>
        <v>1147.6170000000002</v>
      </c>
      <c r="P976">
        <f>IF(TablaVentas[[#This Row],[Costo_unitario]]="","PENDIENTE",TablaVentas[[#This Row],[Unidades]]*TablaVentas[[#This Row],[Costo_unitario]])</f>
        <v>679.37</v>
      </c>
      <c r="Q976">
        <f>IF(OR(TablaVentas[[#This Row],[Ingreso_neto]]="PENDIENTE",TablaVentas[[#This Row],[Costo_total]]="PENDIENTE"),"PENDIENTE",TablaVentas[[#This Row],[Ingreso_neto]]-TablaVentas[[#This Row],[Costo_total]])</f>
        <v>468.24700000000018</v>
      </c>
    </row>
    <row r="977" spans="1:17">
      <c r="A977" t="s">
        <v>771</v>
      </c>
      <c r="B977">
        <v>1</v>
      </c>
      <c r="C977" s="3">
        <v>46094</v>
      </c>
      <c r="D977" t="s">
        <v>772</v>
      </c>
      <c r="E977" t="s">
        <v>123</v>
      </c>
      <c r="F977" t="s">
        <v>56</v>
      </c>
      <c r="G977" t="s">
        <v>50</v>
      </c>
      <c r="H977" t="s">
        <v>82</v>
      </c>
      <c r="I977">
        <v>1</v>
      </c>
      <c r="J977" s="4">
        <v>17164.97</v>
      </c>
      <c r="K977" s="5">
        <v>0.2</v>
      </c>
      <c r="L977" s="4">
        <v>12679.41</v>
      </c>
      <c r="M977" t="s">
        <v>62</v>
      </c>
      <c r="N977" t="s">
        <v>43</v>
      </c>
      <c r="O977">
        <f>IF(TablaVentas[[#This Row],[Precio_unitario]]="","PENDIENTE",TablaVentas[[#This Row],[Unidades]]*TablaVentas[[#This Row],[Precio_unitario]]*(1-TablaVentas[[#This Row],[Descuento_pct]]))</f>
        <v>13731.976000000002</v>
      </c>
      <c r="P977">
        <f>IF(TablaVentas[[#This Row],[Costo_unitario]]="","PENDIENTE",TablaVentas[[#This Row],[Unidades]]*TablaVentas[[#This Row],[Costo_unitario]])</f>
        <v>12679.41</v>
      </c>
      <c r="Q977">
        <f>IF(OR(TablaVentas[[#This Row],[Ingreso_neto]]="PENDIENTE",TablaVentas[[#This Row],[Costo_total]]="PENDIENTE"),"PENDIENTE",TablaVentas[[#This Row],[Ingreso_neto]]-TablaVentas[[#This Row],[Costo_total]])</f>
        <v>1052.5660000000025</v>
      </c>
    </row>
    <row r="978" spans="1:17">
      <c r="A978" t="s">
        <v>771</v>
      </c>
      <c r="B978">
        <v>2</v>
      </c>
      <c r="C978" s="3">
        <v>46094</v>
      </c>
      <c r="D978" t="s">
        <v>772</v>
      </c>
      <c r="E978" t="s">
        <v>125</v>
      </c>
      <c r="F978" t="s">
        <v>56</v>
      </c>
      <c r="G978" t="s">
        <v>50</v>
      </c>
      <c r="H978" t="s">
        <v>82</v>
      </c>
      <c r="I978">
        <v>3</v>
      </c>
      <c r="J978" s="4">
        <v>1690.56</v>
      </c>
      <c r="K978" s="5">
        <v>0</v>
      </c>
      <c r="L978" s="4">
        <v>1044.32</v>
      </c>
      <c r="M978" t="s">
        <v>42</v>
      </c>
      <c r="N978" t="s">
        <v>43</v>
      </c>
      <c r="O978">
        <f>IF(TablaVentas[[#This Row],[Precio_unitario]]="","PENDIENTE",TablaVentas[[#This Row],[Unidades]]*TablaVentas[[#This Row],[Precio_unitario]]*(1-TablaVentas[[#This Row],[Descuento_pct]]))</f>
        <v>5071.68</v>
      </c>
      <c r="P978">
        <f>IF(TablaVentas[[#This Row],[Costo_unitario]]="","PENDIENTE",TablaVentas[[#This Row],[Unidades]]*TablaVentas[[#This Row],[Costo_unitario]])</f>
        <v>3132.96</v>
      </c>
      <c r="Q978">
        <f>IF(OR(TablaVentas[[#This Row],[Ingreso_neto]]="PENDIENTE",TablaVentas[[#This Row],[Costo_total]]="PENDIENTE"),"PENDIENTE",TablaVentas[[#This Row],[Ingreso_neto]]-TablaVentas[[#This Row],[Costo_total]])</f>
        <v>1938.7200000000003</v>
      </c>
    </row>
    <row r="979" spans="1:17">
      <c r="A979" t="s">
        <v>771</v>
      </c>
      <c r="B979">
        <v>3</v>
      </c>
      <c r="C979" s="3">
        <v>46094</v>
      </c>
      <c r="D979" t="s">
        <v>772</v>
      </c>
      <c r="E979" t="s">
        <v>140</v>
      </c>
      <c r="F979" t="s">
        <v>56</v>
      </c>
      <c r="G979" t="s">
        <v>50</v>
      </c>
      <c r="H979" t="s">
        <v>82</v>
      </c>
      <c r="I979">
        <v>1</v>
      </c>
      <c r="J979" s="4">
        <v>3220.33</v>
      </c>
      <c r="K979" s="5">
        <v>0</v>
      </c>
      <c r="L979" s="4">
        <v>2427.63</v>
      </c>
      <c r="M979" t="s">
        <v>42</v>
      </c>
      <c r="N979" t="s">
        <v>60</v>
      </c>
      <c r="O979">
        <f>IF(TablaVentas[[#This Row],[Precio_unitario]]="","PENDIENTE",TablaVentas[[#This Row],[Unidades]]*TablaVentas[[#This Row],[Precio_unitario]]*(1-TablaVentas[[#This Row],[Descuento_pct]]))</f>
        <v>3220.33</v>
      </c>
      <c r="P979">
        <f>IF(TablaVentas[[#This Row],[Costo_unitario]]="","PENDIENTE",TablaVentas[[#This Row],[Unidades]]*TablaVentas[[#This Row],[Costo_unitario]])</f>
        <v>2427.63</v>
      </c>
      <c r="Q979">
        <f>IF(OR(TablaVentas[[#This Row],[Ingreso_neto]]="PENDIENTE",TablaVentas[[#This Row],[Costo_total]]="PENDIENTE"),"PENDIENTE",TablaVentas[[#This Row],[Ingreso_neto]]-TablaVentas[[#This Row],[Costo_total]])</f>
        <v>792.69999999999982</v>
      </c>
    </row>
    <row r="980" spans="1:17">
      <c r="A980" t="s">
        <v>773</v>
      </c>
      <c r="B980">
        <v>1</v>
      </c>
      <c r="C980" s="3">
        <v>46125</v>
      </c>
      <c r="D980" t="s">
        <v>613</v>
      </c>
      <c r="E980" t="s">
        <v>326</v>
      </c>
      <c r="F980" t="s">
        <v>66</v>
      </c>
      <c r="G980" t="s">
        <v>57</v>
      </c>
      <c r="H980" t="s">
        <v>58</v>
      </c>
      <c r="I980">
        <v>4</v>
      </c>
      <c r="J980" s="4">
        <v>7000.66</v>
      </c>
      <c r="K980" s="5">
        <v>0.1</v>
      </c>
      <c r="L980" s="4">
        <v>4044.16</v>
      </c>
      <c r="M980" t="s">
        <v>42</v>
      </c>
      <c r="N980" t="s">
        <v>45</v>
      </c>
      <c r="O980">
        <f>IF(TablaVentas[[#This Row],[Precio_unitario]]="","PENDIENTE",TablaVentas[[#This Row],[Unidades]]*TablaVentas[[#This Row],[Precio_unitario]]*(1-TablaVentas[[#This Row],[Descuento_pct]]))</f>
        <v>25202.376</v>
      </c>
      <c r="P980">
        <f>IF(TablaVentas[[#This Row],[Costo_unitario]]="","PENDIENTE",TablaVentas[[#This Row],[Unidades]]*TablaVentas[[#This Row],[Costo_unitario]])</f>
        <v>16176.64</v>
      </c>
      <c r="Q980">
        <f>IF(OR(TablaVentas[[#This Row],[Ingreso_neto]]="PENDIENTE",TablaVentas[[#This Row],[Costo_total]]="PENDIENTE"),"PENDIENTE",TablaVentas[[#This Row],[Ingreso_neto]]-TablaVentas[[#This Row],[Costo_total]])</f>
        <v>9025.7360000000008</v>
      </c>
    </row>
    <row r="981" spans="1:17">
      <c r="A981" t="s">
        <v>773</v>
      </c>
      <c r="B981">
        <v>2</v>
      </c>
      <c r="C981" s="3">
        <v>46125</v>
      </c>
      <c r="D981" t="s">
        <v>613</v>
      </c>
      <c r="E981" t="s">
        <v>159</v>
      </c>
      <c r="F981" t="s">
        <v>66</v>
      </c>
      <c r="G981" t="s">
        <v>57</v>
      </c>
      <c r="H981" t="s">
        <v>58</v>
      </c>
      <c r="I981">
        <v>1</v>
      </c>
      <c r="J981" s="4">
        <v>11666.46</v>
      </c>
      <c r="K981" s="5">
        <v>0.2</v>
      </c>
      <c r="L981" s="4">
        <v>9317.3700000000008</v>
      </c>
      <c r="M981" t="s">
        <v>42</v>
      </c>
      <c r="N981" t="s">
        <v>52</v>
      </c>
      <c r="O981">
        <f>IF(TablaVentas[[#This Row],[Precio_unitario]]="","PENDIENTE",TablaVentas[[#This Row],[Unidades]]*TablaVentas[[#This Row],[Precio_unitario]]*(1-TablaVentas[[#This Row],[Descuento_pct]]))</f>
        <v>9333.1679999999997</v>
      </c>
      <c r="P981">
        <f>IF(TablaVentas[[#This Row],[Costo_unitario]]="","PENDIENTE",TablaVentas[[#This Row],[Unidades]]*TablaVentas[[#This Row],[Costo_unitario]])</f>
        <v>9317.3700000000008</v>
      </c>
      <c r="Q981">
        <f>IF(OR(TablaVentas[[#This Row],[Ingreso_neto]]="PENDIENTE",TablaVentas[[#This Row],[Costo_total]]="PENDIENTE"),"PENDIENTE",TablaVentas[[#This Row],[Ingreso_neto]]-TablaVentas[[#This Row],[Costo_total]])</f>
        <v>15.797999999998865</v>
      </c>
    </row>
    <row r="982" spans="1:17">
      <c r="A982" t="s">
        <v>774</v>
      </c>
      <c r="B982">
        <v>1</v>
      </c>
      <c r="C982" s="3">
        <v>46277</v>
      </c>
      <c r="D982" t="s">
        <v>554</v>
      </c>
      <c r="E982" t="s">
        <v>196</v>
      </c>
      <c r="F982" t="s">
        <v>66</v>
      </c>
      <c r="G982" t="s">
        <v>50</v>
      </c>
      <c r="H982" t="s">
        <v>129</v>
      </c>
      <c r="I982">
        <v>1</v>
      </c>
      <c r="J982" s="4">
        <v>783.4</v>
      </c>
      <c r="K982" s="5">
        <v>0</v>
      </c>
      <c r="L982" s="4">
        <v>485.16</v>
      </c>
      <c r="M982" t="s">
        <v>42</v>
      </c>
      <c r="N982" t="s">
        <v>60</v>
      </c>
      <c r="O982">
        <f>IF(TablaVentas[[#This Row],[Precio_unitario]]="","PENDIENTE",TablaVentas[[#This Row],[Unidades]]*TablaVentas[[#This Row],[Precio_unitario]]*(1-TablaVentas[[#This Row],[Descuento_pct]]))</f>
        <v>783.4</v>
      </c>
      <c r="P982">
        <f>IF(TablaVentas[[#This Row],[Costo_unitario]]="","PENDIENTE",TablaVentas[[#This Row],[Unidades]]*TablaVentas[[#This Row],[Costo_unitario]])</f>
        <v>485.16</v>
      </c>
      <c r="Q982">
        <f>IF(OR(TablaVentas[[#This Row],[Ingreso_neto]]="PENDIENTE",TablaVentas[[#This Row],[Costo_total]]="PENDIENTE"),"PENDIENTE",TablaVentas[[#This Row],[Ingreso_neto]]-TablaVentas[[#This Row],[Costo_total]])</f>
        <v>298.23999999999995</v>
      </c>
    </row>
    <row r="983" spans="1:17">
      <c r="A983" t="s">
        <v>774</v>
      </c>
      <c r="B983">
        <v>2</v>
      </c>
      <c r="C983" s="3">
        <v>46277</v>
      </c>
      <c r="D983" t="s">
        <v>554</v>
      </c>
      <c r="E983" t="s">
        <v>113</v>
      </c>
      <c r="F983" t="s">
        <v>66</v>
      </c>
      <c r="G983" t="s">
        <v>50</v>
      </c>
      <c r="H983" t="s">
        <v>129</v>
      </c>
      <c r="I983">
        <v>1</v>
      </c>
      <c r="J983" s="4">
        <v>2811.59</v>
      </c>
      <c r="K983" s="5">
        <v>0.15</v>
      </c>
      <c r="L983" s="4">
        <v>2196.34</v>
      </c>
      <c r="M983" t="s">
        <v>42</v>
      </c>
      <c r="N983" t="s">
        <v>52</v>
      </c>
      <c r="O983">
        <f>IF(TablaVentas[[#This Row],[Precio_unitario]]="","PENDIENTE",TablaVentas[[#This Row],[Unidades]]*TablaVentas[[#This Row],[Precio_unitario]]*(1-TablaVentas[[#This Row],[Descuento_pct]]))</f>
        <v>2389.8515000000002</v>
      </c>
      <c r="P983">
        <f>IF(TablaVentas[[#This Row],[Costo_unitario]]="","PENDIENTE",TablaVentas[[#This Row],[Unidades]]*TablaVentas[[#This Row],[Costo_unitario]])</f>
        <v>2196.34</v>
      </c>
      <c r="Q983">
        <f>IF(OR(TablaVentas[[#This Row],[Ingreso_neto]]="PENDIENTE",TablaVentas[[#This Row],[Costo_total]]="PENDIENTE"),"PENDIENTE",TablaVentas[[#This Row],[Ingreso_neto]]-TablaVentas[[#This Row],[Costo_total]])</f>
        <v>193.51150000000007</v>
      </c>
    </row>
    <row r="984" spans="1:17">
      <c r="A984" t="s">
        <v>775</v>
      </c>
      <c r="B984">
        <v>1</v>
      </c>
      <c r="C984" s="3">
        <v>46214</v>
      </c>
      <c r="D984" t="s">
        <v>474</v>
      </c>
      <c r="E984" t="s">
        <v>68</v>
      </c>
      <c r="F984" t="s">
        <v>39</v>
      </c>
      <c r="G984" t="s">
        <v>57</v>
      </c>
      <c r="H984" t="s">
        <v>184</v>
      </c>
      <c r="I984">
        <v>4</v>
      </c>
      <c r="J984" s="4">
        <v>15942.43</v>
      </c>
      <c r="K984" s="5">
        <v>0.1</v>
      </c>
      <c r="L984" s="4">
        <v>9243.35</v>
      </c>
      <c r="M984" t="s">
        <v>116</v>
      </c>
      <c r="N984" t="s">
        <v>43</v>
      </c>
      <c r="O984">
        <f>IF(TablaVentas[[#This Row],[Precio_unitario]]="","PENDIENTE",TablaVentas[[#This Row],[Unidades]]*TablaVentas[[#This Row],[Precio_unitario]]*(1-TablaVentas[[#This Row],[Descuento_pct]]))</f>
        <v>57392.748</v>
      </c>
      <c r="P984">
        <f>IF(TablaVentas[[#This Row],[Costo_unitario]]="","PENDIENTE",TablaVentas[[#This Row],[Unidades]]*TablaVentas[[#This Row],[Costo_unitario]])</f>
        <v>36973.4</v>
      </c>
      <c r="Q984">
        <f>IF(OR(TablaVentas[[#This Row],[Ingreso_neto]]="PENDIENTE",TablaVentas[[#This Row],[Costo_total]]="PENDIENTE"),"PENDIENTE",TablaVentas[[#This Row],[Ingreso_neto]]-TablaVentas[[#This Row],[Costo_total]])</f>
        <v>20419.347999999998</v>
      </c>
    </row>
    <row r="985" spans="1:17">
      <c r="A985" t="s">
        <v>775</v>
      </c>
      <c r="B985">
        <v>2</v>
      </c>
      <c r="C985" s="3">
        <v>46214</v>
      </c>
      <c r="D985" t="s">
        <v>474</v>
      </c>
      <c r="E985" t="s">
        <v>172</v>
      </c>
      <c r="F985" t="s">
        <v>39</v>
      </c>
      <c r="G985" t="s">
        <v>57</v>
      </c>
      <c r="H985" t="s">
        <v>184</v>
      </c>
      <c r="I985">
        <v>1</v>
      </c>
      <c r="J985" s="4">
        <v>17230.400000000001</v>
      </c>
      <c r="K985" s="5">
        <v>0.05</v>
      </c>
      <c r="L985" s="4">
        <v>10830.17</v>
      </c>
      <c r="M985" t="s">
        <v>42</v>
      </c>
      <c r="N985" t="s">
        <v>43</v>
      </c>
      <c r="O985">
        <f>IF(TablaVentas[[#This Row],[Precio_unitario]]="","PENDIENTE",TablaVentas[[#This Row],[Unidades]]*TablaVentas[[#This Row],[Precio_unitario]]*(1-TablaVentas[[#This Row],[Descuento_pct]]))</f>
        <v>16368.880000000001</v>
      </c>
      <c r="P985">
        <f>IF(TablaVentas[[#This Row],[Costo_unitario]]="","PENDIENTE",TablaVentas[[#This Row],[Unidades]]*TablaVentas[[#This Row],[Costo_unitario]])</f>
        <v>10830.17</v>
      </c>
      <c r="Q985">
        <f>IF(OR(TablaVentas[[#This Row],[Ingreso_neto]]="PENDIENTE",TablaVentas[[#This Row],[Costo_total]]="PENDIENTE"),"PENDIENTE",TablaVentas[[#This Row],[Ingreso_neto]]-TablaVentas[[#This Row],[Costo_total]])</f>
        <v>5538.7100000000009</v>
      </c>
    </row>
    <row r="986" spans="1:17">
      <c r="A986" t="s">
        <v>775</v>
      </c>
      <c r="B986">
        <v>3</v>
      </c>
      <c r="C986" s="3">
        <v>46214</v>
      </c>
      <c r="D986" t="s">
        <v>474</v>
      </c>
      <c r="E986" t="s">
        <v>128</v>
      </c>
      <c r="F986" t="s">
        <v>39</v>
      </c>
      <c r="G986" t="s">
        <v>57</v>
      </c>
      <c r="H986" t="s">
        <v>184</v>
      </c>
      <c r="I986">
        <v>1</v>
      </c>
      <c r="J986" s="4">
        <v>1459.26</v>
      </c>
      <c r="K986" s="5">
        <v>0</v>
      </c>
      <c r="L986" s="4">
        <v>900.08</v>
      </c>
      <c r="M986" t="s">
        <v>42</v>
      </c>
      <c r="N986" t="s">
        <v>43</v>
      </c>
      <c r="O986">
        <f>IF(TablaVentas[[#This Row],[Precio_unitario]]="","PENDIENTE",TablaVentas[[#This Row],[Unidades]]*TablaVentas[[#This Row],[Precio_unitario]]*(1-TablaVentas[[#This Row],[Descuento_pct]]))</f>
        <v>1459.26</v>
      </c>
      <c r="P986">
        <f>IF(TablaVentas[[#This Row],[Costo_unitario]]="","PENDIENTE",TablaVentas[[#This Row],[Unidades]]*TablaVentas[[#This Row],[Costo_unitario]])</f>
        <v>900.08</v>
      </c>
      <c r="Q986">
        <f>IF(OR(TablaVentas[[#This Row],[Ingreso_neto]]="PENDIENTE",TablaVentas[[#This Row],[Costo_total]]="PENDIENTE"),"PENDIENTE",TablaVentas[[#This Row],[Ingreso_neto]]-TablaVentas[[#This Row],[Costo_total]])</f>
        <v>559.17999999999995</v>
      </c>
    </row>
    <row r="987" spans="1:17">
      <c r="A987" t="s">
        <v>775</v>
      </c>
      <c r="B987">
        <v>4</v>
      </c>
      <c r="C987" s="3">
        <v>46214</v>
      </c>
      <c r="D987" t="s">
        <v>474</v>
      </c>
      <c r="E987" t="s">
        <v>156</v>
      </c>
      <c r="F987" t="s">
        <v>39</v>
      </c>
      <c r="G987" t="s">
        <v>57</v>
      </c>
      <c r="H987" t="s">
        <v>184</v>
      </c>
      <c r="I987">
        <v>2</v>
      </c>
      <c r="J987" s="4">
        <v>18447.990000000002</v>
      </c>
      <c r="K987" s="5">
        <v>0.05</v>
      </c>
      <c r="L987" s="4">
        <v>13981.13</v>
      </c>
      <c r="M987" t="s">
        <v>42</v>
      </c>
      <c r="N987" t="s">
        <v>52</v>
      </c>
      <c r="O987">
        <f>IF(TablaVentas[[#This Row],[Precio_unitario]]="","PENDIENTE",TablaVentas[[#This Row],[Unidades]]*TablaVentas[[#This Row],[Precio_unitario]]*(1-TablaVentas[[#This Row],[Descuento_pct]]))</f>
        <v>35051.181000000004</v>
      </c>
      <c r="P987">
        <f>IF(TablaVentas[[#This Row],[Costo_unitario]]="","PENDIENTE",TablaVentas[[#This Row],[Unidades]]*TablaVentas[[#This Row],[Costo_unitario]])</f>
        <v>27962.26</v>
      </c>
      <c r="Q987">
        <f>IF(OR(TablaVentas[[#This Row],[Ingreso_neto]]="PENDIENTE",TablaVentas[[#This Row],[Costo_total]]="PENDIENTE"),"PENDIENTE",TablaVentas[[#This Row],[Ingreso_neto]]-TablaVentas[[#This Row],[Costo_total]])</f>
        <v>7088.9210000000057</v>
      </c>
    </row>
    <row r="988" spans="1:17">
      <c r="A988" t="s">
        <v>776</v>
      </c>
      <c r="B988">
        <v>1</v>
      </c>
      <c r="C988" s="3">
        <v>46093</v>
      </c>
      <c r="D988" t="s">
        <v>777</v>
      </c>
      <c r="E988" t="s">
        <v>321</v>
      </c>
      <c r="F988" t="s">
        <v>39</v>
      </c>
      <c r="G988" t="s">
        <v>50</v>
      </c>
      <c r="H988" t="s">
        <v>102</v>
      </c>
      <c r="I988">
        <v>4</v>
      </c>
      <c r="J988" s="4">
        <v>1356.15</v>
      </c>
      <c r="K988" s="5">
        <v>0.05</v>
      </c>
      <c r="L988" s="4">
        <v>679.37</v>
      </c>
      <c r="M988" t="s">
        <v>116</v>
      </c>
      <c r="N988" t="s">
        <v>45</v>
      </c>
      <c r="O988">
        <f>IF(TablaVentas[[#This Row],[Precio_unitario]]="","PENDIENTE",TablaVentas[[#This Row],[Unidades]]*TablaVentas[[#This Row],[Precio_unitario]]*(1-TablaVentas[[#This Row],[Descuento_pct]]))</f>
        <v>5153.37</v>
      </c>
      <c r="P988">
        <f>IF(TablaVentas[[#This Row],[Costo_unitario]]="","PENDIENTE",TablaVentas[[#This Row],[Unidades]]*TablaVentas[[#This Row],[Costo_unitario]])</f>
        <v>2717.48</v>
      </c>
      <c r="Q988">
        <f>IF(OR(TablaVentas[[#This Row],[Ingreso_neto]]="PENDIENTE",TablaVentas[[#This Row],[Costo_total]]="PENDIENTE"),"PENDIENTE",TablaVentas[[#This Row],[Ingreso_neto]]-TablaVentas[[#This Row],[Costo_total]])</f>
        <v>2435.89</v>
      </c>
    </row>
    <row r="989" spans="1:17">
      <c r="A989" t="s">
        <v>776</v>
      </c>
      <c r="B989">
        <v>2</v>
      </c>
      <c r="C989" s="3">
        <v>46093</v>
      </c>
      <c r="D989" t="s">
        <v>777</v>
      </c>
      <c r="E989" t="s">
        <v>114</v>
      </c>
      <c r="F989" t="s">
        <v>39</v>
      </c>
      <c r="G989" t="s">
        <v>50</v>
      </c>
      <c r="H989" t="s">
        <v>102</v>
      </c>
      <c r="I989">
        <v>3</v>
      </c>
      <c r="J989" s="4">
        <v>15261.05</v>
      </c>
      <c r="K989" s="5">
        <v>0</v>
      </c>
      <c r="L989" s="4">
        <v>8239.48</v>
      </c>
      <c r="M989" t="s">
        <v>42</v>
      </c>
      <c r="N989" t="s">
        <v>52</v>
      </c>
      <c r="O989">
        <f>IF(TablaVentas[[#This Row],[Precio_unitario]]="","PENDIENTE",TablaVentas[[#This Row],[Unidades]]*TablaVentas[[#This Row],[Precio_unitario]]*(1-TablaVentas[[#This Row],[Descuento_pct]]))</f>
        <v>45783.149999999994</v>
      </c>
      <c r="P989">
        <f>IF(TablaVentas[[#This Row],[Costo_unitario]]="","PENDIENTE",TablaVentas[[#This Row],[Unidades]]*TablaVentas[[#This Row],[Costo_unitario]])</f>
        <v>24718.44</v>
      </c>
      <c r="Q989">
        <f>IF(OR(TablaVentas[[#This Row],[Ingreso_neto]]="PENDIENTE",TablaVentas[[#This Row],[Costo_total]]="PENDIENTE"),"PENDIENTE",TablaVentas[[#This Row],[Ingreso_neto]]-TablaVentas[[#This Row],[Costo_total]])</f>
        <v>21064.709999999995</v>
      </c>
    </row>
    <row r="990" spans="1:17">
      <c r="A990" t="s">
        <v>778</v>
      </c>
      <c r="B990">
        <v>1</v>
      </c>
      <c r="C990" s="3">
        <v>46140</v>
      </c>
      <c r="D990" t="s">
        <v>779</v>
      </c>
      <c r="E990" t="s">
        <v>46</v>
      </c>
      <c r="F990" t="s">
        <v>56</v>
      </c>
      <c r="G990" t="s">
        <v>50</v>
      </c>
      <c r="H990" t="s">
        <v>73</v>
      </c>
      <c r="I990">
        <v>1</v>
      </c>
      <c r="J990" s="4">
        <v>4225.88</v>
      </c>
      <c r="K990" s="5">
        <v>0</v>
      </c>
      <c r="L990" s="4">
        <v>2957.6</v>
      </c>
      <c r="M990" t="s">
        <v>42</v>
      </c>
      <c r="N990" t="s">
        <v>60</v>
      </c>
      <c r="O990">
        <f>IF(TablaVentas[[#This Row],[Precio_unitario]]="","PENDIENTE",TablaVentas[[#This Row],[Unidades]]*TablaVentas[[#This Row],[Precio_unitario]]*(1-TablaVentas[[#This Row],[Descuento_pct]]))</f>
        <v>4225.88</v>
      </c>
      <c r="P990">
        <f>IF(TablaVentas[[#This Row],[Costo_unitario]]="","PENDIENTE",TablaVentas[[#This Row],[Unidades]]*TablaVentas[[#This Row],[Costo_unitario]])</f>
        <v>2957.6</v>
      </c>
      <c r="Q990">
        <f>IF(OR(TablaVentas[[#This Row],[Ingreso_neto]]="PENDIENTE",TablaVentas[[#This Row],[Costo_total]]="PENDIENTE"),"PENDIENTE",TablaVentas[[#This Row],[Ingreso_neto]]-TablaVentas[[#This Row],[Costo_total]])</f>
        <v>1268.2800000000002</v>
      </c>
    </row>
    <row r="991" spans="1:17">
      <c r="A991" t="s">
        <v>778</v>
      </c>
      <c r="B991">
        <v>2</v>
      </c>
      <c r="C991" s="3">
        <v>46140</v>
      </c>
      <c r="D991" t="s">
        <v>779</v>
      </c>
      <c r="E991" t="s">
        <v>135</v>
      </c>
      <c r="F991" t="s">
        <v>56</v>
      </c>
      <c r="G991" t="s">
        <v>50</v>
      </c>
      <c r="H991" t="s">
        <v>73</v>
      </c>
      <c r="I991">
        <v>5</v>
      </c>
      <c r="J991" s="4">
        <v>2076</v>
      </c>
      <c r="K991" s="5">
        <v>0</v>
      </c>
      <c r="L991" s="4">
        <v>1529.93</v>
      </c>
      <c r="M991" t="s">
        <v>42</v>
      </c>
      <c r="N991" t="s">
        <v>52</v>
      </c>
      <c r="O991">
        <f>IF(TablaVentas[[#This Row],[Precio_unitario]]="","PENDIENTE",TablaVentas[[#This Row],[Unidades]]*TablaVentas[[#This Row],[Precio_unitario]]*(1-TablaVentas[[#This Row],[Descuento_pct]]))</f>
        <v>10380</v>
      </c>
      <c r="P991">
        <f>IF(TablaVentas[[#This Row],[Costo_unitario]]="","PENDIENTE",TablaVentas[[#This Row],[Unidades]]*TablaVentas[[#This Row],[Costo_unitario]])</f>
        <v>7649.6500000000005</v>
      </c>
      <c r="Q991">
        <f>IF(OR(TablaVentas[[#This Row],[Ingreso_neto]]="PENDIENTE",TablaVentas[[#This Row],[Costo_total]]="PENDIENTE"),"PENDIENTE",TablaVentas[[#This Row],[Ingreso_neto]]-TablaVentas[[#This Row],[Costo_total]])</f>
        <v>2730.3499999999995</v>
      </c>
    </row>
    <row r="992" spans="1:17">
      <c r="A992" t="s">
        <v>778</v>
      </c>
      <c r="B992">
        <v>3</v>
      </c>
      <c r="C992" s="3">
        <v>46140</v>
      </c>
      <c r="D992" t="s">
        <v>779</v>
      </c>
      <c r="E992" t="s">
        <v>172</v>
      </c>
      <c r="F992" t="s">
        <v>56</v>
      </c>
      <c r="G992" t="s">
        <v>50</v>
      </c>
      <c r="H992" t="s">
        <v>73</v>
      </c>
      <c r="I992">
        <v>2</v>
      </c>
      <c r="J992" s="4">
        <v>15808.83</v>
      </c>
      <c r="K992" s="5">
        <v>0</v>
      </c>
      <c r="L992" s="4">
        <v>10830.17</v>
      </c>
      <c r="M992" t="s">
        <v>42</v>
      </c>
      <c r="N992" t="s">
        <v>60</v>
      </c>
      <c r="O992">
        <f>IF(TablaVentas[[#This Row],[Precio_unitario]]="","PENDIENTE",TablaVentas[[#This Row],[Unidades]]*TablaVentas[[#This Row],[Precio_unitario]]*(1-TablaVentas[[#This Row],[Descuento_pct]]))</f>
        <v>31617.66</v>
      </c>
      <c r="P992">
        <f>IF(TablaVentas[[#This Row],[Costo_unitario]]="","PENDIENTE",TablaVentas[[#This Row],[Unidades]]*TablaVentas[[#This Row],[Costo_unitario]])</f>
        <v>21660.34</v>
      </c>
      <c r="Q992">
        <f>IF(OR(TablaVentas[[#This Row],[Ingreso_neto]]="PENDIENTE",TablaVentas[[#This Row],[Costo_total]]="PENDIENTE"),"PENDIENTE",TablaVentas[[#This Row],[Ingreso_neto]]-TablaVentas[[#This Row],[Costo_total]])</f>
        <v>9957.32</v>
      </c>
    </row>
    <row r="993" spans="1:17">
      <c r="A993" t="s">
        <v>780</v>
      </c>
      <c r="B993">
        <v>1</v>
      </c>
      <c r="C993" s="3">
        <v>46225</v>
      </c>
      <c r="D993" t="s">
        <v>544</v>
      </c>
      <c r="E993" t="s">
        <v>245</v>
      </c>
      <c r="F993" t="s">
        <v>77</v>
      </c>
      <c r="G993" t="s">
        <v>50</v>
      </c>
      <c r="H993" t="s">
        <v>67</v>
      </c>
      <c r="I993">
        <v>1</v>
      </c>
      <c r="J993" s="4">
        <v>18592.46</v>
      </c>
      <c r="K993" s="5">
        <v>0.15</v>
      </c>
      <c r="L993" s="4">
        <v>10507.24</v>
      </c>
      <c r="M993" t="s">
        <v>42</v>
      </c>
      <c r="N993" t="s">
        <v>45</v>
      </c>
      <c r="O993">
        <f>IF(TablaVentas[[#This Row],[Precio_unitario]]="","PENDIENTE",TablaVentas[[#This Row],[Unidades]]*TablaVentas[[#This Row],[Precio_unitario]]*(1-TablaVentas[[#This Row],[Descuento_pct]]))</f>
        <v>15803.590999999999</v>
      </c>
      <c r="P993">
        <f>IF(TablaVentas[[#This Row],[Costo_unitario]]="","PENDIENTE",TablaVentas[[#This Row],[Unidades]]*TablaVentas[[#This Row],[Costo_unitario]])</f>
        <v>10507.24</v>
      </c>
      <c r="Q993">
        <f>IF(OR(TablaVentas[[#This Row],[Ingreso_neto]]="PENDIENTE",TablaVentas[[#This Row],[Costo_total]]="PENDIENTE"),"PENDIENTE",TablaVentas[[#This Row],[Ingreso_neto]]-TablaVentas[[#This Row],[Costo_total]])</f>
        <v>5296.3509999999987</v>
      </c>
    </row>
    <row r="994" spans="1:17">
      <c r="A994" t="s">
        <v>780</v>
      </c>
      <c r="B994">
        <v>2</v>
      </c>
      <c r="C994" s="3">
        <v>46225</v>
      </c>
      <c r="D994" t="s">
        <v>544</v>
      </c>
      <c r="E994" t="s">
        <v>70</v>
      </c>
      <c r="F994" t="s">
        <v>77</v>
      </c>
      <c r="G994" t="s">
        <v>50</v>
      </c>
      <c r="H994" t="s">
        <v>67</v>
      </c>
      <c r="I994">
        <v>1</v>
      </c>
      <c r="J994" s="4">
        <v>16004.19</v>
      </c>
      <c r="K994" s="5">
        <v>0.05</v>
      </c>
      <c r="L994" s="4">
        <v>10571.25</v>
      </c>
      <c r="M994" t="s">
        <v>42</v>
      </c>
      <c r="N994" t="s">
        <v>60</v>
      </c>
      <c r="O994">
        <f>IF(TablaVentas[[#This Row],[Precio_unitario]]="","PENDIENTE",TablaVentas[[#This Row],[Unidades]]*TablaVentas[[#This Row],[Precio_unitario]]*(1-TablaVentas[[#This Row],[Descuento_pct]]))</f>
        <v>15203.9805</v>
      </c>
      <c r="P994">
        <f>IF(TablaVentas[[#This Row],[Costo_unitario]]="","PENDIENTE",TablaVentas[[#This Row],[Unidades]]*TablaVentas[[#This Row],[Costo_unitario]])</f>
        <v>10571.25</v>
      </c>
      <c r="Q994">
        <f>IF(OR(TablaVentas[[#This Row],[Ingreso_neto]]="PENDIENTE",TablaVentas[[#This Row],[Costo_total]]="PENDIENTE"),"PENDIENTE",TablaVentas[[#This Row],[Ingreso_neto]]-TablaVentas[[#This Row],[Costo_total]])</f>
        <v>4632.7304999999997</v>
      </c>
    </row>
    <row r="995" spans="1:17">
      <c r="A995" t="s">
        <v>780</v>
      </c>
      <c r="B995">
        <v>3</v>
      </c>
      <c r="C995" s="3">
        <v>46225</v>
      </c>
      <c r="D995" t="s">
        <v>544</v>
      </c>
      <c r="E995" t="s">
        <v>125</v>
      </c>
      <c r="F995" t="s">
        <v>77</v>
      </c>
      <c r="G995" t="s">
        <v>50</v>
      </c>
      <c r="H995" t="s">
        <v>67</v>
      </c>
      <c r="I995">
        <v>1</v>
      </c>
      <c r="J995" s="4">
        <v>1706.59</v>
      </c>
      <c r="K995" s="5">
        <v>0</v>
      </c>
      <c r="L995" s="4">
        <v>1044.32</v>
      </c>
      <c r="M995" t="s">
        <v>42</v>
      </c>
      <c r="N995" t="s">
        <v>43</v>
      </c>
      <c r="O995">
        <f>IF(TablaVentas[[#This Row],[Precio_unitario]]="","PENDIENTE",TablaVentas[[#This Row],[Unidades]]*TablaVentas[[#This Row],[Precio_unitario]]*(1-TablaVentas[[#This Row],[Descuento_pct]]))</f>
        <v>1706.59</v>
      </c>
      <c r="P995">
        <f>IF(TablaVentas[[#This Row],[Costo_unitario]]="","PENDIENTE",TablaVentas[[#This Row],[Unidades]]*TablaVentas[[#This Row],[Costo_unitario]])</f>
        <v>1044.32</v>
      </c>
      <c r="Q995">
        <f>IF(OR(TablaVentas[[#This Row],[Ingreso_neto]]="PENDIENTE",TablaVentas[[#This Row],[Costo_total]]="PENDIENTE"),"PENDIENTE",TablaVentas[[#This Row],[Ingreso_neto]]-TablaVentas[[#This Row],[Costo_total]])</f>
        <v>662.27</v>
      </c>
    </row>
    <row r="996" spans="1:17">
      <c r="A996" t="s">
        <v>780</v>
      </c>
      <c r="B996">
        <v>4</v>
      </c>
      <c r="C996" s="3">
        <v>46225</v>
      </c>
      <c r="D996" t="s">
        <v>544</v>
      </c>
      <c r="E996" t="s">
        <v>196</v>
      </c>
      <c r="F996" t="s">
        <v>77</v>
      </c>
      <c r="G996" t="s">
        <v>50</v>
      </c>
      <c r="H996" t="s">
        <v>67</v>
      </c>
      <c r="I996">
        <v>3</v>
      </c>
      <c r="J996" s="4">
        <v>811.79</v>
      </c>
      <c r="K996" s="5">
        <v>0.1</v>
      </c>
      <c r="L996" s="4">
        <v>485.16</v>
      </c>
      <c r="M996" t="s">
        <v>42</v>
      </c>
      <c r="N996" t="s">
        <v>60</v>
      </c>
      <c r="O996">
        <f>IF(TablaVentas[[#This Row],[Precio_unitario]]="","PENDIENTE",TablaVentas[[#This Row],[Unidades]]*TablaVentas[[#This Row],[Precio_unitario]]*(1-TablaVentas[[#This Row],[Descuento_pct]]))</f>
        <v>2191.8330000000001</v>
      </c>
      <c r="P996">
        <f>IF(TablaVentas[[#This Row],[Costo_unitario]]="","PENDIENTE",TablaVentas[[#This Row],[Unidades]]*TablaVentas[[#This Row],[Costo_unitario]])</f>
        <v>1455.48</v>
      </c>
      <c r="Q996">
        <f>IF(OR(TablaVentas[[#This Row],[Ingreso_neto]]="PENDIENTE",TablaVentas[[#This Row],[Costo_total]]="PENDIENTE"),"PENDIENTE",TablaVentas[[#This Row],[Ingreso_neto]]-TablaVentas[[#This Row],[Costo_total]])</f>
        <v>736.35300000000007</v>
      </c>
    </row>
    <row r="997" spans="1:17">
      <c r="A997" t="s">
        <v>781</v>
      </c>
      <c r="B997">
        <v>1</v>
      </c>
      <c r="C997" s="3">
        <v>46184</v>
      </c>
      <c r="D997" t="s">
        <v>782</v>
      </c>
      <c r="E997" t="s">
        <v>152</v>
      </c>
      <c r="F997" t="s">
        <v>56</v>
      </c>
      <c r="G997" t="s">
        <v>40</v>
      </c>
      <c r="H997" t="s">
        <v>82</v>
      </c>
      <c r="I997">
        <v>3</v>
      </c>
      <c r="J997" s="4">
        <v>2485.1</v>
      </c>
      <c r="K997" s="5">
        <v>0</v>
      </c>
      <c r="L997" s="4">
        <v>1962.3</v>
      </c>
      <c r="M997" t="s">
        <v>42</v>
      </c>
      <c r="N997" t="s">
        <v>45</v>
      </c>
      <c r="O997">
        <f>IF(TablaVentas[[#This Row],[Precio_unitario]]="","PENDIENTE",TablaVentas[[#This Row],[Unidades]]*TablaVentas[[#This Row],[Precio_unitario]]*(1-TablaVentas[[#This Row],[Descuento_pct]]))</f>
        <v>7455.2999999999993</v>
      </c>
      <c r="P997">
        <f>IF(TablaVentas[[#This Row],[Costo_unitario]]="","PENDIENTE",TablaVentas[[#This Row],[Unidades]]*TablaVentas[[#This Row],[Costo_unitario]])</f>
        <v>5886.9</v>
      </c>
      <c r="Q997">
        <f>IF(OR(TablaVentas[[#This Row],[Ingreso_neto]]="PENDIENTE",TablaVentas[[#This Row],[Costo_total]]="PENDIENTE"),"PENDIENTE",TablaVentas[[#This Row],[Ingreso_neto]]-TablaVentas[[#This Row],[Costo_total]])</f>
        <v>1568.3999999999996</v>
      </c>
    </row>
    <row r="998" spans="1:17">
      <c r="A998" t="s">
        <v>781</v>
      </c>
      <c r="B998">
        <v>2</v>
      </c>
      <c r="C998" s="3">
        <v>46184</v>
      </c>
      <c r="D998" t="s">
        <v>782</v>
      </c>
      <c r="E998" t="s">
        <v>163</v>
      </c>
      <c r="F998" t="s">
        <v>56</v>
      </c>
      <c r="G998" t="s">
        <v>40</v>
      </c>
      <c r="H998" t="s">
        <v>82</v>
      </c>
      <c r="I998">
        <v>4</v>
      </c>
      <c r="J998" s="4">
        <v>15362.74</v>
      </c>
      <c r="K998" s="5">
        <v>0</v>
      </c>
      <c r="L998" s="4">
        <v>12141.44</v>
      </c>
      <c r="M998" t="s">
        <v>42</v>
      </c>
      <c r="N998" t="s">
        <v>52</v>
      </c>
      <c r="O998">
        <f>IF(TablaVentas[[#This Row],[Precio_unitario]]="","PENDIENTE",TablaVentas[[#This Row],[Unidades]]*TablaVentas[[#This Row],[Precio_unitario]]*(1-TablaVentas[[#This Row],[Descuento_pct]]))</f>
        <v>61450.96</v>
      </c>
      <c r="P998">
        <f>IF(TablaVentas[[#This Row],[Costo_unitario]]="","PENDIENTE",TablaVentas[[#This Row],[Unidades]]*TablaVentas[[#This Row],[Costo_unitario]])</f>
        <v>48565.760000000002</v>
      </c>
      <c r="Q998">
        <f>IF(OR(TablaVentas[[#This Row],[Ingreso_neto]]="PENDIENTE",TablaVentas[[#This Row],[Costo_total]]="PENDIENTE"),"PENDIENTE",TablaVentas[[#This Row],[Ingreso_neto]]-TablaVentas[[#This Row],[Costo_total]])</f>
        <v>12885.199999999997</v>
      </c>
    </row>
    <row r="999" spans="1:17">
      <c r="A999" t="s">
        <v>783</v>
      </c>
      <c r="B999">
        <v>1</v>
      </c>
      <c r="C999" s="3">
        <v>46134</v>
      </c>
      <c r="D999" t="s">
        <v>80</v>
      </c>
      <c r="E999" t="s">
        <v>321</v>
      </c>
      <c r="F999" t="s">
        <v>66</v>
      </c>
      <c r="G999" t="s">
        <v>50</v>
      </c>
      <c r="H999" t="s">
        <v>102</v>
      </c>
      <c r="I999">
        <v>3</v>
      </c>
      <c r="J999" s="4">
        <v>1352.89</v>
      </c>
      <c r="K999" s="5">
        <v>0.05</v>
      </c>
      <c r="L999" s="4">
        <v>679.37</v>
      </c>
      <c r="M999" t="s">
        <v>42</v>
      </c>
      <c r="N999" t="s">
        <v>43</v>
      </c>
      <c r="O999">
        <f>IF(TablaVentas[[#This Row],[Precio_unitario]]="","PENDIENTE",TablaVentas[[#This Row],[Unidades]]*TablaVentas[[#This Row],[Precio_unitario]]*(1-TablaVentas[[#This Row],[Descuento_pct]]))</f>
        <v>3855.7365</v>
      </c>
      <c r="P999">
        <f>IF(TablaVentas[[#This Row],[Costo_unitario]]="","PENDIENTE",TablaVentas[[#This Row],[Unidades]]*TablaVentas[[#This Row],[Costo_unitario]])</f>
        <v>2038.1100000000001</v>
      </c>
      <c r="Q999">
        <f>IF(OR(TablaVentas[[#This Row],[Ingreso_neto]]="PENDIENTE",TablaVentas[[#This Row],[Costo_total]]="PENDIENTE"),"PENDIENTE",TablaVentas[[#This Row],[Ingreso_neto]]-TablaVentas[[#This Row],[Costo_total]])</f>
        <v>1817.6264999999999</v>
      </c>
    </row>
    <row r="1000" spans="1:17">
      <c r="A1000" t="s">
        <v>784</v>
      </c>
      <c r="B1000">
        <v>1</v>
      </c>
      <c r="C1000" s="3">
        <v>46281</v>
      </c>
      <c r="D1000" t="s">
        <v>289</v>
      </c>
      <c r="E1000" t="s">
        <v>335</v>
      </c>
      <c r="F1000" t="s">
        <v>56</v>
      </c>
      <c r="G1000" t="s">
        <v>50</v>
      </c>
      <c r="H1000" t="s">
        <v>67</v>
      </c>
      <c r="I1000">
        <v>3</v>
      </c>
      <c r="J1000" s="4">
        <v>6622.29</v>
      </c>
      <c r="K1000" s="5">
        <v>0.15</v>
      </c>
      <c r="L1000" s="4">
        <v>5587.31</v>
      </c>
      <c r="M1000" t="s">
        <v>116</v>
      </c>
      <c r="N1000" t="s">
        <v>60</v>
      </c>
      <c r="O1000">
        <f>IF(TablaVentas[[#This Row],[Precio_unitario]]="","PENDIENTE",TablaVentas[[#This Row],[Unidades]]*TablaVentas[[#This Row],[Precio_unitario]]*(1-TablaVentas[[#This Row],[Descuento_pct]]))</f>
        <v>16886.839499999998</v>
      </c>
      <c r="P1000">
        <f>IF(TablaVentas[[#This Row],[Costo_unitario]]="","PENDIENTE",TablaVentas[[#This Row],[Unidades]]*TablaVentas[[#This Row],[Costo_unitario]])</f>
        <v>16761.93</v>
      </c>
      <c r="Q1000">
        <f>IF(OR(TablaVentas[[#This Row],[Ingreso_neto]]="PENDIENTE",TablaVentas[[#This Row],[Costo_total]]="PENDIENTE"),"PENDIENTE",TablaVentas[[#This Row],[Ingreso_neto]]-TablaVentas[[#This Row],[Costo_total]])</f>
        <v>124.90949999999793</v>
      </c>
    </row>
    <row r="1001" spans="1:17">
      <c r="A1001" t="s">
        <v>784</v>
      </c>
      <c r="B1001">
        <v>2</v>
      </c>
      <c r="C1001" s="3">
        <v>46281</v>
      </c>
      <c r="D1001" t="s">
        <v>289</v>
      </c>
      <c r="E1001" t="s">
        <v>103</v>
      </c>
      <c r="F1001" t="s">
        <v>56</v>
      </c>
      <c r="G1001" t="s">
        <v>50</v>
      </c>
      <c r="H1001" t="s">
        <v>67</v>
      </c>
      <c r="I1001">
        <v>8</v>
      </c>
      <c r="J1001" s="4">
        <v>12141.09</v>
      </c>
      <c r="K1001" s="5">
        <v>0.2</v>
      </c>
      <c r="L1001" s="4">
        <v>7549.71</v>
      </c>
      <c r="M1001" t="s">
        <v>42</v>
      </c>
      <c r="N1001" t="s">
        <v>52</v>
      </c>
      <c r="O1001">
        <f>IF(TablaVentas[[#This Row],[Precio_unitario]]="","PENDIENTE",TablaVentas[[#This Row],[Unidades]]*TablaVentas[[#This Row],[Precio_unitario]]*(1-TablaVentas[[#This Row],[Descuento_pct]]))</f>
        <v>77702.97600000001</v>
      </c>
      <c r="P1001">
        <f>IF(TablaVentas[[#This Row],[Costo_unitario]]="","PENDIENTE",TablaVentas[[#This Row],[Unidades]]*TablaVentas[[#This Row],[Costo_unitario]])</f>
        <v>60397.68</v>
      </c>
      <c r="Q1001">
        <f>IF(OR(TablaVentas[[#This Row],[Ingreso_neto]]="PENDIENTE",TablaVentas[[#This Row],[Costo_total]]="PENDIENTE"),"PENDIENTE",TablaVentas[[#This Row],[Ingreso_neto]]-TablaVentas[[#This Row],[Costo_total]])</f>
        <v>17305.296000000009</v>
      </c>
    </row>
    <row r="1002" spans="1:17">
      <c r="A1002" t="s">
        <v>784</v>
      </c>
      <c r="B1002">
        <v>3</v>
      </c>
      <c r="C1002" s="3">
        <v>46281</v>
      </c>
      <c r="D1002" t="s">
        <v>289</v>
      </c>
      <c r="E1002" t="s">
        <v>217</v>
      </c>
      <c r="F1002" t="s">
        <v>56</v>
      </c>
      <c r="G1002" t="s">
        <v>50</v>
      </c>
      <c r="H1002" t="s">
        <v>67</v>
      </c>
      <c r="I1002">
        <v>1</v>
      </c>
      <c r="J1002" s="4">
        <v>15883.32</v>
      </c>
      <c r="K1002" s="5">
        <v>0.15</v>
      </c>
      <c r="L1002" s="4">
        <v>14161.63</v>
      </c>
      <c r="M1002" t="s">
        <v>42</v>
      </c>
      <c r="N1002" t="s">
        <v>60</v>
      </c>
      <c r="O1002">
        <f>IF(TablaVentas[[#This Row],[Precio_unitario]]="","PENDIENTE",TablaVentas[[#This Row],[Unidades]]*TablaVentas[[#This Row],[Precio_unitario]]*(1-TablaVentas[[#This Row],[Descuento_pct]]))</f>
        <v>13500.822</v>
      </c>
      <c r="P1002">
        <f>IF(TablaVentas[[#This Row],[Costo_unitario]]="","PENDIENTE",TablaVentas[[#This Row],[Unidades]]*TablaVentas[[#This Row],[Costo_unitario]])</f>
        <v>14161.63</v>
      </c>
      <c r="Q1002">
        <f>IF(OR(TablaVentas[[#This Row],[Ingreso_neto]]="PENDIENTE",TablaVentas[[#This Row],[Costo_total]]="PENDIENTE"),"PENDIENTE",TablaVentas[[#This Row],[Ingreso_neto]]-TablaVentas[[#This Row],[Costo_total]])</f>
        <v>-660.80799999999908</v>
      </c>
    </row>
    <row r="1003" spans="1:17">
      <c r="A1003" t="s">
        <v>785</v>
      </c>
      <c r="B1003">
        <v>1</v>
      </c>
      <c r="C1003" s="3">
        <v>46105</v>
      </c>
      <c r="D1003" t="s">
        <v>505</v>
      </c>
      <c r="E1003" t="s">
        <v>152</v>
      </c>
      <c r="F1003" t="s">
        <v>56</v>
      </c>
      <c r="G1003" t="s">
        <v>50</v>
      </c>
      <c r="H1003" t="s">
        <v>124</v>
      </c>
      <c r="I1003">
        <v>2</v>
      </c>
      <c r="J1003" s="4">
        <v>2645.38</v>
      </c>
      <c r="K1003" s="5">
        <v>0</v>
      </c>
      <c r="L1003" s="4">
        <v>1962.3</v>
      </c>
      <c r="M1003" t="s">
        <v>42</v>
      </c>
      <c r="N1003" t="s">
        <v>45</v>
      </c>
      <c r="O1003">
        <f>IF(TablaVentas[[#This Row],[Precio_unitario]]="","PENDIENTE",TablaVentas[[#This Row],[Unidades]]*TablaVentas[[#This Row],[Precio_unitario]]*(1-TablaVentas[[#This Row],[Descuento_pct]]))</f>
        <v>5290.76</v>
      </c>
      <c r="P1003">
        <f>IF(TablaVentas[[#This Row],[Costo_unitario]]="","PENDIENTE",TablaVentas[[#This Row],[Unidades]]*TablaVentas[[#This Row],[Costo_unitario]])</f>
        <v>3924.6</v>
      </c>
      <c r="Q1003">
        <f>IF(OR(TablaVentas[[#This Row],[Ingreso_neto]]="PENDIENTE",TablaVentas[[#This Row],[Costo_total]]="PENDIENTE"),"PENDIENTE",TablaVentas[[#This Row],[Ingreso_neto]]-TablaVentas[[#This Row],[Costo_total]])</f>
        <v>1366.1600000000003</v>
      </c>
    </row>
    <row r="1004" spans="1:17">
      <c r="A1004" t="s">
        <v>786</v>
      </c>
      <c r="B1004">
        <v>1</v>
      </c>
      <c r="C1004" s="3">
        <v>46124</v>
      </c>
      <c r="D1004" t="s">
        <v>518</v>
      </c>
      <c r="E1004" t="s">
        <v>172</v>
      </c>
      <c r="F1004" t="s">
        <v>66</v>
      </c>
      <c r="G1004" t="s">
        <v>50</v>
      </c>
      <c r="H1004" t="s">
        <v>184</v>
      </c>
      <c r="I1004">
        <v>2</v>
      </c>
      <c r="J1004" s="4">
        <v>17708.330000000002</v>
      </c>
      <c r="K1004" s="5">
        <v>0.05</v>
      </c>
      <c r="L1004" s="4">
        <v>10830.17</v>
      </c>
      <c r="M1004" t="s">
        <v>42</v>
      </c>
      <c r="N1004" t="s">
        <v>60</v>
      </c>
      <c r="O1004">
        <f>IF(TablaVentas[[#This Row],[Precio_unitario]]="","PENDIENTE",TablaVentas[[#This Row],[Unidades]]*TablaVentas[[#This Row],[Precio_unitario]]*(1-TablaVentas[[#This Row],[Descuento_pct]]))</f>
        <v>33645.827000000005</v>
      </c>
      <c r="P1004">
        <f>IF(TablaVentas[[#This Row],[Costo_unitario]]="","PENDIENTE",TablaVentas[[#This Row],[Unidades]]*TablaVentas[[#This Row],[Costo_unitario]])</f>
        <v>21660.34</v>
      </c>
      <c r="Q1004">
        <f>IF(OR(TablaVentas[[#This Row],[Ingreso_neto]]="PENDIENTE",TablaVentas[[#This Row],[Costo_total]]="PENDIENTE"),"PENDIENTE",TablaVentas[[#This Row],[Ingreso_neto]]-TablaVentas[[#This Row],[Costo_total]])</f>
        <v>11985.487000000005</v>
      </c>
    </row>
    <row r="1005" spans="1:17">
      <c r="A1005" t="s">
        <v>786</v>
      </c>
      <c r="B1005">
        <v>2</v>
      </c>
      <c r="C1005" s="3">
        <v>46124</v>
      </c>
      <c r="D1005" t="s">
        <v>518</v>
      </c>
      <c r="E1005" t="s">
        <v>101</v>
      </c>
      <c r="F1005" t="s">
        <v>66</v>
      </c>
      <c r="G1005" t="s">
        <v>50</v>
      </c>
      <c r="H1005" t="s">
        <v>184</v>
      </c>
      <c r="I1005">
        <v>1</v>
      </c>
      <c r="J1005" s="4">
        <v>4464.62</v>
      </c>
      <c r="K1005" s="5">
        <v>0</v>
      </c>
      <c r="L1005" s="4">
        <v>2865.24</v>
      </c>
      <c r="M1005" t="s">
        <v>42</v>
      </c>
      <c r="N1005" t="s">
        <v>43</v>
      </c>
      <c r="O1005">
        <f>IF(TablaVentas[[#This Row],[Precio_unitario]]="","PENDIENTE",TablaVentas[[#This Row],[Unidades]]*TablaVentas[[#This Row],[Precio_unitario]]*(1-TablaVentas[[#This Row],[Descuento_pct]]))</f>
        <v>4464.62</v>
      </c>
      <c r="P1005">
        <f>IF(TablaVentas[[#This Row],[Costo_unitario]]="","PENDIENTE",TablaVentas[[#This Row],[Unidades]]*TablaVentas[[#This Row],[Costo_unitario]])</f>
        <v>2865.24</v>
      </c>
      <c r="Q1005">
        <f>IF(OR(TablaVentas[[#This Row],[Ingreso_neto]]="PENDIENTE",TablaVentas[[#This Row],[Costo_total]]="PENDIENTE"),"PENDIENTE",TablaVentas[[#This Row],[Ingreso_neto]]-TablaVentas[[#This Row],[Costo_total]])</f>
        <v>1599.38</v>
      </c>
    </row>
    <row r="1006" spans="1:17">
      <c r="A1006" t="s">
        <v>787</v>
      </c>
      <c r="B1006">
        <v>1</v>
      </c>
      <c r="C1006" s="3">
        <v>46251</v>
      </c>
      <c r="D1006" t="s">
        <v>300</v>
      </c>
      <c r="E1006" t="s">
        <v>97</v>
      </c>
      <c r="F1006" t="s">
        <v>39</v>
      </c>
      <c r="G1006" t="s">
        <v>57</v>
      </c>
      <c r="H1006" t="s">
        <v>73</v>
      </c>
      <c r="I1006">
        <v>2</v>
      </c>
      <c r="J1006" s="4">
        <v>16148.93</v>
      </c>
      <c r="K1006" s="5">
        <v>0.15</v>
      </c>
      <c r="L1006" s="4">
        <v>11424.77</v>
      </c>
      <c r="M1006" t="s">
        <v>62</v>
      </c>
      <c r="N1006" t="s">
        <v>43</v>
      </c>
      <c r="O1006">
        <f>IF(TablaVentas[[#This Row],[Precio_unitario]]="","PENDIENTE",TablaVentas[[#This Row],[Unidades]]*TablaVentas[[#This Row],[Precio_unitario]]*(1-TablaVentas[[#This Row],[Descuento_pct]]))</f>
        <v>27453.181</v>
      </c>
      <c r="P1006">
        <f>IF(TablaVentas[[#This Row],[Costo_unitario]]="","PENDIENTE",TablaVentas[[#This Row],[Unidades]]*TablaVentas[[#This Row],[Costo_unitario]])</f>
        <v>22849.54</v>
      </c>
      <c r="Q1006">
        <f>IF(OR(TablaVentas[[#This Row],[Ingreso_neto]]="PENDIENTE",TablaVentas[[#This Row],[Costo_total]]="PENDIENTE"),"PENDIENTE",TablaVentas[[#This Row],[Ingreso_neto]]-TablaVentas[[#This Row],[Costo_total]])</f>
        <v>4603.6409999999996</v>
      </c>
    </row>
    <row r="1007" spans="1:17">
      <c r="A1007" t="s">
        <v>787</v>
      </c>
      <c r="B1007">
        <v>2</v>
      </c>
      <c r="C1007" s="3">
        <v>46251</v>
      </c>
      <c r="D1007" t="s">
        <v>300</v>
      </c>
      <c r="E1007" t="s">
        <v>216</v>
      </c>
      <c r="F1007" t="s">
        <v>39</v>
      </c>
      <c r="G1007" t="s">
        <v>57</v>
      </c>
      <c r="H1007" t="s">
        <v>73</v>
      </c>
      <c r="I1007">
        <v>3</v>
      </c>
      <c r="J1007" s="4">
        <v>14918.13</v>
      </c>
      <c r="K1007" s="5">
        <v>0.1</v>
      </c>
      <c r="L1007" s="4">
        <v>12064.41</v>
      </c>
      <c r="M1007" t="s">
        <v>42</v>
      </c>
      <c r="N1007" t="s">
        <v>43</v>
      </c>
      <c r="O1007">
        <f>IF(TablaVentas[[#This Row],[Precio_unitario]]="","PENDIENTE",TablaVentas[[#This Row],[Unidades]]*TablaVentas[[#This Row],[Precio_unitario]]*(1-TablaVentas[[#This Row],[Descuento_pct]]))</f>
        <v>40278.951000000001</v>
      </c>
      <c r="P1007">
        <f>IF(TablaVentas[[#This Row],[Costo_unitario]]="","PENDIENTE",TablaVentas[[#This Row],[Unidades]]*TablaVentas[[#This Row],[Costo_unitario]])</f>
        <v>36193.229999999996</v>
      </c>
      <c r="Q1007">
        <f>IF(OR(TablaVentas[[#This Row],[Ingreso_neto]]="PENDIENTE",TablaVentas[[#This Row],[Costo_total]]="PENDIENTE"),"PENDIENTE",TablaVentas[[#This Row],[Ingreso_neto]]-TablaVentas[[#This Row],[Costo_total]])</f>
        <v>4085.721000000005</v>
      </c>
    </row>
    <row r="1008" spans="1:17">
      <c r="A1008" t="s">
        <v>787</v>
      </c>
      <c r="B1008">
        <v>3</v>
      </c>
      <c r="C1008" s="3">
        <v>46251</v>
      </c>
      <c r="D1008" t="s">
        <v>300</v>
      </c>
      <c r="E1008" t="s">
        <v>172</v>
      </c>
      <c r="F1008" t="s">
        <v>39</v>
      </c>
      <c r="G1008" t="s">
        <v>57</v>
      </c>
      <c r="H1008" t="s">
        <v>73</v>
      </c>
      <c r="I1008">
        <v>1</v>
      </c>
      <c r="J1008" s="4">
        <v>17174.740000000002</v>
      </c>
      <c r="K1008" s="5">
        <v>0</v>
      </c>
      <c r="L1008" s="4">
        <v>10830.17</v>
      </c>
      <c r="M1008" t="s">
        <v>42</v>
      </c>
      <c r="N1008" t="s">
        <v>52</v>
      </c>
      <c r="O1008">
        <f>IF(TablaVentas[[#This Row],[Precio_unitario]]="","PENDIENTE",TablaVentas[[#This Row],[Unidades]]*TablaVentas[[#This Row],[Precio_unitario]]*(1-TablaVentas[[#This Row],[Descuento_pct]]))</f>
        <v>17174.740000000002</v>
      </c>
      <c r="P1008">
        <f>IF(TablaVentas[[#This Row],[Costo_unitario]]="","PENDIENTE",TablaVentas[[#This Row],[Unidades]]*TablaVentas[[#This Row],[Costo_unitario]])</f>
        <v>10830.17</v>
      </c>
      <c r="Q1008">
        <f>IF(OR(TablaVentas[[#This Row],[Ingreso_neto]]="PENDIENTE",TablaVentas[[#This Row],[Costo_total]]="PENDIENTE"),"PENDIENTE",TablaVentas[[#This Row],[Ingreso_neto]]-TablaVentas[[#This Row],[Costo_total]])</f>
        <v>6344.5700000000015</v>
      </c>
    </row>
    <row r="1009" spans="1:17">
      <c r="A1009" t="s">
        <v>788</v>
      </c>
      <c r="B1009">
        <v>1</v>
      </c>
      <c r="C1009" s="3">
        <v>46186</v>
      </c>
      <c r="D1009" t="s">
        <v>635</v>
      </c>
      <c r="E1009" t="s">
        <v>211</v>
      </c>
      <c r="F1009" t="s">
        <v>77</v>
      </c>
      <c r="G1009" t="s">
        <v>50</v>
      </c>
      <c r="H1009" t="s">
        <v>102</v>
      </c>
      <c r="I1009">
        <v>1</v>
      </c>
      <c r="J1009" s="4">
        <v>18847.91</v>
      </c>
      <c r="K1009" s="5">
        <v>0</v>
      </c>
      <c r="L1009" s="4">
        <v>13760.53</v>
      </c>
      <c r="M1009" t="s">
        <v>42</v>
      </c>
      <c r="N1009" t="s">
        <v>60</v>
      </c>
      <c r="O1009">
        <f>IF(TablaVentas[[#This Row],[Precio_unitario]]="","PENDIENTE",TablaVentas[[#This Row],[Unidades]]*TablaVentas[[#This Row],[Precio_unitario]]*(1-TablaVentas[[#This Row],[Descuento_pct]]))</f>
        <v>18847.91</v>
      </c>
      <c r="P1009">
        <f>IF(TablaVentas[[#This Row],[Costo_unitario]]="","PENDIENTE",TablaVentas[[#This Row],[Unidades]]*TablaVentas[[#This Row],[Costo_unitario]])</f>
        <v>13760.53</v>
      </c>
      <c r="Q1009">
        <f>IF(OR(TablaVentas[[#This Row],[Ingreso_neto]]="PENDIENTE",TablaVentas[[#This Row],[Costo_total]]="PENDIENTE"),"PENDIENTE",TablaVentas[[#This Row],[Ingreso_neto]]-TablaVentas[[#This Row],[Costo_total]])</f>
        <v>5087.3799999999992</v>
      </c>
    </row>
    <row r="1010" spans="1:17">
      <c r="A1010" t="s">
        <v>788</v>
      </c>
      <c r="B1010">
        <v>2</v>
      </c>
      <c r="C1010" s="3">
        <v>46186</v>
      </c>
      <c r="D1010" t="s">
        <v>635</v>
      </c>
      <c r="E1010" t="s">
        <v>65</v>
      </c>
      <c r="F1010" t="s">
        <v>77</v>
      </c>
      <c r="G1010" t="s">
        <v>50</v>
      </c>
      <c r="H1010" t="s">
        <v>102</v>
      </c>
      <c r="I1010">
        <v>1</v>
      </c>
      <c r="J1010" s="4">
        <v>12027.89</v>
      </c>
      <c r="K1010" s="5">
        <v>0</v>
      </c>
      <c r="L1010" s="4">
        <v>7328.02</v>
      </c>
      <c r="M1010" t="s">
        <v>116</v>
      </c>
      <c r="N1010" t="s">
        <v>43</v>
      </c>
      <c r="O1010">
        <f>IF(TablaVentas[[#This Row],[Precio_unitario]]="","PENDIENTE",TablaVentas[[#This Row],[Unidades]]*TablaVentas[[#This Row],[Precio_unitario]]*(1-TablaVentas[[#This Row],[Descuento_pct]]))</f>
        <v>12027.89</v>
      </c>
      <c r="P1010">
        <f>IF(TablaVentas[[#This Row],[Costo_unitario]]="","PENDIENTE",TablaVentas[[#This Row],[Unidades]]*TablaVentas[[#This Row],[Costo_unitario]])</f>
        <v>7328.02</v>
      </c>
      <c r="Q1010">
        <f>IF(OR(TablaVentas[[#This Row],[Ingreso_neto]]="PENDIENTE",TablaVentas[[#This Row],[Costo_total]]="PENDIENTE"),"PENDIENTE",TablaVentas[[#This Row],[Ingreso_neto]]-TablaVentas[[#This Row],[Costo_total]])</f>
        <v>4699.869999999999</v>
      </c>
    </row>
    <row r="1011" spans="1:17">
      <c r="A1011" t="s">
        <v>789</v>
      </c>
      <c r="B1011">
        <v>1</v>
      </c>
      <c r="C1011" s="3">
        <v>46091</v>
      </c>
      <c r="D1011" t="s">
        <v>790</v>
      </c>
      <c r="E1011" t="s">
        <v>216</v>
      </c>
      <c r="F1011" t="s">
        <v>66</v>
      </c>
      <c r="G1011" t="s">
        <v>40</v>
      </c>
      <c r="H1011" t="s">
        <v>51</v>
      </c>
      <c r="I1011">
        <v>2</v>
      </c>
      <c r="J1011" s="4">
        <v>16150.8</v>
      </c>
      <c r="K1011" s="5">
        <v>0</v>
      </c>
      <c r="L1011" s="4">
        <v>12064.41</v>
      </c>
      <c r="M1011" t="s">
        <v>42</v>
      </c>
      <c r="N1011" t="s">
        <v>45</v>
      </c>
      <c r="O1011">
        <f>IF(TablaVentas[[#This Row],[Precio_unitario]]="","PENDIENTE",TablaVentas[[#This Row],[Unidades]]*TablaVentas[[#This Row],[Precio_unitario]]*(1-TablaVentas[[#This Row],[Descuento_pct]]))</f>
        <v>32301.599999999999</v>
      </c>
      <c r="P1011">
        <f>IF(TablaVentas[[#This Row],[Costo_unitario]]="","PENDIENTE",TablaVentas[[#This Row],[Unidades]]*TablaVentas[[#This Row],[Costo_unitario]])</f>
        <v>24128.82</v>
      </c>
      <c r="Q1011">
        <f>IF(OR(TablaVentas[[#This Row],[Ingreso_neto]]="PENDIENTE",TablaVentas[[#This Row],[Costo_total]]="PENDIENTE"),"PENDIENTE",TablaVentas[[#This Row],[Ingreso_neto]]-TablaVentas[[#This Row],[Costo_total]])</f>
        <v>8172.7799999999988</v>
      </c>
    </row>
    <row r="1012" spans="1:17">
      <c r="A1012" t="s">
        <v>791</v>
      </c>
      <c r="B1012">
        <v>1</v>
      </c>
      <c r="C1012" s="3">
        <v>46274</v>
      </c>
      <c r="D1012" t="s">
        <v>792</v>
      </c>
      <c r="E1012" t="s">
        <v>335</v>
      </c>
      <c r="F1012" t="s">
        <v>39</v>
      </c>
      <c r="G1012" t="s">
        <v>40</v>
      </c>
      <c r="H1012" t="s">
        <v>73</v>
      </c>
      <c r="I1012">
        <v>3</v>
      </c>
      <c r="J1012" s="4">
        <v>6647.7</v>
      </c>
      <c r="K1012" s="5">
        <v>0.15</v>
      </c>
      <c r="L1012" s="4">
        <v>5587.31</v>
      </c>
      <c r="M1012" t="s">
        <v>42</v>
      </c>
      <c r="N1012" t="s">
        <v>52</v>
      </c>
      <c r="O1012">
        <f>IF(TablaVentas[[#This Row],[Precio_unitario]]="","PENDIENTE",TablaVentas[[#This Row],[Unidades]]*TablaVentas[[#This Row],[Precio_unitario]]*(1-TablaVentas[[#This Row],[Descuento_pct]]))</f>
        <v>16951.634999999998</v>
      </c>
      <c r="P1012">
        <f>IF(TablaVentas[[#This Row],[Costo_unitario]]="","PENDIENTE",TablaVentas[[#This Row],[Unidades]]*TablaVentas[[#This Row],[Costo_unitario]])</f>
        <v>16761.93</v>
      </c>
      <c r="Q1012">
        <f>IF(OR(TablaVentas[[#This Row],[Ingreso_neto]]="PENDIENTE",TablaVentas[[#This Row],[Costo_total]]="PENDIENTE"),"PENDIENTE",TablaVentas[[#This Row],[Ingreso_neto]]-TablaVentas[[#This Row],[Costo_total]])</f>
        <v>189.70499999999811</v>
      </c>
    </row>
    <row r="1013" spans="1:17">
      <c r="A1013" t="s">
        <v>791</v>
      </c>
      <c r="B1013">
        <v>2</v>
      </c>
      <c r="C1013" s="3">
        <v>46274</v>
      </c>
      <c r="D1013" t="s">
        <v>792</v>
      </c>
      <c r="E1013" t="s">
        <v>245</v>
      </c>
      <c r="F1013" t="s">
        <v>39</v>
      </c>
      <c r="G1013" t="s">
        <v>40</v>
      </c>
      <c r="H1013" t="s">
        <v>73</v>
      </c>
      <c r="I1013">
        <v>2</v>
      </c>
      <c r="J1013" s="4">
        <v>18105.47</v>
      </c>
      <c r="K1013" s="5">
        <v>0</v>
      </c>
      <c r="L1013" s="4">
        <v>10507.24</v>
      </c>
      <c r="M1013" t="s">
        <v>42</v>
      </c>
      <c r="N1013" t="s">
        <v>60</v>
      </c>
      <c r="O1013">
        <f>IF(TablaVentas[[#This Row],[Precio_unitario]]="","PENDIENTE",TablaVentas[[#This Row],[Unidades]]*TablaVentas[[#This Row],[Precio_unitario]]*(1-TablaVentas[[#This Row],[Descuento_pct]]))</f>
        <v>36210.94</v>
      </c>
      <c r="P1013">
        <f>IF(TablaVentas[[#This Row],[Costo_unitario]]="","PENDIENTE",TablaVentas[[#This Row],[Unidades]]*TablaVentas[[#This Row],[Costo_unitario]])</f>
        <v>21014.48</v>
      </c>
      <c r="Q1013">
        <f>IF(OR(TablaVentas[[#This Row],[Ingreso_neto]]="PENDIENTE",TablaVentas[[#This Row],[Costo_total]]="PENDIENTE"),"PENDIENTE",TablaVentas[[#This Row],[Ingreso_neto]]-TablaVentas[[#This Row],[Costo_total]])</f>
        <v>15196.460000000003</v>
      </c>
    </row>
    <row r="1014" spans="1:17">
      <c r="A1014" t="s">
        <v>791</v>
      </c>
      <c r="B1014">
        <v>3</v>
      </c>
      <c r="C1014" s="3">
        <v>46274</v>
      </c>
      <c r="D1014" t="s">
        <v>792</v>
      </c>
      <c r="E1014" t="s">
        <v>271</v>
      </c>
      <c r="F1014" t="s">
        <v>39</v>
      </c>
      <c r="G1014" t="s">
        <v>40</v>
      </c>
      <c r="H1014" t="s">
        <v>73</v>
      </c>
      <c r="I1014">
        <v>5</v>
      </c>
      <c r="J1014" s="4">
        <v>1160.17</v>
      </c>
      <c r="K1014" s="5">
        <v>0.1</v>
      </c>
      <c r="L1014" s="4">
        <v>759.03</v>
      </c>
      <c r="M1014" t="s">
        <v>42</v>
      </c>
      <c r="N1014" t="s">
        <v>43</v>
      </c>
      <c r="O1014">
        <f>IF(TablaVentas[[#This Row],[Precio_unitario]]="","PENDIENTE",TablaVentas[[#This Row],[Unidades]]*TablaVentas[[#This Row],[Precio_unitario]]*(1-TablaVentas[[#This Row],[Descuento_pct]]))</f>
        <v>5220.7650000000003</v>
      </c>
      <c r="P1014">
        <f>IF(TablaVentas[[#This Row],[Costo_unitario]]="","PENDIENTE",TablaVentas[[#This Row],[Unidades]]*TablaVentas[[#This Row],[Costo_unitario]])</f>
        <v>3795.1499999999996</v>
      </c>
      <c r="Q1014">
        <f>IF(OR(TablaVentas[[#This Row],[Ingreso_neto]]="PENDIENTE",TablaVentas[[#This Row],[Costo_total]]="PENDIENTE"),"PENDIENTE",TablaVentas[[#This Row],[Ingreso_neto]]-TablaVentas[[#This Row],[Costo_total]])</f>
        <v>1425.6150000000007</v>
      </c>
    </row>
    <row r="1015" spans="1:17">
      <c r="A1015" t="s">
        <v>791</v>
      </c>
      <c r="B1015">
        <v>4</v>
      </c>
      <c r="C1015" s="3">
        <v>46274</v>
      </c>
      <c r="D1015" t="s">
        <v>792</v>
      </c>
      <c r="E1015" t="s">
        <v>212</v>
      </c>
      <c r="F1015" t="s">
        <v>39</v>
      </c>
      <c r="G1015" t="s">
        <v>40</v>
      </c>
      <c r="H1015" t="s">
        <v>73</v>
      </c>
      <c r="I1015">
        <v>2</v>
      </c>
      <c r="J1015" s="4">
        <v>3607.1</v>
      </c>
      <c r="K1015" s="5">
        <v>0.15</v>
      </c>
      <c r="L1015" s="4">
        <v>2157.5500000000002</v>
      </c>
      <c r="M1015" t="s">
        <v>42</v>
      </c>
      <c r="N1015" t="s">
        <v>52</v>
      </c>
      <c r="O1015">
        <f>IF(TablaVentas[[#This Row],[Precio_unitario]]="","PENDIENTE",TablaVentas[[#This Row],[Unidades]]*TablaVentas[[#This Row],[Precio_unitario]]*(1-TablaVentas[[#This Row],[Descuento_pct]]))</f>
        <v>6132.07</v>
      </c>
      <c r="P1015">
        <f>IF(TablaVentas[[#This Row],[Costo_unitario]]="","PENDIENTE",TablaVentas[[#This Row],[Unidades]]*TablaVentas[[#This Row],[Costo_unitario]])</f>
        <v>4315.1000000000004</v>
      </c>
      <c r="Q1015">
        <f>IF(OR(TablaVentas[[#This Row],[Ingreso_neto]]="PENDIENTE",TablaVentas[[#This Row],[Costo_total]]="PENDIENTE"),"PENDIENTE",TablaVentas[[#This Row],[Ingreso_neto]]-TablaVentas[[#This Row],[Costo_total]])</f>
        <v>1816.9699999999993</v>
      </c>
    </row>
    <row r="1016" spans="1:17">
      <c r="A1016" t="s">
        <v>791</v>
      </c>
      <c r="B1016">
        <v>5</v>
      </c>
      <c r="C1016" s="3">
        <v>46274</v>
      </c>
      <c r="D1016" t="s">
        <v>792</v>
      </c>
      <c r="E1016" t="s">
        <v>138</v>
      </c>
      <c r="F1016" t="s">
        <v>39</v>
      </c>
      <c r="G1016" t="s">
        <v>40</v>
      </c>
      <c r="H1016" t="s">
        <v>73</v>
      </c>
      <c r="I1016">
        <v>4</v>
      </c>
      <c r="J1016" s="4">
        <v>7059.01</v>
      </c>
      <c r="K1016" s="5">
        <v>0</v>
      </c>
      <c r="L1016" s="4">
        <v>4665.62</v>
      </c>
      <c r="M1016" t="s">
        <v>42</v>
      </c>
      <c r="N1016" t="s">
        <v>52</v>
      </c>
      <c r="O1016">
        <f>IF(TablaVentas[[#This Row],[Precio_unitario]]="","PENDIENTE",TablaVentas[[#This Row],[Unidades]]*TablaVentas[[#This Row],[Precio_unitario]]*(1-TablaVentas[[#This Row],[Descuento_pct]]))</f>
        <v>28236.04</v>
      </c>
      <c r="P1016">
        <f>IF(TablaVentas[[#This Row],[Costo_unitario]]="","PENDIENTE",TablaVentas[[#This Row],[Unidades]]*TablaVentas[[#This Row],[Costo_unitario]])</f>
        <v>18662.48</v>
      </c>
      <c r="Q1016">
        <f>IF(OR(TablaVentas[[#This Row],[Ingreso_neto]]="PENDIENTE",TablaVentas[[#This Row],[Costo_total]]="PENDIENTE"),"PENDIENTE",TablaVentas[[#This Row],[Ingreso_neto]]-TablaVentas[[#This Row],[Costo_total]])</f>
        <v>9573.5600000000013</v>
      </c>
    </row>
    <row r="1017" spans="1:17">
      <c r="A1017" t="s">
        <v>793</v>
      </c>
      <c r="B1017">
        <v>1</v>
      </c>
      <c r="C1017" s="3">
        <v>46034</v>
      </c>
      <c r="D1017" t="s">
        <v>737</v>
      </c>
      <c r="E1017" t="s">
        <v>148</v>
      </c>
      <c r="F1017" t="s">
        <v>39</v>
      </c>
      <c r="G1017" t="s">
        <v>40</v>
      </c>
      <c r="H1017" t="s">
        <v>82</v>
      </c>
      <c r="I1017">
        <v>1</v>
      </c>
      <c r="J1017" s="4">
        <v>2744.99</v>
      </c>
      <c r="K1017" s="5">
        <v>0.1</v>
      </c>
      <c r="L1017" s="4">
        <v>2459.34</v>
      </c>
      <c r="M1017" t="s">
        <v>116</v>
      </c>
      <c r="N1017" t="s">
        <v>45</v>
      </c>
      <c r="O1017">
        <f>IF(TablaVentas[[#This Row],[Precio_unitario]]="","PENDIENTE",TablaVentas[[#This Row],[Unidades]]*TablaVentas[[#This Row],[Precio_unitario]]*(1-TablaVentas[[#This Row],[Descuento_pct]]))</f>
        <v>2470.491</v>
      </c>
      <c r="P1017">
        <f>IF(TablaVentas[[#This Row],[Costo_unitario]]="","PENDIENTE",TablaVentas[[#This Row],[Unidades]]*TablaVentas[[#This Row],[Costo_unitario]])</f>
        <v>2459.34</v>
      </c>
      <c r="Q1017">
        <f>IF(OR(TablaVentas[[#This Row],[Ingreso_neto]]="PENDIENTE",TablaVentas[[#This Row],[Costo_total]]="PENDIENTE"),"PENDIENTE",TablaVentas[[#This Row],[Ingreso_neto]]-TablaVentas[[#This Row],[Costo_total]])</f>
        <v>11.15099999999984</v>
      </c>
    </row>
    <row r="1018" spans="1:17">
      <c r="A1018" t="s">
        <v>793</v>
      </c>
      <c r="B1018">
        <v>2</v>
      </c>
      <c r="C1018" s="3">
        <v>46034</v>
      </c>
      <c r="D1018" t="s">
        <v>737</v>
      </c>
      <c r="E1018" t="s">
        <v>346</v>
      </c>
      <c r="F1018" t="s">
        <v>39</v>
      </c>
      <c r="G1018" t="s">
        <v>40</v>
      </c>
      <c r="H1018" t="s">
        <v>82</v>
      </c>
      <c r="I1018">
        <v>1</v>
      </c>
      <c r="J1018" s="4">
        <v>2424.85</v>
      </c>
      <c r="K1018" s="5">
        <v>0.2</v>
      </c>
      <c r="L1018" s="4">
        <v>1175.74</v>
      </c>
      <c r="M1018" t="s">
        <v>42</v>
      </c>
      <c r="N1018" t="s">
        <v>45</v>
      </c>
      <c r="O1018">
        <f>IF(TablaVentas[[#This Row],[Precio_unitario]]="","PENDIENTE",TablaVentas[[#This Row],[Unidades]]*TablaVentas[[#This Row],[Precio_unitario]]*(1-TablaVentas[[#This Row],[Descuento_pct]]))</f>
        <v>1939.88</v>
      </c>
      <c r="P1018">
        <f>IF(TablaVentas[[#This Row],[Costo_unitario]]="","PENDIENTE",TablaVentas[[#This Row],[Unidades]]*TablaVentas[[#This Row],[Costo_unitario]])</f>
        <v>1175.74</v>
      </c>
      <c r="Q1018">
        <f>IF(OR(TablaVentas[[#This Row],[Ingreso_neto]]="PENDIENTE",TablaVentas[[#This Row],[Costo_total]]="PENDIENTE"),"PENDIENTE",TablaVentas[[#This Row],[Ingreso_neto]]-TablaVentas[[#This Row],[Costo_total]])</f>
        <v>764.1400000000001</v>
      </c>
    </row>
    <row r="1019" spans="1:17">
      <c r="A1019" t="s">
        <v>793</v>
      </c>
      <c r="B1019">
        <v>3</v>
      </c>
      <c r="C1019" s="3">
        <v>46034</v>
      </c>
      <c r="D1019" t="s">
        <v>737</v>
      </c>
      <c r="E1019" t="s">
        <v>115</v>
      </c>
      <c r="F1019" t="s">
        <v>39</v>
      </c>
      <c r="G1019" t="s">
        <v>40</v>
      </c>
      <c r="H1019" t="s">
        <v>82</v>
      </c>
      <c r="I1019">
        <v>3</v>
      </c>
      <c r="J1019" s="4">
        <v>1331.9</v>
      </c>
      <c r="K1019" s="5">
        <v>0.2</v>
      </c>
      <c r="L1019" s="4">
        <v>705.87</v>
      </c>
      <c r="M1019" t="s">
        <v>42</v>
      </c>
      <c r="N1019" t="s">
        <v>60</v>
      </c>
      <c r="O1019">
        <f>IF(TablaVentas[[#This Row],[Precio_unitario]]="","PENDIENTE",TablaVentas[[#This Row],[Unidades]]*TablaVentas[[#This Row],[Precio_unitario]]*(1-TablaVentas[[#This Row],[Descuento_pct]]))</f>
        <v>3196.5600000000004</v>
      </c>
      <c r="P1019">
        <f>IF(TablaVentas[[#This Row],[Costo_unitario]]="","PENDIENTE",TablaVentas[[#This Row],[Unidades]]*TablaVentas[[#This Row],[Costo_unitario]])</f>
        <v>2117.61</v>
      </c>
      <c r="Q1019">
        <f>IF(OR(TablaVentas[[#This Row],[Ingreso_neto]]="PENDIENTE",TablaVentas[[#This Row],[Costo_total]]="PENDIENTE"),"PENDIENTE",TablaVentas[[#This Row],[Ingreso_neto]]-TablaVentas[[#This Row],[Costo_total]])</f>
        <v>1078.9500000000003</v>
      </c>
    </row>
    <row r="1020" spans="1:17">
      <c r="A1020" t="s">
        <v>794</v>
      </c>
      <c r="B1020">
        <v>1</v>
      </c>
      <c r="C1020" s="3">
        <v>46265</v>
      </c>
      <c r="D1020" t="s">
        <v>80</v>
      </c>
      <c r="E1020" t="s">
        <v>236</v>
      </c>
      <c r="F1020" t="s">
        <v>39</v>
      </c>
      <c r="G1020" t="s">
        <v>40</v>
      </c>
      <c r="H1020" t="s">
        <v>58</v>
      </c>
      <c r="I1020">
        <v>1</v>
      </c>
      <c r="J1020" s="4">
        <v>10381.24</v>
      </c>
      <c r="K1020" s="5">
        <v>0.2</v>
      </c>
      <c r="L1020" s="4">
        <v>8061.7</v>
      </c>
      <c r="M1020" t="s">
        <v>42</v>
      </c>
      <c r="N1020" t="s">
        <v>52</v>
      </c>
      <c r="O1020">
        <f>IF(TablaVentas[[#This Row],[Precio_unitario]]="","PENDIENTE",TablaVentas[[#This Row],[Unidades]]*TablaVentas[[#This Row],[Precio_unitario]]*(1-TablaVentas[[#This Row],[Descuento_pct]]))</f>
        <v>8304.9920000000002</v>
      </c>
      <c r="P1020">
        <f>IF(TablaVentas[[#This Row],[Costo_unitario]]="","PENDIENTE",TablaVentas[[#This Row],[Unidades]]*TablaVentas[[#This Row],[Costo_unitario]])</f>
        <v>8061.7</v>
      </c>
      <c r="Q1020">
        <f>IF(OR(TablaVentas[[#This Row],[Ingreso_neto]]="PENDIENTE",TablaVentas[[#This Row],[Costo_total]]="PENDIENTE"),"PENDIENTE",TablaVentas[[#This Row],[Ingreso_neto]]-TablaVentas[[#This Row],[Costo_total]])</f>
        <v>243.29200000000037</v>
      </c>
    </row>
    <row r="1021" spans="1:17">
      <c r="A1021" t="s">
        <v>795</v>
      </c>
      <c r="B1021">
        <v>1</v>
      </c>
      <c r="C1021" s="3">
        <v>46290</v>
      </c>
      <c r="D1021" t="s">
        <v>796</v>
      </c>
      <c r="E1021" t="s">
        <v>81</v>
      </c>
      <c r="F1021" t="s">
        <v>77</v>
      </c>
      <c r="G1021" t="s">
        <v>40</v>
      </c>
      <c r="H1021" t="s">
        <v>82</v>
      </c>
      <c r="I1021">
        <v>4</v>
      </c>
      <c r="J1021" s="4">
        <v>17293.37</v>
      </c>
      <c r="K1021" s="5">
        <v>0</v>
      </c>
      <c r="L1021" s="4">
        <v>11614.87</v>
      </c>
      <c r="M1021" t="s">
        <v>42</v>
      </c>
      <c r="N1021" t="s">
        <v>60</v>
      </c>
      <c r="O1021">
        <f>IF(TablaVentas[[#This Row],[Precio_unitario]]="","PENDIENTE",TablaVentas[[#This Row],[Unidades]]*TablaVentas[[#This Row],[Precio_unitario]]*(1-TablaVentas[[#This Row],[Descuento_pct]]))</f>
        <v>69173.48</v>
      </c>
      <c r="P1021">
        <f>IF(TablaVentas[[#This Row],[Costo_unitario]]="","PENDIENTE",TablaVentas[[#This Row],[Unidades]]*TablaVentas[[#This Row],[Costo_unitario]])</f>
        <v>46459.48</v>
      </c>
      <c r="Q1021">
        <f>IF(OR(TablaVentas[[#This Row],[Ingreso_neto]]="PENDIENTE",TablaVentas[[#This Row],[Costo_total]]="PENDIENTE"),"PENDIENTE",TablaVentas[[#This Row],[Ingreso_neto]]-TablaVentas[[#This Row],[Costo_total]])</f>
        <v>22713.999999999993</v>
      </c>
    </row>
    <row r="1022" spans="1:17">
      <c r="A1022" t="s">
        <v>795</v>
      </c>
      <c r="B1022">
        <v>2</v>
      </c>
      <c r="C1022" s="3">
        <v>46290</v>
      </c>
      <c r="D1022" t="s">
        <v>796</v>
      </c>
      <c r="E1022" t="s">
        <v>144</v>
      </c>
      <c r="F1022" t="s">
        <v>77</v>
      </c>
      <c r="G1022" t="s">
        <v>40</v>
      </c>
      <c r="H1022" t="s">
        <v>82</v>
      </c>
      <c r="I1022">
        <v>1</v>
      </c>
      <c r="J1022" s="4">
        <v>8857.36</v>
      </c>
      <c r="K1022" s="5">
        <v>0.2</v>
      </c>
      <c r="L1022" s="4">
        <v>5125.3599999999997</v>
      </c>
      <c r="M1022" t="s">
        <v>42</v>
      </c>
      <c r="N1022" t="s">
        <v>52</v>
      </c>
      <c r="O1022">
        <f>IF(TablaVentas[[#This Row],[Precio_unitario]]="","PENDIENTE",TablaVentas[[#This Row],[Unidades]]*TablaVentas[[#This Row],[Precio_unitario]]*(1-TablaVentas[[#This Row],[Descuento_pct]]))</f>
        <v>7085.8880000000008</v>
      </c>
      <c r="P1022">
        <f>IF(TablaVentas[[#This Row],[Costo_unitario]]="","PENDIENTE",TablaVentas[[#This Row],[Unidades]]*TablaVentas[[#This Row],[Costo_unitario]])</f>
        <v>5125.3599999999997</v>
      </c>
      <c r="Q1022">
        <f>IF(OR(TablaVentas[[#This Row],[Ingreso_neto]]="PENDIENTE",TablaVentas[[#This Row],[Costo_total]]="PENDIENTE"),"PENDIENTE",TablaVentas[[#This Row],[Ingreso_neto]]-TablaVentas[[#This Row],[Costo_total]])</f>
        <v>1960.5280000000012</v>
      </c>
    </row>
    <row r="1023" spans="1:17">
      <c r="A1023" t="s">
        <v>797</v>
      </c>
      <c r="B1023">
        <v>1</v>
      </c>
      <c r="C1023" s="3">
        <v>46024</v>
      </c>
      <c r="D1023" t="s">
        <v>604</v>
      </c>
      <c r="E1023" t="s">
        <v>156</v>
      </c>
      <c r="F1023" t="s">
        <v>56</v>
      </c>
      <c r="G1023" t="s">
        <v>40</v>
      </c>
      <c r="H1023" t="s">
        <v>58</v>
      </c>
      <c r="I1023">
        <v>1</v>
      </c>
      <c r="J1023" s="4">
        <v>17277.29</v>
      </c>
      <c r="K1023" s="5">
        <v>0</v>
      </c>
      <c r="L1023" s="4">
        <v>13981.13</v>
      </c>
      <c r="M1023" t="s">
        <v>42</v>
      </c>
      <c r="N1023" t="s">
        <v>52</v>
      </c>
      <c r="O1023">
        <f>IF(TablaVentas[[#This Row],[Precio_unitario]]="","PENDIENTE",TablaVentas[[#This Row],[Unidades]]*TablaVentas[[#This Row],[Precio_unitario]]*(1-TablaVentas[[#This Row],[Descuento_pct]]))</f>
        <v>17277.29</v>
      </c>
      <c r="P1023">
        <f>IF(TablaVentas[[#This Row],[Costo_unitario]]="","PENDIENTE",TablaVentas[[#This Row],[Unidades]]*TablaVentas[[#This Row],[Costo_unitario]])</f>
        <v>13981.13</v>
      </c>
      <c r="Q1023">
        <f>IF(OR(TablaVentas[[#This Row],[Ingreso_neto]]="PENDIENTE",TablaVentas[[#This Row],[Costo_total]]="PENDIENTE"),"PENDIENTE",TablaVentas[[#This Row],[Ingreso_neto]]-TablaVentas[[#This Row],[Costo_total]])</f>
        <v>3296.1600000000017</v>
      </c>
    </row>
    <row r="1024" spans="1:17">
      <c r="A1024" t="s">
        <v>798</v>
      </c>
      <c r="B1024">
        <v>1</v>
      </c>
      <c r="C1024" s="3">
        <v>46130</v>
      </c>
      <c r="D1024" t="s">
        <v>255</v>
      </c>
      <c r="E1024" t="s">
        <v>78</v>
      </c>
      <c r="F1024" t="s">
        <v>56</v>
      </c>
      <c r="G1024" t="s">
        <v>57</v>
      </c>
      <c r="H1024" t="s">
        <v>124</v>
      </c>
      <c r="I1024">
        <v>2</v>
      </c>
      <c r="J1024" s="4">
        <v>9099.94</v>
      </c>
      <c r="K1024" s="5">
        <v>0.15</v>
      </c>
      <c r="L1024" s="4">
        <v>5033.47</v>
      </c>
      <c r="M1024" t="s">
        <v>42</v>
      </c>
      <c r="N1024" t="s">
        <v>60</v>
      </c>
      <c r="O1024">
        <f>IF(TablaVentas[[#This Row],[Precio_unitario]]="","PENDIENTE",TablaVentas[[#This Row],[Unidades]]*TablaVentas[[#This Row],[Precio_unitario]]*(1-TablaVentas[[#This Row],[Descuento_pct]]))</f>
        <v>15469.898000000001</v>
      </c>
      <c r="P1024">
        <f>IF(TablaVentas[[#This Row],[Costo_unitario]]="","PENDIENTE",TablaVentas[[#This Row],[Unidades]]*TablaVentas[[#This Row],[Costo_unitario]])</f>
        <v>10066.94</v>
      </c>
      <c r="Q1024">
        <f>IF(OR(TablaVentas[[#This Row],[Ingreso_neto]]="PENDIENTE",TablaVentas[[#This Row],[Costo_total]]="PENDIENTE"),"PENDIENTE",TablaVentas[[#This Row],[Ingreso_neto]]-TablaVentas[[#This Row],[Costo_total]])</f>
        <v>5402.9580000000005</v>
      </c>
    </row>
    <row r="1025" spans="1:17">
      <c r="A1025" t="s">
        <v>798</v>
      </c>
      <c r="B1025">
        <v>2</v>
      </c>
      <c r="C1025" s="3">
        <v>46130</v>
      </c>
      <c r="D1025" t="s">
        <v>255</v>
      </c>
      <c r="E1025" t="s">
        <v>68</v>
      </c>
      <c r="F1025" t="s">
        <v>56</v>
      </c>
      <c r="G1025" t="s">
        <v>57</v>
      </c>
      <c r="H1025" t="s">
        <v>124</v>
      </c>
      <c r="I1025">
        <v>3</v>
      </c>
      <c r="J1025" s="4">
        <v>14746.1</v>
      </c>
      <c r="K1025" s="5">
        <v>0.05</v>
      </c>
      <c r="L1025" s="4">
        <v>9243.35</v>
      </c>
      <c r="M1025" t="s">
        <v>42</v>
      </c>
      <c r="N1025" t="s">
        <v>60</v>
      </c>
      <c r="O1025">
        <f>IF(TablaVentas[[#This Row],[Precio_unitario]]="","PENDIENTE",TablaVentas[[#This Row],[Unidades]]*TablaVentas[[#This Row],[Precio_unitario]]*(1-TablaVentas[[#This Row],[Descuento_pct]]))</f>
        <v>42026.385000000002</v>
      </c>
      <c r="P1025">
        <f>IF(TablaVentas[[#This Row],[Costo_unitario]]="","PENDIENTE",TablaVentas[[#This Row],[Unidades]]*TablaVentas[[#This Row],[Costo_unitario]])</f>
        <v>27730.050000000003</v>
      </c>
      <c r="Q1025">
        <f>IF(OR(TablaVentas[[#This Row],[Ingreso_neto]]="PENDIENTE",TablaVentas[[#This Row],[Costo_total]]="PENDIENTE"),"PENDIENTE",TablaVentas[[#This Row],[Ingreso_neto]]-TablaVentas[[#This Row],[Costo_total]])</f>
        <v>14296.334999999999</v>
      </c>
    </row>
    <row r="1026" spans="1:17">
      <c r="A1026" t="s">
        <v>799</v>
      </c>
      <c r="B1026">
        <v>1</v>
      </c>
      <c r="C1026" s="3">
        <v>46131</v>
      </c>
      <c r="D1026" t="s">
        <v>800</v>
      </c>
      <c r="E1026" t="s">
        <v>167</v>
      </c>
      <c r="F1026" t="s">
        <v>56</v>
      </c>
      <c r="G1026" t="s">
        <v>40</v>
      </c>
      <c r="H1026" t="s">
        <v>102</v>
      </c>
      <c r="I1026">
        <v>2</v>
      </c>
      <c r="J1026" s="4">
        <v>17848.5</v>
      </c>
      <c r="K1026" s="5">
        <v>0.2</v>
      </c>
      <c r="L1026" s="4">
        <v>8704.4</v>
      </c>
      <c r="M1026" t="s">
        <v>42</v>
      </c>
      <c r="N1026" t="s">
        <v>43</v>
      </c>
      <c r="O1026">
        <f>IF(TablaVentas[[#This Row],[Precio_unitario]]="","PENDIENTE",TablaVentas[[#This Row],[Unidades]]*TablaVentas[[#This Row],[Precio_unitario]]*(1-TablaVentas[[#This Row],[Descuento_pct]]))</f>
        <v>28557.600000000002</v>
      </c>
      <c r="P1026">
        <f>IF(TablaVentas[[#This Row],[Costo_unitario]]="","PENDIENTE",TablaVentas[[#This Row],[Unidades]]*TablaVentas[[#This Row],[Costo_unitario]])</f>
        <v>17408.8</v>
      </c>
      <c r="Q1026">
        <f>IF(OR(TablaVentas[[#This Row],[Ingreso_neto]]="PENDIENTE",TablaVentas[[#This Row],[Costo_total]]="PENDIENTE"),"PENDIENTE",TablaVentas[[#This Row],[Ingreso_neto]]-TablaVentas[[#This Row],[Costo_total]])</f>
        <v>11148.800000000003</v>
      </c>
    </row>
    <row r="1027" spans="1:17">
      <c r="A1027" t="s">
        <v>799</v>
      </c>
      <c r="B1027">
        <v>2</v>
      </c>
      <c r="C1027" s="3">
        <v>46131</v>
      </c>
      <c r="D1027" t="s">
        <v>800</v>
      </c>
      <c r="E1027" t="s">
        <v>143</v>
      </c>
      <c r="F1027" t="s">
        <v>56</v>
      </c>
      <c r="G1027" t="s">
        <v>40</v>
      </c>
      <c r="H1027" t="s">
        <v>102</v>
      </c>
      <c r="I1027">
        <v>5</v>
      </c>
      <c r="J1027" s="4">
        <v>8530.57</v>
      </c>
      <c r="K1027" s="5">
        <v>0.15</v>
      </c>
      <c r="L1027" s="4">
        <v>6815.42</v>
      </c>
      <c r="M1027" t="s">
        <v>42</v>
      </c>
      <c r="N1027" t="s">
        <v>52</v>
      </c>
      <c r="O1027">
        <f>IF(TablaVentas[[#This Row],[Precio_unitario]]="","PENDIENTE",TablaVentas[[#This Row],[Unidades]]*TablaVentas[[#This Row],[Precio_unitario]]*(1-TablaVentas[[#This Row],[Descuento_pct]]))</f>
        <v>36254.922500000001</v>
      </c>
      <c r="P1027">
        <f>IF(TablaVentas[[#This Row],[Costo_unitario]]="","PENDIENTE",TablaVentas[[#This Row],[Unidades]]*TablaVentas[[#This Row],[Costo_unitario]])</f>
        <v>34077.1</v>
      </c>
      <c r="Q1027">
        <f>IF(OR(TablaVentas[[#This Row],[Ingreso_neto]]="PENDIENTE",TablaVentas[[#This Row],[Costo_total]]="PENDIENTE"),"PENDIENTE",TablaVentas[[#This Row],[Ingreso_neto]]-TablaVentas[[#This Row],[Costo_total]])</f>
        <v>2177.822500000002</v>
      </c>
    </row>
    <row r="1028" spans="1:17">
      <c r="A1028" t="s">
        <v>799</v>
      </c>
      <c r="B1028">
        <v>3</v>
      </c>
      <c r="C1028" s="3">
        <v>46131</v>
      </c>
      <c r="D1028" t="s">
        <v>800</v>
      </c>
      <c r="E1028" t="s">
        <v>175</v>
      </c>
      <c r="F1028" t="s">
        <v>56</v>
      </c>
      <c r="G1028" t="s">
        <v>40</v>
      </c>
      <c r="H1028" t="s">
        <v>102</v>
      </c>
      <c r="I1028">
        <v>1</v>
      </c>
      <c r="J1028" s="4">
        <v>2737.5</v>
      </c>
      <c r="K1028" s="5">
        <v>0</v>
      </c>
      <c r="L1028" s="4">
        <v>1857.39</v>
      </c>
      <c r="M1028" t="s">
        <v>42</v>
      </c>
      <c r="N1028" t="s">
        <v>52</v>
      </c>
      <c r="O1028">
        <f>IF(TablaVentas[[#This Row],[Precio_unitario]]="","PENDIENTE",TablaVentas[[#This Row],[Unidades]]*TablaVentas[[#This Row],[Precio_unitario]]*(1-TablaVentas[[#This Row],[Descuento_pct]]))</f>
        <v>2737.5</v>
      </c>
      <c r="P1028">
        <f>IF(TablaVentas[[#This Row],[Costo_unitario]]="","PENDIENTE",TablaVentas[[#This Row],[Unidades]]*TablaVentas[[#This Row],[Costo_unitario]])</f>
        <v>1857.39</v>
      </c>
      <c r="Q1028">
        <f>IF(OR(TablaVentas[[#This Row],[Ingreso_neto]]="PENDIENTE",TablaVentas[[#This Row],[Costo_total]]="PENDIENTE"),"PENDIENTE",TablaVentas[[#This Row],[Ingreso_neto]]-TablaVentas[[#This Row],[Costo_total]])</f>
        <v>880.1099999999999</v>
      </c>
    </row>
    <row r="1029" spans="1:17">
      <c r="A1029" t="s">
        <v>799</v>
      </c>
      <c r="B1029">
        <v>4</v>
      </c>
      <c r="C1029" s="3">
        <v>46131</v>
      </c>
      <c r="D1029" t="s">
        <v>800</v>
      </c>
      <c r="E1029" t="s">
        <v>353</v>
      </c>
      <c r="F1029" t="s">
        <v>56</v>
      </c>
      <c r="G1029" t="s">
        <v>40</v>
      </c>
      <c r="H1029" t="s">
        <v>102</v>
      </c>
      <c r="I1029">
        <v>2</v>
      </c>
      <c r="J1029" s="4">
        <v>2299.04</v>
      </c>
      <c r="K1029" s="5">
        <v>0</v>
      </c>
      <c r="L1029" s="4">
        <v>1479.71</v>
      </c>
      <c r="M1029" t="s">
        <v>42</v>
      </c>
      <c r="N1029" t="s">
        <v>43</v>
      </c>
      <c r="O1029">
        <f>IF(TablaVentas[[#This Row],[Precio_unitario]]="","PENDIENTE",TablaVentas[[#This Row],[Unidades]]*TablaVentas[[#This Row],[Precio_unitario]]*(1-TablaVentas[[#This Row],[Descuento_pct]]))</f>
        <v>4598.08</v>
      </c>
      <c r="P1029">
        <f>IF(TablaVentas[[#This Row],[Costo_unitario]]="","PENDIENTE",TablaVentas[[#This Row],[Unidades]]*TablaVentas[[#This Row],[Costo_unitario]])</f>
        <v>2959.42</v>
      </c>
      <c r="Q1029">
        <f>IF(OR(TablaVentas[[#This Row],[Ingreso_neto]]="PENDIENTE",TablaVentas[[#This Row],[Costo_total]]="PENDIENTE"),"PENDIENTE",TablaVentas[[#This Row],[Ingreso_neto]]-TablaVentas[[#This Row],[Costo_total]])</f>
        <v>1638.6599999999999</v>
      </c>
    </row>
    <row r="1030" spans="1:17">
      <c r="A1030" t="s">
        <v>801</v>
      </c>
      <c r="B1030">
        <v>1</v>
      </c>
      <c r="C1030" s="3">
        <v>46140</v>
      </c>
      <c r="D1030" t="s">
        <v>618</v>
      </c>
      <c r="E1030" t="s">
        <v>128</v>
      </c>
      <c r="F1030" t="s">
        <v>77</v>
      </c>
      <c r="G1030" t="s">
        <v>50</v>
      </c>
      <c r="H1030" t="s">
        <v>41</v>
      </c>
      <c r="I1030">
        <v>1</v>
      </c>
      <c r="J1030" s="4">
        <v>1469.84</v>
      </c>
      <c r="K1030" s="5">
        <v>0.15</v>
      </c>
      <c r="L1030" s="4">
        <v>900.08</v>
      </c>
      <c r="M1030" t="s">
        <v>42</v>
      </c>
      <c r="N1030" t="s">
        <v>60</v>
      </c>
      <c r="O1030">
        <f>IF(TablaVentas[[#This Row],[Precio_unitario]]="","PENDIENTE",TablaVentas[[#This Row],[Unidades]]*TablaVentas[[#This Row],[Precio_unitario]]*(1-TablaVentas[[#This Row],[Descuento_pct]]))</f>
        <v>1249.3639999999998</v>
      </c>
      <c r="P1030">
        <f>IF(TablaVentas[[#This Row],[Costo_unitario]]="","PENDIENTE",TablaVentas[[#This Row],[Unidades]]*TablaVentas[[#This Row],[Costo_unitario]])</f>
        <v>900.08</v>
      </c>
      <c r="Q1030">
        <f>IF(OR(TablaVentas[[#This Row],[Ingreso_neto]]="PENDIENTE",TablaVentas[[#This Row],[Costo_total]]="PENDIENTE"),"PENDIENTE",TablaVentas[[#This Row],[Ingreso_neto]]-TablaVentas[[#This Row],[Costo_total]])</f>
        <v>349.28399999999976</v>
      </c>
    </row>
    <row r="1031" spans="1:17">
      <c r="A1031" t="s">
        <v>801</v>
      </c>
      <c r="B1031">
        <v>2</v>
      </c>
      <c r="C1031" s="3">
        <v>46140</v>
      </c>
      <c r="D1031" t="s">
        <v>618</v>
      </c>
      <c r="E1031" t="s">
        <v>167</v>
      </c>
      <c r="F1031" t="s">
        <v>77</v>
      </c>
      <c r="G1031" t="s">
        <v>50</v>
      </c>
      <c r="H1031" t="s">
        <v>41</v>
      </c>
      <c r="I1031">
        <v>2</v>
      </c>
      <c r="J1031" s="4">
        <v>18047.12</v>
      </c>
      <c r="K1031" s="5">
        <v>0.15</v>
      </c>
      <c r="L1031" s="4">
        <v>8704.4</v>
      </c>
      <c r="M1031" t="s">
        <v>62</v>
      </c>
      <c r="N1031" t="s">
        <v>52</v>
      </c>
      <c r="O1031">
        <f>IF(TablaVentas[[#This Row],[Precio_unitario]]="","PENDIENTE",TablaVentas[[#This Row],[Unidades]]*TablaVentas[[#This Row],[Precio_unitario]]*(1-TablaVentas[[#This Row],[Descuento_pct]]))</f>
        <v>30680.103999999996</v>
      </c>
      <c r="P1031">
        <f>IF(TablaVentas[[#This Row],[Costo_unitario]]="","PENDIENTE",TablaVentas[[#This Row],[Unidades]]*TablaVentas[[#This Row],[Costo_unitario]])</f>
        <v>17408.8</v>
      </c>
      <c r="Q1031">
        <f>IF(OR(TablaVentas[[#This Row],[Ingreso_neto]]="PENDIENTE",TablaVentas[[#This Row],[Costo_total]]="PENDIENTE"),"PENDIENTE",TablaVentas[[#This Row],[Ingreso_neto]]-TablaVentas[[#This Row],[Costo_total]])</f>
        <v>13271.303999999996</v>
      </c>
    </row>
    <row r="1032" spans="1:17">
      <c r="A1032" t="s">
        <v>801</v>
      </c>
      <c r="B1032">
        <v>3</v>
      </c>
      <c r="C1032" s="3">
        <v>46140</v>
      </c>
      <c r="D1032" t="s">
        <v>618</v>
      </c>
      <c r="E1032" t="s">
        <v>203</v>
      </c>
      <c r="F1032" t="s">
        <v>77</v>
      </c>
      <c r="G1032" t="s">
        <v>50</v>
      </c>
      <c r="H1032" t="s">
        <v>41</v>
      </c>
      <c r="I1032">
        <v>2</v>
      </c>
      <c r="J1032" s="4">
        <v>1754.45</v>
      </c>
      <c r="K1032" s="5">
        <v>0.1</v>
      </c>
      <c r="L1032" s="4">
        <v>1252.8399999999999</v>
      </c>
      <c r="M1032" t="s">
        <v>42</v>
      </c>
      <c r="N1032" t="s">
        <v>52</v>
      </c>
      <c r="O1032">
        <f>IF(TablaVentas[[#This Row],[Precio_unitario]]="","PENDIENTE",TablaVentas[[#This Row],[Unidades]]*TablaVentas[[#This Row],[Precio_unitario]]*(1-TablaVentas[[#This Row],[Descuento_pct]]))</f>
        <v>3158.01</v>
      </c>
      <c r="P1032">
        <f>IF(TablaVentas[[#This Row],[Costo_unitario]]="","PENDIENTE",TablaVentas[[#This Row],[Unidades]]*TablaVentas[[#This Row],[Costo_unitario]])</f>
        <v>2505.6799999999998</v>
      </c>
      <c r="Q1032">
        <f>IF(OR(TablaVentas[[#This Row],[Ingreso_neto]]="PENDIENTE",TablaVentas[[#This Row],[Costo_total]]="PENDIENTE"),"PENDIENTE",TablaVentas[[#This Row],[Ingreso_neto]]-TablaVentas[[#This Row],[Costo_total]])</f>
        <v>652.33000000000038</v>
      </c>
    </row>
    <row r="1033" spans="1:17">
      <c r="A1033" t="s">
        <v>802</v>
      </c>
      <c r="B1033">
        <v>1</v>
      </c>
      <c r="C1033" s="3">
        <v>46239</v>
      </c>
      <c r="D1033" t="s">
        <v>225</v>
      </c>
      <c r="E1033" t="s">
        <v>61</v>
      </c>
      <c r="F1033" t="s">
        <v>66</v>
      </c>
      <c r="G1033" t="s">
        <v>40</v>
      </c>
      <c r="H1033" t="s">
        <v>51</v>
      </c>
      <c r="I1033">
        <v>1</v>
      </c>
      <c r="J1033" s="4">
        <v>4715.05</v>
      </c>
      <c r="K1033" s="5">
        <v>0.1</v>
      </c>
      <c r="L1033" s="4">
        <v>2554.06</v>
      </c>
      <c r="M1033" t="s">
        <v>42</v>
      </c>
      <c r="N1033" t="s">
        <v>60</v>
      </c>
      <c r="O1033">
        <f>IF(TablaVentas[[#This Row],[Precio_unitario]]="","PENDIENTE",TablaVentas[[#This Row],[Unidades]]*TablaVentas[[#This Row],[Precio_unitario]]*(1-TablaVentas[[#This Row],[Descuento_pct]]))</f>
        <v>4243.5450000000001</v>
      </c>
      <c r="P1033">
        <f>IF(TablaVentas[[#This Row],[Costo_unitario]]="","PENDIENTE",TablaVentas[[#This Row],[Unidades]]*TablaVentas[[#This Row],[Costo_unitario]])</f>
        <v>2554.06</v>
      </c>
      <c r="Q1033">
        <f>IF(OR(TablaVentas[[#This Row],[Ingreso_neto]]="PENDIENTE",TablaVentas[[#This Row],[Costo_total]]="PENDIENTE"),"PENDIENTE",TablaVentas[[#This Row],[Ingreso_neto]]-TablaVentas[[#This Row],[Costo_total]])</f>
        <v>1689.4850000000001</v>
      </c>
    </row>
    <row r="1034" spans="1:17">
      <c r="A1034" t="s">
        <v>802</v>
      </c>
      <c r="B1034">
        <v>2</v>
      </c>
      <c r="C1034" s="3">
        <v>46239</v>
      </c>
      <c r="D1034" t="s">
        <v>225</v>
      </c>
      <c r="E1034" t="s">
        <v>90</v>
      </c>
      <c r="F1034" t="s">
        <v>66</v>
      </c>
      <c r="G1034" t="s">
        <v>40</v>
      </c>
      <c r="H1034" t="s">
        <v>51</v>
      </c>
      <c r="I1034">
        <v>3</v>
      </c>
      <c r="J1034" s="4">
        <v>10116.61</v>
      </c>
      <c r="K1034" s="5">
        <v>0</v>
      </c>
      <c r="L1034" s="4">
        <v>8174.87</v>
      </c>
      <c r="M1034" t="s">
        <v>42</v>
      </c>
      <c r="N1034" t="s">
        <v>45</v>
      </c>
      <c r="O1034">
        <f>IF(TablaVentas[[#This Row],[Precio_unitario]]="","PENDIENTE",TablaVentas[[#This Row],[Unidades]]*TablaVentas[[#This Row],[Precio_unitario]]*(1-TablaVentas[[#This Row],[Descuento_pct]]))</f>
        <v>30349.83</v>
      </c>
      <c r="P1034">
        <f>IF(TablaVentas[[#This Row],[Costo_unitario]]="","PENDIENTE",TablaVentas[[#This Row],[Unidades]]*TablaVentas[[#This Row],[Costo_unitario]])</f>
        <v>24524.61</v>
      </c>
      <c r="Q1034">
        <f>IF(OR(TablaVentas[[#This Row],[Ingreso_neto]]="PENDIENTE",TablaVentas[[#This Row],[Costo_total]]="PENDIENTE"),"PENDIENTE",TablaVentas[[#This Row],[Ingreso_neto]]-TablaVentas[[#This Row],[Costo_total]])</f>
        <v>5825.2200000000012</v>
      </c>
    </row>
    <row r="1035" spans="1:17">
      <c r="A1035" t="s">
        <v>803</v>
      </c>
      <c r="B1035">
        <v>1</v>
      </c>
      <c r="C1035" s="3">
        <v>46245</v>
      </c>
      <c r="D1035" t="s">
        <v>804</v>
      </c>
      <c r="E1035" t="s">
        <v>120</v>
      </c>
      <c r="F1035" t="s">
        <v>66</v>
      </c>
      <c r="G1035" t="s">
        <v>40</v>
      </c>
      <c r="H1035" t="s">
        <v>51</v>
      </c>
      <c r="I1035">
        <v>2</v>
      </c>
      <c r="J1035" s="4">
        <v>13673.02</v>
      </c>
      <c r="K1035" s="5">
        <v>0.2</v>
      </c>
      <c r="L1035" s="4">
        <v>7975.26</v>
      </c>
      <c r="M1035" t="s">
        <v>42</v>
      </c>
      <c r="N1035" t="s">
        <v>45</v>
      </c>
      <c r="O1035">
        <f>IF(TablaVentas[[#This Row],[Precio_unitario]]="","PENDIENTE",TablaVentas[[#This Row],[Unidades]]*TablaVentas[[#This Row],[Precio_unitario]]*(1-TablaVentas[[#This Row],[Descuento_pct]]))</f>
        <v>21876.832000000002</v>
      </c>
      <c r="P1035">
        <f>IF(TablaVentas[[#This Row],[Costo_unitario]]="","PENDIENTE",TablaVentas[[#This Row],[Unidades]]*TablaVentas[[#This Row],[Costo_unitario]])</f>
        <v>15950.52</v>
      </c>
      <c r="Q1035">
        <f>IF(OR(TablaVentas[[#This Row],[Ingreso_neto]]="PENDIENTE",TablaVentas[[#This Row],[Costo_total]]="PENDIENTE"),"PENDIENTE",TablaVentas[[#This Row],[Ingreso_neto]]-TablaVentas[[#This Row],[Costo_total]])</f>
        <v>5926.3120000000017</v>
      </c>
    </row>
    <row r="1036" spans="1:17">
      <c r="A1036" t="s">
        <v>803</v>
      </c>
      <c r="B1036">
        <v>2</v>
      </c>
      <c r="C1036" s="3">
        <v>46245</v>
      </c>
      <c r="D1036" t="s">
        <v>804</v>
      </c>
      <c r="E1036" t="s">
        <v>85</v>
      </c>
      <c r="F1036" t="s">
        <v>66</v>
      </c>
      <c r="G1036" t="s">
        <v>40</v>
      </c>
      <c r="H1036" t="s">
        <v>51</v>
      </c>
      <c r="I1036">
        <v>4</v>
      </c>
      <c r="J1036" s="4">
        <v>495.24</v>
      </c>
      <c r="K1036" s="5">
        <v>0.15</v>
      </c>
      <c r="L1036" s="4">
        <v>307.75</v>
      </c>
      <c r="M1036" t="s">
        <v>42</v>
      </c>
      <c r="N1036" t="s">
        <v>60</v>
      </c>
      <c r="O1036">
        <f>IF(TablaVentas[[#This Row],[Precio_unitario]]="","PENDIENTE",TablaVentas[[#This Row],[Unidades]]*TablaVentas[[#This Row],[Precio_unitario]]*(1-TablaVentas[[#This Row],[Descuento_pct]]))</f>
        <v>1683.816</v>
      </c>
      <c r="P1036">
        <f>IF(TablaVentas[[#This Row],[Costo_unitario]]="","PENDIENTE",TablaVentas[[#This Row],[Unidades]]*TablaVentas[[#This Row],[Costo_unitario]])</f>
        <v>1231</v>
      </c>
      <c r="Q1036">
        <f>IF(OR(TablaVentas[[#This Row],[Ingreso_neto]]="PENDIENTE",TablaVentas[[#This Row],[Costo_total]]="PENDIENTE"),"PENDIENTE",TablaVentas[[#This Row],[Ingreso_neto]]-TablaVentas[[#This Row],[Costo_total]])</f>
        <v>452.81600000000003</v>
      </c>
    </row>
    <row r="1037" spans="1:17">
      <c r="A1037" t="s">
        <v>803</v>
      </c>
      <c r="B1037">
        <v>3</v>
      </c>
      <c r="C1037" s="3">
        <v>46245</v>
      </c>
      <c r="D1037" t="s">
        <v>804</v>
      </c>
      <c r="E1037" t="s">
        <v>109</v>
      </c>
      <c r="F1037" t="s">
        <v>66</v>
      </c>
      <c r="G1037" t="s">
        <v>40</v>
      </c>
      <c r="H1037" t="s">
        <v>51</v>
      </c>
      <c r="I1037">
        <v>4</v>
      </c>
      <c r="J1037" s="4">
        <v>15691.03</v>
      </c>
      <c r="K1037" s="5">
        <v>0.05</v>
      </c>
      <c r="L1037" s="4">
        <v>9880.77</v>
      </c>
      <c r="M1037" t="s">
        <v>42</v>
      </c>
      <c r="N1037" t="s">
        <v>60</v>
      </c>
      <c r="O1037">
        <f>IF(TablaVentas[[#This Row],[Precio_unitario]]="","PENDIENTE",TablaVentas[[#This Row],[Unidades]]*TablaVentas[[#This Row],[Precio_unitario]]*(1-TablaVentas[[#This Row],[Descuento_pct]]))</f>
        <v>59625.913999999997</v>
      </c>
      <c r="P1037">
        <f>IF(TablaVentas[[#This Row],[Costo_unitario]]="","PENDIENTE",TablaVentas[[#This Row],[Unidades]]*TablaVentas[[#This Row],[Costo_unitario]])</f>
        <v>39523.08</v>
      </c>
      <c r="Q1037">
        <f>IF(OR(TablaVentas[[#This Row],[Ingreso_neto]]="PENDIENTE",TablaVentas[[#This Row],[Costo_total]]="PENDIENTE"),"PENDIENTE",TablaVentas[[#This Row],[Ingreso_neto]]-TablaVentas[[#This Row],[Costo_total]])</f>
        <v>20102.833999999995</v>
      </c>
    </row>
    <row r="1038" spans="1:17">
      <c r="A1038" t="s">
        <v>805</v>
      </c>
      <c r="B1038">
        <v>1</v>
      </c>
      <c r="C1038" s="3">
        <v>46182</v>
      </c>
      <c r="D1038" t="s">
        <v>244</v>
      </c>
      <c r="E1038" t="s">
        <v>160</v>
      </c>
      <c r="F1038" t="s">
        <v>66</v>
      </c>
      <c r="G1038" t="s">
        <v>40</v>
      </c>
      <c r="H1038" t="s">
        <v>82</v>
      </c>
      <c r="I1038">
        <v>1</v>
      </c>
      <c r="J1038" s="4">
        <v>8179.54</v>
      </c>
      <c r="K1038" s="5">
        <v>0</v>
      </c>
      <c r="L1038" s="4">
        <v>4082.15</v>
      </c>
      <c r="M1038" t="s">
        <v>42</v>
      </c>
      <c r="N1038" t="s">
        <v>60</v>
      </c>
      <c r="O1038">
        <f>IF(TablaVentas[[#This Row],[Precio_unitario]]="","PENDIENTE",TablaVentas[[#This Row],[Unidades]]*TablaVentas[[#This Row],[Precio_unitario]]*(1-TablaVentas[[#This Row],[Descuento_pct]]))</f>
        <v>8179.54</v>
      </c>
      <c r="P1038">
        <f>IF(TablaVentas[[#This Row],[Costo_unitario]]="","PENDIENTE",TablaVentas[[#This Row],[Unidades]]*TablaVentas[[#This Row],[Costo_unitario]])</f>
        <v>4082.15</v>
      </c>
      <c r="Q1038">
        <f>IF(OR(TablaVentas[[#This Row],[Ingreso_neto]]="PENDIENTE",TablaVentas[[#This Row],[Costo_total]]="PENDIENTE"),"PENDIENTE",TablaVentas[[#This Row],[Ingreso_neto]]-TablaVentas[[#This Row],[Costo_total]])</f>
        <v>4097.3899999999994</v>
      </c>
    </row>
    <row r="1039" spans="1:17">
      <c r="A1039" t="s">
        <v>805</v>
      </c>
      <c r="B1039">
        <v>2</v>
      </c>
      <c r="C1039" s="3">
        <v>46182</v>
      </c>
      <c r="D1039" t="s">
        <v>244</v>
      </c>
      <c r="E1039" t="s">
        <v>134</v>
      </c>
      <c r="F1039" t="s">
        <v>66</v>
      </c>
      <c r="G1039" t="s">
        <v>40</v>
      </c>
      <c r="H1039" t="s">
        <v>82</v>
      </c>
      <c r="I1039">
        <v>1</v>
      </c>
      <c r="J1039" s="4">
        <v>270.58999999999997</v>
      </c>
      <c r="K1039" s="5">
        <v>0</v>
      </c>
      <c r="L1039" s="4">
        <v>176.47</v>
      </c>
      <c r="M1039" t="s">
        <v>42</v>
      </c>
      <c r="N1039" t="s">
        <v>45</v>
      </c>
      <c r="O1039">
        <f>IF(TablaVentas[[#This Row],[Precio_unitario]]="","PENDIENTE",TablaVentas[[#This Row],[Unidades]]*TablaVentas[[#This Row],[Precio_unitario]]*(1-TablaVentas[[#This Row],[Descuento_pct]]))</f>
        <v>270.58999999999997</v>
      </c>
      <c r="P1039">
        <f>IF(TablaVentas[[#This Row],[Costo_unitario]]="","PENDIENTE",TablaVentas[[#This Row],[Unidades]]*TablaVentas[[#This Row],[Costo_unitario]])</f>
        <v>176.47</v>
      </c>
      <c r="Q1039">
        <f>IF(OR(TablaVentas[[#This Row],[Ingreso_neto]]="PENDIENTE",TablaVentas[[#This Row],[Costo_total]]="PENDIENTE"),"PENDIENTE",TablaVentas[[#This Row],[Ingreso_neto]]-TablaVentas[[#This Row],[Costo_total]])</f>
        <v>94.119999999999976</v>
      </c>
    </row>
    <row r="1040" spans="1:17">
      <c r="A1040" t="s">
        <v>805</v>
      </c>
      <c r="B1040">
        <v>3</v>
      </c>
      <c r="C1040" s="3">
        <v>46182</v>
      </c>
      <c r="D1040" t="s">
        <v>244</v>
      </c>
      <c r="E1040" t="s">
        <v>410</v>
      </c>
      <c r="F1040" t="s">
        <v>66</v>
      </c>
      <c r="G1040" t="s">
        <v>40</v>
      </c>
      <c r="H1040" t="s">
        <v>82</v>
      </c>
      <c r="I1040">
        <v>12</v>
      </c>
      <c r="J1040" s="4">
        <v>8048.59</v>
      </c>
      <c r="K1040" s="5">
        <v>0</v>
      </c>
      <c r="L1040" s="4">
        <v>5874.17</v>
      </c>
      <c r="M1040" t="s">
        <v>42</v>
      </c>
      <c r="N1040" t="s">
        <v>45</v>
      </c>
      <c r="O1040">
        <f>IF(TablaVentas[[#This Row],[Precio_unitario]]="","PENDIENTE",TablaVentas[[#This Row],[Unidades]]*TablaVentas[[#This Row],[Precio_unitario]]*(1-TablaVentas[[#This Row],[Descuento_pct]]))</f>
        <v>96583.08</v>
      </c>
      <c r="P1040">
        <f>IF(TablaVentas[[#This Row],[Costo_unitario]]="","PENDIENTE",TablaVentas[[#This Row],[Unidades]]*TablaVentas[[#This Row],[Costo_unitario]])</f>
        <v>70490.040000000008</v>
      </c>
      <c r="Q1040">
        <f>IF(OR(TablaVentas[[#This Row],[Ingreso_neto]]="PENDIENTE",TablaVentas[[#This Row],[Costo_total]]="PENDIENTE"),"PENDIENTE",TablaVentas[[#This Row],[Ingreso_neto]]-TablaVentas[[#This Row],[Costo_total]])</f>
        <v>26093.039999999994</v>
      </c>
    </row>
    <row r="1041" spans="1:17">
      <c r="A1041" t="s">
        <v>805</v>
      </c>
      <c r="B1041">
        <v>4</v>
      </c>
      <c r="C1041" s="3">
        <v>46182</v>
      </c>
      <c r="D1041" t="s">
        <v>244</v>
      </c>
      <c r="E1041" t="s">
        <v>203</v>
      </c>
      <c r="F1041" t="s">
        <v>66</v>
      </c>
      <c r="G1041" t="s">
        <v>40</v>
      </c>
      <c r="H1041" t="s">
        <v>82</v>
      </c>
      <c r="I1041">
        <v>4</v>
      </c>
      <c r="J1041" s="4">
        <v>1777.91</v>
      </c>
      <c r="K1041" s="5">
        <v>0.15</v>
      </c>
      <c r="L1041" s="4">
        <v>1252.8399999999999</v>
      </c>
      <c r="M1041" t="s">
        <v>42</v>
      </c>
      <c r="N1041" t="s">
        <v>45</v>
      </c>
      <c r="O1041">
        <f>IF(TablaVentas[[#This Row],[Precio_unitario]]="","PENDIENTE",TablaVentas[[#This Row],[Unidades]]*TablaVentas[[#This Row],[Precio_unitario]]*(1-TablaVentas[[#This Row],[Descuento_pct]]))</f>
        <v>6044.8940000000002</v>
      </c>
      <c r="P1041">
        <f>IF(TablaVentas[[#This Row],[Costo_unitario]]="","PENDIENTE",TablaVentas[[#This Row],[Unidades]]*TablaVentas[[#This Row],[Costo_unitario]])</f>
        <v>5011.3599999999997</v>
      </c>
      <c r="Q1041">
        <f>IF(OR(TablaVentas[[#This Row],[Ingreso_neto]]="PENDIENTE",TablaVentas[[#This Row],[Costo_total]]="PENDIENTE"),"PENDIENTE",TablaVentas[[#This Row],[Ingreso_neto]]-TablaVentas[[#This Row],[Costo_total]])</f>
        <v>1033.5340000000006</v>
      </c>
    </row>
    <row r="1042" spans="1:17">
      <c r="A1042" t="s">
        <v>805</v>
      </c>
      <c r="B1042">
        <v>5</v>
      </c>
      <c r="C1042" s="3">
        <v>46182</v>
      </c>
      <c r="D1042" t="s">
        <v>244</v>
      </c>
      <c r="E1042" t="s">
        <v>106</v>
      </c>
      <c r="F1042" t="s">
        <v>66</v>
      </c>
      <c r="G1042" t="s">
        <v>40</v>
      </c>
      <c r="H1042" t="s">
        <v>82</v>
      </c>
      <c r="I1042">
        <v>2</v>
      </c>
      <c r="J1042" s="4">
        <v>9373.31</v>
      </c>
      <c r="K1042" s="5">
        <v>0.15</v>
      </c>
      <c r="L1042" s="4">
        <v>8276.74</v>
      </c>
      <c r="M1042" t="s">
        <v>42</v>
      </c>
      <c r="N1042" t="s">
        <v>60</v>
      </c>
      <c r="O1042">
        <f>IF(TablaVentas[[#This Row],[Precio_unitario]]="","PENDIENTE",TablaVentas[[#This Row],[Unidades]]*TablaVentas[[#This Row],[Precio_unitario]]*(1-TablaVentas[[#This Row],[Descuento_pct]]))</f>
        <v>15934.626999999999</v>
      </c>
      <c r="P1042">
        <f>IF(TablaVentas[[#This Row],[Costo_unitario]]="","PENDIENTE",TablaVentas[[#This Row],[Unidades]]*TablaVentas[[#This Row],[Costo_unitario]])</f>
        <v>16553.48</v>
      </c>
      <c r="Q1042">
        <f>IF(OR(TablaVentas[[#This Row],[Ingreso_neto]]="PENDIENTE",TablaVentas[[#This Row],[Costo_total]]="PENDIENTE"),"PENDIENTE",TablaVentas[[#This Row],[Ingreso_neto]]-TablaVentas[[#This Row],[Costo_total]])</f>
        <v>-618.85300000000097</v>
      </c>
    </row>
    <row r="1043" spans="1:17">
      <c r="A1043" t="s">
        <v>806</v>
      </c>
      <c r="B1043">
        <v>1</v>
      </c>
      <c r="C1043" s="3">
        <v>46267</v>
      </c>
      <c r="D1043" t="s">
        <v>524</v>
      </c>
      <c r="E1043" t="s">
        <v>70</v>
      </c>
      <c r="F1043" t="s">
        <v>66</v>
      </c>
      <c r="G1043" t="s">
        <v>57</v>
      </c>
      <c r="H1043" t="s">
        <v>82</v>
      </c>
      <c r="I1043">
        <v>1</v>
      </c>
      <c r="J1043" s="4">
        <v>15895.02</v>
      </c>
      <c r="K1043" s="5">
        <v>0.1</v>
      </c>
      <c r="L1043" s="4">
        <v>10571.25</v>
      </c>
      <c r="M1043" t="s">
        <v>116</v>
      </c>
      <c r="N1043" t="s">
        <v>52</v>
      </c>
      <c r="O1043">
        <f>IF(TablaVentas[[#This Row],[Precio_unitario]]="","PENDIENTE",TablaVentas[[#This Row],[Unidades]]*TablaVentas[[#This Row],[Precio_unitario]]*(1-TablaVentas[[#This Row],[Descuento_pct]]))</f>
        <v>14305.518</v>
      </c>
      <c r="P1043">
        <f>IF(TablaVentas[[#This Row],[Costo_unitario]]="","PENDIENTE",TablaVentas[[#This Row],[Unidades]]*TablaVentas[[#This Row],[Costo_unitario]])</f>
        <v>10571.25</v>
      </c>
      <c r="Q1043">
        <f>IF(OR(TablaVentas[[#This Row],[Ingreso_neto]]="PENDIENTE",TablaVentas[[#This Row],[Costo_total]]="PENDIENTE"),"PENDIENTE",TablaVentas[[#This Row],[Ingreso_neto]]-TablaVentas[[#This Row],[Costo_total]])</f>
        <v>3734.268</v>
      </c>
    </row>
    <row r="1044" spans="1:17">
      <c r="A1044" t="s">
        <v>806</v>
      </c>
      <c r="B1044">
        <v>2</v>
      </c>
      <c r="C1044" s="3">
        <v>46267</v>
      </c>
      <c r="D1044" t="s">
        <v>524</v>
      </c>
      <c r="E1044" t="s">
        <v>410</v>
      </c>
      <c r="F1044" t="s">
        <v>66</v>
      </c>
      <c r="G1044" t="s">
        <v>57</v>
      </c>
      <c r="H1044" t="s">
        <v>82</v>
      </c>
      <c r="I1044">
        <v>2</v>
      </c>
      <c r="J1044" s="4">
        <v>7525.09</v>
      </c>
      <c r="K1044" s="5">
        <v>0</v>
      </c>
      <c r="L1044" s="4">
        <v>5874.17</v>
      </c>
      <c r="M1044" t="s">
        <v>42</v>
      </c>
      <c r="N1044" t="s">
        <v>45</v>
      </c>
      <c r="O1044">
        <f>IF(TablaVentas[[#This Row],[Precio_unitario]]="","PENDIENTE",TablaVentas[[#This Row],[Unidades]]*TablaVentas[[#This Row],[Precio_unitario]]*(1-TablaVentas[[#This Row],[Descuento_pct]]))</f>
        <v>15050.18</v>
      </c>
      <c r="P1044">
        <f>IF(TablaVentas[[#This Row],[Costo_unitario]]="","PENDIENTE",TablaVentas[[#This Row],[Unidades]]*TablaVentas[[#This Row],[Costo_unitario]])</f>
        <v>11748.34</v>
      </c>
      <c r="Q1044">
        <f>IF(OR(TablaVentas[[#This Row],[Ingreso_neto]]="PENDIENTE",TablaVentas[[#This Row],[Costo_total]]="PENDIENTE"),"PENDIENTE",TablaVentas[[#This Row],[Ingreso_neto]]-TablaVentas[[#This Row],[Costo_total]])</f>
        <v>3301.84</v>
      </c>
    </row>
    <row r="1045" spans="1:17">
      <c r="A1045" t="s">
        <v>806</v>
      </c>
      <c r="B1045">
        <v>3</v>
      </c>
      <c r="C1045" s="3">
        <v>46267</v>
      </c>
      <c r="D1045" t="s">
        <v>524</v>
      </c>
      <c r="E1045" t="s">
        <v>172</v>
      </c>
      <c r="F1045" t="s">
        <v>66</v>
      </c>
      <c r="G1045" t="s">
        <v>57</v>
      </c>
      <c r="H1045" t="s">
        <v>82</v>
      </c>
      <c r="I1045">
        <v>2</v>
      </c>
      <c r="J1045" s="4">
        <v>17360.14</v>
      </c>
      <c r="K1045" s="5">
        <v>0.05</v>
      </c>
      <c r="L1045" s="4">
        <v>10830.17</v>
      </c>
      <c r="M1045" t="s">
        <v>42</v>
      </c>
      <c r="N1045" t="s">
        <v>52</v>
      </c>
      <c r="O1045">
        <f>IF(TablaVentas[[#This Row],[Precio_unitario]]="","PENDIENTE",TablaVentas[[#This Row],[Unidades]]*TablaVentas[[#This Row],[Precio_unitario]]*(1-TablaVentas[[#This Row],[Descuento_pct]]))</f>
        <v>32984.265999999996</v>
      </c>
      <c r="P1045">
        <f>IF(TablaVentas[[#This Row],[Costo_unitario]]="","PENDIENTE",TablaVentas[[#This Row],[Unidades]]*TablaVentas[[#This Row],[Costo_unitario]])</f>
        <v>21660.34</v>
      </c>
      <c r="Q1045">
        <f>IF(OR(TablaVentas[[#This Row],[Ingreso_neto]]="PENDIENTE",TablaVentas[[#This Row],[Costo_total]]="PENDIENTE"),"PENDIENTE",TablaVentas[[#This Row],[Ingreso_neto]]-TablaVentas[[#This Row],[Costo_total]])</f>
        <v>11323.925999999996</v>
      </c>
    </row>
    <row r="1046" spans="1:17">
      <c r="A1046" t="s">
        <v>807</v>
      </c>
      <c r="B1046">
        <v>1</v>
      </c>
      <c r="C1046" s="3">
        <v>46104</v>
      </c>
      <c r="D1046" t="s">
        <v>289</v>
      </c>
      <c r="E1046" t="s">
        <v>152</v>
      </c>
      <c r="F1046" t="s">
        <v>39</v>
      </c>
      <c r="G1046" t="s">
        <v>50</v>
      </c>
      <c r="H1046" t="s">
        <v>67</v>
      </c>
      <c r="I1046">
        <v>5</v>
      </c>
      <c r="J1046" s="4">
        <v>2750.35</v>
      </c>
      <c r="K1046" s="5">
        <v>0.2</v>
      </c>
      <c r="L1046" s="4">
        <v>1962.3</v>
      </c>
      <c r="M1046" t="s">
        <v>42</v>
      </c>
      <c r="N1046" t="s">
        <v>45</v>
      </c>
      <c r="O1046">
        <f>IF(TablaVentas[[#This Row],[Precio_unitario]]="","PENDIENTE",TablaVentas[[#This Row],[Unidades]]*TablaVentas[[#This Row],[Precio_unitario]]*(1-TablaVentas[[#This Row],[Descuento_pct]]))</f>
        <v>11001.400000000001</v>
      </c>
      <c r="P1046">
        <f>IF(TablaVentas[[#This Row],[Costo_unitario]]="","PENDIENTE",TablaVentas[[#This Row],[Unidades]]*TablaVentas[[#This Row],[Costo_unitario]])</f>
        <v>9811.5</v>
      </c>
      <c r="Q1046">
        <f>IF(OR(TablaVentas[[#This Row],[Ingreso_neto]]="PENDIENTE",TablaVentas[[#This Row],[Costo_total]]="PENDIENTE"),"PENDIENTE",TablaVentas[[#This Row],[Ingreso_neto]]-TablaVentas[[#This Row],[Costo_total]])</f>
        <v>1189.9000000000015</v>
      </c>
    </row>
    <row r="1047" spans="1:17">
      <c r="A1047" t="s">
        <v>808</v>
      </c>
      <c r="B1047">
        <v>1</v>
      </c>
      <c r="C1047" s="3">
        <v>46159</v>
      </c>
      <c r="D1047" t="s">
        <v>171</v>
      </c>
      <c r="E1047" t="s">
        <v>216</v>
      </c>
      <c r="F1047" t="s">
        <v>39</v>
      </c>
      <c r="G1047" t="s">
        <v>57</v>
      </c>
      <c r="H1047" t="s">
        <v>82</v>
      </c>
      <c r="I1047">
        <v>4</v>
      </c>
      <c r="J1047" s="4">
        <v>15616.32</v>
      </c>
      <c r="K1047" s="5">
        <v>0.1</v>
      </c>
      <c r="L1047" s="4">
        <v>12064.41</v>
      </c>
      <c r="M1047" t="s">
        <v>42</v>
      </c>
      <c r="N1047" t="s">
        <v>52</v>
      </c>
      <c r="O1047">
        <f>IF(TablaVentas[[#This Row],[Precio_unitario]]="","PENDIENTE",TablaVentas[[#This Row],[Unidades]]*TablaVentas[[#This Row],[Precio_unitario]]*(1-TablaVentas[[#This Row],[Descuento_pct]]))</f>
        <v>56218.752</v>
      </c>
      <c r="P1047">
        <f>IF(TablaVentas[[#This Row],[Costo_unitario]]="","PENDIENTE",TablaVentas[[#This Row],[Unidades]]*TablaVentas[[#This Row],[Costo_unitario]])</f>
        <v>48257.64</v>
      </c>
      <c r="Q1047">
        <f>IF(OR(TablaVentas[[#This Row],[Ingreso_neto]]="PENDIENTE",TablaVentas[[#This Row],[Costo_total]]="PENDIENTE"),"PENDIENTE",TablaVentas[[#This Row],[Ingreso_neto]]-TablaVentas[[#This Row],[Costo_total]])</f>
        <v>7961.112000000001</v>
      </c>
    </row>
    <row r="1048" spans="1:17">
      <c r="A1048" t="s">
        <v>808</v>
      </c>
      <c r="B1048">
        <v>2</v>
      </c>
      <c r="C1048" s="3">
        <v>46159</v>
      </c>
      <c r="D1048" t="s">
        <v>171</v>
      </c>
      <c r="E1048" t="s">
        <v>61</v>
      </c>
      <c r="F1048" t="s">
        <v>39</v>
      </c>
      <c r="G1048" t="s">
        <v>57</v>
      </c>
      <c r="H1048" t="s">
        <v>82</v>
      </c>
      <c r="I1048">
        <v>3</v>
      </c>
      <c r="J1048" s="4">
        <v>4913.3100000000004</v>
      </c>
      <c r="K1048" s="5">
        <v>0.1</v>
      </c>
      <c r="L1048" s="4">
        <v>2554.06</v>
      </c>
      <c r="M1048" t="s">
        <v>42</v>
      </c>
      <c r="N1048" t="s">
        <v>60</v>
      </c>
      <c r="O1048">
        <f>IF(TablaVentas[[#This Row],[Precio_unitario]]="","PENDIENTE",TablaVentas[[#This Row],[Unidades]]*TablaVentas[[#This Row],[Precio_unitario]]*(1-TablaVentas[[#This Row],[Descuento_pct]]))</f>
        <v>13265.937</v>
      </c>
      <c r="P1048">
        <f>IF(TablaVentas[[#This Row],[Costo_unitario]]="","PENDIENTE",TablaVentas[[#This Row],[Unidades]]*TablaVentas[[#This Row],[Costo_unitario]])</f>
        <v>7662.18</v>
      </c>
      <c r="Q1048">
        <f>IF(OR(TablaVentas[[#This Row],[Ingreso_neto]]="PENDIENTE",TablaVentas[[#This Row],[Costo_total]]="PENDIENTE"),"PENDIENTE",TablaVentas[[#This Row],[Ingreso_neto]]-TablaVentas[[#This Row],[Costo_total]])</f>
        <v>5603.7569999999996</v>
      </c>
    </row>
    <row r="1049" spans="1:17">
      <c r="A1049" t="s">
        <v>808</v>
      </c>
      <c r="B1049">
        <v>3</v>
      </c>
      <c r="C1049" s="3">
        <v>46159</v>
      </c>
      <c r="D1049" t="s">
        <v>171</v>
      </c>
      <c r="E1049" t="s">
        <v>103</v>
      </c>
      <c r="F1049" t="s">
        <v>39</v>
      </c>
      <c r="G1049" t="s">
        <v>57</v>
      </c>
      <c r="H1049" t="s">
        <v>82</v>
      </c>
      <c r="I1049">
        <v>2</v>
      </c>
      <c r="J1049" s="4">
        <v>12818.12</v>
      </c>
      <c r="K1049" s="5">
        <v>0</v>
      </c>
      <c r="L1049" s="4">
        <v>7549.71</v>
      </c>
      <c r="M1049" t="s">
        <v>62</v>
      </c>
      <c r="N1049" t="s">
        <v>45</v>
      </c>
      <c r="O1049">
        <f>IF(TablaVentas[[#This Row],[Precio_unitario]]="","PENDIENTE",TablaVentas[[#This Row],[Unidades]]*TablaVentas[[#This Row],[Precio_unitario]]*(1-TablaVentas[[#This Row],[Descuento_pct]]))</f>
        <v>25636.240000000002</v>
      </c>
      <c r="P1049">
        <f>IF(TablaVentas[[#This Row],[Costo_unitario]]="","PENDIENTE",TablaVentas[[#This Row],[Unidades]]*TablaVentas[[#This Row],[Costo_unitario]])</f>
        <v>15099.42</v>
      </c>
      <c r="Q1049">
        <f>IF(OR(TablaVentas[[#This Row],[Ingreso_neto]]="PENDIENTE",TablaVentas[[#This Row],[Costo_total]]="PENDIENTE"),"PENDIENTE",TablaVentas[[#This Row],[Ingreso_neto]]-TablaVentas[[#This Row],[Costo_total]])</f>
        <v>10536.820000000002</v>
      </c>
    </row>
    <row r="1050" spans="1:17">
      <c r="A1050" t="s">
        <v>809</v>
      </c>
      <c r="B1050">
        <v>1</v>
      </c>
      <c r="C1050" s="3">
        <v>46189</v>
      </c>
      <c r="D1050" t="s">
        <v>514</v>
      </c>
      <c r="E1050" t="s">
        <v>134</v>
      </c>
      <c r="F1050" t="s">
        <v>66</v>
      </c>
      <c r="G1050" t="s">
        <v>57</v>
      </c>
      <c r="H1050" t="s">
        <v>102</v>
      </c>
      <c r="I1050">
        <v>3</v>
      </c>
      <c r="J1050" s="4">
        <v>253.8</v>
      </c>
      <c r="K1050" s="5">
        <v>0.05</v>
      </c>
      <c r="L1050" s="4">
        <v>176.47</v>
      </c>
      <c r="M1050" t="s">
        <v>116</v>
      </c>
      <c r="N1050" t="s">
        <v>52</v>
      </c>
      <c r="O1050">
        <f>IF(TablaVentas[[#This Row],[Precio_unitario]]="","PENDIENTE",TablaVentas[[#This Row],[Unidades]]*TablaVentas[[#This Row],[Precio_unitario]]*(1-TablaVentas[[#This Row],[Descuento_pct]]))</f>
        <v>723.33</v>
      </c>
      <c r="P1050">
        <f>IF(TablaVentas[[#This Row],[Costo_unitario]]="","PENDIENTE",TablaVentas[[#This Row],[Unidades]]*TablaVentas[[#This Row],[Costo_unitario]])</f>
        <v>529.41</v>
      </c>
      <c r="Q1050">
        <f>IF(OR(TablaVentas[[#This Row],[Ingreso_neto]]="PENDIENTE",TablaVentas[[#This Row],[Costo_total]]="PENDIENTE"),"PENDIENTE",TablaVentas[[#This Row],[Ingreso_neto]]-TablaVentas[[#This Row],[Costo_total]])</f>
        <v>193.92000000000007</v>
      </c>
    </row>
    <row r="1051" spans="1:17">
      <c r="A1051" t="s">
        <v>809</v>
      </c>
      <c r="B1051">
        <v>2</v>
      </c>
      <c r="C1051" s="3">
        <v>46189</v>
      </c>
      <c r="D1051" t="s">
        <v>514</v>
      </c>
      <c r="E1051" t="s">
        <v>85</v>
      </c>
      <c r="F1051" t="s">
        <v>66</v>
      </c>
      <c r="G1051" t="s">
        <v>57</v>
      </c>
      <c r="H1051" t="s">
        <v>102</v>
      </c>
      <c r="I1051">
        <v>1</v>
      </c>
      <c r="J1051" s="4">
        <v>474.85</v>
      </c>
      <c r="K1051" s="5">
        <v>0</v>
      </c>
      <c r="L1051" s="4">
        <v>307.75</v>
      </c>
      <c r="M1051" t="s">
        <v>62</v>
      </c>
      <c r="N1051" t="s">
        <v>60</v>
      </c>
      <c r="O1051">
        <f>IF(TablaVentas[[#This Row],[Precio_unitario]]="","PENDIENTE",TablaVentas[[#This Row],[Unidades]]*TablaVentas[[#This Row],[Precio_unitario]]*(1-TablaVentas[[#This Row],[Descuento_pct]]))</f>
        <v>474.85</v>
      </c>
      <c r="P1051">
        <f>IF(TablaVentas[[#This Row],[Costo_unitario]]="","PENDIENTE",TablaVentas[[#This Row],[Unidades]]*TablaVentas[[#This Row],[Costo_unitario]])</f>
        <v>307.75</v>
      </c>
      <c r="Q1051">
        <f>IF(OR(TablaVentas[[#This Row],[Ingreso_neto]]="PENDIENTE",TablaVentas[[#This Row],[Costo_total]]="PENDIENTE"),"PENDIENTE",TablaVentas[[#This Row],[Ingreso_neto]]-TablaVentas[[#This Row],[Costo_total]])</f>
        <v>167.10000000000002</v>
      </c>
    </row>
    <row r="1052" spans="1:17">
      <c r="A1052" t="s">
        <v>810</v>
      </c>
      <c r="B1052">
        <v>1</v>
      </c>
      <c r="C1052" s="3">
        <v>46085</v>
      </c>
      <c r="D1052" t="s">
        <v>572</v>
      </c>
      <c r="E1052" t="s">
        <v>183</v>
      </c>
      <c r="F1052" t="s">
        <v>77</v>
      </c>
      <c r="G1052" t="s">
        <v>40</v>
      </c>
      <c r="H1052" t="s">
        <v>51</v>
      </c>
      <c r="I1052">
        <v>1</v>
      </c>
      <c r="J1052" s="4">
        <v>5206.87</v>
      </c>
      <c r="K1052" s="5">
        <v>0.05</v>
      </c>
      <c r="L1052" s="4">
        <v>4325.7299999999996</v>
      </c>
      <c r="M1052" t="s">
        <v>42</v>
      </c>
      <c r="N1052" t="s">
        <v>60</v>
      </c>
      <c r="O1052">
        <f>IF(TablaVentas[[#This Row],[Precio_unitario]]="","PENDIENTE",TablaVentas[[#This Row],[Unidades]]*TablaVentas[[#This Row],[Precio_unitario]]*(1-TablaVentas[[#This Row],[Descuento_pct]]))</f>
        <v>4946.5264999999999</v>
      </c>
      <c r="P1052">
        <f>IF(TablaVentas[[#This Row],[Costo_unitario]]="","PENDIENTE",TablaVentas[[#This Row],[Unidades]]*TablaVentas[[#This Row],[Costo_unitario]])</f>
        <v>4325.7299999999996</v>
      </c>
      <c r="Q1052">
        <f>IF(OR(TablaVentas[[#This Row],[Ingreso_neto]]="PENDIENTE",TablaVentas[[#This Row],[Costo_total]]="PENDIENTE"),"PENDIENTE",TablaVentas[[#This Row],[Ingreso_neto]]-TablaVentas[[#This Row],[Costo_total]])</f>
        <v>620.79650000000038</v>
      </c>
    </row>
    <row r="1053" spans="1:17">
      <c r="A1053" t="s">
        <v>811</v>
      </c>
      <c r="B1053">
        <v>1</v>
      </c>
      <c r="C1053" s="3">
        <v>46064</v>
      </c>
      <c r="D1053" t="s">
        <v>169</v>
      </c>
      <c r="E1053" t="s">
        <v>248</v>
      </c>
      <c r="F1053" t="s">
        <v>66</v>
      </c>
      <c r="G1053" t="s">
        <v>50</v>
      </c>
      <c r="H1053" t="s">
        <v>58</v>
      </c>
      <c r="I1053">
        <v>1</v>
      </c>
      <c r="J1053" s="4">
        <v>12461.57</v>
      </c>
      <c r="K1053" s="5">
        <v>0.2</v>
      </c>
      <c r="L1053" s="4">
        <v>6856.4</v>
      </c>
      <c r="M1053" t="s">
        <v>42</v>
      </c>
      <c r="N1053" t="s">
        <v>52</v>
      </c>
      <c r="O1053">
        <f>IF(TablaVentas[[#This Row],[Precio_unitario]]="","PENDIENTE",TablaVentas[[#This Row],[Unidades]]*TablaVentas[[#This Row],[Precio_unitario]]*(1-TablaVentas[[#This Row],[Descuento_pct]]))</f>
        <v>9969.2560000000012</v>
      </c>
      <c r="P1053">
        <f>IF(TablaVentas[[#This Row],[Costo_unitario]]="","PENDIENTE",TablaVentas[[#This Row],[Unidades]]*TablaVentas[[#This Row],[Costo_unitario]])</f>
        <v>6856.4</v>
      </c>
      <c r="Q1053">
        <f>IF(OR(TablaVentas[[#This Row],[Ingreso_neto]]="PENDIENTE",TablaVentas[[#This Row],[Costo_total]]="PENDIENTE"),"PENDIENTE",TablaVentas[[#This Row],[Ingreso_neto]]-TablaVentas[[#This Row],[Costo_total]])</f>
        <v>3112.8560000000016</v>
      </c>
    </row>
    <row r="1054" spans="1:17">
      <c r="A1054" t="s">
        <v>811</v>
      </c>
      <c r="B1054">
        <v>2</v>
      </c>
      <c r="C1054" s="3">
        <v>46064</v>
      </c>
      <c r="D1054" t="s">
        <v>169</v>
      </c>
      <c r="E1054" t="s">
        <v>98</v>
      </c>
      <c r="F1054" t="s">
        <v>66</v>
      </c>
      <c r="G1054" t="s">
        <v>50</v>
      </c>
      <c r="H1054" t="s">
        <v>58</v>
      </c>
      <c r="I1054">
        <v>2</v>
      </c>
      <c r="J1054" s="4">
        <v>16960.62</v>
      </c>
      <c r="K1054" s="5">
        <v>0</v>
      </c>
      <c r="L1054" s="4">
        <v>9881</v>
      </c>
      <c r="M1054" t="s">
        <v>42</v>
      </c>
      <c r="N1054" t="s">
        <v>43</v>
      </c>
      <c r="O1054">
        <f>IF(TablaVentas[[#This Row],[Precio_unitario]]="","PENDIENTE",TablaVentas[[#This Row],[Unidades]]*TablaVentas[[#This Row],[Precio_unitario]]*(1-TablaVentas[[#This Row],[Descuento_pct]]))</f>
        <v>33921.24</v>
      </c>
      <c r="P1054">
        <f>IF(TablaVentas[[#This Row],[Costo_unitario]]="","PENDIENTE",TablaVentas[[#This Row],[Unidades]]*TablaVentas[[#This Row],[Costo_unitario]])</f>
        <v>19762</v>
      </c>
      <c r="Q1054">
        <f>IF(OR(TablaVentas[[#This Row],[Ingreso_neto]]="PENDIENTE",TablaVentas[[#This Row],[Costo_total]]="PENDIENTE"),"PENDIENTE",TablaVentas[[#This Row],[Ingreso_neto]]-TablaVentas[[#This Row],[Costo_total]])</f>
        <v>14159.239999999998</v>
      </c>
    </row>
    <row r="1055" spans="1:17">
      <c r="A1055" t="s">
        <v>811</v>
      </c>
      <c r="B1055">
        <v>3</v>
      </c>
      <c r="C1055" s="3">
        <v>46064</v>
      </c>
      <c r="D1055" t="s">
        <v>169</v>
      </c>
      <c r="E1055" t="s">
        <v>138</v>
      </c>
      <c r="F1055" t="s">
        <v>66</v>
      </c>
      <c r="G1055" t="s">
        <v>50</v>
      </c>
      <c r="H1055" t="s">
        <v>58</v>
      </c>
      <c r="I1055">
        <v>2</v>
      </c>
      <c r="J1055" s="4">
        <v>6724.05</v>
      </c>
      <c r="K1055" s="5">
        <v>0.05</v>
      </c>
      <c r="L1055" s="4">
        <v>4665.62</v>
      </c>
      <c r="M1055" t="s">
        <v>42</v>
      </c>
      <c r="N1055" t="s">
        <v>52</v>
      </c>
      <c r="O1055">
        <f>IF(TablaVentas[[#This Row],[Precio_unitario]]="","PENDIENTE",TablaVentas[[#This Row],[Unidades]]*TablaVentas[[#This Row],[Precio_unitario]]*(1-TablaVentas[[#This Row],[Descuento_pct]]))</f>
        <v>12775.695</v>
      </c>
      <c r="P1055">
        <f>IF(TablaVentas[[#This Row],[Costo_unitario]]="","PENDIENTE",TablaVentas[[#This Row],[Unidades]]*TablaVentas[[#This Row],[Costo_unitario]])</f>
        <v>9331.24</v>
      </c>
      <c r="Q1055">
        <f>IF(OR(TablaVentas[[#This Row],[Ingreso_neto]]="PENDIENTE",TablaVentas[[#This Row],[Costo_total]]="PENDIENTE"),"PENDIENTE",TablaVentas[[#This Row],[Ingreso_neto]]-TablaVentas[[#This Row],[Costo_total]])</f>
        <v>3444.4549999999999</v>
      </c>
    </row>
    <row r="1056" spans="1:17">
      <c r="A1056" t="s">
        <v>811</v>
      </c>
      <c r="B1056">
        <v>4</v>
      </c>
      <c r="C1056" s="3">
        <v>46064</v>
      </c>
      <c r="D1056" t="s">
        <v>169</v>
      </c>
      <c r="E1056" t="s">
        <v>59</v>
      </c>
      <c r="F1056" t="s">
        <v>66</v>
      </c>
      <c r="G1056" t="s">
        <v>50</v>
      </c>
      <c r="H1056" t="s">
        <v>58</v>
      </c>
      <c r="I1056">
        <v>1</v>
      </c>
      <c r="J1056" s="4">
        <v>14082.78</v>
      </c>
      <c r="K1056" s="5">
        <v>0</v>
      </c>
      <c r="L1056" s="4">
        <v>10170.290000000001</v>
      </c>
      <c r="M1056" t="s">
        <v>42</v>
      </c>
      <c r="N1056" t="s">
        <v>52</v>
      </c>
      <c r="O1056">
        <f>IF(TablaVentas[[#This Row],[Precio_unitario]]="","PENDIENTE",TablaVentas[[#This Row],[Unidades]]*TablaVentas[[#This Row],[Precio_unitario]]*(1-TablaVentas[[#This Row],[Descuento_pct]]))</f>
        <v>14082.78</v>
      </c>
      <c r="P1056">
        <f>IF(TablaVentas[[#This Row],[Costo_unitario]]="","PENDIENTE",TablaVentas[[#This Row],[Unidades]]*TablaVentas[[#This Row],[Costo_unitario]])</f>
        <v>10170.290000000001</v>
      </c>
      <c r="Q1056">
        <f>IF(OR(TablaVentas[[#This Row],[Ingreso_neto]]="PENDIENTE",TablaVentas[[#This Row],[Costo_total]]="PENDIENTE"),"PENDIENTE",TablaVentas[[#This Row],[Ingreso_neto]]-TablaVentas[[#This Row],[Costo_total]])</f>
        <v>3912.49</v>
      </c>
    </row>
    <row r="1057" spans="1:17">
      <c r="A1057" t="s">
        <v>812</v>
      </c>
      <c r="B1057">
        <v>1</v>
      </c>
      <c r="C1057" s="3">
        <v>46289</v>
      </c>
      <c r="D1057" t="s">
        <v>476</v>
      </c>
      <c r="E1057" t="s">
        <v>135</v>
      </c>
      <c r="F1057" t="s">
        <v>39</v>
      </c>
      <c r="G1057" t="s">
        <v>40</v>
      </c>
      <c r="H1057" t="s">
        <v>58</v>
      </c>
      <c r="I1057">
        <v>3</v>
      </c>
      <c r="J1057" s="4">
        <v>1832.14</v>
      </c>
      <c r="K1057" s="5">
        <v>0.1</v>
      </c>
      <c r="L1057" s="4">
        <v>1529.93</v>
      </c>
      <c r="M1057" t="s">
        <v>42</v>
      </c>
      <c r="N1057" t="s">
        <v>60</v>
      </c>
      <c r="O1057">
        <f>IF(TablaVentas[[#This Row],[Precio_unitario]]="","PENDIENTE",TablaVentas[[#This Row],[Unidades]]*TablaVentas[[#This Row],[Precio_unitario]]*(1-TablaVentas[[#This Row],[Descuento_pct]]))</f>
        <v>4946.7780000000002</v>
      </c>
      <c r="P1057">
        <f>IF(TablaVentas[[#This Row],[Costo_unitario]]="","PENDIENTE",TablaVentas[[#This Row],[Unidades]]*TablaVentas[[#This Row],[Costo_unitario]])</f>
        <v>4589.79</v>
      </c>
      <c r="Q1057">
        <f>IF(OR(TablaVentas[[#This Row],[Ingreso_neto]]="PENDIENTE",TablaVentas[[#This Row],[Costo_total]]="PENDIENTE"),"PENDIENTE",TablaVentas[[#This Row],[Ingreso_neto]]-TablaVentas[[#This Row],[Costo_total]])</f>
        <v>356.98800000000028</v>
      </c>
    </row>
    <row r="1058" spans="1:17">
      <c r="A1058" t="s">
        <v>812</v>
      </c>
      <c r="B1058">
        <v>2</v>
      </c>
      <c r="C1058" s="3">
        <v>46289</v>
      </c>
      <c r="D1058" t="s">
        <v>476</v>
      </c>
      <c r="E1058" t="s">
        <v>537</v>
      </c>
      <c r="F1058" t="s">
        <v>39</v>
      </c>
      <c r="G1058" t="s">
        <v>40</v>
      </c>
      <c r="H1058" t="s">
        <v>58</v>
      </c>
      <c r="I1058">
        <v>4</v>
      </c>
      <c r="J1058" s="4">
        <v>5264.49</v>
      </c>
      <c r="K1058" s="5">
        <v>0</v>
      </c>
      <c r="L1058" s="4">
        <v>4556.2299999999996</v>
      </c>
      <c r="M1058" t="s">
        <v>42</v>
      </c>
      <c r="N1058" t="s">
        <v>45</v>
      </c>
      <c r="O1058">
        <f>IF(TablaVentas[[#This Row],[Precio_unitario]]="","PENDIENTE",TablaVentas[[#This Row],[Unidades]]*TablaVentas[[#This Row],[Precio_unitario]]*(1-TablaVentas[[#This Row],[Descuento_pct]]))</f>
        <v>21057.96</v>
      </c>
      <c r="P1058">
        <f>IF(TablaVentas[[#This Row],[Costo_unitario]]="","PENDIENTE",TablaVentas[[#This Row],[Unidades]]*TablaVentas[[#This Row],[Costo_unitario]])</f>
        <v>18224.919999999998</v>
      </c>
      <c r="Q1058">
        <f>IF(OR(TablaVentas[[#This Row],[Ingreso_neto]]="PENDIENTE",TablaVentas[[#This Row],[Costo_total]]="PENDIENTE"),"PENDIENTE",TablaVentas[[#This Row],[Ingreso_neto]]-TablaVentas[[#This Row],[Costo_total]])</f>
        <v>2833.0400000000009</v>
      </c>
    </row>
    <row r="1059" spans="1:17">
      <c r="A1059" t="s">
        <v>812</v>
      </c>
      <c r="B1059">
        <v>3</v>
      </c>
      <c r="C1059" s="3">
        <v>46289</v>
      </c>
      <c r="D1059" t="s">
        <v>476</v>
      </c>
      <c r="E1059" t="s">
        <v>163</v>
      </c>
      <c r="F1059" t="s">
        <v>39</v>
      </c>
      <c r="G1059" t="s">
        <v>40</v>
      </c>
      <c r="H1059" t="s">
        <v>58</v>
      </c>
      <c r="I1059">
        <v>3</v>
      </c>
      <c r="J1059" s="4">
        <v>15262.92</v>
      </c>
      <c r="K1059" s="5">
        <v>0</v>
      </c>
      <c r="L1059" s="4">
        <v>12141.44</v>
      </c>
      <c r="M1059" t="s">
        <v>42</v>
      </c>
      <c r="N1059" t="s">
        <v>52</v>
      </c>
      <c r="O1059">
        <f>IF(TablaVentas[[#This Row],[Precio_unitario]]="","PENDIENTE",TablaVentas[[#This Row],[Unidades]]*TablaVentas[[#This Row],[Precio_unitario]]*(1-TablaVentas[[#This Row],[Descuento_pct]]))</f>
        <v>45788.76</v>
      </c>
      <c r="P1059">
        <f>IF(TablaVentas[[#This Row],[Costo_unitario]]="","PENDIENTE",TablaVentas[[#This Row],[Unidades]]*TablaVentas[[#This Row],[Costo_unitario]])</f>
        <v>36424.32</v>
      </c>
      <c r="Q1059">
        <f>IF(OR(TablaVentas[[#This Row],[Ingreso_neto]]="PENDIENTE",TablaVentas[[#This Row],[Costo_total]]="PENDIENTE"),"PENDIENTE",TablaVentas[[#This Row],[Ingreso_neto]]-TablaVentas[[#This Row],[Costo_total]])</f>
        <v>9364.4400000000023</v>
      </c>
    </row>
    <row r="1060" spans="1:17">
      <c r="A1060" t="s">
        <v>813</v>
      </c>
      <c r="B1060">
        <v>1</v>
      </c>
      <c r="C1060" s="3">
        <v>46164</v>
      </c>
      <c r="D1060" t="s">
        <v>284</v>
      </c>
      <c r="E1060" t="s">
        <v>151</v>
      </c>
      <c r="F1060" t="s">
        <v>66</v>
      </c>
      <c r="G1060" t="s">
        <v>40</v>
      </c>
      <c r="H1060" t="s">
        <v>73</v>
      </c>
      <c r="I1060">
        <v>2</v>
      </c>
      <c r="J1060" s="4">
        <v>17967.8</v>
      </c>
      <c r="K1060" s="5">
        <v>0</v>
      </c>
      <c r="L1060" s="4">
        <v>8963.23</v>
      </c>
      <c r="M1060" t="s">
        <v>42</v>
      </c>
      <c r="N1060" t="s">
        <v>45</v>
      </c>
      <c r="O1060">
        <f>IF(TablaVentas[[#This Row],[Precio_unitario]]="","PENDIENTE",TablaVentas[[#This Row],[Unidades]]*TablaVentas[[#This Row],[Precio_unitario]]*(1-TablaVentas[[#This Row],[Descuento_pct]]))</f>
        <v>35935.599999999999</v>
      </c>
      <c r="P1060">
        <f>IF(TablaVentas[[#This Row],[Costo_unitario]]="","PENDIENTE",TablaVentas[[#This Row],[Unidades]]*TablaVentas[[#This Row],[Costo_unitario]])</f>
        <v>17926.46</v>
      </c>
      <c r="Q1060">
        <f>IF(OR(TablaVentas[[#This Row],[Ingreso_neto]]="PENDIENTE",TablaVentas[[#This Row],[Costo_total]]="PENDIENTE"),"PENDIENTE",TablaVentas[[#This Row],[Ingreso_neto]]-TablaVentas[[#This Row],[Costo_total]])</f>
        <v>18009.14</v>
      </c>
    </row>
    <row r="1061" spans="1:17">
      <c r="A1061" t="s">
        <v>814</v>
      </c>
      <c r="B1061">
        <v>1</v>
      </c>
      <c r="C1061" s="3">
        <v>46052</v>
      </c>
      <c r="D1061" t="s">
        <v>815</v>
      </c>
      <c r="E1061" t="s">
        <v>133</v>
      </c>
      <c r="F1061" t="s">
        <v>77</v>
      </c>
      <c r="G1061" t="s">
        <v>57</v>
      </c>
      <c r="H1061" t="s">
        <v>41</v>
      </c>
      <c r="I1061">
        <v>1</v>
      </c>
      <c r="J1061" s="4">
        <v>7536.64</v>
      </c>
      <c r="K1061" s="5">
        <v>0</v>
      </c>
      <c r="L1061" s="4">
        <v>4061.34</v>
      </c>
      <c r="M1061" t="s">
        <v>42</v>
      </c>
      <c r="N1061" t="s">
        <v>60</v>
      </c>
      <c r="O1061">
        <f>IF(TablaVentas[[#This Row],[Precio_unitario]]="","PENDIENTE",TablaVentas[[#This Row],[Unidades]]*TablaVentas[[#This Row],[Precio_unitario]]*(1-TablaVentas[[#This Row],[Descuento_pct]]))</f>
        <v>7536.64</v>
      </c>
      <c r="P1061">
        <f>IF(TablaVentas[[#This Row],[Costo_unitario]]="","PENDIENTE",TablaVentas[[#This Row],[Unidades]]*TablaVentas[[#This Row],[Costo_unitario]])</f>
        <v>4061.34</v>
      </c>
      <c r="Q1061">
        <f>IF(OR(TablaVentas[[#This Row],[Ingreso_neto]]="PENDIENTE",TablaVentas[[#This Row],[Costo_total]]="PENDIENTE"),"PENDIENTE",TablaVentas[[#This Row],[Ingreso_neto]]-TablaVentas[[#This Row],[Costo_total]])</f>
        <v>3475.3</v>
      </c>
    </row>
    <row r="1062" spans="1:17">
      <c r="A1062" t="s">
        <v>816</v>
      </c>
      <c r="B1062">
        <v>1</v>
      </c>
      <c r="C1062" s="3">
        <v>46225</v>
      </c>
      <c r="D1062" t="s">
        <v>817</v>
      </c>
      <c r="E1062" t="s">
        <v>101</v>
      </c>
      <c r="F1062" t="s">
        <v>39</v>
      </c>
      <c r="G1062" t="s">
        <v>50</v>
      </c>
      <c r="H1062" t="s">
        <v>73</v>
      </c>
      <c r="I1062">
        <v>2</v>
      </c>
      <c r="J1062" s="4">
        <v>5132.93</v>
      </c>
      <c r="K1062" s="5">
        <v>0.1</v>
      </c>
      <c r="L1062" s="4">
        <v>2865.24</v>
      </c>
      <c r="M1062" t="s">
        <v>42</v>
      </c>
      <c r="N1062" t="s">
        <v>43</v>
      </c>
      <c r="O1062">
        <f>IF(TablaVentas[[#This Row],[Precio_unitario]]="","PENDIENTE",TablaVentas[[#This Row],[Unidades]]*TablaVentas[[#This Row],[Precio_unitario]]*(1-TablaVentas[[#This Row],[Descuento_pct]]))</f>
        <v>9239.2740000000013</v>
      </c>
      <c r="P1062">
        <f>IF(TablaVentas[[#This Row],[Costo_unitario]]="","PENDIENTE",TablaVentas[[#This Row],[Unidades]]*TablaVentas[[#This Row],[Costo_unitario]])</f>
        <v>5730.48</v>
      </c>
      <c r="Q1062">
        <f>IF(OR(TablaVentas[[#This Row],[Ingreso_neto]]="PENDIENTE",TablaVentas[[#This Row],[Costo_total]]="PENDIENTE"),"PENDIENTE",TablaVentas[[#This Row],[Ingreso_neto]]-TablaVentas[[#This Row],[Costo_total]])</f>
        <v>3508.7940000000017</v>
      </c>
    </row>
    <row r="1063" spans="1:17">
      <c r="A1063" t="s">
        <v>816</v>
      </c>
      <c r="B1063">
        <v>2</v>
      </c>
      <c r="C1063" s="3">
        <v>46225</v>
      </c>
      <c r="D1063" t="s">
        <v>817</v>
      </c>
      <c r="E1063" t="s">
        <v>138</v>
      </c>
      <c r="F1063" t="s">
        <v>39</v>
      </c>
      <c r="G1063" t="s">
        <v>50</v>
      </c>
      <c r="H1063" t="s">
        <v>73</v>
      </c>
      <c r="I1063">
        <v>2</v>
      </c>
      <c r="J1063" s="4">
        <v>6650.98</v>
      </c>
      <c r="K1063" s="5">
        <v>0.2</v>
      </c>
      <c r="L1063" s="4">
        <v>4665.62</v>
      </c>
      <c r="M1063" t="s">
        <v>42</v>
      </c>
      <c r="N1063" t="s">
        <v>43</v>
      </c>
      <c r="O1063">
        <f>IF(TablaVentas[[#This Row],[Precio_unitario]]="","PENDIENTE",TablaVentas[[#This Row],[Unidades]]*TablaVentas[[#This Row],[Precio_unitario]]*(1-TablaVentas[[#This Row],[Descuento_pct]]))</f>
        <v>10641.567999999999</v>
      </c>
      <c r="P1063">
        <f>IF(TablaVentas[[#This Row],[Costo_unitario]]="","PENDIENTE",TablaVentas[[#This Row],[Unidades]]*TablaVentas[[#This Row],[Costo_unitario]])</f>
        <v>9331.24</v>
      </c>
      <c r="Q1063">
        <f>IF(OR(TablaVentas[[#This Row],[Ingreso_neto]]="PENDIENTE",TablaVentas[[#This Row],[Costo_total]]="PENDIENTE"),"PENDIENTE",TablaVentas[[#This Row],[Ingreso_neto]]-TablaVentas[[#This Row],[Costo_total]])</f>
        <v>1310.3279999999995</v>
      </c>
    </row>
    <row r="1064" spans="1:17">
      <c r="A1064" t="s">
        <v>818</v>
      </c>
      <c r="B1064">
        <v>1</v>
      </c>
      <c r="C1064" s="3">
        <v>46150</v>
      </c>
      <c r="D1064" t="s">
        <v>497</v>
      </c>
      <c r="E1064" t="s">
        <v>226</v>
      </c>
      <c r="F1064" t="s">
        <v>66</v>
      </c>
      <c r="G1064" t="s">
        <v>50</v>
      </c>
      <c r="H1064" t="s">
        <v>58</v>
      </c>
      <c r="I1064">
        <v>1</v>
      </c>
      <c r="J1064" s="4">
        <v>17625.71</v>
      </c>
      <c r="K1064" s="5">
        <v>0.15</v>
      </c>
      <c r="L1064" s="4">
        <v>9976.68</v>
      </c>
      <c r="M1064" t="s">
        <v>42</v>
      </c>
      <c r="N1064" t="s">
        <v>45</v>
      </c>
      <c r="O1064">
        <f>IF(TablaVentas[[#This Row],[Precio_unitario]]="","PENDIENTE",TablaVentas[[#This Row],[Unidades]]*TablaVentas[[#This Row],[Precio_unitario]]*(1-TablaVentas[[#This Row],[Descuento_pct]]))</f>
        <v>14981.853499999999</v>
      </c>
      <c r="P1064">
        <f>IF(TablaVentas[[#This Row],[Costo_unitario]]="","PENDIENTE",TablaVentas[[#This Row],[Unidades]]*TablaVentas[[#This Row],[Costo_unitario]])</f>
        <v>9976.68</v>
      </c>
      <c r="Q1064">
        <f>IF(OR(TablaVentas[[#This Row],[Ingreso_neto]]="PENDIENTE",TablaVentas[[#This Row],[Costo_total]]="PENDIENTE"),"PENDIENTE",TablaVentas[[#This Row],[Ingreso_neto]]-TablaVentas[[#This Row],[Costo_total]])</f>
        <v>5005.173499999999</v>
      </c>
    </row>
    <row r="1065" spans="1:17">
      <c r="A1065" t="s">
        <v>818</v>
      </c>
      <c r="B1065">
        <v>2</v>
      </c>
      <c r="C1065" s="3">
        <v>46150</v>
      </c>
      <c r="D1065" t="s">
        <v>497</v>
      </c>
      <c r="E1065" t="s">
        <v>113</v>
      </c>
      <c r="F1065" t="s">
        <v>66</v>
      </c>
      <c r="G1065" t="s">
        <v>50</v>
      </c>
      <c r="H1065" t="s">
        <v>58</v>
      </c>
      <c r="I1065">
        <v>2</v>
      </c>
      <c r="J1065" s="4">
        <v>3241.62</v>
      </c>
      <c r="K1065" s="5">
        <v>0</v>
      </c>
      <c r="L1065" s="4">
        <v>2196.34</v>
      </c>
      <c r="M1065" t="s">
        <v>42</v>
      </c>
      <c r="N1065" t="s">
        <v>45</v>
      </c>
      <c r="O1065">
        <f>IF(TablaVentas[[#This Row],[Precio_unitario]]="","PENDIENTE",TablaVentas[[#This Row],[Unidades]]*TablaVentas[[#This Row],[Precio_unitario]]*(1-TablaVentas[[#This Row],[Descuento_pct]]))</f>
        <v>6483.24</v>
      </c>
      <c r="P1065">
        <f>IF(TablaVentas[[#This Row],[Costo_unitario]]="","PENDIENTE",TablaVentas[[#This Row],[Unidades]]*TablaVentas[[#This Row],[Costo_unitario]])</f>
        <v>4392.68</v>
      </c>
      <c r="Q1065">
        <f>IF(OR(TablaVentas[[#This Row],[Ingreso_neto]]="PENDIENTE",TablaVentas[[#This Row],[Costo_total]]="PENDIENTE"),"PENDIENTE",TablaVentas[[#This Row],[Ingreso_neto]]-TablaVentas[[#This Row],[Costo_total]])</f>
        <v>2090.5599999999995</v>
      </c>
    </row>
    <row r="1066" spans="1:17">
      <c r="A1066" t="s">
        <v>819</v>
      </c>
      <c r="B1066">
        <v>1</v>
      </c>
      <c r="C1066" s="3">
        <v>46223</v>
      </c>
      <c r="D1066" t="s">
        <v>266</v>
      </c>
      <c r="E1066" t="s">
        <v>70</v>
      </c>
      <c r="F1066" t="s">
        <v>56</v>
      </c>
      <c r="G1066" t="s">
        <v>50</v>
      </c>
      <c r="H1066" t="s">
        <v>184</v>
      </c>
      <c r="I1066">
        <v>5</v>
      </c>
      <c r="J1066" s="4">
        <v>15717.28</v>
      </c>
      <c r="K1066" s="5">
        <v>0</v>
      </c>
      <c r="L1066" s="4">
        <v>10571.25</v>
      </c>
      <c r="M1066" t="s">
        <v>62</v>
      </c>
      <c r="N1066" t="s">
        <v>52</v>
      </c>
      <c r="O1066">
        <f>IF(TablaVentas[[#This Row],[Precio_unitario]]="","PENDIENTE",TablaVentas[[#This Row],[Unidades]]*TablaVentas[[#This Row],[Precio_unitario]]*(1-TablaVentas[[#This Row],[Descuento_pct]]))</f>
        <v>78586.400000000009</v>
      </c>
      <c r="P1066">
        <f>IF(TablaVentas[[#This Row],[Costo_unitario]]="","PENDIENTE",TablaVentas[[#This Row],[Unidades]]*TablaVentas[[#This Row],[Costo_unitario]])</f>
        <v>52856.25</v>
      </c>
      <c r="Q1066">
        <f>IF(OR(TablaVentas[[#This Row],[Ingreso_neto]]="PENDIENTE",TablaVentas[[#This Row],[Costo_total]]="PENDIENTE"),"PENDIENTE",TablaVentas[[#This Row],[Ingreso_neto]]-TablaVentas[[#This Row],[Costo_total]])</f>
        <v>25730.150000000009</v>
      </c>
    </row>
    <row r="1067" spans="1:17">
      <c r="A1067" t="s">
        <v>819</v>
      </c>
      <c r="B1067">
        <v>2</v>
      </c>
      <c r="C1067" s="3">
        <v>46223</v>
      </c>
      <c r="D1067" t="s">
        <v>266</v>
      </c>
      <c r="E1067" t="s">
        <v>196</v>
      </c>
      <c r="F1067" t="s">
        <v>56</v>
      </c>
      <c r="G1067" t="s">
        <v>50</v>
      </c>
      <c r="H1067" t="s">
        <v>184</v>
      </c>
      <c r="I1067">
        <v>2</v>
      </c>
      <c r="J1067" s="4">
        <v>690.64</v>
      </c>
      <c r="K1067" s="5">
        <v>0.1</v>
      </c>
      <c r="L1067" s="4">
        <v>485.16</v>
      </c>
      <c r="M1067" t="s">
        <v>42</v>
      </c>
      <c r="N1067" t="s">
        <v>45</v>
      </c>
      <c r="O1067">
        <f>IF(TablaVentas[[#This Row],[Precio_unitario]]="","PENDIENTE",TablaVentas[[#This Row],[Unidades]]*TablaVentas[[#This Row],[Precio_unitario]]*(1-TablaVentas[[#This Row],[Descuento_pct]]))</f>
        <v>1243.152</v>
      </c>
      <c r="P1067">
        <f>IF(TablaVentas[[#This Row],[Costo_unitario]]="","PENDIENTE",TablaVentas[[#This Row],[Unidades]]*TablaVentas[[#This Row],[Costo_unitario]])</f>
        <v>970.32</v>
      </c>
      <c r="Q1067">
        <f>IF(OR(TablaVentas[[#This Row],[Ingreso_neto]]="PENDIENTE",TablaVentas[[#This Row],[Costo_total]]="PENDIENTE"),"PENDIENTE",TablaVentas[[#This Row],[Ingreso_neto]]-TablaVentas[[#This Row],[Costo_total]])</f>
        <v>272.83199999999999</v>
      </c>
    </row>
    <row r="1068" spans="1:17">
      <c r="A1068" t="s">
        <v>819</v>
      </c>
      <c r="B1068">
        <v>3</v>
      </c>
      <c r="C1068" s="3">
        <v>46223</v>
      </c>
      <c r="D1068" t="s">
        <v>266</v>
      </c>
      <c r="E1068" t="s">
        <v>248</v>
      </c>
      <c r="F1068" t="s">
        <v>56</v>
      </c>
      <c r="G1068" t="s">
        <v>50</v>
      </c>
      <c r="H1068" t="s">
        <v>184</v>
      </c>
      <c r="I1068">
        <v>1</v>
      </c>
      <c r="J1068" s="4">
        <v>13095.55</v>
      </c>
      <c r="K1068" s="5">
        <v>0.15</v>
      </c>
      <c r="L1068" s="4">
        <v>6856.4</v>
      </c>
      <c r="M1068" t="s">
        <v>42</v>
      </c>
      <c r="N1068" t="s">
        <v>60</v>
      </c>
      <c r="O1068">
        <f>IF(TablaVentas[[#This Row],[Precio_unitario]]="","PENDIENTE",TablaVentas[[#This Row],[Unidades]]*TablaVentas[[#This Row],[Precio_unitario]]*(1-TablaVentas[[#This Row],[Descuento_pct]]))</f>
        <v>11131.217499999999</v>
      </c>
      <c r="P1068">
        <f>IF(TablaVentas[[#This Row],[Costo_unitario]]="","PENDIENTE",TablaVentas[[#This Row],[Unidades]]*TablaVentas[[#This Row],[Costo_unitario]])</f>
        <v>6856.4</v>
      </c>
      <c r="Q1068">
        <f>IF(OR(TablaVentas[[#This Row],[Ingreso_neto]]="PENDIENTE",TablaVentas[[#This Row],[Costo_total]]="PENDIENTE"),"PENDIENTE",TablaVentas[[#This Row],[Ingreso_neto]]-TablaVentas[[#This Row],[Costo_total]])</f>
        <v>4274.8174999999992</v>
      </c>
    </row>
    <row r="1069" spans="1:17">
      <c r="A1069" t="s">
        <v>820</v>
      </c>
      <c r="B1069">
        <v>1</v>
      </c>
      <c r="C1069" s="3">
        <v>46201</v>
      </c>
      <c r="D1069" t="s">
        <v>554</v>
      </c>
      <c r="E1069" t="s">
        <v>128</v>
      </c>
      <c r="F1069" t="s">
        <v>66</v>
      </c>
      <c r="G1069" t="s">
        <v>50</v>
      </c>
      <c r="H1069" t="s">
        <v>184</v>
      </c>
      <c r="I1069">
        <v>2</v>
      </c>
      <c r="J1069" s="4">
        <v>1480.84</v>
      </c>
      <c r="K1069" s="5">
        <v>0</v>
      </c>
      <c r="L1069" s="4">
        <v>900.08</v>
      </c>
      <c r="M1069" t="s">
        <v>42</v>
      </c>
      <c r="N1069" t="s">
        <v>43</v>
      </c>
      <c r="O1069">
        <f>IF(TablaVentas[[#This Row],[Precio_unitario]]="","PENDIENTE",TablaVentas[[#This Row],[Unidades]]*TablaVentas[[#This Row],[Precio_unitario]]*(1-TablaVentas[[#This Row],[Descuento_pct]]))</f>
        <v>2961.68</v>
      </c>
      <c r="P1069">
        <f>IF(TablaVentas[[#This Row],[Costo_unitario]]="","PENDIENTE",TablaVentas[[#This Row],[Unidades]]*TablaVentas[[#This Row],[Costo_unitario]])</f>
        <v>1800.16</v>
      </c>
      <c r="Q1069">
        <f>IF(OR(TablaVentas[[#This Row],[Ingreso_neto]]="PENDIENTE",TablaVentas[[#This Row],[Costo_total]]="PENDIENTE"),"PENDIENTE",TablaVentas[[#This Row],[Ingreso_neto]]-TablaVentas[[#This Row],[Costo_total]])</f>
        <v>1161.5199999999998</v>
      </c>
    </row>
    <row r="1070" spans="1:17">
      <c r="A1070" t="s">
        <v>820</v>
      </c>
      <c r="B1070">
        <v>2</v>
      </c>
      <c r="C1070" s="3">
        <v>46201</v>
      </c>
      <c r="D1070" t="s">
        <v>554</v>
      </c>
      <c r="E1070" t="s">
        <v>217</v>
      </c>
      <c r="F1070" t="s">
        <v>66</v>
      </c>
      <c r="G1070" t="s">
        <v>50</v>
      </c>
      <c r="H1070" t="s">
        <v>184</v>
      </c>
      <c r="I1070">
        <v>1</v>
      </c>
      <c r="J1070" s="4">
        <v>15835.83</v>
      </c>
      <c r="K1070" s="5">
        <v>0.2</v>
      </c>
      <c r="L1070" s="4">
        <v>14161.63</v>
      </c>
      <c r="M1070" t="s">
        <v>42</v>
      </c>
      <c r="N1070" t="s">
        <v>45</v>
      </c>
      <c r="O1070">
        <f>IF(TablaVentas[[#This Row],[Precio_unitario]]="","PENDIENTE",TablaVentas[[#This Row],[Unidades]]*TablaVentas[[#This Row],[Precio_unitario]]*(1-TablaVentas[[#This Row],[Descuento_pct]]))</f>
        <v>12668.664000000001</v>
      </c>
      <c r="P1070">
        <f>IF(TablaVentas[[#This Row],[Costo_unitario]]="","PENDIENTE",TablaVentas[[#This Row],[Unidades]]*TablaVentas[[#This Row],[Costo_unitario]])</f>
        <v>14161.63</v>
      </c>
      <c r="Q1070">
        <f>IF(OR(TablaVentas[[#This Row],[Ingreso_neto]]="PENDIENTE",TablaVentas[[#This Row],[Costo_total]]="PENDIENTE"),"PENDIENTE",TablaVentas[[#This Row],[Ingreso_neto]]-TablaVentas[[#This Row],[Costo_total]])</f>
        <v>-1492.9659999999985</v>
      </c>
    </row>
    <row r="1071" spans="1:17">
      <c r="A1071" t="s">
        <v>820</v>
      </c>
      <c r="B1071">
        <v>3</v>
      </c>
      <c r="C1071" s="3">
        <v>46201</v>
      </c>
      <c r="D1071" t="s">
        <v>554</v>
      </c>
      <c r="E1071" t="s">
        <v>397</v>
      </c>
      <c r="F1071" t="s">
        <v>66</v>
      </c>
      <c r="G1071" t="s">
        <v>50</v>
      </c>
      <c r="H1071" t="s">
        <v>184</v>
      </c>
      <c r="I1071">
        <v>1</v>
      </c>
      <c r="J1071" s="4">
        <v>6852.09</v>
      </c>
      <c r="K1071" s="5">
        <v>0</v>
      </c>
      <c r="L1071" s="4">
        <v>3640.56</v>
      </c>
      <c r="M1071" t="s">
        <v>42</v>
      </c>
      <c r="N1071" t="s">
        <v>43</v>
      </c>
      <c r="O1071">
        <f>IF(TablaVentas[[#This Row],[Precio_unitario]]="","PENDIENTE",TablaVentas[[#This Row],[Unidades]]*TablaVentas[[#This Row],[Precio_unitario]]*(1-TablaVentas[[#This Row],[Descuento_pct]]))</f>
        <v>6852.09</v>
      </c>
      <c r="P1071">
        <f>IF(TablaVentas[[#This Row],[Costo_unitario]]="","PENDIENTE",TablaVentas[[#This Row],[Unidades]]*TablaVentas[[#This Row],[Costo_unitario]])</f>
        <v>3640.56</v>
      </c>
      <c r="Q1071">
        <f>IF(OR(TablaVentas[[#This Row],[Ingreso_neto]]="PENDIENTE",TablaVentas[[#This Row],[Costo_total]]="PENDIENTE"),"PENDIENTE",TablaVentas[[#This Row],[Ingreso_neto]]-TablaVentas[[#This Row],[Costo_total]])</f>
        <v>3211.53</v>
      </c>
    </row>
    <row r="1072" spans="1:17">
      <c r="A1072" t="s">
        <v>821</v>
      </c>
      <c r="B1072">
        <v>1</v>
      </c>
      <c r="C1072" s="3">
        <v>46260</v>
      </c>
      <c r="D1072" t="s">
        <v>752</v>
      </c>
      <c r="E1072" t="s">
        <v>61</v>
      </c>
      <c r="F1072" t="s">
        <v>56</v>
      </c>
      <c r="G1072" t="s">
        <v>50</v>
      </c>
      <c r="H1072" t="s">
        <v>67</v>
      </c>
      <c r="I1072">
        <v>12</v>
      </c>
      <c r="J1072" s="4">
        <v>4566.55</v>
      </c>
      <c r="K1072" s="5">
        <v>0</v>
      </c>
      <c r="L1072" s="4">
        <v>2554.06</v>
      </c>
      <c r="M1072" t="s">
        <v>42</v>
      </c>
      <c r="N1072" t="s">
        <v>52</v>
      </c>
      <c r="O1072">
        <f>IF(TablaVentas[[#This Row],[Precio_unitario]]="","PENDIENTE",TablaVentas[[#This Row],[Unidades]]*TablaVentas[[#This Row],[Precio_unitario]]*(1-TablaVentas[[#This Row],[Descuento_pct]]))</f>
        <v>54798.600000000006</v>
      </c>
      <c r="P1072">
        <f>IF(TablaVentas[[#This Row],[Costo_unitario]]="","PENDIENTE",TablaVentas[[#This Row],[Unidades]]*TablaVentas[[#This Row],[Costo_unitario]])</f>
        <v>30648.720000000001</v>
      </c>
      <c r="Q1072">
        <f>IF(OR(TablaVentas[[#This Row],[Ingreso_neto]]="PENDIENTE",TablaVentas[[#This Row],[Costo_total]]="PENDIENTE"),"PENDIENTE",TablaVentas[[#This Row],[Ingreso_neto]]-TablaVentas[[#This Row],[Costo_total]])</f>
        <v>24149.880000000005</v>
      </c>
    </row>
    <row r="1073" spans="1:17">
      <c r="A1073" t="s">
        <v>821</v>
      </c>
      <c r="B1073">
        <v>2</v>
      </c>
      <c r="C1073" s="3">
        <v>46260</v>
      </c>
      <c r="D1073" t="s">
        <v>752</v>
      </c>
      <c r="E1073" t="s">
        <v>93</v>
      </c>
      <c r="F1073" t="s">
        <v>56</v>
      </c>
      <c r="G1073" t="s">
        <v>50</v>
      </c>
      <c r="H1073" t="s">
        <v>67</v>
      </c>
      <c r="I1073">
        <v>1</v>
      </c>
      <c r="J1073" s="4">
        <v>14430.24</v>
      </c>
      <c r="K1073" s="5">
        <v>0.15</v>
      </c>
      <c r="L1073" s="4">
        <v>8788.7900000000009</v>
      </c>
      <c r="M1073" t="s">
        <v>42</v>
      </c>
      <c r="N1073" t="s">
        <v>43</v>
      </c>
      <c r="O1073">
        <f>IF(TablaVentas[[#This Row],[Precio_unitario]]="","PENDIENTE",TablaVentas[[#This Row],[Unidades]]*TablaVentas[[#This Row],[Precio_unitario]]*(1-TablaVentas[[#This Row],[Descuento_pct]]))</f>
        <v>12265.704</v>
      </c>
      <c r="P1073">
        <f>IF(TablaVentas[[#This Row],[Costo_unitario]]="","PENDIENTE",TablaVentas[[#This Row],[Unidades]]*TablaVentas[[#This Row],[Costo_unitario]])</f>
        <v>8788.7900000000009</v>
      </c>
      <c r="Q1073">
        <f>IF(OR(TablaVentas[[#This Row],[Ingreso_neto]]="PENDIENTE",TablaVentas[[#This Row],[Costo_total]]="PENDIENTE"),"PENDIENTE",TablaVentas[[#This Row],[Ingreso_neto]]-TablaVentas[[#This Row],[Costo_total]])</f>
        <v>3476.9139999999989</v>
      </c>
    </row>
    <row r="1074" spans="1:17">
      <c r="A1074" t="s">
        <v>821</v>
      </c>
      <c r="B1074">
        <v>3</v>
      </c>
      <c r="C1074" s="3">
        <v>46260</v>
      </c>
      <c r="D1074" t="s">
        <v>752</v>
      </c>
      <c r="E1074" t="s">
        <v>272</v>
      </c>
      <c r="F1074" t="s">
        <v>56</v>
      </c>
      <c r="G1074" t="s">
        <v>50</v>
      </c>
      <c r="H1074" t="s">
        <v>67</v>
      </c>
      <c r="I1074">
        <v>8</v>
      </c>
      <c r="J1074" s="4">
        <v>691.45</v>
      </c>
      <c r="K1074" s="5">
        <v>0.15</v>
      </c>
      <c r="L1074" s="4">
        <v>443</v>
      </c>
      <c r="M1074" t="s">
        <v>42</v>
      </c>
      <c r="N1074" t="s">
        <v>52</v>
      </c>
      <c r="O1074">
        <f>IF(TablaVentas[[#This Row],[Precio_unitario]]="","PENDIENTE",TablaVentas[[#This Row],[Unidades]]*TablaVentas[[#This Row],[Precio_unitario]]*(1-TablaVentas[[#This Row],[Descuento_pct]]))</f>
        <v>4701.8600000000006</v>
      </c>
      <c r="P1074">
        <f>IF(TablaVentas[[#This Row],[Costo_unitario]]="","PENDIENTE",TablaVentas[[#This Row],[Unidades]]*TablaVentas[[#This Row],[Costo_unitario]])</f>
        <v>3544</v>
      </c>
      <c r="Q1074">
        <f>IF(OR(TablaVentas[[#This Row],[Ingreso_neto]]="PENDIENTE",TablaVentas[[#This Row],[Costo_total]]="PENDIENTE"),"PENDIENTE",TablaVentas[[#This Row],[Ingreso_neto]]-TablaVentas[[#This Row],[Costo_total]])</f>
        <v>1157.8600000000006</v>
      </c>
    </row>
    <row r="1075" spans="1:17">
      <c r="A1075" t="s">
        <v>822</v>
      </c>
      <c r="B1075">
        <v>1</v>
      </c>
      <c r="C1075" s="3">
        <v>46082</v>
      </c>
      <c r="D1075" t="s">
        <v>815</v>
      </c>
      <c r="E1075" t="s">
        <v>139</v>
      </c>
      <c r="F1075" t="s">
        <v>66</v>
      </c>
      <c r="G1075" t="s">
        <v>50</v>
      </c>
      <c r="H1075" t="s">
        <v>102</v>
      </c>
      <c r="I1075">
        <v>3</v>
      </c>
      <c r="J1075" s="4">
        <v>10385.5</v>
      </c>
      <c r="K1075" s="5">
        <v>0</v>
      </c>
      <c r="L1075" s="4">
        <v>8002.16</v>
      </c>
      <c r="M1075" t="s">
        <v>42</v>
      </c>
      <c r="N1075" t="s">
        <v>43</v>
      </c>
      <c r="O1075">
        <f>IF(TablaVentas[[#This Row],[Precio_unitario]]="","PENDIENTE",TablaVentas[[#This Row],[Unidades]]*TablaVentas[[#This Row],[Precio_unitario]]*(1-TablaVentas[[#This Row],[Descuento_pct]]))</f>
        <v>31156.5</v>
      </c>
      <c r="P1075">
        <f>IF(TablaVentas[[#This Row],[Costo_unitario]]="","PENDIENTE",TablaVentas[[#This Row],[Unidades]]*TablaVentas[[#This Row],[Costo_unitario]])</f>
        <v>24006.48</v>
      </c>
      <c r="Q1075">
        <f>IF(OR(TablaVentas[[#This Row],[Ingreso_neto]]="PENDIENTE",TablaVentas[[#This Row],[Costo_total]]="PENDIENTE"),"PENDIENTE",TablaVentas[[#This Row],[Ingreso_neto]]-TablaVentas[[#This Row],[Costo_total]])</f>
        <v>7150.02</v>
      </c>
    </row>
    <row r="1076" spans="1:17">
      <c r="A1076" t="s">
        <v>822</v>
      </c>
      <c r="B1076">
        <v>2</v>
      </c>
      <c r="C1076" s="3">
        <v>46082</v>
      </c>
      <c r="D1076" t="s">
        <v>815</v>
      </c>
      <c r="E1076" t="s">
        <v>115</v>
      </c>
      <c r="F1076" t="s">
        <v>66</v>
      </c>
      <c r="G1076" t="s">
        <v>50</v>
      </c>
      <c r="H1076" t="s">
        <v>102</v>
      </c>
      <c r="I1076">
        <v>3</v>
      </c>
      <c r="J1076" s="4">
        <v>1305.1400000000001</v>
      </c>
      <c r="K1076" s="5">
        <v>0</v>
      </c>
      <c r="L1076" s="4">
        <v>705.87</v>
      </c>
      <c r="M1076" t="s">
        <v>42</v>
      </c>
      <c r="N1076" t="s">
        <v>60</v>
      </c>
      <c r="O1076">
        <f>IF(TablaVentas[[#This Row],[Precio_unitario]]="","PENDIENTE",TablaVentas[[#This Row],[Unidades]]*TablaVentas[[#This Row],[Precio_unitario]]*(1-TablaVentas[[#This Row],[Descuento_pct]]))</f>
        <v>3915.42</v>
      </c>
      <c r="P1076">
        <f>IF(TablaVentas[[#This Row],[Costo_unitario]]="","PENDIENTE",TablaVentas[[#This Row],[Unidades]]*TablaVentas[[#This Row],[Costo_unitario]])</f>
        <v>2117.61</v>
      </c>
      <c r="Q1076">
        <f>IF(OR(TablaVentas[[#This Row],[Ingreso_neto]]="PENDIENTE",TablaVentas[[#This Row],[Costo_total]]="PENDIENTE"),"PENDIENTE",TablaVentas[[#This Row],[Ingreso_neto]]-TablaVentas[[#This Row],[Costo_total]])</f>
        <v>1797.81</v>
      </c>
    </row>
    <row r="1077" spans="1:17">
      <c r="A1077" t="s">
        <v>822</v>
      </c>
      <c r="B1077">
        <v>3</v>
      </c>
      <c r="C1077" s="3">
        <v>46082</v>
      </c>
      <c r="D1077" t="s">
        <v>815</v>
      </c>
      <c r="E1077" t="s">
        <v>248</v>
      </c>
      <c r="F1077" t="s">
        <v>66</v>
      </c>
      <c r="G1077" t="s">
        <v>50</v>
      </c>
      <c r="H1077" t="s">
        <v>102</v>
      </c>
      <c r="I1077">
        <v>1</v>
      </c>
      <c r="J1077" s="4">
        <v>11928.38</v>
      </c>
      <c r="K1077" s="5">
        <v>0</v>
      </c>
      <c r="L1077" s="4">
        <v>6856.4</v>
      </c>
      <c r="M1077" t="s">
        <v>42</v>
      </c>
      <c r="N1077" t="s">
        <v>60</v>
      </c>
      <c r="O1077">
        <f>IF(TablaVentas[[#This Row],[Precio_unitario]]="","PENDIENTE",TablaVentas[[#This Row],[Unidades]]*TablaVentas[[#This Row],[Precio_unitario]]*(1-TablaVentas[[#This Row],[Descuento_pct]]))</f>
        <v>11928.38</v>
      </c>
      <c r="P1077">
        <f>IF(TablaVentas[[#This Row],[Costo_unitario]]="","PENDIENTE",TablaVentas[[#This Row],[Unidades]]*TablaVentas[[#This Row],[Costo_unitario]])</f>
        <v>6856.4</v>
      </c>
      <c r="Q1077">
        <f>IF(OR(TablaVentas[[#This Row],[Ingreso_neto]]="PENDIENTE",TablaVentas[[#This Row],[Costo_total]]="PENDIENTE"),"PENDIENTE",TablaVentas[[#This Row],[Ingreso_neto]]-TablaVentas[[#This Row],[Costo_total]])</f>
        <v>5071.9799999999996</v>
      </c>
    </row>
    <row r="1078" spans="1:17">
      <c r="A1078" t="s">
        <v>823</v>
      </c>
      <c r="B1078">
        <v>1</v>
      </c>
      <c r="C1078" s="3">
        <v>46116</v>
      </c>
      <c r="D1078" t="s">
        <v>782</v>
      </c>
      <c r="E1078" t="s">
        <v>70</v>
      </c>
      <c r="F1078" t="s">
        <v>77</v>
      </c>
      <c r="G1078" t="s">
        <v>40</v>
      </c>
      <c r="H1078" t="s">
        <v>58</v>
      </c>
      <c r="I1078">
        <v>2</v>
      </c>
      <c r="J1078" s="4">
        <v>16094.57</v>
      </c>
      <c r="K1078" s="5">
        <v>0.1</v>
      </c>
      <c r="L1078" s="4">
        <v>10571.25</v>
      </c>
      <c r="M1078" t="s">
        <v>42</v>
      </c>
      <c r="N1078" t="s">
        <v>60</v>
      </c>
      <c r="O1078">
        <f>IF(TablaVentas[[#This Row],[Precio_unitario]]="","PENDIENTE",TablaVentas[[#This Row],[Unidades]]*TablaVentas[[#This Row],[Precio_unitario]]*(1-TablaVentas[[#This Row],[Descuento_pct]]))</f>
        <v>28970.225999999999</v>
      </c>
      <c r="P1078">
        <f>IF(TablaVentas[[#This Row],[Costo_unitario]]="","PENDIENTE",TablaVentas[[#This Row],[Unidades]]*TablaVentas[[#This Row],[Costo_unitario]])</f>
        <v>21142.5</v>
      </c>
      <c r="Q1078">
        <f>IF(OR(TablaVentas[[#This Row],[Ingreso_neto]]="PENDIENTE",TablaVentas[[#This Row],[Costo_total]]="PENDIENTE"),"PENDIENTE",TablaVentas[[#This Row],[Ingreso_neto]]-TablaVentas[[#This Row],[Costo_total]])</f>
        <v>7827.7259999999987</v>
      </c>
    </row>
    <row r="1079" spans="1:17">
      <c r="A1079" t="s">
        <v>823</v>
      </c>
      <c r="B1079">
        <v>2</v>
      </c>
      <c r="C1079" s="3">
        <v>46116</v>
      </c>
      <c r="D1079" t="s">
        <v>782</v>
      </c>
      <c r="E1079" t="s">
        <v>144</v>
      </c>
      <c r="F1079" t="s">
        <v>77</v>
      </c>
      <c r="G1079" t="s">
        <v>40</v>
      </c>
      <c r="H1079" t="s">
        <v>58</v>
      </c>
      <c r="I1079">
        <v>1</v>
      </c>
      <c r="J1079" s="4">
        <v>8563.6</v>
      </c>
      <c r="K1079" s="5">
        <v>0.1</v>
      </c>
      <c r="L1079" s="4">
        <v>5125.3599999999997</v>
      </c>
      <c r="M1079" t="s">
        <v>42</v>
      </c>
      <c r="N1079" t="s">
        <v>45</v>
      </c>
      <c r="O1079">
        <f>IF(TablaVentas[[#This Row],[Precio_unitario]]="","PENDIENTE",TablaVentas[[#This Row],[Unidades]]*TablaVentas[[#This Row],[Precio_unitario]]*(1-TablaVentas[[#This Row],[Descuento_pct]]))</f>
        <v>7707.2400000000007</v>
      </c>
      <c r="P1079">
        <f>IF(TablaVentas[[#This Row],[Costo_unitario]]="","PENDIENTE",TablaVentas[[#This Row],[Unidades]]*TablaVentas[[#This Row],[Costo_unitario]])</f>
        <v>5125.3599999999997</v>
      </c>
      <c r="Q1079">
        <f>IF(OR(TablaVentas[[#This Row],[Ingreso_neto]]="PENDIENTE",TablaVentas[[#This Row],[Costo_total]]="PENDIENTE"),"PENDIENTE",TablaVentas[[#This Row],[Ingreso_neto]]-TablaVentas[[#This Row],[Costo_total]])</f>
        <v>2581.880000000001</v>
      </c>
    </row>
    <row r="1080" spans="1:17">
      <c r="A1080" t="s">
        <v>823</v>
      </c>
      <c r="B1080">
        <v>3</v>
      </c>
      <c r="C1080" s="3">
        <v>46116</v>
      </c>
      <c r="D1080" t="s">
        <v>782</v>
      </c>
      <c r="E1080" t="s">
        <v>183</v>
      </c>
      <c r="F1080" t="s">
        <v>77</v>
      </c>
      <c r="G1080" t="s">
        <v>40</v>
      </c>
      <c r="H1080" t="s">
        <v>58</v>
      </c>
      <c r="I1080">
        <v>3</v>
      </c>
      <c r="J1080" s="4">
        <v>4804.5200000000004</v>
      </c>
      <c r="K1080" s="5">
        <v>0</v>
      </c>
      <c r="L1080" s="4">
        <v>4325.7299999999996</v>
      </c>
      <c r="M1080" t="s">
        <v>42</v>
      </c>
      <c r="N1080" t="s">
        <v>60</v>
      </c>
      <c r="O1080">
        <f>IF(TablaVentas[[#This Row],[Precio_unitario]]="","PENDIENTE",TablaVentas[[#This Row],[Unidades]]*TablaVentas[[#This Row],[Precio_unitario]]*(1-TablaVentas[[#This Row],[Descuento_pct]]))</f>
        <v>14413.560000000001</v>
      </c>
      <c r="P1080">
        <f>IF(TablaVentas[[#This Row],[Costo_unitario]]="","PENDIENTE",TablaVentas[[#This Row],[Unidades]]*TablaVentas[[#This Row],[Costo_unitario]])</f>
        <v>12977.189999999999</v>
      </c>
      <c r="Q1080">
        <f>IF(OR(TablaVentas[[#This Row],[Ingreso_neto]]="PENDIENTE",TablaVentas[[#This Row],[Costo_total]]="PENDIENTE"),"PENDIENTE",TablaVentas[[#This Row],[Ingreso_neto]]-TablaVentas[[#This Row],[Costo_total]])</f>
        <v>1436.3700000000026</v>
      </c>
    </row>
    <row r="1081" spans="1:17">
      <c r="A1081" t="s">
        <v>824</v>
      </c>
      <c r="B1081">
        <v>1</v>
      </c>
      <c r="C1081" s="3">
        <v>46069</v>
      </c>
      <c r="D1081" t="s">
        <v>118</v>
      </c>
      <c r="E1081" t="s">
        <v>106</v>
      </c>
      <c r="F1081" t="s">
        <v>56</v>
      </c>
      <c r="G1081" t="s">
        <v>50</v>
      </c>
      <c r="H1081" t="s">
        <v>124</v>
      </c>
      <c r="I1081">
        <v>2</v>
      </c>
      <c r="J1081" s="4">
        <v>9065.36</v>
      </c>
      <c r="K1081" s="5">
        <v>0</v>
      </c>
      <c r="L1081" s="4">
        <v>8276.74</v>
      </c>
      <c r="M1081" t="s">
        <v>42</v>
      </c>
      <c r="N1081" t="s">
        <v>52</v>
      </c>
      <c r="O1081">
        <f>IF(TablaVentas[[#This Row],[Precio_unitario]]="","PENDIENTE",TablaVentas[[#This Row],[Unidades]]*TablaVentas[[#This Row],[Precio_unitario]]*(1-TablaVentas[[#This Row],[Descuento_pct]]))</f>
        <v>18130.72</v>
      </c>
      <c r="P1081">
        <f>IF(TablaVentas[[#This Row],[Costo_unitario]]="","PENDIENTE",TablaVentas[[#This Row],[Unidades]]*TablaVentas[[#This Row],[Costo_unitario]])</f>
        <v>16553.48</v>
      </c>
      <c r="Q1081">
        <f>IF(OR(TablaVentas[[#This Row],[Ingreso_neto]]="PENDIENTE",TablaVentas[[#This Row],[Costo_total]]="PENDIENTE"),"PENDIENTE",TablaVentas[[#This Row],[Ingreso_neto]]-TablaVentas[[#This Row],[Costo_total]])</f>
        <v>1577.2400000000016</v>
      </c>
    </row>
    <row r="1082" spans="1:17">
      <c r="A1082" t="s">
        <v>824</v>
      </c>
      <c r="B1082">
        <v>2</v>
      </c>
      <c r="C1082" s="3">
        <v>46069</v>
      </c>
      <c r="D1082" t="s">
        <v>118</v>
      </c>
      <c r="E1082" t="s">
        <v>397</v>
      </c>
      <c r="F1082" t="s">
        <v>56</v>
      </c>
      <c r="G1082" t="s">
        <v>50</v>
      </c>
      <c r="H1082" t="s">
        <v>124</v>
      </c>
      <c r="I1082">
        <v>2</v>
      </c>
      <c r="J1082" s="4">
        <v>6789.81</v>
      </c>
      <c r="K1082" s="5">
        <v>0</v>
      </c>
      <c r="L1082" s="4">
        <v>3640.56</v>
      </c>
      <c r="M1082" t="s">
        <v>42</v>
      </c>
      <c r="N1082" t="s">
        <v>52</v>
      </c>
      <c r="O1082">
        <f>IF(TablaVentas[[#This Row],[Precio_unitario]]="","PENDIENTE",TablaVentas[[#This Row],[Unidades]]*TablaVentas[[#This Row],[Precio_unitario]]*(1-TablaVentas[[#This Row],[Descuento_pct]]))</f>
        <v>13579.62</v>
      </c>
      <c r="P1082">
        <f>IF(TablaVentas[[#This Row],[Costo_unitario]]="","PENDIENTE",TablaVentas[[#This Row],[Unidades]]*TablaVentas[[#This Row],[Costo_unitario]])</f>
        <v>7281.12</v>
      </c>
      <c r="Q1082">
        <f>IF(OR(TablaVentas[[#This Row],[Ingreso_neto]]="PENDIENTE",TablaVentas[[#This Row],[Costo_total]]="PENDIENTE"),"PENDIENTE",TablaVentas[[#This Row],[Ingreso_neto]]-TablaVentas[[#This Row],[Costo_total]])</f>
        <v>6298.5000000000009</v>
      </c>
    </row>
    <row r="1083" spans="1:17">
      <c r="A1083" t="s">
        <v>825</v>
      </c>
      <c r="B1083">
        <v>1</v>
      </c>
      <c r="C1083" s="3">
        <v>46087</v>
      </c>
      <c r="D1083" t="s">
        <v>770</v>
      </c>
      <c r="E1083" t="s">
        <v>81</v>
      </c>
      <c r="F1083" t="s">
        <v>39</v>
      </c>
      <c r="G1083" t="s">
        <v>40</v>
      </c>
      <c r="H1083" t="s">
        <v>102</v>
      </c>
      <c r="I1083">
        <v>8</v>
      </c>
      <c r="J1083" s="4">
        <v>17207.419999999998</v>
      </c>
      <c r="K1083" s="5">
        <v>0</v>
      </c>
      <c r="L1083" s="4">
        <v>11614.87</v>
      </c>
      <c r="M1083" t="s">
        <v>42</v>
      </c>
      <c r="N1083" t="s">
        <v>60</v>
      </c>
      <c r="O1083">
        <f>IF(TablaVentas[[#This Row],[Precio_unitario]]="","PENDIENTE",TablaVentas[[#This Row],[Unidades]]*TablaVentas[[#This Row],[Precio_unitario]]*(1-TablaVentas[[#This Row],[Descuento_pct]]))</f>
        <v>137659.35999999999</v>
      </c>
      <c r="P1083">
        <f>IF(TablaVentas[[#This Row],[Costo_unitario]]="","PENDIENTE",TablaVentas[[#This Row],[Unidades]]*TablaVentas[[#This Row],[Costo_unitario]])</f>
        <v>92918.96</v>
      </c>
      <c r="Q1083">
        <f>IF(OR(TablaVentas[[#This Row],[Ingreso_neto]]="PENDIENTE",TablaVentas[[#This Row],[Costo_total]]="PENDIENTE"),"PENDIENTE",TablaVentas[[#This Row],[Ingreso_neto]]-TablaVentas[[#This Row],[Costo_total]])</f>
        <v>44740.39999999998</v>
      </c>
    </row>
    <row r="1084" spans="1:17">
      <c r="A1084" t="s">
        <v>825</v>
      </c>
      <c r="B1084">
        <v>2</v>
      </c>
      <c r="C1084" s="3">
        <v>46087</v>
      </c>
      <c r="D1084" t="s">
        <v>770</v>
      </c>
      <c r="E1084" t="s">
        <v>326</v>
      </c>
      <c r="F1084" t="s">
        <v>39</v>
      </c>
      <c r="G1084" t="s">
        <v>40</v>
      </c>
      <c r="H1084" t="s">
        <v>102</v>
      </c>
      <c r="I1084">
        <v>4</v>
      </c>
      <c r="J1084" s="4">
        <v>7484.29</v>
      </c>
      <c r="K1084" s="5">
        <v>0.15</v>
      </c>
      <c r="L1084" s="4">
        <v>4044.16</v>
      </c>
      <c r="M1084" t="s">
        <v>42</v>
      </c>
      <c r="N1084" t="s">
        <v>52</v>
      </c>
      <c r="O1084">
        <f>IF(TablaVentas[[#This Row],[Precio_unitario]]="","PENDIENTE",TablaVentas[[#This Row],[Unidades]]*TablaVentas[[#This Row],[Precio_unitario]]*(1-TablaVentas[[#This Row],[Descuento_pct]]))</f>
        <v>25446.585999999999</v>
      </c>
      <c r="P1084">
        <f>IF(TablaVentas[[#This Row],[Costo_unitario]]="","PENDIENTE",TablaVentas[[#This Row],[Unidades]]*TablaVentas[[#This Row],[Costo_unitario]])</f>
        <v>16176.64</v>
      </c>
      <c r="Q1084">
        <f>IF(OR(TablaVentas[[#This Row],[Ingreso_neto]]="PENDIENTE",TablaVentas[[#This Row],[Costo_total]]="PENDIENTE"),"PENDIENTE",TablaVentas[[#This Row],[Ingreso_neto]]-TablaVentas[[#This Row],[Costo_total]])</f>
        <v>9269.9459999999999</v>
      </c>
    </row>
    <row r="1085" spans="1:17">
      <c r="A1085" t="s">
        <v>825</v>
      </c>
      <c r="B1085">
        <v>3</v>
      </c>
      <c r="C1085" s="3">
        <v>46087</v>
      </c>
      <c r="D1085" t="s">
        <v>770</v>
      </c>
      <c r="E1085" t="s">
        <v>321</v>
      </c>
      <c r="F1085" t="s">
        <v>39</v>
      </c>
      <c r="G1085" t="s">
        <v>40</v>
      </c>
      <c r="H1085" t="s">
        <v>102</v>
      </c>
      <c r="I1085">
        <v>3</v>
      </c>
      <c r="J1085" s="4">
        <v>1315.95</v>
      </c>
      <c r="K1085" s="5">
        <v>0</v>
      </c>
      <c r="L1085" s="4">
        <v>679.37</v>
      </c>
      <c r="M1085" t="s">
        <v>42</v>
      </c>
      <c r="N1085" t="s">
        <v>60</v>
      </c>
      <c r="O1085">
        <f>IF(TablaVentas[[#This Row],[Precio_unitario]]="","PENDIENTE",TablaVentas[[#This Row],[Unidades]]*TablaVentas[[#This Row],[Precio_unitario]]*(1-TablaVentas[[#This Row],[Descuento_pct]]))</f>
        <v>3947.8500000000004</v>
      </c>
      <c r="P1085">
        <f>IF(TablaVentas[[#This Row],[Costo_unitario]]="","PENDIENTE",TablaVentas[[#This Row],[Unidades]]*TablaVentas[[#This Row],[Costo_unitario]])</f>
        <v>2038.1100000000001</v>
      </c>
      <c r="Q1085">
        <f>IF(OR(TablaVentas[[#This Row],[Ingreso_neto]]="PENDIENTE",TablaVentas[[#This Row],[Costo_total]]="PENDIENTE"),"PENDIENTE",TablaVentas[[#This Row],[Ingreso_neto]]-TablaVentas[[#This Row],[Costo_total]])</f>
        <v>1909.7400000000002</v>
      </c>
    </row>
    <row r="1086" spans="1:17">
      <c r="A1086" t="s">
        <v>825</v>
      </c>
      <c r="B1086">
        <v>4</v>
      </c>
      <c r="C1086" s="3">
        <v>46087</v>
      </c>
      <c r="D1086" t="s">
        <v>770</v>
      </c>
      <c r="E1086" t="s">
        <v>101</v>
      </c>
      <c r="F1086" t="s">
        <v>39</v>
      </c>
      <c r="G1086" t="s">
        <v>40</v>
      </c>
      <c r="H1086" t="s">
        <v>102</v>
      </c>
      <c r="I1086">
        <v>1</v>
      </c>
      <c r="J1086" s="4">
        <v>5329.66</v>
      </c>
      <c r="K1086" s="5">
        <v>0.15</v>
      </c>
      <c r="L1086" s="4">
        <v>2865.24</v>
      </c>
      <c r="M1086" t="s">
        <v>42</v>
      </c>
      <c r="N1086" t="s">
        <v>43</v>
      </c>
      <c r="O1086">
        <f>IF(TablaVentas[[#This Row],[Precio_unitario]]="","PENDIENTE",TablaVentas[[#This Row],[Unidades]]*TablaVentas[[#This Row],[Precio_unitario]]*(1-TablaVentas[[#This Row],[Descuento_pct]]))</f>
        <v>4530.2109999999993</v>
      </c>
      <c r="P1086">
        <f>IF(TablaVentas[[#This Row],[Costo_unitario]]="","PENDIENTE",TablaVentas[[#This Row],[Unidades]]*TablaVentas[[#This Row],[Costo_unitario]])</f>
        <v>2865.24</v>
      </c>
      <c r="Q1086">
        <f>IF(OR(TablaVentas[[#This Row],[Ingreso_neto]]="PENDIENTE",TablaVentas[[#This Row],[Costo_total]]="PENDIENTE"),"PENDIENTE",TablaVentas[[#This Row],[Ingreso_neto]]-TablaVentas[[#This Row],[Costo_total]])</f>
        <v>1664.9709999999995</v>
      </c>
    </row>
    <row r="1087" spans="1:17">
      <c r="A1087" t="s">
        <v>826</v>
      </c>
      <c r="B1087">
        <v>1</v>
      </c>
      <c r="C1087" s="3">
        <v>46164</v>
      </c>
      <c r="D1087" t="s">
        <v>593</v>
      </c>
      <c r="E1087" t="s">
        <v>163</v>
      </c>
      <c r="F1087" t="s">
        <v>56</v>
      </c>
      <c r="G1087" t="s">
        <v>50</v>
      </c>
      <c r="H1087" t="s">
        <v>102</v>
      </c>
      <c r="I1087">
        <v>1</v>
      </c>
      <c r="J1087" s="4">
        <v>16036.09</v>
      </c>
      <c r="K1087" s="5">
        <v>0.15</v>
      </c>
      <c r="L1087" s="4">
        <v>12141.44</v>
      </c>
      <c r="M1087" t="s">
        <v>42</v>
      </c>
      <c r="N1087" t="s">
        <v>52</v>
      </c>
      <c r="O1087">
        <f>IF(TablaVentas[[#This Row],[Precio_unitario]]="","PENDIENTE",TablaVentas[[#This Row],[Unidades]]*TablaVentas[[#This Row],[Precio_unitario]]*(1-TablaVentas[[#This Row],[Descuento_pct]]))</f>
        <v>13630.6765</v>
      </c>
      <c r="P1087">
        <f>IF(TablaVentas[[#This Row],[Costo_unitario]]="","PENDIENTE",TablaVentas[[#This Row],[Unidades]]*TablaVentas[[#This Row],[Costo_unitario]])</f>
        <v>12141.44</v>
      </c>
      <c r="Q1087">
        <f>IF(OR(TablaVentas[[#This Row],[Ingreso_neto]]="PENDIENTE",TablaVentas[[#This Row],[Costo_total]]="PENDIENTE"),"PENDIENTE",TablaVentas[[#This Row],[Ingreso_neto]]-TablaVentas[[#This Row],[Costo_total]])</f>
        <v>1489.2364999999991</v>
      </c>
    </row>
    <row r="1088" spans="1:17">
      <c r="A1088" t="s">
        <v>826</v>
      </c>
      <c r="B1088">
        <v>2</v>
      </c>
      <c r="C1088" s="3">
        <v>46164</v>
      </c>
      <c r="D1088" t="s">
        <v>593</v>
      </c>
      <c r="E1088" t="s">
        <v>132</v>
      </c>
      <c r="F1088" t="s">
        <v>56</v>
      </c>
      <c r="G1088" t="s">
        <v>50</v>
      </c>
      <c r="H1088" t="s">
        <v>102</v>
      </c>
      <c r="I1088">
        <v>2</v>
      </c>
      <c r="J1088" s="4">
        <v>17708.66</v>
      </c>
      <c r="K1088" s="5">
        <v>0</v>
      </c>
      <c r="L1088" s="4">
        <v>11036.95</v>
      </c>
      <c r="M1088" t="s">
        <v>42</v>
      </c>
      <c r="N1088" t="s">
        <v>43</v>
      </c>
      <c r="O1088">
        <f>IF(TablaVentas[[#This Row],[Precio_unitario]]="","PENDIENTE",TablaVentas[[#This Row],[Unidades]]*TablaVentas[[#This Row],[Precio_unitario]]*(1-TablaVentas[[#This Row],[Descuento_pct]]))</f>
        <v>35417.32</v>
      </c>
      <c r="P1088">
        <f>IF(TablaVentas[[#This Row],[Costo_unitario]]="","PENDIENTE",TablaVentas[[#This Row],[Unidades]]*TablaVentas[[#This Row],[Costo_unitario]])</f>
        <v>22073.9</v>
      </c>
      <c r="Q1088">
        <f>IF(OR(TablaVentas[[#This Row],[Ingreso_neto]]="PENDIENTE",TablaVentas[[#This Row],[Costo_total]]="PENDIENTE"),"PENDIENTE",TablaVentas[[#This Row],[Ingreso_neto]]-TablaVentas[[#This Row],[Costo_total]])</f>
        <v>13343.419999999998</v>
      </c>
    </row>
    <row r="1089" spans="1:17">
      <c r="A1089" t="s">
        <v>827</v>
      </c>
      <c r="B1089">
        <v>1</v>
      </c>
      <c r="C1089" s="3">
        <v>46183</v>
      </c>
      <c r="D1089" t="s">
        <v>828</v>
      </c>
      <c r="E1089" t="s">
        <v>185</v>
      </c>
      <c r="F1089" t="s">
        <v>66</v>
      </c>
      <c r="G1089" t="s">
        <v>40</v>
      </c>
      <c r="H1089" t="s">
        <v>184</v>
      </c>
      <c r="I1089">
        <v>1</v>
      </c>
      <c r="J1089" s="4">
        <v>16249.27</v>
      </c>
      <c r="K1089" s="5">
        <v>0.2</v>
      </c>
      <c r="L1089" s="4">
        <v>11904.09</v>
      </c>
      <c r="M1089" t="s">
        <v>42</v>
      </c>
      <c r="N1089" t="s">
        <v>52</v>
      </c>
      <c r="O1089">
        <f>IF(TablaVentas[[#This Row],[Precio_unitario]]="","PENDIENTE",TablaVentas[[#This Row],[Unidades]]*TablaVentas[[#This Row],[Precio_unitario]]*(1-TablaVentas[[#This Row],[Descuento_pct]]))</f>
        <v>12999.416000000001</v>
      </c>
      <c r="P1089">
        <f>IF(TablaVentas[[#This Row],[Costo_unitario]]="","PENDIENTE",TablaVentas[[#This Row],[Unidades]]*TablaVentas[[#This Row],[Costo_unitario]])</f>
        <v>11904.09</v>
      </c>
      <c r="Q1089">
        <f>IF(OR(TablaVentas[[#This Row],[Ingreso_neto]]="PENDIENTE",TablaVentas[[#This Row],[Costo_total]]="PENDIENTE"),"PENDIENTE",TablaVentas[[#This Row],[Ingreso_neto]]-TablaVentas[[#This Row],[Costo_total]])</f>
        <v>1095.3260000000009</v>
      </c>
    </row>
    <row r="1090" spans="1:17">
      <c r="A1090" t="s">
        <v>827</v>
      </c>
      <c r="B1090">
        <v>2</v>
      </c>
      <c r="C1090" s="3">
        <v>46183</v>
      </c>
      <c r="D1090" t="s">
        <v>828</v>
      </c>
      <c r="E1090" t="s">
        <v>113</v>
      </c>
      <c r="F1090" t="s">
        <v>66</v>
      </c>
      <c r="G1090" t="s">
        <v>40</v>
      </c>
      <c r="H1090" t="s">
        <v>184</v>
      </c>
      <c r="I1090">
        <v>4</v>
      </c>
      <c r="J1090" s="4">
        <v>2932.4</v>
      </c>
      <c r="K1090" s="5">
        <v>0.15</v>
      </c>
      <c r="L1090" s="4">
        <v>2196.34</v>
      </c>
      <c r="M1090" t="s">
        <v>42</v>
      </c>
      <c r="N1090" t="s">
        <v>60</v>
      </c>
      <c r="O1090">
        <f>IF(TablaVentas[[#This Row],[Precio_unitario]]="","PENDIENTE",TablaVentas[[#This Row],[Unidades]]*TablaVentas[[#This Row],[Precio_unitario]]*(1-TablaVentas[[#This Row],[Descuento_pct]]))</f>
        <v>9970.16</v>
      </c>
      <c r="P1090">
        <f>IF(TablaVentas[[#This Row],[Costo_unitario]]="","PENDIENTE",TablaVentas[[#This Row],[Unidades]]*TablaVentas[[#This Row],[Costo_unitario]])</f>
        <v>8785.36</v>
      </c>
      <c r="Q1090">
        <f>IF(OR(TablaVentas[[#This Row],[Ingreso_neto]]="PENDIENTE",TablaVentas[[#This Row],[Costo_total]]="PENDIENTE"),"PENDIENTE",TablaVentas[[#This Row],[Ingreso_neto]]-TablaVentas[[#This Row],[Costo_total]])</f>
        <v>1184.7999999999993</v>
      </c>
    </row>
    <row r="1091" spans="1:17">
      <c r="A1091" t="s">
        <v>827</v>
      </c>
      <c r="B1091">
        <v>3</v>
      </c>
      <c r="C1091" s="3">
        <v>46183</v>
      </c>
      <c r="D1091" t="s">
        <v>828</v>
      </c>
      <c r="E1091" t="s">
        <v>68</v>
      </c>
      <c r="F1091" t="s">
        <v>66</v>
      </c>
      <c r="G1091" t="s">
        <v>40</v>
      </c>
      <c r="H1091" t="s">
        <v>184</v>
      </c>
      <c r="I1091">
        <v>1</v>
      </c>
      <c r="J1091" s="4">
        <v>16773.62</v>
      </c>
      <c r="K1091" s="5">
        <v>0</v>
      </c>
      <c r="L1091" s="4">
        <v>9243.35</v>
      </c>
      <c r="M1091" t="s">
        <v>42</v>
      </c>
      <c r="N1091" t="s">
        <v>52</v>
      </c>
      <c r="O1091">
        <f>IF(TablaVentas[[#This Row],[Precio_unitario]]="","PENDIENTE",TablaVentas[[#This Row],[Unidades]]*TablaVentas[[#This Row],[Precio_unitario]]*(1-TablaVentas[[#This Row],[Descuento_pct]]))</f>
        <v>16773.62</v>
      </c>
      <c r="P1091">
        <f>IF(TablaVentas[[#This Row],[Costo_unitario]]="","PENDIENTE",TablaVentas[[#This Row],[Unidades]]*TablaVentas[[#This Row],[Costo_unitario]])</f>
        <v>9243.35</v>
      </c>
      <c r="Q1091">
        <f>IF(OR(TablaVentas[[#This Row],[Ingreso_neto]]="PENDIENTE",TablaVentas[[#This Row],[Costo_total]]="PENDIENTE"),"PENDIENTE",TablaVentas[[#This Row],[Ingreso_neto]]-TablaVentas[[#This Row],[Costo_total]])</f>
        <v>7530.2699999999986</v>
      </c>
    </row>
    <row r="1092" spans="1:17">
      <c r="A1092" t="s">
        <v>829</v>
      </c>
      <c r="B1092">
        <v>1</v>
      </c>
      <c r="C1092" s="3">
        <v>46253</v>
      </c>
      <c r="D1092" t="s">
        <v>75</v>
      </c>
      <c r="E1092" t="s">
        <v>106</v>
      </c>
      <c r="F1092" t="s">
        <v>39</v>
      </c>
      <c r="G1092" t="s">
        <v>40</v>
      </c>
      <c r="H1092" t="s">
        <v>73</v>
      </c>
      <c r="I1092">
        <v>1</v>
      </c>
      <c r="J1092" s="4">
        <v>10539.42</v>
      </c>
      <c r="K1092" s="5">
        <v>0</v>
      </c>
      <c r="L1092" s="4">
        <v>8276.74</v>
      </c>
      <c r="M1092" t="s">
        <v>42</v>
      </c>
      <c r="N1092" t="s">
        <v>52</v>
      </c>
      <c r="O1092">
        <f>IF(TablaVentas[[#This Row],[Precio_unitario]]="","PENDIENTE",TablaVentas[[#This Row],[Unidades]]*TablaVentas[[#This Row],[Precio_unitario]]*(1-TablaVentas[[#This Row],[Descuento_pct]]))</f>
        <v>10539.42</v>
      </c>
      <c r="P1092">
        <f>IF(TablaVentas[[#This Row],[Costo_unitario]]="","PENDIENTE",TablaVentas[[#This Row],[Unidades]]*TablaVentas[[#This Row],[Costo_unitario]])</f>
        <v>8276.74</v>
      </c>
      <c r="Q1092">
        <f>IF(OR(TablaVentas[[#This Row],[Ingreso_neto]]="PENDIENTE",TablaVentas[[#This Row],[Costo_total]]="PENDIENTE"),"PENDIENTE",TablaVentas[[#This Row],[Ingreso_neto]]-TablaVentas[[#This Row],[Costo_total]])</f>
        <v>2262.6800000000003</v>
      </c>
    </row>
    <row r="1093" spans="1:17">
      <c r="A1093" t="s">
        <v>829</v>
      </c>
      <c r="B1093">
        <v>2</v>
      </c>
      <c r="C1093" s="3">
        <v>46253</v>
      </c>
      <c r="D1093" t="s">
        <v>75</v>
      </c>
      <c r="E1093" t="s">
        <v>120</v>
      </c>
      <c r="F1093" t="s">
        <v>39</v>
      </c>
      <c r="G1093" t="s">
        <v>40</v>
      </c>
      <c r="H1093" t="s">
        <v>73</v>
      </c>
      <c r="I1093">
        <v>4</v>
      </c>
      <c r="J1093" s="4">
        <v>12513.37</v>
      </c>
      <c r="K1093" s="5">
        <v>0.1</v>
      </c>
      <c r="L1093" s="4">
        <v>7975.26</v>
      </c>
      <c r="M1093" t="s">
        <v>42</v>
      </c>
      <c r="N1093" t="s">
        <v>45</v>
      </c>
      <c r="O1093">
        <f>IF(TablaVentas[[#This Row],[Precio_unitario]]="","PENDIENTE",TablaVentas[[#This Row],[Unidades]]*TablaVentas[[#This Row],[Precio_unitario]]*(1-TablaVentas[[#This Row],[Descuento_pct]]))</f>
        <v>45048.132000000005</v>
      </c>
      <c r="P1093">
        <f>IF(TablaVentas[[#This Row],[Costo_unitario]]="","PENDIENTE",TablaVentas[[#This Row],[Unidades]]*TablaVentas[[#This Row],[Costo_unitario]])</f>
        <v>31901.040000000001</v>
      </c>
      <c r="Q1093">
        <f>IF(OR(TablaVentas[[#This Row],[Ingreso_neto]]="PENDIENTE",TablaVentas[[#This Row],[Costo_total]]="PENDIENTE"),"PENDIENTE",TablaVentas[[#This Row],[Ingreso_neto]]-TablaVentas[[#This Row],[Costo_total]])</f>
        <v>13147.092000000004</v>
      </c>
    </row>
    <row r="1094" spans="1:17">
      <c r="A1094" t="s">
        <v>829</v>
      </c>
      <c r="B1094">
        <v>3</v>
      </c>
      <c r="C1094" s="3">
        <v>46253</v>
      </c>
      <c r="D1094" t="s">
        <v>75</v>
      </c>
      <c r="E1094" t="s">
        <v>378</v>
      </c>
      <c r="F1094" t="s">
        <v>39</v>
      </c>
      <c r="G1094" t="s">
        <v>40</v>
      </c>
      <c r="H1094" t="s">
        <v>73</v>
      </c>
      <c r="I1094">
        <v>2</v>
      </c>
      <c r="J1094" s="4">
        <v>3464.4</v>
      </c>
      <c r="K1094" s="5">
        <v>0.15</v>
      </c>
      <c r="L1094" s="4">
        <v>2864.64</v>
      </c>
      <c r="M1094" t="s">
        <v>42</v>
      </c>
      <c r="N1094" t="s">
        <v>52</v>
      </c>
      <c r="O1094">
        <f>IF(TablaVentas[[#This Row],[Precio_unitario]]="","PENDIENTE",TablaVentas[[#This Row],[Unidades]]*TablaVentas[[#This Row],[Precio_unitario]]*(1-TablaVentas[[#This Row],[Descuento_pct]]))</f>
        <v>5889.48</v>
      </c>
      <c r="P1094">
        <f>IF(TablaVentas[[#This Row],[Costo_unitario]]="","PENDIENTE",TablaVentas[[#This Row],[Unidades]]*TablaVentas[[#This Row],[Costo_unitario]])</f>
        <v>5729.28</v>
      </c>
      <c r="Q1094">
        <f>IF(OR(TablaVentas[[#This Row],[Ingreso_neto]]="PENDIENTE",TablaVentas[[#This Row],[Costo_total]]="PENDIENTE"),"PENDIENTE",TablaVentas[[#This Row],[Ingreso_neto]]-TablaVentas[[#This Row],[Costo_total]])</f>
        <v>160.19999999999982</v>
      </c>
    </row>
    <row r="1095" spans="1:17">
      <c r="A1095" t="s">
        <v>830</v>
      </c>
      <c r="B1095">
        <v>1</v>
      </c>
      <c r="C1095" s="3">
        <v>46234</v>
      </c>
      <c r="D1095" t="s">
        <v>54</v>
      </c>
      <c r="E1095" t="s">
        <v>321</v>
      </c>
      <c r="F1095" t="s">
        <v>56</v>
      </c>
      <c r="G1095" t="s">
        <v>50</v>
      </c>
      <c r="H1095" t="s">
        <v>82</v>
      </c>
      <c r="I1095">
        <v>2</v>
      </c>
      <c r="J1095" s="4">
        <v>1285.23</v>
      </c>
      <c r="K1095" s="5">
        <v>0</v>
      </c>
      <c r="L1095" s="4">
        <v>679.37</v>
      </c>
      <c r="M1095" t="s">
        <v>42</v>
      </c>
      <c r="N1095" t="s">
        <v>60</v>
      </c>
      <c r="O1095">
        <f>IF(TablaVentas[[#This Row],[Precio_unitario]]="","PENDIENTE",TablaVentas[[#This Row],[Unidades]]*TablaVentas[[#This Row],[Precio_unitario]]*(1-TablaVentas[[#This Row],[Descuento_pct]]))</f>
        <v>2570.46</v>
      </c>
      <c r="P1095">
        <f>IF(TablaVentas[[#This Row],[Costo_unitario]]="","PENDIENTE",TablaVentas[[#This Row],[Unidades]]*TablaVentas[[#This Row],[Costo_unitario]])</f>
        <v>1358.74</v>
      </c>
      <c r="Q1095">
        <f>IF(OR(TablaVentas[[#This Row],[Ingreso_neto]]="PENDIENTE",TablaVentas[[#This Row],[Costo_total]]="PENDIENTE"),"PENDIENTE",TablaVentas[[#This Row],[Ingreso_neto]]-TablaVentas[[#This Row],[Costo_total]])</f>
        <v>1211.72</v>
      </c>
    </row>
    <row r="1096" spans="1:17">
      <c r="A1096" t="s">
        <v>830</v>
      </c>
      <c r="B1096">
        <v>2</v>
      </c>
      <c r="C1096" s="3">
        <v>46234</v>
      </c>
      <c r="D1096" t="s">
        <v>54</v>
      </c>
      <c r="E1096" t="s">
        <v>94</v>
      </c>
      <c r="F1096" t="s">
        <v>56</v>
      </c>
      <c r="G1096" t="s">
        <v>50</v>
      </c>
      <c r="H1096" t="s">
        <v>82</v>
      </c>
      <c r="I1096">
        <v>1</v>
      </c>
      <c r="J1096" s="4">
        <v>7491.8</v>
      </c>
      <c r="K1096" s="5">
        <v>0</v>
      </c>
      <c r="L1096" s="4">
        <v>4538.0600000000004</v>
      </c>
      <c r="M1096" t="s">
        <v>42</v>
      </c>
      <c r="N1096" t="s">
        <v>52</v>
      </c>
      <c r="O1096">
        <f>IF(TablaVentas[[#This Row],[Precio_unitario]]="","PENDIENTE",TablaVentas[[#This Row],[Unidades]]*TablaVentas[[#This Row],[Precio_unitario]]*(1-TablaVentas[[#This Row],[Descuento_pct]]))</f>
        <v>7491.8</v>
      </c>
      <c r="P1096">
        <f>IF(TablaVentas[[#This Row],[Costo_unitario]]="","PENDIENTE",TablaVentas[[#This Row],[Unidades]]*TablaVentas[[#This Row],[Costo_unitario]])</f>
        <v>4538.0600000000004</v>
      </c>
      <c r="Q1096">
        <f>IF(OR(TablaVentas[[#This Row],[Ingreso_neto]]="PENDIENTE",TablaVentas[[#This Row],[Costo_total]]="PENDIENTE"),"PENDIENTE",TablaVentas[[#This Row],[Ingreso_neto]]-TablaVentas[[#This Row],[Costo_total]])</f>
        <v>2953.74</v>
      </c>
    </row>
    <row r="1097" spans="1:17">
      <c r="A1097" t="s">
        <v>830</v>
      </c>
      <c r="B1097">
        <v>3</v>
      </c>
      <c r="C1097" s="3">
        <v>46234</v>
      </c>
      <c r="D1097" t="s">
        <v>54</v>
      </c>
      <c r="E1097" t="s">
        <v>164</v>
      </c>
      <c r="F1097" t="s">
        <v>56</v>
      </c>
      <c r="G1097" t="s">
        <v>50</v>
      </c>
      <c r="H1097" t="s">
        <v>82</v>
      </c>
      <c r="I1097">
        <v>2</v>
      </c>
      <c r="J1097" s="4">
        <v>6131.8</v>
      </c>
      <c r="K1097" s="5">
        <v>0</v>
      </c>
      <c r="L1097" s="4">
        <v>5050.04</v>
      </c>
      <c r="M1097" t="s">
        <v>42</v>
      </c>
      <c r="N1097" t="s">
        <v>43</v>
      </c>
      <c r="O1097">
        <f>IF(TablaVentas[[#This Row],[Precio_unitario]]="","PENDIENTE",TablaVentas[[#This Row],[Unidades]]*TablaVentas[[#This Row],[Precio_unitario]]*(1-TablaVentas[[#This Row],[Descuento_pct]]))</f>
        <v>12263.6</v>
      </c>
      <c r="P1097">
        <f>IF(TablaVentas[[#This Row],[Costo_unitario]]="","PENDIENTE",TablaVentas[[#This Row],[Unidades]]*TablaVentas[[#This Row],[Costo_unitario]])</f>
        <v>10100.08</v>
      </c>
      <c r="Q1097">
        <f>IF(OR(TablaVentas[[#This Row],[Ingreso_neto]]="PENDIENTE",TablaVentas[[#This Row],[Costo_total]]="PENDIENTE"),"PENDIENTE",TablaVentas[[#This Row],[Ingreso_neto]]-TablaVentas[[#This Row],[Costo_total]])</f>
        <v>2163.5200000000004</v>
      </c>
    </row>
    <row r="1098" spans="1:17">
      <c r="A1098" t="s">
        <v>830</v>
      </c>
      <c r="B1098">
        <v>4</v>
      </c>
      <c r="C1098" s="3">
        <v>46234</v>
      </c>
      <c r="D1098" t="s">
        <v>54</v>
      </c>
      <c r="E1098" t="s">
        <v>125</v>
      </c>
      <c r="F1098" t="s">
        <v>56</v>
      </c>
      <c r="G1098" t="s">
        <v>50</v>
      </c>
      <c r="H1098" t="s">
        <v>82</v>
      </c>
      <c r="I1098">
        <v>5</v>
      </c>
      <c r="J1098" s="4">
        <v>1717.9</v>
      </c>
      <c r="K1098" s="5">
        <v>0</v>
      </c>
      <c r="L1098" s="4">
        <v>1044.32</v>
      </c>
      <c r="M1098" t="s">
        <v>42</v>
      </c>
      <c r="N1098" t="s">
        <v>45</v>
      </c>
      <c r="O1098">
        <f>IF(TablaVentas[[#This Row],[Precio_unitario]]="","PENDIENTE",TablaVentas[[#This Row],[Unidades]]*TablaVentas[[#This Row],[Precio_unitario]]*(1-TablaVentas[[#This Row],[Descuento_pct]]))</f>
        <v>8589.5</v>
      </c>
      <c r="P1098">
        <f>IF(TablaVentas[[#This Row],[Costo_unitario]]="","PENDIENTE",TablaVentas[[#This Row],[Unidades]]*TablaVentas[[#This Row],[Costo_unitario]])</f>
        <v>5221.5999999999995</v>
      </c>
      <c r="Q1098">
        <f>IF(OR(TablaVentas[[#This Row],[Ingreso_neto]]="PENDIENTE",TablaVentas[[#This Row],[Costo_total]]="PENDIENTE"),"PENDIENTE",TablaVentas[[#This Row],[Ingreso_neto]]-TablaVentas[[#This Row],[Costo_total]])</f>
        <v>3367.9000000000005</v>
      </c>
    </row>
    <row r="1099" spans="1:17">
      <c r="A1099" t="s">
        <v>831</v>
      </c>
      <c r="B1099">
        <v>1</v>
      </c>
      <c r="C1099" s="3">
        <v>46209</v>
      </c>
      <c r="D1099" t="s">
        <v>625</v>
      </c>
      <c r="E1099" t="s">
        <v>203</v>
      </c>
      <c r="F1099" t="s">
        <v>56</v>
      </c>
      <c r="G1099" t="s">
        <v>40</v>
      </c>
      <c r="H1099" t="s">
        <v>58</v>
      </c>
      <c r="I1099">
        <v>1</v>
      </c>
      <c r="J1099" s="4">
        <v>1825.97</v>
      </c>
      <c r="K1099" s="5">
        <v>0</v>
      </c>
      <c r="L1099" s="4">
        <v>1252.8399999999999</v>
      </c>
      <c r="M1099" t="s">
        <v>42</v>
      </c>
      <c r="N1099" t="s">
        <v>43</v>
      </c>
      <c r="O1099">
        <f>IF(TablaVentas[[#This Row],[Precio_unitario]]="","PENDIENTE",TablaVentas[[#This Row],[Unidades]]*TablaVentas[[#This Row],[Precio_unitario]]*(1-TablaVentas[[#This Row],[Descuento_pct]]))</f>
        <v>1825.97</v>
      </c>
      <c r="P1099">
        <f>IF(TablaVentas[[#This Row],[Costo_unitario]]="","PENDIENTE",TablaVentas[[#This Row],[Unidades]]*TablaVentas[[#This Row],[Costo_unitario]])</f>
        <v>1252.8399999999999</v>
      </c>
      <c r="Q1099">
        <f>IF(OR(TablaVentas[[#This Row],[Ingreso_neto]]="PENDIENTE",TablaVentas[[#This Row],[Costo_total]]="PENDIENTE"),"PENDIENTE",TablaVentas[[#This Row],[Ingreso_neto]]-TablaVentas[[#This Row],[Costo_total]])</f>
        <v>573.13000000000011</v>
      </c>
    </row>
    <row r="1100" spans="1:17">
      <c r="A1100" t="s">
        <v>831</v>
      </c>
      <c r="B1100">
        <v>2</v>
      </c>
      <c r="C1100" s="3">
        <v>46209</v>
      </c>
      <c r="D1100" t="s">
        <v>625</v>
      </c>
      <c r="E1100" t="s">
        <v>144</v>
      </c>
      <c r="F1100" t="s">
        <v>56</v>
      </c>
      <c r="G1100" t="s">
        <v>40</v>
      </c>
      <c r="H1100" t="s">
        <v>58</v>
      </c>
      <c r="I1100">
        <v>1</v>
      </c>
      <c r="J1100" s="4">
        <v>8733.58</v>
      </c>
      <c r="K1100" s="5">
        <v>0</v>
      </c>
      <c r="L1100" s="4">
        <v>5125.3599999999997</v>
      </c>
      <c r="M1100" t="s">
        <v>116</v>
      </c>
      <c r="N1100" t="s">
        <v>43</v>
      </c>
      <c r="O1100">
        <f>IF(TablaVentas[[#This Row],[Precio_unitario]]="","PENDIENTE",TablaVentas[[#This Row],[Unidades]]*TablaVentas[[#This Row],[Precio_unitario]]*(1-TablaVentas[[#This Row],[Descuento_pct]]))</f>
        <v>8733.58</v>
      </c>
      <c r="P1100">
        <f>IF(TablaVentas[[#This Row],[Costo_unitario]]="","PENDIENTE",TablaVentas[[#This Row],[Unidades]]*TablaVentas[[#This Row],[Costo_unitario]])</f>
        <v>5125.3599999999997</v>
      </c>
      <c r="Q1100">
        <f>IF(OR(TablaVentas[[#This Row],[Ingreso_neto]]="PENDIENTE",TablaVentas[[#This Row],[Costo_total]]="PENDIENTE"),"PENDIENTE",TablaVentas[[#This Row],[Ingreso_neto]]-TablaVentas[[#This Row],[Costo_total]])</f>
        <v>3608.2200000000003</v>
      </c>
    </row>
    <row r="1101" spans="1:17">
      <c r="A1101" t="s">
        <v>831</v>
      </c>
      <c r="B1101">
        <v>3</v>
      </c>
      <c r="C1101" s="3">
        <v>46209</v>
      </c>
      <c r="D1101" t="s">
        <v>625</v>
      </c>
      <c r="E1101" t="s">
        <v>326</v>
      </c>
      <c r="F1101" t="s">
        <v>56</v>
      </c>
      <c r="G1101" t="s">
        <v>40</v>
      </c>
      <c r="H1101" t="s">
        <v>58</v>
      </c>
      <c r="I1101">
        <v>1</v>
      </c>
      <c r="J1101" s="4">
        <v>7586.58</v>
      </c>
      <c r="K1101" s="5">
        <v>0.2</v>
      </c>
      <c r="L1101" s="4">
        <v>4044.16</v>
      </c>
      <c r="M1101" t="s">
        <v>42</v>
      </c>
      <c r="N1101" t="s">
        <v>43</v>
      </c>
      <c r="O1101">
        <f>IF(TablaVentas[[#This Row],[Precio_unitario]]="","PENDIENTE",TablaVentas[[#This Row],[Unidades]]*TablaVentas[[#This Row],[Precio_unitario]]*(1-TablaVentas[[#This Row],[Descuento_pct]]))</f>
        <v>6069.2640000000001</v>
      </c>
      <c r="P1101">
        <f>IF(TablaVentas[[#This Row],[Costo_unitario]]="","PENDIENTE",TablaVentas[[#This Row],[Unidades]]*TablaVentas[[#This Row],[Costo_unitario]])</f>
        <v>4044.16</v>
      </c>
      <c r="Q1101">
        <f>IF(OR(TablaVentas[[#This Row],[Ingreso_neto]]="PENDIENTE",TablaVentas[[#This Row],[Costo_total]]="PENDIENTE"),"PENDIENTE",TablaVentas[[#This Row],[Ingreso_neto]]-TablaVentas[[#This Row],[Costo_total]])</f>
        <v>2025.1040000000003</v>
      </c>
    </row>
    <row r="1102" spans="1:17">
      <c r="A1102" t="s">
        <v>832</v>
      </c>
      <c r="B1102">
        <v>1</v>
      </c>
      <c r="C1102" s="3">
        <v>46114</v>
      </c>
      <c r="D1102" t="s">
        <v>833</v>
      </c>
      <c r="E1102" t="s">
        <v>139</v>
      </c>
      <c r="F1102" t="s">
        <v>39</v>
      </c>
      <c r="G1102" t="s">
        <v>50</v>
      </c>
      <c r="H1102" t="s">
        <v>51</v>
      </c>
      <c r="I1102">
        <v>1</v>
      </c>
      <c r="J1102" s="4">
        <v>9998.4</v>
      </c>
      <c r="K1102" s="5">
        <v>0.05</v>
      </c>
      <c r="L1102" s="4">
        <v>8002.16</v>
      </c>
      <c r="M1102" t="s">
        <v>42</v>
      </c>
      <c r="N1102" t="s">
        <v>52</v>
      </c>
      <c r="O1102">
        <f>IF(TablaVentas[[#This Row],[Precio_unitario]]="","PENDIENTE",TablaVentas[[#This Row],[Unidades]]*TablaVentas[[#This Row],[Precio_unitario]]*(1-TablaVentas[[#This Row],[Descuento_pct]]))</f>
        <v>9498.48</v>
      </c>
      <c r="P1102">
        <f>IF(TablaVentas[[#This Row],[Costo_unitario]]="","PENDIENTE",TablaVentas[[#This Row],[Unidades]]*TablaVentas[[#This Row],[Costo_unitario]])</f>
        <v>8002.16</v>
      </c>
      <c r="Q1102">
        <f>IF(OR(TablaVentas[[#This Row],[Ingreso_neto]]="PENDIENTE",TablaVentas[[#This Row],[Costo_total]]="PENDIENTE"),"PENDIENTE",TablaVentas[[#This Row],[Ingreso_neto]]-TablaVentas[[#This Row],[Costo_total]])</f>
        <v>1496.3199999999997</v>
      </c>
    </row>
    <row r="1103" spans="1:17">
      <c r="A1103" t="s">
        <v>834</v>
      </c>
      <c r="B1103">
        <v>1</v>
      </c>
      <c r="C1103" s="3">
        <v>46292</v>
      </c>
      <c r="D1103" t="s">
        <v>835</v>
      </c>
      <c r="E1103" t="s">
        <v>185</v>
      </c>
      <c r="F1103" t="s">
        <v>77</v>
      </c>
      <c r="G1103" t="s">
        <v>50</v>
      </c>
      <c r="H1103" t="s">
        <v>67</v>
      </c>
      <c r="I1103">
        <v>4</v>
      </c>
      <c r="J1103" s="4">
        <v>16042.66</v>
      </c>
      <c r="K1103" s="5">
        <v>0</v>
      </c>
      <c r="L1103" s="4">
        <v>11904.09</v>
      </c>
      <c r="M1103" t="s">
        <v>42</v>
      </c>
      <c r="N1103" t="s">
        <v>45</v>
      </c>
      <c r="O1103">
        <f>IF(TablaVentas[[#This Row],[Precio_unitario]]="","PENDIENTE",TablaVentas[[#This Row],[Unidades]]*TablaVentas[[#This Row],[Precio_unitario]]*(1-TablaVentas[[#This Row],[Descuento_pct]]))</f>
        <v>64170.64</v>
      </c>
      <c r="P1103">
        <f>IF(TablaVentas[[#This Row],[Costo_unitario]]="","PENDIENTE",TablaVentas[[#This Row],[Unidades]]*TablaVentas[[#This Row],[Costo_unitario]])</f>
        <v>47616.36</v>
      </c>
      <c r="Q1103">
        <f>IF(OR(TablaVentas[[#This Row],[Ingreso_neto]]="PENDIENTE",TablaVentas[[#This Row],[Costo_total]]="PENDIENTE"),"PENDIENTE",TablaVentas[[#This Row],[Ingreso_neto]]-TablaVentas[[#This Row],[Costo_total]])</f>
        <v>16554.28</v>
      </c>
    </row>
    <row r="1104" spans="1:17">
      <c r="A1104" t="s">
        <v>834</v>
      </c>
      <c r="B1104">
        <v>2</v>
      </c>
      <c r="C1104" s="3">
        <v>46292</v>
      </c>
      <c r="D1104" t="s">
        <v>835</v>
      </c>
      <c r="E1104" t="s">
        <v>223</v>
      </c>
      <c r="F1104" t="s">
        <v>77</v>
      </c>
      <c r="G1104" t="s">
        <v>50</v>
      </c>
      <c r="H1104" t="s">
        <v>67</v>
      </c>
      <c r="I1104">
        <v>12</v>
      </c>
      <c r="J1104" s="4">
        <v>5933.35</v>
      </c>
      <c r="K1104" s="5">
        <v>0.05</v>
      </c>
      <c r="L1104" s="4">
        <v>3298.19</v>
      </c>
      <c r="M1104" t="s">
        <v>42</v>
      </c>
      <c r="N1104" t="s">
        <v>43</v>
      </c>
      <c r="O1104">
        <f>IF(TablaVentas[[#This Row],[Precio_unitario]]="","PENDIENTE",TablaVentas[[#This Row],[Unidades]]*TablaVentas[[#This Row],[Precio_unitario]]*(1-TablaVentas[[#This Row],[Descuento_pct]]))</f>
        <v>67640.19</v>
      </c>
      <c r="P1104">
        <f>IF(TablaVentas[[#This Row],[Costo_unitario]]="","PENDIENTE",TablaVentas[[#This Row],[Unidades]]*TablaVentas[[#This Row],[Costo_unitario]])</f>
        <v>39578.28</v>
      </c>
      <c r="Q1104">
        <f>IF(OR(TablaVentas[[#This Row],[Ingreso_neto]]="PENDIENTE",TablaVentas[[#This Row],[Costo_total]]="PENDIENTE"),"PENDIENTE",TablaVentas[[#This Row],[Ingreso_neto]]-TablaVentas[[#This Row],[Costo_total]])</f>
        <v>28061.910000000003</v>
      </c>
    </row>
    <row r="1105" spans="1:18">
      <c r="A1105" t="s">
        <v>834</v>
      </c>
      <c r="B1105">
        <v>3</v>
      </c>
      <c r="C1105" s="3">
        <v>46292</v>
      </c>
      <c r="D1105" t="s">
        <v>835</v>
      </c>
      <c r="E1105" t="s">
        <v>59</v>
      </c>
      <c r="F1105" t="s">
        <v>77</v>
      </c>
      <c r="G1105" t="s">
        <v>50</v>
      </c>
      <c r="H1105" t="s">
        <v>67</v>
      </c>
      <c r="I1105">
        <v>1</v>
      </c>
      <c r="J1105" s="4"/>
      <c r="K1105" s="5">
        <v>0.2</v>
      </c>
      <c r="L1105" s="4">
        <v>10170.290000000001</v>
      </c>
      <c r="M1105" t="s">
        <v>42</v>
      </c>
      <c r="N1105" t="s">
        <v>60</v>
      </c>
      <c r="O1105" t="str">
        <f>IF(TablaVentas[[#This Row],[Precio_unitario]]="","PENDIENTE",TablaVentas[[#This Row],[Unidades]]*TablaVentas[[#This Row],[Precio_unitario]]*(1-TablaVentas[[#This Row],[Descuento_pct]]))</f>
        <v>PENDIENTE</v>
      </c>
      <c r="P1105">
        <f>IF(TablaVentas[[#This Row],[Costo_unitario]]="","PENDIENTE",TablaVentas[[#This Row],[Unidades]]*TablaVentas[[#This Row],[Costo_unitario]])</f>
        <v>10170.290000000001</v>
      </c>
      <c r="Q1105" t="str">
        <f>IF(OR(TablaVentas[[#This Row],[Ingreso_neto]]="PENDIENTE",TablaVentas[[#This Row],[Costo_total]]="PENDIENTE"),"PENDIENTE",TablaVentas[[#This Row],[Ingreso_neto]]-TablaVentas[[#This Row],[Costo_total]])</f>
        <v>PENDIENTE</v>
      </c>
      <c r="R1105" t="s">
        <v>145</v>
      </c>
    </row>
    <row r="1106" spans="1:18">
      <c r="A1106" t="s">
        <v>836</v>
      </c>
      <c r="B1106">
        <v>1</v>
      </c>
      <c r="C1106" s="3">
        <v>46040</v>
      </c>
      <c r="D1106" t="s">
        <v>524</v>
      </c>
      <c r="E1106" t="s">
        <v>81</v>
      </c>
      <c r="F1106" t="s">
        <v>56</v>
      </c>
      <c r="G1106" t="s">
        <v>50</v>
      </c>
      <c r="H1106" t="s">
        <v>102</v>
      </c>
      <c r="I1106">
        <v>2</v>
      </c>
      <c r="J1106" s="4">
        <v>15690.53</v>
      </c>
      <c r="K1106" s="5">
        <v>0</v>
      </c>
      <c r="L1106" s="4">
        <v>11614.87</v>
      </c>
      <c r="M1106" t="s">
        <v>42</v>
      </c>
      <c r="N1106" t="s">
        <v>43</v>
      </c>
      <c r="O1106">
        <f>IF(TablaVentas[[#This Row],[Precio_unitario]]="","PENDIENTE",TablaVentas[[#This Row],[Unidades]]*TablaVentas[[#This Row],[Precio_unitario]]*(1-TablaVentas[[#This Row],[Descuento_pct]]))</f>
        <v>31381.06</v>
      </c>
      <c r="P1106">
        <f>IF(TablaVentas[[#This Row],[Costo_unitario]]="","PENDIENTE",TablaVentas[[#This Row],[Unidades]]*TablaVentas[[#This Row],[Costo_unitario]])</f>
        <v>23229.74</v>
      </c>
      <c r="Q1106">
        <f>IF(OR(TablaVentas[[#This Row],[Ingreso_neto]]="PENDIENTE",TablaVentas[[#This Row],[Costo_total]]="PENDIENTE"),"PENDIENTE",TablaVentas[[#This Row],[Ingreso_neto]]-TablaVentas[[#This Row],[Costo_total]])</f>
        <v>8151.32</v>
      </c>
    </row>
    <row r="1107" spans="1:18">
      <c r="A1107" t="s">
        <v>836</v>
      </c>
      <c r="B1107">
        <v>2</v>
      </c>
      <c r="C1107" s="3">
        <v>46040</v>
      </c>
      <c r="D1107" t="s">
        <v>524</v>
      </c>
      <c r="E1107" t="s">
        <v>85</v>
      </c>
      <c r="F1107" t="s">
        <v>56</v>
      </c>
      <c r="G1107" t="s">
        <v>50</v>
      </c>
      <c r="H1107" t="s">
        <v>102</v>
      </c>
      <c r="I1107">
        <v>2</v>
      </c>
      <c r="J1107" s="4">
        <v>530.79999999999995</v>
      </c>
      <c r="K1107" s="5">
        <v>0</v>
      </c>
      <c r="L1107" s="4">
        <v>307.75</v>
      </c>
      <c r="M1107" t="s">
        <v>42</v>
      </c>
      <c r="N1107" t="s">
        <v>52</v>
      </c>
      <c r="O1107">
        <f>IF(TablaVentas[[#This Row],[Precio_unitario]]="","PENDIENTE",TablaVentas[[#This Row],[Unidades]]*TablaVentas[[#This Row],[Precio_unitario]]*(1-TablaVentas[[#This Row],[Descuento_pct]]))</f>
        <v>1061.5999999999999</v>
      </c>
      <c r="P1107">
        <f>IF(TablaVentas[[#This Row],[Costo_unitario]]="","PENDIENTE",TablaVentas[[#This Row],[Unidades]]*TablaVentas[[#This Row],[Costo_unitario]])</f>
        <v>615.5</v>
      </c>
      <c r="Q1107">
        <f>IF(OR(TablaVentas[[#This Row],[Ingreso_neto]]="PENDIENTE",TablaVentas[[#This Row],[Costo_total]]="PENDIENTE"),"PENDIENTE",TablaVentas[[#This Row],[Ingreso_neto]]-TablaVentas[[#This Row],[Costo_total]])</f>
        <v>446.09999999999991</v>
      </c>
    </row>
    <row r="1108" spans="1:18">
      <c r="A1108" t="s">
        <v>836</v>
      </c>
      <c r="B1108">
        <v>3</v>
      </c>
      <c r="C1108" s="3">
        <v>46040</v>
      </c>
      <c r="D1108" t="s">
        <v>524</v>
      </c>
      <c r="E1108" t="s">
        <v>115</v>
      </c>
      <c r="F1108" t="s">
        <v>56</v>
      </c>
      <c r="G1108" t="s">
        <v>50</v>
      </c>
      <c r="H1108" t="s">
        <v>102</v>
      </c>
      <c r="I1108">
        <v>1</v>
      </c>
      <c r="J1108" s="4">
        <v>1283.78</v>
      </c>
      <c r="K1108" s="5">
        <v>0.15</v>
      </c>
      <c r="L1108" s="4">
        <v>705.87</v>
      </c>
      <c r="M1108" t="s">
        <v>42</v>
      </c>
      <c r="N1108" t="s">
        <v>45</v>
      </c>
      <c r="O1108">
        <f>IF(TablaVentas[[#This Row],[Precio_unitario]]="","PENDIENTE",TablaVentas[[#This Row],[Unidades]]*TablaVentas[[#This Row],[Precio_unitario]]*(1-TablaVentas[[#This Row],[Descuento_pct]]))</f>
        <v>1091.213</v>
      </c>
      <c r="P1108">
        <f>IF(TablaVentas[[#This Row],[Costo_unitario]]="","PENDIENTE",TablaVentas[[#This Row],[Unidades]]*TablaVentas[[#This Row],[Costo_unitario]])</f>
        <v>705.87</v>
      </c>
      <c r="Q1108">
        <f>IF(OR(TablaVentas[[#This Row],[Ingreso_neto]]="PENDIENTE",TablaVentas[[#This Row],[Costo_total]]="PENDIENTE"),"PENDIENTE",TablaVentas[[#This Row],[Ingreso_neto]]-TablaVentas[[#This Row],[Costo_total]])</f>
        <v>385.34299999999996</v>
      </c>
    </row>
    <row r="1109" spans="1:18">
      <c r="A1109" t="s">
        <v>836</v>
      </c>
      <c r="B1109">
        <v>4</v>
      </c>
      <c r="C1109" s="3">
        <v>46040</v>
      </c>
      <c r="D1109" t="s">
        <v>524</v>
      </c>
      <c r="E1109" t="s">
        <v>226</v>
      </c>
      <c r="F1109" t="s">
        <v>56</v>
      </c>
      <c r="G1109" t="s">
        <v>50</v>
      </c>
      <c r="H1109" t="s">
        <v>102</v>
      </c>
      <c r="I1109">
        <v>2</v>
      </c>
      <c r="J1109" s="4">
        <v>16541.830000000002</v>
      </c>
      <c r="K1109" s="5">
        <v>0</v>
      </c>
      <c r="L1109" s="4">
        <v>9976.68</v>
      </c>
      <c r="M1109" t="s">
        <v>42</v>
      </c>
      <c r="N1109" t="s">
        <v>45</v>
      </c>
      <c r="O1109">
        <f>IF(TablaVentas[[#This Row],[Precio_unitario]]="","PENDIENTE",TablaVentas[[#This Row],[Unidades]]*TablaVentas[[#This Row],[Precio_unitario]]*(1-TablaVentas[[#This Row],[Descuento_pct]]))</f>
        <v>33083.660000000003</v>
      </c>
      <c r="P1109">
        <f>IF(TablaVentas[[#This Row],[Costo_unitario]]="","PENDIENTE",TablaVentas[[#This Row],[Unidades]]*TablaVentas[[#This Row],[Costo_unitario]])</f>
        <v>19953.36</v>
      </c>
      <c r="Q1109">
        <f>IF(OR(TablaVentas[[#This Row],[Ingreso_neto]]="PENDIENTE",TablaVentas[[#This Row],[Costo_total]]="PENDIENTE"),"PENDIENTE",TablaVentas[[#This Row],[Ingreso_neto]]-TablaVentas[[#This Row],[Costo_total]])</f>
        <v>13130.300000000003</v>
      </c>
    </row>
    <row r="1110" spans="1:18">
      <c r="A1110" t="s">
        <v>837</v>
      </c>
      <c r="B1110">
        <v>1</v>
      </c>
      <c r="C1110" s="3">
        <v>46223</v>
      </c>
      <c r="D1110" t="s">
        <v>408</v>
      </c>
      <c r="E1110" t="s">
        <v>89</v>
      </c>
      <c r="F1110" t="s">
        <v>39</v>
      </c>
      <c r="G1110" t="s">
        <v>40</v>
      </c>
      <c r="H1110" t="s">
        <v>73</v>
      </c>
      <c r="I1110">
        <v>2</v>
      </c>
      <c r="J1110" s="4">
        <v>12174.22</v>
      </c>
      <c r="K1110" s="5">
        <v>0</v>
      </c>
      <c r="L1110" s="4">
        <v>9118.07</v>
      </c>
      <c r="M1110" t="s">
        <v>62</v>
      </c>
      <c r="N1110" t="s">
        <v>45</v>
      </c>
      <c r="O1110">
        <f>IF(TablaVentas[[#This Row],[Precio_unitario]]="","PENDIENTE",TablaVentas[[#This Row],[Unidades]]*TablaVentas[[#This Row],[Precio_unitario]]*(1-TablaVentas[[#This Row],[Descuento_pct]]))</f>
        <v>24348.44</v>
      </c>
      <c r="P1110">
        <f>IF(TablaVentas[[#This Row],[Costo_unitario]]="","PENDIENTE",TablaVentas[[#This Row],[Unidades]]*TablaVentas[[#This Row],[Costo_unitario]])</f>
        <v>18236.14</v>
      </c>
      <c r="Q1110">
        <f>IF(OR(TablaVentas[[#This Row],[Ingreso_neto]]="PENDIENTE",TablaVentas[[#This Row],[Costo_total]]="PENDIENTE"),"PENDIENTE",TablaVentas[[#This Row],[Ingreso_neto]]-TablaVentas[[#This Row],[Costo_total]])</f>
        <v>6112.2999999999993</v>
      </c>
    </row>
    <row r="1111" spans="1:18">
      <c r="A1111" t="s">
        <v>837</v>
      </c>
      <c r="B1111">
        <v>2</v>
      </c>
      <c r="C1111" s="3">
        <v>46223</v>
      </c>
      <c r="D1111" t="s">
        <v>408</v>
      </c>
      <c r="E1111" t="s">
        <v>55</v>
      </c>
      <c r="F1111" t="s">
        <v>39</v>
      </c>
      <c r="G1111" t="s">
        <v>40</v>
      </c>
      <c r="H1111" t="s">
        <v>73</v>
      </c>
      <c r="I1111">
        <v>1</v>
      </c>
      <c r="J1111" s="4">
        <v>11312.91</v>
      </c>
      <c r="K1111" s="5">
        <v>0.2</v>
      </c>
      <c r="L1111" s="4">
        <v>6407.85</v>
      </c>
      <c r="M1111" t="s">
        <v>42</v>
      </c>
      <c r="N1111" t="s">
        <v>60</v>
      </c>
      <c r="O1111">
        <f>IF(TablaVentas[[#This Row],[Precio_unitario]]="","PENDIENTE",TablaVentas[[#This Row],[Unidades]]*TablaVentas[[#This Row],[Precio_unitario]]*(1-TablaVentas[[#This Row],[Descuento_pct]]))</f>
        <v>9050.3279999999995</v>
      </c>
      <c r="P1111">
        <f>IF(TablaVentas[[#This Row],[Costo_unitario]]="","PENDIENTE",TablaVentas[[#This Row],[Unidades]]*TablaVentas[[#This Row],[Costo_unitario]])</f>
        <v>6407.85</v>
      </c>
      <c r="Q1111">
        <f>IF(OR(TablaVentas[[#This Row],[Ingreso_neto]]="PENDIENTE",TablaVentas[[#This Row],[Costo_total]]="PENDIENTE"),"PENDIENTE",TablaVentas[[#This Row],[Ingreso_neto]]-TablaVentas[[#This Row],[Costo_total]])</f>
        <v>2642.4779999999992</v>
      </c>
    </row>
    <row r="1112" spans="1:18">
      <c r="A1112" t="s">
        <v>837</v>
      </c>
      <c r="B1112">
        <v>3</v>
      </c>
      <c r="C1112" s="3">
        <v>46223</v>
      </c>
      <c r="D1112" t="s">
        <v>408</v>
      </c>
      <c r="E1112" t="s">
        <v>110</v>
      </c>
      <c r="F1112" t="s">
        <v>39</v>
      </c>
      <c r="G1112" t="s">
        <v>40</v>
      </c>
      <c r="H1112" t="s">
        <v>73</v>
      </c>
      <c r="I1112">
        <v>4</v>
      </c>
      <c r="J1112" s="4">
        <v>5347.21</v>
      </c>
      <c r="K1112" s="5">
        <v>0</v>
      </c>
      <c r="L1112" s="4">
        <v>4205.6899999999996</v>
      </c>
      <c r="M1112" t="s">
        <v>62</v>
      </c>
      <c r="N1112" t="s">
        <v>52</v>
      </c>
      <c r="O1112">
        <f>IF(TablaVentas[[#This Row],[Precio_unitario]]="","PENDIENTE",TablaVentas[[#This Row],[Unidades]]*TablaVentas[[#This Row],[Precio_unitario]]*(1-TablaVentas[[#This Row],[Descuento_pct]]))</f>
        <v>21388.84</v>
      </c>
      <c r="P1112">
        <f>IF(TablaVentas[[#This Row],[Costo_unitario]]="","PENDIENTE",TablaVentas[[#This Row],[Unidades]]*TablaVentas[[#This Row],[Costo_unitario]])</f>
        <v>16822.759999999998</v>
      </c>
      <c r="Q1112">
        <f>IF(OR(TablaVentas[[#This Row],[Ingreso_neto]]="PENDIENTE",TablaVentas[[#This Row],[Costo_total]]="PENDIENTE"),"PENDIENTE",TablaVentas[[#This Row],[Ingreso_neto]]-TablaVentas[[#This Row],[Costo_total]])</f>
        <v>4566.0800000000017</v>
      </c>
    </row>
    <row r="1113" spans="1:18">
      <c r="A1113" t="s">
        <v>838</v>
      </c>
      <c r="B1113">
        <v>1</v>
      </c>
      <c r="C1113" s="3">
        <v>46099</v>
      </c>
      <c r="D1113" t="s">
        <v>501</v>
      </c>
      <c r="E1113" t="s">
        <v>271</v>
      </c>
      <c r="F1113" t="s">
        <v>66</v>
      </c>
      <c r="G1113" t="s">
        <v>40</v>
      </c>
      <c r="H1113" t="s">
        <v>82</v>
      </c>
      <c r="I1113">
        <v>1</v>
      </c>
      <c r="J1113" s="4">
        <v>1147.49</v>
      </c>
      <c r="K1113" s="5">
        <v>0</v>
      </c>
      <c r="L1113" s="4">
        <v>759.03</v>
      </c>
      <c r="M1113" t="s">
        <v>42</v>
      </c>
      <c r="N1113" t="s">
        <v>60</v>
      </c>
      <c r="O1113">
        <f>IF(TablaVentas[[#This Row],[Precio_unitario]]="","PENDIENTE",TablaVentas[[#This Row],[Unidades]]*TablaVentas[[#This Row],[Precio_unitario]]*(1-TablaVentas[[#This Row],[Descuento_pct]]))</f>
        <v>1147.49</v>
      </c>
      <c r="P1113">
        <f>IF(TablaVentas[[#This Row],[Costo_unitario]]="","PENDIENTE",TablaVentas[[#This Row],[Unidades]]*TablaVentas[[#This Row],[Costo_unitario]])</f>
        <v>759.03</v>
      </c>
      <c r="Q1113">
        <f>IF(OR(TablaVentas[[#This Row],[Ingreso_neto]]="PENDIENTE",TablaVentas[[#This Row],[Costo_total]]="PENDIENTE"),"PENDIENTE",TablaVentas[[#This Row],[Ingreso_neto]]-TablaVentas[[#This Row],[Costo_total]])</f>
        <v>388.46000000000004</v>
      </c>
    </row>
    <row r="1114" spans="1:18">
      <c r="A1114" t="s">
        <v>838</v>
      </c>
      <c r="B1114">
        <v>2</v>
      </c>
      <c r="C1114" s="3">
        <v>46099</v>
      </c>
      <c r="D1114" t="s">
        <v>501</v>
      </c>
      <c r="E1114" t="s">
        <v>65</v>
      </c>
      <c r="F1114" t="s">
        <v>66</v>
      </c>
      <c r="G1114" t="s">
        <v>40</v>
      </c>
      <c r="H1114" t="s">
        <v>82</v>
      </c>
      <c r="I1114">
        <v>2</v>
      </c>
      <c r="J1114" s="4">
        <v>12034.38</v>
      </c>
      <c r="K1114" s="5">
        <v>0</v>
      </c>
      <c r="L1114" s="4">
        <v>7328.02</v>
      </c>
      <c r="M1114" t="s">
        <v>42</v>
      </c>
      <c r="N1114" t="s">
        <v>60</v>
      </c>
      <c r="O1114">
        <f>IF(TablaVentas[[#This Row],[Precio_unitario]]="","PENDIENTE",TablaVentas[[#This Row],[Unidades]]*TablaVentas[[#This Row],[Precio_unitario]]*(1-TablaVentas[[#This Row],[Descuento_pct]]))</f>
        <v>24068.76</v>
      </c>
      <c r="P1114">
        <f>IF(TablaVentas[[#This Row],[Costo_unitario]]="","PENDIENTE",TablaVentas[[#This Row],[Unidades]]*TablaVentas[[#This Row],[Costo_unitario]])</f>
        <v>14656.04</v>
      </c>
      <c r="Q1114">
        <f>IF(OR(TablaVentas[[#This Row],[Ingreso_neto]]="PENDIENTE",TablaVentas[[#This Row],[Costo_total]]="PENDIENTE"),"PENDIENTE",TablaVentas[[#This Row],[Ingreso_neto]]-TablaVentas[[#This Row],[Costo_total]])</f>
        <v>9412.7199999999975</v>
      </c>
    </row>
    <row r="1115" spans="1:18">
      <c r="A1115" t="s">
        <v>838</v>
      </c>
      <c r="B1115">
        <v>3</v>
      </c>
      <c r="C1115" s="3">
        <v>46099</v>
      </c>
      <c r="D1115" t="s">
        <v>501</v>
      </c>
      <c r="E1115" t="s">
        <v>203</v>
      </c>
      <c r="F1115" t="s">
        <v>66</v>
      </c>
      <c r="G1115" t="s">
        <v>40</v>
      </c>
      <c r="H1115" t="s">
        <v>82</v>
      </c>
      <c r="I1115">
        <v>2</v>
      </c>
      <c r="J1115" s="4">
        <v>2067.1799999999998</v>
      </c>
      <c r="K1115" s="5">
        <v>0.1</v>
      </c>
      <c r="L1115" s="4">
        <v>1252.8399999999999</v>
      </c>
      <c r="M1115" t="s">
        <v>42</v>
      </c>
      <c r="N1115" t="s">
        <v>52</v>
      </c>
      <c r="O1115">
        <f>IF(TablaVentas[[#This Row],[Precio_unitario]]="","PENDIENTE",TablaVentas[[#This Row],[Unidades]]*TablaVentas[[#This Row],[Precio_unitario]]*(1-TablaVentas[[#This Row],[Descuento_pct]]))</f>
        <v>3720.924</v>
      </c>
      <c r="P1115">
        <f>IF(TablaVentas[[#This Row],[Costo_unitario]]="","PENDIENTE",TablaVentas[[#This Row],[Unidades]]*TablaVentas[[#This Row],[Costo_unitario]])</f>
        <v>2505.6799999999998</v>
      </c>
      <c r="Q1115">
        <f>IF(OR(TablaVentas[[#This Row],[Ingreso_neto]]="PENDIENTE",TablaVentas[[#This Row],[Costo_total]]="PENDIENTE"),"PENDIENTE",TablaVentas[[#This Row],[Ingreso_neto]]-TablaVentas[[#This Row],[Costo_total]])</f>
        <v>1215.2440000000001</v>
      </c>
    </row>
    <row r="1116" spans="1:18">
      <c r="A1116" t="s">
        <v>839</v>
      </c>
      <c r="B1116">
        <v>1</v>
      </c>
      <c r="C1116" s="3">
        <v>46232</v>
      </c>
      <c r="D1116" t="s">
        <v>840</v>
      </c>
      <c r="E1116" t="s">
        <v>253</v>
      </c>
      <c r="F1116" t="s">
        <v>56</v>
      </c>
      <c r="G1116" t="s">
        <v>57</v>
      </c>
      <c r="H1116" t="s">
        <v>124</v>
      </c>
      <c r="I1116">
        <v>1</v>
      </c>
      <c r="J1116" s="4">
        <v>2782.77</v>
      </c>
      <c r="K1116" s="5">
        <v>0</v>
      </c>
      <c r="L1116" s="4">
        <v>2486.1799999999998</v>
      </c>
      <c r="M1116" t="s">
        <v>42</v>
      </c>
      <c r="N1116" t="s">
        <v>52</v>
      </c>
      <c r="O1116">
        <f>IF(TablaVentas[[#This Row],[Precio_unitario]]="","PENDIENTE",TablaVentas[[#This Row],[Unidades]]*TablaVentas[[#This Row],[Precio_unitario]]*(1-TablaVentas[[#This Row],[Descuento_pct]]))</f>
        <v>2782.77</v>
      </c>
      <c r="P1116">
        <f>IF(TablaVentas[[#This Row],[Costo_unitario]]="","PENDIENTE",TablaVentas[[#This Row],[Unidades]]*TablaVentas[[#This Row],[Costo_unitario]])</f>
        <v>2486.1799999999998</v>
      </c>
      <c r="Q1116">
        <f>IF(OR(TablaVentas[[#This Row],[Ingreso_neto]]="PENDIENTE",TablaVentas[[#This Row],[Costo_total]]="PENDIENTE"),"PENDIENTE",TablaVentas[[#This Row],[Ingreso_neto]]-TablaVentas[[#This Row],[Costo_total]])</f>
        <v>296.59000000000015</v>
      </c>
    </row>
    <row r="1117" spans="1:18">
      <c r="A1117" t="s">
        <v>839</v>
      </c>
      <c r="B1117">
        <v>2</v>
      </c>
      <c r="C1117" s="3">
        <v>46232</v>
      </c>
      <c r="D1117" t="s">
        <v>840</v>
      </c>
      <c r="E1117" t="s">
        <v>70</v>
      </c>
      <c r="F1117" t="s">
        <v>56</v>
      </c>
      <c r="G1117" t="s">
        <v>57</v>
      </c>
      <c r="H1117" t="s">
        <v>124</v>
      </c>
      <c r="I1117">
        <v>2</v>
      </c>
      <c r="J1117" s="4">
        <v>16296.72</v>
      </c>
      <c r="K1117" s="5">
        <v>0.15</v>
      </c>
      <c r="L1117" s="4">
        <v>10571.25</v>
      </c>
      <c r="M1117" t="s">
        <v>42</v>
      </c>
      <c r="N1117" t="s">
        <v>52</v>
      </c>
      <c r="O1117">
        <f>IF(TablaVentas[[#This Row],[Precio_unitario]]="","PENDIENTE",TablaVentas[[#This Row],[Unidades]]*TablaVentas[[#This Row],[Precio_unitario]]*(1-TablaVentas[[#This Row],[Descuento_pct]]))</f>
        <v>27704.423999999999</v>
      </c>
      <c r="P1117">
        <f>IF(TablaVentas[[#This Row],[Costo_unitario]]="","PENDIENTE",TablaVentas[[#This Row],[Unidades]]*TablaVentas[[#This Row],[Costo_unitario]])</f>
        <v>21142.5</v>
      </c>
      <c r="Q1117">
        <f>IF(OR(TablaVentas[[#This Row],[Ingreso_neto]]="PENDIENTE",TablaVentas[[#This Row],[Costo_total]]="PENDIENTE"),"PENDIENTE",TablaVentas[[#This Row],[Ingreso_neto]]-TablaVentas[[#This Row],[Costo_total]])</f>
        <v>6561.9239999999991</v>
      </c>
    </row>
    <row r="1118" spans="1:18">
      <c r="A1118" t="s">
        <v>839</v>
      </c>
      <c r="B1118">
        <v>3</v>
      </c>
      <c r="C1118" s="3">
        <v>46232</v>
      </c>
      <c r="D1118" t="s">
        <v>840</v>
      </c>
      <c r="E1118" t="s">
        <v>128</v>
      </c>
      <c r="F1118" t="s">
        <v>56</v>
      </c>
      <c r="G1118" t="s">
        <v>57</v>
      </c>
      <c r="H1118" t="s">
        <v>124</v>
      </c>
      <c r="I1118">
        <v>1</v>
      </c>
      <c r="J1118" s="4">
        <v>1481.42</v>
      </c>
      <c r="K1118" s="5">
        <v>0.15</v>
      </c>
      <c r="L1118" s="4">
        <v>900.08</v>
      </c>
      <c r="M1118" t="s">
        <v>42</v>
      </c>
      <c r="N1118" t="s">
        <v>52</v>
      </c>
      <c r="O1118">
        <f>IF(TablaVentas[[#This Row],[Precio_unitario]]="","PENDIENTE",TablaVentas[[#This Row],[Unidades]]*TablaVentas[[#This Row],[Precio_unitario]]*(1-TablaVentas[[#This Row],[Descuento_pct]]))</f>
        <v>1259.2070000000001</v>
      </c>
      <c r="P1118">
        <f>IF(TablaVentas[[#This Row],[Costo_unitario]]="","PENDIENTE",TablaVentas[[#This Row],[Unidades]]*TablaVentas[[#This Row],[Costo_unitario]])</f>
        <v>900.08</v>
      </c>
      <c r="Q1118">
        <f>IF(OR(TablaVentas[[#This Row],[Ingreso_neto]]="PENDIENTE",TablaVentas[[#This Row],[Costo_total]]="PENDIENTE"),"PENDIENTE",TablaVentas[[#This Row],[Ingreso_neto]]-TablaVentas[[#This Row],[Costo_total]])</f>
        <v>359.12700000000007</v>
      </c>
    </row>
    <row r="1119" spans="1:18">
      <c r="A1119" t="s">
        <v>841</v>
      </c>
      <c r="B1119">
        <v>1</v>
      </c>
      <c r="C1119" s="3">
        <v>46270</v>
      </c>
      <c r="D1119" t="s">
        <v>339</v>
      </c>
      <c r="E1119" t="s">
        <v>84</v>
      </c>
      <c r="F1119" t="s">
        <v>39</v>
      </c>
      <c r="G1119" t="s">
        <v>40</v>
      </c>
      <c r="H1119" t="s">
        <v>82</v>
      </c>
      <c r="I1119">
        <v>4</v>
      </c>
      <c r="J1119" s="4">
        <v>14419.09</v>
      </c>
      <c r="K1119" s="5">
        <v>0.2</v>
      </c>
      <c r="L1119" s="4">
        <v>8576.0499999999993</v>
      </c>
      <c r="M1119" t="s">
        <v>116</v>
      </c>
      <c r="N1119" t="s">
        <v>43</v>
      </c>
      <c r="O1119">
        <f>IF(TablaVentas[[#This Row],[Precio_unitario]]="","PENDIENTE",TablaVentas[[#This Row],[Unidades]]*TablaVentas[[#This Row],[Precio_unitario]]*(1-TablaVentas[[#This Row],[Descuento_pct]]))</f>
        <v>46141.088000000003</v>
      </c>
      <c r="P1119">
        <f>IF(TablaVentas[[#This Row],[Costo_unitario]]="","PENDIENTE",TablaVentas[[#This Row],[Unidades]]*TablaVentas[[#This Row],[Costo_unitario]])</f>
        <v>34304.199999999997</v>
      </c>
      <c r="Q1119">
        <f>IF(OR(TablaVentas[[#This Row],[Ingreso_neto]]="PENDIENTE",TablaVentas[[#This Row],[Costo_total]]="PENDIENTE"),"PENDIENTE",TablaVentas[[#This Row],[Ingreso_neto]]-TablaVentas[[#This Row],[Costo_total]])</f>
        <v>11836.888000000006</v>
      </c>
    </row>
    <row r="1120" spans="1:18">
      <c r="A1120" t="s">
        <v>841</v>
      </c>
      <c r="B1120">
        <v>2</v>
      </c>
      <c r="C1120" s="3">
        <v>46270</v>
      </c>
      <c r="D1120" t="s">
        <v>339</v>
      </c>
      <c r="E1120" t="s">
        <v>320</v>
      </c>
      <c r="F1120" t="s">
        <v>39</v>
      </c>
      <c r="G1120" t="s">
        <v>40</v>
      </c>
      <c r="H1120" t="s">
        <v>82</v>
      </c>
      <c r="I1120">
        <v>1</v>
      </c>
      <c r="J1120" s="4">
        <v>4827.8900000000003</v>
      </c>
      <c r="K1120" s="5">
        <v>0.1</v>
      </c>
      <c r="L1120" s="4">
        <v>3065.66</v>
      </c>
      <c r="M1120" t="s">
        <v>42</v>
      </c>
      <c r="N1120" t="s">
        <v>60</v>
      </c>
      <c r="O1120">
        <f>IF(TablaVentas[[#This Row],[Precio_unitario]]="","PENDIENTE",TablaVentas[[#This Row],[Unidades]]*TablaVentas[[#This Row],[Precio_unitario]]*(1-TablaVentas[[#This Row],[Descuento_pct]]))</f>
        <v>4345.1010000000006</v>
      </c>
      <c r="P1120">
        <f>IF(TablaVentas[[#This Row],[Costo_unitario]]="","PENDIENTE",TablaVentas[[#This Row],[Unidades]]*TablaVentas[[#This Row],[Costo_unitario]])</f>
        <v>3065.66</v>
      </c>
      <c r="Q1120">
        <f>IF(OR(TablaVentas[[#This Row],[Ingreso_neto]]="PENDIENTE",TablaVentas[[#This Row],[Costo_total]]="PENDIENTE"),"PENDIENTE",TablaVentas[[#This Row],[Ingreso_neto]]-TablaVentas[[#This Row],[Costo_total]])</f>
        <v>1279.4410000000007</v>
      </c>
    </row>
    <row r="1121" spans="1:17">
      <c r="A1121" t="s">
        <v>841</v>
      </c>
      <c r="B1121">
        <v>3</v>
      </c>
      <c r="C1121" s="3">
        <v>46270</v>
      </c>
      <c r="D1121" t="s">
        <v>339</v>
      </c>
      <c r="E1121" t="s">
        <v>140</v>
      </c>
      <c r="F1121" t="s">
        <v>39</v>
      </c>
      <c r="G1121" t="s">
        <v>40</v>
      </c>
      <c r="H1121" t="s">
        <v>82</v>
      </c>
      <c r="I1121">
        <v>1</v>
      </c>
      <c r="J1121" s="4">
        <v>3295.59</v>
      </c>
      <c r="K1121" s="5">
        <v>0</v>
      </c>
      <c r="L1121" s="4">
        <v>2427.63</v>
      </c>
      <c r="M1121" t="s">
        <v>42</v>
      </c>
      <c r="N1121" t="s">
        <v>45</v>
      </c>
      <c r="O1121">
        <f>IF(TablaVentas[[#This Row],[Precio_unitario]]="","PENDIENTE",TablaVentas[[#This Row],[Unidades]]*TablaVentas[[#This Row],[Precio_unitario]]*(1-TablaVentas[[#This Row],[Descuento_pct]]))</f>
        <v>3295.59</v>
      </c>
      <c r="P1121">
        <f>IF(TablaVentas[[#This Row],[Costo_unitario]]="","PENDIENTE",TablaVentas[[#This Row],[Unidades]]*TablaVentas[[#This Row],[Costo_unitario]])</f>
        <v>2427.63</v>
      </c>
      <c r="Q1121">
        <f>IF(OR(TablaVentas[[#This Row],[Ingreso_neto]]="PENDIENTE",TablaVentas[[#This Row],[Costo_total]]="PENDIENTE"),"PENDIENTE",TablaVentas[[#This Row],[Ingreso_neto]]-TablaVentas[[#This Row],[Costo_total]])</f>
        <v>867.96</v>
      </c>
    </row>
    <row r="1122" spans="1:17">
      <c r="A1122" t="s">
        <v>842</v>
      </c>
      <c r="B1122">
        <v>1</v>
      </c>
      <c r="C1122" s="3">
        <v>46209</v>
      </c>
      <c r="D1122" t="s">
        <v>739</v>
      </c>
      <c r="E1122" t="s">
        <v>65</v>
      </c>
      <c r="F1122" t="s">
        <v>39</v>
      </c>
      <c r="G1122" t="s">
        <v>50</v>
      </c>
      <c r="H1122" t="s">
        <v>129</v>
      </c>
      <c r="I1122">
        <v>8</v>
      </c>
      <c r="J1122" s="4">
        <v>12296.13</v>
      </c>
      <c r="K1122" s="5">
        <v>0</v>
      </c>
      <c r="L1122" s="4">
        <v>7328.02</v>
      </c>
      <c r="M1122" t="s">
        <v>42</v>
      </c>
      <c r="N1122" t="s">
        <v>52</v>
      </c>
      <c r="O1122">
        <f>IF(TablaVentas[[#This Row],[Precio_unitario]]="","PENDIENTE",TablaVentas[[#This Row],[Unidades]]*TablaVentas[[#This Row],[Precio_unitario]]*(1-TablaVentas[[#This Row],[Descuento_pct]]))</f>
        <v>98369.04</v>
      </c>
      <c r="P1122">
        <f>IF(TablaVentas[[#This Row],[Costo_unitario]]="","PENDIENTE",TablaVentas[[#This Row],[Unidades]]*TablaVentas[[#This Row],[Costo_unitario]])</f>
        <v>58624.160000000003</v>
      </c>
      <c r="Q1122">
        <f>IF(OR(TablaVentas[[#This Row],[Ingreso_neto]]="PENDIENTE",TablaVentas[[#This Row],[Costo_total]]="PENDIENTE"),"PENDIENTE",TablaVentas[[#This Row],[Ingreso_neto]]-TablaVentas[[#This Row],[Costo_total]])</f>
        <v>39744.87999999999</v>
      </c>
    </row>
    <row r="1123" spans="1:17">
      <c r="A1123" t="s">
        <v>842</v>
      </c>
      <c r="B1123">
        <v>2</v>
      </c>
      <c r="C1123" s="3">
        <v>46209</v>
      </c>
      <c r="D1123" t="s">
        <v>739</v>
      </c>
      <c r="E1123" t="s">
        <v>69</v>
      </c>
      <c r="F1123" t="s">
        <v>39</v>
      </c>
      <c r="G1123" t="s">
        <v>50</v>
      </c>
      <c r="H1123" t="s">
        <v>129</v>
      </c>
      <c r="I1123">
        <v>8</v>
      </c>
      <c r="J1123" s="4">
        <v>11691</v>
      </c>
      <c r="K1123" s="5">
        <v>0.15</v>
      </c>
      <c r="L1123" s="4">
        <v>10094.26</v>
      </c>
      <c r="M1123" t="s">
        <v>42</v>
      </c>
      <c r="N1123" t="s">
        <v>60</v>
      </c>
      <c r="O1123">
        <f>IF(TablaVentas[[#This Row],[Precio_unitario]]="","PENDIENTE",TablaVentas[[#This Row],[Unidades]]*TablaVentas[[#This Row],[Precio_unitario]]*(1-TablaVentas[[#This Row],[Descuento_pct]]))</f>
        <v>79498.8</v>
      </c>
      <c r="P1123">
        <f>IF(TablaVentas[[#This Row],[Costo_unitario]]="","PENDIENTE",TablaVentas[[#This Row],[Unidades]]*TablaVentas[[#This Row],[Costo_unitario]])</f>
        <v>80754.080000000002</v>
      </c>
      <c r="Q1123">
        <f>IF(OR(TablaVentas[[#This Row],[Ingreso_neto]]="PENDIENTE",TablaVentas[[#This Row],[Costo_total]]="PENDIENTE"),"PENDIENTE",TablaVentas[[#This Row],[Ingreso_neto]]-TablaVentas[[#This Row],[Costo_total]])</f>
        <v>-1255.2799999999988</v>
      </c>
    </row>
    <row r="1124" spans="1:17">
      <c r="A1124" t="s">
        <v>842</v>
      </c>
      <c r="B1124">
        <v>3</v>
      </c>
      <c r="C1124" s="3">
        <v>46209</v>
      </c>
      <c r="D1124" t="s">
        <v>739</v>
      </c>
      <c r="E1124" t="s">
        <v>125</v>
      </c>
      <c r="F1124" t="s">
        <v>39</v>
      </c>
      <c r="G1124" t="s">
        <v>50</v>
      </c>
      <c r="H1124" t="s">
        <v>129</v>
      </c>
      <c r="I1124">
        <v>3</v>
      </c>
      <c r="J1124" s="4">
        <v>1628.31</v>
      </c>
      <c r="K1124" s="5">
        <v>0</v>
      </c>
      <c r="L1124" s="4">
        <v>1044.32</v>
      </c>
      <c r="M1124" t="s">
        <v>42</v>
      </c>
      <c r="N1124" t="s">
        <v>43</v>
      </c>
      <c r="O1124">
        <f>IF(TablaVentas[[#This Row],[Precio_unitario]]="","PENDIENTE",TablaVentas[[#This Row],[Unidades]]*TablaVentas[[#This Row],[Precio_unitario]]*(1-TablaVentas[[#This Row],[Descuento_pct]]))</f>
        <v>4884.93</v>
      </c>
      <c r="P1124">
        <f>IF(TablaVentas[[#This Row],[Costo_unitario]]="","PENDIENTE",TablaVentas[[#This Row],[Unidades]]*TablaVentas[[#This Row],[Costo_unitario]])</f>
        <v>3132.96</v>
      </c>
      <c r="Q1124">
        <f>IF(OR(TablaVentas[[#This Row],[Ingreso_neto]]="PENDIENTE",TablaVentas[[#This Row],[Costo_total]]="PENDIENTE"),"PENDIENTE",TablaVentas[[#This Row],[Ingreso_neto]]-TablaVentas[[#This Row],[Costo_total]])</f>
        <v>1751.9700000000003</v>
      </c>
    </row>
    <row r="1125" spans="1:17">
      <c r="A1125" t="s">
        <v>842</v>
      </c>
      <c r="B1125">
        <v>4</v>
      </c>
      <c r="C1125" s="3">
        <v>46209</v>
      </c>
      <c r="D1125" t="s">
        <v>739</v>
      </c>
      <c r="E1125" t="s">
        <v>320</v>
      </c>
      <c r="F1125" t="s">
        <v>39</v>
      </c>
      <c r="G1125" t="s">
        <v>50</v>
      </c>
      <c r="H1125" t="s">
        <v>129</v>
      </c>
      <c r="I1125">
        <v>1</v>
      </c>
      <c r="J1125" s="4">
        <v>4889.41</v>
      </c>
      <c r="K1125" s="5">
        <v>0</v>
      </c>
      <c r="L1125" s="4">
        <v>3065.66</v>
      </c>
      <c r="M1125" t="s">
        <v>62</v>
      </c>
      <c r="N1125" t="s">
        <v>52</v>
      </c>
      <c r="O1125">
        <f>IF(TablaVentas[[#This Row],[Precio_unitario]]="","PENDIENTE",TablaVentas[[#This Row],[Unidades]]*TablaVentas[[#This Row],[Precio_unitario]]*(1-TablaVentas[[#This Row],[Descuento_pct]]))</f>
        <v>4889.41</v>
      </c>
      <c r="P1125">
        <f>IF(TablaVentas[[#This Row],[Costo_unitario]]="","PENDIENTE",TablaVentas[[#This Row],[Unidades]]*TablaVentas[[#This Row],[Costo_unitario]])</f>
        <v>3065.66</v>
      </c>
      <c r="Q1125">
        <f>IF(OR(TablaVentas[[#This Row],[Ingreso_neto]]="PENDIENTE",TablaVentas[[#This Row],[Costo_total]]="PENDIENTE"),"PENDIENTE",TablaVentas[[#This Row],[Ingreso_neto]]-TablaVentas[[#This Row],[Costo_total]])</f>
        <v>1823.75</v>
      </c>
    </row>
    <row r="1126" spans="1:17">
      <c r="A1126" t="s">
        <v>843</v>
      </c>
      <c r="B1126">
        <v>1</v>
      </c>
      <c r="C1126" s="3">
        <v>46034</v>
      </c>
      <c r="D1126" t="s">
        <v>255</v>
      </c>
      <c r="E1126" t="s">
        <v>293</v>
      </c>
      <c r="F1126" t="s">
        <v>66</v>
      </c>
      <c r="G1126" t="s">
        <v>50</v>
      </c>
      <c r="H1126" t="s">
        <v>41</v>
      </c>
      <c r="I1126">
        <v>3</v>
      </c>
      <c r="J1126" s="4">
        <v>1075.68</v>
      </c>
      <c r="K1126" s="5">
        <v>0.1</v>
      </c>
      <c r="L1126" s="4">
        <v>936.52</v>
      </c>
      <c r="M1126" t="s">
        <v>42</v>
      </c>
      <c r="N1126" t="s">
        <v>43</v>
      </c>
      <c r="O1126">
        <f>IF(TablaVentas[[#This Row],[Precio_unitario]]="","PENDIENTE",TablaVentas[[#This Row],[Unidades]]*TablaVentas[[#This Row],[Precio_unitario]]*(1-TablaVentas[[#This Row],[Descuento_pct]]))</f>
        <v>2904.3360000000002</v>
      </c>
      <c r="P1126">
        <f>IF(TablaVentas[[#This Row],[Costo_unitario]]="","PENDIENTE",TablaVentas[[#This Row],[Unidades]]*TablaVentas[[#This Row],[Costo_unitario]])</f>
        <v>2809.56</v>
      </c>
      <c r="Q1126">
        <f>IF(OR(TablaVentas[[#This Row],[Ingreso_neto]]="PENDIENTE",TablaVentas[[#This Row],[Costo_total]]="PENDIENTE"),"PENDIENTE",TablaVentas[[#This Row],[Ingreso_neto]]-TablaVentas[[#This Row],[Costo_total]])</f>
        <v>94.776000000000295</v>
      </c>
    </row>
    <row r="1127" spans="1:17">
      <c r="A1127" t="s">
        <v>844</v>
      </c>
      <c r="B1127">
        <v>1</v>
      </c>
      <c r="C1127" s="3">
        <v>46096</v>
      </c>
      <c r="D1127" t="s">
        <v>37</v>
      </c>
      <c r="E1127" t="s">
        <v>119</v>
      </c>
      <c r="F1127" t="s">
        <v>56</v>
      </c>
      <c r="G1127" t="s">
        <v>40</v>
      </c>
      <c r="H1127" t="s">
        <v>102</v>
      </c>
      <c r="I1127">
        <v>2</v>
      </c>
      <c r="J1127" s="4">
        <v>8398.32</v>
      </c>
      <c r="K1127" s="5">
        <v>0.05</v>
      </c>
      <c r="L1127" s="4">
        <v>6981.94</v>
      </c>
      <c r="M1127" t="s">
        <v>42</v>
      </c>
      <c r="N1127" t="s">
        <v>43</v>
      </c>
      <c r="O1127">
        <f>IF(TablaVentas[[#This Row],[Precio_unitario]]="","PENDIENTE",TablaVentas[[#This Row],[Unidades]]*TablaVentas[[#This Row],[Precio_unitario]]*(1-TablaVentas[[#This Row],[Descuento_pct]]))</f>
        <v>15956.807999999999</v>
      </c>
      <c r="P1127">
        <f>IF(TablaVentas[[#This Row],[Costo_unitario]]="","PENDIENTE",TablaVentas[[#This Row],[Unidades]]*TablaVentas[[#This Row],[Costo_unitario]])</f>
        <v>13963.88</v>
      </c>
      <c r="Q1127">
        <f>IF(OR(TablaVentas[[#This Row],[Ingreso_neto]]="PENDIENTE",TablaVentas[[#This Row],[Costo_total]]="PENDIENTE"),"PENDIENTE",TablaVentas[[#This Row],[Ingreso_neto]]-TablaVentas[[#This Row],[Costo_total]])</f>
        <v>1992.9279999999999</v>
      </c>
    </row>
    <row r="1128" spans="1:17">
      <c r="A1128" t="s">
        <v>845</v>
      </c>
      <c r="B1128">
        <v>1</v>
      </c>
      <c r="C1128" s="3">
        <v>46282</v>
      </c>
      <c r="D1128" t="s">
        <v>792</v>
      </c>
      <c r="E1128" t="s">
        <v>89</v>
      </c>
      <c r="F1128" t="s">
        <v>56</v>
      </c>
      <c r="G1128" t="s">
        <v>50</v>
      </c>
      <c r="H1128" t="s">
        <v>124</v>
      </c>
      <c r="I1128">
        <v>2</v>
      </c>
      <c r="J1128" s="4">
        <v>11749.71</v>
      </c>
      <c r="K1128" s="5">
        <v>0.15</v>
      </c>
      <c r="L1128" s="4">
        <v>9118.07</v>
      </c>
      <c r="M1128" t="s">
        <v>116</v>
      </c>
      <c r="N1128" t="s">
        <v>60</v>
      </c>
      <c r="O1128">
        <f>IF(TablaVentas[[#This Row],[Precio_unitario]]="","PENDIENTE",TablaVentas[[#This Row],[Unidades]]*TablaVentas[[#This Row],[Precio_unitario]]*(1-TablaVentas[[#This Row],[Descuento_pct]]))</f>
        <v>19974.506999999998</v>
      </c>
      <c r="P1128">
        <f>IF(TablaVentas[[#This Row],[Costo_unitario]]="","PENDIENTE",TablaVentas[[#This Row],[Unidades]]*TablaVentas[[#This Row],[Costo_unitario]])</f>
        <v>18236.14</v>
      </c>
      <c r="Q1128">
        <f>IF(OR(TablaVentas[[#This Row],[Ingreso_neto]]="PENDIENTE",TablaVentas[[#This Row],[Costo_total]]="PENDIENTE"),"PENDIENTE",TablaVentas[[#This Row],[Ingreso_neto]]-TablaVentas[[#This Row],[Costo_total]])</f>
        <v>1738.3669999999984</v>
      </c>
    </row>
    <row r="1129" spans="1:17">
      <c r="A1129" t="s">
        <v>846</v>
      </c>
      <c r="B1129">
        <v>1</v>
      </c>
      <c r="C1129" s="3">
        <v>46265</v>
      </c>
      <c r="D1129" t="s">
        <v>80</v>
      </c>
      <c r="E1129" t="s">
        <v>98</v>
      </c>
      <c r="F1129" t="s">
        <v>77</v>
      </c>
      <c r="G1129" t="s">
        <v>40</v>
      </c>
      <c r="H1129" t="s">
        <v>102</v>
      </c>
      <c r="I1129">
        <v>1</v>
      </c>
      <c r="J1129" s="4">
        <v>17852.900000000001</v>
      </c>
      <c r="K1129" s="5">
        <v>0</v>
      </c>
      <c r="L1129" s="4">
        <v>9881</v>
      </c>
      <c r="M1129" t="s">
        <v>42</v>
      </c>
      <c r="N1129" t="s">
        <v>52</v>
      </c>
      <c r="O1129">
        <f>IF(TablaVentas[[#This Row],[Precio_unitario]]="","PENDIENTE",TablaVentas[[#This Row],[Unidades]]*TablaVentas[[#This Row],[Precio_unitario]]*(1-TablaVentas[[#This Row],[Descuento_pct]]))</f>
        <v>17852.900000000001</v>
      </c>
      <c r="P1129">
        <f>IF(TablaVentas[[#This Row],[Costo_unitario]]="","PENDIENTE",TablaVentas[[#This Row],[Unidades]]*TablaVentas[[#This Row],[Costo_unitario]])</f>
        <v>9881</v>
      </c>
      <c r="Q1129">
        <f>IF(OR(TablaVentas[[#This Row],[Ingreso_neto]]="PENDIENTE",TablaVentas[[#This Row],[Costo_total]]="PENDIENTE"),"PENDIENTE",TablaVentas[[#This Row],[Ingreso_neto]]-TablaVentas[[#This Row],[Costo_total]])</f>
        <v>7971.9000000000015</v>
      </c>
    </row>
    <row r="1130" spans="1:17">
      <c r="A1130" t="s">
        <v>846</v>
      </c>
      <c r="B1130">
        <v>2</v>
      </c>
      <c r="C1130" s="3">
        <v>46265</v>
      </c>
      <c r="D1130" t="s">
        <v>80</v>
      </c>
      <c r="E1130" t="s">
        <v>140</v>
      </c>
      <c r="F1130" t="s">
        <v>77</v>
      </c>
      <c r="G1130" t="s">
        <v>40</v>
      </c>
      <c r="H1130" t="s">
        <v>102</v>
      </c>
      <c r="I1130">
        <v>1</v>
      </c>
      <c r="J1130" s="4">
        <v>3168.2</v>
      </c>
      <c r="K1130" s="5">
        <v>0.05</v>
      </c>
      <c r="L1130" s="4">
        <v>2427.63</v>
      </c>
      <c r="M1130" t="s">
        <v>42</v>
      </c>
      <c r="N1130" t="s">
        <v>60</v>
      </c>
      <c r="O1130">
        <f>IF(TablaVentas[[#This Row],[Precio_unitario]]="","PENDIENTE",TablaVentas[[#This Row],[Unidades]]*TablaVentas[[#This Row],[Precio_unitario]]*(1-TablaVentas[[#This Row],[Descuento_pct]]))</f>
        <v>3009.7899999999995</v>
      </c>
      <c r="P1130">
        <f>IF(TablaVentas[[#This Row],[Costo_unitario]]="","PENDIENTE",TablaVentas[[#This Row],[Unidades]]*TablaVentas[[#This Row],[Costo_unitario]])</f>
        <v>2427.63</v>
      </c>
      <c r="Q1130">
        <f>IF(OR(TablaVentas[[#This Row],[Ingreso_neto]]="PENDIENTE",TablaVentas[[#This Row],[Costo_total]]="PENDIENTE"),"PENDIENTE",TablaVentas[[#This Row],[Ingreso_neto]]-TablaVentas[[#This Row],[Costo_total]])</f>
        <v>582.1599999999994</v>
      </c>
    </row>
    <row r="1131" spans="1:17">
      <c r="A1131" t="s">
        <v>846</v>
      </c>
      <c r="B1131">
        <v>3</v>
      </c>
      <c r="C1131" s="3">
        <v>46265</v>
      </c>
      <c r="D1131" t="s">
        <v>80</v>
      </c>
      <c r="E1131" t="s">
        <v>203</v>
      </c>
      <c r="F1131" t="s">
        <v>77</v>
      </c>
      <c r="G1131" t="s">
        <v>40</v>
      </c>
      <c r="H1131" t="s">
        <v>102</v>
      </c>
      <c r="I1131">
        <v>4</v>
      </c>
      <c r="J1131" s="4">
        <v>1749.93</v>
      </c>
      <c r="K1131" s="5">
        <v>0.2</v>
      </c>
      <c r="L1131" s="4">
        <v>1252.8399999999999</v>
      </c>
      <c r="M1131" t="s">
        <v>42</v>
      </c>
      <c r="N1131" t="s">
        <v>60</v>
      </c>
      <c r="O1131">
        <f>IF(TablaVentas[[#This Row],[Precio_unitario]]="","PENDIENTE",TablaVentas[[#This Row],[Unidades]]*TablaVentas[[#This Row],[Precio_unitario]]*(1-TablaVentas[[#This Row],[Descuento_pct]]))</f>
        <v>5599.7760000000007</v>
      </c>
      <c r="P1131">
        <f>IF(TablaVentas[[#This Row],[Costo_unitario]]="","PENDIENTE",TablaVentas[[#This Row],[Unidades]]*TablaVentas[[#This Row],[Costo_unitario]])</f>
        <v>5011.3599999999997</v>
      </c>
      <c r="Q1131">
        <f>IF(OR(TablaVentas[[#This Row],[Ingreso_neto]]="PENDIENTE",TablaVentas[[#This Row],[Costo_total]]="PENDIENTE"),"PENDIENTE",TablaVentas[[#This Row],[Ingreso_neto]]-TablaVentas[[#This Row],[Costo_total]])</f>
        <v>588.41600000000108</v>
      </c>
    </row>
    <row r="1132" spans="1:17">
      <c r="A1132" t="s">
        <v>847</v>
      </c>
      <c r="B1132">
        <v>1</v>
      </c>
      <c r="C1132" s="3">
        <v>46061</v>
      </c>
      <c r="D1132" t="s">
        <v>252</v>
      </c>
      <c r="E1132" t="s">
        <v>119</v>
      </c>
      <c r="F1132" t="s">
        <v>77</v>
      </c>
      <c r="G1132" t="s">
        <v>57</v>
      </c>
      <c r="H1132" t="s">
        <v>184</v>
      </c>
      <c r="I1132">
        <v>3</v>
      </c>
      <c r="J1132" s="4">
        <v>9072.0300000000007</v>
      </c>
      <c r="K1132" s="5">
        <v>0</v>
      </c>
      <c r="L1132" s="4">
        <v>6981.94</v>
      </c>
      <c r="M1132" t="s">
        <v>116</v>
      </c>
      <c r="N1132" t="s">
        <v>52</v>
      </c>
      <c r="O1132">
        <f>IF(TablaVentas[[#This Row],[Precio_unitario]]="","PENDIENTE",TablaVentas[[#This Row],[Unidades]]*TablaVentas[[#This Row],[Precio_unitario]]*(1-TablaVentas[[#This Row],[Descuento_pct]]))</f>
        <v>27216.090000000004</v>
      </c>
      <c r="P1132">
        <f>IF(TablaVentas[[#This Row],[Costo_unitario]]="","PENDIENTE",TablaVentas[[#This Row],[Unidades]]*TablaVentas[[#This Row],[Costo_unitario]])</f>
        <v>20945.82</v>
      </c>
      <c r="Q1132">
        <f>IF(OR(TablaVentas[[#This Row],[Ingreso_neto]]="PENDIENTE",TablaVentas[[#This Row],[Costo_total]]="PENDIENTE"),"PENDIENTE",TablaVentas[[#This Row],[Ingreso_neto]]-TablaVentas[[#This Row],[Costo_total]])</f>
        <v>6270.2700000000041</v>
      </c>
    </row>
    <row r="1133" spans="1:17">
      <c r="A1133" t="s">
        <v>847</v>
      </c>
      <c r="B1133">
        <v>2</v>
      </c>
      <c r="C1133" s="3">
        <v>46061</v>
      </c>
      <c r="D1133" t="s">
        <v>252</v>
      </c>
      <c r="E1133" t="s">
        <v>212</v>
      </c>
      <c r="F1133" t="s">
        <v>77</v>
      </c>
      <c r="G1133" t="s">
        <v>57</v>
      </c>
      <c r="H1133" t="s">
        <v>184</v>
      </c>
      <c r="I1133">
        <v>1</v>
      </c>
      <c r="J1133" s="4">
        <v>3916.72</v>
      </c>
      <c r="K1133" s="5">
        <v>0</v>
      </c>
      <c r="L1133" s="4">
        <v>2157.5500000000002</v>
      </c>
      <c r="M1133" t="s">
        <v>42</v>
      </c>
      <c r="N1133" t="s">
        <v>52</v>
      </c>
      <c r="O1133">
        <f>IF(TablaVentas[[#This Row],[Precio_unitario]]="","PENDIENTE",TablaVentas[[#This Row],[Unidades]]*TablaVentas[[#This Row],[Precio_unitario]]*(1-TablaVentas[[#This Row],[Descuento_pct]]))</f>
        <v>3916.72</v>
      </c>
      <c r="P1133">
        <f>IF(TablaVentas[[#This Row],[Costo_unitario]]="","PENDIENTE",TablaVentas[[#This Row],[Unidades]]*TablaVentas[[#This Row],[Costo_unitario]])</f>
        <v>2157.5500000000002</v>
      </c>
      <c r="Q1133">
        <f>IF(OR(TablaVentas[[#This Row],[Ingreso_neto]]="PENDIENTE",TablaVentas[[#This Row],[Costo_total]]="PENDIENTE"),"PENDIENTE",TablaVentas[[#This Row],[Ingreso_neto]]-TablaVentas[[#This Row],[Costo_total]])</f>
        <v>1759.1699999999996</v>
      </c>
    </row>
    <row r="1134" spans="1:17">
      <c r="A1134" t="s">
        <v>848</v>
      </c>
      <c r="B1134">
        <v>1</v>
      </c>
      <c r="C1134" s="3">
        <v>46284</v>
      </c>
      <c r="D1134" t="s">
        <v>472</v>
      </c>
      <c r="E1134" t="s">
        <v>61</v>
      </c>
      <c r="F1134" t="s">
        <v>39</v>
      </c>
      <c r="G1134" t="s">
        <v>57</v>
      </c>
      <c r="H1134" t="s">
        <v>102</v>
      </c>
      <c r="I1134">
        <v>1</v>
      </c>
      <c r="J1134" s="4">
        <v>4258.0600000000004</v>
      </c>
      <c r="K1134" s="5">
        <v>0</v>
      </c>
      <c r="L1134" s="4">
        <v>2554.06</v>
      </c>
      <c r="M1134" t="s">
        <v>42</v>
      </c>
      <c r="N1134" t="s">
        <v>52</v>
      </c>
      <c r="O1134">
        <f>IF(TablaVentas[[#This Row],[Precio_unitario]]="","PENDIENTE",TablaVentas[[#This Row],[Unidades]]*TablaVentas[[#This Row],[Precio_unitario]]*(1-TablaVentas[[#This Row],[Descuento_pct]]))</f>
        <v>4258.0600000000004</v>
      </c>
      <c r="P1134">
        <f>IF(TablaVentas[[#This Row],[Costo_unitario]]="","PENDIENTE",TablaVentas[[#This Row],[Unidades]]*TablaVentas[[#This Row],[Costo_unitario]])</f>
        <v>2554.06</v>
      </c>
      <c r="Q1134">
        <f>IF(OR(TablaVentas[[#This Row],[Ingreso_neto]]="PENDIENTE",TablaVentas[[#This Row],[Costo_total]]="PENDIENTE"),"PENDIENTE",TablaVentas[[#This Row],[Ingreso_neto]]-TablaVentas[[#This Row],[Costo_total]])</f>
        <v>1704.0000000000005</v>
      </c>
    </row>
    <row r="1135" spans="1:17">
      <c r="A1135" t="s">
        <v>848</v>
      </c>
      <c r="B1135">
        <v>2</v>
      </c>
      <c r="C1135" s="3">
        <v>46284</v>
      </c>
      <c r="D1135" t="s">
        <v>472</v>
      </c>
      <c r="E1135" t="s">
        <v>353</v>
      </c>
      <c r="F1135" t="s">
        <v>39</v>
      </c>
      <c r="G1135" t="s">
        <v>57</v>
      </c>
      <c r="H1135" t="s">
        <v>102</v>
      </c>
      <c r="I1135">
        <v>1</v>
      </c>
      <c r="J1135" s="4">
        <v>2006.19</v>
      </c>
      <c r="K1135" s="5">
        <v>0</v>
      </c>
      <c r="L1135" s="4">
        <v>1479.71</v>
      </c>
      <c r="M1135" t="s">
        <v>42</v>
      </c>
      <c r="N1135" t="s">
        <v>45</v>
      </c>
      <c r="O1135">
        <f>IF(TablaVentas[[#This Row],[Precio_unitario]]="","PENDIENTE",TablaVentas[[#This Row],[Unidades]]*TablaVentas[[#This Row],[Precio_unitario]]*(1-TablaVentas[[#This Row],[Descuento_pct]]))</f>
        <v>2006.19</v>
      </c>
      <c r="P1135">
        <f>IF(TablaVentas[[#This Row],[Costo_unitario]]="","PENDIENTE",TablaVentas[[#This Row],[Unidades]]*TablaVentas[[#This Row],[Costo_unitario]])</f>
        <v>1479.71</v>
      </c>
      <c r="Q1135">
        <f>IF(OR(TablaVentas[[#This Row],[Ingreso_neto]]="PENDIENTE",TablaVentas[[#This Row],[Costo_total]]="PENDIENTE"),"PENDIENTE",TablaVentas[[#This Row],[Ingreso_neto]]-TablaVentas[[#This Row],[Costo_total]])</f>
        <v>526.48</v>
      </c>
    </row>
    <row r="1136" spans="1:17">
      <c r="A1136" t="s">
        <v>849</v>
      </c>
      <c r="B1136">
        <v>1</v>
      </c>
      <c r="C1136" s="3">
        <v>46293</v>
      </c>
      <c r="D1136" t="s">
        <v>613</v>
      </c>
      <c r="E1136" t="s">
        <v>139</v>
      </c>
      <c r="F1136" t="s">
        <v>39</v>
      </c>
      <c r="G1136" t="s">
        <v>40</v>
      </c>
      <c r="H1136" t="s">
        <v>129</v>
      </c>
      <c r="I1136">
        <v>1</v>
      </c>
      <c r="J1136" s="4">
        <v>9116.2900000000009</v>
      </c>
      <c r="K1136" s="5">
        <v>0.2</v>
      </c>
      <c r="L1136" s="4">
        <v>8002.16</v>
      </c>
      <c r="M1136" t="s">
        <v>42</v>
      </c>
      <c r="N1136" t="s">
        <v>45</v>
      </c>
      <c r="O1136">
        <f>IF(TablaVentas[[#This Row],[Precio_unitario]]="","PENDIENTE",TablaVentas[[#This Row],[Unidades]]*TablaVentas[[#This Row],[Precio_unitario]]*(1-TablaVentas[[#This Row],[Descuento_pct]]))</f>
        <v>7293.0320000000011</v>
      </c>
      <c r="P1136">
        <f>IF(TablaVentas[[#This Row],[Costo_unitario]]="","PENDIENTE",TablaVentas[[#This Row],[Unidades]]*TablaVentas[[#This Row],[Costo_unitario]])</f>
        <v>8002.16</v>
      </c>
      <c r="Q1136">
        <f>IF(OR(TablaVentas[[#This Row],[Ingreso_neto]]="PENDIENTE",TablaVentas[[#This Row],[Costo_total]]="PENDIENTE"),"PENDIENTE",TablaVentas[[#This Row],[Ingreso_neto]]-TablaVentas[[#This Row],[Costo_total]])</f>
        <v>-709.12799999999879</v>
      </c>
    </row>
    <row r="1137" spans="1:17">
      <c r="A1137" t="s">
        <v>850</v>
      </c>
      <c r="B1137">
        <v>1</v>
      </c>
      <c r="C1137" s="3">
        <v>46060</v>
      </c>
      <c r="D1137" t="s">
        <v>478</v>
      </c>
      <c r="E1137" t="s">
        <v>70</v>
      </c>
      <c r="F1137" t="s">
        <v>39</v>
      </c>
      <c r="G1137" t="s">
        <v>57</v>
      </c>
      <c r="H1137" t="s">
        <v>58</v>
      </c>
      <c r="I1137">
        <v>5</v>
      </c>
      <c r="J1137" s="4">
        <v>14568.28</v>
      </c>
      <c r="K1137" s="5">
        <v>0</v>
      </c>
      <c r="L1137" s="4">
        <v>10571.25</v>
      </c>
      <c r="M1137" t="s">
        <v>42</v>
      </c>
      <c r="N1137" t="s">
        <v>43</v>
      </c>
      <c r="O1137">
        <f>IF(TablaVentas[[#This Row],[Precio_unitario]]="","PENDIENTE",TablaVentas[[#This Row],[Unidades]]*TablaVentas[[#This Row],[Precio_unitario]]*(1-TablaVentas[[#This Row],[Descuento_pct]]))</f>
        <v>72841.400000000009</v>
      </c>
      <c r="P1137">
        <f>IF(TablaVentas[[#This Row],[Costo_unitario]]="","PENDIENTE",TablaVentas[[#This Row],[Unidades]]*TablaVentas[[#This Row],[Costo_unitario]])</f>
        <v>52856.25</v>
      </c>
      <c r="Q1137">
        <f>IF(OR(TablaVentas[[#This Row],[Ingreso_neto]]="PENDIENTE",TablaVentas[[#This Row],[Costo_total]]="PENDIENTE"),"PENDIENTE",TablaVentas[[#This Row],[Ingreso_neto]]-TablaVentas[[#This Row],[Costo_total]])</f>
        <v>19985.150000000009</v>
      </c>
    </row>
    <row r="1138" spans="1:17">
      <c r="A1138" t="s">
        <v>850</v>
      </c>
      <c r="B1138">
        <v>2</v>
      </c>
      <c r="C1138" s="3">
        <v>46060</v>
      </c>
      <c r="D1138" t="s">
        <v>478</v>
      </c>
      <c r="E1138" t="s">
        <v>227</v>
      </c>
      <c r="F1138" t="s">
        <v>39</v>
      </c>
      <c r="G1138" t="s">
        <v>57</v>
      </c>
      <c r="H1138" t="s">
        <v>58</v>
      </c>
      <c r="I1138">
        <v>5</v>
      </c>
      <c r="J1138" s="4">
        <v>8711.1</v>
      </c>
      <c r="K1138" s="5">
        <v>0.2</v>
      </c>
      <c r="L1138" s="4">
        <v>6255.13</v>
      </c>
      <c r="M1138" t="s">
        <v>42</v>
      </c>
      <c r="N1138" t="s">
        <v>43</v>
      </c>
      <c r="O1138">
        <f>IF(TablaVentas[[#This Row],[Precio_unitario]]="","PENDIENTE",TablaVentas[[#This Row],[Unidades]]*TablaVentas[[#This Row],[Precio_unitario]]*(1-TablaVentas[[#This Row],[Descuento_pct]]))</f>
        <v>34844.400000000001</v>
      </c>
      <c r="P1138">
        <f>IF(TablaVentas[[#This Row],[Costo_unitario]]="","PENDIENTE",TablaVentas[[#This Row],[Unidades]]*TablaVentas[[#This Row],[Costo_unitario]])</f>
        <v>31275.65</v>
      </c>
      <c r="Q1138">
        <f>IF(OR(TablaVentas[[#This Row],[Ingreso_neto]]="PENDIENTE",TablaVentas[[#This Row],[Costo_total]]="PENDIENTE"),"PENDIENTE",TablaVentas[[#This Row],[Ingreso_neto]]-TablaVentas[[#This Row],[Costo_total]])</f>
        <v>3568.75</v>
      </c>
    </row>
    <row r="1139" spans="1:17">
      <c r="A1139" t="s">
        <v>850</v>
      </c>
      <c r="B1139">
        <v>3</v>
      </c>
      <c r="C1139" s="3">
        <v>46060</v>
      </c>
      <c r="D1139" t="s">
        <v>478</v>
      </c>
      <c r="E1139" t="s">
        <v>253</v>
      </c>
      <c r="F1139" t="s">
        <v>39</v>
      </c>
      <c r="G1139" t="s">
        <v>57</v>
      </c>
      <c r="H1139" t="s">
        <v>58</v>
      </c>
      <c r="I1139">
        <v>3</v>
      </c>
      <c r="J1139" s="4">
        <v>2957.62</v>
      </c>
      <c r="K1139" s="5">
        <v>0.05</v>
      </c>
      <c r="L1139" s="4">
        <v>2486.1799999999998</v>
      </c>
      <c r="M1139" t="s">
        <v>42</v>
      </c>
      <c r="N1139" t="s">
        <v>43</v>
      </c>
      <c r="O1139">
        <f>IF(TablaVentas[[#This Row],[Precio_unitario]]="","PENDIENTE",TablaVentas[[#This Row],[Unidades]]*TablaVentas[[#This Row],[Precio_unitario]]*(1-TablaVentas[[#This Row],[Descuento_pct]]))</f>
        <v>8429.2170000000006</v>
      </c>
      <c r="P1139">
        <f>IF(TablaVentas[[#This Row],[Costo_unitario]]="","PENDIENTE",TablaVentas[[#This Row],[Unidades]]*TablaVentas[[#This Row],[Costo_unitario]])</f>
        <v>7458.5399999999991</v>
      </c>
      <c r="Q1139">
        <f>IF(OR(TablaVentas[[#This Row],[Ingreso_neto]]="PENDIENTE",TablaVentas[[#This Row],[Costo_total]]="PENDIENTE"),"PENDIENTE",TablaVentas[[#This Row],[Ingreso_neto]]-TablaVentas[[#This Row],[Costo_total]])</f>
        <v>970.6770000000015</v>
      </c>
    </row>
    <row r="1140" spans="1:17">
      <c r="A1140" t="s">
        <v>851</v>
      </c>
      <c r="B1140">
        <v>1</v>
      </c>
      <c r="C1140" s="3">
        <v>46275</v>
      </c>
      <c r="D1140" t="s">
        <v>337</v>
      </c>
      <c r="E1140" t="s">
        <v>167</v>
      </c>
      <c r="F1140" t="s">
        <v>77</v>
      </c>
      <c r="G1140" t="s">
        <v>50</v>
      </c>
      <c r="H1140" t="s">
        <v>58</v>
      </c>
      <c r="I1140">
        <v>2</v>
      </c>
      <c r="J1140" s="4">
        <v>17415.509999999998</v>
      </c>
      <c r="K1140" s="5">
        <v>0</v>
      </c>
      <c r="L1140" s="4">
        <v>8704.4</v>
      </c>
      <c r="M1140" t="s">
        <v>42</v>
      </c>
      <c r="N1140" t="s">
        <v>43</v>
      </c>
      <c r="O1140">
        <f>IF(TablaVentas[[#This Row],[Precio_unitario]]="","PENDIENTE",TablaVentas[[#This Row],[Unidades]]*TablaVentas[[#This Row],[Precio_unitario]]*(1-TablaVentas[[#This Row],[Descuento_pct]]))</f>
        <v>34831.019999999997</v>
      </c>
      <c r="P1140">
        <f>IF(TablaVentas[[#This Row],[Costo_unitario]]="","PENDIENTE",TablaVentas[[#This Row],[Unidades]]*TablaVentas[[#This Row],[Costo_unitario]])</f>
        <v>17408.8</v>
      </c>
      <c r="Q1140">
        <f>IF(OR(TablaVentas[[#This Row],[Ingreso_neto]]="PENDIENTE",TablaVentas[[#This Row],[Costo_total]]="PENDIENTE"),"PENDIENTE",TablaVentas[[#This Row],[Ingreso_neto]]-TablaVentas[[#This Row],[Costo_total]])</f>
        <v>17422.219999999998</v>
      </c>
    </row>
    <row r="1141" spans="1:17">
      <c r="A1141" t="s">
        <v>852</v>
      </c>
      <c r="B1141">
        <v>1</v>
      </c>
      <c r="C1141" s="3">
        <v>46206</v>
      </c>
      <c r="D1141" t="s">
        <v>298</v>
      </c>
      <c r="E1141" t="s">
        <v>236</v>
      </c>
      <c r="F1141" t="s">
        <v>77</v>
      </c>
      <c r="G1141" t="s">
        <v>57</v>
      </c>
      <c r="H1141" t="s">
        <v>82</v>
      </c>
      <c r="I1141">
        <v>2</v>
      </c>
      <c r="J1141" s="4">
        <v>9672.31</v>
      </c>
      <c r="K1141" s="5">
        <v>0</v>
      </c>
      <c r="L1141" s="4">
        <v>8061.7</v>
      </c>
      <c r="M1141" t="s">
        <v>42</v>
      </c>
      <c r="N1141" t="s">
        <v>45</v>
      </c>
      <c r="O1141">
        <f>IF(TablaVentas[[#This Row],[Precio_unitario]]="","PENDIENTE",TablaVentas[[#This Row],[Unidades]]*TablaVentas[[#This Row],[Precio_unitario]]*(1-TablaVentas[[#This Row],[Descuento_pct]]))</f>
        <v>19344.62</v>
      </c>
      <c r="P1141">
        <f>IF(TablaVentas[[#This Row],[Costo_unitario]]="","PENDIENTE",TablaVentas[[#This Row],[Unidades]]*TablaVentas[[#This Row],[Costo_unitario]])</f>
        <v>16123.4</v>
      </c>
      <c r="Q1141">
        <f>IF(OR(TablaVentas[[#This Row],[Ingreso_neto]]="PENDIENTE",TablaVentas[[#This Row],[Costo_total]]="PENDIENTE"),"PENDIENTE",TablaVentas[[#This Row],[Ingreso_neto]]-TablaVentas[[#This Row],[Costo_total]])</f>
        <v>3221.2199999999993</v>
      </c>
    </row>
    <row r="1142" spans="1:17">
      <c r="A1142" t="s">
        <v>853</v>
      </c>
      <c r="B1142">
        <v>1</v>
      </c>
      <c r="C1142" s="3">
        <v>46064</v>
      </c>
      <c r="D1142" t="s">
        <v>648</v>
      </c>
      <c r="E1142" t="s">
        <v>160</v>
      </c>
      <c r="F1142" t="s">
        <v>66</v>
      </c>
      <c r="G1142" t="s">
        <v>50</v>
      </c>
      <c r="H1142" t="s">
        <v>51</v>
      </c>
      <c r="I1142">
        <v>2</v>
      </c>
      <c r="J1142" s="4">
        <v>7692.26</v>
      </c>
      <c r="K1142" s="5">
        <v>0</v>
      </c>
      <c r="L1142" s="4">
        <v>4082.15</v>
      </c>
      <c r="M1142" t="s">
        <v>42</v>
      </c>
      <c r="N1142" t="s">
        <v>52</v>
      </c>
      <c r="O1142">
        <f>IF(TablaVentas[[#This Row],[Precio_unitario]]="","PENDIENTE",TablaVentas[[#This Row],[Unidades]]*TablaVentas[[#This Row],[Precio_unitario]]*(1-TablaVentas[[#This Row],[Descuento_pct]]))</f>
        <v>15384.52</v>
      </c>
      <c r="P1142">
        <f>IF(TablaVentas[[#This Row],[Costo_unitario]]="","PENDIENTE",TablaVentas[[#This Row],[Unidades]]*TablaVentas[[#This Row],[Costo_unitario]])</f>
        <v>8164.3</v>
      </c>
      <c r="Q1142">
        <f>IF(OR(TablaVentas[[#This Row],[Ingreso_neto]]="PENDIENTE",TablaVentas[[#This Row],[Costo_total]]="PENDIENTE"),"PENDIENTE",TablaVentas[[#This Row],[Ingreso_neto]]-TablaVentas[[#This Row],[Costo_total]])</f>
        <v>7220.22</v>
      </c>
    </row>
    <row r="1143" spans="1:17">
      <c r="A1143" t="s">
        <v>853</v>
      </c>
      <c r="B1143">
        <v>2</v>
      </c>
      <c r="C1143" s="3">
        <v>46064</v>
      </c>
      <c r="D1143" t="s">
        <v>648</v>
      </c>
      <c r="E1143" t="s">
        <v>94</v>
      </c>
      <c r="F1143" t="s">
        <v>66</v>
      </c>
      <c r="G1143" t="s">
        <v>50</v>
      </c>
      <c r="H1143" t="s">
        <v>51</v>
      </c>
      <c r="I1143">
        <v>3</v>
      </c>
      <c r="J1143" s="4">
        <v>7981.63</v>
      </c>
      <c r="K1143" s="5">
        <v>0</v>
      </c>
      <c r="L1143" s="4">
        <v>4538.0600000000004</v>
      </c>
      <c r="M1143" t="s">
        <v>42</v>
      </c>
      <c r="N1143" t="s">
        <v>60</v>
      </c>
      <c r="O1143">
        <f>IF(TablaVentas[[#This Row],[Precio_unitario]]="","PENDIENTE",TablaVentas[[#This Row],[Unidades]]*TablaVentas[[#This Row],[Precio_unitario]]*(1-TablaVentas[[#This Row],[Descuento_pct]]))</f>
        <v>23944.89</v>
      </c>
      <c r="P1143">
        <f>IF(TablaVentas[[#This Row],[Costo_unitario]]="","PENDIENTE",TablaVentas[[#This Row],[Unidades]]*TablaVentas[[#This Row],[Costo_unitario]])</f>
        <v>13614.18</v>
      </c>
      <c r="Q1143">
        <f>IF(OR(TablaVentas[[#This Row],[Ingreso_neto]]="PENDIENTE",TablaVentas[[#This Row],[Costo_total]]="PENDIENTE"),"PENDIENTE",TablaVentas[[#This Row],[Ingreso_neto]]-TablaVentas[[#This Row],[Costo_total]])</f>
        <v>10330.709999999999</v>
      </c>
    </row>
    <row r="1144" spans="1:17">
      <c r="A1144" t="s">
        <v>853</v>
      </c>
      <c r="B1144">
        <v>3</v>
      </c>
      <c r="C1144" s="3">
        <v>46064</v>
      </c>
      <c r="D1144" t="s">
        <v>648</v>
      </c>
      <c r="E1144" t="s">
        <v>208</v>
      </c>
      <c r="F1144" t="s">
        <v>66</v>
      </c>
      <c r="G1144" t="s">
        <v>50</v>
      </c>
      <c r="H1144" t="s">
        <v>51</v>
      </c>
      <c r="I1144">
        <v>1</v>
      </c>
      <c r="J1144" s="4">
        <v>9856.85</v>
      </c>
      <c r="K1144" s="5">
        <v>0</v>
      </c>
      <c r="L1144" s="4">
        <v>5535.31</v>
      </c>
      <c r="M1144" t="s">
        <v>42</v>
      </c>
      <c r="N1144" t="s">
        <v>43</v>
      </c>
      <c r="O1144">
        <f>IF(TablaVentas[[#This Row],[Precio_unitario]]="","PENDIENTE",TablaVentas[[#This Row],[Unidades]]*TablaVentas[[#This Row],[Precio_unitario]]*(1-TablaVentas[[#This Row],[Descuento_pct]]))</f>
        <v>9856.85</v>
      </c>
      <c r="P1144">
        <f>IF(TablaVentas[[#This Row],[Costo_unitario]]="","PENDIENTE",TablaVentas[[#This Row],[Unidades]]*TablaVentas[[#This Row],[Costo_unitario]])</f>
        <v>5535.31</v>
      </c>
      <c r="Q1144">
        <f>IF(OR(TablaVentas[[#This Row],[Ingreso_neto]]="PENDIENTE",TablaVentas[[#This Row],[Costo_total]]="PENDIENTE"),"PENDIENTE",TablaVentas[[#This Row],[Ingreso_neto]]-TablaVentas[[#This Row],[Costo_total]])</f>
        <v>4321.54</v>
      </c>
    </row>
    <row r="1145" spans="1:17">
      <c r="A1145" t="s">
        <v>853</v>
      </c>
      <c r="B1145">
        <v>4</v>
      </c>
      <c r="C1145" s="3">
        <v>46064</v>
      </c>
      <c r="D1145" t="s">
        <v>648</v>
      </c>
      <c r="E1145" t="s">
        <v>151</v>
      </c>
      <c r="F1145" t="s">
        <v>66</v>
      </c>
      <c r="G1145" t="s">
        <v>50</v>
      </c>
      <c r="H1145" t="s">
        <v>51</v>
      </c>
      <c r="I1145">
        <v>2</v>
      </c>
      <c r="J1145" s="4">
        <v>17636.53</v>
      </c>
      <c r="K1145" s="5">
        <v>0</v>
      </c>
      <c r="L1145" s="4">
        <v>8963.23</v>
      </c>
      <c r="M1145" t="s">
        <v>42</v>
      </c>
      <c r="N1145" t="s">
        <v>43</v>
      </c>
      <c r="O1145">
        <f>IF(TablaVentas[[#This Row],[Precio_unitario]]="","PENDIENTE",TablaVentas[[#This Row],[Unidades]]*TablaVentas[[#This Row],[Precio_unitario]]*(1-TablaVentas[[#This Row],[Descuento_pct]]))</f>
        <v>35273.06</v>
      </c>
      <c r="P1145">
        <f>IF(TablaVentas[[#This Row],[Costo_unitario]]="","PENDIENTE",TablaVentas[[#This Row],[Unidades]]*TablaVentas[[#This Row],[Costo_unitario]])</f>
        <v>17926.46</v>
      </c>
      <c r="Q1145">
        <f>IF(OR(TablaVentas[[#This Row],[Ingreso_neto]]="PENDIENTE",TablaVentas[[#This Row],[Costo_total]]="PENDIENTE"),"PENDIENTE",TablaVentas[[#This Row],[Ingreso_neto]]-TablaVentas[[#This Row],[Costo_total]])</f>
        <v>17346.599999999999</v>
      </c>
    </row>
    <row r="1146" spans="1:17">
      <c r="A1146" t="s">
        <v>853</v>
      </c>
      <c r="B1146">
        <v>5</v>
      </c>
      <c r="C1146" s="3">
        <v>46064</v>
      </c>
      <c r="D1146" t="s">
        <v>648</v>
      </c>
      <c r="E1146" t="s">
        <v>410</v>
      </c>
      <c r="F1146" t="s">
        <v>66</v>
      </c>
      <c r="G1146" t="s">
        <v>50</v>
      </c>
      <c r="H1146" t="s">
        <v>51</v>
      </c>
      <c r="I1146">
        <v>2</v>
      </c>
      <c r="J1146" s="4">
        <v>7579.74</v>
      </c>
      <c r="K1146" s="5">
        <v>0.05</v>
      </c>
      <c r="L1146" s="4">
        <v>5874.17</v>
      </c>
      <c r="M1146" t="s">
        <v>116</v>
      </c>
      <c r="N1146" t="s">
        <v>45</v>
      </c>
      <c r="O1146">
        <f>IF(TablaVentas[[#This Row],[Precio_unitario]]="","PENDIENTE",TablaVentas[[#This Row],[Unidades]]*TablaVentas[[#This Row],[Precio_unitario]]*(1-TablaVentas[[#This Row],[Descuento_pct]]))</f>
        <v>14401.505999999999</v>
      </c>
      <c r="P1146">
        <f>IF(TablaVentas[[#This Row],[Costo_unitario]]="","PENDIENTE",TablaVentas[[#This Row],[Unidades]]*TablaVentas[[#This Row],[Costo_unitario]])</f>
        <v>11748.34</v>
      </c>
      <c r="Q1146">
        <f>IF(OR(TablaVentas[[#This Row],[Ingreso_neto]]="PENDIENTE",TablaVentas[[#This Row],[Costo_total]]="PENDIENTE"),"PENDIENTE",TablaVentas[[#This Row],[Ingreso_neto]]-TablaVentas[[#This Row],[Costo_total]])</f>
        <v>2653.1659999999993</v>
      </c>
    </row>
    <row r="1147" spans="1:17">
      <c r="A1147" t="s">
        <v>854</v>
      </c>
      <c r="B1147">
        <v>1</v>
      </c>
      <c r="C1147" s="3">
        <v>46267</v>
      </c>
      <c r="D1147" t="s">
        <v>855</v>
      </c>
      <c r="E1147" t="s">
        <v>403</v>
      </c>
      <c r="F1147" t="s">
        <v>66</v>
      </c>
      <c r="G1147" t="s">
        <v>40</v>
      </c>
      <c r="H1147" t="s">
        <v>82</v>
      </c>
      <c r="I1147">
        <v>1</v>
      </c>
      <c r="J1147" s="4">
        <v>2959.84</v>
      </c>
      <c r="K1147" s="5">
        <v>0.05</v>
      </c>
      <c r="L1147" s="4">
        <v>1801.83</v>
      </c>
      <c r="M1147" t="s">
        <v>42</v>
      </c>
      <c r="N1147" t="s">
        <v>43</v>
      </c>
      <c r="O1147">
        <f>IF(TablaVentas[[#This Row],[Precio_unitario]]="","PENDIENTE",TablaVentas[[#This Row],[Unidades]]*TablaVentas[[#This Row],[Precio_unitario]]*(1-TablaVentas[[#This Row],[Descuento_pct]]))</f>
        <v>2811.848</v>
      </c>
      <c r="P1147">
        <f>IF(TablaVentas[[#This Row],[Costo_unitario]]="","PENDIENTE",TablaVentas[[#This Row],[Unidades]]*TablaVentas[[#This Row],[Costo_unitario]])</f>
        <v>1801.83</v>
      </c>
      <c r="Q1147">
        <f>IF(OR(TablaVentas[[#This Row],[Ingreso_neto]]="PENDIENTE",TablaVentas[[#This Row],[Costo_total]]="PENDIENTE"),"PENDIENTE",TablaVentas[[#This Row],[Ingreso_neto]]-TablaVentas[[#This Row],[Costo_total]])</f>
        <v>1010.018</v>
      </c>
    </row>
    <row r="1148" spans="1:17">
      <c r="A1148" t="s">
        <v>856</v>
      </c>
      <c r="B1148">
        <v>1</v>
      </c>
      <c r="C1148" s="3">
        <v>46215</v>
      </c>
      <c r="D1148" t="s">
        <v>857</v>
      </c>
      <c r="E1148" t="s">
        <v>120</v>
      </c>
      <c r="F1148" t="s">
        <v>77</v>
      </c>
      <c r="G1148" t="s">
        <v>40</v>
      </c>
      <c r="H1148" t="s">
        <v>129</v>
      </c>
      <c r="I1148">
        <v>1</v>
      </c>
      <c r="J1148" s="4">
        <v>13397.27</v>
      </c>
      <c r="K1148" s="5">
        <v>0.05</v>
      </c>
      <c r="L1148" s="4">
        <v>7975.26</v>
      </c>
      <c r="M1148" t="s">
        <v>116</v>
      </c>
      <c r="N1148" t="s">
        <v>52</v>
      </c>
      <c r="O1148">
        <f>IF(TablaVentas[[#This Row],[Precio_unitario]]="","PENDIENTE",TablaVentas[[#This Row],[Unidades]]*TablaVentas[[#This Row],[Precio_unitario]]*(1-TablaVentas[[#This Row],[Descuento_pct]]))</f>
        <v>12727.406499999999</v>
      </c>
      <c r="P1148">
        <f>IF(TablaVentas[[#This Row],[Costo_unitario]]="","PENDIENTE",TablaVentas[[#This Row],[Unidades]]*TablaVentas[[#This Row],[Costo_unitario]])</f>
        <v>7975.26</v>
      </c>
      <c r="Q1148">
        <f>IF(OR(TablaVentas[[#This Row],[Ingreso_neto]]="PENDIENTE",TablaVentas[[#This Row],[Costo_total]]="PENDIENTE"),"PENDIENTE",TablaVentas[[#This Row],[Ingreso_neto]]-TablaVentas[[#This Row],[Costo_total]])</f>
        <v>4752.1464999999989</v>
      </c>
    </row>
    <row r="1149" spans="1:17">
      <c r="A1149" t="s">
        <v>856</v>
      </c>
      <c r="B1149">
        <v>2</v>
      </c>
      <c r="C1149" s="3">
        <v>46215</v>
      </c>
      <c r="D1149" t="s">
        <v>857</v>
      </c>
      <c r="E1149" t="s">
        <v>208</v>
      </c>
      <c r="F1149" t="s">
        <v>77</v>
      </c>
      <c r="G1149" t="s">
        <v>40</v>
      </c>
      <c r="H1149" t="s">
        <v>129</v>
      </c>
      <c r="I1149">
        <v>8</v>
      </c>
      <c r="J1149" s="4">
        <v>11222.83</v>
      </c>
      <c r="K1149" s="5">
        <v>0</v>
      </c>
      <c r="L1149" s="4">
        <v>5535.31</v>
      </c>
      <c r="M1149" t="s">
        <v>62</v>
      </c>
      <c r="N1149" t="s">
        <v>43</v>
      </c>
      <c r="O1149">
        <f>IF(TablaVentas[[#This Row],[Precio_unitario]]="","PENDIENTE",TablaVentas[[#This Row],[Unidades]]*TablaVentas[[#This Row],[Precio_unitario]]*(1-TablaVentas[[#This Row],[Descuento_pct]]))</f>
        <v>89782.64</v>
      </c>
      <c r="P1149">
        <f>IF(TablaVentas[[#This Row],[Costo_unitario]]="","PENDIENTE",TablaVentas[[#This Row],[Unidades]]*TablaVentas[[#This Row],[Costo_unitario]])</f>
        <v>44282.48</v>
      </c>
      <c r="Q1149">
        <f>IF(OR(TablaVentas[[#This Row],[Ingreso_neto]]="PENDIENTE",TablaVentas[[#This Row],[Costo_total]]="PENDIENTE"),"PENDIENTE",TablaVentas[[#This Row],[Ingreso_neto]]-TablaVentas[[#This Row],[Costo_total]])</f>
        <v>45500.159999999996</v>
      </c>
    </row>
    <row r="1150" spans="1:17">
      <c r="A1150" t="s">
        <v>856</v>
      </c>
      <c r="B1150">
        <v>3</v>
      </c>
      <c r="C1150" s="3">
        <v>46215</v>
      </c>
      <c r="D1150" t="s">
        <v>857</v>
      </c>
      <c r="E1150" t="s">
        <v>226</v>
      </c>
      <c r="F1150" t="s">
        <v>77</v>
      </c>
      <c r="G1150" t="s">
        <v>40</v>
      </c>
      <c r="H1150" t="s">
        <v>129</v>
      </c>
      <c r="I1150">
        <v>5</v>
      </c>
      <c r="J1150" s="4">
        <v>18537.18</v>
      </c>
      <c r="K1150" s="5">
        <v>0</v>
      </c>
      <c r="L1150" s="4">
        <v>9976.68</v>
      </c>
      <c r="M1150" t="s">
        <v>42</v>
      </c>
      <c r="N1150" t="s">
        <v>52</v>
      </c>
      <c r="O1150">
        <f>IF(TablaVentas[[#This Row],[Precio_unitario]]="","PENDIENTE",TablaVentas[[#This Row],[Unidades]]*TablaVentas[[#This Row],[Precio_unitario]]*(1-TablaVentas[[#This Row],[Descuento_pct]]))</f>
        <v>92685.9</v>
      </c>
      <c r="P1150">
        <f>IF(TablaVentas[[#This Row],[Costo_unitario]]="","PENDIENTE",TablaVentas[[#This Row],[Unidades]]*TablaVentas[[#This Row],[Costo_unitario]])</f>
        <v>49883.4</v>
      </c>
      <c r="Q1150">
        <f>IF(OR(TablaVentas[[#This Row],[Ingreso_neto]]="PENDIENTE",TablaVentas[[#This Row],[Costo_total]]="PENDIENTE"),"PENDIENTE",TablaVentas[[#This Row],[Ingreso_neto]]-TablaVentas[[#This Row],[Costo_total]])</f>
        <v>42802.499999999993</v>
      </c>
    </row>
    <row r="1151" spans="1:17">
      <c r="A1151" t="s">
        <v>858</v>
      </c>
      <c r="B1151">
        <v>1</v>
      </c>
      <c r="C1151" s="3">
        <v>46123</v>
      </c>
      <c r="D1151" t="s">
        <v>627</v>
      </c>
      <c r="E1151" t="s">
        <v>236</v>
      </c>
      <c r="F1151" t="s">
        <v>39</v>
      </c>
      <c r="G1151" t="s">
        <v>50</v>
      </c>
      <c r="H1151" t="s">
        <v>184</v>
      </c>
      <c r="I1151">
        <v>4</v>
      </c>
      <c r="J1151" s="4">
        <v>10104.94</v>
      </c>
      <c r="K1151" s="5">
        <v>0.2</v>
      </c>
      <c r="L1151" s="4">
        <v>8061.7</v>
      </c>
      <c r="M1151" t="s">
        <v>42</v>
      </c>
      <c r="N1151" t="s">
        <v>60</v>
      </c>
      <c r="O1151">
        <f>IF(TablaVentas[[#This Row],[Precio_unitario]]="","PENDIENTE",TablaVentas[[#This Row],[Unidades]]*TablaVentas[[#This Row],[Precio_unitario]]*(1-TablaVentas[[#This Row],[Descuento_pct]]))</f>
        <v>32335.808000000005</v>
      </c>
      <c r="P1151">
        <f>IF(TablaVentas[[#This Row],[Costo_unitario]]="","PENDIENTE",TablaVentas[[#This Row],[Unidades]]*TablaVentas[[#This Row],[Costo_unitario]])</f>
        <v>32246.799999999999</v>
      </c>
      <c r="Q1151">
        <f>IF(OR(TablaVentas[[#This Row],[Ingreso_neto]]="PENDIENTE",TablaVentas[[#This Row],[Costo_total]]="PENDIENTE"),"PENDIENTE",TablaVentas[[#This Row],[Ingreso_neto]]-TablaVentas[[#This Row],[Costo_total]])</f>
        <v>89.008000000005268</v>
      </c>
    </row>
    <row r="1152" spans="1:17">
      <c r="A1152" t="s">
        <v>859</v>
      </c>
      <c r="B1152">
        <v>1</v>
      </c>
      <c r="C1152" s="3">
        <v>46164</v>
      </c>
      <c r="D1152" t="s">
        <v>247</v>
      </c>
      <c r="E1152" t="s">
        <v>271</v>
      </c>
      <c r="F1152" t="s">
        <v>39</v>
      </c>
      <c r="G1152" t="s">
        <v>57</v>
      </c>
      <c r="H1152" t="s">
        <v>41</v>
      </c>
      <c r="I1152">
        <v>5</v>
      </c>
      <c r="J1152" s="4">
        <v>1050.6500000000001</v>
      </c>
      <c r="K1152" s="5">
        <v>0.2</v>
      </c>
      <c r="L1152" s="4">
        <v>759.03</v>
      </c>
      <c r="M1152" t="s">
        <v>42</v>
      </c>
      <c r="N1152" t="s">
        <v>43</v>
      </c>
      <c r="O1152">
        <f>IF(TablaVentas[[#This Row],[Precio_unitario]]="","PENDIENTE",TablaVentas[[#This Row],[Unidades]]*TablaVentas[[#This Row],[Precio_unitario]]*(1-TablaVentas[[#This Row],[Descuento_pct]]))</f>
        <v>4202.6000000000004</v>
      </c>
      <c r="P1152">
        <f>IF(TablaVentas[[#This Row],[Costo_unitario]]="","PENDIENTE",TablaVentas[[#This Row],[Unidades]]*TablaVentas[[#This Row],[Costo_unitario]])</f>
        <v>3795.1499999999996</v>
      </c>
      <c r="Q1152">
        <f>IF(OR(TablaVentas[[#This Row],[Ingreso_neto]]="PENDIENTE",TablaVentas[[#This Row],[Costo_total]]="PENDIENTE"),"PENDIENTE",TablaVentas[[#This Row],[Ingreso_neto]]-TablaVentas[[#This Row],[Costo_total]])</f>
        <v>407.45000000000073</v>
      </c>
    </row>
    <row r="1153" spans="1:17">
      <c r="A1153" t="s">
        <v>859</v>
      </c>
      <c r="B1153">
        <v>2</v>
      </c>
      <c r="C1153" s="3">
        <v>46164</v>
      </c>
      <c r="D1153" t="s">
        <v>247</v>
      </c>
      <c r="E1153" t="s">
        <v>258</v>
      </c>
      <c r="F1153" t="s">
        <v>39</v>
      </c>
      <c r="G1153" t="s">
        <v>57</v>
      </c>
      <c r="H1153" t="s">
        <v>41</v>
      </c>
      <c r="I1153">
        <v>1</v>
      </c>
      <c r="J1153" s="4">
        <v>3727.03</v>
      </c>
      <c r="K1153" s="5">
        <v>0</v>
      </c>
      <c r="L1153" s="4">
        <v>2008.57</v>
      </c>
      <c r="M1153" t="s">
        <v>42</v>
      </c>
      <c r="N1153" t="s">
        <v>43</v>
      </c>
      <c r="O1153">
        <f>IF(TablaVentas[[#This Row],[Precio_unitario]]="","PENDIENTE",TablaVentas[[#This Row],[Unidades]]*TablaVentas[[#This Row],[Precio_unitario]]*(1-TablaVentas[[#This Row],[Descuento_pct]]))</f>
        <v>3727.03</v>
      </c>
      <c r="P1153">
        <f>IF(TablaVentas[[#This Row],[Costo_unitario]]="","PENDIENTE",TablaVentas[[#This Row],[Unidades]]*TablaVentas[[#This Row],[Costo_unitario]])</f>
        <v>2008.57</v>
      </c>
      <c r="Q1153">
        <f>IF(OR(TablaVentas[[#This Row],[Ingreso_neto]]="PENDIENTE",TablaVentas[[#This Row],[Costo_total]]="PENDIENTE"),"PENDIENTE",TablaVentas[[#This Row],[Ingreso_neto]]-TablaVentas[[#This Row],[Costo_total]])</f>
        <v>1718.4600000000003</v>
      </c>
    </row>
    <row r="1154" spans="1:17">
      <c r="A1154" t="s">
        <v>859</v>
      </c>
      <c r="B1154">
        <v>3</v>
      </c>
      <c r="C1154" s="3">
        <v>46164</v>
      </c>
      <c r="D1154" t="s">
        <v>247</v>
      </c>
      <c r="E1154" t="s">
        <v>115</v>
      </c>
      <c r="F1154" t="s">
        <v>39</v>
      </c>
      <c r="G1154" t="s">
        <v>57</v>
      </c>
      <c r="H1154" t="s">
        <v>41</v>
      </c>
      <c r="I1154">
        <v>2</v>
      </c>
      <c r="J1154" s="4">
        <v>1307.54</v>
      </c>
      <c r="K1154" s="5">
        <v>0.1</v>
      </c>
      <c r="L1154" s="4">
        <v>705.87</v>
      </c>
      <c r="M1154" t="s">
        <v>42</v>
      </c>
      <c r="N1154" t="s">
        <v>43</v>
      </c>
      <c r="O1154">
        <f>IF(TablaVentas[[#This Row],[Precio_unitario]]="","PENDIENTE",TablaVentas[[#This Row],[Unidades]]*TablaVentas[[#This Row],[Precio_unitario]]*(1-TablaVentas[[#This Row],[Descuento_pct]]))</f>
        <v>2353.5720000000001</v>
      </c>
      <c r="P1154">
        <f>IF(TablaVentas[[#This Row],[Costo_unitario]]="","PENDIENTE",TablaVentas[[#This Row],[Unidades]]*TablaVentas[[#This Row],[Costo_unitario]])</f>
        <v>1411.74</v>
      </c>
      <c r="Q1154">
        <f>IF(OR(TablaVentas[[#This Row],[Ingreso_neto]]="PENDIENTE",TablaVentas[[#This Row],[Costo_total]]="PENDIENTE"),"PENDIENTE",TablaVentas[[#This Row],[Ingreso_neto]]-TablaVentas[[#This Row],[Costo_total]])</f>
        <v>941.83200000000011</v>
      </c>
    </row>
    <row r="1155" spans="1:17">
      <c r="A1155" t="s">
        <v>859</v>
      </c>
      <c r="B1155">
        <v>4</v>
      </c>
      <c r="C1155" s="3">
        <v>46164</v>
      </c>
      <c r="D1155" t="s">
        <v>247</v>
      </c>
      <c r="E1155" t="s">
        <v>217</v>
      </c>
      <c r="F1155" t="s">
        <v>39</v>
      </c>
      <c r="G1155" t="s">
        <v>57</v>
      </c>
      <c r="H1155" t="s">
        <v>41</v>
      </c>
      <c r="I1155">
        <v>4</v>
      </c>
      <c r="J1155" s="4">
        <v>16632.64</v>
      </c>
      <c r="K1155" s="5">
        <v>0.1</v>
      </c>
      <c r="L1155" s="4">
        <v>14161.63</v>
      </c>
      <c r="M1155" t="s">
        <v>42</v>
      </c>
      <c r="N1155" t="s">
        <v>60</v>
      </c>
      <c r="O1155">
        <f>IF(TablaVentas[[#This Row],[Precio_unitario]]="","PENDIENTE",TablaVentas[[#This Row],[Unidades]]*TablaVentas[[#This Row],[Precio_unitario]]*(1-TablaVentas[[#This Row],[Descuento_pct]]))</f>
        <v>59877.504000000001</v>
      </c>
      <c r="P1155">
        <f>IF(TablaVentas[[#This Row],[Costo_unitario]]="","PENDIENTE",TablaVentas[[#This Row],[Unidades]]*TablaVentas[[#This Row],[Costo_unitario]])</f>
        <v>56646.52</v>
      </c>
      <c r="Q1155">
        <f>IF(OR(TablaVentas[[#This Row],[Ingreso_neto]]="PENDIENTE",TablaVentas[[#This Row],[Costo_total]]="PENDIENTE"),"PENDIENTE",TablaVentas[[#This Row],[Ingreso_neto]]-TablaVentas[[#This Row],[Costo_total]])</f>
        <v>3230.984000000004</v>
      </c>
    </row>
    <row r="1156" spans="1:17">
      <c r="A1156" t="s">
        <v>859</v>
      </c>
      <c r="B1156">
        <v>5</v>
      </c>
      <c r="C1156" s="3">
        <v>46164</v>
      </c>
      <c r="D1156" t="s">
        <v>247</v>
      </c>
      <c r="E1156" t="s">
        <v>134</v>
      </c>
      <c r="F1156" t="s">
        <v>39</v>
      </c>
      <c r="G1156" t="s">
        <v>57</v>
      </c>
      <c r="H1156" t="s">
        <v>41</v>
      </c>
      <c r="I1156">
        <v>1</v>
      </c>
      <c r="J1156" s="4">
        <v>264.44</v>
      </c>
      <c r="K1156" s="5">
        <v>0</v>
      </c>
      <c r="L1156" s="4">
        <v>176.47</v>
      </c>
      <c r="M1156" t="s">
        <v>42</v>
      </c>
      <c r="N1156" t="s">
        <v>52</v>
      </c>
      <c r="O1156">
        <f>IF(TablaVentas[[#This Row],[Precio_unitario]]="","PENDIENTE",TablaVentas[[#This Row],[Unidades]]*TablaVentas[[#This Row],[Precio_unitario]]*(1-TablaVentas[[#This Row],[Descuento_pct]]))</f>
        <v>264.44</v>
      </c>
      <c r="P1156">
        <f>IF(TablaVentas[[#This Row],[Costo_unitario]]="","PENDIENTE",TablaVentas[[#This Row],[Unidades]]*TablaVentas[[#This Row],[Costo_unitario]])</f>
        <v>176.47</v>
      </c>
      <c r="Q1156">
        <f>IF(OR(TablaVentas[[#This Row],[Ingreso_neto]]="PENDIENTE",TablaVentas[[#This Row],[Costo_total]]="PENDIENTE"),"PENDIENTE",TablaVentas[[#This Row],[Ingreso_neto]]-TablaVentas[[#This Row],[Costo_total]])</f>
        <v>87.97</v>
      </c>
    </row>
    <row r="1157" spans="1:17">
      <c r="A1157" t="s">
        <v>860</v>
      </c>
      <c r="B1157">
        <v>1</v>
      </c>
      <c r="C1157" s="3">
        <v>46106</v>
      </c>
      <c r="D1157" t="s">
        <v>177</v>
      </c>
      <c r="E1157" t="s">
        <v>83</v>
      </c>
      <c r="F1157" t="s">
        <v>56</v>
      </c>
      <c r="G1157" t="s">
        <v>40</v>
      </c>
      <c r="H1157" t="s">
        <v>67</v>
      </c>
      <c r="I1157">
        <v>1</v>
      </c>
      <c r="J1157" s="4">
        <v>17125.810000000001</v>
      </c>
      <c r="K1157" s="5">
        <v>0</v>
      </c>
      <c r="L1157" s="4">
        <v>12723.77</v>
      </c>
      <c r="M1157" t="s">
        <v>62</v>
      </c>
      <c r="N1157" t="s">
        <v>60</v>
      </c>
      <c r="O1157">
        <f>IF(TablaVentas[[#This Row],[Precio_unitario]]="","PENDIENTE",TablaVentas[[#This Row],[Unidades]]*TablaVentas[[#This Row],[Precio_unitario]]*(1-TablaVentas[[#This Row],[Descuento_pct]]))</f>
        <v>17125.810000000001</v>
      </c>
      <c r="P1157">
        <f>IF(TablaVentas[[#This Row],[Costo_unitario]]="","PENDIENTE",TablaVentas[[#This Row],[Unidades]]*TablaVentas[[#This Row],[Costo_unitario]])</f>
        <v>12723.77</v>
      </c>
      <c r="Q1157">
        <f>IF(OR(TablaVentas[[#This Row],[Ingreso_neto]]="PENDIENTE",TablaVentas[[#This Row],[Costo_total]]="PENDIENTE"),"PENDIENTE",TablaVentas[[#This Row],[Ingreso_neto]]-TablaVentas[[#This Row],[Costo_total]])</f>
        <v>4402.0400000000009</v>
      </c>
    </row>
    <row r="1158" spans="1:17">
      <c r="A1158" t="s">
        <v>860</v>
      </c>
      <c r="B1158">
        <v>2</v>
      </c>
      <c r="C1158" s="3">
        <v>46106</v>
      </c>
      <c r="D1158" t="s">
        <v>177</v>
      </c>
      <c r="E1158" t="s">
        <v>90</v>
      </c>
      <c r="F1158" t="s">
        <v>56</v>
      </c>
      <c r="G1158" t="s">
        <v>40</v>
      </c>
      <c r="H1158" t="s">
        <v>67</v>
      </c>
      <c r="I1158">
        <v>1</v>
      </c>
      <c r="J1158" s="4">
        <v>10640.55</v>
      </c>
      <c r="K1158" s="5">
        <v>0</v>
      </c>
      <c r="L1158" s="4">
        <v>8174.87</v>
      </c>
      <c r="M1158" t="s">
        <v>42</v>
      </c>
      <c r="N1158" t="s">
        <v>43</v>
      </c>
      <c r="O1158">
        <f>IF(TablaVentas[[#This Row],[Precio_unitario]]="","PENDIENTE",TablaVentas[[#This Row],[Unidades]]*TablaVentas[[#This Row],[Precio_unitario]]*(1-TablaVentas[[#This Row],[Descuento_pct]]))</f>
        <v>10640.55</v>
      </c>
      <c r="P1158">
        <f>IF(TablaVentas[[#This Row],[Costo_unitario]]="","PENDIENTE",TablaVentas[[#This Row],[Unidades]]*TablaVentas[[#This Row],[Costo_unitario]])</f>
        <v>8174.87</v>
      </c>
      <c r="Q1158">
        <f>IF(OR(TablaVentas[[#This Row],[Ingreso_neto]]="PENDIENTE",TablaVentas[[#This Row],[Costo_total]]="PENDIENTE"),"PENDIENTE",TablaVentas[[#This Row],[Ingreso_neto]]-TablaVentas[[#This Row],[Costo_total]])</f>
        <v>2465.6799999999994</v>
      </c>
    </row>
    <row r="1159" spans="1:17">
      <c r="A1159" t="s">
        <v>861</v>
      </c>
      <c r="B1159">
        <v>1</v>
      </c>
      <c r="C1159" s="3">
        <v>46106</v>
      </c>
      <c r="D1159" t="s">
        <v>815</v>
      </c>
      <c r="E1159" t="s">
        <v>148</v>
      </c>
      <c r="F1159" t="s">
        <v>56</v>
      </c>
      <c r="G1159" t="s">
        <v>57</v>
      </c>
      <c r="H1159" t="s">
        <v>58</v>
      </c>
      <c r="I1159">
        <v>5</v>
      </c>
      <c r="J1159" s="4">
        <v>3261.35</v>
      </c>
      <c r="K1159" s="5">
        <v>0</v>
      </c>
      <c r="L1159" s="4">
        <v>2459.34</v>
      </c>
      <c r="M1159" t="s">
        <v>42</v>
      </c>
      <c r="N1159" t="s">
        <v>60</v>
      </c>
      <c r="O1159">
        <f>IF(TablaVentas[[#This Row],[Precio_unitario]]="","PENDIENTE",TablaVentas[[#This Row],[Unidades]]*TablaVentas[[#This Row],[Precio_unitario]]*(1-TablaVentas[[#This Row],[Descuento_pct]]))</f>
        <v>16306.75</v>
      </c>
      <c r="P1159">
        <f>IF(TablaVentas[[#This Row],[Costo_unitario]]="","PENDIENTE",TablaVentas[[#This Row],[Unidades]]*TablaVentas[[#This Row],[Costo_unitario]])</f>
        <v>12296.7</v>
      </c>
      <c r="Q1159">
        <f>IF(OR(TablaVentas[[#This Row],[Ingreso_neto]]="PENDIENTE",TablaVentas[[#This Row],[Costo_total]]="PENDIENTE"),"PENDIENTE",TablaVentas[[#This Row],[Ingreso_neto]]-TablaVentas[[#This Row],[Costo_total]])</f>
        <v>4010.0499999999993</v>
      </c>
    </row>
    <row r="1160" spans="1:17">
      <c r="A1160" t="s">
        <v>862</v>
      </c>
      <c r="B1160">
        <v>1</v>
      </c>
      <c r="C1160" s="3">
        <v>46088</v>
      </c>
      <c r="D1160" t="s">
        <v>414</v>
      </c>
      <c r="E1160" t="s">
        <v>61</v>
      </c>
      <c r="F1160" t="s">
        <v>56</v>
      </c>
      <c r="G1160" t="s">
        <v>40</v>
      </c>
      <c r="H1160" t="s">
        <v>58</v>
      </c>
      <c r="I1160">
        <v>4</v>
      </c>
      <c r="J1160" s="4">
        <v>4544.76</v>
      </c>
      <c r="K1160" s="5">
        <v>0</v>
      </c>
      <c r="L1160" s="4">
        <v>2554.06</v>
      </c>
      <c r="M1160" t="s">
        <v>42</v>
      </c>
      <c r="N1160" t="s">
        <v>45</v>
      </c>
      <c r="O1160">
        <f>IF(TablaVentas[[#This Row],[Precio_unitario]]="","PENDIENTE",TablaVentas[[#This Row],[Unidades]]*TablaVentas[[#This Row],[Precio_unitario]]*(1-TablaVentas[[#This Row],[Descuento_pct]]))</f>
        <v>18179.04</v>
      </c>
      <c r="P1160">
        <f>IF(TablaVentas[[#This Row],[Costo_unitario]]="","PENDIENTE",TablaVentas[[#This Row],[Unidades]]*TablaVentas[[#This Row],[Costo_unitario]])</f>
        <v>10216.24</v>
      </c>
      <c r="Q1160">
        <f>IF(OR(TablaVentas[[#This Row],[Ingreso_neto]]="PENDIENTE",TablaVentas[[#This Row],[Costo_total]]="PENDIENTE"),"PENDIENTE",TablaVentas[[#This Row],[Ingreso_neto]]-TablaVentas[[#This Row],[Costo_total]])</f>
        <v>7962.8000000000011</v>
      </c>
    </row>
    <row r="1161" spans="1:17">
      <c r="A1161" t="s">
        <v>862</v>
      </c>
      <c r="B1161">
        <v>2</v>
      </c>
      <c r="C1161" s="3">
        <v>46088</v>
      </c>
      <c r="D1161" t="s">
        <v>414</v>
      </c>
      <c r="E1161" t="s">
        <v>115</v>
      </c>
      <c r="F1161" t="s">
        <v>56</v>
      </c>
      <c r="G1161" t="s">
        <v>40</v>
      </c>
      <c r="H1161" t="s">
        <v>58</v>
      </c>
      <c r="I1161">
        <v>1</v>
      </c>
      <c r="J1161" s="4">
        <v>1325.46</v>
      </c>
      <c r="K1161" s="5">
        <v>0.2</v>
      </c>
      <c r="L1161" s="4">
        <v>705.87</v>
      </c>
      <c r="M1161" t="s">
        <v>42</v>
      </c>
      <c r="N1161" t="s">
        <v>52</v>
      </c>
      <c r="O1161">
        <f>IF(TablaVentas[[#This Row],[Precio_unitario]]="","PENDIENTE",TablaVentas[[#This Row],[Unidades]]*TablaVentas[[#This Row],[Precio_unitario]]*(1-TablaVentas[[#This Row],[Descuento_pct]]))</f>
        <v>1060.3680000000002</v>
      </c>
      <c r="P1161">
        <f>IF(TablaVentas[[#This Row],[Costo_unitario]]="","PENDIENTE",TablaVentas[[#This Row],[Unidades]]*TablaVentas[[#This Row],[Costo_unitario]])</f>
        <v>705.87</v>
      </c>
      <c r="Q1161">
        <f>IF(OR(TablaVentas[[#This Row],[Ingreso_neto]]="PENDIENTE",TablaVentas[[#This Row],[Costo_total]]="PENDIENTE"),"PENDIENTE",TablaVentas[[#This Row],[Ingreso_neto]]-TablaVentas[[#This Row],[Costo_total]])</f>
        <v>354.49800000000016</v>
      </c>
    </row>
    <row r="1162" spans="1:17">
      <c r="A1162" t="s">
        <v>862</v>
      </c>
      <c r="B1162">
        <v>3</v>
      </c>
      <c r="C1162" s="3">
        <v>46088</v>
      </c>
      <c r="D1162" t="s">
        <v>414</v>
      </c>
      <c r="E1162" t="s">
        <v>273</v>
      </c>
      <c r="F1162" t="s">
        <v>56</v>
      </c>
      <c r="G1162" t="s">
        <v>40</v>
      </c>
      <c r="H1162" t="s">
        <v>58</v>
      </c>
      <c r="I1162">
        <v>3</v>
      </c>
      <c r="J1162" s="4">
        <v>1402.47</v>
      </c>
      <c r="K1162" s="5">
        <v>0</v>
      </c>
      <c r="L1162" s="4">
        <v>716.26</v>
      </c>
      <c r="M1162" t="s">
        <v>42</v>
      </c>
      <c r="N1162" t="s">
        <v>60</v>
      </c>
      <c r="O1162">
        <f>IF(TablaVentas[[#This Row],[Precio_unitario]]="","PENDIENTE",TablaVentas[[#This Row],[Unidades]]*TablaVentas[[#This Row],[Precio_unitario]]*(1-TablaVentas[[#This Row],[Descuento_pct]]))</f>
        <v>4207.41</v>
      </c>
      <c r="P1162">
        <f>IF(TablaVentas[[#This Row],[Costo_unitario]]="","PENDIENTE",TablaVentas[[#This Row],[Unidades]]*TablaVentas[[#This Row],[Costo_unitario]])</f>
        <v>2148.7799999999997</v>
      </c>
      <c r="Q1162">
        <f>IF(OR(TablaVentas[[#This Row],[Ingreso_neto]]="PENDIENTE",TablaVentas[[#This Row],[Costo_total]]="PENDIENTE"),"PENDIENTE",TablaVentas[[#This Row],[Ingreso_neto]]-TablaVentas[[#This Row],[Costo_total]])</f>
        <v>2058.63</v>
      </c>
    </row>
    <row r="1163" spans="1:17">
      <c r="A1163" t="s">
        <v>863</v>
      </c>
      <c r="B1163">
        <v>1</v>
      </c>
      <c r="C1163" s="3">
        <v>46101</v>
      </c>
      <c r="D1163" t="s">
        <v>633</v>
      </c>
      <c r="E1163" t="s">
        <v>167</v>
      </c>
      <c r="F1163" t="s">
        <v>56</v>
      </c>
      <c r="G1163" t="s">
        <v>40</v>
      </c>
      <c r="H1163" t="s">
        <v>67</v>
      </c>
      <c r="I1163">
        <v>1</v>
      </c>
      <c r="J1163" s="4">
        <v>15827.69</v>
      </c>
      <c r="K1163" s="5">
        <v>0.1</v>
      </c>
      <c r="L1163" s="4">
        <v>8704.4</v>
      </c>
      <c r="M1163" t="s">
        <v>42</v>
      </c>
      <c r="N1163" t="s">
        <v>52</v>
      </c>
      <c r="O1163">
        <f>IF(TablaVentas[[#This Row],[Precio_unitario]]="","PENDIENTE",TablaVentas[[#This Row],[Unidades]]*TablaVentas[[#This Row],[Precio_unitario]]*(1-TablaVentas[[#This Row],[Descuento_pct]]))</f>
        <v>14244.921</v>
      </c>
      <c r="P1163">
        <f>IF(TablaVentas[[#This Row],[Costo_unitario]]="","PENDIENTE",TablaVentas[[#This Row],[Unidades]]*TablaVentas[[#This Row],[Costo_unitario]])</f>
        <v>8704.4</v>
      </c>
      <c r="Q1163">
        <f>IF(OR(TablaVentas[[#This Row],[Ingreso_neto]]="PENDIENTE",TablaVentas[[#This Row],[Costo_total]]="PENDIENTE"),"PENDIENTE",TablaVentas[[#This Row],[Ingreso_neto]]-TablaVentas[[#This Row],[Costo_total]])</f>
        <v>5540.5210000000006</v>
      </c>
    </row>
    <row r="1164" spans="1:17">
      <c r="A1164" t="s">
        <v>863</v>
      </c>
      <c r="B1164">
        <v>2</v>
      </c>
      <c r="C1164" s="3">
        <v>46101</v>
      </c>
      <c r="D1164" t="s">
        <v>633</v>
      </c>
      <c r="E1164" t="s">
        <v>397</v>
      </c>
      <c r="F1164" t="s">
        <v>56</v>
      </c>
      <c r="G1164" t="s">
        <v>40</v>
      </c>
      <c r="H1164" t="s">
        <v>67</v>
      </c>
      <c r="I1164">
        <v>3</v>
      </c>
      <c r="J1164" s="4">
        <v>6857.85</v>
      </c>
      <c r="K1164" s="5">
        <v>0</v>
      </c>
      <c r="L1164" s="4">
        <v>3640.56</v>
      </c>
      <c r="M1164" t="s">
        <v>42</v>
      </c>
      <c r="N1164" t="s">
        <v>52</v>
      </c>
      <c r="O1164">
        <f>IF(TablaVentas[[#This Row],[Precio_unitario]]="","PENDIENTE",TablaVentas[[#This Row],[Unidades]]*TablaVentas[[#This Row],[Precio_unitario]]*(1-TablaVentas[[#This Row],[Descuento_pct]]))</f>
        <v>20573.550000000003</v>
      </c>
      <c r="P1164">
        <f>IF(TablaVentas[[#This Row],[Costo_unitario]]="","PENDIENTE",TablaVentas[[#This Row],[Unidades]]*TablaVentas[[#This Row],[Costo_unitario]])</f>
        <v>10921.68</v>
      </c>
      <c r="Q1164">
        <f>IF(OR(TablaVentas[[#This Row],[Ingreso_neto]]="PENDIENTE",TablaVentas[[#This Row],[Costo_total]]="PENDIENTE"),"PENDIENTE",TablaVentas[[#This Row],[Ingreso_neto]]-TablaVentas[[#This Row],[Costo_total]])</f>
        <v>9651.8700000000026</v>
      </c>
    </row>
    <row r="1165" spans="1:17">
      <c r="A1165" t="s">
        <v>864</v>
      </c>
      <c r="B1165">
        <v>1</v>
      </c>
      <c r="C1165" s="3">
        <v>46073</v>
      </c>
      <c r="D1165" t="s">
        <v>622</v>
      </c>
      <c r="E1165" t="s">
        <v>86</v>
      </c>
      <c r="F1165" t="s">
        <v>66</v>
      </c>
      <c r="G1165" t="s">
        <v>57</v>
      </c>
      <c r="H1165" t="s">
        <v>58</v>
      </c>
      <c r="I1165">
        <v>2</v>
      </c>
      <c r="J1165" s="4">
        <v>15406.16</v>
      </c>
      <c r="K1165" s="5">
        <v>0</v>
      </c>
      <c r="L1165" s="4">
        <v>11166.03</v>
      </c>
      <c r="M1165" t="s">
        <v>42</v>
      </c>
      <c r="N1165" t="s">
        <v>43</v>
      </c>
      <c r="O1165">
        <f>IF(TablaVentas[[#This Row],[Precio_unitario]]="","PENDIENTE",TablaVentas[[#This Row],[Unidades]]*TablaVentas[[#This Row],[Precio_unitario]]*(1-TablaVentas[[#This Row],[Descuento_pct]]))</f>
        <v>30812.32</v>
      </c>
      <c r="P1165">
        <f>IF(TablaVentas[[#This Row],[Costo_unitario]]="","PENDIENTE",TablaVentas[[#This Row],[Unidades]]*TablaVentas[[#This Row],[Costo_unitario]])</f>
        <v>22332.06</v>
      </c>
      <c r="Q1165">
        <f>IF(OR(TablaVentas[[#This Row],[Ingreso_neto]]="PENDIENTE",TablaVentas[[#This Row],[Costo_total]]="PENDIENTE"),"PENDIENTE",TablaVentas[[#This Row],[Ingreso_neto]]-TablaVentas[[#This Row],[Costo_total]])</f>
        <v>8480.2599999999984</v>
      </c>
    </row>
    <row r="1166" spans="1:17">
      <c r="A1166" t="s">
        <v>864</v>
      </c>
      <c r="B1166">
        <v>2</v>
      </c>
      <c r="C1166" s="3">
        <v>46073</v>
      </c>
      <c r="D1166" t="s">
        <v>622</v>
      </c>
      <c r="E1166" t="s">
        <v>208</v>
      </c>
      <c r="F1166" t="s">
        <v>66</v>
      </c>
      <c r="G1166" t="s">
        <v>57</v>
      </c>
      <c r="H1166" t="s">
        <v>58</v>
      </c>
      <c r="I1166">
        <v>1</v>
      </c>
      <c r="J1166" s="4">
        <v>10881.12</v>
      </c>
      <c r="K1166" s="5">
        <v>0.1</v>
      </c>
      <c r="L1166" s="4">
        <v>5535.31</v>
      </c>
      <c r="M1166" t="s">
        <v>42</v>
      </c>
      <c r="N1166" t="s">
        <v>52</v>
      </c>
      <c r="O1166">
        <f>IF(TablaVentas[[#This Row],[Precio_unitario]]="","PENDIENTE",TablaVentas[[#This Row],[Unidades]]*TablaVentas[[#This Row],[Precio_unitario]]*(1-TablaVentas[[#This Row],[Descuento_pct]]))</f>
        <v>9793.0080000000016</v>
      </c>
      <c r="P1166">
        <f>IF(TablaVentas[[#This Row],[Costo_unitario]]="","PENDIENTE",TablaVentas[[#This Row],[Unidades]]*TablaVentas[[#This Row],[Costo_unitario]])</f>
        <v>5535.31</v>
      </c>
      <c r="Q1166">
        <f>IF(OR(TablaVentas[[#This Row],[Ingreso_neto]]="PENDIENTE",TablaVentas[[#This Row],[Costo_total]]="PENDIENTE"),"PENDIENTE",TablaVentas[[#This Row],[Ingreso_neto]]-TablaVentas[[#This Row],[Costo_total]])</f>
        <v>4257.6980000000012</v>
      </c>
    </row>
    <row r="1167" spans="1:17">
      <c r="A1167" t="s">
        <v>864</v>
      </c>
      <c r="B1167">
        <v>3</v>
      </c>
      <c r="C1167" s="3">
        <v>46073</v>
      </c>
      <c r="D1167" t="s">
        <v>622</v>
      </c>
      <c r="E1167" t="s">
        <v>81</v>
      </c>
      <c r="F1167" t="s">
        <v>66</v>
      </c>
      <c r="G1167" t="s">
        <v>57</v>
      </c>
      <c r="H1167" t="s">
        <v>58</v>
      </c>
      <c r="I1167">
        <v>3</v>
      </c>
      <c r="J1167" s="4">
        <v>16729.98</v>
      </c>
      <c r="K1167" s="5">
        <v>0.15</v>
      </c>
      <c r="L1167" s="4">
        <v>11614.87</v>
      </c>
      <c r="M1167" t="s">
        <v>42</v>
      </c>
      <c r="N1167" t="s">
        <v>45</v>
      </c>
      <c r="O1167">
        <f>IF(TablaVentas[[#This Row],[Precio_unitario]]="","PENDIENTE",TablaVentas[[#This Row],[Unidades]]*TablaVentas[[#This Row],[Precio_unitario]]*(1-TablaVentas[[#This Row],[Descuento_pct]]))</f>
        <v>42661.449000000001</v>
      </c>
      <c r="P1167">
        <f>IF(TablaVentas[[#This Row],[Costo_unitario]]="","PENDIENTE",TablaVentas[[#This Row],[Unidades]]*TablaVentas[[#This Row],[Costo_unitario]])</f>
        <v>34844.61</v>
      </c>
      <c r="Q1167">
        <f>IF(OR(TablaVentas[[#This Row],[Ingreso_neto]]="PENDIENTE",TablaVentas[[#This Row],[Costo_total]]="PENDIENTE"),"PENDIENTE",TablaVentas[[#This Row],[Ingreso_neto]]-TablaVentas[[#This Row],[Costo_total]])</f>
        <v>7816.8389999999999</v>
      </c>
    </row>
    <row r="1168" spans="1:17">
      <c r="A1168" t="s">
        <v>865</v>
      </c>
      <c r="B1168">
        <v>1</v>
      </c>
      <c r="C1168" s="3">
        <v>46186</v>
      </c>
      <c r="D1168" t="s">
        <v>866</v>
      </c>
      <c r="E1168" t="s">
        <v>140</v>
      </c>
      <c r="F1168" t="s">
        <v>56</v>
      </c>
      <c r="G1168" t="s">
        <v>50</v>
      </c>
      <c r="H1168" t="s">
        <v>51</v>
      </c>
      <c r="I1168">
        <v>1</v>
      </c>
      <c r="J1168" s="4">
        <v>3297.65</v>
      </c>
      <c r="K1168" s="5">
        <v>0.05</v>
      </c>
      <c r="L1168" s="4">
        <v>2427.63</v>
      </c>
      <c r="M1168" t="s">
        <v>42</v>
      </c>
      <c r="N1168" t="s">
        <v>43</v>
      </c>
      <c r="O1168">
        <f>IF(TablaVentas[[#This Row],[Precio_unitario]]="","PENDIENTE",TablaVentas[[#This Row],[Unidades]]*TablaVentas[[#This Row],[Precio_unitario]]*(1-TablaVentas[[#This Row],[Descuento_pct]]))</f>
        <v>3132.7674999999999</v>
      </c>
      <c r="P1168">
        <f>IF(TablaVentas[[#This Row],[Costo_unitario]]="","PENDIENTE",TablaVentas[[#This Row],[Unidades]]*TablaVentas[[#This Row],[Costo_unitario]])</f>
        <v>2427.63</v>
      </c>
      <c r="Q1168">
        <f>IF(OR(TablaVentas[[#This Row],[Ingreso_neto]]="PENDIENTE",TablaVentas[[#This Row],[Costo_total]]="PENDIENTE"),"PENDIENTE",TablaVentas[[#This Row],[Ingreso_neto]]-TablaVentas[[#This Row],[Costo_total]])</f>
        <v>705.13749999999982</v>
      </c>
    </row>
    <row r="1169" spans="1:17">
      <c r="A1169" t="s">
        <v>865</v>
      </c>
      <c r="B1169">
        <v>2</v>
      </c>
      <c r="C1169" s="3">
        <v>46186</v>
      </c>
      <c r="D1169" t="s">
        <v>866</v>
      </c>
      <c r="E1169" t="s">
        <v>38</v>
      </c>
      <c r="F1169" t="s">
        <v>56</v>
      </c>
      <c r="G1169" t="s">
        <v>50</v>
      </c>
      <c r="H1169" t="s">
        <v>51</v>
      </c>
      <c r="I1169">
        <v>3</v>
      </c>
      <c r="J1169" s="4">
        <v>6288.51</v>
      </c>
      <c r="K1169" s="5">
        <v>0.2</v>
      </c>
      <c r="L1169" s="4">
        <v>3832.69</v>
      </c>
      <c r="M1169" t="s">
        <v>42</v>
      </c>
      <c r="N1169" t="s">
        <v>52</v>
      </c>
      <c r="O1169">
        <f>IF(TablaVentas[[#This Row],[Precio_unitario]]="","PENDIENTE",TablaVentas[[#This Row],[Unidades]]*TablaVentas[[#This Row],[Precio_unitario]]*(1-TablaVentas[[#This Row],[Descuento_pct]]))</f>
        <v>15092.423999999999</v>
      </c>
      <c r="P1169">
        <f>IF(TablaVentas[[#This Row],[Costo_unitario]]="","PENDIENTE",TablaVentas[[#This Row],[Unidades]]*TablaVentas[[#This Row],[Costo_unitario]])</f>
        <v>11498.07</v>
      </c>
      <c r="Q1169">
        <f>IF(OR(TablaVentas[[#This Row],[Ingreso_neto]]="PENDIENTE",TablaVentas[[#This Row],[Costo_total]]="PENDIENTE"),"PENDIENTE",TablaVentas[[#This Row],[Ingreso_neto]]-TablaVentas[[#This Row],[Costo_total]])</f>
        <v>3594.3539999999994</v>
      </c>
    </row>
    <row r="1170" spans="1:17">
      <c r="A1170" t="s">
        <v>865</v>
      </c>
      <c r="B1170">
        <v>3</v>
      </c>
      <c r="C1170" s="3">
        <v>46186</v>
      </c>
      <c r="D1170" t="s">
        <v>866</v>
      </c>
      <c r="E1170" t="s">
        <v>125</v>
      </c>
      <c r="F1170" t="s">
        <v>56</v>
      </c>
      <c r="G1170" t="s">
        <v>50</v>
      </c>
      <c r="H1170" t="s">
        <v>51</v>
      </c>
      <c r="I1170">
        <v>1</v>
      </c>
      <c r="J1170" s="4">
        <v>1760.97</v>
      </c>
      <c r="K1170" s="5">
        <v>0</v>
      </c>
      <c r="L1170" s="4">
        <v>1044.32</v>
      </c>
      <c r="M1170" t="s">
        <v>116</v>
      </c>
      <c r="N1170" t="s">
        <v>45</v>
      </c>
      <c r="O1170">
        <f>IF(TablaVentas[[#This Row],[Precio_unitario]]="","PENDIENTE",TablaVentas[[#This Row],[Unidades]]*TablaVentas[[#This Row],[Precio_unitario]]*(1-TablaVentas[[#This Row],[Descuento_pct]]))</f>
        <v>1760.97</v>
      </c>
      <c r="P1170">
        <f>IF(TablaVentas[[#This Row],[Costo_unitario]]="","PENDIENTE",TablaVentas[[#This Row],[Unidades]]*TablaVentas[[#This Row],[Costo_unitario]])</f>
        <v>1044.32</v>
      </c>
      <c r="Q1170">
        <f>IF(OR(TablaVentas[[#This Row],[Ingreso_neto]]="PENDIENTE",TablaVentas[[#This Row],[Costo_total]]="PENDIENTE"),"PENDIENTE",TablaVentas[[#This Row],[Ingreso_neto]]-TablaVentas[[#This Row],[Costo_total]])</f>
        <v>716.65000000000009</v>
      </c>
    </row>
    <row r="1171" spans="1:17">
      <c r="A1171" t="s">
        <v>867</v>
      </c>
      <c r="B1171">
        <v>1</v>
      </c>
      <c r="C1171" s="3">
        <v>46216</v>
      </c>
      <c r="D1171" t="s">
        <v>394</v>
      </c>
      <c r="E1171" t="s">
        <v>163</v>
      </c>
      <c r="F1171" t="s">
        <v>77</v>
      </c>
      <c r="G1171" t="s">
        <v>40</v>
      </c>
      <c r="H1171" t="s">
        <v>58</v>
      </c>
      <c r="I1171">
        <v>3</v>
      </c>
      <c r="J1171" s="4">
        <v>15655.53</v>
      </c>
      <c r="K1171" s="5">
        <v>0</v>
      </c>
      <c r="L1171" s="4">
        <v>12141.44</v>
      </c>
      <c r="M1171" t="s">
        <v>42</v>
      </c>
      <c r="N1171" t="s">
        <v>52</v>
      </c>
      <c r="O1171">
        <f>IF(TablaVentas[[#This Row],[Precio_unitario]]="","PENDIENTE",TablaVentas[[#This Row],[Unidades]]*TablaVentas[[#This Row],[Precio_unitario]]*(1-TablaVentas[[#This Row],[Descuento_pct]]))</f>
        <v>46966.590000000004</v>
      </c>
      <c r="P1171">
        <f>IF(TablaVentas[[#This Row],[Costo_unitario]]="","PENDIENTE",TablaVentas[[#This Row],[Unidades]]*TablaVentas[[#This Row],[Costo_unitario]])</f>
        <v>36424.32</v>
      </c>
      <c r="Q1171">
        <f>IF(OR(TablaVentas[[#This Row],[Ingreso_neto]]="PENDIENTE",TablaVentas[[#This Row],[Costo_total]]="PENDIENTE"),"PENDIENTE",TablaVentas[[#This Row],[Ingreso_neto]]-TablaVentas[[#This Row],[Costo_total]])</f>
        <v>10542.270000000004</v>
      </c>
    </row>
    <row r="1172" spans="1:17">
      <c r="A1172" t="s">
        <v>867</v>
      </c>
      <c r="B1172">
        <v>2</v>
      </c>
      <c r="C1172" s="3">
        <v>46216</v>
      </c>
      <c r="D1172" t="s">
        <v>394</v>
      </c>
      <c r="E1172" t="s">
        <v>233</v>
      </c>
      <c r="F1172" t="s">
        <v>77</v>
      </c>
      <c r="G1172" t="s">
        <v>40</v>
      </c>
      <c r="H1172" t="s">
        <v>58</v>
      </c>
      <c r="I1172">
        <v>1</v>
      </c>
      <c r="J1172" s="4">
        <v>10051.83</v>
      </c>
      <c r="K1172" s="5">
        <v>0.2</v>
      </c>
      <c r="L1172" s="4">
        <v>5932.12</v>
      </c>
      <c r="M1172" t="s">
        <v>42</v>
      </c>
      <c r="N1172" t="s">
        <v>43</v>
      </c>
      <c r="O1172">
        <f>IF(TablaVentas[[#This Row],[Precio_unitario]]="","PENDIENTE",TablaVentas[[#This Row],[Unidades]]*TablaVentas[[#This Row],[Precio_unitario]]*(1-TablaVentas[[#This Row],[Descuento_pct]]))</f>
        <v>8041.4639999999999</v>
      </c>
      <c r="P1172">
        <f>IF(TablaVentas[[#This Row],[Costo_unitario]]="","PENDIENTE",TablaVentas[[#This Row],[Unidades]]*TablaVentas[[#This Row],[Costo_unitario]])</f>
        <v>5932.12</v>
      </c>
      <c r="Q1172">
        <f>IF(OR(TablaVentas[[#This Row],[Ingreso_neto]]="PENDIENTE",TablaVentas[[#This Row],[Costo_total]]="PENDIENTE"),"PENDIENTE",TablaVentas[[#This Row],[Ingreso_neto]]-TablaVentas[[#This Row],[Costo_total]])</f>
        <v>2109.3440000000001</v>
      </c>
    </row>
    <row r="1173" spans="1:17">
      <c r="A1173" t="s">
        <v>868</v>
      </c>
      <c r="B1173">
        <v>1</v>
      </c>
      <c r="C1173" s="3">
        <v>46102</v>
      </c>
      <c r="D1173" t="s">
        <v>276</v>
      </c>
      <c r="E1173" t="s">
        <v>151</v>
      </c>
      <c r="F1173" t="s">
        <v>66</v>
      </c>
      <c r="G1173" t="s">
        <v>40</v>
      </c>
      <c r="H1173" t="s">
        <v>41</v>
      </c>
      <c r="I1173">
        <v>3</v>
      </c>
      <c r="J1173" s="4">
        <v>15050.81</v>
      </c>
      <c r="K1173" s="5">
        <v>0.15</v>
      </c>
      <c r="L1173" s="4">
        <v>8963.23</v>
      </c>
      <c r="M1173" t="s">
        <v>116</v>
      </c>
      <c r="N1173" t="s">
        <v>45</v>
      </c>
      <c r="O1173">
        <f>IF(TablaVentas[[#This Row],[Precio_unitario]]="","PENDIENTE",TablaVentas[[#This Row],[Unidades]]*TablaVentas[[#This Row],[Precio_unitario]]*(1-TablaVentas[[#This Row],[Descuento_pct]]))</f>
        <v>38379.565499999997</v>
      </c>
      <c r="P1173">
        <f>IF(TablaVentas[[#This Row],[Costo_unitario]]="","PENDIENTE",TablaVentas[[#This Row],[Unidades]]*TablaVentas[[#This Row],[Costo_unitario]])</f>
        <v>26889.69</v>
      </c>
      <c r="Q1173">
        <f>IF(OR(TablaVentas[[#This Row],[Ingreso_neto]]="PENDIENTE",TablaVentas[[#This Row],[Costo_total]]="PENDIENTE"),"PENDIENTE",TablaVentas[[#This Row],[Ingreso_neto]]-TablaVentas[[#This Row],[Costo_total]])</f>
        <v>11489.875499999998</v>
      </c>
    </row>
    <row r="1174" spans="1:17">
      <c r="A1174" t="s">
        <v>869</v>
      </c>
      <c r="B1174">
        <v>1</v>
      </c>
      <c r="C1174" s="3">
        <v>46209</v>
      </c>
      <c r="D1174" t="s">
        <v>532</v>
      </c>
      <c r="E1174" t="s">
        <v>326</v>
      </c>
      <c r="F1174" t="s">
        <v>66</v>
      </c>
      <c r="G1174" t="s">
        <v>40</v>
      </c>
      <c r="H1174" t="s">
        <v>82</v>
      </c>
      <c r="I1174">
        <v>2</v>
      </c>
      <c r="J1174" s="4">
        <v>7588.78</v>
      </c>
      <c r="K1174" s="5">
        <v>0</v>
      </c>
      <c r="L1174" s="4">
        <v>4044.16</v>
      </c>
      <c r="M1174" t="s">
        <v>42</v>
      </c>
      <c r="N1174" t="s">
        <v>43</v>
      </c>
      <c r="O1174">
        <f>IF(TablaVentas[[#This Row],[Precio_unitario]]="","PENDIENTE",TablaVentas[[#This Row],[Unidades]]*TablaVentas[[#This Row],[Precio_unitario]]*(1-TablaVentas[[#This Row],[Descuento_pct]]))</f>
        <v>15177.56</v>
      </c>
      <c r="P1174">
        <f>IF(TablaVentas[[#This Row],[Costo_unitario]]="","PENDIENTE",TablaVentas[[#This Row],[Unidades]]*TablaVentas[[#This Row],[Costo_unitario]])</f>
        <v>8088.32</v>
      </c>
      <c r="Q1174">
        <f>IF(OR(TablaVentas[[#This Row],[Ingreso_neto]]="PENDIENTE",TablaVentas[[#This Row],[Costo_total]]="PENDIENTE"),"PENDIENTE",TablaVentas[[#This Row],[Ingreso_neto]]-TablaVentas[[#This Row],[Costo_total]])</f>
        <v>7089.24</v>
      </c>
    </row>
    <row r="1175" spans="1:17">
      <c r="A1175" t="s">
        <v>870</v>
      </c>
      <c r="B1175">
        <v>1</v>
      </c>
      <c r="C1175" s="3">
        <v>46216</v>
      </c>
      <c r="D1175" t="s">
        <v>195</v>
      </c>
      <c r="E1175" t="s">
        <v>49</v>
      </c>
      <c r="F1175" t="s">
        <v>77</v>
      </c>
      <c r="G1175" t="s">
        <v>57</v>
      </c>
      <c r="H1175" t="s">
        <v>67</v>
      </c>
      <c r="I1175">
        <v>1</v>
      </c>
      <c r="J1175" s="4">
        <v>3730.61</v>
      </c>
      <c r="K1175" s="5">
        <v>0.05</v>
      </c>
      <c r="L1175" s="4">
        <v>2950.52</v>
      </c>
      <c r="M1175" t="s">
        <v>42</v>
      </c>
      <c r="N1175" t="s">
        <v>45</v>
      </c>
      <c r="O1175">
        <f>IF(TablaVentas[[#This Row],[Precio_unitario]]="","PENDIENTE",TablaVentas[[#This Row],[Unidades]]*TablaVentas[[#This Row],[Precio_unitario]]*(1-TablaVentas[[#This Row],[Descuento_pct]]))</f>
        <v>3544.0794999999998</v>
      </c>
      <c r="P1175">
        <f>IF(TablaVentas[[#This Row],[Costo_unitario]]="","PENDIENTE",TablaVentas[[#This Row],[Unidades]]*TablaVentas[[#This Row],[Costo_unitario]])</f>
        <v>2950.52</v>
      </c>
      <c r="Q1175">
        <f>IF(OR(TablaVentas[[#This Row],[Ingreso_neto]]="PENDIENTE",TablaVentas[[#This Row],[Costo_total]]="PENDIENTE"),"PENDIENTE",TablaVentas[[#This Row],[Ingreso_neto]]-TablaVentas[[#This Row],[Costo_total]])</f>
        <v>593.55949999999984</v>
      </c>
    </row>
    <row r="1176" spans="1:17">
      <c r="A1176" t="s">
        <v>870</v>
      </c>
      <c r="B1176">
        <v>2</v>
      </c>
      <c r="C1176" s="3">
        <v>46216</v>
      </c>
      <c r="D1176" t="s">
        <v>195</v>
      </c>
      <c r="E1176" t="s">
        <v>159</v>
      </c>
      <c r="F1176" t="s">
        <v>77</v>
      </c>
      <c r="G1176" t="s">
        <v>57</v>
      </c>
      <c r="H1176" t="s">
        <v>67</v>
      </c>
      <c r="I1176">
        <v>3</v>
      </c>
      <c r="J1176" s="4">
        <v>12621.82</v>
      </c>
      <c r="K1176" s="5">
        <v>0</v>
      </c>
      <c r="L1176" s="4">
        <v>9317.3700000000008</v>
      </c>
      <c r="M1176" t="s">
        <v>42</v>
      </c>
      <c r="N1176" t="s">
        <v>43</v>
      </c>
      <c r="O1176">
        <f>IF(TablaVentas[[#This Row],[Precio_unitario]]="","PENDIENTE",TablaVentas[[#This Row],[Unidades]]*TablaVentas[[#This Row],[Precio_unitario]]*(1-TablaVentas[[#This Row],[Descuento_pct]]))</f>
        <v>37865.46</v>
      </c>
      <c r="P1176">
        <f>IF(TablaVentas[[#This Row],[Costo_unitario]]="","PENDIENTE",TablaVentas[[#This Row],[Unidades]]*TablaVentas[[#This Row],[Costo_unitario]])</f>
        <v>27952.11</v>
      </c>
      <c r="Q1176">
        <f>IF(OR(TablaVentas[[#This Row],[Ingreso_neto]]="PENDIENTE",TablaVentas[[#This Row],[Costo_total]]="PENDIENTE"),"PENDIENTE",TablaVentas[[#This Row],[Ingreso_neto]]-TablaVentas[[#This Row],[Costo_total]])</f>
        <v>9913.3499999999985</v>
      </c>
    </row>
    <row r="1177" spans="1:17">
      <c r="A1177" t="s">
        <v>870</v>
      </c>
      <c r="B1177">
        <v>3</v>
      </c>
      <c r="C1177" s="3">
        <v>46216</v>
      </c>
      <c r="D1177" t="s">
        <v>195</v>
      </c>
      <c r="E1177" t="s">
        <v>89</v>
      </c>
      <c r="F1177" t="s">
        <v>77</v>
      </c>
      <c r="G1177" t="s">
        <v>57</v>
      </c>
      <c r="H1177" t="s">
        <v>67</v>
      </c>
      <c r="I1177">
        <v>5</v>
      </c>
      <c r="J1177" s="4">
        <v>13030.22</v>
      </c>
      <c r="K1177" s="5">
        <v>0.1</v>
      </c>
      <c r="L1177" s="4">
        <v>9118.07</v>
      </c>
      <c r="M1177" t="s">
        <v>42</v>
      </c>
      <c r="N1177" t="s">
        <v>43</v>
      </c>
      <c r="O1177">
        <f>IF(TablaVentas[[#This Row],[Precio_unitario]]="","PENDIENTE",TablaVentas[[#This Row],[Unidades]]*TablaVentas[[#This Row],[Precio_unitario]]*(1-TablaVentas[[#This Row],[Descuento_pct]]))</f>
        <v>58635.99</v>
      </c>
      <c r="P1177">
        <f>IF(TablaVentas[[#This Row],[Costo_unitario]]="","PENDIENTE",TablaVentas[[#This Row],[Unidades]]*TablaVentas[[#This Row],[Costo_unitario]])</f>
        <v>45590.35</v>
      </c>
      <c r="Q1177">
        <f>IF(OR(TablaVentas[[#This Row],[Ingreso_neto]]="PENDIENTE",TablaVentas[[#This Row],[Costo_total]]="PENDIENTE"),"PENDIENTE",TablaVentas[[#This Row],[Ingreso_neto]]-TablaVentas[[#This Row],[Costo_total]])</f>
        <v>13045.64</v>
      </c>
    </row>
    <row r="1178" spans="1:17">
      <c r="A1178" t="s">
        <v>870</v>
      </c>
      <c r="B1178">
        <v>4</v>
      </c>
      <c r="C1178" s="3">
        <v>46216</v>
      </c>
      <c r="D1178" t="s">
        <v>195</v>
      </c>
      <c r="E1178" t="s">
        <v>103</v>
      </c>
      <c r="F1178" t="s">
        <v>77</v>
      </c>
      <c r="G1178" t="s">
        <v>57</v>
      </c>
      <c r="H1178" t="s">
        <v>67</v>
      </c>
      <c r="I1178">
        <v>1</v>
      </c>
      <c r="J1178" s="4">
        <v>13147.84</v>
      </c>
      <c r="K1178" s="5">
        <v>0</v>
      </c>
      <c r="L1178" s="4">
        <v>7549.71</v>
      </c>
      <c r="M1178" t="s">
        <v>42</v>
      </c>
      <c r="N1178" t="s">
        <v>60</v>
      </c>
      <c r="O1178">
        <f>IF(TablaVentas[[#This Row],[Precio_unitario]]="","PENDIENTE",TablaVentas[[#This Row],[Unidades]]*TablaVentas[[#This Row],[Precio_unitario]]*(1-TablaVentas[[#This Row],[Descuento_pct]]))</f>
        <v>13147.84</v>
      </c>
      <c r="P1178">
        <f>IF(TablaVentas[[#This Row],[Costo_unitario]]="","PENDIENTE",TablaVentas[[#This Row],[Unidades]]*TablaVentas[[#This Row],[Costo_unitario]])</f>
        <v>7549.71</v>
      </c>
      <c r="Q1178">
        <f>IF(OR(TablaVentas[[#This Row],[Ingreso_neto]]="PENDIENTE",TablaVentas[[#This Row],[Costo_total]]="PENDIENTE"),"PENDIENTE",TablaVentas[[#This Row],[Ingreso_neto]]-TablaVentas[[#This Row],[Costo_total]])</f>
        <v>5598.13</v>
      </c>
    </row>
    <row r="1179" spans="1:17">
      <c r="A1179" t="s">
        <v>871</v>
      </c>
      <c r="B1179">
        <v>1</v>
      </c>
      <c r="C1179" s="3">
        <v>46107</v>
      </c>
      <c r="D1179" t="s">
        <v>872</v>
      </c>
      <c r="E1179" t="s">
        <v>248</v>
      </c>
      <c r="F1179" t="s">
        <v>77</v>
      </c>
      <c r="G1179" t="s">
        <v>57</v>
      </c>
      <c r="H1179" t="s">
        <v>73</v>
      </c>
      <c r="I1179">
        <v>2</v>
      </c>
      <c r="J1179" s="4">
        <v>12617.62</v>
      </c>
      <c r="K1179" s="5">
        <v>0.05</v>
      </c>
      <c r="L1179" s="4">
        <v>6856.4</v>
      </c>
      <c r="M1179" t="s">
        <v>42</v>
      </c>
      <c r="N1179" t="s">
        <v>45</v>
      </c>
      <c r="O1179">
        <f>IF(TablaVentas[[#This Row],[Precio_unitario]]="","PENDIENTE",TablaVentas[[#This Row],[Unidades]]*TablaVentas[[#This Row],[Precio_unitario]]*(1-TablaVentas[[#This Row],[Descuento_pct]]))</f>
        <v>23973.477999999999</v>
      </c>
      <c r="P1179">
        <f>IF(TablaVentas[[#This Row],[Costo_unitario]]="","PENDIENTE",TablaVentas[[#This Row],[Unidades]]*TablaVentas[[#This Row],[Costo_unitario]])</f>
        <v>13712.8</v>
      </c>
      <c r="Q1179">
        <f>IF(OR(TablaVentas[[#This Row],[Ingreso_neto]]="PENDIENTE",TablaVentas[[#This Row],[Costo_total]]="PENDIENTE"),"PENDIENTE",TablaVentas[[#This Row],[Ingreso_neto]]-TablaVentas[[#This Row],[Costo_total]])</f>
        <v>10260.678</v>
      </c>
    </row>
    <row r="1180" spans="1:17">
      <c r="A1180" t="s">
        <v>871</v>
      </c>
      <c r="B1180">
        <v>2</v>
      </c>
      <c r="C1180" s="3">
        <v>46107</v>
      </c>
      <c r="D1180" t="s">
        <v>872</v>
      </c>
      <c r="E1180" t="s">
        <v>93</v>
      </c>
      <c r="F1180" t="s">
        <v>77</v>
      </c>
      <c r="G1180" t="s">
        <v>57</v>
      </c>
      <c r="H1180" t="s">
        <v>73</v>
      </c>
      <c r="I1180">
        <v>8</v>
      </c>
      <c r="J1180" s="4">
        <v>14409.41</v>
      </c>
      <c r="K1180" s="5">
        <v>0.05</v>
      </c>
      <c r="L1180" s="4">
        <v>8788.7900000000009</v>
      </c>
      <c r="M1180" t="s">
        <v>42</v>
      </c>
      <c r="N1180" t="s">
        <v>45</v>
      </c>
      <c r="O1180">
        <f>IF(TablaVentas[[#This Row],[Precio_unitario]]="","PENDIENTE",TablaVentas[[#This Row],[Unidades]]*TablaVentas[[#This Row],[Precio_unitario]]*(1-TablaVentas[[#This Row],[Descuento_pct]]))</f>
        <v>109511.51599999999</v>
      </c>
      <c r="P1180">
        <f>IF(TablaVentas[[#This Row],[Costo_unitario]]="","PENDIENTE",TablaVentas[[#This Row],[Unidades]]*TablaVentas[[#This Row],[Costo_unitario]])</f>
        <v>70310.320000000007</v>
      </c>
      <c r="Q1180">
        <f>IF(OR(TablaVentas[[#This Row],[Ingreso_neto]]="PENDIENTE",TablaVentas[[#This Row],[Costo_total]]="PENDIENTE"),"PENDIENTE",TablaVentas[[#This Row],[Ingreso_neto]]-TablaVentas[[#This Row],[Costo_total]])</f>
        <v>39201.195999999982</v>
      </c>
    </row>
    <row r="1181" spans="1:17">
      <c r="A1181" t="s">
        <v>871</v>
      </c>
      <c r="B1181">
        <v>3</v>
      </c>
      <c r="C1181" s="3">
        <v>46107</v>
      </c>
      <c r="D1181" t="s">
        <v>872</v>
      </c>
      <c r="E1181" t="s">
        <v>110</v>
      </c>
      <c r="F1181" t="s">
        <v>77</v>
      </c>
      <c r="G1181" t="s">
        <v>57</v>
      </c>
      <c r="H1181" t="s">
        <v>73</v>
      </c>
      <c r="I1181">
        <v>5</v>
      </c>
      <c r="J1181" s="4">
        <v>4984.95</v>
      </c>
      <c r="K1181" s="5">
        <v>0.05</v>
      </c>
      <c r="L1181" s="4">
        <v>4205.6899999999996</v>
      </c>
      <c r="M1181" t="s">
        <v>42</v>
      </c>
      <c r="N1181" t="s">
        <v>60</v>
      </c>
      <c r="O1181">
        <f>IF(TablaVentas[[#This Row],[Precio_unitario]]="","PENDIENTE",TablaVentas[[#This Row],[Unidades]]*TablaVentas[[#This Row],[Precio_unitario]]*(1-TablaVentas[[#This Row],[Descuento_pct]]))</f>
        <v>23678.512499999997</v>
      </c>
      <c r="P1181">
        <f>IF(TablaVentas[[#This Row],[Costo_unitario]]="","PENDIENTE",TablaVentas[[#This Row],[Unidades]]*TablaVentas[[#This Row],[Costo_unitario]])</f>
        <v>21028.449999999997</v>
      </c>
      <c r="Q1181">
        <f>IF(OR(TablaVentas[[#This Row],[Ingreso_neto]]="PENDIENTE",TablaVentas[[#This Row],[Costo_total]]="PENDIENTE"),"PENDIENTE",TablaVentas[[#This Row],[Ingreso_neto]]-TablaVentas[[#This Row],[Costo_total]])</f>
        <v>2650.0625</v>
      </c>
    </row>
    <row r="1182" spans="1:17">
      <c r="A1182" t="s">
        <v>871</v>
      </c>
      <c r="B1182">
        <v>4</v>
      </c>
      <c r="C1182" s="3">
        <v>46107</v>
      </c>
      <c r="D1182" t="s">
        <v>872</v>
      </c>
      <c r="E1182" t="s">
        <v>144</v>
      </c>
      <c r="F1182" t="s">
        <v>77</v>
      </c>
      <c r="G1182" t="s">
        <v>57</v>
      </c>
      <c r="H1182" t="s">
        <v>73</v>
      </c>
      <c r="I1182">
        <v>1</v>
      </c>
      <c r="J1182" s="4">
        <v>9811.84</v>
      </c>
      <c r="K1182" s="5">
        <v>0.1</v>
      </c>
      <c r="L1182" s="4">
        <v>5125.3599999999997</v>
      </c>
      <c r="M1182" t="s">
        <v>42</v>
      </c>
      <c r="N1182" t="s">
        <v>45</v>
      </c>
      <c r="O1182">
        <f>IF(TablaVentas[[#This Row],[Precio_unitario]]="","PENDIENTE",TablaVentas[[#This Row],[Unidades]]*TablaVentas[[#This Row],[Precio_unitario]]*(1-TablaVentas[[#This Row],[Descuento_pct]]))</f>
        <v>8830.6560000000009</v>
      </c>
      <c r="P1182">
        <f>IF(TablaVentas[[#This Row],[Costo_unitario]]="","PENDIENTE",TablaVentas[[#This Row],[Unidades]]*TablaVentas[[#This Row],[Costo_unitario]])</f>
        <v>5125.3599999999997</v>
      </c>
      <c r="Q1182">
        <f>IF(OR(TablaVentas[[#This Row],[Ingreso_neto]]="PENDIENTE",TablaVentas[[#This Row],[Costo_total]]="PENDIENTE"),"PENDIENTE",TablaVentas[[#This Row],[Ingreso_neto]]-TablaVentas[[#This Row],[Costo_total]])</f>
        <v>3705.2960000000012</v>
      </c>
    </row>
    <row r="1183" spans="1:17">
      <c r="A1183" t="s">
        <v>873</v>
      </c>
      <c r="B1183">
        <v>1</v>
      </c>
      <c r="C1183" s="3">
        <v>46250</v>
      </c>
      <c r="D1183" t="s">
        <v>562</v>
      </c>
      <c r="E1183" t="s">
        <v>128</v>
      </c>
      <c r="F1183" t="s">
        <v>39</v>
      </c>
      <c r="G1183" t="s">
        <v>57</v>
      </c>
      <c r="H1183" t="s">
        <v>67</v>
      </c>
      <c r="I1183">
        <v>1</v>
      </c>
      <c r="J1183" s="4">
        <v>1665.21</v>
      </c>
      <c r="K1183" s="5">
        <v>0</v>
      </c>
      <c r="L1183" s="4">
        <v>900.08</v>
      </c>
      <c r="M1183" t="s">
        <v>42</v>
      </c>
      <c r="N1183" t="s">
        <v>52</v>
      </c>
      <c r="O1183">
        <f>IF(TablaVentas[[#This Row],[Precio_unitario]]="","PENDIENTE",TablaVentas[[#This Row],[Unidades]]*TablaVentas[[#This Row],[Precio_unitario]]*(1-TablaVentas[[#This Row],[Descuento_pct]]))</f>
        <v>1665.21</v>
      </c>
      <c r="P1183">
        <f>IF(TablaVentas[[#This Row],[Costo_unitario]]="","PENDIENTE",TablaVentas[[#This Row],[Unidades]]*TablaVentas[[#This Row],[Costo_unitario]])</f>
        <v>900.08</v>
      </c>
      <c r="Q1183">
        <f>IF(OR(TablaVentas[[#This Row],[Ingreso_neto]]="PENDIENTE",TablaVentas[[#This Row],[Costo_total]]="PENDIENTE"),"PENDIENTE",TablaVentas[[#This Row],[Ingreso_neto]]-TablaVentas[[#This Row],[Costo_total]])</f>
        <v>765.13</v>
      </c>
    </row>
    <row r="1184" spans="1:17">
      <c r="A1184" t="s">
        <v>873</v>
      </c>
      <c r="B1184">
        <v>2</v>
      </c>
      <c r="C1184" s="3">
        <v>46250</v>
      </c>
      <c r="D1184" t="s">
        <v>562</v>
      </c>
      <c r="E1184" t="s">
        <v>335</v>
      </c>
      <c r="F1184" t="s">
        <v>39</v>
      </c>
      <c r="G1184" t="s">
        <v>57</v>
      </c>
      <c r="H1184" t="s">
        <v>67</v>
      </c>
      <c r="I1184">
        <v>4</v>
      </c>
      <c r="J1184" s="4">
        <v>6705.13</v>
      </c>
      <c r="K1184" s="5">
        <v>0.15</v>
      </c>
      <c r="L1184" s="4">
        <v>5587.31</v>
      </c>
      <c r="M1184" t="s">
        <v>42</v>
      </c>
      <c r="N1184" t="s">
        <v>60</v>
      </c>
      <c r="O1184">
        <f>IF(TablaVentas[[#This Row],[Precio_unitario]]="","PENDIENTE",TablaVentas[[#This Row],[Unidades]]*TablaVentas[[#This Row],[Precio_unitario]]*(1-TablaVentas[[#This Row],[Descuento_pct]]))</f>
        <v>22797.441999999999</v>
      </c>
      <c r="P1184">
        <f>IF(TablaVentas[[#This Row],[Costo_unitario]]="","PENDIENTE",TablaVentas[[#This Row],[Unidades]]*TablaVentas[[#This Row],[Costo_unitario]])</f>
        <v>22349.24</v>
      </c>
      <c r="Q1184">
        <f>IF(OR(TablaVentas[[#This Row],[Ingreso_neto]]="PENDIENTE",TablaVentas[[#This Row],[Costo_total]]="PENDIENTE"),"PENDIENTE",TablaVentas[[#This Row],[Ingreso_neto]]-TablaVentas[[#This Row],[Costo_total]])</f>
        <v>448.2019999999975</v>
      </c>
    </row>
    <row r="1185" spans="1:17">
      <c r="A1185" t="s">
        <v>873</v>
      </c>
      <c r="B1185">
        <v>3</v>
      </c>
      <c r="C1185" s="3">
        <v>46250</v>
      </c>
      <c r="D1185" t="s">
        <v>562</v>
      </c>
      <c r="E1185" t="s">
        <v>144</v>
      </c>
      <c r="F1185" t="s">
        <v>39</v>
      </c>
      <c r="G1185" t="s">
        <v>57</v>
      </c>
      <c r="H1185" t="s">
        <v>67</v>
      </c>
      <c r="I1185">
        <v>1</v>
      </c>
      <c r="J1185" s="4">
        <v>8516.8799999999992</v>
      </c>
      <c r="K1185" s="5">
        <v>0.2</v>
      </c>
      <c r="L1185" s="4">
        <v>5125.3599999999997</v>
      </c>
      <c r="M1185" t="s">
        <v>42</v>
      </c>
      <c r="N1185" t="s">
        <v>43</v>
      </c>
      <c r="O1185">
        <f>IF(TablaVentas[[#This Row],[Precio_unitario]]="","PENDIENTE",TablaVentas[[#This Row],[Unidades]]*TablaVentas[[#This Row],[Precio_unitario]]*(1-TablaVentas[[#This Row],[Descuento_pct]]))</f>
        <v>6813.5039999999999</v>
      </c>
      <c r="P1185">
        <f>IF(TablaVentas[[#This Row],[Costo_unitario]]="","PENDIENTE",TablaVentas[[#This Row],[Unidades]]*TablaVentas[[#This Row],[Costo_unitario]])</f>
        <v>5125.3599999999997</v>
      </c>
      <c r="Q1185">
        <f>IF(OR(TablaVentas[[#This Row],[Ingreso_neto]]="PENDIENTE",TablaVentas[[#This Row],[Costo_total]]="PENDIENTE"),"PENDIENTE",TablaVentas[[#This Row],[Ingreso_neto]]-TablaVentas[[#This Row],[Costo_total]])</f>
        <v>1688.1440000000002</v>
      </c>
    </row>
    <row r="1186" spans="1:17">
      <c r="A1186" t="s">
        <v>873</v>
      </c>
      <c r="B1186">
        <v>4</v>
      </c>
      <c r="C1186" s="3">
        <v>46250</v>
      </c>
      <c r="D1186" t="s">
        <v>562</v>
      </c>
      <c r="E1186" t="s">
        <v>353</v>
      </c>
      <c r="F1186" t="s">
        <v>39</v>
      </c>
      <c r="G1186" t="s">
        <v>57</v>
      </c>
      <c r="H1186" t="s">
        <v>67</v>
      </c>
      <c r="I1186">
        <v>12</v>
      </c>
      <c r="J1186" s="4">
        <v>1953.72</v>
      </c>
      <c r="K1186" s="5">
        <v>0.2</v>
      </c>
      <c r="L1186" s="4">
        <v>1479.71</v>
      </c>
      <c r="M1186" t="s">
        <v>42</v>
      </c>
      <c r="N1186" t="s">
        <v>45</v>
      </c>
      <c r="O1186">
        <f>IF(TablaVentas[[#This Row],[Precio_unitario]]="","PENDIENTE",TablaVentas[[#This Row],[Unidades]]*TablaVentas[[#This Row],[Precio_unitario]]*(1-TablaVentas[[#This Row],[Descuento_pct]]))</f>
        <v>18755.712</v>
      </c>
      <c r="P1186">
        <f>IF(TablaVentas[[#This Row],[Costo_unitario]]="","PENDIENTE",TablaVentas[[#This Row],[Unidades]]*TablaVentas[[#This Row],[Costo_unitario]])</f>
        <v>17756.52</v>
      </c>
      <c r="Q1186">
        <f>IF(OR(TablaVentas[[#This Row],[Ingreso_neto]]="PENDIENTE",TablaVentas[[#This Row],[Costo_total]]="PENDIENTE"),"PENDIENTE",TablaVentas[[#This Row],[Ingreso_neto]]-TablaVentas[[#This Row],[Costo_total]])</f>
        <v>999.1919999999991</v>
      </c>
    </row>
    <row r="1187" spans="1:17">
      <c r="A1187" t="s">
        <v>873</v>
      </c>
      <c r="B1187">
        <v>5</v>
      </c>
      <c r="C1187" s="3">
        <v>46250</v>
      </c>
      <c r="D1187" t="s">
        <v>562</v>
      </c>
      <c r="E1187" t="s">
        <v>148</v>
      </c>
      <c r="F1187" t="s">
        <v>39</v>
      </c>
      <c r="G1187" t="s">
        <v>57</v>
      </c>
      <c r="H1187" t="s">
        <v>67</v>
      </c>
      <c r="I1187">
        <v>3</v>
      </c>
      <c r="J1187" s="4">
        <v>2903.94</v>
      </c>
      <c r="K1187" s="5">
        <v>0.15</v>
      </c>
      <c r="L1187" s="4">
        <v>2459.34</v>
      </c>
      <c r="M1187" t="s">
        <v>42</v>
      </c>
      <c r="N1187" t="s">
        <v>43</v>
      </c>
      <c r="O1187">
        <f>IF(TablaVentas[[#This Row],[Precio_unitario]]="","PENDIENTE",TablaVentas[[#This Row],[Unidades]]*TablaVentas[[#This Row],[Precio_unitario]]*(1-TablaVentas[[#This Row],[Descuento_pct]]))</f>
        <v>7405.0469999999996</v>
      </c>
      <c r="P1187">
        <f>IF(TablaVentas[[#This Row],[Costo_unitario]]="","PENDIENTE",TablaVentas[[#This Row],[Unidades]]*TablaVentas[[#This Row],[Costo_unitario]])</f>
        <v>7378.02</v>
      </c>
      <c r="Q1187">
        <f>IF(OR(TablaVentas[[#This Row],[Ingreso_neto]]="PENDIENTE",TablaVentas[[#This Row],[Costo_total]]="PENDIENTE"),"PENDIENTE",TablaVentas[[#This Row],[Ingreso_neto]]-TablaVentas[[#This Row],[Costo_total]])</f>
        <v>27.026999999999134</v>
      </c>
    </row>
    <row r="1188" spans="1:17">
      <c r="A1188" t="s">
        <v>874</v>
      </c>
      <c r="B1188">
        <v>1</v>
      </c>
      <c r="C1188" s="3">
        <v>46257</v>
      </c>
      <c r="D1188" t="s">
        <v>48</v>
      </c>
      <c r="E1188" t="s">
        <v>277</v>
      </c>
      <c r="F1188" t="s">
        <v>56</v>
      </c>
      <c r="G1188" t="s">
        <v>50</v>
      </c>
      <c r="H1188" t="s">
        <v>124</v>
      </c>
      <c r="I1188">
        <v>4</v>
      </c>
      <c r="J1188" s="4">
        <v>7161.44</v>
      </c>
      <c r="K1188" s="5">
        <v>0</v>
      </c>
      <c r="L1188" s="4">
        <v>4858.08</v>
      </c>
      <c r="M1188" t="s">
        <v>42</v>
      </c>
      <c r="N1188" t="s">
        <v>45</v>
      </c>
      <c r="O1188">
        <f>IF(TablaVentas[[#This Row],[Precio_unitario]]="","PENDIENTE",TablaVentas[[#This Row],[Unidades]]*TablaVentas[[#This Row],[Precio_unitario]]*(1-TablaVentas[[#This Row],[Descuento_pct]]))</f>
        <v>28645.759999999998</v>
      </c>
      <c r="P1188">
        <f>IF(TablaVentas[[#This Row],[Costo_unitario]]="","PENDIENTE",TablaVentas[[#This Row],[Unidades]]*TablaVentas[[#This Row],[Costo_unitario]])</f>
        <v>19432.32</v>
      </c>
      <c r="Q1188">
        <f>IF(OR(TablaVentas[[#This Row],[Ingreso_neto]]="PENDIENTE",TablaVentas[[#This Row],[Costo_total]]="PENDIENTE"),"PENDIENTE",TablaVentas[[#This Row],[Ingreso_neto]]-TablaVentas[[#This Row],[Costo_total]])</f>
        <v>9213.4399999999987</v>
      </c>
    </row>
    <row r="1189" spans="1:17">
      <c r="A1189" t="s">
        <v>874</v>
      </c>
      <c r="B1189">
        <v>2</v>
      </c>
      <c r="C1189" s="3">
        <v>46257</v>
      </c>
      <c r="D1189" t="s">
        <v>48</v>
      </c>
      <c r="E1189" t="s">
        <v>156</v>
      </c>
      <c r="F1189" t="s">
        <v>56</v>
      </c>
      <c r="G1189" t="s">
        <v>50</v>
      </c>
      <c r="H1189" t="s">
        <v>124</v>
      </c>
      <c r="I1189">
        <v>1</v>
      </c>
      <c r="J1189" s="4">
        <v>19663.16</v>
      </c>
      <c r="K1189" s="5">
        <v>0.1</v>
      </c>
      <c r="L1189" s="4">
        <v>13981.13</v>
      </c>
      <c r="M1189" t="s">
        <v>42</v>
      </c>
      <c r="N1189" t="s">
        <v>52</v>
      </c>
      <c r="O1189">
        <f>IF(TablaVentas[[#This Row],[Precio_unitario]]="","PENDIENTE",TablaVentas[[#This Row],[Unidades]]*TablaVentas[[#This Row],[Precio_unitario]]*(1-TablaVentas[[#This Row],[Descuento_pct]]))</f>
        <v>17696.844000000001</v>
      </c>
      <c r="P1189">
        <f>IF(TablaVentas[[#This Row],[Costo_unitario]]="","PENDIENTE",TablaVentas[[#This Row],[Unidades]]*TablaVentas[[#This Row],[Costo_unitario]])</f>
        <v>13981.13</v>
      </c>
      <c r="Q1189">
        <f>IF(OR(TablaVentas[[#This Row],[Ingreso_neto]]="PENDIENTE",TablaVentas[[#This Row],[Costo_total]]="PENDIENTE"),"PENDIENTE",TablaVentas[[#This Row],[Ingreso_neto]]-TablaVentas[[#This Row],[Costo_total]])</f>
        <v>3715.7140000000018</v>
      </c>
    </row>
    <row r="1190" spans="1:17">
      <c r="A1190" t="s">
        <v>874</v>
      </c>
      <c r="B1190">
        <v>3</v>
      </c>
      <c r="C1190" s="3">
        <v>46257</v>
      </c>
      <c r="D1190" t="s">
        <v>48</v>
      </c>
      <c r="E1190" t="s">
        <v>320</v>
      </c>
      <c r="F1190" t="s">
        <v>56</v>
      </c>
      <c r="G1190" t="s">
        <v>50</v>
      </c>
      <c r="H1190" t="s">
        <v>124</v>
      </c>
      <c r="I1190">
        <v>1</v>
      </c>
      <c r="J1190" s="4">
        <v>5161.88</v>
      </c>
      <c r="K1190" s="5">
        <v>0.2</v>
      </c>
      <c r="L1190" s="4">
        <v>3065.66</v>
      </c>
      <c r="M1190" t="s">
        <v>42</v>
      </c>
      <c r="N1190" t="s">
        <v>52</v>
      </c>
      <c r="O1190">
        <f>IF(TablaVentas[[#This Row],[Precio_unitario]]="","PENDIENTE",TablaVentas[[#This Row],[Unidades]]*TablaVentas[[#This Row],[Precio_unitario]]*(1-TablaVentas[[#This Row],[Descuento_pct]]))</f>
        <v>4129.5039999999999</v>
      </c>
      <c r="P1190">
        <f>IF(TablaVentas[[#This Row],[Costo_unitario]]="","PENDIENTE",TablaVentas[[#This Row],[Unidades]]*TablaVentas[[#This Row],[Costo_unitario]])</f>
        <v>3065.66</v>
      </c>
      <c r="Q1190">
        <f>IF(OR(TablaVentas[[#This Row],[Ingreso_neto]]="PENDIENTE",TablaVentas[[#This Row],[Costo_total]]="PENDIENTE"),"PENDIENTE",TablaVentas[[#This Row],[Ingreso_neto]]-TablaVentas[[#This Row],[Costo_total]])</f>
        <v>1063.8440000000001</v>
      </c>
    </row>
    <row r="1191" spans="1:17">
      <c r="A1191" t="s">
        <v>874</v>
      </c>
      <c r="B1191">
        <v>4</v>
      </c>
      <c r="C1191" s="3">
        <v>46257</v>
      </c>
      <c r="D1191" t="s">
        <v>48</v>
      </c>
      <c r="E1191" t="s">
        <v>163</v>
      </c>
      <c r="F1191" t="s">
        <v>56</v>
      </c>
      <c r="G1191" t="s">
        <v>50</v>
      </c>
      <c r="H1191" t="s">
        <v>124</v>
      </c>
      <c r="I1191">
        <v>1</v>
      </c>
      <c r="J1191" s="4">
        <v>17459.38</v>
      </c>
      <c r="K1191" s="5">
        <v>0</v>
      </c>
      <c r="L1191" s="4">
        <v>12141.44</v>
      </c>
      <c r="M1191" t="s">
        <v>42</v>
      </c>
      <c r="N1191" t="s">
        <v>60</v>
      </c>
      <c r="O1191">
        <f>IF(TablaVentas[[#This Row],[Precio_unitario]]="","PENDIENTE",TablaVentas[[#This Row],[Unidades]]*TablaVentas[[#This Row],[Precio_unitario]]*(1-TablaVentas[[#This Row],[Descuento_pct]]))</f>
        <v>17459.38</v>
      </c>
      <c r="P1191">
        <f>IF(TablaVentas[[#This Row],[Costo_unitario]]="","PENDIENTE",TablaVentas[[#This Row],[Unidades]]*TablaVentas[[#This Row],[Costo_unitario]])</f>
        <v>12141.44</v>
      </c>
      <c r="Q1191">
        <f>IF(OR(TablaVentas[[#This Row],[Ingreso_neto]]="PENDIENTE",TablaVentas[[#This Row],[Costo_total]]="PENDIENTE"),"PENDIENTE",TablaVentas[[#This Row],[Ingreso_neto]]-TablaVentas[[#This Row],[Costo_total]])</f>
        <v>5317.9400000000005</v>
      </c>
    </row>
    <row r="1192" spans="1:17">
      <c r="A1192" t="s">
        <v>875</v>
      </c>
      <c r="B1192">
        <v>1</v>
      </c>
      <c r="C1192" s="3">
        <v>46185</v>
      </c>
      <c r="D1192" t="s">
        <v>688</v>
      </c>
      <c r="E1192" t="s">
        <v>256</v>
      </c>
      <c r="F1192" t="s">
        <v>77</v>
      </c>
      <c r="G1192" t="s">
        <v>50</v>
      </c>
      <c r="H1192" t="s">
        <v>124</v>
      </c>
      <c r="I1192">
        <v>2</v>
      </c>
      <c r="J1192" s="4">
        <v>20264.39</v>
      </c>
      <c r="K1192" s="5">
        <v>0.1</v>
      </c>
      <c r="L1192" s="4">
        <v>11666.57</v>
      </c>
      <c r="M1192" t="s">
        <v>42</v>
      </c>
      <c r="N1192" t="s">
        <v>43</v>
      </c>
      <c r="O1192">
        <f>IF(TablaVentas[[#This Row],[Precio_unitario]]="","PENDIENTE",TablaVentas[[#This Row],[Unidades]]*TablaVentas[[#This Row],[Precio_unitario]]*(1-TablaVentas[[#This Row],[Descuento_pct]]))</f>
        <v>36475.902000000002</v>
      </c>
      <c r="P1192">
        <f>IF(TablaVentas[[#This Row],[Costo_unitario]]="","PENDIENTE",TablaVentas[[#This Row],[Unidades]]*TablaVentas[[#This Row],[Costo_unitario]])</f>
        <v>23333.14</v>
      </c>
      <c r="Q1192">
        <f>IF(OR(TablaVentas[[#This Row],[Ingreso_neto]]="PENDIENTE",TablaVentas[[#This Row],[Costo_total]]="PENDIENTE"),"PENDIENTE",TablaVentas[[#This Row],[Ingreso_neto]]-TablaVentas[[#This Row],[Costo_total]])</f>
        <v>13142.762000000002</v>
      </c>
    </row>
    <row r="1193" spans="1:17">
      <c r="A1193" t="s">
        <v>875</v>
      </c>
      <c r="B1193">
        <v>2</v>
      </c>
      <c r="C1193" s="3">
        <v>46185</v>
      </c>
      <c r="D1193" t="s">
        <v>688</v>
      </c>
      <c r="E1193" t="s">
        <v>217</v>
      </c>
      <c r="F1193" t="s">
        <v>77</v>
      </c>
      <c r="G1193" t="s">
        <v>50</v>
      </c>
      <c r="H1193" t="s">
        <v>124</v>
      </c>
      <c r="I1193">
        <v>2</v>
      </c>
      <c r="J1193" s="4">
        <v>16413.62</v>
      </c>
      <c r="K1193" s="5">
        <v>0</v>
      </c>
      <c r="L1193" s="4">
        <v>14161.63</v>
      </c>
      <c r="M1193" t="s">
        <v>116</v>
      </c>
      <c r="N1193" t="s">
        <v>45</v>
      </c>
      <c r="O1193">
        <f>IF(TablaVentas[[#This Row],[Precio_unitario]]="","PENDIENTE",TablaVentas[[#This Row],[Unidades]]*TablaVentas[[#This Row],[Precio_unitario]]*(1-TablaVentas[[#This Row],[Descuento_pct]]))</f>
        <v>32827.24</v>
      </c>
      <c r="P1193">
        <f>IF(TablaVentas[[#This Row],[Costo_unitario]]="","PENDIENTE",TablaVentas[[#This Row],[Unidades]]*TablaVentas[[#This Row],[Costo_unitario]])</f>
        <v>28323.26</v>
      </c>
      <c r="Q1193">
        <f>IF(OR(TablaVentas[[#This Row],[Ingreso_neto]]="PENDIENTE",TablaVentas[[#This Row],[Costo_total]]="PENDIENTE"),"PENDIENTE",TablaVentas[[#This Row],[Ingreso_neto]]-TablaVentas[[#This Row],[Costo_total]])</f>
        <v>4503.9799999999996</v>
      </c>
    </row>
    <row r="1194" spans="1:17">
      <c r="A1194" t="s">
        <v>875</v>
      </c>
      <c r="B1194">
        <v>3</v>
      </c>
      <c r="C1194" s="3">
        <v>46185</v>
      </c>
      <c r="D1194" t="s">
        <v>688</v>
      </c>
      <c r="E1194" t="s">
        <v>155</v>
      </c>
      <c r="F1194" t="s">
        <v>77</v>
      </c>
      <c r="G1194" t="s">
        <v>50</v>
      </c>
      <c r="H1194" t="s">
        <v>124</v>
      </c>
      <c r="I1194">
        <v>1</v>
      </c>
      <c r="J1194" s="4">
        <v>812.37</v>
      </c>
      <c r="K1194" s="5">
        <v>0</v>
      </c>
      <c r="L1194" s="4">
        <v>397.1</v>
      </c>
      <c r="M1194" t="s">
        <v>42</v>
      </c>
      <c r="N1194" t="s">
        <v>45</v>
      </c>
      <c r="O1194">
        <f>IF(TablaVentas[[#This Row],[Precio_unitario]]="","PENDIENTE",TablaVentas[[#This Row],[Unidades]]*TablaVentas[[#This Row],[Precio_unitario]]*(1-TablaVentas[[#This Row],[Descuento_pct]]))</f>
        <v>812.37</v>
      </c>
      <c r="P1194">
        <f>IF(TablaVentas[[#This Row],[Costo_unitario]]="","PENDIENTE",TablaVentas[[#This Row],[Unidades]]*TablaVentas[[#This Row],[Costo_unitario]])</f>
        <v>397.1</v>
      </c>
      <c r="Q1194">
        <f>IF(OR(TablaVentas[[#This Row],[Ingreso_neto]]="PENDIENTE",TablaVentas[[#This Row],[Costo_total]]="PENDIENTE"),"PENDIENTE",TablaVentas[[#This Row],[Ingreso_neto]]-TablaVentas[[#This Row],[Costo_total]])</f>
        <v>415.27</v>
      </c>
    </row>
    <row r="1195" spans="1:17">
      <c r="A1195" t="s">
        <v>875</v>
      </c>
      <c r="B1195">
        <v>4</v>
      </c>
      <c r="C1195" s="3">
        <v>46185</v>
      </c>
      <c r="D1195" t="s">
        <v>688</v>
      </c>
      <c r="E1195" t="s">
        <v>119</v>
      </c>
      <c r="F1195" t="s">
        <v>77</v>
      </c>
      <c r="G1195" t="s">
        <v>50</v>
      </c>
      <c r="H1195" t="s">
        <v>124</v>
      </c>
      <c r="I1195">
        <v>2</v>
      </c>
      <c r="J1195" s="4">
        <v>8747.4</v>
      </c>
      <c r="K1195" s="5">
        <v>0</v>
      </c>
      <c r="L1195" s="4">
        <v>6981.94</v>
      </c>
      <c r="M1195" t="s">
        <v>42</v>
      </c>
      <c r="N1195" t="s">
        <v>52</v>
      </c>
      <c r="O1195">
        <f>IF(TablaVentas[[#This Row],[Precio_unitario]]="","PENDIENTE",TablaVentas[[#This Row],[Unidades]]*TablaVentas[[#This Row],[Precio_unitario]]*(1-TablaVentas[[#This Row],[Descuento_pct]]))</f>
        <v>17494.8</v>
      </c>
      <c r="P1195">
        <f>IF(TablaVentas[[#This Row],[Costo_unitario]]="","PENDIENTE",TablaVentas[[#This Row],[Unidades]]*TablaVentas[[#This Row],[Costo_unitario]])</f>
        <v>13963.88</v>
      </c>
      <c r="Q1195">
        <f>IF(OR(TablaVentas[[#This Row],[Ingreso_neto]]="PENDIENTE",TablaVentas[[#This Row],[Costo_total]]="PENDIENTE"),"PENDIENTE",TablaVentas[[#This Row],[Ingreso_neto]]-TablaVentas[[#This Row],[Costo_total]])</f>
        <v>3530.92</v>
      </c>
    </row>
    <row r="1196" spans="1:17">
      <c r="A1196" t="s">
        <v>876</v>
      </c>
      <c r="B1196">
        <v>1</v>
      </c>
      <c r="C1196" s="3">
        <v>46050</v>
      </c>
      <c r="D1196" t="s">
        <v>568</v>
      </c>
      <c r="E1196" t="s">
        <v>151</v>
      </c>
      <c r="F1196" t="s">
        <v>77</v>
      </c>
      <c r="G1196" t="s">
        <v>57</v>
      </c>
      <c r="H1196" t="s">
        <v>73</v>
      </c>
      <c r="I1196">
        <v>5</v>
      </c>
      <c r="J1196" s="4">
        <v>15673.26</v>
      </c>
      <c r="K1196" s="5">
        <v>0</v>
      </c>
      <c r="L1196" s="4">
        <v>8963.23</v>
      </c>
      <c r="M1196" t="s">
        <v>42</v>
      </c>
      <c r="N1196" t="s">
        <v>60</v>
      </c>
      <c r="O1196">
        <f>IF(TablaVentas[[#This Row],[Precio_unitario]]="","PENDIENTE",TablaVentas[[#This Row],[Unidades]]*TablaVentas[[#This Row],[Precio_unitario]]*(1-TablaVentas[[#This Row],[Descuento_pct]]))</f>
        <v>78366.3</v>
      </c>
      <c r="P1196">
        <f>IF(TablaVentas[[#This Row],[Costo_unitario]]="","PENDIENTE",TablaVentas[[#This Row],[Unidades]]*TablaVentas[[#This Row],[Costo_unitario]])</f>
        <v>44816.149999999994</v>
      </c>
      <c r="Q1196">
        <f>IF(OR(TablaVentas[[#This Row],[Ingreso_neto]]="PENDIENTE",TablaVentas[[#This Row],[Costo_total]]="PENDIENTE"),"PENDIENTE",TablaVentas[[#This Row],[Ingreso_neto]]-TablaVentas[[#This Row],[Costo_total]])</f>
        <v>33550.150000000009</v>
      </c>
    </row>
    <row r="1197" spans="1:17">
      <c r="A1197" t="s">
        <v>877</v>
      </c>
      <c r="B1197">
        <v>1</v>
      </c>
      <c r="C1197" s="3">
        <v>46106</v>
      </c>
      <c r="D1197" t="s">
        <v>266</v>
      </c>
      <c r="E1197" t="s">
        <v>61</v>
      </c>
      <c r="F1197" t="s">
        <v>66</v>
      </c>
      <c r="G1197" t="s">
        <v>50</v>
      </c>
      <c r="H1197" t="s">
        <v>51</v>
      </c>
      <c r="I1197">
        <v>2</v>
      </c>
      <c r="J1197" s="4">
        <v>4556.07</v>
      </c>
      <c r="K1197" s="5">
        <v>0.05</v>
      </c>
      <c r="L1197" s="4">
        <v>2554.06</v>
      </c>
      <c r="M1197" t="s">
        <v>42</v>
      </c>
      <c r="N1197" t="s">
        <v>52</v>
      </c>
      <c r="O1197">
        <f>IF(TablaVentas[[#This Row],[Precio_unitario]]="","PENDIENTE",TablaVentas[[#This Row],[Unidades]]*TablaVentas[[#This Row],[Precio_unitario]]*(1-TablaVentas[[#This Row],[Descuento_pct]]))</f>
        <v>8656.5329999999994</v>
      </c>
      <c r="P1197">
        <f>IF(TablaVentas[[#This Row],[Costo_unitario]]="","PENDIENTE",TablaVentas[[#This Row],[Unidades]]*TablaVentas[[#This Row],[Costo_unitario]])</f>
        <v>5108.12</v>
      </c>
      <c r="Q1197">
        <f>IF(OR(TablaVentas[[#This Row],[Ingreso_neto]]="PENDIENTE",TablaVentas[[#This Row],[Costo_total]]="PENDIENTE"),"PENDIENTE",TablaVentas[[#This Row],[Ingreso_neto]]-TablaVentas[[#This Row],[Costo_total]])</f>
        <v>3548.4129999999996</v>
      </c>
    </row>
    <row r="1198" spans="1:17">
      <c r="A1198" t="s">
        <v>877</v>
      </c>
      <c r="B1198">
        <v>2</v>
      </c>
      <c r="C1198" s="3">
        <v>46106</v>
      </c>
      <c r="D1198" t="s">
        <v>266</v>
      </c>
      <c r="E1198" t="s">
        <v>236</v>
      </c>
      <c r="F1198" t="s">
        <v>66</v>
      </c>
      <c r="G1198" t="s">
        <v>50</v>
      </c>
      <c r="H1198" t="s">
        <v>51</v>
      </c>
      <c r="I1198">
        <v>3</v>
      </c>
      <c r="J1198" s="4">
        <v>9661.16</v>
      </c>
      <c r="K1198" s="5">
        <v>0</v>
      </c>
      <c r="L1198" s="4">
        <v>8061.7</v>
      </c>
      <c r="M1198" t="s">
        <v>42</v>
      </c>
      <c r="N1198" t="s">
        <v>43</v>
      </c>
      <c r="O1198">
        <f>IF(TablaVentas[[#This Row],[Precio_unitario]]="","PENDIENTE",TablaVentas[[#This Row],[Unidades]]*TablaVentas[[#This Row],[Precio_unitario]]*(1-TablaVentas[[#This Row],[Descuento_pct]]))</f>
        <v>28983.48</v>
      </c>
      <c r="P1198">
        <f>IF(TablaVentas[[#This Row],[Costo_unitario]]="","PENDIENTE",TablaVentas[[#This Row],[Unidades]]*TablaVentas[[#This Row],[Costo_unitario]])</f>
        <v>24185.1</v>
      </c>
      <c r="Q1198">
        <f>IF(OR(TablaVentas[[#This Row],[Ingreso_neto]]="PENDIENTE",TablaVentas[[#This Row],[Costo_total]]="PENDIENTE"),"PENDIENTE",TablaVentas[[#This Row],[Ingreso_neto]]-TablaVentas[[#This Row],[Costo_total]])</f>
        <v>4798.380000000001</v>
      </c>
    </row>
    <row r="1199" spans="1:17">
      <c r="A1199" t="s">
        <v>877</v>
      </c>
      <c r="B1199">
        <v>3</v>
      </c>
      <c r="C1199" s="3">
        <v>46106</v>
      </c>
      <c r="D1199" t="s">
        <v>266</v>
      </c>
      <c r="E1199" t="s">
        <v>226</v>
      </c>
      <c r="F1199" t="s">
        <v>66</v>
      </c>
      <c r="G1199" t="s">
        <v>50</v>
      </c>
      <c r="H1199" t="s">
        <v>51</v>
      </c>
      <c r="I1199">
        <v>8</v>
      </c>
      <c r="J1199" s="4">
        <v>16813.349999999999</v>
      </c>
      <c r="K1199" s="5">
        <v>0</v>
      </c>
      <c r="L1199" s="4">
        <v>9976.68</v>
      </c>
      <c r="M1199" t="s">
        <v>42</v>
      </c>
      <c r="N1199" t="s">
        <v>45</v>
      </c>
      <c r="O1199">
        <f>IF(TablaVentas[[#This Row],[Precio_unitario]]="","PENDIENTE",TablaVentas[[#This Row],[Unidades]]*TablaVentas[[#This Row],[Precio_unitario]]*(1-TablaVentas[[#This Row],[Descuento_pct]]))</f>
        <v>134506.79999999999</v>
      </c>
      <c r="P1199">
        <f>IF(TablaVentas[[#This Row],[Costo_unitario]]="","PENDIENTE",TablaVentas[[#This Row],[Unidades]]*TablaVentas[[#This Row],[Costo_unitario]])</f>
        <v>79813.440000000002</v>
      </c>
      <c r="Q1199">
        <f>IF(OR(TablaVentas[[#This Row],[Ingreso_neto]]="PENDIENTE",TablaVentas[[#This Row],[Costo_total]]="PENDIENTE"),"PENDIENTE",TablaVentas[[#This Row],[Ingreso_neto]]-TablaVentas[[#This Row],[Costo_total]])</f>
        <v>54693.359999999986</v>
      </c>
    </row>
    <row r="1200" spans="1:17">
      <c r="A1200" t="s">
        <v>878</v>
      </c>
      <c r="B1200">
        <v>1</v>
      </c>
      <c r="C1200" s="3">
        <v>46132</v>
      </c>
      <c r="D1200" t="s">
        <v>518</v>
      </c>
      <c r="E1200" t="s">
        <v>155</v>
      </c>
      <c r="F1200" t="s">
        <v>39</v>
      </c>
      <c r="G1200" t="s">
        <v>57</v>
      </c>
      <c r="H1200" t="s">
        <v>102</v>
      </c>
      <c r="I1200">
        <v>8</v>
      </c>
      <c r="J1200" s="4">
        <v>745.05</v>
      </c>
      <c r="K1200" s="5">
        <v>0</v>
      </c>
      <c r="L1200" s="4">
        <v>397.1</v>
      </c>
      <c r="M1200" t="s">
        <v>42</v>
      </c>
      <c r="N1200" t="s">
        <v>52</v>
      </c>
      <c r="O1200">
        <f>IF(TablaVentas[[#This Row],[Precio_unitario]]="","PENDIENTE",TablaVentas[[#This Row],[Unidades]]*TablaVentas[[#This Row],[Precio_unitario]]*(1-TablaVentas[[#This Row],[Descuento_pct]]))</f>
        <v>5960.4</v>
      </c>
      <c r="P1200">
        <f>IF(TablaVentas[[#This Row],[Costo_unitario]]="","PENDIENTE",TablaVentas[[#This Row],[Unidades]]*TablaVentas[[#This Row],[Costo_unitario]])</f>
        <v>3176.8</v>
      </c>
      <c r="Q1200">
        <f>IF(OR(TablaVentas[[#This Row],[Ingreso_neto]]="PENDIENTE",TablaVentas[[#This Row],[Costo_total]]="PENDIENTE"),"PENDIENTE",TablaVentas[[#This Row],[Ingreso_neto]]-TablaVentas[[#This Row],[Costo_total]])</f>
        <v>2783.5999999999995</v>
      </c>
    </row>
    <row r="1201" spans="1:17">
      <c r="A1201" t="s">
        <v>879</v>
      </c>
      <c r="B1201">
        <v>1</v>
      </c>
      <c r="C1201" s="3">
        <v>46077</v>
      </c>
      <c r="D1201" t="s">
        <v>880</v>
      </c>
      <c r="E1201" t="s">
        <v>78</v>
      </c>
      <c r="F1201" t="s">
        <v>39</v>
      </c>
      <c r="G1201" t="s">
        <v>57</v>
      </c>
      <c r="H1201" t="s">
        <v>124</v>
      </c>
      <c r="I1201">
        <v>1</v>
      </c>
      <c r="J1201" s="4">
        <v>10074.290000000001</v>
      </c>
      <c r="K1201" s="5">
        <v>0.2</v>
      </c>
      <c r="L1201" s="4">
        <v>5033.47</v>
      </c>
      <c r="M1201" t="s">
        <v>42</v>
      </c>
      <c r="N1201" t="s">
        <v>60</v>
      </c>
      <c r="O1201">
        <f>IF(TablaVentas[[#This Row],[Precio_unitario]]="","PENDIENTE",TablaVentas[[#This Row],[Unidades]]*TablaVentas[[#This Row],[Precio_unitario]]*(1-TablaVentas[[#This Row],[Descuento_pct]]))</f>
        <v>8059.4320000000007</v>
      </c>
      <c r="P1201">
        <f>IF(TablaVentas[[#This Row],[Costo_unitario]]="","PENDIENTE",TablaVentas[[#This Row],[Unidades]]*TablaVentas[[#This Row],[Costo_unitario]])</f>
        <v>5033.47</v>
      </c>
      <c r="Q1201">
        <f>IF(OR(TablaVentas[[#This Row],[Ingreso_neto]]="PENDIENTE",TablaVentas[[#This Row],[Costo_total]]="PENDIENTE"),"PENDIENTE",TablaVentas[[#This Row],[Ingreso_neto]]-TablaVentas[[#This Row],[Costo_total]])</f>
        <v>3025.9620000000004</v>
      </c>
    </row>
    <row r="1202" spans="1:17">
      <c r="A1202" t="s">
        <v>879</v>
      </c>
      <c r="B1202">
        <v>2</v>
      </c>
      <c r="C1202" s="3">
        <v>46077</v>
      </c>
      <c r="D1202" t="s">
        <v>880</v>
      </c>
      <c r="E1202" t="s">
        <v>132</v>
      </c>
      <c r="F1202" t="s">
        <v>39</v>
      </c>
      <c r="G1202" t="s">
        <v>57</v>
      </c>
      <c r="H1202" t="s">
        <v>124</v>
      </c>
      <c r="I1202">
        <v>8</v>
      </c>
      <c r="J1202" s="4">
        <v>16862.77</v>
      </c>
      <c r="K1202" s="5">
        <v>0</v>
      </c>
      <c r="L1202" s="4">
        <v>11036.95</v>
      </c>
      <c r="M1202" t="s">
        <v>42</v>
      </c>
      <c r="N1202" t="s">
        <v>60</v>
      </c>
      <c r="O1202">
        <f>IF(TablaVentas[[#This Row],[Precio_unitario]]="","PENDIENTE",TablaVentas[[#This Row],[Unidades]]*TablaVentas[[#This Row],[Precio_unitario]]*(1-TablaVentas[[#This Row],[Descuento_pct]]))</f>
        <v>134902.16</v>
      </c>
      <c r="P1202">
        <f>IF(TablaVentas[[#This Row],[Costo_unitario]]="","PENDIENTE",TablaVentas[[#This Row],[Unidades]]*TablaVentas[[#This Row],[Costo_unitario]])</f>
        <v>88295.6</v>
      </c>
      <c r="Q1202">
        <f>IF(OR(TablaVentas[[#This Row],[Ingreso_neto]]="PENDIENTE",TablaVentas[[#This Row],[Costo_total]]="PENDIENTE"),"PENDIENTE",TablaVentas[[#This Row],[Ingreso_neto]]-TablaVentas[[#This Row],[Costo_total]])</f>
        <v>46606.559999999998</v>
      </c>
    </row>
    <row r="1203" spans="1:17">
      <c r="A1203" t="s">
        <v>879</v>
      </c>
      <c r="B1203">
        <v>3</v>
      </c>
      <c r="C1203" s="3">
        <v>46077</v>
      </c>
      <c r="D1203" t="s">
        <v>880</v>
      </c>
      <c r="E1203" t="s">
        <v>46</v>
      </c>
      <c r="F1203" t="s">
        <v>39</v>
      </c>
      <c r="G1203" t="s">
        <v>57</v>
      </c>
      <c r="H1203" t="s">
        <v>124</v>
      </c>
      <c r="I1203">
        <v>2</v>
      </c>
      <c r="J1203" s="4">
        <v>4327.9399999999996</v>
      </c>
      <c r="K1203" s="5">
        <v>0.15</v>
      </c>
      <c r="L1203" s="4">
        <v>2957.6</v>
      </c>
      <c r="M1203" t="s">
        <v>42</v>
      </c>
      <c r="N1203" t="s">
        <v>60</v>
      </c>
      <c r="O1203">
        <f>IF(TablaVentas[[#This Row],[Precio_unitario]]="","PENDIENTE",TablaVentas[[#This Row],[Unidades]]*TablaVentas[[#This Row],[Precio_unitario]]*(1-TablaVentas[[#This Row],[Descuento_pct]]))</f>
        <v>7357.4979999999987</v>
      </c>
      <c r="P1203">
        <f>IF(TablaVentas[[#This Row],[Costo_unitario]]="","PENDIENTE",TablaVentas[[#This Row],[Unidades]]*TablaVentas[[#This Row],[Costo_unitario]])</f>
        <v>5915.2</v>
      </c>
      <c r="Q1203">
        <f>IF(OR(TablaVentas[[#This Row],[Ingreso_neto]]="PENDIENTE",TablaVentas[[#This Row],[Costo_total]]="PENDIENTE"),"PENDIENTE",TablaVentas[[#This Row],[Ingreso_neto]]-TablaVentas[[#This Row],[Costo_total]])</f>
        <v>1442.2979999999989</v>
      </c>
    </row>
    <row r="1204" spans="1:17">
      <c r="A1204" t="s">
        <v>881</v>
      </c>
      <c r="B1204">
        <v>1</v>
      </c>
      <c r="C1204" s="3">
        <v>46219</v>
      </c>
      <c r="D1204" t="s">
        <v>882</v>
      </c>
      <c r="E1204" t="s">
        <v>101</v>
      </c>
      <c r="F1204" t="s">
        <v>77</v>
      </c>
      <c r="G1204" t="s">
        <v>50</v>
      </c>
      <c r="H1204" t="s">
        <v>67</v>
      </c>
      <c r="I1204">
        <v>3</v>
      </c>
      <c r="J1204" s="4">
        <v>4501.82</v>
      </c>
      <c r="K1204" s="5">
        <v>0</v>
      </c>
      <c r="L1204" s="4">
        <v>2865.24</v>
      </c>
      <c r="M1204" t="s">
        <v>42</v>
      </c>
      <c r="N1204" t="s">
        <v>60</v>
      </c>
      <c r="O1204">
        <f>IF(TablaVentas[[#This Row],[Precio_unitario]]="","PENDIENTE",TablaVentas[[#This Row],[Unidades]]*TablaVentas[[#This Row],[Precio_unitario]]*(1-TablaVentas[[#This Row],[Descuento_pct]]))</f>
        <v>13505.46</v>
      </c>
      <c r="P1204">
        <f>IF(TablaVentas[[#This Row],[Costo_unitario]]="","PENDIENTE",TablaVentas[[#This Row],[Unidades]]*TablaVentas[[#This Row],[Costo_unitario]])</f>
        <v>8595.7199999999993</v>
      </c>
      <c r="Q1204">
        <f>IF(OR(TablaVentas[[#This Row],[Ingreso_neto]]="PENDIENTE",TablaVentas[[#This Row],[Costo_total]]="PENDIENTE"),"PENDIENTE",TablaVentas[[#This Row],[Ingreso_neto]]-TablaVentas[[#This Row],[Costo_total]])</f>
        <v>4909.74</v>
      </c>
    </row>
    <row r="1205" spans="1:17">
      <c r="A1205" t="s">
        <v>881</v>
      </c>
      <c r="B1205">
        <v>2</v>
      </c>
      <c r="C1205" s="3">
        <v>46219</v>
      </c>
      <c r="D1205" t="s">
        <v>882</v>
      </c>
      <c r="E1205" t="s">
        <v>226</v>
      </c>
      <c r="F1205" t="s">
        <v>77</v>
      </c>
      <c r="G1205" t="s">
        <v>50</v>
      </c>
      <c r="H1205" t="s">
        <v>67</v>
      </c>
      <c r="I1205">
        <v>1</v>
      </c>
      <c r="J1205" s="4">
        <v>17611.62</v>
      </c>
      <c r="K1205" s="5">
        <v>0.2</v>
      </c>
      <c r="L1205" s="4">
        <v>9976.68</v>
      </c>
      <c r="M1205" t="s">
        <v>42</v>
      </c>
      <c r="N1205" t="s">
        <v>43</v>
      </c>
      <c r="O1205">
        <f>IF(TablaVentas[[#This Row],[Precio_unitario]]="","PENDIENTE",TablaVentas[[#This Row],[Unidades]]*TablaVentas[[#This Row],[Precio_unitario]]*(1-TablaVentas[[#This Row],[Descuento_pct]]))</f>
        <v>14089.296</v>
      </c>
      <c r="P1205">
        <f>IF(TablaVentas[[#This Row],[Costo_unitario]]="","PENDIENTE",TablaVentas[[#This Row],[Unidades]]*TablaVentas[[#This Row],[Costo_unitario]])</f>
        <v>9976.68</v>
      </c>
      <c r="Q1205">
        <f>IF(OR(TablaVentas[[#This Row],[Ingreso_neto]]="PENDIENTE",TablaVentas[[#This Row],[Costo_total]]="PENDIENTE"),"PENDIENTE",TablaVentas[[#This Row],[Ingreso_neto]]-TablaVentas[[#This Row],[Costo_total]])</f>
        <v>4112.616</v>
      </c>
    </row>
    <row r="1206" spans="1:17">
      <c r="A1206" t="s">
        <v>881</v>
      </c>
      <c r="B1206">
        <v>3</v>
      </c>
      <c r="C1206" s="3">
        <v>46219</v>
      </c>
      <c r="D1206" t="s">
        <v>882</v>
      </c>
      <c r="E1206" t="s">
        <v>262</v>
      </c>
      <c r="F1206" t="s">
        <v>77</v>
      </c>
      <c r="G1206" t="s">
        <v>50</v>
      </c>
      <c r="H1206" t="s">
        <v>67</v>
      </c>
      <c r="I1206">
        <v>4</v>
      </c>
      <c r="J1206" s="4">
        <v>13287.61</v>
      </c>
      <c r="K1206" s="5">
        <v>0</v>
      </c>
      <c r="L1206" s="4">
        <v>8227.4599999999991</v>
      </c>
      <c r="M1206" t="s">
        <v>42</v>
      </c>
      <c r="N1206" t="s">
        <v>52</v>
      </c>
      <c r="O1206">
        <f>IF(TablaVentas[[#This Row],[Precio_unitario]]="","PENDIENTE",TablaVentas[[#This Row],[Unidades]]*TablaVentas[[#This Row],[Precio_unitario]]*(1-TablaVentas[[#This Row],[Descuento_pct]]))</f>
        <v>53150.44</v>
      </c>
      <c r="P1206">
        <f>IF(TablaVentas[[#This Row],[Costo_unitario]]="","PENDIENTE",TablaVentas[[#This Row],[Unidades]]*TablaVentas[[#This Row],[Costo_unitario]])</f>
        <v>32909.839999999997</v>
      </c>
      <c r="Q1206">
        <f>IF(OR(TablaVentas[[#This Row],[Ingreso_neto]]="PENDIENTE",TablaVentas[[#This Row],[Costo_total]]="PENDIENTE"),"PENDIENTE",TablaVentas[[#This Row],[Ingreso_neto]]-TablaVentas[[#This Row],[Costo_total]])</f>
        <v>20240.600000000006</v>
      </c>
    </row>
    <row r="1207" spans="1:17">
      <c r="A1207" t="s">
        <v>881</v>
      </c>
      <c r="B1207">
        <v>4</v>
      </c>
      <c r="C1207" s="3">
        <v>46219</v>
      </c>
      <c r="D1207" t="s">
        <v>882</v>
      </c>
      <c r="E1207" t="s">
        <v>85</v>
      </c>
      <c r="F1207" t="s">
        <v>77</v>
      </c>
      <c r="G1207" t="s">
        <v>50</v>
      </c>
      <c r="H1207" t="s">
        <v>67</v>
      </c>
      <c r="I1207">
        <v>4</v>
      </c>
      <c r="J1207" s="4">
        <v>535.91</v>
      </c>
      <c r="K1207" s="5">
        <v>0</v>
      </c>
      <c r="L1207" s="4">
        <v>307.75</v>
      </c>
      <c r="M1207" t="s">
        <v>42</v>
      </c>
      <c r="N1207" t="s">
        <v>52</v>
      </c>
      <c r="O1207">
        <f>IF(TablaVentas[[#This Row],[Precio_unitario]]="","PENDIENTE",TablaVentas[[#This Row],[Unidades]]*TablaVentas[[#This Row],[Precio_unitario]]*(1-TablaVentas[[#This Row],[Descuento_pct]]))</f>
        <v>2143.64</v>
      </c>
      <c r="P1207">
        <f>IF(TablaVentas[[#This Row],[Costo_unitario]]="","PENDIENTE",TablaVentas[[#This Row],[Unidades]]*TablaVentas[[#This Row],[Costo_unitario]])</f>
        <v>1231</v>
      </c>
      <c r="Q1207">
        <f>IF(OR(TablaVentas[[#This Row],[Ingreso_neto]]="PENDIENTE",TablaVentas[[#This Row],[Costo_total]]="PENDIENTE"),"PENDIENTE",TablaVentas[[#This Row],[Ingreso_neto]]-TablaVentas[[#This Row],[Costo_total]])</f>
        <v>912.63999999999987</v>
      </c>
    </row>
    <row r="1208" spans="1:17">
      <c r="A1208" t="s">
        <v>881</v>
      </c>
      <c r="B1208">
        <v>5</v>
      </c>
      <c r="C1208" s="3">
        <v>46219</v>
      </c>
      <c r="D1208" t="s">
        <v>882</v>
      </c>
      <c r="E1208" t="s">
        <v>193</v>
      </c>
      <c r="F1208" t="s">
        <v>77</v>
      </c>
      <c r="G1208" t="s">
        <v>50</v>
      </c>
      <c r="H1208" t="s">
        <v>67</v>
      </c>
      <c r="I1208">
        <v>1</v>
      </c>
      <c r="J1208" s="4">
        <v>11672.71</v>
      </c>
      <c r="K1208" s="5">
        <v>0</v>
      </c>
      <c r="L1208" s="4">
        <v>5811.72</v>
      </c>
      <c r="M1208" t="s">
        <v>42</v>
      </c>
      <c r="N1208" t="s">
        <v>45</v>
      </c>
      <c r="O1208">
        <f>IF(TablaVentas[[#This Row],[Precio_unitario]]="","PENDIENTE",TablaVentas[[#This Row],[Unidades]]*TablaVentas[[#This Row],[Precio_unitario]]*(1-TablaVentas[[#This Row],[Descuento_pct]]))</f>
        <v>11672.71</v>
      </c>
      <c r="P1208">
        <f>IF(TablaVentas[[#This Row],[Costo_unitario]]="","PENDIENTE",TablaVentas[[#This Row],[Unidades]]*TablaVentas[[#This Row],[Costo_unitario]])</f>
        <v>5811.72</v>
      </c>
      <c r="Q1208">
        <f>IF(OR(TablaVentas[[#This Row],[Ingreso_neto]]="PENDIENTE",TablaVentas[[#This Row],[Costo_total]]="PENDIENTE"),"PENDIENTE",TablaVentas[[#This Row],[Ingreso_neto]]-TablaVentas[[#This Row],[Costo_total]])</f>
        <v>5860.9899999999989</v>
      </c>
    </row>
    <row r="1209" spans="1:17">
      <c r="A1209" t="s">
        <v>883</v>
      </c>
      <c r="B1209">
        <v>1</v>
      </c>
      <c r="C1209" s="3">
        <v>46194</v>
      </c>
      <c r="D1209" t="s">
        <v>884</v>
      </c>
      <c r="E1209" t="s">
        <v>233</v>
      </c>
      <c r="F1209" t="s">
        <v>56</v>
      </c>
      <c r="G1209" t="s">
        <v>50</v>
      </c>
      <c r="H1209" t="s">
        <v>73</v>
      </c>
      <c r="I1209">
        <v>4</v>
      </c>
      <c r="J1209" s="4">
        <v>10750.8</v>
      </c>
      <c r="K1209" s="5">
        <v>0</v>
      </c>
      <c r="L1209" s="4">
        <v>5932.12</v>
      </c>
      <c r="M1209" t="s">
        <v>42</v>
      </c>
      <c r="N1209" t="s">
        <v>43</v>
      </c>
      <c r="O1209">
        <f>IF(TablaVentas[[#This Row],[Precio_unitario]]="","PENDIENTE",TablaVentas[[#This Row],[Unidades]]*TablaVentas[[#This Row],[Precio_unitario]]*(1-TablaVentas[[#This Row],[Descuento_pct]]))</f>
        <v>43003.199999999997</v>
      </c>
      <c r="P1209">
        <f>IF(TablaVentas[[#This Row],[Costo_unitario]]="","PENDIENTE",TablaVentas[[#This Row],[Unidades]]*TablaVentas[[#This Row],[Costo_unitario]])</f>
        <v>23728.48</v>
      </c>
      <c r="Q1209">
        <f>IF(OR(TablaVentas[[#This Row],[Ingreso_neto]]="PENDIENTE",TablaVentas[[#This Row],[Costo_total]]="PENDIENTE"),"PENDIENTE",TablaVentas[[#This Row],[Ingreso_neto]]-TablaVentas[[#This Row],[Costo_total]])</f>
        <v>19274.719999999998</v>
      </c>
    </row>
    <row r="1210" spans="1:17">
      <c r="A1210" t="s">
        <v>883</v>
      </c>
      <c r="B1210">
        <v>2</v>
      </c>
      <c r="C1210" s="3">
        <v>46194</v>
      </c>
      <c r="D1210" t="s">
        <v>884</v>
      </c>
      <c r="E1210" t="s">
        <v>94</v>
      </c>
      <c r="F1210" t="s">
        <v>56</v>
      </c>
      <c r="G1210" t="s">
        <v>50</v>
      </c>
      <c r="H1210" t="s">
        <v>73</v>
      </c>
      <c r="I1210">
        <v>1</v>
      </c>
      <c r="J1210" s="4">
        <v>8143.16</v>
      </c>
      <c r="K1210" s="5">
        <v>0</v>
      </c>
      <c r="L1210" s="4">
        <v>4538.0600000000004</v>
      </c>
      <c r="M1210" t="s">
        <v>42</v>
      </c>
      <c r="N1210" t="s">
        <v>60</v>
      </c>
      <c r="O1210">
        <f>IF(TablaVentas[[#This Row],[Precio_unitario]]="","PENDIENTE",TablaVentas[[#This Row],[Unidades]]*TablaVentas[[#This Row],[Precio_unitario]]*(1-TablaVentas[[#This Row],[Descuento_pct]]))</f>
        <v>8143.16</v>
      </c>
      <c r="P1210">
        <f>IF(TablaVentas[[#This Row],[Costo_unitario]]="","PENDIENTE",TablaVentas[[#This Row],[Unidades]]*TablaVentas[[#This Row],[Costo_unitario]])</f>
        <v>4538.0600000000004</v>
      </c>
      <c r="Q1210">
        <f>IF(OR(TablaVentas[[#This Row],[Ingreso_neto]]="PENDIENTE",TablaVentas[[#This Row],[Costo_total]]="PENDIENTE"),"PENDIENTE",TablaVentas[[#This Row],[Ingreso_neto]]-TablaVentas[[#This Row],[Costo_total]])</f>
        <v>3605.0999999999995</v>
      </c>
    </row>
    <row r="1211" spans="1:17">
      <c r="A1211" t="s">
        <v>883</v>
      </c>
      <c r="B1211">
        <v>3</v>
      </c>
      <c r="C1211" s="3">
        <v>46194</v>
      </c>
      <c r="D1211" t="s">
        <v>884</v>
      </c>
      <c r="E1211" t="s">
        <v>253</v>
      </c>
      <c r="F1211" t="s">
        <v>56</v>
      </c>
      <c r="G1211" t="s">
        <v>50</v>
      </c>
      <c r="H1211" t="s">
        <v>73</v>
      </c>
      <c r="I1211">
        <v>4</v>
      </c>
      <c r="J1211" s="4">
        <v>2979.42</v>
      </c>
      <c r="K1211" s="5">
        <v>0</v>
      </c>
      <c r="L1211" s="4">
        <v>2486.1799999999998</v>
      </c>
      <c r="M1211" t="s">
        <v>42</v>
      </c>
      <c r="N1211" t="s">
        <v>60</v>
      </c>
      <c r="O1211">
        <f>IF(TablaVentas[[#This Row],[Precio_unitario]]="","PENDIENTE",TablaVentas[[#This Row],[Unidades]]*TablaVentas[[#This Row],[Precio_unitario]]*(1-TablaVentas[[#This Row],[Descuento_pct]]))</f>
        <v>11917.68</v>
      </c>
      <c r="P1211">
        <f>IF(TablaVentas[[#This Row],[Costo_unitario]]="","PENDIENTE",TablaVentas[[#This Row],[Unidades]]*TablaVentas[[#This Row],[Costo_unitario]])</f>
        <v>9944.7199999999993</v>
      </c>
      <c r="Q1211">
        <f>IF(OR(TablaVentas[[#This Row],[Ingreso_neto]]="PENDIENTE",TablaVentas[[#This Row],[Costo_total]]="PENDIENTE"),"PENDIENTE",TablaVentas[[#This Row],[Ingreso_neto]]-TablaVentas[[#This Row],[Costo_total]])</f>
        <v>1972.9600000000009</v>
      </c>
    </row>
    <row r="1212" spans="1:17">
      <c r="A1212" t="s">
        <v>885</v>
      </c>
      <c r="B1212">
        <v>1</v>
      </c>
      <c r="C1212" s="3">
        <v>46068</v>
      </c>
      <c r="D1212" t="s">
        <v>532</v>
      </c>
      <c r="E1212" t="s">
        <v>38</v>
      </c>
      <c r="F1212" t="s">
        <v>77</v>
      </c>
      <c r="G1212" t="s">
        <v>40</v>
      </c>
      <c r="H1212" t="s">
        <v>73</v>
      </c>
      <c r="I1212">
        <v>1</v>
      </c>
      <c r="J1212" s="4">
        <v>5394.09</v>
      </c>
      <c r="K1212" s="5">
        <v>0.2</v>
      </c>
      <c r="L1212" s="4">
        <v>3832.69</v>
      </c>
      <c r="M1212" t="s">
        <v>42</v>
      </c>
      <c r="N1212" t="s">
        <v>60</v>
      </c>
      <c r="O1212">
        <f>IF(TablaVentas[[#This Row],[Precio_unitario]]="","PENDIENTE",TablaVentas[[#This Row],[Unidades]]*TablaVentas[[#This Row],[Precio_unitario]]*(1-TablaVentas[[#This Row],[Descuento_pct]]))</f>
        <v>4315.2719999999999</v>
      </c>
      <c r="P1212">
        <f>IF(TablaVentas[[#This Row],[Costo_unitario]]="","PENDIENTE",TablaVentas[[#This Row],[Unidades]]*TablaVentas[[#This Row],[Costo_unitario]])</f>
        <v>3832.69</v>
      </c>
      <c r="Q1212">
        <f>IF(OR(TablaVentas[[#This Row],[Ingreso_neto]]="PENDIENTE",TablaVentas[[#This Row],[Costo_total]]="PENDIENTE"),"PENDIENTE",TablaVentas[[#This Row],[Ingreso_neto]]-TablaVentas[[#This Row],[Costo_total]])</f>
        <v>482.58199999999988</v>
      </c>
    </row>
    <row r="1213" spans="1:17">
      <c r="A1213" t="s">
        <v>885</v>
      </c>
      <c r="B1213">
        <v>2</v>
      </c>
      <c r="C1213" s="3">
        <v>46068</v>
      </c>
      <c r="D1213" t="s">
        <v>532</v>
      </c>
      <c r="E1213" t="s">
        <v>160</v>
      </c>
      <c r="F1213" t="s">
        <v>77</v>
      </c>
      <c r="G1213" t="s">
        <v>40</v>
      </c>
      <c r="H1213" t="s">
        <v>73</v>
      </c>
      <c r="I1213">
        <v>4</v>
      </c>
      <c r="J1213" s="4">
        <v>7187.19</v>
      </c>
      <c r="K1213" s="5">
        <v>0</v>
      </c>
      <c r="L1213" s="4">
        <v>4082.15</v>
      </c>
      <c r="M1213" t="s">
        <v>42</v>
      </c>
      <c r="N1213" t="s">
        <v>45</v>
      </c>
      <c r="O1213">
        <f>IF(TablaVentas[[#This Row],[Precio_unitario]]="","PENDIENTE",TablaVentas[[#This Row],[Unidades]]*TablaVentas[[#This Row],[Precio_unitario]]*(1-TablaVentas[[#This Row],[Descuento_pct]]))</f>
        <v>28748.76</v>
      </c>
      <c r="P1213">
        <f>IF(TablaVentas[[#This Row],[Costo_unitario]]="","PENDIENTE",TablaVentas[[#This Row],[Unidades]]*TablaVentas[[#This Row],[Costo_unitario]])</f>
        <v>16328.6</v>
      </c>
      <c r="Q1213">
        <f>IF(OR(TablaVentas[[#This Row],[Ingreso_neto]]="PENDIENTE",TablaVentas[[#This Row],[Costo_total]]="PENDIENTE"),"PENDIENTE",TablaVentas[[#This Row],[Ingreso_neto]]-TablaVentas[[#This Row],[Costo_total]])</f>
        <v>12420.159999999998</v>
      </c>
    </row>
    <row r="1214" spans="1:17">
      <c r="A1214" t="s">
        <v>886</v>
      </c>
      <c r="B1214">
        <v>1</v>
      </c>
      <c r="C1214" s="3">
        <v>46098</v>
      </c>
      <c r="D1214" t="s">
        <v>369</v>
      </c>
      <c r="E1214" t="s">
        <v>183</v>
      </c>
      <c r="F1214" t="s">
        <v>56</v>
      </c>
      <c r="G1214" t="s">
        <v>40</v>
      </c>
      <c r="H1214" t="s">
        <v>129</v>
      </c>
      <c r="I1214">
        <v>1</v>
      </c>
      <c r="J1214" s="4">
        <v>4757.72</v>
      </c>
      <c r="K1214" s="5">
        <v>0.1</v>
      </c>
      <c r="L1214" s="4">
        <v>4325.7299999999996</v>
      </c>
      <c r="M1214" t="s">
        <v>42</v>
      </c>
      <c r="N1214" t="s">
        <v>52</v>
      </c>
      <c r="O1214">
        <f>IF(TablaVentas[[#This Row],[Precio_unitario]]="","PENDIENTE",TablaVentas[[#This Row],[Unidades]]*TablaVentas[[#This Row],[Precio_unitario]]*(1-TablaVentas[[#This Row],[Descuento_pct]]))</f>
        <v>4281.9480000000003</v>
      </c>
      <c r="P1214">
        <f>IF(TablaVentas[[#This Row],[Costo_unitario]]="","PENDIENTE",TablaVentas[[#This Row],[Unidades]]*TablaVentas[[#This Row],[Costo_unitario]])</f>
        <v>4325.7299999999996</v>
      </c>
      <c r="Q1214">
        <f>IF(OR(TablaVentas[[#This Row],[Ingreso_neto]]="PENDIENTE",TablaVentas[[#This Row],[Costo_total]]="PENDIENTE"),"PENDIENTE",TablaVentas[[#This Row],[Ingreso_neto]]-TablaVentas[[#This Row],[Costo_total]])</f>
        <v>-43.781999999999243</v>
      </c>
    </row>
    <row r="1215" spans="1:17">
      <c r="A1215" t="s">
        <v>886</v>
      </c>
      <c r="B1215">
        <v>2</v>
      </c>
      <c r="C1215" s="3">
        <v>46098</v>
      </c>
      <c r="D1215" t="s">
        <v>369</v>
      </c>
      <c r="E1215" t="s">
        <v>245</v>
      </c>
      <c r="F1215" t="s">
        <v>56</v>
      </c>
      <c r="G1215" t="s">
        <v>40</v>
      </c>
      <c r="H1215" t="s">
        <v>129</v>
      </c>
      <c r="I1215">
        <v>1</v>
      </c>
      <c r="J1215" s="4">
        <v>17595.759999999998</v>
      </c>
      <c r="K1215" s="5">
        <v>0</v>
      </c>
      <c r="L1215" s="4">
        <v>10507.24</v>
      </c>
      <c r="M1215" t="s">
        <v>42</v>
      </c>
      <c r="N1215" t="s">
        <v>43</v>
      </c>
      <c r="O1215">
        <f>IF(TablaVentas[[#This Row],[Precio_unitario]]="","PENDIENTE",TablaVentas[[#This Row],[Unidades]]*TablaVentas[[#This Row],[Precio_unitario]]*(1-TablaVentas[[#This Row],[Descuento_pct]]))</f>
        <v>17595.759999999998</v>
      </c>
      <c r="P1215">
        <f>IF(TablaVentas[[#This Row],[Costo_unitario]]="","PENDIENTE",TablaVentas[[#This Row],[Unidades]]*TablaVentas[[#This Row],[Costo_unitario]])</f>
        <v>10507.24</v>
      </c>
      <c r="Q1215">
        <f>IF(OR(TablaVentas[[#This Row],[Ingreso_neto]]="PENDIENTE",TablaVentas[[#This Row],[Costo_total]]="PENDIENTE"),"PENDIENTE",TablaVentas[[#This Row],[Ingreso_neto]]-TablaVentas[[#This Row],[Costo_total]])</f>
        <v>7088.5199999999986</v>
      </c>
    </row>
    <row r="1216" spans="1:17">
      <c r="A1216" t="s">
        <v>886</v>
      </c>
      <c r="B1216">
        <v>3</v>
      </c>
      <c r="C1216" s="3">
        <v>46098</v>
      </c>
      <c r="D1216" t="s">
        <v>369</v>
      </c>
      <c r="E1216" t="s">
        <v>143</v>
      </c>
      <c r="F1216" t="s">
        <v>56</v>
      </c>
      <c r="G1216" t="s">
        <v>40</v>
      </c>
      <c r="H1216" t="s">
        <v>129</v>
      </c>
      <c r="I1216">
        <v>4</v>
      </c>
      <c r="J1216" s="4">
        <v>8803.4599999999991</v>
      </c>
      <c r="K1216" s="5">
        <v>0.05</v>
      </c>
      <c r="L1216" s="4">
        <v>6815.42</v>
      </c>
      <c r="M1216" t="s">
        <v>42</v>
      </c>
      <c r="N1216" t="s">
        <v>52</v>
      </c>
      <c r="O1216">
        <f>IF(TablaVentas[[#This Row],[Precio_unitario]]="","PENDIENTE",TablaVentas[[#This Row],[Unidades]]*TablaVentas[[#This Row],[Precio_unitario]]*(1-TablaVentas[[#This Row],[Descuento_pct]]))</f>
        <v>33453.147999999994</v>
      </c>
      <c r="P1216">
        <f>IF(TablaVentas[[#This Row],[Costo_unitario]]="","PENDIENTE",TablaVentas[[#This Row],[Unidades]]*TablaVentas[[#This Row],[Costo_unitario]])</f>
        <v>27261.68</v>
      </c>
      <c r="Q1216">
        <f>IF(OR(TablaVentas[[#This Row],[Ingreso_neto]]="PENDIENTE",TablaVentas[[#This Row],[Costo_total]]="PENDIENTE"),"PENDIENTE",TablaVentas[[#This Row],[Ingreso_neto]]-TablaVentas[[#This Row],[Costo_total]])</f>
        <v>6191.4679999999935</v>
      </c>
    </row>
    <row r="1217" spans="1:17">
      <c r="A1217" t="s">
        <v>886</v>
      </c>
      <c r="B1217">
        <v>4</v>
      </c>
      <c r="C1217" s="3">
        <v>46098</v>
      </c>
      <c r="D1217" t="s">
        <v>369</v>
      </c>
      <c r="E1217" t="s">
        <v>164</v>
      </c>
      <c r="F1217" t="s">
        <v>56</v>
      </c>
      <c r="G1217" t="s">
        <v>40</v>
      </c>
      <c r="H1217" t="s">
        <v>129</v>
      </c>
      <c r="I1217">
        <v>2</v>
      </c>
      <c r="J1217" s="4">
        <v>6352.52</v>
      </c>
      <c r="K1217" s="5">
        <v>0.05</v>
      </c>
      <c r="L1217" s="4">
        <v>5050.04</v>
      </c>
      <c r="M1217" t="s">
        <v>42</v>
      </c>
      <c r="N1217" t="s">
        <v>43</v>
      </c>
      <c r="O1217">
        <f>IF(TablaVentas[[#This Row],[Precio_unitario]]="","PENDIENTE",TablaVentas[[#This Row],[Unidades]]*TablaVentas[[#This Row],[Precio_unitario]]*(1-TablaVentas[[#This Row],[Descuento_pct]]))</f>
        <v>12069.788</v>
      </c>
      <c r="P1217">
        <f>IF(TablaVentas[[#This Row],[Costo_unitario]]="","PENDIENTE",TablaVentas[[#This Row],[Unidades]]*TablaVentas[[#This Row],[Costo_unitario]])</f>
        <v>10100.08</v>
      </c>
      <c r="Q1217">
        <f>IF(OR(TablaVentas[[#This Row],[Ingreso_neto]]="PENDIENTE",TablaVentas[[#This Row],[Costo_total]]="PENDIENTE"),"PENDIENTE",TablaVentas[[#This Row],[Ingreso_neto]]-TablaVentas[[#This Row],[Costo_total]])</f>
        <v>1969.7080000000005</v>
      </c>
    </row>
    <row r="1218" spans="1:17">
      <c r="A1218" t="s">
        <v>886</v>
      </c>
      <c r="B1218">
        <v>5</v>
      </c>
      <c r="C1218" s="3">
        <v>46098</v>
      </c>
      <c r="D1218" t="s">
        <v>369</v>
      </c>
      <c r="E1218" t="s">
        <v>163</v>
      </c>
      <c r="F1218" t="s">
        <v>56</v>
      </c>
      <c r="G1218" t="s">
        <v>40</v>
      </c>
      <c r="H1218" t="s">
        <v>129</v>
      </c>
      <c r="I1218">
        <v>1</v>
      </c>
      <c r="J1218" s="4">
        <v>18040.77</v>
      </c>
      <c r="K1218" s="5">
        <v>0</v>
      </c>
      <c r="L1218" s="4">
        <v>12141.44</v>
      </c>
      <c r="M1218" t="s">
        <v>42</v>
      </c>
      <c r="N1218" t="s">
        <v>43</v>
      </c>
      <c r="O1218">
        <f>IF(TablaVentas[[#This Row],[Precio_unitario]]="","PENDIENTE",TablaVentas[[#This Row],[Unidades]]*TablaVentas[[#This Row],[Precio_unitario]]*(1-TablaVentas[[#This Row],[Descuento_pct]]))</f>
        <v>18040.77</v>
      </c>
      <c r="P1218">
        <f>IF(TablaVentas[[#This Row],[Costo_unitario]]="","PENDIENTE",TablaVentas[[#This Row],[Unidades]]*TablaVentas[[#This Row],[Costo_unitario]])</f>
        <v>12141.44</v>
      </c>
      <c r="Q1218">
        <f>IF(OR(TablaVentas[[#This Row],[Ingreso_neto]]="PENDIENTE",TablaVentas[[#This Row],[Costo_total]]="PENDIENTE"),"PENDIENTE",TablaVentas[[#This Row],[Ingreso_neto]]-TablaVentas[[#This Row],[Costo_total]])</f>
        <v>5899.33</v>
      </c>
    </row>
    <row r="1219" spans="1:17">
      <c r="A1219" t="s">
        <v>887</v>
      </c>
      <c r="B1219">
        <v>1</v>
      </c>
      <c r="C1219" s="3">
        <v>46075</v>
      </c>
      <c r="D1219" t="s">
        <v>648</v>
      </c>
      <c r="E1219" t="s">
        <v>160</v>
      </c>
      <c r="F1219" t="s">
        <v>66</v>
      </c>
      <c r="G1219" t="s">
        <v>50</v>
      </c>
      <c r="H1219" t="s">
        <v>184</v>
      </c>
      <c r="I1219">
        <v>1</v>
      </c>
      <c r="J1219" s="4">
        <v>7191.03</v>
      </c>
      <c r="K1219" s="5">
        <v>0.05</v>
      </c>
      <c r="L1219" s="4">
        <v>4082.15</v>
      </c>
      <c r="M1219" t="s">
        <v>42</v>
      </c>
      <c r="N1219" t="s">
        <v>60</v>
      </c>
      <c r="O1219">
        <f>IF(TablaVentas[[#This Row],[Precio_unitario]]="","PENDIENTE",TablaVentas[[#This Row],[Unidades]]*TablaVentas[[#This Row],[Precio_unitario]]*(1-TablaVentas[[#This Row],[Descuento_pct]]))</f>
        <v>6831.4784999999993</v>
      </c>
      <c r="P1219">
        <f>IF(TablaVentas[[#This Row],[Costo_unitario]]="","PENDIENTE",TablaVentas[[#This Row],[Unidades]]*TablaVentas[[#This Row],[Costo_unitario]])</f>
        <v>4082.15</v>
      </c>
      <c r="Q1219">
        <f>IF(OR(TablaVentas[[#This Row],[Ingreso_neto]]="PENDIENTE",TablaVentas[[#This Row],[Costo_total]]="PENDIENTE"),"PENDIENTE",TablaVentas[[#This Row],[Ingreso_neto]]-TablaVentas[[#This Row],[Costo_total]])</f>
        <v>2749.3284999999992</v>
      </c>
    </row>
    <row r="1220" spans="1:17">
      <c r="A1220" t="s">
        <v>887</v>
      </c>
      <c r="B1220">
        <v>2</v>
      </c>
      <c r="C1220" s="3">
        <v>46075</v>
      </c>
      <c r="D1220" t="s">
        <v>648</v>
      </c>
      <c r="E1220" t="s">
        <v>320</v>
      </c>
      <c r="F1220" t="s">
        <v>66</v>
      </c>
      <c r="G1220" t="s">
        <v>50</v>
      </c>
      <c r="H1220" t="s">
        <v>184</v>
      </c>
      <c r="I1220">
        <v>1</v>
      </c>
      <c r="J1220" s="4">
        <v>4489.6099999999997</v>
      </c>
      <c r="K1220" s="5">
        <v>0</v>
      </c>
      <c r="L1220" s="4">
        <v>3065.66</v>
      </c>
      <c r="M1220" t="s">
        <v>42</v>
      </c>
      <c r="N1220" t="s">
        <v>45</v>
      </c>
      <c r="O1220">
        <f>IF(TablaVentas[[#This Row],[Precio_unitario]]="","PENDIENTE",TablaVentas[[#This Row],[Unidades]]*TablaVentas[[#This Row],[Precio_unitario]]*(1-TablaVentas[[#This Row],[Descuento_pct]]))</f>
        <v>4489.6099999999997</v>
      </c>
      <c r="P1220">
        <f>IF(TablaVentas[[#This Row],[Costo_unitario]]="","PENDIENTE",TablaVentas[[#This Row],[Unidades]]*TablaVentas[[#This Row],[Costo_unitario]])</f>
        <v>3065.66</v>
      </c>
      <c r="Q1220">
        <f>IF(OR(TablaVentas[[#This Row],[Ingreso_neto]]="PENDIENTE",TablaVentas[[#This Row],[Costo_total]]="PENDIENTE"),"PENDIENTE",TablaVentas[[#This Row],[Ingreso_neto]]-TablaVentas[[#This Row],[Costo_total]])</f>
        <v>1423.9499999999998</v>
      </c>
    </row>
    <row r="1221" spans="1:17">
      <c r="A1221" t="s">
        <v>887</v>
      </c>
      <c r="B1221">
        <v>3</v>
      </c>
      <c r="C1221" s="3">
        <v>46075</v>
      </c>
      <c r="D1221" t="s">
        <v>648</v>
      </c>
      <c r="E1221" t="s">
        <v>38</v>
      </c>
      <c r="F1221" t="s">
        <v>66</v>
      </c>
      <c r="G1221" t="s">
        <v>50</v>
      </c>
      <c r="H1221" t="s">
        <v>184</v>
      </c>
      <c r="I1221">
        <v>2</v>
      </c>
      <c r="J1221" s="4">
        <v>6198.75</v>
      </c>
      <c r="K1221" s="5">
        <v>0</v>
      </c>
      <c r="L1221" s="4">
        <v>3832.69</v>
      </c>
      <c r="M1221" t="s">
        <v>42</v>
      </c>
      <c r="N1221" t="s">
        <v>60</v>
      </c>
      <c r="O1221">
        <f>IF(TablaVentas[[#This Row],[Precio_unitario]]="","PENDIENTE",TablaVentas[[#This Row],[Unidades]]*TablaVentas[[#This Row],[Precio_unitario]]*(1-TablaVentas[[#This Row],[Descuento_pct]]))</f>
        <v>12397.5</v>
      </c>
      <c r="P1221">
        <f>IF(TablaVentas[[#This Row],[Costo_unitario]]="","PENDIENTE",TablaVentas[[#This Row],[Unidades]]*TablaVentas[[#This Row],[Costo_unitario]])</f>
        <v>7665.38</v>
      </c>
      <c r="Q1221">
        <f>IF(OR(TablaVentas[[#This Row],[Ingreso_neto]]="PENDIENTE",TablaVentas[[#This Row],[Costo_total]]="PENDIENTE"),"PENDIENTE",TablaVentas[[#This Row],[Ingreso_neto]]-TablaVentas[[#This Row],[Costo_total]])</f>
        <v>4732.12</v>
      </c>
    </row>
    <row r="1222" spans="1:17">
      <c r="A1222" t="s">
        <v>888</v>
      </c>
      <c r="B1222">
        <v>1</v>
      </c>
      <c r="C1222" s="3">
        <v>46183</v>
      </c>
      <c r="D1222" t="s">
        <v>334</v>
      </c>
      <c r="E1222" t="s">
        <v>403</v>
      </c>
      <c r="F1222" t="s">
        <v>77</v>
      </c>
      <c r="G1222" t="s">
        <v>57</v>
      </c>
      <c r="H1222" t="s">
        <v>129</v>
      </c>
      <c r="I1222">
        <v>1</v>
      </c>
      <c r="J1222" s="4">
        <v>2924.06</v>
      </c>
      <c r="K1222" s="5">
        <v>0</v>
      </c>
      <c r="L1222" s="4">
        <v>1801.83</v>
      </c>
      <c r="M1222" t="s">
        <v>42</v>
      </c>
      <c r="N1222" t="s">
        <v>43</v>
      </c>
      <c r="O1222">
        <f>IF(TablaVentas[[#This Row],[Precio_unitario]]="","PENDIENTE",TablaVentas[[#This Row],[Unidades]]*TablaVentas[[#This Row],[Precio_unitario]]*(1-TablaVentas[[#This Row],[Descuento_pct]]))</f>
        <v>2924.06</v>
      </c>
      <c r="P1222">
        <f>IF(TablaVentas[[#This Row],[Costo_unitario]]="","PENDIENTE",TablaVentas[[#This Row],[Unidades]]*TablaVentas[[#This Row],[Costo_unitario]])</f>
        <v>1801.83</v>
      </c>
      <c r="Q1222">
        <f>IF(OR(TablaVentas[[#This Row],[Ingreso_neto]]="PENDIENTE",TablaVentas[[#This Row],[Costo_total]]="PENDIENTE"),"PENDIENTE",TablaVentas[[#This Row],[Ingreso_neto]]-TablaVentas[[#This Row],[Costo_total]])</f>
        <v>1122.23</v>
      </c>
    </row>
    <row r="1223" spans="1:17">
      <c r="A1223" t="s">
        <v>888</v>
      </c>
      <c r="B1223">
        <v>2</v>
      </c>
      <c r="C1223" s="3">
        <v>46183</v>
      </c>
      <c r="D1223" t="s">
        <v>334</v>
      </c>
      <c r="E1223" t="s">
        <v>253</v>
      </c>
      <c r="F1223" t="s">
        <v>77</v>
      </c>
      <c r="G1223" t="s">
        <v>57</v>
      </c>
      <c r="H1223" t="s">
        <v>129</v>
      </c>
      <c r="I1223">
        <v>4</v>
      </c>
      <c r="J1223" s="4">
        <v>2738.63</v>
      </c>
      <c r="K1223" s="5">
        <v>0</v>
      </c>
      <c r="L1223" s="4">
        <v>2486.1799999999998</v>
      </c>
      <c r="M1223" t="s">
        <v>42</v>
      </c>
      <c r="N1223" t="s">
        <v>52</v>
      </c>
      <c r="O1223">
        <f>IF(TablaVentas[[#This Row],[Precio_unitario]]="","PENDIENTE",TablaVentas[[#This Row],[Unidades]]*TablaVentas[[#This Row],[Precio_unitario]]*(1-TablaVentas[[#This Row],[Descuento_pct]]))</f>
        <v>10954.52</v>
      </c>
      <c r="P1223">
        <f>IF(TablaVentas[[#This Row],[Costo_unitario]]="","PENDIENTE",TablaVentas[[#This Row],[Unidades]]*TablaVentas[[#This Row],[Costo_unitario]])</f>
        <v>9944.7199999999993</v>
      </c>
      <c r="Q1223">
        <f>IF(OR(TablaVentas[[#This Row],[Ingreso_neto]]="PENDIENTE",TablaVentas[[#This Row],[Costo_total]]="PENDIENTE"),"PENDIENTE",TablaVentas[[#This Row],[Ingreso_neto]]-TablaVentas[[#This Row],[Costo_total]])</f>
        <v>1009.8000000000011</v>
      </c>
    </row>
    <row r="1224" spans="1:17">
      <c r="A1224" t="s">
        <v>889</v>
      </c>
      <c r="B1224">
        <v>1</v>
      </c>
      <c r="C1224" s="3">
        <v>46124</v>
      </c>
      <c r="D1224" t="s">
        <v>890</v>
      </c>
      <c r="E1224" t="s">
        <v>84</v>
      </c>
      <c r="F1224" t="s">
        <v>56</v>
      </c>
      <c r="G1224" t="s">
        <v>50</v>
      </c>
      <c r="H1224" t="s">
        <v>102</v>
      </c>
      <c r="I1224">
        <v>1</v>
      </c>
      <c r="J1224" s="4">
        <v>13891.53</v>
      </c>
      <c r="K1224" s="5">
        <v>0.15</v>
      </c>
      <c r="L1224" s="4">
        <v>8576.0499999999993</v>
      </c>
      <c r="M1224" t="s">
        <v>42</v>
      </c>
      <c r="N1224" t="s">
        <v>52</v>
      </c>
      <c r="O1224">
        <f>IF(TablaVentas[[#This Row],[Precio_unitario]]="","PENDIENTE",TablaVentas[[#This Row],[Unidades]]*TablaVentas[[#This Row],[Precio_unitario]]*(1-TablaVentas[[#This Row],[Descuento_pct]]))</f>
        <v>11807.800499999999</v>
      </c>
      <c r="P1224">
        <f>IF(TablaVentas[[#This Row],[Costo_unitario]]="","PENDIENTE",TablaVentas[[#This Row],[Unidades]]*TablaVentas[[#This Row],[Costo_unitario]])</f>
        <v>8576.0499999999993</v>
      </c>
      <c r="Q1224">
        <f>IF(OR(TablaVentas[[#This Row],[Ingreso_neto]]="PENDIENTE",TablaVentas[[#This Row],[Costo_total]]="PENDIENTE"),"PENDIENTE",TablaVentas[[#This Row],[Ingreso_neto]]-TablaVentas[[#This Row],[Costo_total]])</f>
        <v>3231.7505000000001</v>
      </c>
    </row>
    <row r="1225" spans="1:17">
      <c r="A1225" t="s">
        <v>889</v>
      </c>
      <c r="B1225">
        <v>2</v>
      </c>
      <c r="C1225" s="3">
        <v>46124</v>
      </c>
      <c r="D1225" t="s">
        <v>890</v>
      </c>
      <c r="E1225" t="s">
        <v>248</v>
      </c>
      <c r="F1225" t="s">
        <v>56</v>
      </c>
      <c r="G1225" t="s">
        <v>50</v>
      </c>
      <c r="H1225" t="s">
        <v>102</v>
      </c>
      <c r="I1225">
        <v>2</v>
      </c>
      <c r="J1225" s="4">
        <v>12655.52</v>
      </c>
      <c r="K1225" s="5">
        <v>0.1</v>
      </c>
      <c r="L1225" s="4">
        <v>6856.4</v>
      </c>
      <c r="M1225" t="s">
        <v>42</v>
      </c>
      <c r="N1225" t="s">
        <v>45</v>
      </c>
      <c r="O1225">
        <f>IF(TablaVentas[[#This Row],[Precio_unitario]]="","PENDIENTE",TablaVentas[[#This Row],[Unidades]]*TablaVentas[[#This Row],[Precio_unitario]]*(1-TablaVentas[[#This Row],[Descuento_pct]]))</f>
        <v>22779.936000000002</v>
      </c>
      <c r="P1225">
        <f>IF(TablaVentas[[#This Row],[Costo_unitario]]="","PENDIENTE",TablaVentas[[#This Row],[Unidades]]*TablaVentas[[#This Row],[Costo_unitario]])</f>
        <v>13712.8</v>
      </c>
      <c r="Q1225">
        <f>IF(OR(TablaVentas[[#This Row],[Ingreso_neto]]="PENDIENTE",TablaVentas[[#This Row],[Costo_total]]="PENDIENTE"),"PENDIENTE",TablaVentas[[#This Row],[Ingreso_neto]]-TablaVentas[[#This Row],[Costo_total]])</f>
        <v>9067.1360000000022</v>
      </c>
    </row>
    <row r="1226" spans="1:17">
      <c r="A1226" t="s">
        <v>891</v>
      </c>
      <c r="B1226">
        <v>1</v>
      </c>
      <c r="C1226" s="3">
        <v>46284</v>
      </c>
      <c r="D1226" t="s">
        <v>334</v>
      </c>
      <c r="E1226" t="s">
        <v>172</v>
      </c>
      <c r="F1226" t="s">
        <v>66</v>
      </c>
      <c r="G1226" t="s">
        <v>40</v>
      </c>
      <c r="H1226" t="s">
        <v>102</v>
      </c>
      <c r="I1226">
        <v>1</v>
      </c>
      <c r="J1226" s="4">
        <v>15152.31</v>
      </c>
      <c r="K1226" s="5">
        <v>0.05</v>
      </c>
      <c r="L1226" s="4">
        <v>10830.17</v>
      </c>
      <c r="M1226" t="s">
        <v>42</v>
      </c>
      <c r="N1226" t="s">
        <v>45</v>
      </c>
      <c r="O1226">
        <f>IF(TablaVentas[[#This Row],[Precio_unitario]]="","PENDIENTE",TablaVentas[[#This Row],[Unidades]]*TablaVentas[[#This Row],[Precio_unitario]]*(1-TablaVentas[[#This Row],[Descuento_pct]]))</f>
        <v>14394.6945</v>
      </c>
      <c r="P1226">
        <f>IF(TablaVentas[[#This Row],[Costo_unitario]]="","PENDIENTE",TablaVentas[[#This Row],[Unidades]]*TablaVentas[[#This Row],[Costo_unitario]])</f>
        <v>10830.17</v>
      </c>
      <c r="Q1226">
        <f>IF(OR(TablaVentas[[#This Row],[Ingreso_neto]]="PENDIENTE",TablaVentas[[#This Row],[Costo_total]]="PENDIENTE"),"PENDIENTE",TablaVentas[[#This Row],[Ingreso_neto]]-TablaVentas[[#This Row],[Costo_total]])</f>
        <v>3564.5244999999995</v>
      </c>
    </row>
    <row r="1227" spans="1:17">
      <c r="A1227" t="s">
        <v>891</v>
      </c>
      <c r="B1227">
        <v>2</v>
      </c>
      <c r="C1227" s="3">
        <v>46284</v>
      </c>
      <c r="D1227" t="s">
        <v>334</v>
      </c>
      <c r="E1227" t="s">
        <v>114</v>
      </c>
      <c r="F1227" t="s">
        <v>66</v>
      </c>
      <c r="G1227" t="s">
        <v>40</v>
      </c>
      <c r="H1227" t="s">
        <v>102</v>
      </c>
      <c r="I1227">
        <v>4</v>
      </c>
      <c r="J1227" s="4">
        <v>14460.16</v>
      </c>
      <c r="K1227" s="5">
        <v>0</v>
      </c>
      <c r="L1227" s="4">
        <v>8239.48</v>
      </c>
      <c r="M1227" t="s">
        <v>42</v>
      </c>
      <c r="N1227" t="s">
        <v>43</v>
      </c>
      <c r="O1227">
        <f>IF(TablaVentas[[#This Row],[Precio_unitario]]="","PENDIENTE",TablaVentas[[#This Row],[Unidades]]*TablaVentas[[#This Row],[Precio_unitario]]*(1-TablaVentas[[#This Row],[Descuento_pct]]))</f>
        <v>57840.639999999999</v>
      </c>
      <c r="P1227">
        <f>IF(TablaVentas[[#This Row],[Costo_unitario]]="","PENDIENTE",TablaVentas[[#This Row],[Unidades]]*TablaVentas[[#This Row],[Costo_unitario]])</f>
        <v>32957.919999999998</v>
      </c>
      <c r="Q1227">
        <f>IF(OR(TablaVentas[[#This Row],[Ingreso_neto]]="PENDIENTE",TablaVentas[[#This Row],[Costo_total]]="PENDIENTE"),"PENDIENTE",TablaVentas[[#This Row],[Ingreso_neto]]-TablaVentas[[#This Row],[Costo_total]])</f>
        <v>24882.720000000001</v>
      </c>
    </row>
    <row r="1228" spans="1:17">
      <c r="A1228" t="s">
        <v>891</v>
      </c>
      <c r="B1228">
        <v>3</v>
      </c>
      <c r="C1228" s="3">
        <v>46284</v>
      </c>
      <c r="D1228" t="s">
        <v>334</v>
      </c>
      <c r="E1228" t="s">
        <v>65</v>
      </c>
      <c r="F1228" t="s">
        <v>66</v>
      </c>
      <c r="G1228" t="s">
        <v>40</v>
      </c>
      <c r="H1228" t="s">
        <v>102</v>
      </c>
      <c r="I1228">
        <v>2</v>
      </c>
      <c r="J1228" s="4">
        <v>11199.89</v>
      </c>
      <c r="K1228" s="5">
        <v>0.05</v>
      </c>
      <c r="L1228" s="4">
        <v>7328.02</v>
      </c>
      <c r="M1228" t="s">
        <v>42</v>
      </c>
      <c r="N1228" t="s">
        <v>45</v>
      </c>
      <c r="O1228">
        <f>IF(TablaVentas[[#This Row],[Precio_unitario]]="","PENDIENTE",TablaVentas[[#This Row],[Unidades]]*TablaVentas[[#This Row],[Precio_unitario]]*(1-TablaVentas[[#This Row],[Descuento_pct]]))</f>
        <v>21279.790999999997</v>
      </c>
      <c r="P1228">
        <f>IF(TablaVentas[[#This Row],[Costo_unitario]]="","PENDIENTE",TablaVentas[[#This Row],[Unidades]]*TablaVentas[[#This Row],[Costo_unitario]])</f>
        <v>14656.04</v>
      </c>
      <c r="Q1228">
        <f>IF(OR(TablaVentas[[#This Row],[Ingreso_neto]]="PENDIENTE",TablaVentas[[#This Row],[Costo_total]]="PENDIENTE"),"PENDIENTE",TablaVentas[[#This Row],[Ingreso_neto]]-TablaVentas[[#This Row],[Costo_total]])</f>
        <v>6623.7509999999966</v>
      </c>
    </row>
    <row r="1229" spans="1:17">
      <c r="A1229" t="s">
        <v>891</v>
      </c>
      <c r="B1229">
        <v>4</v>
      </c>
      <c r="C1229" s="3">
        <v>46284</v>
      </c>
      <c r="D1229" t="s">
        <v>334</v>
      </c>
      <c r="E1229" t="s">
        <v>155</v>
      </c>
      <c r="F1229" t="s">
        <v>66</v>
      </c>
      <c r="G1229" t="s">
        <v>40</v>
      </c>
      <c r="H1229" t="s">
        <v>102</v>
      </c>
      <c r="I1229">
        <v>2</v>
      </c>
      <c r="J1229" s="4">
        <v>786.9</v>
      </c>
      <c r="K1229" s="5">
        <v>0</v>
      </c>
      <c r="L1229" s="4">
        <v>397.1</v>
      </c>
      <c r="M1229" t="s">
        <v>42</v>
      </c>
      <c r="N1229" t="s">
        <v>45</v>
      </c>
      <c r="O1229">
        <f>IF(TablaVentas[[#This Row],[Precio_unitario]]="","PENDIENTE",TablaVentas[[#This Row],[Unidades]]*TablaVentas[[#This Row],[Precio_unitario]]*(1-TablaVentas[[#This Row],[Descuento_pct]]))</f>
        <v>1573.8</v>
      </c>
      <c r="P1229">
        <f>IF(TablaVentas[[#This Row],[Costo_unitario]]="","PENDIENTE",TablaVentas[[#This Row],[Unidades]]*TablaVentas[[#This Row],[Costo_unitario]])</f>
        <v>794.2</v>
      </c>
      <c r="Q1229">
        <f>IF(OR(TablaVentas[[#This Row],[Ingreso_neto]]="PENDIENTE",TablaVentas[[#This Row],[Costo_total]]="PENDIENTE"),"PENDIENTE",TablaVentas[[#This Row],[Ingreso_neto]]-TablaVentas[[#This Row],[Costo_total]])</f>
        <v>779.59999999999991</v>
      </c>
    </row>
    <row r="1230" spans="1:17">
      <c r="A1230" t="s">
        <v>891</v>
      </c>
      <c r="B1230">
        <v>5</v>
      </c>
      <c r="C1230" s="3">
        <v>46284</v>
      </c>
      <c r="D1230" t="s">
        <v>334</v>
      </c>
      <c r="E1230" t="s">
        <v>94</v>
      </c>
      <c r="F1230" t="s">
        <v>66</v>
      </c>
      <c r="G1230" t="s">
        <v>40</v>
      </c>
      <c r="H1230" t="s">
        <v>102</v>
      </c>
      <c r="I1230">
        <v>1</v>
      </c>
      <c r="J1230" s="4">
        <v>8381.75</v>
      </c>
      <c r="K1230" s="5">
        <v>0.15</v>
      </c>
      <c r="L1230" s="4">
        <v>4538.0600000000004</v>
      </c>
      <c r="M1230" t="s">
        <v>42</v>
      </c>
      <c r="N1230" t="s">
        <v>45</v>
      </c>
      <c r="O1230">
        <f>IF(TablaVentas[[#This Row],[Precio_unitario]]="","PENDIENTE",TablaVentas[[#This Row],[Unidades]]*TablaVentas[[#This Row],[Precio_unitario]]*(1-TablaVentas[[#This Row],[Descuento_pct]]))</f>
        <v>7124.4875000000002</v>
      </c>
      <c r="P1230">
        <f>IF(TablaVentas[[#This Row],[Costo_unitario]]="","PENDIENTE",TablaVentas[[#This Row],[Unidades]]*TablaVentas[[#This Row],[Costo_unitario]])</f>
        <v>4538.0600000000004</v>
      </c>
      <c r="Q1230">
        <f>IF(OR(TablaVentas[[#This Row],[Ingreso_neto]]="PENDIENTE",TablaVentas[[#This Row],[Costo_total]]="PENDIENTE"),"PENDIENTE",TablaVentas[[#This Row],[Ingreso_neto]]-TablaVentas[[#This Row],[Costo_total]])</f>
        <v>2586.4274999999998</v>
      </c>
    </row>
    <row r="1231" spans="1:17">
      <c r="A1231" t="s">
        <v>892</v>
      </c>
      <c r="B1231">
        <v>1</v>
      </c>
      <c r="C1231" s="3">
        <v>46142</v>
      </c>
      <c r="D1231" t="s">
        <v>720</v>
      </c>
      <c r="E1231" t="s">
        <v>277</v>
      </c>
      <c r="F1231" t="s">
        <v>56</v>
      </c>
      <c r="G1231" t="s">
        <v>40</v>
      </c>
      <c r="H1231" t="s">
        <v>73</v>
      </c>
      <c r="I1231">
        <v>1</v>
      </c>
      <c r="J1231" s="4">
        <v>6432.6</v>
      </c>
      <c r="K1231" s="5">
        <v>0.1</v>
      </c>
      <c r="L1231" s="4">
        <v>4858.08</v>
      </c>
      <c r="M1231" t="s">
        <v>42</v>
      </c>
      <c r="N1231" t="s">
        <v>45</v>
      </c>
      <c r="O1231">
        <f>IF(TablaVentas[[#This Row],[Precio_unitario]]="","PENDIENTE",TablaVentas[[#This Row],[Unidades]]*TablaVentas[[#This Row],[Precio_unitario]]*(1-TablaVentas[[#This Row],[Descuento_pct]]))</f>
        <v>5789.34</v>
      </c>
      <c r="P1231">
        <f>IF(TablaVentas[[#This Row],[Costo_unitario]]="","PENDIENTE",TablaVentas[[#This Row],[Unidades]]*TablaVentas[[#This Row],[Costo_unitario]])</f>
        <v>4858.08</v>
      </c>
      <c r="Q1231">
        <f>IF(OR(TablaVentas[[#This Row],[Ingreso_neto]]="PENDIENTE",TablaVentas[[#This Row],[Costo_total]]="PENDIENTE"),"PENDIENTE",TablaVentas[[#This Row],[Ingreso_neto]]-TablaVentas[[#This Row],[Costo_total]])</f>
        <v>931.26000000000022</v>
      </c>
    </row>
    <row r="1232" spans="1:17">
      <c r="A1232" t="s">
        <v>893</v>
      </c>
      <c r="B1232">
        <v>1</v>
      </c>
      <c r="C1232" s="3">
        <v>46270</v>
      </c>
      <c r="D1232" t="s">
        <v>604</v>
      </c>
      <c r="E1232" t="s">
        <v>144</v>
      </c>
      <c r="F1232" t="s">
        <v>66</v>
      </c>
      <c r="G1232" t="s">
        <v>50</v>
      </c>
      <c r="H1232" t="s">
        <v>58</v>
      </c>
      <c r="I1232">
        <v>5</v>
      </c>
      <c r="J1232" s="4">
        <v>10001.299999999999</v>
      </c>
      <c r="K1232" s="5">
        <v>0.15</v>
      </c>
      <c r="L1232" s="4">
        <v>5125.3599999999997</v>
      </c>
      <c r="M1232" t="s">
        <v>42</v>
      </c>
      <c r="N1232" t="s">
        <v>52</v>
      </c>
      <c r="O1232">
        <f>IF(TablaVentas[[#This Row],[Precio_unitario]]="","PENDIENTE",TablaVentas[[#This Row],[Unidades]]*TablaVentas[[#This Row],[Precio_unitario]]*(1-TablaVentas[[#This Row],[Descuento_pct]]))</f>
        <v>42505.525000000001</v>
      </c>
      <c r="P1232">
        <f>IF(TablaVentas[[#This Row],[Costo_unitario]]="","PENDIENTE",TablaVentas[[#This Row],[Unidades]]*TablaVentas[[#This Row],[Costo_unitario]])</f>
        <v>25626.799999999999</v>
      </c>
      <c r="Q1232">
        <f>IF(OR(TablaVentas[[#This Row],[Ingreso_neto]]="PENDIENTE",TablaVentas[[#This Row],[Costo_total]]="PENDIENTE"),"PENDIENTE",TablaVentas[[#This Row],[Ingreso_neto]]-TablaVentas[[#This Row],[Costo_total]])</f>
        <v>16878.725000000002</v>
      </c>
    </row>
    <row r="1233" spans="1:17">
      <c r="A1233" t="s">
        <v>893</v>
      </c>
      <c r="B1233">
        <v>2</v>
      </c>
      <c r="C1233" s="3">
        <v>46270</v>
      </c>
      <c r="D1233" t="s">
        <v>604</v>
      </c>
      <c r="E1233" t="s">
        <v>151</v>
      </c>
      <c r="F1233" t="s">
        <v>66</v>
      </c>
      <c r="G1233" t="s">
        <v>50</v>
      </c>
      <c r="H1233" t="s">
        <v>58</v>
      </c>
      <c r="I1233">
        <v>8</v>
      </c>
      <c r="J1233" s="4">
        <v>17707.37</v>
      </c>
      <c r="K1233" s="5">
        <v>0</v>
      </c>
      <c r="L1233" s="4">
        <v>8963.23</v>
      </c>
      <c r="M1233" t="s">
        <v>42</v>
      </c>
      <c r="N1233" t="s">
        <v>45</v>
      </c>
      <c r="O1233">
        <f>IF(TablaVentas[[#This Row],[Precio_unitario]]="","PENDIENTE",TablaVentas[[#This Row],[Unidades]]*TablaVentas[[#This Row],[Precio_unitario]]*(1-TablaVentas[[#This Row],[Descuento_pct]]))</f>
        <v>141658.96</v>
      </c>
      <c r="P1233">
        <f>IF(TablaVentas[[#This Row],[Costo_unitario]]="","PENDIENTE",TablaVentas[[#This Row],[Unidades]]*TablaVentas[[#This Row],[Costo_unitario]])</f>
        <v>71705.84</v>
      </c>
      <c r="Q1233">
        <f>IF(OR(TablaVentas[[#This Row],[Ingreso_neto]]="PENDIENTE",TablaVentas[[#This Row],[Costo_total]]="PENDIENTE"),"PENDIENTE",TablaVentas[[#This Row],[Ingreso_neto]]-TablaVentas[[#This Row],[Costo_total]])</f>
        <v>69953.119999999995</v>
      </c>
    </row>
    <row r="1234" spans="1:17">
      <c r="A1234" t="s">
        <v>893</v>
      </c>
      <c r="B1234">
        <v>3</v>
      </c>
      <c r="C1234" s="3">
        <v>46270</v>
      </c>
      <c r="D1234" t="s">
        <v>604</v>
      </c>
      <c r="E1234" t="s">
        <v>90</v>
      </c>
      <c r="F1234" t="s">
        <v>66</v>
      </c>
      <c r="G1234" t="s">
        <v>50</v>
      </c>
      <c r="H1234" t="s">
        <v>58</v>
      </c>
      <c r="I1234">
        <v>4</v>
      </c>
      <c r="J1234" s="4">
        <v>10308.26</v>
      </c>
      <c r="K1234" s="5">
        <v>0</v>
      </c>
      <c r="L1234" s="4">
        <v>8174.87</v>
      </c>
      <c r="M1234" t="s">
        <v>42</v>
      </c>
      <c r="N1234" t="s">
        <v>45</v>
      </c>
      <c r="O1234">
        <f>IF(TablaVentas[[#This Row],[Precio_unitario]]="","PENDIENTE",TablaVentas[[#This Row],[Unidades]]*TablaVentas[[#This Row],[Precio_unitario]]*(1-TablaVentas[[#This Row],[Descuento_pct]]))</f>
        <v>41233.040000000001</v>
      </c>
      <c r="P1234">
        <f>IF(TablaVentas[[#This Row],[Costo_unitario]]="","PENDIENTE",TablaVentas[[#This Row],[Unidades]]*TablaVentas[[#This Row],[Costo_unitario]])</f>
        <v>32699.48</v>
      </c>
      <c r="Q1234">
        <f>IF(OR(TablaVentas[[#This Row],[Ingreso_neto]]="PENDIENTE",TablaVentas[[#This Row],[Costo_total]]="PENDIENTE"),"PENDIENTE",TablaVentas[[#This Row],[Ingreso_neto]]-TablaVentas[[#This Row],[Costo_total]])</f>
        <v>8533.5600000000013</v>
      </c>
    </row>
    <row r="1235" spans="1:17">
      <c r="A1235" t="s">
        <v>894</v>
      </c>
      <c r="B1235">
        <v>1</v>
      </c>
      <c r="C1235" s="3">
        <v>46222</v>
      </c>
      <c r="D1235" t="s">
        <v>639</v>
      </c>
      <c r="E1235" t="s">
        <v>208</v>
      </c>
      <c r="F1235" t="s">
        <v>39</v>
      </c>
      <c r="G1235" t="s">
        <v>50</v>
      </c>
      <c r="H1235" t="s">
        <v>67</v>
      </c>
      <c r="I1235">
        <v>1</v>
      </c>
      <c r="J1235" s="4">
        <v>10227.91</v>
      </c>
      <c r="K1235" s="5">
        <v>0</v>
      </c>
      <c r="L1235" s="4">
        <v>5535.31</v>
      </c>
      <c r="M1235" t="s">
        <v>42</v>
      </c>
      <c r="N1235" t="s">
        <v>43</v>
      </c>
      <c r="O1235">
        <f>IF(TablaVentas[[#This Row],[Precio_unitario]]="","PENDIENTE",TablaVentas[[#This Row],[Unidades]]*TablaVentas[[#This Row],[Precio_unitario]]*(1-TablaVentas[[#This Row],[Descuento_pct]]))</f>
        <v>10227.91</v>
      </c>
      <c r="P1235">
        <f>IF(TablaVentas[[#This Row],[Costo_unitario]]="","PENDIENTE",TablaVentas[[#This Row],[Unidades]]*TablaVentas[[#This Row],[Costo_unitario]])</f>
        <v>5535.31</v>
      </c>
      <c r="Q1235">
        <f>IF(OR(TablaVentas[[#This Row],[Ingreso_neto]]="PENDIENTE",TablaVentas[[#This Row],[Costo_total]]="PENDIENTE"),"PENDIENTE",TablaVentas[[#This Row],[Ingreso_neto]]-TablaVentas[[#This Row],[Costo_total]])</f>
        <v>4692.5999999999995</v>
      </c>
    </row>
    <row r="1236" spans="1:17">
      <c r="A1236" t="s">
        <v>894</v>
      </c>
      <c r="B1236">
        <v>2</v>
      </c>
      <c r="C1236" s="3">
        <v>46222</v>
      </c>
      <c r="D1236" t="s">
        <v>639</v>
      </c>
      <c r="E1236" t="s">
        <v>152</v>
      </c>
      <c r="F1236" t="s">
        <v>39</v>
      </c>
      <c r="G1236" t="s">
        <v>50</v>
      </c>
      <c r="H1236" t="s">
        <v>67</v>
      </c>
      <c r="I1236">
        <v>2</v>
      </c>
      <c r="J1236" s="4">
        <v>2788.04</v>
      </c>
      <c r="K1236" s="5">
        <v>0.2</v>
      </c>
      <c r="L1236" s="4">
        <v>1962.3</v>
      </c>
      <c r="M1236" t="s">
        <v>116</v>
      </c>
      <c r="N1236" t="s">
        <v>52</v>
      </c>
      <c r="O1236">
        <f>IF(TablaVentas[[#This Row],[Precio_unitario]]="","PENDIENTE",TablaVentas[[#This Row],[Unidades]]*TablaVentas[[#This Row],[Precio_unitario]]*(1-TablaVentas[[#This Row],[Descuento_pct]]))</f>
        <v>4460.8640000000005</v>
      </c>
      <c r="P1236">
        <f>IF(TablaVentas[[#This Row],[Costo_unitario]]="","PENDIENTE",TablaVentas[[#This Row],[Unidades]]*TablaVentas[[#This Row],[Costo_unitario]])</f>
        <v>3924.6</v>
      </c>
      <c r="Q1236">
        <f>IF(OR(TablaVentas[[#This Row],[Ingreso_neto]]="PENDIENTE",TablaVentas[[#This Row],[Costo_total]]="PENDIENTE"),"PENDIENTE",TablaVentas[[#This Row],[Ingreso_neto]]-TablaVentas[[#This Row],[Costo_total]])</f>
        <v>536.26400000000058</v>
      </c>
    </row>
    <row r="1237" spans="1:17">
      <c r="A1237" t="s">
        <v>894</v>
      </c>
      <c r="B1237">
        <v>3</v>
      </c>
      <c r="C1237" s="3">
        <v>46222</v>
      </c>
      <c r="D1237" t="s">
        <v>639</v>
      </c>
      <c r="E1237" t="s">
        <v>212</v>
      </c>
      <c r="F1237" t="s">
        <v>39</v>
      </c>
      <c r="G1237" t="s">
        <v>50</v>
      </c>
      <c r="H1237" t="s">
        <v>67</v>
      </c>
      <c r="I1237">
        <v>1</v>
      </c>
      <c r="J1237" s="4">
        <v>3804.88</v>
      </c>
      <c r="K1237" s="5">
        <v>0</v>
      </c>
      <c r="L1237" s="4">
        <v>2157.5500000000002</v>
      </c>
      <c r="M1237" t="s">
        <v>116</v>
      </c>
      <c r="N1237" t="s">
        <v>45</v>
      </c>
      <c r="O1237">
        <f>IF(TablaVentas[[#This Row],[Precio_unitario]]="","PENDIENTE",TablaVentas[[#This Row],[Unidades]]*TablaVentas[[#This Row],[Precio_unitario]]*(1-TablaVentas[[#This Row],[Descuento_pct]]))</f>
        <v>3804.88</v>
      </c>
      <c r="P1237">
        <f>IF(TablaVentas[[#This Row],[Costo_unitario]]="","PENDIENTE",TablaVentas[[#This Row],[Unidades]]*TablaVentas[[#This Row],[Costo_unitario]])</f>
        <v>2157.5500000000002</v>
      </c>
      <c r="Q1237">
        <f>IF(OR(TablaVentas[[#This Row],[Ingreso_neto]]="PENDIENTE",TablaVentas[[#This Row],[Costo_total]]="PENDIENTE"),"PENDIENTE",TablaVentas[[#This Row],[Ingreso_neto]]-TablaVentas[[#This Row],[Costo_total]])</f>
        <v>1647.33</v>
      </c>
    </row>
    <row r="1238" spans="1:17">
      <c r="A1238" t="s">
        <v>895</v>
      </c>
      <c r="B1238">
        <v>1</v>
      </c>
      <c r="C1238" s="3">
        <v>46247</v>
      </c>
      <c r="D1238" t="s">
        <v>532</v>
      </c>
      <c r="E1238" t="s">
        <v>211</v>
      </c>
      <c r="F1238" t="s">
        <v>39</v>
      </c>
      <c r="G1238" t="s">
        <v>57</v>
      </c>
      <c r="H1238" t="s">
        <v>82</v>
      </c>
      <c r="I1238">
        <v>8</v>
      </c>
      <c r="J1238" s="4">
        <v>17986.37</v>
      </c>
      <c r="K1238" s="5">
        <v>0.2</v>
      </c>
      <c r="L1238" s="4">
        <v>13760.53</v>
      </c>
      <c r="M1238" t="s">
        <v>42</v>
      </c>
      <c r="N1238" t="s">
        <v>60</v>
      </c>
      <c r="O1238">
        <f>IF(TablaVentas[[#This Row],[Precio_unitario]]="","PENDIENTE",TablaVentas[[#This Row],[Unidades]]*TablaVentas[[#This Row],[Precio_unitario]]*(1-TablaVentas[[#This Row],[Descuento_pct]]))</f>
        <v>115112.768</v>
      </c>
      <c r="P1238">
        <f>IF(TablaVentas[[#This Row],[Costo_unitario]]="","PENDIENTE",TablaVentas[[#This Row],[Unidades]]*TablaVentas[[#This Row],[Costo_unitario]])</f>
        <v>110084.24</v>
      </c>
      <c r="Q1238">
        <f>IF(OR(TablaVentas[[#This Row],[Ingreso_neto]]="PENDIENTE",TablaVentas[[#This Row],[Costo_total]]="PENDIENTE"),"PENDIENTE",TablaVentas[[#This Row],[Ingreso_neto]]-TablaVentas[[#This Row],[Costo_total]])</f>
        <v>5028.5279999999912</v>
      </c>
    </row>
    <row r="1239" spans="1:17">
      <c r="A1239" t="s">
        <v>895</v>
      </c>
      <c r="B1239">
        <v>2</v>
      </c>
      <c r="C1239" s="3">
        <v>46247</v>
      </c>
      <c r="D1239" t="s">
        <v>532</v>
      </c>
      <c r="E1239" t="s">
        <v>135</v>
      </c>
      <c r="F1239" t="s">
        <v>39</v>
      </c>
      <c r="G1239" t="s">
        <v>57</v>
      </c>
      <c r="H1239" t="s">
        <v>82</v>
      </c>
      <c r="I1239">
        <v>2</v>
      </c>
      <c r="J1239" s="4">
        <v>1967.24</v>
      </c>
      <c r="K1239" s="5">
        <v>0</v>
      </c>
      <c r="L1239" s="4">
        <v>1529.93</v>
      </c>
      <c r="M1239" t="s">
        <v>42</v>
      </c>
      <c r="N1239" t="s">
        <v>60</v>
      </c>
      <c r="O1239">
        <f>IF(TablaVentas[[#This Row],[Precio_unitario]]="","PENDIENTE",TablaVentas[[#This Row],[Unidades]]*TablaVentas[[#This Row],[Precio_unitario]]*(1-TablaVentas[[#This Row],[Descuento_pct]]))</f>
        <v>3934.48</v>
      </c>
      <c r="P1239">
        <f>IF(TablaVentas[[#This Row],[Costo_unitario]]="","PENDIENTE",TablaVentas[[#This Row],[Unidades]]*TablaVentas[[#This Row],[Costo_unitario]])</f>
        <v>3059.86</v>
      </c>
      <c r="Q1239">
        <f>IF(OR(TablaVentas[[#This Row],[Ingreso_neto]]="PENDIENTE",TablaVentas[[#This Row],[Costo_total]]="PENDIENTE"),"PENDIENTE",TablaVentas[[#This Row],[Ingreso_neto]]-TablaVentas[[#This Row],[Costo_total]])</f>
        <v>874.61999999999989</v>
      </c>
    </row>
    <row r="1240" spans="1:17">
      <c r="A1240" t="s">
        <v>896</v>
      </c>
      <c r="B1240">
        <v>1</v>
      </c>
      <c r="C1240" s="3">
        <v>46065</v>
      </c>
      <c r="D1240" t="s">
        <v>80</v>
      </c>
      <c r="E1240" t="s">
        <v>93</v>
      </c>
      <c r="F1240" t="s">
        <v>66</v>
      </c>
      <c r="G1240" t="s">
        <v>50</v>
      </c>
      <c r="H1240" t="s">
        <v>102</v>
      </c>
      <c r="I1240">
        <v>3</v>
      </c>
      <c r="J1240" s="4">
        <v>16376.82</v>
      </c>
      <c r="K1240" s="5">
        <v>0</v>
      </c>
      <c r="L1240" s="4">
        <v>8788.7900000000009</v>
      </c>
      <c r="M1240" t="s">
        <v>42</v>
      </c>
      <c r="N1240" t="s">
        <v>45</v>
      </c>
      <c r="O1240">
        <f>IF(TablaVentas[[#This Row],[Precio_unitario]]="","PENDIENTE",TablaVentas[[#This Row],[Unidades]]*TablaVentas[[#This Row],[Precio_unitario]]*(1-TablaVentas[[#This Row],[Descuento_pct]]))</f>
        <v>49130.46</v>
      </c>
      <c r="P1240">
        <f>IF(TablaVentas[[#This Row],[Costo_unitario]]="","PENDIENTE",TablaVentas[[#This Row],[Unidades]]*TablaVentas[[#This Row],[Costo_unitario]])</f>
        <v>26366.370000000003</v>
      </c>
      <c r="Q1240">
        <f>IF(OR(TablaVentas[[#This Row],[Ingreso_neto]]="PENDIENTE",TablaVentas[[#This Row],[Costo_total]]="PENDIENTE"),"PENDIENTE",TablaVentas[[#This Row],[Ingreso_neto]]-TablaVentas[[#This Row],[Costo_total]])</f>
        <v>22764.089999999997</v>
      </c>
    </row>
    <row r="1241" spans="1:17">
      <c r="A1241" t="s">
        <v>897</v>
      </c>
      <c r="B1241">
        <v>1</v>
      </c>
      <c r="C1241" s="3">
        <v>46116</v>
      </c>
      <c r="D1241" t="s">
        <v>620</v>
      </c>
      <c r="E1241" t="s">
        <v>367</v>
      </c>
      <c r="F1241" t="s">
        <v>66</v>
      </c>
      <c r="G1241" t="s">
        <v>57</v>
      </c>
      <c r="H1241" t="s">
        <v>82</v>
      </c>
      <c r="I1241">
        <v>2</v>
      </c>
      <c r="J1241" s="4">
        <v>9671.4599999999991</v>
      </c>
      <c r="K1241" s="5">
        <v>0</v>
      </c>
      <c r="L1241" s="4">
        <v>5079.43</v>
      </c>
      <c r="M1241" t="s">
        <v>42</v>
      </c>
      <c r="N1241" t="s">
        <v>52</v>
      </c>
      <c r="O1241">
        <f>IF(TablaVentas[[#This Row],[Precio_unitario]]="","PENDIENTE",TablaVentas[[#This Row],[Unidades]]*TablaVentas[[#This Row],[Precio_unitario]]*(1-TablaVentas[[#This Row],[Descuento_pct]]))</f>
        <v>19342.919999999998</v>
      </c>
      <c r="P1241">
        <f>IF(TablaVentas[[#This Row],[Costo_unitario]]="","PENDIENTE",TablaVentas[[#This Row],[Unidades]]*TablaVentas[[#This Row],[Costo_unitario]])</f>
        <v>10158.86</v>
      </c>
      <c r="Q1241">
        <f>IF(OR(TablaVentas[[#This Row],[Ingreso_neto]]="PENDIENTE",TablaVentas[[#This Row],[Costo_total]]="PENDIENTE"),"PENDIENTE",TablaVentas[[#This Row],[Ingreso_neto]]-TablaVentas[[#This Row],[Costo_total]])</f>
        <v>9184.0599999999977</v>
      </c>
    </row>
    <row r="1242" spans="1:17">
      <c r="A1242" t="s">
        <v>898</v>
      </c>
      <c r="B1242">
        <v>1</v>
      </c>
      <c r="C1242" s="3">
        <v>46157</v>
      </c>
      <c r="D1242" t="s">
        <v>287</v>
      </c>
      <c r="E1242" t="s">
        <v>89</v>
      </c>
      <c r="F1242" t="s">
        <v>39</v>
      </c>
      <c r="G1242" t="s">
        <v>40</v>
      </c>
      <c r="H1242" t="s">
        <v>41</v>
      </c>
      <c r="I1242">
        <v>1</v>
      </c>
      <c r="J1242" s="4">
        <v>11801.49</v>
      </c>
      <c r="K1242" s="5">
        <v>0.1</v>
      </c>
      <c r="L1242" s="4">
        <v>9118.07</v>
      </c>
      <c r="M1242" t="s">
        <v>42</v>
      </c>
      <c r="N1242" t="s">
        <v>52</v>
      </c>
      <c r="O1242">
        <f>IF(TablaVentas[[#This Row],[Precio_unitario]]="","PENDIENTE",TablaVentas[[#This Row],[Unidades]]*TablaVentas[[#This Row],[Precio_unitario]]*(1-TablaVentas[[#This Row],[Descuento_pct]]))</f>
        <v>10621.341</v>
      </c>
      <c r="P1242">
        <f>IF(TablaVentas[[#This Row],[Costo_unitario]]="","PENDIENTE",TablaVentas[[#This Row],[Unidades]]*TablaVentas[[#This Row],[Costo_unitario]])</f>
        <v>9118.07</v>
      </c>
      <c r="Q1242">
        <f>IF(OR(TablaVentas[[#This Row],[Ingreso_neto]]="PENDIENTE",TablaVentas[[#This Row],[Costo_total]]="PENDIENTE"),"PENDIENTE",TablaVentas[[#This Row],[Ingreso_neto]]-TablaVentas[[#This Row],[Costo_total]])</f>
        <v>1503.2710000000006</v>
      </c>
    </row>
    <row r="1243" spans="1:17">
      <c r="A1243" t="s">
        <v>899</v>
      </c>
      <c r="B1243">
        <v>1</v>
      </c>
      <c r="C1243" s="3">
        <v>46230</v>
      </c>
      <c r="D1243" t="s">
        <v>64</v>
      </c>
      <c r="E1243" t="s">
        <v>353</v>
      </c>
      <c r="F1243" t="s">
        <v>39</v>
      </c>
      <c r="G1243" t="s">
        <v>40</v>
      </c>
      <c r="H1243" t="s">
        <v>82</v>
      </c>
      <c r="I1243">
        <v>3</v>
      </c>
      <c r="J1243" s="4">
        <v>2001.33</v>
      </c>
      <c r="K1243" s="5">
        <v>0.2</v>
      </c>
      <c r="L1243" s="4">
        <v>1479.71</v>
      </c>
      <c r="M1243" t="s">
        <v>42</v>
      </c>
      <c r="N1243" t="s">
        <v>52</v>
      </c>
      <c r="O1243">
        <f>IF(TablaVentas[[#This Row],[Precio_unitario]]="","PENDIENTE",TablaVentas[[#This Row],[Unidades]]*TablaVentas[[#This Row],[Precio_unitario]]*(1-TablaVentas[[#This Row],[Descuento_pct]]))</f>
        <v>4803.192</v>
      </c>
      <c r="P1243">
        <f>IF(TablaVentas[[#This Row],[Costo_unitario]]="","PENDIENTE",TablaVentas[[#This Row],[Unidades]]*TablaVentas[[#This Row],[Costo_unitario]])</f>
        <v>4439.13</v>
      </c>
      <c r="Q1243">
        <f>IF(OR(TablaVentas[[#This Row],[Ingreso_neto]]="PENDIENTE",TablaVentas[[#This Row],[Costo_total]]="PENDIENTE"),"PENDIENTE",TablaVentas[[#This Row],[Ingreso_neto]]-TablaVentas[[#This Row],[Costo_total]])</f>
        <v>364.0619999999999</v>
      </c>
    </row>
    <row r="1244" spans="1:17">
      <c r="A1244" t="s">
        <v>899</v>
      </c>
      <c r="B1244">
        <v>2</v>
      </c>
      <c r="C1244" s="3">
        <v>46230</v>
      </c>
      <c r="D1244" t="s">
        <v>64</v>
      </c>
      <c r="E1244" t="s">
        <v>120</v>
      </c>
      <c r="F1244" t="s">
        <v>39</v>
      </c>
      <c r="G1244" t="s">
        <v>40</v>
      </c>
      <c r="H1244" t="s">
        <v>82</v>
      </c>
      <c r="I1244">
        <v>1</v>
      </c>
      <c r="J1244" s="4">
        <v>14075.51</v>
      </c>
      <c r="K1244" s="5">
        <v>0.15</v>
      </c>
      <c r="L1244" s="4">
        <v>7975.26</v>
      </c>
      <c r="M1244" t="s">
        <v>42</v>
      </c>
      <c r="N1244" t="s">
        <v>45</v>
      </c>
      <c r="O1244">
        <f>IF(TablaVentas[[#This Row],[Precio_unitario]]="","PENDIENTE",TablaVentas[[#This Row],[Unidades]]*TablaVentas[[#This Row],[Precio_unitario]]*(1-TablaVentas[[#This Row],[Descuento_pct]]))</f>
        <v>11964.183499999999</v>
      </c>
      <c r="P1244">
        <f>IF(TablaVentas[[#This Row],[Costo_unitario]]="","PENDIENTE",TablaVentas[[#This Row],[Unidades]]*TablaVentas[[#This Row],[Costo_unitario]])</f>
        <v>7975.26</v>
      </c>
      <c r="Q1244">
        <f>IF(OR(TablaVentas[[#This Row],[Ingreso_neto]]="PENDIENTE",TablaVentas[[#This Row],[Costo_total]]="PENDIENTE"),"PENDIENTE",TablaVentas[[#This Row],[Ingreso_neto]]-TablaVentas[[#This Row],[Costo_total]])</f>
        <v>3988.923499999999</v>
      </c>
    </row>
    <row r="1245" spans="1:17">
      <c r="A1245" t="s">
        <v>899</v>
      </c>
      <c r="B1245">
        <v>3</v>
      </c>
      <c r="C1245" s="3">
        <v>46230</v>
      </c>
      <c r="D1245" t="s">
        <v>64</v>
      </c>
      <c r="E1245" t="s">
        <v>155</v>
      </c>
      <c r="F1245" t="s">
        <v>39</v>
      </c>
      <c r="G1245" t="s">
        <v>40</v>
      </c>
      <c r="H1245" t="s">
        <v>82</v>
      </c>
      <c r="I1245">
        <v>8</v>
      </c>
      <c r="J1245" s="4">
        <v>722.61</v>
      </c>
      <c r="K1245" s="5">
        <v>0.05</v>
      </c>
      <c r="L1245" s="4">
        <v>397.1</v>
      </c>
      <c r="M1245" t="s">
        <v>42</v>
      </c>
      <c r="N1245" t="s">
        <v>60</v>
      </c>
      <c r="O1245">
        <f>IF(TablaVentas[[#This Row],[Precio_unitario]]="","PENDIENTE",TablaVentas[[#This Row],[Unidades]]*TablaVentas[[#This Row],[Precio_unitario]]*(1-TablaVentas[[#This Row],[Descuento_pct]]))</f>
        <v>5491.8360000000002</v>
      </c>
      <c r="P1245">
        <f>IF(TablaVentas[[#This Row],[Costo_unitario]]="","PENDIENTE",TablaVentas[[#This Row],[Unidades]]*TablaVentas[[#This Row],[Costo_unitario]])</f>
        <v>3176.8</v>
      </c>
      <c r="Q1245">
        <f>IF(OR(TablaVentas[[#This Row],[Ingreso_neto]]="PENDIENTE",TablaVentas[[#This Row],[Costo_total]]="PENDIENTE"),"PENDIENTE",TablaVentas[[#This Row],[Ingreso_neto]]-TablaVentas[[#This Row],[Costo_total]])</f>
        <v>2315.0360000000001</v>
      </c>
    </row>
    <row r="1246" spans="1:17">
      <c r="A1246" t="s">
        <v>900</v>
      </c>
      <c r="B1246">
        <v>1</v>
      </c>
      <c r="C1246" s="3">
        <v>46127</v>
      </c>
      <c r="D1246" t="s">
        <v>118</v>
      </c>
      <c r="E1246" t="s">
        <v>203</v>
      </c>
      <c r="F1246" t="s">
        <v>77</v>
      </c>
      <c r="G1246" t="s">
        <v>40</v>
      </c>
      <c r="H1246" t="s">
        <v>82</v>
      </c>
      <c r="I1246">
        <v>8</v>
      </c>
      <c r="J1246" s="4">
        <v>1958.31</v>
      </c>
      <c r="K1246" s="5">
        <v>0</v>
      </c>
      <c r="L1246" s="4">
        <v>1252.8399999999999</v>
      </c>
      <c r="M1246" t="s">
        <v>62</v>
      </c>
      <c r="N1246" t="s">
        <v>45</v>
      </c>
      <c r="O1246">
        <f>IF(TablaVentas[[#This Row],[Precio_unitario]]="","PENDIENTE",TablaVentas[[#This Row],[Unidades]]*TablaVentas[[#This Row],[Precio_unitario]]*(1-TablaVentas[[#This Row],[Descuento_pct]]))</f>
        <v>15666.48</v>
      </c>
      <c r="P1246">
        <f>IF(TablaVentas[[#This Row],[Costo_unitario]]="","PENDIENTE",TablaVentas[[#This Row],[Unidades]]*TablaVentas[[#This Row],[Costo_unitario]])</f>
        <v>10022.719999999999</v>
      </c>
      <c r="Q1246">
        <f>IF(OR(TablaVentas[[#This Row],[Ingreso_neto]]="PENDIENTE",TablaVentas[[#This Row],[Costo_total]]="PENDIENTE"),"PENDIENTE",TablaVentas[[#This Row],[Ingreso_neto]]-TablaVentas[[#This Row],[Costo_total]])</f>
        <v>5643.76</v>
      </c>
    </row>
    <row r="1247" spans="1:17">
      <c r="A1247" t="s">
        <v>900</v>
      </c>
      <c r="B1247">
        <v>2</v>
      </c>
      <c r="C1247" s="3">
        <v>46127</v>
      </c>
      <c r="D1247" t="s">
        <v>118</v>
      </c>
      <c r="E1247" t="s">
        <v>113</v>
      </c>
      <c r="F1247" t="s">
        <v>77</v>
      </c>
      <c r="G1247" t="s">
        <v>40</v>
      </c>
      <c r="H1247" t="s">
        <v>82</v>
      </c>
      <c r="I1247">
        <v>3</v>
      </c>
      <c r="J1247" s="4">
        <v>2956.37</v>
      </c>
      <c r="K1247" s="5">
        <v>0</v>
      </c>
      <c r="L1247" s="4">
        <v>2196.34</v>
      </c>
      <c r="M1247" t="s">
        <v>42</v>
      </c>
      <c r="N1247" t="s">
        <v>43</v>
      </c>
      <c r="O1247">
        <f>IF(TablaVentas[[#This Row],[Precio_unitario]]="","PENDIENTE",TablaVentas[[#This Row],[Unidades]]*TablaVentas[[#This Row],[Precio_unitario]]*(1-TablaVentas[[#This Row],[Descuento_pct]]))</f>
        <v>8869.11</v>
      </c>
      <c r="P1247">
        <f>IF(TablaVentas[[#This Row],[Costo_unitario]]="","PENDIENTE",TablaVentas[[#This Row],[Unidades]]*TablaVentas[[#This Row],[Costo_unitario]])</f>
        <v>6589.02</v>
      </c>
      <c r="Q1247">
        <f>IF(OR(TablaVentas[[#This Row],[Ingreso_neto]]="PENDIENTE",TablaVentas[[#This Row],[Costo_total]]="PENDIENTE"),"PENDIENTE",TablaVentas[[#This Row],[Ingreso_neto]]-TablaVentas[[#This Row],[Costo_total]])</f>
        <v>2280.09</v>
      </c>
    </row>
    <row r="1248" spans="1:17">
      <c r="A1248" t="s">
        <v>901</v>
      </c>
      <c r="B1248">
        <v>1</v>
      </c>
      <c r="C1248" s="3">
        <v>46100</v>
      </c>
      <c r="D1248" t="s">
        <v>200</v>
      </c>
      <c r="E1248" t="s">
        <v>101</v>
      </c>
      <c r="F1248" t="s">
        <v>56</v>
      </c>
      <c r="G1248" t="s">
        <v>50</v>
      </c>
      <c r="H1248" t="s">
        <v>67</v>
      </c>
      <c r="I1248">
        <v>1</v>
      </c>
      <c r="J1248" s="4">
        <v>5336.03</v>
      </c>
      <c r="K1248" s="5">
        <v>0.2</v>
      </c>
      <c r="L1248" s="4">
        <v>2865.24</v>
      </c>
      <c r="M1248" t="s">
        <v>116</v>
      </c>
      <c r="N1248" t="s">
        <v>60</v>
      </c>
      <c r="O1248">
        <f>IF(TablaVentas[[#This Row],[Precio_unitario]]="","PENDIENTE",TablaVentas[[#This Row],[Unidades]]*TablaVentas[[#This Row],[Precio_unitario]]*(1-TablaVentas[[#This Row],[Descuento_pct]]))</f>
        <v>4268.8239999999996</v>
      </c>
      <c r="P1248">
        <f>IF(TablaVentas[[#This Row],[Costo_unitario]]="","PENDIENTE",TablaVentas[[#This Row],[Unidades]]*TablaVentas[[#This Row],[Costo_unitario]])</f>
        <v>2865.24</v>
      </c>
      <c r="Q1248">
        <f>IF(OR(TablaVentas[[#This Row],[Ingreso_neto]]="PENDIENTE",TablaVentas[[#This Row],[Costo_total]]="PENDIENTE"),"PENDIENTE",TablaVentas[[#This Row],[Ingreso_neto]]-TablaVentas[[#This Row],[Costo_total]])</f>
        <v>1403.5839999999998</v>
      </c>
    </row>
    <row r="1249" spans="1:17">
      <c r="A1249" t="s">
        <v>901</v>
      </c>
      <c r="B1249">
        <v>2</v>
      </c>
      <c r="C1249" s="3">
        <v>46100</v>
      </c>
      <c r="D1249" t="s">
        <v>200</v>
      </c>
      <c r="E1249" t="s">
        <v>226</v>
      </c>
      <c r="F1249" t="s">
        <v>56</v>
      </c>
      <c r="G1249" t="s">
        <v>50</v>
      </c>
      <c r="H1249" t="s">
        <v>67</v>
      </c>
      <c r="I1249">
        <v>1</v>
      </c>
      <c r="J1249" s="4">
        <v>18855.669999999998</v>
      </c>
      <c r="K1249" s="5">
        <v>0.1</v>
      </c>
      <c r="L1249" s="4">
        <v>9976.68</v>
      </c>
      <c r="M1249" t="s">
        <v>42</v>
      </c>
      <c r="N1249" t="s">
        <v>45</v>
      </c>
      <c r="O1249">
        <f>IF(TablaVentas[[#This Row],[Precio_unitario]]="","PENDIENTE",TablaVentas[[#This Row],[Unidades]]*TablaVentas[[#This Row],[Precio_unitario]]*(1-TablaVentas[[#This Row],[Descuento_pct]]))</f>
        <v>16970.102999999999</v>
      </c>
      <c r="P1249">
        <f>IF(TablaVentas[[#This Row],[Costo_unitario]]="","PENDIENTE",TablaVentas[[#This Row],[Unidades]]*TablaVentas[[#This Row],[Costo_unitario]])</f>
        <v>9976.68</v>
      </c>
      <c r="Q1249">
        <f>IF(OR(TablaVentas[[#This Row],[Ingreso_neto]]="PENDIENTE",TablaVentas[[#This Row],[Costo_total]]="PENDIENTE"),"PENDIENTE",TablaVentas[[#This Row],[Ingreso_neto]]-TablaVentas[[#This Row],[Costo_total]])</f>
        <v>6993.4229999999989</v>
      </c>
    </row>
    <row r="1250" spans="1:17">
      <c r="A1250" t="s">
        <v>901</v>
      </c>
      <c r="B1250">
        <v>3</v>
      </c>
      <c r="C1250" s="3">
        <v>46100</v>
      </c>
      <c r="D1250" t="s">
        <v>200</v>
      </c>
      <c r="E1250" t="s">
        <v>164</v>
      </c>
      <c r="F1250" t="s">
        <v>56</v>
      </c>
      <c r="G1250" t="s">
        <v>50</v>
      </c>
      <c r="H1250" t="s">
        <v>67</v>
      </c>
      <c r="I1250">
        <v>3</v>
      </c>
      <c r="J1250" s="4">
        <v>5769.28</v>
      </c>
      <c r="K1250" s="5">
        <v>0.15</v>
      </c>
      <c r="L1250" s="4">
        <v>5050.04</v>
      </c>
      <c r="M1250" t="s">
        <v>42</v>
      </c>
      <c r="N1250" t="s">
        <v>43</v>
      </c>
      <c r="O1250">
        <f>IF(TablaVentas[[#This Row],[Precio_unitario]]="","PENDIENTE",TablaVentas[[#This Row],[Unidades]]*TablaVentas[[#This Row],[Precio_unitario]]*(1-TablaVentas[[#This Row],[Descuento_pct]]))</f>
        <v>14711.663999999999</v>
      </c>
      <c r="P1250">
        <f>IF(TablaVentas[[#This Row],[Costo_unitario]]="","PENDIENTE",TablaVentas[[#This Row],[Unidades]]*TablaVentas[[#This Row],[Costo_unitario]])</f>
        <v>15150.119999999999</v>
      </c>
      <c r="Q1250">
        <f>IF(OR(TablaVentas[[#This Row],[Ingreso_neto]]="PENDIENTE",TablaVentas[[#This Row],[Costo_total]]="PENDIENTE"),"PENDIENTE",TablaVentas[[#This Row],[Ingreso_neto]]-TablaVentas[[#This Row],[Costo_total]])</f>
        <v>-438.45600000000013</v>
      </c>
    </row>
    <row r="1251" spans="1:17">
      <c r="A1251" t="s">
        <v>902</v>
      </c>
      <c r="B1251">
        <v>1</v>
      </c>
      <c r="C1251" s="3">
        <v>46163</v>
      </c>
      <c r="D1251" t="s">
        <v>903</v>
      </c>
      <c r="E1251" t="s">
        <v>208</v>
      </c>
      <c r="F1251" t="s">
        <v>66</v>
      </c>
      <c r="G1251" t="s">
        <v>50</v>
      </c>
      <c r="H1251" t="s">
        <v>51</v>
      </c>
      <c r="I1251">
        <v>4</v>
      </c>
      <c r="J1251" s="4">
        <v>9645.7199999999993</v>
      </c>
      <c r="K1251" s="5">
        <v>0.2</v>
      </c>
      <c r="L1251" s="4">
        <v>5535.31</v>
      </c>
      <c r="M1251" t="s">
        <v>42</v>
      </c>
      <c r="N1251" t="s">
        <v>60</v>
      </c>
      <c r="O1251">
        <f>IF(TablaVentas[[#This Row],[Precio_unitario]]="","PENDIENTE",TablaVentas[[#This Row],[Unidades]]*TablaVentas[[#This Row],[Precio_unitario]]*(1-TablaVentas[[#This Row],[Descuento_pct]]))</f>
        <v>30866.304</v>
      </c>
      <c r="P1251">
        <f>IF(TablaVentas[[#This Row],[Costo_unitario]]="","PENDIENTE",TablaVentas[[#This Row],[Unidades]]*TablaVentas[[#This Row],[Costo_unitario]])</f>
        <v>22141.24</v>
      </c>
      <c r="Q1251">
        <f>IF(OR(TablaVentas[[#This Row],[Ingreso_neto]]="PENDIENTE",TablaVentas[[#This Row],[Costo_total]]="PENDIENTE"),"PENDIENTE",TablaVentas[[#This Row],[Ingreso_neto]]-TablaVentas[[#This Row],[Costo_total]])</f>
        <v>8725.0639999999985</v>
      </c>
    </row>
    <row r="1252" spans="1:17">
      <c r="A1252" t="s">
        <v>902</v>
      </c>
      <c r="B1252">
        <v>2</v>
      </c>
      <c r="C1252" s="3">
        <v>46163</v>
      </c>
      <c r="D1252" t="s">
        <v>903</v>
      </c>
      <c r="E1252" t="s">
        <v>193</v>
      </c>
      <c r="F1252" t="s">
        <v>66</v>
      </c>
      <c r="G1252" t="s">
        <v>50</v>
      </c>
      <c r="H1252" t="s">
        <v>51</v>
      </c>
      <c r="I1252">
        <v>1</v>
      </c>
      <c r="J1252" s="4">
        <v>10655.7</v>
      </c>
      <c r="K1252" s="5">
        <v>0</v>
      </c>
      <c r="L1252" s="4">
        <v>5811.72</v>
      </c>
      <c r="M1252" t="s">
        <v>42</v>
      </c>
      <c r="N1252" t="s">
        <v>43</v>
      </c>
      <c r="O1252">
        <f>IF(TablaVentas[[#This Row],[Precio_unitario]]="","PENDIENTE",TablaVentas[[#This Row],[Unidades]]*TablaVentas[[#This Row],[Precio_unitario]]*(1-TablaVentas[[#This Row],[Descuento_pct]]))</f>
        <v>10655.7</v>
      </c>
      <c r="P1252">
        <f>IF(TablaVentas[[#This Row],[Costo_unitario]]="","PENDIENTE",TablaVentas[[#This Row],[Unidades]]*TablaVentas[[#This Row],[Costo_unitario]])</f>
        <v>5811.72</v>
      </c>
      <c r="Q1252">
        <f>IF(OR(TablaVentas[[#This Row],[Ingreso_neto]]="PENDIENTE",TablaVentas[[#This Row],[Costo_total]]="PENDIENTE"),"PENDIENTE",TablaVentas[[#This Row],[Ingreso_neto]]-TablaVentas[[#This Row],[Costo_total]])</f>
        <v>4843.9800000000005</v>
      </c>
    </row>
    <row r="1253" spans="1:17">
      <c r="A1253" t="s">
        <v>904</v>
      </c>
      <c r="B1253">
        <v>1</v>
      </c>
      <c r="C1253" s="3">
        <v>46273</v>
      </c>
      <c r="D1253" t="s">
        <v>75</v>
      </c>
      <c r="E1253" t="s">
        <v>180</v>
      </c>
      <c r="F1253" t="s">
        <v>77</v>
      </c>
      <c r="G1253" t="s">
        <v>57</v>
      </c>
      <c r="H1253" t="s">
        <v>73</v>
      </c>
      <c r="I1253">
        <v>2</v>
      </c>
      <c r="J1253" s="4">
        <v>6014.21</v>
      </c>
      <c r="K1253" s="5">
        <v>0</v>
      </c>
      <c r="L1253" s="4">
        <v>3824.92</v>
      </c>
      <c r="M1253" t="s">
        <v>42</v>
      </c>
      <c r="N1253" t="s">
        <v>45</v>
      </c>
      <c r="O1253">
        <f>IF(TablaVentas[[#This Row],[Precio_unitario]]="","PENDIENTE",TablaVentas[[#This Row],[Unidades]]*TablaVentas[[#This Row],[Precio_unitario]]*(1-TablaVentas[[#This Row],[Descuento_pct]]))</f>
        <v>12028.42</v>
      </c>
      <c r="P1253">
        <f>IF(TablaVentas[[#This Row],[Costo_unitario]]="","PENDIENTE",TablaVentas[[#This Row],[Unidades]]*TablaVentas[[#This Row],[Costo_unitario]])</f>
        <v>7649.84</v>
      </c>
      <c r="Q1253">
        <f>IF(OR(TablaVentas[[#This Row],[Ingreso_neto]]="PENDIENTE",TablaVentas[[#This Row],[Costo_total]]="PENDIENTE"),"PENDIENTE",TablaVentas[[#This Row],[Ingreso_neto]]-TablaVentas[[#This Row],[Costo_total]])</f>
        <v>4378.58</v>
      </c>
    </row>
    <row r="1254" spans="1:17">
      <c r="A1254" t="s">
        <v>904</v>
      </c>
      <c r="B1254">
        <v>2</v>
      </c>
      <c r="C1254" s="3">
        <v>46273</v>
      </c>
      <c r="D1254" t="s">
        <v>75</v>
      </c>
      <c r="E1254" t="s">
        <v>97</v>
      </c>
      <c r="F1254" t="s">
        <v>77</v>
      </c>
      <c r="G1254" t="s">
        <v>57</v>
      </c>
      <c r="H1254" t="s">
        <v>73</v>
      </c>
      <c r="I1254">
        <v>5</v>
      </c>
      <c r="J1254" s="4">
        <v>14249.74</v>
      </c>
      <c r="K1254" s="5">
        <v>0</v>
      </c>
      <c r="L1254" s="4">
        <v>11424.77</v>
      </c>
      <c r="M1254" t="s">
        <v>42</v>
      </c>
      <c r="N1254" t="s">
        <v>60</v>
      </c>
      <c r="O1254">
        <f>IF(TablaVentas[[#This Row],[Precio_unitario]]="","PENDIENTE",TablaVentas[[#This Row],[Unidades]]*TablaVentas[[#This Row],[Precio_unitario]]*(1-TablaVentas[[#This Row],[Descuento_pct]]))</f>
        <v>71248.7</v>
      </c>
      <c r="P1254">
        <f>IF(TablaVentas[[#This Row],[Costo_unitario]]="","PENDIENTE",TablaVentas[[#This Row],[Unidades]]*TablaVentas[[#This Row],[Costo_unitario]])</f>
        <v>57123.850000000006</v>
      </c>
      <c r="Q1254">
        <f>IF(OR(TablaVentas[[#This Row],[Ingreso_neto]]="PENDIENTE",TablaVentas[[#This Row],[Costo_total]]="PENDIENTE"),"PENDIENTE",TablaVentas[[#This Row],[Ingreso_neto]]-TablaVentas[[#This Row],[Costo_total]])</f>
        <v>14124.849999999991</v>
      </c>
    </row>
    <row r="1255" spans="1:17">
      <c r="A1255" t="s">
        <v>904</v>
      </c>
      <c r="B1255">
        <v>3</v>
      </c>
      <c r="C1255" s="3">
        <v>46273</v>
      </c>
      <c r="D1255" t="s">
        <v>75</v>
      </c>
      <c r="E1255" t="s">
        <v>81</v>
      </c>
      <c r="F1255" t="s">
        <v>77</v>
      </c>
      <c r="G1255" t="s">
        <v>57</v>
      </c>
      <c r="H1255" t="s">
        <v>73</v>
      </c>
      <c r="I1255">
        <v>2</v>
      </c>
      <c r="J1255" s="4">
        <v>16608.490000000002</v>
      </c>
      <c r="K1255" s="5">
        <v>0.1</v>
      </c>
      <c r="L1255" s="4">
        <v>11614.87</v>
      </c>
      <c r="M1255" t="s">
        <v>42</v>
      </c>
      <c r="N1255" t="s">
        <v>43</v>
      </c>
      <c r="O1255">
        <f>IF(TablaVentas[[#This Row],[Precio_unitario]]="","PENDIENTE",TablaVentas[[#This Row],[Unidades]]*TablaVentas[[#This Row],[Precio_unitario]]*(1-TablaVentas[[#This Row],[Descuento_pct]]))</f>
        <v>29895.282000000003</v>
      </c>
      <c r="P1255">
        <f>IF(TablaVentas[[#This Row],[Costo_unitario]]="","PENDIENTE",TablaVentas[[#This Row],[Unidades]]*TablaVentas[[#This Row],[Costo_unitario]])</f>
        <v>23229.74</v>
      </c>
      <c r="Q1255">
        <f>IF(OR(TablaVentas[[#This Row],[Ingreso_neto]]="PENDIENTE",TablaVentas[[#This Row],[Costo_total]]="PENDIENTE"),"PENDIENTE",TablaVentas[[#This Row],[Ingreso_neto]]-TablaVentas[[#This Row],[Costo_total]])</f>
        <v>6665.5420000000013</v>
      </c>
    </row>
    <row r="1256" spans="1:17">
      <c r="A1256" t="s">
        <v>905</v>
      </c>
      <c r="B1256">
        <v>1</v>
      </c>
      <c r="C1256" s="3">
        <v>46214</v>
      </c>
      <c r="D1256" t="s">
        <v>482</v>
      </c>
      <c r="E1256" t="s">
        <v>81</v>
      </c>
      <c r="F1256" t="s">
        <v>66</v>
      </c>
      <c r="G1256" t="s">
        <v>40</v>
      </c>
      <c r="H1256" t="s">
        <v>129</v>
      </c>
      <c r="I1256">
        <v>8</v>
      </c>
      <c r="J1256" s="4">
        <v>17364.47</v>
      </c>
      <c r="K1256" s="5">
        <v>0</v>
      </c>
      <c r="L1256" s="4">
        <v>11614.87</v>
      </c>
      <c r="M1256" t="s">
        <v>42</v>
      </c>
      <c r="N1256" t="s">
        <v>52</v>
      </c>
      <c r="O1256">
        <f>IF(TablaVentas[[#This Row],[Precio_unitario]]="","PENDIENTE",TablaVentas[[#This Row],[Unidades]]*TablaVentas[[#This Row],[Precio_unitario]]*(1-TablaVentas[[#This Row],[Descuento_pct]]))</f>
        <v>138915.76</v>
      </c>
      <c r="P1256">
        <f>IF(TablaVentas[[#This Row],[Costo_unitario]]="","PENDIENTE",TablaVentas[[#This Row],[Unidades]]*TablaVentas[[#This Row],[Costo_unitario]])</f>
        <v>92918.96</v>
      </c>
      <c r="Q1256">
        <f>IF(OR(TablaVentas[[#This Row],[Ingreso_neto]]="PENDIENTE",TablaVentas[[#This Row],[Costo_total]]="PENDIENTE"),"PENDIENTE",TablaVentas[[#This Row],[Ingreso_neto]]-TablaVentas[[#This Row],[Costo_total]])</f>
        <v>45996.800000000003</v>
      </c>
    </row>
    <row r="1257" spans="1:17">
      <c r="A1257" t="s">
        <v>905</v>
      </c>
      <c r="B1257">
        <v>2</v>
      </c>
      <c r="C1257" s="3">
        <v>46214</v>
      </c>
      <c r="D1257" t="s">
        <v>482</v>
      </c>
      <c r="E1257" t="s">
        <v>140</v>
      </c>
      <c r="F1257" t="s">
        <v>66</v>
      </c>
      <c r="G1257" t="s">
        <v>40</v>
      </c>
      <c r="H1257" t="s">
        <v>129</v>
      </c>
      <c r="I1257">
        <v>3</v>
      </c>
      <c r="J1257" s="4">
        <v>2829.86</v>
      </c>
      <c r="K1257" s="5">
        <v>0</v>
      </c>
      <c r="L1257" s="4">
        <v>2427.63</v>
      </c>
      <c r="M1257" t="s">
        <v>42</v>
      </c>
      <c r="N1257" t="s">
        <v>60</v>
      </c>
      <c r="O1257">
        <f>IF(TablaVentas[[#This Row],[Precio_unitario]]="","PENDIENTE",TablaVentas[[#This Row],[Unidades]]*TablaVentas[[#This Row],[Precio_unitario]]*(1-TablaVentas[[#This Row],[Descuento_pct]]))</f>
        <v>8489.58</v>
      </c>
      <c r="P1257">
        <f>IF(TablaVentas[[#This Row],[Costo_unitario]]="","PENDIENTE",TablaVentas[[#This Row],[Unidades]]*TablaVentas[[#This Row],[Costo_unitario]])</f>
        <v>7282.89</v>
      </c>
      <c r="Q1257">
        <f>IF(OR(TablaVentas[[#This Row],[Ingreso_neto]]="PENDIENTE",TablaVentas[[#This Row],[Costo_total]]="PENDIENTE"),"PENDIENTE",TablaVentas[[#This Row],[Ingreso_neto]]-TablaVentas[[#This Row],[Costo_total]])</f>
        <v>1206.6899999999996</v>
      </c>
    </row>
    <row r="1258" spans="1:17">
      <c r="A1258" t="s">
        <v>906</v>
      </c>
      <c r="B1258">
        <v>1</v>
      </c>
      <c r="C1258" s="3">
        <v>46266</v>
      </c>
      <c r="D1258" t="s">
        <v>796</v>
      </c>
      <c r="E1258" t="s">
        <v>397</v>
      </c>
      <c r="F1258" t="s">
        <v>66</v>
      </c>
      <c r="G1258" t="s">
        <v>40</v>
      </c>
      <c r="H1258" t="s">
        <v>102</v>
      </c>
      <c r="I1258">
        <v>4</v>
      </c>
      <c r="J1258" s="4">
        <v>6423.3</v>
      </c>
      <c r="K1258" s="5">
        <v>0</v>
      </c>
      <c r="L1258" s="4">
        <v>3640.56</v>
      </c>
      <c r="M1258" t="s">
        <v>42</v>
      </c>
      <c r="N1258" t="s">
        <v>52</v>
      </c>
      <c r="O1258">
        <f>IF(TablaVentas[[#This Row],[Precio_unitario]]="","PENDIENTE",TablaVentas[[#This Row],[Unidades]]*TablaVentas[[#This Row],[Precio_unitario]]*(1-TablaVentas[[#This Row],[Descuento_pct]]))</f>
        <v>25693.200000000001</v>
      </c>
      <c r="P1258">
        <f>IF(TablaVentas[[#This Row],[Costo_unitario]]="","PENDIENTE",TablaVentas[[#This Row],[Unidades]]*TablaVentas[[#This Row],[Costo_unitario]])</f>
        <v>14562.24</v>
      </c>
      <c r="Q1258">
        <f>IF(OR(TablaVentas[[#This Row],[Ingreso_neto]]="PENDIENTE",TablaVentas[[#This Row],[Costo_total]]="PENDIENTE"),"PENDIENTE",TablaVentas[[#This Row],[Ingreso_neto]]-TablaVentas[[#This Row],[Costo_total]])</f>
        <v>11130.960000000001</v>
      </c>
    </row>
    <row r="1259" spans="1:17">
      <c r="A1259" t="s">
        <v>906</v>
      </c>
      <c r="B1259">
        <v>2</v>
      </c>
      <c r="C1259" s="3">
        <v>46266</v>
      </c>
      <c r="D1259" t="s">
        <v>796</v>
      </c>
      <c r="E1259" t="s">
        <v>140</v>
      </c>
      <c r="F1259" t="s">
        <v>66</v>
      </c>
      <c r="G1259" t="s">
        <v>40</v>
      </c>
      <c r="H1259" t="s">
        <v>102</v>
      </c>
      <c r="I1259">
        <v>1</v>
      </c>
      <c r="J1259" s="4">
        <v>3139.2</v>
      </c>
      <c r="K1259" s="5">
        <v>0</v>
      </c>
      <c r="L1259" s="4">
        <v>2427.63</v>
      </c>
      <c r="M1259" t="s">
        <v>42</v>
      </c>
      <c r="N1259" t="s">
        <v>52</v>
      </c>
      <c r="O1259">
        <f>IF(TablaVentas[[#This Row],[Precio_unitario]]="","PENDIENTE",TablaVentas[[#This Row],[Unidades]]*TablaVentas[[#This Row],[Precio_unitario]]*(1-TablaVentas[[#This Row],[Descuento_pct]]))</f>
        <v>3139.2</v>
      </c>
      <c r="P1259">
        <f>IF(TablaVentas[[#This Row],[Costo_unitario]]="","PENDIENTE",TablaVentas[[#This Row],[Unidades]]*TablaVentas[[#This Row],[Costo_unitario]])</f>
        <v>2427.63</v>
      </c>
      <c r="Q1259">
        <f>IF(OR(TablaVentas[[#This Row],[Ingreso_neto]]="PENDIENTE",TablaVentas[[#This Row],[Costo_total]]="PENDIENTE"),"PENDIENTE",TablaVentas[[#This Row],[Ingreso_neto]]-TablaVentas[[#This Row],[Costo_total]])</f>
        <v>711.56999999999971</v>
      </c>
    </row>
    <row r="1260" spans="1:17">
      <c r="A1260" t="s">
        <v>907</v>
      </c>
      <c r="B1260">
        <v>1</v>
      </c>
      <c r="C1260" s="3">
        <v>46042</v>
      </c>
      <c r="D1260" t="s">
        <v>174</v>
      </c>
      <c r="E1260" t="s">
        <v>59</v>
      </c>
      <c r="F1260" t="s">
        <v>39</v>
      </c>
      <c r="G1260" t="s">
        <v>50</v>
      </c>
      <c r="H1260" t="s">
        <v>82</v>
      </c>
      <c r="I1260">
        <v>3</v>
      </c>
      <c r="J1260" s="4">
        <v>14852.59</v>
      </c>
      <c r="K1260" s="5">
        <v>0.05</v>
      </c>
      <c r="L1260" s="4">
        <v>10170.290000000001</v>
      </c>
      <c r="M1260" t="s">
        <v>42</v>
      </c>
      <c r="N1260" t="s">
        <v>45</v>
      </c>
      <c r="O1260">
        <f>IF(TablaVentas[[#This Row],[Precio_unitario]]="","PENDIENTE",TablaVentas[[#This Row],[Unidades]]*TablaVentas[[#This Row],[Precio_unitario]]*(1-TablaVentas[[#This Row],[Descuento_pct]]))</f>
        <v>42329.881500000003</v>
      </c>
      <c r="P1260">
        <f>IF(TablaVentas[[#This Row],[Costo_unitario]]="","PENDIENTE",TablaVentas[[#This Row],[Unidades]]*TablaVentas[[#This Row],[Costo_unitario]])</f>
        <v>30510.870000000003</v>
      </c>
      <c r="Q1260">
        <f>IF(OR(TablaVentas[[#This Row],[Ingreso_neto]]="PENDIENTE",TablaVentas[[#This Row],[Costo_total]]="PENDIENTE"),"PENDIENTE",TablaVentas[[#This Row],[Ingreso_neto]]-TablaVentas[[#This Row],[Costo_total]])</f>
        <v>11819.011500000001</v>
      </c>
    </row>
    <row r="1261" spans="1:17">
      <c r="A1261" t="s">
        <v>907</v>
      </c>
      <c r="B1261">
        <v>2</v>
      </c>
      <c r="C1261" s="3">
        <v>46042</v>
      </c>
      <c r="D1261" t="s">
        <v>174</v>
      </c>
      <c r="E1261" t="s">
        <v>353</v>
      </c>
      <c r="F1261" t="s">
        <v>39</v>
      </c>
      <c r="G1261" t="s">
        <v>50</v>
      </c>
      <c r="H1261" t="s">
        <v>82</v>
      </c>
      <c r="I1261">
        <v>1</v>
      </c>
      <c r="J1261" s="4">
        <v>2032.53</v>
      </c>
      <c r="K1261" s="5">
        <v>0</v>
      </c>
      <c r="L1261" s="4">
        <v>1479.71</v>
      </c>
      <c r="M1261" t="s">
        <v>62</v>
      </c>
      <c r="N1261" t="s">
        <v>60</v>
      </c>
      <c r="O1261">
        <f>IF(TablaVentas[[#This Row],[Precio_unitario]]="","PENDIENTE",TablaVentas[[#This Row],[Unidades]]*TablaVentas[[#This Row],[Precio_unitario]]*(1-TablaVentas[[#This Row],[Descuento_pct]]))</f>
        <v>2032.53</v>
      </c>
      <c r="P1261">
        <f>IF(TablaVentas[[#This Row],[Costo_unitario]]="","PENDIENTE",TablaVentas[[#This Row],[Unidades]]*TablaVentas[[#This Row],[Costo_unitario]])</f>
        <v>1479.71</v>
      </c>
      <c r="Q1261">
        <f>IF(OR(TablaVentas[[#This Row],[Ingreso_neto]]="PENDIENTE",TablaVentas[[#This Row],[Costo_total]]="PENDIENTE"),"PENDIENTE",TablaVentas[[#This Row],[Ingreso_neto]]-TablaVentas[[#This Row],[Costo_total]])</f>
        <v>552.81999999999994</v>
      </c>
    </row>
    <row r="1262" spans="1:17">
      <c r="A1262" t="s">
        <v>907</v>
      </c>
      <c r="B1262">
        <v>3</v>
      </c>
      <c r="C1262" s="3">
        <v>46042</v>
      </c>
      <c r="D1262" t="s">
        <v>174</v>
      </c>
      <c r="E1262" t="s">
        <v>212</v>
      </c>
      <c r="F1262" t="s">
        <v>39</v>
      </c>
      <c r="G1262" t="s">
        <v>50</v>
      </c>
      <c r="H1262" t="s">
        <v>82</v>
      </c>
      <c r="I1262">
        <v>1</v>
      </c>
      <c r="J1262" s="4">
        <v>3734.3</v>
      </c>
      <c r="K1262" s="5">
        <v>0.05</v>
      </c>
      <c r="L1262" s="4">
        <v>2157.5500000000002</v>
      </c>
      <c r="M1262" t="s">
        <v>116</v>
      </c>
      <c r="N1262" t="s">
        <v>43</v>
      </c>
      <c r="O1262">
        <f>IF(TablaVentas[[#This Row],[Precio_unitario]]="","PENDIENTE",TablaVentas[[#This Row],[Unidades]]*TablaVentas[[#This Row],[Precio_unitario]]*(1-TablaVentas[[#This Row],[Descuento_pct]]))</f>
        <v>3547.585</v>
      </c>
      <c r="P1262">
        <f>IF(TablaVentas[[#This Row],[Costo_unitario]]="","PENDIENTE",TablaVentas[[#This Row],[Unidades]]*TablaVentas[[#This Row],[Costo_unitario]])</f>
        <v>2157.5500000000002</v>
      </c>
      <c r="Q1262">
        <f>IF(OR(TablaVentas[[#This Row],[Ingreso_neto]]="PENDIENTE",TablaVentas[[#This Row],[Costo_total]]="PENDIENTE"),"PENDIENTE",TablaVentas[[#This Row],[Ingreso_neto]]-TablaVentas[[#This Row],[Costo_total]])</f>
        <v>1390.0349999999999</v>
      </c>
    </row>
    <row r="1263" spans="1:17">
      <c r="A1263" t="s">
        <v>907</v>
      </c>
      <c r="B1263">
        <v>4</v>
      </c>
      <c r="C1263" s="3">
        <v>46042</v>
      </c>
      <c r="D1263" t="s">
        <v>174</v>
      </c>
      <c r="E1263" t="s">
        <v>109</v>
      </c>
      <c r="F1263" t="s">
        <v>39</v>
      </c>
      <c r="G1263" t="s">
        <v>50</v>
      </c>
      <c r="H1263" t="s">
        <v>82</v>
      </c>
      <c r="I1263">
        <v>3</v>
      </c>
      <c r="J1263" s="4">
        <v>14627.01</v>
      </c>
      <c r="K1263" s="5">
        <v>0</v>
      </c>
      <c r="L1263" s="4">
        <v>9880.77</v>
      </c>
      <c r="M1263" t="s">
        <v>42</v>
      </c>
      <c r="N1263" t="s">
        <v>52</v>
      </c>
      <c r="O1263">
        <f>IF(TablaVentas[[#This Row],[Precio_unitario]]="","PENDIENTE",TablaVentas[[#This Row],[Unidades]]*TablaVentas[[#This Row],[Precio_unitario]]*(1-TablaVentas[[#This Row],[Descuento_pct]]))</f>
        <v>43881.03</v>
      </c>
      <c r="P1263">
        <f>IF(TablaVentas[[#This Row],[Costo_unitario]]="","PENDIENTE",TablaVentas[[#This Row],[Unidades]]*TablaVentas[[#This Row],[Costo_unitario]])</f>
        <v>29642.31</v>
      </c>
      <c r="Q1263">
        <f>IF(OR(TablaVentas[[#This Row],[Ingreso_neto]]="PENDIENTE",TablaVentas[[#This Row],[Costo_total]]="PENDIENTE"),"PENDIENTE",TablaVentas[[#This Row],[Ingreso_neto]]-TablaVentas[[#This Row],[Costo_total]])</f>
        <v>14238.719999999998</v>
      </c>
    </row>
    <row r="1264" spans="1:17">
      <c r="A1264" t="s">
        <v>907</v>
      </c>
      <c r="B1264">
        <v>5</v>
      </c>
      <c r="C1264" s="3">
        <v>46042</v>
      </c>
      <c r="D1264" t="s">
        <v>174</v>
      </c>
      <c r="E1264" t="s">
        <v>248</v>
      </c>
      <c r="F1264" t="s">
        <v>39</v>
      </c>
      <c r="G1264" t="s">
        <v>50</v>
      </c>
      <c r="H1264" t="s">
        <v>82</v>
      </c>
      <c r="I1264">
        <v>1</v>
      </c>
      <c r="J1264" s="4">
        <v>12460.2</v>
      </c>
      <c r="K1264" s="5">
        <v>0</v>
      </c>
      <c r="L1264" s="4">
        <v>6856.4</v>
      </c>
      <c r="M1264" t="s">
        <v>42</v>
      </c>
      <c r="N1264" t="s">
        <v>45</v>
      </c>
      <c r="O1264">
        <f>IF(TablaVentas[[#This Row],[Precio_unitario]]="","PENDIENTE",TablaVentas[[#This Row],[Unidades]]*TablaVentas[[#This Row],[Precio_unitario]]*(1-TablaVentas[[#This Row],[Descuento_pct]]))</f>
        <v>12460.2</v>
      </c>
      <c r="P1264">
        <f>IF(TablaVentas[[#This Row],[Costo_unitario]]="","PENDIENTE",TablaVentas[[#This Row],[Unidades]]*TablaVentas[[#This Row],[Costo_unitario]])</f>
        <v>6856.4</v>
      </c>
      <c r="Q1264">
        <f>IF(OR(TablaVentas[[#This Row],[Ingreso_neto]]="PENDIENTE",TablaVentas[[#This Row],[Costo_total]]="PENDIENTE"),"PENDIENTE",TablaVentas[[#This Row],[Ingreso_neto]]-TablaVentas[[#This Row],[Costo_total]])</f>
        <v>5603.8000000000011</v>
      </c>
    </row>
    <row r="1265" spans="1:17">
      <c r="A1265" t="s">
        <v>908</v>
      </c>
      <c r="B1265">
        <v>1</v>
      </c>
      <c r="C1265" s="3">
        <v>46092</v>
      </c>
      <c r="D1265" t="s">
        <v>255</v>
      </c>
      <c r="E1265" t="s">
        <v>81</v>
      </c>
      <c r="F1265" t="s">
        <v>77</v>
      </c>
      <c r="G1265" t="s">
        <v>40</v>
      </c>
      <c r="H1265" t="s">
        <v>184</v>
      </c>
      <c r="I1265">
        <v>1</v>
      </c>
      <c r="J1265" s="4">
        <v>17105.55</v>
      </c>
      <c r="K1265" s="5">
        <v>0.1</v>
      </c>
      <c r="L1265" s="4">
        <v>11614.87</v>
      </c>
      <c r="M1265" t="s">
        <v>42</v>
      </c>
      <c r="N1265" t="s">
        <v>43</v>
      </c>
      <c r="O1265">
        <f>IF(TablaVentas[[#This Row],[Precio_unitario]]="","PENDIENTE",TablaVentas[[#This Row],[Unidades]]*TablaVentas[[#This Row],[Precio_unitario]]*(1-TablaVentas[[#This Row],[Descuento_pct]]))</f>
        <v>15394.994999999999</v>
      </c>
      <c r="P1265">
        <f>IF(TablaVentas[[#This Row],[Costo_unitario]]="","PENDIENTE",TablaVentas[[#This Row],[Unidades]]*TablaVentas[[#This Row],[Costo_unitario]])</f>
        <v>11614.87</v>
      </c>
      <c r="Q1265">
        <f>IF(OR(TablaVentas[[#This Row],[Ingreso_neto]]="PENDIENTE",TablaVentas[[#This Row],[Costo_total]]="PENDIENTE"),"PENDIENTE",TablaVentas[[#This Row],[Ingreso_neto]]-TablaVentas[[#This Row],[Costo_total]])</f>
        <v>3780.1249999999982</v>
      </c>
    </row>
    <row r="1266" spans="1:17">
      <c r="A1266" t="s">
        <v>908</v>
      </c>
      <c r="B1266">
        <v>2</v>
      </c>
      <c r="C1266" s="3">
        <v>46092</v>
      </c>
      <c r="D1266" t="s">
        <v>255</v>
      </c>
      <c r="E1266" t="s">
        <v>216</v>
      </c>
      <c r="F1266" t="s">
        <v>77</v>
      </c>
      <c r="G1266" t="s">
        <v>40</v>
      </c>
      <c r="H1266" t="s">
        <v>184</v>
      </c>
      <c r="I1266">
        <v>1</v>
      </c>
      <c r="J1266" s="4">
        <v>16246.81</v>
      </c>
      <c r="K1266" s="5">
        <v>0.1</v>
      </c>
      <c r="L1266" s="4">
        <v>12064.41</v>
      </c>
      <c r="M1266" t="s">
        <v>42</v>
      </c>
      <c r="N1266" t="s">
        <v>52</v>
      </c>
      <c r="O1266">
        <f>IF(TablaVentas[[#This Row],[Precio_unitario]]="","PENDIENTE",TablaVentas[[#This Row],[Unidades]]*TablaVentas[[#This Row],[Precio_unitario]]*(1-TablaVentas[[#This Row],[Descuento_pct]]))</f>
        <v>14622.128999999999</v>
      </c>
      <c r="P1266">
        <f>IF(TablaVentas[[#This Row],[Costo_unitario]]="","PENDIENTE",TablaVentas[[#This Row],[Unidades]]*TablaVentas[[#This Row],[Costo_unitario]])</f>
        <v>12064.41</v>
      </c>
      <c r="Q1266">
        <f>IF(OR(TablaVentas[[#This Row],[Ingreso_neto]]="PENDIENTE",TablaVentas[[#This Row],[Costo_total]]="PENDIENTE"),"PENDIENTE",TablaVentas[[#This Row],[Ingreso_neto]]-TablaVentas[[#This Row],[Costo_total]])</f>
        <v>2557.7189999999991</v>
      </c>
    </row>
    <row r="1267" spans="1:17">
      <c r="A1267" t="s">
        <v>908</v>
      </c>
      <c r="B1267">
        <v>3</v>
      </c>
      <c r="C1267" s="3">
        <v>46092</v>
      </c>
      <c r="D1267" t="s">
        <v>255</v>
      </c>
      <c r="E1267" t="s">
        <v>410</v>
      </c>
      <c r="F1267" t="s">
        <v>77</v>
      </c>
      <c r="G1267" t="s">
        <v>40</v>
      </c>
      <c r="H1267" t="s">
        <v>184</v>
      </c>
      <c r="I1267">
        <v>5</v>
      </c>
      <c r="J1267" s="4">
        <v>7866.16</v>
      </c>
      <c r="K1267" s="5">
        <v>0.05</v>
      </c>
      <c r="L1267" s="4">
        <v>5874.17</v>
      </c>
      <c r="M1267" t="s">
        <v>42</v>
      </c>
      <c r="N1267" t="s">
        <v>52</v>
      </c>
      <c r="O1267">
        <f>IF(TablaVentas[[#This Row],[Precio_unitario]]="","PENDIENTE",TablaVentas[[#This Row],[Unidades]]*TablaVentas[[#This Row],[Precio_unitario]]*(1-TablaVentas[[#This Row],[Descuento_pct]]))</f>
        <v>37364.26</v>
      </c>
      <c r="P1267">
        <f>IF(TablaVentas[[#This Row],[Costo_unitario]]="","PENDIENTE",TablaVentas[[#This Row],[Unidades]]*TablaVentas[[#This Row],[Costo_unitario]])</f>
        <v>29370.85</v>
      </c>
      <c r="Q1267">
        <f>IF(OR(TablaVentas[[#This Row],[Ingreso_neto]]="PENDIENTE",TablaVentas[[#This Row],[Costo_total]]="PENDIENTE"),"PENDIENTE",TablaVentas[[#This Row],[Ingreso_neto]]-TablaVentas[[#This Row],[Costo_total]])</f>
        <v>7993.4100000000035</v>
      </c>
    </row>
    <row r="1268" spans="1:17">
      <c r="A1268" t="s">
        <v>909</v>
      </c>
      <c r="B1268">
        <v>1</v>
      </c>
      <c r="C1268" s="3">
        <v>46233</v>
      </c>
      <c r="D1268" t="s">
        <v>910</v>
      </c>
      <c r="E1268" t="s">
        <v>94</v>
      </c>
      <c r="F1268" t="s">
        <v>77</v>
      </c>
      <c r="G1268" t="s">
        <v>40</v>
      </c>
      <c r="H1268" t="s">
        <v>41</v>
      </c>
      <c r="I1268">
        <v>1</v>
      </c>
      <c r="J1268" s="4">
        <v>8080.68</v>
      </c>
      <c r="K1268" s="5">
        <v>0.1</v>
      </c>
      <c r="L1268" s="4">
        <v>4538.0600000000004</v>
      </c>
      <c r="M1268" t="s">
        <v>42</v>
      </c>
      <c r="N1268" t="s">
        <v>52</v>
      </c>
      <c r="O1268">
        <f>IF(TablaVentas[[#This Row],[Precio_unitario]]="","PENDIENTE",TablaVentas[[#This Row],[Unidades]]*TablaVentas[[#This Row],[Precio_unitario]]*(1-TablaVentas[[#This Row],[Descuento_pct]]))</f>
        <v>7272.6120000000001</v>
      </c>
      <c r="P1268">
        <f>IF(TablaVentas[[#This Row],[Costo_unitario]]="","PENDIENTE",TablaVentas[[#This Row],[Unidades]]*TablaVentas[[#This Row],[Costo_unitario]])</f>
        <v>4538.0600000000004</v>
      </c>
      <c r="Q1268">
        <f>IF(OR(TablaVentas[[#This Row],[Ingreso_neto]]="PENDIENTE",TablaVentas[[#This Row],[Costo_total]]="PENDIENTE"),"PENDIENTE",TablaVentas[[#This Row],[Ingreso_neto]]-TablaVentas[[#This Row],[Costo_total]])</f>
        <v>2734.5519999999997</v>
      </c>
    </row>
    <row r="1269" spans="1:17">
      <c r="A1269" t="s">
        <v>909</v>
      </c>
      <c r="B1269">
        <v>2</v>
      </c>
      <c r="C1269" s="3">
        <v>46233</v>
      </c>
      <c r="D1269" t="s">
        <v>910</v>
      </c>
      <c r="E1269" t="s">
        <v>277</v>
      </c>
      <c r="F1269" t="s">
        <v>77</v>
      </c>
      <c r="G1269" t="s">
        <v>40</v>
      </c>
      <c r="H1269" t="s">
        <v>41</v>
      </c>
      <c r="I1269">
        <v>3</v>
      </c>
      <c r="J1269" s="4">
        <v>6060.96</v>
      </c>
      <c r="K1269" s="5">
        <v>0</v>
      </c>
      <c r="L1269" s="4">
        <v>4858.08</v>
      </c>
      <c r="M1269" t="s">
        <v>42</v>
      </c>
      <c r="N1269" t="s">
        <v>52</v>
      </c>
      <c r="O1269">
        <f>IF(TablaVentas[[#This Row],[Precio_unitario]]="","PENDIENTE",TablaVentas[[#This Row],[Unidades]]*TablaVentas[[#This Row],[Precio_unitario]]*(1-TablaVentas[[#This Row],[Descuento_pct]]))</f>
        <v>18182.88</v>
      </c>
      <c r="P1269">
        <f>IF(TablaVentas[[#This Row],[Costo_unitario]]="","PENDIENTE",TablaVentas[[#This Row],[Unidades]]*TablaVentas[[#This Row],[Costo_unitario]])</f>
        <v>14574.24</v>
      </c>
      <c r="Q1269">
        <f>IF(OR(TablaVentas[[#This Row],[Ingreso_neto]]="PENDIENTE",TablaVentas[[#This Row],[Costo_total]]="PENDIENTE"),"PENDIENTE",TablaVentas[[#This Row],[Ingreso_neto]]-TablaVentas[[#This Row],[Costo_total]])</f>
        <v>3608.6400000000012</v>
      </c>
    </row>
    <row r="1270" spans="1:17">
      <c r="A1270" t="s">
        <v>909</v>
      </c>
      <c r="B1270">
        <v>3</v>
      </c>
      <c r="C1270" s="3">
        <v>46233</v>
      </c>
      <c r="D1270" t="s">
        <v>910</v>
      </c>
      <c r="E1270" t="s">
        <v>320</v>
      </c>
      <c r="F1270" t="s">
        <v>77</v>
      </c>
      <c r="G1270" t="s">
        <v>40</v>
      </c>
      <c r="H1270" t="s">
        <v>41</v>
      </c>
      <c r="I1270">
        <v>1</v>
      </c>
      <c r="J1270" s="4">
        <v>4795.49</v>
      </c>
      <c r="K1270" s="5">
        <v>0.05</v>
      </c>
      <c r="L1270" s="4">
        <v>3065.66</v>
      </c>
      <c r="M1270" t="s">
        <v>42</v>
      </c>
      <c r="N1270" t="s">
        <v>52</v>
      </c>
      <c r="O1270">
        <f>IF(TablaVentas[[#This Row],[Precio_unitario]]="","PENDIENTE",TablaVentas[[#This Row],[Unidades]]*TablaVentas[[#This Row],[Precio_unitario]]*(1-TablaVentas[[#This Row],[Descuento_pct]]))</f>
        <v>4555.7154999999993</v>
      </c>
      <c r="P1270">
        <f>IF(TablaVentas[[#This Row],[Costo_unitario]]="","PENDIENTE",TablaVentas[[#This Row],[Unidades]]*TablaVentas[[#This Row],[Costo_unitario]])</f>
        <v>3065.66</v>
      </c>
      <c r="Q1270">
        <f>IF(OR(TablaVentas[[#This Row],[Ingreso_neto]]="PENDIENTE",TablaVentas[[#This Row],[Costo_total]]="PENDIENTE"),"PENDIENTE",TablaVentas[[#This Row],[Ingreso_neto]]-TablaVentas[[#This Row],[Costo_total]])</f>
        <v>1490.0554999999995</v>
      </c>
    </row>
    <row r="1271" spans="1:17">
      <c r="A1271" t="s">
        <v>911</v>
      </c>
      <c r="B1271">
        <v>1</v>
      </c>
      <c r="C1271" s="3">
        <v>46026</v>
      </c>
      <c r="D1271" t="s">
        <v>359</v>
      </c>
      <c r="E1271" t="s">
        <v>245</v>
      </c>
      <c r="F1271" t="s">
        <v>39</v>
      </c>
      <c r="G1271" t="s">
        <v>40</v>
      </c>
      <c r="H1271" t="s">
        <v>124</v>
      </c>
      <c r="I1271">
        <v>2</v>
      </c>
      <c r="J1271" s="4">
        <v>19130.669999999998</v>
      </c>
      <c r="K1271" s="5">
        <v>0</v>
      </c>
      <c r="L1271" s="4">
        <v>10507.24</v>
      </c>
      <c r="M1271" t="s">
        <v>116</v>
      </c>
      <c r="N1271" t="s">
        <v>52</v>
      </c>
      <c r="O1271">
        <f>IF(TablaVentas[[#This Row],[Precio_unitario]]="","PENDIENTE",TablaVentas[[#This Row],[Unidades]]*TablaVentas[[#This Row],[Precio_unitario]]*(1-TablaVentas[[#This Row],[Descuento_pct]]))</f>
        <v>38261.339999999997</v>
      </c>
      <c r="P1271">
        <f>IF(TablaVentas[[#This Row],[Costo_unitario]]="","PENDIENTE",TablaVentas[[#This Row],[Unidades]]*TablaVentas[[#This Row],[Costo_unitario]])</f>
        <v>21014.48</v>
      </c>
      <c r="Q1271">
        <f>IF(OR(TablaVentas[[#This Row],[Ingreso_neto]]="PENDIENTE",TablaVentas[[#This Row],[Costo_total]]="PENDIENTE"),"PENDIENTE",TablaVentas[[#This Row],[Ingreso_neto]]-TablaVentas[[#This Row],[Costo_total]])</f>
        <v>17246.859999999997</v>
      </c>
    </row>
    <row r="1272" spans="1:17">
      <c r="A1272" t="s">
        <v>912</v>
      </c>
      <c r="B1272">
        <v>1</v>
      </c>
      <c r="C1272" s="3">
        <v>46293</v>
      </c>
      <c r="D1272" t="s">
        <v>633</v>
      </c>
      <c r="E1272" t="s">
        <v>403</v>
      </c>
      <c r="F1272" t="s">
        <v>66</v>
      </c>
      <c r="G1272" t="s">
        <v>57</v>
      </c>
      <c r="H1272" t="s">
        <v>58</v>
      </c>
      <c r="I1272">
        <v>4</v>
      </c>
      <c r="J1272" s="4">
        <v>2755.13</v>
      </c>
      <c r="K1272" s="5">
        <v>0</v>
      </c>
      <c r="L1272" s="4">
        <v>1801.83</v>
      </c>
      <c r="M1272" t="s">
        <v>42</v>
      </c>
      <c r="N1272" t="s">
        <v>52</v>
      </c>
      <c r="O1272">
        <f>IF(TablaVentas[[#This Row],[Precio_unitario]]="","PENDIENTE",TablaVentas[[#This Row],[Unidades]]*TablaVentas[[#This Row],[Precio_unitario]]*(1-TablaVentas[[#This Row],[Descuento_pct]]))</f>
        <v>11020.52</v>
      </c>
      <c r="P1272">
        <f>IF(TablaVentas[[#This Row],[Costo_unitario]]="","PENDIENTE",TablaVentas[[#This Row],[Unidades]]*TablaVentas[[#This Row],[Costo_unitario]])</f>
        <v>7207.32</v>
      </c>
      <c r="Q1272">
        <f>IF(OR(TablaVentas[[#This Row],[Ingreso_neto]]="PENDIENTE",TablaVentas[[#This Row],[Costo_total]]="PENDIENTE"),"PENDIENTE",TablaVentas[[#This Row],[Ingreso_neto]]-TablaVentas[[#This Row],[Costo_total]])</f>
        <v>3813.2000000000007</v>
      </c>
    </row>
    <row r="1273" spans="1:17">
      <c r="A1273" t="s">
        <v>912</v>
      </c>
      <c r="B1273">
        <v>2</v>
      </c>
      <c r="C1273" s="3">
        <v>46293</v>
      </c>
      <c r="D1273" t="s">
        <v>633</v>
      </c>
      <c r="E1273" t="s">
        <v>223</v>
      </c>
      <c r="F1273" t="s">
        <v>66</v>
      </c>
      <c r="G1273" t="s">
        <v>57</v>
      </c>
      <c r="H1273" t="s">
        <v>58</v>
      </c>
      <c r="I1273">
        <v>1</v>
      </c>
      <c r="J1273" s="4">
        <v>6470.76</v>
      </c>
      <c r="K1273" s="5">
        <v>0.1</v>
      </c>
      <c r="L1273" s="4">
        <v>3298.19</v>
      </c>
      <c r="M1273" t="s">
        <v>42</v>
      </c>
      <c r="N1273" t="s">
        <v>52</v>
      </c>
      <c r="O1273">
        <f>IF(TablaVentas[[#This Row],[Precio_unitario]]="","PENDIENTE",TablaVentas[[#This Row],[Unidades]]*TablaVentas[[#This Row],[Precio_unitario]]*(1-TablaVentas[[#This Row],[Descuento_pct]]))</f>
        <v>5823.6840000000002</v>
      </c>
      <c r="P1273">
        <f>IF(TablaVentas[[#This Row],[Costo_unitario]]="","PENDIENTE",TablaVentas[[#This Row],[Unidades]]*TablaVentas[[#This Row],[Costo_unitario]])</f>
        <v>3298.19</v>
      </c>
      <c r="Q1273">
        <f>IF(OR(TablaVentas[[#This Row],[Ingreso_neto]]="PENDIENTE",TablaVentas[[#This Row],[Costo_total]]="PENDIENTE"),"PENDIENTE",TablaVentas[[#This Row],[Ingreso_neto]]-TablaVentas[[#This Row],[Costo_total]])</f>
        <v>2525.4940000000001</v>
      </c>
    </row>
    <row r="1274" spans="1:17">
      <c r="A1274" t="s">
        <v>912</v>
      </c>
      <c r="B1274">
        <v>3</v>
      </c>
      <c r="C1274" s="3">
        <v>46293</v>
      </c>
      <c r="D1274" t="s">
        <v>633</v>
      </c>
      <c r="E1274" t="s">
        <v>132</v>
      </c>
      <c r="F1274" t="s">
        <v>66</v>
      </c>
      <c r="G1274" t="s">
        <v>57</v>
      </c>
      <c r="H1274" t="s">
        <v>58</v>
      </c>
      <c r="I1274">
        <v>2</v>
      </c>
      <c r="J1274" s="4">
        <v>17432.939999999999</v>
      </c>
      <c r="K1274" s="5">
        <v>0</v>
      </c>
      <c r="L1274" s="4">
        <v>11036.95</v>
      </c>
      <c r="M1274" t="s">
        <v>62</v>
      </c>
      <c r="N1274" t="s">
        <v>43</v>
      </c>
      <c r="O1274">
        <f>IF(TablaVentas[[#This Row],[Precio_unitario]]="","PENDIENTE",TablaVentas[[#This Row],[Unidades]]*TablaVentas[[#This Row],[Precio_unitario]]*(1-TablaVentas[[#This Row],[Descuento_pct]]))</f>
        <v>34865.879999999997</v>
      </c>
      <c r="P1274">
        <f>IF(TablaVentas[[#This Row],[Costo_unitario]]="","PENDIENTE",TablaVentas[[#This Row],[Unidades]]*TablaVentas[[#This Row],[Costo_unitario]])</f>
        <v>22073.9</v>
      </c>
      <c r="Q1274">
        <f>IF(OR(TablaVentas[[#This Row],[Ingreso_neto]]="PENDIENTE",TablaVentas[[#This Row],[Costo_total]]="PENDIENTE"),"PENDIENTE",TablaVentas[[#This Row],[Ingreso_neto]]-TablaVentas[[#This Row],[Costo_total]])</f>
        <v>12791.979999999996</v>
      </c>
    </row>
    <row r="1275" spans="1:17">
      <c r="A1275" t="s">
        <v>913</v>
      </c>
      <c r="B1275">
        <v>1</v>
      </c>
      <c r="C1275" s="3">
        <v>46146</v>
      </c>
      <c r="D1275" t="s">
        <v>593</v>
      </c>
      <c r="E1275" t="s">
        <v>61</v>
      </c>
      <c r="F1275" t="s">
        <v>39</v>
      </c>
      <c r="G1275" t="s">
        <v>40</v>
      </c>
      <c r="H1275" t="s">
        <v>124</v>
      </c>
      <c r="I1275">
        <v>2</v>
      </c>
      <c r="J1275" s="4">
        <v>4494.1400000000003</v>
      </c>
      <c r="K1275" s="5">
        <v>0.1</v>
      </c>
      <c r="L1275" s="4">
        <v>2554.06</v>
      </c>
      <c r="M1275" t="s">
        <v>116</v>
      </c>
      <c r="N1275" t="s">
        <v>43</v>
      </c>
      <c r="O1275">
        <f>IF(TablaVentas[[#This Row],[Precio_unitario]]="","PENDIENTE",TablaVentas[[#This Row],[Unidades]]*TablaVentas[[#This Row],[Precio_unitario]]*(1-TablaVentas[[#This Row],[Descuento_pct]]))</f>
        <v>8089.4520000000011</v>
      </c>
      <c r="P1275">
        <f>IF(TablaVentas[[#This Row],[Costo_unitario]]="","PENDIENTE",TablaVentas[[#This Row],[Unidades]]*TablaVentas[[#This Row],[Costo_unitario]])</f>
        <v>5108.12</v>
      </c>
      <c r="Q1275">
        <f>IF(OR(TablaVentas[[#This Row],[Ingreso_neto]]="PENDIENTE",TablaVentas[[#This Row],[Costo_total]]="PENDIENTE"),"PENDIENTE",TablaVentas[[#This Row],[Ingreso_neto]]-TablaVentas[[#This Row],[Costo_total]])</f>
        <v>2981.3320000000012</v>
      </c>
    </row>
    <row r="1276" spans="1:17">
      <c r="A1276" t="s">
        <v>914</v>
      </c>
      <c r="B1276">
        <v>1</v>
      </c>
      <c r="C1276" s="3">
        <v>46261</v>
      </c>
      <c r="D1276" t="s">
        <v>550</v>
      </c>
      <c r="E1276" t="s">
        <v>113</v>
      </c>
      <c r="F1276" t="s">
        <v>66</v>
      </c>
      <c r="G1276" t="s">
        <v>57</v>
      </c>
      <c r="H1276" t="s">
        <v>73</v>
      </c>
      <c r="I1276">
        <v>1</v>
      </c>
      <c r="J1276" s="4">
        <v>2854.62</v>
      </c>
      <c r="K1276" s="5">
        <v>0.05</v>
      </c>
      <c r="L1276" s="4">
        <v>2196.34</v>
      </c>
      <c r="M1276" t="s">
        <v>42</v>
      </c>
      <c r="N1276" t="s">
        <v>52</v>
      </c>
      <c r="O1276">
        <f>IF(TablaVentas[[#This Row],[Precio_unitario]]="","PENDIENTE",TablaVentas[[#This Row],[Unidades]]*TablaVentas[[#This Row],[Precio_unitario]]*(1-TablaVentas[[#This Row],[Descuento_pct]]))</f>
        <v>2711.8889999999997</v>
      </c>
      <c r="P1276">
        <f>IF(TablaVentas[[#This Row],[Costo_unitario]]="","PENDIENTE",TablaVentas[[#This Row],[Unidades]]*TablaVentas[[#This Row],[Costo_unitario]])</f>
        <v>2196.34</v>
      </c>
      <c r="Q1276">
        <f>IF(OR(TablaVentas[[#This Row],[Ingreso_neto]]="PENDIENTE",TablaVentas[[#This Row],[Costo_total]]="PENDIENTE"),"PENDIENTE",TablaVentas[[#This Row],[Ingreso_neto]]-TablaVentas[[#This Row],[Costo_total]])</f>
        <v>515.54899999999952</v>
      </c>
    </row>
    <row r="1277" spans="1:17">
      <c r="A1277" t="s">
        <v>914</v>
      </c>
      <c r="B1277">
        <v>2</v>
      </c>
      <c r="C1277" s="3">
        <v>46261</v>
      </c>
      <c r="D1277" t="s">
        <v>550</v>
      </c>
      <c r="E1277" t="s">
        <v>217</v>
      </c>
      <c r="F1277" t="s">
        <v>66</v>
      </c>
      <c r="G1277" t="s">
        <v>57</v>
      </c>
      <c r="H1277" t="s">
        <v>73</v>
      </c>
      <c r="I1277">
        <v>1</v>
      </c>
      <c r="J1277" s="4">
        <v>18032.150000000001</v>
      </c>
      <c r="K1277" s="5">
        <v>0</v>
      </c>
      <c r="L1277" s="4">
        <v>14161.63</v>
      </c>
      <c r="M1277" t="s">
        <v>42</v>
      </c>
      <c r="N1277" t="s">
        <v>52</v>
      </c>
      <c r="O1277">
        <f>IF(TablaVentas[[#This Row],[Precio_unitario]]="","PENDIENTE",TablaVentas[[#This Row],[Unidades]]*TablaVentas[[#This Row],[Precio_unitario]]*(1-TablaVentas[[#This Row],[Descuento_pct]]))</f>
        <v>18032.150000000001</v>
      </c>
      <c r="P1277">
        <f>IF(TablaVentas[[#This Row],[Costo_unitario]]="","PENDIENTE",TablaVentas[[#This Row],[Unidades]]*TablaVentas[[#This Row],[Costo_unitario]])</f>
        <v>14161.63</v>
      </c>
      <c r="Q1277">
        <f>IF(OR(TablaVentas[[#This Row],[Ingreso_neto]]="PENDIENTE",TablaVentas[[#This Row],[Costo_total]]="PENDIENTE"),"PENDIENTE",TablaVentas[[#This Row],[Ingreso_neto]]-TablaVentas[[#This Row],[Costo_total]])</f>
        <v>3870.5200000000023</v>
      </c>
    </row>
    <row r="1278" spans="1:17">
      <c r="A1278" t="s">
        <v>914</v>
      </c>
      <c r="B1278">
        <v>3</v>
      </c>
      <c r="C1278" s="3">
        <v>46261</v>
      </c>
      <c r="D1278" t="s">
        <v>550</v>
      </c>
      <c r="E1278" t="s">
        <v>271</v>
      </c>
      <c r="F1278" t="s">
        <v>66</v>
      </c>
      <c r="G1278" t="s">
        <v>57</v>
      </c>
      <c r="H1278" t="s">
        <v>73</v>
      </c>
      <c r="I1278">
        <v>3</v>
      </c>
      <c r="J1278" s="4">
        <v>1061.5</v>
      </c>
      <c r="K1278" s="5">
        <v>0.1</v>
      </c>
      <c r="L1278" s="4">
        <v>759.03</v>
      </c>
      <c r="M1278" t="s">
        <v>42</v>
      </c>
      <c r="N1278" t="s">
        <v>52</v>
      </c>
      <c r="O1278">
        <f>IF(TablaVentas[[#This Row],[Precio_unitario]]="","PENDIENTE",TablaVentas[[#This Row],[Unidades]]*TablaVentas[[#This Row],[Precio_unitario]]*(1-TablaVentas[[#This Row],[Descuento_pct]]))</f>
        <v>2866.05</v>
      </c>
      <c r="P1278">
        <f>IF(TablaVentas[[#This Row],[Costo_unitario]]="","PENDIENTE",TablaVentas[[#This Row],[Unidades]]*TablaVentas[[#This Row],[Costo_unitario]])</f>
        <v>2277.09</v>
      </c>
      <c r="Q1278">
        <f>IF(OR(TablaVentas[[#This Row],[Ingreso_neto]]="PENDIENTE",TablaVentas[[#This Row],[Costo_total]]="PENDIENTE"),"PENDIENTE",TablaVentas[[#This Row],[Ingreso_neto]]-TablaVentas[[#This Row],[Costo_total]])</f>
        <v>588.96</v>
      </c>
    </row>
    <row r="1279" spans="1:17">
      <c r="A1279" t="s">
        <v>914</v>
      </c>
      <c r="B1279">
        <v>4</v>
      </c>
      <c r="C1279" s="3">
        <v>46261</v>
      </c>
      <c r="D1279" t="s">
        <v>550</v>
      </c>
      <c r="E1279" t="s">
        <v>410</v>
      </c>
      <c r="F1279" t="s">
        <v>66</v>
      </c>
      <c r="G1279" t="s">
        <v>57</v>
      </c>
      <c r="H1279" t="s">
        <v>73</v>
      </c>
      <c r="I1279">
        <v>5</v>
      </c>
      <c r="J1279" s="4">
        <v>7595.54</v>
      </c>
      <c r="K1279" s="5">
        <v>0.1</v>
      </c>
      <c r="L1279" s="4">
        <v>5874.17</v>
      </c>
      <c r="M1279" t="s">
        <v>42</v>
      </c>
      <c r="N1279" t="s">
        <v>43</v>
      </c>
      <c r="O1279">
        <f>IF(TablaVentas[[#This Row],[Precio_unitario]]="","PENDIENTE",TablaVentas[[#This Row],[Unidades]]*TablaVentas[[#This Row],[Precio_unitario]]*(1-TablaVentas[[#This Row],[Descuento_pct]]))</f>
        <v>34179.93</v>
      </c>
      <c r="P1279">
        <f>IF(TablaVentas[[#This Row],[Costo_unitario]]="","PENDIENTE",TablaVentas[[#This Row],[Unidades]]*TablaVentas[[#This Row],[Costo_unitario]])</f>
        <v>29370.85</v>
      </c>
      <c r="Q1279">
        <f>IF(OR(TablaVentas[[#This Row],[Ingreso_neto]]="PENDIENTE",TablaVentas[[#This Row],[Costo_total]]="PENDIENTE"),"PENDIENTE",TablaVentas[[#This Row],[Ingreso_neto]]-TablaVentas[[#This Row],[Costo_total]])</f>
        <v>4809.0800000000017</v>
      </c>
    </row>
    <row r="1280" spans="1:17">
      <c r="A1280" t="s">
        <v>914</v>
      </c>
      <c r="B1280">
        <v>5</v>
      </c>
      <c r="C1280" s="3">
        <v>46261</v>
      </c>
      <c r="D1280" t="s">
        <v>550</v>
      </c>
      <c r="E1280" t="s">
        <v>193</v>
      </c>
      <c r="F1280" t="s">
        <v>66</v>
      </c>
      <c r="G1280" t="s">
        <v>57</v>
      </c>
      <c r="H1280" t="s">
        <v>73</v>
      </c>
      <c r="I1280">
        <v>1</v>
      </c>
      <c r="J1280" s="4">
        <v>9998.31</v>
      </c>
      <c r="K1280" s="5">
        <v>0</v>
      </c>
      <c r="L1280" s="4">
        <v>5811.72</v>
      </c>
      <c r="M1280" t="s">
        <v>42</v>
      </c>
      <c r="N1280" t="s">
        <v>52</v>
      </c>
      <c r="O1280">
        <f>IF(TablaVentas[[#This Row],[Precio_unitario]]="","PENDIENTE",TablaVentas[[#This Row],[Unidades]]*TablaVentas[[#This Row],[Precio_unitario]]*(1-TablaVentas[[#This Row],[Descuento_pct]]))</f>
        <v>9998.31</v>
      </c>
      <c r="P1280">
        <f>IF(TablaVentas[[#This Row],[Costo_unitario]]="","PENDIENTE",TablaVentas[[#This Row],[Unidades]]*TablaVentas[[#This Row],[Costo_unitario]])</f>
        <v>5811.72</v>
      </c>
      <c r="Q1280">
        <f>IF(OR(TablaVentas[[#This Row],[Ingreso_neto]]="PENDIENTE",TablaVentas[[#This Row],[Costo_total]]="PENDIENTE"),"PENDIENTE",TablaVentas[[#This Row],[Ingreso_neto]]-TablaVentas[[#This Row],[Costo_total]])</f>
        <v>4186.5899999999992</v>
      </c>
    </row>
    <row r="1281" spans="1:17">
      <c r="A1281" t="s">
        <v>915</v>
      </c>
      <c r="B1281">
        <v>1</v>
      </c>
      <c r="C1281" s="3">
        <v>46292</v>
      </c>
      <c r="D1281" t="s">
        <v>334</v>
      </c>
      <c r="E1281" t="s">
        <v>277</v>
      </c>
      <c r="F1281" t="s">
        <v>39</v>
      </c>
      <c r="G1281" t="s">
        <v>40</v>
      </c>
      <c r="H1281" t="s">
        <v>129</v>
      </c>
      <c r="I1281">
        <v>1</v>
      </c>
      <c r="J1281" s="4">
        <v>7022.16</v>
      </c>
      <c r="K1281" s="5">
        <v>0.1</v>
      </c>
      <c r="L1281" s="4">
        <v>4858.08</v>
      </c>
      <c r="M1281" t="s">
        <v>42</v>
      </c>
      <c r="N1281" t="s">
        <v>45</v>
      </c>
      <c r="O1281">
        <f>IF(TablaVentas[[#This Row],[Precio_unitario]]="","PENDIENTE",TablaVentas[[#This Row],[Unidades]]*TablaVentas[[#This Row],[Precio_unitario]]*(1-TablaVentas[[#This Row],[Descuento_pct]]))</f>
        <v>6319.9440000000004</v>
      </c>
      <c r="P1281">
        <f>IF(TablaVentas[[#This Row],[Costo_unitario]]="","PENDIENTE",TablaVentas[[#This Row],[Unidades]]*TablaVentas[[#This Row],[Costo_unitario]])</f>
        <v>4858.08</v>
      </c>
      <c r="Q1281">
        <f>IF(OR(TablaVentas[[#This Row],[Ingreso_neto]]="PENDIENTE",TablaVentas[[#This Row],[Costo_total]]="PENDIENTE"),"PENDIENTE",TablaVentas[[#This Row],[Ingreso_neto]]-TablaVentas[[#This Row],[Costo_total]])</f>
        <v>1461.8640000000005</v>
      </c>
    </row>
    <row r="1282" spans="1:17">
      <c r="A1282" t="s">
        <v>915</v>
      </c>
      <c r="B1282">
        <v>2</v>
      </c>
      <c r="C1282" s="3">
        <v>46292</v>
      </c>
      <c r="D1282" t="s">
        <v>334</v>
      </c>
      <c r="E1282" t="s">
        <v>84</v>
      </c>
      <c r="F1282" t="s">
        <v>39</v>
      </c>
      <c r="G1282" t="s">
        <v>40</v>
      </c>
      <c r="H1282" t="s">
        <v>129</v>
      </c>
      <c r="I1282">
        <v>4</v>
      </c>
      <c r="J1282" s="4">
        <v>15174.46</v>
      </c>
      <c r="K1282" s="5">
        <v>0.05</v>
      </c>
      <c r="L1282" s="4">
        <v>8576.0499999999993</v>
      </c>
      <c r="M1282" t="s">
        <v>116</v>
      </c>
      <c r="N1282" t="s">
        <v>43</v>
      </c>
      <c r="O1282">
        <f>IF(TablaVentas[[#This Row],[Precio_unitario]]="","PENDIENTE",TablaVentas[[#This Row],[Unidades]]*TablaVentas[[#This Row],[Precio_unitario]]*(1-TablaVentas[[#This Row],[Descuento_pct]]))</f>
        <v>57662.947999999997</v>
      </c>
      <c r="P1282">
        <f>IF(TablaVentas[[#This Row],[Costo_unitario]]="","PENDIENTE",TablaVentas[[#This Row],[Unidades]]*TablaVentas[[#This Row],[Costo_unitario]])</f>
        <v>34304.199999999997</v>
      </c>
      <c r="Q1282">
        <f>IF(OR(TablaVentas[[#This Row],[Ingreso_neto]]="PENDIENTE",TablaVentas[[#This Row],[Costo_total]]="PENDIENTE"),"PENDIENTE",TablaVentas[[#This Row],[Ingreso_neto]]-TablaVentas[[#This Row],[Costo_total]])</f>
        <v>23358.748</v>
      </c>
    </row>
    <row r="1283" spans="1:17">
      <c r="A1283" t="s">
        <v>915</v>
      </c>
      <c r="B1283">
        <v>3</v>
      </c>
      <c r="C1283" s="3">
        <v>46292</v>
      </c>
      <c r="D1283" t="s">
        <v>334</v>
      </c>
      <c r="E1283" t="s">
        <v>167</v>
      </c>
      <c r="F1283" t="s">
        <v>39</v>
      </c>
      <c r="G1283" t="s">
        <v>40</v>
      </c>
      <c r="H1283" t="s">
        <v>129</v>
      </c>
      <c r="I1283">
        <v>3</v>
      </c>
      <c r="J1283" s="4">
        <v>18308.45</v>
      </c>
      <c r="K1283" s="5">
        <v>0.15</v>
      </c>
      <c r="L1283" s="4">
        <v>8704.4</v>
      </c>
      <c r="M1283" t="s">
        <v>42</v>
      </c>
      <c r="N1283" t="s">
        <v>43</v>
      </c>
      <c r="O1283">
        <f>IF(TablaVentas[[#This Row],[Precio_unitario]]="","PENDIENTE",TablaVentas[[#This Row],[Unidades]]*TablaVentas[[#This Row],[Precio_unitario]]*(1-TablaVentas[[#This Row],[Descuento_pct]]))</f>
        <v>46686.547500000001</v>
      </c>
      <c r="P1283">
        <f>IF(TablaVentas[[#This Row],[Costo_unitario]]="","PENDIENTE",TablaVentas[[#This Row],[Unidades]]*TablaVentas[[#This Row],[Costo_unitario]])</f>
        <v>26113.199999999997</v>
      </c>
      <c r="Q1283">
        <f>IF(OR(TablaVentas[[#This Row],[Ingreso_neto]]="PENDIENTE",TablaVentas[[#This Row],[Costo_total]]="PENDIENTE"),"PENDIENTE",TablaVentas[[#This Row],[Ingreso_neto]]-TablaVentas[[#This Row],[Costo_total]])</f>
        <v>20573.347500000003</v>
      </c>
    </row>
    <row r="1284" spans="1:17">
      <c r="A1284" t="s">
        <v>915</v>
      </c>
      <c r="B1284">
        <v>4</v>
      </c>
      <c r="C1284" s="3">
        <v>46292</v>
      </c>
      <c r="D1284" t="s">
        <v>334</v>
      </c>
      <c r="E1284" t="s">
        <v>218</v>
      </c>
      <c r="F1284" t="s">
        <v>39</v>
      </c>
      <c r="G1284" t="s">
        <v>40</v>
      </c>
      <c r="H1284" t="s">
        <v>129</v>
      </c>
      <c r="I1284">
        <v>1</v>
      </c>
      <c r="J1284" s="4">
        <v>4765.3599999999997</v>
      </c>
      <c r="K1284" s="5">
        <v>0.15</v>
      </c>
      <c r="L1284" s="4">
        <v>2833.97</v>
      </c>
      <c r="M1284" t="s">
        <v>42</v>
      </c>
      <c r="N1284" t="s">
        <v>52</v>
      </c>
      <c r="O1284">
        <f>IF(TablaVentas[[#This Row],[Precio_unitario]]="","PENDIENTE",TablaVentas[[#This Row],[Unidades]]*TablaVentas[[#This Row],[Precio_unitario]]*(1-TablaVentas[[#This Row],[Descuento_pct]]))</f>
        <v>4050.5559999999996</v>
      </c>
      <c r="P1284">
        <f>IF(TablaVentas[[#This Row],[Costo_unitario]]="","PENDIENTE",TablaVentas[[#This Row],[Unidades]]*TablaVentas[[#This Row],[Costo_unitario]])</f>
        <v>2833.97</v>
      </c>
      <c r="Q1284">
        <f>IF(OR(TablaVentas[[#This Row],[Ingreso_neto]]="PENDIENTE",TablaVentas[[#This Row],[Costo_total]]="PENDIENTE"),"PENDIENTE",TablaVentas[[#This Row],[Ingreso_neto]]-TablaVentas[[#This Row],[Costo_total]])</f>
        <v>1216.5859999999998</v>
      </c>
    </row>
    <row r="1285" spans="1:17">
      <c r="A1285" t="s">
        <v>915</v>
      </c>
      <c r="B1285">
        <v>5</v>
      </c>
      <c r="C1285" s="3">
        <v>46292</v>
      </c>
      <c r="D1285" t="s">
        <v>334</v>
      </c>
      <c r="E1285" t="s">
        <v>236</v>
      </c>
      <c r="F1285" t="s">
        <v>39</v>
      </c>
      <c r="G1285" t="s">
        <v>40</v>
      </c>
      <c r="H1285" t="s">
        <v>129</v>
      </c>
      <c r="I1285">
        <v>8</v>
      </c>
      <c r="J1285" s="4">
        <v>8972.74</v>
      </c>
      <c r="K1285" s="5">
        <v>0.1</v>
      </c>
      <c r="L1285" s="4">
        <v>8061.7</v>
      </c>
      <c r="M1285" t="s">
        <v>42</v>
      </c>
      <c r="N1285" t="s">
        <v>45</v>
      </c>
      <c r="O1285">
        <f>IF(TablaVentas[[#This Row],[Precio_unitario]]="","PENDIENTE",TablaVentas[[#This Row],[Unidades]]*TablaVentas[[#This Row],[Precio_unitario]]*(1-TablaVentas[[#This Row],[Descuento_pct]]))</f>
        <v>64603.728000000003</v>
      </c>
      <c r="P1285">
        <f>IF(TablaVentas[[#This Row],[Costo_unitario]]="","PENDIENTE",TablaVentas[[#This Row],[Unidades]]*TablaVentas[[#This Row],[Costo_unitario]])</f>
        <v>64493.599999999999</v>
      </c>
      <c r="Q1285">
        <f>IF(OR(TablaVentas[[#This Row],[Ingreso_neto]]="PENDIENTE",TablaVentas[[#This Row],[Costo_total]]="PENDIENTE"),"PENDIENTE",TablaVentas[[#This Row],[Ingreso_neto]]-TablaVentas[[#This Row],[Costo_total]])</f>
        <v>110.12800000000425</v>
      </c>
    </row>
    <row r="1286" spans="1:17">
      <c r="A1286" t="s">
        <v>916</v>
      </c>
      <c r="B1286">
        <v>1</v>
      </c>
      <c r="C1286" s="3">
        <v>46096</v>
      </c>
      <c r="D1286" t="s">
        <v>672</v>
      </c>
      <c r="E1286" t="s">
        <v>326</v>
      </c>
      <c r="F1286" t="s">
        <v>77</v>
      </c>
      <c r="G1286" t="s">
        <v>40</v>
      </c>
      <c r="H1286" t="s">
        <v>73</v>
      </c>
      <c r="I1286">
        <v>4</v>
      </c>
      <c r="J1286" s="4">
        <v>7946.3</v>
      </c>
      <c r="K1286" s="5">
        <v>0</v>
      </c>
      <c r="L1286" s="4">
        <v>4044.16</v>
      </c>
      <c r="M1286" t="s">
        <v>42</v>
      </c>
      <c r="N1286" t="s">
        <v>45</v>
      </c>
      <c r="O1286">
        <f>IF(TablaVentas[[#This Row],[Precio_unitario]]="","PENDIENTE",TablaVentas[[#This Row],[Unidades]]*TablaVentas[[#This Row],[Precio_unitario]]*(1-TablaVentas[[#This Row],[Descuento_pct]]))</f>
        <v>31785.200000000001</v>
      </c>
      <c r="P1286">
        <f>IF(TablaVentas[[#This Row],[Costo_unitario]]="","PENDIENTE",TablaVentas[[#This Row],[Unidades]]*TablaVentas[[#This Row],[Costo_unitario]])</f>
        <v>16176.64</v>
      </c>
      <c r="Q1286">
        <f>IF(OR(TablaVentas[[#This Row],[Ingreso_neto]]="PENDIENTE",TablaVentas[[#This Row],[Costo_total]]="PENDIENTE"),"PENDIENTE",TablaVentas[[#This Row],[Ingreso_neto]]-TablaVentas[[#This Row],[Costo_total]])</f>
        <v>15608.560000000001</v>
      </c>
    </row>
    <row r="1287" spans="1:17">
      <c r="A1287" t="s">
        <v>917</v>
      </c>
      <c r="B1287">
        <v>1</v>
      </c>
      <c r="C1287" s="3">
        <v>46086</v>
      </c>
      <c r="D1287" t="s">
        <v>312</v>
      </c>
      <c r="E1287" t="s">
        <v>203</v>
      </c>
      <c r="F1287" t="s">
        <v>66</v>
      </c>
      <c r="G1287" t="s">
        <v>57</v>
      </c>
      <c r="H1287" t="s">
        <v>129</v>
      </c>
      <c r="I1287">
        <v>1</v>
      </c>
      <c r="J1287" s="4">
        <v>1928.96</v>
      </c>
      <c r="K1287" s="5">
        <v>0</v>
      </c>
      <c r="L1287" s="4">
        <v>1252.8399999999999</v>
      </c>
      <c r="M1287" t="s">
        <v>42</v>
      </c>
      <c r="N1287" t="s">
        <v>43</v>
      </c>
      <c r="O1287">
        <f>IF(TablaVentas[[#This Row],[Precio_unitario]]="","PENDIENTE",TablaVentas[[#This Row],[Unidades]]*TablaVentas[[#This Row],[Precio_unitario]]*(1-TablaVentas[[#This Row],[Descuento_pct]]))</f>
        <v>1928.96</v>
      </c>
      <c r="P1287">
        <f>IF(TablaVentas[[#This Row],[Costo_unitario]]="","PENDIENTE",TablaVentas[[#This Row],[Unidades]]*TablaVentas[[#This Row],[Costo_unitario]])</f>
        <v>1252.8399999999999</v>
      </c>
      <c r="Q1287">
        <f>IF(OR(TablaVentas[[#This Row],[Ingreso_neto]]="PENDIENTE",TablaVentas[[#This Row],[Costo_total]]="PENDIENTE"),"PENDIENTE",TablaVentas[[#This Row],[Ingreso_neto]]-TablaVentas[[#This Row],[Costo_total]])</f>
        <v>676.12000000000012</v>
      </c>
    </row>
    <row r="1288" spans="1:17">
      <c r="A1288" t="s">
        <v>918</v>
      </c>
      <c r="B1288">
        <v>1</v>
      </c>
      <c r="C1288" s="3">
        <v>46091</v>
      </c>
      <c r="D1288" t="s">
        <v>661</v>
      </c>
      <c r="E1288" t="s">
        <v>537</v>
      </c>
      <c r="F1288" t="s">
        <v>39</v>
      </c>
      <c r="G1288" t="s">
        <v>50</v>
      </c>
      <c r="H1288" t="s">
        <v>129</v>
      </c>
      <c r="I1288">
        <v>5</v>
      </c>
      <c r="J1288" s="4">
        <v>5627.84</v>
      </c>
      <c r="K1288" s="5">
        <v>0</v>
      </c>
      <c r="L1288" s="4">
        <v>4556.2299999999996</v>
      </c>
      <c r="M1288" t="s">
        <v>42</v>
      </c>
      <c r="N1288" t="s">
        <v>60</v>
      </c>
      <c r="O1288">
        <f>IF(TablaVentas[[#This Row],[Precio_unitario]]="","PENDIENTE",TablaVentas[[#This Row],[Unidades]]*TablaVentas[[#This Row],[Precio_unitario]]*(1-TablaVentas[[#This Row],[Descuento_pct]]))</f>
        <v>28139.200000000001</v>
      </c>
      <c r="P1288">
        <f>IF(TablaVentas[[#This Row],[Costo_unitario]]="","PENDIENTE",TablaVentas[[#This Row],[Unidades]]*TablaVentas[[#This Row],[Costo_unitario]])</f>
        <v>22781.149999999998</v>
      </c>
      <c r="Q1288">
        <f>IF(OR(TablaVentas[[#This Row],[Ingreso_neto]]="PENDIENTE",TablaVentas[[#This Row],[Costo_total]]="PENDIENTE"),"PENDIENTE",TablaVentas[[#This Row],[Ingreso_neto]]-TablaVentas[[#This Row],[Costo_total]])</f>
        <v>5358.0500000000029</v>
      </c>
    </row>
    <row r="1289" spans="1:17">
      <c r="A1289" t="s">
        <v>918</v>
      </c>
      <c r="B1289">
        <v>2</v>
      </c>
      <c r="C1289" s="3">
        <v>46091</v>
      </c>
      <c r="D1289" t="s">
        <v>661</v>
      </c>
      <c r="E1289" t="s">
        <v>81</v>
      </c>
      <c r="F1289" t="s">
        <v>39</v>
      </c>
      <c r="G1289" t="s">
        <v>50</v>
      </c>
      <c r="H1289" t="s">
        <v>129</v>
      </c>
      <c r="I1289">
        <v>4</v>
      </c>
      <c r="J1289" s="4">
        <v>18203.53</v>
      </c>
      <c r="K1289" s="5">
        <v>0</v>
      </c>
      <c r="L1289" s="4">
        <v>11614.87</v>
      </c>
      <c r="M1289" t="s">
        <v>42</v>
      </c>
      <c r="N1289" t="s">
        <v>45</v>
      </c>
      <c r="O1289">
        <f>IF(TablaVentas[[#This Row],[Precio_unitario]]="","PENDIENTE",TablaVentas[[#This Row],[Unidades]]*TablaVentas[[#This Row],[Precio_unitario]]*(1-TablaVentas[[#This Row],[Descuento_pct]]))</f>
        <v>72814.12</v>
      </c>
      <c r="P1289">
        <f>IF(TablaVentas[[#This Row],[Costo_unitario]]="","PENDIENTE",TablaVentas[[#This Row],[Unidades]]*TablaVentas[[#This Row],[Costo_unitario]])</f>
        <v>46459.48</v>
      </c>
      <c r="Q1289">
        <f>IF(OR(TablaVentas[[#This Row],[Ingreso_neto]]="PENDIENTE",TablaVentas[[#This Row],[Costo_total]]="PENDIENTE"),"PENDIENTE",TablaVentas[[#This Row],[Ingreso_neto]]-TablaVentas[[#This Row],[Costo_total]])</f>
        <v>26354.639999999992</v>
      </c>
    </row>
    <row r="1290" spans="1:17">
      <c r="A1290" t="s">
        <v>918</v>
      </c>
      <c r="B1290">
        <v>3</v>
      </c>
      <c r="C1290" s="3">
        <v>46091</v>
      </c>
      <c r="D1290" t="s">
        <v>661</v>
      </c>
      <c r="E1290" t="s">
        <v>89</v>
      </c>
      <c r="F1290" t="s">
        <v>39</v>
      </c>
      <c r="G1290" t="s">
        <v>50</v>
      </c>
      <c r="H1290" t="s">
        <v>129</v>
      </c>
      <c r="I1290">
        <v>1</v>
      </c>
      <c r="J1290" s="4">
        <v>12832.65</v>
      </c>
      <c r="K1290" s="5">
        <v>0</v>
      </c>
      <c r="L1290" s="4">
        <v>9118.07</v>
      </c>
      <c r="M1290" t="s">
        <v>42</v>
      </c>
      <c r="N1290" t="s">
        <v>52</v>
      </c>
      <c r="O1290">
        <f>IF(TablaVentas[[#This Row],[Precio_unitario]]="","PENDIENTE",TablaVentas[[#This Row],[Unidades]]*TablaVentas[[#This Row],[Precio_unitario]]*(1-TablaVentas[[#This Row],[Descuento_pct]]))</f>
        <v>12832.65</v>
      </c>
      <c r="P1290">
        <f>IF(TablaVentas[[#This Row],[Costo_unitario]]="","PENDIENTE",TablaVentas[[#This Row],[Unidades]]*TablaVentas[[#This Row],[Costo_unitario]])</f>
        <v>9118.07</v>
      </c>
      <c r="Q1290">
        <f>IF(OR(TablaVentas[[#This Row],[Ingreso_neto]]="PENDIENTE",TablaVentas[[#This Row],[Costo_total]]="PENDIENTE"),"PENDIENTE",TablaVentas[[#This Row],[Ingreso_neto]]-TablaVentas[[#This Row],[Costo_total]])</f>
        <v>3714.58</v>
      </c>
    </row>
    <row r="1291" spans="1:17">
      <c r="A1291" t="s">
        <v>918</v>
      </c>
      <c r="B1291">
        <v>4</v>
      </c>
      <c r="C1291" s="3">
        <v>46091</v>
      </c>
      <c r="D1291" t="s">
        <v>661</v>
      </c>
      <c r="E1291" t="s">
        <v>76</v>
      </c>
      <c r="F1291" t="s">
        <v>39</v>
      </c>
      <c r="G1291" t="s">
        <v>50</v>
      </c>
      <c r="H1291" t="s">
        <v>129</v>
      </c>
      <c r="I1291">
        <v>1</v>
      </c>
      <c r="J1291" s="4">
        <v>12873.03</v>
      </c>
      <c r="K1291" s="5">
        <v>0</v>
      </c>
      <c r="L1291" s="4">
        <v>7748.44</v>
      </c>
      <c r="M1291" t="s">
        <v>116</v>
      </c>
      <c r="N1291" t="s">
        <v>43</v>
      </c>
      <c r="O1291">
        <f>IF(TablaVentas[[#This Row],[Precio_unitario]]="","PENDIENTE",TablaVentas[[#This Row],[Unidades]]*TablaVentas[[#This Row],[Precio_unitario]]*(1-TablaVentas[[#This Row],[Descuento_pct]]))</f>
        <v>12873.03</v>
      </c>
      <c r="P1291">
        <f>IF(TablaVentas[[#This Row],[Costo_unitario]]="","PENDIENTE",TablaVentas[[#This Row],[Unidades]]*TablaVentas[[#This Row],[Costo_unitario]])</f>
        <v>7748.44</v>
      </c>
      <c r="Q1291">
        <f>IF(OR(TablaVentas[[#This Row],[Ingreso_neto]]="PENDIENTE",TablaVentas[[#This Row],[Costo_total]]="PENDIENTE"),"PENDIENTE",TablaVentas[[#This Row],[Ingreso_neto]]-TablaVentas[[#This Row],[Costo_total]])</f>
        <v>5124.5900000000011</v>
      </c>
    </row>
    <row r="1292" spans="1:17">
      <c r="A1292" t="s">
        <v>918</v>
      </c>
      <c r="B1292">
        <v>5</v>
      </c>
      <c r="C1292" s="3">
        <v>46091</v>
      </c>
      <c r="D1292" t="s">
        <v>661</v>
      </c>
      <c r="E1292" t="s">
        <v>98</v>
      </c>
      <c r="F1292" t="s">
        <v>39</v>
      </c>
      <c r="G1292" t="s">
        <v>50</v>
      </c>
      <c r="H1292" t="s">
        <v>129</v>
      </c>
      <c r="I1292">
        <v>2</v>
      </c>
      <c r="J1292" s="4">
        <v>15737.62</v>
      </c>
      <c r="K1292" s="5">
        <v>0</v>
      </c>
      <c r="L1292" s="4">
        <v>9881</v>
      </c>
      <c r="M1292" t="s">
        <v>42</v>
      </c>
      <c r="N1292" t="s">
        <v>45</v>
      </c>
      <c r="O1292">
        <f>IF(TablaVentas[[#This Row],[Precio_unitario]]="","PENDIENTE",TablaVentas[[#This Row],[Unidades]]*TablaVentas[[#This Row],[Precio_unitario]]*(1-TablaVentas[[#This Row],[Descuento_pct]]))</f>
        <v>31475.24</v>
      </c>
      <c r="P1292">
        <f>IF(TablaVentas[[#This Row],[Costo_unitario]]="","PENDIENTE",TablaVentas[[#This Row],[Unidades]]*TablaVentas[[#This Row],[Costo_unitario]])</f>
        <v>19762</v>
      </c>
      <c r="Q1292">
        <f>IF(OR(TablaVentas[[#This Row],[Ingreso_neto]]="PENDIENTE",TablaVentas[[#This Row],[Costo_total]]="PENDIENTE"),"PENDIENTE",TablaVentas[[#This Row],[Ingreso_neto]]-TablaVentas[[#This Row],[Costo_total]])</f>
        <v>11713.240000000002</v>
      </c>
    </row>
    <row r="1293" spans="1:17">
      <c r="A1293" t="s">
        <v>919</v>
      </c>
      <c r="B1293">
        <v>1</v>
      </c>
      <c r="C1293" s="3">
        <v>46029</v>
      </c>
      <c r="D1293" t="s">
        <v>804</v>
      </c>
      <c r="E1293" t="s">
        <v>163</v>
      </c>
      <c r="F1293" t="s">
        <v>56</v>
      </c>
      <c r="G1293" t="s">
        <v>40</v>
      </c>
      <c r="H1293" t="s">
        <v>58</v>
      </c>
      <c r="I1293">
        <v>1</v>
      </c>
      <c r="J1293" s="4">
        <v>16842.88</v>
      </c>
      <c r="K1293" s="5">
        <v>0</v>
      </c>
      <c r="L1293" s="4">
        <v>12141.44</v>
      </c>
      <c r="M1293" t="s">
        <v>42</v>
      </c>
      <c r="N1293" t="s">
        <v>52</v>
      </c>
      <c r="O1293">
        <f>IF(TablaVentas[[#This Row],[Precio_unitario]]="","PENDIENTE",TablaVentas[[#This Row],[Unidades]]*TablaVentas[[#This Row],[Precio_unitario]]*(1-TablaVentas[[#This Row],[Descuento_pct]]))</f>
        <v>16842.88</v>
      </c>
      <c r="P1293">
        <f>IF(TablaVentas[[#This Row],[Costo_unitario]]="","PENDIENTE",TablaVentas[[#This Row],[Unidades]]*TablaVentas[[#This Row],[Costo_unitario]])</f>
        <v>12141.44</v>
      </c>
      <c r="Q1293">
        <f>IF(OR(TablaVentas[[#This Row],[Ingreso_neto]]="PENDIENTE",TablaVentas[[#This Row],[Costo_total]]="PENDIENTE"),"PENDIENTE",TablaVentas[[#This Row],[Ingreso_neto]]-TablaVentas[[#This Row],[Costo_total]])</f>
        <v>4701.4400000000005</v>
      </c>
    </row>
    <row r="1294" spans="1:17">
      <c r="A1294" t="s">
        <v>920</v>
      </c>
      <c r="B1294">
        <v>1</v>
      </c>
      <c r="C1294" s="3">
        <v>46027</v>
      </c>
      <c r="D1294" t="s">
        <v>676</v>
      </c>
      <c r="E1294" t="s">
        <v>256</v>
      </c>
      <c r="F1294" t="s">
        <v>77</v>
      </c>
      <c r="G1294" t="s">
        <v>57</v>
      </c>
      <c r="H1294" t="s">
        <v>51</v>
      </c>
      <c r="I1294">
        <v>4</v>
      </c>
      <c r="J1294" s="4">
        <v>18729.11</v>
      </c>
      <c r="K1294" s="5">
        <v>0.05</v>
      </c>
      <c r="L1294" s="4">
        <v>11666.57</v>
      </c>
      <c r="M1294" t="s">
        <v>42</v>
      </c>
      <c r="N1294" t="s">
        <v>60</v>
      </c>
      <c r="O1294">
        <f>IF(TablaVentas[[#This Row],[Precio_unitario]]="","PENDIENTE",TablaVentas[[#This Row],[Unidades]]*TablaVentas[[#This Row],[Precio_unitario]]*(1-TablaVentas[[#This Row],[Descuento_pct]]))</f>
        <v>71170.618000000002</v>
      </c>
      <c r="P1294">
        <f>IF(TablaVentas[[#This Row],[Costo_unitario]]="","PENDIENTE",TablaVentas[[#This Row],[Unidades]]*TablaVentas[[#This Row],[Costo_unitario]])</f>
        <v>46666.28</v>
      </c>
      <c r="Q1294">
        <f>IF(OR(TablaVentas[[#This Row],[Ingreso_neto]]="PENDIENTE",TablaVentas[[#This Row],[Costo_total]]="PENDIENTE"),"PENDIENTE",TablaVentas[[#This Row],[Ingreso_neto]]-TablaVentas[[#This Row],[Costo_total]])</f>
        <v>24504.338000000003</v>
      </c>
    </row>
    <row r="1295" spans="1:17">
      <c r="A1295" t="s">
        <v>921</v>
      </c>
      <c r="B1295">
        <v>1</v>
      </c>
      <c r="C1295" s="3">
        <v>46040</v>
      </c>
      <c r="D1295" t="s">
        <v>230</v>
      </c>
      <c r="E1295" t="s">
        <v>163</v>
      </c>
      <c r="F1295" t="s">
        <v>77</v>
      </c>
      <c r="G1295" t="s">
        <v>40</v>
      </c>
      <c r="H1295" t="s">
        <v>51</v>
      </c>
      <c r="I1295">
        <v>2</v>
      </c>
      <c r="J1295" s="4">
        <v>17006.400000000001</v>
      </c>
      <c r="K1295" s="5">
        <v>0.2</v>
      </c>
      <c r="L1295" s="4">
        <v>12141.44</v>
      </c>
      <c r="M1295" t="s">
        <v>42</v>
      </c>
      <c r="N1295" t="s">
        <v>60</v>
      </c>
      <c r="O1295">
        <f>IF(TablaVentas[[#This Row],[Precio_unitario]]="","PENDIENTE",TablaVentas[[#This Row],[Unidades]]*TablaVentas[[#This Row],[Precio_unitario]]*(1-TablaVentas[[#This Row],[Descuento_pct]]))</f>
        <v>27210.240000000005</v>
      </c>
      <c r="P1295">
        <f>IF(TablaVentas[[#This Row],[Costo_unitario]]="","PENDIENTE",TablaVentas[[#This Row],[Unidades]]*TablaVentas[[#This Row],[Costo_unitario]])</f>
        <v>24282.880000000001</v>
      </c>
      <c r="Q1295">
        <f>IF(OR(TablaVentas[[#This Row],[Ingreso_neto]]="PENDIENTE",TablaVentas[[#This Row],[Costo_total]]="PENDIENTE"),"PENDIENTE",TablaVentas[[#This Row],[Ingreso_neto]]-TablaVentas[[#This Row],[Costo_total]])</f>
        <v>2927.3600000000042</v>
      </c>
    </row>
    <row r="1296" spans="1:17">
      <c r="A1296" t="s">
        <v>921</v>
      </c>
      <c r="B1296">
        <v>2</v>
      </c>
      <c r="C1296" s="3">
        <v>46040</v>
      </c>
      <c r="D1296" t="s">
        <v>230</v>
      </c>
      <c r="E1296" t="s">
        <v>183</v>
      </c>
      <c r="F1296" t="s">
        <v>77</v>
      </c>
      <c r="G1296" t="s">
        <v>40</v>
      </c>
      <c r="H1296" t="s">
        <v>51</v>
      </c>
      <c r="I1296">
        <v>1</v>
      </c>
      <c r="J1296" s="4">
        <v>4993.2</v>
      </c>
      <c r="K1296" s="5">
        <v>0</v>
      </c>
      <c r="L1296" s="4">
        <v>4325.7299999999996</v>
      </c>
      <c r="M1296" t="s">
        <v>42</v>
      </c>
      <c r="N1296" t="s">
        <v>43</v>
      </c>
      <c r="O1296">
        <f>IF(TablaVentas[[#This Row],[Precio_unitario]]="","PENDIENTE",TablaVentas[[#This Row],[Unidades]]*TablaVentas[[#This Row],[Precio_unitario]]*(1-TablaVentas[[#This Row],[Descuento_pct]]))</f>
        <v>4993.2</v>
      </c>
      <c r="P1296">
        <f>IF(TablaVentas[[#This Row],[Costo_unitario]]="","PENDIENTE",TablaVentas[[#This Row],[Unidades]]*TablaVentas[[#This Row],[Costo_unitario]])</f>
        <v>4325.7299999999996</v>
      </c>
      <c r="Q1296">
        <f>IF(OR(TablaVentas[[#This Row],[Ingreso_neto]]="PENDIENTE",TablaVentas[[#This Row],[Costo_total]]="PENDIENTE"),"PENDIENTE",TablaVentas[[#This Row],[Ingreso_neto]]-TablaVentas[[#This Row],[Costo_total]])</f>
        <v>667.47000000000025</v>
      </c>
    </row>
    <row r="1297" spans="1:17">
      <c r="A1297" t="s">
        <v>921</v>
      </c>
      <c r="B1297">
        <v>3</v>
      </c>
      <c r="C1297" s="3">
        <v>46040</v>
      </c>
      <c r="D1297" t="s">
        <v>230</v>
      </c>
      <c r="E1297" t="s">
        <v>211</v>
      </c>
      <c r="F1297" t="s">
        <v>77</v>
      </c>
      <c r="G1297" t="s">
        <v>40</v>
      </c>
      <c r="H1297" t="s">
        <v>51</v>
      </c>
      <c r="I1297">
        <v>1</v>
      </c>
      <c r="J1297" s="4">
        <v>18860.66</v>
      </c>
      <c r="K1297" s="5">
        <v>0</v>
      </c>
      <c r="L1297" s="4">
        <v>13760.53</v>
      </c>
      <c r="M1297" t="s">
        <v>42</v>
      </c>
      <c r="N1297" t="s">
        <v>43</v>
      </c>
      <c r="O1297">
        <f>IF(TablaVentas[[#This Row],[Precio_unitario]]="","PENDIENTE",TablaVentas[[#This Row],[Unidades]]*TablaVentas[[#This Row],[Precio_unitario]]*(1-TablaVentas[[#This Row],[Descuento_pct]]))</f>
        <v>18860.66</v>
      </c>
      <c r="P1297">
        <f>IF(TablaVentas[[#This Row],[Costo_unitario]]="","PENDIENTE",TablaVentas[[#This Row],[Unidades]]*TablaVentas[[#This Row],[Costo_unitario]])</f>
        <v>13760.53</v>
      </c>
      <c r="Q1297">
        <f>IF(OR(TablaVentas[[#This Row],[Ingreso_neto]]="PENDIENTE",TablaVentas[[#This Row],[Costo_total]]="PENDIENTE"),"PENDIENTE",TablaVentas[[#This Row],[Ingreso_neto]]-TablaVentas[[#This Row],[Costo_total]])</f>
        <v>5100.1299999999992</v>
      </c>
    </row>
    <row r="1298" spans="1:17">
      <c r="A1298" t="s">
        <v>922</v>
      </c>
      <c r="B1298">
        <v>1</v>
      </c>
      <c r="C1298" s="3">
        <v>46183</v>
      </c>
      <c r="D1298" t="s">
        <v>866</v>
      </c>
      <c r="E1298" t="s">
        <v>293</v>
      </c>
      <c r="F1298" t="s">
        <v>66</v>
      </c>
      <c r="G1298" t="s">
        <v>57</v>
      </c>
      <c r="H1298" t="s">
        <v>58</v>
      </c>
      <c r="I1298">
        <v>2</v>
      </c>
      <c r="J1298" s="4">
        <v>1113.67</v>
      </c>
      <c r="K1298" s="5">
        <v>0</v>
      </c>
      <c r="L1298" s="4">
        <v>936.52</v>
      </c>
      <c r="M1298" t="s">
        <v>42</v>
      </c>
      <c r="N1298" t="s">
        <v>60</v>
      </c>
      <c r="O1298">
        <f>IF(TablaVentas[[#This Row],[Precio_unitario]]="","PENDIENTE",TablaVentas[[#This Row],[Unidades]]*TablaVentas[[#This Row],[Precio_unitario]]*(1-TablaVentas[[#This Row],[Descuento_pct]]))</f>
        <v>2227.34</v>
      </c>
      <c r="P1298">
        <f>IF(TablaVentas[[#This Row],[Costo_unitario]]="","PENDIENTE",TablaVentas[[#This Row],[Unidades]]*TablaVentas[[#This Row],[Costo_unitario]])</f>
        <v>1873.04</v>
      </c>
      <c r="Q1298">
        <f>IF(OR(TablaVentas[[#This Row],[Ingreso_neto]]="PENDIENTE",TablaVentas[[#This Row],[Costo_total]]="PENDIENTE"),"PENDIENTE",TablaVentas[[#This Row],[Ingreso_neto]]-TablaVentas[[#This Row],[Costo_total]])</f>
        <v>354.30000000000018</v>
      </c>
    </row>
    <row r="1299" spans="1:17">
      <c r="A1299" t="s">
        <v>922</v>
      </c>
      <c r="B1299">
        <v>2</v>
      </c>
      <c r="C1299" s="3">
        <v>46183</v>
      </c>
      <c r="D1299" t="s">
        <v>866</v>
      </c>
      <c r="E1299" t="s">
        <v>410</v>
      </c>
      <c r="F1299" t="s">
        <v>66</v>
      </c>
      <c r="G1299" t="s">
        <v>57</v>
      </c>
      <c r="H1299" t="s">
        <v>58</v>
      </c>
      <c r="I1299">
        <v>1</v>
      </c>
      <c r="J1299" s="4">
        <v>8636.44</v>
      </c>
      <c r="K1299" s="5">
        <v>0</v>
      </c>
      <c r="L1299" s="4">
        <v>5874.17</v>
      </c>
      <c r="M1299" t="s">
        <v>42</v>
      </c>
      <c r="N1299" t="s">
        <v>60</v>
      </c>
      <c r="O1299">
        <f>IF(TablaVentas[[#This Row],[Precio_unitario]]="","PENDIENTE",TablaVentas[[#This Row],[Unidades]]*TablaVentas[[#This Row],[Precio_unitario]]*(1-TablaVentas[[#This Row],[Descuento_pct]]))</f>
        <v>8636.44</v>
      </c>
      <c r="P1299">
        <f>IF(TablaVentas[[#This Row],[Costo_unitario]]="","PENDIENTE",TablaVentas[[#This Row],[Unidades]]*TablaVentas[[#This Row],[Costo_unitario]])</f>
        <v>5874.17</v>
      </c>
      <c r="Q1299">
        <f>IF(OR(TablaVentas[[#This Row],[Ingreso_neto]]="PENDIENTE",TablaVentas[[#This Row],[Costo_total]]="PENDIENTE"),"PENDIENTE",TablaVentas[[#This Row],[Ingreso_neto]]-TablaVentas[[#This Row],[Costo_total]])</f>
        <v>2762.2700000000004</v>
      </c>
    </row>
    <row r="1300" spans="1:17">
      <c r="A1300" t="s">
        <v>923</v>
      </c>
      <c r="B1300">
        <v>1</v>
      </c>
      <c r="C1300" s="3">
        <v>46215</v>
      </c>
      <c r="D1300" t="s">
        <v>562</v>
      </c>
      <c r="E1300" t="s">
        <v>134</v>
      </c>
      <c r="F1300" t="s">
        <v>66</v>
      </c>
      <c r="G1300" t="s">
        <v>40</v>
      </c>
      <c r="H1300" t="s">
        <v>51</v>
      </c>
      <c r="I1300">
        <v>3</v>
      </c>
      <c r="J1300" s="4">
        <v>288.88</v>
      </c>
      <c r="K1300" s="5">
        <v>0</v>
      </c>
      <c r="L1300" s="4">
        <v>176.47</v>
      </c>
      <c r="M1300" t="s">
        <v>42</v>
      </c>
      <c r="N1300" t="s">
        <v>52</v>
      </c>
      <c r="O1300">
        <f>IF(TablaVentas[[#This Row],[Precio_unitario]]="","PENDIENTE",TablaVentas[[#This Row],[Unidades]]*TablaVentas[[#This Row],[Precio_unitario]]*(1-TablaVentas[[#This Row],[Descuento_pct]]))</f>
        <v>866.64</v>
      </c>
      <c r="P1300">
        <f>IF(TablaVentas[[#This Row],[Costo_unitario]]="","PENDIENTE",TablaVentas[[#This Row],[Unidades]]*TablaVentas[[#This Row],[Costo_unitario]])</f>
        <v>529.41</v>
      </c>
      <c r="Q1300">
        <f>IF(OR(TablaVentas[[#This Row],[Ingreso_neto]]="PENDIENTE",TablaVentas[[#This Row],[Costo_total]]="PENDIENTE"),"PENDIENTE",TablaVentas[[#This Row],[Ingreso_neto]]-TablaVentas[[#This Row],[Costo_total]])</f>
        <v>337.23</v>
      </c>
    </row>
    <row r="1301" spans="1:17">
      <c r="A1301" t="s">
        <v>923</v>
      </c>
      <c r="B1301">
        <v>2</v>
      </c>
      <c r="C1301" s="3">
        <v>46215</v>
      </c>
      <c r="D1301" t="s">
        <v>562</v>
      </c>
      <c r="E1301" t="s">
        <v>106</v>
      </c>
      <c r="F1301" t="s">
        <v>66</v>
      </c>
      <c r="G1301" t="s">
        <v>40</v>
      </c>
      <c r="H1301" t="s">
        <v>51</v>
      </c>
      <c r="I1301">
        <v>2</v>
      </c>
      <c r="J1301" s="4">
        <v>10470.07</v>
      </c>
      <c r="K1301" s="5">
        <v>0</v>
      </c>
      <c r="L1301" s="4">
        <v>8276.74</v>
      </c>
      <c r="M1301" t="s">
        <v>42</v>
      </c>
      <c r="N1301" t="s">
        <v>60</v>
      </c>
      <c r="O1301">
        <f>IF(TablaVentas[[#This Row],[Precio_unitario]]="","PENDIENTE",TablaVentas[[#This Row],[Unidades]]*TablaVentas[[#This Row],[Precio_unitario]]*(1-TablaVentas[[#This Row],[Descuento_pct]]))</f>
        <v>20940.14</v>
      </c>
      <c r="P1301">
        <f>IF(TablaVentas[[#This Row],[Costo_unitario]]="","PENDIENTE",TablaVentas[[#This Row],[Unidades]]*TablaVentas[[#This Row],[Costo_unitario]])</f>
        <v>16553.48</v>
      </c>
      <c r="Q1301">
        <f>IF(OR(TablaVentas[[#This Row],[Ingreso_neto]]="PENDIENTE",TablaVentas[[#This Row],[Costo_total]]="PENDIENTE"),"PENDIENTE",TablaVentas[[#This Row],[Ingreso_neto]]-TablaVentas[[#This Row],[Costo_total]])</f>
        <v>4386.66</v>
      </c>
    </row>
    <row r="1302" spans="1:17">
      <c r="A1302" t="s">
        <v>923</v>
      </c>
      <c r="B1302">
        <v>3</v>
      </c>
      <c r="C1302" s="3">
        <v>46215</v>
      </c>
      <c r="D1302" t="s">
        <v>562</v>
      </c>
      <c r="E1302" t="s">
        <v>160</v>
      </c>
      <c r="F1302" t="s">
        <v>66</v>
      </c>
      <c r="G1302" t="s">
        <v>40</v>
      </c>
      <c r="H1302" t="s">
        <v>51</v>
      </c>
      <c r="I1302">
        <v>4</v>
      </c>
      <c r="J1302" s="4">
        <v>7445.31</v>
      </c>
      <c r="K1302" s="5">
        <v>0</v>
      </c>
      <c r="L1302" s="4">
        <v>4082.15</v>
      </c>
      <c r="M1302" t="s">
        <v>42</v>
      </c>
      <c r="N1302" t="s">
        <v>60</v>
      </c>
      <c r="O1302">
        <f>IF(TablaVentas[[#This Row],[Precio_unitario]]="","PENDIENTE",TablaVentas[[#This Row],[Unidades]]*TablaVentas[[#This Row],[Precio_unitario]]*(1-TablaVentas[[#This Row],[Descuento_pct]]))</f>
        <v>29781.24</v>
      </c>
      <c r="P1302">
        <f>IF(TablaVentas[[#This Row],[Costo_unitario]]="","PENDIENTE",TablaVentas[[#This Row],[Unidades]]*TablaVentas[[#This Row],[Costo_unitario]])</f>
        <v>16328.6</v>
      </c>
      <c r="Q1302">
        <f>IF(OR(TablaVentas[[#This Row],[Ingreso_neto]]="PENDIENTE",TablaVentas[[#This Row],[Costo_total]]="PENDIENTE"),"PENDIENTE",TablaVentas[[#This Row],[Ingreso_neto]]-TablaVentas[[#This Row],[Costo_total]])</f>
        <v>13452.640000000001</v>
      </c>
    </row>
    <row r="1303" spans="1:17">
      <c r="A1303" t="s">
        <v>924</v>
      </c>
      <c r="B1303">
        <v>1</v>
      </c>
      <c r="C1303" s="3">
        <v>46287</v>
      </c>
      <c r="D1303" t="s">
        <v>615</v>
      </c>
      <c r="E1303" t="s">
        <v>93</v>
      </c>
      <c r="F1303" t="s">
        <v>56</v>
      </c>
      <c r="G1303" t="s">
        <v>50</v>
      </c>
      <c r="H1303" t="s">
        <v>102</v>
      </c>
      <c r="I1303">
        <v>1</v>
      </c>
      <c r="J1303" s="4">
        <v>13850.97</v>
      </c>
      <c r="K1303" s="5">
        <v>0</v>
      </c>
      <c r="L1303" s="4">
        <v>8788.7900000000009</v>
      </c>
      <c r="M1303" t="s">
        <v>42</v>
      </c>
      <c r="N1303" t="s">
        <v>45</v>
      </c>
      <c r="O1303">
        <f>IF(TablaVentas[[#This Row],[Precio_unitario]]="","PENDIENTE",TablaVentas[[#This Row],[Unidades]]*TablaVentas[[#This Row],[Precio_unitario]]*(1-TablaVentas[[#This Row],[Descuento_pct]]))</f>
        <v>13850.97</v>
      </c>
      <c r="P1303">
        <f>IF(TablaVentas[[#This Row],[Costo_unitario]]="","PENDIENTE",TablaVentas[[#This Row],[Unidades]]*TablaVentas[[#This Row],[Costo_unitario]])</f>
        <v>8788.7900000000009</v>
      </c>
      <c r="Q1303">
        <f>IF(OR(TablaVentas[[#This Row],[Ingreso_neto]]="PENDIENTE",TablaVentas[[#This Row],[Costo_total]]="PENDIENTE"),"PENDIENTE",TablaVentas[[#This Row],[Ingreso_neto]]-TablaVentas[[#This Row],[Costo_total]])</f>
        <v>5062.1799999999985</v>
      </c>
    </row>
    <row r="1304" spans="1:17">
      <c r="A1304" t="s">
        <v>924</v>
      </c>
      <c r="B1304">
        <v>2</v>
      </c>
      <c r="C1304" s="3">
        <v>46287</v>
      </c>
      <c r="D1304" t="s">
        <v>615</v>
      </c>
      <c r="E1304" t="s">
        <v>253</v>
      </c>
      <c r="F1304" t="s">
        <v>56</v>
      </c>
      <c r="G1304" t="s">
        <v>50</v>
      </c>
      <c r="H1304" t="s">
        <v>102</v>
      </c>
      <c r="I1304">
        <v>2</v>
      </c>
      <c r="J1304" s="4">
        <v>2943.17</v>
      </c>
      <c r="K1304" s="5">
        <v>0.05</v>
      </c>
      <c r="L1304" s="4">
        <v>2486.1799999999998</v>
      </c>
      <c r="M1304" t="s">
        <v>42</v>
      </c>
      <c r="N1304" t="s">
        <v>60</v>
      </c>
      <c r="O1304">
        <f>IF(TablaVentas[[#This Row],[Precio_unitario]]="","PENDIENTE",TablaVentas[[#This Row],[Unidades]]*TablaVentas[[#This Row],[Precio_unitario]]*(1-TablaVentas[[#This Row],[Descuento_pct]]))</f>
        <v>5592.0230000000001</v>
      </c>
      <c r="P1304">
        <f>IF(TablaVentas[[#This Row],[Costo_unitario]]="","PENDIENTE",TablaVentas[[#This Row],[Unidades]]*TablaVentas[[#This Row],[Costo_unitario]])</f>
        <v>4972.3599999999997</v>
      </c>
      <c r="Q1304">
        <f>IF(OR(TablaVentas[[#This Row],[Ingreso_neto]]="PENDIENTE",TablaVentas[[#This Row],[Costo_total]]="PENDIENTE"),"PENDIENTE",TablaVentas[[#This Row],[Ingreso_neto]]-TablaVentas[[#This Row],[Costo_total]])</f>
        <v>619.66300000000047</v>
      </c>
    </row>
    <row r="1305" spans="1:17">
      <c r="A1305" t="s">
        <v>925</v>
      </c>
      <c r="B1305">
        <v>1</v>
      </c>
      <c r="C1305" s="3">
        <v>46157</v>
      </c>
      <c r="D1305" t="s">
        <v>518</v>
      </c>
      <c r="E1305" t="s">
        <v>144</v>
      </c>
      <c r="F1305" t="s">
        <v>66</v>
      </c>
      <c r="G1305" t="s">
        <v>50</v>
      </c>
      <c r="H1305" t="s">
        <v>82</v>
      </c>
      <c r="I1305">
        <v>2</v>
      </c>
      <c r="J1305" s="4">
        <v>8826.9</v>
      </c>
      <c r="K1305" s="5">
        <v>0.05</v>
      </c>
      <c r="L1305" s="4">
        <v>5125.3599999999997</v>
      </c>
      <c r="M1305" t="s">
        <v>42</v>
      </c>
      <c r="N1305" t="s">
        <v>43</v>
      </c>
      <c r="O1305">
        <f>IF(TablaVentas[[#This Row],[Precio_unitario]]="","PENDIENTE",TablaVentas[[#This Row],[Unidades]]*TablaVentas[[#This Row],[Precio_unitario]]*(1-TablaVentas[[#This Row],[Descuento_pct]]))</f>
        <v>16771.109999999997</v>
      </c>
      <c r="P1305">
        <f>IF(TablaVentas[[#This Row],[Costo_unitario]]="","PENDIENTE",TablaVentas[[#This Row],[Unidades]]*TablaVentas[[#This Row],[Costo_unitario]])</f>
        <v>10250.719999999999</v>
      </c>
      <c r="Q1305">
        <f>IF(OR(TablaVentas[[#This Row],[Ingreso_neto]]="PENDIENTE",TablaVentas[[#This Row],[Costo_total]]="PENDIENTE"),"PENDIENTE",TablaVentas[[#This Row],[Ingreso_neto]]-TablaVentas[[#This Row],[Costo_total]])</f>
        <v>6520.3899999999976</v>
      </c>
    </row>
    <row r="1306" spans="1:17">
      <c r="A1306" t="s">
        <v>926</v>
      </c>
      <c r="B1306">
        <v>1</v>
      </c>
      <c r="C1306" s="3">
        <v>46078</v>
      </c>
      <c r="D1306" t="s">
        <v>429</v>
      </c>
      <c r="E1306" t="s">
        <v>185</v>
      </c>
      <c r="F1306" t="s">
        <v>39</v>
      </c>
      <c r="G1306" t="s">
        <v>50</v>
      </c>
      <c r="H1306" t="s">
        <v>73</v>
      </c>
      <c r="I1306">
        <v>2</v>
      </c>
      <c r="J1306" s="4">
        <v>16537.84</v>
      </c>
      <c r="K1306" s="5">
        <v>0</v>
      </c>
      <c r="L1306" s="4">
        <v>11904.09</v>
      </c>
      <c r="M1306" t="s">
        <v>42</v>
      </c>
      <c r="N1306" t="s">
        <v>43</v>
      </c>
      <c r="O1306">
        <f>IF(TablaVentas[[#This Row],[Precio_unitario]]="","PENDIENTE",TablaVentas[[#This Row],[Unidades]]*TablaVentas[[#This Row],[Precio_unitario]]*(1-TablaVentas[[#This Row],[Descuento_pct]]))</f>
        <v>33075.68</v>
      </c>
      <c r="P1306">
        <f>IF(TablaVentas[[#This Row],[Costo_unitario]]="","PENDIENTE",TablaVentas[[#This Row],[Unidades]]*TablaVentas[[#This Row],[Costo_unitario]])</f>
        <v>23808.18</v>
      </c>
      <c r="Q1306">
        <f>IF(OR(TablaVentas[[#This Row],[Ingreso_neto]]="PENDIENTE",TablaVentas[[#This Row],[Costo_total]]="PENDIENTE"),"PENDIENTE",TablaVentas[[#This Row],[Ingreso_neto]]-TablaVentas[[#This Row],[Costo_total]])</f>
        <v>9267.5</v>
      </c>
    </row>
    <row r="1307" spans="1:17">
      <c r="A1307" t="s">
        <v>926</v>
      </c>
      <c r="B1307">
        <v>2</v>
      </c>
      <c r="C1307" s="3">
        <v>46078</v>
      </c>
      <c r="D1307" t="s">
        <v>429</v>
      </c>
      <c r="E1307" t="s">
        <v>253</v>
      </c>
      <c r="F1307" t="s">
        <v>39</v>
      </c>
      <c r="G1307" t="s">
        <v>50</v>
      </c>
      <c r="H1307" t="s">
        <v>73</v>
      </c>
      <c r="I1307">
        <v>1</v>
      </c>
      <c r="J1307" s="4">
        <v>2945.64</v>
      </c>
      <c r="K1307" s="5">
        <v>0.2</v>
      </c>
      <c r="L1307" s="4">
        <v>2486.1799999999998</v>
      </c>
      <c r="M1307" t="s">
        <v>42</v>
      </c>
      <c r="N1307" t="s">
        <v>45</v>
      </c>
      <c r="O1307">
        <f>IF(TablaVentas[[#This Row],[Precio_unitario]]="","PENDIENTE",TablaVentas[[#This Row],[Unidades]]*TablaVentas[[#This Row],[Precio_unitario]]*(1-TablaVentas[[#This Row],[Descuento_pct]]))</f>
        <v>2356.5120000000002</v>
      </c>
      <c r="P1307">
        <f>IF(TablaVentas[[#This Row],[Costo_unitario]]="","PENDIENTE",TablaVentas[[#This Row],[Unidades]]*TablaVentas[[#This Row],[Costo_unitario]])</f>
        <v>2486.1799999999998</v>
      </c>
      <c r="Q1307">
        <f>IF(OR(TablaVentas[[#This Row],[Ingreso_neto]]="PENDIENTE",TablaVentas[[#This Row],[Costo_total]]="PENDIENTE"),"PENDIENTE",TablaVentas[[#This Row],[Ingreso_neto]]-TablaVentas[[#This Row],[Costo_total]])</f>
        <v>-129.66799999999967</v>
      </c>
    </row>
    <row r="1308" spans="1:17">
      <c r="A1308" t="s">
        <v>927</v>
      </c>
      <c r="B1308">
        <v>1</v>
      </c>
      <c r="C1308" s="3">
        <v>46270</v>
      </c>
      <c r="D1308" t="s">
        <v>462</v>
      </c>
      <c r="E1308" t="s">
        <v>110</v>
      </c>
      <c r="F1308" t="s">
        <v>77</v>
      </c>
      <c r="G1308" t="s">
        <v>40</v>
      </c>
      <c r="H1308" t="s">
        <v>102</v>
      </c>
      <c r="I1308">
        <v>2</v>
      </c>
      <c r="J1308" s="4">
        <v>5468.48</v>
      </c>
      <c r="K1308" s="5">
        <v>0.05</v>
      </c>
      <c r="L1308" s="4">
        <v>4205.6899999999996</v>
      </c>
      <c r="M1308" t="s">
        <v>42</v>
      </c>
      <c r="N1308" t="s">
        <v>52</v>
      </c>
      <c r="O1308">
        <f>IF(TablaVentas[[#This Row],[Precio_unitario]]="","PENDIENTE",TablaVentas[[#This Row],[Unidades]]*TablaVentas[[#This Row],[Precio_unitario]]*(1-TablaVentas[[#This Row],[Descuento_pct]]))</f>
        <v>10390.111999999999</v>
      </c>
      <c r="P1308">
        <f>IF(TablaVentas[[#This Row],[Costo_unitario]]="","PENDIENTE",TablaVentas[[#This Row],[Unidades]]*TablaVentas[[#This Row],[Costo_unitario]])</f>
        <v>8411.3799999999992</v>
      </c>
      <c r="Q1308">
        <f>IF(OR(TablaVentas[[#This Row],[Ingreso_neto]]="PENDIENTE",TablaVentas[[#This Row],[Costo_total]]="PENDIENTE"),"PENDIENTE",TablaVentas[[#This Row],[Ingreso_neto]]-TablaVentas[[#This Row],[Costo_total]])</f>
        <v>1978.732</v>
      </c>
    </row>
    <row r="1309" spans="1:17">
      <c r="A1309" t="s">
        <v>927</v>
      </c>
      <c r="B1309">
        <v>2</v>
      </c>
      <c r="C1309" s="3">
        <v>46270</v>
      </c>
      <c r="D1309" t="s">
        <v>462</v>
      </c>
      <c r="E1309" t="s">
        <v>156</v>
      </c>
      <c r="F1309" t="s">
        <v>77</v>
      </c>
      <c r="G1309" t="s">
        <v>40</v>
      </c>
      <c r="H1309" t="s">
        <v>102</v>
      </c>
      <c r="I1309">
        <v>4</v>
      </c>
      <c r="J1309" s="4">
        <v>19848.68</v>
      </c>
      <c r="K1309" s="5">
        <v>0</v>
      </c>
      <c r="L1309" s="4">
        <v>13981.13</v>
      </c>
      <c r="M1309" t="s">
        <v>116</v>
      </c>
      <c r="N1309" t="s">
        <v>43</v>
      </c>
      <c r="O1309">
        <f>IF(TablaVentas[[#This Row],[Precio_unitario]]="","PENDIENTE",TablaVentas[[#This Row],[Unidades]]*TablaVentas[[#This Row],[Precio_unitario]]*(1-TablaVentas[[#This Row],[Descuento_pct]]))</f>
        <v>79394.720000000001</v>
      </c>
      <c r="P1309">
        <f>IF(TablaVentas[[#This Row],[Costo_unitario]]="","PENDIENTE",TablaVentas[[#This Row],[Unidades]]*TablaVentas[[#This Row],[Costo_unitario]])</f>
        <v>55924.52</v>
      </c>
      <c r="Q1309">
        <f>IF(OR(TablaVentas[[#This Row],[Ingreso_neto]]="PENDIENTE",TablaVentas[[#This Row],[Costo_total]]="PENDIENTE"),"PENDIENTE",TablaVentas[[#This Row],[Ingreso_neto]]-TablaVentas[[#This Row],[Costo_total]])</f>
        <v>23470.200000000004</v>
      </c>
    </row>
    <row r="1310" spans="1:17">
      <c r="A1310" t="s">
        <v>928</v>
      </c>
      <c r="B1310">
        <v>1</v>
      </c>
      <c r="C1310" s="3">
        <v>46250</v>
      </c>
      <c r="D1310" t="s">
        <v>492</v>
      </c>
      <c r="E1310" t="s">
        <v>106</v>
      </c>
      <c r="F1310" t="s">
        <v>77</v>
      </c>
      <c r="G1310" t="s">
        <v>57</v>
      </c>
      <c r="H1310" t="s">
        <v>41</v>
      </c>
      <c r="I1310">
        <v>5</v>
      </c>
      <c r="J1310" s="4">
        <v>9920.4699999999993</v>
      </c>
      <c r="K1310" s="5">
        <v>0</v>
      </c>
      <c r="L1310" s="4">
        <v>8276.74</v>
      </c>
      <c r="M1310" t="s">
        <v>42</v>
      </c>
      <c r="N1310" t="s">
        <v>60</v>
      </c>
      <c r="O1310">
        <f>IF(TablaVentas[[#This Row],[Precio_unitario]]="","PENDIENTE",TablaVentas[[#This Row],[Unidades]]*TablaVentas[[#This Row],[Precio_unitario]]*(1-TablaVentas[[#This Row],[Descuento_pct]]))</f>
        <v>49602.35</v>
      </c>
      <c r="P1310">
        <f>IF(TablaVentas[[#This Row],[Costo_unitario]]="","PENDIENTE",TablaVentas[[#This Row],[Unidades]]*TablaVentas[[#This Row],[Costo_unitario]])</f>
        <v>41383.699999999997</v>
      </c>
      <c r="Q1310">
        <f>IF(OR(TablaVentas[[#This Row],[Ingreso_neto]]="PENDIENTE",TablaVentas[[#This Row],[Costo_total]]="PENDIENTE"),"PENDIENTE",TablaVentas[[#This Row],[Ingreso_neto]]-TablaVentas[[#This Row],[Costo_total]])</f>
        <v>8218.6500000000015</v>
      </c>
    </row>
    <row r="1311" spans="1:17">
      <c r="A1311" t="s">
        <v>928</v>
      </c>
      <c r="B1311">
        <v>2</v>
      </c>
      <c r="C1311" s="3">
        <v>46250</v>
      </c>
      <c r="D1311" t="s">
        <v>492</v>
      </c>
      <c r="E1311" t="s">
        <v>180</v>
      </c>
      <c r="F1311" t="s">
        <v>77</v>
      </c>
      <c r="G1311" t="s">
        <v>57</v>
      </c>
      <c r="H1311" t="s">
        <v>41</v>
      </c>
      <c r="I1311">
        <v>2</v>
      </c>
      <c r="J1311" s="4">
        <v>6289.31</v>
      </c>
      <c r="K1311" s="5">
        <v>0.05</v>
      </c>
      <c r="L1311" s="4">
        <v>3824.92</v>
      </c>
      <c r="M1311" t="s">
        <v>62</v>
      </c>
      <c r="N1311" t="s">
        <v>45</v>
      </c>
      <c r="O1311">
        <f>IF(TablaVentas[[#This Row],[Precio_unitario]]="","PENDIENTE",TablaVentas[[#This Row],[Unidades]]*TablaVentas[[#This Row],[Precio_unitario]]*(1-TablaVentas[[#This Row],[Descuento_pct]]))</f>
        <v>11949.689</v>
      </c>
      <c r="P1311">
        <f>IF(TablaVentas[[#This Row],[Costo_unitario]]="","PENDIENTE",TablaVentas[[#This Row],[Unidades]]*TablaVentas[[#This Row],[Costo_unitario]])</f>
        <v>7649.84</v>
      </c>
      <c r="Q1311">
        <f>IF(OR(TablaVentas[[#This Row],[Ingreso_neto]]="PENDIENTE",TablaVentas[[#This Row],[Costo_total]]="PENDIENTE"),"PENDIENTE",TablaVentas[[#This Row],[Ingreso_neto]]-TablaVentas[[#This Row],[Costo_total]])</f>
        <v>4299.8490000000002</v>
      </c>
    </row>
    <row r="1312" spans="1:17">
      <c r="A1312" t="s">
        <v>929</v>
      </c>
      <c r="B1312">
        <v>1</v>
      </c>
      <c r="C1312" s="3">
        <v>46255</v>
      </c>
      <c r="D1312" t="s">
        <v>840</v>
      </c>
      <c r="E1312" t="s">
        <v>83</v>
      </c>
      <c r="F1312" t="s">
        <v>56</v>
      </c>
      <c r="G1312" t="s">
        <v>57</v>
      </c>
      <c r="H1312" t="s">
        <v>82</v>
      </c>
      <c r="I1312">
        <v>1</v>
      </c>
      <c r="J1312" s="4">
        <v>15235.6</v>
      </c>
      <c r="K1312" s="5">
        <v>0.1</v>
      </c>
      <c r="L1312" s="4">
        <v>12723.77</v>
      </c>
      <c r="M1312" t="s">
        <v>42</v>
      </c>
      <c r="N1312" t="s">
        <v>45</v>
      </c>
      <c r="O1312">
        <f>IF(TablaVentas[[#This Row],[Precio_unitario]]="","PENDIENTE",TablaVentas[[#This Row],[Unidades]]*TablaVentas[[#This Row],[Precio_unitario]]*(1-TablaVentas[[#This Row],[Descuento_pct]]))</f>
        <v>13712.04</v>
      </c>
      <c r="P1312">
        <f>IF(TablaVentas[[#This Row],[Costo_unitario]]="","PENDIENTE",TablaVentas[[#This Row],[Unidades]]*TablaVentas[[#This Row],[Costo_unitario]])</f>
        <v>12723.77</v>
      </c>
      <c r="Q1312">
        <f>IF(OR(TablaVentas[[#This Row],[Ingreso_neto]]="PENDIENTE",TablaVentas[[#This Row],[Costo_total]]="PENDIENTE"),"PENDIENTE",TablaVentas[[#This Row],[Ingreso_neto]]-TablaVentas[[#This Row],[Costo_total]])</f>
        <v>988.27000000000044</v>
      </c>
    </row>
    <row r="1313" spans="1:17">
      <c r="A1313" t="s">
        <v>929</v>
      </c>
      <c r="B1313">
        <v>2</v>
      </c>
      <c r="C1313" s="3">
        <v>46255</v>
      </c>
      <c r="D1313" t="s">
        <v>840</v>
      </c>
      <c r="E1313" t="s">
        <v>89</v>
      </c>
      <c r="F1313" t="s">
        <v>56</v>
      </c>
      <c r="G1313" t="s">
        <v>57</v>
      </c>
      <c r="H1313" t="s">
        <v>82</v>
      </c>
      <c r="I1313">
        <v>1</v>
      </c>
      <c r="J1313" s="4">
        <v>11524.91</v>
      </c>
      <c r="K1313" s="5">
        <v>0.05</v>
      </c>
      <c r="L1313" s="4">
        <v>9118.07</v>
      </c>
      <c r="M1313" t="s">
        <v>62</v>
      </c>
      <c r="N1313" t="s">
        <v>60</v>
      </c>
      <c r="O1313">
        <f>IF(TablaVentas[[#This Row],[Precio_unitario]]="","PENDIENTE",TablaVentas[[#This Row],[Unidades]]*TablaVentas[[#This Row],[Precio_unitario]]*(1-TablaVentas[[#This Row],[Descuento_pct]]))</f>
        <v>10948.664499999999</v>
      </c>
      <c r="P1313">
        <f>IF(TablaVentas[[#This Row],[Costo_unitario]]="","PENDIENTE",TablaVentas[[#This Row],[Unidades]]*TablaVentas[[#This Row],[Costo_unitario]])</f>
        <v>9118.07</v>
      </c>
      <c r="Q1313">
        <f>IF(OR(TablaVentas[[#This Row],[Ingreso_neto]]="PENDIENTE",TablaVentas[[#This Row],[Costo_total]]="PENDIENTE"),"PENDIENTE",TablaVentas[[#This Row],[Ingreso_neto]]-TablaVentas[[#This Row],[Costo_total]])</f>
        <v>1830.5944999999992</v>
      </c>
    </row>
    <row r="1314" spans="1:17">
      <c r="A1314" t="s">
        <v>930</v>
      </c>
      <c r="B1314">
        <v>1</v>
      </c>
      <c r="C1314" s="3">
        <v>46054</v>
      </c>
      <c r="D1314" t="s">
        <v>304</v>
      </c>
      <c r="E1314" t="s">
        <v>367</v>
      </c>
      <c r="F1314" t="s">
        <v>56</v>
      </c>
      <c r="G1314" t="s">
        <v>57</v>
      </c>
      <c r="H1314" t="s">
        <v>73</v>
      </c>
      <c r="I1314">
        <v>3</v>
      </c>
      <c r="J1314" s="4">
        <v>9826.9</v>
      </c>
      <c r="K1314" s="5">
        <v>0.2</v>
      </c>
      <c r="L1314" s="4">
        <v>5079.43</v>
      </c>
      <c r="M1314" t="s">
        <v>42</v>
      </c>
      <c r="N1314" t="s">
        <v>43</v>
      </c>
      <c r="O1314">
        <f>IF(TablaVentas[[#This Row],[Precio_unitario]]="","PENDIENTE",TablaVentas[[#This Row],[Unidades]]*TablaVentas[[#This Row],[Precio_unitario]]*(1-TablaVentas[[#This Row],[Descuento_pct]]))</f>
        <v>23584.559999999998</v>
      </c>
      <c r="P1314">
        <f>IF(TablaVentas[[#This Row],[Costo_unitario]]="","PENDIENTE",TablaVentas[[#This Row],[Unidades]]*TablaVentas[[#This Row],[Costo_unitario]])</f>
        <v>15238.29</v>
      </c>
      <c r="Q1314">
        <f>IF(OR(TablaVentas[[#This Row],[Ingreso_neto]]="PENDIENTE",TablaVentas[[#This Row],[Costo_total]]="PENDIENTE"),"PENDIENTE",TablaVentas[[#This Row],[Ingreso_neto]]-TablaVentas[[#This Row],[Costo_total]])</f>
        <v>8346.2699999999968</v>
      </c>
    </row>
    <row r="1315" spans="1:17">
      <c r="A1315" t="s">
        <v>931</v>
      </c>
      <c r="B1315">
        <v>1</v>
      </c>
      <c r="C1315" s="3">
        <v>46092</v>
      </c>
      <c r="D1315" t="s">
        <v>627</v>
      </c>
      <c r="E1315" t="s">
        <v>271</v>
      </c>
      <c r="F1315" t="s">
        <v>56</v>
      </c>
      <c r="G1315" t="s">
        <v>50</v>
      </c>
      <c r="H1315" t="s">
        <v>82</v>
      </c>
      <c r="I1315">
        <v>1</v>
      </c>
      <c r="J1315" s="4">
        <v>1145.1300000000001</v>
      </c>
      <c r="K1315" s="5">
        <v>0</v>
      </c>
      <c r="L1315" s="4">
        <v>759.03</v>
      </c>
      <c r="M1315" t="s">
        <v>42</v>
      </c>
      <c r="N1315" t="s">
        <v>60</v>
      </c>
      <c r="O1315">
        <f>IF(TablaVentas[[#This Row],[Precio_unitario]]="","PENDIENTE",TablaVentas[[#This Row],[Unidades]]*TablaVentas[[#This Row],[Precio_unitario]]*(1-TablaVentas[[#This Row],[Descuento_pct]]))</f>
        <v>1145.1300000000001</v>
      </c>
      <c r="P1315">
        <f>IF(TablaVentas[[#This Row],[Costo_unitario]]="","PENDIENTE",TablaVentas[[#This Row],[Unidades]]*TablaVentas[[#This Row],[Costo_unitario]])</f>
        <v>759.03</v>
      </c>
      <c r="Q1315">
        <f>IF(OR(TablaVentas[[#This Row],[Ingreso_neto]]="PENDIENTE",TablaVentas[[#This Row],[Costo_total]]="PENDIENTE"),"PENDIENTE",TablaVentas[[#This Row],[Ingreso_neto]]-TablaVentas[[#This Row],[Costo_total]])</f>
        <v>386.10000000000014</v>
      </c>
    </row>
    <row r="1316" spans="1:17">
      <c r="A1316" t="s">
        <v>932</v>
      </c>
      <c r="B1316">
        <v>1</v>
      </c>
      <c r="C1316" s="3">
        <v>46289</v>
      </c>
      <c r="D1316" t="s">
        <v>518</v>
      </c>
      <c r="E1316" t="s">
        <v>175</v>
      </c>
      <c r="F1316" t="s">
        <v>56</v>
      </c>
      <c r="G1316" t="s">
        <v>50</v>
      </c>
      <c r="H1316" t="s">
        <v>73</v>
      </c>
      <c r="I1316">
        <v>1</v>
      </c>
      <c r="J1316" s="4">
        <v>2854.76</v>
      </c>
      <c r="K1316" s="5">
        <v>0</v>
      </c>
      <c r="L1316" s="4">
        <v>1857.39</v>
      </c>
      <c r="M1316" t="s">
        <v>42</v>
      </c>
      <c r="N1316" t="s">
        <v>43</v>
      </c>
      <c r="O1316">
        <f>IF(TablaVentas[[#This Row],[Precio_unitario]]="","PENDIENTE",TablaVentas[[#This Row],[Unidades]]*TablaVentas[[#This Row],[Precio_unitario]]*(1-TablaVentas[[#This Row],[Descuento_pct]]))</f>
        <v>2854.76</v>
      </c>
      <c r="P1316">
        <f>IF(TablaVentas[[#This Row],[Costo_unitario]]="","PENDIENTE",TablaVentas[[#This Row],[Unidades]]*TablaVentas[[#This Row],[Costo_unitario]])</f>
        <v>1857.39</v>
      </c>
      <c r="Q1316">
        <f>IF(OR(TablaVentas[[#This Row],[Ingreso_neto]]="PENDIENTE",TablaVentas[[#This Row],[Costo_total]]="PENDIENTE"),"PENDIENTE",TablaVentas[[#This Row],[Ingreso_neto]]-TablaVentas[[#This Row],[Costo_total]])</f>
        <v>997.37000000000012</v>
      </c>
    </row>
    <row r="1317" spans="1:17">
      <c r="A1317" t="s">
        <v>932</v>
      </c>
      <c r="B1317">
        <v>2</v>
      </c>
      <c r="C1317" s="3">
        <v>46289</v>
      </c>
      <c r="D1317" t="s">
        <v>518</v>
      </c>
      <c r="E1317" t="s">
        <v>44</v>
      </c>
      <c r="F1317" t="s">
        <v>56</v>
      </c>
      <c r="G1317" t="s">
        <v>50</v>
      </c>
      <c r="H1317" t="s">
        <v>73</v>
      </c>
      <c r="I1317">
        <v>5</v>
      </c>
      <c r="J1317" s="4">
        <v>13064.6</v>
      </c>
      <c r="K1317" s="5">
        <v>0</v>
      </c>
      <c r="L1317" s="4">
        <v>8980.68</v>
      </c>
      <c r="M1317" t="s">
        <v>42</v>
      </c>
      <c r="N1317" t="s">
        <v>52</v>
      </c>
      <c r="O1317">
        <f>IF(TablaVentas[[#This Row],[Precio_unitario]]="","PENDIENTE",TablaVentas[[#This Row],[Unidades]]*TablaVentas[[#This Row],[Precio_unitario]]*(1-TablaVentas[[#This Row],[Descuento_pct]]))</f>
        <v>65323</v>
      </c>
      <c r="P1317">
        <f>IF(TablaVentas[[#This Row],[Costo_unitario]]="","PENDIENTE",TablaVentas[[#This Row],[Unidades]]*TablaVentas[[#This Row],[Costo_unitario]])</f>
        <v>44903.4</v>
      </c>
      <c r="Q1317">
        <f>IF(OR(TablaVentas[[#This Row],[Ingreso_neto]]="PENDIENTE",TablaVentas[[#This Row],[Costo_total]]="PENDIENTE"),"PENDIENTE",TablaVentas[[#This Row],[Ingreso_neto]]-TablaVentas[[#This Row],[Costo_total]])</f>
        <v>20419.599999999999</v>
      </c>
    </row>
    <row r="1318" spans="1:17">
      <c r="A1318" t="s">
        <v>932</v>
      </c>
      <c r="B1318">
        <v>3</v>
      </c>
      <c r="C1318" s="3">
        <v>46289</v>
      </c>
      <c r="D1318" t="s">
        <v>518</v>
      </c>
      <c r="E1318" t="s">
        <v>258</v>
      </c>
      <c r="F1318" t="s">
        <v>56</v>
      </c>
      <c r="G1318" t="s">
        <v>50</v>
      </c>
      <c r="H1318" t="s">
        <v>73</v>
      </c>
      <c r="I1318">
        <v>1</v>
      </c>
      <c r="J1318" s="4">
        <v>3982.71</v>
      </c>
      <c r="K1318" s="5">
        <v>0</v>
      </c>
      <c r="L1318" s="4">
        <v>2008.57</v>
      </c>
      <c r="M1318" t="s">
        <v>42</v>
      </c>
      <c r="N1318" t="s">
        <v>43</v>
      </c>
      <c r="O1318">
        <f>IF(TablaVentas[[#This Row],[Precio_unitario]]="","PENDIENTE",TablaVentas[[#This Row],[Unidades]]*TablaVentas[[#This Row],[Precio_unitario]]*(1-TablaVentas[[#This Row],[Descuento_pct]]))</f>
        <v>3982.71</v>
      </c>
      <c r="P1318">
        <f>IF(TablaVentas[[#This Row],[Costo_unitario]]="","PENDIENTE",TablaVentas[[#This Row],[Unidades]]*TablaVentas[[#This Row],[Costo_unitario]])</f>
        <v>2008.57</v>
      </c>
      <c r="Q1318">
        <f>IF(OR(TablaVentas[[#This Row],[Ingreso_neto]]="PENDIENTE",TablaVentas[[#This Row],[Costo_total]]="PENDIENTE"),"PENDIENTE",TablaVentas[[#This Row],[Ingreso_neto]]-TablaVentas[[#This Row],[Costo_total]])</f>
        <v>1974.14</v>
      </c>
    </row>
    <row r="1319" spans="1:17">
      <c r="A1319" t="s">
        <v>933</v>
      </c>
      <c r="B1319">
        <v>1</v>
      </c>
      <c r="C1319" s="3">
        <v>46242</v>
      </c>
      <c r="D1319" t="s">
        <v>620</v>
      </c>
      <c r="E1319" t="s">
        <v>85</v>
      </c>
      <c r="F1319" t="s">
        <v>56</v>
      </c>
      <c r="G1319" t="s">
        <v>57</v>
      </c>
      <c r="H1319" t="s">
        <v>41</v>
      </c>
      <c r="I1319">
        <v>3</v>
      </c>
      <c r="J1319" s="4">
        <v>557.97</v>
      </c>
      <c r="K1319" s="5">
        <v>0</v>
      </c>
      <c r="L1319" s="4">
        <v>307.75</v>
      </c>
      <c r="M1319" t="s">
        <v>42</v>
      </c>
      <c r="N1319" t="s">
        <v>60</v>
      </c>
      <c r="O1319">
        <f>IF(TablaVentas[[#This Row],[Precio_unitario]]="","PENDIENTE",TablaVentas[[#This Row],[Unidades]]*TablaVentas[[#This Row],[Precio_unitario]]*(1-TablaVentas[[#This Row],[Descuento_pct]]))</f>
        <v>1673.91</v>
      </c>
      <c r="P1319">
        <f>IF(TablaVentas[[#This Row],[Costo_unitario]]="","PENDIENTE",TablaVentas[[#This Row],[Unidades]]*TablaVentas[[#This Row],[Costo_unitario]])</f>
        <v>923.25</v>
      </c>
      <c r="Q1319">
        <f>IF(OR(TablaVentas[[#This Row],[Ingreso_neto]]="PENDIENTE",TablaVentas[[#This Row],[Costo_total]]="PENDIENTE"),"PENDIENTE",TablaVentas[[#This Row],[Ingreso_neto]]-TablaVentas[[#This Row],[Costo_total]])</f>
        <v>750.66000000000008</v>
      </c>
    </row>
    <row r="1320" spans="1:17">
      <c r="A1320" t="s">
        <v>933</v>
      </c>
      <c r="B1320">
        <v>2</v>
      </c>
      <c r="C1320" s="3">
        <v>46242</v>
      </c>
      <c r="D1320" t="s">
        <v>620</v>
      </c>
      <c r="E1320" t="s">
        <v>132</v>
      </c>
      <c r="F1320" t="s">
        <v>56</v>
      </c>
      <c r="G1320" t="s">
        <v>57</v>
      </c>
      <c r="H1320" t="s">
        <v>41</v>
      </c>
      <c r="I1320">
        <v>3</v>
      </c>
      <c r="J1320" s="4">
        <v>19345.93</v>
      </c>
      <c r="K1320" s="5">
        <v>0</v>
      </c>
      <c r="L1320" s="4">
        <v>11036.95</v>
      </c>
      <c r="M1320" t="s">
        <v>42</v>
      </c>
      <c r="N1320" t="s">
        <v>45</v>
      </c>
      <c r="O1320">
        <f>IF(TablaVentas[[#This Row],[Precio_unitario]]="","PENDIENTE",TablaVentas[[#This Row],[Unidades]]*TablaVentas[[#This Row],[Precio_unitario]]*(1-TablaVentas[[#This Row],[Descuento_pct]]))</f>
        <v>58037.79</v>
      </c>
      <c r="P1320">
        <f>IF(TablaVentas[[#This Row],[Costo_unitario]]="","PENDIENTE",TablaVentas[[#This Row],[Unidades]]*TablaVentas[[#This Row],[Costo_unitario]])</f>
        <v>33110.850000000006</v>
      </c>
      <c r="Q1320">
        <f>IF(OR(TablaVentas[[#This Row],[Ingreso_neto]]="PENDIENTE",TablaVentas[[#This Row],[Costo_total]]="PENDIENTE"),"PENDIENTE",TablaVentas[[#This Row],[Ingreso_neto]]-TablaVentas[[#This Row],[Costo_total]])</f>
        <v>24926.939999999995</v>
      </c>
    </row>
    <row r="1321" spans="1:17">
      <c r="A1321" t="s">
        <v>934</v>
      </c>
      <c r="B1321">
        <v>1</v>
      </c>
      <c r="C1321" s="3">
        <v>46065</v>
      </c>
      <c r="D1321" t="s">
        <v>690</v>
      </c>
      <c r="E1321" t="s">
        <v>172</v>
      </c>
      <c r="F1321" t="s">
        <v>56</v>
      </c>
      <c r="G1321" t="s">
        <v>50</v>
      </c>
      <c r="H1321" t="s">
        <v>102</v>
      </c>
      <c r="I1321">
        <v>2</v>
      </c>
      <c r="J1321" s="4">
        <v>17560.64</v>
      </c>
      <c r="K1321" s="5">
        <v>0.1</v>
      </c>
      <c r="L1321" s="4">
        <v>10830.17</v>
      </c>
      <c r="M1321" t="s">
        <v>42</v>
      </c>
      <c r="N1321" t="s">
        <v>43</v>
      </c>
      <c r="O1321">
        <f>IF(TablaVentas[[#This Row],[Precio_unitario]]="","PENDIENTE",TablaVentas[[#This Row],[Unidades]]*TablaVentas[[#This Row],[Precio_unitario]]*(1-TablaVentas[[#This Row],[Descuento_pct]]))</f>
        <v>31609.151999999998</v>
      </c>
      <c r="P1321">
        <f>IF(TablaVentas[[#This Row],[Costo_unitario]]="","PENDIENTE",TablaVentas[[#This Row],[Unidades]]*TablaVentas[[#This Row],[Costo_unitario]])</f>
        <v>21660.34</v>
      </c>
      <c r="Q1321">
        <f>IF(OR(TablaVentas[[#This Row],[Ingreso_neto]]="PENDIENTE",TablaVentas[[#This Row],[Costo_total]]="PENDIENTE"),"PENDIENTE",TablaVentas[[#This Row],[Ingreso_neto]]-TablaVentas[[#This Row],[Costo_total]])</f>
        <v>9948.8119999999981</v>
      </c>
    </row>
    <row r="1322" spans="1:17">
      <c r="A1322" t="s">
        <v>934</v>
      </c>
      <c r="B1322">
        <v>2</v>
      </c>
      <c r="C1322" s="3">
        <v>46065</v>
      </c>
      <c r="D1322" t="s">
        <v>690</v>
      </c>
      <c r="E1322" t="s">
        <v>216</v>
      </c>
      <c r="F1322" t="s">
        <v>56</v>
      </c>
      <c r="G1322" t="s">
        <v>50</v>
      </c>
      <c r="H1322" t="s">
        <v>102</v>
      </c>
      <c r="I1322">
        <v>1</v>
      </c>
      <c r="J1322" s="4">
        <v>16541.990000000002</v>
      </c>
      <c r="K1322" s="5">
        <v>0</v>
      </c>
      <c r="L1322" s="4">
        <v>12064.41</v>
      </c>
      <c r="M1322" t="s">
        <v>42</v>
      </c>
      <c r="N1322" t="s">
        <v>43</v>
      </c>
      <c r="O1322">
        <f>IF(TablaVentas[[#This Row],[Precio_unitario]]="","PENDIENTE",TablaVentas[[#This Row],[Unidades]]*TablaVentas[[#This Row],[Precio_unitario]]*(1-TablaVentas[[#This Row],[Descuento_pct]]))</f>
        <v>16541.990000000002</v>
      </c>
      <c r="P1322">
        <f>IF(TablaVentas[[#This Row],[Costo_unitario]]="","PENDIENTE",TablaVentas[[#This Row],[Unidades]]*TablaVentas[[#This Row],[Costo_unitario]])</f>
        <v>12064.41</v>
      </c>
      <c r="Q1322">
        <f>IF(OR(TablaVentas[[#This Row],[Ingreso_neto]]="PENDIENTE",TablaVentas[[#This Row],[Costo_total]]="PENDIENTE"),"PENDIENTE",TablaVentas[[#This Row],[Ingreso_neto]]-TablaVentas[[#This Row],[Costo_total]])</f>
        <v>4477.5800000000017</v>
      </c>
    </row>
    <row r="1323" spans="1:17">
      <c r="A1323" t="s">
        <v>934</v>
      </c>
      <c r="B1323">
        <v>3</v>
      </c>
      <c r="C1323" s="3">
        <v>46065</v>
      </c>
      <c r="D1323" t="s">
        <v>690</v>
      </c>
      <c r="E1323" t="s">
        <v>83</v>
      </c>
      <c r="F1323" t="s">
        <v>56</v>
      </c>
      <c r="G1323" t="s">
        <v>50</v>
      </c>
      <c r="H1323" t="s">
        <v>102</v>
      </c>
      <c r="I1323">
        <v>1</v>
      </c>
      <c r="J1323" s="4">
        <v>16889.7</v>
      </c>
      <c r="K1323" s="5">
        <v>0.2</v>
      </c>
      <c r="L1323" s="4">
        <v>12723.77</v>
      </c>
      <c r="M1323" t="s">
        <v>42</v>
      </c>
      <c r="N1323" t="s">
        <v>52</v>
      </c>
      <c r="O1323">
        <f>IF(TablaVentas[[#This Row],[Precio_unitario]]="","PENDIENTE",TablaVentas[[#This Row],[Unidades]]*TablaVentas[[#This Row],[Precio_unitario]]*(1-TablaVentas[[#This Row],[Descuento_pct]]))</f>
        <v>13511.760000000002</v>
      </c>
      <c r="P1323">
        <f>IF(TablaVentas[[#This Row],[Costo_unitario]]="","PENDIENTE",TablaVentas[[#This Row],[Unidades]]*TablaVentas[[#This Row],[Costo_unitario]])</f>
        <v>12723.77</v>
      </c>
      <c r="Q1323">
        <f>IF(OR(TablaVentas[[#This Row],[Ingreso_neto]]="PENDIENTE",TablaVentas[[#This Row],[Costo_total]]="PENDIENTE"),"PENDIENTE",TablaVentas[[#This Row],[Ingreso_neto]]-TablaVentas[[#This Row],[Costo_total]])</f>
        <v>787.9900000000016</v>
      </c>
    </row>
    <row r="1324" spans="1:17">
      <c r="A1324" t="s">
        <v>935</v>
      </c>
      <c r="B1324">
        <v>1</v>
      </c>
      <c r="C1324" s="3">
        <v>46155</v>
      </c>
      <c r="D1324" t="s">
        <v>438</v>
      </c>
      <c r="E1324" t="s">
        <v>320</v>
      </c>
      <c r="F1324" t="s">
        <v>66</v>
      </c>
      <c r="G1324" t="s">
        <v>57</v>
      </c>
      <c r="H1324" t="s">
        <v>67</v>
      </c>
      <c r="I1324">
        <v>2</v>
      </c>
      <c r="J1324" s="4">
        <v>4701.1499999999996</v>
      </c>
      <c r="K1324" s="5">
        <v>0.15</v>
      </c>
      <c r="L1324" s="4">
        <v>3065.66</v>
      </c>
      <c r="M1324" t="s">
        <v>42</v>
      </c>
      <c r="N1324" t="s">
        <v>43</v>
      </c>
      <c r="O1324">
        <f>IF(TablaVentas[[#This Row],[Precio_unitario]]="","PENDIENTE",TablaVentas[[#This Row],[Unidades]]*TablaVentas[[#This Row],[Precio_unitario]]*(1-TablaVentas[[#This Row],[Descuento_pct]]))</f>
        <v>7991.954999999999</v>
      </c>
      <c r="P1324">
        <f>IF(TablaVentas[[#This Row],[Costo_unitario]]="","PENDIENTE",TablaVentas[[#This Row],[Unidades]]*TablaVentas[[#This Row],[Costo_unitario]])</f>
        <v>6131.32</v>
      </c>
      <c r="Q1324">
        <f>IF(OR(TablaVentas[[#This Row],[Ingreso_neto]]="PENDIENTE",TablaVentas[[#This Row],[Costo_total]]="PENDIENTE"),"PENDIENTE",TablaVentas[[#This Row],[Ingreso_neto]]-TablaVentas[[#This Row],[Costo_total]])</f>
        <v>1860.6349999999993</v>
      </c>
    </row>
    <row r="1325" spans="1:17">
      <c r="A1325" t="s">
        <v>936</v>
      </c>
      <c r="B1325">
        <v>1</v>
      </c>
      <c r="C1325" s="3">
        <v>46244</v>
      </c>
      <c r="D1325" t="s">
        <v>457</v>
      </c>
      <c r="E1325" t="s">
        <v>151</v>
      </c>
      <c r="F1325" t="s">
        <v>56</v>
      </c>
      <c r="G1325" t="s">
        <v>50</v>
      </c>
      <c r="H1325" t="s">
        <v>124</v>
      </c>
      <c r="I1325">
        <v>1</v>
      </c>
      <c r="J1325" s="4">
        <v>16056.53</v>
      </c>
      <c r="K1325" s="5">
        <v>0</v>
      </c>
      <c r="L1325" s="4">
        <v>8963.23</v>
      </c>
      <c r="M1325" t="s">
        <v>42</v>
      </c>
      <c r="N1325" t="s">
        <v>52</v>
      </c>
      <c r="O1325">
        <f>IF(TablaVentas[[#This Row],[Precio_unitario]]="","PENDIENTE",TablaVentas[[#This Row],[Unidades]]*TablaVentas[[#This Row],[Precio_unitario]]*(1-TablaVentas[[#This Row],[Descuento_pct]]))</f>
        <v>16056.53</v>
      </c>
      <c r="P1325">
        <f>IF(TablaVentas[[#This Row],[Costo_unitario]]="","PENDIENTE",TablaVentas[[#This Row],[Unidades]]*TablaVentas[[#This Row],[Costo_unitario]])</f>
        <v>8963.23</v>
      </c>
      <c r="Q1325">
        <f>IF(OR(TablaVentas[[#This Row],[Ingreso_neto]]="PENDIENTE",TablaVentas[[#This Row],[Costo_total]]="PENDIENTE"),"PENDIENTE",TablaVentas[[#This Row],[Ingreso_neto]]-TablaVentas[[#This Row],[Costo_total]])</f>
        <v>7093.3000000000011</v>
      </c>
    </row>
    <row r="1326" spans="1:17">
      <c r="A1326" t="s">
        <v>937</v>
      </c>
      <c r="B1326">
        <v>1</v>
      </c>
      <c r="C1326" s="3">
        <v>46225</v>
      </c>
      <c r="D1326" t="s">
        <v>127</v>
      </c>
      <c r="E1326" t="s">
        <v>103</v>
      </c>
      <c r="F1326" t="s">
        <v>39</v>
      </c>
      <c r="G1326" t="s">
        <v>57</v>
      </c>
      <c r="H1326" t="s">
        <v>124</v>
      </c>
      <c r="I1326">
        <v>8</v>
      </c>
      <c r="J1326" s="4">
        <v>12523.09</v>
      </c>
      <c r="K1326" s="5">
        <v>0.1</v>
      </c>
      <c r="L1326" s="4">
        <v>7549.71</v>
      </c>
      <c r="M1326" t="s">
        <v>42</v>
      </c>
      <c r="N1326" t="s">
        <v>45</v>
      </c>
      <c r="O1326">
        <f>IF(TablaVentas[[#This Row],[Precio_unitario]]="","PENDIENTE",TablaVentas[[#This Row],[Unidades]]*TablaVentas[[#This Row],[Precio_unitario]]*(1-TablaVentas[[#This Row],[Descuento_pct]]))</f>
        <v>90166.248000000007</v>
      </c>
      <c r="P1326">
        <f>IF(TablaVentas[[#This Row],[Costo_unitario]]="","PENDIENTE",TablaVentas[[#This Row],[Unidades]]*TablaVentas[[#This Row],[Costo_unitario]])</f>
        <v>60397.68</v>
      </c>
      <c r="Q1326">
        <f>IF(OR(TablaVentas[[#This Row],[Ingreso_neto]]="PENDIENTE",TablaVentas[[#This Row],[Costo_total]]="PENDIENTE"),"PENDIENTE",TablaVentas[[#This Row],[Ingreso_neto]]-TablaVentas[[#This Row],[Costo_total]])</f>
        <v>29768.568000000007</v>
      </c>
    </row>
    <row r="1327" spans="1:17">
      <c r="A1327" t="s">
        <v>937</v>
      </c>
      <c r="B1327">
        <v>2</v>
      </c>
      <c r="C1327" s="3">
        <v>46225</v>
      </c>
      <c r="D1327" t="s">
        <v>127</v>
      </c>
      <c r="E1327" t="s">
        <v>69</v>
      </c>
      <c r="F1327" t="s">
        <v>39</v>
      </c>
      <c r="G1327" t="s">
        <v>57</v>
      </c>
      <c r="H1327" t="s">
        <v>124</v>
      </c>
      <c r="I1327">
        <v>2</v>
      </c>
      <c r="J1327" s="4">
        <v>13152.1</v>
      </c>
      <c r="K1327" s="5">
        <v>0.05</v>
      </c>
      <c r="L1327" s="4">
        <v>10094.26</v>
      </c>
      <c r="M1327" t="s">
        <v>116</v>
      </c>
      <c r="N1327" t="s">
        <v>43</v>
      </c>
      <c r="O1327">
        <f>IF(TablaVentas[[#This Row],[Precio_unitario]]="","PENDIENTE",TablaVentas[[#This Row],[Unidades]]*TablaVentas[[#This Row],[Precio_unitario]]*(1-TablaVentas[[#This Row],[Descuento_pct]]))</f>
        <v>24988.989999999998</v>
      </c>
      <c r="P1327">
        <f>IF(TablaVentas[[#This Row],[Costo_unitario]]="","PENDIENTE",TablaVentas[[#This Row],[Unidades]]*TablaVentas[[#This Row],[Costo_unitario]])</f>
        <v>20188.52</v>
      </c>
      <c r="Q1327">
        <f>IF(OR(TablaVentas[[#This Row],[Ingreso_neto]]="PENDIENTE",TablaVentas[[#This Row],[Costo_total]]="PENDIENTE"),"PENDIENTE",TablaVentas[[#This Row],[Ingreso_neto]]-TablaVentas[[#This Row],[Costo_total]])</f>
        <v>4800.4699999999975</v>
      </c>
    </row>
    <row r="1328" spans="1:17">
      <c r="A1328" t="s">
        <v>938</v>
      </c>
      <c r="B1328">
        <v>1</v>
      </c>
      <c r="C1328" s="3">
        <v>46138</v>
      </c>
      <c r="D1328" t="s">
        <v>680</v>
      </c>
      <c r="E1328" t="s">
        <v>138</v>
      </c>
      <c r="F1328" t="s">
        <v>77</v>
      </c>
      <c r="G1328" t="s">
        <v>57</v>
      </c>
      <c r="H1328" t="s">
        <v>82</v>
      </c>
      <c r="I1328">
        <v>3</v>
      </c>
      <c r="J1328" s="4">
        <v>6553.44</v>
      </c>
      <c r="K1328" s="5">
        <v>0.2</v>
      </c>
      <c r="L1328" s="4">
        <v>4665.62</v>
      </c>
      <c r="M1328" t="s">
        <v>42</v>
      </c>
      <c r="N1328" t="s">
        <v>45</v>
      </c>
      <c r="O1328">
        <f>IF(TablaVentas[[#This Row],[Precio_unitario]]="","PENDIENTE",TablaVentas[[#This Row],[Unidades]]*TablaVentas[[#This Row],[Precio_unitario]]*(1-TablaVentas[[#This Row],[Descuento_pct]]))</f>
        <v>15728.256000000001</v>
      </c>
      <c r="P1328">
        <f>IF(TablaVentas[[#This Row],[Costo_unitario]]="","PENDIENTE",TablaVentas[[#This Row],[Unidades]]*TablaVentas[[#This Row],[Costo_unitario]])</f>
        <v>13996.86</v>
      </c>
      <c r="Q1328">
        <f>IF(OR(TablaVentas[[#This Row],[Ingreso_neto]]="PENDIENTE",TablaVentas[[#This Row],[Costo_total]]="PENDIENTE"),"PENDIENTE",TablaVentas[[#This Row],[Ingreso_neto]]-TablaVentas[[#This Row],[Costo_total]])</f>
        <v>1731.3960000000006</v>
      </c>
    </row>
    <row r="1329" spans="1:18">
      <c r="A1329" t="s">
        <v>938</v>
      </c>
      <c r="B1329">
        <v>2</v>
      </c>
      <c r="C1329" s="3">
        <v>46138</v>
      </c>
      <c r="D1329" t="s">
        <v>680</v>
      </c>
      <c r="E1329" t="s">
        <v>85</v>
      </c>
      <c r="F1329" t="s">
        <v>77</v>
      </c>
      <c r="G1329" t="s">
        <v>57</v>
      </c>
      <c r="H1329" t="s">
        <v>82</v>
      </c>
      <c r="I1329">
        <v>5</v>
      </c>
      <c r="J1329" s="4">
        <v>474.43</v>
      </c>
      <c r="K1329" s="5">
        <v>0</v>
      </c>
      <c r="L1329" s="4">
        <v>307.75</v>
      </c>
      <c r="M1329" t="s">
        <v>42</v>
      </c>
      <c r="N1329" t="s">
        <v>45</v>
      </c>
      <c r="O1329">
        <f>IF(TablaVentas[[#This Row],[Precio_unitario]]="","PENDIENTE",TablaVentas[[#This Row],[Unidades]]*TablaVentas[[#This Row],[Precio_unitario]]*(1-TablaVentas[[#This Row],[Descuento_pct]]))</f>
        <v>2372.15</v>
      </c>
      <c r="P1329">
        <f>IF(TablaVentas[[#This Row],[Costo_unitario]]="","PENDIENTE",TablaVentas[[#This Row],[Unidades]]*TablaVentas[[#This Row],[Costo_unitario]])</f>
        <v>1538.75</v>
      </c>
      <c r="Q1329">
        <f>IF(OR(TablaVentas[[#This Row],[Ingreso_neto]]="PENDIENTE",TablaVentas[[#This Row],[Costo_total]]="PENDIENTE"),"PENDIENTE",TablaVentas[[#This Row],[Ingreso_neto]]-TablaVentas[[#This Row],[Costo_total]])</f>
        <v>833.40000000000009</v>
      </c>
    </row>
    <row r="1330" spans="1:18">
      <c r="A1330" t="s">
        <v>938</v>
      </c>
      <c r="B1330">
        <v>3</v>
      </c>
      <c r="C1330" s="3">
        <v>46138</v>
      </c>
      <c r="D1330" t="s">
        <v>680</v>
      </c>
      <c r="E1330" t="s">
        <v>167</v>
      </c>
      <c r="F1330" t="s">
        <v>77</v>
      </c>
      <c r="G1330" t="s">
        <v>57</v>
      </c>
      <c r="H1330" t="s">
        <v>82</v>
      </c>
      <c r="I1330">
        <v>1</v>
      </c>
      <c r="J1330" s="4">
        <v>16859.09</v>
      </c>
      <c r="K1330" s="5">
        <v>0.1</v>
      </c>
      <c r="L1330" s="4">
        <v>8704.4</v>
      </c>
      <c r="M1330" t="s">
        <v>42</v>
      </c>
      <c r="N1330" t="s">
        <v>45</v>
      </c>
      <c r="O1330">
        <f>IF(TablaVentas[[#This Row],[Precio_unitario]]="","PENDIENTE",TablaVentas[[#This Row],[Unidades]]*TablaVentas[[#This Row],[Precio_unitario]]*(1-TablaVentas[[#This Row],[Descuento_pct]]))</f>
        <v>15173.181</v>
      </c>
      <c r="P1330">
        <f>IF(TablaVentas[[#This Row],[Costo_unitario]]="","PENDIENTE",TablaVentas[[#This Row],[Unidades]]*TablaVentas[[#This Row],[Costo_unitario]])</f>
        <v>8704.4</v>
      </c>
      <c r="Q1330">
        <f>IF(OR(TablaVentas[[#This Row],[Ingreso_neto]]="PENDIENTE",TablaVentas[[#This Row],[Costo_total]]="PENDIENTE"),"PENDIENTE",TablaVentas[[#This Row],[Ingreso_neto]]-TablaVentas[[#This Row],[Costo_total]])</f>
        <v>6468.7810000000009</v>
      </c>
    </row>
    <row r="1331" spans="1:18">
      <c r="A1331" t="s">
        <v>939</v>
      </c>
      <c r="B1331">
        <v>1</v>
      </c>
      <c r="C1331" s="3">
        <v>46153</v>
      </c>
      <c r="D1331" t="s">
        <v>940</v>
      </c>
      <c r="E1331" t="s">
        <v>272</v>
      </c>
      <c r="F1331" t="s">
        <v>39</v>
      </c>
      <c r="G1331" t="s">
        <v>57</v>
      </c>
      <c r="H1331" t="s">
        <v>184</v>
      </c>
      <c r="I1331">
        <v>1</v>
      </c>
      <c r="J1331" s="4">
        <v>636.48</v>
      </c>
      <c r="K1331" s="5">
        <v>0</v>
      </c>
      <c r="L1331" s="4">
        <v>443</v>
      </c>
      <c r="M1331" t="s">
        <v>42</v>
      </c>
      <c r="N1331" t="s">
        <v>60</v>
      </c>
      <c r="O1331">
        <f>IF(TablaVentas[[#This Row],[Precio_unitario]]="","PENDIENTE",TablaVentas[[#This Row],[Unidades]]*TablaVentas[[#This Row],[Precio_unitario]]*(1-TablaVentas[[#This Row],[Descuento_pct]]))</f>
        <v>636.48</v>
      </c>
      <c r="P1331">
        <f>IF(TablaVentas[[#This Row],[Costo_unitario]]="","PENDIENTE",TablaVentas[[#This Row],[Unidades]]*TablaVentas[[#This Row],[Costo_unitario]])</f>
        <v>443</v>
      </c>
      <c r="Q1331">
        <f>IF(OR(TablaVentas[[#This Row],[Ingreso_neto]]="PENDIENTE",TablaVentas[[#This Row],[Costo_total]]="PENDIENTE"),"PENDIENTE",TablaVentas[[#This Row],[Ingreso_neto]]-TablaVentas[[#This Row],[Costo_total]])</f>
        <v>193.48000000000002</v>
      </c>
    </row>
    <row r="1332" spans="1:18">
      <c r="A1332" t="s">
        <v>941</v>
      </c>
      <c r="B1332">
        <v>1</v>
      </c>
      <c r="C1332" s="3">
        <v>46120</v>
      </c>
      <c r="D1332" t="s">
        <v>739</v>
      </c>
      <c r="E1332" t="s">
        <v>410</v>
      </c>
      <c r="F1332" t="s">
        <v>39</v>
      </c>
      <c r="G1332" t="s">
        <v>50</v>
      </c>
      <c r="H1332" t="s">
        <v>82</v>
      </c>
      <c r="I1332">
        <v>2</v>
      </c>
      <c r="J1332" s="4">
        <v>8159.62</v>
      </c>
      <c r="K1332" s="5">
        <v>0</v>
      </c>
      <c r="L1332" s="4">
        <v>5874.17</v>
      </c>
      <c r="M1332" t="s">
        <v>42</v>
      </c>
      <c r="N1332" t="s">
        <v>52</v>
      </c>
      <c r="O1332">
        <f>IF(TablaVentas[[#This Row],[Precio_unitario]]="","PENDIENTE",TablaVentas[[#This Row],[Unidades]]*TablaVentas[[#This Row],[Precio_unitario]]*(1-TablaVentas[[#This Row],[Descuento_pct]]))</f>
        <v>16319.24</v>
      </c>
      <c r="P1332">
        <f>IF(TablaVentas[[#This Row],[Costo_unitario]]="","PENDIENTE",TablaVentas[[#This Row],[Unidades]]*TablaVentas[[#This Row],[Costo_unitario]])</f>
        <v>11748.34</v>
      </c>
      <c r="Q1332">
        <f>IF(OR(TablaVentas[[#This Row],[Ingreso_neto]]="PENDIENTE",TablaVentas[[#This Row],[Costo_total]]="PENDIENTE"),"PENDIENTE",TablaVentas[[#This Row],[Ingreso_neto]]-TablaVentas[[#This Row],[Costo_total]])</f>
        <v>4570.8999999999996</v>
      </c>
    </row>
    <row r="1333" spans="1:18">
      <c r="A1333" t="s">
        <v>942</v>
      </c>
      <c r="B1333">
        <v>1</v>
      </c>
      <c r="C1333" s="3">
        <v>46053</v>
      </c>
      <c r="D1333" t="s">
        <v>542</v>
      </c>
      <c r="E1333" t="s">
        <v>273</v>
      </c>
      <c r="F1333" t="s">
        <v>943</v>
      </c>
      <c r="G1333" t="s">
        <v>40</v>
      </c>
      <c r="H1333" t="s">
        <v>129</v>
      </c>
      <c r="I1333">
        <v>2</v>
      </c>
      <c r="J1333" s="4">
        <v>1280.8399999999999</v>
      </c>
      <c r="K1333" s="5">
        <v>0</v>
      </c>
      <c r="L1333" s="4">
        <v>716.26</v>
      </c>
      <c r="M1333" t="s">
        <v>42</v>
      </c>
      <c r="N1333" t="s">
        <v>43</v>
      </c>
      <c r="O1333">
        <f>IF(TablaVentas[[#This Row],[Precio_unitario]]="","PENDIENTE",TablaVentas[[#This Row],[Unidades]]*TablaVentas[[#This Row],[Precio_unitario]]*(1-TablaVentas[[#This Row],[Descuento_pct]]))</f>
        <v>2561.6799999999998</v>
      </c>
      <c r="P1333">
        <f>IF(TablaVentas[[#This Row],[Costo_unitario]]="","PENDIENTE",TablaVentas[[#This Row],[Unidades]]*TablaVentas[[#This Row],[Costo_unitario]])</f>
        <v>1432.52</v>
      </c>
      <c r="Q1333">
        <f>IF(OR(TablaVentas[[#This Row],[Ingreso_neto]]="PENDIENTE",TablaVentas[[#This Row],[Costo_total]]="PENDIENTE"),"PENDIENTE",TablaVentas[[#This Row],[Ingreso_neto]]-TablaVentas[[#This Row],[Costo_total]])</f>
        <v>1129.1599999999999</v>
      </c>
      <c r="R1333" t="s">
        <v>944</v>
      </c>
    </row>
    <row r="1334" spans="1:18">
      <c r="A1334" t="s">
        <v>945</v>
      </c>
      <c r="B1334">
        <v>1</v>
      </c>
      <c r="C1334" s="3">
        <v>46200</v>
      </c>
      <c r="D1334" t="s">
        <v>187</v>
      </c>
      <c r="E1334" t="s">
        <v>335</v>
      </c>
      <c r="F1334" t="s">
        <v>66</v>
      </c>
      <c r="G1334" t="s">
        <v>40</v>
      </c>
      <c r="H1334" t="s">
        <v>41</v>
      </c>
      <c r="I1334">
        <v>2</v>
      </c>
      <c r="J1334" s="4">
        <v>7161.43</v>
      </c>
      <c r="K1334" s="5">
        <v>0.1</v>
      </c>
      <c r="L1334" s="4">
        <v>5587.31</v>
      </c>
      <c r="M1334" t="s">
        <v>42</v>
      </c>
      <c r="N1334" t="s">
        <v>45</v>
      </c>
      <c r="O1334">
        <f>IF(TablaVentas[[#This Row],[Precio_unitario]]="","PENDIENTE",TablaVentas[[#This Row],[Unidades]]*TablaVentas[[#This Row],[Precio_unitario]]*(1-TablaVentas[[#This Row],[Descuento_pct]]))</f>
        <v>12890.574000000001</v>
      </c>
      <c r="P1334">
        <f>IF(TablaVentas[[#This Row],[Costo_unitario]]="","PENDIENTE",TablaVentas[[#This Row],[Unidades]]*TablaVentas[[#This Row],[Costo_unitario]])</f>
        <v>11174.62</v>
      </c>
      <c r="Q1334">
        <f>IF(OR(TablaVentas[[#This Row],[Ingreso_neto]]="PENDIENTE",TablaVentas[[#This Row],[Costo_total]]="PENDIENTE"),"PENDIENTE",TablaVentas[[#This Row],[Ingreso_neto]]-TablaVentas[[#This Row],[Costo_total]])</f>
        <v>1715.9539999999997</v>
      </c>
    </row>
    <row r="1335" spans="1:18">
      <c r="A1335" t="s">
        <v>945</v>
      </c>
      <c r="B1335">
        <v>2</v>
      </c>
      <c r="C1335" s="3">
        <v>46200</v>
      </c>
      <c r="D1335" t="s">
        <v>187</v>
      </c>
      <c r="E1335" t="s">
        <v>97</v>
      </c>
      <c r="F1335" t="s">
        <v>66</v>
      </c>
      <c r="G1335" t="s">
        <v>40</v>
      </c>
      <c r="H1335" t="s">
        <v>41</v>
      </c>
      <c r="I1335">
        <v>2</v>
      </c>
      <c r="J1335" s="4">
        <v>16500.419999999998</v>
      </c>
      <c r="K1335" s="5">
        <v>0.1</v>
      </c>
      <c r="L1335" s="4">
        <v>11424.77</v>
      </c>
      <c r="M1335" t="s">
        <v>42</v>
      </c>
      <c r="N1335" t="s">
        <v>45</v>
      </c>
      <c r="O1335">
        <f>IF(TablaVentas[[#This Row],[Precio_unitario]]="","PENDIENTE",TablaVentas[[#This Row],[Unidades]]*TablaVentas[[#This Row],[Precio_unitario]]*(1-TablaVentas[[#This Row],[Descuento_pct]]))</f>
        <v>29700.755999999998</v>
      </c>
      <c r="P1335">
        <f>IF(TablaVentas[[#This Row],[Costo_unitario]]="","PENDIENTE",TablaVentas[[#This Row],[Unidades]]*TablaVentas[[#This Row],[Costo_unitario]])</f>
        <v>22849.54</v>
      </c>
      <c r="Q1335">
        <f>IF(OR(TablaVentas[[#This Row],[Ingreso_neto]]="PENDIENTE",TablaVentas[[#This Row],[Costo_total]]="PENDIENTE"),"PENDIENTE",TablaVentas[[#This Row],[Ingreso_neto]]-TablaVentas[[#This Row],[Costo_total]])</f>
        <v>6851.2159999999967</v>
      </c>
    </row>
    <row r="1336" spans="1:18">
      <c r="A1336" t="s">
        <v>945</v>
      </c>
      <c r="B1336">
        <v>3</v>
      </c>
      <c r="C1336" s="3">
        <v>46200</v>
      </c>
      <c r="D1336" t="s">
        <v>187</v>
      </c>
      <c r="E1336" t="s">
        <v>65</v>
      </c>
      <c r="F1336" t="s">
        <v>66</v>
      </c>
      <c r="G1336" t="s">
        <v>40</v>
      </c>
      <c r="H1336" t="s">
        <v>41</v>
      </c>
      <c r="I1336">
        <v>2</v>
      </c>
      <c r="J1336" s="4">
        <v>11965.17</v>
      </c>
      <c r="K1336" s="5">
        <v>0.1</v>
      </c>
      <c r="L1336" s="4">
        <v>7328.02</v>
      </c>
      <c r="M1336" t="s">
        <v>42</v>
      </c>
      <c r="N1336" t="s">
        <v>45</v>
      </c>
      <c r="O1336">
        <f>IF(TablaVentas[[#This Row],[Precio_unitario]]="","PENDIENTE",TablaVentas[[#This Row],[Unidades]]*TablaVentas[[#This Row],[Precio_unitario]]*(1-TablaVentas[[#This Row],[Descuento_pct]]))</f>
        <v>21537.306</v>
      </c>
      <c r="P1336">
        <f>IF(TablaVentas[[#This Row],[Costo_unitario]]="","PENDIENTE",TablaVentas[[#This Row],[Unidades]]*TablaVentas[[#This Row],[Costo_unitario]])</f>
        <v>14656.04</v>
      </c>
      <c r="Q1336">
        <f>IF(OR(TablaVentas[[#This Row],[Ingreso_neto]]="PENDIENTE",TablaVentas[[#This Row],[Costo_total]]="PENDIENTE"),"PENDIENTE",TablaVentas[[#This Row],[Ingreso_neto]]-TablaVentas[[#This Row],[Costo_total]])</f>
        <v>6881.2659999999996</v>
      </c>
    </row>
    <row r="1337" spans="1:18">
      <c r="A1337" t="s">
        <v>946</v>
      </c>
      <c r="B1337">
        <v>1</v>
      </c>
      <c r="C1337" s="3">
        <v>46222</v>
      </c>
      <c r="D1337" t="s">
        <v>880</v>
      </c>
      <c r="E1337" t="s">
        <v>537</v>
      </c>
      <c r="F1337" t="s">
        <v>56</v>
      </c>
      <c r="G1337" t="s">
        <v>57</v>
      </c>
      <c r="H1337" t="s">
        <v>129</v>
      </c>
      <c r="I1337">
        <v>1</v>
      </c>
      <c r="J1337" s="4">
        <v>5177.18</v>
      </c>
      <c r="K1337" s="5">
        <v>0</v>
      </c>
      <c r="L1337" s="4">
        <v>4556.2299999999996</v>
      </c>
      <c r="M1337" t="s">
        <v>42</v>
      </c>
      <c r="N1337" t="s">
        <v>43</v>
      </c>
      <c r="O1337">
        <f>IF(TablaVentas[[#This Row],[Precio_unitario]]="","PENDIENTE",TablaVentas[[#This Row],[Unidades]]*TablaVentas[[#This Row],[Precio_unitario]]*(1-TablaVentas[[#This Row],[Descuento_pct]]))</f>
        <v>5177.18</v>
      </c>
      <c r="P1337">
        <f>IF(TablaVentas[[#This Row],[Costo_unitario]]="","PENDIENTE",TablaVentas[[#This Row],[Unidades]]*TablaVentas[[#This Row],[Costo_unitario]])</f>
        <v>4556.2299999999996</v>
      </c>
      <c r="Q1337">
        <f>IF(OR(TablaVentas[[#This Row],[Ingreso_neto]]="PENDIENTE",TablaVentas[[#This Row],[Costo_total]]="PENDIENTE"),"PENDIENTE",TablaVentas[[#This Row],[Ingreso_neto]]-TablaVentas[[#This Row],[Costo_total]])</f>
        <v>620.95000000000073</v>
      </c>
    </row>
    <row r="1338" spans="1:18">
      <c r="A1338" t="s">
        <v>946</v>
      </c>
      <c r="B1338">
        <v>2</v>
      </c>
      <c r="C1338" s="3">
        <v>46222</v>
      </c>
      <c r="D1338" t="s">
        <v>880</v>
      </c>
      <c r="E1338" t="s">
        <v>272</v>
      </c>
      <c r="F1338" t="s">
        <v>56</v>
      </c>
      <c r="G1338" t="s">
        <v>57</v>
      </c>
      <c r="H1338" t="s">
        <v>129</v>
      </c>
      <c r="I1338">
        <v>4</v>
      </c>
      <c r="J1338" s="4">
        <v>607.01</v>
      </c>
      <c r="K1338" s="5">
        <v>0.1</v>
      </c>
      <c r="L1338" s="4">
        <v>443</v>
      </c>
      <c r="M1338" t="s">
        <v>42</v>
      </c>
      <c r="N1338" t="s">
        <v>45</v>
      </c>
      <c r="O1338">
        <f>IF(TablaVentas[[#This Row],[Precio_unitario]]="","PENDIENTE",TablaVentas[[#This Row],[Unidades]]*TablaVentas[[#This Row],[Precio_unitario]]*(1-TablaVentas[[#This Row],[Descuento_pct]]))</f>
        <v>2185.2359999999999</v>
      </c>
      <c r="P1338">
        <f>IF(TablaVentas[[#This Row],[Costo_unitario]]="","PENDIENTE",TablaVentas[[#This Row],[Unidades]]*TablaVentas[[#This Row],[Costo_unitario]])</f>
        <v>1772</v>
      </c>
      <c r="Q1338">
        <f>IF(OR(TablaVentas[[#This Row],[Ingreso_neto]]="PENDIENTE",TablaVentas[[#This Row],[Costo_total]]="PENDIENTE"),"PENDIENTE",TablaVentas[[#This Row],[Ingreso_neto]]-TablaVentas[[#This Row],[Costo_total]])</f>
        <v>413.23599999999988</v>
      </c>
    </row>
    <row r="1339" spans="1:18">
      <c r="A1339" t="s">
        <v>947</v>
      </c>
      <c r="B1339">
        <v>1</v>
      </c>
      <c r="C1339" s="3">
        <v>46265</v>
      </c>
      <c r="D1339" t="s">
        <v>202</v>
      </c>
      <c r="E1339" t="s">
        <v>183</v>
      </c>
      <c r="F1339" t="s">
        <v>66</v>
      </c>
      <c r="G1339" t="s">
        <v>40</v>
      </c>
      <c r="H1339" t="s">
        <v>102</v>
      </c>
      <c r="I1339">
        <v>2</v>
      </c>
      <c r="J1339" s="4">
        <v>5058.5600000000004</v>
      </c>
      <c r="K1339" s="5">
        <v>0.05</v>
      </c>
      <c r="L1339" s="4">
        <v>4325.7299999999996</v>
      </c>
      <c r="M1339" t="s">
        <v>42</v>
      </c>
      <c r="N1339" t="s">
        <v>45</v>
      </c>
      <c r="O1339">
        <f>IF(TablaVentas[[#This Row],[Precio_unitario]]="","PENDIENTE",TablaVentas[[#This Row],[Unidades]]*TablaVentas[[#This Row],[Precio_unitario]]*(1-TablaVentas[[#This Row],[Descuento_pct]]))</f>
        <v>9611.264000000001</v>
      </c>
      <c r="P1339">
        <f>IF(TablaVentas[[#This Row],[Costo_unitario]]="","PENDIENTE",TablaVentas[[#This Row],[Unidades]]*TablaVentas[[#This Row],[Costo_unitario]])</f>
        <v>8651.4599999999991</v>
      </c>
      <c r="Q1339">
        <f>IF(OR(TablaVentas[[#This Row],[Ingreso_neto]]="PENDIENTE",TablaVentas[[#This Row],[Costo_total]]="PENDIENTE"),"PENDIENTE",TablaVentas[[#This Row],[Ingreso_neto]]-TablaVentas[[#This Row],[Costo_total]])</f>
        <v>959.80400000000191</v>
      </c>
    </row>
    <row r="1340" spans="1:18">
      <c r="A1340" t="s">
        <v>948</v>
      </c>
      <c r="B1340">
        <v>1</v>
      </c>
      <c r="C1340" s="3">
        <v>46180</v>
      </c>
      <c r="D1340" t="s">
        <v>615</v>
      </c>
      <c r="E1340" t="s">
        <v>85</v>
      </c>
      <c r="F1340" t="s">
        <v>56</v>
      </c>
      <c r="G1340" t="s">
        <v>40</v>
      </c>
      <c r="H1340" t="s">
        <v>124</v>
      </c>
      <c r="I1340">
        <v>2</v>
      </c>
      <c r="J1340" s="4">
        <v>523.47</v>
      </c>
      <c r="K1340" s="5">
        <v>0.1</v>
      </c>
      <c r="L1340" s="4">
        <v>307.75</v>
      </c>
      <c r="M1340" t="s">
        <v>42</v>
      </c>
      <c r="N1340" t="s">
        <v>52</v>
      </c>
      <c r="O1340">
        <f>IF(TablaVentas[[#This Row],[Precio_unitario]]="","PENDIENTE",TablaVentas[[#This Row],[Unidades]]*TablaVentas[[#This Row],[Precio_unitario]]*(1-TablaVentas[[#This Row],[Descuento_pct]]))</f>
        <v>942.24600000000009</v>
      </c>
      <c r="P1340">
        <f>IF(TablaVentas[[#This Row],[Costo_unitario]]="","PENDIENTE",TablaVentas[[#This Row],[Unidades]]*TablaVentas[[#This Row],[Costo_unitario]])</f>
        <v>615.5</v>
      </c>
      <c r="Q1340">
        <f>IF(OR(TablaVentas[[#This Row],[Ingreso_neto]]="PENDIENTE",TablaVentas[[#This Row],[Costo_total]]="PENDIENTE"),"PENDIENTE",TablaVentas[[#This Row],[Ingreso_neto]]-TablaVentas[[#This Row],[Costo_total]])</f>
        <v>326.74600000000009</v>
      </c>
    </row>
    <row r="1341" spans="1:18">
      <c r="A1341" t="s">
        <v>948</v>
      </c>
      <c r="B1341">
        <v>2</v>
      </c>
      <c r="C1341" s="3">
        <v>46180</v>
      </c>
      <c r="D1341" t="s">
        <v>615</v>
      </c>
      <c r="E1341" t="s">
        <v>410</v>
      </c>
      <c r="F1341" t="s">
        <v>56</v>
      </c>
      <c r="G1341" t="s">
        <v>40</v>
      </c>
      <c r="H1341" t="s">
        <v>124</v>
      </c>
      <c r="I1341">
        <v>8</v>
      </c>
      <c r="J1341" s="4">
        <v>8604.7900000000009</v>
      </c>
      <c r="K1341" s="5">
        <v>0</v>
      </c>
      <c r="L1341" s="4">
        <v>5874.17</v>
      </c>
      <c r="M1341" t="s">
        <v>42</v>
      </c>
      <c r="N1341" t="s">
        <v>60</v>
      </c>
      <c r="O1341">
        <f>IF(TablaVentas[[#This Row],[Precio_unitario]]="","PENDIENTE",TablaVentas[[#This Row],[Unidades]]*TablaVentas[[#This Row],[Precio_unitario]]*(1-TablaVentas[[#This Row],[Descuento_pct]]))</f>
        <v>68838.320000000007</v>
      </c>
      <c r="P1341">
        <f>IF(TablaVentas[[#This Row],[Costo_unitario]]="","PENDIENTE",TablaVentas[[#This Row],[Unidades]]*TablaVentas[[#This Row],[Costo_unitario]])</f>
        <v>46993.36</v>
      </c>
      <c r="Q1341">
        <f>IF(OR(TablaVentas[[#This Row],[Ingreso_neto]]="PENDIENTE",TablaVentas[[#This Row],[Costo_total]]="PENDIENTE"),"PENDIENTE",TablaVentas[[#This Row],[Ingreso_neto]]-TablaVentas[[#This Row],[Costo_total]])</f>
        <v>21844.960000000006</v>
      </c>
    </row>
    <row r="1342" spans="1:18">
      <c r="A1342" t="s">
        <v>949</v>
      </c>
      <c r="B1342">
        <v>1</v>
      </c>
      <c r="C1342" s="3">
        <v>46099</v>
      </c>
      <c r="D1342" t="s">
        <v>950</v>
      </c>
      <c r="E1342" t="s">
        <v>70</v>
      </c>
      <c r="F1342" t="s">
        <v>66</v>
      </c>
      <c r="G1342" t="s">
        <v>50</v>
      </c>
      <c r="H1342" t="s">
        <v>51</v>
      </c>
      <c r="I1342">
        <v>1</v>
      </c>
      <c r="J1342" s="4">
        <v>15042.92</v>
      </c>
      <c r="K1342" s="5">
        <v>0.1</v>
      </c>
      <c r="L1342" s="4">
        <v>10571.25</v>
      </c>
      <c r="M1342" t="s">
        <v>42</v>
      </c>
      <c r="N1342" t="s">
        <v>52</v>
      </c>
      <c r="O1342">
        <f>IF(TablaVentas[[#This Row],[Precio_unitario]]="","PENDIENTE",TablaVentas[[#This Row],[Unidades]]*TablaVentas[[#This Row],[Precio_unitario]]*(1-TablaVentas[[#This Row],[Descuento_pct]]))</f>
        <v>13538.628000000001</v>
      </c>
      <c r="P1342">
        <f>IF(TablaVentas[[#This Row],[Costo_unitario]]="","PENDIENTE",TablaVentas[[#This Row],[Unidades]]*TablaVentas[[#This Row],[Costo_unitario]])</f>
        <v>10571.25</v>
      </c>
      <c r="Q1342">
        <f>IF(OR(TablaVentas[[#This Row],[Ingreso_neto]]="PENDIENTE",TablaVentas[[#This Row],[Costo_total]]="PENDIENTE"),"PENDIENTE",TablaVentas[[#This Row],[Ingreso_neto]]-TablaVentas[[#This Row],[Costo_total]])</f>
        <v>2967.3780000000006</v>
      </c>
    </row>
    <row r="1343" spans="1:18">
      <c r="A1343" t="s">
        <v>949</v>
      </c>
      <c r="B1343">
        <v>2</v>
      </c>
      <c r="C1343" s="3">
        <v>46099</v>
      </c>
      <c r="D1343" t="s">
        <v>950</v>
      </c>
      <c r="E1343" t="s">
        <v>38</v>
      </c>
      <c r="F1343" t="s">
        <v>66</v>
      </c>
      <c r="G1343" t="s">
        <v>50</v>
      </c>
      <c r="H1343" t="s">
        <v>51</v>
      </c>
      <c r="I1343">
        <v>3</v>
      </c>
      <c r="J1343" s="4">
        <v>6246.24</v>
      </c>
      <c r="K1343" s="5">
        <v>0.2</v>
      </c>
      <c r="L1343" s="4">
        <v>3832.69</v>
      </c>
      <c r="M1343" t="s">
        <v>42</v>
      </c>
      <c r="N1343" t="s">
        <v>45</v>
      </c>
      <c r="O1343">
        <f>IF(TablaVentas[[#This Row],[Precio_unitario]]="","PENDIENTE",TablaVentas[[#This Row],[Unidades]]*TablaVentas[[#This Row],[Precio_unitario]]*(1-TablaVentas[[#This Row],[Descuento_pct]]))</f>
        <v>14990.976000000002</v>
      </c>
      <c r="P1343">
        <f>IF(TablaVentas[[#This Row],[Costo_unitario]]="","PENDIENTE",TablaVentas[[#This Row],[Unidades]]*TablaVentas[[#This Row],[Costo_unitario]])</f>
        <v>11498.07</v>
      </c>
      <c r="Q1343">
        <f>IF(OR(TablaVentas[[#This Row],[Ingreso_neto]]="PENDIENTE",TablaVentas[[#This Row],[Costo_total]]="PENDIENTE"),"PENDIENTE",TablaVentas[[#This Row],[Ingreso_neto]]-TablaVentas[[#This Row],[Costo_total]])</f>
        <v>3492.9060000000027</v>
      </c>
    </row>
    <row r="1344" spans="1:18">
      <c r="A1344" t="s">
        <v>951</v>
      </c>
      <c r="B1344">
        <v>1</v>
      </c>
      <c r="C1344" s="3">
        <v>46272</v>
      </c>
      <c r="D1344" t="s">
        <v>633</v>
      </c>
      <c r="E1344" t="s">
        <v>90</v>
      </c>
      <c r="F1344" t="s">
        <v>66</v>
      </c>
      <c r="G1344" t="s">
        <v>50</v>
      </c>
      <c r="H1344" t="s">
        <v>129</v>
      </c>
      <c r="I1344">
        <v>2</v>
      </c>
      <c r="J1344" s="4">
        <v>11017.8</v>
      </c>
      <c r="K1344" s="5">
        <v>0.05</v>
      </c>
      <c r="L1344" s="4">
        <v>8174.87</v>
      </c>
      <c r="M1344" t="s">
        <v>42</v>
      </c>
      <c r="N1344" t="s">
        <v>60</v>
      </c>
      <c r="O1344">
        <f>IF(TablaVentas[[#This Row],[Precio_unitario]]="","PENDIENTE",TablaVentas[[#This Row],[Unidades]]*TablaVentas[[#This Row],[Precio_unitario]]*(1-TablaVentas[[#This Row],[Descuento_pct]]))</f>
        <v>20933.819999999996</v>
      </c>
      <c r="P1344">
        <f>IF(TablaVentas[[#This Row],[Costo_unitario]]="","PENDIENTE",TablaVentas[[#This Row],[Unidades]]*TablaVentas[[#This Row],[Costo_unitario]])</f>
        <v>16349.74</v>
      </c>
      <c r="Q1344">
        <f>IF(OR(TablaVentas[[#This Row],[Ingreso_neto]]="PENDIENTE",TablaVentas[[#This Row],[Costo_total]]="PENDIENTE"),"PENDIENTE",TablaVentas[[#This Row],[Ingreso_neto]]-TablaVentas[[#This Row],[Costo_total]])</f>
        <v>4584.0799999999963</v>
      </c>
    </row>
    <row r="1345" spans="1:17">
      <c r="A1345" t="s">
        <v>952</v>
      </c>
      <c r="B1345">
        <v>1</v>
      </c>
      <c r="C1345" s="3">
        <v>46172</v>
      </c>
      <c r="D1345" t="s">
        <v>855</v>
      </c>
      <c r="E1345" t="s">
        <v>65</v>
      </c>
      <c r="F1345" t="s">
        <v>66</v>
      </c>
      <c r="G1345" t="s">
        <v>57</v>
      </c>
      <c r="H1345" t="s">
        <v>102</v>
      </c>
      <c r="I1345">
        <v>3</v>
      </c>
      <c r="J1345" s="4">
        <v>11007.01</v>
      </c>
      <c r="K1345" s="5">
        <v>0.2</v>
      </c>
      <c r="L1345" s="4">
        <v>7328.02</v>
      </c>
      <c r="M1345" t="s">
        <v>42</v>
      </c>
      <c r="N1345" t="s">
        <v>45</v>
      </c>
      <c r="O1345">
        <f>IF(TablaVentas[[#This Row],[Precio_unitario]]="","PENDIENTE",TablaVentas[[#This Row],[Unidades]]*TablaVentas[[#This Row],[Precio_unitario]]*(1-TablaVentas[[#This Row],[Descuento_pct]]))</f>
        <v>26416.824000000001</v>
      </c>
      <c r="P1345">
        <f>IF(TablaVentas[[#This Row],[Costo_unitario]]="","PENDIENTE",TablaVentas[[#This Row],[Unidades]]*TablaVentas[[#This Row],[Costo_unitario]])</f>
        <v>21984.06</v>
      </c>
      <c r="Q1345">
        <f>IF(OR(TablaVentas[[#This Row],[Ingreso_neto]]="PENDIENTE",TablaVentas[[#This Row],[Costo_total]]="PENDIENTE"),"PENDIENTE",TablaVentas[[#This Row],[Ingreso_neto]]-TablaVentas[[#This Row],[Costo_total]])</f>
        <v>4432.7639999999992</v>
      </c>
    </row>
    <row r="1346" spans="1:17">
      <c r="A1346" t="s">
        <v>953</v>
      </c>
      <c r="B1346">
        <v>1</v>
      </c>
      <c r="C1346" s="3">
        <v>46138</v>
      </c>
      <c r="D1346" t="s">
        <v>232</v>
      </c>
      <c r="E1346" t="s">
        <v>84</v>
      </c>
      <c r="F1346" t="s">
        <v>66</v>
      </c>
      <c r="G1346" t="s">
        <v>50</v>
      </c>
      <c r="H1346" t="s">
        <v>73</v>
      </c>
      <c r="I1346">
        <v>4</v>
      </c>
      <c r="J1346" s="4">
        <v>16282.37</v>
      </c>
      <c r="K1346" s="5">
        <v>0.15</v>
      </c>
      <c r="L1346" s="4">
        <v>8576.0499999999993</v>
      </c>
      <c r="M1346" t="s">
        <v>42</v>
      </c>
      <c r="N1346" t="s">
        <v>52</v>
      </c>
      <c r="O1346">
        <f>IF(TablaVentas[[#This Row],[Precio_unitario]]="","PENDIENTE",TablaVentas[[#This Row],[Unidades]]*TablaVentas[[#This Row],[Precio_unitario]]*(1-TablaVentas[[#This Row],[Descuento_pct]]))</f>
        <v>55360.058000000005</v>
      </c>
      <c r="P1346">
        <f>IF(TablaVentas[[#This Row],[Costo_unitario]]="","PENDIENTE",TablaVentas[[#This Row],[Unidades]]*TablaVentas[[#This Row],[Costo_unitario]])</f>
        <v>34304.199999999997</v>
      </c>
      <c r="Q1346">
        <f>IF(OR(TablaVentas[[#This Row],[Ingreso_neto]]="PENDIENTE",TablaVentas[[#This Row],[Costo_total]]="PENDIENTE"),"PENDIENTE",TablaVentas[[#This Row],[Ingreso_neto]]-TablaVentas[[#This Row],[Costo_total]])</f>
        <v>21055.858000000007</v>
      </c>
    </row>
    <row r="1347" spans="1:17">
      <c r="A1347" t="s">
        <v>953</v>
      </c>
      <c r="B1347">
        <v>2</v>
      </c>
      <c r="C1347" s="3">
        <v>46138</v>
      </c>
      <c r="D1347" t="s">
        <v>232</v>
      </c>
      <c r="E1347" t="s">
        <v>217</v>
      </c>
      <c r="F1347" t="s">
        <v>66</v>
      </c>
      <c r="G1347" t="s">
        <v>50</v>
      </c>
      <c r="H1347" t="s">
        <v>73</v>
      </c>
      <c r="I1347">
        <v>8</v>
      </c>
      <c r="J1347" s="4">
        <v>16503.509999999998</v>
      </c>
      <c r="K1347" s="5">
        <v>0.15</v>
      </c>
      <c r="L1347" s="4">
        <v>14161.63</v>
      </c>
      <c r="M1347" t="s">
        <v>42</v>
      </c>
      <c r="N1347" t="s">
        <v>52</v>
      </c>
      <c r="O1347">
        <f>IF(TablaVentas[[#This Row],[Precio_unitario]]="","PENDIENTE",TablaVentas[[#This Row],[Unidades]]*TablaVentas[[#This Row],[Precio_unitario]]*(1-TablaVentas[[#This Row],[Descuento_pct]]))</f>
        <v>112223.86799999999</v>
      </c>
      <c r="P1347">
        <f>IF(TablaVentas[[#This Row],[Costo_unitario]]="","PENDIENTE",TablaVentas[[#This Row],[Unidades]]*TablaVentas[[#This Row],[Costo_unitario]])</f>
        <v>113293.04</v>
      </c>
      <c r="Q1347">
        <f>IF(OR(TablaVentas[[#This Row],[Ingreso_neto]]="PENDIENTE",TablaVentas[[#This Row],[Costo_total]]="PENDIENTE"),"PENDIENTE",TablaVentas[[#This Row],[Ingreso_neto]]-TablaVentas[[#This Row],[Costo_total]])</f>
        <v>-1069.1720000000059</v>
      </c>
    </row>
    <row r="1348" spans="1:17">
      <c r="A1348" t="s">
        <v>953</v>
      </c>
      <c r="B1348">
        <v>3</v>
      </c>
      <c r="C1348" s="3">
        <v>46138</v>
      </c>
      <c r="D1348" t="s">
        <v>232</v>
      </c>
      <c r="E1348" t="s">
        <v>378</v>
      </c>
      <c r="F1348" t="s">
        <v>66</v>
      </c>
      <c r="G1348" t="s">
        <v>50</v>
      </c>
      <c r="H1348" t="s">
        <v>73</v>
      </c>
      <c r="I1348">
        <v>1</v>
      </c>
      <c r="J1348" s="4">
        <v>3586.68</v>
      </c>
      <c r="K1348" s="5">
        <v>0.1</v>
      </c>
      <c r="L1348" s="4">
        <v>2864.64</v>
      </c>
      <c r="M1348" t="s">
        <v>42</v>
      </c>
      <c r="N1348" t="s">
        <v>52</v>
      </c>
      <c r="O1348">
        <f>IF(TablaVentas[[#This Row],[Precio_unitario]]="","PENDIENTE",TablaVentas[[#This Row],[Unidades]]*TablaVentas[[#This Row],[Precio_unitario]]*(1-TablaVentas[[#This Row],[Descuento_pct]]))</f>
        <v>3228.0119999999997</v>
      </c>
      <c r="P1348">
        <f>IF(TablaVentas[[#This Row],[Costo_unitario]]="","PENDIENTE",TablaVentas[[#This Row],[Unidades]]*TablaVentas[[#This Row],[Costo_unitario]])</f>
        <v>2864.64</v>
      </c>
      <c r="Q1348">
        <f>IF(OR(TablaVentas[[#This Row],[Ingreso_neto]]="PENDIENTE",TablaVentas[[#This Row],[Costo_total]]="PENDIENTE"),"PENDIENTE",TablaVentas[[#This Row],[Ingreso_neto]]-TablaVentas[[#This Row],[Costo_total]])</f>
        <v>363.37199999999984</v>
      </c>
    </row>
    <row r="1349" spans="1:17">
      <c r="A1349" t="s">
        <v>953</v>
      </c>
      <c r="B1349">
        <v>4</v>
      </c>
      <c r="C1349" s="3">
        <v>46138</v>
      </c>
      <c r="D1349" t="s">
        <v>232</v>
      </c>
      <c r="E1349" t="s">
        <v>152</v>
      </c>
      <c r="F1349" t="s">
        <v>66</v>
      </c>
      <c r="G1349" t="s">
        <v>50</v>
      </c>
      <c r="H1349" t="s">
        <v>73</v>
      </c>
      <c r="I1349">
        <v>4</v>
      </c>
      <c r="J1349" s="4">
        <v>2537.3000000000002</v>
      </c>
      <c r="K1349" s="5">
        <v>0</v>
      </c>
      <c r="L1349" s="4">
        <v>1962.3</v>
      </c>
      <c r="M1349" t="s">
        <v>116</v>
      </c>
      <c r="N1349" t="s">
        <v>60</v>
      </c>
      <c r="O1349">
        <f>IF(TablaVentas[[#This Row],[Precio_unitario]]="","PENDIENTE",TablaVentas[[#This Row],[Unidades]]*TablaVentas[[#This Row],[Precio_unitario]]*(1-TablaVentas[[#This Row],[Descuento_pct]]))</f>
        <v>10149.200000000001</v>
      </c>
      <c r="P1349">
        <f>IF(TablaVentas[[#This Row],[Costo_unitario]]="","PENDIENTE",TablaVentas[[#This Row],[Unidades]]*TablaVentas[[#This Row],[Costo_unitario]])</f>
        <v>7849.2</v>
      </c>
      <c r="Q1349">
        <f>IF(OR(TablaVentas[[#This Row],[Ingreso_neto]]="PENDIENTE",TablaVentas[[#This Row],[Costo_total]]="PENDIENTE"),"PENDIENTE",TablaVentas[[#This Row],[Ingreso_neto]]-TablaVentas[[#This Row],[Costo_total]])</f>
        <v>2300.0000000000009</v>
      </c>
    </row>
    <row r="1350" spans="1:17">
      <c r="A1350" t="s">
        <v>954</v>
      </c>
      <c r="B1350">
        <v>1</v>
      </c>
      <c r="C1350" s="3">
        <v>46273</v>
      </c>
      <c r="D1350" t="s">
        <v>676</v>
      </c>
      <c r="E1350" t="s">
        <v>144</v>
      </c>
      <c r="F1350" t="s">
        <v>39</v>
      </c>
      <c r="G1350" t="s">
        <v>50</v>
      </c>
      <c r="H1350" t="s">
        <v>73</v>
      </c>
      <c r="I1350">
        <v>2</v>
      </c>
      <c r="J1350" s="4">
        <v>9223.32</v>
      </c>
      <c r="K1350" s="5">
        <v>0</v>
      </c>
      <c r="L1350" s="4">
        <v>5125.3599999999997</v>
      </c>
      <c r="M1350" t="s">
        <v>116</v>
      </c>
      <c r="N1350" t="s">
        <v>45</v>
      </c>
      <c r="O1350">
        <f>IF(TablaVentas[[#This Row],[Precio_unitario]]="","PENDIENTE",TablaVentas[[#This Row],[Unidades]]*TablaVentas[[#This Row],[Precio_unitario]]*(1-TablaVentas[[#This Row],[Descuento_pct]]))</f>
        <v>18446.64</v>
      </c>
      <c r="P1350">
        <f>IF(TablaVentas[[#This Row],[Costo_unitario]]="","PENDIENTE",TablaVentas[[#This Row],[Unidades]]*TablaVentas[[#This Row],[Costo_unitario]])</f>
        <v>10250.719999999999</v>
      </c>
      <c r="Q1350">
        <f>IF(OR(TablaVentas[[#This Row],[Ingreso_neto]]="PENDIENTE",TablaVentas[[#This Row],[Costo_total]]="PENDIENTE"),"PENDIENTE",TablaVentas[[#This Row],[Ingreso_neto]]-TablaVentas[[#This Row],[Costo_total]])</f>
        <v>8195.92</v>
      </c>
    </row>
    <row r="1351" spans="1:17">
      <c r="A1351" t="s">
        <v>954</v>
      </c>
      <c r="B1351">
        <v>2</v>
      </c>
      <c r="C1351" s="3">
        <v>46273</v>
      </c>
      <c r="D1351" t="s">
        <v>676</v>
      </c>
      <c r="E1351" t="s">
        <v>226</v>
      </c>
      <c r="F1351" t="s">
        <v>39</v>
      </c>
      <c r="G1351" t="s">
        <v>50</v>
      </c>
      <c r="H1351" t="s">
        <v>73</v>
      </c>
      <c r="I1351">
        <v>1</v>
      </c>
      <c r="J1351" s="4">
        <v>17194.689999999999</v>
      </c>
      <c r="K1351" s="5">
        <v>0.05</v>
      </c>
      <c r="L1351" s="4">
        <v>9976.68</v>
      </c>
      <c r="M1351" t="s">
        <v>42</v>
      </c>
      <c r="N1351" t="s">
        <v>45</v>
      </c>
      <c r="O1351">
        <f>IF(TablaVentas[[#This Row],[Precio_unitario]]="","PENDIENTE",TablaVentas[[#This Row],[Unidades]]*TablaVentas[[#This Row],[Precio_unitario]]*(1-TablaVentas[[#This Row],[Descuento_pct]]))</f>
        <v>16334.955499999998</v>
      </c>
      <c r="P1351">
        <f>IF(TablaVentas[[#This Row],[Costo_unitario]]="","PENDIENTE",TablaVentas[[#This Row],[Unidades]]*TablaVentas[[#This Row],[Costo_unitario]])</f>
        <v>9976.68</v>
      </c>
      <c r="Q1351">
        <f>IF(OR(TablaVentas[[#This Row],[Ingreso_neto]]="PENDIENTE",TablaVentas[[#This Row],[Costo_total]]="PENDIENTE"),"PENDIENTE",TablaVentas[[#This Row],[Ingreso_neto]]-TablaVentas[[#This Row],[Costo_total]])</f>
        <v>6358.2754999999979</v>
      </c>
    </row>
    <row r="1352" spans="1:17">
      <c r="A1352" t="s">
        <v>955</v>
      </c>
      <c r="B1352">
        <v>1</v>
      </c>
      <c r="C1352" s="3">
        <v>46069</v>
      </c>
      <c r="D1352" t="s">
        <v>289</v>
      </c>
      <c r="E1352" t="s">
        <v>212</v>
      </c>
      <c r="F1352" t="s">
        <v>77</v>
      </c>
      <c r="G1352" t="s">
        <v>40</v>
      </c>
      <c r="H1352" t="s">
        <v>82</v>
      </c>
      <c r="I1352">
        <v>1</v>
      </c>
      <c r="J1352" s="4">
        <v>3545.91</v>
      </c>
      <c r="K1352" s="5">
        <v>0.1</v>
      </c>
      <c r="L1352" s="4">
        <v>2157.5500000000002</v>
      </c>
      <c r="M1352" t="s">
        <v>62</v>
      </c>
      <c r="N1352" t="s">
        <v>52</v>
      </c>
      <c r="O1352">
        <f>IF(TablaVentas[[#This Row],[Precio_unitario]]="","PENDIENTE",TablaVentas[[#This Row],[Unidades]]*TablaVentas[[#This Row],[Precio_unitario]]*(1-TablaVentas[[#This Row],[Descuento_pct]]))</f>
        <v>3191.319</v>
      </c>
      <c r="P1352">
        <f>IF(TablaVentas[[#This Row],[Costo_unitario]]="","PENDIENTE",TablaVentas[[#This Row],[Unidades]]*TablaVentas[[#This Row],[Costo_unitario]])</f>
        <v>2157.5500000000002</v>
      </c>
      <c r="Q1352">
        <f>IF(OR(TablaVentas[[#This Row],[Ingreso_neto]]="PENDIENTE",TablaVentas[[#This Row],[Costo_total]]="PENDIENTE"),"PENDIENTE",TablaVentas[[#This Row],[Ingreso_neto]]-TablaVentas[[#This Row],[Costo_total]])</f>
        <v>1033.7689999999998</v>
      </c>
    </row>
    <row r="1353" spans="1:17">
      <c r="A1353" t="s">
        <v>956</v>
      </c>
      <c r="B1353">
        <v>1</v>
      </c>
      <c r="C1353" s="3">
        <v>46280</v>
      </c>
      <c r="D1353" t="s">
        <v>316</v>
      </c>
      <c r="E1353" t="s">
        <v>84</v>
      </c>
      <c r="F1353" t="s">
        <v>56</v>
      </c>
      <c r="G1353" t="s">
        <v>57</v>
      </c>
      <c r="H1353" t="s">
        <v>41</v>
      </c>
      <c r="I1353">
        <v>1</v>
      </c>
      <c r="J1353" s="4">
        <v>15424.46</v>
      </c>
      <c r="K1353" s="5">
        <v>0</v>
      </c>
      <c r="L1353" s="4">
        <v>8576.0499999999993</v>
      </c>
      <c r="M1353" t="s">
        <v>42</v>
      </c>
      <c r="N1353" t="s">
        <v>52</v>
      </c>
      <c r="O1353">
        <f>IF(TablaVentas[[#This Row],[Precio_unitario]]="","PENDIENTE",TablaVentas[[#This Row],[Unidades]]*TablaVentas[[#This Row],[Precio_unitario]]*(1-TablaVentas[[#This Row],[Descuento_pct]]))</f>
        <v>15424.46</v>
      </c>
      <c r="P1353">
        <f>IF(TablaVentas[[#This Row],[Costo_unitario]]="","PENDIENTE",TablaVentas[[#This Row],[Unidades]]*TablaVentas[[#This Row],[Costo_unitario]])</f>
        <v>8576.0499999999993</v>
      </c>
      <c r="Q1353">
        <f>IF(OR(TablaVentas[[#This Row],[Ingreso_neto]]="PENDIENTE",TablaVentas[[#This Row],[Costo_total]]="PENDIENTE"),"PENDIENTE",TablaVentas[[#This Row],[Ingreso_neto]]-TablaVentas[[#This Row],[Costo_total]])</f>
        <v>6848.41</v>
      </c>
    </row>
    <row r="1354" spans="1:17">
      <c r="A1354" t="s">
        <v>956</v>
      </c>
      <c r="B1354">
        <v>2</v>
      </c>
      <c r="C1354" s="3">
        <v>46280</v>
      </c>
      <c r="D1354" t="s">
        <v>316</v>
      </c>
      <c r="E1354" t="s">
        <v>346</v>
      </c>
      <c r="F1354" t="s">
        <v>56</v>
      </c>
      <c r="G1354" t="s">
        <v>57</v>
      </c>
      <c r="H1354" t="s">
        <v>41</v>
      </c>
      <c r="I1354">
        <v>3</v>
      </c>
      <c r="J1354" s="4">
        <v>2411.1799999999998</v>
      </c>
      <c r="K1354" s="5">
        <v>0</v>
      </c>
      <c r="L1354" s="4">
        <v>1175.74</v>
      </c>
      <c r="M1354" t="s">
        <v>42</v>
      </c>
      <c r="N1354" t="s">
        <v>45</v>
      </c>
      <c r="O1354">
        <f>IF(TablaVentas[[#This Row],[Precio_unitario]]="","PENDIENTE",TablaVentas[[#This Row],[Unidades]]*TablaVentas[[#This Row],[Precio_unitario]]*(1-TablaVentas[[#This Row],[Descuento_pct]]))</f>
        <v>7233.5399999999991</v>
      </c>
      <c r="P1354">
        <f>IF(TablaVentas[[#This Row],[Costo_unitario]]="","PENDIENTE",TablaVentas[[#This Row],[Unidades]]*TablaVentas[[#This Row],[Costo_unitario]])</f>
        <v>3527.2200000000003</v>
      </c>
      <c r="Q1354">
        <f>IF(OR(TablaVentas[[#This Row],[Ingreso_neto]]="PENDIENTE",TablaVentas[[#This Row],[Costo_total]]="PENDIENTE"),"PENDIENTE",TablaVentas[[#This Row],[Ingreso_neto]]-TablaVentas[[#This Row],[Costo_total]])</f>
        <v>3706.3199999999988</v>
      </c>
    </row>
    <row r="1355" spans="1:17">
      <c r="A1355" t="s">
        <v>957</v>
      </c>
      <c r="B1355">
        <v>1</v>
      </c>
      <c r="C1355" s="3">
        <v>46234</v>
      </c>
      <c r="D1355" t="s">
        <v>546</v>
      </c>
      <c r="E1355" t="s">
        <v>123</v>
      </c>
      <c r="F1355" t="s">
        <v>77</v>
      </c>
      <c r="G1355" t="s">
        <v>57</v>
      </c>
      <c r="H1355" t="s">
        <v>51</v>
      </c>
      <c r="I1355">
        <v>1</v>
      </c>
      <c r="J1355" s="4">
        <v>17211.72</v>
      </c>
      <c r="K1355" s="5">
        <v>0.05</v>
      </c>
      <c r="L1355" s="4">
        <v>12679.41</v>
      </c>
      <c r="M1355" t="s">
        <v>42</v>
      </c>
      <c r="N1355" t="s">
        <v>52</v>
      </c>
      <c r="O1355">
        <f>IF(TablaVentas[[#This Row],[Precio_unitario]]="","PENDIENTE",TablaVentas[[#This Row],[Unidades]]*TablaVentas[[#This Row],[Precio_unitario]]*(1-TablaVentas[[#This Row],[Descuento_pct]]))</f>
        <v>16351.134</v>
      </c>
      <c r="P1355">
        <f>IF(TablaVentas[[#This Row],[Costo_unitario]]="","PENDIENTE",TablaVentas[[#This Row],[Unidades]]*TablaVentas[[#This Row],[Costo_unitario]])</f>
        <v>12679.41</v>
      </c>
      <c r="Q1355">
        <f>IF(OR(TablaVentas[[#This Row],[Ingreso_neto]]="PENDIENTE",TablaVentas[[#This Row],[Costo_total]]="PENDIENTE"),"PENDIENTE",TablaVentas[[#This Row],[Ingreso_neto]]-TablaVentas[[#This Row],[Costo_total]])</f>
        <v>3671.7240000000002</v>
      </c>
    </row>
    <row r="1356" spans="1:17">
      <c r="A1356" t="s">
        <v>957</v>
      </c>
      <c r="B1356">
        <v>2</v>
      </c>
      <c r="C1356" s="3">
        <v>46234</v>
      </c>
      <c r="D1356" t="s">
        <v>546</v>
      </c>
      <c r="E1356" t="s">
        <v>216</v>
      </c>
      <c r="F1356" t="s">
        <v>77</v>
      </c>
      <c r="G1356" t="s">
        <v>57</v>
      </c>
      <c r="H1356" t="s">
        <v>51</v>
      </c>
      <c r="I1356">
        <v>1</v>
      </c>
      <c r="J1356" s="4">
        <v>15525.63</v>
      </c>
      <c r="K1356" s="5">
        <v>0</v>
      </c>
      <c r="L1356" s="4">
        <v>12064.41</v>
      </c>
      <c r="M1356" t="s">
        <v>42</v>
      </c>
      <c r="N1356" t="s">
        <v>52</v>
      </c>
      <c r="O1356">
        <f>IF(TablaVentas[[#This Row],[Precio_unitario]]="","PENDIENTE",TablaVentas[[#This Row],[Unidades]]*TablaVentas[[#This Row],[Precio_unitario]]*(1-TablaVentas[[#This Row],[Descuento_pct]]))</f>
        <v>15525.63</v>
      </c>
      <c r="P1356">
        <f>IF(TablaVentas[[#This Row],[Costo_unitario]]="","PENDIENTE",TablaVentas[[#This Row],[Unidades]]*TablaVentas[[#This Row],[Costo_unitario]])</f>
        <v>12064.41</v>
      </c>
      <c r="Q1356">
        <f>IF(OR(TablaVentas[[#This Row],[Ingreso_neto]]="PENDIENTE",TablaVentas[[#This Row],[Costo_total]]="PENDIENTE"),"PENDIENTE",TablaVentas[[#This Row],[Ingreso_neto]]-TablaVentas[[#This Row],[Costo_total]])</f>
        <v>3461.2199999999993</v>
      </c>
    </row>
    <row r="1357" spans="1:17">
      <c r="A1357" t="s">
        <v>958</v>
      </c>
      <c r="B1357">
        <v>1</v>
      </c>
      <c r="C1357" s="3">
        <v>46110</v>
      </c>
      <c r="D1357" t="s">
        <v>150</v>
      </c>
      <c r="E1357" t="s">
        <v>61</v>
      </c>
      <c r="F1357" t="s">
        <v>39</v>
      </c>
      <c r="G1357" t="s">
        <v>50</v>
      </c>
      <c r="H1357" t="s">
        <v>184</v>
      </c>
      <c r="I1357">
        <v>5</v>
      </c>
      <c r="J1357" s="4">
        <v>4180.71</v>
      </c>
      <c r="K1357" s="5">
        <v>0.2</v>
      </c>
      <c r="L1357" s="4">
        <v>2554.06</v>
      </c>
      <c r="M1357" t="s">
        <v>42</v>
      </c>
      <c r="N1357" t="s">
        <v>43</v>
      </c>
      <c r="O1357">
        <f>IF(TablaVentas[[#This Row],[Precio_unitario]]="","PENDIENTE",TablaVentas[[#This Row],[Unidades]]*TablaVentas[[#This Row],[Precio_unitario]]*(1-TablaVentas[[#This Row],[Descuento_pct]]))</f>
        <v>16722.84</v>
      </c>
      <c r="P1357">
        <f>IF(TablaVentas[[#This Row],[Costo_unitario]]="","PENDIENTE",TablaVentas[[#This Row],[Unidades]]*TablaVentas[[#This Row],[Costo_unitario]])</f>
        <v>12770.3</v>
      </c>
      <c r="Q1357">
        <f>IF(OR(TablaVentas[[#This Row],[Ingreso_neto]]="PENDIENTE",TablaVentas[[#This Row],[Costo_total]]="PENDIENTE"),"PENDIENTE",TablaVentas[[#This Row],[Ingreso_neto]]-TablaVentas[[#This Row],[Costo_total]])</f>
        <v>3952.5400000000009</v>
      </c>
    </row>
    <row r="1358" spans="1:17">
      <c r="A1358" t="s">
        <v>958</v>
      </c>
      <c r="B1358">
        <v>2</v>
      </c>
      <c r="C1358" s="3">
        <v>46110</v>
      </c>
      <c r="D1358" t="s">
        <v>150</v>
      </c>
      <c r="E1358" t="s">
        <v>110</v>
      </c>
      <c r="F1358" t="s">
        <v>39</v>
      </c>
      <c r="G1358" t="s">
        <v>50</v>
      </c>
      <c r="H1358" t="s">
        <v>184</v>
      </c>
      <c r="I1358">
        <v>8</v>
      </c>
      <c r="J1358" s="4">
        <v>5302.45</v>
      </c>
      <c r="K1358" s="5">
        <v>0.05</v>
      </c>
      <c r="L1358" s="4">
        <v>4205.6899999999996</v>
      </c>
      <c r="M1358" t="s">
        <v>116</v>
      </c>
      <c r="N1358" t="s">
        <v>52</v>
      </c>
      <c r="O1358">
        <f>IF(TablaVentas[[#This Row],[Precio_unitario]]="","PENDIENTE",TablaVentas[[#This Row],[Unidades]]*TablaVentas[[#This Row],[Precio_unitario]]*(1-TablaVentas[[#This Row],[Descuento_pct]]))</f>
        <v>40298.619999999995</v>
      </c>
      <c r="P1358">
        <f>IF(TablaVentas[[#This Row],[Costo_unitario]]="","PENDIENTE",TablaVentas[[#This Row],[Unidades]]*TablaVentas[[#This Row],[Costo_unitario]])</f>
        <v>33645.519999999997</v>
      </c>
      <c r="Q1358">
        <f>IF(OR(TablaVentas[[#This Row],[Ingreso_neto]]="PENDIENTE",TablaVentas[[#This Row],[Costo_total]]="PENDIENTE"),"PENDIENTE",TablaVentas[[#This Row],[Ingreso_neto]]-TablaVentas[[#This Row],[Costo_total]])</f>
        <v>6653.0999999999985</v>
      </c>
    </row>
    <row r="1359" spans="1:17">
      <c r="A1359" t="s">
        <v>959</v>
      </c>
      <c r="B1359">
        <v>1</v>
      </c>
      <c r="C1359" s="3">
        <v>46083</v>
      </c>
      <c r="D1359" t="s">
        <v>270</v>
      </c>
      <c r="E1359" t="s">
        <v>172</v>
      </c>
      <c r="F1359" t="s">
        <v>66</v>
      </c>
      <c r="G1359" t="s">
        <v>57</v>
      </c>
      <c r="H1359" t="s">
        <v>51</v>
      </c>
      <c r="I1359">
        <v>2</v>
      </c>
      <c r="J1359" s="4">
        <v>15916.96</v>
      </c>
      <c r="K1359" s="5">
        <v>0.2</v>
      </c>
      <c r="L1359" s="4">
        <v>10830.17</v>
      </c>
      <c r="M1359" t="s">
        <v>42</v>
      </c>
      <c r="N1359" t="s">
        <v>45</v>
      </c>
      <c r="O1359">
        <f>IF(TablaVentas[[#This Row],[Precio_unitario]]="","PENDIENTE",TablaVentas[[#This Row],[Unidades]]*TablaVentas[[#This Row],[Precio_unitario]]*(1-TablaVentas[[#This Row],[Descuento_pct]]))</f>
        <v>25467.135999999999</v>
      </c>
      <c r="P1359">
        <f>IF(TablaVentas[[#This Row],[Costo_unitario]]="","PENDIENTE",TablaVentas[[#This Row],[Unidades]]*TablaVentas[[#This Row],[Costo_unitario]])</f>
        <v>21660.34</v>
      </c>
      <c r="Q1359">
        <f>IF(OR(TablaVentas[[#This Row],[Ingreso_neto]]="PENDIENTE",TablaVentas[[#This Row],[Costo_total]]="PENDIENTE"),"PENDIENTE",TablaVentas[[#This Row],[Ingreso_neto]]-TablaVentas[[#This Row],[Costo_total]])</f>
        <v>3806.7959999999985</v>
      </c>
    </row>
    <row r="1360" spans="1:17">
      <c r="A1360" t="s">
        <v>959</v>
      </c>
      <c r="B1360">
        <v>2</v>
      </c>
      <c r="C1360" s="3">
        <v>46083</v>
      </c>
      <c r="D1360" t="s">
        <v>270</v>
      </c>
      <c r="E1360" t="s">
        <v>180</v>
      </c>
      <c r="F1360" t="s">
        <v>66</v>
      </c>
      <c r="G1360" t="s">
        <v>57</v>
      </c>
      <c r="H1360" t="s">
        <v>51</v>
      </c>
      <c r="I1360">
        <v>3</v>
      </c>
      <c r="J1360" s="4">
        <v>6385.25</v>
      </c>
      <c r="K1360" s="5">
        <v>0</v>
      </c>
      <c r="L1360" s="4">
        <v>3824.92</v>
      </c>
      <c r="M1360" t="s">
        <v>42</v>
      </c>
      <c r="N1360" t="s">
        <v>52</v>
      </c>
      <c r="O1360">
        <f>IF(TablaVentas[[#This Row],[Precio_unitario]]="","PENDIENTE",TablaVentas[[#This Row],[Unidades]]*TablaVentas[[#This Row],[Precio_unitario]]*(1-TablaVentas[[#This Row],[Descuento_pct]]))</f>
        <v>19155.75</v>
      </c>
      <c r="P1360">
        <f>IF(TablaVentas[[#This Row],[Costo_unitario]]="","PENDIENTE",TablaVentas[[#This Row],[Unidades]]*TablaVentas[[#This Row],[Costo_unitario]])</f>
        <v>11474.76</v>
      </c>
      <c r="Q1360">
        <f>IF(OR(TablaVentas[[#This Row],[Ingreso_neto]]="PENDIENTE",TablaVentas[[#This Row],[Costo_total]]="PENDIENTE"),"PENDIENTE",TablaVentas[[#This Row],[Ingreso_neto]]-TablaVentas[[#This Row],[Costo_total]])</f>
        <v>7680.99</v>
      </c>
    </row>
    <row r="1361" spans="1:17">
      <c r="A1361" t="s">
        <v>959</v>
      </c>
      <c r="B1361">
        <v>3</v>
      </c>
      <c r="C1361" s="3">
        <v>46083</v>
      </c>
      <c r="D1361" t="s">
        <v>270</v>
      </c>
      <c r="E1361" t="s">
        <v>81</v>
      </c>
      <c r="F1361" t="s">
        <v>66</v>
      </c>
      <c r="G1361" t="s">
        <v>57</v>
      </c>
      <c r="H1361" t="s">
        <v>51</v>
      </c>
      <c r="I1361">
        <v>1</v>
      </c>
      <c r="J1361" s="4">
        <v>17485.82</v>
      </c>
      <c r="K1361" s="5">
        <v>0</v>
      </c>
      <c r="L1361" s="4">
        <v>11614.87</v>
      </c>
      <c r="M1361" t="s">
        <v>42</v>
      </c>
      <c r="N1361" t="s">
        <v>60</v>
      </c>
      <c r="O1361">
        <f>IF(TablaVentas[[#This Row],[Precio_unitario]]="","PENDIENTE",TablaVentas[[#This Row],[Unidades]]*TablaVentas[[#This Row],[Precio_unitario]]*(1-TablaVentas[[#This Row],[Descuento_pct]]))</f>
        <v>17485.82</v>
      </c>
      <c r="P1361">
        <f>IF(TablaVentas[[#This Row],[Costo_unitario]]="","PENDIENTE",TablaVentas[[#This Row],[Unidades]]*TablaVentas[[#This Row],[Costo_unitario]])</f>
        <v>11614.87</v>
      </c>
      <c r="Q1361">
        <f>IF(OR(TablaVentas[[#This Row],[Ingreso_neto]]="PENDIENTE",TablaVentas[[#This Row],[Costo_total]]="PENDIENTE"),"PENDIENTE",TablaVentas[[#This Row],[Ingreso_neto]]-TablaVentas[[#This Row],[Costo_total]])</f>
        <v>5870.9499999999989</v>
      </c>
    </row>
    <row r="1362" spans="1:17">
      <c r="A1362" t="s">
        <v>959</v>
      </c>
      <c r="B1362">
        <v>4</v>
      </c>
      <c r="C1362" s="3">
        <v>46083</v>
      </c>
      <c r="D1362" t="s">
        <v>270</v>
      </c>
      <c r="E1362" t="s">
        <v>59</v>
      </c>
      <c r="F1362" t="s">
        <v>66</v>
      </c>
      <c r="G1362" t="s">
        <v>57</v>
      </c>
      <c r="H1362" t="s">
        <v>51</v>
      </c>
      <c r="I1362">
        <v>3</v>
      </c>
      <c r="J1362" s="4">
        <v>12994.17</v>
      </c>
      <c r="K1362" s="5">
        <v>0</v>
      </c>
      <c r="L1362" s="4">
        <v>10170.290000000001</v>
      </c>
      <c r="M1362" t="s">
        <v>42</v>
      </c>
      <c r="N1362" t="s">
        <v>43</v>
      </c>
      <c r="O1362">
        <f>IF(TablaVentas[[#This Row],[Precio_unitario]]="","PENDIENTE",TablaVentas[[#This Row],[Unidades]]*TablaVentas[[#This Row],[Precio_unitario]]*(1-TablaVentas[[#This Row],[Descuento_pct]]))</f>
        <v>38982.51</v>
      </c>
      <c r="P1362">
        <f>IF(TablaVentas[[#This Row],[Costo_unitario]]="","PENDIENTE",TablaVentas[[#This Row],[Unidades]]*TablaVentas[[#This Row],[Costo_unitario]])</f>
        <v>30510.870000000003</v>
      </c>
      <c r="Q1362">
        <f>IF(OR(TablaVentas[[#This Row],[Ingreso_neto]]="PENDIENTE",TablaVentas[[#This Row],[Costo_total]]="PENDIENTE"),"PENDIENTE",TablaVentas[[#This Row],[Ingreso_neto]]-TablaVentas[[#This Row],[Costo_total]])</f>
        <v>8471.64</v>
      </c>
    </row>
    <row r="1363" spans="1:17">
      <c r="A1363" t="s">
        <v>960</v>
      </c>
      <c r="B1363">
        <v>1</v>
      </c>
      <c r="C1363" s="3">
        <v>46181</v>
      </c>
      <c r="D1363" t="s">
        <v>527</v>
      </c>
      <c r="E1363" t="s">
        <v>119</v>
      </c>
      <c r="F1363" t="s">
        <v>39</v>
      </c>
      <c r="G1363" t="s">
        <v>50</v>
      </c>
      <c r="H1363" t="s">
        <v>41</v>
      </c>
      <c r="I1363">
        <v>2</v>
      </c>
      <c r="J1363" s="4">
        <v>8544.15</v>
      </c>
      <c r="K1363" s="5">
        <v>0.15</v>
      </c>
      <c r="L1363" s="4">
        <v>6981.94</v>
      </c>
      <c r="M1363" t="s">
        <v>42</v>
      </c>
      <c r="N1363" t="s">
        <v>60</v>
      </c>
      <c r="O1363">
        <f>IF(TablaVentas[[#This Row],[Precio_unitario]]="","PENDIENTE",TablaVentas[[#This Row],[Unidades]]*TablaVentas[[#This Row],[Precio_unitario]]*(1-TablaVentas[[#This Row],[Descuento_pct]]))</f>
        <v>14525.054999999998</v>
      </c>
      <c r="P1363">
        <f>IF(TablaVentas[[#This Row],[Costo_unitario]]="","PENDIENTE",TablaVentas[[#This Row],[Unidades]]*TablaVentas[[#This Row],[Costo_unitario]])</f>
        <v>13963.88</v>
      </c>
      <c r="Q1363">
        <f>IF(OR(TablaVentas[[#This Row],[Ingreso_neto]]="PENDIENTE",TablaVentas[[#This Row],[Costo_total]]="PENDIENTE"),"PENDIENTE",TablaVentas[[#This Row],[Ingreso_neto]]-TablaVentas[[#This Row],[Costo_total]])</f>
        <v>561.17499999999927</v>
      </c>
    </row>
    <row r="1364" spans="1:17">
      <c r="A1364" t="s">
        <v>960</v>
      </c>
      <c r="B1364">
        <v>2</v>
      </c>
      <c r="C1364" s="3">
        <v>46181</v>
      </c>
      <c r="D1364" t="s">
        <v>527</v>
      </c>
      <c r="E1364" t="s">
        <v>135</v>
      </c>
      <c r="F1364" t="s">
        <v>39</v>
      </c>
      <c r="G1364" t="s">
        <v>50</v>
      </c>
      <c r="H1364" t="s">
        <v>41</v>
      </c>
      <c r="I1364">
        <v>3</v>
      </c>
      <c r="J1364" s="4">
        <v>1813.69</v>
      </c>
      <c r="K1364" s="5">
        <v>0.2</v>
      </c>
      <c r="L1364" s="4">
        <v>1529.93</v>
      </c>
      <c r="M1364" t="s">
        <v>42</v>
      </c>
      <c r="N1364" t="s">
        <v>60</v>
      </c>
      <c r="O1364">
        <f>IF(TablaVentas[[#This Row],[Precio_unitario]]="","PENDIENTE",TablaVentas[[#This Row],[Unidades]]*TablaVentas[[#This Row],[Precio_unitario]]*(1-TablaVentas[[#This Row],[Descuento_pct]]))</f>
        <v>4352.8559999999998</v>
      </c>
      <c r="P1364">
        <f>IF(TablaVentas[[#This Row],[Costo_unitario]]="","PENDIENTE",TablaVentas[[#This Row],[Unidades]]*TablaVentas[[#This Row],[Costo_unitario]])</f>
        <v>4589.79</v>
      </c>
      <c r="Q1364">
        <f>IF(OR(TablaVentas[[#This Row],[Ingreso_neto]]="PENDIENTE",TablaVentas[[#This Row],[Costo_total]]="PENDIENTE"),"PENDIENTE",TablaVentas[[#This Row],[Ingreso_neto]]-TablaVentas[[#This Row],[Costo_total]])</f>
        <v>-236.9340000000002</v>
      </c>
    </row>
    <row r="1365" spans="1:17">
      <c r="A1365" t="s">
        <v>960</v>
      </c>
      <c r="B1365">
        <v>3</v>
      </c>
      <c r="C1365" s="3">
        <v>46181</v>
      </c>
      <c r="D1365" t="s">
        <v>527</v>
      </c>
      <c r="E1365" t="s">
        <v>132</v>
      </c>
      <c r="F1365" t="s">
        <v>39</v>
      </c>
      <c r="G1365" t="s">
        <v>50</v>
      </c>
      <c r="H1365" t="s">
        <v>41</v>
      </c>
      <c r="I1365">
        <v>8</v>
      </c>
      <c r="J1365" s="4">
        <v>19924.93</v>
      </c>
      <c r="K1365" s="5">
        <v>0</v>
      </c>
      <c r="L1365" s="4">
        <v>11036.95</v>
      </c>
      <c r="M1365" t="s">
        <v>42</v>
      </c>
      <c r="N1365" t="s">
        <v>60</v>
      </c>
      <c r="O1365">
        <f>IF(TablaVentas[[#This Row],[Precio_unitario]]="","PENDIENTE",TablaVentas[[#This Row],[Unidades]]*TablaVentas[[#This Row],[Precio_unitario]]*(1-TablaVentas[[#This Row],[Descuento_pct]]))</f>
        <v>159399.44</v>
      </c>
      <c r="P1365">
        <f>IF(TablaVentas[[#This Row],[Costo_unitario]]="","PENDIENTE",TablaVentas[[#This Row],[Unidades]]*TablaVentas[[#This Row],[Costo_unitario]])</f>
        <v>88295.6</v>
      </c>
      <c r="Q1365">
        <f>IF(OR(TablaVentas[[#This Row],[Ingreso_neto]]="PENDIENTE",TablaVentas[[#This Row],[Costo_total]]="PENDIENTE"),"PENDIENTE",TablaVentas[[#This Row],[Ingreso_neto]]-TablaVentas[[#This Row],[Costo_total]])</f>
        <v>71103.839999999997</v>
      </c>
    </row>
    <row r="1366" spans="1:17">
      <c r="A1366" t="s">
        <v>960</v>
      </c>
      <c r="B1366">
        <v>4</v>
      </c>
      <c r="C1366" s="3">
        <v>46181</v>
      </c>
      <c r="D1366" t="s">
        <v>527</v>
      </c>
      <c r="E1366" t="s">
        <v>163</v>
      </c>
      <c r="F1366" t="s">
        <v>39</v>
      </c>
      <c r="G1366" t="s">
        <v>50</v>
      </c>
      <c r="H1366" t="s">
        <v>41</v>
      </c>
      <c r="I1366">
        <v>2</v>
      </c>
      <c r="J1366" s="4">
        <v>15376.7</v>
      </c>
      <c r="K1366" s="5">
        <v>0.2</v>
      </c>
      <c r="L1366" s="4">
        <v>12141.44</v>
      </c>
      <c r="M1366" t="s">
        <v>116</v>
      </c>
      <c r="N1366" t="s">
        <v>60</v>
      </c>
      <c r="O1366">
        <f>IF(TablaVentas[[#This Row],[Precio_unitario]]="","PENDIENTE",TablaVentas[[#This Row],[Unidades]]*TablaVentas[[#This Row],[Precio_unitario]]*(1-TablaVentas[[#This Row],[Descuento_pct]]))</f>
        <v>24602.720000000001</v>
      </c>
      <c r="P1366">
        <f>IF(TablaVentas[[#This Row],[Costo_unitario]]="","PENDIENTE",TablaVentas[[#This Row],[Unidades]]*TablaVentas[[#This Row],[Costo_unitario]])</f>
        <v>24282.880000000001</v>
      </c>
      <c r="Q1366">
        <f>IF(OR(TablaVentas[[#This Row],[Ingreso_neto]]="PENDIENTE",TablaVentas[[#This Row],[Costo_total]]="PENDIENTE"),"PENDIENTE",TablaVentas[[#This Row],[Ingreso_neto]]-TablaVentas[[#This Row],[Costo_total]])</f>
        <v>319.84000000000015</v>
      </c>
    </row>
    <row r="1367" spans="1:17">
      <c r="A1367" t="s">
        <v>961</v>
      </c>
      <c r="B1367">
        <v>1</v>
      </c>
      <c r="C1367" s="3">
        <v>46128</v>
      </c>
      <c r="D1367" t="s">
        <v>100</v>
      </c>
      <c r="E1367" t="s">
        <v>272</v>
      </c>
      <c r="F1367" t="s">
        <v>56</v>
      </c>
      <c r="G1367" t="s">
        <v>50</v>
      </c>
      <c r="H1367" t="s">
        <v>184</v>
      </c>
      <c r="I1367">
        <v>3</v>
      </c>
      <c r="J1367" s="4">
        <v>609.70000000000005</v>
      </c>
      <c r="K1367" s="5">
        <v>0</v>
      </c>
      <c r="L1367" s="4">
        <v>443</v>
      </c>
      <c r="M1367" t="s">
        <v>42</v>
      </c>
      <c r="N1367" t="s">
        <v>60</v>
      </c>
      <c r="O1367">
        <f>IF(TablaVentas[[#This Row],[Precio_unitario]]="","PENDIENTE",TablaVentas[[#This Row],[Unidades]]*TablaVentas[[#This Row],[Precio_unitario]]*(1-TablaVentas[[#This Row],[Descuento_pct]]))</f>
        <v>1829.1000000000001</v>
      </c>
      <c r="P1367">
        <f>IF(TablaVentas[[#This Row],[Costo_unitario]]="","PENDIENTE",TablaVentas[[#This Row],[Unidades]]*TablaVentas[[#This Row],[Costo_unitario]])</f>
        <v>1329</v>
      </c>
      <c r="Q1367">
        <f>IF(OR(TablaVentas[[#This Row],[Ingreso_neto]]="PENDIENTE",TablaVentas[[#This Row],[Costo_total]]="PENDIENTE"),"PENDIENTE",TablaVentas[[#This Row],[Ingreso_neto]]-TablaVentas[[#This Row],[Costo_total]])</f>
        <v>500.10000000000014</v>
      </c>
    </row>
    <row r="1368" spans="1:17">
      <c r="A1368" t="s">
        <v>962</v>
      </c>
      <c r="B1368">
        <v>1</v>
      </c>
      <c r="C1368" s="3">
        <v>46181</v>
      </c>
      <c r="D1368" t="s">
        <v>963</v>
      </c>
      <c r="E1368" t="s">
        <v>155</v>
      </c>
      <c r="F1368" t="s">
        <v>56</v>
      </c>
      <c r="G1368" t="s">
        <v>40</v>
      </c>
      <c r="H1368" t="s">
        <v>51</v>
      </c>
      <c r="I1368">
        <v>3</v>
      </c>
      <c r="J1368" s="4">
        <v>796.47</v>
      </c>
      <c r="K1368" s="5">
        <v>0.2</v>
      </c>
      <c r="L1368" s="4">
        <v>397.1</v>
      </c>
      <c r="M1368" t="s">
        <v>42</v>
      </c>
      <c r="N1368" t="s">
        <v>52</v>
      </c>
      <c r="O1368">
        <f>IF(TablaVentas[[#This Row],[Precio_unitario]]="","PENDIENTE",TablaVentas[[#This Row],[Unidades]]*TablaVentas[[#This Row],[Precio_unitario]]*(1-TablaVentas[[#This Row],[Descuento_pct]]))</f>
        <v>1911.528</v>
      </c>
      <c r="P1368">
        <f>IF(TablaVentas[[#This Row],[Costo_unitario]]="","PENDIENTE",TablaVentas[[#This Row],[Unidades]]*TablaVentas[[#This Row],[Costo_unitario]])</f>
        <v>1191.3000000000002</v>
      </c>
      <c r="Q1368">
        <f>IF(OR(TablaVentas[[#This Row],[Ingreso_neto]]="PENDIENTE",TablaVentas[[#This Row],[Costo_total]]="PENDIENTE"),"PENDIENTE",TablaVentas[[#This Row],[Ingreso_neto]]-TablaVentas[[#This Row],[Costo_total]])</f>
        <v>720.22799999999984</v>
      </c>
    </row>
    <row r="1369" spans="1:17">
      <c r="A1369" t="s">
        <v>964</v>
      </c>
      <c r="B1369">
        <v>1</v>
      </c>
      <c r="C1369" s="3">
        <v>46275</v>
      </c>
      <c r="D1369" t="s">
        <v>542</v>
      </c>
      <c r="E1369" t="s">
        <v>85</v>
      </c>
      <c r="F1369" t="s">
        <v>56</v>
      </c>
      <c r="G1369" t="s">
        <v>57</v>
      </c>
      <c r="H1369" t="s">
        <v>58</v>
      </c>
      <c r="I1369">
        <v>8</v>
      </c>
      <c r="J1369" s="4">
        <v>498.35</v>
      </c>
      <c r="K1369" s="5">
        <v>0.05</v>
      </c>
      <c r="L1369" s="4">
        <v>307.75</v>
      </c>
      <c r="M1369" t="s">
        <v>42</v>
      </c>
      <c r="N1369" t="s">
        <v>43</v>
      </c>
      <c r="O1369">
        <f>IF(TablaVentas[[#This Row],[Precio_unitario]]="","PENDIENTE",TablaVentas[[#This Row],[Unidades]]*TablaVentas[[#This Row],[Precio_unitario]]*(1-TablaVentas[[#This Row],[Descuento_pct]]))</f>
        <v>3787.46</v>
      </c>
      <c r="P1369">
        <f>IF(TablaVentas[[#This Row],[Costo_unitario]]="","PENDIENTE",TablaVentas[[#This Row],[Unidades]]*TablaVentas[[#This Row],[Costo_unitario]])</f>
        <v>2462</v>
      </c>
      <c r="Q1369">
        <f>IF(OR(TablaVentas[[#This Row],[Ingreso_neto]]="PENDIENTE",TablaVentas[[#This Row],[Costo_total]]="PENDIENTE"),"PENDIENTE",TablaVentas[[#This Row],[Ingreso_neto]]-TablaVentas[[#This Row],[Costo_total]])</f>
        <v>1325.46</v>
      </c>
    </row>
    <row r="1370" spans="1:17">
      <c r="A1370" t="s">
        <v>964</v>
      </c>
      <c r="B1370">
        <v>2</v>
      </c>
      <c r="C1370" s="3">
        <v>46275</v>
      </c>
      <c r="D1370" t="s">
        <v>542</v>
      </c>
      <c r="E1370" t="s">
        <v>212</v>
      </c>
      <c r="F1370" t="s">
        <v>56</v>
      </c>
      <c r="G1370" t="s">
        <v>57</v>
      </c>
      <c r="H1370" t="s">
        <v>58</v>
      </c>
      <c r="I1370">
        <v>3</v>
      </c>
      <c r="J1370" s="4">
        <v>3875.91</v>
      </c>
      <c r="K1370" s="5">
        <v>0.05</v>
      </c>
      <c r="L1370" s="4">
        <v>2157.5500000000002</v>
      </c>
      <c r="M1370" t="s">
        <v>42</v>
      </c>
      <c r="N1370" t="s">
        <v>45</v>
      </c>
      <c r="O1370">
        <f>IF(TablaVentas[[#This Row],[Precio_unitario]]="","PENDIENTE",TablaVentas[[#This Row],[Unidades]]*TablaVentas[[#This Row],[Precio_unitario]]*(1-TablaVentas[[#This Row],[Descuento_pct]]))</f>
        <v>11046.343499999999</v>
      </c>
      <c r="P1370">
        <f>IF(TablaVentas[[#This Row],[Costo_unitario]]="","PENDIENTE",TablaVentas[[#This Row],[Unidades]]*TablaVentas[[#This Row],[Costo_unitario]])</f>
        <v>6472.6500000000005</v>
      </c>
      <c r="Q1370">
        <f>IF(OR(TablaVentas[[#This Row],[Ingreso_neto]]="PENDIENTE",TablaVentas[[#This Row],[Costo_total]]="PENDIENTE"),"PENDIENTE",TablaVentas[[#This Row],[Ingreso_neto]]-TablaVentas[[#This Row],[Costo_total]])</f>
        <v>4573.6934999999985</v>
      </c>
    </row>
    <row r="1371" spans="1:17">
      <c r="A1371" t="s">
        <v>964</v>
      </c>
      <c r="B1371">
        <v>3</v>
      </c>
      <c r="C1371" s="3">
        <v>46275</v>
      </c>
      <c r="D1371" t="s">
        <v>542</v>
      </c>
      <c r="E1371" t="s">
        <v>61</v>
      </c>
      <c r="F1371" t="s">
        <v>56</v>
      </c>
      <c r="G1371" t="s">
        <v>57</v>
      </c>
      <c r="H1371" t="s">
        <v>58</v>
      </c>
      <c r="I1371">
        <v>3</v>
      </c>
      <c r="J1371" s="4">
        <v>4848.91</v>
      </c>
      <c r="K1371" s="5">
        <v>0</v>
      </c>
      <c r="L1371" s="4">
        <v>2554.06</v>
      </c>
      <c r="M1371" t="s">
        <v>42</v>
      </c>
      <c r="N1371" t="s">
        <v>43</v>
      </c>
      <c r="O1371">
        <f>IF(TablaVentas[[#This Row],[Precio_unitario]]="","PENDIENTE",TablaVentas[[#This Row],[Unidades]]*TablaVentas[[#This Row],[Precio_unitario]]*(1-TablaVentas[[#This Row],[Descuento_pct]]))</f>
        <v>14546.73</v>
      </c>
      <c r="P1371">
        <f>IF(TablaVentas[[#This Row],[Costo_unitario]]="","PENDIENTE",TablaVentas[[#This Row],[Unidades]]*TablaVentas[[#This Row],[Costo_unitario]])</f>
        <v>7662.18</v>
      </c>
      <c r="Q1371">
        <f>IF(OR(TablaVentas[[#This Row],[Ingreso_neto]]="PENDIENTE",TablaVentas[[#This Row],[Costo_total]]="PENDIENTE"),"PENDIENTE",TablaVentas[[#This Row],[Ingreso_neto]]-TablaVentas[[#This Row],[Costo_total]])</f>
        <v>6884.5499999999993</v>
      </c>
    </row>
    <row r="1372" spans="1:17">
      <c r="A1372" t="s">
        <v>964</v>
      </c>
      <c r="B1372">
        <v>4</v>
      </c>
      <c r="C1372" s="3">
        <v>46275</v>
      </c>
      <c r="D1372" t="s">
        <v>542</v>
      </c>
      <c r="E1372" t="s">
        <v>125</v>
      </c>
      <c r="F1372" t="s">
        <v>56</v>
      </c>
      <c r="G1372" t="s">
        <v>57</v>
      </c>
      <c r="H1372" t="s">
        <v>58</v>
      </c>
      <c r="I1372">
        <v>1</v>
      </c>
      <c r="J1372" s="4">
        <v>1781.31</v>
      </c>
      <c r="K1372" s="5">
        <v>0</v>
      </c>
      <c r="L1372" s="4">
        <v>1044.32</v>
      </c>
      <c r="M1372" t="s">
        <v>42</v>
      </c>
      <c r="N1372" t="s">
        <v>45</v>
      </c>
      <c r="O1372">
        <f>IF(TablaVentas[[#This Row],[Precio_unitario]]="","PENDIENTE",TablaVentas[[#This Row],[Unidades]]*TablaVentas[[#This Row],[Precio_unitario]]*(1-TablaVentas[[#This Row],[Descuento_pct]]))</f>
        <v>1781.31</v>
      </c>
      <c r="P1372">
        <f>IF(TablaVentas[[#This Row],[Costo_unitario]]="","PENDIENTE",TablaVentas[[#This Row],[Unidades]]*TablaVentas[[#This Row],[Costo_unitario]])</f>
        <v>1044.32</v>
      </c>
      <c r="Q1372">
        <f>IF(OR(TablaVentas[[#This Row],[Ingreso_neto]]="PENDIENTE",TablaVentas[[#This Row],[Costo_total]]="PENDIENTE"),"PENDIENTE",TablaVentas[[#This Row],[Ingreso_neto]]-TablaVentas[[#This Row],[Costo_total]])</f>
        <v>736.99</v>
      </c>
    </row>
    <row r="1373" spans="1:17">
      <c r="A1373" t="s">
        <v>965</v>
      </c>
      <c r="B1373">
        <v>1</v>
      </c>
      <c r="C1373" s="3">
        <v>46111</v>
      </c>
      <c r="D1373" t="s">
        <v>635</v>
      </c>
      <c r="E1373" t="s">
        <v>211</v>
      </c>
      <c r="F1373" t="s">
        <v>77</v>
      </c>
      <c r="G1373" t="s">
        <v>40</v>
      </c>
      <c r="H1373" t="s">
        <v>67</v>
      </c>
      <c r="I1373">
        <v>1</v>
      </c>
      <c r="J1373" s="4">
        <v>19026.669999999998</v>
      </c>
      <c r="K1373" s="5">
        <v>0.1</v>
      </c>
      <c r="L1373" s="4">
        <v>13760.53</v>
      </c>
      <c r="M1373" t="s">
        <v>42</v>
      </c>
      <c r="N1373" t="s">
        <v>43</v>
      </c>
      <c r="O1373">
        <f>IF(TablaVentas[[#This Row],[Precio_unitario]]="","PENDIENTE",TablaVentas[[#This Row],[Unidades]]*TablaVentas[[#This Row],[Precio_unitario]]*(1-TablaVentas[[#This Row],[Descuento_pct]]))</f>
        <v>17124.003000000001</v>
      </c>
      <c r="P1373">
        <f>IF(TablaVentas[[#This Row],[Costo_unitario]]="","PENDIENTE",TablaVentas[[#This Row],[Unidades]]*TablaVentas[[#This Row],[Costo_unitario]])</f>
        <v>13760.53</v>
      </c>
      <c r="Q1373">
        <f>IF(OR(TablaVentas[[#This Row],[Ingreso_neto]]="PENDIENTE",TablaVentas[[#This Row],[Costo_total]]="PENDIENTE"),"PENDIENTE",TablaVentas[[#This Row],[Ingreso_neto]]-TablaVentas[[#This Row],[Costo_total]])</f>
        <v>3363.473</v>
      </c>
    </row>
    <row r="1374" spans="1:17">
      <c r="A1374" t="s">
        <v>965</v>
      </c>
      <c r="B1374">
        <v>2</v>
      </c>
      <c r="C1374" s="3">
        <v>46111</v>
      </c>
      <c r="D1374" t="s">
        <v>635</v>
      </c>
      <c r="E1374" t="s">
        <v>101</v>
      </c>
      <c r="F1374" t="s">
        <v>77</v>
      </c>
      <c r="G1374" t="s">
        <v>40</v>
      </c>
      <c r="H1374" t="s">
        <v>67</v>
      </c>
      <c r="I1374">
        <v>3</v>
      </c>
      <c r="J1374" s="4">
        <v>4692.1899999999996</v>
      </c>
      <c r="K1374" s="5">
        <v>0</v>
      </c>
      <c r="L1374" s="4">
        <v>2865.24</v>
      </c>
      <c r="M1374" t="s">
        <v>42</v>
      </c>
      <c r="N1374" t="s">
        <v>45</v>
      </c>
      <c r="O1374">
        <f>IF(TablaVentas[[#This Row],[Precio_unitario]]="","PENDIENTE",TablaVentas[[#This Row],[Unidades]]*TablaVentas[[#This Row],[Precio_unitario]]*(1-TablaVentas[[#This Row],[Descuento_pct]]))</f>
        <v>14076.57</v>
      </c>
      <c r="P1374">
        <f>IF(TablaVentas[[#This Row],[Costo_unitario]]="","PENDIENTE",TablaVentas[[#This Row],[Unidades]]*TablaVentas[[#This Row],[Costo_unitario]])</f>
        <v>8595.7199999999993</v>
      </c>
      <c r="Q1374">
        <f>IF(OR(TablaVentas[[#This Row],[Ingreso_neto]]="PENDIENTE",TablaVentas[[#This Row],[Costo_total]]="PENDIENTE"),"PENDIENTE",TablaVentas[[#This Row],[Ingreso_neto]]-TablaVentas[[#This Row],[Costo_total]])</f>
        <v>5480.85</v>
      </c>
    </row>
    <row r="1375" spans="1:17">
      <c r="A1375" t="s">
        <v>965</v>
      </c>
      <c r="B1375">
        <v>3</v>
      </c>
      <c r="C1375" s="3">
        <v>46111</v>
      </c>
      <c r="D1375" t="s">
        <v>635</v>
      </c>
      <c r="E1375" t="s">
        <v>84</v>
      </c>
      <c r="F1375" t="s">
        <v>77</v>
      </c>
      <c r="G1375" t="s">
        <v>40</v>
      </c>
      <c r="H1375" t="s">
        <v>67</v>
      </c>
      <c r="I1375">
        <v>1</v>
      </c>
      <c r="J1375" s="4">
        <v>15111.5</v>
      </c>
      <c r="K1375" s="5">
        <v>0</v>
      </c>
      <c r="L1375" s="4">
        <v>8576.0499999999993</v>
      </c>
      <c r="M1375" t="s">
        <v>42</v>
      </c>
      <c r="N1375" t="s">
        <v>52</v>
      </c>
      <c r="O1375">
        <f>IF(TablaVentas[[#This Row],[Precio_unitario]]="","PENDIENTE",TablaVentas[[#This Row],[Unidades]]*TablaVentas[[#This Row],[Precio_unitario]]*(1-TablaVentas[[#This Row],[Descuento_pct]]))</f>
        <v>15111.5</v>
      </c>
      <c r="P1375">
        <f>IF(TablaVentas[[#This Row],[Costo_unitario]]="","PENDIENTE",TablaVentas[[#This Row],[Unidades]]*TablaVentas[[#This Row],[Costo_unitario]])</f>
        <v>8576.0499999999993</v>
      </c>
      <c r="Q1375">
        <f>IF(OR(TablaVentas[[#This Row],[Ingreso_neto]]="PENDIENTE",TablaVentas[[#This Row],[Costo_total]]="PENDIENTE"),"PENDIENTE",TablaVentas[[#This Row],[Ingreso_neto]]-TablaVentas[[#This Row],[Costo_total]])</f>
        <v>6535.4500000000007</v>
      </c>
    </row>
    <row r="1376" spans="1:17">
      <c r="A1376" t="s">
        <v>966</v>
      </c>
      <c r="B1376">
        <v>1</v>
      </c>
      <c r="C1376" s="3">
        <v>46227</v>
      </c>
      <c r="D1376" t="s">
        <v>497</v>
      </c>
      <c r="E1376" t="s">
        <v>139</v>
      </c>
      <c r="F1376" t="s">
        <v>39</v>
      </c>
      <c r="G1376" t="s">
        <v>40</v>
      </c>
      <c r="H1376" t="s">
        <v>82</v>
      </c>
      <c r="I1376">
        <v>1</v>
      </c>
      <c r="J1376" s="4">
        <v>10017.67</v>
      </c>
      <c r="K1376" s="5">
        <v>0</v>
      </c>
      <c r="L1376" s="4">
        <v>8002.16</v>
      </c>
      <c r="M1376" t="s">
        <v>42</v>
      </c>
      <c r="N1376" t="s">
        <v>60</v>
      </c>
      <c r="O1376">
        <f>IF(TablaVentas[[#This Row],[Precio_unitario]]="","PENDIENTE",TablaVentas[[#This Row],[Unidades]]*TablaVentas[[#This Row],[Precio_unitario]]*(1-TablaVentas[[#This Row],[Descuento_pct]]))</f>
        <v>10017.67</v>
      </c>
      <c r="P1376">
        <f>IF(TablaVentas[[#This Row],[Costo_unitario]]="","PENDIENTE",TablaVentas[[#This Row],[Unidades]]*TablaVentas[[#This Row],[Costo_unitario]])</f>
        <v>8002.16</v>
      </c>
      <c r="Q1376">
        <f>IF(OR(TablaVentas[[#This Row],[Ingreso_neto]]="PENDIENTE",TablaVentas[[#This Row],[Costo_total]]="PENDIENTE"),"PENDIENTE",TablaVentas[[#This Row],[Ingreso_neto]]-TablaVentas[[#This Row],[Costo_total]])</f>
        <v>2015.5100000000002</v>
      </c>
    </row>
    <row r="1377" spans="1:17">
      <c r="A1377" t="s">
        <v>966</v>
      </c>
      <c r="B1377">
        <v>2</v>
      </c>
      <c r="C1377" s="3">
        <v>46227</v>
      </c>
      <c r="D1377" t="s">
        <v>497</v>
      </c>
      <c r="E1377" t="s">
        <v>216</v>
      </c>
      <c r="F1377" t="s">
        <v>39</v>
      </c>
      <c r="G1377" t="s">
        <v>40</v>
      </c>
      <c r="H1377" t="s">
        <v>82</v>
      </c>
      <c r="I1377">
        <v>2</v>
      </c>
      <c r="J1377" s="4">
        <v>16862.54</v>
      </c>
      <c r="K1377" s="5">
        <v>0</v>
      </c>
      <c r="L1377" s="4">
        <v>12064.41</v>
      </c>
      <c r="M1377" t="s">
        <v>42</v>
      </c>
      <c r="N1377" t="s">
        <v>43</v>
      </c>
      <c r="O1377">
        <f>IF(TablaVentas[[#This Row],[Precio_unitario]]="","PENDIENTE",TablaVentas[[#This Row],[Unidades]]*TablaVentas[[#This Row],[Precio_unitario]]*(1-TablaVentas[[#This Row],[Descuento_pct]]))</f>
        <v>33725.08</v>
      </c>
      <c r="P1377">
        <f>IF(TablaVentas[[#This Row],[Costo_unitario]]="","PENDIENTE",TablaVentas[[#This Row],[Unidades]]*TablaVentas[[#This Row],[Costo_unitario]])</f>
        <v>24128.82</v>
      </c>
      <c r="Q1377">
        <f>IF(OR(TablaVentas[[#This Row],[Ingreso_neto]]="PENDIENTE",TablaVentas[[#This Row],[Costo_total]]="PENDIENTE"),"PENDIENTE",TablaVentas[[#This Row],[Ingreso_neto]]-TablaVentas[[#This Row],[Costo_total]])</f>
        <v>9596.260000000002</v>
      </c>
    </row>
    <row r="1378" spans="1:17">
      <c r="A1378" t="s">
        <v>966</v>
      </c>
      <c r="B1378">
        <v>3</v>
      </c>
      <c r="C1378" s="3">
        <v>46227</v>
      </c>
      <c r="D1378" t="s">
        <v>497</v>
      </c>
      <c r="E1378" t="s">
        <v>346</v>
      </c>
      <c r="F1378" t="s">
        <v>39</v>
      </c>
      <c r="G1378" t="s">
        <v>40</v>
      </c>
      <c r="H1378" t="s">
        <v>82</v>
      </c>
      <c r="I1378">
        <v>1</v>
      </c>
      <c r="J1378" s="4">
        <v>2117.29</v>
      </c>
      <c r="K1378" s="5">
        <v>0</v>
      </c>
      <c r="L1378" s="4">
        <v>1175.74</v>
      </c>
      <c r="M1378" t="s">
        <v>42</v>
      </c>
      <c r="N1378" t="s">
        <v>43</v>
      </c>
      <c r="O1378">
        <f>IF(TablaVentas[[#This Row],[Precio_unitario]]="","PENDIENTE",TablaVentas[[#This Row],[Unidades]]*TablaVentas[[#This Row],[Precio_unitario]]*(1-TablaVentas[[#This Row],[Descuento_pct]]))</f>
        <v>2117.29</v>
      </c>
      <c r="P1378">
        <f>IF(TablaVentas[[#This Row],[Costo_unitario]]="","PENDIENTE",TablaVentas[[#This Row],[Unidades]]*TablaVentas[[#This Row],[Costo_unitario]])</f>
        <v>1175.74</v>
      </c>
      <c r="Q1378">
        <f>IF(OR(TablaVentas[[#This Row],[Ingreso_neto]]="PENDIENTE",TablaVentas[[#This Row],[Costo_total]]="PENDIENTE"),"PENDIENTE",TablaVentas[[#This Row],[Ingreso_neto]]-TablaVentas[[#This Row],[Costo_total]])</f>
        <v>941.55</v>
      </c>
    </row>
    <row r="1379" spans="1:17">
      <c r="A1379" t="s">
        <v>967</v>
      </c>
      <c r="B1379">
        <v>1</v>
      </c>
      <c r="C1379" s="3">
        <v>46276</v>
      </c>
      <c r="D1379" t="s">
        <v>963</v>
      </c>
      <c r="E1379" t="s">
        <v>282</v>
      </c>
      <c r="F1379" t="s">
        <v>39</v>
      </c>
      <c r="G1379" t="s">
        <v>57</v>
      </c>
      <c r="H1379" t="s">
        <v>124</v>
      </c>
      <c r="I1379">
        <v>5</v>
      </c>
      <c r="J1379" s="4">
        <v>4033.43</v>
      </c>
      <c r="K1379" s="5">
        <v>0</v>
      </c>
      <c r="L1379" s="4">
        <v>3399.5</v>
      </c>
      <c r="M1379" t="s">
        <v>116</v>
      </c>
      <c r="N1379" t="s">
        <v>52</v>
      </c>
      <c r="O1379">
        <f>IF(TablaVentas[[#This Row],[Precio_unitario]]="","PENDIENTE",TablaVentas[[#This Row],[Unidades]]*TablaVentas[[#This Row],[Precio_unitario]]*(1-TablaVentas[[#This Row],[Descuento_pct]]))</f>
        <v>20167.149999999998</v>
      </c>
      <c r="P1379">
        <f>IF(TablaVentas[[#This Row],[Costo_unitario]]="","PENDIENTE",TablaVentas[[#This Row],[Unidades]]*TablaVentas[[#This Row],[Costo_unitario]])</f>
        <v>16997.5</v>
      </c>
      <c r="Q1379">
        <f>IF(OR(TablaVentas[[#This Row],[Ingreso_neto]]="PENDIENTE",TablaVentas[[#This Row],[Costo_total]]="PENDIENTE"),"PENDIENTE",TablaVentas[[#This Row],[Ingreso_neto]]-TablaVentas[[#This Row],[Costo_total]])</f>
        <v>3169.6499999999978</v>
      </c>
    </row>
    <row r="1380" spans="1:17">
      <c r="A1380" t="s">
        <v>967</v>
      </c>
      <c r="B1380">
        <v>2</v>
      </c>
      <c r="C1380" s="3">
        <v>46276</v>
      </c>
      <c r="D1380" t="s">
        <v>963</v>
      </c>
      <c r="E1380" t="s">
        <v>119</v>
      </c>
      <c r="F1380" t="s">
        <v>39</v>
      </c>
      <c r="G1380" t="s">
        <v>57</v>
      </c>
      <c r="H1380" t="s">
        <v>124</v>
      </c>
      <c r="I1380">
        <v>1</v>
      </c>
      <c r="J1380" s="4">
        <v>9609.36</v>
      </c>
      <c r="K1380" s="5">
        <v>0</v>
      </c>
      <c r="L1380" s="4">
        <v>6981.94</v>
      </c>
      <c r="M1380" t="s">
        <v>42</v>
      </c>
      <c r="N1380" t="s">
        <v>60</v>
      </c>
      <c r="O1380">
        <f>IF(TablaVentas[[#This Row],[Precio_unitario]]="","PENDIENTE",TablaVentas[[#This Row],[Unidades]]*TablaVentas[[#This Row],[Precio_unitario]]*(1-TablaVentas[[#This Row],[Descuento_pct]]))</f>
        <v>9609.36</v>
      </c>
      <c r="P1380">
        <f>IF(TablaVentas[[#This Row],[Costo_unitario]]="","PENDIENTE",TablaVentas[[#This Row],[Unidades]]*TablaVentas[[#This Row],[Costo_unitario]])</f>
        <v>6981.94</v>
      </c>
      <c r="Q1380">
        <f>IF(OR(TablaVentas[[#This Row],[Ingreso_neto]]="PENDIENTE",TablaVentas[[#This Row],[Costo_total]]="PENDIENTE"),"PENDIENTE",TablaVentas[[#This Row],[Ingreso_neto]]-TablaVentas[[#This Row],[Costo_total]])</f>
        <v>2627.420000000001</v>
      </c>
    </row>
    <row r="1381" spans="1:17">
      <c r="A1381" t="s">
        <v>967</v>
      </c>
      <c r="B1381">
        <v>3</v>
      </c>
      <c r="C1381" s="3">
        <v>46276</v>
      </c>
      <c r="D1381" t="s">
        <v>963</v>
      </c>
      <c r="E1381" t="s">
        <v>378</v>
      </c>
      <c r="F1381" t="s">
        <v>39</v>
      </c>
      <c r="G1381" t="s">
        <v>57</v>
      </c>
      <c r="H1381" t="s">
        <v>124</v>
      </c>
      <c r="I1381">
        <v>8</v>
      </c>
      <c r="J1381" s="4">
        <v>3768.97</v>
      </c>
      <c r="K1381" s="5">
        <v>0</v>
      </c>
      <c r="L1381" s="4">
        <v>2864.64</v>
      </c>
      <c r="M1381" t="s">
        <v>42</v>
      </c>
      <c r="N1381" t="s">
        <v>52</v>
      </c>
      <c r="O1381">
        <f>IF(TablaVentas[[#This Row],[Precio_unitario]]="","PENDIENTE",TablaVentas[[#This Row],[Unidades]]*TablaVentas[[#This Row],[Precio_unitario]]*(1-TablaVentas[[#This Row],[Descuento_pct]]))</f>
        <v>30151.759999999998</v>
      </c>
      <c r="P1381">
        <f>IF(TablaVentas[[#This Row],[Costo_unitario]]="","PENDIENTE",TablaVentas[[#This Row],[Unidades]]*TablaVentas[[#This Row],[Costo_unitario]])</f>
        <v>22917.119999999999</v>
      </c>
      <c r="Q1381">
        <f>IF(OR(TablaVentas[[#This Row],[Ingreso_neto]]="PENDIENTE",TablaVentas[[#This Row],[Costo_total]]="PENDIENTE"),"PENDIENTE",TablaVentas[[#This Row],[Ingreso_neto]]-TablaVentas[[#This Row],[Costo_total]])</f>
        <v>7234.6399999999994</v>
      </c>
    </row>
    <row r="1382" spans="1:17">
      <c r="A1382" t="s">
        <v>968</v>
      </c>
      <c r="B1382">
        <v>1</v>
      </c>
      <c r="C1382" s="3">
        <v>46175</v>
      </c>
      <c r="D1382" t="s">
        <v>969</v>
      </c>
      <c r="E1382" t="s">
        <v>212</v>
      </c>
      <c r="F1382" t="s">
        <v>56</v>
      </c>
      <c r="G1382" t="s">
        <v>57</v>
      </c>
      <c r="H1382" t="s">
        <v>124</v>
      </c>
      <c r="I1382">
        <v>1</v>
      </c>
      <c r="J1382" s="4">
        <v>3401.05</v>
      </c>
      <c r="K1382" s="5">
        <v>0.2</v>
      </c>
      <c r="L1382" s="4">
        <v>2157.5500000000002</v>
      </c>
      <c r="M1382" t="s">
        <v>42</v>
      </c>
      <c r="N1382" t="s">
        <v>60</v>
      </c>
      <c r="O1382">
        <f>IF(TablaVentas[[#This Row],[Precio_unitario]]="","PENDIENTE",TablaVentas[[#This Row],[Unidades]]*TablaVentas[[#This Row],[Precio_unitario]]*(1-TablaVentas[[#This Row],[Descuento_pct]]))</f>
        <v>2720.84</v>
      </c>
      <c r="P1382">
        <f>IF(TablaVentas[[#This Row],[Costo_unitario]]="","PENDIENTE",TablaVentas[[#This Row],[Unidades]]*TablaVentas[[#This Row],[Costo_unitario]])</f>
        <v>2157.5500000000002</v>
      </c>
      <c r="Q1382">
        <f>IF(OR(TablaVentas[[#This Row],[Ingreso_neto]]="PENDIENTE",TablaVentas[[#This Row],[Costo_total]]="PENDIENTE"),"PENDIENTE",TablaVentas[[#This Row],[Ingreso_neto]]-TablaVentas[[#This Row],[Costo_total]])</f>
        <v>563.29</v>
      </c>
    </row>
    <row r="1383" spans="1:17">
      <c r="A1383" t="s">
        <v>968</v>
      </c>
      <c r="B1383">
        <v>2</v>
      </c>
      <c r="C1383" s="3">
        <v>46175</v>
      </c>
      <c r="D1383" t="s">
        <v>969</v>
      </c>
      <c r="E1383" t="s">
        <v>272</v>
      </c>
      <c r="F1383" t="s">
        <v>56</v>
      </c>
      <c r="G1383" t="s">
        <v>57</v>
      </c>
      <c r="H1383" t="s">
        <v>124</v>
      </c>
      <c r="I1383">
        <v>1</v>
      </c>
      <c r="J1383" s="4">
        <v>615.97</v>
      </c>
      <c r="K1383" s="5">
        <v>0.1</v>
      </c>
      <c r="L1383" s="4">
        <v>443</v>
      </c>
      <c r="M1383" t="s">
        <v>116</v>
      </c>
      <c r="N1383" t="s">
        <v>43</v>
      </c>
      <c r="O1383">
        <f>IF(TablaVentas[[#This Row],[Precio_unitario]]="","PENDIENTE",TablaVentas[[#This Row],[Unidades]]*TablaVentas[[#This Row],[Precio_unitario]]*(1-TablaVentas[[#This Row],[Descuento_pct]]))</f>
        <v>554.37300000000005</v>
      </c>
      <c r="P1383">
        <f>IF(TablaVentas[[#This Row],[Costo_unitario]]="","PENDIENTE",TablaVentas[[#This Row],[Unidades]]*TablaVentas[[#This Row],[Costo_unitario]])</f>
        <v>443</v>
      </c>
      <c r="Q1383">
        <f>IF(OR(TablaVentas[[#This Row],[Ingreso_neto]]="PENDIENTE",TablaVentas[[#This Row],[Costo_total]]="PENDIENTE"),"PENDIENTE",TablaVentas[[#This Row],[Ingreso_neto]]-TablaVentas[[#This Row],[Costo_total]])</f>
        <v>111.37300000000005</v>
      </c>
    </row>
    <row r="1384" spans="1:17">
      <c r="A1384" t="s">
        <v>970</v>
      </c>
      <c r="B1384">
        <v>1</v>
      </c>
      <c r="C1384" s="3">
        <v>46093</v>
      </c>
      <c r="D1384" t="s">
        <v>418</v>
      </c>
      <c r="E1384" t="s">
        <v>196</v>
      </c>
      <c r="F1384" t="s">
        <v>66</v>
      </c>
      <c r="G1384" t="s">
        <v>50</v>
      </c>
      <c r="H1384" t="s">
        <v>51</v>
      </c>
      <c r="I1384">
        <v>1</v>
      </c>
      <c r="J1384" s="4">
        <v>780.27</v>
      </c>
      <c r="K1384" s="5">
        <v>0</v>
      </c>
      <c r="L1384" s="4">
        <v>485.16</v>
      </c>
      <c r="M1384" t="s">
        <v>42</v>
      </c>
      <c r="N1384" t="s">
        <v>52</v>
      </c>
      <c r="O1384">
        <f>IF(TablaVentas[[#This Row],[Precio_unitario]]="","PENDIENTE",TablaVentas[[#This Row],[Unidades]]*TablaVentas[[#This Row],[Precio_unitario]]*(1-TablaVentas[[#This Row],[Descuento_pct]]))</f>
        <v>780.27</v>
      </c>
      <c r="P1384">
        <f>IF(TablaVentas[[#This Row],[Costo_unitario]]="","PENDIENTE",TablaVentas[[#This Row],[Unidades]]*TablaVentas[[#This Row],[Costo_unitario]])</f>
        <v>485.16</v>
      </c>
      <c r="Q1384">
        <f>IF(OR(TablaVentas[[#This Row],[Ingreso_neto]]="PENDIENTE",TablaVentas[[#This Row],[Costo_total]]="PENDIENTE"),"PENDIENTE",TablaVentas[[#This Row],[Ingreso_neto]]-TablaVentas[[#This Row],[Costo_total]])</f>
        <v>295.10999999999996</v>
      </c>
    </row>
    <row r="1385" spans="1:17">
      <c r="A1385" t="s">
        <v>970</v>
      </c>
      <c r="B1385">
        <v>2</v>
      </c>
      <c r="C1385" s="3">
        <v>46093</v>
      </c>
      <c r="D1385" t="s">
        <v>418</v>
      </c>
      <c r="E1385" t="s">
        <v>152</v>
      </c>
      <c r="F1385" t="s">
        <v>66</v>
      </c>
      <c r="G1385" t="s">
        <v>50</v>
      </c>
      <c r="H1385" t="s">
        <v>51</v>
      </c>
      <c r="I1385">
        <v>2</v>
      </c>
      <c r="J1385" s="4">
        <v>2814.56</v>
      </c>
      <c r="K1385" s="5">
        <v>0</v>
      </c>
      <c r="L1385" s="4">
        <v>1962.3</v>
      </c>
      <c r="M1385" t="s">
        <v>42</v>
      </c>
      <c r="N1385" t="s">
        <v>60</v>
      </c>
      <c r="O1385">
        <f>IF(TablaVentas[[#This Row],[Precio_unitario]]="","PENDIENTE",TablaVentas[[#This Row],[Unidades]]*TablaVentas[[#This Row],[Precio_unitario]]*(1-TablaVentas[[#This Row],[Descuento_pct]]))</f>
        <v>5629.12</v>
      </c>
      <c r="P1385">
        <f>IF(TablaVentas[[#This Row],[Costo_unitario]]="","PENDIENTE",TablaVentas[[#This Row],[Unidades]]*TablaVentas[[#This Row],[Costo_unitario]])</f>
        <v>3924.6</v>
      </c>
      <c r="Q1385">
        <f>IF(OR(TablaVentas[[#This Row],[Ingreso_neto]]="PENDIENTE",TablaVentas[[#This Row],[Costo_total]]="PENDIENTE"),"PENDIENTE",TablaVentas[[#This Row],[Ingreso_neto]]-TablaVentas[[#This Row],[Costo_total]])</f>
        <v>1704.52</v>
      </c>
    </row>
    <row r="1386" spans="1:17">
      <c r="A1386" t="s">
        <v>971</v>
      </c>
      <c r="B1386">
        <v>1</v>
      </c>
      <c r="C1386" s="3">
        <v>46247</v>
      </c>
      <c r="D1386" t="s">
        <v>300</v>
      </c>
      <c r="E1386" t="s">
        <v>223</v>
      </c>
      <c r="F1386" t="s">
        <v>56</v>
      </c>
      <c r="G1386" t="s">
        <v>40</v>
      </c>
      <c r="H1386" t="s">
        <v>73</v>
      </c>
      <c r="I1386">
        <v>3</v>
      </c>
      <c r="J1386" s="4">
        <v>5961.66</v>
      </c>
      <c r="K1386" s="5">
        <v>0.1</v>
      </c>
      <c r="L1386" s="4">
        <v>3298.19</v>
      </c>
      <c r="M1386" t="s">
        <v>42</v>
      </c>
      <c r="N1386" t="s">
        <v>52</v>
      </c>
      <c r="O1386">
        <f>IF(TablaVentas[[#This Row],[Precio_unitario]]="","PENDIENTE",TablaVentas[[#This Row],[Unidades]]*TablaVentas[[#This Row],[Precio_unitario]]*(1-TablaVentas[[#This Row],[Descuento_pct]]))</f>
        <v>16096.482</v>
      </c>
      <c r="P1386">
        <f>IF(TablaVentas[[#This Row],[Costo_unitario]]="","PENDIENTE",TablaVentas[[#This Row],[Unidades]]*TablaVentas[[#This Row],[Costo_unitario]])</f>
        <v>9894.57</v>
      </c>
      <c r="Q1386">
        <f>IF(OR(TablaVentas[[#This Row],[Ingreso_neto]]="PENDIENTE",TablaVentas[[#This Row],[Costo_total]]="PENDIENTE"),"PENDIENTE",TablaVentas[[#This Row],[Ingreso_neto]]-TablaVentas[[#This Row],[Costo_total]])</f>
        <v>6201.9120000000003</v>
      </c>
    </row>
    <row r="1387" spans="1:17">
      <c r="A1387" t="s">
        <v>971</v>
      </c>
      <c r="B1387">
        <v>2</v>
      </c>
      <c r="C1387" s="3">
        <v>46247</v>
      </c>
      <c r="D1387" t="s">
        <v>300</v>
      </c>
      <c r="E1387" t="s">
        <v>226</v>
      </c>
      <c r="F1387" t="s">
        <v>56</v>
      </c>
      <c r="G1387" t="s">
        <v>40</v>
      </c>
      <c r="H1387" t="s">
        <v>73</v>
      </c>
      <c r="I1387">
        <v>4</v>
      </c>
      <c r="J1387" s="4">
        <v>18374.37</v>
      </c>
      <c r="K1387" s="5">
        <v>0.15</v>
      </c>
      <c r="L1387" s="4">
        <v>9976.68</v>
      </c>
      <c r="M1387" t="s">
        <v>42</v>
      </c>
      <c r="N1387" t="s">
        <v>43</v>
      </c>
      <c r="O1387">
        <f>IF(TablaVentas[[#This Row],[Precio_unitario]]="","PENDIENTE",TablaVentas[[#This Row],[Unidades]]*TablaVentas[[#This Row],[Precio_unitario]]*(1-TablaVentas[[#This Row],[Descuento_pct]]))</f>
        <v>62472.857999999993</v>
      </c>
      <c r="P1387">
        <f>IF(TablaVentas[[#This Row],[Costo_unitario]]="","PENDIENTE",TablaVentas[[#This Row],[Unidades]]*TablaVentas[[#This Row],[Costo_unitario]])</f>
        <v>39906.720000000001</v>
      </c>
      <c r="Q1387">
        <f>IF(OR(TablaVentas[[#This Row],[Ingreso_neto]]="PENDIENTE",TablaVentas[[#This Row],[Costo_total]]="PENDIENTE"),"PENDIENTE",TablaVentas[[#This Row],[Ingreso_neto]]-TablaVentas[[#This Row],[Costo_total]])</f>
        <v>22566.137999999992</v>
      </c>
    </row>
    <row r="1388" spans="1:17">
      <c r="A1388" t="s">
        <v>971</v>
      </c>
      <c r="B1388">
        <v>3</v>
      </c>
      <c r="C1388" s="3">
        <v>46247</v>
      </c>
      <c r="D1388" t="s">
        <v>300</v>
      </c>
      <c r="E1388" t="s">
        <v>49</v>
      </c>
      <c r="F1388" t="s">
        <v>56</v>
      </c>
      <c r="G1388" t="s">
        <v>40</v>
      </c>
      <c r="H1388" t="s">
        <v>73</v>
      </c>
      <c r="I1388">
        <v>2</v>
      </c>
      <c r="J1388" s="4">
        <v>3634.81</v>
      </c>
      <c r="K1388" s="5">
        <v>0.05</v>
      </c>
      <c r="L1388" s="4">
        <v>2950.52</v>
      </c>
      <c r="M1388" t="s">
        <v>42</v>
      </c>
      <c r="N1388" t="s">
        <v>52</v>
      </c>
      <c r="O1388">
        <f>IF(TablaVentas[[#This Row],[Precio_unitario]]="","PENDIENTE",TablaVentas[[#This Row],[Unidades]]*TablaVentas[[#This Row],[Precio_unitario]]*(1-TablaVentas[[#This Row],[Descuento_pct]]))</f>
        <v>6906.1389999999992</v>
      </c>
      <c r="P1388">
        <f>IF(TablaVentas[[#This Row],[Costo_unitario]]="","PENDIENTE",TablaVentas[[#This Row],[Unidades]]*TablaVentas[[#This Row],[Costo_unitario]])</f>
        <v>5901.04</v>
      </c>
      <c r="Q1388">
        <f>IF(OR(TablaVentas[[#This Row],[Ingreso_neto]]="PENDIENTE",TablaVentas[[#This Row],[Costo_total]]="PENDIENTE"),"PENDIENTE",TablaVentas[[#This Row],[Ingreso_neto]]-TablaVentas[[#This Row],[Costo_total]])</f>
        <v>1005.0989999999993</v>
      </c>
    </row>
    <row r="1389" spans="1:17">
      <c r="A1389" t="s">
        <v>972</v>
      </c>
      <c r="B1389">
        <v>1</v>
      </c>
      <c r="C1389" s="3">
        <v>46232</v>
      </c>
      <c r="D1389" t="s">
        <v>316</v>
      </c>
      <c r="E1389" t="s">
        <v>211</v>
      </c>
      <c r="F1389" t="s">
        <v>77</v>
      </c>
      <c r="G1389" t="s">
        <v>57</v>
      </c>
      <c r="H1389" t="s">
        <v>51</v>
      </c>
      <c r="I1389">
        <v>2</v>
      </c>
      <c r="J1389" s="4">
        <v>17201.349999999999</v>
      </c>
      <c r="K1389" s="5">
        <v>0</v>
      </c>
      <c r="L1389" s="4">
        <v>13760.53</v>
      </c>
      <c r="M1389" t="s">
        <v>42</v>
      </c>
      <c r="N1389" t="s">
        <v>45</v>
      </c>
      <c r="O1389">
        <f>IF(TablaVentas[[#This Row],[Precio_unitario]]="","PENDIENTE",TablaVentas[[#This Row],[Unidades]]*TablaVentas[[#This Row],[Precio_unitario]]*(1-TablaVentas[[#This Row],[Descuento_pct]]))</f>
        <v>34402.699999999997</v>
      </c>
      <c r="P1389">
        <f>IF(TablaVentas[[#This Row],[Costo_unitario]]="","PENDIENTE",TablaVentas[[#This Row],[Unidades]]*TablaVentas[[#This Row],[Costo_unitario]])</f>
        <v>27521.06</v>
      </c>
      <c r="Q1389">
        <f>IF(OR(TablaVentas[[#This Row],[Ingreso_neto]]="PENDIENTE",TablaVentas[[#This Row],[Costo_total]]="PENDIENTE"),"PENDIENTE",TablaVentas[[#This Row],[Ingreso_neto]]-TablaVentas[[#This Row],[Costo_total]])</f>
        <v>6881.6399999999958</v>
      </c>
    </row>
    <row r="1390" spans="1:17">
      <c r="A1390" t="s">
        <v>973</v>
      </c>
      <c r="B1390">
        <v>1</v>
      </c>
      <c r="C1390" s="3">
        <v>46208</v>
      </c>
      <c r="D1390" t="s">
        <v>37</v>
      </c>
      <c r="E1390" t="s">
        <v>84</v>
      </c>
      <c r="F1390" t="s">
        <v>66</v>
      </c>
      <c r="G1390" t="s">
        <v>57</v>
      </c>
      <c r="H1390" t="s">
        <v>51</v>
      </c>
      <c r="I1390">
        <v>8</v>
      </c>
      <c r="J1390" s="4">
        <v>14181.87</v>
      </c>
      <c r="K1390" s="5">
        <v>0.2</v>
      </c>
      <c r="L1390" s="4">
        <v>8576.0499999999993</v>
      </c>
      <c r="M1390" t="s">
        <v>42</v>
      </c>
      <c r="N1390" t="s">
        <v>43</v>
      </c>
      <c r="O1390">
        <f>IF(TablaVentas[[#This Row],[Precio_unitario]]="","PENDIENTE",TablaVentas[[#This Row],[Unidades]]*TablaVentas[[#This Row],[Precio_unitario]]*(1-TablaVentas[[#This Row],[Descuento_pct]]))</f>
        <v>90763.968000000008</v>
      </c>
      <c r="P1390">
        <f>IF(TablaVentas[[#This Row],[Costo_unitario]]="","PENDIENTE",TablaVentas[[#This Row],[Unidades]]*TablaVentas[[#This Row],[Costo_unitario]])</f>
        <v>68608.399999999994</v>
      </c>
      <c r="Q1390">
        <f>IF(OR(TablaVentas[[#This Row],[Ingreso_neto]]="PENDIENTE",TablaVentas[[#This Row],[Costo_total]]="PENDIENTE"),"PENDIENTE",TablaVentas[[#This Row],[Ingreso_neto]]-TablaVentas[[#This Row],[Costo_total]])</f>
        <v>22155.568000000014</v>
      </c>
    </row>
    <row r="1391" spans="1:17">
      <c r="A1391" t="s">
        <v>973</v>
      </c>
      <c r="B1391">
        <v>2</v>
      </c>
      <c r="C1391" s="3">
        <v>46208</v>
      </c>
      <c r="D1391" t="s">
        <v>37</v>
      </c>
      <c r="E1391" t="s">
        <v>320</v>
      </c>
      <c r="F1391" t="s">
        <v>66</v>
      </c>
      <c r="G1391" t="s">
        <v>57</v>
      </c>
      <c r="H1391" t="s">
        <v>51</v>
      </c>
      <c r="I1391">
        <v>1</v>
      </c>
      <c r="J1391" s="4">
        <v>4989.84</v>
      </c>
      <c r="K1391" s="5">
        <v>0</v>
      </c>
      <c r="L1391" s="4">
        <v>3065.66</v>
      </c>
      <c r="M1391" t="s">
        <v>42</v>
      </c>
      <c r="N1391" t="s">
        <v>45</v>
      </c>
      <c r="O1391">
        <f>IF(TablaVentas[[#This Row],[Precio_unitario]]="","PENDIENTE",TablaVentas[[#This Row],[Unidades]]*TablaVentas[[#This Row],[Precio_unitario]]*(1-TablaVentas[[#This Row],[Descuento_pct]]))</f>
        <v>4989.84</v>
      </c>
      <c r="P1391">
        <f>IF(TablaVentas[[#This Row],[Costo_unitario]]="","PENDIENTE",TablaVentas[[#This Row],[Unidades]]*TablaVentas[[#This Row],[Costo_unitario]])</f>
        <v>3065.66</v>
      </c>
      <c r="Q1391">
        <f>IF(OR(TablaVentas[[#This Row],[Ingreso_neto]]="PENDIENTE",TablaVentas[[#This Row],[Costo_total]]="PENDIENTE"),"PENDIENTE",TablaVentas[[#This Row],[Ingreso_neto]]-TablaVentas[[#This Row],[Costo_total]])</f>
        <v>1924.1800000000003</v>
      </c>
    </row>
    <row r="1392" spans="1:17">
      <c r="A1392" t="s">
        <v>974</v>
      </c>
      <c r="B1392">
        <v>1</v>
      </c>
      <c r="C1392" s="3">
        <v>46122</v>
      </c>
      <c r="D1392" t="s">
        <v>501</v>
      </c>
      <c r="E1392" t="s">
        <v>273</v>
      </c>
      <c r="F1392" t="s">
        <v>66</v>
      </c>
      <c r="G1392" t="s">
        <v>50</v>
      </c>
      <c r="H1392" t="s">
        <v>102</v>
      </c>
      <c r="I1392">
        <v>5</v>
      </c>
      <c r="J1392" s="4">
        <v>1495.67</v>
      </c>
      <c r="K1392" s="5">
        <v>0</v>
      </c>
      <c r="L1392" s="4">
        <v>716.26</v>
      </c>
      <c r="M1392" t="s">
        <v>116</v>
      </c>
      <c r="N1392" t="s">
        <v>60</v>
      </c>
      <c r="O1392">
        <f>IF(TablaVentas[[#This Row],[Precio_unitario]]="","PENDIENTE",TablaVentas[[#This Row],[Unidades]]*TablaVentas[[#This Row],[Precio_unitario]]*(1-TablaVentas[[#This Row],[Descuento_pct]]))</f>
        <v>7478.35</v>
      </c>
      <c r="P1392">
        <f>IF(TablaVentas[[#This Row],[Costo_unitario]]="","PENDIENTE",TablaVentas[[#This Row],[Unidades]]*TablaVentas[[#This Row],[Costo_unitario]])</f>
        <v>3581.3</v>
      </c>
      <c r="Q1392">
        <f>IF(OR(TablaVentas[[#This Row],[Ingreso_neto]]="PENDIENTE",TablaVentas[[#This Row],[Costo_total]]="PENDIENTE"),"PENDIENTE",TablaVentas[[#This Row],[Ingreso_neto]]-TablaVentas[[#This Row],[Costo_total]])</f>
        <v>3897.05</v>
      </c>
    </row>
    <row r="1393" spans="1:17">
      <c r="A1393" t="s">
        <v>974</v>
      </c>
      <c r="B1393">
        <v>2</v>
      </c>
      <c r="C1393" s="3">
        <v>46122</v>
      </c>
      <c r="D1393" t="s">
        <v>501</v>
      </c>
      <c r="E1393" t="s">
        <v>256</v>
      </c>
      <c r="F1393" t="s">
        <v>66</v>
      </c>
      <c r="G1393" t="s">
        <v>50</v>
      </c>
      <c r="H1393" t="s">
        <v>102</v>
      </c>
      <c r="I1393">
        <v>2</v>
      </c>
      <c r="J1393" s="4">
        <v>17697.580000000002</v>
      </c>
      <c r="K1393" s="5">
        <v>0.05</v>
      </c>
      <c r="L1393" s="4">
        <v>11666.57</v>
      </c>
      <c r="M1393" t="s">
        <v>62</v>
      </c>
      <c r="N1393" t="s">
        <v>60</v>
      </c>
      <c r="O1393">
        <f>IF(TablaVentas[[#This Row],[Precio_unitario]]="","PENDIENTE",TablaVentas[[#This Row],[Unidades]]*TablaVentas[[#This Row],[Precio_unitario]]*(1-TablaVentas[[#This Row],[Descuento_pct]]))</f>
        <v>33625.402000000002</v>
      </c>
      <c r="P1393">
        <f>IF(TablaVentas[[#This Row],[Costo_unitario]]="","PENDIENTE",TablaVentas[[#This Row],[Unidades]]*TablaVentas[[#This Row],[Costo_unitario]])</f>
        <v>23333.14</v>
      </c>
      <c r="Q1393">
        <f>IF(OR(TablaVentas[[#This Row],[Ingreso_neto]]="PENDIENTE",TablaVentas[[#This Row],[Costo_total]]="PENDIENTE"),"PENDIENTE",TablaVentas[[#This Row],[Ingreso_neto]]-TablaVentas[[#This Row],[Costo_total]])</f>
        <v>10292.262000000002</v>
      </c>
    </row>
    <row r="1394" spans="1:17">
      <c r="A1394" t="s">
        <v>975</v>
      </c>
      <c r="B1394">
        <v>1</v>
      </c>
      <c r="C1394" s="3">
        <v>46203</v>
      </c>
      <c r="D1394" t="s">
        <v>154</v>
      </c>
      <c r="E1394" t="s">
        <v>84</v>
      </c>
      <c r="F1394" t="s">
        <v>39</v>
      </c>
      <c r="G1394" t="s">
        <v>50</v>
      </c>
      <c r="H1394" t="s">
        <v>58</v>
      </c>
      <c r="I1394">
        <v>1</v>
      </c>
      <c r="J1394" s="4">
        <v>15883.08</v>
      </c>
      <c r="K1394" s="5">
        <v>0</v>
      </c>
      <c r="L1394" s="4">
        <v>8576.0499999999993</v>
      </c>
      <c r="M1394" t="s">
        <v>42</v>
      </c>
      <c r="N1394" t="s">
        <v>43</v>
      </c>
      <c r="O1394">
        <f>IF(TablaVentas[[#This Row],[Precio_unitario]]="","PENDIENTE",TablaVentas[[#This Row],[Unidades]]*TablaVentas[[#This Row],[Precio_unitario]]*(1-TablaVentas[[#This Row],[Descuento_pct]]))</f>
        <v>15883.08</v>
      </c>
      <c r="P1394">
        <f>IF(TablaVentas[[#This Row],[Costo_unitario]]="","PENDIENTE",TablaVentas[[#This Row],[Unidades]]*TablaVentas[[#This Row],[Costo_unitario]])</f>
        <v>8576.0499999999993</v>
      </c>
      <c r="Q1394">
        <f>IF(OR(TablaVentas[[#This Row],[Ingreso_neto]]="PENDIENTE",TablaVentas[[#This Row],[Costo_total]]="PENDIENTE"),"PENDIENTE",TablaVentas[[#This Row],[Ingreso_neto]]-TablaVentas[[#This Row],[Costo_total]])</f>
        <v>7307.0300000000007</v>
      </c>
    </row>
    <row r="1395" spans="1:17">
      <c r="A1395" t="s">
        <v>975</v>
      </c>
      <c r="B1395">
        <v>2</v>
      </c>
      <c r="C1395" s="3">
        <v>46203</v>
      </c>
      <c r="D1395" t="s">
        <v>154</v>
      </c>
      <c r="E1395" t="s">
        <v>272</v>
      </c>
      <c r="F1395" t="s">
        <v>39</v>
      </c>
      <c r="G1395" t="s">
        <v>50</v>
      </c>
      <c r="H1395" t="s">
        <v>58</v>
      </c>
      <c r="I1395">
        <v>1</v>
      </c>
      <c r="J1395" s="4">
        <v>704.8</v>
      </c>
      <c r="K1395" s="5">
        <v>0.05</v>
      </c>
      <c r="L1395" s="4">
        <v>443</v>
      </c>
      <c r="M1395" t="s">
        <v>42</v>
      </c>
      <c r="N1395" t="s">
        <v>60</v>
      </c>
      <c r="O1395">
        <f>IF(TablaVentas[[#This Row],[Precio_unitario]]="","PENDIENTE",TablaVentas[[#This Row],[Unidades]]*TablaVentas[[#This Row],[Precio_unitario]]*(1-TablaVentas[[#This Row],[Descuento_pct]]))</f>
        <v>669.56</v>
      </c>
      <c r="P1395">
        <f>IF(TablaVentas[[#This Row],[Costo_unitario]]="","PENDIENTE",TablaVentas[[#This Row],[Unidades]]*TablaVentas[[#This Row],[Costo_unitario]])</f>
        <v>443</v>
      </c>
      <c r="Q1395">
        <f>IF(OR(TablaVentas[[#This Row],[Ingreso_neto]]="PENDIENTE",TablaVentas[[#This Row],[Costo_total]]="PENDIENTE"),"PENDIENTE",TablaVentas[[#This Row],[Ingreso_neto]]-TablaVentas[[#This Row],[Costo_total]])</f>
        <v>226.55999999999995</v>
      </c>
    </row>
    <row r="1396" spans="1:17">
      <c r="A1396" t="s">
        <v>975</v>
      </c>
      <c r="B1396">
        <v>3</v>
      </c>
      <c r="C1396" s="3">
        <v>46203</v>
      </c>
      <c r="D1396" t="s">
        <v>154</v>
      </c>
      <c r="E1396" t="s">
        <v>233</v>
      </c>
      <c r="F1396" t="s">
        <v>39</v>
      </c>
      <c r="G1396" t="s">
        <v>50</v>
      </c>
      <c r="H1396" t="s">
        <v>58</v>
      </c>
      <c r="I1396">
        <v>1</v>
      </c>
      <c r="J1396" s="4">
        <v>10407.58</v>
      </c>
      <c r="K1396" s="5">
        <v>0</v>
      </c>
      <c r="L1396" s="4">
        <v>5932.12</v>
      </c>
      <c r="M1396" t="s">
        <v>42</v>
      </c>
      <c r="N1396" t="s">
        <v>45</v>
      </c>
      <c r="O1396">
        <f>IF(TablaVentas[[#This Row],[Precio_unitario]]="","PENDIENTE",TablaVentas[[#This Row],[Unidades]]*TablaVentas[[#This Row],[Precio_unitario]]*(1-TablaVentas[[#This Row],[Descuento_pct]]))</f>
        <v>10407.58</v>
      </c>
      <c r="P1396">
        <f>IF(TablaVentas[[#This Row],[Costo_unitario]]="","PENDIENTE",TablaVentas[[#This Row],[Unidades]]*TablaVentas[[#This Row],[Costo_unitario]])</f>
        <v>5932.12</v>
      </c>
      <c r="Q1396">
        <f>IF(OR(TablaVentas[[#This Row],[Ingreso_neto]]="PENDIENTE",TablaVentas[[#This Row],[Costo_total]]="PENDIENTE"),"PENDIENTE",TablaVentas[[#This Row],[Ingreso_neto]]-TablaVentas[[#This Row],[Costo_total]])</f>
        <v>4475.46</v>
      </c>
    </row>
    <row r="1397" spans="1:17">
      <c r="A1397" t="s">
        <v>975</v>
      </c>
      <c r="B1397">
        <v>4</v>
      </c>
      <c r="C1397" s="3">
        <v>46203</v>
      </c>
      <c r="D1397" t="s">
        <v>154</v>
      </c>
      <c r="E1397" t="s">
        <v>85</v>
      </c>
      <c r="F1397" t="s">
        <v>39</v>
      </c>
      <c r="G1397" t="s">
        <v>50</v>
      </c>
      <c r="H1397" t="s">
        <v>58</v>
      </c>
      <c r="I1397">
        <v>3</v>
      </c>
      <c r="J1397" s="4">
        <v>525.9</v>
      </c>
      <c r="K1397" s="5">
        <v>0.05</v>
      </c>
      <c r="L1397" s="4">
        <v>307.75</v>
      </c>
      <c r="M1397" t="s">
        <v>42</v>
      </c>
      <c r="N1397" t="s">
        <v>60</v>
      </c>
      <c r="O1397">
        <f>IF(TablaVentas[[#This Row],[Precio_unitario]]="","PENDIENTE",TablaVentas[[#This Row],[Unidades]]*TablaVentas[[#This Row],[Precio_unitario]]*(1-TablaVentas[[#This Row],[Descuento_pct]]))</f>
        <v>1498.8149999999998</v>
      </c>
      <c r="P1397">
        <f>IF(TablaVentas[[#This Row],[Costo_unitario]]="","PENDIENTE",TablaVentas[[#This Row],[Unidades]]*TablaVentas[[#This Row],[Costo_unitario]])</f>
        <v>923.25</v>
      </c>
      <c r="Q1397">
        <f>IF(OR(TablaVentas[[#This Row],[Ingreso_neto]]="PENDIENTE",TablaVentas[[#This Row],[Costo_total]]="PENDIENTE"),"PENDIENTE",TablaVentas[[#This Row],[Ingreso_neto]]-TablaVentas[[#This Row],[Costo_total]])</f>
        <v>575.56499999999983</v>
      </c>
    </row>
    <row r="1398" spans="1:17">
      <c r="A1398" t="s">
        <v>976</v>
      </c>
      <c r="B1398">
        <v>1</v>
      </c>
      <c r="C1398" s="3">
        <v>46076</v>
      </c>
      <c r="D1398" t="s">
        <v>977</v>
      </c>
      <c r="E1398" t="s">
        <v>148</v>
      </c>
      <c r="F1398" t="s">
        <v>66</v>
      </c>
      <c r="G1398" t="s">
        <v>57</v>
      </c>
      <c r="H1398" t="s">
        <v>82</v>
      </c>
      <c r="I1398">
        <v>3</v>
      </c>
      <c r="J1398" s="4">
        <v>2757.64</v>
      </c>
      <c r="K1398" s="5">
        <v>0</v>
      </c>
      <c r="L1398" s="4">
        <v>2459.34</v>
      </c>
      <c r="M1398" t="s">
        <v>42</v>
      </c>
      <c r="N1398" t="s">
        <v>43</v>
      </c>
      <c r="O1398">
        <f>IF(TablaVentas[[#This Row],[Precio_unitario]]="","PENDIENTE",TablaVentas[[#This Row],[Unidades]]*TablaVentas[[#This Row],[Precio_unitario]]*(1-TablaVentas[[#This Row],[Descuento_pct]]))</f>
        <v>8272.92</v>
      </c>
      <c r="P1398">
        <f>IF(TablaVentas[[#This Row],[Costo_unitario]]="","PENDIENTE",TablaVentas[[#This Row],[Unidades]]*TablaVentas[[#This Row],[Costo_unitario]])</f>
        <v>7378.02</v>
      </c>
      <c r="Q1398">
        <f>IF(OR(TablaVentas[[#This Row],[Ingreso_neto]]="PENDIENTE",TablaVentas[[#This Row],[Costo_total]]="PENDIENTE"),"PENDIENTE",TablaVentas[[#This Row],[Ingreso_neto]]-TablaVentas[[#This Row],[Costo_total]])</f>
        <v>894.89999999999964</v>
      </c>
    </row>
    <row r="1399" spans="1:17">
      <c r="A1399" t="s">
        <v>978</v>
      </c>
      <c r="B1399">
        <v>1</v>
      </c>
      <c r="C1399" s="3">
        <v>46220</v>
      </c>
      <c r="D1399" t="s">
        <v>857</v>
      </c>
      <c r="E1399" t="s">
        <v>258</v>
      </c>
      <c r="F1399" t="s">
        <v>77</v>
      </c>
      <c r="G1399" t="s">
        <v>50</v>
      </c>
      <c r="H1399" t="s">
        <v>82</v>
      </c>
      <c r="I1399">
        <v>2</v>
      </c>
      <c r="J1399" s="4">
        <v>3893.77</v>
      </c>
      <c r="K1399" s="5">
        <v>0</v>
      </c>
      <c r="L1399" s="4">
        <v>2008.57</v>
      </c>
      <c r="M1399" t="s">
        <v>42</v>
      </c>
      <c r="N1399" t="s">
        <v>45</v>
      </c>
      <c r="O1399">
        <f>IF(TablaVentas[[#This Row],[Precio_unitario]]="","PENDIENTE",TablaVentas[[#This Row],[Unidades]]*TablaVentas[[#This Row],[Precio_unitario]]*(1-TablaVentas[[#This Row],[Descuento_pct]]))</f>
        <v>7787.54</v>
      </c>
      <c r="P1399">
        <f>IF(TablaVentas[[#This Row],[Costo_unitario]]="","PENDIENTE",TablaVentas[[#This Row],[Unidades]]*TablaVentas[[#This Row],[Costo_unitario]])</f>
        <v>4017.14</v>
      </c>
      <c r="Q1399">
        <f>IF(OR(TablaVentas[[#This Row],[Ingreso_neto]]="PENDIENTE",TablaVentas[[#This Row],[Costo_total]]="PENDIENTE"),"PENDIENTE",TablaVentas[[#This Row],[Ingreso_neto]]-TablaVentas[[#This Row],[Costo_total]])</f>
        <v>3770.4</v>
      </c>
    </row>
    <row r="1400" spans="1:17">
      <c r="A1400" t="s">
        <v>978</v>
      </c>
      <c r="B1400">
        <v>2</v>
      </c>
      <c r="C1400" s="3">
        <v>46220</v>
      </c>
      <c r="D1400" t="s">
        <v>857</v>
      </c>
      <c r="E1400" t="s">
        <v>159</v>
      </c>
      <c r="F1400" t="s">
        <v>77</v>
      </c>
      <c r="G1400" t="s">
        <v>50</v>
      </c>
      <c r="H1400" t="s">
        <v>82</v>
      </c>
      <c r="I1400">
        <v>1</v>
      </c>
      <c r="J1400" s="4">
        <v>11708.2</v>
      </c>
      <c r="K1400" s="5">
        <v>0.1</v>
      </c>
      <c r="L1400" s="4">
        <v>9317.3700000000008</v>
      </c>
      <c r="M1400" t="s">
        <v>42</v>
      </c>
      <c r="N1400" t="s">
        <v>43</v>
      </c>
      <c r="O1400">
        <f>IF(TablaVentas[[#This Row],[Precio_unitario]]="","PENDIENTE",TablaVentas[[#This Row],[Unidades]]*TablaVentas[[#This Row],[Precio_unitario]]*(1-TablaVentas[[#This Row],[Descuento_pct]]))</f>
        <v>10537.380000000001</v>
      </c>
      <c r="P1400">
        <f>IF(TablaVentas[[#This Row],[Costo_unitario]]="","PENDIENTE",TablaVentas[[#This Row],[Unidades]]*TablaVentas[[#This Row],[Costo_unitario]])</f>
        <v>9317.3700000000008</v>
      </c>
      <c r="Q1400">
        <f>IF(OR(TablaVentas[[#This Row],[Ingreso_neto]]="PENDIENTE",TablaVentas[[#This Row],[Costo_total]]="PENDIENTE"),"PENDIENTE",TablaVentas[[#This Row],[Ingreso_neto]]-TablaVentas[[#This Row],[Costo_total]])</f>
        <v>1220.0100000000002</v>
      </c>
    </row>
    <row r="1401" spans="1:17">
      <c r="A1401" t="s">
        <v>978</v>
      </c>
      <c r="B1401">
        <v>3</v>
      </c>
      <c r="C1401" s="3">
        <v>46220</v>
      </c>
      <c r="D1401" t="s">
        <v>857</v>
      </c>
      <c r="E1401" t="s">
        <v>84</v>
      </c>
      <c r="F1401" t="s">
        <v>77</v>
      </c>
      <c r="G1401" t="s">
        <v>50</v>
      </c>
      <c r="H1401" t="s">
        <v>82</v>
      </c>
      <c r="I1401">
        <v>5</v>
      </c>
      <c r="J1401" s="4">
        <v>13960.73</v>
      </c>
      <c r="K1401" s="5">
        <v>0</v>
      </c>
      <c r="L1401" s="4">
        <v>8576.0499999999993</v>
      </c>
      <c r="M1401" t="s">
        <v>42</v>
      </c>
      <c r="N1401" t="s">
        <v>52</v>
      </c>
      <c r="O1401">
        <f>IF(TablaVentas[[#This Row],[Precio_unitario]]="","PENDIENTE",TablaVentas[[#This Row],[Unidades]]*TablaVentas[[#This Row],[Precio_unitario]]*(1-TablaVentas[[#This Row],[Descuento_pct]]))</f>
        <v>69803.649999999994</v>
      </c>
      <c r="P1401">
        <f>IF(TablaVentas[[#This Row],[Costo_unitario]]="","PENDIENTE",TablaVentas[[#This Row],[Unidades]]*TablaVentas[[#This Row],[Costo_unitario]])</f>
        <v>42880.25</v>
      </c>
      <c r="Q1401">
        <f>IF(OR(TablaVentas[[#This Row],[Ingreso_neto]]="PENDIENTE",TablaVentas[[#This Row],[Costo_total]]="PENDIENTE"),"PENDIENTE",TablaVentas[[#This Row],[Ingreso_neto]]-TablaVentas[[#This Row],[Costo_total]])</f>
        <v>26923.399999999994</v>
      </c>
    </row>
    <row r="1402" spans="1:17">
      <c r="A1402" t="s">
        <v>978</v>
      </c>
      <c r="B1402">
        <v>4</v>
      </c>
      <c r="C1402" s="3">
        <v>46220</v>
      </c>
      <c r="D1402" t="s">
        <v>857</v>
      </c>
      <c r="E1402" t="s">
        <v>133</v>
      </c>
      <c r="F1402" t="s">
        <v>77</v>
      </c>
      <c r="G1402" t="s">
        <v>50</v>
      </c>
      <c r="H1402" t="s">
        <v>82</v>
      </c>
      <c r="I1402">
        <v>8</v>
      </c>
      <c r="J1402" s="4">
        <v>8103.29</v>
      </c>
      <c r="K1402" s="5">
        <v>0.05</v>
      </c>
      <c r="L1402" s="4">
        <v>4061.34</v>
      </c>
      <c r="M1402" t="s">
        <v>42</v>
      </c>
      <c r="N1402" t="s">
        <v>45</v>
      </c>
      <c r="O1402">
        <f>IF(TablaVentas[[#This Row],[Precio_unitario]]="","PENDIENTE",TablaVentas[[#This Row],[Unidades]]*TablaVentas[[#This Row],[Precio_unitario]]*(1-TablaVentas[[#This Row],[Descuento_pct]]))</f>
        <v>61585.003999999994</v>
      </c>
      <c r="P1402">
        <f>IF(TablaVentas[[#This Row],[Costo_unitario]]="","PENDIENTE",TablaVentas[[#This Row],[Unidades]]*TablaVentas[[#This Row],[Costo_unitario]])</f>
        <v>32490.720000000001</v>
      </c>
      <c r="Q1402">
        <f>IF(OR(TablaVentas[[#This Row],[Ingreso_neto]]="PENDIENTE",TablaVentas[[#This Row],[Costo_total]]="PENDIENTE"),"PENDIENTE",TablaVentas[[#This Row],[Ingreso_neto]]-TablaVentas[[#This Row],[Costo_total]])</f>
        <v>29094.283999999992</v>
      </c>
    </row>
    <row r="1403" spans="1:17">
      <c r="A1403" t="s">
        <v>979</v>
      </c>
      <c r="B1403">
        <v>1</v>
      </c>
      <c r="C1403" s="3">
        <v>46128</v>
      </c>
      <c r="D1403" t="s">
        <v>804</v>
      </c>
      <c r="E1403" t="s">
        <v>212</v>
      </c>
      <c r="F1403" t="s">
        <v>66</v>
      </c>
      <c r="G1403" t="s">
        <v>40</v>
      </c>
      <c r="H1403" t="s">
        <v>102</v>
      </c>
      <c r="I1403">
        <v>3</v>
      </c>
      <c r="J1403" s="4">
        <v>3972.3</v>
      </c>
      <c r="K1403" s="5">
        <v>0</v>
      </c>
      <c r="L1403" s="4">
        <v>2157.5500000000002</v>
      </c>
      <c r="M1403" t="s">
        <v>42</v>
      </c>
      <c r="N1403" t="s">
        <v>43</v>
      </c>
      <c r="O1403">
        <f>IF(TablaVentas[[#This Row],[Precio_unitario]]="","PENDIENTE",TablaVentas[[#This Row],[Unidades]]*TablaVentas[[#This Row],[Precio_unitario]]*(1-TablaVentas[[#This Row],[Descuento_pct]]))</f>
        <v>11916.900000000001</v>
      </c>
      <c r="P1403">
        <f>IF(TablaVentas[[#This Row],[Costo_unitario]]="","PENDIENTE",TablaVentas[[#This Row],[Unidades]]*TablaVentas[[#This Row],[Costo_unitario]])</f>
        <v>6472.6500000000005</v>
      </c>
      <c r="Q1403">
        <f>IF(OR(TablaVentas[[#This Row],[Ingreso_neto]]="PENDIENTE",TablaVentas[[#This Row],[Costo_total]]="PENDIENTE"),"PENDIENTE",TablaVentas[[#This Row],[Ingreso_neto]]-TablaVentas[[#This Row],[Costo_total]])</f>
        <v>5444.2500000000009</v>
      </c>
    </row>
    <row r="1404" spans="1:17">
      <c r="A1404" t="s">
        <v>979</v>
      </c>
      <c r="B1404">
        <v>2</v>
      </c>
      <c r="C1404" s="3">
        <v>46128</v>
      </c>
      <c r="D1404" t="s">
        <v>804</v>
      </c>
      <c r="E1404" t="s">
        <v>248</v>
      </c>
      <c r="F1404" t="s">
        <v>66</v>
      </c>
      <c r="G1404" t="s">
        <v>40</v>
      </c>
      <c r="H1404" t="s">
        <v>102</v>
      </c>
      <c r="I1404">
        <v>3</v>
      </c>
      <c r="J1404" s="4">
        <v>13197.37</v>
      </c>
      <c r="K1404" s="5">
        <v>0.1</v>
      </c>
      <c r="L1404" s="4">
        <v>6856.4</v>
      </c>
      <c r="M1404" t="s">
        <v>42</v>
      </c>
      <c r="N1404" t="s">
        <v>43</v>
      </c>
      <c r="O1404">
        <f>IF(TablaVentas[[#This Row],[Precio_unitario]]="","PENDIENTE",TablaVentas[[#This Row],[Unidades]]*TablaVentas[[#This Row],[Precio_unitario]]*(1-TablaVentas[[#This Row],[Descuento_pct]]))</f>
        <v>35632.899000000005</v>
      </c>
      <c r="P1404">
        <f>IF(TablaVentas[[#This Row],[Costo_unitario]]="","PENDIENTE",TablaVentas[[#This Row],[Unidades]]*TablaVentas[[#This Row],[Costo_unitario]])</f>
        <v>20569.199999999997</v>
      </c>
      <c r="Q1404">
        <f>IF(OR(TablaVentas[[#This Row],[Ingreso_neto]]="PENDIENTE",TablaVentas[[#This Row],[Costo_total]]="PENDIENTE"),"PENDIENTE",TablaVentas[[#This Row],[Ingreso_neto]]-TablaVentas[[#This Row],[Costo_total]])</f>
        <v>15063.699000000008</v>
      </c>
    </row>
    <row r="1405" spans="1:17">
      <c r="A1405" t="s">
        <v>979</v>
      </c>
      <c r="B1405">
        <v>3</v>
      </c>
      <c r="C1405" s="3">
        <v>46128</v>
      </c>
      <c r="D1405" t="s">
        <v>804</v>
      </c>
      <c r="E1405" t="s">
        <v>397</v>
      </c>
      <c r="F1405" t="s">
        <v>66</v>
      </c>
      <c r="G1405" t="s">
        <v>40</v>
      </c>
      <c r="H1405" t="s">
        <v>102</v>
      </c>
      <c r="I1405">
        <v>4</v>
      </c>
      <c r="J1405" s="4">
        <v>6192.25</v>
      </c>
      <c r="K1405" s="5">
        <v>0.2</v>
      </c>
      <c r="L1405" s="4">
        <v>3640.56</v>
      </c>
      <c r="M1405" t="s">
        <v>42</v>
      </c>
      <c r="N1405" t="s">
        <v>45</v>
      </c>
      <c r="O1405">
        <f>IF(TablaVentas[[#This Row],[Precio_unitario]]="","PENDIENTE",TablaVentas[[#This Row],[Unidades]]*TablaVentas[[#This Row],[Precio_unitario]]*(1-TablaVentas[[#This Row],[Descuento_pct]]))</f>
        <v>19815.2</v>
      </c>
      <c r="P1405">
        <f>IF(TablaVentas[[#This Row],[Costo_unitario]]="","PENDIENTE",TablaVentas[[#This Row],[Unidades]]*TablaVentas[[#This Row],[Costo_unitario]])</f>
        <v>14562.24</v>
      </c>
      <c r="Q1405">
        <f>IF(OR(TablaVentas[[#This Row],[Ingreso_neto]]="PENDIENTE",TablaVentas[[#This Row],[Costo_total]]="PENDIENTE"),"PENDIENTE",TablaVentas[[#This Row],[Ingreso_neto]]-TablaVentas[[#This Row],[Costo_total]])</f>
        <v>5252.9600000000009</v>
      </c>
    </row>
    <row r="1406" spans="1:17">
      <c r="A1406" t="s">
        <v>979</v>
      </c>
      <c r="B1406">
        <v>4</v>
      </c>
      <c r="C1406" s="3">
        <v>46128</v>
      </c>
      <c r="D1406" t="s">
        <v>804</v>
      </c>
      <c r="E1406" t="s">
        <v>114</v>
      </c>
      <c r="F1406" t="s">
        <v>66</v>
      </c>
      <c r="G1406" t="s">
        <v>40</v>
      </c>
      <c r="H1406" t="s">
        <v>102</v>
      </c>
      <c r="I1406">
        <v>1</v>
      </c>
      <c r="J1406" s="4">
        <v>14156.25</v>
      </c>
      <c r="K1406" s="5">
        <v>0.15</v>
      </c>
      <c r="L1406" s="4">
        <v>8239.48</v>
      </c>
      <c r="M1406" t="s">
        <v>42</v>
      </c>
      <c r="N1406" t="s">
        <v>52</v>
      </c>
      <c r="O1406">
        <f>IF(TablaVentas[[#This Row],[Precio_unitario]]="","PENDIENTE",TablaVentas[[#This Row],[Unidades]]*TablaVentas[[#This Row],[Precio_unitario]]*(1-TablaVentas[[#This Row],[Descuento_pct]]))</f>
        <v>12032.8125</v>
      </c>
      <c r="P1406">
        <f>IF(TablaVentas[[#This Row],[Costo_unitario]]="","PENDIENTE",TablaVentas[[#This Row],[Unidades]]*TablaVentas[[#This Row],[Costo_unitario]])</f>
        <v>8239.48</v>
      </c>
      <c r="Q1406">
        <f>IF(OR(TablaVentas[[#This Row],[Ingreso_neto]]="PENDIENTE",TablaVentas[[#This Row],[Costo_total]]="PENDIENTE"),"PENDIENTE",TablaVentas[[#This Row],[Ingreso_neto]]-TablaVentas[[#This Row],[Costo_total]])</f>
        <v>3793.3325000000004</v>
      </c>
    </row>
    <row r="1407" spans="1:17">
      <c r="A1407" t="s">
        <v>980</v>
      </c>
      <c r="B1407">
        <v>1</v>
      </c>
      <c r="C1407" s="3">
        <v>46066</v>
      </c>
      <c r="D1407" t="s">
        <v>202</v>
      </c>
      <c r="E1407" t="s">
        <v>84</v>
      </c>
      <c r="F1407" t="s">
        <v>56</v>
      </c>
      <c r="G1407" t="s">
        <v>50</v>
      </c>
      <c r="H1407" t="s">
        <v>41</v>
      </c>
      <c r="I1407">
        <v>2</v>
      </c>
      <c r="J1407" s="4">
        <v>15580.34</v>
      </c>
      <c r="K1407" s="5">
        <v>0</v>
      </c>
      <c r="L1407" s="4">
        <v>8576.0499999999993</v>
      </c>
      <c r="M1407" t="s">
        <v>42</v>
      </c>
      <c r="N1407" t="s">
        <v>52</v>
      </c>
      <c r="O1407">
        <f>IF(TablaVentas[[#This Row],[Precio_unitario]]="","PENDIENTE",TablaVentas[[#This Row],[Unidades]]*TablaVentas[[#This Row],[Precio_unitario]]*(1-TablaVentas[[#This Row],[Descuento_pct]]))</f>
        <v>31160.68</v>
      </c>
      <c r="P1407">
        <f>IF(TablaVentas[[#This Row],[Costo_unitario]]="","PENDIENTE",TablaVentas[[#This Row],[Unidades]]*TablaVentas[[#This Row],[Costo_unitario]])</f>
        <v>17152.099999999999</v>
      </c>
      <c r="Q1407">
        <f>IF(OR(TablaVentas[[#This Row],[Ingreso_neto]]="PENDIENTE",TablaVentas[[#This Row],[Costo_total]]="PENDIENTE"),"PENDIENTE",TablaVentas[[#This Row],[Ingreso_neto]]-TablaVentas[[#This Row],[Costo_total]])</f>
        <v>14008.580000000002</v>
      </c>
    </row>
    <row r="1408" spans="1:17">
      <c r="A1408" t="s">
        <v>980</v>
      </c>
      <c r="B1408">
        <v>2</v>
      </c>
      <c r="C1408" s="3">
        <v>46066</v>
      </c>
      <c r="D1408" t="s">
        <v>202</v>
      </c>
      <c r="E1408" t="s">
        <v>140</v>
      </c>
      <c r="F1408" t="s">
        <v>56</v>
      </c>
      <c r="G1408" t="s">
        <v>50</v>
      </c>
      <c r="H1408" t="s">
        <v>41</v>
      </c>
      <c r="I1408">
        <v>2</v>
      </c>
      <c r="J1408" s="4">
        <v>2912.46</v>
      </c>
      <c r="K1408" s="5">
        <v>0.05</v>
      </c>
      <c r="L1408" s="4">
        <v>2427.63</v>
      </c>
      <c r="M1408" t="s">
        <v>42</v>
      </c>
      <c r="N1408" t="s">
        <v>60</v>
      </c>
      <c r="O1408">
        <f>IF(TablaVentas[[#This Row],[Precio_unitario]]="","PENDIENTE",TablaVentas[[#This Row],[Unidades]]*TablaVentas[[#This Row],[Precio_unitario]]*(1-TablaVentas[[#This Row],[Descuento_pct]]))</f>
        <v>5533.674</v>
      </c>
      <c r="P1408">
        <f>IF(TablaVentas[[#This Row],[Costo_unitario]]="","PENDIENTE",TablaVentas[[#This Row],[Unidades]]*TablaVentas[[#This Row],[Costo_unitario]])</f>
        <v>4855.26</v>
      </c>
      <c r="Q1408">
        <f>IF(OR(TablaVentas[[#This Row],[Ingreso_neto]]="PENDIENTE",TablaVentas[[#This Row],[Costo_total]]="PENDIENTE"),"PENDIENTE",TablaVentas[[#This Row],[Ingreso_neto]]-TablaVentas[[#This Row],[Costo_total]])</f>
        <v>678.41399999999976</v>
      </c>
    </row>
    <row r="1409" spans="1:17">
      <c r="A1409" t="s">
        <v>980</v>
      </c>
      <c r="B1409">
        <v>3</v>
      </c>
      <c r="C1409" s="3">
        <v>46066</v>
      </c>
      <c r="D1409" t="s">
        <v>202</v>
      </c>
      <c r="E1409" t="s">
        <v>65</v>
      </c>
      <c r="F1409" t="s">
        <v>56</v>
      </c>
      <c r="G1409" t="s">
        <v>50</v>
      </c>
      <c r="H1409" t="s">
        <v>41</v>
      </c>
      <c r="I1409">
        <v>1</v>
      </c>
      <c r="J1409" s="4">
        <v>12297.35</v>
      </c>
      <c r="K1409" s="5">
        <v>0.1</v>
      </c>
      <c r="L1409" s="4">
        <v>7328.02</v>
      </c>
      <c r="M1409" t="s">
        <v>42</v>
      </c>
      <c r="N1409" t="s">
        <v>43</v>
      </c>
      <c r="O1409">
        <f>IF(TablaVentas[[#This Row],[Precio_unitario]]="","PENDIENTE",TablaVentas[[#This Row],[Unidades]]*TablaVentas[[#This Row],[Precio_unitario]]*(1-TablaVentas[[#This Row],[Descuento_pct]]))</f>
        <v>11067.615</v>
      </c>
      <c r="P1409">
        <f>IF(TablaVentas[[#This Row],[Costo_unitario]]="","PENDIENTE",TablaVentas[[#This Row],[Unidades]]*TablaVentas[[#This Row],[Costo_unitario]])</f>
        <v>7328.02</v>
      </c>
      <c r="Q1409">
        <f>IF(OR(TablaVentas[[#This Row],[Ingreso_neto]]="PENDIENTE",TablaVentas[[#This Row],[Costo_total]]="PENDIENTE"),"PENDIENTE",TablaVentas[[#This Row],[Ingreso_neto]]-TablaVentas[[#This Row],[Costo_total]])</f>
        <v>3739.5949999999993</v>
      </c>
    </row>
    <row r="1410" spans="1:17">
      <c r="A1410" t="s">
        <v>981</v>
      </c>
      <c r="B1410">
        <v>1</v>
      </c>
      <c r="C1410" s="3">
        <v>46169</v>
      </c>
      <c r="D1410" t="s">
        <v>782</v>
      </c>
      <c r="E1410" t="s">
        <v>208</v>
      </c>
      <c r="F1410" t="s">
        <v>56</v>
      </c>
      <c r="G1410" t="s">
        <v>57</v>
      </c>
      <c r="H1410" t="s">
        <v>73</v>
      </c>
      <c r="I1410">
        <v>1</v>
      </c>
      <c r="J1410" s="4">
        <v>9725.25</v>
      </c>
      <c r="K1410" s="5">
        <v>0.2</v>
      </c>
      <c r="L1410" s="4">
        <v>5535.31</v>
      </c>
      <c r="M1410" t="s">
        <v>116</v>
      </c>
      <c r="N1410" t="s">
        <v>60</v>
      </c>
      <c r="O1410">
        <f>IF(TablaVentas[[#This Row],[Precio_unitario]]="","PENDIENTE",TablaVentas[[#This Row],[Unidades]]*TablaVentas[[#This Row],[Precio_unitario]]*(1-TablaVentas[[#This Row],[Descuento_pct]]))</f>
        <v>7780.2000000000007</v>
      </c>
      <c r="P1410">
        <f>IF(TablaVentas[[#This Row],[Costo_unitario]]="","PENDIENTE",TablaVentas[[#This Row],[Unidades]]*TablaVentas[[#This Row],[Costo_unitario]])</f>
        <v>5535.31</v>
      </c>
      <c r="Q1410">
        <f>IF(OR(TablaVentas[[#This Row],[Ingreso_neto]]="PENDIENTE",TablaVentas[[#This Row],[Costo_total]]="PENDIENTE"),"PENDIENTE",TablaVentas[[#This Row],[Ingreso_neto]]-TablaVentas[[#This Row],[Costo_total]])</f>
        <v>2244.8900000000003</v>
      </c>
    </row>
    <row r="1411" spans="1:17">
      <c r="A1411" t="s">
        <v>981</v>
      </c>
      <c r="B1411">
        <v>2</v>
      </c>
      <c r="C1411" s="3">
        <v>46169</v>
      </c>
      <c r="D1411" t="s">
        <v>782</v>
      </c>
      <c r="E1411" t="s">
        <v>258</v>
      </c>
      <c r="F1411" t="s">
        <v>56</v>
      </c>
      <c r="G1411" t="s">
        <v>57</v>
      </c>
      <c r="H1411" t="s">
        <v>73</v>
      </c>
      <c r="I1411">
        <v>1</v>
      </c>
      <c r="J1411" s="4">
        <v>3488.44</v>
      </c>
      <c r="K1411" s="5">
        <v>0.2</v>
      </c>
      <c r="L1411" s="4">
        <v>2008.57</v>
      </c>
      <c r="M1411" t="s">
        <v>42</v>
      </c>
      <c r="N1411" t="s">
        <v>43</v>
      </c>
      <c r="O1411">
        <f>IF(TablaVentas[[#This Row],[Precio_unitario]]="","PENDIENTE",TablaVentas[[#This Row],[Unidades]]*TablaVentas[[#This Row],[Precio_unitario]]*(1-TablaVentas[[#This Row],[Descuento_pct]]))</f>
        <v>2790.7520000000004</v>
      </c>
      <c r="P1411">
        <f>IF(TablaVentas[[#This Row],[Costo_unitario]]="","PENDIENTE",TablaVentas[[#This Row],[Unidades]]*TablaVentas[[#This Row],[Costo_unitario]])</f>
        <v>2008.57</v>
      </c>
      <c r="Q1411">
        <f>IF(OR(TablaVentas[[#This Row],[Ingreso_neto]]="PENDIENTE",TablaVentas[[#This Row],[Costo_total]]="PENDIENTE"),"PENDIENTE",TablaVentas[[#This Row],[Ingreso_neto]]-TablaVentas[[#This Row],[Costo_total]])</f>
        <v>782.18200000000047</v>
      </c>
    </row>
    <row r="1412" spans="1:17">
      <c r="A1412" t="s">
        <v>982</v>
      </c>
      <c r="B1412">
        <v>1</v>
      </c>
      <c r="C1412" s="3">
        <v>46064</v>
      </c>
      <c r="D1412" t="s">
        <v>460</v>
      </c>
      <c r="E1412" t="s">
        <v>106</v>
      </c>
      <c r="F1412" t="s">
        <v>39</v>
      </c>
      <c r="G1412" t="s">
        <v>50</v>
      </c>
      <c r="H1412" t="s">
        <v>51</v>
      </c>
      <c r="I1412">
        <v>2</v>
      </c>
      <c r="J1412" s="4">
        <v>9441.74</v>
      </c>
      <c r="K1412" s="5">
        <v>0.05</v>
      </c>
      <c r="L1412" s="4">
        <v>8276.74</v>
      </c>
      <c r="M1412" t="s">
        <v>42</v>
      </c>
      <c r="N1412" t="s">
        <v>45</v>
      </c>
      <c r="O1412">
        <f>IF(TablaVentas[[#This Row],[Precio_unitario]]="","PENDIENTE",TablaVentas[[#This Row],[Unidades]]*TablaVentas[[#This Row],[Precio_unitario]]*(1-TablaVentas[[#This Row],[Descuento_pct]]))</f>
        <v>17939.306</v>
      </c>
      <c r="P1412">
        <f>IF(TablaVentas[[#This Row],[Costo_unitario]]="","PENDIENTE",TablaVentas[[#This Row],[Unidades]]*TablaVentas[[#This Row],[Costo_unitario]])</f>
        <v>16553.48</v>
      </c>
      <c r="Q1412">
        <f>IF(OR(TablaVentas[[#This Row],[Ingreso_neto]]="PENDIENTE",TablaVentas[[#This Row],[Costo_total]]="PENDIENTE"),"PENDIENTE",TablaVentas[[#This Row],[Ingreso_neto]]-TablaVentas[[#This Row],[Costo_total]])</f>
        <v>1385.8260000000009</v>
      </c>
    </row>
    <row r="1413" spans="1:17">
      <c r="A1413" t="s">
        <v>983</v>
      </c>
      <c r="B1413">
        <v>1</v>
      </c>
      <c r="C1413" s="3">
        <v>46132</v>
      </c>
      <c r="D1413" t="s">
        <v>489</v>
      </c>
      <c r="E1413" t="s">
        <v>114</v>
      </c>
      <c r="F1413" t="s">
        <v>56</v>
      </c>
      <c r="G1413" t="s">
        <v>50</v>
      </c>
      <c r="H1413" t="s">
        <v>73</v>
      </c>
      <c r="I1413">
        <v>2</v>
      </c>
      <c r="J1413" s="4">
        <v>14767.67</v>
      </c>
      <c r="K1413" s="5">
        <v>0.05</v>
      </c>
      <c r="L1413" s="4">
        <v>8239.48</v>
      </c>
      <c r="M1413" t="s">
        <v>42</v>
      </c>
      <c r="N1413" t="s">
        <v>43</v>
      </c>
      <c r="O1413">
        <f>IF(TablaVentas[[#This Row],[Precio_unitario]]="","PENDIENTE",TablaVentas[[#This Row],[Unidades]]*TablaVentas[[#This Row],[Precio_unitario]]*(1-TablaVentas[[#This Row],[Descuento_pct]]))</f>
        <v>28058.573</v>
      </c>
      <c r="P1413">
        <f>IF(TablaVentas[[#This Row],[Costo_unitario]]="","PENDIENTE",TablaVentas[[#This Row],[Unidades]]*TablaVentas[[#This Row],[Costo_unitario]])</f>
        <v>16478.96</v>
      </c>
      <c r="Q1413">
        <f>IF(OR(TablaVentas[[#This Row],[Ingreso_neto]]="PENDIENTE",TablaVentas[[#This Row],[Costo_total]]="PENDIENTE"),"PENDIENTE",TablaVentas[[#This Row],[Ingreso_neto]]-TablaVentas[[#This Row],[Costo_total]])</f>
        <v>11579.613000000001</v>
      </c>
    </row>
    <row r="1414" spans="1:17">
      <c r="A1414" t="s">
        <v>983</v>
      </c>
      <c r="B1414">
        <v>2</v>
      </c>
      <c r="C1414" s="3">
        <v>46132</v>
      </c>
      <c r="D1414" t="s">
        <v>489</v>
      </c>
      <c r="E1414" t="s">
        <v>69</v>
      </c>
      <c r="F1414" t="s">
        <v>56</v>
      </c>
      <c r="G1414" t="s">
        <v>50</v>
      </c>
      <c r="H1414" t="s">
        <v>73</v>
      </c>
      <c r="I1414">
        <v>4</v>
      </c>
      <c r="J1414" s="4">
        <v>13892.67</v>
      </c>
      <c r="K1414" s="5">
        <v>0.05</v>
      </c>
      <c r="L1414" s="4">
        <v>10094.26</v>
      </c>
      <c r="M1414" t="s">
        <v>42</v>
      </c>
      <c r="N1414" t="s">
        <v>43</v>
      </c>
      <c r="O1414">
        <f>IF(TablaVentas[[#This Row],[Precio_unitario]]="","PENDIENTE",TablaVentas[[#This Row],[Unidades]]*TablaVentas[[#This Row],[Precio_unitario]]*(1-TablaVentas[[#This Row],[Descuento_pct]]))</f>
        <v>52792.146000000001</v>
      </c>
      <c r="P1414">
        <f>IF(TablaVentas[[#This Row],[Costo_unitario]]="","PENDIENTE",TablaVentas[[#This Row],[Unidades]]*TablaVentas[[#This Row],[Costo_unitario]])</f>
        <v>40377.040000000001</v>
      </c>
      <c r="Q1414">
        <f>IF(OR(TablaVentas[[#This Row],[Ingreso_neto]]="PENDIENTE",TablaVentas[[#This Row],[Costo_total]]="PENDIENTE"),"PENDIENTE",TablaVentas[[#This Row],[Ingreso_neto]]-TablaVentas[[#This Row],[Costo_total]])</f>
        <v>12415.106</v>
      </c>
    </row>
    <row r="1415" spans="1:17">
      <c r="A1415" t="s">
        <v>983</v>
      </c>
      <c r="B1415">
        <v>3</v>
      </c>
      <c r="C1415" s="3">
        <v>46132</v>
      </c>
      <c r="D1415" t="s">
        <v>489</v>
      </c>
      <c r="E1415" t="s">
        <v>262</v>
      </c>
      <c r="F1415" t="s">
        <v>56</v>
      </c>
      <c r="G1415" t="s">
        <v>50</v>
      </c>
      <c r="H1415" t="s">
        <v>73</v>
      </c>
      <c r="I1415">
        <v>4</v>
      </c>
      <c r="J1415" s="4">
        <v>14121.77</v>
      </c>
      <c r="K1415" s="5">
        <v>0.2</v>
      </c>
      <c r="L1415" s="4">
        <v>8227.4599999999991</v>
      </c>
      <c r="M1415" t="s">
        <v>42</v>
      </c>
      <c r="N1415" t="s">
        <v>45</v>
      </c>
      <c r="O1415">
        <f>IF(TablaVentas[[#This Row],[Precio_unitario]]="","PENDIENTE",TablaVentas[[#This Row],[Unidades]]*TablaVentas[[#This Row],[Precio_unitario]]*(1-TablaVentas[[#This Row],[Descuento_pct]]))</f>
        <v>45189.664000000004</v>
      </c>
      <c r="P1415">
        <f>IF(TablaVentas[[#This Row],[Costo_unitario]]="","PENDIENTE",TablaVentas[[#This Row],[Unidades]]*TablaVentas[[#This Row],[Costo_unitario]])</f>
        <v>32909.839999999997</v>
      </c>
      <c r="Q1415">
        <f>IF(OR(TablaVentas[[#This Row],[Ingreso_neto]]="PENDIENTE",TablaVentas[[#This Row],[Costo_total]]="PENDIENTE"),"PENDIENTE",TablaVentas[[#This Row],[Ingreso_neto]]-TablaVentas[[#This Row],[Costo_total]])</f>
        <v>12279.824000000008</v>
      </c>
    </row>
    <row r="1416" spans="1:17">
      <c r="A1416" t="s">
        <v>984</v>
      </c>
      <c r="B1416">
        <v>1</v>
      </c>
      <c r="C1416" s="3">
        <v>46081</v>
      </c>
      <c r="D1416" t="s">
        <v>154</v>
      </c>
      <c r="E1416" t="s">
        <v>172</v>
      </c>
      <c r="F1416" t="s">
        <v>56</v>
      </c>
      <c r="G1416" t="s">
        <v>40</v>
      </c>
      <c r="H1416" t="s">
        <v>102</v>
      </c>
      <c r="I1416">
        <v>3</v>
      </c>
      <c r="J1416" s="4">
        <v>15184.74</v>
      </c>
      <c r="K1416" s="5">
        <v>0.2</v>
      </c>
      <c r="L1416" s="4">
        <v>10830.17</v>
      </c>
      <c r="M1416" t="s">
        <v>42</v>
      </c>
      <c r="N1416" t="s">
        <v>45</v>
      </c>
      <c r="O1416">
        <f>IF(TablaVentas[[#This Row],[Precio_unitario]]="","PENDIENTE",TablaVentas[[#This Row],[Unidades]]*TablaVentas[[#This Row],[Precio_unitario]]*(1-TablaVentas[[#This Row],[Descuento_pct]]))</f>
        <v>36443.376000000004</v>
      </c>
      <c r="P1416">
        <f>IF(TablaVentas[[#This Row],[Costo_unitario]]="","PENDIENTE",TablaVentas[[#This Row],[Unidades]]*TablaVentas[[#This Row],[Costo_unitario]])</f>
        <v>32490.510000000002</v>
      </c>
      <c r="Q1416">
        <f>IF(OR(TablaVentas[[#This Row],[Ingreso_neto]]="PENDIENTE",TablaVentas[[#This Row],[Costo_total]]="PENDIENTE"),"PENDIENTE",TablaVentas[[#This Row],[Ingreso_neto]]-TablaVentas[[#This Row],[Costo_total]])</f>
        <v>3952.8660000000018</v>
      </c>
    </row>
    <row r="1417" spans="1:17">
      <c r="A1417" t="s">
        <v>985</v>
      </c>
      <c r="B1417">
        <v>1</v>
      </c>
      <c r="C1417" s="3">
        <v>46289</v>
      </c>
      <c r="D1417" t="s">
        <v>986</v>
      </c>
      <c r="E1417" t="s">
        <v>81</v>
      </c>
      <c r="F1417" t="s">
        <v>39</v>
      </c>
      <c r="G1417" t="s">
        <v>50</v>
      </c>
      <c r="H1417" t="s">
        <v>51</v>
      </c>
      <c r="I1417">
        <v>4</v>
      </c>
      <c r="J1417" s="4">
        <v>16085.91</v>
      </c>
      <c r="K1417" s="5">
        <v>0</v>
      </c>
      <c r="L1417" s="4">
        <v>11614.87</v>
      </c>
      <c r="M1417" t="s">
        <v>42</v>
      </c>
      <c r="N1417" t="s">
        <v>45</v>
      </c>
      <c r="O1417">
        <f>IF(TablaVentas[[#This Row],[Precio_unitario]]="","PENDIENTE",TablaVentas[[#This Row],[Unidades]]*TablaVentas[[#This Row],[Precio_unitario]]*(1-TablaVentas[[#This Row],[Descuento_pct]]))</f>
        <v>64343.64</v>
      </c>
      <c r="P1417">
        <f>IF(TablaVentas[[#This Row],[Costo_unitario]]="","PENDIENTE",TablaVentas[[#This Row],[Unidades]]*TablaVentas[[#This Row],[Costo_unitario]])</f>
        <v>46459.48</v>
      </c>
      <c r="Q1417">
        <f>IF(OR(TablaVentas[[#This Row],[Ingreso_neto]]="PENDIENTE",TablaVentas[[#This Row],[Costo_total]]="PENDIENTE"),"PENDIENTE",TablaVentas[[#This Row],[Ingreso_neto]]-TablaVentas[[#This Row],[Costo_total]])</f>
        <v>17884.159999999996</v>
      </c>
    </row>
    <row r="1418" spans="1:17">
      <c r="A1418" t="s">
        <v>985</v>
      </c>
      <c r="B1418">
        <v>2</v>
      </c>
      <c r="C1418" s="3">
        <v>46289</v>
      </c>
      <c r="D1418" t="s">
        <v>986</v>
      </c>
      <c r="E1418" t="s">
        <v>55</v>
      </c>
      <c r="F1418" t="s">
        <v>39</v>
      </c>
      <c r="G1418" t="s">
        <v>50</v>
      </c>
      <c r="H1418" t="s">
        <v>51</v>
      </c>
      <c r="I1418">
        <v>1</v>
      </c>
      <c r="J1418" s="4">
        <v>12439.12</v>
      </c>
      <c r="K1418" s="5">
        <v>0.15</v>
      </c>
      <c r="L1418" s="4">
        <v>6407.85</v>
      </c>
      <c r="M1418" t="s">
        <v>42</v>
      </c>
      <c r="N1418" t="s">
        <v>60</v>
      </c>
      <c r="O1418">
        <f>IF(TablaVentas[[#This Row],[Precio_unitario]]="","PENDIENTE",TablaVentas[[#This Row],[Unidades]]*TablaVentas[[#This Row],[Precio_unitario]]*(1-TablaVentas[[#This Row],[Descuento_pct]]))</f>
        <v>10573.252</v>
      </c>
      <c r="P1418">
        <f>IF(TablaVentas[[#This Row],[Costo_unitario]]="","PENDIENTE",TablaVentas[[#This Row],[Unidades]]*TablaVentas[[#This Row],[Costo_unitario]])</f>
        <v>6407.85</v>
      </c>
      <c r="Q1418">
        <f>IF(OR(TablaVentas[[#This Row],[Ingreso_neto]]="PENDIENTE",TablaVentas[[#This Row],[Costo_total]]="PENDIENTE"),"PENDIENTE",TablaVentas[[#This Row],[Ingreso_neto]]-TablaVentas[[#This Row],[Costo_total]])</f>
        <v>4165.402</v>
      </c>
    </row>
    <row r="1419" spans="1:17">
      <c r="A1419" t="s">
        <v>987</v>
      </c>
      <c r="B1419">
        <v>1</v>
      </c>
      <c r="C1419" s="3">
        <v>46053</v>
      </c>
      <c r="D1419" t="s">
        <v>988</v>
      </c>
      <c r="E1419" t="s">
        <v>38</v>
      </c>
      <c r="F1419" t="s">
        <v>66</v>
      </c>
      <c r="G1419" t="s">
        <v>50</v>
      </c>
      <c r="H1419" t="s">
        <v>73</v>
      </c>
      <c r="I1419">
        <v>3</v>
      </c>
      <c r="J1419" s="4">
        <v>5410.98</v>
      </c>
      <c r="K1419" s="5">
        <v>0.15</v>
      </c>
      <c r="L1419" s="4">
        <v>3832.69</v>
      </c>
      <c r="M1419" t="s">
        <v>42</v>
      </c>
      <c r="N1419" t="s">
        <v>52</v>
      </c>
      <c r="O1419">
        <f>IF(TablaVentas[[#This Row],[Precio_unitario]]="","PENDIENTE",TablaVentas[[#This Row],[Unidades]]*TablaVentas[[#This Row],[Precio_unitario]]*(1-TablaVentas[[#This Row],[Descuento_pct]]))</f>
        <v>13797.998999999998</v>
      </c>
      <c r="P1419">
        <f>IF(TablaVentas[[#This Row],[Costo_unitario]]="","PENDIENTE",TablaVentas[[#This Row],[Unidades]]*TablaVentas[[#This Row],[Costo_unitario]])</f>
        <v>11498.07</v>
      </c>
      <c r="Q1419">
        <f>IF(OR(TablaVentas[[#This Row],[Ingreso_neto]]="PENDIENTE",TablaVentas[[#This Row],[Costo_total]]="PENDIENTE"),"PENDIENTE",TablaVentas[[#This Row],[Ingreso_neto]]-TablaVentas[[#This Row],[Costo_total]])</f>
        <v>2299.9289999999983</v>
      </c>
    </row>
    <row r="1420" spans="1:17">
      <c r="A1420" t="s">
        <v>987</v>
      </c>
      <c r="B1420">
        <v>2</v>
      </c>
      <c r="C1420" s="3">
        <v>46053</v>
      </c>
      <c r="D1420" t="s">
        <v>988</v>
      </c>
      <c r="E1420" t="s">
        <v>76</v>
      </c>
      <c r="F1420" t="s">
        <v>66</v>
      </c>
      <c r="G1420" t="s">
        <v>50</v>
      </c>
      <c r="H1420" t="s">
        <v>73</v>
      </c>
      <c r="I1420">
        <v>1</v>
      </c>
      <c r="J1420" s="4">
        <v>12857.88</v>
      </c>
      <c r="K1420" s="5">
        <v>0</v>
      </c>
      <c r="L1420" s="4">
        <v>7748.44</v>
      </c>
      <c r="M1420" t="s">
        <v>42</v>
      </c>
      <c r="N1420" t="s">
        <v>43</v>
      </c>
      <c r="O1420">
        <f>IF(TablaVentas[[#This Row],[Precio_unitario]]="","PENDIENTE",TablaVentas[[#This Row],[Unidades]]*TablaVentas[[#This Row],[Precio_unitario]]*(1-TablaVentas[[#This Row],[Descuento_pct]]))</f>
        <v>12857.88</v>
      </c>
      <c r="P1420">
        <f>IF(TablaVentas[[#This Row],[Costo_unitario]]="","PENDIENTE",TablaVentas[[#This Row],[Unidades]]*TablaVentas[[#This Row],[Costo_unitario]])</f>
        <v>7748.44</v>
      </c>
      <c r="Q1420">
        <f>IF(OR(TablaVentas[[#This Row],[Ingreso_neto]]="PENDIENTE",TablaVentas[[#This Row],[Costo_total]]="PENDIENTE"),"PENDIENTE",TablaVentas[[#This Row],[Ingreso_neto]]-TablaVentas[[#This Row],[Costo_total]])</f>
        <v>5109.4399999999996</v>
      </c>
    </row>
    <row r="1421" spans="1:17">
      <c r="A1421" t="s">
        <v>989</v>
      </c>
      <c r="B1421">
        <v>1</v>
      </c>
      <c r="C1421" s="3">
        <v>46063</v>
      </c>
      <c r="D1421" t="s">
        <v>242</v>
      </c>
      <c r="E1421" t="s">
        <v>152</v>
      </c>
      <c r="F1421" t="s">
        <v>39</v>
      </c>
      <c r="G1421" t="s">
        <v>50</v>
      </c>
      <c r="H1421" t="s">
        <v>51</v>
      </c>
      <c r="I1421">
        <v>3</v>
      </c>
      <c r="J1421" s="4">
        <v>2620.1799999999998</v>
      </c>
      <c r="K1421" s="5">
        <v>0</v>
      </c>
      <c r="L1421" s="4">
        <v>1962.3</v>
      </c>
      <c r="M1421" t="s">
        <v>42</v>
      </c>
      <c r="N1421" t="s">
        <v>52</v>
      </c>
      <c r="O1421">
        <f>IF(TablaVentas[[#This Row],[Precio_unitario]]="","PENDIENTE",TablaVentas[[#This Row],[Unidades]]*TablaVentas[[#This Row],[Precio_unitario]]*(1-TablaVentas[[#This Row],[Descuento_pct]]))</f>
        <v>7860.5399999999991</v>
      </c>
      <c r="P1421">
        <f>IF(TablaVentas[[#This Row],[Costo_unitario]]="","PENDIENTE",TablaVentas[[#This Row],[Unidades]]*TablaVentas[[#This Row],[Costo_unitario]])</f>
        <v>5886.9</v>
      </c>
      <c r="Q1421">
        <f>IF(OR(TablaVentas[[#This Row],[Ingreso_neto]]="PENDIENTE",TablaVentas[[#This Row],[Costo_total]]="PENDIENTE"),"PENDIENTE",TablaVentas[[#This Row],[Ingreso_neto]]-TablaVentas[[#This Row],[Costo_total]])</f>
        <v>1973.6399999999994</v>
      </c>
    </row>
    <row r="1422" spans="1:17">
      <c r="A1422" t="s">
        <v>989</v>
      </c>
      <c r="B1422">
        <v>2</v>
      </c>
      <c r="C1422" s="3">
        <v>46063</v>
      </c>
      <c r="D1422" t="s">
        <v>242</v>
      </c>
      <c r="E1422" t="s">
        <v>211</v>
      </c>
      <c r="F1422" t="s">
        <v>39</v>
      </c>
      <c r="G1422" t="s">
        <v>50</v>
      </c>
      <c r="H1422" t="s">
        <v>51</v>
      </c>
      <c r="I1422">
        <v>3</v>
      </c>
      <c r="J1422" s="4">
        <v>17882.12</v>
      </c>
      <c r="K1422" s="5">
        <v>0.1</v>
      </c>
      <c r="L1422" s="4">
        <v>13760.53</v>
      </c>
      <c r="M1422" t="s">
        <v>42</v>
      </c>
      <c r="N1422" t="s">
        <v>45</v>
      </c>
      <c r="O1422">
        <f>IF(TablaVentas[[#This Row],[Precio_unitario]]="","PENDIENTE",TablaVentas[[#This Row],[Unidades]]*TablaVentas[[#This Row],[Precio_unitario]]*(1-TablaVentas[[#This Row],[Descuento_pct]]))</f>
        <v>48281.724000000002</v>
      </c>
      <c r="P1422">
        <f>IF(TablaVentas[[#This Row],[Costo_unitario]]="","PENDIENTE",TablaVentas[[#This Row],[Unidades]]*TablaVentas[[#This Row],[Costo_unitario]])</f>
        <v>41281.590000000004</v>
      </c>
      <c r="Q1422">
        <f>IF(OR(TablaVentas[[#This Row],[Ingreso_neto]]="PENDIENTE",TablaVentas[[#This Row],[Costo_total]]="PENDIENTE"),"PENDIENTE",TablaVentas[[#This Row],[Ingreso_neto]]-TablaVentas[[#This Row],[Costo_total]])</f>
        <v>7000.1339999999982</v>
      </c>
    </row>
    <row r="1423" spans="1:17">
      <c r="A1423" t="s">
        <v>990</v>
      </c>
      <c r="B1423">
        <v>1</v>
      </c>
      <c r="C1423" s="3">
        <v>46212</v>
      </c>
      <c r="D1423" t="s">
        <v>291</v>
      </c>
      <c r="E1423" t="s">
        <v>353</v>
      </c>
      <c r="F1423" t="s">
        <v>39</v>
      </c>
      <c r="G1423" t="s">
        <v>50</v>
      </c>
      <c r="H1423" t="s">
        <v>184</v>
      </c>
      <c r="I1423">
        <v>1</v>
      </c>
      <c r="J1423" s="4">
        <v>2197.0500000000002</v>
      </c>
      <c r="K1423" s="5">
        <v>0.05</v>
      </c>
      <c r="L1423" s="4">
        <v>1479.71</v>
      </c>
      <c r="M1423" t="s">
        <v>42</v>
      </c>
      <c r="N1423" t="s">
        <v>60</v>
      </c>
      <c r="O1423">
        <f>IF(TablaVentas[[#This Row],[Precio_unitario]]="","PENDIENTE",TablaVentas[[#This Row],[Unidades]]*TablaVentas[[#This Row],[Precio_unitario]]*(1-TablaVentas[[#This Row],[Descuento_pct]]))</f>
        <v>2087.1975000000002</v>
      </c>
      <c r="P1423">
        <f>IF(TablaVentas[[#This Row],[Costo_unitario]]="","PENDIENTE",TablaVentas[[#This Row],[Unidades]]*TablaVentas[[#This Row],[Costo_unitario]])</f>
        <v>1479.71</v>
      </c>
      <c r="Q1423">
        <f>IF(OR(TablaVentas[[#This Row],[Ingreso_neto]]="PENDIENTE",TablaVentas[[#This Row],[Costo_total]]="PENDIENTE"),"PENDIENTE",TablaVentas[[#This Row],[Ingreso_neto]]-TablaVentas[[#This Row],[Costo_total]])</f>
        <v>607.48750000000018</v>
      </c>
    </row>
    <row r="1424" spans="1:17">
      <c r="A1424" t="s">
        <v>990</v>
      </c>
      <c r="B1424">
        <v>2</v>
      </c>
      <c r="C1424" s="3">
        <v>46212</v>
      </c>
      <c r="D1424" t="s">
        <v>291</v>
      </c>
      <c r="E1424" t="s">
        <v>97</v>
      </c>
      <c r="F1424" t="s">
        <v>39</v>
      </c>
      <c r="G1424" t="s">
        <v>50</v>
      </c>
      <c r="H1424" t="s">
        <v>184</v>
      </c>
      <c r="I1424">
        <v>2</v>
      </c>
      <c r="J1424" s="4">
        <v>14152.38</v>
      </c>
      <c r="K1424" s="5">
        <v>0</v>
      </c>
      <c r="L1424" s="4">
        <v>11424.77</v>
      </c>
      <c r="M1424" t="s">
        <v>42</v>
      </c>
      <c r="N1424" t="s">
        <v>43</v>
      </c>
      <c r="O1424">
        <f>IF(TablaVentas[[#This Row],[Precio_unitario]]="","PENDIENTE",TablaVentas[[#This Row],[Unidades]]*TablaVentas[[#This Row],[Precio_unitario]]*(1-TablaVentas[[#This Row],[Descuento_pct]]))</f>
        <v>28304.76</v>
      </c>
      <c r="P1424">
        <f>IF(TablaVentas[[#This Row],[Costo_unitario]]="","PENDIENTE",TablaVentas[[#This Row],[Unidades]]*TablaVentas[[#This Row],[Costo_unitario]])</f>
        <v>22849.54</v>
      </c>
      <c r="Q1424">
        <f>IF(OR(TablaVentas[[#This Row],[Ingreso_neto]]="PENDIENTE",TablaVentas[[#This Row],[Costo_total]]="PENDIENTE"),"PENDIENTE",TablaVentas[[#This Row],[Ingreso_neto]]-TablaVentas[[#This Row],[Costo_total]])</f>
        <v>5455.2199999999975</v>
      </c>
    </row>
    <row r="1425" spans="1:17">
      <c r="A1425" t="s">
        <v>991</v>
      </c>
      <c r="B1425">
        <v>1</v>
      </c>
      <c r="C1425" s="3">
        <v>46201</v>
      </c>
      <c r="D1425" t="s">
        <v>601</v>
      </c>
      <c r="E1425" t="s">
        <v>89</v>
      </c>
      <c r="F1425" t="s">
        <v>56</v>
      </c>
      <c r="G1425" t="s">
        <v>50</v>
      </c>
      <c r="H1425" t="s">
        <v>73</v>
      </c>
      <c r="I1425">
        <v>4</v>
      </c>
      <c r="J1425" s="4">
        <v>13140.55</v>
      </c>
      <c r="K1425" s="5">
        <v>0.2</v>
      </c>
      <c r="L1425" s="4">
        <v>9118.07</v>
      </c>
      <c r="M1425" t="s">
        <v>42</v>
      </c>
      <c r="N1425" t="s">
        <v>45</v>
      </c>
      <c r="O1425">
        <f>IF(TablaVentas[[#This Row],[Precio_unitario]]="","PENDIENTE",TablaVentas[[#This Row],[Unidades]]*TablaVentas[[#This Row],[Precio_unitario]]*(1-TablaVentas[[#This Row],[Descuento_pct]]))</f>
        <v>42049.760000000002</v>
      </c>
      <c r="P1425">
        <f>IF(TablaVentas[[#This Row],[Costo_unitario]]="","PENDIENTE",TablaVentas[[#This Row],[Unidades]]*TablaVentas[[#This Row],[Costo_unitario]])</f>
        <v>36472.28</v>
      </c>
      <c r="Q1425">
        <f>IF(OR(TablaVentas[[#This Row],[Ingreso_neto]]="PENDIENTE",TablaVentas[[#This Row],[Costo_total]]="PENDIENTE"),"PENDIENTE",TablaVentas[[#This Row],[Ingreso_neto]]-TablaVentas[[#This Row],[Costo_total]])</f>
        <v>5577.4800000000032</v>
      </c>
    </row>
    <row r="1426" spans="1:17">
      <c r="A1426" t="s">
        <v>992</v>
      </c>
      <c r="B1426">
        <v>1</v>
      </c>
      <c r="C1426" s="3">
        <v>46079</v>
      </c>
      <c r="D1426" t="s">
        <v>412</v>
      </c>
      <c r="E1426" t="s">
        <v>248</v>
      </c>
      <c r="F1426" t="s">
        <v>56</v>
      </c>
      <c r="G1426" t="s">
        <v>50</v>
      </c>
      <c r="H1426" t="s">
        <v>184</v>
      </c>
      <c r="I1426">
        <v>1</v>
      </c>
      <c r="J1426" s="4">
        <v>12078.96</v>
      </c>
      <c r="K1426" s="5">
        <v>0.1</v>
      </c>
      <c r="L1426" s="4">
        <v>6856.4</v>
      </c>
      <c r="M1426" t="s">
        <v>42</v>
      </c>
      <c r="N1426" t="s">
        <v>45</v>
      </c>
      <c r="O1426">
        <f>IF(TablaVentas[[#This Row],[Precio_unitario]]="","PENDIENTE",TablaVentas[[#This Row],[Unidades]]*TablaVentas[[#This Row],[Precio_unitario]]*(1-TablaVentas[[#This Row],[Descuento_pct]]))</f>
        <v>10871.064</v>
      </c>
      <c r="P1426">
        <f>IF(TablaVentas[[#This Row],[Costo_unitario]]="","PENDIENTE",TablaVentas[[#This Row],[Unidades]]*TablaVentas[[#This Row],[Costo_unitario]])</f>
        <v>6856.4</v>
      </c>
      <c r="Q1426">
        <f>IF(OR(TablaVentas[[#This Row],[Ingreso_neto]]="PENDIENTE",TablaVentas[[#This Row],[Costo_total]]="PENDIENTE"),"PENDIENTE",TablaVentas[[#This Row],[Ingreso_neto]]-TablaVentas[[#This Row],[Costo_total]])</f>
        <v>4014.6640000000007</v>
      </c>
    </row>
    <row r="1427" spans="1:17">
      <c r="A1427" t="s">
        <v>993</v>
      </c>
      <c r="B1427">
        <v>1</v>
      </c>
      <c r="C1427" s="3">
        <v>46254</v>
      </c>
      <c r="D1427" t="s">
        <v>627</v>
      </c>
      <c r="E1427" t="s">
        <v>320</v>
      </c>
      <c r="F1427" t="s">
        <v>77</v>
      </c>
      <c r="G1427" t="s">
        <v>50</v>
      </c>
      <c r="H1427" t="s">
        <v>67</v>
      </c>
      <c r="I1427">
        <v>3</v>
      </c>
      <c r="J1427" s="4">
        <v>5111.7700000000004</v>
      </c>
      <c r="K1427" s="5">
        <v>0</v>
      </c>
      <c r="L1427" s="4">
        <v>3065.66</v>
      </c>
      <c r="M1427" t="s">
        <v>42</v>
      </c>
      <c r="N1427" t="s">
        <v>43</v>
      </c>
      <c r="O1427">
        <f>IF(TablaVentas[[#This Row],[Precio_unitario]]="","PENDIENTE",TablaVentas[[#This Row],[Unidades]]*TablaVentas[[#This Row],[Precio_unitario]]*(1-TablaVentas[[#This Row],[Descuento_pct]]))</f>
        <v>15335.310000000001</v>
      </c>
      <c r="P1427">
        <f>IF(TablaVentas[[#This Row],[Costo_unitario]]="","PENDIENTE",TablaVentas[[#This Row],[Unidades]]*TablaVentas[[#This Row],[Costo_unitario]])</f>
        <v>9196.98</v>
      </c>
      <c r="Q1427">
        <f>IF(OR(TablaVentas[[#This Row],[Ingreso_neto]]="PENDIENTE",TablaVentas[[#This Row],[Costo_total]]="PENDIENTE"),"PENDIENTE",TablaVentas[[#This Row],[Ingreso_neto]]-TablaVentas[[#This Row],[Costo_total]])</f>
        <v>6138.3300000000017</v>
      </c>
    </row>
    <row r="1428" spans="1:17">
      <c r="A1428" t="s">
        <v>993</v>
      </c>
      <c r="B1428">
        <v>2</v>
      </c>
      <c r="C1428" s="3">
        <v>46254</v>
      </c>
      <c r="D1428" t="s">
        <v>627</v>
      </c>
      <c r="E1428" t="s">
        <v>115</v>
      </c>
      <c r="F1428" t="s">
        <v>77</v>
      </c>
      <c r="G1428" t="s">
        <v>50</v>
      </c>
      <c r="H1428" t="s">
        <v>67</v>
      </c>
      <c r="I1428">
        <v>2</v>
      </c>
      <c r="J1428" s="4">
        <v>1452.03</v>
      </c>
      <c r="K1428" s="5">
        <v>0.15</v>
      </c>
      <c r="L1428" s="4">
        <v>705.87</v>
      </c>
      <c r="M1428" t="s">
        <v>42</v>
      </c>
      <c r="N1428" t="s">
        <v>52</v>
      </c>
      <c r="O1428">
        <f>IF(TablaVentas[[#This Row],[Precio_unitario]]="","PENDIENTE",TablaVentas[[#This Row],[Unidades]]*TablaVentas[[#This Row],[Precio_unitario]]*(1-TablaVentas[[#This Row],[Descuento_pct]]))</f>
        <v>2468.451</v>
      </c>
      <c r="P1428">
        <f>IF(TablaVentas[[#This Row],[Costo_unitario]]="","PENDIENTE",TablaVentas[[#This Row],[Unidades]]*TablaVentas[[#This Row],[Costo_unitario]])</f>
        <v>1411.74</v>
      </c>
      <c r="Q1428">
        <f>IF(OR(TablaVentas[[#This Row],[Ingreso_neto]]="PENDIENTE",TablaVentas[[#This Row],[Costo_total]]="PENDIENTE"),"PENDIENTE",TablaVentas[[#This Row],[Ingreso_neto]]-TablaVentas[[#This Row],[Costo_total]])</f>
        <v>1056.711</v>
      </c>
    </row>
    <row r="1429" spans="1:17">
      <c r="A1429" t="s">
        <v>994</v>
      </c>
      <c r="B1429">
        <v>1</v>
      </c>
      <c r="C1429" s="3">
        <v>46173</v>
      </c>
      <c r="D1429" t="s">
        <v>840</v>
      </c>
      <c r="E1429" t="s">
        <v>185</v>
      </c>
      <c r="F1429" t="s">
        <v>39</v>
      </c>
      <c r="G1429" t="s">
        <v>50</v>
      </c>
      <c r="H1429" t="s">
        <v>129</v>
      </c>
      <c r="I1429">
        <v>1</v>
      </c>
      <c r="J1429" s="4">
        <v>18544.849999999999</v>
      </c>
      <c r="K1429" s="5">
        <v>0</v>
      </c>
      <c r="L1429" s="4">
        <v>11904.09</v>
      </c>
      <c r="M1429" t="s">
        <v>42</v>
      </c>
      <c r="N1429" t="s">
        <v>52</v>
      </c>
      <c r="O1429">
        <f>IF(TablaVentas[[#This Row],[Precio_unitario]]="","PENDIENTE",TablaVentas[[#This Row],[Unidades]]*TablaVentas[[#This Row],[Precio_unitario]]*(1-TablaVentas[[#This Row],[Descuento_pct]]))</f>
        <v>18544.849999999999</v>
      </c>
      <c r="P1429">
        <f>IF(TablaVentas[[#This Row],[Costo_unitario]]="","PENDIENTE",TablaVentas[[#This Row],[Unidades]]*TablaVentas[[#This Row],[Costo_unitario]])</f>
        <v>11904.09</v>
      </c>
      <c r="Q1429">
        <f>IF(OR(TablaVentas[[#This Row],[Ingreso_neto]]="PENDIENTE",TablaVentas[[#This Row],[Costo_total]]="PENDIENTE"),"PENDIENTE",TablaVentas[[#This Row],[Ingreso_neto]]-TablaVentas[[#This Row],[Costo_total]])</f>
        <v>6640.7599999999984</v>
      </c>
    </row>
    <row r="1430" spans="1:17">
      <c r="A1430" t="s">
        <v>994</v>
      </c>
      <c r="B1430">
        <v>2</v>
      </c>
      <c r="C1430" s="3">
        <v>46173</v>
      </c>
      <c r="D1430" t="s">
        <v>840</v>
      </c>
      <c r="E1430" t="s">
        <v>193</v>
      </c>
      <c r="F1430" t="s">
        <v>39</v>
      </c>
      <c r="G1430" t="s">
        <v>50</v>
      </c>
      <c r="H1430" t="s">
        <v>129</v>
      </c>
      <c r="I1430">
        <v>1</v>
      </c>
      <c r="J1430" s="4">
        <v>10862.35</v>
      </c>
      <c r="K1430" s="5">
        <v>0</v>
      </c>
      <c r="L1430" s="4">
        <v>5811.72</v>
      </c>
      <c r="M1430" t="s">
        <v>62</v>
      </c>
      <c r="N1430" t="s">
        <v>43</v>
      </c>
      <c r="O1430">
        <f>IF(TablaVentas[[#This Row],[Precio_unitario]]="","PENDIENTE",TablaVentas[[#This Row],[Unidades]]*TablaVentas[[#This Row],[Precio_unitario]]*(1-TablaVentas[[#This Row],[Descuento_pct]]))</f>
        <v>10862.35</v>
      </c>
      <c r="P1430">
        <f>IF(TablaVentas[[#This Row],[Costo_unitario]]="","PENDIENTE",TablaVentas[[#This Row],[Unidades]]*TablaVentas[[#This Row],[Costo_unitario]])</f>
        <v>5811.72</v>
      </c>
      <c r="Q1430">
        <f>IF(OR(TablaVentas[[#This Row],[Ingreso_neto]]="PENDIENTE",TablaVentas[[#This Row],[Costo_total]]="PENDIENTE"),"PENDIENTE",TablaVentas[[#This Row],[Ingreso_neto]]-TablaVentas[[#This Row],[Costo_total]])</f>
        <v>5050.63</v>
      </c>
    </row>
    <row r="1431" spans="1:17">
      <c r="A1431" t="s">
        <v>994</v>
      </c>
      <c r="B1431">
        <v>3</v>
      </c>
      <c r="C1431" s="3">
        <v>46173</v>
      </c>
      <c r="D1431" t="s">
        <v>840</v>
      </c>
      <c r="E1431" t="s">
        <v>410</v>
      </c>
      <c r="F1431" t="s">
        <v>39</v>
      </c>
      <c r="G1431" t="s">
        <v>50</v>
      </c>
      <c r="H1431" t="s">
        <v>129</v>
      </c>
      <c r="I1431">
        <v>5</v>
      </c>
      <c r="J1431" s="4">
        <v>7440.07</v>
      </c>
      <c r="K1431" s="5">
        <v>0.05</v>
      </c>
      <c r="L1431" s="4">
        <v>5874.17</v>
      </c>
      <c r="M1431" t="s">
        <v>42</v>
      </c>
      <c r="N1431" t="s">
        <v>45</v>
      </c>
      <c r="O1431">
        <f>IF(TablaVentas[[#This Row],[Precio_unitario]]="","PENDIENTE",TablaVentas[[#This Row],[Unidades]]*TablaVentas[[#This Row],[Precio_unitario]]*(1-TablaVentas[[#This Row],[Descuento_pct]]))</f>
        <v>35340.332499999997</v>
      </c>
      <c r="P1431">
        <f>IF(TablaVentas[[#This Row],[Costo_unitario]]="","PENDIENTE",TablaVentas[[#This Row],[Unidades]]*TablaVentas[[#This Row],[Costo_unitario]])</f>
        <v>29370.85</v>
      </c>
      <c r="Q1431">
        <f>IF(OR(TablaVentas[[#This Row],[Ingreso_neto]]="PENDIENTE",TablaVentas[[#This Row],[Costo_total]]="PENDIENTE"),"PENDIENTE",TablaVentas[[#This Row],[Ingreso_neto]]-TablaVentas[[#This Row],[Costo_total]])</f>
        <v>5969.4824999999983</v>
      </c>
    </row>
    <row r="1432" spans="1:17">
      <c r="A1432" t="s">
        <v>995</v>
      </c>
      <c r="B1432">
        <v>1</v>
      </c>
      <c r="C1432" s="3">
        <v>46206</v>
      </c>
      <c r="D1432" t="s">
        <v>476</v>
      </c>
      <c r="E1432" t="s">
        <v>208</v>
      </c>
      <c r="F1432" t="s">
        <v>39</v>
      </c>
      <c r="G1432" t="s">
        <v>50</v>
      </c>
      <c r="H1432" t="s">
        <v>51</v>
      </c>
      <c r="I1432">
        <v>2</v>
      </c>
      <c r="J1432" s="4">
        <v>9668.4599999999991</v>
      </c>
      <c r="K1432" s="5">
        <v>0</v>
      </c>
      <c r="L1432" s="4">
        <v>5535.31</v>
      </c>
      <c r="M1432" t="s">
        <v>116</v>
      </c>
      <c r="N1432" t="s">
        <v>52</v>
      </c>
      <c r="O1432">
        <f>IF(TablaVentas[[#This Row],[Precio_unitario]]="","PENDIENTE",TablaVentas[[#This Row],[Unidades]]*TablaVentas[[#This Row],[Precio_unitario]]*(1-TablaVentas[[#This Row],[Descuento_pct]]))</f>
        <v>19336.919999999998</v>
      </c>
      <c r="P1432">
        <f>IF(TablaVentas[[#This Row],[Costo_unitario]]="","PENDIENTE",TablaVentas[[#This Row],[Unidades]]*TablaVentas[[#This Row],[Costo_unitario]])</f>
        <v>11070.62</v>
      </c>
      <c r="Q1432">
        <f>IF(OR(TablaVentas[[#This Row],[Ingreso_neto]]="PENDIENTE",TablaVentas[[#This Row],[Costo_total]]="PENDIENTE"),"PENDIENTE",TablaVentas[[#This Row],[Ingreso_neto]]-TablaVentas[[#This Row],[Costo_total]])</f>
        <v>8266.2999999999975</v>
      </c>
    </row>
    <row r="1433" spans="1:17">
      <c r="A1433" t="s">
        <v>995</v>
      </c>
      <c r="B1433">
        <v>2</v>
      </c>
      <c r="C1433" s="3">
        <v>46206</v>
      </c>
      <c r="D1433" t="s">
        <v>476</v>
      </c>
      <c r="E1433" t="s">
        <v>115</v>
      </c>
      <c r="F1433" t="s">
        <v>39</v>
      </c>
      <c r="G1433" t="s">
        <v>50</v>
      </c>
      <c r="H1433" t="s">
        <v>51</v>
      </c>
      <c r="I1433">
        <v>8</v>
      </c>
      <c r="J1433" s="4">
        <v>1332.94</v>
      </c>
      <c r="K1433" s="5">
        <v>0</v>
      </c>
      <c r="L1433" s="4">
        <v>705.87</v>
      </c>
      <c r="M1433" t="s">
        <v>42</v>
      </c>
      <c r="N1433" t="s">
        <v>60</v>
      </c>
      <c r="O1433">
        <f>IF(TablaVentas[[#This Row],[Precio_unitario]]="","PENDIENTE",TablaVentas[[#This Row],[Unidades]]*TablaVentas[[#This Row],[Precio_unitario]]*(1-TablaVentas[[#This Row],[Descuento_pct]]))</f>
        <v>10663.52</v>
      </c>
      <c r="P1433">
        <f>IF(TablaVentas[[#This Row],[Costo_unitario]]="","PENDIENTE",TablaVentas[[#This Row],[Unidades]]*TablaVentas[[#This Row],[Costo_unitario]])</f>
        <v>5646.96</v>
      </c>
      <c r="Q1433">
        <f>IF(OR(TablaVentas[[#This Row],[Ingreso_neto]]="PENDIENTE",TablaVentas[[#This Row],[Costo_total]]="PENDIENTE"),"PENDIENTE",TablaVentas[[#This Row],[Ingreso_neto]]-TablaVentas[[#This Row],[Costo_total]])</f>
        <v>5016.5600000000004</v>
      </c>
    </row>
    <row r="1434" spans="1:17">
      <c r="A1434" t="s">
        <v>996</v>
      </c>
      <c r="B1434">
        <v>1</v>
      </c>
      <c r="C1434" s="3">
        <v>46024</v>
      </c>
      <c r="D1434" t="s">
        <v>386</v>
      </c>
      <c r="E1434" t="s">
        <v>109</v>
      </c>
      <c r="F1434" t="s">
        <v>77</v>
      </c>
      <c r="G1434" t="s">
        <v>50</v>
      </c>
      <c r="H1434" t="s">
        <v>129</v>
      </c>
      <c r="I1434">
        <v>2</v>
      </c>
      <c r="J1434" s="4">
        <v>15416.73</v>
      </c>
      <c r="K1434" s="5">
        <v>0</v>
      </c>
      <c r="L1434" s="4">
        <v>9880.77</v>
      </c>
      <c r="M1434" t="s">
        <v>42</v>
      </c>
      <c r="N1434" t="s">
        <v>43</v>
      </c>
      <c r="O1434">
        <f>IF(TablaVentas[[#This Row],[Precio_unitario]]="","PENDIENTE",TablaVentas[[#This Row],[Unidades]]*TablaVentas[[#This Row],[Precio_unitario]]*(1-TablaVentas[[#This Row],[Descuento_pct]]))</f>
        <v>30833.46</v>
      </c>
      <c r="P1434">
        <f>IF(TablaVentas[[#This Row],[Costo_unitario]]="","PENDIENTE",TablaVentas[[#This Row],[Unidades]]*TablaVentas[[#This Row],[Costo_unitario]])</f>
        <v>19761.54</v>
      </c>
      <c r="Q1434">
        <f>IF(OR(TablaVentas[[#This Row],[Ingreso_neto]]="PENDIENTE",TablaVentas[[#This Row],[Costo_total]]="PENDIENTE"),"PENDIENTE",TablaVentas[[#This Row],[Ingreso_neto]]-TablaVentas[[#This Row],[Costo_total]])</f>
        <v>11071.919999999998</v>
      </c>
    </row>
    <row r="1435" spans="1:17">
      <c r="A1435" t="s">
        <v>996</v>
      </c>
      <c r="B1435">
        <v>2</v>
      </c>
      <c r="C1435" s="3">
        <v>46024</v>
      </c>
      <c r="D1435" t="s">
        <v>386</v>
      </c>
      <c r="E1435" t="s">
        <v>236</v>
      </c>
      <c r="F1435" t="s">
        <v>77</v>
      </c>
      <c r="G1435" t="s">
        <v>50</v>
      </c>
      <c r="H1435" t="s">
        <v>129</v>
      </c>
      <c r="I1435">
        <v>2</v>
      </c>
      <c r="J1435" s="4">
        <v>9470.25</v>
      </c>
      <c r="K1435" s="5">
        <v>0.1</v>
      </c>
      <c r="L1435" s="4">
        <v>8061.7</v>
      </c>
      <c r="M1435" t="s">
        <v>42</v>
      </c>
      <c r="N1435" t="s">
        <v>60</v>
      </c>
      <c r="O1435">
        <f>IF(TablaVentas[[#This Row],[Precio_unitario]]="","PENDIENTE",TablaVentas[[#This Row],[Unidades]]*TablaVentas[[#This Row],[Precio_unitario]]*(1-TablaVentas[[#This Row],[Descuento_pct]]))</f>
        <v>17046.45</v>
      </c>
      <c r="P1435">
        <f>IF(TablaVentas[[#This Row],[Costo_unitario]]="","PENDIENTE",TablaVentas[[#This Row],[Unidades]]*TablaVentas[[#This Row],[Costo_unitario]])</f>
        <v>16123.4</v>
      </c>
      <c r="Q1435">
        <f>IF(OR(TablaVentas[[#This Row],[Ingreso_neto]]="PENDIENTE",TablaVentas[[#This Row],[Costo_total]]="PENDIENTE"),"PENDIENTE",TablaVentas[[#This Row],[Ingreso_neto]]-TablaVentas[[#This Row],[Costo_total]])</f>
        <v>923.05000000000109</v>
      </c>
    </row>
    <row r="1436" spans="1:17">
      <c r="A1436" t="s">
        <v>997</v>
      </c>
      <c r="B1436">
        <v>1</v>
      </c>
      <c r="C1436" s="3">
        <v>46246</v>
      </c>
      <c r="D1436" t="s">
        <v>544</v>
      </c>
      <c r="E1436" t="s">
        <v>410</v>
      </c>
      <c r="F1436" t="s">
        <v>39</v>
      </c>
      <c r="G1436" t="s">
        <v>50</v>
      </c>
      <c r="H1436" t="s">
        <v>82</v>
      </c>
      <c r="I1436">
        <v>2</v>
      </c>
      <c r="J1436" s="4">
        <v>7297.6</v>
      </c>
      <c r="K1436" s="5">
        <v>0</v>
      </c>
      <c r="L1436" s="4">
        <v>5874.17</v>
      </c>
      <c r="M1436" t="s">
        <v>42</v>
      </c>
      <c r="N1436" t="s">
        <v>45</v>
      </c>
      <c r="O1436">
        <f>IF(TablaVentas[[#This Row],[Precio_unitario]]="","PENDIENTE",TablaVentas[[#This Row],[Unidades]]*TablaVentas[[#This Row],[Precio_unitario]]*(1-TablaVentas[[#This Row],[Descuento_pct]]))</f>
        <v>14595.2</v>
      </c>
      <c r="P1436">
        <f>IF(TablaVentas[[#This Row],[Costo_unitario]]="","PENDIENTE",TablaVentas[[#This Row],[Unidades]]*TablaVentas[[#This Row],[Costo_unitario]])</f>
        <v>11748.34</v>
      </c>
      <c r="Q1436">
        <f>IF(OR(TablaVentas[[#This Row],[Ingreso_neto]]="PENDIENTE",TablaVentas[[#This Row],[Costo_total]]="PENDIENTE"),"PENDIENTE",TablaVentas[[#This Row],[Ingreso_neto]]-TablaVentas[[#This Row],[Costo_total]])</f>
        <v>2846.8600000000006</v>
      </c>
    </row>
    <row r="1437" spans="1:17">
      <c r="A1437" t="s">
        <v>998</v>
      </c>
      <c r="B1437">
        <v>1</v>
      </c>
      <c r="C1437" s="3">
        <v>46089</v>
      </c>
      <c r="D1437" t="s">
        <v>64</v>
      </c>
      <c r="E1437" t="s">
        <v>55</v>
      </c>
      <c r="F1437" t="s">
        <v>77</v>
      </c>
      <c r="G1437" t="s">
        <v>50</v>
      </c>
      <c r="H1437" t="s">
        <v>184</v>
      </c>
      <c r="I1437">
        <v>1</v>
      </c>
      <c r="J1437" s="4">
        <v>11775.41</v>
      </c>
      <c r="K1437" s="5">
        <v>0</v>
      </c>
      <c r="L1437" s="4">
        <v>6407.85</v>
      </c>
      <c r="M1437" t="s">
        <v>42</v>
      </c>
      <c r="N1437" t="s">
        <v>52</v>
      </c>
      <c r="O1437">
        <f>IF(TablaVentas[[#This Row],[Precio_unitario]]="","PENDIENTE",TablaVentas[[#This Row],[Unidades]]*TablaVentas[[#This Row],[Precio_unitario]]*(1-TablaVentas[[#This Row],[Descuento_pct]]))</f>
        <v>11775.41</v>
      </c>
      <c r="P1437">
        <f>IF(TablaVentas[[#This Row],[Costo_unitario]]="","PENDIENTE",TablaVentas[[#This Row],[Unidades]]*TablaVentas[[#This Row],[Costo_unitario]])</f>
        <v>6407.85</v>
      </c>
      <c r="Q1437">
        <f>IF(OR(TablaVentas[[#This Row],[Ingreso_neto]]="PENDIENTE",TablaVentas[[#This Row],[Costo_total]]="PENDIENTE"),"PENDIENTE",TablaVentas[[#This Row],[Ingreso_neto]]-TablaVentas[[#This Row],[Costo_total]])</f>
        <v>5367.5599999999995</v>
      </c>
    </row>
    <row r="1438" spans="1:17">
      <c r="A1438" t="s">
        <v>998</v>
      </c>
      <c r="B1438">
        <v>2</v>
      </c>
      <c r="C1438" s="3">
        <v>46089</v>
      </c>
      <c r="D1438" t="s">
        <v>64</v>
      </c>
      <c r="E1438" t="s">
        <v>183</v>
      </c>
      <c r="F1438" t="s">
        <v>77</v>
      </c>
      <c r="G1438" t="s">
        <v>50</v>
      </c>
      <c r="H1438" t="s">
        <v>184</v>
      </c>
      <c r="I1438">
        <v>12</v>
      </c>
      <c r="J1438" s="4">
        <v>5344.86</v>
      </c>
      <c r="K1438" s="5">
        <v>0.05</v>
      </c>
      <c r="L1438" s="4">
        <v>4325.7299999999996</v>
      </c>
      <c r="M1438" t="s">
        <v>42</v>
      </c>
      <c r="N1438" t="s">
        <v>45</v>
      </c>
      <c r="O1438">
        <f>IF(TablaVentas[[#This Row],[Precio_unitario]]="","PENDIENTE",TablaVentas[[#This Row],[Unidades]]*TablaVentas[[#This Row],[Precio_unitario]]*(1-TablaVentas[[#This Row],[Descuento_pct]]))</f>
        <v>60931.403999999988</v>
      </c>
      <c r="P1438">
        <f>IF(TablaVentas[[#This Row],[Costo_unitario]]="","PENDIENTE",TablaVentas[[#This Row],[Unidades]]*TablaVentas[[#This Row],[Costo_unitario]])</f>
        <v>51908.759999999995</v>
      </c>
      <c r="Q1438">
        <f>IF(OR(TablaVentas[[#This Row],[Ingreso_neto]]="PENDIENTE",TablaVentas[[#This Row],[Costo_total]]="PENDIENTE"),"PENDIENTE",TablaVentas[[#This Row],[Ingreso_neto]]-TablaVentas[[#This Row],[Costo_total]])</f>
        <v>9022.643999999993</v>
      </c>
    </row>
    <row r="1439" spans="1:17">
      <c r="A1439" t="s">
        <v>998</v>
      </c>
      <c r="B1439">
        <v>3</v>
      </c>
      <c r="C1439" s="3">
        <v>46089</v>
      </c>
      <c r="D1439" t="s">
        <v>64</v>
      </c>
      <c r="E1439" t="s">
        <v>410</v>
      </c>
      <c r="F1439" t="s">
        <v>77</v>
      </c>
      <c r="G1439" t="s">
        <v>50</v>
      </c>
      <c r="H1439" t="s">
        <v>184</v>
      </c>
      <c r="I1439">
        <v>1</v>
      </c>
      <c r="J1439" s="4">
        <v>7617.58</v>
      </c>
      <c r="K1439" s="5">
        <v>0</v>
      </c>
      <c r="L1439" s="4">
        <v>5874.17</v>
      </c>
      <c r="M1439" t="s">
        <v>42</v>
      </c>
      <c r="N1439" t="s">
        <v>52</v>
      </c>
      <c r="O1439">
        <f>IF(TablaVentas[[#This Row],[Precio_unitario]]="","PENDIENTE",TablaVentas[[#This Row],[Unidades]]*TablaVentas[[#This Row],[Precio_unitario]]*(1-TablaVentas[[#This Row],[Descuento_pct]]))</f>
        <v>7617.58</v>
      </c>
      <c r="P1439">
        <f>IF(TablaVentas[[#This Row],[Costo_unitario]]="","PENDIENTE",TablaVentas[[#This Row],[Unidades]]*TablaVentas[[#This Row],[Costo_unitario]])</f>
        <v>5874.17</v>
      </c>
      <c r="Q1439">
        <f>IF(OR(TablaVentas[[#This Row],[Ingreso_neto]]="PENDIENTE",TablaVentas[[#This Row],[Costo_total]]="PENDIENTE"),"PENDIENTE",TablaVentas[[#This Row],[Ingreso_neto]]-TablaVentas[[#This Row],[Costo_total]])</f>
        <v>1743.4099999999999</v>
      </c>
    </row>
    <row r="1440" spans="1:17">
      <c r="A1440" t="s">
        <v>998</v>
      </c>
      <c r="B1440">
        <v>4</v>
      </c>
      <c r="C1440" s="3">
        <v>46089</v>
      </c>
      <c r="D1440" t="s">
        <v>64</v>
      </c>
      <c r="E1440" t="s">
        <v>253</v>
      </c>
      <c r="F1440" t="s">
        <v>77</v>
      </c>
      <c r="G1440" t="s">
        <v>50</v>
      </c>
      <c r="H1440" t="s">
        <v>184</v>
      </c>
      <c r="I1440">
        <v>2</v>
      </c>
      <c r="J1440" s="4">
        <v>3200.11</v>
      </c>
      <c r="K1440" s="5">
        <v>0.05</v>
      </c>
      <c r="L1440" s="4">
        <v>2486.1799999999998</v>
      </c>
      <c r="M1440" t="s">
        <v>42</v>
      </c>
      <c r="N1440" t="s">
        <v>43</v>
      </c>
      <c r="O1440">
        <f>IF(TablaVentas[[#This Row],[Precio_unitario]]="","PENDIENTE",TablaVentas[[#This Row],[Unidades]]*TablaVentas[[#This Row],[Precio_unitario]]*(1-TablaVentas[[#This Row],[Descuento_pct]]))</f>
        <v>6080.2089999999998</v>
      </c>
      <c r="P1440">
        <f>IF(TablaVentas[[#This Row],[Costo_unitario]]="","PENDIENTE",TablaVentas[[#This Row],[Unidades]]*TablaVentas[[#This Row],[Costo_unitario]])</f>
        <v>4972.3599999999997</v>
      </c>
      <c r="Q1440">
        <f>IF(OR(TablaVentas[[#This Row],[Ingreso_neto]]="PENDIENTE",TablaVentas[[#This Row],[Costo_total]]="PENDIENTE"),"PENDIENTE",TablaVentas[[#This Row],[Ingreso_neto]]-TablaVentas[[#This Row],[Costo_total]])</f>
        <v>1107.8490000000002</v>
      </c>
    </row>
    <row r="1441" spans="1:17">
      <c r="A1441" t="s">
        <v>999</v>
      </c>
      <c r="B1441">
        <v>1</v>
      </c>
      <c r="C1441" s="3">
        <v>46244</v>
      </c>
      <c r="D1441" t="s">
        <v>986</v>
      </c>
      <c r="E1441" t="s">
        <v>185</v>
      </c>
      <c r="F1441" t="s">
        <v>39</v>
      </c>
      <c r="G1441" t="s">
        <v>40</v>
      </c>
      <c r="H1441" t="s">
        <v>58</v>
      </c>
      <c r="I1441">
        <v>3</v>
      </c>
      <c r="J1441" s="4">
        <v>16845.3</v>
      </c>
      <c r="K1441" s="5">
        <v>0</v>
      </c>
      <c r="L1441" s="4">
        <v>11904.09</v>
      </c>
      <c r="M1441" t="s">
        <v>42</v>
      </c>
      <c r="N1441" t="s">
        <v>52</v>
      </c>
      <c r="O1441">
        <f>IF(TablaVentas[[#This Row],[Precio_unitario]]="","PENDIENTE",TablaVentas[[#This Row],[Unidades]]*TablaVentas[[#This Row],[Precio_unitario]]*(1-TablaVentas[[#This Row],[Descuento_pct]]))</f>
        <v>50535.899999999994</v>
      </c>
      <c r="P1441">
        <f>IF(TablaVentas[[#This Row],[Costo_unitario]]="","PENDIENTE",TablaVentas[[#This Row],[Unidades]]*TablaVentas[[#This Row],[Costo_unitario]])</f>
        <v>35712.270000000004</v>
      </c>
      <c r="Q1441">
        <f>IF(OR(TablaVentas[[#This Row],[Ingreso_neto]]="PENDIENTE",TablaVentas[[#This Row],[Costo_total]]="PENDIENTE"),"PENDIENTE",TablaVentas[[#This Row],[Ingreso_neto]]-TablaVentas[[#This Row],[Costo_total]])</f>
        <v>14823.62999999999</v>
      </c>
    </row>
    <row r="1442" spans="1:17">
      <c r="A1442" t="s">
        <v>999</v>
      </c>
      <c r="B1442">
        <v>2</v>
      </c>
      <c r="C1442" s="3">
        <v>46244</v>
      </c>
      <c r="D1442" t="s">
        <v>986</v>
      </c>
      <c r="E1442" t="s">
        <v>193</v>
      </c>
      <c r="F1442" t="s">
        <v>39</v>
      </c>
      <c r="G1442" t="s">
        <v>40</v>
      </c>
      <c r="H1442" t="s">
        <v>58</v>
      </c>
      <c r="I1442">
        <v>1</v>
      </c>
      <c r="J1442" s="4">
        <v>11743.99</v>
      </c>
      <c r="K1442" s="5">
        <v>0.05</v>
      </c>
      <c r="L1442" s="4">
        <v>5811.72</v>
      </c>
      <c r="M1442" t="s">
        <v>42</v>
      </c>
      <c r="N1442" t="s">
        <v>45</v>
      </c>
      <c r="O1442">
        <f>IF(TablaVentas[[#This Row],[Precio_unitario]]="","PENDIENTE",TablaVentas[[#This Row],[Unidades]]*TablaVentas[[#This Row],[Precio_unitario]]*(1-TablaVentas[[#This Row],[Descuento_pct]]))</f>
        <v>11156.790499999999</v>
      </c>
      <c r="P1442">
        <f>IF(TablaVentas[[#This Row],[Costo_unitario]]="","PENDIENTE",TablaVentas[[#This Row],[Unidades]]*TablaVentas[[#This Row],[Costo_unitario]])</f>
        <v>5811.72</v>
      </c>
      <c r="Q1442">
        <f>IF(OR(TablaVentas[[#This Row],[Ingreso_neto]]="PENDIENTE",TablaVentas[[#This Row],[Costo_total]]="PENDIENTE"),"PENDIENTE",TablaVentas[[#This Row],[Ingreso_neto]]-TablaVentas[[#This Row],[Costo_total]])</f>
        <v>5345.0704999999989</v>
      </c>
    </row>
    <row r="1443" spans="1:17">
      <c r="A1443" t="s">
        <v>1000</v>
      </c>
      <c r="B1443">
        <v>1</v>
      </c>
      <c r="C1443" s="3">
        <v>46151</v>
      </c>
      <c r="D1443" t="s">
        <v>890</v>
      </c>
      <c r="E1443" t="s">
        <v>258</v>
      </c>
      <c r="F1443" t="s">
        <v>39</v>
      </c>
      <c r="G1443" t="s">
        <v>57</v>
      </c>
      <c r="H1443" t="s">
        <v>58</v>
      </c>
      <c r="I1443">
        <v>3</v>
      </c>
      <c r="J1443" s="4">
        <v>3546.84</v>
      </c>
      <c r="K1443" s="5">
        <v>0.15</v>
      </c>
      <c r="L1443" s="4">
        <v>2008.57</v>
      </c>
      <c r="M1443" t="s">
        <v>116</v>
      </c>
      <c r="N1443" t="s">
        <v>52</v>
      </c>
      <c r="O1443">
        <f>IF(TablaVentas[[#This Row],[Precio_unitario]]="","PENDIENTE",TablaVentas[[#This Row],[Unidades]]*TablaVentas[[#This Row],[Precio_unitario]]*(1-TablaVentas[[#This Row],[Descuento_pct]]))</f>
        <v>9044.4420000000009</v>
      </c>
      <c r="P1443">
        <f>IF(TablaVentas[[#This Row],[Costo_unitario]]="","PENDIENTE",TablaVentas[[#This Row],[Unidades]]*TablaVentas[[#This Row],[Costo_unitario]])</f>
        <v>6025.71</v>
      </c>
      <c r="Q1443">
        <f>IF(OR(TablaVentas[[#This Row],[Ingreso_neto]]="PENDIENTE",TablaVentas[[#This Row],[Costo_total]]="PENDIENTE"),"PENDIENTE",TablaVentas[[#This Row],[Ingreso_neto]]-TablaVentas[[#This Row],[Costo_total]])</f>
        <v>3018.7320000000009</v>
      </c>
    </row>
    <row r="1444" spans="1:17">
      <c r="A1444" t="s">
        <v>1001</v>
      </c>
      <c r="B1444">
        <v>1</v>
      </c>
      <c r="C1444" s="3">
        <v>46248</v>
      </c>
      <c r="D1444" t="s">
        <v>782</v>
      </c>
      <c r="E1444" t="s">
        <v>226</v>
      </c>
      <c r="F1444" t="s">
        <v>39</v>
      </c>
      <c r="G1444" t="s">
        <v>40</v>
      </c>
      <c r="H1444" t="s">
        <v>51</v>
      </c>
      <c r="I1444">
        <v>1</v>
      </c>
      <c r="J1444" s="4">
        <v>17496.18</v>
      </c>
      <c r="K1444" s="5">
        <v>0.1</v>
      </c>
      <c r="L1444" s="4">
        <v>9976.68</v>
      </c>
      <c r="M1444" t="s">
        <v>42</v>
      </c>
      <c r="N1444" t="s">
        <v>43</v>
      </c>
      <c r="O1444">
        <f>IF(TablaVentas[[#This Row],[Precio_unitario]]="","PENDIENTE",TablaVentas[[#This Row],[Unidades]]*TablaVentas[[#This Row],[Precio_unitario]]*(1-TablaVentas[[#This Row],[Descuento_pct]]))</f>
        <v>15746.562</v>
      </c>
      <c r="P1444">
        <f>IF(TablaVentas[[#This Row],[Costo_unitario]]="","PENDIENTE",TablaVentas[[#This Row],[Unidades]]*TablaVentas[[#This Row],[Costo_unitario]])</f>
        <v>9976.68</v>
      </c>
      <c r="Q1444">
        <f>IF(OR(TablaVentas[[#This Row],[Ingreso_neto]]="PENDIENTE",TablaVentas[[#This Row],[Costo_total]]="PENDIENTE"),"PENDIENTE",TablaVentas[[#This Row],[Ingreso_neto]]-TablaVentas[[#This Row],[Costo_total]])</f>
        <v>5769.8819999999996</v>
      </c>
    </row>
    <row r="1445" spans="1:17">
      <c r="A1445" t="s">
        <v>1001</v>
      </c>
      <c r="B1445">
        <v>2</v>
      </c>
      <c r="C1445" s="3">
        <v>46248</v>
      </c>
      <c r="D1445" t="s">
        <v>782</v>
      </c>
      <c r="E1445" t="s">
        <v>68</v>
      </c>
      <c r="F1445" t="s">
        <v>39</v>
      </c>
      <c r="G1445" t="s">
        <v>40</v>
      </c>
      <c r="H1445" t="s">
        <v>51</v>
      </c>
      <c r="I1445">
        <v>2</v>
      </c>
      <c r="J1445" s="4">
        <v>15513.37</v>
      </c>
      <c r="K1445" s="5">
        <v>0</v>
      </c>
      <c r="L1445" s="4">
        <v>9243.35</v>
      </c>
      <c r="M1445" t="s">
        <v>42</v>
      </c>
      <c r="N1445" t="s">
        <v>60</v>
      </c>
      <c r="O1445">
        <f>IF(TablaVentas[[#This Row],[Precio_unitario]]="","PENDIENTE",TablaVentas[[#This Row],[Unidades]]*TablaVentas[[#This Row],[Precio_unitario]]*(1-TablaVentas[[#This Row],[Descuento_pct]]))</f>
        <v>31026.74</v>
      </c>
      <c r="P1445">
        <f>IF(TablaVentas[[#This Row],[Costo_unitario]]="","PENDIENTE",TablaVentas[[#This Row],[Unidades]]*TablaVentas[[#This Row],[Costo_unitario]])</f>
        <v>18486.7</v>
      </c>
      <c r="Q1445">
        <f>IF(OR(TablaVentas[[#This Row],[Ingreso_neto]]="PENDIENTE",TablaVentas[[#This Row],[Costo_total]]="PENDIENTE"),"PENDIENTE",TablaVentas[[#This Row],[Ingreso_neto]]-TablaVentas[[#This Row],[Costo_total]])</f>
        <v>12540.04</v>
      </c>
    </row>
    <row r="1446" spans="1:17">
      <c r="A1446" t="s">
        <v>1002</v>
      </c>
      <c r="B1446">
        <v>1</v>
      </c>
      <c r="C1446" s="3">
        <v>46146</v>
      </c>
      <c r="D1446" t="s">
        <v>514</v>
      </c>
      <c r="E1446" t="s">
        <v>223</v>
      </c>
      <c r="F1446" t="s">
        <v>66</v>
      </c>
      <c r="G1446" t="s">
        <v>40</v>
      </c>
      <c r="H1446" t="s">
        <v>82</v>
      </c>
      <c r="I1446">
        <v>4</v>
      </c>
      <c r="J1446" s="4">
        <v>6318.49</v>
      </c>
      <c r="K1446" s="5">
        <v>0</v>
      </c>
      <c r="L1446" s="4">
        <v>3298.19</v>
      </c>
      <c r="M1446" t="s">
        <v>42</v>
      </c>
      <c r="N1446" t="s">
        <v>45</v>
      </c>
      <c r="O1446">
        <f>IF(TablaVentas[[#This Row],[Precio_unitario]]="","PENDIENTE",TablaVentas[[#This Row],[Unidades]]*TablaVentas[[#This Row],[Precio_unitario]]*(1-TablaVentas[[#This Row],[Descuento_pct]]))</f>
        <v>25273.96</v>
      </c>
      <c r="P1446">
        <f>IF(TablaVentas[[#This Row],[Costo_unitario]]="","PENDIENTE",TablaVentas[[#This Row],[Unidades]]*TablaVentas[[#This Row],[Costo_unitario]])</f>
        <v>13192.76</v>
      </c>
      <c r="Q1446">
        <f>IF(OR(TablaVentas[[#This Row],[Ingreso_neto]]="PENDIENTE",TablaVentas[[#This Row],[Costo_total]]="PENDIENTE"),"PENDIENTE",TablaVentas[[#This Row],[Ingreso_neto]]-TablaVentas[[#This Row],[Costo_total]])</f>
        <v>12081.199999999999</v>
      </c>
    </row>
    <row r="1447" spans="1:17">
      <c r="A1447" t="s">
        <v>1002</v>
      </c>
      <c r="B1447">
        <v>2</v>
      </c>
      <c r="C1447" s="3">
        <v>46146</v>
      </c>
      <c r="D1447" t="s">
        <v>514</v>
      </c>
      <c r="E1447" t="s">
        <v>196</v>
      </c>
      <c r="F1447" t="s">
        <v>66</v>
      </c>
      <c r="G1447" t="s">
        <v>40</v>
      </c>
      <c r="H1447" t="s">
        <v>82</v>
      </c>
      <c r="I1447">
        <v>3</v>
      </c>
      <c r="J1447" s="4">
        <v>727.48</v>
      </c>
      <c r="K1447" s="5">
        <v>0.15</v>
      </c>
      <c r="L1447" s="4">
        <v>485.16</v>
      </c>
      <c r="M1447" t="s">
        <v>42</v>
      </c>
      <c r="N1447" t="s">
        <v>52</v>
      </c>
      <c r="O1447">
        <f>IF(TablaVentas[[#This Row],[Precio_unitario]]="","PENDIENTE",TablaVentas[[#This Row],[Unidades]]*TablaVentas[[#This Row],[Precio_unitario]]*(1-TablaVentas[[#This Row],[Descuento_pct]]))</f>
        <v>1855.0740000000001</v>
      </c>
      <c r="P1447">
        <f>IF(TablaVentas[[#This Row],[Costo_unitario]]="","PENDIENTE",TablaVentas[[#This Row],[Unidades]]*TablaVentas[[#This Row],[Costo_unitario]])</f>
        <v>1455.48</v>
      </c>
      <c r="Q1447">
        <f>IF(OR(TablaVentas[[#This Row],[Ingreso_neto]]="PENDIENTE",TablaVentas[[#This Row],[Costo_total]]="PENDIENTE"),"PENDIENTE",TablaVentas[[#This Row],[Ingreso_neto]]-TablaVentas[[#This Row],[Costo_total]])</f>
        <v>399.59400000000005</v>
      </c>
    </row>
    <row r="1448" spans="1:17">
      <c r="A1448" t="s">
        <v>1003</v>
      </c>
      <c r="B1448">
        <v>1</v>
      </c>
      <c r="C1448" s="3">
        <v>46222</v>
      </c>
      <c r="D1448" t="s">
        <v>514</v>
      </c>
      <c r="E1448" t="s">
        <v>119</v>
      </c>
      <c r="F1448" t="s">
        <v>66</v>
      </c>
      <c r="G1448" t="s">
        <v>57</v>
      </c>
      <c r="H1448" t="s">
        <v>73</v>
      </c>
      <c r="I1448">
        <v>1</v>
      </c>
      <c r="J1448" s="4">
        <v>8400.69</v>
      </c>
      <c r="K1448" s="5">
        <v>0.05</v>
      </c>
      <c r="L1448" s="4">
        <v>6981.94</v>
      </c>
      <c r="M1448" t="s">
        <v>42</v>
      </c>
      <c r="N1448" t="s">
        <v>45</v>
      </c>
      <c r="O1448">
        <f>IF(TablaVentas[[#This Row],[Precio_unitario]]="","PENDIENTE",TablaVentas[[#This Row],[Unidades]]*TablaVentas[[#This Row],[Precio_unitario]]*(1-TablaVentas[[#This Row],[Descuento_pct]]))</f>
        <v>7980.6554999999998</v>
      </c>
      <c r="P1448">
        <f>IF(TablaVentas[[#This Row],[Costo_unitario]]="","PENDIENTE",TablaVentas[[#This Row],[Unidades]]*TablaVentas[[#This Row],[Costo_unitario]])</f>
        <v>6981.94</v>
      </c>
      <c r="Q1448">
        <f>IF(OR(TablaVentas[[#This Row],[Ingreso_neto]]="PENDIENTE",TablaVentas[[#This Row],[Costo_total]]="PENDIENTE"),"PENDIENTE",TablaVentas[[#This Row],[Ingreso_neto]]-TablaVentas[[#This Row],[Costo_total]])</f>
        <v>998.71550000000025</v>
      </c>
    </row>
    <row r="1449" spans="1:17">
      <c r="A1449" t="s">
        <v>1003</v>
      </c>
      <c r="B1449">
        <v>2</v>
      </c>
      <c r="C1449" s="3">
        <v>46222</v>
      </c>
      <c r="D1449" t="s">
        <v>514</v>
      </c>
      <c r="E1449" t="s">
        <v>367</v>
      </c>
      <c r="F1449" t="s">
        <v>66</v>
      </c>
      <c r="G1449" t="s">
        <v>57</v>
      </c>
      <c r="H1449" t="s">
        <v>73</v>
      </c>
      <c r="I1449">
        <v>3</v>
      </c>
      <c r="J1449" s="4">
        <v>9091.4699999999993</v>
      </c>
      <c r="K1449" s="5">
        <v>0.1</v>
      </c>
      <c r="L1449" s="4">
        <v>5079.43</v>
      </c>
      <c r="M1449" t="s">
        <v>42</v>
      </c>
      <c r="N1449" t="s">
        <v>45</v>
      </c>
      <c r="O1449">
        <f>IF(TablaVentas[[#This Row],[Precio_unitario]]="","PENDIENTE",TablaVentas[[#This Row],[Unidades]]*TablaVentas[[#This Row],[Precio_unitario]]*(1-TablaVentas[[#This Row],[Descuento_pct]]))</f>
        <v>24546.968999999997</v>
      </c>
      <c r="P1449">
        <f>IF(TablaVentas[[#This Row],[Costo_unitario]]="","PENDIENTE",TablaVentas[[#This Row],[Unidades]]*TablaVentas[[#This Row],[Costo_unitario]])</f>
        <v>15238.29</v>
      </c>
      <c r="Q1449">
        <f>IF(OR(TablaVentas[[#This Row],[Ingreso_neto]]="PENDIENTE",TablaVentas[[#This Row],[Costo_total]]="PENDIENTE"),"PENDIENTE",TablaVentas[[#This Row],[Ingreso_neto]]-TablaVentas[[#This Row],[Costo_total]])</f>
        <v>9308.6789999999964</v>
      </c>
    </row>
    <row r="1450" spans="1:17">
      <c r="A1450" t="s">
        <v>1004</v>
      </c>
      <c r="B1450">
        <v>1</v>
      </c>
      <c r="C1450" s="3">
        <v>46247</v>
      </c>
      <c r="D1450" t="s">
        <v>1005</v>
      </c>
      <c r="E1450" t="s">
        <v>69</v>
      </c>
      <c r="F1450" t="s">
        <v>66</v>
      </c>
      <c r="G1450" t="s">
        <v>50</v>
      </c>
      <c r="H1450" t="s">
        <v>102</v>
      </c>
      <c r="I1450">
        <v>3</v>
      </c>
      <c r="J1450" s="4">
        <v>12415.93</v>
      </c>
      <c r="K1450" s="5">
        <v>0.2</v>
      </c>
      <c r="L1450" s="4">
        <v>10094.26</v>
      </c>
      <c r="M1450" t="s">
        <v>116</v>
      </c>
      <c r="N1450" t="s">
        <v>52</v>
      </c>
      <c r="O1450">
        <f>IF(TablaVentas[[#This Row],[Precio_unitario]]="","PENDIENTE",TablaVentas[[#This Row],[Unidades]]*TablaVentas[[#This Row],[Precio_unitario]]*(1-TablaVentas[[#This Row],[Descuento_pct]]))</f>
        <v>29798.232000000004</v>
      </c>
      <c r="P1450">
        <f>IF(TablaVentas[[#This Row],[Costo_unitario]]="","PENDIENTE",TablaVentas[[#This Row],[Unidades]]*TablaVentas[[#This Row],[Costo_unitario]])</f>
        <v>30282.78</v>
      </c>
      <c r="Q1450">
        <f>IF(OR(TablaVentas[[#This Row],[Ingreso_neto]]="PENDIENTE",TablaVentas[[#This Row],[Costo_total]]="PENDIENTE"),"PENDIENTE",TablaVentas[[#This Row],[Ingreso_neto]]-TablaVentas[[#This Row],[Costo_total]])</f>
        <v>-484.54799999999523</v>
      </c>
    </row>
    <row r="1451" spans="1:17">
      <c r="A1451" t="s">
        <v>1006</v>
      </c>
      <c r="B1451">
        <v>1</v>
      </c>
      <c r="C1451" s="3">
        <v>46272</v>
      </c>
      <c r="D1451" t="s">
        <v>1007</v>
      </c>
      <c r="E1451" t="s">
        <v>346</v>
      </c>
      <c r="F1451" t="s">
        <v>39</v>
      </c>
      <c r="G1451" t="s">
        <v>50</v>
      </c>
      <c r="H1451" t="s">
        <v>41</v>
      </c>
      <c r="I1451">
        <v>2</v>
      </c>
      <c r="J1451" s="4">
        <v>2138</v>
      </c>
      <c r="K1451" s="5">
        <v>0.15</v>
      </c>
      <c r="L1451" s="4">
        <v>1175.74</v>
      </c>
      <c r="M1451" t="s">
        <v>42</v>
      </c>
      <c r="N1451" t="s">
        <v>60</v>
      </c>
      <c r="O1451">
        <f>IF(TablaVentas[[#This Row],[Precio_unitario]]="","PENDIENTE",TablaVentas[[#This Row],[Unidades]]*TablaVentas[[#This Row],[Precio_unitario]]*(1-TablaVentas[[#This Row],[Descuento_pct]]))</f>
        <v>3634.6</v>
      </c>
      <c r="P1451">
        <f>IF(TablaVentas[[#This Row],[Costo_unitario]]="","PENDIENTE",TablaVentas[[#This Row],[Unidades]]*TablaVentas[[#This Row],[Costo_unitario]])</f>
        <v>2351.48</v>
      </c>
      <c r="Q1451">
        <f>IF(OR(TablaVentas[[#This Row],[Ingreso_neto]]="PENDIENTE",TablaVentas[[#This Row],[Costo_total]]="PENDIENTE"),"PENDIENTE",TablaVentas[[#This Row],[Ingreso_neto]]-TablaVentas[[#This Row],[Costo_total]])</f>
        <v>1283.1199999999999</v>
      </c>
    </row>
    <row r="1452" spans="1:17">
      <c r="A1452" t="s">
        <v>1008</v>
      </c>
      <c r="B1452">
        <v>1</v>
      </c>
      <c r="C1452" s="3">
        <v>46290</v>
      </c>
      <c r="D1452" t="s">
        <v>833</v>
      </c>
      <c r="E1452" t="s">
        <v>151</v>
      </c>
      <c r="F1452" t="s">
        <v>56</v>
      </c>
      <c r="G1452" t="s">
        <v>57</v>
      </c>
      <c r="H1452" t="s">
        <v>82</v>
      </c>
      <c r="I1452">
        <v>1</v>
      </c>
      <c r="J1452" s="4">
        <v>17252.93</v>
      </c>
      <c r="K1452" s="5">
        <v>0.15</v>
      </c>
      <c r="L1452" s="4">
        <v>8963.23</v>
      </c>
      <c r="M1452" t="s">
        <v>42</v>
      </c>
      <c r="N1452" t="s">
        <v>43</v>
      </c>
      <c r="O1452">
        <f>IF(TablaVentas[[#This Row],[Precio_unitario]]="","PENDIENTE",TablaVentas[[#This Row],[Unidades]]*TablaVentas[[#This Row],[Precio_unitario]]*(1-TablaVentas[[#This Row],[Descuento_pct]]))</f>
        <v>14664.9905</v>
      </c>
      <c r="P1452">
        <f>IF(TablaVentas[[#This Row],[Costo_unitario]]="","PENDIENTE",TablaVentas[[#This Row],[Unidades]]*TablaVentas[[#This Row],[Costo_unitario]])</f>
        <v>8963.23</v>
      </c>
      <c r="Q1452">
        <f>IF(OR(TablaVentas[[#This Row],[Ingreso_neto]]="PENDIENTE",TablaVentas[[#This Row],[Costo_total]]="PENDIENTE"),"PENDIENTE",TablaVentas[[#This Row],[Ingreso_neto]]-TablaVentas[[#This Row],[Costo_total]])</f>
        <v>5701.7605000000003</v>
      </c>
    </row>
    <row r="1453" spans="1:17">
      <c r="A1453" t="s">
        <v>1008</v>
      </c>
      <c r="B1453">
        <v>2</v>
      </c>
      <c r="C1453" s="3">
        <v>46290</v>
      </c>
      <c r="D1453" t="s">
        <v>833</v>
      </c>
      <c r="E1453" t="s">
        <v>185</v>
      </c>
      <c r="F1453" t="s">
        <v>56</v>
      </c>
      <c r="G1453" t="s">
        <v>57</v>
      </c>
      <c r="H1453" t="s">
        <v>82</v>
      </c>
      <c r="I1453">
        <v>1</v>
      </c>
      <c r="J1453" s="4">
        <v>17906.580000000002</v>
      </c>
      <c r="K1453" s="5">
        <v>0</v>
      </c>
      <c r="L1453" s="4">
        <v>11904.09</v>
      </c>
      <c r="M1453" t="s">
        <v>42</v>
      </c>
      <c r="N1453" t="s">
        <v>60</v>
      </c>
      <c r="O1453">
        <f>IF(TablaVentas[[#This Row],[Precio_unitario]]="","PENDIENTE",TablaVentas[[#This Row],[Unidades]]*TablaVentas[[#This Row],[Precio_unitario]]*(1-TablaVentas[[#This Row],[Descuento_pct]]))</f>
        <v>17906.580000000002</v>
      </c>
      <c r="P1453">
        <f>IF(TablaVentas[[#This Row],[Costo_unitario]]="","PENDIENTE",TablaVentas[[#This Row],[Unidades]]*TablaVentas[[#This Row],[Costo_unitario]])</f>
        <v>11904.09</v>
      </c>
      <c r="Q1453">
        <f>IF(OR(TablaVentas[[#This Row],[Ingreso_neto]]="PENDIENTE",TablaVentas[[#This Row],[Costo_total]]="PENDIENTE"),"PENDIENTE",TablaVentas[[#This Row],[Ingreso_neto]]-TablaVentas[[#This Row],[Costo_total]])</f>
        <v>6002.4900000000016</v>
      </c>
    </row>
    <row r="1454" spans="1:17">
      <c r="A1454" t="s">
        <v>1009</v>
      </c>
      <c r="B1454">
        <v>1</v>
      </c>
      <c r="C1454" s="3">
        <v>46037</v>
      </c>
      <c r="D1454" t="s">
        <v>495</v>
      </c>
      <c r="E1454" t="s">
        <v>85</v>
      </c>
      <c r="F1454" t="s">
        <v>39</v>
      </c>
      <c r="G1454" t="s">
        <v>57</v>
      </c>
      <c r="H1454" t="s">
        <v>41</v>
      </c>
      <c r="I1454">
        <v>1</v>
      </c>
      <c r="J1454" s="4">
        <v>537.45000000000005</v>
      </c>
      <c r="K1454" s="5">
        <v>0.1</v>
      </c>
      <c r="L1454" s="4">
        <v>307.75</v>
      </c>
      <c r="M1454" t="s">
        <v>42</v>
      </c>
      <c r="N1454" t="s">
        <v>60</v>
      </c>
      <c r="O1454">
        <f>IF(TablaVentas[[#This Row],[Precio_unitario]]="","PENDIENTE",TablaVentas[[#This Row],[Unidades]]*TablaVentas[[#This Row],[Precio_unitario]]*(1-TablaVentas[[#This Row],[Descuento_pct]]))</f>
        <v>483.70500000000004</v>
      </c>
      <c r="P1454">
        <f>IF(TablaVentas[[#This Row],[Costo_unitario]]="","PENDIENTE",TablaVentas[[#This Row],[Unidades]]*TablaVentas[[#This Row],[Costo_unitario]])</f>
        <v>307.75</v>
      </c>
      <c r="Q1454">
        <f>IF(OR(TablaVentas[[#This Row],[Ingreso_neto]]="PENDIENTE",TablaVentas[[#This Row],[Costo_total]]="PENDIENTE"),"PENDIENTE",TablaVentas[[#This Row],[Ingreso_neto]]-TablaVentas[[#This Row],[Costo_total]])</f>
        <v>175.95500000000004</v>
      </c>
    </row>
    <row r="1455" spans="1:17">
      <c r="A1455" t="s">
        <v>1009</v>
      </c>
      <c r="B1455">
        <v>2</v>
      </c>
      <c r="C1455" s="3">
        <v>46037</v>
      </c>
      <c r="D1455" t="s">
        <v>495</v>
      </c>
      <c r="E1455" t="s">
        <v>55</v>
      </c>
      <c r="F1455" t="s">
        <v>39</v>
      </c>
      <c r="G1455" t="s">
        <v>57</v>
      </c>
      <c r="H1455" t="s">
        <v>41</v>
      </c>
      <c r="I1455">
        <v>1</v>
      </c>
      <c r="J1455" s="4">
        <v>12502.44</v>
      </c>
      <c r="K1455" s="5">
        <v>0.05</v>
      </c>
      <c r="L1455" s="4">
        <v>6407.85</v>
      </c>
      <c r="M1455" t="s">
        <v>42</v>
      </c>
      <c r="N1455" t="s">
        <v>52</v>
      </c>
      <c r="O1455">
        <f>IF(TablaVentas[[#This Row],[Precio_unitario]]="","PENDIENTE",TablaVentas[[#This Row],[Unidades]]*TablaVentas[[#This Row],[Precio_unitario]]*(1-TablaVentas[[#This Row],[Descuento_pct]]))</f>
        <v>11877.317999999999</v>
      </c>
      <c r="P1455">
        <f>IF(TablaVentas[[#This Row],[Costo_unitario]]="","PENDIENTE",TablaVentas[[#This Row],[Unidades]]*TablaVentas[[#This Row],[Costo_unitario]])</f>
        <v>6407.85</v>
      </c>
      <c r="Q1455">
        <f>IF(OR(TablaVentas[[#This Row],[Ingreso_neto]]="PENDIENTE",TablaVentas[[#This Row],[Costo_total]]="PENDIENTE"),"PENDIENTE",TablaVentas[[#This Row],[Ingreso_neto]]-TablaVentas[[#This Row],[Costo_total]])</f>
        <v>5469.4679999999989</v>
      </c>
    </row>
    <row r="1456" spans="1:17">
      <c r="A1456" t="s">
        <v>1010</v>
      </c>
      <c r="B1456">
        <v>1</v>
      </c>
      <c r="C1456" s="3">
        <v>46203</v>
      </c>
      <c r="D1456" t="s">
        <v>279</v>
      </c>
      <c r="E1456" t="s">
        <v>282</v>
      </c>
      <c r="F1456" t="s">
        <v>39</v>
      </c>
      <c r="G1456" t="s">
        <v>50</v>
      </c>
      <c r="H1456" t="s">
        <v>129</v>
      </c>
      <c r="I1456">
        <v>2</v>
      </c>
      <c r="J1456" s="4">
        <v>3955.12</v>
      </c>
      <c r="K1456" s="5">
        <v>0</v>
      </c>
      <c r="L1456" s="4">
        <v>3399.5</v>
      </c>
      <c r="M1456" t="s">
        <v>42</v>
      </c>
      <c r="N1456" t="s">
        <v>52</v>
      </c>
      <c r="O1456">
        <f>IF(TablaVentas[[#This Row],[Precio_unitario]]="","PENDIENTE",TablaVentas[[#This Row],[Unidades]]*TablaVentas[[#This Row],[Precio_unitario]]*(1-TablaVentas[[#This Row],[Descuento_pct]]))</f>
        <v>7910.24</v>
      </c>
      <c r="P1456">
        <f>IF(TablaVentas[[#This Row],[Costo_unitario]]="","PENDIENTE",TablaVentas[[#This Row],[Unidades]]*TablaVentas[[#This Row],[Costo_unitario]])</f>
        <v>6799</v>
      </c>
      <c r="Q1456">
        <f>IF(OR(TablaVentas[[#This Row],[Ingreso_neto]]="PENDIENTE",TablaVentas[[#This Row],[Costo_total]]="PENDIENTE"),"PENDIENTE",TablaVentas[[#This Row],[Ingreso_neto]]-TablaVentas[[#This Row],[Costo_total]])</f>
        <v>1111.2399999999998</v>
      </c>
    </row>
    <row r="1457" spans="1:17">
      <c r="A1457" t="s">
        <v>1010</v>
      </c>
      <c r="B1457">
        <v>2</v>
      </c>
      <c r="C1457" s="3">
        <v>46203</v>
      </c>
      <c r="D1457" t="s">
        <v>279</v>
      </c>
      <c r="E1457" t="s">
        <v>134</v>
      </c>
      <c r="F1457" t="s">
        <v>39</v>
      </c>
      <c r="G1457" t="s">
        <v>50</v>
      </c>
      <c r="H1457" t="s">
        <v>129</v>
      </c>
      <c r="I1457">
        <v>2</v>
      </c>
      <c r="J1457" s="4">
        <v>277.74</v>
      </c>
      <c r="K1457" s="5">
        <v>0.1</v>
      </c>
      <c r="L1457" s="4">
        <v>176.47</v>
      </c>
      <c r="M1457" t="s">
        <v>42</v>
      </c>
      <c r="N1457" t="s">
        <v>45</v>
      </c>
      <c r="O1457">
        <f>IF(TablaVentas[[#This Row],[Precio_unitario]]="","PENDIENTE",TablaVentas[[#This Row],[Unidades]]*TablaVentas[[#This Row],[Precio_unitario]]*(1-TablaVentas[[#This Row],[Descuento_pct]]))</f>
        <v>499.93200000000002</v>
      </c>
      <c r="P1457">
        <f>IF(TablaVentas[[#This Row],[Costo_unitario]]="","PENDIENTE",TablaVentas[[#This Row],[Unidades]]*TablaVentas[[#This Row],[Costo_unitario]])</f>
        <v>352.94</v>
      </c>
      <c r="Q1457">
        <f>IF(OR(TablaVentas[[#This Row],[Ingreso_neto]]="PENDIENTE",TablaVentas[[#This Row],[Costo_total]]="PENDIENTE"),"PENDIENTE",TablaVentas[[#This Row],[Ingreso_neto]]-TablaVentas[[#This Row],[Costo_total]])</f>
        <v>146.99200000000002</v>
      </c>
    </row>
    <row r="1458" spans="1:17">
      <c r="A1458" t="s">
        <v>1010</v>
      </c>
      <c r="B1458">
        <v>3</v>
      </c>
      <c r="C1458" s="3">
        <v>46203</v>
      </c>
      <c r="D1458" t="s">
        <v>279</v>
      </c>
      <c r="E1458" t="s">
        <v>59</v>
      </c>
      <c r="F1458" t="s">
        <v>39</v>
      </c>
      <c r="G1458" t="s">
        <v>50</v>
      </c>
      <c r="H1458" t="s">
        <v>129</v>
      </c>
      <c r="I1458">
        <v>1</v>
      </c>
      <c r="J1458" s="4">
        <v>13344.16</v>
      </c>
      <c r="K1458" s="5">
        <v>0</v>
      </c>
      <c r="L1458" s="4">
        <v>10170.290000000001</v>
      </c>
      <c r="M1458" t="s">
        <v>42</v>
      </c>
      <c r="N1458" t="s">
        <v>52</v>
      </c>
      <c r="O1458">
        <f>IF(TablaVentas[[#This Row],[Precio_unitario]]="","PENDIENTE",TablaVentas[[#This Row],[Unidades]]*TablaVentas[[#This Row],[Precio_unitario]]*(1-TablaVentas[[#This Row],[Descuento_pct]]))</f>
        <v>13344.16</v>
      </c>
      <c r="P1458">
        <f>IF(TablaVentas[[#This Row],[Costo_unitario]]="","PENDIENTE",TablaVentas[[#This Row],[Unidades]]*TablaVentas[[#This Row],[Costo_unitario]])</f>
        <v>10170.290000000001</v>
      </c>
      <c r="Q1458">
        <f>IF(OR(TablaVentas[[#This Row],[Ingreso_neto]]="PENDIENTE",TablaVentas[[#This Row],[Costo_total]]="PENDIENTE"),"PENDIENTE",TablaVentas[[#This Row],[Ingreso_neto]]-TablaVentas[[#This Row],[Costo_total]])</f>
        <v>3173.869999999999</v>
      </c>
    </row>
    <row r="1459" spans="1:17">
      <c r="A1459" t="s">
        <v>1011</v>
      </c>
      <c r="B1459">
        <v>1</v>
      </c>
      <c r="C1459" s="3">
        <v>46122</v>
      </c>
      <c r="D1459" t="s">
        <v>232</v>
      </c>
      <c r="E1459" t="s">
        <v>119</v>
      </c>
      <c r="F1459" t="s">
        <v>39</v>
      </c>
      <c r="G1459" t="s">
        <v>40</v>
      </c>
      <c r="H1459" t="s">
        <v>82</v>
      </c>
      <c r="I1459">
        <v>4</v>
      </c>
      <c r="J1459" s="4">
        <v>8689.7900000000009</v>
      </c>
      <c r="K1459" s="5">
        <v>0.2</v>
      </c>
      <c r="L1459" s="4">
        <v>6981.94</v>
      </c>
      <c r="M1459" t="s">
        <v>42</v>
      </c>
      <c r="N1459" t="s">
        <v>60</v>
      </c>
      <c r="O1459">
        <f>IF(TablaVentas[[#This Row],[Precio_unitario]]="","PENDIENTE",TablaVentas[[#This Row],[Unidades]]*TablaVentas[[#This Row],[Precio_unitario]]*(1-TablaVentas[[#This Row],[Descuento_pct]]))</f>
        <v>27807.328000000005</v>
      </c>
      <c r="P1459">
        <f>IF(TablaVentas[[#This Row],[Costo_unitario]]="","PENDIENTE",TablaVentas[[#This Row],[Unidades]]*TablaVentas[[#This Row],[Costo_unitario]])</f>
        <v>27927.759999999998</v>
      </c>
      <c r="Q1459">
        <f>IF(OR(TablaVentas[[#This Row],[Ingreso_neto]]="PENDIENTE",TablaVentas[[#This Row],[Costo_total]]="PENDIENTE"),"PENDIENTE",TablaVentas[[#This Row],[Ingreso_neto]]-TablaVentas[[#This Row],[Costo_total]])</f>
        <v>-120.43199999999342</v>
      </c>
    </row>
    <row r="1460" spans="1:17">
      <c r="A1460" t="s">
        <v>1011</v>
      </c>
      <c r="B1460">
        <v>2</v>
      </c>
      <c r="C1460" s="3">
        <v>46122</v>
      </c>
      <c r="D1460" t="s">
        <v>232</v>
      </c>
      <c r="E1460" t="s">
        <v>144</v>
      </c>
      <c r="F1460" t="s">
        <v>39</v>
      </c>
      <c r="G1460" t="s">
        <v>40</v>
      </c>
      <c r="H1460" t="s">
        <v>82</v>
      </c>
      <c r="I1460">
        <v>5</v>
      </c>
      <c r="J1460" s="4">
        <v>9493.59</v>
      </c>
      <c r="K1460" s="5">
        <v>0.05</v>
      </c>
      <c r="L1460" s="4">
        <v>5125.3599999999997</v>
      </c>
      <c r="M1460" t="s">
        <v>42</v>
      </c>
      <c r="N1460" t="s">
        <v>45</v>
      </c>
      <c r="O1460">
        <f>IF(TablaVentas[[#This Row],[Precio_unitario]]="","PENDIENTE",TablaVentas[[#This Row],[Unidades]]*TablaVentas[[#This Row],[Precio_unitario]]*(1-TablaVentas[[#This Row],[Descuento_pct]]))</f>
        <v>45094.552499999998</v>
      </c>
      <c r="P1460">
        <f>IF(TablaVentas[[#This Row],[Costo_unitario]]="","PENDIENTE",TablaVentas[[#This Row],[Unidades]]*TablaVentas[[#This Row],[Costo_unitario]])</f>
        <v>25626.799999999999</v>
      </c>
      <c r="Q1460">
        <f>IF(OR(TablaVentas[[#This Row],[Ingreso_neto]]="PENDIENTE",TablaVentas[[#This Row],[Costo_total]]="PENDIENTE"),"PENDIENTE",TablaVentas[[#This Row],[Ingreso_neto]]-TablaVentas[[#This Row],[Costo_total]])</f>
        <v>19467.752499999999</v>
      </c>
    </row>
    <row r="1461" spans="1:17">
      <c r="A1461" t="s">
        <v>1012</v>
      </c>
      <c r="B1461">
        <v>1</v>
      </c>
      <c r="C1461" s="3">
        <v>46157</v>
      </c>
      <c r="D1461" t="s">
        <v>703</v>
      </c>
      <c r="E1461" t="s">
        <v>152</v>
      </c>
      <c r="F1461" t="s">
        <v>39</v>
      </c>
      <c r="G1461" t="s">
        <v>40</v>
      </c>
      <c r="H1461" t="s">
        <v>73</v>
      </c>
      <c r="I1461">
        <v>1</v>
      </c>
      <c r="J1461" s="4">
        <v>2842.82</v>
      </c>
      <c r="K1461" s="5">
        <v>0</v>
      </c>
      <c r="L1461" s="4">
        <v>1962.3</v>
      </c>
      <c r="M1461" t="s">
        <v>42</v>
      </c>
      <c r="N1461" t="s">
        <v>60</v>
      </c>
      <c r="O1461">
        <f>IF(TablaVentas[[#This Row],[Precio_unitario]]="","PENDIENTE",TablaVentas[[#This Row],[Unidades]]*TablaVentas[[#This Row],[Precio_unitario]]*(1-TablaVentas[[#This Row],[Descuento_pct]]))</f>
        <v>2842.82</v>
      </c>
      <c r="P1461">
        <f>IF(TablaVentas[[#This Row],[Costo_unitario]]="","PENDIENTE",TablaVentas[[#This Row],[Unidades]]*TablaVentas[[#This Row],[Costo_unitario]])</f>
        <v>1962.3</v>
      </c>
      <c r="Q1461">
        <f>IF(OR(TablaVentas[[#This Row],[Ingreso_neto]]="PENDIENTE",TablaVentas[[#This Row],[Costo_total]]="PENDIENTE"),"PENDIENTE",TablaVentas[[#This Row],[Ingreso_neto]]-TablaVentas[[#This Row],[Costo_total]])</f>
        <v>880.52000000000021</v>
      </c>
    </row>
    <row r="1462" spans="1:17">
      <c r="A1462" t="s">
        <v>1012</v>
      </c>
      <c r="B1462">
        <v>2</v>
      </c>
      <c r="C1462" s="3">
        <v>46157</v>
      </c>
      <c r="D1462" t="s">
        <v>703</v>
      </c>
      <c r="E1462" t="s">
        <v>236</v>
      </c>
      <c r="F1462" t="s">
        <v>39</v>
      </c>
      <c r="G1462" t="s">
        <v>40</v>
      </c>
      <c r="H1462" t="s">
        <v>73</v>
      </c>
      <c r="I1462">
        <v>4</v>
      </c>
      <c r="J1462" s="4">
        <v>9755.02</v>
      </c>
      <c r="K1462" s="5">
        <v>0.1</v>
      </c>
      <c r="L1462" s="4">
        <v>8061.7</v>
      </c>
      <c r="M1462" t="s">
        <v>42</v>
      </c>
      <c r="N1462" t="s">
        <v>52</v>
      </c>
      <c r="O1462">
        <f>IF(TablaVentas[[#This Row],[Precio_unitario]]="","PENDIENTE",TablaVentas[[#This Row],[Unidades]]*TablaVentas[[#This Row],[Precio_unitario]]*(1-TablaVentas[[#This Row],[Descuento_pct]]))</f>
        <v>35118.072</v>
      </c>
      <c r="P1462">
        <f>IF(TablaVentas[[#This Row],[Costo_unitario]]="","PENDIENTE",TablaVentas[[#This Row],[Unidades]]*TablaVentas[[#This Row],[Costo_unitario]])</f>
        <v>32246.799999999999</v>
      </c>
      <c r="Q1462">
        <f>IF(OR(TablaVentas[[#This Row],[Ingreso_neto]]="PENDIENTE",TablaVentas[[#This Row],[Costo_total]]="PENDIENTE"),"PENDIENTE",TablaVentas[[#This Row],[Ingreso_neto]]-TablaVentas[[#This Row],[Costo_total]])</f>
        <v>2871.2720000000008</v>
      </c>
    </row>
    <row r="1463" spans="1:17">
      <c r="A1463" t="s">
        <v>1012</v>
      </c>
      <c r="B1463">
        <v>3</v>
      </c>
      <c r="C1463" s="3">
        <v>46157</v>
      </c>
      <c r="D1463" t="s">
        <v>703</v>
      </c>
      <c r="E1463" t="s">
        <v>103</v>
      </c>
      <c r="F1463" t="s">
        <v>39</v>
      </c>
      <c r="G1463" t="s">
        <v>40</v>
      </c>
      <c r="H1463" t="s">
        <v>73</v>
      </c>
      <c r="I1463">
        <v>1</v>
      </c>
      <c r="J1463" s="4">
        <v>13342.61</v>
      </c>
      <c r="K1463" s="5">
        <v>0</v>
      </c>
      <c r="L1463" s="4">
        <v>7549.71</v>
      </c>
      <c r="M1463" t="s">
        <v>42</v>
      </c>
      <c r="N1463" t="s">
        <v>60</v>
      </c>
      <c r="O1463">
        <f>IF(TablaVentas[[#This Row],[Precio_unitario]]="","PENDIENTE",TablaVentas[[#This Row],[Unidades]]*TablaVentas[[#This Row],[Precio_unitario]]*(1-TablaVentas[[#This Row],[Descuento_pct]]))</f>
        <v>13342.61</v>
      </c>
      <c r="P1463">
        <f>IF(TablaVentas[[#This Row],[Costo_unitario]]="","PENDIENTE",TablaVentas[[#This Row],[Unidades]]*TablaVentas[[#This Row],[Costo_unitario]])</f>
        <v>7549.71</v>
      </c>
      <c r="Q1463">
        <f>IF(OR(TablaVentas[[#This Row],[Ingreso_neto]]="PENDIENTE",TablaVentas[[#This Row],[Costo_total]]="PENDIENTE"),"PENDIENTE",TablaVentas[[#This Row],[Ingreso_neto]]-TablaVentas[[#This Row],[Costo_total]])</f>
        <v>5792.9000000000005</v>
      </c>
    </row>
    <row r="1464" spans="1:17">
      <c r="A1464" t="s">
        <v>1013</v>
      </c>
      <c r="B1464">
        <v>1</v>
      </c>
      <c r="C1464" s="3">
        <v>46269</v>
      </c>
      <c r="D1464" t="s">
        <v>247</v>
      </c>
      <c r="E1464" t="s">
        <v>85</v>
      </c>
      <c r="F1464" t="s">
        <v>39</v>
      </c>
      <c r="G1464" t="s">
        <v>50</v>
      </c>
      <c r="H1464" t="s">
        <v>58</v>
      </c>
      <c r="I1464">
        <v>12</v>
      </c>
      <c r="J1464" s="4">
        <v>496.12</v>
      </c>
      <c r="K1464" s="5">
        <v>0.1</v>
      </c>
      <c r="L1464" s="4">
        <v>307.75</v>
      </c>
      <c r="M1464" t="s">
        <v>42</v>
      </c>
      <c r="N1464" t="s">
        <v>52</v>
      </c>
      <c r="O1464">
        <f>IF(TablaVentas[[#This Row],[Precio_unitario]]="","PENDIENTE",TablaVentas[[#This Row],[Unidades]]*TablaVentas[[#This Row],[Precio_unitario]]*(1-TablaVentas[[#This Row],[Descuento_pct]]))</f>
        <v>5358.0960000000005</v>
      </c>
      <c r="P1464">
        <f>IF(TablaVentas[[#This Row],[Costo_unitario]]="","PENDIENTE",TablaVentas[[#This Row],[Unidades]]*TablaVentas[[#This Row],[Costo_unitario]])</f>
        <v>3693</v>
      </c>
      <c r="Q1464">
        <f>IF(OR(TablaVentas[[#This Row],[Ingreso_neto]]="PENDIENTE",TablaVentas[[#This Row],[Costo_total]]="PENDIENTE"),"PENDIENTE",TablaVentas[[#This Row],[Ingreso_neto]]-TablaVentas[[#This Row],[Costo_total]])</f>
        <v>1665.0960000000005</v>
      </c>
    </row>
    <row r="1465" spans="1:17">
      <c r="A1465" t="s">
        <v>1013</v>
      </c>
      <c r="B1465">
        <v>2</v>
      </c>
      <c r="C1465" s="3">
        <v>46269</v>
      </c>
      <c r="D1465" t="s">
        <v>247</v>
      </c>
      <c r="E1465" t="s">
        <v>353</v>
      </c>
      <c r="F1465" t="s">
        <v>39</v>
      </c>
      <c r="G1465" t="s">
        <v>50</v>
      </c>
      <c r="H1465" t="s">
        <v>58</v>
      </c>
      <c r="I1465">
        <v>1</v>
      </c>
      <c r="J1465" s="4">
        <v>2287.88</v>
      </c>
      <c r="K1465" s="5">
        <v>0</v>
      </c>
      <c r="L1465" s="4">
        <v>1479.71</v>
      </c>
      <c r="M1465" t="s">
        <v>42</v>
      </c>
      <c r="N1465" t="s">
        <v>43</v>
      </c>
      <c r="O1465">
        <f>IF(TablaVentas[[#This Row],[Precio_unitario]]="","PENDIENTE",TablaVentas[[#This Row],[Unidades]]*TablaVentas[[#This Row],[Precio_unitario]]*(1-TablaVentas[[#This Row],[Descuento_pct]]))</f>
        <v>2287.88</v>
      </c>
      <c r="P1465">
        <f>IF(TablaVentas[[#This Row],[Costo_unitario]]="","PENDIENTE",TablaVentas[[#This Row],[Unidades]]*TablaVentas[[#This Row],[Costo_unitario]])</f>
        <v>1479.71</v>
      </c>
      <c r="Q1465">
        <f>IF(OR(TablaVentas[[#This Row],[Ingreso_neto]]="PENDIENTE",TablaVentas[[#This Row],[Costo_total]]="PENDIENTE"),"PENDIENTE",TablaVentas[[#This Row],[Ingreso_neto]]-TablaVentas[[#This Row],[Costo_total]])</f>
        <v>808.17000000000007</v>
      </c>
    </row>
    <row r="1466" spans="1:17">
      <c r="A1466" t="s">
        <v>1013</v>
      </c>
      <c r="B1466">
        <v>3</v>
      </c>
      <c r="C1466" s="3">
        <v>46269</v>
      </c>
      <c r="D1466" t="s">
        <v>247</v>
      </c>
      <c r="E1466" t="s">
        <v>140</v>
      </c>
      <c r="F1466" t="s">
        <v>39</v>
      </c>
      <c r="G1466" t="s">
        <v>50</v>
      </c>
      <c r="H1466" t="s">
        <v>58</v>
      </c>
      <c r="I1466">
        <v>3</v>
      </c>
      <c r="J1466" s="4">
        <v>2778.08</v>
      </c>
      <c r="K1466" s="5">
        <v>0.15</v>
      </c>
      <c r="L1466" s="4">
        <v>2427.63</v>
      </c>
      <c r="M1466" t="s">
        <v>42</v>
      </c>
      <c r="N1466" t="s">
        <v>60</v>
      </c>
      <c r="O1466">
        <f>IF(TablaVentas[[#This Row],[Precio_unitario]]="","PENDIENTE",TablaVentas[[#This Row],[Unidades]]*TablaVentas[[#This Row],[Precio_unitario]]*(1-TablaVentas[[#This Row],[Descuento_pct]]))</f>
        <v>7084.1039999999994</v>
      </c>
      <c r="P1466">
        <f>IF(TablaVentas[[#This Row],[Costo_unitario]]="","PENDIENTE",TablaVentas[[#This Row],[Unidades]]*TablaVentas[[#This Row],[Costo_unitario]])</f>
        <v>7282.89</v>
      </c>
      <c r="Q1466">
        <f>IF(OR(TablaVentas[[#This Row],[Ingreso_neto]]="PENDIENTE",TablaVentas[[#This Row],[Costo_total]]="PENDIENTE"),"PENDIENTE",TablaVentas[[#This Row],[Ingreso_neto]]-TablaVentas[[#This Row],[Costo_total]])</f>
        <v>-198.78600000000097</v>
      </c>
    </row>
    <row r="1467" spans="1:17">
      <c r="A1467" t="s">
        <v>1013</v>
      </c>
      <c r="B1467">
        <v>4</v>
      </c>
      <c r="C1467" s="3">
        <v>46269</v>
      </c>
      <c r="D1467" t="s">
        <v>247</v>
      </c>
      <c r="E1467" t="s">
        <v>120</v>
      </c>
      <c r="F1467" t="s">
        <v>39</v>
      </c>
      <c r="G1467" t="s">
        <v>50</v>
      </c>
      <c r="H1467" t="s">
        <v>58</v>
      </c>
      <c r="I1467">
        <v>1</v>
      </c>
      <c r="J1467" s="4">
        <v>13820.52</v>
      </c>
      <c r="K1467" s="5">
        <v>0.2</v>
      </c>
      <c r="L1467" s="4">
        <v>7975.26</v>
      </c>
      <c r="M1467" t="s">
        <v>42</v>
      </c>
      <c r="N1467" t="s">
        <v>43</v>
      </c>
      <c r="O1467">
        <f>IF(TablaVentas[[#This Row],[Precio_unitario]]="","PENDIENTE",TablaVentas[[#This Row],[Unidades]]*TablaVentas[[#This Row],[Precio_unitario]]*(1-TablaVentas[[#This Row],[Descuento_pct]]))</f>
        <v>11056.416000000001</v>
      </c>
      <c r="P1467">
        <f>IF(TablaVentas[[#This Row],[Costo_unitario]]="","PENDIENTE",TablaVentas[[#This Row],[Unidades]]*TablaVentas[[#This Row],[Costo_unitario]])</f>
        <v>7975.26</v>
      </c>
      <c r="Q1467">
        <f>IF(OR(TablaVentas[[#This Row],[Ingreso_neto]]="PENDIENTE",TablaVentas[[#This Row],[Costo_total]]="PENDIENTE"),"PENDIENTE",TablaVentas[[#This Row],[Ingreso_neto]]-TablaVentas[[#This Row],[Costo_total]])</f>
        <v>3081.1560000000009</v>
      </c>
    </row>
    <row r="1468" spans="1:17">
      <c r="A1468" t="s">
        <v>1014</v>
      </c>
      <c r="B1468">
        <v>1</v>
      </c>
      <c r="C1468" s="3">
        <v>46176</v>
      </c>
      <c r="D1468" t="s">
        <v>482</v>
      </c>
      <c r="E1468" t="s">
        <v>69</v>
      </c>
      <c r="F1468" t="s">
        <v>39</v>
      </c>
      <c r="G1468" t="s">
        <v>40</v>
      </c>
      <c r="H1468" t="s">
        <v>67</v>
      </c>
      <c r="I1468">
        <v>3</v>
      </c>
      <c r="J1468" s="4">
        <v>13134.29</v>
      </c>
      <c r="K1468" s="5">
        <v>0.1</v>
      </c>
      <c r="L1468" s="4">
        <v>10094.26</v>
      </c>
      <c r="M1468" t="s">
        <v>42</v>
      </c>
      <c r="N1468" t="s">
        <v>43</v>
      </c>
      <c r="O1468">
        <f>IF(TablaVentas[[#This Row],[Precio_unitario]]="","PENDIENTE",TablaVentas[[#This Row],[Unidades]]*TablaVentas[[#This Row],[Precio_unitario]]*(1-TablaVentas[[#This Row],[Descuento_pct]]))</f>
        <v>35462.583000000006</v>
      </c>
      <c r="P1468">
        <f>IF(TablaVentas[[#This Row],[Costo_unitario]]="","PENDIENTE",TablaVentas[[#This Row],[Unidades]]*TablaVentas[[#This Row],[Costo_unitario]])</f>
        <v>30282.78</v>
      </c>
      <c r="Q1468">
        <f>IF(OR(TablaVentas[[#This Row],[Ingreso_neto]]="PENDIENTE",TablaVentas[[#This Row],[Costo_total]]="PENDIENTE"),"PENDIENTE",TablaVentas[[#This Row],[Ingreso_neto]]-TablaVentas[[#This Row],[Costo_total]])</f>
        <v>5179.8030000000072</v>
      </c>
    </row>
    <row r="1469" spans="1:17">
      <c r="A1469" t="s">
        <v>1015</v>
      </c>
      <c r="B1469">
        <v>1</v>
      </c>
      <c r="C1469" s="3">
        <v>46165</v>
      </c>
      <c r="D1469" t="s">
        <v>986</v>
      </c>
      <c r="E1469" t="s">
        <v>227</v>
      </c>
      <c r="F1469" t="s">
        <v>56</v>
      </c>
      <c r="G1469" t="s">
        <v>40</v>
      </c>
      <c r="H1469" t="s">
        <v>41</v>
      </c>
      <c r="I1469">
        <v>1</v>
      </c>
      <c r="J1469" s="4">
        <v>8877.59</v>
      </c>
      <c r="K1469" s="5">
        <v>0.05</v>
      </c>
      <c r="L1469" s="4">
        <v>6255.13</v>
      </c>
      <c r="M1469" t="s">
        <v>42</v>
      </c>
      <c r="N1469" t="s">
        <v>43</v>
      </c>
      <c r="O1469">
        <f>IF(TablaVentas[[#This Row],[Precio_unitario]]="","PENDIENTE",TablaVentas[[#This Row],[Unidades]]*TablaVentas[[#This Row],[Precio_unitario]]*(1-TablaVentas[[#This Row],[Descuento_pct]]))</f>
        <v>8433.7104999999992</v>
      </c>
      <c r="P1469">
        <f>IF(TablaVentas[[#This Row],[Costo_unitario]]="","PENDIENTE",TablaVentas[[#This Row],[Unidades]]*TablaVentas[[#This Row],[Costo_unitario]])</f>
        <v>6255.13</v>
      </c>
      <c r="Q1469">
        <f>IF(OR(TablaVentas[[#This Row],[Ingreso_neto]]="PENDIENTE",TablaVentas[[#This Row],[Costo_total]]="PENDIENTE"),"PENDIENTE",TablaVentas[[#This Row],[Ingreso_neto]]-TablaVentas[[#This Row],[Costo_total]])</f>
        <v>2178.5804999999991</v>
      </c>
    </row>
    <row r="1470" spans="1:17">
      <c r="A1470" t="s">
        <v>1015</v>
      </c>
      <c r="B1470">
        <v>2</v>
      </c>
      <c r="C1470" s="3">
        <v>46165</v>
      </c>
      <c r="D1470" t="s">
        <v>986</v>
      </c>
      <c r="E1470" t="s">
        <v>109</v>
      </c>
      <c r="F1470" t="s">
        <v>56</v>
      </c>
      <c r="G1470" t="s">
        <v>40</v>
      </c>
      <c r="H1470" t="s">
        <v>41</v>
      </c>
      <c r="I1470">
        <v>3</v>
      </c>
      <c r="J1470" s="4">
        <v>15691.88</v>
      </c>
      <c r="K1470" s="5">
        <v>0.15</v>
      </c>
      <c r="L1470" s="4">
        <v>9880.77</v>
      </c>
      <c r="M1470" t="s">
        <v>42</v>
      </c>
      <c r="N1470" t="s">
        <v>43</v>
      </c>
      <c r="O1470">
        <f>IF(TablaVentas[[#This Row],[Precio_unitario]]="","PENDIENTE",TablaVentas[[#This Row],[Unidades]]*TablaVentas[[#This Row],[Precio_unitario]]*(1-TablaVentas[[#This Row],[Descuento_pct]]))</f>
        <v>40014.294000000002</v>
      </c>
      <c r="P1470">
        <f>IF(TablaVentas[[#This Row],[Costo_unitario]]="","PENDIENTE",TablaVentas[[#This Row],[Unidades]]*TablaVentas[[#This Row],[Costo_unitario]])</f>
        <v>29642.31</v>
      </c>
      <c r="Q1470">
        <f>IF(OR(TablaVentas[[#This Row],[Ingreso_neto]]="PENDIENTE",TablaVentas[[#This Row],[Costo_total]]="PENDIENTE"),"PENDIENTE",TablaVentas[[#This Row],[Ingreso_neto]]-TablaVentas[[#This Row],[Costo_total]])</f>
        <v>10371.984</v>
      </c>
    </row>
    <row r="1471" spans="1:17">
      <c r="A1471" t="s">
        <v>1015</v>
      </c>
      <c r="B1471">
        <v>3</v>
      </c>
      <c r="C1471" s="3">
        <v>46165</v>
      </c>
      <c r="D1471" t="s">
        <v>986</v>
      </c>
      <c r="E1471" t="s">
        <v>271</v>
      </c>
      <c r="F1471" t="s">
        <v>56</v>
      </c>
      <c r="G1471" t="s">
        <v>40</v>
      </c>
      <c r="H1471" t="s">
        <v>41</v>
      </c>
      <c r="I1471">
        <v>1</v>
      </c>
      <c r="J1471" s="4">
        <v>1122.6400000000001</v>
      </c>
      <c r="K1471" s="5">
        <v>0</v>
      </c>
      <c r="L1471" s="4">
        <v>759.03</v>
      </c>
      <c r="M1471" t="s">
        <v>42</v>
      </c>
      <c r="N1471" t="s">
        <v>60</v>
      </c>
      <c r="O1471">
        <f>IF(TablaVentas[[#This Row],[Precio_unitario]]="","PENDIENTE",TablaVentas[[#This Row],[Unidades]]*TablaVentas[[#This Row],[Precio_unitario]]*(1-TablaVentas[[#This Row],[Descuento_pct]]))</f>
        <v>1122.6400000000001</v>
      </c>
      <c r="P1471">
        <f>IF(TablaVentas[[#This Row],[Costo_unitario]]="","PENDIENTE",TablaVentas[[#This Row],[Unidades]]*TablaVentas[[#This Row],[Costo_unitario]])</f>
        <v>759.03</v>
      </c>
      <c r="Q1471">
        <f>IF(OR(TablaVentas[[#This Row],[Ingreso_neto]]="PENDIENTE",TablaVentas[[#This Row],[Costo_total]]="PENDIENTE"),"PENDIENTE",TablaVentas[[#This Row],[Ingreso_neto]]-TablaVentas[[#This Row],[Costo_total]])</f>
        <v>363.61000000000013</v>
      </c>
    </row>
    <row r="1472" spans="1:17">
      <c r="A1472" t="s">
        <v>1015</v>
      </c>
      <c r="B1472">
        <v>4</v>
      </c>
      <c r="C1472" s="3">
        <v>46165</v>
      </c>
      <c r="D1472" t="s">
        <v>986</v>
      </c>
      <c r="E1472" t="s">
        <v>236</v>
      </c>
      <c r="F1472" t="s">
        <v>56</v>
      </c>
      <c r="G1472" t="s">
        <v>40</v>
      </c>
      <c r="H1472" t="s">
        <v>41</v>
      </c>
      <c r="I1472">
        <v>2</v>
      </c>
      <c r="J1472" s="4">
        <v>10354.31</v>
      </c>
      <c r="K1472" s="5">
        <v>0</v>
      </c>
      <c r="L1472" s="4">
        <v>8061.7</v>
      </c>
      <c r="M1472" t="s">
        <v>42</v>
      </c>
      <c r="N1472" t="s">
        <v>45</v>
      </c>
      <c r="O1472">
        <f>IF(TablaVentas[[#This Row],[Precio_unitario]]="","PENDIENTE",TablaVentas[[#This Row],[Unidades]]*TablaVentas[[#This Row],[Precio_unitario]]*(1-TablaVentas[[#This Row],[Descuento_pct]]))</f>
        <v>20708.62</v>
      </c>
      <c r="P1472">
        <f>IF(TablaVentas[[#This Row],[Costo_unitario]]="","PENDIENTE",TablaVentas[[#This Row],[Unidades]]*TablaVentas[[#This Row],[Costo_unitario]])</f>
        <v>16123.4</v>
      </c>
      <c r="Q1472">
        <f>IF(OR(TablaVentas[[#This Row],[Ingreso_neto]]="PENDIENTE",TablaVentas[[#This Row],[Costo_total]]="PENDIENTE"),"PENDIENTE",TablaVentas[[#This Row],[Ingreso_neto]]-TablaVentas[[#This Row],[Costo_total]])</f>
        <v>4585.2199999999993</v>
      </c>
    </row>
    <row r="1473" spans="1:17">
      <c r="A1473" t="s">
        <v>1016</v>
      </c>
      <c r="B1473">
        <v>1</v>
      </c>
      <c r="C1473" s="3">
        <v>46038</v>
      </c>
      <c r="D1473" t="s">
        <v>355</v>
      </c>
      <c r="E1473" t="s">
        <v>183</v>
      </c>
      <c r="F1473" t="s">
        <v>56</v>
      </c>
      <c r="G1473" t="s">
        <v>40</v>
      </c>
      <c r="H1473" t="s">
        <v>124</v>
      </c>
      <c r="I1473">
        <v>2</v>
      </c>
      <c r="J1473" s="4">
        <v>5190.34</v>
      </c>
      <c r="K1473" s="5">
        <v>0.05</v>
      </c>
      <c r="L1473" s="4">
        <v>4325.7299999999996</v>
      </c>
      <c r="M1473" t="s">
        <v>42</v>
      </c>
      <c r="N1473" t="s">
        <v>52</v>
      </c>
      <c r="O1473">
        <f>IF(TablaVentas[[#This Row],[Precio_unitario]]="","PENDIENTE",TablaVentas[[#This Row],[Unidades]]*TablaVentas[[#This Row],[Precio_unitario]]*(1-TablaVentas[[#This Row],[Descuento_pct]]))</f>
        <v>9861.6460000000006</v>
      </c>
      <c r="P1473">
        <f>IF(TablaVentas[[#This Row],[Costo_unitario]]="","PENDIENTE",TablaVentas[[#This Row],[Unidades]]*TablaVentas[[#This Row],[Costo_unitario]])</f>
        <v>8651.4599999999991</v>
      </c>
      <c r="Q1473">
        <f>IF(OR(TablaVentas[[#This Row],[Ingreso_neto]]="PENDIENTE",TablaVentas[[#This Row],[Costo_total]]="PENDIENTE"),"PENDIENTE",TablaVentas[[#This Row],[Ingreso_neto]]-TablaVentas[[#This Row],[Costo_total]])</f>
        <v>1210.1860000000015</v>
      </c>
    </row>
    <row r="1474" spans="1:17">
      <c r="A1474" t="s">
        <v>1016</v>
      </c>
      <c r="B1474">
        <v>2</v>
      </c>
      <c r="C1474" s="3">
        <v>46038</v>
      </c>
      <c r="D1474" t="s">
        <v>355</v>
      </c>
      <c r="E1474" t="s">
        <v>293</v>
      </c>
      <c r="F1474" t="s">
        <v>56</v>
      </c>
      <c r="G1474" t="s">
        <v>40</v>
      </c>
      <c r="H1474" t="s">
        <v>124</v>
      </c>
      <c r="I1474">
        <v>4</v>
      </c>
      <c r="J1474" s="4">
        <v>1248.93</v>
      </c>
      <c r="K1474" s="5">
        <v>0.15</v>
      </c>
      <c r="L1474" s="4">
        <v>936.52</v>
      </c>
      <c r="M1474" t="s">
        <v>42</v>
      </c>
      <c r="N1474" t="s">
        <v>45</v>
      </c>
      <c r="O1474">
        <f>IF(TablaVentas[[#This Row],[Precio_unitario]]="","PENDIENTE",TablaVentas[[#This Row],[Unidades]]*TablaVentas[[#This Row],[Precio_unitario]]*(1-TablaVentas[[#This Row],[Descuento_pct]]))</f>
        <v>4246.3620000000001</v>
      </c>
      <c r="P1474">
        <f>IF(TablaVentas[[#This Row],[Costo_unitario]]="","PENDIENTE",TablaVentas[[#This Row],[Unidades]]*TablaVentas[[#This Row],[Costo_unitario]])</f>
        <v>3746.08</v>
      </c>
      <c r="Q1474">
        <f>IF(OR(TablaVentas[[#This Row],[Ingreso_neto]]="PENDIENTE",TablaVentas[[#This Row],[Costo_total]]="PENDIENTE"),"PENDIENTE",TablaVentas[[#This Row],[Ingreso_neto]]-TablaVentas[[#This Row],[Costo_total]])</f>
        <v>500.28200000000015</v>
      </c>
    </row>
    <row r="1475" spans="1:17">
      <c r="A1475" t="s">
        <v>1016</v>
      </c>
      <c r="B1475">
        <v>3</v>
      </c>
      <c r="C1475" s="3">
        <v>46038</v>
      </c>
      <c r="D1475" t="s">
        <v>355</v>
      </c>
      <c r="E1475" t="s">
        <v>227</v>
      </c>
      <c r="F1475" t="s">
        <v>56</v>
      </c>
      <c r="G1475" t="s">
        <v>40</v>
      </c>
      <c r="H1475" t="s">
        <v>124</v>
      </c>
      <c r="I1475">
        <v>2</v>
      </c>
      <c r="J1475" s="4">
        <v>7784.56</v>
      </c>
      <c r="K1475" s="5">
        <v>0</v>
      </c>
      <c r="L1475" s="4">
        <v>6255.13</v>
      </c>
      <c r="M1475" t="s">
        <v>42</v>
      </c>
      <c r="N1475" t="s">
        <v>43</v>
      </c>
      <c r="O1475">
        <f>IF(TablaVentas[[#This Row],[Precio_unitario]]="","PENDIENTE",TablaVentas[[#This Row],[Unidades]]*TablaVentas[[#This Row],[Precio_unitario]]*(1-TablaVentas[[#This Row],[Descuento_pct]]))</f>
        <v>15569.12</v>
      </c>
      <c r="P1475">
        <f>IF(TablaVentas[[#This Row],[Costo_unitario]]="","PENDIENTE",TablaVentas[[#This Row],[Unidades]]*TablaVentas[[#This Row],[Costo_unitario]])</f>
        <v>12510.26</v>
      </c>
      <c r="Q1475">
        <f>IF(OR(TablaVentas[[#This Row],[Ingreso_neto]]="PENDIENTE",TablaVentas[[#This Row],[Costo_total]]="PENDIENTE"),"PENDIENTE",TablaVentas[[#This Row],[Ingreso_neto]]-TablaVentas[[#This Row],[Costo_total]])</f>
        <v>3058.8600000000006</v>
      </c>
    </row>
    <row r="1476" spans="1:17">
      <c r="A1476" t="s">
        <v>1017</v>
      </c>
      <c r="B1476">
        <v>1</v>
      </c>
      <c r="C1476" s="3">
        <v>46280</v>
      </c>
      <c r="D1476" t="s">
        <v>48</v>
      </c>
      <c r="E1476" t="s">
        <v>38</v>
      </c>
      <c r="F1476" t="s">
        <v>56</v>
      </c>
      <c r="G1476" t="s">
        <v>40</v>
      </c>
      <c r="H1476" t="s">
        <v>67</v>
      </c>
      <c r="I1476">
        <v>1</v>
      </c>
      <c r="J1476" s="4">
        <v>5664.75</v>
      </c>
      <c r="K1476" s="5">
        <v>0</v>
      </c>
      <c r="L1476" s="4">
        <v>3832.69</v>
      </c>
      <c r="M1476" t="s">
        <v>42</v>
      </c>
      <c r="N1476" t="s">
        <v>45</v>
      </c>
      <c r="O1476">
        <f>IF(TablaVentas[[#This Row],[Precio_unitario]]="","PENDIENTE",TablaVentas[[#This Row],[Unidades]]*TablaVentas[[#This Row],[Precio_unitario]]*(1-TablaVentas[[#This Row],[Descuento_pct]]))</f>
        <v>5664.75</v>
      </c>
      <c r="P1476">
        <f>IF(TablaVentas[[#This Row],[Costo_unitario]]="","PENDIENTE",TablaVentas[[#This Row],[Unidades]]*TablaVentas[[#This Row],[Costo_unitario]])</f>
        <v>3832.69</v>
      </c>
      <c r="Q1476">
        <f>IF(OR(TablaVentas[[#This Row],[Ingreso_neto]]="PENDIENTE",TablaVentas[[#This Row],[Costo_total]]="PENDIENTE"),"PENDIENTE",TablaVentas[[#This Row],[Ingreso_neto]]-TablaVentas[[#This Row],[Costo_total]])</f>
        <v>1832.06</v>
      </c>
    </row>
    <row r="1477" spans="1:17">
      <c r="A1477" t="s">
        <v>1017</v>
      </c>
      <c r="B1477">
        <v>2</v>
      </c>
      <c r="C1477" s="3">
        <v>46280</v>
      </c>
      <c r="D1477" t="s">
        <v>48</v>
      </c>
      <c r="E1477" t="s">
        <v>156</v>
      </c>
      <c r="F1477" t="s">
        <v>56</v>
      </c>
      <c r="G1477" t="s">
        <v>40</v>
      </c>
      <c r="H1477" t="s">
        <v>67</v>
      </c>
      <c r="I1477">
        <v>1</v>
      </c>
      <c r="J1477" s="4">
        <v>20135.3</v>
      </c>
      <c r="K1477" s="5">
        <v>0.1</v>
      </c>
      <c r="L1477" s="4">
        <v>13981.13</v>
      </c>
      <c r="M1477" t="s">
        <v>42</v>
      </c>
      <c r="N1477" t="s">
        <v>52</v>
      </c>
      <c r="O1477">
        <f>IF(TablaVentas[[#This Row],[Precio_unitario]]="","PENDIENTE",TablaVentas[[#This Row],[Unidades]]*TablaVentas[[#This Row],[Precio_unitario]]*(1-TablaVentas[[#This Row],[Descuento_pct]]))</f>
        <v>18121.77</v>
      </c>
      <c r="P1477">
        <f>IF(TablaVentas[[#This Row],[Costo_unitario]]="","PENDIENTE",TablaVentas[[#This Row],[Unidades]]*TablaVentas[[#This Row],[Costo_unitario]])</f>
        <v>13981.13</v>
      </c>
      <c r="Q1477">
        <f>IF(OR(TablaVentas[[#This Row],[Ingreso_neto]]="PENDIENTE",TablaVentas[[#This Row],[Costo_total]]="PENDIENTE"),"PENDIENTE",TablaVentas[[#This Row],[Ingreso_neto]]-TablaVentas[[#This Row],[Costo_total]])</f>
        <v>4140.6400000000012</v>
      </c>
    </row>
    <row r="1478" spans="1:17">
      <c r="A1478" t="s">
        <v>1018</v>
      </c>
      <c r="B1478">
        <v>1</v>
      </c>
      <c r="C1478" s="3">
        <v>46141</v>
      </c>
      <c r="D1478" t="s">
        <v>884</v>
      </c>
      <c r="E1478" t="s">
        <v>109</v>
      </c>
      <c r="F1478" t="s">
        <v>56</v>
      </c>
      <c r="G1478" t="s">
        <v>57</v>
      </c>
      <c r="H1478" t="s">
        <v>129</v>
      </c>
      <c r="I1478">
        <v>1</v>
      </c>
      <c r="J1478" s="4">
        <v>15872.89</v>
      </c>
      <c r="K1478" s="5">
        <v>0</v>
      </c>
      <c r="L1478" s="4">
        <v>9880.77</v>
      </c>
      <c r="M1478" t="s">
        <v>42</v>
      </c>
      <c r="N1478" t="s">
        <v>45</v>
      </c>
      <c r="O1478">
        <f>IF(TablaVentas[[#This Row],[Precio_unitario]]="","PENDIENTE",TablaVentas[[#This Row],[Unidades]]*TablaVentas[[#This Row],[Precio_unitario]]*(1-TablaVentas[[#This Row],[Descuento_pct]]))</f>
        <v>15872.89</v>
      </c>
      <c r="P1478">
        <f>IF(TablaVentas[[#This Row],[Costo_unitario]]="","PENDIENTE",TablaVentas[[#This Row],[Unidades]]*TablaVentas[[#This Row],[Costo_unitario]])</f>
        <v>9880.77</v>
      </c>
      <c r="Q1478">
        <f>IF(OR(TablaVentas[[#This Row],[Ingreso_neto]]="PENDIENTE",TablaVentas[[#This Row],[Costo_total]]="PENDIENTE"),"PENDIENTE",TablaVentas[[#This Row],[Ingreso_neto]]-TablaVentas[[#This Row],[Costo_total]])</f>
        <v>5992.119999999999</v>
      </c>
    </row>
    <row r="1479" spans="1:17">
      <c r="A1479" t="s">
        <v>1019</v>
      </c>
      <c r="B1479">
        <v>1</v>
      </c>
      <c r="C1479" s="3">
        <v>46276</v>
      </c>
      <c r="D1479" t="s">
        <v>562</v>
      </c>
      <c r="E1479" t="s">
        <v>353</v>
      </c>
      <c r="F1479" t="s">
        <v>77</v>
      </c>
      <c r="G1479" t="s">
        <v>57</v>
      </c>
      <c r="H1479" t="s">
        <v>41</v>
      </c>
      <c r="I1479">
        <v>1</v>
      </c>
      <c r="J1479" s="4">
        <v>2187.4699999999998</v>
      </c>
      <c r="K1479" s="5">
        <v>0.05</v>
      </c>
      <c r="L1479" s="4">
        <v>1479.71</v>
      </c>
      <c r="M1479" t="s">
        <v>42</v>
      </c>
      <c r="N1479" t="s">
        <v>45</v>
      </c>
      <c r="O1479">
        <f>IF(TablaVentas[[#This Row],[Precio_unitario]]="","PENDIENTE",TablaVentas[[#This Row],[Unidades]]*TablaVentas[[#This Row],[Precio_unitario]]*(1-TablaVentas[[#This Row],[Descuento_pct]]))</f>
        <v>2078.0964999999997</v>
      </c>
      <c r="P1479">
        <f>IF(TablaVentas[[#This Row],[Costo_unitario]]="","PENDIENTE",TablaVentas[[#This Row],[Unidades]]*TablaVentas[[#This Row],[Costo_unitario]])</f>
        <v>1479.71</v>
      </c>
      <c r="Q1479">
        <f>IF(OR(TablaVentas[[#This Row],[Ingreso_neto]]="PENDIENTE",TablaVentas[[#This Row],[Costo_total]]="PENDIENTE"),"PENDIENTE",TablaVentas[[#This Row],[Ingreso_neto]]-TablaVentas[[#This Row],[Costo_total]])</f>
        <v>598.38649999999961</v>
      </c>
    </row>
    <row r="1480" spans="1:17">
      <c r="A1480" t="s">
        <v>1019</v>
      </c>
      <c r="B1480">
        <v>2</v>
      </c>
      <c r="C1480" s="3">
        <v>46276</v>
      </c>
      <c r="D1480" t="s">
        <v>562</v>
      </c>
      <c r="E1480" t="s">
        <v>403</v>
      </c>
      <c r="F1480" t="s">
        <v>77</v>
      </c>
      <c r="G1480" t="s">
        <v>57</v>
      </c>
      <c r="H1480" t="s">
        <v>41</v>
      </c>
      <c r="I1480">
        <v>2</v>
      </c>
      <c r="J1480" s="4">
        <v>3125.57</v>
      </c>
      <c r="K1480" s="5">
        <v>0</v>
      </c>
      <c r="L1480" s="4">
        <v>1801.83</v>
      </c>
      <c r="M1480" t="s">
        <v>42</v>
      </c>
      <c r="N1480" t="s">
        <v>52</v>
      </c>
      <c r="O1480">
        <f>IF(TablaVentas[[#This Row],[Precio_unitario]]="","PENDIENTE",TablaVentas[[#This Row],[Unidades]]*TablaVentas[[#This Row],[Precio_unitario]]*(1-TablaVentas[[#This Row],[Descuento_pct]]))</f>
        <v>6251.14</v>
      </c>
      <c r="P1480">
        <f>IF(TablaVentas[[#This Row],[Costo_unitario]]="","PENDIENTE",TablaVentas[[#This Row],[Unidades]]*TablaVentas[[#This Row],[Costo_unitario]])</f>
        <v>3603.66</v>
      </c>
      <c r="Q1480">
        <f>IF(OR(TablaVentas[[#This Row],[Ingreso_neto]]="PENDIENTE",TablaVentas[[#This Row],[Costo_total]]="PENDIENTE"),"PENDIENTE",TablaVentas[[#This Row],[Ingreso_neto]]-TablaVentas[[#This Row],[Costo_total]])</f>
        <v>2647.4800000000005</v>
      </c>
    </row>
    <row r="1481" spans="1:17">
      <c r="A1481" t="s">
        <v>1019</v>
      </c>
      <c r="B1481">
        <v>3</v>
      </c>
      <c r="C1481" s="3">
        <v>46276</v>
      </c>
      <c r="D1481" t="s">
        <v>562</v>
      </c>
      <c r="E1481" t="s">
        <v>97</v>
      </c>
      <c r="F1481" t="s">
        <v>77</v>
      </c>
      <c r="G1481" t="s">
        <v>57</v>
      </c>
      <c r="H1481" t="s">
        <v>41</v>
      </c>
      <c r="I1481">
        <v>1</v>
      </c>
      <c r="J1481" s="4">
        <v>14780.87</v>
      </c>
      <c r="K1481" s="5">
        <v>0.05</v>
      </c>
      <c r="L1481" s="4">
        <v>11424.77</v>
      </c>
      <c r="M1481" t="s">
        <v>42</v>
      </c>
      <c r="N1481" t="s">
        <v>52</v>
      </c>
      <c r="O1481">
        <f>IF(TablaVentas[[#This Row],[Precio_unitario]]="","PENDIENTE",TablaVentas[[#This Row],[Unidades]]*TablaVentas[[#This Row],[Precio_unitario]]*(1-TablaVentas[[#This Row],[Descuento_pct]]))</f>
        <v>14041.826499999999</v>
      </c>
      <c r="P1481">
        <f>IF(TablaVentas[[#This Row],[Costo_unitario]]="","PENDIENTE",TablaVentas[[#This Row],[Unidades]]*TablaVentas[[#This Row],[Costo_unitario]])</f>
        <v>11424.77</v>
      </c>
      <c r="Q1481">
        <f>IF(OR(TablaVentas[[#This Row],[Ingreso_neto]]="PENDIENTE",TablaVentas[[#This Row],[Costo_total]]="PENDIENTE"),"PENDIENTE",TablaVentas[[#This Row],[Ingreso_neto]]-TablaVentas[[#This Row],[Costo_total]])</f>
        <v>2617.0564999999988</v>
      </c>
    </row>
    <row r="1482" spans="1:17">
      <c r="A1482" t="s">
        <v>1020</v>
      </c>
      <c r="B1482">
        <v>1</v>
      </c>
      <c r="C1482" s="3">
        <v>46125</v>
      </c>
      <c r="D1482" t="s">
        <v>266</v>
      </c>
      <c r="E1482" t="s">
        <v>258</v>
      </c>
      <c r="F1482" t="s">
        <v>56</v>
      </c>
      <c r="G1482" t="s">
        <v>40</v>
      </c>
      <c r="H1482" t="s">
        <v>124</v>
      </c>
      <c r="I1482">
        <v>2</v>
      </c>
      <c r="J1482" s="4">
        <v>4020.89</v>
      </c>
      <c r="K1482" s="5">
        <v>0</v>
      </c>
      <c r="L1482" s="4">
        <v>2008.57</v>
      </c>
      <c r="M1482" t="s">
        <v>42</v>
      </c>
      <c r="N1482" t="s">
        <v>52</v>
      </c>
      <c r="O1482">
        <f>IF(TablaVentas[[#This Row],[Precio_unitario]]="","PENDIENTE",TablaVentas[[#This Row],[Unidades]]*TablaVentas[[#This Row],[Precio_unitario]]*(1-TablaVentas[[#This Row],[Descuento_pct]]))</f>
        <v>8041.78</v>
      </c>
      <c r="P1482">
        <f>IF(TablaVentas[[#This Row],[Costo_unitario]]="","PENDIENTE",TablaVentas[[#This Row],[Unidades]]*TablaVentas[[#This Row],[Costo_unitario]])</f>
        <v>4017.14</v>
      </c>
      <c r="Q1482">
        <f>IF(OR(TablaVentas[[#This Row],[Ingreso_neto]]="PENDIENTE",TablaVentas[[#This Row],[Costo_total]]="PENDIENTE"),"PENDIENTE",TablaVentas[[#This Row],[Ingreso_neto]]-TablaVentas[[#This Row],[Costo_total]])</f>
        <v>4024.64</v>
      </c>
    </row>
    <row r="1483" spans="1:17">
      <c r="A1483" t="s">
        <v>1020</v>
      </c>
      <c r="B1483">
        <v>2</v>
      </c>
      <c r="C1483" s="3">
        <v>46125</v>
      </c>
      <c r="D1483" t="s">
        <v>266</v>
      </c>
      <c r="E1483" t="s">
        <v>175</v>
      </c>
      <c r="F1483" t="s">
        <v>56</v>
      </c>
      <c r="G1483" t="s">
        <v>40</v>
      </c>
      <c r="H1483" t="s">
        <v>124</v>
      </c>
      <c r="I1483">
        <v>4</v>
      </c>
      <c r="J1483" s="4">
        <v>2748.53</v>
      </c>
      <c r="K1483" s="5">
        <v>0.1</v>
      </c>
      <c r="L1483" s="4">
        <v>1857.39</v>
      </c>
      <c r="M1483" t="s">
        <v>42</v>
      </c>
      <c r="N1483" t="s">
        <v>60</v>
      </c>
      <c r="O1483">
        <f>IF(TablaVentas[[#This Row],[Precio_unitario]]="","PENDIENTE",TablaVentas[[#This Row],[Unidades]]*TablaVentas[[#This Row],[Precio_unitario]]*(1-TablaVentas[[#This Row],[Descuento_pct]]))</f>
        <v>9894.7080000000005</v>
      </c>
      <c r="P1483">
        <f>IF(TablaVentas[[#This Row],[Costo_unitario]]="","PENDIENTE",TablaVentas[[#This Row],[Unidades]]*TablaVentas[[#This Row],[Costo_unitario]])</f>
        <v>7429.56</v>
      </c>
      <c r="Q1483">
        <f>IF(OR(TablaVentas[[#This Row],[Ingreso_neto]]="PENDIENTE",TablaVentas[[#This Row],[Costo_total]]="PENDIENTE"),"PENDIENTE",TablaVentas[[#This Row],[Ingreso_neto]]-TablaVentas[[#This Row],[Costo_total]])</f>
        <v>2465.1480000000001</v>
      </c>
    </row>
    <row r="1484" spans="1:17">
      <c r="A1484" t="s">
        <v>1020</v>
      </c>
      <c r="B1484">
        <v>3</v>
      </c>
      <c r="C1484" s="3">
        <v>46125</v>
      </c>
      <c r="D1484" t="s">
        <v>266</v>
      </c>
      <c r="E1484" t="s">
        <v>320</v>
      </c>
      <c r="F1484" t="s">
        <v>56</v>
      </c>
      <c r="G1484" t="s">
        <v>40</v>
      </c>
      <c r="H1484" t="s">
        <v>124</v>
      </c>
      <c r="I1484">
        <v>1</v>
      </c>
      <c r="J1484" s="4">
        <v>4835.9399999999996</v>
      </c>
      <c r="K1484" s="5">
        <v>0.1</v>
      </c>
      <c r="L1484" s="4">
        <v>3065.66</v>
      </c>
      <c r="M1484" t="s">
        <v>42</v>
      </c>
      <c r="N1484" t="s">
        <v>52</v>
      </c>
      <c r="O1484">
        <f>IF(TablaVentas[[#This Row],[Precio_unitario]]="","PENDIENTE",TablaVentas[[#This Row],[Unidades]]*TablaVentas[[#This Row],[Precio_unitario]]*(1-TablaVentas[[#This Row],[Descuento_pct]]))</f>
        <v>4352.3459999999995</v>
      </c>
      <c r="P1484">
        <f>IF(TablaVentas[[#This Row],[Costo_unitario]]="","PENDIENTE",TablaVentas[[#This Row],[Unidades]]*TablaVentas[[#This Row],[Costo_unitario]])</f>
        <v>3065.66</v>
      </c>
      <c r="Q1484">
        <f>IF(OR(TablaVentas[[#This Row],[Ingreso_neto]]="PENDIENTE",TablaVentas[[#This Row],[Costo_total]]="PENDIENTE"),"PENDIENTE",TablaVentas[[#This Row],[Ingreso_neto]]-TablaVentas[[#This Row],[Costo_total]])</f>
        <v>1286.6859999999997</v>
      </c>
    </row>
    <row r="1485" spans="1:17">
      <c r="A1485" t="s">
        <v>1020</v>
      </c>
      <c r="B1485">
        <v>4</v>
      </c>
      <c r="C1485" s="3">
        <v>46125</v>
      </c>
      <c r="D1485" t="s">
        <v>266</v>
      </c>
      <c r="E1485" t="s">
        <v>217</v>
      </c>
      <c r="F1485" t="s">
        <v>56</v>
      </c>
      <c r="G1485" t="s">
        <v>40</v>
      </c>
      <c r="H1485" t="s">
        <v>124</v>
      </c>
      <c r="I1485">
        <v>2</v>
      </c>
      <c r="J1485" s="4">
        <v>16960.07</v>
      </c>
      <c r="K1485" s="5">
        <v>0</v>
      </c>
      <c r="L1485" s="4">
        <v>14161.63</v>
      </c>
      <c r="M1485" t="s">
        <v>42</v>
      </c>
      <c r="N1485" t="s">
        <v>60</v>
      </c>
      <c r="O1485">
        <f>IF(TablaVentas[[#This Row],[Precio_unitario]]="","PENDIENTE",TablaVentas[[#This Row],[Unidades]]*TablaVentas[[#This Row],[Precio_unitario]]*(1-TablaVentas[[#This Row],[Descuento_pct]]))</f>
        <v>33920.14</v>
      </c>
      <c r="P1485">
        <f>IF(TablaVentas[[#This Row],[Costo_unitario]]="","PENDIENTE",TablaVentas[[#This Row],[Unidades]]*TablaVentas[[#This Row],[Costo_unitario]])</f>
        <v>28323.26</v>
      </c>
      <c r="Q1485">
        <f>IF(OR(TablaVentas[[#This Row],[Ingreso_neto]]="PENDIENTE",TablaVentas[[#This Row],[Costo_total]]="PENDIENTE"),"PENDIENTE",TablaVentas[[#This Row],[Ingreso_neto]]-TablaVentas[[#This Row],[Costo_total]])</f>
        <v>5596.880000000001</v>
      </c>
    </row>
    <row r="1486" spans="1:17">
      <c r="A1486" t="s">
        <v>1021</v>
      </c>
      <c r="B1486">
        <v>1</v>
      </c>
      <c r="C1486" s="3">
        <v>46231</v>
      </c>
      <c r="D1486" t="s">
        <v>137</v>
      </c>
      <c r="E1486" t="s">
        <v>277</v>
      </c>
      <c r="F1486" t="s">
        <v>66</v>
      </c>
      <c r="G1486" t="s">
        <v>50</v>
      </c>
      <c r="H1486" t="s">
        <v>184</v>
      </c>
      <c r="I1486">
        <v>5</v>
      </c>
      <c r="J1486" s="4">
        <v>6782.25</v>
      </c>
      <c r="K1486" s="5">
        <v>0.2</v>
      </c>
      <c r="L1486" s="4">
        <v>4858.08</v>
      </c>
      <c r="M1486" t="s">
        <v>42</v>
      </c>
      <c r="N1486" t="s">
        <v>45</v>
      </c>
      <c r="O1486">
        <f>IF(TablaVentas[[#This Row],[Precio_unitario]]="","PENDIENTE",TablaVentas[[#This Row],[Unidades]]*TablaVentas[[#This Row],[Precio_unitario]]*(1-TablaVentas[[#This Row],[Descuento_pct]]))</f>
        <v>27129</v>
      </c>
      <c r="P1486">
        <f>IF(TablaVentas[[#This Row],[Costo_unitario]]="","PENDIENTE",TablaVentas[[#This Row],[Unidades]]*TablaVentas[[#This Row],[Costo_unitario]])</f>
        <v>24290.400000000001</v>
      </c>
      <c r="Q1486">
        <f>IF(OR(TablaVentas[[#This Row],[Ingreso_neto]]="PENDIENTE",TablaVentas[[#This Row],[Costo_total]]="PENDIENTE"),"PENDIENTE",TablaVentas[[#This Row],[Ingreso_neto]]-TablaVentas[[#This Row],[Costo_total]])</f>
        <v>2838.5999999999985</v>
      </c>
    </row>
    <row r="1487" spans="1:17">
      <c r="A1487" t="s">
        <v>1021</v>
      </c>
      <c r="B1487">
        <v>2</v>
      </c>
      <c r="C1487" s="3">
        <v>46231</v>
      </c>
      <c r="D1487" t="s">
        <v>137</v>
      </c>
      <c r="E1487" t="s">
        <v>68</v>
      </c>
      <c r="F1487" t="s">
        <v>66</v>
      </c>
      <c r="G1487" t="s">
        <v>50</v>
      </c>
      <c r="H1487" t="s">
        <v>184</v>
      </c>
      <c r="I1487">
        <v>2</v>
      </c>
      <c r="J1487" s="4">
        <v>14106.06</v>
      </c>
      <c r="K1487" s="5">
        <v>0.2</v>
      </c>
      <c r="L1487" s="4">
        <v>9243.35</v>
      </c>
      <c r="M1487" t="s">
        <v>42</v>
      </c>
      <c r="N1487" t="s">
        <v>52</v>
      </c>
      <c r="O1487">
        <f>IF(TablaVentas[[#This Row],[Precio_unitario]]="","PENDIENTE",TablaVentas[[#This Row],[Unidades]]*TablaVentas[[#This Row],[Precio_unitario]]*(1-TablaVentas[[#This Row],[Descuento_pct]]))</f>
        <v>22569.696</v>
      </c>
      <c r="P1487">
        <f>IF(TablaVentas[[#This Row],[Costo_unitario]]="","PENDIENTE",TablaVentas[[#This Row],[Unidades]]*TablaVentas[[#This Row],[Costo_unitario]])</f>
        <v>18486.7</v>
      </c>
      <c r="Q1487">
        <f>IF(OR(TablaVentas[[#This Row],[Ingreso_neto]]="PENDIENTE",TablaVentas[[#This Row],[Costo_total]]="PENDIENTE"),"PENDIENTE",TablaVentas[[#This Row],[Ingreso_neto]]-TablaVentas[[#This Row],[Costo_total]])</f>
        <v>4082.9959999999992</v>
      </c>
    </row>
    <row r="1488" spans="1:17">
      <c r="A1488" t="s">
        <v>1021</v>
      </c>
      <c r="B1488">
        <v>3</v>
      </c>
      <c r="C1488" s="3">
        <v>46231</v>
      </c>
      <c r="D1488" t="s">
        <v>137</v>
      </c>
      <c r="E1488" t="s">
        <v>119</v>
      </c>
      <c r="F1488" t="s">
        <v>66</v>
      </c>
      <c r="G1488" t="s">
        <v>50</v>
      </c>
      <c r="H1488" t="s">
        <v>184</v>
      </c>
      <c r="I1488">
        <v>1</v>
      </c>
      <c r="J1488" s="4">
        <v>8478.17</v>
      </c>
      <c r="K1488" s="5">
        <v>0.05</v>
      </c>
      <c r="L1488" s="4">
        <v>6981.94</v>
      </c>
      <c r="M1488" t="s">
        <v>42</v>
      </c>
      <c r="N1488" t="s">
        <v>52</v>
      </c>
      <c r="O1488">
        <f>IF(TablaVentas[[#This Row],[Precio_unitario]]="","PENDIENTE",TablaVentas[[#This Row],[Unidades]]*TablaVentas[[#This Row],[Precio_unitario]]*(1-TablaVentas[[#This Row],[Descuento_pct]]))</f>
        <v>8054.2614999999996</v>
      </c>
      <c r="P1488">
        <f>IF(TablaVentas[[#This Row],[Costo_unitario]]="","PENDIENTE",TablaVentas[[#This Row],[Unidades]]*TablaVentas[[#This Row],[Costo_unitario]])</f>
        <v>6981.94</v>
      </c>
      <c r="Q1488">
        <f>IF(OR(TablaVentas[[#This Row],[Ingreso_neto]]="PENDIENTE",TablaVentas[[#This Row],[Costo_total]]="PENDIENTE"),"PENDIENTE",TablaVentas[[#This Row],[Ingreso_neto]]-TablaVentas[[#This Row],[Costo_total]])</f>
        <v>1072.3215</v>
      </c>
    </row>
    <row r="1489" spans="1:17">
      <c r="A1489" t="s">
        <v>1022</v>
      </c>
      <c r="B1489">
        <v>1</v>
      </c>
      <c r="C1489" s="3">
        <v>46083</v>
      </c>
      <c r="D1489" t="s">
        <v>977</v>
      </c>
      <c r="E1489" t="s">
        <v>203</v>
      </c>
      <c r="F1489" t="s">
        <v>56</v>
      </c>
      <c r="G1489" t="s">
        <v>40</v>
      </c>
      <c r="H1489" t="s">
        <v>67</v>
      </c>
      <c r="I1489">
        <v>4</v>
      </c>
      <c r="J1489" s="4">
        <v>1849.3</v>
      </c>
      <c r="K1489" s="5">
        <v>0.05</v>
      </c>
      <c r="L1489" s="4">
        <v>1252.8399999999999</v>
      </c>
      <c r="M1489" t="s">
        <v>42</v>
      </c>
      <c r="N1489" t="s">
        <v>43</v>
      </c>
      <c r="O1489">
        <f>IF(TablaVentas[[#This Row],[Precio_unitario]]="","PENDIENTE",TablaVentas[[#This Row],[Unidades]]*TablaVentas[[#This Row],[Precio_unitario]]*(1-TablaVentas[[#This Row],[Descuento_pct]]))</f>
        <v>7027.3399999999992</v>
      </c>
      <c r="P1489">
        <f>IF(TablaVentas[[#This Row],[Costo_unitario]]="","PENDIENTE",TablaVentas[[#This Row],[Unidades]]*TablaVentas[[#This Row],[Costo_unitario]])</f>
        <v>5011.3599999999997</v>
      </c>
      <c r="Q1489">
        <f>IF(OR(TablaVentas[[#This Row],[Ingreso_neto]]="PENDIENTE",TablaVentas[[#This Row],[Costo_total]]="PENDIENTE"),"PENDIENTE",TablaVentas[[#This Row],[Ingreso_neto]]-TablaVentas[[#This Row],[Costo_total]])</f>
        <v>2015.9799999999996</v>
      </c>
    </row>
    <row r="1490" spans="1:17">
      <c r="A1490" t="s">
        <v>1023</v>
      </c>
      <c r="B1490">
        <v>1</v>
      </c>
      <c r="C1490" s="3">
        <v>46032</v>
      </c>
      <c r="D1490" t="s">
        <v>835</v>
      </c>
      <c r="E1490" t="s">
        <v>81</v>
      </c>
      <c r="F1490" t="s">
        <v>66</v>
      </c>
      <c r="G1490" t="s">
        <v>50</v>
      </c>
      <c r="H1490" t="s">
        <v>51</v>
      </c>
      <c r="I1490">
        <v>2</v>
      </c>
      <c r="J1490" s="4">
        <v>16614.419999999998</v>
      </c>
      <c r="K1490" s="5">
        <v>0</v>
      </c>
      <c r="L1490" s="4">
        <v>11614.87</v>
      </c>
      <c r="M1490" t="s">
        <v>42</v>
      </c>
      <c r="N1490" t="s">
        <v>52</v>
      </c>
      <c r="O1490">
        <f>IF(TablaVentas[[#This Row],[Precio_unitario]]="","PENDIENTE",TablaVentas[[#This Row],[Unidades]]*TablaVentas[[#This Row],[Precio_unitario]]*(1-TablaVentas[[#This Row],[Descuento_pct]]))</f>
        <v>33228.839999999997</v>
      </c>
      <c r="P1490">
        <f>IF(TablaVentas[[#This Row],[Costo_unitario]]="","PENDIENTE",TablaVentas[[#This Row],[Unidades]]*TablaVentas[[#This Row],[Costo_unitario]])</f>
        <v>23229.74</v>
      </c>
      <c r="Q1490">
        <f>IF(OR(TablaVentas[[#This Row],[Ingreso_neto]]="PENDIENTE",TablaVentas[[#This Row],[Costo_total]]="PENDIENTE"),"PENDIENTE",TablaVentas[[#This Row],[Ingreso_neto]]-TablaVentas[[#This Row],[Costo_total]])</f>
        <v>9999.0999999999949</v>
      </c>
    </row>
    <row r="1491" spans="1:17">
      <c r="A1491" t="s">
        <v>1023</v>
      </c>
      <c r="B1491">
        <v>2</v>
      </c>
      <c r="C1491" s="3">
        <v>46032</v>
      </c>
      <c r="D1491" t="s">
        <v>835</v>
      </c>
      <c r="E1491" t="s">
        <v>139</v>
      </c>
      <c r="F1491" t="s">
        <v>66</v>
      </c>
      <c r="G1491" t="s">
        <v>50</v>
      </c>
      <c r="H1491" t="s">
        <v>51</v>
      </c>
      <c r="I1491">
        <v>1</v>
      </c>
      <c r="J1491" s="4">
        <v>10292.74</v>
      </c>
      <c r="K1491" s="5">
        <v>0.05</v>
      </c>
      <c r="L1491" s="4">
        <v>8002.16</v>
      </c>
      <c r="M1491" t="s">
        <v>42</v>
      </c>
      <c r="N1491" t="s">
        <v>60</v>
      </c>
      <c r="O1491">
        <f>IF(TablaVentas[[#This Row],[Precio_unitario]]="","PENDIENTE",TablaVentas[[#This Row],[Unidades]]*TablaVentas[[#This Row],[Precio_unitario]]*(1-TablaVentas[[#This Row],[Descuento_pct]]))</f>
        <v>9778.1029999999992</v>
      </c>
      <c r="P1491">
        <f>IF(TablaVentas[[#This Row],[Costo_unitario]]="","PENDIENTE",TablaVentas[[#This Row],[Unidades]]*TablaVentas[[#This Row],[Costo_unitario]])</f>
        <v>8002.16</v>
      </c>
      <c r="Q1491">
        <f>IF(OR(TablaVentas[[#This Row],[Ingreso_neto]]="PENDIENTE",TablaVentas[[#This Row],[Costo_total]]="PENDIENTE"),"PENDIENTE",TablaVentas[[#This Row],[Ingreso_neto]]-TablaVentas[[#This Row],[Costo_total]])</f>
        <v>1775.9429999999993</v>
      </c>
    </row>
    <row r="1492" spans="1:17">
      <c r="A1492" t="s">
        <v>1024</v>
      </c>
      <c r="B1492">
        <v>1</v>
      </c>
      <c r="C1492" s="3">
        <v>46116</v>
      </c>
      <c r="D1492" t="s">
        <v>522</v>
      </c>
      <c r="E1492" t="s">
        <v>68</v>
      </c>
      <c r="F1492" t="s">
        <v>77</v>
      </c>
      <c r="G1492" t="s">
        <v>50</v>
      </c>
      <c r="H1492" t="s">
        <v>82</v>
      </c>
      <c r="I1492">
        <v>1</v>
      </c>
      <c r="J1492" s="4">
        <v>16785.419999999998</v>
      </c>
      <c r="K1492" s="5">
        <v>0.05</v>
      </c>
      <c r="L1492" s="4">
        <v>9243.35</v>
      </c>
      <c r="M1492" t="s">
        <v>42</v>
      </c>
      <c r="N1492" t="s">
        <v>60</v>
      </c>
      <c r="O1492">
        <f>IF(TablaVentas[[#This Row],[Precio_unitario]]="","PENDIENTE",TablaVentas[[#This Row],[Unidades]]*TablaVentas[[#This Row],[Precio_unitario]]*(1-TablaVentas[[#This Row],[Descuento_pct]]))</f>
        <v>15946.148999999998</v>
      </c>
      <c r="P1492">
        <f>IF(TablaVentas[[#This Row],[Costo_unitario]]="","PENDIENTE",TablaVentas[[#This Row],[Unidades]]*TablaVentas[[#This Row],[Costo_unitario]])</f>
        <v>9243.35</v>
      </c>
      <c r="Q1492">
        <f>IF(OR(TablaVentas[[#This Row],[Ingreso_neto]]="PENDIENTE",TablaVentas[[#This Row],[Costo_total]]="PENDIENTE"),"PENDIENTE",TablaVentas[[#This Row],[Ingreso_neto]]-TablaVentas[[#This Row],[Costo_total]])</f>
        <v>6702.7989999999972</v>
      </c>
    </row>
    <row r="1493" spans="1:17">
      <c r="A1493" t="s">
        <v>1024</v>
      </c>
      <c r="B1493">
        <v>2</v>
      </c>
      <c r="C1493" s="3">
        <v>46116</v>
      </c>
      <c r="D1493" t="s">
        <v>522</v>
      </c>
      <c r="E1493" t="s">
        <v>160</v>
      </c>
      <c r="F1493" t="s">
        <v>77</v>
      </c>
      <c r="G1493" t="s">
        <v>50</v>
      </c>
      <c r="H1493" t="s">
        <v>82</v>
      </c>
      <c r="I1493">
        <v>2</v>
      </c>
      <c r="J1493" s="4">
        <v>7285.75</v>
      </c>
      <c r="K1493" s="5">
        <v>0.1</v>
      </c>
      <c r="L1493" s="4">
        <v>4082.15</v>
      </c>
      <c r="M1493" t="s">
        <v>42</v>
      </c>
      <c r="N1493" t="s">
        <v>52</v>
      </c>
      <c r="O1493">
        <f>IF(TablaVentas[[#This Row],[Precio_unitario]]="","PENDIENTE",TablaVentas[[#This Row],[Unidades]]*TablaVentas[[#This Row],[Precio_unitario]]*(1-TablaVentas[[#This Row],[Descuento_pct]]))</f>
        <v>13114.35</v>
      </c>
      <c r="P1493">
        <f>IF(TablaVentas[[#This Row],[Costo_unitario]]="","PENDIENTE",TablaVentas[[#This Row],[Unidades]]*TablaVentas[[#This Row],[Costo_unitario]])</f>
        <v>8164.3</v>
      </c>
      <c r="Q1493">
        <f>IF(OR(TablaVentas[[#This Row],[Ingreso_neto]]="PENDIENTE",TablaVentas[[#This Row],[Costo_total]]="PENDIENTE"),"PENDIENTE",TablaVentas[[#This Row],[Ingreso_neto]]-TablaVentas[[#This Row],[Costo_total]])</f>
        <v>4950.05</v>
      </c>
    </row>
    <row r="1494" spans="1:17">
      <c r="A1494" t="s">
        <v>1024</v>
      </c>
      <c r="B1494">
        <v>3</v>
      </c>
      <c r="C1494" s="3">
        <v>46116</v>
      </c>
      <c r="D1494" t="s">
        <v>522</v>
      </c>
      <c r="E1494" t="s">
        <v>367</v>
      </c>
      <c r="F1494" t="s">
        <v>77</v>
      </c>
      <c r="G1494" t="s">
        <v>50</v>
      </c>
      <c r="H1494" t="s">
        <v>82</v>
      </c>
      <c r="I1494">
        <v>2</v>
      </c>
      <c r="J1494" s="4">
        <v>10400.99</v>
      </c>
      <c r="K1494" s="5">
        <v>0</v>
      </c>
      <c r="L1494" s="4">
        <v>5079.43</v>
      </c>
      <c r="M1494" t="s">
        <v>42</v>
      </c>
      <c r="N1494" t="s">
        <v>45</v>
      </c>
      <c r="O1494">
        <f>IF(TablaVentas[[#This Row],[Precio_unitario]]="","PENDIENTE",TablaVentas[[#This Row],[Unidades]]*TablaVentas[[#This Row],[Precio_unitario]]*(1-TablaVentas[[#This Row],[Descuento_pct]]))</f>
        <v>20801.98</v>
      </c>
      <c r="P1494">
        <f>IF(TablaVentas[[#This Row],[Costo_unitario]]="","PENDIENTE",TablaVentas[[#This Row],[Unidades]]*TablaVentas[[#This Row],[Costo_unitario]])</f>
        <v>10158.86</v>
      </c>
      <c r="Q1494">
        <f>IF(OR(TablaVentas[[#This Row],[Ingreso_neto]]="PENDIENTE",TablaVentas[[#This Row],[Costo_total]]="PENDIENTE"),"PENDIENTE",TablaVentas[[#This Row],[Ingreso_neto]]-TablaVentas[[#This Row],[Costo_total]])</f>
        <v>10643.119999999999</v>
      </c>
    </row>
    <row r="1495" spans="1:17">
      <c r="A1495" t="s">
        <v>1024</v>
      </c>
      <c r="B1495">
        <v>4</v>
      </c>
      <c r="C1495" s="3">
        <v>46116</v>
      </c>
      <c r="D1495" t="s">
        <v>522</v>
      </c>
      <c r="E1495" t="s">
        <v>128</v>
      </c>
      <c r="F1495" t="s">
        <v>77</v>
      </c>
      <c r="G1495" t="s">
        <v>50</v>
      </c>
      <c r="H1495" t="s">
        <v>82</v>
      </c>
      <c r="I1495">
        <v>2</v>
      </c>
      <c r="J1495" s="4">
        <v>1692.1</v>
      </c>
      <c r="K1495" s="5">
        <v>0.15</v>
      </c>
      <c r="L1495" s="4">
        <v>900.08</v>
      </c>
      <c r="M1495" t="s">
        <v>42</v>
      </c>
      <c r="N1495" t="s">
        <v>45</v>
      </c>
      <c r="O1495">
        <f>IF(TablaVentas[[#This Row],[Precio_unitario]]="","PENDIENTE",TablaVentas[[#This Row],[Unidades]]*TablaVentas[[#This Row],[Precio_unitario]]*(1-TablaVentas[[#This Row],[Descuento_pct]]))</f>
        <v>2876.5699999999997</v>
      </c>
      <c r="P1495">
        <f>IF(TablaVentas[[#This Row],[Costo_unitario]]="","PENDIENTE",TablaVentas[[#This Row],[Unidades]]*TablaVentas[[#This Row],[Costo_unitario]])</f>
        <v>1800.16</v>
      </c>
      <c r="Q1495">
        <f>IF(OR(TablaVentas[[#This Row],[Ingreso_neto]]="PENDIENTE",TablaVentas[[#This Row],[Costo_total]]="PENDIENTE"),"PENDIENTE",TablaVentas[[#This Row],[Ingreso_neto]]-TablaVentas[[#This Row],[Costo_total]])</f>
        <v>1076.4099999999996</v>
      </c>
    </row>
    <row r="1496" spans="1:17">
      <c r="A1496" t="s">
        <v>1024</v>
      </c>
      <c r="B1496">
        <v>5</v>
      </c>
      <c r="C1496" s="3">
        <v>46116</v>
      </c>
      <c r="D1496" t="s">
        <v>522</v>
      </c>
      <c r="E1496" t="s">
        <v>282</v>
      </c>
      <c r="F1496" t="s">
        <v>77</v>
      </c>
      <c r="G1496" t="s">
        <v>50</v>
      </c>
      <c r="H1496" t="s">
        <v>82</v>
      </c>
      <c r="I1496">
        <v>3</v>
      </c>
      <c r="J1496" s="4">
        <v>3936.45</v>
      </c>
      <c r="K1496" s="5">
        <v>0</v>
      </c>
      <c r="L1496" s="4">
        <v>3399.5</v>
      </c>
      <c r="M1496" t="s">
        <v>62</v>
      </c>
      <c r="N1496" t="s">
        <v>60</v>
      </c>
      <c r="O1496">
        <f>IF(TablaVentas[[#This Row],[Precio_unitario]]="","PENDIENTE",TablaVentas[[#This Row],[Unidades]]*TablaVentas[[#This Row],[Precio_unitario]]*(1-TablaVentas[[#This Row],[Descuento_pct]]))</f>
        <v>11809.349999999999</v>
      </c>
      <c r="P1496">
        <f>IF(TablaVentas[[#This Row],[Costo_unitario]]="","PENDIENTE",TablaVentas[[#This Row],[Unidades]]*TablaVentas[[#This Row],[Costo_unitario]])</f>
        <v>10198.5</v>
      </c>
      <c r="Q1496">
        <f>IF(OR(TablaVentas[[#This Row],[Ingreso_neto]]="PENDIENTE",TablaVentas[[#This Row],[Costo_total]]="PENDIENTE"),"PENDIENTE",TablaVentas[[#This Row],[Ingreso_neto]]-TablaVentas[[#This Row],[Costo_total]])</f>
        <v>1610.8499999999985</v>
      </c>
    </row>
    <row r="1497" spans="1:17">
      <c r="A1497" t="s">
        <v>1025</v>
      </c>
      <c r="B1497">
        <v>1</v>
      </c>
      <c r="C1497" s="3">
        <v>46225</v>
      </c>
      <c r="D1497" t="s">
        <v>324</v>
      </c>
      <c r="E1497" t="s">
        <v>65</v>
      </c>
      <c r="F1497" t="s">
        <v>39</v>
      </c>
      <c r="G1497" t="s">
        <v>40</v>
      </c>
      <c r="H1497" t="s">
        <v>41</v>
      </c>
      <c r="I1497">
        <v>3</v>
      </c>
      <c r="J1497" s="4">
        <v>12073.48</v>
      </c>
      <c r="K1497" s="5">
        <v>0.2</v>
      </c>
      <c r="L1497" s="4">
        <v>7328.02</v>
      </c>
      <c r="M1497" t="s">
        <v>42</v>
      </c>
      <c r="N1497" t="s">
        <v>52</v>
      </c>
      <c r="O1497">
        <f>IF(TablaVentas[[#This Row],[Precio_unitario]]="","PENDIENTE",TablaVentas[[#This Row],[Unidades]]*TablaVentas[[#This Row],[Precio_unitario]]*(1-TablaVentas[[#This Row],[Descuento_pct]]))</f>
        <v>28976.352000000003</v>
      </c>
      <c r="P1497">
        <f>IF(TablaVentas[[#This Row],[Costo_unitario]]="","PENDIENTE",TablaVentas[[#This Row],[Unidades]]*TablaVentas[[#This Row],[Costo_unitario]])</f>
        <v>21984.06</v>
      </c>
      <c r="Q1497">
        <f>IF(OR(TablaVentas[[#This Row],[Ingreso_neto]]="PENDIENTE",TablaVentas[[#This Row],[Costo_total]]="PENDIENTE"),"PENDIENTE",TablaVentas[[#This Row],[Ingreso_neto]]-TablaVentas[[#This Row],[Costo_total]])</f>
        <v>6992.2920000000013</v>
      </c>
    </row>
    <row r="1498" spans="1:17">
      <c r="A1498" t="s">
        <v>1025</v>
      </c>
      <c r="B1498">
        <v>2</v>
      </c>
      <c r="C1498" s="3">
        <v>46225</v>
      </c>
      <c r="D1498" t="s">
        <v>324</v>
      </c>
      <c r="E1498" t="s">
        <v>103</v>
      </c>
      <c r="F1498" t="s">
        <v>39</v>
      </c>
      <c r="G1498" t="s">
        <v>40</v>
      </c>
      <c r="H1498" t="s">
        <v>41</v>
      </c>
      <c r="I1498">
        <v>1</v>
      </c>
      <c r="J1498" s="4">
        <v>12776.86</v>
      </c>
      <c r="K1498" s="5">
        <v>0.15</v>
      </c>
      <c r="L1498" s="4">
        <v>7549.71</v>
      </c>
      <c r="M1498" t="s">
        <v>42</v>
      </c>
      <c r="N1498" t="s">
        <v>45</v>
      </c>
      <c r="O1498">
        <f>IF(TablaVentas[[#This Row],[Precio_unitario]]="","PENDIENTE",TablaVentas[[#This Row],[Unidades]]*TablaVentas[[#This Row],[Precio_unitario]]*(1-TablaVentas[[#This Row],[Descuento_pct]]))</f>
        <v>10860.331</v>
      </c>
      <c r="P1498">
        <f>IF(TablaVentas[[#This Row],[Costo_unitario]]="","PENDIENTE",TablaVentas[[#This Row],[Unidades]]*TablaVentas[[#This Row],[Costo_unitario]])</f>
        <v>7549.71</v>
      </c>
      <c r="Q1498">
        <f>IF(OR(TablaVentas[[#This Row],[Ingreso_neto]]="PENDIENTE",TablaVentas[[#This Row],[Costo_total]]="PENDIENTE"),"PENDIENTE",TablaVentas[[#This Row],[Ingreso_neto]]-TablaVentas[[#This Row],[Costo_total]])</f>
        <v>3310.6210000000001</v>
      </c>
    </row>
    <row r="1499" spans="1:17">
      <c r="A1499" t="s">
        <v>1026</v>
      </c>
      <c r="B1499">
        <v>1</v>
      </c>
      <c r="C1499" s="3">
        <v>46175</v>
      </c>
      <c r="D1499" t="s">
        <v>435</v>
      </c>
      <c r="E1499" t="s">
        <v>226</v>
      </c>
      <c r="F1499" t="s">
        <v>39</v>
      </c>
      <c r="G1499" t="s">
        <v>40</v>
      </c>
      <c r="H1499" t="s">
        <v>67</v>
      </c>
      <c r="I1499">
        <v>2</v>
      </c>
      <c r="J1499" s="4">
        <v>16626.080000000002</v>
      </c>
      <c r="K1499" s="5">
        <v>0</v>
      </c>
      <c r="L1499" s="4">
        <v>9976.68</v>
      </c>
      <c r="M1499" t="s">
        <v>42</v>
      </c>
      <c r="N1499" t="s">
        <v>60</v>
      </c>
      <c r="O1499">
        <f>IF(TablaVentas[[#This Row],[Precio_unitario]]="","PENDIENTE",TablaVentas[[#This Row],[Unidades]]*TablaVentas[[#This Row],[Precio_unitario]]*(1-TablaVentas[[#This Row],[Descuento_pct]]))</f>
        <v>33252.160000000003</v>
      </c>
      <c r="P1499">
        <f>IF(TablaVentas[[#This Row],[Costo_unitario]]="","PENDIENTE",TablaVentas[[#This Row],[Unidades]]*TablaVentas[[#This Row],[Costo_unitario]])</f>
        <v>19953.36</v>
      </c>
      <c r="Q1499">
        <f>IF(OR(TablaVentas[[#This Row],[Ingreso_neto]]="PENDIENTE",TablaVentas[[#This Row],[Costo_total]]="PENDIENTE"),"PENDIENTE",TablaVentas[[#This Row],[Ingreso_neto]]-TablaVentas[[#This Row],[Costo_total]])</f>
        <v>13298.800000000003</v>
      </c>
    </row>
    <row r="1500" spans="1:17">
      <c r="A1500" t="s">
        <v>1026</v>
      </c>
      <c r="B1500">
        <v>2</v>
      </c>
      <c r="C1500" s="3">
        <v>46175</v>
      </c>
      <c r="D1500" t="s">
        <v>435</v>
      </c>
      <c r="E1500" t="s">
        <v>326</v>
      </c>
      <c r="F1500" t="s">
        <v>39</v>
      </c>
      <c r="G1500" t="s">
        <v>40</v>
      </c>
      <c r="H1500" t="s">
        <v>67</v>
      </c>
      <c r="I1500">
        <v>1</v>
      </c>
      <c r="J1500" s="4">
        <v>8097.62</v>
      </c>
      <c r="K1500" s="5">
        <v>0</v>
      </c>
      <c r="L1500" s="4">
        <v>4044.16</v>
      </c>
      <c r="M1500" t="s">
        <v>42</v>
      </c>
      <c r="N1500" t="s">
        <v>52</v>
      </c>
      <c r="O1500">
        <f>IF(TablaVentas[[#This Row],[Precio_unitario]]="","PENDIENTE",TablaVentas[[#This Row],[Unidades]]*TablaVentas[[#This Row],[Precio_unitario]]*(1-TablaVentas[[#This Row],[Descuento_pct]]))</f>
        <v>8097.62</v>
      </c>
      <c r="P1500">
        <f>IF(TablaVentas[[#This Row],[Costo_unitario]]="","PENDIENTE",TablaVentas[[#This Row],[Unidades]]*TablaVentas[[#This Row],[Costo_unitario]])</f>
        <v>4044.16</v>
      </c>
      <c r="Q1500">
        <f>IF(OR(TablaVentas[[#This Row],[Ingreso_neto]]="PENDIENTE",TablaVentas[[#This Row],[Costo_total]]="PENDIENTE"),"PENDIENTE",TablaVentas[[#This Row],[Ingreso_neto]]-TablaVentas[[#This Row],[Costo_total]])</f>
        <v>4053.46</v>
      </c>
    </row>
    <row r="1501" spans="1:17">
      <c r="A1501" t="s">
        <v>1026</v>
      </c>
      <c r="B1501">
        <v>3</v>
      </c>
      <c r="C1501" s="3">
        <v>46175</v>
      </c>
      <c r="D1501" t="s">
        <v>435</v>
      </c>
      <c r="E1501" t="s">
        <v>110</v>
      </c>
      <c r="F1501" t="s">
        <v>39</v>
      </c>
      <c r="G1501" t="s">
        <v>40</v>
      </c>
      <c r="H1501" t="s">
        <v>67</v>
      </c>
      <c r="I1501">
        <v>1</v>
      </c>
      <c r="J1501" s="4">
        <v>5306.45</v>
      </c>
      <c r="K1501" s="5">
        <v>0</v>
      </c>
      <c r="L1501" s="4">
        <v>4205.6899999999996</v>
      </c>
      <c r="M1501" t="s">
        <v>42</v>
      </c>
      <c r="N1501" t="s">
        <v>45</v>
      </c>
      <c r="O1501">
        <f>IF(TablaVentas[[#This Row],[Precio_unitario]]="","PENDIENTE",TablaVentas[[#This Row],[Unidades]]*TablaVentas[[#This Row],[Precio_unitario]]*(1-TablaVentas[[#This Row],[Descuento_pct]]))</f>
        <v>5306.45</v>
      </c>
      <c r="P1501">
        <f>IF(TablaVentas[[#This Row],[Costo_unitario]]="","PENDIENTE",TablaVentas[[#This Row],[Unidades]]*TablaVentas[[#This Row],[Costo_unitario]])</f>
        <v>4205.6899999999996</v>
      </c>
      <c r="Q1501">
        <f>IF(OR(TablaVentas[[#This Row],[Ingreso_neto]]="PENDIENTE",TablaVentas[[#This Row],[Costo_total]]="PENDIENTE"),"PENDIENTE",TablaVentas[[#This Row],[Ingreso_neto]]-TablaVentas[[#This Row],[Costo_total]])</f>
        <v>1100.7600000000002</v>
      </c>
    </row>
    <row r="1502" spans="1:17">
      <c r="A1502" t="s">
        <v>1026</v>
      </c>
      <c r="B1502">
        <v>4</v>
      </c>
      <c r="C1502" s="3">
        <v>46175</v>
      </c>
      <c r="D1502" t="s">
        <v>435</v>
      </c>
      <c r="E1502" t="s">
        <v>132</v>
      </c>
      <c r="F1502" t="s">
        <v>39</v>
      </c>
      <c r="G1502" t="s">
        <v>40</v>
      </c>
      <c r="H1502" t="s">
        <v>67</v>
      </c>
      <c r="I1502">
        <v>1</v>
      </c>
      <c r="J1502" s="4">
        <v>18614.080000000002</v>
      </c>
      <c r="K1502" s="5">
        <v>0</v>
      </c>
      <c r="L1502" s="4">
        <v>11036.95</v>
      </c>
      <c r="M1502" t="s">
        <v>42</v>
      </c>
      <c r="N1502" t="s">
        <v>60</v>
      </c>
      <c r="O1502">
        <f>IF(TablaVentas[[#This Row],[Precio_unitario]]="","PENDIENTE",TablaVentas[[#This Row],[Unidades]]*TablaVentas[[#This Row],[Precio_unitario]]*(1-TablaVentas[[#This Row],[Descuento_pct]]))</f>
        <v>18614.080000000002</v>
      </c>
      <c r="P1502">
        <f>IF(TablaVentas[[#This Row],[Costo_unitario]]="","PENDIENTE",TablaVentas[[#This Row],[Unidades]]*TablaVentas[[#This Row],[Costo_unitario]])</f>
        <v>11036.95</v>
      </c>
      <c r="Q1502">
        <f>IF(OR(TablaVentas[[#This Row],[Ingreso_neto]]="PENDIENTE",TablaVentas[[#This Row],[Costo_total]]="PENDIENTE"),"PENDIENTE",TablaVentas[[#This Row],[Ingreso_neto]]-TablaVentas[[#This Row],[Costo_total]])</f>
        <v>7577.130000000001</v>
      </c>
    </row>
    <row r="1503" spans="1:17">
      <c r="A1503" t="s">
        <v>1027</v>
      </c>
      <c r="B1503">
        <v>1</v>
      </c>
      <c r="C1503" s="3">
        <v>46065</v>
      </c>
      <c r="D1503" t="s">
        <v>332</v>
      </c>
      <c r="E1503" t="s">
        <v>101</v>
      </c>
      <c r="F1503" t="s">
        <v>56</v>
      </c>
      <c r="G1503" t="s">
        <v>40</v>
      </c>
      <c r="H1503" t="s">
        <v>124</v>
      </c>
      <c r="I1503">
        <v>4</v>
      </c>
      <c r="J1503" s="4">
        <v>4798.58</v>
      </c>
      <c r="K1503" s="5">
        <v>0.1</v>
      </c>
      <c r="L1503" s="4">
        <v>2865.24</v>
      </c>
      <c r="M1503" t="s">
        <v>42</v>
      </c>
      <c r="N1503" t="s">
        <v>45</v>
      </c>
      <c r="O1503">
        <f>IF(TablaVentas[[#This Row],[Precio_unitario]]="","PENDIENTE",TablaVentas[[#This Row],[Unidades]]*TablaVentas[[#This Row],[Precio_unitario]]*(1-TablaVentas[[#This Row],[Descuento_pct]]))</f>
        <v>17274.887999999999</v>
      </c>
      <c r="P1503">
        <f>IF(TablaVentas[[#This Row],[Costo_unitario]]="","PENDIENTE",TablaVentas[[#This Row],[Unidades]]*TablaVentas[[#This Row],[Costo_unitario]])</f>
        <v>11460.96</v>
      </c>
      <c r="Q1503">
        <f>IF(OR(TablaVentas[[#This Row],[Ingreso_neto]]="PENDIENTE",TablaVentas[[#This Row],[Costo_total]]="PENDIENTE"),"PENDIENTE",TablaVentas[[#This Row],[Ingreso_neto]]-TablaVentas[[#This Row],[Costo_total]])</f>
        <v>5813.9279999999999</v>
      </c>
    </row>
    <row r="1504" spans="1:17">
      <c r="A1504" t="s">
        <v>1027</v>
      </c>
      <c r="B1504">
        <v>2</v>
      </c>
      <c r="C1504" s="3">
        <v>46065</v>
      </c>
      <c r="D1504" t="s">
        <v>332</v>
      </c>
      <c r="E1504" t="s">
        <v>397</v>
      </c>
      <c r="F1504" t="s">
        <v>56</v>
      </c>
      <c r="G1504" t="s">
        <v>40</v>
      </c>
      <c r="H1504" t="s">
        <v>124</v>
      </c>
      <c r="I1504">
        <v>1</v>
      </c>
      <c r="J1504" s="4">
        <v>6734.65</v>
      </c>
      <c r="K1504" s="5">
        <v>0</v>
      </c>
      <c r="L1504" s="4">
        <v>3640.56</v>
      </c>
      <c r="M1504" t="s">
        <v>42</v>
      </c>
      <c r="N1504" t="s">
        <v>60</v>
      </c>
      <c r="O1504">
        <f>IF(TablaVentas[[#This Row],[Precio_unitario]]="","PENDIENTE",TablaVentas[[#This Row],[Unidades]]*TablaVentas[[#This Row],[Precio_unitario]]*(1-TablaVentas[[#This Row],[Descuento_pct]]))</f>
        <v>6734.65</v>
      </c>
      <c r="P1504">
        <f>IF(TablaVentas[[#This Row],[Costo_unitario]]="","PENDIENTE",TablaVentas[[#This Row],[Unidades]]*TablaVentas[[#This Row],[Costo_unitario]])</f>
        <v>3640.56</v>
      </c>
      <c r="Q1504">
        <f>IF(OR(TablaVentas[[#This Row],[Ingreso_neto]]="PENDIENTE",TablaVentas[[#This Row],[Costo_total]]="PENDIENTE"),"PENDIENTE",TablaVentas[[#This Row],[Ingreso_neto]]-TablaVentas[[#This Row],[Costo_total]])</f>
        <v>3094.0899999999997</v>
      </c>
    </row>
    <row r="1505" spans="1:17">
      <c r="A1505" t="s">
        <v>1027</v>
      </c>
      <c r="B1505">
        <v>3</v>
      </c>
      <c r="C1505" s="3">
        <v>46065</v>
      </c>
      <c r="D1505" t="s">
        <v>332</v>
      </c>
      <c r="E1505" t="s">
        <v>86</v>
      </c>
      <c r="F1505" t="s">
        <v>56</v>
      </c>
      <c r="G1505" t="s">
        <v>40</v>
      </c>
      <c r="H1505" t="s">
        <v>124</v>
      </c>
      <c r="I1505">
        <v>1</v>
      </c>
      <c r="J1505" s="4">
        <v>14817.71</v>
      </c>
      <c r="K1505" s="5">
        <v>0.15</v>
      </c>
      <c r="L1505" s="4">
        <v>11166.03</v>
      </c>
      <c r="M1505" t="s">
        <v>42</v>
      </c>
      <c r="N1505" t="s">
        <v>45</v>
      </c>
      <c r="O1505">
        <f>IF(TablaVentas[[#This Row],[Precio_unitario]]="","PENDIENTE",TablaVentas[[#This Row],[Unidades]]*TablaVentas[[#This Row],[Precio_unitario]]*(1-TablaVentas[[#This Row],[Descuento_pct]]))</f>
        <v>12595.053499999998</v>
      </c>
      <c r="P1505">
        <f>IF(TablaVentas[[#This Row],[Costo_unitario]]="","PENDIENTE",TablaVentas[[#This Row],[Unidades]]*TablaVentas[[#This Row],[Costo_unitario]])</f>
        <v>11166.03</v>
      </c>
      <c r="Q1505">
        <f>IF(OR(TablaVentas[[#This Row],[Ingreso_neto]]="PENDIENTE",TablaVentas[[#This Row],[Costo_total]]="PENDIENTE"),"PENDIENTE",TablaVentas[[#This Row],[Ingreso_neto]]-TablaVentas[[#This Row],[Costo_total]])</f>
        <v>1429.0234999999975</v>
      </c>
    </row>
    <row r="1506" spans="1:17">
      <c r="A1506" t="s">
        <v>1028</v>
      </c>
      <c r="B1506">
        <v>1</v>
      </c>
      <c r="C1506" s="3">
        <v>46240</v>
      </c>
      <c r="D1506" t="s">
        <v>202</v>
      </c>
      <c r="E1506" t="s">
        <v>44</v>
      </c>
      <c r="F1506" t="s">
        <v>56</v>
      </c>
      <c r="G1506" t="s">
        <v>50</v>
      </c>
      <c r="H1506" t="s">
        <v>184</v>
      </c>
      <c r="I1506">
        <v>2</v>
      </c>
      <c r="J1506" s="4">
        <v>14710.66</v>
      </c>
      <c r="K1506" s="5">
        <v>0.15</v>
      </c>
      <c r="L1506" s="4">
        <v>8980.68</v>
      </c>
      <c r="M1506" t="s">
        <v>42</v>
      </c>
      <c r="N1506" t="s">
        <v>43</v>
      </c>
      <c r="O1506">
        <f>IF(TablaVentas[[#This Row],[Precio_unitario]]="","PENDIENTE",TablaVentas[[#This Row],[Unidades]]*TablaVentas[[#This Row],[Precio_unitario]]*(1-TablaVentas[[#This Row],[Descuento_pct]]))</f>
        <v>25008.121999999999</v>
      </c>
      <c r="P1506">
        <f>IF(TablaVentas[[#This Row],[Costo_unitario]]="","PENDIENTE",TablaVentas[[#This Row],[Unidades]]*TablaVentas[[#This Row],[Costo_unitario]])</f>
        <v>17961.36</v>
      </c>
      <c r="Q1506">
        <f>IF(OR(TablaVentas[[#This Row],[Ingreso_neto]]="PENDIENTE",TablaVentas[[#This Row],[Costo_total]]="PENDIENTE"),"PENDIENTE",TablaVentas[[#This Row],[Ingreso_neto]]-TablaVentas[[#This Row],[Costo_total]])</f>
        <v>7046.7619999999988</v>
      </c>
    </row>
    <row r="1507" spans="1:17">
      <c r="A1507" t="s">
        <v>1028</v>
      </c>
      <c r="B1507">
        <v>2</v>
      </c>
      <c r="C1507" s="3">
        <v>46240</v>
      </c>
      <c r="D1507" t="s">
        <v>202</v>
      </c>
      <c r="E1507" t="s">
        <v>206</v>
      </c>
      <c r="F1507" t="s">
        <v>56</v>
      </c>
      <c r="G1507" t="s">
        <v>50</v>
      </c>
      <c r="H1507" t="s">
        <v>184</v>
      </c>
      <c r="I1507">
        <v>1</v>
      </c>
      <c r="J1507" s="4">
        <v>5159.57</v>
      </c>
      <c r="K1507" s="5">
        <v>0.2</v>
      </c>
      <c r="L1507" s="4">
        <v>4008.77</v>
      </c>
      <c r="M1507" t="s">
        <v>42</v>
      </c>
      <c r="N1507" t="s">
        <v>60</v>
      </c>
      <c r="O1507">
        <f>IF(TablaVentas[[#This Row],[Precio_unitario]]="","PENDIENTE",TablaVentas[[#This Row],[Unidades]]*TablaVentas[[#This Row],[Precio_unitario]]*(1-TablaVentas[[#This Row],[Descuento_pct]]))</f>
        <v>4127.6559999999999</v>
      </c>
      <c r="P1507">
        <f>IF(TablaVentas[[#This Row],[Costo_unitario]]="","PENDIENTE",TablaVentas[[#This Row],[Unidades]]*TablaVentas[[#This Row],[Costo_unitario]])</f>
        <v>4008.77</v>
      </c>
      <c r="Q1507">
        <f>IF(OR(TablaVentas[[#This Row],[Ingreso_neto]]="PENDIENTE",TablaVentas[[#This Row],[Costo_total]]="PENDIENTE"),"PENDIENTE",TablaVentas[[#This Row],[Ingreso_neto]]-TablaVentas[[#This Row],[Costo_total]])</f>
        <v>118.88599999999997</v>
      </c>
    </row>
    <row r="1508" spans="1:17">
      <c r="A1508" t="s">
        <v>1028</v>
      </c>
      <c r="B1508">
        <v>3</v>
      </c>
      <c r="C1508" s="3">
        <v>46240</v>
      </c>
      <c r="D1508" t="s">
        <v>202</v>
      </c>
      <c r="E1508" t="s">
        <v>272</v>
      </c>
      <c r="F1508" t="s">
        <v>56</v>
      </c>
      <c r="G1508" t="s">
        <v>50</v>
      </c>
      <c r="H1508" t="s">
        <v>184</v>
      </c>
      <c r="I1508">
        <v>1</v>
      </c>
      <c r="J1508" s="4">
        <v>629.89</v>
      </c>
      <c r="K1508" s="5">
        <v>0.05</v>
      </c>
      <c r="L1508" s="4">
        <v>443</v>
      </c>
      <c r="M1508" t="s">
        <v>42</v>
      </c>
      <c r="N1508" t="s">
        <v>43</v>
      </c>
      <c r="O1508">
        <f>IF(TablaVentas[[#This Row],[Precio_unitario]]="","PENDIENTE",TablaVentas[[#This Row],[Unidades]]*TablaVentas[[#This Row],[Precio_unitario]]*(1-TablaVentas[[#This Row],[Descuento_pct]]))</f>
        <v>598.39549999999997</v>
      </c>
      <c r="P1508">
        <f>IF(TablaVentas[[#This Row],[Costo_unitario]]="","PENDIENTE",TablaVentas[[#This Row],[Unidades]]*TablaVentas[[#This Row],[Costo_unitario]])</f>
        <v>443</v>
      </c>
      <c r="Q1508">
        <f>IF(OR(TablaVentas[[#This Row],[Ingreso_neto]]="PENDIENTE",TablaVentas[[#This Row],[Costo_total]]="PENDIENTE"),"PENDIENTE",TablaVentas[[#This Row],[Ingreso_neto]]-TablaVentas[[#This Row],[Costo_total]])</f>
        <v>155.39549999999997</v>
      </c>
    </row>
    <row r="1509" spans="1:17">
      <c r="A1509" t="s">
        <v>1029</v>
      </c>
      <c r="B1509">
        <v>1</v>
      </c>
      <c r="C1509" s="3">
        <v>46139</v>
      </c>
      <c r="D1509" t="s">
        <v>392</v>
      </c>
      <c r="E1509" t="s">
        <v>113</v>
      </c>
      <c r="F1509" t="s">
        <v>56</v>
      </c>
      <c r="G1509" t="s">
        <v>50</v>
      </c>
      <c r="H1509" t="s">
        <v>58</v>
      </c>
      <c r="I1509">
        <v>2</v>
      </c>
      <c r="J1509" s="4">
        <v>3041.18</v>
      </c>
      <c r="K1509" s="5">
        <v>0.2</v>
      </c>
      <c r="L1509" s="4">
        <v>2196.34</v>
      </c>
      <c r="M1509" t="s">
        <v>42</v>
      </c>
      <c r="N1509" t="s">
        <v>43</v>
      </c>
      <c r="O1509">
        <f>IF(TablaVentas[[#This Row],[Precio_unitario]]="","PENDIENTE",TablaVentas[[#This Row],[Unidades]]*TablaVentas[[#This Row],[Precio_unitario]]*(1-TablaVentas[[#This Row],[Descuento_pct]]))</f>
        <v>4865.8879999999999</v>
      </c>
      <c r="P1509">
        <f>IF(TablaVentas[[#This Row],[Costo_unitario]]="","PENDIENTE",TablaVentas[[#This Row],[Unidades]]*TablaVentas[[#This Row],[Costo_unitario]])</f>
        <v>4392.68</v>
      </c>
      <c r="Q1509">
        <f>IF(OR(TablaVentas[[#This Row],[Ingreso_neto]]="PENDIENTE",TablaVentas[[#This Row],[Costo_total]]="PENDIENTE"),"PENDIENTE",TablaVentas[[#This Row],[Ingreso_neto]]-TablaVentas[[#This Row],[Costo_total]])</f>
        <v>473.20799999999963</v>
      </c>
    </row>
    <row r="1510" spans="1:17">
      <c r="A1510" t="s">
        <v>1029</v>
      </c>
      <c r="B1510">
        <v>2</v>
      </c>
      <c r="C1510" s="3">
        <v>46139</v>
      </c>
      <c r="D1510" t="s">
        <v>392</v>
      </c>
      <c r="E1510" t="s">
        <v>115</v>
      </c>
      <c r="F1510" t="s">
        <v>56</v>
      </c>
      <c r="G1510" t="s">
        <v>50</v>
      </c>
      <c r="H1510" t="s">
        <v>58</v>
      </c>
      <c r="I1510">
        <v>1</v>
      </c>
      <c r="J1510" s="4">
        <v>1276.52</v>
      </c>
      <c r="K1510" s="5">
        <v>0</v>
      </c>
      <c r="L1510" s="4">
        <v>705.87</v>
      </c>
      <c r="M1510" t="s">
        <v>42</v>
      </c>
      <c r="N1510" t="s">
        <v>45</v>
      </c>
      <c r="O1510">
        <f>IF(TablaVentas[[#This Row],[Precio_unitario]]="","PENDIENTE",TablaVentas[[#This Row],[Unidades]]*TablaVentas[[#This Row],[Precio_unitario]]*(1-TablaVentas[[#This Row],[Descuento_pct]]))</f>
        <v>1276.52</v>
      </c>
      <c r="P1510">
        <f>IF(TablaVentas[[#This Row],[Costo_unitario]]="","PENDIENTE",TablaVentas[[#This Row],[Unidades]]*TablaVentas[[#This Row],[Costo_unitario]])</f>
        <v>705.87</v>
      </c>
      <c r="Q1510">
        <f>IF(OR(TablaVentas[[#This Row],[Ingreso_neto]]="PENDIENTE",TablaVentas[[#This Row],[Costo_total]]="PENDIENTE"),"PENDIENTE",TablaVentas[[#This Row],[Ingreso_neto]]-TablaVentas[[#This Row],[Costo_total]])</f>
        <v>570.65</v>
      </c>
    </row>
    <row r="1511" spans="1:17">
      <c r="A1511" t="s">
        <v>1029</v>
      </c>
      <c r="B1511">
        <v>3</v>
      </c>
      <c r="C1511" s="3">
        <v>46139</v>
      </c>
      <c r="D1511" t="s">
        <v>392</v>
      </c>
      <c r="E1511" t="s">
        <v>110</v>
      </c>
      <c r="F1511" t="s">
        <v>56</v>
      </c>
      <c r="G1511" t="s">
        <v>50</v>
      </c>
      <c r="H1511" t="s">
        <v>58</v>
      </c>
      <c r="I1511">
        <v>1</v>
      </c>
      <c r="J1511" s="4">
        <v>5043.25</v>
      </c>
      <c r="K1511" s="5">
        <v>0.05</v>
      </c>
      <c r="L1511" s="4">
        <v>4205.6899999999996</v>
      </c>
      <c r="M1511" t="s">
        <v>42</v>
      </c>
      <c r="N1511" t="s">
        <v>52</v>
      </c>
      <c r="O1511">
        <f>IF(TablaVentas[[#This Row],[Precio_unitario]]="","PENDIENTE",TablaVentas[[#This Row],[Unidades]]*TablaVentas[[#This Row],[Precio_unitario]]*(1-TablaVentas[[#This Row],[Descuento_pct]]))</f>
        <v>4791.0874999999996</v>
      </c>
      <c r="P1511">
        <f>IF(TablaVentas[[#This Row],[Costo_unitario]]="","PENDIENTE",TablaVentas[[#This Row],[Unidades]]*TablaVentas[[#This Row],[Costo_unitario]])</f>
        <v>4205.6899999999996</v>
      </c>
      <c r="Q1511">
        <f>IF(OR(TablaVentas[[#This Row],[Ingreso_neto]]="PENDIENTE",TablaVentas[[#This Row],[Costo_total]]="PENDIENTE"),"PENDIENTE",TablaVentas[[#This Row],[Ingreso_neto]]-TablaVentas[[#This Row],[Costo_total]])</f>
        <v>585.39750000000004</v>
      </c>
    </row>
    <row r="1512" spans="1:17">
      <c r="A1512" t="s">
        <v>1029</v>
      </c>
      <c r="B1512">
        <v>4</v>
      </c>
      <c r="C1512" s="3">
        <v>46139</v>
      </c>
      <c r="D1512" t="s">
        <v>392</v>
      </c>
      <c r="E1512" t="s">
        <v>97</v>
      </c>
      <c r="F1512" t="s">
        <v>56</v>
      </c>
      <c r="G1512" t="s">
        <v>50</v>
      </c>
      <c r="H1512" t="s">
        <v>58</v>
      </c>
      <c r="I1512">
        <v>1</v>
      </c>
      <c r="J1512" s="4">
        <v>15897.89</v>
      </c>
      <c r="K1512" s="5">
        <v>0</v>
      </c>
      <c r="L1512" s="4">
        <v>11424.77</v>
      </c>
      <c r="M1512" t="s">
        <v>42</v>
      </c>
      <c r="N1512" t="s">
        <v>43</v>
      </c>
      <c r="O1512">
        <f>IF(TablaVentas[[#This Row],[Precio_unitario]]="","PENDIENTE",TablaVentas[[#This Row],[Unidades]]*TablaVentas[[#This Row],[Precio_unitario]]*(1-TablaVentas[[#This Row],[Descuento_pct]]))</f>
        <v>15897.89</v>
      </c>
      <c r="P1512">
        <f>IF(TablaVentas[[#This Row],[Costo_unitario]]="","PENDIENTE",TablaVentas[[#This Row],[Unidades]]*TablaVentas[[#This Row],[Costo_unitario]])</f>
        <v>11424.77</v>
      </c>
      <c r="Q1512">
        <f>IF(OR(TablaVentas[[#This Row],[Ingreso_neto]]="PENDIENTE",TablaVentas[[#This Row],[Costo_total]]="PENDIENTE"),"PENDIENTE",TablaVentas[[#This Row],[Ingreso_neto]]-TablaVentas[[#This Row],[Costo_total]])</f>
        <v>4473.119999999999</v>
      </c>
    </row>
    <row r="1513" spans="1:17">
      <c r="A1513" t="s">
        <v>1029</v>
      </c>
      <c r="B1513">
        <v>5</v>
      </c>
      <c r="C1513" s="3">
        <v>46139</v>
      </c>
      <c r="D1513" t="s">
        <v>392</v>
      </c>
      <c r="E1513" t="s">
        <v>206</v>
      </c>
      <c r="F1513" t="s">
        <v>56</v>
      </c>
      <c r="G1513" t="s">
        <v>50</v>
      </c>
      <c r="H1513" t="s">
        <v>58</v>
      </c>
      <c r="I1513">
        <v>2</v>
      </c>
      <c r="J1513" s="4">
        <v>5765.47</v>
      </c>
      <c r="K1513" s="5">
        <v>0.15</v>
      </c>
      <c r="L1513" s="4">
        <v>4008.77</v>
      </c>
      <c r="M1513" t="s">
        <v>42</v>
      </c>
      <c r="N1513" t="s">
        <v>45</v>
      </c>
      <c r="O1513">
        <f>IF(TablaVentas[[#This Row],[Precio_unitario]]="","PENDIENTE",TablaVentas[[#This Row],[Unidades]]*TablaVentas[[#This Row],[Precio_unitario]]*(1-TablaVentas[[#This Row],[Descuento_pct]]))</f>
        <v>9801.2990000000009</v>
      </c>
      <c r="P1513">
        <f>IF(TablaVentas[[#This Row],[Costo_unitario]]="","PENDIENTE",TablaVentas[[#This Row],[Unidades]]*TablaVentas[[#This Row],[Costo_unitario]])</f>
        <v>8017.54</v>
      </c>
      <c r="Q1513">
        <f>IF(OR(TablaVentas[[#This Row],[Ingreso_neto]]="PENDIENTE",TablaVentas[[#This Row],[Costo_total]]="PENDIENTE"),"PENDIENTE",TablaVentas[[#This Row],[Ingreso_neto]]-TablaVentas[[#This Row],[Costo_total]])</f>
        <v>1783.7590000000009</v>
      </c>
    </row>
    <row r="1514" spans="1:17">
      <c r="A1514" t="s">
        <v>1030</v>
      </c>
      <c r="B1514">
        <v>1</v>
      </c>
      <c r="C1514" s="3">
        <v>46119</v>
      </c>
      <c r="D1514" t="s">
        <v>108</v>
      </c>
      <c r="E1514" t="s">
        <v>69</v>
      </c>
      <c r="F1514" t="s">
        <v>39</v>
      </c>
      <c r="G1514" t="s">
        <v>40</v>
      </c>
      <c r="H1514" t="s">
        <v>184</v>
      </c>
      <c r="I1514">
        <v>1</v>
      </c>
      <c r="J1514" s="4">
        <v>13863.92</v>
      </c>
      <c r="K1514" s="5">
        <v>0</v>
      </c>
      <c r="L1514" s="4">
        <v>10094.26</v>
      </c>
      <c r="M1514" t="s">
        <v>62</v>
      </c>
      <c r="N1514" t="s">
        <v>60</v>
      </c>
      <c r="O1514">
        <f>IF(TablaVentas[[#This Row],[Precio_unitario]]="","PENDIENTE",TablaVentas[[#This Row],[Unidades]]*TablaVentas[[#This Row],[Precio_unitario]]*(1-TablaVentas[[#This Row],[Descuento_pct]]))</f>
        <v>13863.92</v>
      </c>
      <c r="P1514">
        <f>IF(TablaVentas[[#This Row],[Costo_unitario]]="","PENDIENTE",TablaVentas[[#This Row],[Unidades]]*TablaVentas[[#This Row],[Costo_unitario]])</f>
        <v>10094.26</v>
      </c>
      <c r="Q1514">
        <f>IF(OR(TablaVentas[[#This Row],[Ingreso_neto]]="PENDIENTE",TablaVentas[[#This Row],[Costo_total]]="PENDIENTE"),"PENDIENTE",TablaVentas[[#This Row],[Ingreso_neto]]-TablaVentas[[#This Row],[Costo_total]])</f>
        <v>3769.66</v>
      </c>
    </row>
    <row r="1515" spans="1:17">
      <c r="A1515" t="s">
        <v>1031</v>
      </c>
      <c r="B1515">
        <v>1</v>
      </c>
      <c r="C1515" s="3">
        <v>46152</v>
      </c>
      <c r="D1515" t="s">
        <v>88</v>
      </c>
      <c r="E1515" t="s">
        <v>120</v>
      </c>
      <c r="F1515" t="s">
        <v>56</v>
      </c>
      <c r="G1515" t="s">
        <v>57</v>
      </c>
      <c r="H1515" t="s">
        <v>41</v>
      </c>
      <c r="I1515">
        <v>1</v>
      </c>
      <c r="J1515" s="4">
        <v>12120.02</v>
      </c>
      <c r="K1515" s="5">
        <v>0</v>
      </c>
      <c r="L1515" s="4">
        <v>7975.26</v>
      </c>
      <c r="M1515" t="s">
        <v>42</v>
      </c>
      <c r="N1515" t="s">
        <v>45</v>
      </c>
      <c r="O1515">
        <f>IF(TablaVentas[[#This Row],[Precio_unitario]]="","PENDIENTE",TablaVentas[[#This Row],[Unidades]]*TablaVentas[[#This Row],[Precio_unitario]]*(1-TablaVentas[[#This Row],[Descuento_pct]]))</f>
        <v>12120.02</v>
      </c>
      <c r="P1515">
        <f>IF(TablaVentas[[#This Row],[Costo_unitario]]="","PENDIENTE",TablaVentas[[#This Row],[Unidades]]*TablaVentas[[#This Row],[Costo_unitario]])</f>
        <v>7975.26</v>
      </c>
      <c r="Q1515">
        <f>IF(OR(TablaVentas[[#This Row],[Ingreso_neto]]="PENDIENTE",TablaVentas[[#This Row],[Costo_total]]="PENDIENTE"),"PENDIENTE",TablaVentas[[#This Row],[Ingreso_neto]]-TablaVentas[[#This Row],[Costo_total]])</f>
        <v>4144.76</v>
      </c>
    </row>
    <row r="1516" spans="1:17">
      <c r="A1516" t="s">
        <v>1032</v>
      </c>
      <c r="B1516">
        <v>1</v>
      </c>
      <c r="C1516" s="3">
        <v>46178</v>
      </c>
      <c r="D1516" t="s">
        <v>749</v>
      </c>
      <c r="E1516" t="s">
        <v>282</v>
      </c>
      <c r="F1516" t="s">
        <v>39</v>
      </c>
      <c r="G1516" t="s">
        <v>50</v>
      </c>
      <c r="H1516" t="s">
        <v>41</v>
      </c>
      <c r="I1516">
        <v>2</v>
      </c>
      <c r="J1516" s="4">
        <v>4191.7700000000004</v>
      </c>
      <c r="K1516" s="5">
        <v>0</v>
      </c>
      <c r="L1516" s="4">
        <v>3399.5</v>
      </c>
      <c r="M1516" t="s">
        <v>42</v>
      </c>
      <c r="N1516" t="s">
        <v>60</v>
      </c>
      <c r="O1516">
        <f>IF(TablaVentas[[#This Row],[Precio_unitario]]="","PENDIENTE",TablaVentas[[#This Row],[Unidades]]*TablaVentas[[#This Row],[Precio_unitario]]*(1-TablaVentas[[#This Row],[Descuento_pct]]))</f>
        <v>8383.5400000000009</v>
      </c>
      <c r="P1516">
        <f>IF(TablaVentas[[#This Row],[Costo_unitario]]="","PENDIENTE",TablaVentas[[#This Row],[Unidades]]*TablaVentas[[#This Row],[Costo_unitario]])</f>
        <v>6799</v>
      </c>
      <c r="Q1516">
        <f>IF(OR(TablaVentas[[#This Row],[Ingreso_neto]]="PENDIENTE",TablaVentas[[#This Row],[Costo_total]]="PENDIENTE"),"PENDIENTE",TablaVentas[[#This Row],[Ingreso_neto]]-TablaVentas[[#This Row],[Costo_total]])</f>
        <v>1584.5400000000009</v>
      </c>
    </row>
    <row r="1517" spans="1:17">
      <c r="A1517" t="s">
        <v>1032</v>
      </c>
      <c r="B1517">
        <v>2</v>
      </c>
      <c r="C1517" s="3">
        <v>46178</v>
      </c>
      <c r="D1517" t="s">
        <v>749</v>
      </c>
      <c r="E1517" t="s">
        <v>203</v>
      </c>
      <c r="F1517" t="s">
        <v>39</v>
      </c>
      <c r="G1517" t="s">
        <v>50</v>
      </c>
      <c r="H1517" t="s">
        <v>41</v>
      </c>
      <c r="I1517">
        <v>5</v>
      </c>
      <c r="J1517" s="4">
        <v>2002.2</v>
      </c>
      <c r="K1517" s="5">
        <v>0.2</v>
      </c>
      <c r="L1517" s="4">
        <v>1252.8399999999999</v>
      </c>
      <c r="M1517" t="s">
        <v>62</v>
      </c>
      <c r="N1517" t="s">
        <v>43</v>
      </c>
      <c r="O1517">
        <f>IF(TablaVentas[[#This Row],[Precio_unitario]]="","PENDIENTE",TablaVentas[[#This Row],[Unidades]]*TablaVentas[[#This Row],[Precio_unitario]]*(1-TablaVentas[[#This Row],[Descuento_pct]]))</f>
        <v>8008.8</v>
      </c>
      <c r="P1517">
        <f>IF(TablaVentas[[#This Row],[Costo_unitario]]="","PENDIENTE",TablaVentas[[#This Row],[Unidades]]*TablaVentas[[#This Row],[Costo_unitario]])</f>
        <v>6264.2</v>
      </c>
      <c r="Q1517">
        <f>IF(OR(TablaVentas[[#This Row],[Ingreso_neto]]="PENDIENTE",TablaVentas[[#This Row],[Costo_total]]="PENDIENTE"),"PENDIENTE",TablaVentas[[#This Row],[Ingreso_neto]]-TablaVentas[[#This Row],[Costo_total]])</f>
        <v>1744.6000000000004</v>
      </c>
    </row>
    <row r="1518" spans="1:17">
      <c r="A1518" t="s">
        <v>1033</v>
      </c>
      <c r="B1518">
        <v>1</v>
      </c>
      <c r="C1518" s="3">
        <v>46068</v>
      </c>
      <c r="D1518" t="s">
        <v>749</v>
      </c>
      <c r="E1518" t="s">
        <v>70</v>
      </c>
      <c r="F1518" t="s">
        <v>66</v>
      </c>
      <c r="G1518" t="s">
        <v>50</v>
      </c>
      <c r="H1518" t="s">
        <v>73</v>
      </c>
      <c r="I1518">
        <v>1</v>
      </c>
      <c r="J1518" s="4">
        <v>16334.99</v>
      </c>
      <c r="K1518" s="5">
        <v>0</v>
      </c>
      <c r="L1518" s="4">
        <v>10571.25</v>
      </c>
      <c r="M1518" t="s">
        <v>42</v>
      </c>
      <c r="N1518" t="s">
        <v>45</v>
      </c>
      <c r="O1518">
        <f>IF(TablaVentas[[#This Row],[Precio_unitario]]="","PENDIENTE",TablaVentas[[#This Row],[Unidades]]*TablaVentas[[#This Row],[Precio_unitario]]*(1-TablaVentas[[#This Row],[Descuento_pct]]))</f>
        <v>16334.99</v>
      </c>
      <c r="P1518">
        <f>IF(TablaVentas[[#This Row],[Costo_unitario]]="","PENDIENTE",TablaVentas[[#This Row],[Unidades]]*TablaVentas[[#This Row],[Costo_unitario]])</f>
        <v>10571.25</v>
      </c>
      <c r="Q1518">
        <f>IF(OR(TablaVentas[[#This Row],[Ingreso_neto]]="PENDIENTE",TablaVentas[[#This Row],[Costo_total]]="PENDIENTE"),"PENDIENTE",TablaVentas[[#This Row],[Ingreso_neto]]-TablaVentas[[#This Row],[Costo_total]])</f>
        <v>5763.74</v>
      </c>
    </row>
    <row r="1519" spans="1:17">
      <c r="A1519" t="s">
        <v>1033</v>
      </c>
      <c r="B1519">
        <v>2</v>
      </c>
      <c r="C1519" s="3">
        <v>46068</v>
      </c>
      <c r="D1519" t="s">
        <v>749</v>
      </c>
      <c r="E1519" t="s">
        <v>180</v>
      </c>
      <c r="F1519" t="s">
        <v>66</v>
      </c>
      <c r="G1519" t="s">
        <v>50</v>
      </c>
      <c r="H1519" t="s">
        <v>73</v>
      </c>
      <c r="I1519">
        <v>5</v>
      </c>
      <c r="J1519" s="4">
        <v>6684.35</v>
      </c>
      <c r="K1519" s="5">
        <v>0</v>
      </c>
      <c r="L1519" s="4">
        <v>3824.92</v>
      </c>
      <c r="M1519" t="s">
        <v>42</v>
      </c>
      <c r="N1519" t="s">
        <v>60</v>
      </c>
      <c r="O1519">
        <f>IF(TablaVentas[[#This Row],[Precio_unitario]]="","PENDIENTE",TablaVentas[[#This Row],[Unidades]]*TablaVentas[[#This Row],[Precio_unitario]]*(1-TablaVentas[[#This Row],[Descuento_pct]]))</f>
        <v>33421.75</v>
      </c>
      <c r="P1519">
        <f>IF(TablaVentas[[#This Row],[Costo_unitario]]="","PENDIENTE",TablaVentas[[#This Row],[Unidades]]*TablaVentas[[#This Row],[Costo_unitario]])</f>
        <v>19124.599999999999</v>
      </c>
      <c r="Q1519">
        <f>IF(OR(TablaVentas[[#This Row],[Ingreso_neto]]="PENDIENTE",TablaVentas[[#This Row],[Costo_total]]="PENDIENTE"),"PENDIENTE",TablaVentas[[#This Row],[Ingreso_neto]]-TablaVentas[[#This Row],[Costo_total]])</f>
        <v>14297.150000000001</v>
      </c>
    </row>
    <row r="1520" spans="1:17">
      <c r="A1520" t="s">
        <v>1034</v>
      </c>
      <c r="B1520">
        <v>1</v>
      </c>
      <c r="C1520" s="3">
        <v>46275</v>
      </c>
      <c r="D1520" t="s">
        <v>462</v>
      </c>
      <c r="E1520" t="s">
        <v>203</v>
      </c>
      <c r="F1520" t="s">
        <v>56</v>
      </c>
      <c r="G1520" t="s">
        <v>40</v>
      </c>
      <c r="H1520" t="s">
        <v>41</v>
      </c>
      <c r="I1520">
        <v>3</v>
      </c>
      <c r="J1520" s="4">
        <v>2035.17</v>
      </c>
      <c r="K1520" s="5">
        <v>0.15</v>
      </c>
      <c r="L1520" s="4">
        <v>1252.8399999999999</v>
      </c>
      <c r="M1520" t="s">
        <v>42</v>
      </c>
      <c r="N1520" t="s">
        <v>43</v>
      </c>
      <c r="O1520">
        <f>IF(TablaVentas[[#This Row],[Precio_unitario]]="","PENDIENTE",TablaVentas[[#This Row],[Unidades]]*TablaVentas[[#This Row],[Precio_unitario]]*(1-TablaVentas[[#This Row],[Descuento_pct]]))</f>
        <v>5189.6835000000001</v>
      </c>
      <c r="P1520">
        <f>IF(TablaVentas[[#This Row],[Costo_unitario]]="","PENDIENTE",TablaVentas[[#This Row],[Unidades]]*TablaVentas[[#This Row],[Costo_unitario]])</f>
        <v>3758.5199999999995</v>
      </c>
      <c r="Q1520">
        <f>IF(OR(TablaVentas[[#This Row],[Ingreso_neto]]="PENDIENTE",TablaVentas[[#This Row],[Costo_total]]="PENDIENTE"),"PENDIENTE",TablaVentas[[#This Row],[Ingreso_neto]]-TablaVentas[[#This Row],[Costo_total]])</f>
        <v>1431.1635000000006</v>
      </c>
    </row>
    <row r="1521" spans="1:17">
      <c r="A1521" t="s">
        <v>1035</v>
      </c>
      <c r="B1521">
        <v>1</v>
      </c>
      <c r="C1521" s="3">
        <v>46217</v>
      </c>
      <c r="D1521" t="s">
        <v>627</v>
      </c>
      <c r="E1521" t="s">
        <v>216</v>
      </c>
      <c r="F1521" t="s">
        <v>39</v>
      </c>
      <c r="G1521" t="s">
        <v>40</v>
      </c>
      <c r="H1521" t="s">
        <v>124</v>
      </c>
      <c r="I1521">
        <v>1</v>
      </c>
      <c r="J1521" s="4">
        <v>15992.41</v>
      </c>
      <c r="K1521" s="5">
        <v>0</v>
      </c>
      <c r="L1521" s="4">
        <v>12064.41</v>
      </c>
      <c r="M1521" t="s">
        <v>42</v>
      </c>
      <c r="N1521" t="s">
        <v>45</v>
      </c>
      <c r="O1521">
        <f>IF(TablaVentas[[#This Row],[Precio_unitario]]="","PENDIENTE",TablaVentas[[#This Row],[Unidades]]*TablaVentas[[#This Row],[Precio_unitario]]*(1-TablaVentas[[#This Row],[Descuento_pct]]))</f>
        <v>15992.41</v>
      </c>
      <c r="P1521">
        <f>IF(TablaVentas[[#This Row],[Costo_unitario]]="","PENDIENTE",TablaVentas[[#This Row],[Unidades]]*TablaVentas[[#This Row],[Costo_unitario]])</f>
        <v>12064.41</v>
      </c>
      <c r="Q1521">
        <f>IF(OR(TablaVentas[[#This Row],[Ingreso_neto]]="PENDIENTE",TablaVentas[[#This Row],[Costo_total]]="PENDIENTE"),"PENDIENTE",TablaVentas[[#This Row],[Ingreso_neto]]-TablaVentas[[#This Row],[Costo_total]])</f>
        <v>3928</v>
      </c>
    </row>
    <row r="1522" spans="1:17">
      <c r="A1522" t="s">
        <v>1035</v>
      </c>
      <c r="B1522">
        <v>2</v>
      </c>
      <c r="C1522" s="3">
        <v>46217</v>
      </c>
      <c r="D1522" t="s">
        <v>627</v>
      </c>
      <c r="E1522" t="s">
        <v>140</v>
      </c>
      <c r="F1522" t="s">
        <v>39</v>
      </c>
      <c r="G1522" t="s">
        <v>40</v>
      </c>
      <c r="H1522" t="s">
        <v>124</v>
      </c>
      <c r="I1522">
        <v>1</v>
      </c>
      <c r="J1522" s="4">
        <v>2787.01</v>
      </c>
      <c r="K1522" s="5">
        <v>0.15</v>
      </c>
      <c r="L1522" s="4">
        <v>2427.63</v>
      </c>
      <c r="M1522" t="s">
        <v>42</v>
      </c>
      <c r="N1522" t="s">
        <v>52</v>
      </c>
      <c r="O1522">
        <f>IF(TablaVentas[[#This Row],[Precio_unitario]]="","PENDIENTE",TablaVentas[[#This Row],[Unidades]]*TablaVentas[[#This Row],[Precio_unitario]]*(1-TablaVentas[[#This Row],[Descuento_pct]]))</f>
        <v>2368.9585000000002</v>
      </c>
      <c r="P1522">
        <f>IF(TablaVentas[[#This Row],[Costo_unitario]]="","PENDIENTE",TablaVentas[[#This Row],[Unidades]]*TablaVentas[[#This Row],[Costo_unitario]])</f>
        <v>2427.63</v>
      </c>
      <c r="Q1522">
        <f>IF(OR(TablaVentas[[#This Row],[Ingreso_neto]]="PENDIENTE",TablaVentas[[#This Row],[Costo_total]]="PENDIENTE"),"PENDIENTE",TablaVentas[[#This Row],[Ingreso_neto]]-TablaVentas[[#This Row],[Costo_total]])</f>
        <v>-58.671499999999924</v>
      </c>
    </row>
    <row r="1523" spans="1:17">
      <c r="A1523" t="s">
        <v>1035</v>
      </c>
      <c r="B1523">
        <v>3</v>
      </c>
      <c r="C1523" s="3">
        <v>46217</v>
      </c>
      <c r="D1523" t="s">
        <v>627</v>
      </c>
      <c r="E1523" t="s">
        <v>106</v>
      </c>
      <c r="F1523" t="s">
        <v>39</v>
      </c>
      <c r="G1523" t="s">
        <v>40</v>
      </c>
      <c r="H1523" t="s">
        <v>124</v>
      </c>
      <c r="I1523">
        <v>1</v>
      </c>
      <c r="J1523" s="4">
        <v>10026.56</v>
      </c>
      <c r="K1523" s="5">
        <v>0.2</v>
      </c>
      <c r="L1523" s="4">
        <v>8276.74</v>
      </c>
      <c r="M1523" t="s">
        <v>42</v>
      </c>
      <c r="N1523" t="s">
        <v>60</v>
      </c>
      <c r="O1523">
        <f>IF(TablaVentas[[#This Row],[Precio_unitario]]="","PENDIENTE",TablaVentas[[#This Row],[Unidades]]*TablaVentas[[#This Row],[Precio_unitario]]*(1-TablaVentas[[#This Row],[Descuento_pct]]))</f>
        <v>8021.2479999999996</v>
      </c>
      <c r="P1523">
        <f>IF(TablaVentas[[#This Row],[Costo_unitario]]="","PENDIENTE",TablaVentas[[#This Row],[Unidades]]*TablaVentas[[#This Row],[Costo_unitario]])</f>
        <v>8276.74</v>
      </c>
      <c r="Q1523">
        <f>IF(OR(TablaVentas[[#This Row],[Ingreso_neto]]="PENDIENTE",TablaVentas[[#This Row],[Costo_total]]="PENDIENTE"),"PENDIENTE",TablaVentas[[#This Row],[Ingreso_neto]]-TablaVentas[[#This Row],[Costo_total]])</f>
        <v>-255.49200000000019</v>
      </c>
    </row>
    <row r="1524" spans="1:17">
      <c r="A1524" t="s">
        <v>1036</v>
      </c>
      <c r="B1524">
        <v>1</v>
      </c>
      <c r="C1524" s="3">
        <v>46260</v>
      </c>
      <c r="D1524" t="s">
        <v>279</v>
      </c>
      <c r="E1524" t="s">
        <v>49</v>
      </c>
      <c r="F1524" t="s">
        <v>39</v>
      </c>
      <c r="G1524" t="s">
        <v>57</v>
      </c>
      <c r="H1524" t="s">
        <v>129</v>
      </c>
      <c r="I1524">
        <v>1</v>
      </c>
      <c r="J1524" s="4">
        <v>3859.06</v>
      </c>
      <c r="K1524" s="5">
        <v>0</v>
      </c>
      <c r="L1524" s="4">
        <v>2950.52</v>
      </c>
      <c r="M1524" t="s">
        <v>42</v>
      </c>
      <c r="N1524" t="s">
        <v>45</v>
      </c>
      <c r="O1524">
        <f>IF(TablaVentas[[#This Row],[Precio_unitario]]="","PENDIENTE",TablaVentas[[#This Row],[Unidades]]*TablaVentas[[#This Row],[Precio_unitario]]*(1-TablaVentas[[#This Row],[Descuento_pct]]))</f>
        <v>3859.06</v>
      </c>
      <c r="P1524">
        <f>IF(TablaVentas[[#This Row],[Costo_unitario]]="","PENDIENTE",TablaVentas[[#This Row],[Unidades]]*TablaVentas[[#This Row],[Costo_unitario]])</f>
        <v>2950.52</v>
      </c>
      <c r="Q1524">
        <f>IF(OR(TablaVentas[[#This Row],[Ingreso_neto]]="PENDIENTE",TablaVentas[[#This Row],[Costo_total]]="PENDIENTE"),"PENDIENTE",TablaVentas[[#This Row],[Ingreso_neto]]-TablaVentas[[#This Row],[Costo_total]])</f>
        <v>908.54</v>
      </c>
    </row>
    <row r="1525" spans="1:17">
      <c r="A1525" t="s">
        <v>1036</v>
      </c>
      <c r="B1525">
        <v>2</v>
      </c>
      <c r="C1525" s="3">
        <v>46260</v>
      </c>
      <c r="D1525" t="s">
        <v>279</v>
      </c>
      <c r="E1525" t="s">
        <v>135</v>
      </c>
      <c r="F1525" t="s">
        <v>39</v>
      </c>
      <c r="G1525" t="s">
        <v>57</v>
      </c>
      <c r="H1525" t="s">
        <v>129</v>
      </c>
      <c r="I1525">
        <v>1</v>
      </c>
      <c r="J1525" s="4">
        <v>1770.15</v>
      </c>
      <c r="K1525" s="5">
        <v>0</v>
      </c>
      <c r="L1525" s="4">
        <v>1529.93</v>
      </c>
      <c r="M1525" t="s">
        <v>42</v>
      </c>
      <c r="N1525" t="s">
        <v>52</v>
      </c>
      <c r="O1525">
        <f>IF(TablaVentas[[#This Row],[Precio_unitario]]="","PENDIENTE",TablaVentas[[#This Row],[Unidades]]*TablaVentas[[#This Row],[Precio_unitario]]*(1-TablaVentas[[#This Row],[Descuento_pct]]))</f>
        <v>1770.15</v>
      </c>
      <c r="P1525">
        <f>IF(TablaVentas[[#This Row],[Costo_unitario]]="","PENDIENTE",TablaVentas[[#This Row],[Unidades]]*TablaVentas[[#This Row],[Costo_unitario]])</f>
        <v>1529.93</v>
      </c>
      <c r="Q1525">
        <f>IF(OR(TablaVentas[[#This Row],[Ingreso_neto]]="PENDIENTE",TablaVentas[[#This Row],[Costo_total]]="PENDIENTE"),"PENDIENTE",TablaVentas[[#This Row],[Ingreso_neto]]-TablaVentas[[#This Row],[Costo_total]])</f>
        <v>240.22000000000003</v>
      </c>
    </row>
    <row r="1526" spans="1:17">
      <c r="A1526" t="s">
        <v>1036</v>
      </c>
      <c r="B1526">
        <v>3</v>
      </c>
      <c r="C1526" s="3">
        <v>46260</v>
      </c>
      <c r="D1526" t="s">
        <v>279</v>
      </c>
      <c r="E1526" t="s">
        <v>119</v>
      </c>
      <c r="F1526" t="s">
        <v>39</v>
      </c>
      <c r="G1526" t="s">
        <v>57</v>
      </c>
      <c r="H1526" t="s">
        <v>129</v>
      </c>
      <c r="I1526">
        <v>1</v>
      </c>
      <c r="J1526" s="4">
        <v>8497.74</v>
      </c>
      <c r="K1526" s="5">
        <v>0.1</v>
      </c>
      <c r="L1526" s="4">
        <v>6981.94</v>
      </c>
      <c r="M1526" t="s">
        <v>42</v>
      </c>
      <c r="N1526" t="s">
        <v>45</v>
      </c>
      <c r="O1526">
        <f>IF(TablaVentas[[#This Row],[Precio_unitario]]="","PENDIENTE",TablaVentas[[#This Row],[Unidades]]*TablaVentas[[#This Row],[Precio_unitario]]*(1-TablaVentas[[#This Row],[Descuento_pct]]))</f>
        <v>7647.9660000000003</v>
      </c>
      <c r="P1526">
        <f>IF(TablaVentas[[#This Row],[Costo_unitario]]="","PENDIENTE",TablaVentas[[#This Row],[Unidades]]*TablaVentas[[#This Row],[Costo_unitario]])</f>
        <v>6981.94</v>
      </c>
      <c r="Q1526">
        <f>IF(OR(TablaVentas[[#This Row],[Ingreso_neto]]="PENDIENTE",TablaVentas[[#This Row],[Costo_total]]="PENDIENTE"),"PENDIENTE",TablaVentas[[#This Row],[Ingreso_neto]]-TablaVentas[[#This Row],[Costo_total]])</f>
        <v>666.02600000000075</v>
      </c>
    </row>
    <row r="1527" spans="1:17">
      <c r="A1527" t="s">
        <v>1036</v>
      </c>
      <c r="B1527">
        <v>4</v>
      </c>
      <c r="C1527" s="3">
        <v>46260</v>
      </c>
      <c r="D1527" t="s">
        <v>279</v>
      </c>
      <c r="E1527" t="s">
        <v>245</v>
      </c>
      <c r="F1527" t="s">
        <v>39</v>
      </c>
      <c r="G1527" t="s">
        <v>57</v>
      </c>
      <c r="H1527" t="s">
        <v>129</v>
      </c>
      <c r="I1527">
        <v>3</v>
      </c>
      <c r="J1527" s="4">
        <v>16295.18</v>
      </c>
      <c r="K1527" s="5">
        <v>0.05</v>
      </c>
      <c r="L1527" s="4">
        <v>10507.24</v>
      </c>
      <c r="M1527" t="s">
        <v>42</v>
      </c>
      <c r="N1527" t="s">
        <v>60</v>
      </c>
      <c r="O1527">
        <f>IF(TablaVentas[[#This Row],[Precio_unitario]]="","PENDIENTE",TablaVentas[[#This Row],[Unidades]]*TablaVentas[[#This Row],[Precio_unitario]]*(1-TablaVentas[[#This Row],[Descuento_pct]]))</f>
        <v>46441.262999999999</v>
      </c>
      <c r="P1527">
        <f>IF(TablaVentas[[#This Row],[Costo_unitario]]="","PENDIENTE",TablaVentas[[#This Row],[Unidades]]*TablaVentas[[#This Row],[Costo_unitario]])</f>
        <v>31521.72</v>
      </c>
      <c r="Q1527">
        <f>IF(OR(TablaVentas[[#This Row],[Ingreso_neto]]="PENDIENTE",TablaVentas[[#This Row],[Costo_total]]="PENDIENTE"),"PENDIENTE",TablaVentas[[#This Row],[Ingreso_neto]]-TablaVentas[[#This Row],[Costo_total]])</f>
        <v>14919.542999999998</v>
      </c>
    </row>
    <row r="1528" spans="1:17">
      <c r="A1528" t="s">
        <v>1036</v>
      </c>
      <c r="B1528">
        <v>5</v>
      </c>
      <c r="C1528" s="3">
        <v>46260</v>
      </c>
      <c r="D1528" t="s">
        <v>279</v>
      </c>
      <c r="E1528" t="s">
        <v>272</v>
      </c>
      <c r="F1528" t="s">
        <v>39</v>
      </c>
      <c r="G1528" t="s">
        <v>57</v>
      </c>
      <c r="H1528" t="s">
        <v>129</v>
      </c>
      <c r="I1528">
        <v>2</v>
      </c>
      <c r="J1528" s="4">
        <v>670.63</v>
      </c>
      <c r="K1528" s="5">
        <v>0.1</v>
      </c>
      <c r="L1528" s="4">
        <v>443</v>
      </c>
      <c r="M1528" t="s">
        <v>42</v>
      </c>
      <c r="N1528" t="s">
        <v>43</v>
      </c>
      <c r="O1528">
        <f>IF(TablaVentas[[#This Row],[Precio_unitario]]="","PENDIENTE",TablaVentas[[#This Row],[Unidades]]*TablaVentas[[#This Row],[Precio_unitario]]*(1-TablaVentas[[#This Row],[Descuento_pct]]))</f>
        <v>1207.134</v>
      </c>
      <c r="P1528">
        <f>IF(TablaVentas[[#This Row],[Costo_unitario]]="","PENDIENTE",TablaVentas[[#This Row],[Unidades]]*TablaVentas[[#This Row],[Costo_unitario]])</f>
        <v>886</v>
      </c>
      <c r="Q1528">
        <f>IF(OR(TablaVentas[[#This Row],[Ingreso_neto]]="PENDIENTE",TablaVentas[[#This Row],[Costo_total]]="PENDIENTE"),"PENDIENTE",TablaVentas[[#This Row],[Ingreso_neto]]-TablaVentas[[#This Row],[Costo_total]])</f>
        <v>321.13400000000001</v>
      </c>
    </row>
    <row r="1529" spans="1:17">
      <c r="A1529" t="s">
        <v>1037</v>
      </c>
      <c r="B1529">
        <v>1</v>
      </c>
      <c r="C1529" s="3">
        <v>46048</v>
      </c>
      <c r="D1529" t="s">
        <v>369</v>
      </c>
      <c r="E1529" t="s">
        <v>155</v>
      </c>
      <c r="F1529" t="s">
        <v>77</v>
      </c>
      <c r="G1529" t="s">
        <v>57</v>
      </c>
      <c r="H1529" t="s">
        <v>58</v>
      </c>
      <c r="I1529">
        <v>2</v>
      </c>
      <c r="J1529" s="4">
        <v>779.71</v>
      </c>
      <c r="K1529" s="5">
        <v>0.2</v>
      </c>
      <c r="L1529" s="4">
        <v>397.1</v>
      </c>
      <c r="M1529" t="s">
        <v>42</v>
      </c>
      <c r="N1529" t="s">
        <v>45</v>
      </c>
      <c r="O1529">
        <f>IF(TablaVentas[[#This Row],[Precio_unitario]]="","PENDIENTE",TablaVentas[[#This Row],[Unidades]]*TablaVentas[[#This Row],[Precio_unitario]]*(1-TablaVentas[[#This Row],[Descuento_pct]]))</f>
        <v>1247.5360000000001</v>
      </c>
      <c r="P1529">
        <f>IF(TablaVentas[[#This Row],[Costo_unitario]]="","PENDIENTE",TablaVentas[[#This Row],[Unidades]]*TablaVentas[[#This Row],[Costo_unitario]])</f>
        <v>794.2</v>
      </c>
      <c r="Q1529">
        <f>IF(OR(TablaVentas[[#This Row],[Ingreso_neto]]="PENDIENTE",TablaVentas[[#This Row],[Costo_total]]="PENDIENTE"),"PENDIENTE",TablaVentas[[#This Row],[Ingreso_neto]]-TablaVentas[[#This Row],[Costo_total]])</f>
        <v>453.33600000000001</v>
      </c>
    </row>
    <row r="1530" spans="1:17">
      <c r="A1530" t="s">
        <v>1037</v>
      </c>
      <c r="B1530">
        <v>2</v>
      </c>
      <c r="C1530" s="3">
        <v>46048</v>
      </c>
      <c r="D1530" t="s">
        <v>369</v>
      </c>
      <c r="E1530" t="s">
        <v>59</v>
      </c>
      <c r="F1530" t="s">
        <v>77</v>
      </c>
      <c r="G1530" t="s">
        <v>57</v>
      </c>
      <c r="H1530" t="s">
        <v>58</v>
      </c>
      <c r="I1530">
        <v>8</v>
      </c>
      <c r="J1530" s="4">
        <v>15086.78</v>
      </c>
      <c r="K1530" s="5">
        <v>0.05</v>
      </c>
      <c r="L1530" s="4">
        <v>10170.290000000001</v>
      </c>
      <c r="M1530" t="s">
        <v>42</v>
      </c>
      <c r="N1530" t="s">
        <v>45</v>
      </c>
      <c r="O1530">
        <f>IF(TablaVentas[[#This Row],[Precio_unitario]]="","PENDIENTE",TablaVentas[[#This Row],[Unidades]]*TablaVentas[[#This Row],[Precio_unitario]]*(1-TablaVentas[[#This Row],[Descuento_pct]]))</f>
        <v>114659.52800000001</v>
      </c>
      <c r="P1530">
        <f>IF(TablaVentas[[#This Row],[Costo_unitario]]="","PENDIENTE",TablaVentas[[#This Row],[Unidades]]*TablaVentas[[#This Row],[Costo_unitario]])</f>
        <v>81362.320000000007</v>
      </c>
      <c r="Q1530">
        <f>IF(OR(TablaVentas[[#This Row],[Ingreso_neto]]="PENDIENTE",TablaVentas[[#This Row],[Costo_total]]="PENDIENTE"),"PENDIENTE",TablaVentas[[#This Row],[Ingreso_neto]]-TablaVentas[[#This Row],[Costo_total]])</f>
        <v>33297.207999999999</v>
      </c>
    </row>
    <row r="1531" spans="1:17">
      <c r="A1531" t="s">
        <v>1038</v>
      </c>
      <c r="B1531">
        <v>1</v>
      </c>
      <c r="C1531" s="3">
        <v>46234</v>
      </c>
      <c r="D1531" t="s">
        <v>268</v>
      </c>
      <c r="E1531" t="s">
        <v>293</v>
      </c>
      <c r="F1531" t="s">
        <v>66</v>
      </c>
      <c r="G1531" t="s">
        <v>40</v>
      </c>
      <c r="H1531" t="s">
        <v>184</v>
      </c>
      <c r="I1531">
        <v>1</v>
      </c>
      <c r="J1531" s="4">
        <v>1101.7</v>
      </c>
      <c r="K1531" s="5">
        <v>0</v>
      </c>
      <c r="L1531" s="4">
        <v>936.52</v>
      </c>
      <c r="M1531" t="s">
        <v>42</v>
      </c>
      <c r="N1531" t="s">
        <v>45</v>
      </c>
      <c r="O1531">
        <f>IF(TablaVentas[[#This Row],[Precio_unitario]]="","PENDIENTE",TablaVentas[[#This Row],[Unidades]]*TablaVentas[[#This Row],[Precio_unitario]]*(1-TablaVentas[[#This Row],[Descuento_pct]]))</f>
        <v>1101.7</v>
      </c>
      <c r="P1531">
        <f>IF(TablaVentas[[#This Row],[Costo_unitario]]="","PENDIENTE",TablaVentas[[#This Row],[Unidades]]*TablaVentas[[#This Row],[Costo_unitario]])</f>
        <v>936.52</v>
      </c>
      <c r="Q1531">
        <f>IF(OR(TablaVentas[[#This Row],[Ingreso_neto]]="PENDIENTE",TablaVentas[[#This Row],[Costo_total]]="PENDIENTE"),"PENDIENTE",TablaVentas[[#This Row],[Ingreso_neto]]-TablaVentas[[#This Row],[Costo_total]])</f>
        <v>165.18000000000006</v>
      </c>
    </row>
    <row r="1532" spans="1:17">
      <c r="A1532" t="s">
        <v>1038</v>
      </c>
      <c r="B1532">
        <v>2</v>
      </c>
      <c r="C1532" s="3">
        <v>46234</v>
      </c>
      <c r="D1532" t="s">
        <v>268</v>
      </c>
      <c r="E1532" t="s">
        <v>86</v>
      </c>
      <c r="F1532" t="s">
        <v>66</v>
      </c>
      <c r="G1532" t="s">
        <v>40</v>
      </c>
      <c r="H1532" t="s">
        <v>184</v>
      </c>
      <c r="I1532">
        <v>1</v>
      </c>
      <c r="J1532" s="4">
        <v>16127.17</v>
      </c>
      <c r="K1532" s="5">
        <v>0</v>
      </c>
      <c r="L1532" s="4">
        <v>11166.03</v>
      </c>
      <c r="M1532" t="s">
        <v>42</v>
      </c>
      <c r="N1532" t="s">
        <v>60</v>
      </c>
      <c r="O1532">
        <f>IF(TablaVentas[[#This Row],[Precio_unitario]]="","PENDIENTE",TablaVentas[[#This Row],[Unidades]]*TablaVentas[[#This Row],[Precio_unitario]]*(1-TablaVentas[[#This Row],[Descuento_pct]]))</f>
        <v>16127.17</v>
      </c>
      <c r="P1532">
        <f>IF(TablaVentas[[#This Row],[Costo_unitario]]="","PENDIENTE",TablaVentas[[#This Row],[Unidades]]*TablaVentas[[#This Row],[Costo_unitario]])</f>
        <v>11166.03</v>
      </c>
      <c r="Q1532">
        <f>IF(OR(TablaVentas[[#This Row],[Ingreso_neto]]="PENDIENTE",TablaVentas[[#This Row],[Costo_total]]="PENDIENTE"),"PENDIENTE",TablaVentas[[#This Row],[Ingreso_neto]]-TablaVentas[[#This Row],[Costo_total]])</f>
        <v>4961.1399999999994</v>
      </c>
    </row>
    <row r="1533" spans="1:17">
      <c r="A1533" t="s">
        <v>1038</v>
      </c>
      <c r="B1533">
        <v>3</v>
      </c>
      <c r="C1533" s="3">
        <v>46234</v>
      </c>
      <c r="D1533" t="s">
        <v>268</v>
      </c>
      <c r="E1533" t="s">
        <v>208</v>
      </c>
      <c r="F1533" t="s">
        <v>66</v>
      </c>
      <c r="G1533" t="s">
        <v>40</v>
      </c>
      <c r="H1533" t="s">
        <v>184</v>
      </c>
      <c r="I1533">
        <v>2</v>
      </c>
      <c r="J1533" s="4">
        <v>9758.89</v>
      </c>
      <c r="K1533" s="5">
        <v>0</v>
      </c>
      <c r="L1533" s="4">
        <v>5535.31</v>
      </c>
      <c r="M1533" t="s">
        <v>42</v>
      </c>
      <c r="N1533" t="s">
        <v>60</v>
      </c>
      <c r="O1533">
        <f>IF(TablaVentas[[#This Row],[Precio_unitario]]="","PENDIENTE",TablaVentas[[#This Row],[Unidades]]*TablaVentas[[#This Row],[Precio_unitario]]*(1-TablaVentas[[#This Row],[Descuento_pct]]))</f>
        <v>19517.78</v>
      </c>
      <c r="P1533">
        <f>IF(TablaVentas[[#This Row],[Costo_unitario]]="","PENDIENTE",TablaVentas[[#This Row],[Unidades]]*TablaVentas[[#This Row],[Costo_unitario]])</f>
        <v>11070.62</v>
      </c>
      <c r="Q1533">
        <f>IF(OR(TablaVentas[[#This Row],[Ingreso_neto]]="PENDIENTE",TablaVentas[[#This Row],[Costo_total]]="PENDIENTE"),"PENDIENTE",TablaVentas[[#This Row],[Ingreso_neto]]-TablaVentas[[#This Row],[Costo_total]])</f>
        <v>8447.159999999998</v>
      </c>
    </row>
    <row r="1534" spans="1:17">
      <c r="A1534" t="s">
        <v>1039</v>
      </c>
      <c r="B1534">
        <v>1</v>
      </c>
      <c r="C1534" s="3">
        <v>46228</v>
      </c>
      <c r="D1534" t="s">
        <v>476</v>
      </c>
      <c r="E1534" t="s">
        <v>326</v>
      </c>
      <c r="F1534" t="s">
        <v>77</v>
      </c>
      <c r="G1534" t="s">
        <v>40</v>
      </c>
      <c r="H1534" t="s">
        <v>129</v>
      </c>
      <c r="I1534">
        <v>2</v>
      </c>
      <c r="J1534" s="4">
        <v>7176.44</v>
      </c>
      <c r="K1534" s="5">
        <v>0</v>
      </c>
      <c r="L1534" s="4">
        <v>4044.16</v>
      </c>
      <c r="M1534" t="s">
        <v>42</v>
      </c>
      <c r="N1534" t="s">
        <v>60</v>
      </c>
      <c r="O1534">
        <f>IF(TablaVentas[[#This Row],[Precio_unitario]]="","PENDIENTE",TablaVentas[[#This Row],[Unidades]]*TablaVentas[[#This Row],[Precio_unitario]]*(1-TablaVentas[[#This Row],[Descuento_pct]]))</f>
        <v>14352.88</v>
      </c>
      <c r="P1534">
        <f>IF(TablaVentas[[#This Row],[Costo_unitario]]="","PENDIENTE",TablaVentas[[#This Row],[Unidades]]*TablaVentas[[#This Row],[Costo_unitario]])</f>
        <v>8088.32</v>
      </c>
      <c r="Q1534">
        <f>IF(OR(TablaVentas[[#This Row],[Ingreso_neto]]="PENDIENTE",TablaVentas[[#This Row],[Costo_total]]="PENDIENTE"),"PENDIENTE",TablaVentas[[#This Row],[Ingreso_neto]]-TablaVentas[[#This Row],[Costo_total]])</f>
        <v>6264.5599999999995</v>
      </c>
    </row>
    <row r="1535" spans="1:17">
      <c r="A1535" t="s">
        <v>1039</v>
      </c>
      <c r="B1535">
        <v>2</v>
      </c>
      <c r="C1535" s="3">
        <v>46228</v>
      </c>
      <c r="D1535" t="s">
        <v>476</v>
      </c>
      <c r="E1535" t="s">
        <v>46</v>
      </c>
      <c r="F1535" t="s">
        <v>77</v>
      </c>
      <c r="G1535" t="s">
        <v>40</v>
      </c>
      <c r="H1535" t="s">
        <v>129</v>
      </c>
      <c r="I1535">
        <v>1</v>
      </c>
      <c r="J1535" s="4">
        <v>3642.46</v>
      </c>
      <c r="K1535" s="5">
        <v>0.1</v>
      </c>
      <c r="L1535" s="4">
        <v>2957.6</v>
      </c>
      <c r="M1535" t="s">
        <v>42</v>
      </c>
      <c r="N1535" t="s">
        <v>45</v>
      </c>
      <c r="O1535">
        <f>IF(TablaVentas[[#This Row],[Precio_unitario]]="","PENDIENTE",TablaVentas[[#This Row],[Unidades]]*TablaVentas[[#This Row],[Precio_unitario]]*(1-TablaVentas[[#This Row],[Descuento_pct]]))</f>
        <v>3278.2139999999999</v>
      </c>
      <c r="P1535">
        <f>IF(TablaVentas[[#This Row],[Costo_unitario]]="","PENDIENTE",TablaVentas[[#This Row],[Unidades]]*TablaVentas[[#This Row],[Costo_unitario]])</f>
        <v>2957.6</v>
      </c>
      <c r="Q1535">
        <f>IF(OR(TablaVentas[[#This Row],[Ingreso_neto]]="PENDIENTE",TablaVentas[[#This Row],[Costo_total]]="PENDIENTE"),"PENDIENTE",TablaVentas[[#This Row],[Ingreso_neto]]-TablaVentas[[#This Row],[Costo_total]])</f>
        <v>320.61400000000003</v>
      </c>
    </row>
    <row r="1536" spans="1:17">
      <c r="A1536" t="s">
        <v>1040</v>
      </c>
      <c r="B1536">
        <v>1</v>
      </c>
      <c r="C1536" s="3">
        <v>46029</v>
      </c>
      <c r="D1536" t="s">
        <v>255</v>
      </c>
      <c r="E1536" t="s">
        <v>258</v>
      </c>
      <c r="F1536" t="s">
        <v>77</v>
      </c>
      <c r="G1536" t="s">
        <v>57</v>
      </c>
      <c r="H1536" t="s">
        <v>184</v>
      </c>
      <c r="I1536">
        <v>3</v>
      </c>
      <c r="J1536" s="4">
        <v>3688.01</v>
      </c>
      <c r="K1536" s="5">
        <v>0.1</v>
      </c>
      <c r="L1536" s="4">
        <v>2008.57</v>
      </c>
      <c r="M1536" t="s">
        <v>42</v>
      </c>
      <c r="N1536" t="s">
        <v>60</v>
      </c>
      <c r="O1536">
        <f>IF(TablaVentas[[#This Row],[Precio_unitario]]="","PENDIENTE",TablaVentas[[#This Row],[Unidades]]*TablaVentas[[#This Row],[Precio_unitario]]*(1-TablaVentas[[#This Row],[Descuento_pct]]))</f>
        <v>9957.6270000000004</v>
      </c>
      <c r="P1536">
        <f>IF(TablaVentas[[#This Row],[Costo_unitario]]="","PENDIENTE",TablaVentas[[#This Row],[Unidades]]*TablaVentas[[#This Row],[Costo_unitario]])</f>
        <v>6025.71</v>
      </c>
      <c r="Q1536">
        <f>IF(OR(TablaVentas[[#This Row],[Ingreso_neto]]="PENDIENTE",TablaVentas[[#This Row],[Costo_total]]="PENDIENTE"),"PENDIENTE",TablaVentas[[#This Row],[Ingreso_neto]]-TablaVentas[[#This Row],[Costo_total]])</f>
        <v>3931.9170000000004</v>
      </c>
    </row>
    <row r="1537" spans="1:18">
      <c r="A1537" t="s">
        <v>1040</v>
      </c>
      <c r="B1537">
        <v>2</v>
      </c>
      <c r="C1537" s="3">
        <v>46029</v>
      </c>
      <c r="D1537" t="s">
        <v>255</v>
      </c>
      <c r="E1537" t="s">
        <v>152</v>
      </c>
      <c r="F1537" t="s">
        <v>77</v>
      </c>
      <c r="G1537" t="s">
        <v>57</v>
      </c>
      <c r="H1537" t="s">
        <v>184</v>
      </c>
      <c r="I1537">
        <v>4</v>
      </c>
      <c r="J1537" s="4">
        <v>2913.26</v>
      </c>
      <c r="K1537" s="5">
        <v>0</v>
      </c>
      <c r="L1537" s="4">
        <v>1962.3</v>
      </c>
      <c r="M1537" t="s">
        <v>42</v>
      </c>
      <c r="N1537" t="s">
        <v>45</v>
      </c>
      <c r="O1537">
        <f>IF(TablaVentas[[#This Row],[Precio_unitario]]="","PENDIENTE",TablaVentas[[#This Row],[Unidades]]*TablaVentas[[#This Row],[Precio_unitario]]*(1-TablaVentas[[#This Row],[Descuento_pct]]))</f>
        <v>11653.04</v>
      </c>
      <c r="P1537">
        <f>IF(TablaVentas[[#This Row],[Costo_unitario]]="","PENDIENTE",TablaVentas[[#This Row],[Unidades]]*TablaVentas[[#This Row],[Costo_unitario]])</f>
        <v>7849.2</v>
      </c>
      <c r="Q1537">
        <f>IF(OR(TablaVentas[[#This Row],[Ingreso_neto]]="PENDIENTE",TablaVentas[[#This Row],[Costo_total]]="PENDIENTE"),"PENDIENTE",TablaVentas[[#This Row],[Ingreso_neto]]-TablaVentas[[#This Row],[Costo_total]])</f>
        <v>3803.8400000000011</v>
      </c>
    </row>
    <row r="1538" spans="1:18">
      <c r="A1538" t="s">
        <v>1040</v>
      </c>
      <c r="B1538">
        <v>3</v>
      </c>
      <c r="C1538" s="3">
        <v>46029</v>
      </c>
      <c r="D1538" t="s">
        <v>255</v>
      </c>
      <c r="E1538" t="s">
        <v>233</v>
      </c>
      <c r="F1538" t="s">
        <v>77</v>
      </c>
      <c r="G1538" t="s">
        <v>57</v>
      </c>
      <c r="H1538" t="s">
        <v>184</v>
      </c>
      <c r="I1538">
        <v>1</v>
      </c>
      <c r="J1538" s="4">
        <v>10738.55</v>
      </c>
      <c r="K1538" s="5">
        <v>0.2</v>
      </c>
      <c r="L1538" s="4">
        <v>5932.12</v>
      </c>
      <c r="M1538" t="s">
        <v>42</v>
      </c>
      <c r="N1538" t="s">
        <v>60</v>
      </c>
      <c r="O1538">
        <f>IF(TablaVentas[[#This Row],[Precio_unitario]]="","PENDIENTE",TablaVentas[[#This Row],[Unidades]]*TablaVentas[[#This Row],[Precio_unitario]]*(1-TablaVentas[[#This Row],[Descuento_pct]]))</f>
        <v>8590.84</v>
      </c>
      <c r="P1538">
        <f>IF(TablaVentas[[#This Row],[Costo_unitario]]="","PENDIENTE",TablaVentas[[#This Row],[Unidades]]*TablaVentas[[#This Row],[Costo_unitario]])</f>
        <v>5932.12</v>
      </c>
      <c r="Q1538">
        <f>IF(OR(TablaVentas[[#This Row],[Ingreso_neto]]="PENDIENTE",TablaVentas[[#This Row],[Costo_total]]="PENDIENTE"),"PENDIENTE",TablaVentas[[#This Row],[Ingreso_neto]]-TablaVentas[[#This Row],[Costo_total]])</f>
        <v>2658.7200000000003</v>
      </c>
    </row>
    <row r="1539" spans="1:18">
      <c r="A1539" t="s">
        <v>1041</v>
      </c>
      <c r="B1539">
        <v>1</v>
      </c>
      <c r="C1539" s="3">
        <v>46156</v>
      </c>
      <c r="D1539" t="s">
        <v>1042</v>
      </c>
      <c r="E1539" t="s">
        <v>326</v>
      </c>
      <c r="F1539" t="s">
        <v>39</v>
      </c>
      <c r="G1539" t="s">
        <v>40</v>
      </c>
      <c r="H1539" t="s">
        <v>73</v>
      </c>
      <c r="I1539">
        <v>1</v>
      </c>
      <c r="J1539" s="4">
        <v>7505.03</v>
      </c>
      <c r="K1539" s="5">
        <v>0.05</v>
      </c>
      <c r="L1539" s="4">
        <v>4044.16</v>
      </c>
      <c r="M1539" t="s">
        <v>42</v>
      </c>
      <c r="N1539" t="s">
        <v>43</v>
      </c>
      <c r="O1539">
        <f>IF(TablaVentas[[#This Row],[Precio_unitario]]="","PENDIENTE",TablaVentas[[#This Row],[Unidades]]*TablaVentas[[#This Row],[Precio_unitario]]*(1-TablaVentas[[#This Row],[Descuento_pct]]))</f>
        <v>7129.7784999999994</v>
      </c>
      <c r="P1539">
        <f>IF(TablaVentas[[#This Row],[Costo_unitario]]="","PENDIENTE",TablaVentas[[#This Row],[Unidades]]*TablaVentas[[#This Row],[Costo_unitario]])</f>
        <v>4044.16</v>
      </c>
      <c r="Q1539">
        <f>IF(OR(TablaVentas[[#This Row],[Ingreso_neto]]="PENDIENTE",TablaVentas[[#This Row],[Costo_total]]="PENDIENTE"),"PENDIENTE",TablaVentas[[#This Row],[Ingreso_neto]]-TablaVentas[[#This Row],[Costo_total]])</f>
        <v>3085.6184999999996</v>
      </c>
    </row>
    <row r="1540" spans="1:18">
      <c r="A1540" t="s">
        <v>1041</v>
      </c>
      <c r="B1540">
        <v>2</v>
      </c>
      <c r="C1540" s="3">
        <v>46156</v>
      </c>
      <c r="D1540" t="s">
        <v>1042</v>
      </c>
      <c r="E1540" t="s">
        <v>273</v>
      </c>
      <c r="F1540" t="s">
        <v>39</v>
      </c>
      <c r="G1540" t="s">
        <v>40</v>
      </c>
      <c r="H1540" t="s">
        <v>73</v>
      </c>
      <c r="I1540">
        <v>2</v>
      </c>
      <c r="J1540" s="4">
        <v>1472.85</v>
      </c>
      <c r="K1540" s="5">
        <v>0</v>
      </c>
      <c r="L1540" s="4">
        <v>716.26</v>
      </c>
      <c r="M1540" t="s">
        <v>42</v>
      </c>
      <c r="N1540" t="s">
        <v>43</v>
      </c>
      <c r="O1540">
        <f>IF(TablaVentas[[#This Row],[Precio_unitario]]="","PENDIENTE",TablaVentas[[#This Row],[Unidades]]*TablaVentas[[#This Row],[Precio_unitario]]*(1-TablaVentas[[#This Row],[Descuento_pct]]))</f>
        <v>2945.7</v>
      </c>
      <c r="P1540">
        <f>IF(TablaVentas[[#This Row],[Costo_unitario]]="","PENDIENTE",TablaVentas[[#This Row],[Unidades]]*TablaVentas[[#This Row],[Costo_unitario]])</f>
        <v>1432.52</v>
      </c>
      <c r="Q1540">
        <f>IF(OR(TablaVentas[[#This Row],[Ingreso_neto]]="PENDIENTE",TablaVentas[[#This Row],[Costo_total]]="PENDIENTE"),"PENDIENTE",TablaVentas[[#This Row],[Ingreso_neto]]-TablaVentas[[#This Row],[Costo_total]])</f>
        <v>1513.1799999999998</v>
      </c>
    </row>
    <row r="1541" spans="1:18">
      <c r="A1541" t="s">
        <v>1041</v>
      </c>
      <c r="B1541">
        <v>3</v>
      </c>
      <c r="C1541" s="3">
        <v>46156</v>
      </c>
      <c r="D1541" t="s">
        <v>1042</v>
      </c>
      <c r="E1541" t="s">
        <v>123</v>
      </c>
      <c r="F1541" t="s">
        <v>39</v>
      </c>
      <c r="G1541" t="s">
        <v>40</v>
      </c>
      <c r="H1541" t="s">
        <v>73</v>
      </c>
      <c r="I1541">
        <v>2</v>
      </c>
      <c r="J1541" s="4">
        <v>16102.56</v>
      </c>
      <c r="K1541" s="5">
        <v>0.2</v>
      </c>
      <c r="L1541" s="4">
        <v>12679.41</v>
      </c>
      <c r="M1541" t="s">
        <v>42</v>
      </c>
      <c r="N1541" t="s">
        <v>52</v>
      </c>
      <c r="O1541">
        <f>IF(TablaVentas[[#This Row],[Precio_unitario]]="","PENDIENTE",TablaVentas[[#This Row],[Unidades]]*TablaVentas[[#This Row],[Precio_unitario]]*(1-TablaVentas[[#This Row],[Descuento_pct]]))</f>
        <v>25764.096000000001</v>
      </c>
      <c r="P1541">
        <f>IF(TablaVentas[[#This Row],[Costo_unitario]]="","PENDIENTE",TablaVentas[[#This Row],[Unidades]]*TablaVentas[[#This Row],[Costo_unitario]])</f>
        <v>25358.82</v>
      </c>
      <c r="Q1541">
        <f>IF(OR(TablaVentas[[#This Row],[Ingreso_neto]]="PENDIENTE",TablaVentas[[#This Row],[Costo_total]]="PENDIENTE"),"PENDIENTE",TablaVentas[[#This Row],[Ingreso_neto]]-TablaVentas[[#This Row],[Costo_total]])</f>
        <v>405.27600000000166</v>
      </c>
    </row>
    <row r="1542" spans="1:18">
      <c r="A1542" t="s">
        <v>1041</v>
      </c>
      <c r="B1542">
        <v>4</v>
      </c>
      <c r="C1542" s="3">
        <v>46156</v>
      </c>
      <c r="D1542" t="s">
        <v>1042</v>
      </c>
      <c r="E1542" t="s">
        <v>196</v>
      </c>
      <c r="F1542" t="s">
        <v>39</v>
      </c>
      <c r="G1542" t="s">
        <v>40</v>
      </c>
      <c r="H1542" t="s">
        <v>73</v>
      </c>
      <c r="I1542">
        <v>2</v>
      </c>
      <c r="J1542" s="4">
        <v>750.82</v>
      </c>
      <c r="K1542" s="5">
        <v>0</v>
      </c>
      <c r="L1542" s="4">
        <v>485.16</v>
      </c>
      <c r="M1542" t="s">
        <v>42</v>
      </c>
      <c r="N1542" t="s">
        <v>43</v>
      </c>
      <c r="O1542">
        <f>IF(TablaVentas[[#This Row],[Precio_unitario]]="","PENDIENTE",TablaVentas[[#This Row],[Unidades]]*TablaVentas[[#This Row],[Precio_unitario]]*(1-TablaVentas[[#This Row],[Descuento_pct]]))</f>
        <v>1501.64</v>
      </c>
      <c r="P1542">
        <f>IF(TablaVentas[[#This Row],[Costo_unitario]]="","PENDIENTE",TablaVentas[[#This Row],[Unidades]]*TablaVentas[[#This Row],[Costo_unitario]])</f>
        <v>970.32</v>
      </c>
      <c r="Q1542">
        <f>IF(OR(TablaVentas[[#This Row],[Ingreso_neto]]="PENDIENTE",TablaVentas[[#This Row],[Costo_total]]="PENDIENTE"),"PENDIENTE",TablaVentas[[#This Row],[Ingreso_neto]]-TablaVentas[[#This Row],[Costo_total]])</f>
        <v>531.32000000000005</v>
      </c>
    </row>
    <row r="1543" spans="1:18">
      <c r="A1543" t="s">
        <v>1041</v>
      </c>
      <c r="B1543">
        <v>5</v>
      </c>
      <c r="C1543" s="3">
        <v>46156</v>
      </c>
      <c r="D1543" t="s">
        <v>1042</v>
      </c>
      <c r="E1543" t="s">
        <v>103</v>
      </c>
      <c r="F1543" t="s">
        <v>39</v>
      </c>
      <c r="G1543" t="s">
        <v>40</v>
      </c>
      <c r="H1543" t="s">
        <v>73</v>
      </c>
      <c r="I1543">
        <v>4</v>
      </c>
      <c r="J1543" s="4"/>
      <c r="K1543" s="5">
        <v>0</v>
      </c>
      <c r="L1543" s="4">
        <v>7549.71</v>
      </c>
      <c r="M1543" t="s">
        <v>42</v>
      </c>
      <c r="N1543" t="s">
        <v>60</v>
      </c>
      <c r="O1543" t="str">
        <f>IF(TablaVentas[[#This Row],[Precio_unitario]]="","PENDIENTE",TablaVentas[[#This Row],[Unidades]]*TablaVentas[[#This Row],[Precio_unitario]]*(1-TablaVentas[[#This Row],[Descuento_pct]]))</f>
        <v>PENDIENTE</v>
      </c>
      <c r="P1543">
        <f>IF(TablaVentas[[#This Row],[Costo_unitario]]="","PENDIENTE",TablaVentas[[#This Row],[Unidades]]*TablaVentas[[#This Row],[Costo_unitario]])</f>
        <v>30198.84</v>
      </c>
      <c r="Q1543" t="str">
        <f>IF(OR(TablaVentas[[#This Row],[Ingreso_neto]]="PENDIENTE",TablaVentas[[#This Row],[Costo_total]]="PENDIENTE"),"PENDIENTE",TablaVentas[[#This Row],[Ingreso_neto]]-TablaVentas[[#This Row],[Costo_total]])</f>
        <v>PENDIENTE</v>
      </c>
      <c r="R1543" t="s">
        <v>145</v>
      </c>
    </row>
    <row r="1544" spans="1:18">
      <c r="A1544" t="s">
        <v>1043</v>
      </c>
      <c r="B1544">
        <v>1</v>
      </c>
      <c r="C1544" s="3">
        <v>46108</v>
      </c>
      <c r="D1544" t="s">
        <v>312</v>
      </c>
      <c r="E1544" t="s">
        <v>164</v>
      </c>
      <c r="F1544" t="s">
        <v>56</v>
      </c>
      <c r="G1544" t="s">
        <v>50</v>
      </c>
      <c r="H1544" t="s">
        <v>58</v>
      </c>
      <c r="I1544">
        <v>3</v>
      </c>
      <c r="J1544" s="4">
        <v>5911.88</v>
      </c>
      <c r="K1544" s="5">
        <v>0</v>
      </c>
      <c r="L1544" s="4">
        <v>5050.04</v>
      </c>
      <c r="M1544" t="s">
        <v>42</v>
      </c>
      <c r="N1544" t="s">
        <v>52</v>
      </c>
      <c r="O1544">
        <f>IF(TablaVentas[[#This Row],[Precio_unitario]]="","PENDIENTE",TablaVentas[[#This Row],[Unidades]]*TablaVentas[[#This Row],[Precio_unitario]]*(1-TablaVentas[[#This Row],[Descuento_pct]]))</f>
        <v>17735.64</v>
      </c>
      <c r="P1544">
        <f>IF(TablaVentas[[#This Row],[Costo_unitario]]="","PENDIENTE",TablaVentas[[#This Row],[Unidades]]*TablaVentas[[#This Row],[Costo_unitario]])</f>
        <v>15150.119999999999</v>
      </c>
      <c r="Q1544">
        <f>IF(OR(TablaVentas[[#This Row],[Ingreso_neto]]="PENDIENTE",TablaVentas[[#This Row],[Costo_total]]="PENDIENTE"),"PENDIENTE",TablaVentas[[#This Row],[Ingreso_neto]]-TablaVentas[[#This Row],[Costo_total]])</f>
        <v>2585.5200000000004</v>
      </c>
    </row>
    <row r="1545" spans="1:18">
      <c r="A1545" t="s">
        <v>1043</v>
      </c>
      <c r="B1545">
        <v>2</v>
      </c>
      <c r="C1545" s="3">
        <v>46108</v>
      </c>
      <c r="D1545" t="s">
        <v>312</v>
      </c>
      <c r="E1545" t="s">
        <v>253</v>
      </c>
      <c r="F1545" t="s">
        <v>56</v>
      </c>
      <c r="G1545" t="s">
        <v>50</v>
      </c>
      <c r="H1545" t="s">
        <v>58</v>
      </c>
      <c r="I1545">
        <v>3</v>
      </c>
      <c r="J1545" s="4">
        <v>2869</v>
      </c>
      <c r="K1545" s="5">
        <v>0.05</v>
      </c>
      <c r="L1545" s="4">
        <v>2486.1799999999998</v>
      </c>
      <c r="M1545" t="s">
        <v>42</v>
      </c>
      <c r="N1545" t="s">
        <v>45</v>
      </c>
      <c r="O1545">
        <f>IF(TablaVentas[[#This Row],[Precio_unitario]]="","PENDIENTE",TablaVentas[[#This Row],[Unidades]]*TablaVentas[[#This Row],[Precio_unitario]]*(1-TablaVentas[[#This Row],[Descuento_pct]]))</f>
        <v>8176.65</v>
      </c>
      <c r="P1545">
        <f>IF(TablaVentas[[#This Row],[Costo_unitario]]="","PENDIENTE",TablaVentas[[#This Row],[Unidades]]*TablaVentas[[#This Row],[Costo_unitario]])</f>
        <v>7458.5399999999991</v>
      </c>
      <c r="Q1545">
        <f>IF(OR(TablaVentas[[#This Row],[Ingreso_neto]]="PENDIENTE",TablaVentas[[#This Row],[Costo_total]]="PENDIENTE"),"PENDIENTE",TablaVentas[[#This Row],[Ingreso_neto]]-TablaVentas[[#This Row],[Costo_total]])</f>
        <v>718.11000000000058</v>
      </c>
    </row>
    <row r="1546" spans="1:18">
      <c r="A1546" t="s">
        <v>1044</v>
      </c>
      <c r="B1546">
        <v>1</v>
      </c>
      <c r="C1546" s="3">
        <v>46100</v>
      </c>
      <c r="D1546" t="s">
        <v>1005</v>
      </c>
      <c r="E1546" t="s">
        <v>143</v>
      </c>
      <c r="F1546" t="s">
        <v>77</v>
      </c>
      <c r="G1546" t="s">
        <v>50</v>
      </c>
      <c r="H1546" t="s">
        <v>73</v>
      </c>
      <c r="I1546">
        <v>3</v>
      </c>
      <c r="J1546" s="4">
        <v>9187.01</v>
      </c>
      <c r="K1546" s="5">
        <v>0</v>
      </c>
      <c r="L1546" s="4">
        <v>6815.42</v>
      </c>
      <c r="M1546" t="s">
        <v>116</v>
      </c>
      <c r="N1546" t="s">
        <v>45</v>
      </c>
      <c r="O1546">
        <f>IF(TablaVentas[[#This Row],[Precio_unitario]]="","PENDIENTE",TablaVentas[[#This Row],[Unidades]]*TablaVentas[[#This Row],[Precio_unitario]]*(1-TablaVentas[[#This Row],[Descuento_pct]]))</f>
        <v>27561.03</v>
      </c>
      <c r="P1546">
        <f>IF(TablaVentas[[#This Row],[Costo_unitario]]="","PENDIENTE",TablaVentas[[#This Row],[Unidades]]*TablaVentas[[#This Row],[Costo_unitario]])</f>
        <v>20446.260000000002</v>
      </c>
      <c r="Q1546">
        <f>IF(OR(TablaVentas[[#This Row],[Ingreso_neto]]="PENDIENTE",TablaVentas[[#This Row],[Costo_total]]="PENDIENTE"),"PENDIENTE",TablaVentas[[#This Row],[Ingreso_neto]]-TablaVentas[[#This Row],[Costo_total]])</f>
        <v>7114.7699999999968</v>
      </c>
    </row>
    <row r="1547" spans="1:18">
      <c r="A1547" t="s">
        <v>1044</v>
      </c>
      <c r="B1547">
        <v>2</v>
      </c>
      <c r="C1547" s="3">
        <v>46100</v>
      </c>
      <c r="D1547" t="s">
        <v>1005</v>
      </c>
      <c r="E1547" t="s">
        <v>367</v>
      </c>
      <c r="F1547" t="s">
        <v>77</v>
      </c>
      <c r="G1547" t="s">
        <v>50</v>
      </c>
      <c r="H1547" t="s">
        <v>73</v>
      </c>
      <c r="I1547">
        <v>2</v>
      </c>
      <c r="J1547" s="4">
        <v>9736.11</v>
      </c>
      <c r="K1547" s="5">
        <v>0.05</v>
      </c>
      <c r="L1547" s="4">
        <v>5079.43</v>
      </c>
      <c r="M1547" t="s">
        <v>42</v>
      </c>
      <c r="N1547" t="s">
        <v>45</v>
      </c>
      <c r="O1547">
        <f>IF(TablaVentas[[#This Row],[Precio_unitario]]="","PENDIENTE",TablaVentas[[#This Row],[Unidades]]*TablaVentas[[#This Row],[Precio_unitario]]*(1-TablaVentas[[#This Row],[Descuento_pct]]))</f>
        <v>18498.609</v>
      </c>
      <c r="P1547">
        <f>IF(TablaVentas[[#This Row],[Costo_unitario]]="","PENDIENTE",TablaVentas[[#This Row],[Unidades]]*TablaVentas[[#This Row],[Costo_unitario]])</f>
        <v>10158.86</v>
      </c>
      <c r="Q1547">
        <f>IF(OR(TablaVentas[[#This Row],[Ingreso_neto]]="PENDIENTE",TablaVentas[[#This Row],[Costo_total]]="PENDIENTE"),"PENDIENTE",TablaVentas[[#This Row],[Ingreso_neto]]-TablaVentas[[#This Row],[Costo_total]])</f>
        <v>8339.7489999999998</v>
      </c>
    </row>
    <row r="1548" spans="1:18">
      <c r="A1548" t="s">
        <v>1044</v>
      </c>
      <c r="B1548">
        <v>3</v>
      </c>
      <c r="C1548" s="3">
        <v>46100</v>
      </c>
      <c r="D1548" t="s">
        <v>1005</v>
      </c>
      <c r="E1548" t="s">
        <v>335</v>
      </c>
      <c r="F1548" t="s">
        <v>77</v>
      </c>
      <c r="G1548" t="s">
        <v>50</v>
      </c>
      <c r="H1548" t="s">
        <v>73</v>
      </c>
      <c r="I1548">
        <v>3</v>
      </c>
      <c r="J1548" s="4">
        <v>7053.56</v>
      </c>
      <c r="K1548" s="5">
        <v>0</v>
      </c>
      <c r="L1548" s="4">
        <v>5587.31</v>
      </c>
      <c r="M1548" t="s">
        <v>42</v>
      </c>
      <c r="N1548" t="s">
        <v>43</v>
      </c>
      <c r="O1548">
        <f>IF(TablaVentas[[#This Row],[Precio_unitario]]="","PENDIENTE",TablaVentas[[#This Row],[Unidades]]*TablaVentas[[#This Row],[Precio_unitario]]*(1-TablaVentas[[#This Row],[Descuento_pct]]))</f>
        <v>21160.68</v>
      </c>
      <c r="P1548">
        <f>IF(TablaVentas[[#This Row],[Costo_unitario]]="","PENDIENTE",TablaVentas[[#This Row],[Unidades]]*TablaVentas[[#This Row],[Costo_unitario]])</f>
        <v>16761.93</v>
      </c>
      <c r="Q1548">
        <f>IF(OR(TablaVentas[[#This Row],[Ingreso_neto]]="PENDIENTE",TablaVentas[[#This Row],[Costo_total]]="PENDIENTE"),"PENDIENTE",TablaVentas[[#This Row],[Ingreso_neto]]-TablaVentas[[#This Row],[Costo_total]])</f>
        <v>4398.75</v>
      </c>
    </row>
    <row r="1549" spans="1:18">
      <c r="A1549" t="s">
        <v>1044</v>
      </c>
      <c r="B1549">
        <v>4</v>
      </c>
      <c r="C1549" s="3">
        <v>46100</v>
      </c>
      <c r="D1549" t="s">
        <v>1005</v>
      </c>
      <c r="E1549" t="s">
        <v>218</v>
      </c>
      <c r="F1549" t="s">
        <v>77</v>
      </c>
      <c r="G1549" t="s">
        <v>50</v>
      </c>
      <c r="H1549" t="s">
        <v>73</v>
      </c>
      <c r="I1549">
        <v>2</v>
      </c>
      <c r="J1549" s="4">
        <v>4625.76</v>
      </c>
      <c r="K1549" s="5">
        <v>0.1</v>
      </c>
      <c r="L1549" s="4">
        <v>2833.97</v>
      </c>
      <c r="M1549" t="s">
        <v>42</v>
      </c>
      <c r="N1549" t="s">
        <v>60</v>
      </c>
      <c r="O1549">
        <f>IF(TablaVentas[[#This Row],[Precio_unitario]]="","PENDIENTE",TablaVentas[[#This Row],[Unidades]]*TablaVentas[[#This Row],[Precio_unitario]]*(1-TablaVentas[[#This Row],[Descuento_pct]]))</f>
        <v>8326.3680000000004</v>
      </c>
      <c r="P1549">
        <f>IF(TablaVentas[[#This Row],[Costo_unitario]]="","PENDIENTE",TablaVentas[[#This Row],[Unidades]]*TablaVentas[[#This Row],[Costo_unitario]])</f>
        <v>5667.94</v>
      </c>
      <c r="Q1549">
        <f>IF(OR(TablaVentas[[#This Row],[Ingreso_neto]]="PENDIENTE",TablaVentas[[#This Row],[Costo_total]]="PENDIENTE"),"PENDIENTE",TablaVentas[[#This Row],[Ingreso_neto]]-TablaVentas[[#This Row],[Costo_total]])</f>
        <v>2658.4280000000008</v>
      </c>
    </row>
    <row r="1550" spans="1:18">
      <c r="A1550" t="s">
        <v>1044</v>
      </c>
      <c r="B1550">
        <v>5</v>
      </c>
      <c r="C1550" s="3">
        <v>46100</v>
      </c>
      <c r="D1550" t="s">
        <v>1005</v>
      </c>
      <c r="E1550" t="s">
        <v>216</v>
      </c>
      <c r="F1550" t="s">
        <v>77</v>
      </c>
      <c r="G1550" t="s">
        <v>50</v>
      </c>
      <c r="H1550" t="s">
        <v>73</v>
      </c>
      <c r="I1550">
        <v>12</v>
      </c>
      <c r="J1550" s="4">
        <v>16712.169999999998</v>
      </c>
      <c r="K1550" s="5">
        <v>0.05</v>
      </c>
      <c r="L1550" s="4">
        <v>12064.41</v>
      </c>
      <c r="M1550" t="s">
        <v>42</v>
      </c>
      <c r="N1550" t="s">
        <v>60</v>
      </c>
      <c r="O1550">
        <f>IF(TablaVentas[[#This Row],[Precio_unitario]]="","PENDIENTE",TablaVentas[[#This Row],[Unidades]]*TablaVentas[[#This Row],[Precio_unitario]]*(1-TablaVentas[[#This Row],[Descuento_pct]]))</f>
        <v>190518.73799999998</v>
      </c>
      <c r="P1550">
        <f>IF(TablaVentas[[#This Row],[Costo_unitario]]="","PENDIENTE",TablaVentas[[#This Row],[Unidades]]*TablaVentas[[#This Row],[Costo_unitario]])</f>
        <v>144772.91999999998</v>
      </c>
      <c r="Q1550">
        <f>IF(OR(TablaVentas[[#This Row],[Ingreso_neto]]="PENDIENTE",TablaVentas[[#This Row],[Costo_total]]="PENDIENTE"),"PENDIENTE",TablaVentas[[#This Row],[Ingreso_neto]]-TablaVentas[[#This Row],[Costo_total]])</f>
        <v>45745.817999999999</v>
      </c>
    </row>
    <row r="1551" spans="1:18">
      <c r="A1551" t="s">
        <v>1045</v>
      </c>
      <c r="B1551">
        <v>1</v>
      </c>
      <c r="C1551" s="3">
        <v>46108</v>
      </c>
      <c r="D1551" t="s">
        <v>276</v>
      </c>
      <c r="E1551" t="s">
        <v>410</v>
      </c>
      <c r="F1551" t="s">
        <v>39</v>
      </c>
      <c r="G1551" t="s">
        <v>40</v>
      </c>
      <c r="H1551" t="s">
        <v>129</v>
      </c>
      <c r="I1551">
        <v>1</v>
      </c>
      <c r="J1551" s="4">
        <v>7272.12</v>
      </c>
      <c r="K1551" s="5">
        <v>0.15</v>
      </c>
      <c r="L1551" s="4">
        <v>5874.17</v>
      </c>
      <c r="M1551" t="s">
        <v>62</v>
      </c>
      <c r="N1551" t="s">
        <v>60</v>
      </c>
      <c r="O1551">
        <f>IF(TablaVentas[[#This Row],[Precio_unitario]]="","PENDIENTE",TablaVentas[[#This Row],[Unidades]]*TablaVentas[[#This Row],[Precio_unitario]]*(1-TablaVentas[[#This Row],[Descuento_pct]]))</f>
        <v>6181.3019999999997</v>
      </c>
      <c r="P1551">
        <f>IF(TablaVentas[[#This Row],[Costo_unitario]]="","PENDIENTE",TablaVentas[[#This Row],[Unidades]]*TablaVentas[[#This Row],[Costo_unitario]])</f>
        <v>5874.17</v>
      </c>
      <c r="Q1551">
        <f>IF(OR(TablaVentas[[#This Row],[Ingreso_neto]]="PENDIENTE",TablaVentas[[#This Row],[Costo_total]]="PENDIENTE"),"PENDIENTE",TablaVentas[[#This Row],[Ingreso_neto]]-TablaVentas[[#This Row],[Costo_total]])</f>
        <v>307.13199999999961</v>
      </c>
    </row>
    <row r="1552" spans="1:18">
      <c r="A1552" t="s">
        <v>1045</v>
      </c>
      <c r="B1552">
        <v>2</v>
      </c>
      <c r="C1552" s="3">
        <v>46108</v>
      </c>
      <c r="D1552" t="s">
        <v>276</v>
      </c>
      <c r="E1552" t="s">
        <v>211</v>
      </c>
      <c r="F1552" t="s">
        <v>39</v>
      </c>
      <c r="G1552" t="s">
        <v>40</v>
      </c>
      <c r="H1552" t="s">
        <v>129</v>
      </c>
      <c r="I1552">
        <v>3</v>
      </c>
      <c r="J1552" s="4">
        <v>16575.05</v>
      </c>
      <c r="K1552" s="5">
        <v>0.15</v>
      </c>
      <c r="L1552" s="4">
        <v>13760.53</v>
      </c>
      <c r="M1552" t="s">
        <v>42</v>
      </c>
      <c r="N1552" t="s">
        <v>45</v>
      </c>
      <c r="O1552">
        <f>IF(TablaVentas[[#This Row],[Precio_unitario]]="","PENDIENTE",TablaVentas[[#This Row],[Unidades]]*TablaVentas[[#This Row],[Precio_unitario]]*(1-TablaVentas[[#This Row],[Descuento_pct]]))</f>
        <v>42266.377499999995</v>
      </c>
      <c r="P1552">
        <f>IF(TablaVentas[[#This Row],[Costo_unitario]]="","PENDIENTE",TablaVentas[[#This Row],[Unidades]]*TablaVentas[[#This Row],[Costo_unitario]])</f>
        <v>41281.590000000004</v>
      </c>
      <c r="Q1552">
        <f>IF(OR(TablaVentas[[#This Row],[Ingreso_neto]]="PENDIENTE",TablaVentas[[#This Row],[Costo_total]]="PENDIENTE"),"PENDIENTE",TablaVentas[[#This Row],[Ingreso_neto]]-TablaVentas[[#This Row],[Costo_total]])</f>
        <v>984.78749999999127</v>
      </c>
    </row>
    <row r="1553" spans="1:17">
      <c r="A1553" t="s">
        <v>1045</v>
      </c>
      <c r="B1553">
        <v>3</v>
      </c>
      <c r="C1553" s="3">
        <v>46108</v>
      </c>
      <c r="D1553" t="s">
        <v>276</v>
      </c>
      <c r="E1553" t="s">
        <v>110</v>
      </c>
      <c r="F1553" t="s">
        <v>39</v>
      </c>
      <c r="G1553" t="s">
        <v>40</v>
      </c>
      <c r="H1553" t="s">
        <v>129</v>
      </c>
      <c r="I1553">
        <v>1</v>
      </c>
      <c r="J1553" s="4">
        <v>5109.49</v>
      </c>
      <c r="K1553" s="5">
        <v>0</v>
      </c>
      <c r="L1553" s="4">
        <v>4205.6899999999996</v>
      </c>
      <c r="M1553" t="s">
        <v>42</v>
      </c>
      <c r="N1553" t="s">
        <v>45</v>
      </c>
      <c r="O1553">
        <f>IF(TablaVentas[[#This Row],[Precio_unitario]]="","PENDIENTE",TablaVentas[[#This Row],[Unidades]]*TablaVentas[[#This Row],[Precio_unitario]]*(1-TablaVentas[[#This Row],[Descuento_pct]]))</f>
        <v>5109.49</v>
      </c>
      <c r="P1553">
        <f>IF(TablaVentas[[#This Row],[Costo_unitario]]="","PENDIENTE",TablaVentas[[#This Row],[Unidades]]*TablaVentas[[#This Row],[Costo_unitario]])</f>
        <v>4205.6899999999996</v>
      </c>
      <c r="Q1553">
        <f>IF(OR(TablaVentas[[#This Row],[Ingreso_neto]]="PENDIENTE",TablaVentas[[#This Row],[Costo_total]]="PENDIENTE"),"PENDIENTE",TablaVentas[[#This Row],[Ingreso_neto]]-TablaVentas[[#This Row],[Costo_total]])</f>
        <v>903.80000000000018</v>
      </c>
    </row>
    <row r="1554" spans="1:17">
      <c r="A1554" t="s">
        <v>1045</v>
      </c>
      <c r="B1554">
        <v>4</v>
      </c>
      <c r="C1554" s="3">
        <v>46108</v>
      </c>
      <c r="D1554" t="s">
        <v>276</v>
      </c>
      <c r="E1554" t="s">
        <v>115</v>
      </c>
      <c r="F1554" t="s">
        <v>39</v>
      </c>
      <c r="G1554" t="s">
        <v>40</v>
      </c>
      <c r="H1554" t="s">
        <v>129</v>
      </c>
      <c r="I1554">
        <v>1</v>
      </c>
      <c r="J1554" s="4">
        <v>1277.8499999999999</v>
      </c>
      <c r="K1554" s="5">
        <v>0</v>
      </c>
      <c r="L1554" s="4">
        <v>705.87</v>
      </c>
      <c r="M1554" t="s">
        <v>42</v>
      </c>
      <c r="N1554" t="s">
        <v>60</v>
      </c>
      <c r="O1554">
        <f>IF(TablaVentas[[#This Row],[Precio_unitario]]="","PENDIENTE",TablaVentas[[#This Row],[Unidades]]*TablaVentas[[#This Row],[Precio_unitario]]*(1-TablaVentas[[#This Row],[Descuento_pct]]))</f>
        <v>1277.8499999999999</v>
      </c>
      <c r="P1554">
        <f>IF(TablaVentas[[#This Row],[Costo_unitario]]="","PENDIENTE",TablaVentas[[#This Row],[Unidades]]*TablaVentas[[#This Row],[Costo_unitario]])</f>
        <v>705.87</v>
      </c>
      <c r="Q1554">
        <f>IF(OR(TablaVentas[[#This Row],[Ingreso_neto]]="PENDIENTE",TablaVentas[[#This Row],[Costo_total]]="PENDIENTE"),"PENDIENTE",TablaVentas[[#This Row],[Ingreso_neto]]-TablaVentas[[#This Row],[Costo_total]])</f>
        <v>571.9799999999999</v>
      </c>
    </row>
    <row r="1555" spans="1:17">
      <c r="A1555" t="s">
        <v>1046</v>
      </c>
      <c r="B1555">
        <v>1</v>
      </c>
      <c r="C1555" s="3">
        <v>46269</v>
      </c>
      <c r="D1555" t="s">
        <v>359</v>
      </c>
      <c r="E1555" t="s">
        <v>367</v>
      </c>
      <c r="F1555" t="s">
        <v>39</v>
      </c>
      <c r="G1555" t="s">
        <v>57</v>
      </c>
      <c r="H1555" t="s">
        <v>184</v>
      </c>
      <c r="I1555">
        <v>2</v>
      </c>
      <c r="J1555" s="4">
        <v>8751.7800000000007</v>
      </c>
      <c r="K1555" s="5">
        <v>0</v>
      </c>
      <c r="L1555" s="4">
        <v>5079.43</v>
      </c>
      <c r="M1555" t="s">
        <v>42</v>
      </c>
      <c r="N1555" t="s">
        <v>43</v>
      </c>
      <c r="O1555">
        <f>IF(TablaVentas[[#This Row],[Precio_unitario]]="","PENDIENTE",TablaVentas[[#This Row],[Unidades]]*TablaVentas[[#This Row],[Precio_unitario]]*(1-TablaVentas[[#This Row],[Descuento_pct]]))</f>
        <v>17503.560000000001</v>
      </c>
      <c r="P1555">
        <f>IF(TablaVentas[[#This Row],[Costo_unitario]]="","PENDIENTE",TablaVentas[[#This Row],[Unidades]]*TablaVentas[[#This Row],[Costo_unitario]])</f>
        <v>10158.86</v>
      </c>
      <c r="Q1555">
        <f>IF(OR(TablaVentas[[#This Row],[Ingreso_neto]]="PENDIENTE",TablaVentas[[#This Row],[Costo_total]]="PENDIENTE"),"PENDIENTE",TablaVentas[[#This Row],[Ingreso_neto]]-TablaVentas[[#This Row],[Costo_total]])</f>
        <v>7344.7000000000007</v>
      </c>
    </row>
    <row r="1556" spans="1:17">
      <c r="A1556" t="s">
        <v>1046</v>
      </c>
      <c r="B1556">
        <v>2</v>
      </c>
      <c r="C1556" s="3">
        <v>46269</v>
      </c>
      <c r="D1556" t="s">
        <v>359</v>
      </c>
      <c r="E1556" t="s">
        <v>216</v>
      </c>
      <c r="F1556" t="s">
        <v>39</v>
      </c>
      <c r="G1556" t="s">
        <v>57</v>
      </c>
      <c r="H1556" t="s">
        <v>184</v>
      </c>
      <c r="I1556">
        <v>2</v>
      </c>
      <c r="J1556" s="4">
        <v>14662.53</v>
      </c>
      <c r="K1556" s="5">
        <v>0.05</v>
      </c>
      <c r="L1556" s="4">
        <v>12064.41</v>
      </c>
      <c r="M1556" t="s">
        <v>42</v>
      </c>
      <c r="N1556" t="s">
        <v>52</v>
      </c>
      <c r="O1556">
        <f>IF(TablaVentas[[#This Row],[Precio_unitario]]="","PENDIENTE",TablaVentas[[#This Row],[Unidades]]*TablaVentas[[#This Row],[Precio_unitario]]*(1-TablaVentas[[#This Row],[Descuento_pct]]))</f>
        <v>27858.807000000001</v>
      </c>
      <c r="P1556">
        <f>IF(TablaVentas[[#This Row],[Costo_unitario]]="","PENDIENTE",TablaVentas[[#This Row],[Unidades]]*TablaVentas[[#This Row],[Costo_unitario]])</f>
        <v>24128.82</v>
      </c>
      <c r="Q1556">
        <f>IF(OR(TablaVentas[[#This Row],[Ingreso_neto]]="PENDIENTE",TablaVentas[[#This Row],[Costo_total]]="PENDIENTE"),"PENDIENTE",TablaVentas[[#This Row],[Ingreso_neto]]-TablaVentas[[#This Row],[Costo_total]])</f>
        <v>3729.987000000001</v>
      </c>
    </row>
    <row r="1557" spans="1:17">
      <c r="A1557" t="s">
        <v>1046</v>
      </c>
      <c r="B1557">
        <v>3</v>
      </c>
      <c r="C1557" s="3">
        <v>46269</v>
      </c>
      <c r="D1557" t="s">
        <v>359</v>
      </c>
      <c r="E1557" t="s">
        <v>114</v>
      </c>
      <c r="F1557" t="s">
        <v>39</v>
      </c>
      <c r="G1557" t="s">
        <v>57</v>
      </c>
      <c r="H1557" t="s">
        <v>184</v>
      </c>
      <c r="I1557">
        <v>8</v>
      </c>
      <c r="J1557" s="4">
        <v>13914.47</v>
      </c>
      <c r="K1557" s="5">
        <v>0</v>
      </c>
      <c r="L1557" s="4">
        <v>8239.48</v>
      </c>
      <c r="M1557" t="s">
        <v>42</v>
      </c>
      <c r="N1557" t="s">
        <v>45</v>
      </c>
      <c r="O1557">
        <f>IF(TablaVentas[[#This Row],[Precio_unitario]]="","PENDIENTE",TablaVentas[[#This Row],[Unidades]]*TablaVentas[[#This Row],[Precio_unitario]]*(1-TablaVentas[[#This Row],[Descuento_pct]]))</f>
        <v>111315.76</v>
      </c>
      <c r="P1557">
        <f>IF(TablaVentas[[#This Row],[Costo_unitario]]="","PENDIENTE",TablaVentas[[#This Row],[Unidades]]*TablaVentas[[#This Row],[Costo_unitario]])</f>
        <v>65915.839999999997</v>
      </c>
      <c r="Q1557">
        <f>IF(OR(TablaVentas[[#This Row],[Ingreso_neto]]="PENDIENTE",TablaVentas[[#This Row],[Costo_total]]="PENDIENTE"),"PENDIENTE",TablaVentas[[#This Row],[Ingreso_neto]]-TablaVentas[[#This Row],[Costo_total]])</f>
        <v>45399.92</v>
      </c>
    </row>
    <row r="1558" spans="1:17">
      <c r="A1558" t="s">
        <v>1047</v>
      </c>
      <c r="B1558">
        <v>1</v>
      </c>
      <c r="C1558" s="3">
        <v>46026</v>
      </c>
      <c r="D1558" t="s">
        <v>127</v>
      </c>
      <c r="E1558" t="s">
        <v>76</v>
      </c>
      <c r="F1558" t="s">
        <v>56</v>
      </c>
      <c r="G1558" t="s">
        <v>40</v>
      </c>
      <c r="H1558" t="s">
        <v>102</v>
      </c>
      <c r="I1558">
        <v>4</v>
      </c>
      <c r="J1558" s="4">
        <v>12853.14</v>
      </c>
      <c r="K1558" s="5">
        <v>0.05</v>
      </c>
      <c r="L1558" s="4">
        <v>7748.44</v>
      </c>
      <c r="M1558" t="s">
        <v>42</v>
      </c>
      <c r="N1558" t="s">
        <v>43</v>
      </c>
      <c r="O1558">
        <f>IF(TablaVentas[[#This Row],[Precio_unitario]]="","PENDIENTE",TablaVentas[[#This Row],[Unidades]]*TablaVentas[[#This Row],[Precio_unitario]]*(1-TablaVentas[[#This Row],[Descuento_pct]]))</f>
        <v>48841.931999999993</v>
      </c>
      <c r="P1558">
        <f>IF(TablaVentas[[#This Row],[Costo_unitario]]="","PENDIENTE",TablaVentas[[#This Row],[Unidades]]*TablaVentas[[#This Row],[Costo_unitario]])</f>
        <v>30993.759999999998</v>
      </c>
      <c r="Q1558">
        <f>IF(OR(TablaVentas[[#This Row],[Ingreso_neto]]="PENDIENTE",TablaVentas[[#This Row],[Costo_total]]="PENDIENTE"),"PENDIENTE",TablaVentas[[#This Row],[Ingreso_neto]]-TablaVentas[[#This Row],[Costo_total]])</f>
        <v>17848.171999999995</v>
      </c>
    </row>
    <row r="1559" spans="1:17">
      <c r="A1559" t="s">
        <v>1048</v>
      </c>
      <c r="B1559">
        <v>1</v>
      </c>
      <c r="C1559" s="3">
        <v>46175</v>
      </c>
      <c r="D1559" t="s">
        <v>661</v>
      </c>
      <c r="E1559" t="s">
        <v>216</v>
      </c>
      <c r="F1559" t="s">
        <v>77</v>
      </c>
      <c r="G1559" t="s">
        <v>50</v>
      </c>
      <c r="H1559" t="s">
        <v>67</v>
      </c>
      <c r="I1559">
        <v>8</v>
      </c>
      <c r="J1559" s="4">
        <v>16539.25</v>
      </c>
      <c r="K1559" s="5">
        <v>0.15</v>
      </c>
      <c r="L1559" s="4">
        <v>12064.41</v>
      </c>
      <c r="M1559" t="s">
        <v>42</v>
      </c>
      <c r="N1559" t="s">
        <v>45</v>
      </c>
      <c r="O1559">
        <f>IF(TablaVentas[[#This Row],[Precio_unitario]]="","PENDIENTE",TablaVentas[[#This Row],[Unidades]]*TablaVentas[[#This Row],[Precio_unitario]]*(1-TablaVentas[[#This Row],[Descuento_pct]]))</f>
        <v>112466.9</v>
      </c>
      <c r="P1559">
        <f>IF(TablaVentas[[#This Row],[Costo_unitario]]="","PENDIENTE",TablaVentas[[#This Row],[Unidades]]*TablaVentas[[#This Row],[Costo_unitario]])</f>
        <v>96515.28</v>
      </c>
      <c r="Q1559">
        <f>IF(OR(TablaVentas[[#This Row],[Ingreso_neto]]="PENDIENTE",TablaVentas[[#This Row],[Costo_total]]="PENDIENTE"),"PENDIENTE",TablaVentas[[#This Row],[Ingreso_neto]]-TablaVentas[[#This Row],[Costo_total]])</f>
        <v>15951.619999999995</v>
      </c>
    </row>
    <row r="1560" spans="1:17">
      <c r="A1560" t="s">
        <v>1048</v>
      </c>
      <c r="B1560">
        <v>2</v>
      </c>
      <c r="C1560" s="3">
        <v>46175</v>
      </c>
      <c r="D1560" t="s">
        <v>661</v>
      </c>
      <c r="E1560" t="s">
        <v>125</v>
      </c>
      <c r="F1560" t="s">
        <v>77</v>
      </c>
      <c r="G1560" t="s">
        <v>50</v>
      </c>
      <c r="H1560" t="s">
        <v>67</v>
      </c>
      <c r="I1560">
        <v>1</v>
      </c>
      <c r="J1560" s="4">
        <v>1853.04</v>
      </c>
      <c r="K1560" s="5">
        <v>0</v>
      </c>
      <c r="L1560" s="4">
        <v>1044.32</v>
      </c>
      <c r="M1560" t="s">
        <v>62</v>
      </c>
      <c r="N1560" t="s">
        <v>43</v>
      </c>
      <c r="O1560">
        <f>IF(TablaVentas[[#This Row],[Precio_unitario]]="","PENDIENTE",TablaVentas[[#This Row],[Unidades]]*TablaVentas[[#This Row],[Precio_unitario]]*(1-TablaVentas[[#This Row],[Descuento_pct]]))</f>
        <v>1853.04</v>
      </c>
      <c r="P1560">
        <f>IF(TablaVentas[[#This Row],[Costo_unitario]]="","PENDIENTE",TablaVentas[[#This Row],[Unidades]]*TablaVentas[[#This Row],[Costo_unitario]])</f>
        <v>1044.32</v>
      </c>
      <c r="Q1560">
        <f>IF(OR(TablaVentas[[#This Row],[Ingreso_neto]]="PENDIENTE",TablaVentas[[#This Row],[Costo_total]]="PENDIENTE"),"PENDIENTE",TablaVentas[[#This Row],[Ingreso_neto]]-TablaVentas[[#This Row],[Costo_total]])</f>
        <v>808.72</v>
      </c>
    </row>
    <row r="1561" spans="1:17">
      <c r="A1561" t="s">
        <v>1049</v>
      </c>
      <c r="B1561">
        <v>1</v>
      </c>
      <c r="C1561" s="3">
        <v>46269</v>
      </c>
      <c r="D1561" t="s">
        <v>544</v>
      </c>
      <c r="E1561" t="s">
        <v>353</v>
      </c>
      <c r="F1561" t="s">
        <v>56</v>
      </c>
      <c r="G1561" t="s">
        <v>57</v>
      </c>
      <c r="H1561" t="s">
        <v>51</v>
      </c>
      <c r="I1561">
        <v>2</v>
      </c>
      <c r="J1561" s="4">
        <v>2070.38</v>
      </c>
      <c r="K1561" s="5">
        <v>0</v>
      </c>
      <c r="L1561" s="4">
        <v>1479.71</v>
      </c>
      <c r="M1561" t="s">
        <v>42</v>
      </c>
      <c r="N1561" t="s">
        <v>45</v>
      </c>
      <c r="O1561">
        <f>IF(TablaVentas[[#This Row],[Precio_unitario]]="","PENDIENTE",TablaVentas[[#This Row],[Unidades]]*TablaVentas[[#This Row],[Precio_unitario]]*(1-TablaVentas[[#This Row],[Descuento_pct]]))</f>
        <v>4140.76</v>
      </c>
      <c r="P1561">
        <f>IF(TablaVentas[[#This Row],[Costo_unitario]]="","PENDIENTE",TablaVentas[[#This Row],[Unidades]]*TablaVentas[[#This Row],[Costo_unitario]])</f>
        <v>2959.42</v>
      </c>
      <c r="Q1561">
        <f>IF(OR(TablaVentas[[#This Row],[Ingreso_neto]]="PENDIENTE",TablaVentas[[#This Row],[Costo_total]]="PENDIENTE"),"PENDIENTE",TablaVentas[[#This Row],[Ingreso_neto]]-TablaVentas[[#This Row],[Costo_total]])</f>
        <v>1181.3400000000001</v>
      </c>
    </row>
    <row r="1562" spans="1:17">
      <c r="A1562" t="s">
        <v>1050</v>
      </c>
      <c r="B1562">
        <v>1</v>
      </c>
      <c r="C1562" s="3">
        <v>46082</v>
      </c>
      <c r="D1562" t="s">
        <v>414</v>
      </c>
      <c r="E1562" t="s">
        <v>335</v>
      </c>
      <c r="F1562" t="s">
        <v>66</v>
      </c>
      <c r="G1562" t="s">
        <v>50</v>
      </c>
      <c r="H1562" t="s">
        <v>124</v>
      </c>
      <c r="I1562">
        <v>8</v>
      </c>
      <c r="J1562" s="4">
        <v>6619.58</v>
      </c>
      <c r="K1562" s="5">
        <v>0.2</v>
      </c>
      <c r="L1562" s="4">
        <v>5587.31</v>
      </c>
      <c r="M1562" t="s">
        <v>42</v>
      </c>
      <c r="N1562" t="s">
        <v>43</v>
      </c>
      <c r="O1562">
        <f>IF(TablaVentas[[#This Row],[Precio_unitario]]="","PENDIENTE",TablaVentas[[#This Row],[Unidades]]*TablaVentas[[#This Row],[Precio_unitario]]*(1-TablaVentas[[#This Row],[Descuento_pct]]))</f>
        <v>42365.312000000005</v>
      </c>
      <c r="P1562">
        <f>IF(TablaVentas[[#This Row],[Costo_unitario]]="","PENDIENTE",TablaVentas[[#This Row],[Unidades]]*TablaVentas[[#This Row],[Costo_unitario]])</f>
        <v>44698.48</v>
      </c>
      <c r="Q1562">
        <f>IF(OR(TablaVentas[[#This Row],[Ingreso_neto]]="PENDIENTE",TablaVentas[[#This Row],[Costo_total]]="PENDIENTE"),"PENDIENTE",TablaVentas[[#This Row],[Ingreso_neto]]-TablaVentas[[#This Row],[Costo_total]])</f>
        <v>-2333.1679999999978</v>
      </c>
    </row>
    <row r="1563" spans="1:17">
      <c r="A1563" t="s">
        <v>1050</v>
      </c>
      <c r="B1563">
        <v>2</v>
      </c>
      <c r="C1563" s="3">
        <v>46082</v>
      </c>
      <c r="D1563" t="s">
        <v>414</v>
      </c>
      <c r="E1563" t="s">
        <v>140</v>
      </c>
      <c r="F1563" t="s">
        <v>66</v>
      </c>
      <c r="G1563" t="s">
        <v>50</v>
      </c>
      <c r="H1563" t="s">
        <v>124</v>
      </c>
      <c r="I1563">
        <v>2</v>
      </c>
      <c r="J1563" s="4">
        <v>3129.44</v>
      </c>
      <c r="K1563" s="5">
        <v>0.2</v>
      </c>
      <c r="L1563" s="4">
        <v>2427.63</v>
      </c>
      <c r="M1563" t="s">
        <v>42</v>
      </c>
      <c r="N1563" t="s">
        <v>60</v>
      </c>
      <c r="O1563">
        <f>IF(TablaVentas[[#This Row],[Precio_unitario]]="","PENDIENTE",TablaVentas[[#This Row],[Unidades]]*TablaVentas[[#This Row],[Precio_unitario]]*(1-TablaVentas[[#This Row],[Descuento_pct]]))</f>
        <v>5007.1040000000003</v>
      </c>
      <c r="P1563">
        <f>IF(TablaVentas[[#This Row],[Costo_unitario]]="","PENDIENTE",TablaVentas[[#This Row],[Unidades]]*TablaVentas[[#This Row],[Costo_unitario]])</f>
        <v>4855.26</v>
      </c>
      <c r="Q1563">
        <f>IF(OR(TablaVentas[[#This Row],[Ingreso_neto]]="PENDIENTE",TablaVentas[[#This Row],[Costo_total]]="PENDIENTE"),"PENDIENTE",TablaVentas[[#This Row],[Ingreso_neto]]-TablaVentas[[#This Row],[Costo_total]])</f>
        <v>151.84400000000005</v>
      </c>
    </row>
    <row r="1564" spans="1:17">
      <c r="A1564" t="s">
        <v>1050</v>
      </c>
      <c r="B1564">
        <v>3</v>
      </c>
      <c r="C1564" s="3">
        <v>46082</v>
      </c>
      <c r="D1564" t="s">
        <v>414</v>
      </c>
      <c r="E1564" t="s">
        <v>217</v>
      </c>
      <c r="F1564" t="s">
        <v>66</v>
      </c>
      <c r="G1564" t="s">
        <v>50</v>
      </c>
      <c r="H1564" t="s">
        <v>124</v>
      </c>
      <c r="I1564">
        <v>2</v>
      </c>
      <c r="J1564" s="4">
        <v>17654.099999999999</v>
      </c>
      <c r="K1564" s="5">
        <v>0</v>
      </c>
      <c r="L1564" s="4">
        <v>14161.63</v>
      </c>
      <c r="M1564" t="s">
        <v>42</v>
      </c>
      <c r="N1564" t="s">
        <v>45</v>
      </c>
      <c r="O1564">
        <f>IF(TablaVentas[[#This Row],[Precio_unitario]]="","PENDIENTE",TablaVentas[[#This Row],[Unidades]]*TablaVentas[[#This Row],[Precio_unitario]]*(1-TablaVentas[[#This Row],[Descuento_pct]]))</f>
        <v>35308.199999999997</v>
      </c>
      <c r="P1564">
        <f>IF(TablaVentas[[#This Row],[Costo_unitario]]="","PENDIENTE",TablaVentas[[#This Row],[Unidades]]*TablaVentas[[#This Row],[Costo_unitario]])</f>
        <v>28323.26</v>
      </c>
      <c r="Q1564">
        <f>IF(OR(TablaVentas[[#This Row],[Ingreso_neto]]="PENDIENTE",TablaVentas[[#This Row],[Costo_total]]="PENDIENTE"),"PENDIENTE",TablaVentas[[#This Row],[Ingreso_neto]]-TablaVentas[[#This Row],[Costo_total]])</f>
        <v>6984.9399999999987</v>
      </c>
    </row>
    <row r="1565" spans="1:17">
      <c r="A1565" t="s">
        <v>1051</v>
      </c>
      <c r="B1565">
        <v>1</v>
      </c>
      <c r="C1565" s="3">
        <v>46201</v>
      </c>
      <c r="D1565" t="s">
        <v>377</v>
      </c>
      <c r="E1565" t="s">
        <v>140</v>
      </c>
      <c r="F1565" t="s">
        <v>56</v>
      </c>
      <c r="G1565" t="s">
        <v>40</v>
      </c>
      <c r="H1565" t="s">
        <v>82</v>
      </c>
      <c r="I1565">
        <v>1</v>
      </c>
      <c r="J1565" s="4">
        <v>2942.16</v>
      </c>
      <c r="K1565" s="5">
        <v>0</v>
      </c>
      <c r="L1565" s="4">
        <v>2427.63</v>
      </c>
      <c r="M1565" t="s">
        <v>42</v>
      </c>
      <c r="N1565" t="s">
        <v>45</v>
      </c>
      <c r="O1565">
        <f>IF(TablaVentas[[#This Row],[Precio_unitario]]="","PENDIENTE",TablaVentas[[#This Row],[Unidades]]*TablaVentas[[#This Row],[Precio_unitario]]*(1-TablaVentas[[#This Row],[Descuento_pct]]))</f>
        <v>2942.16</v>
      </c>
      <c r="P1565">
        <f>IF(TablaVentas[[#This Row],[Costo_unitario]]="","PENDIENTE",TablaVentas[[#This Row],[Unidades]]*TablaVentas[[#This Row],[Costo_unitario]])</f>
        <v>2427.63</v>
      </c>
      <c r="Q1565">
        <f>IF(OR(TablaVentas[[#This Row],[Ingreso_neto]]="PENDIENTE",TablaVentas[[#This Row],[Costo_total]]="PENDIENTE"),"PENDIENTE",TablaVentas[[#This Row],[Ingreso_neto]]-TablaVentas[[#This Row],[Costo_total]])</f>
        <v>514.52999999999975</v>
      </c>
    </row>
    <row r="1566" spans="1:17">
      <c r="A1566" t="s">
        <v>1051</v>
      </c>
      <c r="B1566">
        <v>2</v>
      </c>
      <c r="C1566" s="3">
        <v>46201</v>
      </c>
      <c r="D1566" t="s">
        <v>377</v>
      </c>
      <c r="E1566" t="s">
        <v>172</v>
      </c>
      <c r="F1566" t="s">
        <v>56</v>
      </c>
      <c r="G1566" t="s">
        <v>40</v>
      </c>
      <c r="H1566" t="s">
        <v>82</v>
      </c>
      <c r="I1566">
        <v>1</v>
      </c>
      <c r="J1566" s="4">
        <v>17206.53</v>
      </c>
      <c r="K1566" s="5">
        <v>0.1</v>
      </c>
      <c r="L1566" s="4">
        <v>10830.17</v>
      </c>
      <c r="M1566" t="s">
        <v>42</v>
      </c>
      <c r="N1566" t="s">
        <v>52</v>
      </c>
      <c r="O1566">
        <f>IF(TablaVentas[[#This Row],[Precio_unitario]]="","PENDIENTE",TablaVentas[[#This Row],[Unidades]]*TablaVentas[[#This Row],[Precio_unitario]]*(1-TablaVentas[[#This Row],[Descuento_pct]]))</f>
        <v>15485.876999999999</v>
      </c>
      <c r="P1566">
        <f>IF(TablaVentas[[#This Row],[Costo_unitario]]="","PENDIENTE",TablaVentas[[#This Row],[Unidades]]*TablaVentas[[#This Row],[Costo_unitario]])</f>
        <v>10830.17</v>
      </c>
      <c r="Q1566">
        <f>IF(OR(TablaVentas[[#This Row],[Ingreso_neto]]="PENDIENTE",TablaVentas[[#This Row],[Costo_total]]="PENDIENTE"),"PENDIENTE",TablaVentas[[#This Row],[Ingreso_neto]]-TablaVentas[[#This Row],[Costo_total]])</f>
        <v>4655.7069999999985</v>
      </c>
    </row>
    <row r="1567" spans="1:17">
      <c r="A1567" t="s">
        <v>1052</v>
      </c>
      <c r="B1567">
        <v>1</v>
      </c>
      <c r="C1567" s="3">
        <v>46147</v>
      </c>
      <c r="D1567" t="s">
        <v>202</v>
      </c>
      <c r="E1567" t="s">
        <v>167</v>
      </c>
      <c r="F1567" t="s">
        <v>39</v>
      </c>
      <c r="G1567" t="s">
        <v>50</v>
      </c>
      <c r="H1567" t="s">
        <v>41</v>
      </c>
      <c r="I1567">
        <v>1</v>
      </c>
      <c r="J1567" s="4">
        <v>16073.78</v>
      </c>
      <c r="K1567" s="5">
        <v>0.15</v>
      </c>
      <c r="L1567" s="4">
        <v>8704.4</v>
      </c>
      <c r="M1567" t="s">
        <v>42</v>
      </c>
      <c r="N1567" t="s">
        <v>60</v>
      </c>
      <c r="O1567">
        <f>IF(TablaVentas[[#This Row],[Precio_unitario]]="","PENDIENTE",TablaVentas[[#This Row],[Unidades]]*TablaVentas[[#This Row],[Precio_unitario]]*(1-TablaVentas[[#This Row],[Descuento_pct]]))</f>
        <v>13662.713</v>
      </c>
      <c r="P1567">
        <f>IF(TablaVentas[[#This Row],[Costo_unitario]]="","PENDIENTE",TablaVentas[[#This Row],[Unidades]]*TablaVentas[[#This Row],[Costo_unitario]])</f>
        <v>8704.4</v>
      </c>
      <c r="Q1567">
        <f>IF(OR(TablaVentas[[#This Row],[Ingreso_neto]]="PENDIENTE",TablaVentas[[#This Row],[Costo_total]]="PENDIENTE"),"PENDIENTE",TablaVentas[[#This Row],[Ingreso_neto]]-TablaVentas[[#This Row],[Costo_total]])</f>
        <v>4958.3130000000001</v>
      </c>
    </row>
    <row r="1568" spans="1:17">
      <c r="A1568" t="s">
        <v>1052</v>
      </c>
      <c r="B1568">
        <v>2</v>
      </c>
      <c r="C1568" s="3">
        <v>46147</v>
      </c>
      <c r="D1568" t="s">
        <v>202</v>
      </c>
      <c r="E1568" t="s">
        <v>84</v>
      </c>
      <c r="F1568" t="s">
        <v>39</v>
      </c>
      <c r="G1568" t="s">
        <v>50</v>
      </c>
      <c r="H1568" t="s">
        <v>41</v>
      </c>
      <c r="I1568">
        <v>1</v>
      </c>
      <c r="J1568" s="4">
        <v>16459.689999999999</v>
      </c>
      <c r="K1568" s="5">
        <v>0.1</v>
      </c>
      <c r="L1568" s="4">
        <v>8576.0499999999993</v>
      </c>
      <c r="M1568" t="s">
        <v>62</v>
      </c>
      <c r="N1568" t="s">
        <v>60</v>
      </c>
      <c r="O1568">
        <f>IF(TablaVentas[[#This Row],[Precio_unitario]]="","PENDIENTE",TablaVentas[[#This Row],[Unidades]]*TablaVentas[[#This Row],[Precio_unitario]]*(1-TablaVentas[[#This Row],[Descuento_pct]]))</f>
        <v>14813.721</v>
      </c>
      <c r="P1568">
        <f>IF(TablaVentas[[#This Row],[Costo_unitario]]="","PENDIENTE",TablaVentas[[#This Row],[Unidades]]*TablaVentas[[#This Row],[Costo_unitario]])</f>
        <v>8576.0499999999993</v>
      </c>
      <c r="Q1568">
        <f>IF(OR(TablaVentas[[#This Row],[Ingreso_neto]]="PENDIENTE",TablaVentas[[#This Row],[Costo_total]]="PENDIENTE"),"PENDIENTE",TablaVentas[[#This Row],[Ingreso_neto]]-TablaVentas[[#This Row],[Costo_total]])</f>
        <v>6237.6710000000003</v>
      </c>
    </row>
    <row r="1569" spans="1:17">
      <c r="A1569" t="s">
        <v>1053</v>
      </c>
      <c r="B1569">
        <v>1</v>
      </c>
      <c r="C1569" s="3">
        <v>46131</v>
      </c>
      <c r="D1569" t="s">
        <v>386</v>
      </c>
      <c r="E1569" t="s">
        <v>346</v>
      </c>
      <c r="F1569" t="s">
        <v>39</v>
      </c>
      <c r="G1569" t="s">
        <v>50</v>
      </c>
      <c r="H1569" t="s">
        <v>124</v>
      </c>
      <c r="I1569">
        <v>4</v>
      </c>
      <c r="J1569" s="4">
        <v>2174.63</v>
      </c>
      <c r="K1569" s="5">
        <v>0.15</v>
      </c>
      <c r="L1569" s="4">
        <v>1175.74</v>
      </c>
      <c r="M1569" t="s">
        <v>42</v>
      </c>
      <c r="N1569" t="s">
        <v>43</v>
      </c>
      <c r="O1569">
        <f>IF(TablaVentas[[#This Row],[Precio_unitario]]="","PENDIENTE",TablaVentas[[#This Row],[Unidades]]*TablaVentas[[#This Row],[Precio_unitario]]*(1-TablaVentas[[#This Row],[Descuento_pct]]))</f>
        <v>7393.7420000000002</v>
      </c>
      <c r="P1569">
        <f>IF(TablaVentas[[#This Row],[Costo_unitario]]="","PENDIENTE",TablaVentas[[#This Row],[Unidades]]*TablaVentas[[#This Row],[Costo_unitario]])</f>
        <v>4702.96</v>
      </c>
      <c r="Q1569">
        <f>IF(OR(TablaVentas[[#This Row],[Ingreso_neto]]="PENDIENTE",TablaVentas[[#This Row],[Costo_total]]="PENDIENTE"),"PENDIENTE",TablaVentas[[#This Row],[Ingreso_neto]]-TablaVentas[[#This Row],[Costo_total]])</f>
        <v>2690.7820000000002</v>
      </c>
    </row>
    <row r="1570" spans="1:17">
      <c r="A1570" t="s">
        <v>1054</v>
      </c>
      <c r="B1570">
        <v>1</v>
      </c>
      <c r="C1570" s="3">
        <v>46148</v>
      </c>
      <c r="D1570" t="s">
        <v>593</v>
      </c>
      <c r="E1570" t="s">
        <v>97</v>
      </c>
      <c r="F1570" t="s">
        <v>77</v>
      </c>
      <c r="G1570" t="s">
        <v>50</v>
      </c>
      <c r="H1570" t="s">
        <v>58</v>
      </c>
      <c r="I1570">
        <v>1</v>
      </c>
      <c r="J1570" s="4">
        <v>15402.88</v>
      </c>
      <c r="K1570" s="5">
        <v>0</v>
      </c>
      <c r="L1570" s="4">
        <v>11424.77</v>
      </c>
      <c r="M1570" t="s">
        <v>42</v>
      </c>
      <c r="N1570" t="s">
        <v>60</v>
      </c>
      <c r="O1570">
        <f>IF(TablaVentas[[#This Row],[Precio_unitario]]="","PENDIENTE",TablaVentas[[#This Row],[Unidades]]*TablaVentas[[#This Row],[Precio_unitario]]*(1-TablaVentas[[#This Row],[Descuento_pct]]))</f>
        <v>15402.88</v>
      </c>
      <c r="P1570">
        <f>IF(TablaVentas[[#This Row],[Costo_unitario]]="","PENDIENTE",TablaVentas[[#This Row],[Unidades]]*TablaVentas[[#This Row],[Costo_unitario]])</f>
        <v>11424.77</v>
      </c>
      <c r="Q1570">
        <f>IF(OR(TablaVentas[[#This Row],[Ingreso_neto]]="PENDIENTE",TablaVentas[[#This Row],[Costo_total]]="PENDIENTE"),"PENDIENTE",TablaVentas[[#This Row],[Ingreso_neto]]-TablaVentas[[#This Row],[Costo_total]])</f>
        <v>3978.1099999999988</v>
      </c>
    </row>
    <row r="1571" spans="1:17">
      <c r="A1571" t="s">
        <v>1055</v>
      </c>
      <c r="B1571">
        <v>1</v>
      </c>
      <c r="C1571" s="3">
        <v>46258</v>
      </c>
      <c r="D1571" t="s">
        <v>472</v>
      </c>
      <c r="E1571" t="s">
        <v>106</v>
      </c>
      <c r="F1571" t="s">
        <v>39</v>
      </c>
      <c r="G1571" t="s">
        <v>50</v>
      </c>
      <c r="H1571" t="s">
        <v>184</v>
      </c>
      <c r="I1571">
        <v>1</v>
      </c>
      <c r="J1571" s="4">
        <v>10081.65</v>
      </c>
      <c r="K1571" s="5">
        <v>0.2</v>
      </c>
      <c r="L1571" s="4">
        <v>8276.74</v>
      </c>
      <c r="M1571" t="s">
        <v>42</v>
      </c>
      <c r="N1571" t="s">
        <v>43</v>
      </c>
      <c r="O1571">
        <f>IF(TablaVentas[[#This Row],[Precio_unitario]]="","PENDIENTE",TablaVentas[[#This Row],[Unidades]]*TablaVentas[[#This Row],[Precio_unitario]]*(1-TablaVentas[[#This Row],[Descuento_pct]]))</f>
        <v>8065.32</v>
      </c>
      <c r="P1571">
        <f>IF(TablaVentas[[#This Row],[Costo_unitario]]="","PENDIENTE",TablaVentas[[#This Row],[Unidades]]*TablaVentas[[#This Row],[Costo_unitario]])</f>
        <v>8276.74</v>
      </c>
      <c r="Q1571">
        <f>IF(OR(TablaVentas[[#This Row],[Ingreso_neto]]="PENDIENTE",TablaVentas[[#This Row],[Costo_total]]="PENDIENTE"),"PENDIENTE",TablaVentas[[#This Row],[Ingreso_neto]]-TablaVentas[[#This Row],[Costo_total]])</f>
        <v>-211.42000000000007</v>
      </c>
    </row>
    <row r="1572" spans="1:17">
      <c r="A1572" t="s">
        <v>1056</v>
      </c>
      <c r="B1572">
        <v>1</v>
      </c>
      <c r="C1572" s="3">
        <v>46066</v>
      </c>
      <c r="D1572" t="s">
        <v>390</v>
      </c>
      <c r="E1572" t="s">
        <v>85</v>
      </c>
      <c r="F1572" t="s">
        <v>77</v>
      </c>
      <c r="G1572" t="s">
        <v>50</v>
      </c>
      <c r="H1572" t="s">
        <v>51</v>
      </c>
      <c r="I1572">
        <v>1</v>
      </c>
      <c r="J1572" s="4">
        <v>493.57</v>
      </c>
      <c r="K1572" s="5">
        <v>0.15</v>
      </c>
      <c r="L1572" s="4">
        <v>307.75</v>
      </c>
      <c r="M1572" t="s">
        <v>42</v>
      </c>
      <c r="N1572" t="s">
        <v>45</v>
      </c>
      <c r="O1572">
        <f>IF(TablaVentas[[#This Row],[Precio_unitario]]="","PENDIENTE",TablaVentas[[#This Row],[Unidades]]*TablaVentas[[#This Row],[Precio_unitario]]*(1-TablaVentas[[#This Row],[Descuento_pct]]))</f>
        <v>419.53449999999998</v>
      </c>
      <c r="P1572">
        <f>IF(TablaVentas[[#This Row],[Costo_unitario]]="","PENDIENTE",TablaVentas[[#This Row],[Unidades]]*TablaVentas[[#This Row],[Costo_unitario]])</f>
        <v>307.75</v>
      </c>
      <c r="Q1572">
        <f>IF(OR(TablaVentas[[#This Row],[Ingreso_neto]]="PENDIENTE",TablaVentas[[#This Row],[Costo_total]]="PENDIENTE"),"PENDIENTE",TablaVentas[[#This Row],[Ingreso_neto]]-TablaVentas[[#This Row],[Costo_total]])</f>
        <v>111.78449999999998</v>
      </c>
    </row>
    <row r="1573" spans="1:17">
      <c r="A1573" t="s">
        <v>1057</v>
      </c>
      <c r="B1573">
        <v>1</v>
      </c>
      <c r="C1573" s="3">
        <v>46151</v>
      </c>
      <c r="D1573" t="s">
        <v>96</v>
      </c>
      <c r="E1573" t="s">
        <v>321</v>
      </c>
      <c r="F1573" t="s">
        <v>66</v>
      </c>
      <c r="G1573" t="s">
        <v>50</v>
      </c>
      <c r="H1573" t="s">
        <v>102</v>
      </c>
      <c r="I1573">
        <v>3</v>
      </c>
      <c r="J1573" s="4">
        <v>1163.83</v>
      </c>
      <c r="K1573" s="5">
        <v>0</v>
      </c>
      <c r="L1573" s="4">
        <v>679.37</v>
      </c>
      <c r="M1573" t="s">
        <v>42</v>
      </c>
      <c r="N1573" t="s">
        <v>60</v>
      </c>
      <c r="O1573">
        <f>IF(TablaVentas[[#This Row],[Precio_unitario]]="","PENDIENTE",TablaVentas[[#This Row],[Unidades]]*TablaVentas[[#This Row],[Precio_unitario]]*(1-TablaVentas[[#This Row],[Descuento_pct]]))</f>
        <v>3491.49</v>
      </c>
      <c r="P1573">
        <f>IF(TablaVentas[[#This Row],[Costo_unitario]]="","PENDIENTE",TablaVentas[[#This Row],[Unidades]]*TablaVentas[[#This Row],[Costo_unitario]])</f>
        <v>2038.1100000000001</v>
      </c>
      <c r="Q1573">
        <f>IF(OR(TablaVentas[[#This Row],[Ingreso_neto]]="PENDIENTE",TablaVentas[[#This Row],[Costo_total]]="PENDIENTE"),"PENDIENTE",TablaVentas[[#This Row],[Ingreso_neto]]-TablaVentas[[#This Row],[Costo_total]])</f>
        <v>1453.3799999999997</v>
      </c>
    </row>
    <row r="1574" spans="1:17">
      <c r="A1574" t="s">
        <v>1057</v>
      </c>
      <c r="B1574">
        <v>2</v>
      </c>
      <c r="C1574" s="3">
        <v>46151</v>
      </c>
      <c r="D1574" t="s">
        <v>96</v>
      </c>
      <c r="E1574" t="s">
        <v>84</v>
      </c>
      <c r="F1574" t="s">
        <v>66</v>
      </c>
      <c r="G1574" t="s">
        <v>50</v>
      </c>
      <c r="H1574" t="s">
        <v>102</v>
      </c>
      <c r="I1574">
        <v>1</v>
      </c>
      <c r="J1574" s="4">
        <v>15746.49</v>
      </c>
      <c r="K1574" s="5">
        <v>0.1</v>
      </c>
      <c r="L1574" s="4">
        <v>8576.0499999999993</v>
      </c>
      <c r="M1574" t="s">
        <v>42</v>
      </c>
      <c r="N1574" t="s">
        <v>45</v>
      </c>
      <c r="O1574">
        <f>IF(TablaVentas[[#This Row],[Precio_unitario]]="","PENDIENTE",TablaVentas[[#This Row],[Unidades]]*TablaVentas[[#This Row],[Precio_unitario]]*(1-TablaVentas[[#This Row],[Descuento_pct]]))</f>
        <v>14171.841</v>
      </c>
      <c r="P1574">
        <f>IF(TablaVentas[[#This Row],[Costo_unitario]]="","PENDIENTE",TablaVentas[[#This Row],[Unidades]]*TablaVentas[[#This Row],[Costo_unitario]])</f>
        <v>8576.0499999999993</v>
      </c>
      <c r="Q1574">
        <f>IF(OR(TablaVentas[[#This Row],[Ingreso_neto]]="PENDIENTE",TablaVentas[[#This Row],[Costo_total]]="PENDIENTE"),"PENDIENTE",TablaVentas[[#This Row],[Ingreso_neto]]-TablaVentas[[#This Row],[Costo_total]])</f>
        <v>5595.7910000000011</v>
      </c>
    </row>
    <row r="1575" spans="1:17">
      <c r="A1575" t="s">
        <v>1057</v>
      </c>
      <c r="B1575">
        <v>3</v>
      </c>
      <c r="C1575" s="3">
        <v>46151</v>
      </c>
      <c r="D1575" t="s">
        <v>96</v>
      </c>
      <c r="E1575" t="s">
        <v>227</v>
      </c>
      <c r="F1575" t="s">
        <v>66</v>
      </c>
      <c r="G1575" t="s">
        <v>50</v>
      </c>
      <c r="H1575" t="s">
        <v>102</v>
      </c>
      <c r="I1575">
        <v>1</v>
      </c>
      <c r="J1575" s="4">
        <v>7794.92</v>
      </c>
      <c r="K1575" s="5">
        <v>0.2</v>
      </c>
      <c r="L1575" s="4">
        <v>6255.13</v>
      </c>
      <c r="M1575" t="s">
        <v>42</v>
      </c>
      <c r="N1575" t="s">
        <v>43</v>
      </c>
      <c r="O1575">
        <f>IF(TablaVentas[[#This Row],[Precio_unitario]]="","PENDIENTE",TablaVentas[[#This Row],[Unidades]]*TablaVentas[[#This Row],[Precio_unitario]]*(1-TablaVentas[[#This Row],[Descuento_pct]]))</f>
        <v>6235.9360000000006</v>
      </c>
      <c r="P1575">
        <f>IF(TablaVentas[[#This Row],[Costo_unitario]]="","PENDIENTE",TablaVentas[[#This Row],[Unidades]]*TablaVentas[[#This Row],[Costo_unitario]])</f>
        <v>6255.13</v>
      </c>
      <c r="Q1575">
        <f>IF(OR(TablaVentas[[#This Row],[Ingreso_neto]]="PENDIENTE",TablaVentas[[#This Row],[Costo_total]]="PENDIENTE"),"PENDIENTE",TablaVentas[[#This Row],[Ingreso_neto]]-TablaVentas[[#This Row],[Costo_total]])</f>
        <v>-19.193999999999505</v>
      </c>
    </row>
    <row r="1576" spans="1:17">
      <c r="A1576" t="s">
        <v>1058</v>
      </c>
      <c r="B1576">
        <v>1</v>
      </c>
      <c r="C1576" s="3">
        <v>46295</v>
      </c>
      <c r="D1576" t="s">
        <v>289</v>
      </c>
      <c r="E1576" t="s">
        <v>258</v>
      </c>
      <c r="F1576" t="s">
        <v>77</v>
      </c>
      <c r="G1576" t="s">
        <v>57</v>
      </c>
      <c r="H1576" t="s">
        <v>184</v>
      </c>
      <c r="I1576">
        <v>4</v>
      </c>
      <c r="J1576" s="4">
        <v>3634.74</v>
      </c>
      <c r="K1576" s="5">
        <v>0</v>
      </c>
      <c r="L1576" s="4">
        <v>2008.57</v>
      </c>
      <c r="M1576" t="s">
        <v>42</v>
      </c>
      <c r="N1576" t="s">
        <v>52</v>
      </c>
      <c r="O1576">
        <f>IF(TablaVentas[[#This Row],[Precio_unitario]]="","PENDIENTE",TablaVentas[[#This Row],[Unidades]]*TablaVentas[[#This Row],[Precio_unitario]]*(1-TablaVentas[[#This Row],[Descuento_pct]]))</f>
        <v>14538.96</v>
      </c>
      <c r="P1576">
        <f>IF(TablaVentas[[#This Row],[Costo_unitario]]="","PENDIENTE",TablaVentas[[#This Row],[Unidades]]*TablaVentas[[#This Row],[Costo_unitario]])</f>
        <v>8034.28</v>
      </c>
      <c r="Q1576">
        <f>IF(OR(TablaVentas[[#This Row],[Ingreso_neto]]="PENDIENTE",TablaVentas[[#This Row],[Costo_total]]="PENDIENTE"),"PENDIENTE",TablaVentas[[#This Row],[Ingreso_neto]]-TablaVentas[[#This Row],[Costo_total]])</f>
        <v>6504.6799999999994</v>
      </c>
    </row>
    <row r="1577" spans="1:17">
      <c r="A1577" t="s">
        <v>1059</v>
      </c>
      <c r="B1577">
        <v>1</v>
      </c>
      <c r="C1577" s="3">
        <v>46273</v>
      </c>
      <c r="D1577" t="s">
        <v>770</v>
      </c>
      <c r="E1577" t="s">
        <v>68</v>
      </c>
      <c r="F1577" t="s">
        <v>56</v>
      </c>
      <c r="G1577" t="s">
        <v>57</v>
      </c>
      <c r="H1577" t="s">
        <v>124</v>
      </c>
      <c r="I1577">
        <v>3</v>
      </c>
      <c r="J1577" s="4">
        <v>16793.95</v>
      </c>
      <c r="K1577" s="5">
        <v>0.1</v>
      </c>
      <c r="L1577" s="4">
        <v>9243.35</v>
      </c>
      <c r="M1577" t="s">
        <v>42</v>
      </c>
      <c r="N1577" t="s">
        <v>52</v>
      </c>
      <c r="O1577">
        <f>IF(TablaVentas[[#This Row],[Precio_unitario]]="","PENDIENTE",TablaVentas[[#This Row],[Unidades]]*TablaVentas[[#This Row],[Precio_unitario]]*(1-TablaVentas[[#This Row],[Descuento_pct]]))</f>
        <v>45343.665000000008</v>
      </c>
      <c r="P1577">
        <f>IF(TablaVentas[[#This Row],[Costo_unitario]]="","PENDIENTE",TablaVentas[[#This Row],[Unidades]]*TablaVentas[[#This Row],[Costo_unitario]])</f>
        <v>27730.050000000003</v>
      </c>
      <c r="Q1577">
        <f>IF(OR(TablaVentas[[#This Row],[Ingreso_neto]]="PENDIENTE",TablaVentas[[#This Row],[Costo_total]]="PENDIENTE"),"PENDIENTE",TablaVentas[[#This Row],[Ingreso_neto]]-TablaVentas[[#This Row],[Costo_total]])</f>
        <v>17613.615000000005</v>
      </c>
    </row>
    <row r="1578" spans="1:17">
      <c r="A1578" t="s">
        <v>1059</v>
      </c>
      <c r="B1578">
        <v>2</v>
      </c>
      <c r="C1578" s="3">
        <v>46273</v>
      </c>
      <c r="D1578" t="s">
        <v>770</v>
      </c>
      <c r="E1578" t="s">
        <v>335</v>
      </c>
      <c r="F1578" t="s">
        <v>56</v>
      </c>
      <c r="G1578" t="s">
        <v>57</v>
      </c>
      <c r="H1578" t="s">
        <v>124</v>
      </c>
      <c r="I1578">
        <v>5</v>
      </c>
      <c r="J1578" s="4">
        <v>7905.99</v>
      </c>
      <c r="K1578" s="5">
        <v>0</v>
      </c>
      <c r="L1578" s="4">
        <v>5587.31</v>
      </c>
      <c r="M1578" t="s">
        <v>42</v>
      </c>
      <c r="N1578" t="s">
        <v>60</v>
      </c>
      <c r="O1578">
        <f>IF(TablaVentas[[#This Row],[Precio_unitario]]="","PENDIENTE",TablaVentas[[#This Row],[Unidades]]*TablaVentas[[#This Row],[Precio_unitario]]*(1-TablaVentas[[#This Row],[Descuento_pct]]))</f>
        <v>39529.949999999997</v>
      </c>
      <c r="P1578">
        <f>IF(TablaVentas[[#This Row],[Costo_unitario]]="","PENDIENTE",TablaVentas[[#This Row],[Unidades]]*TablaVentas[[#This Row],[Costo_unitario]])</f>
        <v>27936.550000000003</v>
      </c>
      <c r="Q1578">
        <f>IF(OR(TablaVentas[[#This Row],[Ingreso_neto]]="PENDIENTE",TablaVentas[[#This Row],[Costo_total]]="PENDIENTE"),"PENDIENTE",TablaVentas[[#This Row],[Ingreso_neto]]-TablaVentas[[#This Row],[Costo_total]])</f>
        <v>11593.399999999994</v>
      </c>
    </row>
    <row r="1579" spans="1:17">
      <c r="A1579" t="s">
        <v>1060</v>
      </c>
      <c r="B1579">
        <v>1</v>
      </c>
      <c r="C1579" s="3">
        <v>46184</v>
      </c>
      <c r="D1579" t="s">
        <v>80</v>
      </c>
      <c r="E1579" t="s">
        <v>81</v>
      </c>
      <c r="F1579" t="s">
        <v>77</v>
      </c>
      <c r="G1579" t="s">
        <v>50</v>
      </c>
      <c r="H1579" t="s">
        <v>41</v>
      </c>
      <c r="I1579">
        <v>1</v>
      </c>
      <c r="J1579" s="4">
        <v>17139.78</v>
      </c>
      <c r="K1579" s="5">
        <v>0</v>
      </c>
      <c r="L1579" s="4">
        <v>11614.87</v>
      </c>
      <c r="M1579" t="s">
        <v>42</v>
      </c>
      <c r="N1579" t="s">
        <v>43</v>
      </c>
      <c r="O1579">
        <f>IF(TablaVentas[[#This Row],[Precio_unitario]]="","PENDIENTE",TablaVentas[[#This Row],[Unidades]]*TablaVentas[[#This Row],[Precio_unitario]]*(1-TablaVentas[[#This Row],[Descuento_pct]]))</f>
        <v>17139.78</v>
      </c>
      <c r="P1579">
        <f>IF(TablaVentas[[#This Row],[Costo_unitario]]="","PENDIENTE",TablaVentas[[#This Row],[Unidades]]*TablaVentas[[#This Row],[Costo_unitario]])</f>
        <v>11614.87</v>
      </c>
      <c r="Q1579">
        <f>IF(OR(TablaVentas[[#This Row],[Ingreso_neto]]="PENDIENTE",TablaVentas[[#This Row],[Costo_total]]="PENDIENTE"),"PENDIENTE",TablaVentas[[#This Row],[Ingreso_neto]]-TablaVentas[[#This Row],[Costo_total]])</f>
        <v>5524.909999999998</v>
      </c>
    </row>
    <row r="1580" spans="1:17">
      <c r="A1580" t="s">
        <v>1061</v>
      </c>
      <c r="B1580">
        <v>1</v>
      </c>
      <c r="C1580" s="3">
        <v>46178</v>
      </c>
      <c r="D1580" t="s">
        <v>118</v>
      </c>
      <c r="E1580" t="s">
        <v>44</v>
      </c>
      <c r="F1580" t="s">
        <v>66</v>
      </c>
      <c r="G1580" t="s">
        <v>40</v>
      </c>
      <c r="H1580" t="s">
        <v>73</v>
      </c>
      <c r="I1580">
        <v>4</v>
      </c>
      <c r="J1580" s="4">
        <v>14050.79</v>
      </c>
      <c r="K1580" s="5">
        <v>0</v>
      </c>
      <c r="L1580" s="4">
        <v>8980.68</v>
      </c>
      <c r="M1580" t="s">
        <v>42</v>
      </c>
      <c r="N1580" t="s">
        <v>45</v>
      </c>
      <c r="O1580">
        <f>IF(TablaVentas[[#This Row],[Precio_unitario]]="","PENDIENTE",TablaVentas[[#This Row],[Unidades]]*TablaVentas[[#This Row],[Precio_unitario]]*(1-TablaVentas[[#This Row],[Descuento_pct]]))</f>
        <v>56203.16</v>
      </c>
      <c r="P1580">
        <f>IF(TablaVentas[[#This Row],[Costo_unitario]]="","PENDIENTE",TablaVentas[[#This Row],[Unidades]]*TablaVentas[[#This Row],[Costo_unitario]])</f>
        <v>35922.720000000001</v>
      </c>
      <c r="Q1580">
        <f>IF(OR(TablaVentas[[#This Row],[Ingreso_neto]]="PENDIENTE",TablaVentas[[#This Row],[Costo_total]]="PENDIENTE"),"PENDIENTE",TablaVentas[[#This Row],[Ingreso_neto]]-TablaVentas[[#This Row],[Costo_total]])</f>
        <v>20280.440000000002</v>
      </c>
    </row>
    <row r="1581" spans="1:17">
      <c r="A1581" t="s">
        <v>1062</v>
      </c>
      <c r="B1581">
        <v>1</v>
      </c>
      <c r="C1581" s="3">
        <v>46118</v>
      </c>
      <c r="D1581" t="s">
        <v>438</v>
      </c>
      <c r="E1581" t="s">
        <v>61</v>
      </c>
      <c r="F1581" t="s">
        <v>66</v>
      </c>
      <c r="G1581" t="s">
        <v>57</v>
      </c>
      <c r="H1581" t="s">
        <v>41</v>
      </c>
      <c r="I1581">
        <v>8</v>
      </c>
      <c r="J1581" s="4">
        <v>4742.9799999999996</v>
      </c>
      <c r="K1581" s="5">
        <v>0.1</v>
      </c>
      <c r="L1581" s="4">
        <v>2554.06</v>
      </c>
      <c r="M1581" t="s">
        <v>42</v>
      </c>
      <c r="N1581" t="s">
        <v>45</v>
      </c>
      <c r="O1581">
        <f>IF(TablaVentas[[#This Row],[Precio_unitario]]="","PENDIENTE",TablaVentas[[#This Row],[Unidades]]*TablaVentas[[#This Row],[Precio_unitario]]*(1-TablaVentas[[#This Row],[Descuento_pct]]))</f>
        <v>34149.455999999998</v>
      </c>
      <c r="P1581">
        <f>IF(TablaVentas[[#This Row],[Costo_unitario]]="","PENDIENTE",TablaVentas[[#This Row],[Unidades]]*TablaVentas[[#This Row],[Costo_unitario]])</f>
        <v>20432.48</v>
      </c>
      <c r="Q1581">
        <f>IF(OR(TablaVentas[[#This Row],[Ingreso_neto]]="PENDIENTE",TablaVentas[[#This Row],[Costo_total]]="PENDIENTE"),"PENDIENTE",TablaVentas[[#This Row],[Ingreso_neto]]-TablaVentas[[#This Row],[Costo_total]])</f>
        <v>13716.975999999999</v>
      </c>
    </row>
    <row r="1582" spans="1:17">
      <c r="A1582" t="s">
        <v>1063</v>
      </c>
      <c r="B1582">
        <v>1</v>
      </c>
      <c r="C1582" s="3">
        <v>46170</v>
      </c>
      <c r="D1582" t="s">
        <v>1064</v>
      </c>
      <c r="E1582" t="s">
        <v>68</v>
      </c>
      <c r="F1582" t="s">
        <v>66</v>
      </c>
      <c r="G1582" t="s">
        <v>40</v>
      </c>
      <c r="H1582" t="s">
        <v>51</v>
      </c>
      <c r="I1582">
        <v>3</v>
      </c>
      <c r="J1582" s="4">
        <v>16727.23</v>
      </c>
      <c r="K1582" s="5">
        <v>0</v>
      </c>
      <c r="L1582" s="4">
        <v>9243.35</v>
      </c>
      <c r="M1582" t="s">
        <v>42</v>
      </c>
      <c r="N1582" t="s">
        <v>43</v>
      </c>
      <c r="O1582">
        <f>IF(TablaVentas[[#This Row],[Precio_unitario]]="","PENDIENTE",TablaVentas[[#This Row],[Unidades]]*TablaVentas[[#This Row],[Precio_unitario]]*(1-TablaVentas[[#This Row],[Descuento_pct]]))</f>
        <v>50181.69</v>
      </c>
      <c r="P1582">
        <f>IF(TablaVentas[[#This Row],[Costo_unitario]]="","PENDIENTE",TablaVentas[[#This Row],[Unidades]]*TablaVentas[[#This Row],[Costo_unitario]])</f>
        <v>27730.050000000003</v>
      </c>
      <c r="Q1582">
        <f>IF(OR(TablaVentas[[#This Row],[Ingreso_neto]]="PENDIENTE",TablaVentas[[#This Row],[Costo_total]]="PENDIENTE"),"PENDIENTE",TablaVentas[[#This Row],[Ingreso_neto]]-TablaVentas[[#This Row],[Costo_total]])</f>
        <v>22451.64</v>
      </c>
    </row>
    <row r="1583" spans="1:17">
      <c r="A1583" t="s">
        <v>1063</v>
      </c>
      <c r="B1583">
        <v>2</v>
      </c>
      <c r="C1583" s="3">
        <v>46170</v>
      </c>
      <c r="D1583" t="s">
        <v>1064</v>
      </c>
      <c r="E1583" t="s">
        <v>172</v>
      </c>
      <c r="F1583" t="s">
        <v>66</v>
      </c>
      <c r="G1583" t="s">
        <v>40</v>
      </c>
      <c r="H1583" t="s">
        <v>51</v>
      </c>
      <c r="I1583">
        <v>2</v>
      </c>
      <c r="J1583" s="4">
        <v>15468.92</v>
      </c>
      <c r="K1583" s="5">
        <v>0.05</v>
      </c>
      <c r="L1583" s="4">
        <v>10830.17</v>
      </c>
      <c r="M1583" t="s">
        <v>42</v>
      </c>
      <c r="N1583" t="s">
        <v>52</v>
      </c>
      <c r="O1583">
        <f>IF(TablaVentas[[#This Row],[Precio_unitario]]="","PENDIENTE",TablaVentas[[#This Row],[Unidades]]*TablaVentas[[#This Row],[Precio_unitario]]*(1-TablaVentas[[#This Row],[Descuento_pct]]))</f>
        <v>29390.948</v>
      </c>
      <c r="P1583">
        <f>IF(TablaVentas[[#This Row],[Costo_unitario]]="","PENDIENTE",TablaVentas[[#This Row],[Unidades]]*TablaVentas[[#This Row],[Costo_unitario]])</f>
        <v>21660.34</v>
      </c>
      <c r="Q1583">
        <f>IF(OR(TablaVentas[[#This Row],[Ingreso_neto]]="PENDIENTE",TablaVentas[[#This Row],[Costo_total]]="PENDIENTE"),"PENDIENTE",TablaVentas[[#This Row],[Ingreso_neto]]-TablaVentas[[#This Row],[Costo_total]])</f>
        <v>7730.6080000000002</v>
      </c>
    </row>
    <row r="1584" spans="1:17">
      <c r="A1584" t="s">
        <v>1063</v>
      </c>
      <c r="B1584">
        <v>3</v>
      </c>
      <c r="C1584" s="3">
        <v>46170</v>
      </c>
      <c r="D1584" t="s">
        <v>1064</v>
      </c>
      <c r="E1584" t="s">
        <v>206</v>
      </c>
      <c r="F1584" t="s">
        <v>66</v>
      </c>
      <c r="G1584" t="s">
        <v>40</v>
      </c>
      <c r="H1584" t="s">
        <v>51</v>
      </c>
      <c r="I1584">
        <v>1</v>
      </c>
      <c r="J1584" s="4">
        <v>5193.72</v>
      </c>
      <c r="K1584" s="5">
        <v>0</v>
      </c>
      <c r="L1584" s="4">
        <v>4008.77</v>
      </c>
      <c r="M1584" t="s">
        <v>42</v>
      </c>
      <c r="N1584" t="s">
        <v>60</v>
      </c>
      <c r="O1584">
        <f>IF(TablaVentas[[#This Row],[Precio_unitario]]="","PENDIENTE",TablaVentas[[#This Row],[Unidades]]*TablaVentas[[#This Row],[Precio_unitario]]*(1-TablaVentas[[#This Row],[Descuento_pct]]))</f>
        <v>5193.72</v>
      </c>
      <c r="P1584">
        <f>IF(TablaVentas[[#This Row],[Costo_unitario]]="","PENDIENTE",TablaVentas[[#This Row],[Unidades]]*TablaVentas[[#This Row],[Costo_unitario]])</f>
        <v>4008.77</v>
      </c>
      <c r="Q1584">
        <f>IF(OR(TablaVentas[[#This Row],[Ingreso_neto]]="PENDIENTE",TablaVentas[[#This Row],[Costo_total]]="PENDIENTE"),"PENDIENTE",TablaVentas[[#This Row],[Ingreso_neto]]-TablaVentas[[#This Row],[Costo_total]])</f>
        <v>1184.9500000000003</v>
      </c>
    </row>
    <row r="1585" spans="1:17">
      <c r="A1585" t="s">
        <v>1065</v>
      </c>
      <c r="B1585">
        <v>1</v>
      </c>
      <c r="C1585" s="3">
        <v>46130</v>
      </c>
      <c r="D1585" t="s">
        <v>312</v>
      </c>
      <c r="E1585" t="s">
        <v>233</v>
      </c>
      <c r="F1585" t="s">
        <v>39</v>
      </c>
      <c r="G1585" t="s">
        <v>57</v>
      </c>
      <c r="H1585" t="s">
        <v>102</v>
      </c>
      <c r="I1585">
        <v>1</v>
      </c>
      <c r="J1585" s="4">
        <v>9712.19</v>
      </c>
      <c r="K1585" s="5">
        <v>0</v>
      </c>
      <c r="L1585" s="4">
        <v>5932.12</v>
      </c>
      <c r="M1585" t="s">
        <v>42</v>
      </c>
      <c r="N1585" t="s">
        <v>45</v>
      </c>
      <c r="O1585">
        <f>IF(TablaVentas[[#This Row],[Precio_unitario]]="","PENDIENTE",TablaVentas[[#This Row],[Unidades]]*TablaVentas[[#This Row],[Precio_unitario]]*(1-TablaVentas[[#This Row],[Descuento_pct]]))</f>
        <v>9712.19</v>
      </c>
      <c r="P1585">
        <f>IF(TablaVentas[[#This Row],[Costo_unitario]]="","PENDIENTE",TablaVentas[[#This Row],[Unidades]]*TablaVentas[[#This Row],[Costo_unitario]])</f>
        <v>5932.12</v>
      </c>
      <c r="Q1585">
        <f>IF(OR(TablaVentas[[#This Row],[Ingreso_neto]]="PENDIENTE",TablaVentas[[#This Row],[Costo_total]]="PENDIENTE"),"PENDIENTE",TablaVentas[[#This Row],[Ingreso_neto]]-TablaVentas[[#This Row],[Costo_total]])</f>
        <v>3780.0700000000006</v>
      </c>
    </row>
    <row r="1586" spans="1:17">
      <c r="A1586" t="s">
        <v>1065</v>
      </c>
      <c r="B1586">
        <v>2</v>
      </c>
      <c r="C1586" s="3">
        <v>46130</v>
      </c>
      <c r="D1586" t="s">
        <v>312</v>
      </c>
      <c r="E1586" t="s">
        <v>148</v>
      </c>
      <c r="F1586" t="s">
        <v>39</v>
      </c>
      <c r="G1586" t="s">
        <v>57</v>
      </c>
      <c r="H1586" t="s">
        <v>102</v>
      </c>
      <c r="I1586">
        <v>2</v>
      </c>
      <c r="J1586" s="4">
        <v>3054.76</v>
      </c>
      <c r="K1586" s="5">
        <v>0.15</v>
      </c>
      <c r="L1586" s="4">
        <v>2459.34</v>
      </c>
      <c r="M1586" t="s">
        <v>42</v>
      </c>
      <c r="N1586" t="s">
        <v>43</v>
      </c>
      <c r="O1586">
        <f>IF(TablaVentas[[#This Row],[Precio_unitario]]="","PENDIENTE",TablaVentas[[#This Row],[Unidades]]*TablaVentas[[#This Row],[Precio_unitario]]*(1-TablaVentas[[#This Row],[Descuento_pct]]))</f>
        <v>5193.0920000000006</v>
      </c>
      <c r="P1586">
        <f>IF(TablaVentas[[#This Row],[Costo_unitario]]="","PENDIENTE",TablaVentas[[#This Row],[Unidades]]*TablaVentas[[#This Row],[Costo_unitario]])</f>
        <v>4918.68</v>
      </c>
      <c r="Q1586">
        <f>IF(OR(TablaVentas[[#This Row],[Ingreso_neto]]="PENDIENTE",TablaVentas[[#This Row],[Costo_total]]="PENDIENTE"),"PENDIENTE",TablaVentas[[#This Row],[Ingreso_neto]]-TablaVentas[[#This Row],[Costo_total]])</f>
        <v>274.41200000000026</v>
      </c>
    </row>
    <row r="1587" spans="1:17">
      <c r="A1587" t="s">
        <v>1065</v>
      </c>
      <c r="B1587">
        <v>3</v>
      </c>
      <c r="C1587" s="3">
        <v>46130</v>
      </c>
      <c r="D1587" t="s">
        <v>312</v>
      </c>
      <c r="E1587" t="s">
        <v>152</v>
      </c>
      <c r="F1587" t="s">
        <v>39</v>
      </c>
      <c r="G1587" t="s">
        <v>57</v>
      </c>
      <c r="H1587" t="s">
        <v>102</v>
      </c>
      <c r="I1587">
        <v>2</v>
      </c>
      <c r="J1587" s="4">
        <v>2857.57</v>
      </c>
      <c r="K1587" s="5">
        <v>0.05</v>
      </c>
      <c r="L1587" s="4">
        <v>1962.3</v>
      </c>
      <c r="M1587" t="s">
        <v>42</v>
      </c>
      <c r="N1587" t="s">
        <v>60</v>
      </c>
      <c r="O1587">
        <f>IF(TablaVentas[[#This Row],[Precio_unitario]]="","PENDIENTE",TablaVentas[[#This Row],[Unidades]]*TablaVentas[[#This Row],[Precio_unitario]]*(1-TablaVentas[[#This Row],[Descuento_pct]]))</f>
        <v>5429.3829999999998</v>
      </c>
      <c r="P1587">
        <f>IF(TablaVentas[[#This Row],[Costo_unitario]]="","PENDIENTE",TablaVentas[[#This Row],[Unidades]]*TablaVentas[[#This Row],[Costo_unitario]])</f>
        <v>3924.6</v>
      </c>
      <c r="Q1587">
        <f>IF(OR(TablaVentas[[#This Row],[Ingreso_neto]]="PENDIENTE",TablaVentas[[#This Row],[Costo_total]]="PENDIENTE"),"PENDIENTE",TablaVentas[[#This Row],[Ingreso_neto]]-TablaVentas[[#This Row],[Costo_total]])</f>
        <v>1504.7829999999999</v>
      </c>
    </row>
    <row r="1588" spans="1:17">
      <c r="A1588" t="s">
        <v>1066</v>
      </c>
      <c r="B1588">
        <v>1</v>
      </c>
      <c r="C1588" s="3">
        <v>46057</v>
      </c>
      <c r="D1588" t="s">
        <v>205</v>
      </c>
      <c r="E1588" t="s">
        <v>109</v>
      </c>
      <c r="F1588" t="s">
        <v>66</v>
      </c>
      <c r="G1588" t="s">
        <v>40</v>
      </c>
      <c r="H1588" t="s">
        <v>67</v>
      </c>
      <c r="I1588">
        <v>4</v>
      </c>
      <c r="J1588" s="4">
        <v>15090.7</v>
      </c>
      <c r="K1588" s="5">
        <v>0</v>
      </c>
      <c r="L1588" s="4">
        <v>9880.77</v>
      </c>
      <c r="M1588" t="s">
        <v>42</v>
      </c>
      <c r="N1588" t="s">
        <v>43</v>
      </c>
      <c r="O1588">
        <f>IF(TablaVentas[[#This Row],[Precio_unitario]]="","PENDIENTE",TablaVentas[[#This Row],[Unidades]]*TablaVentas[[#This Row],[Precio_unitario]]*(1-TablaVentas[[#This Row],[Descuento_pct]]))</f>
        <v>60362.8</v>
      </c>
      <c r="P1588">
        <f>IF(TablaVentas[[#This Row],[Costo_unitario]]="","PENDIENTE",TablaVentas[[#This Row],[Unidades]]*TablaVentas[[#This Row],[Costo_unitario]])</f>
        <v>39523.08</v>
      </c>
      <c r="Q1588">
        <f>IF(OR(TablaVentas[[#This Row],[Ingreso_neto]]="PENDIENTE",TablaVentas[[#This Row],[Costo_total]]="PENDIENTE"),"PENDIENTE",TablaVentas[[#This Row],[Ingreso_neto]]-TablaVentas[[#This Row],[Costo_total]])</f>
        <v>20839.72</v>
      </c>
    </row>
    <row r="1589" spans="1:17">
      <c r="A1589" t="s">
        <v>1066</v>
      </c>
      <c r="B1589">
        <v>2</v>
      </c>
      <c r="C1589" s="3">
        <v>46057</v>
      </c>
      <c r="D1589" t="s">
        <v>205</v>
      </c>
      <c r="E1589" t="s">
        <v>70</v>
      </c>
      <c r="F1589" t="s">
        <v>66</v>
      </c>
      <c r="G1589" t="s">
        <v>40</v>
      </c>
      <c r="H1589" t="s">
        <v>67</v>
      </c>
      <c r="I1589">
        <v>1</v>
      </c>
      <c r="J1589" s="4">
        <v>15700.41</v>
      </c>
      <c r="K1589" s="5">
        <v>0.05</v>
      </c>
      <c r="L1589" s="4">
        <v>10571.25</v>
      </c>
      <c r="M1589" t="s">
        <v>42</v>
      </c>
      <c r="N1589" t="s">
        <v>43</v>
      </c>
      <c r="O1589">
        <f>IF(TablaVentas[[#This Row],[Precio_unitario]]="","PENDIENTE",TablaVentas[[#This Row],[Unidades]]*TablaVentas[[#This Row],[Precio_unitario]]*(1-TablaVentas[[#This Row],[Descuento_pct]]))</f>
        <v>14915.389499999999</v>
      </c>
      <c r="P1589">
        <f>IF(TablaVentas[[#This Row],[Costo_unitario]]="","PENDIENTE",TablaVentas[[#This Row],[Unidades]]*TablaVentas[[#This Row],[Costo_unitario]])</f>
        <v>10571.25</v>
      </c>
      <c r="Q1589">
        <f>IF(OR(TablaVentas[[#This Row],[Ingreso_neto]]="PENDIENTE",TablaVentas[[#This Row],[Costo_total]]="PENDIENTE"),"PENDIENTE",TablaVentas[[#This Row],[Ingreso_neto]]-TablaVentas[[#This Row],[Costo_total]])</f>
        <v>4344.1394999999993</v>
      </c>
    </row>
    <row r="1590" spans="1:17">
      <c r="A1590" t="s">
        <v>1066</v>
      </c>
      <c r="B1590">
        <v>3</v>
      </c>
      <c r="C1590" s="3">
        <v>46057</v>
      </c>
      <c r="D1590" t="s">
        <v>205</v>
      </c>
      <c r="E1590" t="s">
        <v>537</v>
      </c>
      <c r="F1590" t="s">
        <v>66</v>
      </c>
      <c r="G1590" t="s">
        <v>40</v>
      </c>
      <c r="H1590" t="s">
        <v>67</v>
      </c>
      <c r="I1590">
        <v>1</v>
      </c>
      <c r="J1590" s="4">
        <v>5419.26</v>
      </c>
      <c r="K1590" s="5">
        <v>0</v>
      </c>
      <c r="L1590" s="4">
        <v>4556.2299999999996</v>
      </c>
      <c r="M1590" t="s">
        <v>116</v>
      </c>
      <c r="N1590" t="s">
        <v>43</v>
      </c>
      <c r="O1590">
        <f>IF(TablaVentas[[#This Row],[Precio_unitario]]="","PENDIENTE",TablaVentas[[#This Row],[Unidades]]*TablaVentas[[#This Row],[Precio_unitario]]*(1-TablaVentas[[#This Row],[Descuento_pct]]))</f>
        <v>5419.26</v>
      </c>
      <c r="P1590">
        <f>IF(TablaVentas[[#This Row],[Costo_unitario]]="","PENDIENTE",TablaVentas[[#This Row],[Unidades]]*TablaVentas[[#This Row],[Costo_unitario]])</f>
        <v>4556.2299999999996</v>
      </c>
      <c r="Q1590">
        <f>IF(OR(TablaVentas[[#This Row],[Ingreso_neto]]="PENDIENTE",TablaVentas[[#This Row],[Costo_total]]="PENDIENTE"),"PENDIENTE",TablaVentas[[#This Row],[Ingreso_neto]]-TablaVentas[[#This Row],[Costo_total]])</f>
        <v>863.03000000000065</v>
      </c>
    </row>
    <row r="1591" spans="1:17">
      <c r="A1591" t="s">
        <v>1067</v>
      </c>
      <c r="B1591">
        <v>1</v>
      </c>
      <c r="C1591" s="3">
        <v>46044</v>
      </c>
      <c r="D1591" t="s">
        <v>441</v>
      </c>
      <c r="E1591" t="s">
        <v>211</v>
      </c>
      <c r="F1591" t="s">
        <v>39</v>
      </c>
      <c r="G1591" t="s">
        <v>50</v>
      </c>
      <c r="H1591" t="s">
        <v>67</v>
      </c>
      <c r="I1591">
        <v>1</v>
      </c>
      <c r="J1591" s="4">
        <v>17931.63</v>
      </c>
      <c r="K1591" s="5">
        <v>0</v>
      </c>
      <c r="L1591" s="4">
        <v>13760.53</v>
      </c>
      <c r="M1591" t="s">
        <v>42</v>
      </c>
      <c r="N1591" t="s">
        <v>45</v>
      </c>
      <c r="O1591">
        <f>IF(TablaVentas[[#This Row],[Precio_unitario]]="","PENDIENTE",TablaVentas[[#This Row],[Unidades]]*TablaVentas[[#This Row],[Precio_unitario]]*(1-TablaVentas[[#This Row],[Descuento_pct]]))</f>
        <v>17931.63</v>
      </c>
      <c r="P1591">
        <f>IF(TablaVentas[[#This Row],[Costo_unitario]]="","PENDIENTE",TablaVentas[[#This Row],[Unidades]]*TablaVentas[[#This Row],[Costo_unitario]])</f>
        <v>13760.53</v>
      </c>
      <c r="Q1591">
        <f>IF(OR(TablaVentas[[#This Row],[Ingreso_neto]]="PENDIENTE",TablaVentas[[#This Row],[Costo_total]]="PENDIENTE"),"PENDIENTE",TablaVentas[[#This Row],[Ingreso_neto]]-TablaVentas[[#This Row],[Costo_total]])</f>
        <v>4171.1000000000004</v>
      </c>
    </row>
    <row r="1592" spans="1:17">
      <c r="A1592" t="s">
        <v>1067</v>
      </c>
      <c r="B1592">
        <v>2</v>
      </c>
      <c r="C1592" s="3">
        <v>46044</v>
      </c>
      <c r="D1592" t="s">
        <v>441</v>
      </c>
      <c r="E1592" t="s">
        <v>236</v>
      </c>
      <c r="F1592" t="s">
        <v>39</v>
      </c>
      <c r="G1592" t="s">
        <v>50</v>
      </c>
      <c r="H1592" t="s">
        <v>67</v>
      </c>
      <c r="I1592">
        <v>5</v>
      </c>
      <c r="J1592" s="4">
        <v>10356.5</v>
      </c>
      <c r="K1592" s="5">
        <v>0.05</v>
      </c>
      <c r="L1592" s="4">
        <v>8061.7</v>
      </c>
      <c r="M1592" t="s">
        <v>42</v>
      </c>
      <c r="N1592" t="s">
        <v>43</v>
      </c>
      <c r="O1592">
        <f>IF(TablaVentas[[#This Row],[Precio_unitario]]="","PENDIENTE",TablaVentas[[#This Row],[Unidades]]*TablaVentas[[#This Row],[Precio_unitario]]*(1-TablaVentas[[#This Row],[Descuento_pct]]))</f>
        <v>49193.375</v>
      </c>
      <c r="P1592">
        <f>IF(TablaVentas[[#This Row],[Costo_unitario]]="","PENDIENTE",TablaVentas[[#This Row],[Unidades]]*TablaVentas[[#This Row],[Costo_unitario]])</f>
        <v>40308.5</v>
      </c>
      <c r="Q1592">
        <f>IF(OR(TablaVentas[[#This Row],[Ingreso_neto]]="PENDIENTE",TablaVentas[[#This Row],[Costo_total]]="PENDIENTE"),"PENDIENTE",TablaVentas[[#This Row],[Ingreso_neto]]-TablaVentas[[#This Row],[Costo_total]])</f>
        <v>8884.875</v>
      </c>
    </row>
    <row r="1593" spans="1:17">
      <c r="A1593" t="s">
        <v>1068</v>
      </c>
      <c r="B1593">
        <v>1</v>
      </c>
      <c r="C1593" s="3">
        <v>46161</v>
      </c>
      <c r="D1593" t="s">
        <v>792</v>
      </c>
      <c r="E1593" t="s">
        <v>119</v>
      </c>
      <c r="F1593" t="s">
        <v>77</v>
      </c>
      <c r="G1593" t="s">
        <v>40</v>
      </c>
      <c r="H1593" t="s">
        <v>124</v>
      </c>
      <c r="I1593">
        <v>2</v>
      </c>
      <c r="J1593" s="4">
        <v>9544.84</v>
      </c>
      <c r="K1593" s="5">
        <v>0</v>
      </c>
      <c r="L1593" s="4">
        <v>6981.94</v>
      </c>
      <c r="M1593" t="s">
        <v>42</v>
      </c>
      <c r="N1593" t="s">
        <v>60</v>
      </c>
      <c r="O1593">
        <f>IF(TablaVentas[[#This Row],[Precio_unitario]]="","PENDIENTE",TablaVentas[[#This Row],[Unidades]]*TablaVentas[[#This Row],[Precio_unitario]]*(1-TablaVentas[[#This Row],[Descuento_pct]]))</f>
        <v>19089.68</v>
      </c>
      <c r="P1593">
        <f>IF(TablaVentas[[#This Row],[Costo_unitario]]="","PENDIENTE",TablaVentas[[#This Row],[Unidades]]*TablaVentas[[#This Row],[Costo_unitario]])</f>
        <v>13963.88</v>
      </c>
      <c r="Q1593">
        <f>IF(OR(TablaVentas[[#This Row],[Ingreso_neto]]="PENDIENTE",TablaVentas[[#This Row],[Costo_total]]="PENDIENTE"),"PENDIENTE",TablaVentas[[#This Row],[Ingreso_neto]]-TablaVentas[[#This Row],[Costo_total]])</f>
        <v>5125.8000000000011</v>
      </c>
    </row>
    <row r="1594" spans="1:17">
      <c r="A1594" t="s">
        <v>1068</v>
      </c>
      <c r="B1594">
        <v>2</v>
      </c>
      <c r="C1594" s="3">
        <v>46161</v>
      </c>
      <c r="D1594" t="s">
        <v>792</v>
      </c>
      <c r="E1594" t="s">
        <v>172</v>
      </c>
      <c r="F1594" t="s">
        <v>77</v>
      </c>
      <c r="G1594" t="s">
        <v>40</v>
      </c>
      <c r="H1594" t="s">
        <v>124</v>
      </c>
      <c r="I1594">
        <v>1</v>
      </c>
      <c r="J1594" s="4">
        <v>16352.49</v>
      </c>
      <c r="K1594" s="5">
        <v>0</v>
      </c>
      <c r="L1594" s="4">
        <v>10830.17</v>
      </c>
      <c r="M1594" t="s">
        <v>116</v>
      </c>
      <c r="N1594" t="s">
        <v>52</v>
      </c>
      <c r="O1594">
        <f>IF(TablaVentas[[#This Row],[Precio_unitario]]="","PENDIENTE",TablaVentas[[#This Row],[Unidades]]*TablaVentas[[#This Row],[Precio_unitario]]*(1-TablaVentas[[#This Row],[Descuento_pct]]))</f>
        <v>16352.49</v>
      </c>
      <c r="P1594">
        <f>IF(TablaVentas[[#This Row],[Costo_unitario]]="","PENDIENTE",TablaVentas[[#This Row],[Unidades]]*TablaVentas[[#This Row],[Costo_unitario]])</f>
        <v>10830.17</v>
      </c>
      <c r="Q1594">
        <f>IF(OR(TablaVentas[[#This Row],[Ingreso_neto]]="PENDIENTE",TablaVentas[[#This Row],[Costo_total]]="PENDIENTE"),"PENDIENTE",TablaVentas[[#This Row],[Ingreso_neto]]-TablaVentas[[#This Row],[Costo_total]])</f>
        <v>5522.32</v>
      </c>
    </row>
    <row r="1595" spans="1:17">
      <c r="A1595" t="s">
        <v>1068</v>
      </c>
      <c r="B1595">
        <v>3</v>
      </c>
      <c r="C1595" s="3">
        <v>46161</v>
      </c>
      <c r="D1595" t="s">
        <v>792</v>
      </c>
      <c r="E1595" t="s">
        <v>135</v>
      </c>
      <c r="F1595" t="s">
        <v>77</v>
      </c>
      <c r="G1595" t="s">
        <v>40</v>
      </c>
      <c r="H1595" t="s">
        <v>124</v>
      </c>
      <c r="I1595">
        <v>1</v>
      </c>
      <c r="J1595" s="4">
        <v>1784.93</v>
      </c>
      <c r="K1595" s="5">
        <v>0</v>
      </c>
      <c r="L1595" s="4">
        <v>1529.93</v>
      </c>
      <c r="M1595" t="s">
        <v>42</v>
      </c>
      <c r="N1595" t="s">
        <v>52</v>
      </c>
      <c r="O1595">
        <f>IF(TablaVentas[[#This Row],[Precio_unitario]]="","PENDIENTE",TablaVentas[[#This Row],[Unidades]]*TablaVentas[[#This Row],[Precio_unitario]]*(1-TablaVentas[[#This Row],[Descuento_pct]]))</f>
        <v>1784.93</v>
      </c>
      <c r="P1595">
        <f>IF(TablaVentas[[#This Row],[Costo_unitario]]="","PENDIENTE",TablaVentas[[#This Row],[Unidades]]*TablaVentas[[#This Row],[Costo_unitario]])</f>
        <v>1529.93</v>
      </c>
      <c r="Q1595">
        <f>IF(OR(TablaVentas[[#This Row],[Ingreso_neto]]="PENDIENTE",TablaVentas[[#This Row],[Costo_total]]="PENDIENTE"),"PENDIENTE",TablaVentas[[#This Row],[Ingreso_neto]]-TablaVentas[[#This Row],[Costo_total]])</f>
        <v>255</v>
      </c>
    </row>
    <row r="1596" spans="1:17">
      <c r="A1596" t="s">
        <v>1069</v>
      </c>
      <c r="B1596">
        <v>1</v>
      </c>
      <c r="C1596" s="3">
        <v>46164</v>
      </c>
      <c r="D1596" t="s">
        <v>1070</v>
      </c>
      <c r="E1596" t="s">
        <v>256</v>
      </c>
      <c r="F1596" t="s">
        <v>56</v>
      </c>
      <c r="G1596" t="s">
        <v>57</v>
      </c>
      <c r="H1596" t="s">
        <v>73</v>
      </c>
      <c r="I1596">
        <v>5</v>
      </c>
      <c r="J1596" s="4">
        <v>18045.16</v>
      </c>
      <c r="K1596" s="5">
        <v>0</v>
      </c>
      <c r="L1596" s="4">
        <v>11666.57</v>
      </c>
      <c r="M1596" t="s">
        <v>42</v>
      </c>
      <c r="N1596" t="s">
        <v>60</v>
      </c>
      <c r="O1596">
        <f>IF(TablaVentas[[#This Row],[Precio_unitario]]="","PENDIENTE",TablaVentas[[#This Row],[Unidades]]*TablaVentas[[#This Row],[Precio_unitario]]*(1-TablaVentas[[#This Row],[Descuento_pct]]))</f>
        <v>90225.8</v>
      </c>
      <c r="P1596">
        <f>IF(TablaVentas[[#This Row],[Costo_unitario]]="","PENDIENTE",TablaVentas[[#This Row],[Unidades]]*TablaVentas[[#This Row],[Costo_unitario]])</f>
        <v>58332.85</v>
      </c>
      <c r="Q1596">
        <f>IF(OR(TablaVentas[[#This Row],[Ingreso_neto]]="PENDIENTE",TablaVentas[[#This Row],[Costo_total]]="PENDIENTE"),"PENDIENTE",TablaVentas[[#This Row],[Ingreso_neto]]-TablaVentas[[#This Row],[Costo_total]])</f>
        <v>31892.950000000004</v>
      </c>
    </row>
    <row r="1597" spans="1:17">
      <c r="A1597" t="s">
        <v>1069</v>
      </c>
      <c r="B1597">
        <v>2</v>
      </c>
      <c r="C1597" s="3">
        <v>46164</v>
      </c>
      <c r="D1597" t="s">
        <v>1070</v>
      </c>
      <c r="E1597" t="s">
        <v>135</v>
      </c>
      <c r="F1597" t="s">
        <v>56</v>
      </c>
      <c r="G1597" t="s">
        <v>57</v>
      </c>
      <c r="H1597" t="s">
        <v>73</v>
      </c>
      <c r="I1597">
        <v>1</v>
      </c>
      <c r="J1597" s="4">
        <v>2026.1</v>
      </c>
      <c r="K1597" s="5">
        <v>0</v>
      </c>
      <c r="L1597" s="4">
        <v>1529.93</v>
      </c>
      <c r="M1597" t="s">
        <v>42</v>
      </c>
      <c r="N1597" t="s">
        <v>60</v>
      </c>
      <c r="O1597">
        <f>IF(TablaVentas[[#This Row],[Precio_unitario]]="","PENDIENTE",TablaVentas[[#This Row],[Unidades]]*TablaVentas[[#This Row],[Precio_unitario]]*(1-TablaVentas[[#This Row],[Descuento_pct]]))</f>
        <v>2026.1</v>
      </c>
      <c r="P1597">
        <f>IF(TablaVentas[[#This Row],[Costo_unitario]]="","PENDIENTE",TablaVentas[[#This Row],[Unidades]]*TablaVentas[[#This Row],[Costo_unitario]])</f>
        <v>1529.93</v>
      </c>
      <c r="Q1597">
        <f>IF(OR(TablaVentas[[#This Row],[Ingreso_neto]]="PENDIENTE",TablaVentas[[#This Row],[Costo_total]]="PENDIENTE"),"PENDIENTE",TablaVentas[[#This Row],[Ingreso_neto]]-TablaVentas[[#This Row],[Costo_total]])</f>
        <v>496.16999999999985</v>
      </c>
    </row>
    <row r="1598" spans="1:17">
      <c r="A1598" t="s">
        <v>1069</v>
      </c>
      <c r="B1598">
        <v>3</v>
      </c>
      <c r="C1598" s="3">
        <v>46164</v>
      </c>
      <c r="D1598" t="s">
        <v>1070</v>
      </c>
      <c r="E1598" t="s">
        <v>143</v>
      </c>
      <c r="F1598" t="s">
        <v>56</v>
      </c>
      <c r="G1598" t="s">
        <v>57</v>
      </c>
      <c r="H1598" t="s">
        <v>73</v>
      </c>
      <c r="I1598">
        <v>1</v>
      </c>
      <c r="J1598" s="4">
        <v>8512.91</v>
      </c>
      <c r="K1598" s="5">
        <v>0.1</v>
      </c>
      <c r="L1598" s="4">
        <v>6815.42</v>
      </c>
      <c r="M1598" t="s">
        <v>42</v>
      </c>
      <c r="N1598" t="s">
        <v>52</v>
      </c>
      <c r="O1598">
        <f>IF(TablaVentas[[#This Row],[Precio_unitario]]="","PENDIENTE",TablaVentas[[#This Row],[Unidades]]*TablaVentas[[#This Row],[Precio_unitario]]*(1-TablaVentas[[#This Row],[Descuento_pct]]))</f>
        <v>7661.6189999999997</v>
      </c>
      <c r="P1598">
        <f>IF(TablaVentas[[#This Row],[Costo_unitario]]="","PENDIENTE",TablaVentas[[#This Row],[Unidades]]*TablaVentas[[#This Row],[Costo_unitario]])</f>
        <v>6815.42</v>
      </c>
      <c r="Q1598">
        <f>IF(OR(TablaVentas[[#This Row],[Ingreso_neto]]="PENDIENTE",TablaVentas[[#This Row],[Costo_total]]="PENDIENTE"),"PENDIENTE",TablaVentas[[#This Row],[Ingreso_neto]]-TablaVentas[[#This Row],[Costo_total]])</f>
        <v>846.19899999999961</v>
      </c>
    </row>
    <row r="1599" spans="1:17">
      <c r="A1599" t="s">
        <v>1071</v>
      </c>
      <c r="B1599">
        <v>1</v>
      </c>
      <c r="C1599" s="3">
        <v>46079</v>
      </c>
      <c r="D1599" t="s">
        <v>518</v>
      </c>
      <c r="E1599" t="s">
        <v>273</v>
      </c>
      <c r="F1599" t="s">
        <v>66</v>
      </c>
      <c r="G1599" t="s">
        <v>40</v>
      </c>
      <c r="H1599" t="s">
        <v>58</v>
      </c>
      <c r="I1599">
        <v>1</v>
      </c>
      <c r="J1599" s="4">
        <v>1296.8800000000001</v>
      </c>
      <c r="K1599" s="5">
        <v>0</v>
      </c>
      <c r="L1599" s="4">
        <v>716.26</v>
      </c>
      <c r="M1599" t="s">
        <v>42</v>
      </c>
      <c r="N1599" t="s">
        <v>60</v>
      </c>
      <c r="O1599">
        <f>IF(TablaVentas[[#This Row],[Precio_unitario]]="","PENDIENTE",TablaVentas[[#This Row],[Unidades]]*TablaVentas[[#This Row],[Precio_unitario]]*(1-TablaVentas[[#This Row],[Descuento_pct]]))</f>
        <v>1296.8800000000001</v>
      </c>
      <c r="P1599">
        <f>IF(TablaVentas[[#This Row],[Costo_unitario]]="","PENDIENTE",TablaVentas[[#This Row],[Unidades]]*TablaVentas[[#This Row],[Costo_unitario]])</f>
        <v>716.26</v>
      </c>
      <c r="Q1599">
        <f>IF(OR(TablaVentas[[#This Row],[Ingreso_neto]]="PENDIENTE",TablaVentas[[#This Row],[Costo_total]]="PENDIENTE"),"PENDIENTE",TablaVentas[[#This Row],[Ingreso_neto]]-TablaVentas[[#This Row],[Costo_total]])</f>
        <v>580.62000000000012</v>
      </c>
    </row>
    <row r="1600" spans="1:17">
      <c r="A1600" t="s">
        <v>1072</v>
      </c>
      <c r="B1600">
        <v>1</v>
      </c>
      <c r="C1600" s="3">
        <v>46172</v>
      </c>
      <c r="D1600" t="s">
        <v>1073</v>
      </c>
      <c r="E1600" t="s">
        <v>84</v>
      </c>
      <c r="F1600" t="s">
        <v>56</v>
      </c>
      <c r="G1600" t="s">
        <v>50</v>
      </c>
      <c r="H1600" t="s">
        <v>67</v>
      </c>
      <c r="I1600">
        <v>1</v>
      </c>
      <c r="J1600" s="4">
        <v>14406.23</v>
      </c>
      <c r="K1600" s="5">
        <v>0.2</v>
      </c>
      <c r="L1600" s="4">
        <v>8576.0499999999993</v>
      </c>
      <c r="M1600" t="s">
        <v>42</v>
      </c>
      <c r="N1600" t="s">
        <v>60</v>
      </c>
      <c r="O1600">
        <f>IF(TablaVentas[[#This Row],[Precio_unitario]]="","PENDIENTE",TablaVentas[[#This Row],[Unidades]]*TablaVentas[[#This Row],[Precio_unitario]]*(1-TablaVentas[[#This Row],[Descuento_pct]]))</f>
        <v>11524.984</v>
      </c>
      <c r="P1600">
        <f>IF(TablaVentas[[#This Row],[Costo_unitario]]="","PENDIENTE",TablaVentas[[#This Row],[Unidades]]*TablaVentas[[#This Row],[Costo_unitario]])</f>
        <v>8576.0499999999993</v>
      </c>
      <c r="Q1600">
        <f>IF(OR(TablaVentas[[#This Row],[Ingreso_neto]]="PENDIENTE",TablaVentas[[#This Row],[Costo_total]]="PENDIENTE"),"PENDIENTE",TablaVentas[[#This Row],[Ingreso_neto]]-TablaVentas[[#This Row],[Costo_total]])</f>
        <v>2948.9340000000011</v>
      </c>
    </row>
    <row r="1601" spans="1:17">
      <c r="A1601" t="s">
        <v>1072</v>
      </c>
      <c r="B1601">
        <v>2</v>
      </c>
      <c r="C1601" s="3">
        <v>46172</v>
      </c>
      <c r="D1601" t="s">
        <v>1073</v>
      </c>
      <c r="E1601" t="s">
        <v>85</v>
      </c>
      <c r="F1601" t="s">
        <v>56</v>
      </c>
      <c r="G1601" t="s">
        <v>50</v>
      </c>
      <c r="H1601" t="s">
        <v>67</v>
      </c>
      <c r="I1601">
        <v>3</v>
      </c>
      <c r="J1601" s="4">
        <v>524.83000000000004</v>
      </c>
      <c r="K1601" s="5">
        <v>0</v>
      </c>
      <c r="L1601" s="4">
        <v>307.75</v>
      </c>
      <c r="M1601" t="s">
        <v>42</v>
      </c>
      <c r="N1601" t="s">
        <v>60</v>
      </c>
      <c r="O1601">
        <f>IF(TablaVentas[[#This Row],[Precio_unitario]]="","PENDIENTE",TablaVentas[[#This Row],[Unidades]]*TablaVentas[[#This Row],[Precio_unitario]]*(1-TablaVentas[[#This Row],[Descuento_pct]]))</f>
        <v>1574.4900000000002</v>
      </c>
      <c r="P1601">
        <f>IF(TablaVentas[[#This Row],[Costo_unitario]]="","PENDIENTE",TablaVentas[[#This Row],[Unidades]]*TablaVentas[[#This Row],[Costo_unitario]])</f>
        <v>923.25</v>
      </c>
      <c r="Q1601">
        <f>IF(OR(TablaVentas[[#This Row],[Ingreso_neto]]="PENDIENTE",TablaVentas[[#This Row],[Costo_total]]="PENDIENTE"),"PENDIENTE",TablaVentas[[#This Row],[Ingreso_neto]]-TablaVentas[[#This Row],[Costo_total]])</f>
        <v>651.24000000000024</v>
      </c>
    </row>
    <row r="1602" spans="1:17">
      <c r="A1602" t="s">
        <v>1074</v>
      </c>
      <c r="B1602">
        <v>1</v>
      </c>
      <c r="C1602" s="3">
        <v>46269</v>
      </c>
      <c r="D1602" t="s">
        <v>737</v>
      </c>
      <c r="E1602" t="s">
        <v>123</v>
      </c>
      <c r="F1602" t="s">
        <v>56</v>
      </c>
      <c r="G1602" t="s">
        <v>40</v>
      </c>
      <c r="H1602" t="s">
        <v>41</v>
      </c>
      <c r="I1602">
        <v>1</v>
      </c>
      <c r="J1602" s="4">
        <v>16723.259999999998</v>
      </c>
      <c r="K1602" s="5">
        <v>0.1</v>
      </c>
      <c r="L1602" s="4">
        <v>12679.41</v>
      </c>
      <c r="M1602" t="s">
        <v>42</v>
      </c>
      <c r="N1602" t="s">
        <v>52</v>
      </c>
      <c r="O1602">
        <f>IF(TablaVentas[[#This Row],[Precio_unitario]]="","PENDIENTE",TablaVentas[[#This Row],[Unidades]]*TablaVentas[[#This Row],[Precio_unitario]]*(1-TablaVentas[[#This Row],[Descuento_pct]]))</f>
        <v>15050.933999999999</v>
      </c>
      <c r="P1602">
        <f>IF(TablaVentas[[#This Row],[Costo_unitario]]="","PENDIENTE",TablaVentas[[#This Row],[Unidades]]*TablaVentas[[#This Row],[Costo_unitario]])</f>
        <v>12679.41</v>
      </c>
      <c r="Q1602">
        <f>IF(OR(TablaVentas[[#This Row],[Ingreso_neto]]="PENDIENTE",TablaVentas[[#This Row],[Costo_total]]="PENDIENTE"),"PENDIENTE",TablaVentas[[#This Row],[Ingreso_neto]]-TablaVentas[[#This Row],[Costo_total]])</f>
        <v>2371.5239999999994</v>
      </c>
    </row>
    <row r="1603" spans="1:17">
      <c r="A1603" t="s">
        <v>1075</v>
      </c>
      <c r="B1603">
        <v>1</v>
      </c>
      <c r="C1603" s="3">
        <v>46186</v>
      </c>
      <c r="D1603" t="s">
        <v>332</v>
      </c>
      <c r="E1603" t="s">
        <v>353</v>
      </c>
      <c r="F1603" t="s">
        <v>39</v>
      </c>
      <c r="G1603" t="s">
        <v>57</v>
      </c>
      <c r="H1603" t="s">
        <v>124</v>
      </c>
      <c r="I1603">
        <v>3</v>
      </c>
      <c r="J1603" s="4">
        <v>2301.98</v>
      </c>
      <c r="K1603" s="5">
        <v>0.15</v>
      </c>
      <c r="L1603" s="4">
        <v>1479.71</v>
      </c>
      <c r="M1603" t="s">
        <v>62</v>
      </c>
      <c r="N1603" t="s">
        <v>60</v>
      </c>
      <c r="O1603">
        <f>IF(TablaVentas[[#This Row],[Precio_unitario]]="","PENDIENTE",TablaVentas[[#This Row],[Unidades]]*TablaVentas[[#This Row],[Precio_unitario]]*(1-TablaVentas[[#This Row],[Descuento_pct]]))</f>
        <v>5870.049</v>
      </c>
      <c r="P1603">
        <f>IF(TablaVentas[[#This Row],[Costo_unitario]]="","PENDIENTE",TablaVentas[[#This Row],[Unidades]]*TablaVentas[[#This Row],[Costo_unitario]])</f>
        <v>4439.13</v>
      </c>
      <c r="Q1603">
        <f>IF(OR(TablaVentas[[#This Row],[Ingreso_neto]]="PENDIENTE",TablaVentas[[#This Row],[Costo_total]]="PENDIENTE"),"PENDIENTE",TablaVentas[[#This Row],[Ingreso_neto]]-TablaVentas[[#This Row],[Costo_total]])</f>
        <v>1430.9189999999999</v>
      </c>
    </row>
    <row r="1604" spans="1:17">
      <c r="A1604" t="s">
        <v>1075</v>
      </c>
      <c r="B1604">
        <v>2</v>
      </c>
      <c r="C1604" s="3">
        <v>46186</v>
      </c>
      <c r="D1604" t="s">
        <v>332</v>
      </c>
      <c r="E1604" t="s">
        <v>172</v>
      </c>
      <c r="F1604" t="s">
        <v>39</v>
      </c>
      <c r="G1604" t="s">
        <v>57</v>
      </c>
      <c r="H1604" t="s">
        <v>124</v>
      </c>
      <c r="I1604">
        <v>1</v>
      </c>
      <c r="J1604" s="4">
        <v>14905.24</v>
      </c>
      <c r="K1604" s="5">
        <v>0.15</v>
      </c>
      <c r="L1604" s="4">
        <v>10830.17</v>
      </c>
      <c r="M1604" t="s">
        <v>42</v>
      </c>
      <c r="N1604" t="s">
        <v>52</v>
      </c>
      <c r="O1604">
        <f>IF(TablaVentas[[#This Row],[Precio_unitario]]="","PENDIENTE",TablaVentas[[#This Row],[Unidades]]*TablaVentas[[#This Row],[Precio_unitario]]*(1-TablaVentas[[#This Row],[Descuento_pct]]))</f>
        <v>12669.454</v>
      </c>
      <c r="P1604">
        <f>IF(TablaVentas[[#This Row],[Costo_unitario]]="","PENDIENTE",TablaVentas[[#This Row],[Unidades]]*TablaVentas[[#This Row],[Costo_unitario]])</f>
        <v>10830.17</v>
      </c>
      <c r="Q1604">
        <f>IF(OR(TablaVentas[[#This Row],[Ingreso_neto]]="PENDIENTE",TablaVentas[[#This Row],[Costo_total]]="PENDIENTE"),"PENDIENTE",TablaVentas[[#This Row],[Ingreso_neto]]-TablaVentas[[#This Row],[Costo_total]])</f>
        <v>1839.2839999999997</v>
      </c>
    </row>
    <row r="1605" spans="1:17">
      <c r="A1605" t="s">
        <v>1075</v>
      </c>
      <c r="B1605">
        <v>3</v>
      </c>
      <c r="C1605" s="3">
        <v>46186</v>
      </c>
      <c r="D1605" t="s">
        <v>332</v>
      </c>
      <c r="E1605" t="s">
        <v>61</v>
      </c>
      <c r="F1605" t="s">
        <v>39</v>
      </c>
      <c r="G1605" t="s">
        <v>57</v>
      </c>
      <c r="H1605" t="s">
        <v>124</v>
      </c>
      <c r="I1605">
        <v>3</v>
      </c>
      <c r="J1605" s="4">
        <v>4349.75</v>
      </c>
      <c r="K1605" s="5">
        <v>0</v>
      </c>
      <c r="L1605" s="4">
        <v>2554.06</v>
      </c>
      <c r="M1605" t="s">
        <v>42</v>
      </c>
      <c r="N1605" t="s">
        <v>60</v>
      </c>
      <c r="O1605">
        <f>IF(TablaVentas[[#This Row],[Precio_unitario]]="","PENDIENTE",TablaVentas[[#This Row],[Unidades]]*TablaVentas[[#This Row],[Precio_unitario]]*(1-TablaVentas[[#This Row],[Descuento_pct]]))</f>
        <v>13049.25</v>
      </c>
      <c r="P1605">
        <f>IF(TablaVentas[[#This Row],[Costo_unitario]]="","PENDIENTE",TablaVentas[[#This Row],[Unidades]]*TablaVentas[[#This Row],[Costo_unitario]])</f>
        <v>7662.18</v>
      </c>
      <c r="Q1605">
        <f>IF(OR(TablaVentas[[#This Row],[Ingreso_neto]]="PENDIENTE",TablaVentas[[#This Row],[Costo_total]]="PENDIENTE"),"PENDIENTE",TablaVentas[[#This Row],[Ingreso_neto]]-TablaVentas[[#This Row],[Costo_total]])</f>
        <v>5387.07</v>
      </c>
    </row>
    <row r="1606" spans="1:17">
      <c r="A1606" t="s">
        <v>1076</v>
      </c>
      <c r="B1606">
        <v>1</v>
      </c>
      <c r="C1606" s="3">
        <v>46219</v>
      </c>
      <c r="D1606" t="s">
        <v>402</v>
      </c>
      <c r="E1606" t="s">
        <v>227</v>
      </c>
      <c r="F1606" t="s">
        <v>66</v>
      </c>
      <c r="G1606" t="s">
        <v>50</v>
      </c>
      <c r="H1606" t="s">
        <v>67</v>
      </c>
      <c r="I1606">
        <v>2</v>
      </c>
      <c r="J1606" s="4">
        <v>8966.1</v>
      </c>
      <c r="K1606" s="5">
        <v>0.15</v>
      </c>
      <c r="L1606" s="4">
        <v>6255.13</v>
      </c>
      <c r="M1606" t="s">
        <v>42</v>
      </c>
      <c r="N1606" t="s">
        <v>52</v>
      </c>
      <c r="O1606">
        <f>IF(TablaVentas[[#This Row],[Precio_unitario]]="","PENDIENTE",TablaVentas[[#This Row],[Unidades]]*TablaVentas[[#This Row],[Precio_unitario]]*(1-TablaVentas[[#This Row],[Descuento_pct]]))</f>
        <v>15242.37</v>
      </c>
      <c r="P1606">
        <f>IF(TablaVentas[[#This Row],[Costo_unitario]]="","PENDIENTE",TablaVentas[[#This Row],[Unidades]]*TablaVentas[[#This Row],[Costo_unitario]])</f>
        <v>12510.26</v>
      </c>
      <c r="Q1606">
        <f>IF(OR(TablaVentas[[#This Row],[Ingreso_neto]]="PENDIENTE",TablaVentas[[#This Row],[Costo_total]]="PENDIENTE"),"PENDIENTE",TablaVentas[[#This Row],[Ingreso_neto]]-TablaVentas[[#This Row],[Costo_total]])</f>
        <v>2732.1100000000006</v>
      </c>
    </row>
    <row r="1607" spans="1:17">
      <c r="A1607" t="s">
        <v>1076</v>
      </c>
      <c r="B1607">
        <v>2</v>
      </c>
      <c r="C1607" s="3">
        <v>46219</v>
      </c>
      <c r="D1607" t="s">
        <v>402</v>
      </c>
      <c r="E1607" t="s">
        <v>236</v>
      </c>
      <c r="F1607" t="s">
        <v>66</v>
      </c>
      <c r="G1607" t="s">
        <v>50</v>
      </c>
      <c r="H1607" t="s">
        <v>67</v>
      </c>
      <c r="I1607">
        <v>5</v>
      </c>
      <c r="J1607" s="4">
        <v>9342.7999999999993</v>
      </c>
      <c r="K1607" s="5">
        <v>0.15</v>
      </c>
      <c r="L1607" s="4">
        <v>8061.7</v>
      </c>
      <c r="M1607" t="s">
        <v>42</v>
      </c>
      <c r="N1607" t="s">
        <v>60</v>
      </c>
      <c r="O1607">
        <f>IF(TablaVentas[[#This Row],[Precio_unitario]]="","PENDIENTE",TablaVentas[[#This Row],[Unidades]]*TablaVentas[[#This Row],[Precio_unitario]]*(1-TablaVentas[[#This Row],[Descuento_pct]]))</f>
        <v>39706.9</v>
      </c>
      <c r="P1607">
        <f>IF(TablaVentas[[#This Row],[Costo_unitario]]="","PENDIENTE",TablaVentas[[#This Row],[Unidades]]*TablaVentas[[#This Row],[Costo_unitario]])</f>
        <v>40308.5</v>
      </c>
      <c r="Q1607">
        <f>IF(OR(TablaVentas[[#This Row],[Ingreso_neto]]="PENDIENTE",TablaVentas[[#This Row],[Costo_total]]="PENDIENTE"),"PENDIENTE",TablaVentas[[#This Row],[Ingreso_neto]]-TablaVentas[[#This Row],[Costo_total]])</f>
        <v>-601.59999999999854</v>
      </c>
    </row>
    <row r="1608" spans="1:17">
      <c r="A1608" t="s">
        <v>1076</v>
      </c>
      <c r="B1608">
        <v>3</v>
      </c>
      <c r="C1608" s="3">
        <v>46219</v>
      </c>
      <c r="D1608" t="s">
        <v>402</v>
      </c>
      <c r="E1608" t="s">
        <v>203</v>
      </c>
      <c r="F1608" t="s">
        <v>66</v>
      </c>
      <c r="G1608" t="s">
        <v>50</v>
      </c>
      <c r="H1608" t="s">
        <v>67</v>
      </c>
      <c r="I1608">
        <v>1</v>
      </c>
      <c r="J1608" s="4">
        <v>1881.36</v>
      </c>
      <c r="K1608" s="5">
        <v>0</v>
      </c>
      <c r="L1608" s="4">
        <v>1252.8399999999999</v>
      </c>
      <c r="M1608" t="s">
        <v>42</v>
      </c>
      <c r="N1608" t="s">
        <v>60</v>
      </c>
      <c r="O1608">
        <f>IF(TablaVentas[[#This Row],[Precio_unitario]]="","PENDIENTE",TablaVentas[[#This Row],[Unidades]]*TablaVentas[[#This Row],[Precio_unitario]]*(1-TablaVentas[[#This Row],[Descuento_pct]]))</f>
        <v>1881.36</v>
      </c>
      <c r="P1608">
        <f>IF(TablaVentas[[#This Row],[Costo_unitario]]="","PENDIENTE",TablaVentas[[#This Row],[Unidades]]*TablaVentas[[#This Row],[Costo_unitario]])</f>
        <v>1252.8399999999999</v>
      </c>
      <c r="Q1608">
        <f>IF(OR(TablaVentas[[#This Row],[Ingreso_neto]]="PENDIENTE",TablaVentas[[#This Row],[Costo_total]]="PENDIENTE"),"PENDIENTE",TablaVentas[[#This Row],[Ingreso_neto]]-TablaVentas[[#This Row],[Costo_total]])</f>
        <v>628.52</v>
      </c>
    </row>
    <row r="1609" spans="1:17">
      <c r="A1609" t="s">
        <v>1077</v>
      </c>
      <c r="B1609">
        <v>1</v>
      </c>
      <c r="C1609" s="3">
        <v>46042</v>
      </c>
      <c r="D1609" t="s">
        <v>484</v>
      </c>
      <c r="E1609" t="s">
        <v>185</v>
      </c>
      <c r="F1609" t="s">
        <v>66</v>
      </c>
      <c r="G1609" t="s">
        <v>40</v>
      </c>
      <c r="H1609" t="s">
        <v>51</v>
      </c>
      <c r="I1609">
        <v>5</v>
      </c>
      <c r="J1609" s="4">
        <v>16022.95</v>
      </c>
      <c r="K1609" s="5">
        <v>0.1</v>
      </c>
      <c r="L1609" s="4">
        <v>11904.09</v>
      </c>
      <c r="M1609" t="s">
        <v>42</v>
      </c>
      <c r="N1609" t="s">
        <v>45</v>
      </c>
      <c r="O1609">
        <f>IF(TablaVentas[[#This Row],[Precio_unitario]]="","PENDIENTE",TablaVentas[[#This Row],[Unidades]]*TablaVentas[[#This Row],[Precio_unitario]]*(1-TablaVentas[[#This Row],[Descuento_pct]]))</f>
        <v>72103.275000000009</v>
      </c>
      <c r="P1609">
        <f>IF(TablaVentas[[#This Row],[Costo_unitario]]="","PENDIENTE",TablaVentas[[#This Row],[Unidades]]*TablaVentas[[#This Row],[Costo_unitario]])</f>
        <v>59520.45</v>
      </c>
      <c r="Q1609">
        <f>IF(OR(TablaVentas[[#This Row],[Ingreso_neto]]="PENDIENTE",TablaVentas[[#This Row],[Costo_total]]="PENDIENTE"),"PENDIENTE",TablaVentas[[#This Row],[Ingreso_neto]]-TablaVentas[[#This Row],[Costo_total]])</f>
        <v>12582.825000000012</v>
      </c>
    </row>
    <row r="1610" spans="1:17">
      <c r="A1610" t="s">
        <v>1077</v>
      </c>
      <c r="B1610">
        <v>2</v>
      </c>
      <c r="C1610" s="3">
        <v>46042</v>
      </c>
      <c r="D1610" t="s">
        <v>484</v>
      </c>
      <c r="E1610" t="s">
        <v>132</v>
      </c>
      <c r="F1610" t="s">
        <v>66</v>
      </c>
      <c r="G1610" t="s">
        <v>40</v>
      </c>
      <c r="H1610" t="s">
        <v>51</v>
      </c>
      <c r="I1610">
        <v>2</v>
      </c>
      <c r="J1610" s="4">
        <v>17168.96</v>
      </c>
      <c r="K1610" s="5">
        <v>0</v>
      </c>
      <c r="L1610" s="4">
        <v>11036.95</v>
      </c>
      <c r="M1610" t="s">
        <v>42</v>
      </c>
      <c r="N1610" t="s">
        <v>60</v>
      </c>
      <c r="O1610">
        <f>IF(TablaVentas[[#This Row],[Precio_unitario]]="","PENDIENTE",TablaVentas[[#This Row],[Unidades]]*TablaVentas[[#This Row],[Precio_unitario]]*(1-TablaVentas[[#This Row],[Descuento_pct]]))</f>
        <v>34337.919999999998</v>
      </c>
      <c r="P1610">
        <f>IF(TablaVentas[[#This Row],[Costo_unitario]]="","PENDIENTE",TablaVentas[[#This Row],[Unidades]]*TablaVentas[[#This Row],[Costo_unitario]])</f>
        <v>22073.9</v>
      </c>
      <c r="Q1610">
        <f>IF(OR(TablaVentas[[#This Row],[Ingreso_neto]]="PENDIENTE",TablaVentas[[#This Row],[Costo_total]]="PENDIENTE"),"PENDIENTE",TablaVentas[[#This Row],[Ingreso_neto]]-TablaVentas[[#This Row],[Costo_total]])</f>
        <v>12264.019999999997</v>
      </c>
    </row>
    <row r="1611" spans="1:17">
      <c r="A1611" t="s">
        <v>1078</v>
      </c>
      <c r="B1611">
        <v>1</v>
      </c>
      <c r="C1611" s="3">
        <v>46180</v>
      </c>
      <c r="D1611" t="s">
        <v>127</v>
      </c>
      <c r="E1611" t="s">
        <v>321</v>
      </c>
      <c r="F1611" t="s">
        <v>77</v>
      </c>
      <c r="G1611" t="s">
        <v>57</v>
      </c>
      <c r="H1611" t="s">
        <v>67</v>
      </c>
      <c r="I1611">
        <v>2</v>
      </c>
      <c r="J1611" s="4">
        <v>1167.81</v>
      </c>
      <c r="K1611" s="5">
        <v>0.15</v>
      </c>
      <c r="L1611" s="4">
        <v>679.37</v>
      </c>
      <c r="M1611" t="s">
        <v>42</v>
      </c>
      <c r="N1611" t="s">
        <v>52</v>
      </c>
      <c r="O1611">
        <f>IF(TablaVentas[[#This Row],[Precio_unitario]]="","PENDIENTE",TablaVentas[[#This Row],[Unidades]]*TablaVentas[[#This Row],[Precio_unitario]]*(1-TablaVentas[[#This Row],[Descuento_pct]]))</f>
        <v>1985.2769999999998</v>
      </c>
      <c r="P1611">
        <f>IF(TablaVentas[[#This Row],[Costo_unitario]]="","PENDIENTE",TablaVentas[[#This Row],[Unidades]]*TablaVentas[[#This Row],[Costo_unitario]])</f>
        <v>1358.74</v>
      </c>
      <c r="Q1611">
        <f>IF(OR(TablaVentas[[#This Row],[Ingreso_neto]]="PENDIENTE",TablaVentas[[#This Row],[Costo_total]]="PENDIENTE"),"PENDIENTE",TablaVentas[[#This Row],[Ingreso_neto]]-TablaVentas[[#This Row],[Costo_total]])</f>
        <v>626.53699999999981</v>
      </c>
    </row>
    <row r="1612" spans="1:17">
      <c r="A1612" t="s">
        <v>1078</v>
      </c>
      <c r="B1612">
        <v>2</v>
      </c>
      <c r="C1612" s="3">
        <v>46180</v>
      </c>
      <c r="D1612" t="s">
        <v>127</v>
      </c>
      <c r="E1612" t="s">
        <v>271</v>
      </c>
      <c r="F1612" t="s">
        <v>77</v>
      </c>
      <c r="G1612" t="s">
        <v>57</v>
      </c>
      <c r="H1612" t="s">
        <v>67</v>
      </c>
      <c r="I1612">
        <v>4</v>
      </c>
      <c r="J1612" s="4">
        <v>980.52</v>
      </c>
      <c r="K1612" s="5">
        <v>0.2</v>
      </c>
      <c r="L1612" s="4">
        <v>759.03</v>
      </c>
      <c r="M1612" t="s">
        <v>42</v>
      </c>
      <c r="N1612" t="s">
        <v>43</v>
      </c>
      <c r="O1612">
        <f>IF(TablaVentas[[#This Row],[Precio_unitario]]="","PENDIENTE",TablaVentas[[#This Row],[Unidades]]*TablaVentas[[#This Row],[Precio_unitario]]*(1-TablaVentas[[#This Row],[Descuento_pct]]))</f>
        <v>3137.6640000000002</v>
      </c>
      <c r="P1612">
        <f>IF(TablaVentas[[#This Row],[Costo_unitario]]="","PENDIENTE",TablaVentas[[#This Row],[Unidades]]*TablaVentas[[#This Row],[Costo_unitario]])</f>
        <v>3036.12</v>
      </c>
      <c r="Q1612">
        <f>IF(OR(TablaVentas[[#This Row],[Ingreso_neto]]="PENDIENTE",TablaVentas[[#This Row],[Costo_total]]="PENDIENTE"),"PENDIENTE",TablaVentas[[#This Row],[Ingreso_neto]]-TablaVentas[[#This Row],[Costo_total]])</f>
        <v>101.54400000000032</v>
      </c>
    </row>
    <row r="1613" spans="1:17">
      <c r="A1613" t="s">
        <v>1079</v>
      </c>
      <c r="B1613">
        <v>1</v>
      </c>
      <c r="C1613" s="3">
        <v>46142</v>
      </c>
      <c r="D1613" t="s">
        <v>408</v>
      </c>
      <c r="E1613" t="s">
        <v>367</v>
      </c>
      <c r="F1613" t="s">
        <v>56</v>
      </c>
      <c r="G1613" t="s">
        <v>50</v>
      </c>
      <c r="H1613" t="s">
        <v>41</v>
      </c>
      <c r="I1613">
        <v>1</v>
      </c>
      <c r="J1613" s="4">
        <v>10139.129999999999</v>
      </c>
      <c r="K1613" s="5">
        <v>0</v>
      </c>
      <c r="L1613" s="4">
        <v>5079.43</v>
      </c>
      <c r="M1613" t="s">
        <v>42</v>
      </c>
      <c r="N1613" t="s">
        <v>52</v>
      </c>
      <c r="O1613">
        <f>IF(TablaVentas[[#This Row],[Precio_unitario]]="","PENDIENTE",TablaVentas[[#This Row],[Unidades]]*TablaVentas[[#This Row],[Precio_unitario]]*(1-TablaVentas[[#This Row],[Descuento_pct]]))</f>
        <v>10139.129999999999</v>
      </c>
      <c r="P1613">
        <f>IF(TablaVentas[[#This Row],[Costo_unitario]]="","PENDIENTE",TablaVentas[[#This Row],[Unidades]]*TablaVentas[[#This Row],[Costo_unitario]])</f>
        <v>5079.43</v>
      </c>
      <c r="Q1613">
        <f>IF(OR(TablaVentas[[#This Row],[Ingreso_neto]]="PENDIENTE",TablaVentas[[#This Row],[Costo_total]]="PENDIENTE"),"PENDIENTE",TablaVentas[[#This Row],[Ingreso_neto]]-TablaVentas[[#This Row],[Costo_total]])</f>
        <v>5059.6999999999989</v>
      </c>
    </row>
    <row r="1614" spans="1:17">
      <c r="A1614" t="s">
        <v>1079</v>
      </c>
      <c r="B1614">
        <v>2</v>
      </c>
      <c r="C1614" s="3">
        <v>46142</v>
      </c>
      <c r="D1614" t="s">
        <v>408</v>
      </c>
      <c r="E1614" t="s">
        <v>320</v>
      </c>
      <c r="F1614" t="s">
        <v>56</v>
      </c>
      <c r="G1614" t="s">
        <v>50</v>
      </c>
      <c r="H1614" t="s">
        <v>41</v>
      </c>
      <c r="I1614">
        <v>1</v>
      </c>
      <c r="J1614" s="4">
        <v>5061.54</v>
      </c>
      <c r="K1614" s="5">
        <v>0.2</v>
      </c>
      <c r="L1614" s="4">
        <v>3065.66</v>
      </c>
      <c r="M1614" t="s">
        <v>42</v>
      </c>
      <c r="N1614" t="s">
        <v>43</v>
      </c>
      <c r="O1614">
        <f>IF(TablaVentas[[#This Row],[Precio_unitario]]="","PENDIENTE",TablaVentas[[#This Row],[Unidades]]*TablaVentas[[#This Row],[Precio_unitario]]*(1-TablaVentas[[#This Row],[Descuento_pct]]))</f>
        <v>4049.232</v>
      </c>
      <c r="P1614">
        <f>IF(TablaVentas[[#This Row],[Costo_unitario]]="","PENDIENTE",TablaVentas[[#This Row],[Unidades]]*TablaVentas[[#This Row],[Costo_unitario]])</f>
        <v>3065.66</v>
      </c>
      <c r="Q1614">
        <f>IF(OR(TablaVentas[[#This Row],[Ingreso_neto]]="PENDIENTE",TablaVentas[[#This Row],[Costo_total]]="PENDIENTE"),"PENDIENTE",TablaVentas[[#This Row],[Ingreso_neto]]-TablaVentas[[#This Row],[Costo_total]])</f>
        <v>983.57200000000012</v>
      </c>
    </row>
    <row r="1615" spans="1:17">
      <c r="A1615" t="s">
        <v>1079</v>
      </c>
      <c r="B1615">
        <v>3</v>
      </c>
      <c r="C1615" s="3">
        <v>46142</v>
      </c>
      <c r="D1615" t="s">
        <v>408</v>
      </c>
      <c r="E1615" t="s">
        <v>155</v>
      </c>
      <c r="F1615" t="s">
        <v>56</v>
      </c>
      <c r="G1615" t="s">
        <v>50</v>
      </c>
      <c r="H1615" t="s">
        <v>41</v>
      </c>
      <c r="I1615">
        <v>5</v>
      </c>
      <c r="J1615" s="4">
        <v>785.62</v>
      </c>
      <c r="K1615" s="5">
        <v>0</v>
      </c>
      <c r="L1615" s="4">
        <v>397.1</v>
      </c>
      <c r="M1615" t="s">
        <v>42</v>
      </c>
      <c r="N1615" t="s">
        <v>60</v>
      </c>
      <c r="O1615">
        <f>IF(TablaVentas[[#This Row],[Precio_unitario]]="","PENDIENTE",TablaVentas[[#This Row],[Unidades]]*TablaVentas[[#This Row],[Precio_unitario]]*(1-TablaVentas[[#This Row],[Descuento_pct]]))</f>
        <v>3928.1</v>
      </c>
      <c r="P1615">
        <f>IF(TablaVentas[[#This Row],[Costo_unitario]]="","PENDIENTE",TablaVentas[[#This Row],[Unidades]]*TablaVentas[[#This Row],[Costo_unitario]])</f>
        <v>1985.5</v>
      </c>
      <c r="Q1615">
        <f>IF(OR(TablaVentas[[#This Row],[Ingreso_neto]]="PENDIENTE",TablaVentas[[#This Row],[Costo_total]]="PENDIENTE"),"PENDIENTE",TablaVentas[[#This Row],[Ingreso_neto]]-TablaVentas[[#This Row],[Costo_total]])</f>
        <v>1942.6</v>
      </c>
    </row>
    <row r="1616" spans="1:17">
      <c r="A1616" t="s">
        <v>1080</v>
      </c>
      <c r="B1616">
        <v>1</v>
      </c>
      <c r="C1616" s="3">
        <v>46144</v>
      </c>
      <c r="D1616" t="s">
        <v>355</v>
      </c>
      <c r="E1616" t="s">
        <v>208</v>
      </c>
      <c r="F1616" t="s">
        <v>56</v>
      </c>
      <c r="G1616" t="s">
        <v>50</v>
      </c>
      <c r="H1616" t="s">
        <v>41</v>
      </c>
      <c r="I1616">
        <v>2</v>
      </c>
      <c r="J1616" s="4">
        <v>9804.57</v>
      </c>
      <c r="K1616" s="5">
        <v>0.05</v>
      </c>
      <c r="L1616" s="4">
        <v>5535.31</v>
      </c>
      <c r="M1616" t="s">
        <v>116</v>
      </c>
      <c r="N1616" t="s">
        <v>43</v>
      </c>
      <c r="O1616">
        <f>IF(TablaVentas[[#This Row],[Precio_unitario]]="","PENDIENTE",TablaVentas[[#This Row],[Unidades]]*TablaVentas[[#This Row],[Precio_unitario]]*(1-TablaVentas[[#This Row],[Descuento_pct]]))</f>
        <v>18628.682999999997</v>
      </c>
      <c r="P1616">
        <f>IF(TablaVentas[[#This Row],[Costo_unitario]]="","PENDIENTE",TablaVentas[[#This Row],[Unidades]]*TablaVentas[[#This Row],[Costo_unitario]])</f>
        <v>11070.62</v>
      </c>
      <c r="Q1616">
        <f>IF(OR(TablaVentas[[#This Row],[Ingreso_neto]]="PENDIENTE",TablaVentas[[#This Row],[Costo_total]]="PENDIENTE"),"PENDIENTE",TablaVentas[[#This Row],[Ingreso_neto]]-TablaVentas[[#This Row],[Costo_total]])</f>
        <v>7558.0629999999965</v>
      </c>
    </row>
    <row r="1617" spans="1:17">
      <c r="A1617" t="s">
        <v>1080</v>
      </c>
      <c r="B1617">
        <v>2</v>
      </c>
      <c r="C1617" s="3">
        <v>46144</v>
      </c>
      <c r="D1617" t="s">
        <v>355</v>
      </c>
      <c r="E1617" t="s">
        <v>206</v>
      </c>
      <c r="F1617" t="s">
        <v>56</v>
      </c>
      <c r="G1617" t="s">
        <v>50</v>
      </c>
      <c r="H1617" t="s">
        <v>41</v>
      </c>
      <c r="I1617">
        <v>2</v>
      </c>
      <c r="J1617" s="4">
        <v>5077.33</v>
      </c>
      <c r="K1617" s="5">
        <v>0.2</v>
      </c>
      <c r="L1617" s="4">
        <v>4008.77</v>
      </c>
      <c r="M1617" t="s">
        <v>42</v>
      </c>
      <c r="N1617" t="s">
        <v>60</v>
      </c>
      <c r="O1617">
        <f>IF(TablaVentas[[#This Row],[Precio_unitario]]="","PENDIENTE",TablaVentas[[#This Row],[Unidades]]*TablaVentas[[#This Row],[Precio_unitario]]*(1-TablaVentas[[#This Row],[Descuento_pct]]))</f>
        <v>8123.7280000000001</v>
      </c>
      <c r="P1617">
        <f>IF(TablaVentas[[#This Row],[Costo_unitario]]="","PENDIENTE",TablaVentas[[#This Row],[Unidades]]*TablaVentas[[#This Row],[Costo_unitario]])</f>
        <v>8017.54</v>
      </c>
      <c r="Q1617">
        <f>IF(OR(TablaVentas[[#This Row],[Ingreso_neto]]="PENDIENTE",TablaVentas[[#This Row],[Costo_total]]="PENDIENTE"),"PENDIENTE",TablaVentas[[#This Row],[Ingreso_neto]]-TablaVentas[[#This Row],[Costo_total]])</f>
        <v>106.1880000000001</v>
      </c>
    </row>
    <row r="1618" spans="1:17">
      <c r="A1618" t="s">
        <v>1080</v>
      </c>
      <c r="B1618">
        <v>3</v>
      </c>
      <c r="C1618" s="3">
        <v>46144</v>
      </c>
      <c r="D1618" t="s">
        <v>355</v>
      </c>
      <c r="E1618" t="s">
        <v>68</v>
      </c>
      <c r="F1618" t="s">
        <v>56</v>
      </c>
      <c r="G1618" t="s">
        <v>50</v>
      </c>
      <c r="H1618" t="s">
        <v>41</v>
      </c>
      <c r="I1618">
        <v>1</v>
      </c>
      <c r="J1618" s="4">
        <v>15456.52</v>
      </c>
      <c r="K1618" s="5">
        <v>0</v>
      </c>
      <c r="L1618" s="4">
        <v>9243.35</v>
      </c>
      <c r="M1618" t="s">
        <v>42</v>
      </c>
      <c r="N1618" t="s">
        <v>43</v>
      </c>
      <c r="O1618">
        <f>IF(TablaVentas[[#This Row],[Precio_unitario]]="","PENDIENTE",TablaVentas[[#This Row],[Unidades]]*TablaVentas[[#This Row],[Precio_unitario]]*(1-TablaVentas[[#This Row],[Descuento_pct]]))</f>
        <v>15456.52</v>
      </c>
      <c r="P1618">
        <f>IF(TablaVentas[[#This Row],[Costo_unitario]]="","PENDIENTE",TablaVentas[[#This Row],[Unidades]]*TablaVentas[[#This Row],[Costo_unitario]])</f>
        <v>9243.35</v>
      </c>
      <c r="Q1618">
        <f>IF(OR(TablaVentas[[#This Row],[Ingreso_neto]]="PENDIENTE",TablaVentas[[#This Row],[Costo_total]]="PENDIENTE"),"PENDIENTE",TablaVentas[[#This Row],[Ingreso_neto]]-TablaVentas[[#This Row],[Costo_total]])</f>
        <v>6213.17</v>
      </c>
    </row>
    <row r="1619" spans="1:17">
      <c r="A1619" t="s">
        <v>1080</v>
      </c>
      <c r="B1619">
        <v>4</v>
      </c>
      <c r="C1619" s="3">
        <v>46144</v>
      </c>
      <c r="D1619" t="s">
        <v>355</v>
      </c>
      <c r="E1619" t="s">
        <v>55</v>
      </c>
      <c r="F1619" t="s">
        <v>56</v>
      </c>
      <c r="G1619" t="s">
        <v>50</v>
      </c>
      <c r="H1619" t="s">
        <v>41</v>
      </c>
      <c r="I1619">
        <v>1</v>
      </c>
      <c r="J1619" s="4">
        <v>11440.56</v>
      </c>
      <c r="K1619" s="5">
        <v>0.05</v>
      </c>
      <c r="L1619" s="4">
        <v>6407.85</v>
      </c>
      <c r="M1619" t="s">
        <v>42</v>
      </c>
      <c r="N1619" t="s">
        <v>52</v>
      </c>
      <c r="O1619">
        <f>IF(TablaVentas[[#This Row],[Precio_unitario]]="","PENDIENTE",TablaVentas[[#This Row],[Unidades]]*TablaVentas[[#This Row],[Precio_unitario]]*(1-TablaVentas[[#This Row],[Descuento_pct]]))</f>
        <v>10868.531999999999</v>
      </c>
      <c r="P1619">
        <f>IF(TablaVentas[[#This Row],[Costo_unitario]]="","PENDIENTE",TablaVentas[[#This Row],[Unidades]]*TablaVentas[[#This Row],[Costo_unitario]])</f>
        <v>6407.85</v>
      </c>
      <c r="Q1619">
        <f>IF(OR(TablaVentas[[#This Row],[Ingreso_neto]]="PENDIENTE",TablaVentas[[#This Row],[Costo_total]]="PENDIENTE"),"PENDIENTE",TablaVentas[[#This Row],[Ingreso_neto]]-TablaVentas[[#This Row],[Costo_total]])</f>
        <v>4460.6819999999989</v>
      </c>
    </row>
    <row r="1620" spans="1:17">
      <c r="A1620" t="s">
        <v>1080</v>
      </c>
      <c r="B1620">
        <v>5</v>
      </c>
      <c r="C1620" s="3">
        <v>46144</v>
      </c>
      <c r="D1620" t="s">
        <v>355</v>
      </c>
      <c r="E1620" t="s">
        <v>140</v>
      </c>
      <c r="F1620" t="s">
        <v>56</v>
      </c>
      <c r="G1620" t="s">
        <v>50</v>
      </c>
      <c r="H1620" t="s">
        <v>41</v>
      </c>
      <c r="I1620">
        <v>2</v>
      </c>
      <c r="J1620" s="4">
        <v>2838.68</v>
      </c>
      <c r="K1620" s="5">
        <v>0</v>
      </c>
      <c r="L1620" s="4">
        <v>2427.63</v>
      </c>
      <c r="M1620" t="s">
        <v>42</v>
      </c>
      <c r="N1620" t="s">
        <v>52</v>
      </c>
      <c r="O1620">
        <f>IF(TablaVentas[[#This Row],[Precio_unitario]]="","PENDIENTE",TablaVentas[[#This Row],[Unidades]]*TablaVentas[[#This Row],[Precio_unitario]]*(1-TablaVentas[[#This Row],[Descuento_pct]]))</f>
        <v>5677.36</v>
      </c>
      <c r="P1620">
        <f>IF(TablaVentas[[#This Row],[Costo_unitario]]="","PENDIENTE",TablaVentas[[#This Row],[Unidades]]*TablaVentas[[#This Row],[Costo_unitario]])</f>
        <v>4855.26</v>
      </c>
      <c r="Q1620">
        <f>IF(OR(TablaVentas[[#This Row],[Ingreso_neto]]="PENDIENTE",TablaVentas[[#This Row],[Costo_total]]="PENDIENTE"),"PENDIENTE",TablaVentas[[#This Row],[Ingreso_neto]]-TablaVentas[[#This Row],[Costo_total]])</f>
        <v>822.09999999999945</v>
      </c>
    </row>
    <row r="1621" spans="1:17">
      <c r="A1621" t="s">
        <v>1081</v>
      </c>
      <c r="B1621">
        <v>1</v>
      </c>
      <c r="C1621" s="3">
        <v>46147</v>
      </c>
      <c r="D1621" t="s">
        <v>833</v>
      </c>
      <c r="E1621" t="s">
        <v>114</v>
      </c>
      <c r="F1621" t="s">
        <v>66</v>
      </c>
      <c r="G1621" t="s">
        <v>50</v>
      </c>
      <c r="H1621" t="s">
        <v>184</v>
      </c>
      <c r="I1621">
        <v>1</v>
      </c>
      <c r="J1621" s="4">
        <v>14909.88</v>
      </c>
      <c r="K1621" s="5">
        <v>0</v>
      </c>
      <c r="L1621" s="4">
        <v>8239.48</v>
      </c>
      <c r="M1621" t="s">
        <v>42</v>
      </c>
      <c r="N1621" t="s">
        <v>60</v>
      </c>
      <c r="O1621">
        <f>IF(TablaVentas[[#This Row],[Precio_unitario]]="","PENDIENTE",TablaVentas[[#This Row],[Unidades]]*TablaVentas[[#This Row],[Precio_unitario]]*(1-TablaVentas[[#This Row],[Descuento_pct]]))</f>
        <v>14909.88</v>
      </c>
      <c r="P1621">
        <f>IF(TablaVentas[[#This Row],[Costo_unitario]]="","PENDIENTE",TablaVentas[[#This Row],[Unidades]]*TablaVentas[[#This Row],[Costo_unitario]])</f>
        <v>8239.48</v>
      </c>
      <c r="Q1621">
        <f>IF(OR(TablaVentas[[#This Row],[Ingreso_neto]]="PENDIENTE",TablaVentas[[#This Row],[Costo_total]]="PENDIENTE"),"PENDIENTE",TablaVentas[[#This Row],[Ingreso_neto]]-TablaVentas[[#This Row],[Costo_total]])</f>
        <v>6670.4</v>
      </c>
    </row>
    <row r="1622" spans="1:17">
      <c r="A1622" t="s">
        <v>1081</v>
      </c>
      <c r="B1622">
        <v>2</v>
      </c>
      <c r="C1622" s="3">
        <v>46147</v>
      </c>
      <c r="D1622" t="s">
        <v>833</v>
      </c>
      <c r="E1622" t="s">
        <v>163</v>
      </c>
      <c r="F1622" t="s">
        <v>66</v>
      </c>
      <c r="G1622" t="s">
        <v>50</v>
      </c>
      <c r="H1622" t="s">
        <v>184</v>
      </c>
      <c r="I1622">
        <v>2</v>
      </c>
      <c r="J1622" s="4">
        <v>15874.54</v>
      </c>
      <c r="K1622" s="5">
        <v>0</v>
      </c>
      <c r="L1622" s="4">
        <v>12141.44</v>
      </c>
      <c r="M1622" t="s">
        <v>42</v>
      </c>
      <c r="N1622" t="s">
        <v>43</v>
      </c>
      <c r="O1622">
        <f>IF(TablaVentas[[#This Row],[Precio_unitario]]="","PENDIENTE",TablaVentas[[#This Row],[Unidades]]*TablaVentas[[#This Row],[Precio_unitario]]*(1-TablaVentas[[#This Row],[Descuento_pct]]))</f>
        <v>31749.08</v>
      </c>
      <c r="P1622">
        <f>IF(TablaVentas[[#This Row],[Costo_unitario]]="","PENDIENTE",TablaVentas[[#This Row],[Unidades]]*TablaVentas[[#This Row],[Costo_unitario]])</f>
        <v>24282.880000000001</v>
      </c>
      <c r="Q1622">
        <f>IF(OR(TablaVentas[[#This Row],[Ingreso_neto]]="PENDIENTE",TablaVentas[[#This Row],[Costo_total]]="PENDIENTE"),"PENDIENTE",TablaVentas[[#This Row],[Ingreso_neto]]-TablaVentas[[#This Row],[Costo_total]])</f>
        <v>7466.2000000000007</v>
      </c>
    </row>
    <row r="1623" spans="1:17">
      <c r="A1623" t="s">
        <v>1082</v>
      </c>
      <c r="B1623">
        <v>1</v>
      </c>
      <c r="C1623" s="3">
        <v>46087</v>
      </c>
      <c r="D1623" t="s">
        <v>412</v>
      </c>
      <c r="E1623" t="s">
        <v>155</v>
      </c>
      <c r="F1623" t="s">
        <v>66</v>
      </c>
      <c r="G1623" t="s">
        <v>40</v>
      </c>
      <c r="H1623" t="s">
        <v>58</v>
      </c>
      <c r="I1623">
        <v>3</v>
      </c>
      <c r="J1623" s="4">
        <v>814.15</v>
      </c>
      <c r="K1623" s="5">
        <v>0.2</v>
      </c>
      <c r="L1623" s="4">
        <v>397.1</v>
      </c>
      <c r="M1623" t="s">
        <v>42</v>
      </c>
      <c r="N1623" t="s">
        <v>52</v>
      </c>
      <c r="O1623">
        <f>IF(TablaVentas[[#This Row],[Precio_unitario]]="","PENDIENTE",TablaVentas[[#This Row],[Unidades]]*TablaVentas[[#This Row],[Precio_unitario]]*(1-TablaVentas[[#This Row],[Descuento_pct]]))</f>
        <v>1953.96</v>
      </c>
      <c r="P1623">
        <f>IF(TablaVentas[[#This Row],[Costo_unitario]]="","PENDIENTE",TablaVentas[[#This Row],[Unidades]]*TablaVentas[[#This Row],[Costo_unitario]])</f>
        <v>1191.3000000000002</v>
      </c>
      <c r="Q1623">
        <f>IF(OR(TablaVentas[[#This Row],[Ingreso_neto]]="PENDIENTE",TablaVentas[[#This Row],[Costo_total]]="PENDIENTE"),"PENDIENTE",TablaVentas[[#This Row],[Ingreso_neto]]-TablaVentas[[#This Row],[Costo_total]])</f>
        <v>762.65999999999985</v>
      </c>
    </row>
    <row r="1624" spans="1:17">
      <c r="A1624" t="s">
        <v>1083</v>
      </c>
      <c r="B1624">
        <v>1</v>
      </c>
      <c r="C1624" s="3">
        <v>46028</v>
      </c>
      <c r="D1624" t="s">
        <v>408</v>
      </c>
      <c r="E1624" t="s">
        <v>84</v>
      </c>
      <c r="F1624" t="s">
        <v>56</v>
      </c>
      <c r="G1624" t="s">
        <v>40</v>
      </c>
      <c r="H1624" t="s">
        <v>51</v>
      </c>
      <c r="I1624">
        <v>1</v>
      </c>
      <c r="J1624" s="4">
        <v>15594.51</v>
      </c>
      <c r="K1624" s="5">
        <v>0.15</v>
      </c>
      <c r="L1624" s="4">
        <v>8576.0499999999993</v>
      </c>
      <c r="M1624" t="s">
        <v>42</v>
      </c>
      <c r="N1624" t="s">
        <v>60</v>
      </c>
      <c r="O1624">
        <f>IF(TablaVentas[[#This Row],[Precio_unitario]]="","PENDIENTE",TablaVentas[[#This Row],[Unidades]]*TablaVentas[[#This Row],[Precio_unitario]]*(1-TablaVentas[[#This Row],[Descuento_pct]]))</f>
        <v>13255.333500000001</v>
      </c>
      <c r="P1624">
        <f>IF(TablaVentas[[#This Row],[Costo_unitario]]="","PENDIENTE",TablaVentas[[#This Row],[Unidades]]*TablaVentas[[#This Row],[Costo_unitario]])</f>
        <v>8576.0499999999993</v>
      </c>
      <c r="Q1624">
        <f>IF(OR(TablaVentas[[#This Row],[Ingreso_neto]]="PENDIENTE",TablaVentas[[#This Row],[Costo_total]]="PENDIENTE"),"PENDIENTE",TablaVentas[[#This Row],[Ingreso_neto]]-TablaVentas[[#This Row],[Costo_total]])</f>
        <v>4679.2835000000014</v>
      </c>
    </row>
    <row r="1625" spans="1:17">
      <c r="A1625" t="s">
        <v>1083</v>
      </c>
      <c r="B1625">
        <v>2</v>
      </c>
      <c r="C1625" s="3">
        <v>46028</v>
      </c>
      <c r="D1625" t="s">
        <v>408</v>
      </c>
      <c r="E1625" t="s">
        <v>262</v>
      </c>
      <c r="F1625" t="s">
        <v>56</v>
      </c>
      <c r="G1625" t="s">
        <v>40</v>
      </c>
      <c r="H1625" t="s">
        <v>51</v>
      </c>
      <c r="I1625">
        <v>1</v>
      </c>
      <c r="J1625" s="4">
        <v>12734.06</v>
      </c>
      <c r="K1625" s="5">
        <v>0</v>
      </c>
      <c r="L1625" s="4">
        <v>8227.4599999999991</v>
      </c>
      <c r="M1625" t="s">
        <v>42</v>
      </c>
      <c r="N1625" t="s">
        <v>45</v>
      </c>
      <c r="O1625">
        <f>IF(TablaVentas[[#This Row],[Precio_unitario]]="","PENDIENTE",TablaVentas[[#This Row],[Unidades]]*TablaVentas[[#This Row],[Precio_unitario]]*(1-TablaVentas[[#This Row],[Descuento_pct]]))</f>
        <v>12734.06</v>
      </c>
      <c r="P1625">
        <f>IF(TablaVentas[[#This Row],[Costo_unitario]]="","PENDIENTE",TablaVentas[[#This Row],[Unidades]]*TablaVentas[[#This Row],[Costo_unitario]])</f>
        <v>8227.4599999999991</v>
      </c>
      <c r="Q1625">
        <f>IF(OR(TablaVentas[[#This Row],[Ingreso_neto]]="PENDIENTE",TablaVentas[[#This Row],[Costo_total]]="PENDIENTE"),"PENDIENTE",TablaVentas[[#This Row],[Ingreso_neto]]-TablaVentas[[#This Row],[Costo_total]])</f>
        <v>4506.6000000000004</v>
      </c>
    </row>
    <row r="1626" spans="1:17">
      <c r="A1626" t="s">
        <v>1083</v>
      </c>
      <c r="B1626">
        <v>3</v>
      </c>
      <c r="C1626" s="3">
        <v>46028</v>
      </c>
      <c r="D1626" t="s">
        <v>408</v>
      </c>
      <c r="E1626" t="s">
        <v>89</v>
      </c>
      <c r="F1626" t="s">
        <v>56</v>
      </c>
      <c r="G1626" t="s">
        <v>40</v>
      </c>
      <c r="H1626" t="s">
        <v>51</v>
      </c>
      <c r="I1626">
        <v>1</v>
      </c>
      <c r="J1626" s="4">
        <v>11628.19</v>
      </c>
      <c r="K1626" s="5">
        <v>0</v>
      </c>
      <c r="L1626" s="4">
        <v>9118.07</v>
      </c>
      <c r="M1626" t="s">
        <v>42</v>
      </c>
      <c r="N1626" t="s">
        <v>60</v>
      </c>
      <c r="O1626">
        <f>IF(TablaVentas[[#This Row],[Precio_unitario]]="","PENDIENTE",TablaVentas[[#This Row],[Unidades]]*TablaVentas[[#This Row],[Precio_unitario]]*(1-TablaVentas[[#This Row],[Descuento_pct]]))</f>
        <v>11628.19</v>
      </c>
      <c r="P1626">
        <f>IF(TablaVentas[[#This Row],[Costo_unitario]]="","PENDIENTE",TablaVentas[[#This Row],[Unidades]]*TablaVentas[[#This Row],[Costo_unitario]])</f>
        <v>9118.07</v>
      </c>
      <c r="Q1626">
        <f>IF(OR(TablaVentas[[#This Row],[Ingreso_neto]]="PENDIENTE",TablaVentas[[#This Row],[Costo_total]]="PENDIENTE"),"PENDIENTE",TablaVentas[[#This Row],[Ingreso_neto]]-TablaVentas[[#This Row],[Costo_total]])</f>
        <v>2510.1200000000008</v>
      </c>
    </row>
    <row r="1627" spans="1:17">
      <c r="A1627" t="s">
        <v>1084</v>
      </c>
      <c r="B1627">
        <v>1</v>
      </c>
      <c r="C1627" s="3">
        <v>46043</v>
      </c>
      <c r="D1627" t="s">
        <v>289</v>
      </c>
      <c r="E1627" t="s">
        <v>103</v>
      </c>
      <c r="F1627" t="s">
        <v>66</v>
      </c>
      <c r="G1627" t="s">
        <v>57</v>
      </c>
      <c r="H1627" t="s">
        <v>41</v>
      </c>
      <c r="I1627">
        <v>3</v>
      </c>
      <c r="J1627" s="4">
        <v>12114.59</v>
      </c>
      <c r="K1627" s="5">
        <v>0.15</v>
      </c>
      <c r="L1627" s="4">
        <v>7549.71</v>
      </c>
      <c r="M1627" t="s">
        <v>42</v>
      </c>
      <c r="N1627" t="s">
        <v>60</v>
      </c>
      <c r="O1627">
        <f>IF(TablaVentas[[#This Row],[Precio_unitario]]="","PENDIENTE",TablaVentas[[#This Row],[Unidades]]*TablaVentas[[#This Row],[Precio_unitario]]*(1-TablaVentas[[#This Row],[Descuento_pct]]))</f>
        <v>30892.204500000003</v>
      </c>
      <c r="P1627">
        <f>IF(TablaVentas[[#This Row],[Costo_unitario]]="","PENDIENTE",TablaVentas[[#This Row],[Unidades]]*TablaVentas[[#This Row],[Costo_unitario]])</f>
        <v>22649.13</v>
      </c>
      <c r="Q1627">
        <f>IF(OR(TablaVentas[[#This Row],[Ingreso_neto]]="PENDIENTE",TablaVentas[[#This Row],[Costo_total]]="PENDIENTE"),"PENDIENTE",TablaVentas[[#This Row],[Ingreso_neto]]-TablaVentas[[#This Row],[Costo_total]])</f>
        <v>8243.0745000000024</v>
      </c>
    </row>
    <row r="1628" spans="1:17">
      <c r="A1628" t="s">
        <v>1084</v>
      </c>
      <c r="B1628">
        <v>2</v>
      </c>
      <c r="C1628" s="3">
        <v>46043</v>
      </c>
      <c r="D1628" t="s">
        <v>289</v>
      </c>
      <c r="E1628" t="s">
        <v>203</v>
      </c>
      <c r="F1628" t="s">
        <v>66</v>
      </c>
      <c r="G1628" t="s">
        <v>57</v>
      </c>
      <c r="H1628" t="s">
        <v>41</v>
      </c>
      <c r="I1628">
        <v>1</v>
      </c>
      <c r="J1628" s="4">
        <v>1787.5</v>
      </c>
      <c r="K1628" s="5">
        <v>0</v>
      </c>
      <c r="L1628" s="4">
        <v>1252.8399999999999</v>
      </c>
      <c r="M1628" t="s">
        <v>42</v>
      </c>
      <c r="N1628" t="s">
        <v>60</v>
      </c>
      <c r="O1628">
        <f>IF(TablaVentas[[#This Row],[Precio_unitario]]="","PENDIENTE",TablaVentas[[#This Row],[Unidades]]*TablaVentas[[#This Row],[Precio_unitario]]*(1-TablaVentas[[#This Row],[Descuento_pct]]))</f>
        <v>1787.5</v>
      </c>
      <c r="P1628">
        <f>IF(TablaVentas[[#This Row],[Costo_unitario]]="","PENDIENTE",TablaVentas[[#This Row],[Unidades]]*TablaVentas[[#This Row],[Costo_unitario]])</f>
        <v>1252.8399999999999</v>
      </c>
      <c r="Q1628">
        <f>IF(OR(TablaVentas[[#This Row],[Ingreso_neto]]="PENDIENTE",TablaVentas[[#This Row],[Costo_total]]="PENDIENTE"),"PENDIENTE",TablaVentas[[#This Row],[Ingreso_neto]]-TablaVentas[[#This Row],[Costo_total]])</f>
        <v>534.66000000000008</v>
      </c>
    </row>
    <row r="1629" spans="1:17">
      <c r="A1629" t="s">
        <v>1085</v>
      </c>
      <c r="B1629">
        <v>1</v>
      </c>
      <c r="C1629" s="3">
        <v>46029</v>
      </c>
      <c r="D1629" t="s">
        <v>484</v>
      </c>
      <c r="E1629" t="s">
        <v>151</v>
      </c>
      <c r="F1629" t="s">
        <v>77</v>
      </c>
      <c r="G1629" t="s">
        <v>50</v>
      </c>
      <c r="H1629" t="s">
        <v>58</v>
      </c>
      <c r="I1629">
        <v>2</v>
      </c>
      <c r="J1629" s="4">
        <v>16255.35</v>
      </c>
      <c r="K1629" s="5">
        <v>0</v>
      </c>
      <c r="L1629" s="4">
        <v>8963.23</v>
      </c>
      <c r="M1629" t="s">
        <v>42</v>
      </c>
      <c r="N1629" t="s">
        <v>43</v>
      </c>
      <c r="O1629">
        <f>IF(TablaVentas[[#This Row],[Precio_unitario]]="","PENDIENTE",TablaVentas[[#This Row],[Unidades]]*TablaVentas[[#This Row],[Precio_unitario]]*(1-TablaVentas[[#This Row],[Descuento_pct]]))</f>
        <v>32510.7</v>
      </c>
      <c r="P1629">
        <f>IF(TablaVentas[[#This Row],[Costo_unitario]]="","PENDIENTE",TablaVentas[[#This Row],[Unidades]]*TablaVentas[[#This Row],[Costo_unitario]])</f>
        <v>17926.46</v>
      </c>
      <c r="Q1629">
        <f>IF(OR(TablaVentas[[#This Row],[Ingreso_neto]]="PENDIENTE",TablaVentas[[#This Row],[Costo_total]]="PENDIENTE"),"PENDIENTE",TablaVentas[[#This Row],[Ingreso_neto]]-TablaVentas[[#This Row],[Costo_total]])</f>
        <v>14584.240000000002</v>
      </c>
    </row>
    <row r="1630" spans="1:17">
      <c r="A1630" t="s">
        <v>1086</v>
      </c>
      <c r="B1630">
        <v>1</v>
      </c>
      <c r="C1630" s="3">
        <v>46272</v>
      </c>
      <c r="D1630" t="s">
        <v>276</v>
      </c>
      <c r="E1630" t="s">
        <v>262</v>
      </c>
      <c r="F1630" t="s">
        <v>39</v>
      </c>
      <c r="G1630" t="s">
        <v>50</v>
      </c>
      <c r="H1630" t="s">
        <v>58</v>
      </c>
      <c r="I1630">
        <v>5</v>
      </c>
      <c r="J1630" s="4">
        <v>14352.62</v>
      </c>
      <c r="K1630" s="5">
        <v>0</v>
      </c>
      <c r="L1630" s="4">
        <v>8227.4599999999991</v>
      </c>
      <c r="M1630" t="s">
        <v>116</v>
      </c>
      <c r="N1630" t="s">
        <v>52</v>
      </c>
      <c r="O1630">
        <f>IF(TablaVentas[[#This Row],[Precio_unitario]]="","PENDIENTE",TablaVentas[[#This Row],[Unidades]]*TablaVentas[[#This Row],[Precio_unitario]]*(1-TablaVentas[[#This Row],[Descuento_pct]]))</f>
        <v>71763.100000000006</v>
      </c>
      <c r="P1630">
        <f>IF(TablaVentas[[#This Row],[Costo_unitario]]="","PENDIENTE",TablaVentas[[#This Row],[Unidades]]*TablaVentas[[#This Row],[Costo_unitario]])</f>
        <v>41137.299999999996</v>
      </c>
      <c r="Q1630">
        <f>IF(OR(TablaVentas[[#This Row],[Ingreso_neto]]="PENDIENTE",TablaVentas[[#This Row],[Costo_total]]="PENDIENTE"),"PENDIENTE",TablaVentas[[#This Row],[Ingreso_neto]]-TablaVentas[[#This Row],[Costo_total]])</f>
        <v>30625.80000000001</v>
      </c>
    </row>
    <row r="1631" spans="1:17">
      <c r="A1631" t="s">
        <v>1086</v>
      </c>
      <c r="B1631">
        <v>2</v>
      </c>
      <c r="C1631" s="3">
        <v>46272</v>
      </c>
      <c r="D1631" t="s">
        <v>276</v>
      </c>
      <c r="E1631" t="s">
        <v>335</v>
      </c>
      <c r="F1631" t="s">
        <v>39</v>
      </c>
      <c r="G1631" t="s">
        <v>50</v>
      </c>
      <c r="H1631" t="s">
        <v>58</v>
      </c>
      <c r="I1631">
        <v>3</v>
      </c>
      <c r="J1631" s="4">
        <v>7556.31</v>
      </c>
      <c r="K1631" s="5">
        <v>0</v>
      </c>
      <c r="L1631" s="4">
        <v>5587.31</v>
      </c>
      <c r="M1631" t="s">
        <v>42</v>
      </c>
      <c r="N1631" t="s">
        <v>43</v>
      </c>
      <c r="O1631">
        <f>IF(TablaVentas[[#This Row],[Precio_unitario]]="","PENDIENTE",TablaVentas[[#This Row],[Unidades]]*TablaVentas[[#This Row],[Precio_unitario]]*(1-TablaVentas[[#This Row],[Descuento_pct]]))</f>
        <v>22668.93</v>
      </c>
      <c r="P1631">
        <f>IF(TablaVentas[[#This Row],[Costo_unitario]]="","PENDIENTE",TablaVentas[[#This Row],[Unidades]]*TablaVentas[[#This Row],[Costo_unitario]])</f>
        <v>16761.93</v>
      </c>
      <c r="Q1631">
        <f>IF(OR(TablaVentas[[#This Row],[Ingreso_neto]]="PENDIENTE",TablaVentas[[#This Row],[Costo_total]]="PENDIENTE"),"PENDIENTE",TablaVentas[[#This Row],[Ingreso_neto]]-TablaVentas[[#This Row],[Costo_total]])</f>
        <v>5907</v>
      </c>
    </row>
    <row r="1632" spans="1:17">
      <c r="A1632" t="s">
        <v>1087</v>
      </c>
      <c r="B1632">
        <v>1</v>
      </c>
      <c r="C1632" s="3">
        <v>46120</v>
      </c>
      <c r="D1632" t="s">
        <v>142</v>
      </c>
      <c r="E1632" t="s">
        <v>537</v>
      </c>
      <c r="F1632" t="s">
        <v>77</v>
      </c>
      <c r="G1632" t="s">
        <v>40</v>
      </c>
      <c r="H1632" t="s">
        <v>82</v>
      </c>
      <c r="I1632">
        <v>1</v>
      </c>
      <c r="J1632" s="4">
        <v>5121.21</v>
      </c>
      <c r="K1632" s="5">
        <v>0</v>
      </c>
      <c r="L1632" s="4">
        <v>4556.2299999999996</v>
      </c>
      <c r="M1632" t="s">
        <v>62</v>
      </c>
      <c r="N1632" t="s">
        <v>52</v>
      </c>
      <c r="O1632">
        <f>IF(TablaVentas[[#This Row],[Precio_unitario]]="","PENDIENTE",TablaVentas[[#This Row],[Unidades]]*TablaVentas[[#This Row],[Precio_unitario]]*(1-TablaVentas[[#This Row],[Descuento_pct]]))</f>
        <v>5121.21</v>
      </c>
      <c r="P1632">
        <f>IF(TablaVentas[[#This Row],[Costo_unitario]]="","PENDIENTE",TablaVentas[[#This Row],[Unidades]]*TablaVentas[[#This Row],[Costo_unitario]])</f>
        <v>4556.2299999999996</v>
      </c>
      <c r="Q1632">
        <f>IF(OR(TablaVentas[[#This Row],[Ingreso_neto]]="PENDIENTE",TablaVentas[[#This Row],[Costo_total]]="PENDIENTE"),"PENDIENTE",TablaVentas[[#This Row],[Ingreso_neto]]-TablaVentas[[#This Row],[Costo_total]])</f>
        <v>564.98000000000047</v>
      </c>
    </row>
    <row r="1633" spans="1:17">
      <c r="A1633" t="s">
        <v>1087</v>
      </c>
      <c r="B1633">
        <v>2</v>
      </c>
      <c r="C1633" s="3">
        <v>46120</v>
      </c>
      <c r="D1633" t="s">
        <v>142</v>
      </c>
      <c r="E1633" t="s">
        <v>163</v>
      </c>
      <c r="F1633" t="s">
        <v>77</v>
      </c>
      <c r="G1633" t="s">
        <v>40</v>
      </c>
      <c r="H1633" t="s">
        <v>82</v>
      </c>
      <c r="I1633">
        <v>1</v>
      </c>
      <c r="J1633" s="4">
        <v>17017.669999999998</v>
      </c>
      <c r="K1633" s="5">
        <v>0.15</v>
      </c>
      <c r="L1633" s="4">
        <v>12141.44</v>
      </c>
      <c r="M1633" t="s">
        <v>42</v>
      </c>
      <c r="N1633" t="s">
        <v>60</v>
      </c>
      <c r="O1633">
        <f>IF(TablaVentas[[#This Row],[Precio_unitario]]="","PENDIENTE",TablaVentas[[#This Row],[Unidades]]*TablaVentas[[#This Row],[Precio_unitario]]*(1-TablaVentas[[#This Row],[Descuento_pct]]))</f>
        <v>14465.019499999999</v>
      </c>
      <c r="P1633">
        <f>IF(TablaVentas[[#This Row],[Costo_unitario]]="","PENDIENTE",TablaVentas[[#This Row],[Unidades]]*TablaVentas[[#This Row],[Costo_unitario]])</f>
        <v>12141.44</v>
      </c>
      <c r="Q1633">
        <f>IF(OR(TablaVentas[[#This Row],[Ingreso_neto]]="PENDIENTE",TablaVentas[[#This Row],[Costo_total]]="PENDIENTE"),"PENDIENTE",TablaVentas[[#This Row],[Ingreso_neto]]-TablaVentas[[#This Row],[Costo_total]])</f>
        <v>2323.579499999998</v>
      </c>
    </row>
    <row r="1634" spans="1:17">
      <c r="A1634" t="s">
        <v>1087</v>
      </c>
      <c r="B1634">
        <v>3</v>
      </c>
      <c r="C1634" s="3">
        <v>46120</v>
      </c>
      <c r="D1634" t="s">
        <v>142</v>
      </c>
      <c r="E1634" t="s">
        <v>185</v>
      </c>
      <c r="F1634" t="s">
        <v>77</v>
      </c>
      <c r="G1634" t="s">
        <v>40</v>
      </c>
      <c r="H1634" t="s">
        <v>82</v>
      </c>
      <c r="I1634">
        <v>8</v>
      </c>
      <c r="J1634" s="4">
        <v>15629.58</v>
      </c>
      <c r="K1634" s="5">
        <v>0</v>
      </c>
      <c r="L1634" s="4">
        <v>11904.09</v>
      </c>
      <c r="M1634" t="s">
        <v>42</v>
      </c>
      <c r="N1634" t="s">
        <v>43</v>
      </c>
      <c r="O1634">
        <f>IF(TablaVentas[[#This Row],[Precio_unitario]]="","PENDIENTE",TablaVentas[[#This Row],[Unidades]]*TablaVentas[[#This Row],[Precio_unitario]]*(1-TablaVentas[[#This Row],[Descuento_pct]]))</f>
        <v>125036.64</v>
      </c>
      <c r="P1634">
        <f>IF(TablaVentas[[#This Row],[Costo_unitario]]="","PENDIENTE",TablaVentas[[#This Row],[Unidades]]*TablaVentas[[#This Row],[Costo_unitario]])</f>
        <v>95232.72</v>
      </c>
      <c r="Q1634">
        <f>IF(OR(TablaVentas[[#This Row],[Ingreso_neto]]="PENDIENTE",TablaVentas[[#This Row],[Costo_total]]="PENDIENTE"),"PENDIENTE",TablaVentas[[#This Row],[Ingreso_neto]]-TablaVentas[[#This Row],[Costo_total]])</f>
        <v>29803.919999999998</v>
      </c>
    </row>
    <row r="1635" spans="1:17">
      <c r="A1635" t="s">
        <v>1087</v>
      </c>
      <c r="B1635">
        <v>4</v>
      </c>
      <c r="C1635" s="3">
        <v>46120</v>
      </c>
      <c r="D1635" t="s">
        <v>142</v>
      </c>
      <c r="E1635" t="s">
        <v>217</v>
      </c>
      <c r="F1635" t="s">
        <v>77</v>
      </c>
      <c r="G1635" t="s">
        <v>40</v>
      </c>
      <c r="H1635" t="s">
        <v>82</v>
      </c>
      <c r="I1635">
        <v>8</v>
      </c>
      <c r="J1635" s="4">
        <v>15882.04</v>
      </c>
      <c r="K1635" s="5">
        <v>0.1</v>
      </c>
      <c r="L1635" s="4">
        <v>14161.63</v>
      </c>
      <c r="M1635" t="s">
        <v>42</v>
      </c>
      <c r="N1635" t="s">
        <v>45</v>
      </c>
      <c r="O1635">
        <f>IF(TablaVentas[[#This Row],[Precio_unitario]]="","PENDIENTE",TablaVentas[[#This Row],[Unidades]]*TablaVentas[[#This Row],[Precio_unitario]]*(1-TablaVentas[[#This Row],[Descuento_pct]]))</f>
        <v>114350.68800000001</v>
      </c>
      <c r="P1635">
        <f>IF(TablaVentas[[#This Row],[Costo_unitario]]="","PENDIENTE",TablaVentas[[#This Row],[Unidades]]*TablaVentas[[#This Row],[Costo_unitario]])</f>
        <v>113293.04</v>
      </c>
      <c r="Q1635">
        <f>IF(OR(TablaVentas[[#This Row],[Ingreso_neto]]="PENDIENTE",TablaVentas[[#This Row],[Costo_total]]="PENDIENTE"),"PENDIENTE",TablaVentas[[#This Row],[Ingreso_neto]]-TablaVentas[[#This Row],[Costo_total]])</f>
        <v>1057.6480000000156</v>
      </c>
    </row>
    <row r="1636" spans="1:17">
      <c r="A1636" t="s">
        <v>1088</v>
      </c>
      <c r="B1636">
        <v>1</v>
      </c>
      <c r="C1636" s="3">
        <v>46185</v>
      </c>
      <c r="D1636" t="s">
        <v>112</v>
      </c>
      <c r="E1636" t="s">
        <v>272</v>
      </c>
      <c r="F1636" t="s">
        <v>77</v>
      </c>
      <c r="G1636" t="s">
        <v>50</v>
      </c>
      <c r="H1636" t="s">
        <v>58</v>
      </c>
      <c r="I1636">
        <v>5</v>
      </c>
      <c r="J1636" s="4">
        <v>628.20000000000005</v>
      </c>
      <c r="K1636" s="5">
        <v>0.1</v>
      </c>
      <c r="L1636" s="4">
        <v>443</v>
      </c>
      <c r="M1636" t="s">
        <v>42</v>
      </c>
      <c r="N1636" t="s">
        <v>43</v>
      </c>
      <c r="O1636">
        <f>IF(TablaVentas[[#This Row],[Precio_unitario]]="","PENDIENTE",TablaVentas[[#This Row],[Unidades]]*TablaVentas[[#This Row],[Precio_unitario]]*(1-TablaVentas[[#This Row],[Descuento_pct]]))</f>
        <v>2826.9</v>
      </c>
      <c r="P1636">
        <f>IF(TablaVentas[[#This Row],[Costo_unitario]]="","PENDIENTE",TablaVentas[[#This Row],[Unidades]]*TablaVentas[[#This Row],[Costo_unitario]])</f>
        <v>2215</v>
      </c>
      <c r="Q1636">
        <f>IF(OR(TablaVentas[[#This Row],[Ingreso_neto]]="PENDIENTE",TablaVentas[[#This Row],[Costo_total]]="PENDIENTE"),"PENDIENTE",TablaVentas[[#This Row],[Ingreso_neto]]-TablaVentas[[#This Row],[Costo_total]])</f>
        <v>611.90000000000009</v>
      </c>
    </row>
    <row r="1637" spans="1:17">
      <c r="A1637" t="s">
        <v>1088</v>
      </c>
      <c r="B1637">
        <v>2</v>
      </c>
      <c r="C1637" s="3">
        <v>46185</v>
      </c>
      <c r="D1637" t="s">
        <v>112</v>
      </c>
      <c r="E1637" t="s">
        <v>103</v>
      </c>
      <c r="F1637" t="s">
        <v>77</v>
      </c>
      <c r="G1637" t="s">
        <v>50</v>
      </c>
      <c r="H1637" t="s">
        <v>58</v>
      </c>
      <c r="I1637">
        <v>1</v>
      </c>
      <c r="J1637" s="4">
        <v>12693.86</v>
      </c>
      <c r="K1637" s="5">
        <v>0.1</v>
      </c>
      <c r="L1637" s="4">
        <v>7549.71</v>
      </c>
      <c r="M1637" t="s">
        <v>42</v>
      </c>
      <c r="N1637" t="s">
        <v>43</v>
      </c>
      <c r="O1637">
        <f>IF(TablaVentas[[#This Row],[Precio_unitario]]="","PENDIENTE",TablaVentas[[#This Row],[Unidades]]*TablaVentas[[#This Row],[Precio_unitario]]*(1-TablaVentas[[#This Row],[Descuento_pct]]))</f>
        <v>11424.474</v>
      </c>
      <c r="P1637">
        <f>IF(TablaVentas[[#This Row],[Costo_unitario]]="","PENDIENTE",TablaVentas[[#This Row],[Unidades]]*TablaVentas[[#This Row],[Costo_unitario]])</f>
        <v>7549.71</v>
      </c>
      <c r="Q1637">
        <f>IF(OR(TablaVentas[[#This Row],[Ingreso_neto]]="PENDIENTE",TablaVentas[[#This Row],[Costo_total]]="PENDIENTE"),"PENDIENTE",TablaVentas[[#This Row],[Ingreso_neto]]-TablaVentas[[#This Row],[Costo_total]])</f>
        <v>3874.7640000000001</v>
      </c>
    </row>
    <row r="1638" spans="1:17">
      <c r="A1638" t="s">
        <v>1088</v>
      </c>
      <c r="B1638">
        <v>3</v>
      </c>
      <c r="C1638" s="3">
        <v>46185</v>
      </c>
      <c r="D1638" t="s">
        <v>112</v>
      </c>
      <c r="E1638" t="s">
        <v>125</v>
      </c>
      <c r="F1638" t="s">
        <v>77</v>
      </c>
      <c r="G1638" t="s">
        <v>50</v>
      </c>
      <c r="H1638" t="s">
        <v>58</v>
      </c>
      <c r="I1638">
        <v>8</v>
      </c>
      <c r="J1638" s="4">
        <v>1832.49</v>
      </c>
      <c r="K1638" s="5">
        <v>0</v>
      </c>
      <c r="L1638" s="4">
        <v>1044.32</v>
      </c>
      <c r="M1638" t="s">
        <v>42</v>
      </c>
      <c r="N1638" t="s">
        <v>60</v>
      </c>
      <c r="O1638">
        <f>IF(TablaVentas[[#This Row],[Precio_unitario]]="","PENDIENTE",TablaVentas[[#This Row],[Unidades]]*TablaVentas[[#This Row],[Precio_unitario]]*(1-TablaVentas[[#This Row],[Descuento_pct]]))</f>
        <v>14659.92</v>
      </c>
      <c r="P1638">
        <f>IF(TablaVentas[[#This Row],[Costo_unitario]]="","PENDIENTE",TablaVentas[[#This Row],[Unidades]]*TablaVentas[[#This Row],[Costo_unitario]])</f>
        <v>8354.56</v>
      </c>
      <c r="Q1638">
        <f>IF(OR(TablaVentas[[#This Row],[Ingreso_neto]]="PENDIENTE",TablaVentas[[#This Row],[Costo_total]]="PENDIENTE"),"PENDIENTE",TablaVentas[[#This Row],[Ingreso_neto]]-TablaVentas[[#This Row],[Costo_total]])</f>
        <v>6305.3600000000006</v>
      </c>
    </row>
    <row r="1639" spans="1:17">
      <c r="A1639" t="s">
        <v>1089</v>
      </c>
      <c r="B1639">
        <v>1</v>
      </c>
      <c r="C1639" s="3">
        <v>46113</v>
      </c>
      <c r="D1639" t="s">
        <v>890</v>
      </c>
      <c r="E1639" t="s">
        <v>120</v>
      </c>
      <c r="F1639" t="s">
        <v>56</v>
      </c>
      <c r="G1639" t="s">
        <v>57</v>
      </c>
      <c r="H1639" t="s">
        <v>184</v>
      </c>
      <c r="I1639">
        <v>1</v>
      </c>
      <c r="J1639" s="4">
        <v>13209.76</v>
      </c>
      <c r="K1639" s="5">
        <v>0</v>
      </c>
      <c r="L1639" s="4">
        <v>7975.26</v>
      </c>
      <c r="M1639" t="s">
        <v>42</v>
      </c>
      <c r="N1639" t="s">
        <v>60</v>
      </c>
      <c r="O1639">
        <f>IF(TablaVentas[[#This Row],[Precio_unitario]]="","PENDIENTE",TablaVentas[[#This Row],[Unidades]]*TablaVentas[[#This Row],[Precio_unitario]]*(1-TablaVentas[[#This Row],[Descuento_pct]]))</f>
        <v>13209.76</v>
      </c>
      <c r="P1639">
        <f>IF(TablaVentas[[#This Row],[Costo_unitario]]="","PENDIENTE",TablaVentas[[#This Row],[Unidades]]*TablaVentas[[#This Row],[Costo_unitario]])</f>
        <v>7975.26</v>
      </c>
      <c r="Q1639">
        <f>IF(OR(TablaVentas[[#This Row],[Ingreso_neto]]="PENDIENTE",TablaVentas[[#This Row],[Costo_total]]="PENDIENTE"),"PENDIENTE",TablaVentas[[#This Row],[Ingreso_neto]]-TablaVentas[[#This Row],[Costo_total]])</f>
        <v>5234.5</v>
      </c>
    </row>
    <row r="1640" spans="1:17">
      <c r="A1640" t="s">
        <v>1090</v>
      </c>
      <c r="B1640">
        <v>1</v>
      </c>
      <c r="C1640" s="3">
        <v>46124</v>
      </c>
      <c r="D1640" t="s">
        <v>580</v>
      </c>
      <c r="E1640" t="s">
        <v>155</v>
      </c>
      <c r="F1640" t="s">
        <v>56</v>
      </c>
      <c r="G1640" t="s">
        <v>50</v>
      </c>
      <c r="H1640" t="s">
        <v>129</v>
      </c>
      <c r="I1640">
        <v>3</v>
      </c>
      <c r="J1640" s="4">
        <v>739.79</v>
      </c>
      <c r="K1640" s="5">
        <v>0</v>
      </c>
      <c r="L1640" s="4">
        <v>397.1</v>
      </c>
      <c r="M1640" t="s">
        <v>42</v>
      </c>
      <c r="N1640" t="s">
        <v>52</v>
      </c>
      <c r="O1640">
        <f>IF(TablaVentas[[#This Row],[Precio_unitario]]="","PENDIENTE",TablaVentas[[#This Row],[Unidades]]*TablaVentas[[#This Row],[Precio_unitario]]*(1-TablaVentas[[#This Row],[Descuento_pct]]))</f>
        <v>2219.37</v>
      </c>
      <c r="P1640">
        <f>IF(TablaVentas[[#This Row],[Costo_unitario]]="","PENDIENTE",TablaVentas[[#This Row],[Unidades]]*TablaVentas[[#This Row],[Costo_unitario]])</f>
        <v>1191.3000000000002</v>
      </c>
      <c r="Q1640">
        <f>IF(OR(TablaVentas[[#This Row],[Ingreso_neto]]="PENDIENTE",TablaVentas[[#This Row],[Costo_total]]="PENDIENTE"),"PENDIENTE",TablaVentas[[#This Row],[Ingreso_neto]]-TablaVentas[[#This Row],[Costo_total]])</f>
        <v>1028.0699999999997</v>
      </c>
    </row>
    <row r="1641" spans="1:17">
      <c r="A1641" t="s">
        <v>1091</v>
      </c>
      <c r="B1641">
        <v>1</v>
      </c>
      <c r="C1641" s="3">
        <v>46180</v>
      </c>
      <c r="D1641" t="s">
        <v>377</v>
      </c>
      <c r="E1641" t="s">
        <v>81</v>
      </c>
      <c r="F1641" t="s">
        <v>77</v>
      </c>
      <c r="G1641" t="s">
        <v>50</v>
      </c>
      <c r="H1641" t="s">
        <v>58</v>
      </c>
      <c r="I1641">
        <v>4</v>
      </c>
      <c r="J1641" s="4">
        <v>15410.85</v>
      </c>
      <c r="K1641" s="5">
        <v>0</v>
      </c>
      <c r="L1641" s="4">
        <v>11614.87</v>
      </c>
      <c r="M1641" t="s">
        <v>42</v>
      </c>
      <c r="N1641" t="s">
        <v>52</v>
      </c>
      <c r="O1641">
        <f>IF(TablaVentas[[#This Row],[Precio_unitario]]="","PENDIENTE",TablaVentas[[#This Row],[Unidades]]*TablaVentas[[#This Row],[Precio_unitario]]*(1-TablaVentas[[#This Row],[Descuento_pct]]))</f>
        <v>61643.4</v>
      </c>
      <c r="P1641">
        <f>IF(TablaVentas[[#This Row],[Costo_unitario]]="","PENDIENTE",TablaVentas[[#This Row],[Unidades]]*TablaVentas[[#This Row],[Costo_unitario]])</f>
        <v>46459.48</v>
      </c>
      <c r="Q1641">
        <f>IF(OR(TablaVentas[[#This Row],[Ingreso_neto]]="PENDIENTE",TablaVentas[[#This Row],[Costo_total]]="PENDIENTE"),"PENDIENTE",TablaVentas[[#This Row],[Ingreso_neto]]-TablaVentas[[#This Row],[Costo_total]])</f>
        <v>15183.919999999998</v>
      </c>
    </row>
    <row r="1642" spans="1:17">
      <c r="A1642" t="s">
        <v>1091</v>
      </c>
      <c r="B1642">
        <v>2</v>
      </c>
      <c r="C1642" s="3">
        <v>46180</v>
      </c>
      <c r="D1642" t="s">
        <v>377</v>
      </c>
      <c r="E1642" t="s">
        <v>223</v>
      </c>
      <c r="F1642" t="s">
        <v>77</v>
      </c>
      <c r="G1642" t="s">
        <v>50</v>
      </c>
      <c r="H1642" t="s">
        <v>58</v>
      </c>
      <c r="I1642">
        <v>1</v>
      </c>
      <c r="J1642" s="4">
        <v>5794.78</v>
      </c>
      <c r="K1642" s="5">
        <v>0</v>
      </c>
      <c r="L1642" s="4">
        <v>3298.19</v>
      </c>
      <c r="M1642" t="s">
        <v>42</v>
      </c>
      <c r="N1642" t="s">
        <v>60</v>
      </c>
      <c r="O1642">
        <f>IF(TablaVentas[[#This Row],[Precio_unitario]]="","PENDIENTE",TablaVentas[[#This Row],[Unidades]]*TablaVentas[[#This Row],[Precio_unitario]]*(1-TablaVentas[[#This Row],[Descuento_pct]]))</f>
        <v>5794.78</v>
      </c>
      <c r="P1642">
        <f>IF(TablaVentas[[#This Row],[Costo_unitario]]="","PENDIENTE",TablaVentas[[#This Row],[Unidades]]*TablaVentas[[#This Row],[Costo_unitario]])</f>
        <v>3298.19</v>
      </c>
      <c r="Q1642">
        <f>IF(OR(TablaVentas[[#This Row],[Ingreso_neto]]="PENDIENTE",TablaVentas[[#This Row],[Costo_total]]="PENDIENTE"),"PENDIENTE",TablaVentas[[#This Row],[Ingreso_neto]]-TablaVentas[[#This Row],[Costo_total]])</f>
        <v>2496.5899999999997</v>
      </c>
    </row>
    <row r="1643" spans="1:17">
      <c r="A1643" t="s">
        <v>1092</v>
      </c>
      <c r="B1643">
        <v>1</v>
      </c>
      <c r="C1643" s="3">
        <v>46145</v>
      </c>
      <c r="D1643" t="s">
        <v>777</v>
      </c>
      <c r="E1643" t="s">
        <v>403</v>
      </c>
      <c r="F1643" t="s">
        <v>66</v>
      </c>
      <c r="G1643" t="s">
        <v>50</v>
      </c>
      <c r="H1643" t="s">
        <v>82</v>
      </c>
      <c r="I1643">
        <v>2</v>
      </c>
      <c r="J1643" s="4">
        <v>2924.2</v>
      </c>
      <c r="K1643" s="5">
        <v>0.05</v>
      </c>
      <c r="L1643" s="4">
        <v>1801.83</v>
      </c>
      <c r="M1643" t="s">
        <v>42</v>
      </c>
      <c r="N1643" t="s">
        <v>43</v>
      </c>
      <c r="O1643">
        <f>IF(TablaVentas[[#This Row],[Precio_unitario]]="","PENDIENTE",TablaVentas[[#This Row],[Unidades]]*TablaVentas[[#This Row],[Precio_unitario]]*(1-TablaVentas[[#This Row],[Descuento_pct]]))</f>
        <v>5555.98</v>
      </c>
      <c r="P1643">
        <f>IF(TablaVentas[[#This Row],[Costo_unitario]]="","PENDIENTE",TablaVentas[[#This Row],[Unidades]]*TablaVentas[[#This Row],[Costo_unitario]])</f>
        <v>3603.66</v>
      </c>
      <c r="Q1643">
        <f>IF(OR(TablaVentas[[#This Row],[Ingreso_neto]]="PENDIENTE",TablaVentas[[#This Row],[Costo_total]]="PENDIENTE"),"PENDIENTE",TablaVentas[[#This Row],[Ingreso_neto]]-TablaVentas[[#This Row],[Costo_total]])</f>
        <v>1952.3199999999997</v>
      </c>
    </row>
    <row r="1644" spans="1:17">
      <c r="A1644" t="s">
        <v>1093</v>
      </c>
      <c r="B1644">
        <v>1</v>
      </c>
      <c r="C1644" s="3">
        <v>46265</v>
      </c>
      <c r="D1644" t="s">
        <v>189</v>
      </c>
      <c r="E1644" t="s">
        <v>223</v>
      </c>
      <c r="F1644" t="s">
        <v>56</v>
      </c>
      <c r="G1644" t="s">
        <v>40</v>
      </c>
      <c r="H1644" t="s">
        <v>102</v>
      </c>
      <c r="I1644">
        <v>1</v>
      </c>
      <c r="J1644" s="4">
        <v>6309.8</v>
      </c>
      <c r="K1644" s="5">
        <v>0.1</v>
      </c>
      <c r="L1644" s="4">
        <v>3298.19</v>
      </c>
      <c r="M1644" t="s">
        <v>42</v>
      </c>
      <c r="N1644" t="s">
        <v>60</v>
      </c>
      <c r="O1644">
        <f>IF(TablaVentas[[#This Row],[Precio_unitario]]="","PENDIENTE",TablaVentas[[#This Row],[Unidades]]*TablaVentas[[#This Row],[Precio_unitario]]*(1-TablaVentas[[#This Row],[Descuento_pct]]))</f>
        <v>5678.8200000000006</v>
      </c>
      <c r="P1644">
        <f>IF(TablaVentas[[#This Row],[Costo_unitario]]="","PENDIENTE",TablaVentas[[#This Row],[Unidades]]*TablaVentas[[#This Row],[Costo_unitario]])</f>
        <v>3298.19</v>
      </c>
      <c r="Q1644">
        <f>IF(OR(TablaVentas[[#This Row],[Ingreso_neto]]="PENDIENTE",TablaVentas[[#This Row],[Costo_total]]="PENDIENTE"),"PENDIENTE",TablaVentas[[#This Row],[Ingreso_neto]]-TablaVentas[[#This Row],[Costo_total]])</f>
        <v>2380.6300000000006</v>
      </c>
    </row>
    <row r="1645" spans="1:17">
      <c r="A1645" t="s">
        <v>1093</v>
      </c>
      <c r="B1645">
        <v>2</v>
      </c>
      <c r="C1645" s="3">
        <v>46265</v>
      </c>
      <c r="D1645" t="s">
        <v>189</v>
      </c>
      <c r="E1645" t="s">
        <v>86</v>
      </c>
      <c r="F1645" t="s">
        <v>56</v>
      </c>
      <c r="G1645" t="s">
        <v>40</v>
      </c>
      <c r="H1645" t="s">
        <v>102</v>
      </c>
      <c r="I1645">
        <v>1</v>
      </c>
      <c r="J1645" s="4">
        <v>14668.31</v>
      </c>
      <c r="K1645" s="5">
        <v>0.2</v>
      </c>
      <c r="L1645" s="4">
        <v>11166.03</v>
      </c>
      <c r="M1645" t="s">
        <v>116</v>
      </c>
      <c r="N1645" t="s">
        <v>52</v>
      </c>
      <c r="O1645">
        <f>IF(TablaVentas[[#This Row],[Precio_unitario]]="","PENDIENTE",TablaVentas[[#This Row],[Unidades]]*TablaVentas[[#This Row],[Precio_unitario]]*(1-TablaVentas[[#This Row],[Descuento_pct]]))</f>
        <v>11734.648000000001</v>
      </c>
      <c r="P1645">
        <f>IF(TablaVentas[[#This Row],[Costo_unitario]]="","PENDIENTE",TablaVentas[[#This Row],[Unidades]]*TablaVentas[[#This Row],[Costo_unitario]])</f>
        <v>11166.03</v>
      </c>
      <c r="Q1645">
        <f>IF(OR(TablaVentas[[#This Row],[Ingreso_neto]]="PENDIENTE",TablaVentas[[#This Row],[Costo_total]]="PENDIENTE"),"PENDIENTE",TablaVentas[[#This Row],[Ingreso_neto]]-TablaVentas[[#This Row],[Costo_total]])</f>
        <v>568.61800000000039</v>
      </c>
    </row>
    <row r="1646" spans="1:17">
      <c r="A1646" t="s">
        <v>1094</v>
      </c>
      <c r="B1646">
        <v>1</v>
      </c>
      <c r="C1646" s="3">
        <v>46164</v>
      </c>
      <c r="D1646" t="s">
        <v>118</v>
      </c>
      <c r="E1646" t="s">
        <v>68</v>
      </c>
      <c r="F1646" t="s">
        <v>66</v>
      </c>
      <c r="G1646" t="s">
        <v>57</v>
      </c>
      <c r="H1646" t="s">
        <v>73</v>
      </c>
      <c r="I1646">
        <v>1</v>
      </c>
      <c r="J1646" s="4">
        <v>15224.56</v>
      </c>
      <c r="K1646" s="5">
        <v>0</v>
      </c>
      <c r="L1646" s="4">
        <v>9243.35</v>
      </c>
      <c r="M1646" t="s">
        <v>42</v>
      </c>
      <c r="N1646" t="s">
        <v>52</v>
      </c>
      <c r="O1646">
        <f>IF(TablaVentas[[#This Row],[Precio_unitario]]="","PENDIENTE",TablaVentas[[#This Row],[Unidades]]*TablaVentas[[#This Row],[Precio_unitario]]*(1-TablaVentas[[#This Row],[Descuento_pct]]))</f>
        <v>15224.56</v>
      </c>
      <c r="P1646">
        <f>IF(TablaVentas[[#This Row],[Costo_unitario]]="","PENDIENTE",TablaVentas[[#This Row],[Unidades]]*TablaVentas[[#This Row],[Costo_unitario]])</f>
        <v>9243.35</v>
      </c>
      <c r="Q1646">
        <f>IF(OR(TablaVentas[[#This Row],[Ingreso_neto]]="PENDIENTE",TablaVentas[[#This Row],[Costo_total]]="PENDIENTE"),"PENDIENTE",TablaVentas[[#This Row],[Ingreso_neto]]-TablaVentas[[#This Row],[Costo_total]])</f>
        <v>5981.2099999999991</v>
      </c>
    </row>
    <row r="1647" spans="1:17">
      <c r="A1647" t="s">
        <v>1094</v>
      </c>
      <c r="B1647">
        <v>2</v>
      </c>
      <c r="C1647" s="3">
        <v>46164</v>
      </c>
      <c r="D1647" t="s">
        <v>118</v>
      </c>
      <c r="E1647" t="s">
        <v>76</v>
      </c>
      <c r="F1647" t="s">
        <v>66</v>
      </c>
      <c r="G1647" t="s">
        <v>57</v>
      </c>
      <c r="H1647" t="s">
        <v>73</v>
      </c>
      <c r="I1647">
        <v>4</v>
      </c>
      <c r="J1647" s="4">
        <v>13240.64</v>
      </c>
      <c r="K1647" s="5">
        <v>0</v>
      </c>
      <c r="L1647" s="4">
        <v>7748.44</v>
      </c>
      <c r="M1647" t="s">
        <v>42</v>
      </c>
      <c r="N1647" t="s">
        <v>52</v>
      </c>
      <c r="O1647">
        <f>IF(TablaVentas[[#This Row],[Precio_unitario]]="","PENDIENTE",TablaVentas[[#This Row],[Unidades]]*TablaVentas[[#This Row],[Precio_unitario]]*(1-TablaVentas[[#This Row],[Descuento_pct]]))</f>
        <v>52962.559999999998</v>
      </c>
      <c r="P1647">
        <f>IF(TablaVentas[[#This Row],[Costo_unitario]]="","PENDIENTE",TablaVentas[[#This Row],[Unidades]]*TablaVentas[[#This Row],[Costo_unitario]])</f>
        <v>30993.759999999998</v>
      </c>
      <c r="Q1647">
        <f>IF(OR(TablaVentas[[#This Row],[Ingreso_neto]]="PENDIENTE",TablaVentas[[#This Row],[Costo_total]]="PENDIENTE"),"PENDIENTE",TablaVentas[[#This Row],[Ingreso_neto]]-TablaVentas[[#This Row],[Costo_total]])</f>
        <v>21968.799999999999</v>
      </c>
    </row>
    <row r="1648" spans="1:17">
      <c r="A1648" t="s">
        <v>1095</v>
      </c>
      <c r="B1648">
        <v>1</v>
      </c>
      <c r="C1648" s="3">
        <v>46054</v>
      </c>
      <c r="D1648" t="s">
        <v>770</v>
      </c>
      <c r="E1648" t="s">
        <v>44</v>
      </c>
      <c r="F1648" t="s">
        <v>66</v>
      </c>
      <c r="G1648" t="s">
        <v>57</v>
      </c>
      <c r="H1648" t="s">
        <v>129</v>
      </c>
      <c r="I1648">
        <v>3</v>
      </c>
      <c r="J1648" s="4">
        <v>13098.73</v>
      </c>
      <c r="K1648" s="5">
        <v>0</v>
      </c>
      <c r="L1648" s="4">
        <v>8980.68</v>
      </c>
      <c r="M1648" t="s">
        <v>42</v>
      </c>
      <c r="N1648" t="s">
        <v>60</v>
      </c>
      <c r="O1648">
        <f>IF(TablaVentas[[#This Row],[Precio_unitario]]="","PENDIENTE",TablaVentas[[#This Row],[Unidades]]*TablaVentas[[#This Row],[Precio_unitario]]*(1-TablaVentas[[#This Row],[Descuento_pct]]))</f>
        <v>39296.19</v>
      </c>
      <c r="P1648">
        <f>IF(TablaVentas[[#This Row],[Costo_unitario]]="","PENDIENTE",TablaVentas[[#This Row],[Unidades]]*TablaVentas[[#This Row],[Costo_unitario]])</f>
        <v>26942.04</v>
      </c>
      <c r="Q1648">
        <f>IF(OR(TablaVentas[[#This Row],[Ingreso_neto]]="PENDIENTE",TablaVentas[[#This Row],[Costo_total]]="PENDIENTE"),"PENDIENTE",TablaVentas[[#This Row],[Ingreso_neto]]-TablaVentas[[#This Row],[Costo_total]])</f>
        <v>12354.150000000001</v>
      </c>
    </row>
    <row r="1649" spans="1:17">
      <c r="A1649" t="s">
        <v>1095</v>
      </c>
      <c r="B1649">
        <v>2</v>
      </c>
      <c r="C1649" s="3">
        <v>46054</v>
      </c>
      <c r="D1649" t="s">
        <v>770</v>
      </c>
      <c r="E1649" t="s">
        <v>172</v>
      </c>
      <c r="F1649" t="s">
        <v>66</v>
      </c>
      <c r="G1649" t="s">
        <v>57</v>
      </c>
      <c r="H1649" t="s">
        <v>129</v>
      </c>
      <c r="I1649">
        <v>4</v>
      </c>
      <c r="J1649" s="4">
        <v>16713.3</v>
      </c>
      <c r="K1649" s="5">
        <v>0.15</v>
      </c>
      <c r="L1649" s="4">
        <v>10830.17</v>
      </c>
      <c r="M1649" t="s">
        <v>42</v>
      </c>
      <c r="N1649" t="s">
        <v>43</v>
      </c>
      <c r="O1649">
        <f>IF(TablaVentas[[#This Row],[Precio_unitario]]="","PENDIENTE",TablaVentas[[#This Row],[Unidades]]*TablaVentas[[#This Row],[Precio_unitario]]*(1-TablaVentas[[#This Row],[Descuento_pct]]))</f>
        <v>56825.219999999994</v>
      </c>
      <c r="P1649">
        <f>IF(TablaVentas[[#This Row],[Costo_unitario]]="","PENDIENTE",TablaVentas[[#This Row],[Unidades]]*TablaVentas[[#This Row],[Costo_unitario]])</f>
        <v>43320.68</v>
      </c>
      <c r="Q1649">
        <f>IF(OR(TablaVentas[[#This Row],[Ingreso_neto]]="PENDIENTE",TablaVentas[[#This Row],[Costo_total]]="PENDIENTE"),"PENDIENTE",TablaVentas[[#This Row],[Ingreso_neto]]-TablaVentas[[#This Row],[Costo_total]])</f>
        <v>13504.539999999994</v>
      </c>
    </row>
    <row r="1650" spans="1:17">
      <c r="A1650" t="s">
        <v>1095</v>
      </c>
      <c r="B1650">
        <v>3</v>
      </c>
      <c r="C1650" s="3">
        <v>46054</v>
      </c>
      <c r="D1650" t="s">
        <v>770</v>
      </c>
      <c r="E1650" t="s">
        <v>367</v>
      </c>
      <c r="F1650" t="s">
        <v>66</v>
      </c>
      <c r="G1650" t="s">
        <v>57</v>
      </c>
      <c r="H1650" t="s">
        <v>129</v>
      </c>
      <c r="I1650">
        <v>1</v>
      </c>
      <c r="J1650" s="4">
        <v>8935.11</v>
      </c>
      <c r="K1650" s="5">
        <v>0.2</v>
      </c>
      <c r="L1650" s="4">
        <v>5079.43</v>
      </c>
      <c r="M1650" t="s">
        <v>42</v>
      </c>
      <c r="N1650" t="s">
        <v>43</v>
      </c>
      <c r="O1650">
        <f>IF(TablaVentas[[#This Row],[Precio_unitario]]="","PENDIENTE",TablaVentas[[#This Row],[Unidades]]*TablaVentas[[#This Row],[Precio_unitario]]*(1-TablaVentas[[#This Row],[Descuento_pct]]))</f>
        <v>7148.0880000000006</v>
      </c>
      <c r="P1650">
        <f>IF(TablaVentas[[#This Row],[Costo_unitario]]="","PENDIENTE",TablaVentas[[#This Row],[Unidades]]*TablaVentas[[#This Row],[Costo_unitario]])</f>
        <v>5079.43</v>
      </c>
      <c r="Q1650">
        <f>IF(OR(TablaVentas[[#This Row],[Ingreso_neto]]="PENDIENTE",TablaVentas[[#This Row],[Costo_total]]="PENDIENTE"),"PENDIENTE",TablaVentas[[#This Row],[Ingreso_neto]]-TablaVentas[[#This Row],[Costo_total]])</f>
        <v>2068.6580000000004</v>
      </c>
    </row>
    <row r="1651" spans="1:17">
      <c r="A1651" t="s">
        <v>1096</v>
      </c>
      <c r="B1651">
        <v>1</v>
      </c>
      <c r="C1651" s="3">
        <v>46090</v>
      </c>
      <c r="D1651" t="s">
        <v>833</v>
      </c>
      <c r="E1651" t="s">
        <v>152</v>
      </c>
      <c r="F1651" t="s">
        <v>56</v>
      </c>
      <c r="G1651" t="s">
        <v>50</v>
      </c>
      <c r="H1651" t="s">
        <v>129</v>
      </c>
      <c r="I1651">
        <v>1</v>
      </c>
      <c r="J1651" s="4">
        <v>2857.67</v>
      </c>
      <c r="K1651" s="5">
        <v>0.05</v>
      </c>
      <c r="L1651" s="4">
        <v>1962.3</v>
      </c>
      <c r="M1651" t="s">
        <v>42</v>
      </c>
      <c r="N1651" t="s">
        <v>43</v>
      </c>
      <c r="O1651">
        <f>IF(TablaVentas[[#This Row],[Precio_unitario]]="","PENDIENTE",TablaVentas[[#This Row],[Unidades]]*TablaVentas[[#This Row],[Precio_unitario]]*(1-TablaVentas[[#This Row],[Descuento_pct]]))</f>
        <v>2714.7865000000002</v>
      </c>
      <c r="P1651">
        <f>IF(TablaVentas[[#This Row],[Costo_unitario]]="","PENDIENTE",TablaVentas[[#This Row],[Unidades]]*TablaVentas[[#This Row],[Costo_unitario]])</f>
        <v>1962.3</v>
      </c>
      <c r="Q1651">
        <f>IF(OR(TablaVentas[[#This Row],[Ingreso_neto]]="PENDIENTE",TablaVentas[[#This Row],[Costo_total]]="PENDIENTE"),"PENDIENTE",TablaVentas[[#This Row],[Ingreso_neto]]-TablaVentas[[#This Row],[Costo_total]])</f>
        <v>752.48650000000021</v>
      </c>
    </row>
    <row r="1652" spans="1:17">
      <c r="A1652" t="s">
        <v>1096</v>
      </c>
      <c r="B1652">
        <v>2</v>
      </c>
      <c r="C1652" s="3">
        <v>46090</v>
      </c>
      <c r="D1652" t="s">
        <v>833</v>
      </c>
      <c r="E1652" t="s">
        <v>403</v>
      </c>
      <c r="F1652" t="s">
        <v>56</v>
      </c>
      <c r="G1652" t="s">
        <v>50</v>
      </c>
      <c r="H1652" t="s">
        <v>129</v>
      </c>
      <c r="I1652">
        <v>1</v>
      </c>
      <c r="J1652" s="4">
        <v>2649.92</v>
      </c>
      <c r="K1652" s="5">
        <v>0.2</v>
      </c>
      <c r="L1652" s="4">
        <v>1801.83</v>
      </c>
      <c r="M1652" t="s">
        <v>42</v>
      </c>
      <c r="N1652" t="s">
        <v>60</v>
      </c>
      <c r="O1652">
        <f>IF(TablaVentas[[#This Row],[Precio_unitario]]="","PENDIENTE",TablaVentas[[#This Row],[Unidades]]*TablaVentas[[#This Row],[Precio_unitario]]*(1-TablaVentas[[#This Row],[Descuento_pct]]))</f>
        <v>2119.9360000000001</v>
      </c>
      <c r="P1652">
        <f>IF(TablaVentas[[#This Row],[Costo_unitario]]="","PENDIENTE",TablaVentas[[#This Row],[Unidades]]*TablaVentas[[#This Row],[Costo_unitario]])</f>
        <v>1801.83</v>
      </c>
      <c r="Q1652">
        <f>IF(OR(TablaVentas[[#This Row],[Ingreso_neto]]="PENDIENTE",TablaVentas[[#This Row],[Costo_total]]="PENDIENTE"),"PENDIENTE",TablaVentas[[#This Row],[Ingreso_neto]]-TablaVentas[[#This Row],[Costo_total]])</f>
        <v>318.10600000000022</v>
      </c>
    </row>
    <row r="1653" spans="1:17">
      <c r="A1653" t="s">
        <v>1097</v>
      </c>
      <c r="B1653">
        <v>1</v>
      </c>
      <c r="C1653" s="3">
        <v>46122</v>
      </c>
      <c r="D1653" t="s">
        <v>761</v>
      </c>
      <c r="E1653" t="s">
        <v>61</v>
      </c>
      <c r="F1653" t="s">
        <v>66</v>
      </c>
      <c r="G1653" t="s">
        <v>50</v>
      </c>
      <c r="H1653" t="s">
        <v>51</v>
      </c>
      <c r="I1653">
        <v>2</v>
      </c>
      <c r="J1653" s="4">
        <v>4355.1899999999996</v>
      </c>
      <c r="K1653" s="5">
        <v>0.2</v>
      </c>
      <c r="L1653" s="4">
        <v>2554.06</v>
      </c>
      <c r="M1653" t="s">
        <v>42</v>
      </c>
      <c r="N1653" t="s">
        <v>52</v>
      </c>
      <c r="O1653">
        <f>IF(TablaVentas[[#This Row],[Precio_unitario]]="","PENDIENTE",TablaVentas[[#This Row],[Unidades]]*TablaVentas[[#This Row],[Precio_unitario]]*(1-TablaVentas[[#This Row],[Descuento_pct]]))</f>
        <v>6968.3040000000001</v>
      </c>
      <c r="P1653">
        <f>IF(TablaVentas[[#This Row],[Costo_unitario]]="","PENDIENTE",TablaVentas[[#This Row],[Unidades]]*TablaVentas[[#This Row],[Costo_unitario]])</f>
        <v>5108.12</v>
      </c>
      <c r="Q1653">
        <f>IF(OR(TablaVentas[[#This Row],[Ingreso_neto]]="PENDIENTE",TablaVentas[[#This Row],[Costo_total]]="PENDIENTE"),"PENDIENTE",TablaVentas[[#This Row],[Ingreso_neto]]-TablaVentas[[#This Row],[Costo_total]])</f>
        <v>1860.1840000000002</v>
      </c>
    </row>
    <row r="1654" spans="1:17">
      <c r="A1654" t="s">
        <v>1098</v>
      </c>
      <c r="B1654">
        <v>1</v>
      </c>
      <c r="C1654" s="3">
        <v>46117</v>
      </c>
      <c r="D1654" t="s">
        <v>622</v>
      </c>
      <c r="E1654" t="s">
        <v>378</v>
      </c>
      <c r="F1654" t="s">
        <v>56</v>
      </c>
      <c r="G1654" t="s">
        <v>40</v>
      </c>
      <c r="H1654" t="s">
        <v>67</v>
      </c>
      <c r="I1654">
        <v>1</v>
      </c>
      <c r="J1654" s="4">
        <v>3766.73</v>
      </c>
      <c r="K1654" s="5">
        <v>0</v>
      </c>
      <c r="L1654" s="4">
        <v>2864.64</v>
      </c>
      <c r="M1654" t="s">
        <v>116</v>
      </c>
      <c r="N1654" t="s">
        <v>60</v>
      </c>
      <c r="O1654">
        <f>IF(TablaVentas[[#This Row],[Precio_unitario]]="","PENDIENTE",TablaVentas[[#This Row],[Unidades]]*TablaVentas[[#This Row],[Precio_unitario]]*(1-TablaVentas[[#This Row],[Descuento_pct]]))</f>
        <v>3766.73</v>
      </c>
      <c r="P1654">
        <f>IF(TablaVentas[[#This Row],[Costo_unitario]]="","PENDIENTE",TablaVentas[[#This Row],[Unidades]]*TablaVentas[[#This Row],[Costo_unitario]])</f>
        <v>2864.64</v>
      </c>
      <c r="Q1654">
        <f>IF(OR(TablaVentas[[#This Row],[Ingreso_neto]]="PENDIENTE",TablaVentas[[#This Row],[Costo_total]]="PENDIENTE"),"PENDIENTE",TablaVentas[[#This Row],[Ingreso_neto]]-TablaVentas[[#This Row],[Costo_total]])</f>
        <v>902.09000000000015</v>
      </c>
    </row>
    <row r="1655" spans="1:17">
      <c r="A1655" t="s">
        <v>1099</v>
      </c>
      <c r="B1655">
        <v>1</v>
      </c>
      <c r="C1655" s="3">
        <v>46127</v>
      </c>
      <c r="D1655" t="s">
        <v>174</v>
      </c>
      <c r="E1655" t="s">
        <v>160</v>
      </c>
      <c r="F1655" t="s">
        <v>39</v>
      </c>
      <c r="G1655" t="s">
        <v>40</v>
      </c>
      <c r="H1655" t="s">
        <v>129</v>
      </c>
      <c r="I1655">
        <v>3</v>
      </c>
      <c r="J1655" s="4">
        <v>7251.64</v>
      </c>
      <c r="K1655" s="5">
        <v>0</v>
      </c>
      <c r="L1655" s="4">
        <v>4082.15</v>
      </c>
      <c r="M1655" t="s">
        <v>42</v>
      </c>
      <c r="N1655" t="s">
        <v>43</v>
      </c>
      <c r="O1655">
        <f>IF(TablaVentas[[#This Row],[Precio_unitario]]="","PENDIENTE",TablaVentas[[#This Row],[Unidades]]*TablaVentas[[#This Row],[Precio_unitario]]*(1-TablaVentas[[#This Row],[Descuento_pct]]))</f>
        <v>21754.920000000002</v>
      </c>
      <c r="P1655">
        <f>IF(TablaVentas[[#This Row],[Costo_unitario]]="","PENDIENTE",TablaVentas[[#This Row],[Unidades]]*TablaVentas[[#This Row],[Costo_unitario]])</f>
        <v>12246.45</v>
      </c>
      <c r="Q1655">
        <f>IF(OR(TablaVentas[[#This Row],[Ingreso_neto]]="PENDIENTE",TablaVentas[[#This Row],[Costo_total]]="PENDIENTE"),"PENDIENTE",TablaVentas[[#This Row],[Ingreso_neto]]-TablaVentas[[#This Row],[Costo_total]])</f>
        <v>9508.4700000000012</v>
      </c>
    </row>
    <row r="1656" spans="1:17">
      <c r="A1656" t="s">
        <v>1099</v>
      </c>
      <c r="B1656">
        <v>2</v>
      </c>
      <c r="C1656" s="3">
        <v>46127</v>
      </c>
      <c r="D1656" t="s">
        <v>174</v>
      </c>
      <c r="E1656" t="s">
        <v>113</v>
      </c>
      <c r="F1656" t="s">
        <v>39</v>
      </c>
      <c r="G1656" t="s">
        <v>40</v>
      </c>
      <c r="H1656" t="s">
        <v>129</v>
      </c>
      <c r="I1656">
        <v>1</v>
      </c>
      <c r="J1656" s="4">
        <v>3211.48</v>
      </c>
      <c r="K1656" s="5">
        <v>0.1</v>
      </c>
      <c r="L1656" s="4">
        <v>2196.34</v>
      </c>
      <c r="M1656" t="s">
        <v>42</v>
      </c>
      <c r="N1656" t="s">
        <v>45</v>
      </c>
      <c r="O1656">
        <f>IF(TablaVentas[[#This Row],[Precio_unitario]]="","PENDIENTE",TablaVentas[[#This Row],[Unidades]]*TablaVentas[[#This Row],[Precio_unitario]]*(1-TablaVentas[[#This Row],[Descuento_pct]]))</f>
        <v>2890.3319999999999</v>
      </c>
      <c r="P1656">
        <f>IF(TablaVentas[[#This Row],[Costo_unitario]]="","PENDIENTE",TablaVentas[[#This Row],[Unidades]]*TablaVentas[[#This Row],[Costo_unitario]])</f>
        <v>2196.34</v>
      </c>
      <c r="Q1656">
        <f>IF(OR(TablaVentas[[#This Row],[Ingreso_neto]]="PENDIENTE",TablaVentas[[#This Row],[Costo_total]]="PENDIENTE"),"PENDIENTE",TablaVentas[[#This Row],[Ingreso_neto]]-TablaVentas[[#This Row],[Costo_total]])</f>
        <v>693.99199999999973</v>
      </c>
    </row>
    <row r="1657" spans="1:17">
      <c r="A1657" t="s">
        <v>1100</v>
      </c>
      <c r="B1657">
        <v>1</v>
      </c>
      <c r="C1657" s="3">
        <v>46166</v>
      </c>
      <c r="D1657" t="s">
        <v>661</v>
      </c>
      <c r="E1657" t="s">
        <v>78</v>
      </c>
      <c r="F1657" t="s">
        <v>56</v>
      </c>
      <c r="G1657" t="s">
        <v>57</v>
      </c>
      <c r="H1657" t="s">
        <v>41</v>
      </c>
      <c r="I1657">
        <v>3</v>
      </c>
      <c r="J1657" s="4">
        <v>9031.17</v>
      </c>
      <c r="K1657" s="5">
        <v>0</v>
      </c>
      <c r="L1657" s="4">
        <v>5033.47</v>
      </c>
      <c r="M1657" t="s">
        <v>42</v>
      </c>
      <c r="N1657" t="s">
        <v>60</v>
      </c>
      <c r="O1657">
        <f>IF(TablaVentas[[#This Row],[Precio_unitario]]="","PENDIENTE",TablaVentas[[#This Row],[Unidades]]*TablaVentas[[#This Row],[Precio_unitario]]*(1-TablaVentas[[#This Row],[Descuento_pct]]))</f>
        <v>27093.510000000002</v>
      </c>
      <c r="P1657">
        <f>IF(TablaVentas[[#This Row],[Costo_unitario]]="","PENDIENTE",TablaVentas[[#This Row],[Unidades]]*TablaVentas[[#This Row],[Costo_unitario]])</f>
        <v>15100.41</v>
      </c>
      <c r="Q1657">
        <f>IF(OR(TablaVentas[[#This Row],[Ingreso_neto]]="PENDIENTE",TablaVentas[[#This Row],[Costo_total]]="PENDIENTE"),"PENDIENTE",TablaVentas[[#This Row],[Ingreso_neto]]-TablaVentas[[#This Row],[Costo_total]])</f>
        <v>11993.100000000002</v>
      </c>
    </row>
    <row r="1658" spans="1:17">
      <c r="A1658" t="s">
        <v>1100</v>
      </c>
      <c r="B1658">
        <v>2</v>
      </c>
      <c r="C1658" s="3">
        <v>46166</v>
      </c>
      <c r="D1658" t="s">
        <v>661</v>
      </c>
      <c r="E1658" t="s">
        <v>326</v>
      </c>
      <c r="F1658" t="s">
        <v>56</v>
      </c>
      <c r="G1658" t="s">
        <v>57</v>
      </c>
      <c r="H1658" t="s">
        <v>41</v>
      </c>
      <c r="I1658">
        <v>3</v>
      </c>
      <c r="J1658" s="4">
        <v>7472.72</v>
      </c>
      <c r="K1658" s="5">
        <v>0</v>
      </c>
      <c r="L1658" s="4">
        <v>4044.16</v>
      </c>
      <c r="M1658" t="s">
        <v>42</v>
      </c>
      <c r="N1658" t="s">
        <v>52</v>
      </c>
      <c r="O1658">
        <f>IF(TablaVentas[[#This Row],[Precio_unitario]]="","PENDIENTE",TablaVentas[[#This Row],[Unidades]]*TablaVentas[[#This Row],[Precio_unitario]]*(1-TablaVentas[[#This Row],[Descuento_pct]]))</f>
        <v>22418.16</v>
      </c>
      <c r="P1658">
        <f>IF(TablaVentas[[#This Row],[Costo_unitario]]="","PENDIENTE",TablaVentas[[#This Row],[Unidades]]*TablaVentas[[#This Row],[Costo_unitario]])</f>
        <v>12132.48</v>
      </c>
      <c r="Q1658">
        <f>IF(OR(TablaVentas[[#This Row],[Ingreso_neto]]="PENDIENTE",TablaVentas[[#This Row],[Costo_total]]="PENDIENTE"),"PENDIENTE",TablaVentas[[#This Row],[Ingreso_neto]]-TablaVentas[[#This Row],[Costo_total]])</f>
        <v>10285.68</v>
      </c>
    </row>
    <row r="1659" spans="1:17">
      <c r="A1659" t="s">
        <v>1100</v>
      </c>
      <c r="B1659">
        <v>3</v>
      </c>
      <c r="C1659" s="3">
        <v>46166</v>
      </c>
      <c r="D1659" t="s">
        <v>661</v>
      </c>
      <c r="E1659" t="s">
        <v>133</v>
      </c>
      <c r="F1659" t="s">
        <v>56</v>
      </c>
      <c r="G1659" t="s">
        <v>57</v>
      </c>
      <c r="H1659" t="s">
        <v>41</v>
      </c>
      <c r="I1659">
        <v>1</v>
      </c>
      <c r="J1659" s="4">
        <v>7557.56</v>
      </c>
      <c r="K1659" s="5">
        <v>0.2</v>
      </c>
      <c r="L1659" s="4">
        <v>4061.34</v>
      </c>
      <c r="M1659" t="s">
        <v>42</v>
      </c>
      <c r="N1659" t="s">
        <v>45</v>
      </c>
      <c r="O1659">
        <f>IF(TablaVentas[[#This Row],[Precio_unitario]]="","PENDIENTE",TablaVentas[[#This Row],[Unidades]]*TablaVentas[[#This Row],[Precio_unitario]]*(1-TablaVentas[[#This Row],[Descuento_pct]]))</f>
        <v>6046.0480000000007</v>
      </c>
      <c r="P1659">
        <f>IF(TablaVentas[[#This Row],[Costo_unitario]]="","PENDIENTE",TablaVentas[[#This Row],[Unidades]]*TablaVentas[[#This Row],[Costo_unitario]])</f>
        <v>4061.34</v>
      </c>
      <c r="Q1659">
        <f>IF(OR(TablaVentas[[#This Row],[Ingreso_neto]]="PENDIENTE",TablaVentas[[#This Row],[Costo_total]]="PENDIENTE"),"PENDIENTE",TablaVentas[[#This Row],[Ingreso_neto]]-TablaVentas[[#This Row],[Costo_total]])</f>
        <v>1984.7080000000005</v>
      </c>
    </row>
    <row r="1660" spans="1:17">
      <c r="A1660" t="s">
        <v>1101</v>
      </c>
      <c r="B1660">
        <v>1</v>
      </c>
      <c r="C1660" s="3">
        <v>46110</v>
      </c>
      <c r="D1660" t="s">
        <v>1102</v>
      </c>
      <c r="E1660" t="s">
        <v>167</v>
      </c>
      <c r="F1660" t="s">
        <v>66</v>
      </c>
      <c r="G1660" t="s">
        <v>57</v>
      </c>
      <c r="H1660" t="s">
        <v>67</v>
      </c>
      <c r="I1660">
        <v>5</v>
      </c>
      <c r="J1660" s="4">
        <v>17471.12</v>
      </c>
      <c r="K1660" s="5">
        <v>0</v>
      </c>
      <c r="L1660" s="4">
        <v>8704.4</v>
      </c>
      <c r="M1660" t="s">
        <v>42</v>
      </c>
      <c r="N1660" t="s">
        <v>45</v>
      </c>
      <c r="O1660">
        <f>IF(TablaVentas[[#This Row],[Precio_unitario]]="","PENDIENTE",TablaVentas[[#This Row],[Unidades]]*TablaVentas[[#This Row],[Precio_unitario]]*(1-TablaVentas[[#This Row],[Descuento_pct]]))</f>
        <v>87355.599999999991</v>
      </c>
      <c r="P1660">
        <f>IF(TablaVentas[[#This Row],[Costo_unitario]]="","PENDIENTE",TablaVentas[[#This Row],[Unidades]]*TablaVentas[[#This Row],[Costo_unitario]])</f>
        <v>43522</v>
      </c>
      <c r="Q1660">
        <f>IF(OR(TablaVentas[[#This Row],[Ingreso_neto]]="PENDIENTE",TablaVentas[[#This Row],[Costo_total]]="PENDIENTE"),"PENDIENTE",TablaVentas[[#This Row],[Ingreso_neto]]-TablaVentas[[#This Row],[Costo_total]])</f>
        <v>43833.599999999991</v>
      </c>
    </row>
    <row r="1661" spans="1:17">
      <c r="A1661" t="s">
        <v>1103</v>
      </c>
      <c r="B1661">
        <v>1</v>
      </c>
      <c r="C1661" s="3">
        <v>46216</v>
      </c>
      <c r="D1661" t="s">
        <v>369</v>
      </c>
      <c r="E1661" t="s">
        <v>206</v>
      </c>
      <c r="F1661" t="s">
        <v>66</v>
      </c>
      <c r="G1661" t="s">
        <v>57</v>
      </c>
      <c r="H1661" t="s">
        <v>82</v>
      </c>
      <c r="I1661">
        <v>1</v>
      </c>
      <c r="J1661" s="4">
        <v>5311.82</v>
      </c>
      <c r="K1661" s="5">
        <v>0</v>
      </c>
      <c r="L1661" s="4">
        <v>4008.77</v>
      </c>
      <c r="M1661" t="s">
        <v>116</v>
      </c>
      <c r="N1661" t="s">
        <v>43</v>
      </c>
      <c r="O1661">
        <f>IF(TablaVentas[[#This Row],[Precio_unitario]]="","PENDIENTE",TablaVentas[[#This Row],[Unidades]]*TablaVentas[[#This Row],[Precio_unitario]]*(1-TablaVentas[[#This Row],[Descuento_pct]]))</f>
        <v>5311.82</v>
      </c>
      <c r="P1661">
        <f>IF(TablaVentas[[#This Row],[Costo_unitario]]="","PENDIENTE",TablaVentas[[#This Row],[Unidades]]*TablaVentas[[#This Row],[Costo_unitario]])</f>
        <v>4008.77</v>
      </c>
      <c r="Q1661">
        <f>IF(OR(TablaVentas[[#This Row],[Ingreso_neto]]="PENDIENTE",TablaVentas[[#This Row],[Costo_total]]="PENDIENTE"),"PENDIENTE",TablaVentas[[#This Row],[Ingreso_neto]]-TablaVentas[[#This Row],[Costo_total]])</f>
        <v>1303.0499999999997</v>
      </c>
    </row>
    <row r="1662" spans="1:17">
      <c r="A1662" t="s">
        <v>1103</v>
      </c>
      <c r="B1662">
        <v>2</v>
      </c>
      <c r="C1662" s="3">
        <v>46216</v>
      </c>
      <c r="D1662" t="s">
        <v>369</v>
      </c>
      <c r="E1662" t="s">
        <v>256</v>
      </c>
      <c r="F1662" t="s">
        <v>66</v>
      </c>
      <c r="G1662" t="s">
        <v>57</v>
      </c>
      <c r="H1662" t="s">
        <v>82</v>
      </c>
      <c r="I1662">
        <v>4</v>
      </c>
      <c r="J1662" s="4">
        <v>19914.54</v>
      </c>
      <c r="K1662" s="5">
        <v>0</v>
      </c>
      <c r="L1662" s="4">
        <v>11666.57</v>
      </c>
      <c r="M1662" t="s">
        <v>42</v>
      </c>
      <c r="N1662" t="s">
        <v>43</v>
      </c>
      <c r="O1662">
        <f>IF(TablaVentas[[#This Row],[Precio_unitario]]="","PENDIENTE",TablaVentas[[#This Row],[Unidades]]*TablaVentas[[#This Row],[Precio_unitario]]*(1-TablaVentas[[#This Row],[Descuento_pct]]))</f>
        <v>79658.16</v>
      </c>
      <c r="P1662">
        <f>IF(TablaVentas[[#This Row],[Costo_unitario]]="","PENDIENTE",TablaVentas[[#This Row],[Unidades]]*TablaVentas[[#This Row],[Costo_unitario]])</f>
        <v>46666.28</v>
      </c>
      <c r="Q1662">
        <f>IF(OR(TablaVentas[[#This Row],[Ingreso_neto]]="PENDIENTE",TablaVentas[[#This Row],[Costo_total]]="PENDIENTE"),"PENDIENTE",TablaVentas[[#This Row],[Ingreso_neto]]-TablaVentas[[#This Row],[Costo_total]])</f>
        <v>32991.880000000005</v>
      </c>
    </row>
    <row r="1663" spans="1:17">
      <c r="A1663" t="s">
        <v>1103</v>
      </c>
      <c r="B1663">
        <v>3</v>
      </c>
      <c r="C1663" s="3">
        <v>46216</v>
      </c>
      <c r="D1663" t="s">
        <v>369</v>
      </c>
      <c r="E1663" t="s">
        <v>143</v>
      </c>
      <c r="F1663" t="s">
        <v>66</v>
      </c>
      <c r="G1663" t="s">
        <v>57</v>
      </c>
      <c r="H1663" t="s">
        <v>82</v>
      </c>
      <c r="I1663">
        <v>3</v>
      </c>
      <c r="J1663" s="4">
        <v>8874.36</v>
      </c>
      <c r="K1663" s="5">
        <v>0.15</v>
      </c>
      <c r="L1663" s="4">
        <v>6815.42</v>
      </c>
      <c r="M1663" t="s">
        <v>42</v>
      </c>
      <c r="N1663" t="s">
        <v>45</v>
      </c>
      <c r="O1663">
        <f>IF(TablaVentas[[#This Row],[Precio_unitario]]="","PENDIENTE",TablaVentas[[#This Row],[Unidades]]*TablaVentas[[#This Row],[Precio_unitario]]*(1-TablaVentas[[#This Row],[Descuento_pct]]))</f>
        <v>22629.618000000002</v>
      </c>
      <c r="P1663">
        <f>IF(TablaVentas[[#This Row],[Costo_unitario]]="","PENDIENTE",TablaVentas[[#This Row],[Unidades]]*TablaVentas[[#This Row],[Costo_unitario]])</f>
        <v>20446.260000000002</v>
      </c>
      <c r="Q1663">
        <f>IF(OR(TablaVentas[[#This Row],[Ingreso_neto]]="PENDIENTE",TablaVentas[[#This Row],[Costo_total]]="PENDIENTE"),"PENDIENTE",TablaVentas[[#This Row],[Ingreso_neto]]-TablaVentas[[#This Row],[Costo_total]])</f>
        <v>2183.3580000000002</v>
      </c>
    </row>
    <row r="1664" spans="1:17">
      <c r="A1664" t="s">
        <v>1103</v>
      </c>
      <c r="B1664">
        <v>4</v>
      </c>
      <c r="C1664" s="3">
        <v>46216</v>
      </c>
      <c r="D1664" t="s">
        <v>369</v>
      </c>
      <c r="E1664" t="s">
        <v>193</v>
      </c>
      <c r="F1664" t="s">
        <v>66</v>
      </c>
      <c r="G1664" t="s">
        <v>57</v>
      </c>
      <c r="H1664" t="s">
        <v>82</v>
      </c>
      <c r="I1664">
        <v>1</v>
      </c>
      <c r="J1664" s="4">
        <v>11983.31</v>
      </c>
      <c r="K1664" s="5">
        <v>0.2</v>
      </c>
      <c r="L1664" s="4">
        <v>5811.72</v>
      </c>
      <c r="M1664" t="s">
        <v>42</v>
      </c>
      <c r="N1664" t="s">
        <v>52</v>
      </c>
      <c r="O1664">
        <f>IF(TablaVentas[[#This Row],[Precio_unitario]]="","PENDIENTE",TablaVentas[[#This Row],[Unidades]]*TablaVentas[[#This Row],[Precio_unitario]]*(1-TablaVentas[[#This Row],[Descuento_pct]]))</f>
        <v>9586.6479999999992</v>
      </c>
      <c r="P1664">
        <f>IF(TablaVentas[[#This Row],[Costo_unitario]]="","PENDIENTE",TablaVentas[[#This Row],[Unidades]]*TablaVentas[[#This Row],[Costo_unitario]])</f>
        <v>5811.72</v>
      </c>
      <c r="Q1664">
        <f>IF(OR(TablaVentas[[#This Row],[Ingreso_neto]]="PENDIENTE",TablaVentas[[#This Row],[Costo_total]]="PENDIENTE"),"PENDIENTE",TablaVentas[[#This Row],[Ingreso_neto]]-TablaVentas[[#This Row],[Costo_total]])</f>
        <v>3774.927999999999</v>
      </c>
    </row>
    <row r="1665" spans="1:17">
      <c r="A1665" t="s">
        <v>1104</v>
      </c>
      <c r="B1665">
        <v>1</v>
      </c>
      <c r="C1665" s="3">
        <v>46059</v>
      </c>
      <c r="D1665" t="s">
        <v>235</v>
      </c>
      <c r="E1665" t="s">
        <v>367</v>
      </c>
      <c r="F1665" t="s">
        <v>39</v>
      </c>
      <c r="G1665" t="s">
        <v>40</v>
      </c>
      <c r="H1665" t="s">
        <v>73</v>
      </c>
      <c r="I1665">
        <v>1</v>
      </c>
      <c r="J1665" s="4">
        <v>9859.68</v>
      </c>
      <c r="K1665" s="5">
        <v>0</v>
      </c>
      <c r="L1665" s="4">
        <v>5079.43</v>
      </c>
      <c r="M1665" t="s">
        <v>42</v>
      </c>
      <c r="N1665" t="s">
        <v>60</v>
      </c>
      <c r="O1665">
        <f>IF(TablaVentas[[#This Row],[Precio_unitario]]="","PENDIENTE",TablaVentas[[#This Row],[Unidades]]*TablaVentas[[#This Row],[Precio_unitario]]*(1-TablaVentas[[#This Row],[Descuento_pct]]))</f>
        <v>9859.68</v>
      </c>
      <c r="P1665">
        <f>IF(TablaVentas[[#This Row],[Costo_unitario]]="","PENDIENTE",TablaVentas[[#This Row],[Unidades]]*TablaVentas[[#This Row],[Costo_unitario]])</f>
        <v>5079.43</v>
      </c>
      <c r="Q1665">
        <f>IF(OR(TablaVentas[[#This Row],[Ingreso_neto]]="PENDIENTE",TablaVentas[[#This Row],[Costo_total]]="PENDIENTE"),"PENDIENTE",TablaVentas[[#This Row],[Ingreso_neto]]-TablaVentas[[#This Row],[Costo_total]])</f>
        <v>4780.25</v>
      </c>
    </row>
    <row r="1666" spans="1:17">
      <c r="A1666" t="s">
        <v>1105</v>
      </c>
      <c r="B1666">
        <v>1</v>
      </c>
      <c r="C1666" s="3">
        <v>46114</v>
      </c>
      <c r="D1666" t="s">
        <v>189</v>
      </c>
      <c r="E1666" t="s">
        <v>151</v>
      </c>
      <c r="F1666" t="s">
        <v>39</v>
      </c>
      <c r="G1666" t="s">
        <v>57</v>
      </c>
      <c r="H1666" t="s">
        <v>67</v>
      </c>
      <c r="I1666">
        <v>2</v>
      </c>
      <c r="J1666" s="4">
        <v>17334.93</v>
      </c>
      <c r="K1666" s="5">
        <v>0.1</v>
      </c>
      <c r="L1666" s="4">
        <v>8963.23</v>
      </c>
      <c r="M1666" t="s">
        <v>42</v>
      </c>
      <c r="N1666" t="s">
        <v>43</v>
      </c>
      <c r="O1666">
        <f>IF(TablaVentas[[#This Row],[Precio_unitario]]="","PENDIENTE",TablaVentas[[#This Row],[Unidades]]*TablaVentas[[#This Row],[Precio_unitario]]*(1-TablaVentas[[#This Row],[Descuento_pct]]))</f>
        <v>31202.874</v>
      </c>
      <c r="P1666">
        <f>IF(TablaVentas[[#This Row],[Costo_unitario]]="","PENDIENTE",TablaVentas[[#This Row],[Unidades]]*TablaVentas[[#This Row],[Costo_unitario]])</f>
        <v>17926.46</v>
      </c>
      <c r="Q1666">
        <f>IF(OR(TablaVentas[[#This Row],[Ingreso_neto]]="PENDIENTE",TablaVentas[[#This Row],[Costo_total]]="PENDIENTE"),"PENDIENTE",TablaVentas[[#This Row],[Ingreso_neto]]-TablaVentas[[#This Row],[Costo_total]])</f>
        <v>13276.414000000001</v>
      </c>
    </row>
    <row r="1667" spans="1:17">
      <c r="A1667" t="s">
        <v>1105</v>
      </c>
      <c r="B1667">
        <v>2</v>
      </c>
      <c r="C1667" s="3">
        <v>46114</v>
      </c>
      <c r="D1667" t="s">
        <v>189</v>
      </c>
      <c r="E1667" t="s">
        <v>76</v>
      </c>
      <c r="F1667" t="s">
        <v>39</v>
      </c>
      <c r="G1667" t="s">
        <v>57</v>
      </c>
      <c r="H1667" t="s">
        <v>67</v>
      </c>
      <c r="I1667">
        <v>2</v>
      </c>
      <c r="J1667" s="4">
        <v>14834.06</v>
      </c>
      <c r="K1667" s="5">
        <v>0.1</v>
      </c>
      <c r="L1667" s="4">
        <v>7748.44</v>
      </c>
      <c r="M1667" t="s">
        <v>42</v>
      </c>
      <c r="N1667" t="s">
        <v>43</v>
      </c>
      <c r="O1667">
        <f>IF(TablaVentas[[#This Row],[Precio_unitario]]="","PENDIENTE",TablaVentas[[#This Row],[Unidades]]*TablaVentas[[#This Row],[Precio_unitario]]*(1-TablaVentas[[#This Row],[Descuento_pct]]))</f>
        <v>26701.308000000001</v>
      </c>
      <c r="P1667">
        <f>IF(TablaVentas[[#This Row],[Costo_unitario]]="","PENDIENTE",TablaVentas[[#This Row],[Unidades]]*TablaVentas[[#This Row],[Costo_unitario]])</f>
        <v>15496.88</v>
      </c>
      <c r="Q1667">
        <f>IF(OR(TablaVentas[[#This Row],[Ingreso_neto]]="PENDIENTE",TablaVentas[[#This Row],[Costo_total]]="PENDIENTE"),"PENDIENTE",TablaVentas[[#This Row],[Ingreso_neto]]-TablaVentas[[#This Row],[Costo_total]])</f>
        <v>11204.428000000002</v>
      </c>
    </row>
    <row r="1668" spans="1:17">
      <c r="A1668" t="s">
        <v>1105</v>
      </c>
      <c r="B1668">
        <v>3</v>
      </c>
      <c r="C1668" s="3">
        <v>46114</v>
      </c>
      <c r="D1668" t="s">
        <v>189</v>
      </c>
      <c r="E1668" t="s">
        <v>114</v>
      </c>
      <c r="F1668" t="s">
        <v>39</v>
      </c>
      <c r="G1668" t="s">
        <v>57</v>
      </c>
      <c r="H1668" t="s">
        <v>67</v>
      </c>
      <c r="I1668">
        <v>5</v>
      </c>
      <c r="J1668" s="4">
        <v>14280.76</v>
      </c>
      <c r="K1668" s="5">
        <v>0.15</v>
      </c>
      <c r="L1668" s="4">
        <v>8239.48</v>
      </c>
      <c r="M1668" t="s">
        <v>42</v>
      </c>
      <c r="N1668" t="s">
        <v>60</v>
      </c>
      <c r="O1668">
        <f>IF(TablaVentas[[#This Row],[Precio_unitario]]="","PENDIENTE",TablaVentas[[#This Row],[Unidades]]*TablaVentas[[#This Row],[Precio_unitario]]*(1-TablaVentas[[#This Row],[Descuento_pct]]))</f>
        <v>60693.23</v>
      </c>
      <c r="P1668">
        <f>IF(TablaVentas[[#This Row],[Costo_unitario]]="","PENDIENTE",TablaVentas[[#This Row],[Unidades]]*TablaVentas[[#This Row],[Costo_unitario]])</f>
        <v>41197.399999999994</v>
      </c>
      <c r="Q1668">
        <f>IF(OR(TablaVentas[[#This Row],[Ingreso_neto]]="PENDIENTE",TablaVentas[[#This Row],[Costo_total]]="PENDIENTE"),"PENDIENTE",TablaVentas[[#This Row],[Ingreso_neto]]-TablaVentas[[#This Row],[Costo_total]])</f>
        <v>19495.830000000009</v>
      </c>
    </row>
    <row r="1669" spans="1:17">
      <c r="A1669" t="s">
        <v>1105</v>
      </c>
      <c r="B1669">
        <v>4</v>
      </c>
      <c r="C1669" s="3">
        <v>46114</v>
      </c>
      <c r="D1669" t="s">
        <v>189</v>
      </c>
      <c r="E1669" t="s">
        <v>227</v>
      </c>
      <c r="F1669" t="s">
        <v>39</v>
      </c>
      <c r="G1669" t="s">
        <v>57</v>
      </c>
      <c r="H1669" t="s">
        <v>67</v>
      </c>
      <c r="I1669">
        <v>3</v>
      </c>
      <c r="J1669" s="4">
        <v>8163.2</v>
      </c>
      <c r="K1669" s="5">
        <v>0</v>
      </c>
      <c r="L1669" s="4">
        <v>6255.13</v>
      </c>
      <c r="M1669" t="s">
        <v>116</v>
      </c>
      <c r="N1669" t="s">
        <v>45</v>
      </c>
      <c r="O1669">
        <f>IF(TablaVentas[[#This Row],[Precio_unitario]]="","PENDIENTE",TablaVentas[[#This Row],[Unidades]]*TablaVentas[[#This Row],[Precio_unitario]]*(1-TablaVentas[[#This Row],[Descuento_pct]]))</f>
        <v>24489.599999999999</v>
      </c>
      <c r="P1669">
        <f>IF(TablaVentas[[#This Row],[Costo_unitario]]="","PENDIENTE",TablaVentas[[#This Row],[Unidades]]*TablaVentas[[#This Row],[Costo_unitario]])</f>
        <v>18765.39</v>
      </c>
      <c r="Q1669">
        <f>IF(OR(TablaVentas[[#This Row],[Ingreso_neto]]="PENDIENTE",TablaVentas[[#This Row],[Costo_total]]="PENDIENTE"),"PENDIENTE",TablaVentas[[#This Row],[Ingreso_neto]]-TablaVentas[[#This Row],[Costo_total]])</f>
        <v>5724.2099999999991</v>
      </c>
    </row>
    <row r="1670" spans="1:17">
      <c r="A1670" t="s">
        <v>1106</v>
      </c>
      <c r="B1670">
        <v>1</v>
      </c>
      <c r="C1670" s="3">
        <v>46203</v>
      </c>
      <c r="D1670" t="s">
        <v>770</v>
      </c>
      <c r="E1670" t="s">
        <v>94</v>
      </c>
      <c r="F1670" t="s">
        <v>39</v>
      </c>
      <c r="G1670" t="s">
        <v>50</v>
      </c>
      <c r="H1670" t="s">
        <v>73</v>
      </c>
      <c r="I1670">
        <v>12</v>
      </c>
      <c r="J1670" s="4">
        <v>7056.18</v>
      </c>
      <c r="K1670" s="5">
        <v>0.2</v>
      </c>
      <c r="L1670" s="4">
        <v>4538.0600000000004</v>
      </c>
      <c r="M1670" t="s">
        <v>42</v>
      </c>
      <c r="N1670" t="s">
        <v>52</v>
      </c>
      <c r="O1670">
        <f>IF(TablaVentas[[#This Row],[Precio_unitario]]="","PENDIENTE",TablaVentas[[#This Row],[Unidades]]*TablaVentas[[#This Row],[Precio_unitario]]*(1-TablaVentas[[#This Row],[Descuento_pct]]))</f>
        <v>67739.328000000009</v>
      </c>
      <c r="P1670">
        <f>IF(TablaVentas[[#This Row],[Costo_unitario]]="","PENDIENTE",TablaVentas[[#This Row],[Unidades]]*TablaVentas[[#This Row],[Costo_unitario]])</f>
        <v>54456.72</v>
      </c>
      <c r="Q1670">
        <f>IF(OR(TablaVentas[[#This Row],[Ingreso_neto]]="PENDIENTE",TablaVentas[[#This Row],[Costo_total]]="PENDIENTE"),"PENDIENTE",TablaVentas[[#This Row],[Ingreso_neto]]-TablaVentas[[#This Row],[Costo_total]])</f>
        <v>13282.608000000007</v>
      </c>
    </row>
    <row r="1671" spans="1:17">
      <c r="A1671" t="s">
        <v>1106</v>
      </c>
      <c r="B1671">
        <v>2</v>
      </c>
      <c r="C1671" s="3">
        <v>46203</v>
      </c>
      <c r="D1671" t="s">
        <v>770</v>
      </c>
      <c r="E1671" t="s">
        <v>140</v>
      </c>
      <c r="F1671" t="s">
        <v>39</v>
      </c>
      <c r="G1671" t="s">
        <v>50</v>
      </c>
      <c r="H1671" t="s">
        <v>73</v>
      </c>
      <c r="I1671">
        <v>1</v>
      </c>
      <c r="J1671" s="4">
        <v>2944.31</v>
      </c>
      <c r="K1671" s="5">
        <v>0</v>
      </c>
      <c r="L1671" s="4">
        <v>2427.63</v>
      </c>
      <c r="M1671" t="s">
        <v>42</v>
      </c>
      <c r="N1671" t="s">
        <v>45</v>
      </c>
      <c r="O1671">
        <f>IF(TablaVentas[[#This Row],[Precio_unitario]]="","PENDIENTE",TablaVentas[[#This Row],[Unidades]]*TablaVentas[[#This Row],[Precio_unitario]]*(1-TablaVentas[[#This Row],[Descuento_pct]]))</f>
        <v>2944.31</v>
      </c>
      <c r="P1671">
        <f>IF(TablaVentas[[#This Row],[Costo_unitario]]="","PENDIENTE",TablaVentas[[#This Row],[Unidades]]*TablaVentas[[#This Row],[Costo_unitario]])</f>
        <v>2427.63</v>
      </c>
      <c r="Q1671">
        <f>IF(OR(TablaVentas[[#This Row],[Ingreso_neto]]="PENDIENTE",TablaVentas[[#This Row],[Costo_total]]="PENDIENTE"),"PENDIENTE",TablaVentas[[#This Row],[Ingreso_neto]]-TablaVentas[[#This Row],[Costo_total]])</f>
        <v>516.67999999999984</v>
      </c>
    </row>
    <row r="1672" spans="1:17">
      <c r="A1672" t="s">
        <v>1106</v>
      </c>
      <c r="B1672">
        <v>3</v>
      </c>
      <c r="C1672" s="3">
        <v>46203</v>
      </c>
      <c r="D1672" t="s">
        <v>770</v>
      </c>
      <c r="E1672" t="s">
        <v>155</v>
      </c>
      <c r="F1672" t="s">
        <v>39</v>
      </c>
      <c r="G1672" t="s">
        <v>50</v>
      </c>
      <c r="H1672" t="s">
        <v>73</v>
      </c>
      <c r="I1672">
        <v>2</v>
      </c>
      <c r="J1672" s="4">
        <v>723.35</v>
      </c>
      <c r="K1672" s="5">
        <v>0</v>
      </c>
      <c r="L1672" s="4">
        <v>397.1</v>
      </c>
      <c r="M1672" t="s">
        <v>42</v>
      </c>
      <c r="N1672" t="s">
        <v>60</v>
      </c>
      <c r="O1672">
        <f>IF(TablaVentas[[#This Row],[Precio_unitario]]="","PENDIENTE",TablaVentas[[#This Row],[Unidades]]*TablaVentas[[#This Row],[Precio_unitario]]*(1-TablaVentas[[#This Row],[Descuento_pct]]))</f>
        <v>1446.7</v>
      </c>
      <c r="P1672">
        <f>IF(TablaVentas[[#This Row],[Costo_unitario]]="","PENDIENTE",TablaVentas[[#This Row],[Unidades]]*TablaVentas[[#This Row],[Costo_unitario]])</f>
        <v>794.2</v>
      </c>
      <c r="Q1672">
        <f>IF(OR(TablaVentas[[#This Row],[Ingreso_neto]]="PENDIENTE",TablaVentas[[#This Row],[Costo_total]]="PENDIENTE"),"PENDIENTE",TablaVentas[[#This Row],[Ingreso_neto]]-TablaVentas[[#This Row],[Costo_total]])</f>
        <v>652.5</v>
      </c>
    </row>
    <row r="1673" spans="1:17">
      <c r="A1673" t="s">
        <v>1106</v>
      </c>
      <c r="B1673">
        <v>4</v>
      </c>
      <c r="C1673" s="3">
        <v>46203</v>
      </c>
      <c r="D1673" t="s">
        <v>770</v>
      </c>
      <c r="E1673" t="s">
        <v>120</v>
      </c>
      <c r="F1673" t="s">
        <v>39</v>
      </c>
      <c r="G1673" t="s">
        <v>50</v>
      </c>
      <c r="H1673" t="s">
        <v>73</v>
      </c>
      <c r="I1673">
        <v>8</v>
      </c>
      <c r="J1673" s="4">
        <v>13130.92</v>
      </c>
      <c r="K1673" s="5">
        <v>0.05</v>
      </c>
      <c r="L1673" s="4">
        <v>7975.26</v>
      </c>
      <c r="M1673" t="s">
        <v>42</v>
      </c>
      <c r="N1673" t="s">
        <v>43</v>
      </c>
      <c r="O1673">
        <f>IF(TablaVentas[[#This Row],[Precio_unitario]]="","PENDIENTE",TablaVentas[[#This Row],[Unidades]]*TablaVentas[[#This Row],[Precio_unitario]]*(1-TablaVentas[[#This Row],[Descuento_pct]]))</f>
        <v>99794.991999999998</v>
      </c>
      <c r="P1673">
        <f>IF(TablaVentas[[#This Row],[Costo_unitario]]="","PENDIENTE",TablaVentas[[#This Row],[Unidades]]*TablaVentas[[#This Row],[Costo_unitario]])</f>
        <v>63802.080000000002</v>
      </c>
      <c r="Q1673">
        <f>IF(OR(TablaVentas[[#This Row],[Ingreso_neto]]="PENDIENTE",TablaVentas[[#This Row],[Costo_total]]="PENDIENTE"),"PENDIENTE",TablaVentas[[#This Row],[Ingreso_neto]]-TablaVentas[[#This Row],[Costo_total]])</f>
        <v>35992.911999999997</v>
      </c>
    </row>
    <row r="1674" spans="1:17">
      <c r="A1674" t="s">
        <v>1106</v>
      </c>
      <c r="B1674">
        <v>5</v>
      </c>
      <c r="C1674" s="3">
        <v>46203</v>
      </c>
      <c r="D1674" t="s">
        <v>770</v>
      </c>
      <c r="E1674" t="s">
        <v>223</v>
      </c>
      <c r="F1674" t="s">
        <v>39</v>
      </c>
      <c r="G1674" t="s">
        <v>50</v>
      </c>
      <c r="H1674" t="s">
        <v>73</v>
      </c>
      <c r="I1674">
        <v>2</v>
      </c>
      <c r="J1674" s="4">
        <v>6823.86</v>
      </c>
      <c r="K1674" s="5">
        <v>0</v>
      </c>
      <c r="L1674" s="4">
        <v>3298.19</v>
      </c>
      <c r="M1674" t="s">
        <v>42</v>
      </c>
      <c r="N1674" t="s">
        <v>60</v>
      </c>
      <c r="O1674">
        <f>IF(TablaVentas[[#This Row],[Precio_unitario]]="","PENDIENTE",TablaVentas[[#This Row],[Unidades]]*TablaVentas[[#This Row],[Precio_unitario]]*(1-TablaVentas[[#This Row],[Descuento_pct]]))</f>
        <v>13647.72</v>
      </c>
      <c r="P1674">
        <f>IF(TablaVentas[[#This Row],[Costo_unitario]]="","PENDIENTE",TablaVentas[[#This Row],[Unidades]]*TablaVentas[[#This Row],[Costo_unitario]])</f>
        <v>6596.38</v>
      </c>
      <c r="Q1674">
        <f>IF(OR(TablaVentas[[#This Row],[Ingreso_neto]]="PENDIENTE",TablaVentas[[#This Row],[Costo_total]]="PENDIENTE"),"PENDIENTE",TablaVentas[[#This Row],[Ingreso_neto]]-TablaVentas[[#This Row],[Costo_total]])</f>
        <v>7051.3399999999992</v>
      </c>
    </row>
    <row r="1675" spans="1:17">
      <c r="A1675" t="s">
        <v>1107</v>
      </c>
      <c r="B1675">
        <v>1</v>
      </c>
      <c r="C1675" s="3">
        <v>46176</v>
      </c>
      <c r="D1675" t="s">
        <v>564</v>
      </c>
      <c r="E1675" t="s">
        <v>320</v>
      </c>
      <c r="F1675" t="s">
        <v>39</v>
      </c>
      <c r="G1675" t="s">
        <v>50</v>
      </c>
      <c r="H1675" t="s">
        <v>102</v>
      </c>
      <c r="I1675">
        <v>2</v>
      </c>
      <c r="J1675" s="4">
        <v>5088.6899999999996</v>
      </c>
      <c r="K1675" s="5">
        <v>0</v>
      </c>
      <c r="L1675" s="4">
        <v>3065.66</v>
      </c>
      <c r="M1675" t="s">
        <v>42</v>
      </c>
      <c r="N1675" t="s">
        <v>43</v>
      </c>
      <c r="O1675">
        <f>IF(TablaVentas[[#This Row],[Precio_unitario]]="","PENDIENTE",TablaVentas[[#This Row],[Unidades]]*TablaVentas[[#This Row],[Precio_unitario]]*(1-TablaVentas[[#This Row],[Descuento_pct]]))</f>
        <v>10177.379999999999</v>
      </c>
      <c r="P1675">
        <f>IF(TablaVentas[[#This Row],[Costo_unitario]]="","PENDIENTE",TablaVentas[[#This Row],[Unidades]]*TablaVentas[[#This Row],[Costo_unitario]])</f>
        <v>6131.32</v>
      </c>
      <c r="Q1675">
        <f>IF(OR(TablaVentas[[#This Row],[Ingreso_neto]]="PENDIENTE",TablaVentas[[#This Row],[Costo_total]]="PENDIENTE"),"PENDIENTE",TablaVentas[[#This Row],[Ingreso_neto]]-TablaVentas[[#This Row],[Costo_total]])</f>
        <v>4046.0599999999995</v>
      </c>
    </row>
    <row r="1676" spans="1:17">
      <c r="A1676" t="s">
        <v>1107</v>
      </c>
      <c r="B1676">
        <v>2</v>
      </c>
      <c r="C1676" s="3">
        <v>46176</v>
      </c>
      <c r="D1676" t="s">
        <v>564</v>
      </c>
      <c r="E1676" t="s">
        <v>46</v>
      </c>
      <c r="F1676" t="s">
        <v>39</v>
      </c>
      <c r="G1676" t="s">
        <v>50</v>
      </c>
      <c r="H1676" t="s">
        <v>102</v>
      </c>
      <c r="I1676">
        <v>2</v>
      </c>
      <c r="J1676" s="4">
        <v>4022.37</v>
      </c>
      <c r="K1676" s="5">
        <v>0.2</v>
      </c>
      <c r="L1676" s="4">
        <v>2957.6</v>
      </c>
      <c r="M1676" t="s">
        <v>42</v>
      </c>
      <c r="N1676" t="s">
        <v>60</v>
      </c>
      <c r="O1676">
        <f>IF(TablaVentas[[#This Row],[Precio_unitario]]="","PENDIENTE",TablaVentas[[#This Row],[Unidades]]*TablaVentas[[#This Row],[Precio_unitario]]*(1-TablaVentas[[#This Row],[Descuento_pct]]))</f>
        <v>6435.7920000000004</v>
      </c>
      <c r="P1676">
        <f>IF(TablaVentas[[#This Row],[Costo_unitario]]="","PENDIENTE",TablaVentas[[#This Row],[Unidades]]*TablaVentas[[#This Row],[Costo_unitario]])</f>
        <v>5915.2</v>
      </c>
      <c r="Q1676">
        <f>IF(OR(TablaVentas[[#This Row],[Ingreso_neto]]="PENDIENTE",TablaVentas[[#This Row],[Costo_total]]="PENDIENTE"),"PENDIENTE",TablaVentas[[#This Row],[Ingreso_neto]]-TablaVentas[[#This Row],[Costo_total]])</f>
        <v>520.59200000000055</v>
      </c>
    </row>
    <row r="1677" spans="1:17">
      <c r="A1677" t="s">
        <v>1107</v>
      </c>
      <c r="B1677">
        <v>3</v>
      </c>
      <c r="C1677" s="3">
        <v>46176</v>
      </c>
      <c r="D1677" t="s">
        <v>564</v>
      </c>
      <c r="E1677" t="s">
        <v>258</v>
      </c>
      <c r="F1677" t="s">
        <v>39</v>
      </c>
      <c r="G1677" t="s">
        <v>50</v>
      </c>
      <c r="H1677" t="s">
        <v>102</v>
      </c>
      <c r="I1677">
        <v>2</v>
      </c>
      <c r="J1677" s="4">
        <v>3972.81</v>
      </c>
      <c r="K1677" s="5">
        <v>0.1</v>
      </c>
      <c r="L1677" s="4">
        <v>2008.57</v>
      </c>
      <c r="M1677" t="s">
        <v>42</v>
      </c>
      <c r="N1677" t="s">
        <v>45</v>
      </c>
      <c r="O1677">
        <f>IF(TablaVentas[[#This Row],[Precio_unitario]]="","PENDIENTE",TablaVentas[[#This Row],[Unidades]]*TablaVentas[[#This Row],[Precio_unitario]]*(1-TablaVentas[[#This Row],[Descuento_pct]]))</f>
        <v>7151.058</v>
      </c>
      <c r="P1677">
        <f>IF(TablaVentas[[#This Row],[Costo_unitario]]="","PENDIENTE",TablaVentas[[#This Row],[Unidades]]*TablaVentas[[#This Row],[Costo_unitario]])</f>
        <v>4017.14</v>
      </c>
      <c r="Q1677">
        <f>IF(OR(TablaVentas[[#This Row],[Ingreso_neto]]="PENDIENTE",TablaVentas[[#This Row],[Costo_total]]="PENDIENTE"),"PENDIENTE",TablaVentas[[#This Row],[Ingreso_neto]]-TablaVentas[[#This Row],[Costo_total]])</f>
        <v>3133.9180000000001</v>
      </c>
    </row>
    <row r="1678" spans="1:17">
      <c r="A1678" t="s">
        <v>1107</v>
      </c>
      <c r="B1678">
        <v>4</v>
      </c>
      <c r="C1678" s="3">
        <v>46176</v>
      </c>
      <c r="D1678" t="s">
        <v>564</v>
      </c>
      <c r="E1678" t="s">
        <v>152</v>
      </c>
      <c r="F1678" t="s">
        <v>39</v>
      </c>
      <c r="G1678" t="s">
        <v>50</v>
      </c>
      <c r="H1678" t="s">
        <v>102</v>
      </c>
      <c r="I1678">
        <v>1</v>
      </c>
      <c r="J1678" s="4">
        <v>2914.66</v>
      </c>
      <c r="K1678" s="5">
        <v>0.2</v>
      </c>
      <c r="L1678" s="4">
        <v>1962.3</v>
      </c>
      <c r="M1678" t="s">
        <v>42</v>
      </c>
      <c r="N1678" t="s">
        <v>45</v>
      </c>
      <c r="O1678">
        <f>IF(TablaVentas[[#This Row],[Precio_unitario]]="","PENDIENTE",TablaVentas[[#This Row],[Unidades]]*TablaVentas[[#This Row],[Precio_unitario]]*(1-TablaVentas[[#This Row],[Descuento_pct]]))</f>
        <v>2331.7280000000001</v>
      </c>
      <c r="P1678">
        <f>IF(TablaVentas[[#This Row],[Costo_unitario]]="","PENDIENTE",TablaVentas[[#This Row],[Unidades]]*TablaVentas[[#This Row],[Costo_unitario]])</f>
        <v>1962.3</v>
      </c>
      <c r="Q1678">
        <f>IF(OR(TablaVentas[[#This Row],[Ingreso_neto]]="PENDIENTE",TablaVentas[[#This Row],[Costo_total]]="PENDIENTE"),"PENDIENTE",TablaVentas[[#This Row],[Ingreso_neto]]-TablaVentas[[#This Row],[Costo_total]])</f>
        <v>369.42800000000011</v>
      </c>
    </row>
    <row r="1679" spans="1:17">
      <c r="A1679" t="s">
        <v>1108</v>
      </c>
      <c r="B1679">
        <v>1</v>
      </c>
      <c r="C1679" s="3">
        <v>46239</v>
      </c>
      <c r="D1679" t="s">
        <v>169</v>
      </c>
      <c r="E1679" t="s">
        <v>159</v>
      </c>
      <c r="F1679" t="s">
        <v>39</v>
      </c>
      <c r="G1679" t="s">
        <v>57</v>
      </c>
      <c r="H1679" t="s">
        <v>41</v>
      </c>
      <c r="I1679">
        <v>1</v>
      </c>
      <c r="J1679" s="4">
        <v>12660.47</v>
      </c>
      <c r="K1679" s="5">
        <v>0</v>
      </c>
      <c r="L1679" s="4">
        <v>9317.3700000000008</v>
      </c>
      <c r="M1679" t="s">
        <v>42</v>
      </c>
      <c r="N1679" t="s">
        <v>45</v>
      </c>
      <c r="O1679">
        <f>IF(TablaVentas[[#This Row],[Precio_unitario]]="","PENDIENTE",TablaVentas[[#This Row],[Unidades]]*TablaVentas[[#This Row],[Precio_unitario]]*(1-TablaVentas[[#This Row],[Descuento_pct]]))</f>
        <v>12660.47</v>
      </c>
      <c r="P1679">
        <f>IF(TablaVentas[[#This Row],[Costo_unitario]]="","PENDIENTE",TablaVentas[[#This Row],[Unidades]]*TablaVentas[[#This Row],[Costo_unitario]])</f>
        <v>9317.3700000000008</v>
      </c>
      <c r="Q1679">
        <f>IF(OR(TablaVentas[[#This Row],[Ingreso_neto]]="PENDIENTE",TablaVentas[[#This Row],[Costo_total]]="PENDIENTE"),"PENDIENTE",TablaVentas[[#This Row],[Ingreso_neto]]-TablaVentas[[#This Row],[Costo_total]])</f>
        <v>3343.0999999999985</v>
      </c>
    </row>
    <row r="1680" spans="1:17">
      <c r="A1680" t="s">
        <v>1108</v>
      </c>
      <c r="B1680">
        <v>2</v>
      </c>
      <c r="C1680" s="3">
        <v>46239</v>
      </c>
      <c r="D1680" t="s">
        <v>169</v>
      </c>
      <c r="E1680" t="s">
        <v>69</v>
      </c>
      <c r="F1680" t="s">
        <v>39</v>
      </c>
      <c r="G1680" t="s">
        <v>57</v>
      </c>
      <c r="H1680" t="s">
        <v>41</v>
      </c>
      <c r="I1680">
        <v>8</v>
      </c>
      <c r="J1680" s="4">
        <v>13922.09</v>
      </c>
      <c r="K1680" s="5">
        <v>0.05</v>
      </c>
      <c r="L1680" s="4">
        <v>10094.26</v>
      </c>
      <c r="M1680" t="s">
        <v>42</v>
      </c>
      <c r="N1680" t="s">
        <v>60</v>
      </c>
      <c r="O1680">
        <f>IF(TablaVentas[[#This Row],[Precio_unitario]]="","PENDIENTE",TablaVentas[[#This Row],[Unidades]]*TablaVentas[[#This Row],[Precio_unitario]]*(1-TablaVentas[[#This Row],[Descuento_pct]]))</f>
        <v>105807.88399999999</v>
      </c>
      <c r="P1680">
        <f>IF(TablaVentas[[#This Row],[Costo_unitario]]="","PENDIENTE",TablaVentas[[#This Row],[Unidades]]*TablaVentas[[#This Row],[Costo_unitario]])</f>
        <v>80754.080000000002</v>
      </c>
      <c r="Q1680">
        <f>IF(OR(TablaVentas[[#This Row],[Ingreso_neto]]="PENDIENTE",TablaVentas[[#This Row],[Costo_total]]="PENDIENTE"),"PENDIENTE",TablaVentas[[#This Row],[Ingreso_neto]]-TablaVentas[[#This Row],[Costo_total]])</f>
        <v>25053.803999999989</v>
      </c>
    </row>
    <row r="1681" spans="1:17">
      <c r="A1681" t="s">
        <v>1109</v>
      </c>
      <c r="B1681">
        <v>1</v>
      </c>
      <c r="C1681" s="3">
        <v>46146</v>
      </c>
      <c r="D1681" t="s">
        <v>127</v>
      </c>
      <c r="E1681" t="s">
        <v>139</v>
      </c>
      <c r="F1681" t="s">
        <v>66</v>
      </c>
      <c r="G1681" t="s">
        <v>40</v>
      </c>
      <c r="H1681" t="s">
        <v>73</v>
      </c>
      <c r="I1681">
        <v>3</v>
      </c>
      <c r="J1681" s="4">
        <v>9778.4</v>
      </c>
      <c r="K1681" s="5">
        <v>0</v>
      </c>
      <c r="L1681" s="4">
        <v>8002.16</v>
      </c>
      <c r="M1681" t="s">
        <v>42</v>
      </c>
      <c r="N1681" t="s">
        <v>45</v>
      </c>
      <c r="O1681">
        <f>IF(TablaVentas[[#This Row],[Precio_unitario]]="","PENDIENTE",TablaVentas[[#This Row],[Unidades]]*TablaVentas[[#This Row],[Precio_unitario]]*(1-TablaVentas[[#This Row],[Descuento_pct]]))</f>
        <v>29335.199999999997</v>
      </c>
      <c r="P1681">
        <f>IF(TablaVentas[[#This Row],[Costo_unitario]]="","PENDIENTE",TablaVentas[[#This Row],[Unidades]]*TablaVentas[[#This Row],[Costo_unitario]])</f>
        <v>24006.48</v>
      </c>
      <c r="Q1681">
        <f>IF(OR(TablaVentas[[#This Row],[Ingreso_neto]]="PENDIENTE",TablaVentas[[#This Row],[Costo_total]]="PENDIENTE"),"PENDIENTE",TablaVentas[[#This Row],[Ingreso_neto]]-TablaVentas[[#This Row],[Costo_total]])</f>
        <v>5328.7199999999975</v>
      </c>
    </row>
    <row r="1682" spans="1:17">
      <c r="A1682" t="s">
        <v>1109</v>
      </c>
      <c r="B1682">
        <v>2</v>
      </c>
      <c r="C1682" s="3">
        <v>46146</v>
      </c>
      <c r="D1682" t="s">
        <v>127</v>
      </c>
      <c r="E1682" t="s">
        <v>223</v>
      </c>
      <c r="F1682" t="s">
        <v>66</v>
      </c>
      <c r="G1682" t="s">
        <v>40</v>
      </c>
      <c r="H1682" t="s">
        <v>73</v>
      </c>
      <c r="I1682">
        <v>3</v>
      </c>
      <c r="J1682" s="4">
        <v>6608.66</v>
      </c>
      <c r="K1682" s="5">
        <v>0.05</v>
      </c>
      <c r="L1682" s="4">
        <v>3298.19</v>
      </c>
      <c r="M1682" t="s">
        <v>42</v>
      </c>
      <c r="N1682" t="s">
        <v>43</v>
      </c>
      <c r="O1682">
        <f>IF(TablaVentas[[#This Row],[Precio_unitario]]="","PENDIENTE",TablaVentas[[#This Row],[Unidades]]*TablaVentas[[#This Row],[Precio_unitario]]*(1-TablaVentas[[#This Row],[Descuento_pct]]))</f>
        <v>18834.681</v>
      </c>
      <c r="P1682">
        <f>IF(TablaVentas[[#This Row],[Costo_unitario]]="","PENDIENTE",TablaVentas[[#This Row],[Unidades]]*TablaVentas[[#This Row],[Costo_unitario]])</f>
        <v>9894.57</v>
      </c>
      <c r="Q1682">
        <f>IF(OR(TablaVentas[[#This Row],[Ingreso_neto]]="PENDIENTE",TablaVentas[[#This Row],[Costo_total]]="PENDIENTE"),"PENDIENTE",TablaVentas[[#This Row],[Ingreso_neto]]-TablaVentas[[#This Row],[Costo_total]])</f>
        <v>8940.1110000000008</v>
      </c>
    </row>
    <row r="1683" spans="1:17">
      <c r="A1683" t="s">
        <v>1109</v>
      </c>
      <c r="B1683">
        <v>3</v>
      </c>
      <c r="C1683" s="3">
        <v>46146</v>
      </c>
      <c r="D1683" t="s">
        <v>127</v>
      </c>
      <c r="E1683" t="s">
        <v>397</v>
      </c>
      <c r="F1683" t="s">
        <v>66</v>
      </c>
      <c r="G1683" t="s">
        <v>40</v>
      </c>
      <c r="H1683" t="s">
        <v>73</v>
      </c>
      <c r="I1683">
        <v>4</v>
      </c>
      <c r="J1683" s="4">
        <v>6777.88</v>
      </c>
      <c r="K1683" s="5">
        <v>0.1</v>
      </c>
      <c r="L1683" s="4">
        <v>3640.56</v>
      </c>
      <c r="M1683" t="s">
        <v>42</v>
      </c>
      <c r="N1683" t="s">
        <v>60</v>
      </c>
      <c r="O1683">
        <f>IF(TablaVentas[[#This Row],[Precio_unitario]]="","PENDIENTE",TablaVentas[[#This Row],[Unidades]]*TablaVentas[[#This Row],[Precio_unitario]]*(1-TablaVentas[[#This Row],[Descuento_pct]]))</f>
        <v>24400.368000000002</v>
      </c>
      <c r="P1683">
        <f>IF(TablaVentas[[#This Row],[Costo_unitario]]="","PENDIENTE",TablaVentas[[#This Row],[Unidades]]*TablaVentas[[#This Row],[Costo_unitario]])</f>
        <v>14562.24</v>
      </c>
      <c r="Q1683">
        <f>IF(OR(TablaVentas[[#This Row],[Ingreso_neto]]="PENDIENTE",TablaVentas[[#This Row],[Costo_total]]="PENDIENTE"),"PENDIENTE",TablaVentas[[#This Row],[Ingreso_neto]]-TablaVentas[[#This Row],[Costo_total]])</f>
        <v>9838.1280000000024</v>
      </c>
    </row>
    <row r="1684" spans="1:17">
      <c r="A1684" t="s">
        <v>1110</v>
      </c>
      <c r="B1684">
        <v>1</v>
      </c>
      <c r="C1684" s="3">
        <v>46146</v>
      </c>
      <c r="D1684" t="s">
        <v>334</v>
      </c>
      <c r="E1684" t="s">
        <v>346</v>
      </c>
      <c r="F1684" t="s">
        <v>56</v>
      </c>
      <c r="G1684" t="s">
        <v>40</v>
      </c>
      <c r="H1684" t="s">
        <v>82</v>
      </c>
      <c r="I1684">
        <v>3</v>
      </c>
      <c r="J1684" s="4">
        <v>2064.84</v>
      </c>
      <c r="K1684" s="5">
        <v>0</v>
      </c>
      <c r="L1684" s="4">
        <v>1175.74</v>
      </c>
      <c r="M1684" t="s">
        <v>42</v>
      </c>
      <c r="N1684" t="s">
        <v>52</v>
      </c>
      <c r="O1684">
        <f>IF(TablaVentas[[#This Row],[Precio_unitario]]="","PENDIENTE",TablaVentas[[#This Row],[Unidades]]*TablaVentas[[#This Row],[Precio_unitario]]*(1-TablaVentas[[#This Row],[Descuento_pct]]))</f>
        <v>6194.52</v>
      </c>
      <c r="P1684">
        <f>IF(TablaVentas[[#This Row],[Costo_unitario]]="","PENDIENTE",TablaVentas[[#This Row],[Unidades]]*TablaVentas[[#This Row],[Costo_unitario]])</f>
        <v>3527.2200000000003</v>
      </c>
      <c r="Q1684">
        <f>IF(OR(TablaVentas[[#This Row],[Ingreso_neto]]="PENDIENTE",TablaVentas[[#This Row],[Costo_total]]="PENDIENTE"),"PENDIENTE",TablaVentas[[#This Row],[Ingreso_neto]]-TablaVentas[[#This Row],[Costo_total]])</f>
        <v>2667.3</v>
      </c>
    </row>
    <row r="1685" spans="1:17">
      <c r="A1685" t="s">
        <v>1110</v>
      </c>
      <c r="B1685">
        <v>2</v>
      </c>
      <c r="C1685" s="3">
        <v>46146</v>
      </c>
      <c r="D1685" t="s">
        <v>334</v>
      </c>
      <c r="E1685" t="s">
        <v>115</v>
      </c>
      <c r="F1685" t="s">
        <v>56</v>
      </c>
      <c r="G1685" t="s">
        <v>40</v>
      </c>
      <c r="H1685" t="s">
        <v>82</v>
      </c>
      <c r="I1685">
        <v>8</v>
      </c>
      <c r="J1685" s="4">
        <v>1398.86</v>
      </c>
      <c r="K1685" s="5">
        <v>0</v>
      </c>
      <c r="L1685" s="4">
        <v>705.87</v>
      </c>
      <c r="M1685" t="s">
        <v>42</v>
      </c>
      <c r="N1685" t="s">
        <v>43</v>
      </c>
      <c r="O1685">
        <f>IF(TablaVentas[[#This Row],[Precio_unitario]]="","PENDIENTE",TablaVentas[[#This Row],[Unidades]]*TablaVentas[[#This Row],[Precio_unitario]]*(1-TablaVentas[[#This Row],[Descuento_pct]]))</f>
        <v>11190.88</v>
      </c>
      <c r="P1685">
        <f>IF(TablaVentas[[#This Row],[Costo_unitario]]="","PENDIENTE",TablaVentas[[#This Row],[Unidades]]*TablaVentas[[#This Row],[Costo_unitario]])</f>
        <v>5646.96</v>
      </c>
      <c r="Q1685">
        <f>IF(OR(TablaVentas[[#This Row],[Ingreso_neto]]="PENDIENTE",TablaVentas[[#This Row],[Costo_total]]="PENDIENTE"),"PENDIENTE",TablaVentas[[#This Row],[Ingreso_neto]]-TablaVentas[[#This Row],[Costo_total]])</f>
        <v>5543.9199999999992</v>
      </c>
    </row>
    <row r="1686" spans="1:17">
      <c r="A1686" t="s">
        <v>1111</v>
      </c>
      <c r="B1686">
        <v>1</v>
      </c>
      <c r="C1686" s="3">
        <v>46168</v>
      </c>
      <c r="D1686" t="s">
        <v>527</v>
      </c>
      <c r="E1686" t="s">
        <v>70</v>
      </c>
      <c r="F1686" t="s">
        <v>66</v>
      </c>
      <c r="G1686" t="s">
        <v>50</v>
      </c>
      <c r="H1686" t="s">
        <v>129</v>
      </c>
      <c r="I1686">
        <v>1</v>
      </c>
      <c r="J1686" s="4">
        <v>16622.560000000001</v>
      </c>
      <c r="K1686" s="5">
        <v>0.05</v>
      </c>
      <c r="L1686" s="4">
        <v>10571.25</v>
      </c>
      <c r="M1686" t="s">
        <v>42</v>
      </c>
      <c r="N1686" t="s">
        <v>43</v>
      </c>
      <c r="O1686">
        <f>IF(TablaVentas[[#This Row],[Precio_unitario]]="","PENDIENTE",TablaVentas[[#This Row],[Unidades]]*TablaVentas[[#This Row],[Precio_unitario]]*(1-TablaVentas[[#This Row],[Descuento_pct]]))</f>
        <v>15791.432000000001</v>
      </c>
      <c r="P1686">
        <f>IF(TablaVentas[[#This Row],[Costo_unitario]]="","PENDIENTE",TablaVentas[[#This Row],[Unidades]]*TablaVentas[[#This Row],[Costo_unitario]])</f>
        <v>10571.25</v>
      </c>
      <c r="Q1686">
        <f>IF(OR(TablaVentas[[#This Row],[Ingreso_neto]]="PENDIENTE",TablaVentas[[#This Row],[Costo_total]]="PENDIENTE"),"PENDIENTE",TablaVentas[[#This Row],[Ingreso_neto]]-TablaVentas[[#This Row],[Costo_total]])</f>
        <v>5220.1820000000007</v>
      </c>
    </row>
    <row r="1687" spans="1:17">
      <c r="A1687" t="s">
        <v>1111</v>
      </c>
      <c r="B1687">
        <v>2</v>
      </c>
      <c r="C1687" s="3">
        <v>46168</v>
      </c>
      <c r="D1687" t="s">
        <v>527</v>
      </c>
      <c r="E1687" t="s">
        <v>125</v>
      </c>
      <c r="F1687" t="s">
        <v>66</v>
      </c>
      <c r="G1687" t="s">
        <v>50</v>
      </c>
      <c r="H1687" t="s">
        <v>129</v>
      </c>
      <c r="I1687">
        <v>1</v>
      </c>
      <c r="J1687" s="4">
        <v>1657.83</v>
      </c>
      <c r="K1687" s="5">
        <v>0.1</v>
      </c>
      <c r="L1687" s="4">
        <v>1044.32</v>
      </c>
      <c r="M1687" t="s">
        <v>42</v>
      </c>
      <c r="N1687" t="s">
        <v>45</v>
      </c>
      <c r="O1687">
        <f>IF(TablaVentas[[#This Row],[Precio_unitario]]="","PENDIENTE",TablaVentas[[#This Row],[Unidades]]*TablaVentas[[#This Row],[Precio_unitario]]*(1-TablaVentas[[#This Row],[Descuento_pct]]))</f>
        <v>1492.047</v>
      </c>
      <c r="P1687">
        <f>IF(TablaVentas[[#This Row],[Costo_unitario]]="","PENDIENTE",TablaVentas[[#This Row],[Unidades]]*TablaVentas[[#This Row],[Costo_unitario]])</f>
        <v>1044.32</v>
      </c>
      <c r="Q1687">
        <f>IF(OR(TablaVentas[[#This Row],[Ingreso_neto]]="PENDIENTE",TablaVentas[[#This Row],[Costo_total]]="PENDIENTE"),"PENDIENTE",TablaVentas[[#This Row],[Ingreso_neto]]-TablaVentas[[#This Row],[Costo_total]])</f>
        <v>447.72700000000009</v>
      </c>
    </row>
    <row r="1688" spans="1:17">
      <c r="A1688" t="s">
        <v>1111</v>
      </c>
      <c r="B1688">
        <v>3</v>
      </c>
      <c r="C1688" s="3">
        <v>46168</v>
      </c>
      <c r="D1688" t="s">
        <v>527</v>
      </c>
      <c r="E1688" t="s">
        <v>537</v>
      </c>
      <c r="F1688" t="s">
        <v>66</v>
      </c>
      <c r="G1688" t="s">
        <v>50</v>
      </c>
      <c r="H1688" t="s">
        <v>129</v>
      </c>
      <c r="I1688">
        <v>4</v>
      </c>
      <c r="J1688" s="4">
        <v>5862.61</v>
      </c>
      <c r="K1688" s="5">
        <v>0</v>
      </c>
      <c r="L1688" s="4">
        <v>4556.2299999999996</v>
      </c>
      <c r="M1688" t="s">
        <v>42</v>
      </c>
      <c r="N1688" t="s">
        <v>45</v>
      </c>
      <c r="O1688">
        <f>IF(TablaVentas[[#This Row],[Precio_unitario]]="","PENDIENTE",TablaVentas[[#This Row],[Unidades]]*TablaVentas[[#This Row],[Precio_unitario]]*(1-TablaVentas[[#This Row],[Descuento_pct]]))</f>
        <v>23450.44</v>
      </c>
      <c r="P1688">
        <f>IF(TablaVentas[[#This Row],[Costo_unitario]]="","PENDIENTE",TablaVentas[[#This Row],[Unidades]]*TablaVentas[[#This Row],[Costo_unitario]])</f>
        <v>18224.919999999998</v>
      </c>
      <c r="Q1688">
        <f>IF(OR(TablaVentas[[#This Row],[Ingreso_neto]]="PENDIENTE",TablaVentas[[#This Row],[Costo_total]]="PENDIENTE"),"PENDIENTE",TablaVentas[[#This Row],[Ingreso_neto]]-TablaVentas[[#This Row],[Costo_total]])</f>
        <v>5225.5200000000004</v>
      </c>
    </row>
    <row r="1689" spans="1:17">
      <c r="A1689" t="s">
        <v>1112</v>
      </c>
      <c r="B1689">
        <v>1</v>
      </c>
      <c r="C1689" s="3">
        <v>46077</v>
      </c>
      <c r="D1689" t="s">
        <v>162</v>
      </c>
      <c r="E1689" t="s">
        <v>86</v>
      </c>
      <c r="F1689" t="s">
        <v>77</v>
      </c>
      <c r="G1689" t="s">
        <v>40</v>
      </c>
      <c r="H1689" t="s">
        <v>41</v>
      </c>
      <c r="I1689">
        <v>2</v>
      </c>
      <c r="J1689" s="4">
        <v>15384.26</v>
      </c>
      <c r="K1689" s="5">
        <v>0.1</v>
      </c>
      <c r="L1689" s="4">
        <v>11166.03</v>
      </c>
      <c r="M1689" t="s">
        <v>42</v>
      </c>
      <c r="N1689" t="s">
        <v>60</v>
      </c>
      <c r="O1689">
        <f>IF(TablaVentas[[#This Row],[Precio_unitario]]="","PENDIENTE",TablaVentas[[#This Row],[Unidades]]*TablaVentas[[#This Row],[Precio_unitario]]*(1-TablaVentas[[#This Row],[Descuento_pct]]))</f>
        <v>27691.668000000001</v>
      </c>
      <c r="P1689">
        <f>IF(TablaVentas[[#This Row],[Costo_unitario]]="","PENDIENTE",TablaVentas[[#This Row],[Unidades]]*TablaVentas[[#This Row],[Costo_unitario]])</f>
        <v>22332.06</v>
      </c>
      <c r="Q1689">
        <f>IF(OR(TablaVentas[[#This Row],[Ingreso_neto]]="PENDIENTE",TablaVentas[[#This Row],[Costo_total]]="PENDIENTE"),"PENDIENTE",TablaVentas[[#This Row],[Ingreso_neto]]-TablaVentas[[#This Row],[Costo_total]])</f>
        <v>5359.6080000000002</v>
      </c>
    </row>
    <row r="1690" spans="1:17">
      <c r="A1690" t="s">
        <v>1112</v>
      </c>
      <c r="B1690">
        <v>2</v>
      </c>
      <c r="C1690" s="3">
        <v>46077</v>
      </c>
      <c r="D1690" t="s">
        <v>162</v>
      </c>
      <c r="E1690" t="s">
        <v>140</v>
      </c>
      <c r="F1690" t="s">
        <v>77</v>
      </c>
      <c r="G1690" t="s">
        <v>40</v>
      </c>
      <c r="H1690" t="s">
        <v>41</v>
      </c>
      <c r="I1690">
        <v>1</v>
      </c>
      <c r="J1690" s="4">
        <v>2989.47</v>
      </c>
      <c r="K1690" s="5">
        <v>0</v>
      </c>
      <c r="L1690" s="4">
        <v>2427.63</v>
      </c>
      <c r="M1690" t="s">
        <v>42</v>
      </c>
      <c r="N1690" t="s">
        <v>60</v>
      </c>
      <c r="O1690">
        <f>IF(TablaVentas[[#This Row],[Precio_unitario]]="","PENDIENTE",TablaVentas[[#This Row],[Unidades]]*TablaVentas[[#This Row],[Precio_unitario]]*(1-TablaVentas[[#This Row],[Descuento_pct]]))</f>
        <v>2989.47</v>
      </c>
      <c r="P1690">
        <f>IF(TablaVentas[[#This Row],[Costo_unitario]]="","PENDIENTE",TablaVentas[[#This Row],[Unidades]]*TablaVentas[[#This Row],[Costo_unitario]])</f>
        <v>2427.63</v>
      </c>
      <c r="Q1690">
        <f>IF(OR(TablaVentas[[#This Row],[Ingreso_neto]]="PENDIENTE",TablaVentas[[#This Row],[Costo_total]]="PENDIENTE"),"PENDIENTE",TablaVentas[[#This Row],[Ingreso_neto]]-TablaVentas[[#This Row],[Costo_total]])</f>
        <v>561.83999999999969</v>
      </c>
    </row>
    <row r="1691" spans="1:17">
      <c r="A1691" t="s">
        <v>1112</v>
      </c>
      <c r="B1691">
        <v>3</v>
      </c>
      <c r="C1691" s="3">
        <v>46077</v>
      </c>
      <c r="D1691" t="s">
        <v>162</v>
      </c>
      <c r="E1691" t="s">
        <v>273</v>
      </c>
      <c r="F1691" t="s">
        <v>77</v>
      </c>
      <c r="G1691" t="s">
        <v>40</v>
      </c>
      <c r="H1691" t="s">
        <v>41</v>
      </c>
      <c r="I1691">
        <v>3</v>
      </c>
      <c r="J1691" s="4">
        <v>1359.05</v>
      </c>
      <c r="K1691" s="5">
        <v>0</v>
      </c>
      <c r="L1691" s="4">
        <v>716.26</v>
      </c>
      <c r="M1691" t="s">
        <v>42</v>
      </c>
      <c r="N1691" t="s">
        <v>52</v>
      </c>
      <c r="O1691">
        <f>IF(TablaVentas[[#This Row],[Precio_unitario]]="","PENDIENTE",TablaVentas[[#This Row],[Unidades]]*TablaVentas[[#This Row],[Precio_unitario]]*(1-TablaVentas[[#This Row],[Descuento_pct]]))</f>
        <v>4077.1499999999996</v>
      </c>
      <c r="P1691">
        <f>IF(TablaVentas[[#This Row],[Costo_unitario]]="","PENDIENTE",TablaVentas[[#This Row],[Unidades]]*TablaVentas[[#This Row],[Costo_unitario]])</f>
        <v>2148.7799999999997</v>
      </c>
      <c r="Q1691">
        <f>IF(OR(TablaVentas[[#This Row],[Ingreso_neto]]="PENDIENTE",TablaVentas[[#This Row],[Costo_total]]="PENDIENTE"),"PENDIENTE",TablaVentas[[#This Row],[Ingreso_neto]]-TablaVentas[[#This Row],[Costo_total]])</f>
        <v>1928.37</v>
      </c>
    </row>
    <row r="1692" spans="1:17">
      <c r="A1692" t="s">
        <v>1113</v>
      </c>
      <c r="B1692">
        <v>1</v>
      </c>
      <c r="C1692" s="3">
        <v>46285</v>
      </c>
      <c r="D1692" t="s">
        <v>800</v>
      </c>
      <c r="E1692" t="s">
        <v>98</v>
      </c>
      <c r="F1692" t="s">
        <v>56</v>
      </c>
      <c r="G1692" t="s">
        <v>57</v>
      </c>
      <c r="H1692" t="s">
        <v>73</v>
      </c>
      <c r="I1692">
        <v>1</v>
      </c>
      <c r="J1692" s="4">
        <v>16415.09</v>
      </c>
      <c r="K1692" s="5">
        <v>0</v>
      </c>
      <c r="L1692" s="4">
        <v>9881</v>
      </c>
      <c r="M1692" t="s">
        <v>116</v>
      </c>
      <c r="N1692" t="s">
        <v>45</v>
      </c>
      <c r="O1692">
        <f>IF(TablaVentas[[#This Row],[Precio_unitario]]="","PENDIENTE",TablaVentas[[#This Row],[Unidades]]*TablaVentas[[#This Row],[Precio_unitario]]*(1-TablaVentas[[#This Row],[Descuento_pct]]))</f>
        <v>16415.09</v>
      </c>
      <c r="P1692">
        <f>IF(TablaVentas[[#This Row],[Costo_unitario]]="","PENDIENTE",TablaVentas[[#This Row],[Unidades]]*TablaVentas[[#This Row],[Costo_unitario]])</f>
        <v>9881</v>
      </c>
      <c r="Q1692">
        <f>IF(OR(TablaVentas[[#This Row],[Ingreso_neto]]="PENDIENTE",TablaVentas[[#This Row],[Costo_total]]="PENDIENTE"),"PENDIENTE",TablaVentas[[#This Row],[Ingreso_neto]]-TablaVentas[[#This Row],[Costo_total]])</f>
        <v>6534.09</v>
      </c>
    </row>
    <row r="1693" spans="1:17">
      <c r="A1693" t="s">
        <v>1113</v>
      </c>
      <c r="B1693">
        <v>2</v>
      </c>
      <c r="C1693" s="3">
        <v>46285</v>
      </c>
      <c r="D1693" t="s">
        <v>800</v>
      </c>
      <c r="E1693" t="s">
        <v>138</v>
      </c>
      <c r="F1693" t="s">
        <v>56</v>
      </c>
      <c r="G1693" t="s">
        <v>57</v>
      </c>
      <c r="H1693" t="s">
        <v>73</v>
      </c>
      <c r="I1693">
        <v>1</v>
      </c>
      <c r="J1693" s="4">
        <v>6125.16</v>
      </c>
      <c r="K1693" s="5">
        <v>0.1</v>
      </c>
      <c r="L1693" s="4">
        <v>4665.62</v>
      </c>
      <c r="M1693" t="s">
        <v>42</v>
      </c>
      <c r="N1693" t="s">
        <v>45</v>
      </c>
      <c r="O1693">
        <f>IF(TablaVentas[[#This Row],[Precio_unitario]]="","PENDIENTE",TablaVentas[[#This Row],[Unidades]]*TablaVentas[[#This Row],[Precio_unitario]]*(1-TablaVentas[[#This Row],[Descuento_pct]]))</f>
        <v>5512.6440000000002</v>
      </c>
      <c r="P1693">
        <f>IF(TablaVentas[[#This Row],[Costo_unitario]]="","PENDIENTE",TablaVentas[[#This Row],[Unidades]]*TablaVentas[[#This Row],[Costo_unitario]])</f>
        <v>4665.62</v>
      </c>
      <c r="Q1693">
        <f>IF(OR(TablaVentas[[#This Row],[Ingreso_neto]]="PENDIENTE",TablaVentas[[#This Row],[Costo_total]]="PENDIENTE"),"PENDIENTE",TablaVentas[[#This Row],[Ingreso_neto]]-TablaVentas[[#This Row],[Costo_total]])</f>
        <v>847.02400000000034</v>
      </c>
    </row>
    <row r="1694" spans="1:17">
      <c r="A1694" t="s">
        <v>1113</v>
      </c>
      <c r="B1694">
        <v>3</v>
      </c>
      <c r="C1694" s="3">
        <v>46285</v>
      </c>
      <c r="D1694" t="s">
        <v>800</v>
      </c>
      <c r="E1694" t="s">
        <v>103</v>
      </c>
      <c r="F1694" t="s">
        <v>56</v>
      </c>
      <c r="G1694" t="s">
        <v>57</v>
      </c>
      <c r="H1694" t="s">
        <v>73</v>
      </c>
      <c r="I1694">
        <v>1</v>
      </c>
      <c r="J1694" s="4">
        <v>11922.8</v>
      </c>
      <c r="K1694" s="5">
        <v>0.1</v>
      </c>
      <c r="L1694" s="4">
        <v>7549.71</v>
      </c>
      <c r="M1694" t="s">
        <v>42</v>
      </c>
      <c r="N1694" t="s">
        <v>43</v>
      </c>
      <c r="O1694">
        <f>IF(TablaVentas[[#This Row],[Precio_unitario]]="","PENDIENTE",TablaVentas[[#This Row],[Unidades]]*TablaVentas[[#This Row],[Precio_unitario]]*(1-TablaVentas[[#This Row],[Descuento_pct]]))</f>
        <v>10730.52</v>
      </c>
      <c r="P1694">
        <f>IF(TablaVentas[[#This Row],[Costo_unitario]]="","PENDIENTE",TablaVentas[[#This Row],[Unidades]]*TablaVentas[[#This Row],[Costo_unitario]])</f>
        <v>7549.71</v>
      </c>
      <c r="Q1694">
        <f>IF(OR(TablaVentas[[#This Row],[Ingreso_neto]]="PENDIENTE",TablaVentas[[#This Row],[Costo_total]]="PENDIENTE"),"PENDIENTE",TablaVentas[[#This Row],[Ingreso_neto]]-TablaVentas[[#This Row],[Costo_total]])</f>
        <v>3180.8100000000004</v>
      </c>
    </row>
    <row r="1695" spans="1:17">
      <c r="A1695" t="s">
        <v>1114</v>
      </c>
      <c r="B1695">
        <v>1</v>
      </c>
      <c r="C1695" s="3">
        <v>46269</v>
      </c>
      <c r="D1695" t="s">
        <v>214</v>
      </c>
      <c r="E1695" t="s">
        <v>282</v>
      </c>
      <c r="F1695" t="s">
        <v>56</v>
      </c>
      <c r="G1695" t="s">
        <v>50</v>
      </c>
      <c r="H1695" t="s">
        <v>58</v>
      </c>
      <c r="I1695">
        <v>2</v>
      </c>
      <c r="J1695" s="4">
        <v>4001.97</v>
      </c>
      <c r="K1695" s="5">
        <v>0</v>
      </c>
      <c r="L1695" s="4">
        <v>3399.5</v>
      </c>
      <c r="M1695" t="s">
        <v>42</v>
      </c>
      <c r="N1695" t="s">
        <v>52</v>
      </c>
      <c r="O1695">
        <f>IF(TablaVentas[[#This Row],[Precio_unitario]]="","PENDIENTE",TablaVentas[[#This Row],[Unidades]]*TablaVentas[[#This Row],[Precio_unitario]]*(1-TablaVentas[[#This Row],[Descuento_pct]]))</f>
        <v>8003.94</v>
      </c>
      <c r="P1695">
        <f>IF(TablaVentas[[#This Row],[Costo_unitario]]="","PENDIENTE",TablaVentas[[#This Row],[Unidades]]*TablaVentas[[#This Row],[Costo_unitario]])</f>
        <v>6799</v>
      </c>
      <c r="Q1695">
        <f>IF(OR(TablaVentas[[#This Row],[Ingreso_neto]]="PENDIENTE",TablaVentas[[#This Row],[Costo_total]]="PENDIENTE"),"PENDIENTE",TablaVentas[[#This Row],[Ingreso_neto]]-TablaVentas[[#This Row],[Costo_total]])</f>
        <v>1204.9399999999996</v>
      </c>
    </row>
    <row r="1696" spans="1:17">
      <c r="A1696" t="s">
        <v>1114</v>
      </c>
      <c r="B1696">
        <v>2</v>
      </c>
      <c r="C1696" s="3">
        <v>46269</v>
      </c>
      <c r="D1696" t="s">
        <v>214</v>
      </c>
      <c r="E1696" t="s">
        <v>403</v>
      </c>
      <c r="F1696" t="s">
        <v>56</v>
      </c>
      <c r="G1696" t="s">
        <v>50</v>
      </c>
      <c r="H1696" t="s">
        <v>58</v>
      </c>
      <c r="I1696">
        <v>1</v>
      </c>
      <c r="J1696" s="4">
        <v>2662.21</v>
      </c>
      <c r="K1696" s="5">
        <v>0.15</v>
      </c>
      <c r="L1696" s="4">
        <v>1801.83</v>
      </c>
      <c r="M1696" t="s">
        <v>42</v>
      </c>
      <c r="N1696" t="s">
        <v>52</v>
      </c>
      <c r="O1696">
        <f>IF(TablaVentas[[#This Row],[Precio_unitario]]="","PENDIENTE",TablaVentas[[#This Row],[Unidades]]*TablaVentas[[#This Row],[Precio_unitario]]*(1-TablaVentas[[#This Row],[Descuento_pct]]))</f>
        <v>2262.8784999999998</v>
      </c>
      <c r="P1696">
        <f>IF(TablaVentas[[#This Row],[Costo_unitario]]="","PENDIENTE",TablaVentas[[#This Row],[Unidades]]*TablaVentas[[#This Row],[Costo_unitario]])</f>
        <v>1801.83</v>
      </c>
      <c r="Q1696">
        <f>IF(OR(TablaVentas[[#This Row],[Ingreso_neto]]="PENDIENTE",TablaVentas[[#This Row],[Costo_total]]="PENDIENTE"),"PENDIENTE",TablaVentas[[#This Row],[Ingreso_neto]]-TablaVentas[[#This Row],[Costo_total]])</f>
        <v>461.04849999999988</v>
      </c>
    </row>
    <row r="1697" spans="1:18">
      <c r="A1697" t="s">
        <v>1114</v>
      </c>
      <c r="B1697">
        <v>3</v>
      </c>
      <c r="C1697" s="3">
        <v>46269</v>
      </c>
      <c r="D1697" t="s">
        <v>214</v>
      </c>
      <c r="E1697" t="s">
        <v>44</v>
      </c>
      <c r="F1697" t="s">
        <v>56</v>
      </c>
      <c r="G1697" t="s">
        <v>50</v>
      </c>
      <c r="H1697" t="s">
        <v>58</v>
      </c>
      <c r="I1697">
        <v>2</v>
      </c>
      <c r="J1697" s="4">
        <v>13569.95</v>
      </c>
      <c r="K1697" s="5">
        <v>0.05</v>
      </c>
      <c r="L1697" s="4">
        <v>8980.68</v>
      </c>
      <c r="M1697" t="s">
        <v>42</v>
      </c>
      <c r="N1697" t="s">
        <v>60</v>
      </c>
      <c r="O1697">
        <f>IF(TablaVentas[[#This Row],[Precio_unitario]]="","PENDIENTE",TablaVentas[[#This Row],[Unidades]]*TablaVentas[[#This Row],[Precio_unitario]]*(1-TablaVentas[[#This Row],[Descuento_pct]]))</f>
        <v>25782.904999999999</v>
      </c>
      <c r="P1697">
        <f>IF(TablaVentas[[#This Row],[Costo_unitario]]="","PENDIENTE",TablaVentas[[#This Row],[Unidades]]*TablaVentas[[#This Row],[Costo_unitario]])</f>
        <v>17961.36</v>
      </c>
      <c r="Q1697">
        <f>IF(OR(TablaVentas[[#This Row],[Ingreso_neto]]="PENDIENTE",TablaVentas[[#This Row],[Costo_total]]="PENDIENTE"),"PENDIENTE",TablaVentas[[#This Row],[Ingreso_neto]]-TablaVentas[[#This Row],[Costo_total]])</f>
        <v>7821.5449999999983</v>
      </c>
    </row>
    <row r="1698" spans="1:18">
      <c r="A1698" t="s">
        <v>1115</v>
      </c>
      <c r="B1698">
        <v>1</v>
      </c>
      <c r="C1698" s="3">
        <v>46270</v>
      </c>
      <c r="D1698" t="s">
        <v>484</v>
      </c>
      <c r="E1698" t="s">
        <v>335</v>
      </c>
      <c r="F1698" t="s">
        <v>66</v>
      </c>
      <c r="G1698" t="s">
        <v>40</v>
      </c>
      <c r="H1698" t="s">
        <v>124</v>
      </c>
      <c r="I1698">
        <v>2</v>
      </c>
      <c r="J1698" s="4">
        <v>6815.58</v>
      </c>
      <c r="K1698" s="5">
        <v>0.2</v>
      </c>
      <c r="L1698" s="4">
        <v>5587.31</v>
      </c>
      <c r="M1698" t="s">
        <v>42</v>
      </c>
      <c r="N1698" t="s">
        <v>45</v>
      </c>
      <c r="O1698">
        <f>IF(TablaVentas[[#This Row],[Precio_unitario]]="","PENDIENTE",TablaVentas[[#This Row],[Unidades]]*TablaVentas[[#This Row],[Precio_unitario]]*(1-TablaVentas[[#This Row],[Descuento_pct]]))</f>
        <v>10904.928</v>
      </c>
      <c r="P1698">
        <f>IF(TablaVentas[[#This Row],[Costo_unitario]]="","PENDIENTE",TablaVentas[[#This Row],[Unidades]]*TablaVentas[[#This Row],[Costo_unitario]])</f>
        <v>11174.62</v>
      </c>
      <c r="Q1698">
        <f>IF(OR(TablaVentas[[#This Row],[Ingreso_neto]]="PENDIENTE",TablaVentas[[#This Row],[Costo_total]]="PENDIENTE"),"PENDIENTE",TablaVentas[[#This Row],[Ingreso_neto]]-TablaVentas[[#This Row],[Costo_total]])</f>
        <v>-269.69200000000092</v>
      </c>
    </row>
    <row r="1699" spans="1:18">
      <c r="A1699" t="s">
        <v>1116</v>
      </c>
      <c r="B1699">
        <v>1</v>
      </c>
      <c r="C1699" s="3">
        <v>46055</v>
      </c>
      <c r="D1699" t="s">
        <v>633</v>
      </c>
      <c r="E1699" t="s">
        <v>353</v>
      </c>
      <c r="F1699" t="s">
        <v>77</v>
      </c>
      <c r="G1699" t="s">
        <v>50</v>
      </c>
      <c r="H1699" t="s">
        <v>51</v>
      </c>
      <c r="I1699">
        <v>1</v>
      </c>
      <c r="J1699" s="4">
        <v>2327.92</v>
      </c>
      <c r="K1699" s="5">
        <v>0.1</v>
      </c>
      <c r="L1699" s="4">
        <v>1479.71</v>
      </c>
      <c r="M1699" t="s">
        <v>42</v>
      </c>
      <c r="N1699" t="s">
        <v>60</v>
      </c>
      <c r="O1699">
        <f>IF(TablaVentas[[#This Row],[Precio_unitario]]="","PENDIENTE",TablaVentas[[#This Row],[Unidades]]*TablaVentas[[#This Row],[Precio_unitario]]*(1-TablaVentas[[#This Row],[Descuento_pct]]))</f>
        <v>2095.1280000000002</v>
      </c>
      <c r="P1699">
        <f>IF(TablaVentas[[#This Row],[Costo_unitario]]="","PENDIENTE",TablaVentas[[#This Row],[Unidades]]*TablaVentas[[#This Row],[Costo_unitario]])</f>
        <v>1479.71</v>
      </c>
      <c r="Q1699">
        <f>IF(OR(TablaVentas[[#This Row],[Ingreso_neto]]="PENDIENTE",TablaVentas[[#This Row],[Costo_total]]="PENDIENTE"),"PENDIENTE",TablaVentas[[#This Row],[Ingreso_neto]]-TablaVentas[[#This Row],[Costo_total]])</f>
        <v>615.41800000000012</v>
      </c>
    </row>
    <row r="1700" spans="1:18">
      <c r="A1700" t="s">
        <v>1117</v>
      </c>
      <c r="B1700">
        <v>1</v>
      </c>
      <c r="C1700" s="3">
        <v>46097</v>
      </c>
      <c r="D1700" t="s">
        <v>1070</v>
      </c>
      <c r="E1700" t="s">
        <v>223</v>
      </c>
      <c r="F1700" t="s">
        <v>66</v>
      </c>
      <c r="G1700" t="s">
        <v>50</v>
      </c>
      <c r="H1700" t="s">
        <v>67</v>
      </c>
      <c r="I1700">
        <v>1</v>
      </c>
      <c r="J1700" s="4">
        <v>6694.56</v>
      </c>
      <c r="K1700" s="5">
        <v>0.15</v>
      </c>
      <c r="L1700" s="4">
        <v>3298.19</v>
      </c>
      <c r="M1700" t="s">
        <v>42</v>
      </c>
      <c r="N1700" t="s">
        <v>60</v>
      </c>
      <c r="O1700">
        <f>IF(TablaVentas[[#This Row],[Precio_unitario]]="","PENDIENTE",TablaVentas[[#This Row],[Unidades]]*TablaVentas[[#This Row],[Precio_unitario]]*(1-TablaVentas[[#This Row],[Descuento_pct]]))</f>
        <v>5690.3760000000002</v>
      </c>
      <c r="P1700">
        <f>IF(TablaVentas[[#This Row],[Costo_unitario]]="","PENDIENTE",TablaVentas[[#This Row],[Unidades]]*TablaVentas[[#This Row],[Costo_unitario]])</f>
        <v>3298.19</v>
      </c>
      <c r="Q1700">
        <f>IF(OR(TablaVentas[[#This Row],[Ingreso_neto]]="PENDIENTE",TablaVentas[[#This Row],[Costo_total]]="PENDIENTE"),"PENDIENTE",TablaVentas[[#This Row],[Ingreso_neto]]-TablaVentas[[#This Row],[Costo_total]])</f>
        <v>2392.1860000000001</v>
      </c>
    </row>
    <row r="1701" spans="1:18">
      <c r="A1701" t="s">
        <v>1117</v>
      </c>
      <c r="B1701">
        <v>2</v>
      </c>
      <c r="C1701" s="3">
        <v>46097</v>
      </c>
      <c r="D1701" t="s">
        <v>1070</v>
      </c>
      <c r="E1701" t="s">
        <v>335</v>
      </c>
      <c r="F1701" t="s">
        <v>66</v>
      </c>
      <c r="G1701" t="s">
        <v>50</v>
      </c>
      <c r="H1701" t="s">
        <v>67</v>
      </c>
      <c r="I1701">
        <v>4</v>
      </c>
      <c r="J1701" s="4">
        <v>7647</v>
      </c>
      <c r="K1701" s="5">
        <v>0</v>
      </c>
      <c r="L1701" s="4">
        <v>5587.31</v>
      </c>
      <c r="M1701" t="s">
        <v>42</v>
      </c>
      <c r="N1701" t="s">
        <v>45</v>
      </c>
      <c r="O1701">
        <f>IF(TablaVentas[[#This Row],[Precio_unitario]]="","PENDIENTE",TablaVentas[[#This Row],[Unidades]]*TablaVentas[[#This Row],[Precio_unitario]]*(1-TablaVentas[[#This Row],[Descuento_pct]]))</f>
        <v>30588</v>
      </c>
      <c r="P1701">
        <f>IF(TablaVentas[[#This Row],[Costo_unitario]]="","PENDIENTE",TablaVentas[[#This Row],[Unidades]]*TablaVentas[[#This Row],[Costo_unitario]])</f>
        <v>22349.24</v>
      </c>
      <c r="Q1701">
        <f>IF(OR(TablaVentas[[#This Row],[Ingreso_neto]]="PENDIENTE",TablaVentas[[#This Row],[Costo_total]]="PENDIENTE"),"PENDIENTE",TablaVentas[[#This Row],[Ingreso_neto]]-TablaVentas[[#This Row],[Costo_total]])</f>
        <v>8238.7599999999984</v>
      </c>
    </row>
    <row r="1702" spans="1:18">
      <c r="A1702" t="s">
        <v>1117</v>
      </c>
      <c r="B1702">
        <v>3</v>
      </c>
      <c r="C1702" s="3">
        <v>46097</v>
      </c>
      <c r="D1702" t="s">
        <v>1070</v>
      </c>
      <c r="E1702" t="s">
        <v>320</v>
      </c>
      <c r="F1702" t="s">
        <v>66</v>
      </c>
      <c r="G1702" t="s">
        <v>50</v>
      </c>
      <c r="H1702" t="s">
        <v>67</v>
      </c>
      <c r="I1702">
        <v>3</v>
      </c>
      <c r="J1702" s="4">
        <v>5067.9399999999996</v>
      </c>
      <c r="K1702" s="5">
        <v>0</v>
      </c>
      <c r="L1702" s="4">
        <v>3065.66</v>
      </c>
      <c r="M1702" t="s">
        <v>116</v>
      </c>
      <c r="N1702" t="s">
        <v>43</v>
      </c>
      <c r="O1702">
        <f>IF(TablaVentas[[#This Row],[Precio_unitario]]="","PENDIENTE",TablaVentas[[#This Row],[Unidades]]*TablaVentas[[#This Row],[Precio_unitario]]*(1-TablaVentas[[#This Row],[Descuento_pct]]))</f>
        <v>15203.82</v>
      </c>
      <c r="P1702">
        <f>IF(TablaVentas[[#This Row],[Costo_unitario]]="","PENDIENTE",TablaVentas[[#This Row],[Unidades]]*TablaVentas[[#This Row],[Costo_unitario]])</f>
        <v>9196.98</v>
      </c>
      <c r="Q1702">
        <f>IF(OR(TablaVentas[[#This Row],[Ingreso_neto]]="PENDIENTE",TablaVentas[[#This Row],[Costo_total]]="PENDIENTE"),"PENDIENTE",TablaVentas[[#This Row],[Ingreso_neto]]-TablaVentas[[#This Row],[Costo_total]])</f>
        <v>6006.84</v>
      </c>
    </row>
    <row r="1703" spans="1:18">
      <c r="A1703" t="s">
        <v>1117</v>
      </c>
      <c r="B1703">
        <v>4</v>
      </c>
      <c r="C1703" s="3">
        <v>46097</v>
      </c>
      <c r="D1703" t="s">
        <v>1070</v>
      </c>
      <c r="E1703" t="s">
        <v>65</v>
      </c>
      <c r="F1703" t="s">
        <v>66</v>
      </c>
      <c r="G1703" t="s">
        <v>50</v>
      </c>
      <c r="H1703" t="s">
        <v>67</v>
      </c>
      <c r="I1703">
        <v>2</v>
      </c>
      <c r="J1703" s="4">
        <v>11349.72</v>
      </c>
      <c r="K1703" s="5">
        <v>0.85</v>
      </c>
      <c r="L1703" s="4">
        <v>7328.02</v>
      </c>
      <c r="M1703" t="s">
        <v>42</v>
      </c>
      <c r="N1703" t="s">
        <v>45</v>
      </c>
      <c r="O1703">
        <f>IF(TablaVentas[[#This Row],[Precio_unitario]]="","PENDIENTE",TablaVentas[[#This Row],[Unidades]]*TablaVentas[[#This Row],[Precio_unitario]]*(1-TablaVentas[[#This Row],[Descuento_pct]]))</f>
        <v>3404.9160000000002</v>
      </c>
      <c r="P1703">
        <f>IF(TablaVentas[[#This Row],[Costo_unitario]]="","PENDIENTE",TablaVentas[[#This Row],[Unidades]]*TablaVentas[[#This Row],[Costo_unitario]])</f>
        <v>14656.04</v>
      </c>
      <c r="Q1703">
        <f>IF(OR(TablaVentas[[#This Row],[Ingreso_neto]]="PENDIENTE",TablaVentas[[#This Row],[Costo_total]]="PENDIENTE"),"PENDIENTE",TablaVentas[[#This Row],[Ingreso_neto]]-TablaVentas[[#This Row],[Costo_total]])</f>
        <v>-11251.124</v>
      </c>
      <c r="R1703" t="s">
        <v>1118</v>
      </c>
    </row>
    <row r="1704" spans="1:18">
      <c r="A1704" t="s">
        <v>1119</v>
      </c>
      <c r="B1704">
        <v>1</v>
      </c>
      <c r="C1704" s="3">
        <v>46102</v>
      </c>
      <c r="D1704" t="s">
        <v>1120</v>
      </c>
      <c r="E1704" t="s">
        <v>233</v>
      </c>
      <c r="F1704" t="s">
        <v>66</v>
      </c>
      <c r="G1704" t="s">
        <v>40</v>
      </c>
      <c r="H1704" t="s">
        <v>67</v>
      </c>
      <c r="I1704">
        <v>2</v>
      </c>
      <c r="J1704" s="4">
        <v>9787.67</v>
      </c>
      <c r="K1704" s="5">
        <v>0</v>
      </c>
      <c r="L1704" s="4">
        <v>5932.12</v>
      </c>
      <c r="M1704" t="s">
        <v>42</v>
      </c>
      <c r="N1704" t="s">
        <v>43</v>
      </c>
      <c r="O1704">
        <f>IF(TablaVentas[[#This Row],[Precio_unitario]]="","PENDIENTE",TablaVentas[[#This Row],[Unidades]]*TablaVentas[[#This Row],[Precio_unitario]]*(1-TablaVentas[[#This Row],[Descuento_pct]]))</f>
        <v>19575.34</v>
      </c>
      <c r="P1704">
        <f>IF(TablaVentas[[#This Row],[Costo_unitario]]="","PENDIENTE",TablaVentas[[#This Row],[Unidades]]*TablaVentas[[#This Row],[Costo_unitario]])</f>
        <v>11864.24</v>
      </c>
      <c r="Q1704">
        <f>IF(OR(TablaVentas[[#This Row],[Ingreso_neto]]="PENDIENTE",TablaVentas[[#This Row],[Costo_total]]="PENDIENTE"),"PENDIENTE",TablaVentas[[#This Row],[Ingreso_neto]]-TablaVentas[[#This Row],[Costo_total]])</f>
        <v>7711.1</v>
      </c>
    </row>
    <row r="1705" spans="1:18">
      <c r="A1705" t="s">
        <v>1119</v>
      </c>
      <c r="B1705">
        <v>2</v>
      </c>
      <c r="C1705" s="3">
        <v>46102</v>
      </c>
      <c r="D1705" t="s">
        <v>1120</v>
      </c>
      <c r="E1705" t="s">
        <v>167</v>
      </c>
      <c r="F1705" t="s">
        <v>66</v>
      </c>
      <c r="G1705" t="s">
        <v>40</v>
      </c>
      <c r="H1705" t="s">
        <v>67</v>
      </c>
      <c r="I1705">
        <v>1</v>
      </c>
      <c r="J1705" s="4">
        <v>18066.689999999999</v>
      </c>
      <c r="K1705" s="5">
        <v>0.15</v>
      </c>
      <c r="L1705" s="4">
        <v>8704.4</v>
      </c>
      <c r="M1705" t="s">
        <v>42</v>
      </c>
      <c r="N1705" t="s">
        <v>52</v>
      </c>
      <c r="O1705">
        <f>IF(TablaVentas[[#This Row],[Precio_unitario]]="","PENDIENTE",TablaVentas[[#This Row],[Unidades]]*TablaVentas[[#This Row],[Precio_unitario]]*(1-TablaVentas[[#This Row],[Descuento_pct]]))</f>
        <v>15356.686499999998</v>
      </c>
      <c r="P1705">
        <f>IF(TablaVentas[[#This Row],[Costo_unitario]]="","PENDIENTE",TablaVentas[[#This Row],[Unidades]]*TablaVentas[[#This Row],[Costo_unitario]])</f>
        <v>8704.4</v>
      </c>
      <c r="Q1705">
        <f>IF(OR(TablaVentas[[#This Row],[Ingreso_neto]]="PENDIENTE",TablaVentas[[#This Row],[Costo_total]]="PENDIENTE"),"PENDIENTE",TablaVentas[[#This Row],[Ingreso_neto]]-TablaVentas[[#This Row],[Costo_total]])</f>
        <v>6652.2864999999983</v>
      </c>
    </row>
    <row r="1706" spans="1:18">
      <c r="A1706" t="s">
        <v>1119</v>
      </c>
      <c r="B1706">
        <v>3</v>
      </c>
      <c r="C1706" s="3">
        <v>46102</v>
      </c>
      <c r="D1706" t="s">
        <v>1120</v>
      </c>
      <c r="E1706" t="s">
        <v>335</v>
      </c>
      <c r="F1706" t="s">
        <v>66</v>
      </c>
      <c r="G1706" t="s">
        <v>40</v>
      </c>
      <c r="H1706" t="s">
        <v>67</v>
      </c>
      <c r="I1706">
        <v>8</v>
      </c>
      <c r="J1706" s="4">
        <v>6852.03</v>
      </c>
      <c r="K1706" s="5">
        <v>0</v>
      </c>
      <c r="L1706" s="4">
        <v>5587.31</v>
      </c>
      <c r="M1706" t="s">
        <v>42</v>
      </c>
      <c r="N1706" t="s">
        <v>52</v>
      </c>
      <c r="O1706">
        <f>IF(TablaVentas[[#This Row],[Precio_unitario]]="","PENDIENTE",TablaVentas[[#This Row],[Unidades]]*TablaVentas[[#This Row],[Precio_unitario]]*(1-TablaVentas[[#This Row],[Descuento_pct]]))</f>
        <v>54816.24</v>
      </c>
      <c r="P1706">
        <f>IF(TablaVentas[[#This Row],[Costo_unitario]]="","PENDIENTE",TablaVentas[[#This Row],[Unidades]]*TablaVentas[[#This Row],[Costo_unitario]])</f>
        <v>44698.48</v>
      </c>
      <c r="Q1706">
        <f>IF(OR(TablaVentas[[#This Row],[Ingreso_neto]]="PENDIENTE",TablaVentas[[#This Row],[Costo_total]]="PENDIENTE"),"PENDIENTE",TablaVentas[[#This Row],[Ingreso_neto]]-TablaVentas[[#This Row],[Costo_total]])</f>
        <v>10117.759999999995</v>
      </c>
    </row>
    <row r="1707" spans="1:18">
      <c r="A1707" t="s">
        <v>1119</v>
      </c>
      <c r="B1707">
        <v>4</v>
      </c>
      <c r="C1707" s="3">
        <v>46102</v>
      </c>
      <c r="D1707" t="s">
        <v>1120</v>
      </c>
      <c r="E1707" t="s">
        <v>180</v>
      </c>
      <c r="F1707" t="s">
        <v>66</v>
      </c>
      <c r="G1707" t="s">
        <v>40</v>
      </c>
      <c r="H1707" t="s">
        <v>67</v>
      </c>
      <c r="I1707">
        <v>2</v>
      </c>
      <c r="J1707" s="4">
        <v>6000.05</v>
      </c>
      <c r="K1707" s="5">
        <v>0.15</v>
      </c>
      <c r="L1707" s="4">
        <v>3824.92</v>
      </c>
      <c r="M1707" t="s">
        <v>42</v>
      </c>
      <c r="N1707" t="s">
        <v>52</v>
      </c>
      <c r="O1707">
        <f>IF(TablaVentas[[#This Row],[Precio_unitario]]="","PENDIENTE",TablaVentas[[#This Row],[Unidades]]*TablaVentas[[#This Row],[Precio_unitario]]*(1-TablaVentas[[#This Row],[Descuento_pct]]))</f>
        <v>10200.085000000001</v>
      </c>
      <c r="P1707">
        <f>IF(TablaVentas[[#This Row],[Costo_unitario]]="","PENDIENTE",TablaVentas[[#This Row],[Unidades]]*TablaVentas[[#This Row],[Costo_unitario]])</f>
        <v>7649.84</v>
      </c>
      <c r="Q1707">
        <f>IF(OR(TablaVentas[[#This Row],[Ingreso_neto]]="PENDIENTE",TablaVentas[[#This Row],[Costo_total]]="PENDIENTE"),"PENDIENTE",TablaVentas[[#This Row],[Ingreso_neto]]-TablaVentas[[#This Row],[Costo_total]])</f>
        <v>2550.2450000000008</v>
      </c>
    </row>
    <row r="1708" spans="1:18">
      <c r="A1708" t="s">
        <v>1121</v>
      </c>
      <c r="B1708">
        <v>1</v>
      </c>
      <c r="C1708" s="3">
        <v>46162</v>
      </c>
      <c r="D1708" t="s">
        <v>220</v>
      </c>
      <c r="E1708" t="s">
        <v>293</v>
      </c>
      <c r="F1708" t="s">
        <v>77</v>
      </c>
      <c r="G1708" t="s">
        <v>57</v>
      </c>
      <c r="H1708" t="s">
        <v>102</v>
      </c>
      <c r="I1708">
        <v>1</v>
      </c>
      <c r="J1708" s="4">
        <v>1167.46</v>
      </c>
      <c r="K1708" s="5">
        <v>0.15</v>
      </c>
      <c r="L1708" s="4">
        <v>936.52</v>
      </c>
      <c r="M1708" t="s">
        <v>42</v>
      </c>
      <c r="N1708" t="s">
        <v>60</v>
      </c>
      <c r="O1708">
        <f>IF(TablaVentas[[#This Row],[Precio_unitario]]="","PENDIENTE",TablaVentas[[#This Row],[Unidades]]*TablaVentas[[#This Row],[Precio_unitario]]*(1-TablaVentas[[#This Row],[Descuento_pct]]))</f>
        <v>992.34100000000001</v>
      </c>
      <c r="P1708">
        <f>IF(TablaVentas[[#This Row],[Costo_unitario]]="","PENDIENTE",TablaVentas[[#This Row],[Unidades]]*TablaVentas[[#This Row],[Costo_unitario]])</f>
        <v>936.52</v>
      </c>
      <c r="Q1708">
        <f>IF(OR(TablaVentas[[#This Row],[Ingreso_neto]]="PENDIENTE",TablaVentas[[#This Row],[Costo_total]]="PENDIENTE"),"PENDIENTE",TablaVentas[[#This Row],[Ingreso_neto]]-TablaVentas[[#This Row],[Costo_total]])</f>
        <v>55.821000000000026</v>
      </c>
    </row>
    <row r="1709" spans="1:18">
      <c r="A1709" t="s">
        <v>1121</v>
      </c>
      <c r="B1709">
        <v>2</v>
      </c>
      <c r="C1709" s="3">
        <v>46162</v>
      </c>
      <c r="D1709" t="s">
        <v>220</v>
      </c>
      <c r="E1709" t="s">
        <v>211</v>
      </c>
      <c r="F1709" t="s">
        <v>77</v>
      </c>
      <c r="G1709" t="s">
        <v>57</v>
      </c>
      <c r="H1709" t="s">
        <v>102</v>
      </c>
      <c r="I1709">
        <v>1</v>
      </c>
      <c r="J1709" s="4">
        <v>18599.22</v>
      </c>
      <c r="K1709" s="5">
        <v>0</v>
      </c>
      <c r="L1709" s="4">
        <v>13760.53</v>
      </c>
      <c r="M1709" t="s">
        <v>42</v>
      </c>
      <c r="N1709" t="s">
        <v>60</v>
      </c>
      <c r="O1709">
        <f>IF(TablaVentas[[#This Row],[Precio_unitario]]="","PENDIENTE",TablaVentas[[#This Row],[Unidades]]*TablaVentas[[#This Row],[Precio_unitario]]*(1-TablaVentas[[#This Row],[Descuento_pct]]))</f>
        <v>18599.22</v>
      </c>
      <c r="P1709">
        <f>IF(TablaVentas[[#This Row],[Costo_unitario]]="","PENDIENTE",TablaVentas[[#This Row],[Unidades]]*TablaVentas[[#This Row],[Costo_unitario]])</f>
        <v>13760.53</v>
      </c>
      <c r="Q1709">
        <f>IF(OR(TablaVentas[[#This Row],[Ingreso_neto]]="PENDIENTE",TablaVentas[[#This Row],[Costo_total]]="PENDIENTE"),"PENDIENTE",TablaVentas[[#This Row],[Ingreso_neto]]-TablaVentas[[#This Row],[Costo_total]])</f>
        <v>4838.6900000000005</v>
      </c>
    </row>
    <row r="1710" spans="1:18">
      <c r="A1710" t="s">
        <v>1121</v>
      </c>
      <c r="B1710">
        <v>3</v>
      </c>
      <c r="C1710" s="3">
        <v>46162</v>
      </c>
      <c r="D1710" t="s">
        <v>220</v>
      </c>
      <c r="E1710" t="s">
        <v>144</v>
      </c>
      <c r="F1710" t="s">
        <v>77</v>
      </c>
      <c r="G1710" t="s">
        <v>57</v>
      </c>
      <c r="H1710" t="s">
        <v>102</v>
      </c>
      <c r="I1710">
        <v>2</v>
      </c>
      <c r="J1710" s="4">
        <v>8488.69</v>
      </c>
      <c r="K1710" s="5">
        <v>0</v>
      </c>
      <c r="L1710" s="4">
        <v>5125.3599999999997</v>
      </c>
      <c r="M1710" t="s">
        <v>42</v>
      </c>
      <c r="N1710" t="s">
        <v>45</v>
      </c>
      <c r="O1710">
        <f>IF(TablaVentas[[#This Row],[Precio_unitario]]="","PENDIENTE",TablaVentas[[#This Row],[Unidades]]*TablaVentas[[#This Row],[Precio_unitario]]*(1-TablaVentas[[#This Row],[Descuento_pct]]))</f>
        <v>16977.38</v>
      </c>
      <c r="P1710">
        <f>IF(TablaVentas[[#This Row],[Costo_unitario]]="","PENDIENTE",TablaVentas[[#This Row],[Unidades]]*TablaVentas[[#This Row],[Costo_unitario]])</f>
        <v>10250.719999999999</v>
      </c>
      <c r="Q1710">
        <f>IF(OR(TablaVentas[[#This Row],[Ingreso_neto]]="PENDIENTE",TablaVentas[[#This Row],[Costo_total]]="PENDIENTE"),"PENDIENTE",TablaVentas[[#This Row],[Ingreso_neto]]-TablaVentas[[#This Row],[Costo_total]])</f>
        <v>6726.6600000000017</v>
      </c>
    </row>
    <row r="1711" spans="1:18">
      <c r="A1711" t="s">
        <v>1122</v>
      </c>
      <c r="B1711">
        <v>1</v>
      </c>
      <c r="C1711" s="3">
        <v>46235</v>
      </c>
      <c r="D1711" t="s">
        <v>492</v>
      </c>
      <c r="E1711" t="s">
        <v>185</v>
      </c>
      <c r="F1711" t="s">
        <v>66</v>
      </c>
      <c r="G1711" t="s">
        <v>57</v>
      </c>
      <c r="H1711" t="s">
        <v>102</v>
      </c>
      <c r="I1711">
        <v>2</v>
      </c>
      <c r="J1711" s="4">
        <v>18462.68</v>
      </c>
      <c r="K1711" s="5">
        <v>0.15</v>
      </c>
      <c r="L1711" s="4">
        <v>11904.09</v>
      </c>
      <c r="M1711" t="s">
        <v>42</v>
      </c>
      <c r="N1711" t="s">
        <v>52</v>
      </c>
      <c r="O1711">
        <f>IF(TablaVentas[[#This Row],[Precio_unitario]]="","PENDIENTE",TablaVentas[[#This Row],[Unidades]]*TablaVentas[[#This Row],[Precio_unitario]]*(1-TablaVentas[[#This Row],[Descuento_pct]]))</f>
        <v>31386.556</v>
      </c>
      <c r="P1711">
        <f>IF(TablaVentas[[#This Row],[Costo_unitario]]="","PENDIENTE",TablaVentas[[#This Row],[Unidades]]*TablaVentas[[#This Row],[Costo_unitario]])</f>
        <v>23808.18</v>
      </c>
      <c r="Q1711">
        <f>IF(OR(TablaVentas[[#This Row],[Ingreso_neto]]="PENDIENTE",TablaVentas[[#This Row],[Costo_total]]="PENDIENTE"),"PENDIENTE",TablaVentas[[#This Row],[Ingreso_neto]]-TablaVentas[[#This Row],[Costo_total]])</f>
        <v>7578.3760000000002</v>
      </c>
    </row>
    <row r="1712" spans="1:18">
      <c r="A1712" t="s">
        <v>1122</v>
      </c>
      <c r="B1712">
        <v>2</v>
      </c>
      <c r="C1712" s="3">
        <v>46235</v>
      </c>
      <c r="D1712" t="s">
        <v>492</v>
      </c>
      <c r="E1712" t="s">
        <v>167</v>
      </c>
      <c r="F1712" t="s">
        <v>66</v>
      </c>
      <c r="G1712" t="s">
        <v>57</v>
      </c>
      <c r="H1712" t="s">
        <v>102</v>
      </c>
      <c r="I1712">
        <v>2</v>
      </c>
      <c r="J1712" s="4">
        <v>17109.91</v>
      </c>
      <c r="K1712" s="5">
        <v>0</v>
      </c>
      <c r="L1712" s="4">
        <v>8704.4</v>
      </c>
      <c r="M1712" t="s">
        <v>42</v>
      </c>
      <c r="N1712" t="s">
        <v>45</v>
      </c>
      <c r="O1712">
        <f>IF(TablaVentas[[#This Row],[Precio_unitario]]="","PENDIENTE",TablaVentas[[#This Row],[Unidades]]*TablaVentas[[#This Row],[Precio_unitario]]*(1-TablaVentas[[#This Row],[Descuento_pct]]))</f>
        <v>34219.82</v>
      </c>
      <c r="P1712">
        <f>IF(TablaVentas[[#This Row],[Costo_unitario]]="","PENDIENTE",TablaVentas[[#This Row],[Unidades]]*TablaVentas[[#This Row],[Costo_unitario]])</f>
        <v>17408.8</v>
      </c>
      <c r="Q1712">
        <f>IF(OR(TablaVentas[[#This Row],[Ingreso_neto]]="PENDIENTE",TablaVentas[[#This Row],[Costo_total]]="PENDIENTE"),"PENDIENTE",TablaVentas[[#This Row],[Ingreso_neto]]-TablaVentas[[#This Row],[Costo_total]])</f>
        <v>16811.02</v>
      </c>
    </row>
    <row r="1713" spans="1:17">
      <c r="A1713" t="s">
        <v>1123</v>
      </c>
      <c r="B1713">
        <v>1</v>
      </c>
      <c r="C1713" s="3">
        <v>46065</v>
      </c>
      <c r="D1713" t="s">
        <v>302</v>
      </c>
      <c r="E1713" t="s">
        <v>133</v>
      </c>
      <c r="F1713" t="s">
        <v>39</v>
      </c>
      <c r="G1713" t="s">
        <v>50</v>
      </c>
      <c r="H1713" t="s">
        <v>41</v>
      </c>
      <c r="I1713">
        <v>1</v>
      </c>
      <c r="J1713" s="4">
        <v>7847.18</v>
      </c>
      <c r="K1713" s="5">
        <v>0.2</v>
      </c>
      <c r="L1713" s="4">
        <v>4061.34</v>
      </c>
      <c r="M1713" t="s">
        <v>42</v>
      </c>
      <c r="N1713" t="s">
        <v>45</v>
      </c>
      <c r="O1713">
        <f>IF(TablaVentas[[#This Row],[Precio_unitario]]="","PENDIENTE",TablaVentas[[#This Row],[Unidades]]*TablaVentas[[#This Row],[Precio_unitario]]*(1-TablaVentas[[#This Row],[Descuento_pct]]))</f>
        <v>6277.7440000000006</v>
      </c>
      <c r="P1713">
        <f>IF(TablaVentas[[#This Row],[Costo_unitario]]="","PENDIENTE",TablaVentas[[#This Row],[Unidades]]*TablaVentas[[#This Row],[Costo_unitario]])</f>
        <v>4061.34</v>
      </c>
      <c r="Q1713">
        <f>IF(OR(TablaVentas[[#This Row],[Ingreso_neto]]="PENDIENTE",TablaVentas[[#This Row],[Costo_total]]="PENDIENTE"),"PENDIENTE",TablaVentas[[#This Row],[Ingreso_neto]]-TablaVentas[[#This Row],[Costo_total]])</f>
        <v>2216.4040000000005</v>
      </c>
    </row>
    <row r="1714" spans="1:17">
      <c r="A1714" t="s">
        <v>1123</v>
      </c>
      <c r="B1714">
        <v>2</v>
      </c>
      <c r="C1714" s="3">
        <v>46065</v>
      </c>
      <c r="D1714" t="s">
        <v>302</v>
      </c>
      <c r="E1714" t="s">
        <v>160</v>
      </c>
      <c r="F1714" t="s">
        <v>39</v>
      </c>
      <c r="G1714" t="s">
        <v>50</v>
      </c>
      <c r="H1714" t="s">
        <v>41</v>
      </c>
      <c r="I1714">
        <v>1</v>
      </c>
      <c r="J1714" s="4">
        <v>7265.6</v>
      </c>
      <c r="K1714" s="5">
        <v>0.1</v>
      </c>
      <c r="L1714" s="4">
        <v>4082.15</v>
      </c>
      <c r="M1714" t="s">
        <v>42</v>
      </c>
      <c r="N1714" t="s">
        <v>52</v>
      </c>
      <c r="O1714">
        <f>IF(TablaVentas[[#This Row],[Precio_unitario]]="","PENDIENTE",TablaVentas[[#This Row],[Unidades]]*TablaVentas[[#This Row],[Precio_unitario]]*(1-TablaVentas[[#This Row],[Descuento_pct]]))</f>
        <v>6539.0400000000009</v>
      </c>
      <c r="P1714">
        <f>IF(TablaVentas[[#This Row],[Costo_unitario]]="","PENDIENTE",TablaVentas[[#This Row],[Unidades]]*TablaVentas[[#This Row],[Costo_unitario]])</f>
        <v>4082.15</v>
      </c>
      <c r="Q1714">
        <f>IF(OR(TablaVentas[[#This Row],[Ingreso_neto]]="PENDIENTE",TablaVentas[[#This Row],[Costo_total]]="PENDIENTE"),"PENDIENTE",TablaVentas[[#This Row],[Ingreso_neto]]-TablaVentas[[#This Row],[Costo_total]])</f>
        <v>2456.8900000000008</v>
      </c>
    </row>
    <row r="1715" spans="1:17">
      <c r="A1715" t="s">
        <v>1123</v>
      </c>
      <c r="B1715">
        <v>3</v>
      </c>
      <c r="C1715" s="3">
        <v>46065</v>
      </c>
      <c r="D1715" t="s">
        <v>302</v>
      </c>
      <c r="E1715" t="s">
        <v>212</v>
      </c>
      <c r="F1715" t="s">
        <v>39</v>
      </c>
      <c r="G1715" t="s">
        <v>50</v>
      </c>
      <c r="H1715" t="s">
        <v>41</v>
      </c>
      <c r="I1715">
        <v>1</v>
      </c>
      <c r="J1715" s="4">
        <v>3604.49</v>
      </c>
      <c r="K1715" s="5">
        <v>0.2</v>
      </c>
      <c r="L1715" s="4">
        <v>2157.5500000000002</v>
      </c>
      <c r="M1715" t="s">
        <v>42</v>
      </c>
      <c r="N1715" t="s">
        <v>52</v>
      </c>
      <c r="O1715">
        <f>IF(TablaVentas[[#This Row],[Precio_unitario]]="","PENDIENTE",TablaVentas[[#This Row],[Unidades]]*TablaVentas[[#This Row],[Precio_unitario]]*(1-TablaVentas[[#This Row],[Descuento_pct]]))</f>
        <v>2883.5920000000001</v>
      </c>
      <c r="P1715">
        <f>IF(TablaVentas[[#This Row],[Costo_unitario]]="","PENDIENTE",TablaVentas[[#This Row],[Unidades]]*TablaVentas[[#This Row],[Costo_unitario]])</f>
        <v>2157.5500000000002</v>
      </c>
      <c r="Q1715">
        <f>IF(OR(TablaVentas[[#This Row],[Ingreso_neto]]="PENDIENTE",TablaVentas[[#This Row],[Costo_total]]="PENDIENTE"),"PENDIENTE",TablaVentas[[#This Row],[Ingreso_neto]]-TablaVentas[[#This Row],[Costo_total]])</f>
        <v>726.04199999999992</v>
      </c>
    </row>
    <row r="1716" spans="1:17">
      <c r="A1716" t="s">
        <v>1124</v>
      </c>
      <c r="B1716">
        <v>1</v>
      </c>
      <c r="C1716" s="3">
        <v>46258</v>
      </c>
      <c r="D1716" t="s">
        <v>344</v>
      </c>
      <c r="E1716" t="s">
        <v>106</v>
      </c>
      <c r="F1716" t="s">
        <v>77</v>
      </c>
      <c r="G1716" t="s">
        <v>40</v>
      </c>
      <c r="H1716" t="s">
        <v>102</v>
      </c>
      <c r="I1716">
        <v>4</v>
      </c>
      <c r="J1716" s="4">
        <v>10061.06</v>
      </c>
      <c r="K1716" s="5">
        <v>0.05</v>
      </c>
      <c r="L1716" s="4">
        <v>8276.74</v>
      </c>
      <c r="M1716" t="s">
        <v>42</v>
      </c>
      <c r="N1716" t="s">
        <v>45</v>
      </c>
      <c r="O1716">
        <f>IF(TablaVentas[[#This Row],[Precio_unitario]]="","PENDIENTE",TablaVentas[[#This Row],[Unidades]]*TablaVentas[[#This Row],[Precio_unitario]]*(1-TablaVentas[[#This Row],[Descuento_pct]]))</f>
        <v>38232.027999999998</v>
      </c>
      <c r="P1716">
        <f>IF(TablaVentas[[#This Row],[Costo_unitario]]="","PENDIENTE",TablaVentas[[#This Row],[Unidades]]*TablaVentas[[#This Row],[Costo_unitario]])</f>
        <v>33106.959999999999</v>
      </c>
      <c r="Q1716">
        <f>IF(OR(TablaVentas[[#This Row],[Ingreso_neto]]="PENDIENTE",TablaVentas[[#This Row],[Costo_total]]="PENDIENTE"),"PENDIENTE",TablaVentas[[#This Row],[Ingreso_neto]]-TablaVentas[[#This Row],[Costo_total]])</f>
        <v>5125.0679999999993</v>
      </c>
    </row>
    <row r="1717" spans="1:17">
      <c r="A1717" t="s">
        <v>1124</v>
      </c>
      <c r="B1717">
        <v>2</v>
      </c>
      <c r="C1717" s="3">
        <v>46258</v>
      </c>
      <c r="D1717" t="s">
        <v>344</v>
      </c>
      <c r="E1717" t="s">
        <v>139</v>
      </c>
      <c r="F1717" t="s">
        <v>77</v>
      </c>
      <c r="G1717" t="s">
        <v>40</v>
      </c>
      <c r="H1717" t="s">
        <v>102</v>
      </c>
      <c r="I1717">
        <v>1</v>
      </c>
      <c r="J1717" s="4">
        <v>9106.52</v>
      </c>
      <c r="K1717" s="5">
        <v>0</v>
      </c>
      <c r="L1717" s="4">
        <v>8002.16</v>
      </c>
      <c r="M1717" t="s">
        <v>42</v>
      </c>
      <c r="N1717" t="s">
        <v>43</v>
      </c>
      <c r="O1717">
        <f>IF(TablaVentas[[#This Row],[Precio_unitario]]="","PENDIENTE",TablaVentas[[#This Row],[Unidades]]*TablaVentas[[#This Row],[Precio_unitario]]*(1-TablaVentas[[#This Row],[Descuento_pct]]))</f>
        <v>9106.52</v>
      </c>
      <c r="P1717">
        <f>IF(TablaVentas[[#This Row],[Costo_unitario]]="","PENDIENTE",TablaVentas[[#This Row],[Unidades]]*TablaVentas[[#This Row],[Costo_unitario]])</f>
        <v>8002.16</v>
      </c>
      <c r="Q1717">
        <f>IF(OR(TablaVentas[[#This Row],[Ingreso_neto]]="PENDIENTE",TablaVentas[[#This Row],[Costo_total]]="PENDIENTE"),"PENDIENTE",TablaVentas[[#This Row],[Ingreso_neto]]-TablaVentas[[#This Row],[Costo_total]])</f>
        <v>1104.3600000000006</v>
      </c>
    </row>
    <row r="1718" spans="1:17">
      <c r="A1718" t="s">
        <v>1125</v>
      </c>
      <c r="B1718">
        <v>1</v>
      </c>
      <c r="C1718" s="3">
        <v>46115</v>
      </c>
      <c r="D1718" t="s">
        <v>150</v>
      </c>
      <c r="E1718" t="s">
        <v>233</v>
      </c>
      <c r="F1718" t="s">
        <v>39</v>
      </c>
      <c r="G1718" t="s">
        <v>40</v>
      </c>
      <c r="H1718" t="s">
        <v>73</v>
      </c>
      <c r="I1718">
        <v>2</v>
      </c>
      <c r="J1718" s="4">
        <v>9906.1</v>
      </c>
      <c r="K1718" s="5">
        <v>0</v>
      </c>
      <c r="L1718" s="4">
        <v>5932.12</v>
      </c>
      <c r="M1718" t="s">
        <v>116</v>
      </c>
      <c r="N1718" t="s">
        <v>60</v>
      </c>
      <c r="O1718">
        <f>IF(TablaVentas[[#This Row],[Precio_unitario]]="","PENDIENTE",TablaVentas[[#This Row],[Unidades]]*TablaVentas[[#This Row],[Precio_unitario]]*(1-TablaVentas[[#This Row],[Descuento_pct]]))</f>
        <v>19812.2</v>
      </c>
      <c r="P1718">
        <f>IF(TablaVentas[[#This Row],[Costo_unitario]]="","PENDIENTE",TablaVentas[[#This Row],[Unidades]]*TablaVentas[[#This Row],[Costo_unitario]])</f>
        <v>11864.24</v>
      </c>
      <c r="Q1718">
        <f>IF(OR(TablaVentas[[#This Row],[Ingreso_neto]]="PENDIENTE",TablaVentas[[#This Row],[Costo_total]]="PENDIENTE"),"PENDIENTE",TablaVentas[[#This Row],[Ingreso_neto]]-TablaVentas[[#This Row],[Costo_total]])</f>
        <v>7947.9600000000009</v>
      </c>
    </row>
    <row r="1719" spans="1:17">
      <c r="A1719" t="s">
        <v>1125</v>
      </c>
      <c r="B1719">
        <v>2</v>
      </c>
      <c r="C1719" s="3">
        <v>46115</v>
      </c>
      <c r="D1719" t="s">
        <v>150</v>
      </c>
      <c r="E1719" t="s">
        <v>253</v>
      </c>
      <c r="F1719" t="s">
        <v>39</v>
      </c>
      <c r="G1719" t="s">
        <v>40</v>
      </c>
      <c r="H1719" t="s">
        <v>73</v>
      </c>
      <c r="I1719">
        <v>8</v>
      </c>
      <c r="J1719" s="4">
        <v>2758.38</v>
      </c>
      <c r="K1719" s="5">
        <v>0</v>
      </c>
      <c r="L1719" s="4">
        <v>2486.1799999999998</v>
      </c>
      <c r="M1719" t="s">
        <v>42</v>
      </c>
      <c r="N1719" t="s">
        <v>60</v>
      </c>
      <c r="O1719">
        <f>IF(TablaVentas[[#This Row],[Precio_unitario]]="","PENDIENTE",TablaVentas[[#This Row],[Unidades]]*TablaVentas[[#This Row],[Precio_unitario]]*(1-TablaVentas[[#This Row],[Descuento_pct]]))</f>
        <v>22067.040000000001</v>
      </c>
      <c r="P1719">
        <f>IF(TablaVentas[[#This Row],[Costo_unitario]]="","PENDIENTE",TablaVentas[[#This Row],[Unidades]]*TablaVentas[[#This Row],[Costo_unitario]])</f>
        <v>19889.439999999999</v>
      </c>
      <c r="Q1719">
        <f>IF(OR(TablaVentas[[#This Row],[Ingreso_neto]]="PENDIENTE",TablaVentas[[#This Row],[Costo_total]]="PENDIENTE"),"PENDIENTE",TablaVentas[[#This Row],[Ingreso_neto]]-TablaVentas[[#This Row],[Costo_total]])</f>
        <v>2177.6000000000022</v>
      </c>
    </row>
    <row r="1720" spans="1:17">
      <c r="A1720" t="s">
        <v>1125</v>
      </c>
      <c r="B1720">
        <v>3</v>
      </c>
      <c r="C1720" s="3">
        <v>46115</v>
      </c>
      <c r="D1720" t="s">
        <v>150</v>
      </c>
      <c r="E1720" t="s">
        <v>113</v>
      </c>
      <c r="F1720" t="s">
        <v>39</v>
      </c>
      <c r="G1720" t="s">
        <v>40</v>
      </c>
      <c r="H1720" t="s">
        <v>73</v>
      </c>
      <c r="I1720">
        <v>1</v>
      </c>
      <c r="J1720" s="4">
        <v>2926.63</v>
      </c>
      <c r="K1720" s="5">
        <v>0</v>
      </c>
      <c r="L1720" s="4">
        <v>2196.34</v>
      </c>
      <c r="M1720" t="s">
        <v>42</v>
      </c>
      <c r="N1720" t="s">
        <v>43</v>
      </c>
      <c r="O1720">
        <f>IF(TablaVentas[[#This Row],[Precio_unitario]]="","PENDIENTE",TablaVentas[[#This Row],[Unidades]]*TablaVentas[[#This Row],[Precio_unitario]]*(1-TablaVentas[[#This Row],[Descuento_pct]]))</f>
        <v>2926.63</v>
      </c>
      <c r="P1720">
        <f>IF(TablaVentas[[#This Row],[Costo_unitario]]="","PENDIENTE",TablaVentas[[#This Row],[Unidades]]*TablaVentas[[#This Row],[Costo_unitario]])</f>
        <v>2196.34</v>
      </c>
      <c r="Q1720">
        <f>IF(OR(TablaVentas[[#This Row],[Ingreso_neto]]="PENDIENTE",TablaVentas[[#This Row],[Costo_total]]="PENDIENTE"),"PENDIENTE",TablaVentas[[#This Row],[Ingreso_neto]]-TablaVentas[[#This Row],[Costo_total]])</f>
        <v>730.29</v>
      </c>
    </row>
    <row r="1721" spans="1:17">
      <c r="A1721" t="s">
        <v>1126</v>
      </c>
      <c r="B1721">
        <v>1</v>
      </c>
      <c r="C1721" s="3">
        <v>46124</v>
      </c>
      <c r="D1721" t="s">
        <v>255</v>
      </c>
      <c r="E1721" t="s">
        <v>208</v>
      </c>
      <c r="F1721" t="s">
        <v>56</v>
      </c>
      <c r="G1721" t="s">
        <v>50</v>
      </c>
      <c r="H1721" t="s">
        <v>51</v>
      </c>
      <c r="I1721">
        <v>2</v>
      </c>
      <c r="J1721" s="4">
        <v>10651.57</v>
      </c>
      <c r="K1721" s="5">
        <v>0</v>
      </c>
      <c r="L1721" s="4">
        <v>5535.31</v>
      </c>
      <c r="M1721" t="s">
        <v>42</v>
      </c>
      <c r="N1721" t="s">
        <v>43</v>
      </c>
      <c r="O1721">
        <f>IF(TablaVentas[[#This Row],[Precio_unitario]]="","PENDIENTE",TablaVentas[[#This Row],[Unidades]]*TablaVentas[[#This Row],[Precio_unitario]]*(1-TablaVentas[[#This Row],[Descuento_pct]]))</f>
        <v>21303.14</v>
      </c>
      <c r="P1721">
        <f>IF(TablaVentas[[#This Row],[Costo_unitario]]="","PENDIENTE",TablaVentas[[#This Row],[Unidades]]*TablaVentas[[#This Row],[Costo_unitario]])</f>
        <v>11070.62</v>
      </c>
      <c r="Q1721">
        <f>IF(OR(TablaVentas[[#This Row],[Ingreso_neto]]="PENDIENTE",TablaVentas[[#This Row],[Costo_total]]="PENDIENTE"),"PENDIENTE",TablaVentas[[#This Row],[Ingreso_neto]]-TablaVentas[[#This Row],[Costo_total]])</f>
        <v>10232.519999999999</v>
      </c>
    </row>
    <row r="1722" spans="1:17">
      <c r="A1722" t="s">
        <v>1127</v>
      </c>
      <c r="B1722">
        <v>1</v>
      </c>
      <c r="C1722" s="3">
        <v>46066</v>
      </c>
      <c r="D1722" t="s">
        <v>75</v>
      </c>
      <c r="E1722" t="s">
        <v>138</v>
      </c>
      <c r="F1722" t="s">
        <v>66</v>
      </c>
      <c r="G1722" t="s">
        <v>50</v>
      </c>
      <c r="H1722" t="s">
        <v>51</v>
      </c>
      <c r="I1722">
        <v>8</v>
      </c>
      <c r="J1722" s="4">
        <v>6537.86</v>
      </c>
      <c r="K1722" s="5">
        <v>0</v>
      </c>
      <c r="L1722" s="4">
        <v>4665.62</v>
      </c>
      <c r="M1722" t="s">
        <v>42</v>
      </c>
      <c r="N1722" t="s">
        <v>45</v>
      </c>
      <c r="O1722">
        <f>IF(TablaVentas[[#This Row],[Precio_unitario]]="","PENDIENTE",TablaVentas[[#This Row],[Unidades]]*TablaVentas[[#This Row],[Precio_unitario]]*(1-TablaVentas[[#This Row],[Descuento_pct]]))</f>
        <v>52302.879999999997</v>
      </c>
      <c r="P1722">
        <f>IF(TablaVentas[[#This Row],[Costo_unitario]]="","PENDIENTE",TablaVentas[[#This Row],[Unidades]]*TablaVentas[[#This Row],[Costo_unitario]])</f>
        <v>37324.959999999999</v>
      </c>
      <c r="Q1722">
        <f>IF(OR(TablaVentas[[#This Row],[Ingreso_neto]]="PENDIENTE",TablaVentas[[#This Row],[Costo_total]]="PENDIENTE"),"PENDIENTE",TablaVentas[[#This Row],[Ingreso_neto]]-TablaVentas[[#This Row],[Costo_total]])</f>
        <v>14977.919999999998</v>
      </c>
    </row>
    <row r="1723" spans="1:17">
      <c r="A1723" t="s">
        <v>1128</v>
      </c>
      <c r="B1723">
        <v>1</v>
      </c>
      <c r="C1723" s="3">
        <v>46139</v>
      </c>
      <c r="D1723" t="s">
        <v>242</v>
      </c>
      <c r="E1723" t="s">
        <v>86</v>
      </c>
      <c r="F1723" t="s">
        <v>56</v>
      </c>
      <c r="G1723" t="s">
        <v>40</v>
      </c>
      <c r="H1723" t="s">
        <v>129</v>
      </c>
      <c r="I1723">
        <v>2</v>
      </c>
      <c r="J1723" s="4">
        <v>15103.02</v>
      </c>
      <c r="K1723" s="5">
        <v>0</v>
      </c>
      <c r="L1723" s="4">
        <v>11166.03</v>
      </c>
      <c r="M1723" t="s">
        <v>42</v>
      </c>
      <c r="N1723" t="s">
        <v>52</v>
      </c>
      <c r="O1723">
        <f>IF(TablaVentas[[#This Row],[Precio_unitario]]="","PENDIENTE",TablaVentas[[#This Row],[Unidades]]*TablaVentas[[#This Row],[Precio_unitario]]*(1-TablaVentas[[#This Row],[Descuento_pct]]))</f>
        <v>30206.04</v>
      </c>
      <c r="P1723">
        <f>IF(TablaVentas[[#This Row],[Costo_unitario]]="","PENDIENTE",TablaVentas[[#This Row],[Unidades]]*TablaVentas[[#This Row],[Costo_unitario]])</f>
        <v>22332.06</v>
      </c>
      <c r="Q1723">
        <f>IF(OR(TablaVentas[[#This Row],[Ingreso_neto]]="PENDIENTE",TablaVentas[[#This Row],[Costo_total]]="PENDIENTE"),"PENDIENTE",TablaVentas[[#This Row],[Ingreso_neto]]-TablaVentas[[#This Row],[Costo_total]])</f>
        <v>7873.98</v>
      </c>
    </row>
    <row r="1724" spans="1:17">
      <c r="A1724" t="s">
        <v>1128</v>
      </c>
      <c r="B1724">
        <v>2</v>
      </c>
      <c r="C1724" s="3">
        <v>46139</v>
      </c>
      <c r="D1724" t="s">
        <v>242</v>
      </c>
      <c r="E1724" t="s">
        <v>273</v>
      </c>
      <c r="F1724" t="s">
        <v>56</v>
      </c>
      <c r="G1724" t="s">
        <v>40</v>
      </c>
      <c r="H1724" t="s">
        <v>129</v>
      </c>
      <c r="I1724">
        <v>1</v>
      </c>
      <c r="J1724" s="4">
        <v>1318.5</v>
      </c>
      <c r="K1724" s="5">
        <v>0.2</v>
      </c>
      <c r="L1724" s="4">
        <v>716.26</v>
      </c>
      <c r="M1724" t="s">
        <v>42</v>
      </c>
      <c r="N1724" t="s">
        <v>60</v>
      </c>
      <c r="O1724">
        <f>IF(TablaVentas[[#This Row],[Precio_unitario]]="","PENDIENTE",TablaVentas[[#This Row],[Unidades]]*TablaVentas[[#This Row],[Precio_unitario]]*(1-TablaVentas[[#This Row],[Descuento_pct]]))</f>
        <v>1054.8</v>
      </c>
      <c r="P1724">
        <f>IF(TablaVentas[[#This Row],[Costo_unitario]]="","PENDIENTE",TablaVentas[[#This Row],[Unidades]]*TablaVentas[[#This Row],[Costo_unitario]])</f>
        <v>716.26</v>
      </c>
      <c r="Q1724">
        <f>IF(OR(TablaVentas[[#This Row],[Ingreso_neto]]="PENDIENTE",TablaVentas[[#This Row],[Costo_total]]="PENDIENTE"),"PENDIENTE",TablaVentas[[#This Row],[Ingreso_neto]]-TablaVentas[[#This Row],[Costo_total]])</f>
        <v>338.53999999999996</v>
      </c>
    </row>
    <row r="1725" spans="1:17">
      <c r="A1725" t="s">
        <v>1129</v>
      </c>
      <c r="B1725">
        <v>1</v>
      </c>
      <c r="C1725" s="3">
        <v>46155</v>
      </c>
      <c r="D1725" t="s">
        <v>332</v>
      </c>
      <c r="E1725" t="s">
        <v>203</v>
      </c>
      <c r="F1725" t="s">
        <v>66</v>
      </c>
      <c r="G1725" t="s">
        <v>40</v>
      </c>
      <c r="H1725" t="s">
        <v>124</v>
      </c>
      <c r="I1725">
        <v>1</v>
      </c>
      <c r="J1725" s="4">
        <v>1813.04</v>
      </c>
      <c r="K1725" s="5">
        <v>0.05</v>
      </c>
      <c r="L1725" s="4">
        <v>1252.8399999999999</v>
      </c>
      <c r="M1725" t="s">
        <v>42</v>
      </c>
      <c r="N1725" t="s">
        <v>43</v>
      </c>
      <c r="O1725">
        <f>IF(TablaVentas[[#This Row],[Precio_unitario]]="","PENDIENTE",TablaVentas[[#This Row],[Unidades]]*TablaVentas[[#This Row],[Precio_unitario]]*(1-TablaVentas[[#This Row],[Descuento_pct]]))</f>
        <v>1722.3879999999999</v>
      </c>
      <c r="P1725">
        <f>IF(TablaVentas[[#This Row],[Costo_unitario]]="","PENDIENTE",TablaVentas[[#This Row],[Unidades]]*TablaVentas[[#This Row],[Costo_unitario]])</f>
        <v>1252.8399999999999</v>
      </c>
      <c r="Q1725">
        <f>IF(OR(TablaVentas[[#This Row],[Ingreso_neto]]="PENDIENTE",TablaVentas[[#This Row],[Costo_total]]="PENDIENTE"),"PENDIENTE",TablaVentas[[#This Row],[Ingreso_neto]]-TablaVentas[[#This Row],[Costo_total]])</f>
        <v>469.548</v>
      </c>
    </row>
    <row r="1726" spans="1:17">
      <c r="A1726" t="s">
        <v>1130</v>
      </c>
      <c r="B1726">
        <v>1</v>
      </c>
      <c r="C1726" s="3">
        <v>46206</v>
      </c>
      <c r="D1726" t="s">
        <v>408</v>
      </c>
      <c r="E1726" t="s">
        <v>271</v>
      </c>
      <c r="F1726" t="s">
        <v>39</v>
      </c>
      <c r="G1726" t="s">
        <v>50</v>
      </c>
      <c r="H1726" t="s">
        <v>184</v>
      </c>
      <c r="I1726">
        <v>1</v>
      </c>
      <c r="J1726" s="4">
        <v>1023.38</v>
      </c>
      <c r="K1726" s="5">
        <v>0.15</v>
      </c>
      <c r="L1726" s="4">
        <v>759.03</v>
      </c>
      <c r="M1726" t="s">
        <v>42</v>
      </c>
      <c r="N1726" t="s">
        <v>60</v>
      </c>
      <c r="O1726">
        <f>IF(TablaVentas[[#This Row],[Precio_unitario]]="","PENDIENTE",TablaVentas[[#This Row],[Unidades]]*TablaVentas[[#This Row],[Precio_unitario]]*(1-TablaVentas[[#This Row],[Descuento_pct]]))</f>
        <v>869.87299999999993</v>
      </c>
      <c r="P1726">
        <f>IF(TablaVentas[[#This Row],[Costo_unitario]]="","PENDIENTE",TablaVentas[[#This Row],[Unidades]]*TablaVentas[[#This Row],[Costo_unitario]])</f>
        <v>759.03</v>
      </c>
      <c r="Q1726">
        <f>IF(OR(TablaVentas[[#This Row],[Ingreso_neto]]="PENDIENTE",TablaVentas[[#This Row],[Costo_total]]="PENDIENTE"),"PENDIENTE",TablaVentas[[#This Row],[Ingreso_neto]]-TablaVentas[[#This Row],[Costo_total]])</f>
        <v>110.84299999999996</v>
      </c>
    </row>
    <row r="1727" spans="1:17">
      <c r="A1727" t="s">
        <v>1130</v>
      </c>
      <c r="B1727">
        <v>2</v>
      </c>
      <c r="C1727" s="3">
        <v>46206</v>
      </c>
      <c r="D1727" t="s">
        <v>408</v>
      </c>
      <c r="E1727" t="s">
        <v>537</v>
      </c>
      <c r="F1727" t="s">
        <v>39</v>
      </c>
      <c r="G1727" t="s">
        <v>50</v>
      </c>
      <c r="H1727" t="s">
        <v>184</v>
      </c>
      <c r="I1727">
        <v>3</v>
      </c>
      <c r="J1727" s="4">
        <v>5452.4</v>
      </c>
      <c r="K1727" s="5">
        <v>0.2</v>
      </c>
      <c r="L1727" s="4">
        <v>4556.2299999999996</v>
      </c>
      <c r="M1727" t="s">
        <v>42</v>
      </c>
      <c r="N1727" t="s">
        <v>52</v>
      </c>
      <c r="O1727">
        <f>IF(TablaVentas[[#This Row],[Precio_unitario]]="","PENDIENTE",TablaVentas[[#This Row],[Unidades]]*TablaVentas[[#This Row],[Precio_unitario]]*(1-TablaVentas[[#This Row],[Descuento_pct]]))</f>
        <v>13085.76</v>
      </c>
      <c r="P1727">
        <f>IF(TablaVentas[[#This Row],[Costo_unitario]]="","PENDIENTE",TablaVentas[[#This Row],[Unidades]]*TablaVentas[[#This Row],[Costo_unitario]])</f>
        <v>13668.689999999999</v>
      </c>
      <c r="Q1727">
        <f>IF(OR(TablaVentas[[#This Row],[Ingreso_neto]]="PENDIENTE",TablaVentas[[#This Row],[Costo_total]]="PENDIENTE"),"PENDIENTE",TablaVentas[[#This Row],[Ingreso_neto]]-TablaVentas[[#This Row],[Costo_total]])</f>
        <v>-582.92999999999847</v>
      </c>
    </row>
    <row r="1728" spans="1:17">
      <c r="A1728" t="s">
        <v>1130</v>
      </c>
      <c r="B1728">
        <v>3</v>
      </c>
      <c r="C1728" s="3">
        <v>46206</v>
      </c>
      <c r="D1728" t="s">
        <v>408</v>
      </c>
      <c r="E1728" t="s">
        <v>193</v>
      </c>
      <c r="F1728" t="s">
        <v>39</v>
      </c>
      <c r="G1728" t="s">
        <v>50</v>
      </c>
      <c r="H1728" t="s">
        <v>184</v>
      </c>
      <c r="I1728">
        <v>4</v>
      </c>
      <c r="J1728" s="4">
        <v>10082.15</v>
      </c>
      <c r="K1728" s="5">
        <v>0.2</v>
      </c>
      <c r="L1728" s="4">
        <v>5811.72</v>
      </c>
      <c r="M1728" t="s">
        <v>42</v>
      </c>
      <c r="N1728" t="s">
        <v>43</v>
      </c>
      <c r="O1728">
        <f>IF(TablaVentas[[#This Row],[Precio_unitario]]="","PENDIENTE",TablaVentas[[#This Row],[Unidades]]*TablaVentas[[#This Row],[Precio_unitario]]*(1-TablaVentas[[#This Row],[Descuento_pct]]))</f>
        <v>32262.880000000001</v>
      </c>
      <c r="P1728">
        <f>IF(TablaVentas[[#This Row],[Costo_unitario]]="","PENDIENTE",TablaVentas[[#This Row],[Unidades]]*TablaVentas[[#This Row],[Costo_unitario]])</f>
        <v>23246.880000000001</v>
      </c>
      <c r="Q1728">
        <f>IF(OR(TablaVentas[[#This Row],[Ingreso_neto]]="PENDIENTE",TablaVentas[[#This Row],[Costo_total]]="PENDIENTE"),"PENDIENTE",TablaVentas[[#This Row],[Ingreso_neto]]-TablaVentas[[#This Row],[Costo_total]])</f>
        <v>9016</v>
      </c>
    </row>
    <row r="1729" spans="1:17">
      <c r="A1729" t="s">
        <v>1130</v>
      </c>
      <c r="B1729">
        <v>4</v>
      </c>
      <c r="C1729" s="3">
        <v>46206</v>
      </c>
      <c r="D1729" t="s">
        <v>408</v>
      </c>
      <c r="E1729" t="s">
        <v>403</v>
      </c>
      <c r="F1729" t="s">
        <v>39</v>
      </c>
      <c r="G1729" t="s">
        <v>50</v>
      </c>
      <c r="H1729" t="s">
        <v>184</v>
      </c>
      <c r="I1729">
        <v>2</v>
      </c>
      <c r="J1729" s="4">
        <v>3064.95</v>
      </c>
      <c r="K1729" s="5">
        <v>0.1</v>
      </c>
      <c r="L1729" s="4">
        <v>1801.83</v>
      </c>
      <c r="M1729" t="s">
        <v>42</v>
      </c>
      <c r="N1729" t="s">
        <v>52</v>
      </c>
      <c r="O1729">
        <f>IF(TablaVentas[[#This Row],[Precio_unitario]]="","PENDIENTE",TablaVentas[[#This Row],[Unidades]]*TablaVentas[[#This Row],[Precio_unitario]]*(1-TablaVentas[[#This Row],[Descuento_pct]]))</f>
        <v>5516.91</v>
      </c>
      <c r="P1729">
        <f>IF(TablaVentas[[#This Row],[Costo_unitario]]="","PENDIENTE",TablaVentas[[#This Row],[Unidades]]*TablaVentas[[#This Row],[Costo_unitario]])</f>
        <v>3603.66</v>
      </c>
      <c r="Q1729">
        <f>IF(OR(TablaVentas[[#This Row],[Ingreso_neto]]="PENDIENTE",TablaVentas[[#This Row],[Costo_total]]="PENDIENTE"),"PENDIENTE",TablaVentas[[#This Row],[Ingreso_neto]]-TablaVentas[[#This Row],[Costo_total]])</f>
        <v>1913.25</v>
      </c>
    </row>
    <row r="1730" spans="1:17">
      <c r="A1730" t="s">
        <v>1130</v>
      </c>
      <c r="B1730">
        <v>5</v>
      </c>
      <c r="C1730" s="3">
        <v>46206</v>
      </c>
      <c r="D1730" t="s">
        <v>408</v>
      </c>
      <c r="E1730" t="s">
        <v>143</v>
      </c>
      <c r="F1730" t="s">
        <v>39</v>
      </c>
      <c r="G1730" t="s">
        <v>50</v>
      </c>
      <c r="H1730" t="s">
        <v>184</v>
      </c>
      <c r="I1730">
        <v>4</v>
      </c>
      <c r="J1730" s="4">
        <v>10156.34</v>
      </c>
      <c r="K1730" s="5">
        <v>0.05</v>
      </c>
      <c r="L1730" s="4">
        <v>6815.42</v>
      </c>
      <c r="M1730" t="s">
        <v>42</v>
      </c>
      <c r="N1730" t="s">
        <v>45</v>
      </c>
      <c r="O1730">
        <f>IF(TablaVentas[[#This Row],[Precio_unitario]]="","PENDIENTE",TablaVentas[[#This Row],[Unidades]]*TablaVentas[[#This Row],[Precio_unitario]]*(1-TablaVentas[[#This Row],[Descuento_pct]]))</f>
        <v>38594.091999999997</v>
      </c>
      <c r="P1730">
        <f>IF(TablaVentas[[#This Row],[Costo_unitario]]="","PENDIENTE",TablaVentas[[#This Row],[Unidades]]*TablaVentas[[#This Row],[Costo_unitario]])</f>
        <v>27261.68</v>
      </c>
      <c r="Q1730">
        <f>IF(OR(TablaVentas[[#This Row],[Ingreso_neto]]="PENDIENTE",TablaVentas[[#This Row],[Costo_total]]="PENDIENTE"),"PENDIENTE",TablaVentas[[#This Row],[Ingreso_neto]]-TablaVentas[[#This Row],[Costo_total]])</f>
        <v>11332.411999999997</v>
      </c>
    </row>
    <row r="1731" spans="1:17">
      <c r="A1731" t="s">
        <v>1131</v>
      </c>
      <c r="B1731">
        <v>1</v>
      </c>
      <c r="C1731" s="3">
        <v>46239</v>
      </c>
      <c r="D1731" t="s">
        <v>268</v>
      </c>
      <c r="E1731" t="s">
        <v>156</v>
      </c>
      <c r="F1731" t="s">
        <v>66</v>
      </c>
      <c r="G1731" t="s">
        <v>40</v>
      </c>
      <c r="H1731" t="s">
        <v>184</v>
      </c>
      <c r="I1731">
        <v>2</v>
      </c>
      <c r="J1731" s="4">
        <v>19783.330000000002</v>
      </c>
      <c r="K1731" s="5">
        <v>0</v>
      </c>
      <c r="L1731" s="4">
        <v>13981.13</v>
      </c>
      <c r="M1731" t="s">
        <v>42</v>
      </c>
      <c r="N1731" t="s">
        <v>45</v>
      </c>
      <c r="O1731">
        <f>IF(TablaVentas[[#This Row],[Precio_unitario]]="","PENDIENTE",TablaVentas[[#This Row],[Unidades]]*TablaVentas[[#This Row],[Precio_unitario]]*(1-TablaVentas[[#This Row],[Descuento_pct]]))</f>
        <v>39566.660000000003</v>
      </c>
      <c r="P1731">
        <f>IF(TablaVentas[[#This Row],[Costo_unitario]]="","PENDIENTE",TablaVentas[[#This Row],[Unidades]]*TablaVentas[[#This Row],[Costo_unitario]])</f>
        <v>27962.26</v>
      </c>
      <c r="Q1731">
        <f>IF(OR(TablaVentas[[#This Row],[Ingreso_neto]]="PENDIENTE",TablaVentas[[#This Row],[Costo_total]]="PENDIENTE"),"PENDIENTE",TablaVentas[[#This Row],[Ingreso_neto]]-TablaVentas[[#This Row],[Costo_total]])</f>
        <v>11604.400000000005</v>
      </c>
    </row>
    <row r="1732" spans="1:17">
      <c r="A1732" t="s">
        <v>1131</v>
      </c>
      <c r="B1732">
        <v>2</v>
      </c>
      <c r="C1732" s="3">
        <v>46239</v>
      </c>
      <c r="D1732" t="s">
        <v>268</v>
      </c>
      <c r="E1732" t="s">
        <v>134</v>
      </c>
      <c r="F1732" t="s">
        <v>66</v>
      </c>
      <c r="G1732" t="s">
        <v>40</v>
      </c>
      <c r="H1732" t="s">
        <v>184</v>
      </c>
      <c r="I1732">
        <v>1</v>
      </c>
      <c r="J1732" s="4">
        <v>266.76</v>
      </c>
      <c r="K1732" s="5">
        <v>0.05</v>
      </c>
      <c r="L1732" s="4">
        <v>176.47</v>
      </c>
      <c r="M1732" t="s">
        <v>42</v>
      </c>
      <c r="N1732" t="s">
        <v>43</v>
      </c>
      <c r="O1732">
        <f>IF(TablaVentas[[#This Row],[Precio_unitario]]="","PENDIENTE",TablaVentas[[#This Row],[Unidades]]*TablaVentas[[#This Row],[Precio_unitario]]*(1-TablaVentas[[#This Row],[Descuento_pct]]))</f>
        <v>253.42199999999997</v>
      </c>
      <c r="P1732">
        <f>IF(TablaVentas[[#This Row],[Costo_unitario]]="","PENDIENTE",TablaVentas[[#This Row],[Unidades]]*TablaVentas[[#This Row],[Costo_unitario]])</f>
        <v>176.47</v>
      </c>
      <c r="Q1732">
        <f>IF(OR(TablaVentas[[#This Row],[Ingreso_neto]]="PENDIENTE",TablaVentas[[#This Row],[Costo_total]]="PENDIENTE"),"PENDIENTE",TablaVentas[[#This Row],[Ingreso_neto]]-TablaVentas[[#This Row],[Costo_total]])</f>
        <v>76.95199999999997</v>
      </c>
    </row>
    <row r="1733" spans="1:17">
      <c r="A1733" t="s">
        <v>1132</v>
      </c>
      <c r="B1733">
        <v>1</v>
      </c>
      <c r="C1733" s="3">
        <v>46089</v>
      </c>
      <c r="D1733" t="s">
        <v>1133</v>
      </c>
      <c r="E1733" t="s">
        <v>65</v>
      </c>
      <c r="F1733" t="s">
        <v>66</v>
      </c>
      <c r="G1733" t="s">
        <v>40</v>
      </c>
      <c r="H1733" t="s">
        <v>73</v>
      </c>
      <c r="I1733">
        <v>3</v>
      </c>
      <c r="J1733" s="4">
        <v>12089.49</v>
      </c>
      <c r="K1733" s="5">
        <v>0.2</v>
      </c>
      <c r="L1733" s="4">
        <v>7328.02</v>
      </c>
      <c r="M1733" t="s">
        <v>42</v>
      </c>
      <c r="N1733" t="s">
        <v>45</v>
      </c>
      <c r="O1733">
        <f>IF(TablaVentas[[#This Row],[Precio_unitario]]="","PENDIENTE",TablaVentas[[#This Row],[Unidades]]*TablaVentas[[#This Row],[Precio_unitario]]*(1-TablaVentas[[#This Row],[Descuento_pct]]))</f>
        <v>29014.776000000002</v>
      </c>
      <c r="P1733">
        <f>IF(TablaVentas[[#This Row],[Costo_unitario]]="","PENDIENTE",TablaVentas[[#This Row],[Unidades]]*TablaVentas[[#This Row],[Costo_unitario]])</f>
        <v>21984.06</v>
      </c>
      <c r="Q1733">
        <f>IF(OR(TablaVentas[[#This Row],[Ingreso_neto]]="PENDIENTE",TablaVentas[[#This Row],[Costo_total]]="PENDIENTE"),"PENDIENTE",TablaVentas[[#This Row],[Ingreso_neto]]-TablaVentas[[#This Row],[Costo_total]])</f>
        <v>7030.7160000000003</v>
      </c>
    </row>
    <row r="1734" spans="1:17">
      <c r="A1734" t="s">
        <v>1132</v>
      </c>
      <c r="B1734">
        <v>2</v>
      </c>
      <c r="C1734" s="3">
        <v>46089</v>
      </c>
      <c r="D1734" t="s">
        <v>1133</v>
      </c>
      <c r="E1734" t="s">
        <v>81</v>
      </c>
      <c r="F1734" t="s">
        <v>66</v>
      </c>
      <c r="G1734" t="s">
        <v>40</v>
      </c>
      <c r="H1734" t="s">
        <v>73</v>
      </c>
      <c r="I1734">
        <v>8</v>
      </c>
      <c r="J1734" s="4">
        <v>15673.04</v>
      </c>
      <c r="K1734" s="5">
        <v>0.05</v>
      </c>
      <c r="L1734" s="4">
        <v>11614.87</v>
      </c>
      <c r="M1734" t="s">
        <v>42</v>
      </c>
      <c r="N1734" t="s">
        <v>52</v>
      </c>
      <c r="O1734">
        <f>IF(TablaVentas[[#This Row],[Precio_unitario]]="","PENDIENTE",TablaVentas[[#This Row],[Unidades]]*TablaVentas[[#This Row],[Precio_unitario]]*(1-TablaVentas[[#This Row],[Descuento_pct]]))</f>
        <v>119115.10400000001</v>
      </c>
      <c r="P1734">
        <f>IF(TablaVentas[[#This Row],[Costo_unitario]]="","PENDIENTE",TablaVentas[[#This Row],[Unidades]]*TablaVentas[[#This Row],[Costo_unitario]])</f>
        <v>92918.96</v>
      </c>
      <c r="Q1734">
        <f>IF(OR(TablaVentas[[#This Row],[Ingreso_neto]]="PENDIENTE",TablaVentas[[#This Row],[Costo_total]]="PENDIENTE"),"PENDIENTE",TablaVentas[[#This Row],[Ingreso_neto]]-TablaVentas[[#This Row],[Costo_total]])</f>
        <v>26196.144</v>
      </c>
    </row>
    <row r="1735" spans="1:17">
      <c r="A1735" t="s">
        <v>1132</v>
      </c>
      <c r="B1735">
        <v>3</v>
      </c>
      <c r="C1735" s="3">
        <v>46089</v>
      </c>
      <c r="D1735" t="s">
        <v>1133</v>
      </c>
      <c r="E1735" t="s">
        <v>258</v>
      </c>
      <c r="F1735" t="s">
        <v>66</v>
      </c>
      <c r="G1735" t="s">
        <v>40</v>
      </c>
      <c r="H1735" t="s">
        <v>73</v>
      </c>
      <c r="I1735">
        <v>1</v>
      </c>
      <c r="J1735" s="4">
        <v>4026.9</v>
      </c>
      <c r="K1735" s="5">
        <v>0.05</v>
      </c>
      <c r="L1735" s="4">
        <v>2008.57</v>
      </c>
      <c r="M1735" t="s">
        <v>42</v>
      </c>
      <c r="N1735" t="s">
        <v>43</v>
      </c>
      <c r="O1735">
        <f>IF(TablaVentas[[#This Row],[Precio_unitario]]="","PENDIENTE",TablaVentas[[#This Row],[Unidades]]*TablaVentas[[#This Row],[Precio_unitario]]*(1-TablaVentas[[#This Row],[Descuento_pct]]))</f>
        <v>3825.5549999999998</v>
      </c>
      <c r="P1735">
        <f>IF(TablaVentas[[#This Row],[Costo_unitario]]="","PENDIENTE",TablaVentas[[#This Row],[Unidades]]*TablaVentas[[#This Row],[Costo_unitario]])</f>
        <v>2008.57</v>
      </c>
      <c r="Q1735">
        <f>IF(OR(TablaVentas[[#This Row],[Ingreso_neto]]="PENDIENTE",TablaVentas[[#This Row],[Costo_total]]="PENDIENTE"),"PENDIENTE",TablaVentas[[#This Row],[Ingreso_neto]]-TablaVentas[[#This Row],[Costo_total]])</f>
        <v>1816.9849999999999</v>
      </c>
    </row>
    <row r="1736" spans="1:17">
      <c r="A1736" t="s">
        <v>1134</v>
      </c>
      <c r="B1736">
        <v>1</v>
      </c>
      <c r="C1736" s="3">
        <v>46192</v>
      </c>
      <c r="D1736" t="s">
        <v>342</v>
      </c>
      <c r="E1736" t="s">
        <v>397</v>
      </c>
      <c r="F1736" t="s">
        <v>66</v>
      </c>
      <c r="G1736" t="s">
        <v>40</v>
      </c>
      <c r="H1736" t="s">
        <v>67</v>
      </c>
      <c r="I1736">
        <v>8</v>
      </c>
      <c r="J1736" s="4">
        <v>5809.07</v>
      </c>
      <c r="K1736" s="5">
        <v>0</v>
      </c>
      <c r="L1736" s="4">
        <v>3640.56</v>
      </c>
      <c r="M1736" t="s">
        <v>42</v>
      </c>
      <c r="N1736" t="s">
        <v>52</v>
      </c>
      <c r="O1736">
        <f>IF(TablaVentas[[#This Row],[Precio_unitario]]="","PENDIENTE",TablaVentas[[#This Row],[Unidades]]*TablaVentas[[#This Row],[Precio_unitario]]*(1-TablaVentas[[#This Row],[Descuento_pct]]))</f>
        <v>46472.56</v>
      </c>
      <c r="P1736">
        <f>IF(TablaVentas[[#This Row],[Costo_unitario]]="","PENDIENTE",TablaVentas[[#This Row],[Unidades]]*TablaVentas[[#This Row],[Costo_unitario]])</f>
        <v>29124.48</v>
      </c>
      <c r="Q1736">
        <f>IF(OR(TablaVentas[[#This Row],[Ingreso_neto]]="PENDIENTE",TablaVentas[[#This Row],[Costo_total]]="PENDIENTE"),"PENDIENTE",TablaVentas[[#This Row],[Ingreso_neto]]-TablaVentas[[#This Row],[Costo_total]])</f>
        <v>17348.079999999998</v>
      </c>
    </row>
    <row r="1737" spans="1:17">
      <c r="A1737" t="s">
        <v>1134</v>
      </c>
      <c r="B1737">
        <v>2</v>
      </c>
      <c r="C1737" s="3">
        <v>46192</v>
      </c>
      <c r="D1737" t="s">
        <v>342</v>
      </c>
      <c r="E1737" t="s">
        <v>155</v>
      </c>
      <c r="F1737" t="s">
        <v>66</v>
      </c>
      <c r="G1737" t="s">
        <v>40</v>
      </c>
      <c r="H1737" t="s">
        <v>67</v>
      </c>
      <c r="I1737">
        <v>5</v>
      </c>
      <c r="J1737" s="4">
        <v>777.61</v>
      </c>
      <c r="K1737" s="5">
        <v>0</v>
      </c>
      <c r="L1737" s="4">
        <v>397.1</v>
      </c>
      <c r="M1737" t="s">
        <v>62</v>
      </c>
      <c r="N1737" t="s">
        <v>52</v>
      </c>
      <c r="O1737">
        <f>IF(TablaVentas[[#This Row],[Precio_unitario]]="","PENDIENTE",TablaVentas[[#This Row],[Unidades]]*TablaVentas[[#This Row],[Precio_unitario]]*(1-TablaVentas[[#This Row],[Descuento_pct]]))</f>
        <v>3888.05</v>
      </c>
      <c r="P1737">
        <f>IF(TablaVentas[[#This Row],[Costo_unitario]]="","PENDIENTE",TablaVentas[[#This Row],[Unidades]]*TablaVentas[[#This Row],[Costo_unitario]])</f>
        <v>1985.5</v>
      </c>
      <c r="Q1737">
        <f>IF(OR(TablaVentas[[#This Row],[Ingreso_neto]]="PENDIENTE",TablaVentas[[#This Row],[Costo_total]]="PENDIENTE"),"PENDIENTE",TablaVentas[[#This Row],[Ingreso_neto]]-TablaVentas[[#This Row],[Costo_total]])</f>
        <v>1902.5500000000002</v>
      </c>
    </row>
    <row r="1738" spans="1:17">
      <c r="A1738" t="s">
        <v>1134</v>
      </c>
      <c r="B1738">
        <v>3</v>
      </c>
      <c r="C1738" s="3">
        <v>46192</v>
      </c>
      <c r="D1738" t="s">
        <v>342</v>
      </c>
      <c r="E1738" t="s">
        <v>120</v>
      </c>
      <c r="F1738" t="s">
        <v>66</v>
      </c>
      <c r="G1738" t="s">
        <v>40</v>
      </c>
      <c r="H1738" t="s">
        <v>67</v>
      </c>
      <c r="I1738">
        <v>1</v>
      </c>
      <c r="J1738" s="4">
        <v>12716.42</v>
      </c>
      <c r="K1738" s="5">
        <v>0.2</v>
      </c>
      <c r="L1738" s="4">
        <v>7975.26</v>
      </c>
      <c r="M1738" t="s">
        <v>42</v>
      </c>
      <c r="N1738" t="s">
        <v>52</v>
      </c>
      <c r="O1738">
        <f>IF(TablaVentas[[#This Row],[Precio_unitario]]="","PENDIENTE",TablaVentas[[#This Row],[Unidades]]*TablaVentas[[#This Row],[Precio_unitario]]*(1-TablaVentas[[#This Row],[Descuento_pct]]))</f>
        <v>10173.136</v>
      </c>
      <c r="P1738">
        <f>IF(TablaVentas[[#This Row],[Costo_unitario]]="","PENDIENTE",TablaVentas[[#This Row],[Unidades]]*TablaVentas[[#This Row],[Costo_unitario]])</f>
        <v>7975.26</v>
      </c>
      <c r="Q1738">
        <f>IF(OR(TablaVentas[[#This Row],[Ingreso_neto]]="PENDIENTE",TablaVentas[[#This Row],[Costo_total]]="PENDIENTE"),"PENDIENTE",TablaVentas[[#This Row],[Ingreso_neto]]-TablaVentas[[#This Row],[Costo_total]])</f>
        <v>2197.8760000000002</v>
      </c>
    </row>
    <row r="1739" spans="1:17">
      <c r="A1739" t="s">
        <v>1134</v>
      </c>
      <c r="B1739">
        <v>4</v>
      </c>
      <c r="C1739" s="3">
        <v>46192</v>
      </c>
      <c r="D1739" t="s">
        <v>342</v>
      </c>
      <c r="E1739" t="s">
        <v>55</v>
      </c>
      <c r="F1739" t="s">
        <v>66</v>
      </c>
      <c r="G1739" t="s">
        <v>40</v>
      </c>
      <c r="H1739" t="s">
        <v>67</v>
      </c>
      <c r="I1739">
        <v>8</v>
      </c>
      <c r="J1739" s="4">
        <v>11198.64</v>
      </c>
      <c r="K1739" s="5">
        <v>0.05</v>
      </c>
      <c r="L1739" s="4">
        <v>6407.85</v>
      </c>
      <c r="M1739" t="s">
        <v>42</v>
      </c>
      <c r="N1739" t="s">
        <v>60</v>
      </c>
      <c r="O1739">
        <f>IF(TablaVentas[[#This Row],[Precio_unitario]]="","PENDIENTE",TablaVentas[[#This Row],[Unidades]]*TablaVentas[[#This Row],[Precio_unitario]]*(1-TablaVentas[[#This Row],[Descuento_pct]]))</f>
        <v>85109.66399999999</v>
      </c>
      <c r="P1739">
        <f>IF(TablaVentas[[#This Row],[Costo_unitario]]="","PENDIENTE",TablaVentas[[#This Row],[Unidades]]*TablaVentas[[#This Row],[Costo_unitario]])</f>
        <v>51262.8</v>
      </c>
      <c r="Q1739">
        <f>IF(OR(TablaVentas[[#This Row],[Ingreso_neto]]="PENDIENTE",TablaVentas[[#This Row],[Costo_total]]="PENDIENTE"),"PENDIENTE",TablaVentas[[#This Row],[Ingreso_neto]]-TablaVentas[[#This Row],[Costo_total]])</f>
        <v>33846.863999999987</v>
      </c>
    </row>
    <row r="1740" spans="1:17">
      <c r="A1740" t="s">
        <v>1134</v>
      </c>
      <c r="B1740">
        <v>5</v>
      </c>
      <c r="C1740" s="3">
        <v>46192</v>
      </c>
      <c r="D1740" t="s">
        <v>342</v>
      </c>
      <c r="E1740" t="s">
        <v>83</v>
      </c>
      <c r="F1740" t="s">
        <v>66</v>
      </c>
      <c r="G1740" t="s">
        <v>40</v>
      </c>
      <c r="H1740" t="s">
        <v>67</v>
      </c>
      <c r="I1740">
        <v>1</v>
      </c>
      <c r="J1740" s="4">
        <v>14729.89</v>
      </c>
      <c r="K1740" s="5">
        <v>0</v>
      </c>
      <c r="L1740" s="4">
        <v>12723.77</v>
      </c>
      <c r="M1740" t="s">
        <v>42</v>
      </c>
      <c r="N1740" t="s">
        <v>52</v>
      </c>
      <c r="O1740">
        <f>IF(TablaVentas[[#This Row],[Precio_unitario]]="","PENDIENTE",TablaVentas[[#This Row],[Unidades]]*TablaVentas[[#This Row],[Precio_unitario]]*(1-TablaVentas[[#This Row],[Descuento_pct]]))</f>
        <v>14729.89</v>
      </c>
      <c r="P1740">
        <f>IF(TablaVentas[[#This Row],[Costo_unitario]]="","PENDIENTE",TablaVentas[[#This Row],[Unidades]]*TablaVentas[[#This Row],[Costo_unitario]])</f>
        <v>12723.77</v>
      </c>
      <c r="Q1740">
        <f>IF(OR(TablaVentas[[#This Row],[Ingreso_neto]]="PENDIENTE",TablaVentas[[#This Row],[Costo_total]]="PENDIENTE"),"PENDIENTE",TablaVentas[[#This Row],[Ingreso_neto]]-TablaVentas[[#This Row],[Costo_total]])</f>
        <v>2006.119999999999</v>
      </c>
    </row>
    <row r="1741" spans="1:17">
      <c r="A1741" t="s">
        <v>1135</v>
      </c>
      <c r="B1741">
        <v>1</v>
      </c>
      <c r="C1741" s="3">
        <v>46189</v>
      </c>
      <c r="D1741" t="s">
        <v>200</v>
      </c>
      <c r="E1741" t="s">
        <v>163</v>
      </c>
      <c r="F1741" t="s">
        <v>56</v>
      </c>
      <c r="G1741" t="s">
        <v>50</v>
      </c>
      <c r="H1741" t="s">
        <v>124</v>
      </c>
      <c r="I1741">
        <v>2</v>
      </c>
      <c r="J1741" s="4">
        <v>17831.93</v>
      </c>
      <c r="K1741" s="5">
        <v>0.05</v>
      </c>
      <c r="L1741" s="4">
        <v>12141.44</v>
      </c>
      <c r="M1741" t="s">
        <v>42</v>
      </c>
      <c r="N1741" t="s">
        <v>43</v>
      </c>
      <c r="O1741">
        <f>IF(TablaVentas[[#This Row],[Precio_unitario]]="","PENDIENTE",TablaVentas[[#This Row],[Unidades]]*TablaVentas[[#This Row],[Precio_unitario]]*(1-TablaVentas[[#This Row],[Descuento_pct]]))</f>
        <v>33880.667000000001</v>
      </c>
      <c r="P1741">
        <f>IF(TablaVentas[[#This Row],[Costo_unitario]]="","PENDIENTE",TablaVentas[[#This Row],[Unidades]]*TablaVentas[[#This Row],[Costo_unitario]])</f>
        <v>24282.880000000001</v>
      </c>
      <c r="Q1741">
        <f>IF(OR(TablaVentas[[#This Row],[Ingreso_neto]]="PENDIENTE",TablaVentas[[#This Row],[Costo_total]]="PENDIENTE"),"PENDIENTE",TablaVentas[[#This Row],[Ingreso_neto]]-TablaVentas[[#This Row],[Costo_total]])</f>
        <v>9597.7870000000003</v>
      </c>
    </row>
    <row r="1742" spans="1:17">
      <c r="A1742" t="s">
        <v>1135</v>
      </c>
      <c r="B1742">
        <v>2</v>
      </c>
      <c r="C1742" s="3">
        <v>46189</v>
      </c>
      <c r="D1742" t="s">
        <v>200</v>
      </c>
      <c r="E1742" t="s">
        <v>143</v>
      </c>
      <c r="F1742" t="s">
        <v>56</v>
      </c>
      <c r="G1742" t="s">
        <v>50</v>
      </c>
      <c r="H1742" t="s">
        <v>124</v>
      </c>
      <c r="I1742">
        <v>2</v>
      </c>
      <c r="J1742" s="4">
        <v>9648.19</v>
      </c>
      <c r="K1742" s="5">
        <v>0.05</v>
      </c>
      <c r="L1742" s="4">
        <v>6815.42</v>
      </c>
      <c r="M1742" t="s">
        <v>42</v>
      </c>
      <c r="N1742" t="s">
        <v>43</v>
      </c>
      <c r="O1742">
        <f>IF(TablaVentas[[#This Row],[Precio_unitario]]="","PENDIENTE",TablaVentas[[#This Row],[Unidades]]*TablaVentas[[#This Row],[Precio_unitario]]*(1-TablaVentas[[#This Row],[Descuento_pct]]))</f>
        <v>18331.561000000002</v>
      </c>
      <c r="P1742">
        <f>IF(TablaVentas[[#This Row],[Costo_unitario]]="","PENDIENTE",TablaVentas[[#This Row],[Unidades]]*TablaVentas[[#This Row],[Costo_unitario]])</f>
        <v>13630.84</v>
      </c>
      <c r="Q1742">
        <f>IF(OR(TablaVentas[[#This Row],[Ingreso_neto]]="PENDIENTE",TablaVentas[[#This Row],[Costo_total]]="PENDIENTE"),"PENDIENTE",TablaVentas[[#This Row],[Ingreso_neto]]-TablaVentas[[#This Row],[Costo_total]])</f>
        <v>4700.7210000000014</v>
      </c>
    </row>
    <row r="1743" spans="1:17">
      <c r="A1743" t="s">
        <v>1135</v>
      </c>
      <c r="B1743">
        <v>3</v>
      </c>
      <c r="C1743" s="3">
        <v>46189</v>
      </c>
      <c r="D1743" t="s">
        <v>200</v>
      </c>
      <c r="E1743" t="s">
        <v>90</v>
      </c>
      <c r="F1743" t="s">
        <v>56</v>
      </c>
      <c r="G1743" t="s">
        <v>50</v>
      </c>
      <c r="H1743" t="s">
        <v>124</v>
      </c>
      <c r="I1743">
        <v>2</v>
      </c>
      <c r="J1743" s="4">
        <v>11787.79</v>
      </c>
      <c r="K1743" s="5">
        <v>0</v>
      </c>
      <c r="L1743" s="4">
        <v>8174.87</v>
      </c>
      <c r="M1743" t="s">
        <v>116</v>
      </c>
      <c r="N1743" t="s">
        <v>43</v>
      </c>
      <c r="O1743">
        <f>IF(TablaVentas[[#This Row],[Precio_unitario]]="","PENDIENTE",TablaVentas[[#This Row],[Unidades]]*TablaVentas[[#This Row],[Precio_unitario]]*(1-TablaVentas[[#This Row],[Descuento_pct]]))</f>
        <v>23575.58</v>
      </c>
      <c r="P1743">
        <f>IF(TablaVentas[[#This Row],[Costo_unitario]]="","PENDIENTE",TablaVentas[[#This Row],[Unidades]]*TablaVentas[[#This Row],[Costo_unitario]])</f>
        <v>16349.74</v>
      </c>
      <c r="Q1743">
        <f>IF(OR(TablaVentas[[#This Row],[Ingreso_neto]]="PENDIENTE",TablaVentas[[#This Row],[Costo_total]]="PENDIENTE"),"PENDIENTE",TablaVentas[[#This Row],[Ingreso_neto]]-TablaVentas[[#This Row],[Costo_total]])</f>
        <v>7225.840000000002</v>
      </c>
    </row>
    <row r="1744" spans="1:17">
      <c r="A1744" t="s">
        <v>1135</v>
      </c>
      <c r="B1744">
        <v>4</v>
      </c>
      <c r="C1744" s="3">
        <v>46189</v>
      </c>
      <c r="D1744" t="s">
        <v>200</v>
      </c>
      <c r="E1744" t="s">
        <v>217</v>
      </c>
      <c r="F1744" t="s">
        <v>56</v>
      </c>
      <c r="G1744" t="s">
        <v>50</v>
      </c>
      <c r="H1744" t="s">
        <v>124</v>
      </c>
      <c r="I1744">
        <v>3</v>
      </c>
      <c r="J1744" s="4">
        <v>17283.09</v>
      </c>
      <c r="K1744" s="5">
        <v>0</v>
      </c>
      <c r="L1744" s="4">
        <v>14161.63</v>
      </c>
      <c r="M1744" t="s">
        <v>42</v>
      </c>
      <c r="N1744" t="s">
        <v>43</v>
      </c>
      <c r="O1744">
        <f>IF(TablaVentas[[#This Row],[Precio_unitario]]="","PENDIENTE",TablaVentas[[#This Row],[Unidades]]*TablaVentas[[#This Row],[Precio_unitario]]*(1-TablaVentas[[#This Row],[Descuento_pct]]))</f>
        <v>51849.270000000004</v>
      </c>
      <c r="P1744">
        <f>IF(TablaVentas[[#This Row],[Costo_unitario]]="","PENDIENTE",TablaVentas[[#This Row],[Unidades]]*TablaVentas[[#This Row],[Costo_unitario]])</f>
        <v>42484.89</v>
      </c>
      <c r="Q1744">
        <f>IF(OR(TablaVentas[[#This Row],[Ingreso_neto]]="PENDIENTE",TablaVentas[[#This Row],[Costo_total]]="PENDIENTE"),"PENDIENTE",TablaVentas[[#This Row],[Ingreso_neto]]-TablaVentas[[#This Row],[Costo_total]])</f>
        <v>9364.3800000000047</v>
      </c>
    </row>
    <row r="1745" spans="1:17">
      <c r="A1745" t="s">
        <v>1136</v>
      </c>
      <c r="B1745">
        <v>1</v>
      </c>
      <c r="C1745" s="3">
        <v>46161</v>
      </c>
      <c r="D1745" t="s">
        <v>127</v>
      </c>
      <c r="E1745" t="s">
        <v>216</v>
      </c>
      <c r="F1745" t="s">
        <v>77</v>
      </c>
      <c r="G1745" t="s">
        <v>57</v>
      </c>
      <c r="H1745" t="s">
        <v>102</v>
      </c>
      <c r="I1745">
        <v>3</v>
      </c>
      <c r="J1745" s="4">
        <v>15055.4</v>
      </c>
      <c r="K1745" s="5">
        <v>0.2</v>
      </c>
      <c r="L1745" s="4">
        <v>12064.41</v>
      </c>
      <c r="M1745" t="s">
        <v>42</v>
      </c>
      <c r="N1745" t="s">
        <v>43</v>
      </c>
      <c r="O1745">
        <f>IF(TablaVentas[[#This Row],[Precio_unitario]]="","PENDIENTE",TablaVentas[[#This Row],[Unidades]]*TablaVentas[[#This Row],[Precio_unitario]]*(1-TablaVentas[[#This Row],[Descuento_pct]]))</f>
        <v>36132.959999999999</v>
      </c>
      <c r="P1745">
        <f>IF(TablaVentas[[#This Row],[Costo_unitario]]="","PENDIENTE",TablaVentas[[#This Row],[Unidades]]*TablaVentas[[#This Row],[Costo_unitario]])</f>
        <v>36193.229999999996</v>
      </c>
      <c r="Q1745">
        <f>IF(OR(TablaVentas[[#This Row],[Ingreso_neto]]="PENDIENTE",TablaVentas[[#This Row],[Costo_total]]="PENDIENTE"),"PENDIENTE",TablaVentas[[#This Row],[Ingreso_neto]]-TablaVentas[[#This Row],[Costo_total]])</f>
        <v>-60.269999999996799</v>
      </c>
    </row>
    <row r="1746" spans="1:17">
      <c r="A1746" t="s">
        <v>1136</v>
      </c>
      <c r="B1746">
        <v>2</v>
      </c>
      <c r="C1746" s="3">
        <v>46161</v>
      </c>
      <c r="D1746" t="s">
        <v>127</v>
      </c>
      <c r="E1746" t="s">
        <v>226</v>
      </c>
      <c r="F1746" t="s">
        <v>77</v>
      </c>
      <c r="G1746" t="s">
        <v>57</v>
      </c>
      <c r="H1746" t="s">
        <v>102</v>
      </c>
      <c r="I1746">
        <v>2</v>
      </c>
      <c r="J1746" s="4">
        <v>18909.27</v>
      </c>
      <c r="K1746" s="5">
        <v>0</v>
      </c>
      <c r="L1746" s="4">
        <v>9976.68</v>
      </c>
      <c r="M1746" t="s">
        <v>116</v>
      </c>
      <c r="N1746" t="s">
        <v>45</v>
      </c>
      <c r="O1746">
        <f>IF(TablaVentas[[#This Row],[Precio_unitario]]="","PENDIENTE",TablaVentas[[#This Row],[Unidades]]*TablaVentas[[#This Row],[Precio_unitario]]*(1-TablaVentas[[#This Row],[Descuento_pct]]))</f>
        <v>37818.54</v>
      </c>
      <c r="P1746">
        <f>IF(TablaVentas[[#This Row],[Costo_unitario]]="","PENDIENTE",TablaVentas[[#This Row],[Unidades]]*TablaVentas[[#This Row],[Costo_unitario]])</f>
        <v>19953.36</v>
      </c>
      <c r="Q1746">
        <f>IF(OR(TablaVentas[[#This Row],[Ingreso_neto]]="PENDIENTE",TablaVentas[[#This Row],[Costo_total]]="PENDIENTE"),"PENDIENTE",TablaVentas[[#This Row],[Ingreso_neto]]-TablaVentas[[#This Row],[Costo_total]])</f>
        <v>17865.18</v>
      </c>
    </row>
    <row r="1747" spans="1:17">
      <c r="A1747" t="s">
        <v>1136</v>
      </c>
      <c r="B1747">
        <v>3</v>
      </c>
      <c r="C1747" s="3">
        <v>46161</v>
      </c>
      <c r="D1747" t="s">
        <v>127</v>
      </c>
      <c r="E1747" t="s">
        <v>109</v>
      </c>
      <c r="F1747" t="s">
        <v>77</v>
      </c>
      <c r="G1747" t="s">
        <v>57</v>
      </c>
      <c r="H1747" t="s">
        <v>102</v>
      </c>
      <c r="I1747">
        <v>3</v>
      </c>
      <c r="J1747" s="4">
        <v>14866.32</v>
      </c>
      <c r="K1747" s="5">
        <v>0</v>
      </c>
      <c r="L1747" s="4">
        <v>9880.77</v>
      </c>
      <c r="M1747" t="s">
        <v>42</v>
      </c>
      <c r="N1747" t="s">
        <v>43</v>
      </c>
      <c r="O1747">
        <f>IF(TablaVentas[[#This Row],[Precio_unitario]]="","PENDIENTE",TablaVentas[[#This Row],[Unidades]]*TablaVentas[[#This Row],[Precio_unitario]]*(1-TablaVentas[[#This Row],[Descuento_pct]]))</f>
        <v>44598.96</v>
      </c>
      <c r="P1747">
        <f>IF(TablaVentas[[#This Row],[Costo_unitario]]="","PENDIENTE",TablaVentas[[#This Row],[Unidades]]*TablaVentas[[#This Row],[Costo_unitario]])</f>
        <v>29642.31</v>
      </c>
      <c r="Q1747">
        <f>IF(OR(TablaVentas[[#This Row],[Ingreso_neto]]="PENDIENTE",TablaVentas[[#This Row],[Costo_total]]="PENDIENTE"),"PENDIENTE",TablaVentas[[#This Row],[Ingreso_neto]]-TablaVentas[[#This Row],[Costo_total]])</f>
        <v>14956.649999999998</v>
      </c>
    </row>
    <row r="1748" spans="1:17">
      <c r="A1748" t="s">
        <v>1137</v>
      </c>
      <c r="B1748">
        <v>1</v>
      </c>
      <c r="C1748" s="3">
        <v>46112</v>
      </c>
      <c r="D1748" t="s">
        <v>1138</v>
      </c>
      <c r="E1748" t="s">
        <v>271</v>
      </c>
      <c r="F1748" t="s">
        <v>66</v>
      </c>
      <c r="G1748" t="s">
        <v>57</v>
      </c>
      <c r="H1748" t="s">
        <v>73</v>
      </c>
      <c r="I1748">
        <v>2</v>
      </c>
      <c r="J1748" s="4">
        <v>1114.9100000000001</v>
      </c>
      <c r="K1748" s="5">
        <v>0.05</v>
      </c>
      <c r="L1748" s="4">
        <v>759.03</v>
      </c>
      <c r="M1748" t="s">
        <v>42</v>
      </c>
      <c r="N1748" t="s">
        <v>52</v>
      </c>
      <c r="O1748">
        <f>IF(TablaVentas[[#This Row],[Precio_unitario]]="","PENDIENTE",TablaVentas[[#This Row],[Unidades]]*TablaVentas[[#This Row],[Precio_unitario]]*(1-TablaVentas[[#This Row],[Descuento_pct]]))</f>
        <v>2118.3290000000002</v>
      </c>
      <c r="P1748">
        <f>IF(TablaVentas[[#This Row],[Costo_unitario]]="","PENDIENTE",TablaVentas[[#This Row],[Unidades]]*TablaVentas[[#This Row],[Costo_unitario]])</f>
        <v>1518.06</v>
      </c>
      <c r="Q1748">
        <f>IF(OR(TablaVentas[[#This Row],[Ingreso_neto]]="PENDIENTE",TablaVentas[[#This Row],[Costo_total]]="PENDIENTE"),"PENDIENTE",TablaVentas[[#This Row],[Ingreso_neto]]-TablaVentas[[#This Row],[Costo_total]])</f>
        <v>600.26900000000023</v>
      </c>
    </row>
    <row r="1749" spans="1:17">
      <c r="A1749" t="s">
        <v>1137</v>
      </c>
      <c r="B1749">
        <v>2</v>
      </c>
      <c r="C1749" s="3">
        <v>46112</v>
      </c>
      <c r="D1749" t="s">
        <v>1138</v>
      </c>
      <c r="E1749" t="s">
        <v>94</v>
      </c>
      <c r="F1749" t="s">
        <v>66</v>
      </c>
      <c r="G1749" t="s">
        <v>57</v>
      </c>
      <c r="H1749" t="s">
        <v>73</v>
      </c>
      <c r="I1749">
        <v>1</v>
      </c>
      <c r="J1749" s="4">
        <v>8016.79</v>
      </c>
      <c r="K1749" s="5">
        <v>0</v>
      </c>
      <c r="L1749" s="4">
        <v>4538.0600000000004</v>
      </c>
      <c r="M1749" t="s">
        <v>42</v>
      </c>
      <c r="N1749" t="s">
        <v>43</v>
      </c>
      <c r="O1749">
        <f>IF(TablaVentas[[#This Row],[Precio_unitario]]="","PENDIENTE",TablaVentas[[#This Row],[Unidades]]*TablaVentas[[#This Row],[Precio_unitario]]*(1-TablaVentas[[#This Row],[Descuento_pct]]))</f>
        <v>8016.79</v>
      </c>
      <c r="P1749">
        <f>IF(TablaVentas[[#This Row],[Costo_unitario]]="","PENDIENTE",TablaVentas[[#This Row],[Unidades]]*TablaVentas[[#This Row],[Costo_unitario]])</f>
        <v>4538.0600000000004</v>
      </c>
      <c r="Q1749">
        <f>IF(OR(TablaVentas[[#This Row],[Ingreso_neto]]="PENDIENTE",TablaVentas[[#This Row],[Costo_total]]="PENDIENTE"),"PENDIENTE",TablaVentas[[#This Row],[Ingreso_neto]]-TablaVentas[[#This Row],[Costo_total]])</f>
        <v>3478.7299999999996</v>
      </c>
    </row>
    <row r="1750" spans="1:17">
      <c r="A1750" t="s">
        <v>1139</v>
      </c>
      <c r="B1750">
        <v>1</v>
      </c>
      <c r="C1750" s="3">
        <v>46149</v>
      </c>
      <c r="D1750" t="s">
        <v>250</v>
      </c>
      <c r="E1750" t="s">
        <v>140</v>
      </c>
      <c r="F1750" t="s">
        <v>66</v>
      </c>
      <c r="G1750" t="s">
        <v>50</v>
      </c>
      <c r="H1750" t="s">
        <v>73</v>
      </c>
      <c r="I1750">
        <v>2</v>
      </c>
      <c r="J1750" s="4">
        <v>2868.55</v>
      </c>
      <c r="K1750" s="5">
        <v>0.05</v>
      </c>
      <c r="L1750" s="4">
        <v>2427.63</v>
      </c>
      <c r="M1750" t="s">
        <v>42</v>
      </c>
      <c r="N1750" t="s">
        <v>43</v>
      </c>
      <c r="O1750">
        <f>IF(TablaVentas[[#This Row],[Precio_unitario]]="","PENDIENTE",TablaVentas[[#This Row],[Unidades]]*TablaVentas[[#This Row],[Precio_unitario]]*(1-TablaVentas[[#This Row],[Descuento_pct]]))</f>
        <v>5450.2449999999999</v>
      </c>
      <c r="P1750">
        <f>IF(TablaVentas[[#This Row],[Costo_unitario]]="","PENDIENTE",TablaVentas[[#This Row],[Unidades]]*TablaVentas[[#This Row],[Costo_unitario]])</f>
        <v>4855.26</v>
      </c>
      <c r="Q1750">
        <f>IF(OR(TablaVentas[[#This Row],[Ingreso_neto]]="PENDIENTE",TablaVentas[[#This Row],[Costo_total]]="PENDIENTE"),"PENDIENTE",TablaVentas[[#This Row],[Ingreso_neto]]-TablaVentas[[#This Row],[Costo_total]])</f>
        <v>594.98499999999967</v>
      </c>
    </row>
    <row r="1751" spans="1:17">
      <c r="A1751" t="s">
        <v>1139</v>
      </c>
      <c r="B1751">
        <v>2</v>
      </c>
      <c r="C1751" s="3">
        <v>46149</v>
      </c>
      <c r="D1751" t="s">
        <v>250</v>
      </c>
      <c r="E1751" t="s">
        <v>180</v>
      </c>
      <c r="F1751" t="s">
        <v>66</v>
      </c>
      <c r="G1751" t="s">
        <v>50</v>
      </c>
      <c r="H1751" t="s">
        <v>73</v>
      </c>
      <c r="I1751">
        <v>3</v>
      </c>
      <c r="J1751" s="4">
        <v>6019.98</v>
      </c>
      <c r="K1751" s="5">
        <v>0</v>
      </c>
      <c r="L1751" s="4">
        <v>3824.92</v>
      </c>
      <c r="M1751" t="s">
        <v>42</v>
      </c>
      <c r="N1751" t="s">
        <v>60</v>
      </c>
      <c r="O1751">
        <f>IF(TablaVentas[[#This Row],[Precio_unitario]]="","PENDIENTE",TablaVentas[[#This Row],[Unidades]]*TablaVentas[[#This Row],[Precio_unitario]]*(1-TablaVentas[[#This Row],[Descuento_pct]]))</f>
        <v>18059.939999999999</v>
      </c>
      <c r="P1751">
        <f>IF(TablaVentas[[#This Row],[Costo_unitario]]="","PENDIENTE",TablaVentas[[#This Row],[Unidades]]*TablaVentas[[#This Row],[Costo_unitario]])</f>
        <v>11474.76</v>
      </c>
      <c r="Q1751">
        <f>IF(OR(TablaVentas[[#This Row],[Ingreso_neto]]="PENDIENTE",TablaVentas[[#This Row],[Costo_total]]="PENDIENTE"),"PENDIENTE",TablaVentas[[#This Row],[Ingreso_neto]]-TablaVentas[[#This Row],[Costo_total]])</f>
        <v>6585.1799999999985</v>
      </c>
    </row>
    <row r="1752" spans="1:17">
      <c r="A1752" t="s">
        <v>1139</v>
      </c>
      <c r="B1752">
        <v>3</v>
      </c>
      <c r="C1752" s="3">
        <v>46149</v>
      </c>
      <c r="D1752" t="s">
        <v>250</v>
      </c>
      <c r="E1752" t="s">
        <v>156</v>
      </c>
      <c r="F1752" t="s">
        <v>66</v>
      </c>
      <c r="G1752" t="s">
        <v>50</v>
      </c>
      <c r="H1752" t="s">
        <v>73</v>
      </c>
      <c r="I1752">
        <v>4</v>
      </c>
      <c r="J1752" s="4">
        <v>18662.52</v>
      </c>
      <c r="K1752" s="5">
        <v>0.15</v>
      </c>
      <c r="L1752" s="4">
        <v>13981.13</v>
      </c>
      <c r="M1752" t="s">
        <v>42</v>
      </c>
      <c r="N1752" t="s">
        <v>52</v>
      </c>
      <c r="O1752">
        <f>IF(TablaVentas[[#This Row],[Precio_unitario]]="","PENDIENTE",TablaVentas[[#This Row],[Unidades]]*TablaVentas[[#This Row],[Precio_unitario]]*(1-TablaVentas[[#This Row],[Descuento_pct]]))</f>
        <v>63452.567999999999</v>
      </c>
      <c r="P1752">
        <f>IF(TablaVentas[[#This Row],[Costo_unitario]]="","PENDIENTE",TablaVentas[[#This Row],[Unidades]]*TablaVentas[[#This Row],[Costo_unitario]])</f>
        <v>55924.52</v>
      </c>
      <c r="Q1752">
        <f>IF(OR(TablaVentas[[#This Row],[Ingreso_neto]]="PENDIENTE",TablaVentas[[#This Row],[Costo_total]]="PENDIENTE"),"PENDIENTE",TablaVentas[[#This Row],[Ingreso_neto]]-TablaVentas[[#This Row],[Costo_total]])</f>
        <v>7528.0480000000025</v>
      </c>
    </row>
    <row r="1753" spans="1:17">
      <c r="A1753" t="s">
        <v>1140</v>
      </c>
      <c r="B1753">
        <v>1</v>
      </c>
      <c r="C1753" s="3">
        <v>46086</v>
      </c>
      <c r="D1753" t="s">
        <v>54</v>
      </c>
      <c r="E1753" t="s">
        <v>76</v>
      </c>
      <c r="F1753" t="s">
        <v>56</v>
      </c>
      <c r="G1753" t="s">
        <v>40</v>
      </c>
      <c r="H1753" t="s">
        <v>51</v>
      </c>
      <c r="I1753">
        <v>3</v>
      </c>
      <c r="J1753" s="4">
        <v>14039.87</v>
      </c>
      <c r="K1753" s="5">
        <v>0</v>
      </c>
      <c r="L1753" s="4">
        <v>7748.44</v>
      </c>
      <c r="M1753" t="s">
        <v>42</v>
      </c>
      <c r="N1753" t="s">
        <v>45</v>
      </c>
      <c r="O1753">
        <f>IF(TablaVentas[[#This Row],[Precio_unitario]]="","PENDIENTE",TablaVentas[[#This Row],[Unidades]]*TablaVentas[[#This Row],[Precio_unitario]]*(1-TablaVentas[[#This Row],[Descuento_pct]]))</f>
        <v>42119.61</v>
      </c>
      <c r="P1753">
        <f>IF(TablaVentas[[#This Row],[Costo_unitario]]="","PENDIENTE",TablaVentas[[#This Row],[Unidades]]*TablaVentas[[#This Row],[Costo_unitario]])</f>
        <v>23245.32</v>
      </c>
      <c r="Q1753">
        <f>IF(OR(TablaVentas[[#This Row],[Ingreso_neto]]="PENDIENTE",TablaVentas[[#This Row],[Costo_total]]="PENDIENTE"),"PENDIENTE",TablaVentas[[#This Row],[Ingreso_neto]]-TablaVentas[[#This Row],[Costo_total]])</f>
        <v>18874.29</v>
      </c>
    </row>
    <row r="1754" spans="1:17">
      <c r="A1754" t="s">
        <v>1141</v>
      </c>
      <c r="B1754">
        <v>1</v>
      </c>
      <c r="C1754" s="3">
        <v>46228</v>
      </c>
      <c r="D1754" t="s">
        <v>676</v>
      </c>
      <c r="E1754" t="s">
        <v>226</v>
      </c>
      <c r="F1754" t="s">
        <v>66</v>
      </c>
      <c r="G1754" t="s">
        <v>50</v>
      </c>
      <c r="H1754" t="s">
        <v>73</v>
      </c>
      <c r="I1754">
        <v>3</v>
      </c>
      <c r="J1754" s="4">
        <v>18285.669999999998</v>
      </c>
      <c r="K1754" s="5">
        <v>0.15</v>
      </c>
      <c r="L1754" s="4">
        <v>9976.68</v>
      </c>
      <c r="M1754" t="s">
        <v>42</v>
      </c>
      <c r="N1754" t="s">
        <v>43</v>
      </c>
      <c r="O1754">
        <f>IF(TablaVentas[[#This Row],[Precio_unitario]]="","PENDIENTE",TablaVentas[[#This Row],[Unidades]]*TablaVentas[[#This Row],[Precio_unitario]]*(1-TablaVentas[[#This Row],[Descuento_pct]]))</f>
        <v>46628.458499999993</v>
      </c>
      <c r="P1754">
        <f>IF(TablaVentas[[#This Row],[Costo_unitario]]="","PENDIENTE",TablaVentas[[#This Row],[Unidades]]*TablaVentas[[#This Row],[Costo_unitario]])</f>
        <v>29930.04</v>
      </c>
      <c r="Q1754">
        <f>IF(OR(TablaVentas[[#This Row],[Ingreso_neto]]="PENDIENTE",TablaVentas[[#This Row],[Costo_total]]="PENDIENTE"),"PENDIENTE",TablaVentas[[#This Row],[Ingreso_neto]]-TablaVentas[[#This Row],[Costo_total]])</f>
        <v>16698.418499999992</v>
      </c>
    </row>
    <row r="1755" spans="1:17">
      <c r="A1755" t="s">
        <v>1141</v>
      </c>
      <c r="B1755">
        <v>2</v>
      </c>
      <c r="C1755" s="3">
        <v>46228</v>
      </c>
      <c r="D1755" t="s">
        <v>676</v>
      </c>
      <c r="E1755" t="s">
        <v>253</v>
      </c>
      <c r="F1755" t="s">
        <v>66</v>
      </c>
      <c r="G1755" t="s">
        <v>50</v>
      </c>
      <c r="H1755" t="s">
        <v>73</v>
      </c>
      <c r="I1755">
        <v>2</v>
      </c>
      <c r="J1755" s="4">
        <v>3026.74</v>
      </c>
      <c r="K1755" s="5">
        <v>0.15</v>
      </c>
      <c r="L1755" s="4">
        <v>2486.1799999999998</v>
      </c>
      <c r="M1755" t="s">
        <v>42</v>
      </c>
      <c r="N1755" t="s">
        <v>60</v>
      </c>
      <c r="O1755">
        <f>IF(TablaVentas[[#This Row],[Precio_unitario]]="","PENDIENTE",TablaVentas[[#This Row],[Unidades]]*TablaVentas[[#This Row],[Precio_unitario]]*(1-TablaVentas[[#This Row],[Descuento_pct]]))</f>
        <v>5145.4579999999996</v>
      </c>
      <c r="P1755">
        <f>IF(TablaVentas[[#This Row],[Costo_unitario]]="","PENDIENTE",TablaVentas[[#This Row],[Unidades]]*TablaVentas[[#This Row],[Costo_unitario]])</f>
        <v>4972.3599999999997</v>
      </c>
      <c r="Q1755">
        <f>IF(OR(TablaVentas[[#This Row],[Ingreso_neto]]="PENDIENTE",TablaVentas[[#This Row],[Costo_total]]="PENDIENTE"),"PENDIENTE",TablaVentas[[#This Row],[Ingreso_neto]]-TablaVentas[[#This Row],[Costo_total]])</f>
        <v>173.09799999999996</v>
      </c>
    </row>
    <row r="1756" spans="1:17">
      <c r="A1756" t="s">
        <v>1142</v>
      </c>
      <c r="B1756">
        <v>1</v>
      </c>
      <c r="C1756" s="3">
        <v>46191</v>
      </c>
      <c r="D1756" t="s">
        <v>489</v>
      </c>
      <c r="E1756" t="s">
        <v>403</v>
      </c>
      <c r="F1756" t="s">
        <v>77</v>
      </c>
      <c r="G1756" t="s">
        <v>40</v>
      </c>
      <c r="H1756" t="s">
        <v>73</v>
      </c>
      <c r="I1756">
        <v>1</v>
      </c>
      <c r="J1756" s="4">
        <v>2751.12</v>
      </c>
      <c r="K1756" s="5">
        <v>0.1</v>
      </c>
      <c r="L1756" s="4">
        <v>1801.83</v>
      </c>
      <c r="M1756" t="s">
        <v>42</v>
      </c>
      <c r="N1756" t="s">
        <v>45</v>
      </c>
      <c r="O1756">
        <f>IF(TablaVentas[[#This Row],[Precio_unitario]]="","PENDIENTE",TablaVentas[[#This Row],[Unidades]]*TablaVentas[[#This Row],[Precio_unitario]]*(1-TablaVentas[[#This Row],[Descuento_pct]]))</f>
        <v>2476.0079999999998</v>
      </c>
      <c r="P1756">
        <f>IF(TablaVentas[[#This Row],[Costo_unitario]]="","PENDIENTE",TablaVentas[[#This Row],[Unidades]]*TablaVentas[[#This Row],[Costo_unitario]])</f>
        <v>1801.83</v>
      </c>
      <c r="Q1756">
        <f>IF(OR(TablaVentas[[#This Row],[Ingreso_neto]]="PENDIENTE",TablaVentas[[#This Row],[Costo_total]]="PENDIENTE"),"PENDIENTE",TablaVentas[[#This Row],[Ingreso_neto]]-TablaVentas[[#This Row],[Costo_total]])</f>
        <v>674.17799999999988</v>
      </c>
    </row>
    <row r="1757" spans="1:17">
      <c r="A1757" t="s">
        <v>1142</v>
      </c>
      <c r="B1757">
        <v>2</v>
      </c>
      <c r="C1757" s="3">
        <v>46191</v>
      </c>
      <c r="D1757" t="s">
        <v>489</v>
      </c>
      <c r="E1757" t="s">
        <v>248</v>
      </c>
      <c r="F1757" t="s">
        <v>77</v>
      </c>
      <c r="G1757" t="s">
        <v>40</v>
      </c>
      <c r="H1757" t="s">
        <v>73</v>
      </c>
      <c r="I1757">
        <v>2</v>
      </c>
      <c r="J1757" s="4">
        <v>12835.54</v>
      </c>
      <c r="K1757" s="5">
        <v>0</v>
      </c>
      <c r="L1757" s="4">
        <v>6856.4</v>
      </c>
      <c r="M1757" t="s">
        <v>42</v>
      </c>
      <c r="N1757" t="s">
        <v>43</v>
      </c>
      <c r="O1757">
        <f>IF(TablaVentas[[#This Row],[Precio_unitario]]="","PENDIENTE",TablaVentas[[#This Row],[Unidades]]*TablaVentas[[#This Row],[Precio_unitario]]*(1-TablaVentas[[#This Row],[Descuento_pct]]))</f>
        <v>25671.08</v>
      </c>
      <c r="P1757">
        <f>IF(TablaVentas[[#This Row],[Costo_unitario]]="","PENDIENTE",TablaVentas[[#This Row],[Unidades]]*TablaVentas[[#This Row],[Costo_unitario]])</f>
        <v>13712.8</v>
      </c>
      <c r="Q1757">
        <f>IF(OR(TablaVentas[[#This Row],[Ingreso_neto]]="PENDIENTE",TablaVentas[[#This Row],[Costo_total]]="PENDIENTE"),"PENDIENTE",TablaVentas[[#This Row],[Ingreso_neto]]-TablaVentas[[#This Row],[Costo_total]])</f>
        <v>11958.280000000002</v>
      </c>
    </row>
    <row r="1758" spans="1:17">
      <c r="A1758" t="s">
        <v>1143</v>
      </c>
      <c r="B1758">
        <v>1</v>
      </c>
      <c r="C1758" s="3">
        <v>46287</v>
      </c>
      <c r="D1758" t="s">
        <v>1144</v>
      </c>
      <c r="E1758" t="s">
        <v>144</v>
      </c>
      <c r="F1758" t="s">
        <v>66</v>
      </c>
      <c r="G1758" t="s">
        <v>40</v>
      </c>
      <c r="H1758" t="s">
        <v>58</v>
      </c>
      <c r="I1758">
        <v>2</v>
      </c>
      <c r="J1758" s="4">
        <v>10092.11</v>
      </c>
      <c r="K1758" s="5">
        <v>0</v>
      </c>
      <c r="L1758" s="4">
        <v>5125.3599999999997</v>
      </c>
      <c r="M1758" t="s">
        <v>62</v>
      </c>
      <c r="N1758" t="s">
        <v>43</v>
      </c>
      <c r="O1758">
        <f>IF(TablaVentas[[#This Row],[Precio_unitario]]="","PENDIENTE",TablaVentas[[#This Row],[Unidades]]*TablaVentas[[#This Row],[Precio_unitario]]*(1-TablaVentas[[#This Row],[Descuento_pct]]))</f>
        <v>20184.22</v>
      </c>
      <c r="P1758">
        <f>IF(TablaVentas[[#This Row],[Costo_unitario]]="","PENDIENTE",TablaVentas[[#This Row],[Unidades]]*TablaVentas[[#This Row],[Costo_unitario]])</f>
        <v>10250.719999999999</v>
      </c>
      <c r="Q1758">
        <f>IF(OR(TablaVentas[[#This Row],[Ingreso_neto]]="PENDIENTE",TablaVentas[[#This Row],[Costo_total]]="PENDIENTE"),"PENDIENTE",TablaVentas[[#This Row],[Ingreso_neto]]-TablaVentas[[#This Row],[Costo_total]])</f>
        <v>9933.5000000000018</v>
      </c>
    </row>
    <row r="1759" spans="1:17">
      <c r="A1759" t="s">
        <v>1145</v>
      </c>
      <c r="B1759">
        <v>1</v>
      </c>
      <c r="C1759" s="3">
        <v>46057</v>
      </c>
      <c r="D1759" t="s">
        <v>737</v>
      </c>
      <c r="E1759" t="s">
        <v>227</v>
      </c>
      <c r="F1759" t="s">
        <v>66</v>
      </c>
      <c r="G1759" t="s">
        <v>50</v>
      </c>
      <c r="H1759" t="s">
        <v>82</v>
      </c>
      <c r="I1759">
        <v>2</v>
      </c>
      <c r="J1759" s="4">
        <v>8037.73</v>
      </c>
      <c r="K1759" s="5">
        <v>0.1</v>
      </c>
      <c r="L1759" s="4">
        <v>6255.13</v>
      </c>
      <c r="M1759" t="s">
        <v>42</v>
      </c>
      <c r="N1759" t="s">
        <v>43</v>
      </c>
      <c r="O1759">
        <f>IF(TablaVentas[[#This Row],[Precio_unitario]]="","PENDIENTE",TablaVentas[[#This Row],[Unidades]]*TablaVentas[[#This Row],[Precio_unitario]]*(1-TablaVentas[[#This Row],[Descuento_pct]]))</f>
        <v>14467.913999999999</v>
      </c>
      <c r="P1759">
        <f>IF(TablaVentas[[#This Row],[Costo_unitario]]="","PENDIENTE",TablaVentas[[#This Row],[Unidades]]*TablaVentas[[#This Row],[Costo_unitario]])</f>
        <v>12510.26</v>
      </c>
      <c r="Q1759">
        <f>IF(OR(TablaVentas[[#This Row],[Ingreso_neto]]="PENDIENTE",TablaVentas[[#This Row],[Costo_total]]="PENDIENTE"),"PENDIENTE",TablaVentas[[#This Row],[Ingreso_neto]]-TablaVentas[[#This Row],[Costo_total]])</f>
        <v>1957.6539999999986</v>
      </c>
    </row>
    <row r="1760" spans="1:17">
      <c r="A1760" t="s">
        <v>1146</v>
      </c>
      <c r="B1760">
        <v>1</v>
      </c>
      <c r="C1760" s="3">
        <v>46154</v>
      </c>
      <c r="D1760" t="s">
        <v>166</v>
      </c>
      <c r="E1760" t="s">
        <v>101</v>
      </c>
      <c r="F1760" t="s">
        <v>39</v>
      </c>
      <c r="G1760" t="s">
        <v>40</v>
      </c>
      <c r="H1760" t="s">
        <v>58</v>
      </c>
      <c r="I1760">
        <v>1</v>
      </c>
      <c r="J1760" s="4">
        <v>4546.49</v>
      </c>
      <c r="K1760" s="5">
        <v>0.1</v>
      </c>
      <c r="L1760" s="4">
        <v>2865.24</v>
      </c>
      <c r="M1760" t="s">
        <v>42</v>
      </c>
      <c r="N1760" t="s">
        <v>60</v>
      </c>
      <c r="O1760">
        <f>IF(TablaVentas[[#This Row],[Precio_unitario]]="","PENDIENTE",TablaVentas[[#This Row],[Unidades]]*TablaVentas[[#This Row],[Precio_unitario]]*(1-TablaVentas[[#This Row],[Descuento_pct]]))</f>
        <v>4091.8409999999999</v>
      </c>
      <c r="P1760">
        <f>IF(TablaVentas[[#This Row],[Costo_unitario]]="","PENDIENTE",TablaVentas[[#This Row],[Unidades]]*TablaVentas[[#This Row],[Costo_unitario]])</f>
        <v>2865.24</v>
      </c>
      <c r="Q1760">
        <f>IF(OR(TablaVentas[[#This Row],[Ingreso_neto]]="PENDIENTE",TablaVentas[[#This Row],[Costo_total]]="PENDIENTE"),"PENDIENTE",TablaVentas[[#This Row],[Ingreso_neto]]-TablaVentas[[#This Row],[Costo_total]])</f>
        <v>1226.6010000000001</v>
      </c>
    </row>
    <row r="1761" spans="1:17">
      <c r="A1761" t="s">
        <v>1146</v>
      </c>
      <c r="B1761">
        <v>2</v>
      </c>
      <c r="C1761" s="3">
        <v>46154</v>
      </c>
      <c r="D1761" t="s">
        <v>166</v>
      </c>
      <c r="E1761" t="s">
        <v>76</v>
      </c>
      <c r="F1761" t="s">
        <v>39</v>
      </c>
      <c r="G1761" t="s">
        <v>40</v>
      </c>
      <c r="H1761" t="s">
        <v>58</v>
      </c>
      <c r="I1761">
        <v>4</v>
      </c>
      <c r="J1761" s="4">
        <v>13785.64</v>
      </c>
      <c r="K1761" s="5">
        <v>0.2</v>
      </c>
      <c r="L1761" s="4">
        <v>7748.44</v>
      </c>
      <c r="M1761" t="s">
        <v>116</v>
      </c>
      <c r="N1761" t="s">
        <v>52</v>
      </c>
      <c r="O1761">
        <f>IF(TablaVentas[[#This Row],[Precio_unitario]]="","PENDIENTE",TablaVentas[[#This Row],[Unidades]]*TablaVentas[[#This Row],[Precio_unitario]]*(1-TablaVentas[[#This Row],[Descuento_pct]]))</f>
        <v>44114.048000000003</v>
      </c>
      <c r="P1761">
        <f>IF(TablaVentas[[#This Row],[Costo_unitario]]="","PENDIENTE",TablaVentas[[#This Row],[Unidades]]*TablaVentas[[#This Row],[Costo_unitario]])</f>
        <v>30993.759999999998</v>
      </c>
      <c r="Q1761">
        <f>IF(OR(TablaVentas[[#This Row],[Ingreso_neto]]="PENDIENTE",TablaVentas[[#This Row],[Costo_total]]="PENDIENTE"),"PENDIENTE",TablaVentas[[#This Row],[Ingreso_neto]]-TablaVentas[[#This Row],[Costo_total]])</f>
        <v>13120.288000000004</v>
      </c>
    </row>
    <row r="1762" spans="1:17">
      <c r="A1762" t="s">
        <v>1147</v>
      </c>
      <c r="B1762">
        <v>1</v>
      </c>
      <c r="C1762" s="3">
        <v>46230</v>
      </c>
      <c r="D1762" t="s">
        <v>884</v>
      </c>
      <c r="E1762" t="s">
        <v>103</v>
      </c>
      <c r="F1762" t="s">
        <v>56</v>
      </c>
      <c r="G1762" t="s">
        <v>57</v>
      </c>
      <c r="H1762" t="s">
        <v>51</v>
      </c>
      <c r="I1762">
        <v>2</v>
      </c>
      <c r="J1762" s="4">
        <v>13686.38</v>
      </c>
      <c r="K1762" s="5">
        <v>0</v>
      </c>
      <c r="L1762" s="4">
        <v>7549.71</v>
      </c>
      <c r="M1762" t="s">
        <v>42</v>
      </c>
      <c r="N1762" t="s">
        <v>52</v>
      </c>
      <c r="O1762">
        <f>IF(TablaVentas[[#This Row],[Precio_unitario]]="","PENDIENTE",TablaVentas[[#This Row],[Unidades]]*TablaVentas[[#This Row],[Precio_unitario]]*(1-TablaVentas[[#This Row],[Descuento_pct]]))</f>
        <v>27372.76</v>
      </c>
      <c r="P1762">
        <f>IF(TablaVentas[[#This Row],[Costo_unitario]]="","PENDIENTE",TablaVentas[[#This Row],[Unidades]]*TablaVentas[[#This Row],[Costo_unitario]])</f>
        <v>15099.42</v>
      </c>
      <c r="Q1762">
        <f>IF(OR(TablaVentas[[#This Row],[Ingreso_neto]]="PENDIENTE",TablaVentas[[#This Row],[Costo_total]]="PENDIENTE"),"PENDIENTE",TablaVentas[[#This Row],[Ingreso_neto]]-TablaVentas[[#This Row],[Costo_total]])</f>
        <v>12273.339999999998</v>
      </c>
    </row>
    <row r="1763" spans="1:17">
      <c r="A1763" t="s">
        <v>1147</v>
      </c>
      <c r="B1763">
        <v>2</v>
      </c>
      <c r="C1763" s="3">
        <v>46230</v>
      </c>
      <c r="D1763" t="s">
        <v>884</v>
      </c>
      <c r="E1763" t="s">
        <v>125</v>
      </c>
      <c r="F1763" t="s">
        <v>56</v>
      </c>
      <c r="G1763" t="s">
        <v>57</v>
      </c>
      <c r="H1763" t="s">
        <v>51</v>
      </c>
      <c r="I1763">
        <v>4</v>
      </c>
      <c r="J1763" s="4">
        <v>1590.01</v>
      </c>
      <c r="K1763" s="5">
        <v>0</v>
      </c>
      <c r="L1763" s="4">
        <v>1044.32</v>
      </c>
      <c r="M1763" t="s">
        <v>42</v>
      </c>
      <c r="N1763" t="s">
        <v>45</v>
      </c>
      <c r="O1763">
        <f>IF(TablaVentas[[#This Row],[Precio_unitario]]="","PENDIENTE",TablaVentas[[#This Row],[Unidades]]*TablaVentas[[#This Row],[Precio_unitario]]*(1-TablaVentas[[#This Row],[Descuento_pct]]))</f>
        <v>6360.04</v>
      </c>
      <c r="P1763">
        <f>IF(TablaVentas[[#This Row],[Costo_unitario]]="","PENDIENTE",TablaVentas[[#This Row],[Unidades]]*TablaVentas[[#This Row],[Costo_unitario]])</f>
        <v>4177.28</v>
      </c>
      <c r="Q1763">
        <f>IF(OR(TablaVentas[[#This Row],[Ingreso_neto]]="PENDIENTE",TablaVentas[[#This Row],[Costo_total]]="PENDIENTE"),"PENDIENTE",TablaVentas[[#This Row],[Ingreso_neto]]-TablaVentas[[#This Row],[Costo_total]])</f>
        <v>2182.7600000000002</v>
      </c>
    </row>
    <row r="1764" spans="1:17">
      <c r="A1764" t="s">
        <v>1148</v>
      </c>
      <c r="B1764">
        <v>1</v>
      </c>
      <c r="C1764" s="3">
        <v>46214</v>
      </c>
      <c r="D1764" t="s">
        <v>529</v>
      </c>
      <c r="E1764" t="s">
        <v>49</v>
      </c>
      <c r="F1764" t="s">
        <v>56</v>
      </c>
      <c r="G1764" t="s">
        <v>50</v>
      </c>
      <c r="H1764" t="s">
        <v>102</v>
      </c>
      <c r="I1764">
        <v>2</v>
      </c>
      <c r="J1764" s="4">
        <v>3996</v>
      </c>
      <c r="K1764" s="5">
        <v>0</v>
      </c>
      <c r="L1764" s="4">
        <v>2950.52</v>
      </c>
      <c r="M1764" t="s">
        <v>42</v>
      </c>
      <c r="N1764" t="s">
        <v>60</v>
      </c>
      <c r="O1764">
        <f>IF(TablaVentas[[#This Row],[Precio_unitario]]="","PENDIENTE",TablaVentas[[#This Row],[Unidades]]*TablaVentas[[#This Row],[Precio_unitario]]*(1-TablaVentas[[#This Row],[Descuento_pct]]))</f>
        <v>7992</v>
      </c>
      <c r="P1764">
        <f>IF(TablaVentas[[#This Row],[Costo_unitario]]="","PENDIENTE",TablaVentas[[#This Row],[Unidades]]*TablaVentas[[#This Row],[Costo_unitario]])</f>
        <v>5901.04</v>
      </c>
      <c r="Q1764">
        <f>IF(OR(TablaVentas[[#This Row],[Ingreso_neto]]="PENDIENTE",TablaVentas[[#This Row],[Costo_total]]="PENDIENTE"),"PENDIENTE",TablaVentas[[#This Row],[Ingreso_neto]]-TablaVentas[[#This Row],[Costo_total]])</f>
        <v>2090.96</v>
      </c>
    </row>
    <row r="1765" spans="1:17">
      <c r="A1765" t="s">
        <v>1149</v>
      </c>
      <c r="B1765">
        <v>1</v>
      </c>
      <c r="C1765" s="3">
        <v>46274</v>
      </c>
      <c r="D1765" t="s">
        <v>1150</v>
      </c>
      <c r="E1765" t="s">
        <v>138</v>
      </c>
      <c r="F1765" t="s">
        <v>56</v>
      </c>
      <c r="G1765" t="s">
        <v>57</v>
      </c>
      <c r="H1765" t="s">
        <v>58</v>
      </c>
      <c r="I1765">
        <v>5</v>
      </c>
      <c r="J1765" s="4">
        <v>6633.55</v>
      </c>
      <c r="K1765" s="5">
        <v>0</v>
      </c>
      <c r="L1765" s="4">
        <v>4665.62</v>
      </c>
      <c r="M1765" t="s">
        <v>42</v>
      </c>
      <c r="N1765" t="s">
        <v>60</v>
      </c>
      <c r="O1765">
        <f>IF(TablaVentas[[#This Row],[Precio_unitario]]="","PENDIENTE",TablaVentas[[#This Row],[Unidades]]*TablaVentas[[#This Row],[Precio_unitario]]*(1-TablaVentas[[#This Row],[Descuento_pct]]))</f>
        <v>33167.75</v>
      </c>
      <c r="P1765">
        <f>IF(TablaVentas[[#This Row],[Costo_unitario]]="","PENDIENTE",TablaVentas[[#This Row],[Unidades]]*TablaVentas[[#This Row],[Costo_unitario]])</f>
        <v>23328.1</v>
      </c>
      <c r="Q1765">
        <f>IF(OR(TablaVentas[[#This Row],[Ingreso_neto]]="PENDIENTE",TablaVentas[[#This Row],[Costo_total]]="PENDIENTE"),"PENDIENTE",TablaVentas[[#This Row],[Ingreso_neto]]-TablaVentas[[#This Row],[Costo_total]])</f>
        <v>9839.6500000000015</v>
      </c>
    </row>
    <row r="1766" spans="1:17">
      <c r="A1766" t="s">
        <v>1149</v>
      </c>
      <c r="B1766">
        <v>2</v>
      </c>
      <c r="C1766" s="3">
        <v>46274</v>
      </c>
      <c r="D1766" t="s">
        <v>1150</v>
      </c>
      <c r="E1766" t="s">
        <v>144</v>
      </c>
      <c r="F1766" t="s">
        <v>56</v>
      </c>
      <c r="G1766" t="s">
        <v>57</v>
      </c>
      <c r="H1766" t="s">
        <v>58</v>
      </c>
      <c r="I1766">
        <v>1</v>
      </c>
      <c r="J1766" s="4">
        <v>9351.26</v>
      </c>
      <c r="K1766" s="5">
        <v>0</v>
      </c>
      <c r="L1766" s="4">
        <v>5125.3599999999997</v>
      </c>
      <c r="M1766" t="s">
        <v>42</v>
      </c>
      <c r="N1766" t="s">
        <v>45</v>
      </c>
      <c r="O1766">
        <f>IF(TablaVentas[[#This Row],[Precio_unitario]]="","PENDIENTE",TablaVentas[[#This Row],[Unidades]]*TablaVentas[[#This Row],[Precio_unitario]]*(1-TablaVentas[[#This Row],[Descuento_pct]]))</f>
        <v>9351.26</v>
      </c>
      <c r="P1766">
        <f>IF(TablaVentas[[#This Row],[Costo_unitario]]="","PENDIENTE",TablaVentas[[#This Row],[Unidades]]*TablaVentas[[#This Row],[Costo_unitario]])</f>
        <v>5125.3599999999997</v>
      </c>
      <c r="Q1766">
        <f>IF(OR(TablaVentas[[#This Row],[Ingreso_neto]]="PENDIENTE",TablaVentas[[#This Row],[Costo_total]]="PENDIENTE"),"PENDIENTE",TablaVentas[[#This Row],[Ingreso_neto]]-TablaVentas[[#This Row],[Costo_total]])</f>
        <v>4225.9000000000005</v>
      </c>
    </row>
    <row r="1767" spans="1:17">
      <c r="A1767" t="s">
        <v>1151</v>
      </c>
      <c r="B1767">
        <v>1</v>
      </c>
      <c r="C1767" s="3">
        <v>46122</v>
      </c>
      <c r="D1767" t="s">
        <v>749</v>
      </c>
      <c r="E1767" t="s">
        <v>38</v>
      </c>
      <c r="F1767" t="s">
        <v>77</v>
      </c>
      <c r="G1767" t="s">
        <v>40</v>
      </c>
      <c r="H1767" t="s">
        <v>73</v>
      </c>
      <c r="I1767">
        <v>4</v>
      </c>
      <c r="J1767" s="4">
        <v>6118.75</v>
      </c>
      <c r="K1767" s="5">
        <v>0</v>
      </c>
      <c r="L1767" s="4">
        <v>3832.69</v>
      </c>
      <c r="M1767" t="s">
        <v>42</v>
      </c>
      <c r="N1767" t="s">
        <v>43</v>
      </c>
      <c r="O1767">
        <f>IF(TablaVentas[[#This Row],[Precio_unitario]]="","PENDIENTE",TablaVentas[[#This Row],[Unidades]]*TablaVentas[[#This Row],[Precio_unitario]]*(1-TablaVentas[[#This Row],[Descuento_pct]]))</f>
        <v>24475</v>
      </c>
      <c r="P1767">
        <f>IF(TablaVentas[[#This Row],[Costo_unitario]]="","PENDIENTE",TablaVentas[[#This Row],[Unidades]]*TablaVentas[[#This Row],[Costo_unitario]])</f>
        <v>15330.76</v>
      </c>
      <c r="Q1767">
        <f>IF(OR(TablaVentas[[#This Row],[Ingreso_neto]]="PENDIENTE",TablaVentas[[#This Row],[Costo_total]]="PENDIENTE"),"PENDIENTE",TablaVentas[[#This Row],[Ingreso_neto]]-TablaVentas[[#This Row],[Costo_total]])</f>
        <v>9144.24</v>
      </c>
    </row>
    <row r="1768" spans="1:17">
      <c r="A1768" t="s">
        <v>1152</v>
      </c>
      <c r="B1768">
        <v>1</v>
      </c>
      <c r="C1768" s="3">
        <v>46104</v>
      </c>
      <c r="D1768" t="s">
        <v>480</v>
      </c>
      <c r="E1768" t="s">
        <v>236</v>
      </c>
      <c r="F1768" t="s">
        <v>39</v>
      </c>
      <c r="G1768" t="s">
        <v>57</v>
      </c>
      <c r="H1768" t="s">
        <v>82</v>
      </c>
      <c r="I1768">
        <v>2</v>
      </c>
      <c r="J1768" s="4">
        <v>8926.33</v>
      </c>
      <c r="K1768" s="5">
        <v>0</v>
      </c>
      <c r="L1768" s="4">
        <v>8061.7</v>
      </c>
      <c r="M1768" t="s">
        <v>116</v>
      </c>
      <c r="N1768" t="s">
        <v>60</v>
      </c>
      <c r="O1768">
        <f>IF(TablaVentas[[#This Row],[Precio_unitario]]="","PENDIENTE",TablaVentas[[#This Row],[Unidades]]*TablaVentas[[#This Row],[Precio_unitario]]*(1-TablaVentas[[#This Row],[Descuento_pct]]))</f>
        <v>17852.66</v>
      </c>
      <c r="P1768">
        <f>IF(TablaVentas[[#This Row],[Costo_unitario]]="","PENDIENTE",TablaVentas[[#This Row],[Unidades]]*TablaVentas[[#This Row],[Costo_unitario]])</f>
        <v>16123.4</v>
      </c>
      <c r="Q1768">
        <f>IF(OR(TablaVentas[[#This Row],[Ingreso_neto]]="PENDIENTE",TablaVentas[[#This Row],[Costo_total]]="PENDIENTE"),"PENDIENTE",TablaVentas[[#This Row],[Ingreso_neto]]-TablaVentas[[#This Row],[Costo_total]])</f>
        <v>1729.2600000000002</v>
      </c>
    </row>
    <row r="1769" spans="1:17">
      <c r="A1769" t="s">
        <v>1152</v>
      </c>
      <c r="B1769">
        <v>2</v>
      </c>
      <c r="C1769" s="3">
        <v>46104</v>
      </c>
      <c r="D1769" t="s">
        <v>480</v>
      </c>
      <c r="E1769" t="s">
        <v>84</v>
      </c>
      <c r="F1769" t="s">
        <v>39</v>
      </c>
      <c r="G1769" t="s">
        <v>57</v>
      </c>
      <c r="H1769" t="s">
        <v>82</v>
      </c>
      <c r="I1769">
        <v>3</v>
      </c>
      <c r="J1769" s="4">
        <v>14481.42</v>
      </c>
      <c r="K1769" s="5">
        <v>0</v>
      </c>
      <c r="L1769" s="4">
        <v>8576.0499999999993</v>
      </c>
      <c r="M1769" t="s">
        <v>42</v>
      </c>
      <c r="N1769" t="s">
        <v>52</v>
      </c>
      <c r="O1769">
        <f>IF(TablaVentas[[#This Row],[Precio_unitario]]="","PENDIENTE",TablaVentas[[#This Row],[Unidades]]*TablaVentas[[#This Row],[Precio_unitario]]*(1-TablaVentas[[#This Row],[Descuento_pct]]))</f>
        <v>43444.26</v>
      </c>
      <c r="P1769">
        <f>IF(TablaVentas[[#This Row],[Costo_unitario]]="","PENDIENTE",TablaVentas[[#This Row],[Unidades]]*TablaVentas[[#This Row],[Costo_unitario]])</f>
        <v>25728.149999999998</v>
      </c>
      <c r="Q1769">
        <f>IF(OR(TablaVentas[[#This Row],[Ingreso_neto]]="PENDIENTE",TablaVentas[[#This Row],[Costo_total]]="PENDIENTE"),"PENDIENTE",TablaVentas[[#This Row],[Ingreso_neto]]-TablaVentas[[#This Row],[Costo_total]])</f>
        <v>17716.110000000004</v>
      </c>
    </row>
    <row r="1770" spans="1:17">
      <c r="A1770" t="s">
        <v>1152</v>
      </c>
      <c r="B1770">
        <v>3</v>
      </c>
      <c r="C1770" s="3">
        <v>46104</v>
      </c>
      <c r="D1770" t="s">
        <v>480</v>
      </c>
      <c r="E1770" t="s">
        <v>403</v>
      </c>
      <c r="F1770" t="s">
        <v>39</v>
      </c>
      <c r="G1770" t="s">
        <v>57</v>
      </c>
      <c r="H1770" t="s">
        <v>82</v>
      </c>
      <c r="I1770">
        <v>1</v>
      </c>
      <c r="J1770" s="4">
        <v>2861.35</v>
      </c>
      <c r="K1770" s="5">
        <v>0</v>
      </c>
      <c r="L1770" s="4">
        <v>1801.83</v>
      </c>
      <c r="M1770" t="s">
        <v>42</v>
      </c>
      <c r="N1770" t="s">
        <v>43</v>
      </c>
      <c r="O1770">
        <f>IF(TablaVentas[[#This Row],[Precio_unitario]]="","PENDIENTE",TablaVentas[[#This Row],[Unidades]]*TablaVentas[[#This Row],[Precio_unitario]]*(1-TablaVentas[[#This Row],[Descuento_pct]]))</f>
        <v>2861.35</v>
      </c>
      <c r="P1770">
        <f>IF(TablaVentas[[#This Row],[Costo_unitario]]="","PENDIENTE",TablaVentas[[#This Row],[Unidades]]*TablaVentas[[#This Row],[Costo_unitario]])</f>
        <v>1801.83</v>
      </c>
      <c r="Q1770">
        <f>IF(OR(TablaVentas[[#This Row],[Ingreso_neto]]="PENDIENTE",TablaVentas[[#This Row],[Costo_total]]="PENDIENTE"),"PENDIENTE",TablaVentas[[#This Row],[Ingreso_neto]]-TablaVentas[[#This Row],[Costo_total]])</f>
        <v>1059.52</v>
      </c>
    </row>
    <row r="1771" spans="1:17">
      <c r="A1771" t="s">
        <v>1152</v>
      </c>
      <c r="B1771">
        <v>4</v>
      </c>
      <c r="C1771" s="3">
        <v>46104</v>
      </c>
      <c r="D1771" t="s">
        <v>480</v>
      </c>
      <c r="E1771" t="s">
        <v>109</v>
      </c>
      <c r="F1771" t="s">
        <v>39</v>
      </c>
      <c r="G1771" t="s">
        <v>57</v>
      </c>
      <c r="H1771" t="s">
        <v>82</v>
      </c>
      <c r="I1771">
        <v>2</v>
      </c>
      <c r="J1771" s="4">
        <v>15863.84</v>
      </c>
      <c r="K1771" s="5">
        <v>0</v>
      </c>
      <c r="L1771" s="4">
        <v>9880.77</v>
      </c>
      <c r="M1771" t="s">
        <v>42</v>
      </c>
      <c r="N1771" t="s">
        <v>52</v>
      </c>
      <c r="O1771">
        <f>IF(TablaVentas[[#This Row],[Precio_unitario]]="","PENDIENTE",TablaVentas[[#This Row],[Unidades]]*TablaVentas[[#This Row],[Precio_unitario]]*(1-TablaVentas[[#This Row],[Descuento_pct]]))</f>
        <v>31727.68</v>
      </c>
      <c r="P1771">
        <f>IF(TablaVentas[[#This Row],[Costo_unitario]]="","PENDIENTE",TablaVentas[[#This Row],[Unidades]]*TablaVentas[[#This Row],[Costo_unitario]])</f>
        <v>19761.54</v>
      </c>
      <c r="Q1771">
        <f>IF(OR(TablaVentas[[#This Row],[Ingreso_neto]]="PENDIENTE",TablaVentas[[#This Row],[Costo_total]]="PENDIENTE"),"PENDIENTE",TablaVentas[[#This Row],[Ingreso_neto]]-TablaVentas[[#This Row],[Costo_total]])</f>
        <v>11966.14</v>
      </c>
    </row>
    <row r="1772" spans="1:17">
      <c r="A1772" t="s">
        <v>1152</v>
      </c>
      <c r="B1772">
        <v>5</v>
      </c>
      <c r="C1772" s="3">
        <v>46104</v>
      </c>
      <c r="D1772" t="s">
        <v>480</v>
      </c>
      <c r="E1772" t="s">
        <v>163</v>
      </c>
      <c r="F1772" t="s">
        <v>39</v>
      </c>
      <c r="G1772" t="s">
        <v>57</v>
      </c>
      <c r="H1772" t="s">
        <v>82</v>
      </c>
      <c r="I1772">
        <v>3</v>
      </c>
      <c r="J1772" s="4">
        <v>15170.64</v>
      </c>
      <c r="K1772" s="5">
        <v>0</v>
      </c>
      <c r="L1772" s="4">
        <v>12141.44</v>
      </c>
      <c r="M1772" t="s">
        <v>42</v>
      </c>
      <c r="N1772" t="s">
        <v>43</v>
      </c>
      <c r="O1772">
        <f>IF(TablaVentas[[#This Row],[Precio_unitario]]="","PENDIENTE",TablaVentas[[#This Row],[Unidades]]*TablaVentas[[#This Row],[Precio_unitario]]*(1-TablaVentas[[#This Row],[Descuento_pct]]))</f>
        <v>45511.92</v>
      </c>
      <c r="P1772">
        <f>IF(TablaVentas[[#This Row],[Costo_unitario]]="","PENDIENTE",TablaVentas[[#This Row],[Unidades]]*TablaVentas[[#This Row],[Costo_unitario]])</f>
        <v>36424.32</v>
      </c>
      <c r="Q1772">
        <f>IF(OR(TablaVentas[[#This Row],[Ingreso_neto]]="PENDIENTE",TablaVentas[[#This Row],[Costo_total]]="PENDIENTE"),"PENDIENTE",TablaVentas[[#This Row],[Ingreso_neto]]-TablaVentas[[#This Row],[Costo_total]])</f>
        <v>9087.5999999999985</v>
      </c>
    </row>
    <row r="1773" spans="1:17">
      <c r="A1773" t="s">
        <v>1153</v>
      </c>
      <c r="B1773">
        <v>1</v>
      </c>
      <c r="C1773" s="3">
        <v>46184</v>
      </c>
      <c r="D1773" t="s">
        <v>352</v>
      </c>
      <c r="E1773" t="s">
        <v>109</v>
      </c>
      <c r="F1773" t="s">
        <v>66</v>
      </c>
      <c r="G1773" t="s">
        <v>40</v>
      </c>
      <c r="H1773" t="s">
        <v>51</v>
      </c>
      <c r="I1773">
        <v>1</v>
      </c>
      <c r="J1773" s="4">
        <v>13828.83</v>
      </c>
      <c r="K1773" s="5">
        <v>0.05</v>
      </c>
      <c r="L1773" s="4">
        <v>9880.77</v>
      </c>
      <c r="M1773" t="s">
        <v>42</v>
      </c>
      <c r="N1773" t="s">
        <v>45</v>
      </c>
      <c r="O1773">
        <f>IF(TablaVentas[[#This Row],[Precio_unitario]]="","PENDIENTE",TablaVentas[[#This Row],[Unidades]]*TablaVentas[[#This Row],[Precio_unitario]]*(1-TablaVentas[[#This Row],[Descuento_pct]]))</f>
        <v>13137.388499999999</v>
      </c>
      <c r="P1773">
        <f>IF(TablaVentas[[#This Row],[Costo_unitario]]="","PENDIENTE",TablaVentas[[#This Row],[Unidades]]*TablaVentas[[#This Row],[Costo_unitario]])</f>
        <v>9880.77</v>
      </c>
      <c r="Q1773">
        <f>IF(OR(TablaVentas[[#This Row],[Ingreso_neto]]="PENDIENTE",TablaVentas[[#This Row],[Costo_total]]="PENDIENTE"),"PENDIENTE",TablaVentas[[#This Row],[Ingreso_neto]]-TablaVentas[[#This Row],[Costo_total]])</f>
        <v>3256.6184999999987</v>
      </c>
    </row>
    <row r="1774" spans="1:17">
      <c r="A1774" t="s">
        <v>1153</v>
      </c>
      <c r="B1774">
        <v>2</v>
      </c>
      <c r="C1774" s="3">
        <v>46184</v>
      </c>
      <c r="D1774" t="s">
        <v>352</v>
      </c>
      <c r="E1774" t="s">
        <v>208</v>
      </c>
      <c r="F1774" t="s">
        <v>66</v>
      </c>
      <c r="G1774" t="s">
        <v>40</v>
      </c>
      <c r="H1774" t="s">
        <v>51</v>
      </c>
      <c r="I1774">
        <v>2</v>
      </c>
      <c r="J1774" s="4">
        <v>11081.17</v>
      </c>
      <c r="K1774" s="5">
        <v>0</v>
      </c>
      <c r="L1774" s="4">
        <v>5535.31</v>
      </c>
      <c r="M1774" t="s">
        <v>42</v>
      </c>
      <c r="N1774" t="s">
        <v>52</v>
      </c>
      <c r="O1774">
        <f>IF(TablaVentas[[#This Row],[Precio_unitario]]="","PENDIENTE",TablaVentas[[#This Row],[Unidades]]*TablaVentas[[#This Row],[Precio_unitario]]*(1-TablaVentas[[#This Row],[Descuento_pct]]))</f>
        <v>22162.34</v>
      </c>
      <c r="P1774">
        <f>IF(TablaVentas[[#This Row],[Costo_unitario]]="","PENDIENTE",TablaVentas[[#This Row],[Unidades]]*TablaVentas[[#This Row],[Costo_unitario]])</f>
        <v>11070.62</v>
      </c>
      <c r="Q1774">
        <f>IF(OR(TablaVentas[[#This Row],[Ingreso_neto]]="PENDIENTE",TablaVentas[[#This Row],[Costo_total]]="PENDIENTE"),"PENDIENTE",TablaVentas[[#This Row],[Ingreso_neto]]-TablaVentas[[#This Row],[Costo_total]])</f>
        <v>11091.72</v>
      </c>
    </row>
    <row r="1775" spans="1:17">
      <c r="A1775" t="s">
        <v>1154</v>
      </c>
      <c r="B1775">
        <v>1</v>
      </c>
      <c r="C1775" s="3">
        <v>46220</v>
      </c>
      <c r="D1775" t="s">
        <v>418</v>
      </c>
      <c r="E1775" t="s">
        <v>61</v>
      </c>
      <c r="F1775" t="s">
        <v>66</v>
      </c>
      <c r="G1775" t="s">
        <v>57</v>
      </c>
      <c r="H1775" t="s">
        <v>184</v>
      </c>
      <c r="I1775">
        <v>1</v>
      </c>
      <c r="J1775" s="4">
        <v>4238.26</v>
      </c>
      <c r="K1775" s="5">
        <v>0</v>
      </c>
      <c r="L1775" s="4">
        <v>2554.06</v>
      </c>
      <c r="M1775" t="s">
        <v>42</v>
      </c>
      <c r="N1775" t="s">
        <v>45</v>
      </c>
      <c r="O1775">
        <f>IF(TablaVentas[[#This Row],[Precio_unitario]]="","PENDIENTE",TablaVentas[[#This Row],[Unidades]]*TablaVentas[[#This Row],[Precio_unitario]]*(1-TablaVentas[[#This Row],[Descuento_pct]]))</f>
        <v>4238.26</v>
      </c>
      <c r="P1775">
        <f>IF(TablaVentas[[#This Row],[Costo_unitario]]="","PENDIENTE",TablaVentas[[#This Row],[Unidades]]*TablaVentas[[#This Row],[Costo_unitario]])</f>
        <v>2554.06</v>
      </c>
      <c r="Q1775">
        <f>IF(OR(TablaVentas[[#This Row],[Ingreso_neto]]="PENDIENTE",TablaVentas[[#This Row],[Costo_total]]="PENDIENTE"),"PENDIENTE",TablaVentas[[#This Row],[Ingreso_neto]]-TablaVentas[[#This Row],[Costo_total]])</f>
        <v>1684.2000000000003</v>
      </c>
    </row>
    <row r="1776" spans="1:17">
      <c r="A1776" t="s">
        <v>1154</v>
      </c>
      <c r="B1776">
        <v>2</v>
      </c>
      <c r="C1776" s="3">
        <v>46220</v>
      </c>
      <c r="D1776" t="s">
        <v>418</v>
      </c>
      <c r="E1776" t="s">
        <v>85</v>
      </c>
      <c r="F1776" t="s">
        <v>66</v>
      </c>
      <c r="G1776" t="s">
        <v>57</v>
      </c>
      <c r="H1776" t="s">
        <v>184</v>
      </c>
      <c r="I1776">
        <v>2</v>
      </c>
      <c r="J1776" s="4">
        <v>570.42999999999995</v>
      </c>
      <c r="K1776" s="5">
        <v>0.1</v>
      </c>
      <c r="L1776" s="4">
        <v>307.75</v>
      </c>
      <c r="M1776" t="s">
        <v>42</v>
      </c>
      <c r="N1776" t="s">
        <v>45</v>
      </c>
      <c r="O1776">
        <f>IF(TablaVentas[[#This Row],[Precio_unitario]]="","PENDIENTE",TablaVentas[[#This Row],[Unidades]]*TablaVentas[[#This Row],[Precio_unitario]]*(1-TablaVentas[[#This Row],[Descuento_pct]]))</f>
        <v>1026.7739999999999</v>
      </c>
      <c r="P1776">
        <f>IF(TablaVentas[[#This Row],[Costo_unitario]]="","PENDIENTE",TablaVentas[[#This Row],[Unidades]]*TablaVentas[[#This Row],[Costo_unitario]])</f>
        <v>615.5</v>
      </c>
      <c r="Q1776">
        <f>IF(OR(TablaVentas[[#This Row],[Ingreso_neto]]="PENDIENTE",TablaVentas[[#This Row],[Costo_total]]="PENDIENTE"),"PENDIENTE",TablaVentas[[#This Row],[Ingreso_neto]]-TablaVentas[[#This Row],[Costo_total]])</f>
        <v>411.27399999999989</v>
      </c>
    </row>
    <row r="1777" spans="1:17">
      <c r="A1777" t="s">
        <v>1154</v>
      </c>
      <c r="B1777">
        <v>3</v>
      </c>
      <c r="C1777" s="3">
        <v>46220</v>
      </c>
      <c r="D1777" t="s">
        <v>418</v>
      </c>
      <c r="E1777" t="s">
        <v>114</v>
      </c>
      <c r="F1777" t="s">
        <v>66</v>
      </c>
      <c r="G1777" t="s">
        <v>57</v>
      </c>
      <c r="H1777" t="s">
        <v>184</v>
      </c>
      <c r="I1777">
        <v>1</v>
      </c>
      <c r="J1777" s="4">
        <v>13178.31</v>
      </c>
      <c r="K1777" s="5">
        <v>0</v>
      </c>
      <c r="L1777" s="4">
        <v>8239.48</v>
      </c>
      <c r="M1777" t="s">
        <v>42</v>
      </c>
      <c r="N1777" t="s">
        <v>52</v>
      </c>
      <c r="O1777">
        <f>IF(TablaVentas[[#This Row],[Precio_unitario]]="","PENDIENTE",TablaVentas[[#This Row],[Unidades]]*TablaVentas[[#This Row],[Precio_unitario]]*(1-TablaVentas[[#This Row],[Descuento_pct]]))</f>
        <v>13178.31</v>
      </c>
      <c r="P1777">
        <f>IF(TablaVentas[[#This Row],[Costo_unitario]]="","PENDIENTE",TablaVentas[[#This Row],[Unidades]]*TablaVentas[[#This Row],[Costo_unitario]])</f>
        <v>8239.48</v>
      </c>
      <c r="Q1777">
        <f>IF(OR(TablaVentas[[#This Row],[Ingreso_neto]]="PENDIENTE",TablaVentas[[#This Row],[Costo_total]]="PENDIENTE"),"PENDIENTE",TablaVentas[[#This Row],[Ingreso_neto]]-TablaVentas[[#This Row],[Costo_total]])</f>
        <v>4938.83</v>
      </c>
    </row>
    <row r="1778" spans="1:17">
      <c r="A1778" t="s">
        <v>1155</v>
      </c>
      <c r="B1778">
        <v>1</v>
      </c>
      <c r="C1778" s="3">
        <v>46256</v>
      </c>
      <c r="D1778" t="s">
        <v>703</v>
      </c>
      <c r="E1778" t="s">
        <v>65</v>
      </c>
      <c r="F1778" t="s">
        <v>39</v>
      </c>
      <c r="G1778" t="s">
        <v>57</v>
      </c>
      <c r="H1778" t="s">
        <v>51</v>
      </c>
      <c r="I1778">
        <v>1</v>
      </c>
      <c r="J1778" s="4">
        <v>11420.69</v>
      </c>
      <c r="K1778" s="5">
        <v>0.2</v>
      </c>
      <c r="L1778" s="4">
        <v>7328.02</v>
      </c>
      <c r="M1778" t="s">
        <v>116</v>
      </c>
      <c r="N1778" t="s">
        <v>60</v>
      </c>
      <c r="O1778">
        <f>IF(TablaVentas[[#This Row],[Precio_unitario]]="","PENDIENTE",TablaVentas[[#This Row],[Unidades]]*TablaVentas[[#This Row],[Precio_unitario]]*(1-TablaVentas[[#This Row],[Descuento_pct]]))</f>
        <v>9136.5520000000015</v>
      </c>
      <c r="P1778">
        <f>IF(TablaVentas[[#This Row],[Costo_unitario]]="","PENDIENTE",TablaVentas[[#This Row],[Unidades]]*TablaVentas[[#This Row],[Costo_unitario]])</f>
        <v>7328.02</v>
      </c>
      <c r="Q1778">
        <f>IF(OR(TablaVentas[[#This Row],[Ingreso_neto]]="PENDIENTE",TablaVentas[[#This Row],[Costo_total]]="PENDIENTE"),"PENDIENTE",TablaVentas[[#This Row],[Ingreso_neto]]-TablaVentas[[#This Row],[Costo_total]])</f>
        <v>1808.5320000000011</v>
      </c>
    </row>
    <row r="1779" spans="1:17">
      <c r="A1779" t="s">
        <v>1155</v>
      </c>
      <c r="B1779">
        <v>2</v>
      </c>
      <c r="C1779" s="3">
        <v>46256</v>
      </c>
      <c r="D1779" t="s">
        <v>703</v>
      </c>
      <c r="E1779" t="s">
        <v>144</v>
      </c>
      <c r="F1779" t="s">
        <v>39</v>
      </c>
      <c r="G1779" t="s">
        <v>57</v>
      </c>
      <c r="H1779" t="s">
        <v>51</v>
      </c>
      <c r="I1779">
        <v>2</v>
      </c>
      <c r="J1779" s="4">
        <v>9798.41</v>
      </c>
      <c r="K1779" s="5">
        <v>0</v>
      </c>
      <c r="L1779" s="4">
        <v>5125.3599999999997</v>
      </c>
      <c r="M1779" t="s">
        <v>116</v>
      </c>
      <c r="N1779" t="s">
        <v>60</v>
      </c>
      <c r="O1779">
        <f>IF(TablaVentas[[#This Row],[Precio_unitario]]="","PENDIENTE",TablaVentas[[#This Row],[Unidades]]*TablaVentas[[#This Row],[Precio_unitario]]*(1-TablaVentas[[#This Row],[Descuento_pct]]))</f>
        <v>19596.82</v>
      </c>
      <c r="P1779">
        <f>IF(TablaVentas[[#This Row],[Costo_unitario]]="","PENDIENTE",TablaVentas[[#This Row],[Unidades]]*TablaVentas[[#This Row],[Costo_unitario]])</f>
        <v>10250.719999999999</v>
      </c>
      <c r="Q1779">
        <f>IF(OR(TablaVentas[[#This Row],[Ingreso_neto]]="PENDIENTE",TablaVentas[[#This Row],[Costo_total]]="PENDIENTE"),"PENDIENTE",TablaVentas[[#This Row],[Ingreso_neto]]-TablaVentas[[#This Row],[Costo_total]])</f>
        <v>9346.1</v>
      </c>
    </row>
    <row r="1780" spans="1:17">
      <c r="A1780" t="s">
        <v>1155</v>
      </c>
      <c r="B1780">
        <v>3</v>
      </c>
      <c r="C1780" s="3">
        <v>46256</v>
      </c>
      <c r="D1780" t="s">
        <v>703</v>
      </c>
      <c r="E1780" t="s">
        <v>101</v>
      </c>
      <c r="F1780" t="s">
        <v>39</v>
      </c>
      <c r="G1780" t="s">
        <v>57</v>
      </c>
      <c r="H1780" t="s">
        <v>51</v>
      </c>
      <c r="I1780">
        <v>12</v>
      </c>
      <c r="J1780" s="4">
        <v>5124.0200000000004</v>
      </c>
      <c r="K1780" s="5">
        <v>0</v>
      </c>
      <c r="L1780" s="4">
        <v>2865.24</v>
      </c>
      <c r="M1780" t="s">
        <v>42</v>
      </c>
      <c r="N1780" t="s">
        <v>43</v>
      </c>
      <c r="O1780">
        <f>IF(TablaVentas[[#This Row],[Precio_unitario]]="","PENDIENTE",TablaVentas[[#This Row],[Unidades]]*TablaVentas[[#This Row],[Precio_unitario]]*(1-TablaVentas[[#This Row],[Descuento_pct]]))</f>
        <v>61488.240000000005</v>
      </c>
      <c r="P1780">
        <f>IF(TablaVentas[[#This Row],[Costo_unitario]]="","PENDIENTE",TablaVentas[[#This Row],[Unidades]]*TablaVentas[[#This Row],[Costo_unitario]])</f>
        <v>34382.879999999997</v>
      </c>
      <c r="Q1780">
        <f>IF(OR(TablaVentas[[#This Row],[Ingreso_neto]]="PENDIENTE",TablaVentas[[#This Row],[Costo_total]]="PENDIENTE"),"PENDIENTE",TablaVentas[[#This Row],[Ingreso_neto]]-TablaVentas[[#This Row],[Costo_total]])</f>
        <v>27105.360000000008</v>
      </c>
    </row>
    <row r="1781" spans="1:17">
      <c r="A1781" t="s">
        <v>1156</v>
      </c>
      <c r="B1781">
        <v>1</v>
      </c>
      <c r="C1781" s="3">
        <v>46243</v>
      </c>
      <c r="D1781" t="s">
        <v>373</v>
      </c>
      <c r="E1781" t="s">
        <v>185</v>
      </c>
      <c r="F1781" t="s">
        <v>77</v>
      </c>
      <c r="G1781" t="s">
        <v>50</v>
      </c>
      <c r="H1781" t="s">
        <v>102</v>
      </c>
      <c r="I1781">
        <v>2</v>
      </c>
      <c r="J1781" s="4">
        <v>17891.78</v>
      </c>
      <c r="K1781" s="5">
        <v>0.1</v>
      </c>
      <c r="L1781" s="4">
        <v>11904.09</v>
      </c>
      <c r="M1781" t="s">
        <v>42</v>
      </c>
      <c r="N1781" t="s">
        <v>43</v>
      </c>
      <c r="O1781">
        <f>IF(TablaVentas[[#This Row],[Precio_unitario]]="","PENDIENTE",TablaVentas[[#This Row],[Unidades]]*TablaVentas[[#This Row],[Precio_unitario]]*(1-TablaVentas[[#This Row],[Descuento_pct]]))</f>
        <v>32205.203999999998</v>
      </c>
      <c r="P1781">
        <f>IF(TablaVentas[[#This Row],[Costo_unitario]]="","PENDIENTE",TablaVentas[[#This Row],[Unidades]]*TablaVentas[[#This Row],[Costo_unitario]])</f>
        <v>23808.18</v>
      </c>
      <c r="Q1781">
        <f>IF(OR(TablaVentas[[#This Row],[Ingreso_neto]]="PENDIENTE",TablaVentas[[#This Row],[Costo_total]]="PENDIENTE"),"PENDIENTE",TablaVentas[[#This Row],[Ingreso_neto]]-TablaVentas[[#This Row],[Costo_total]])</f>
        <v>8397.0239999999976</v>
      </c>
    </row>
    <row r="1782" spans="1:17">
      <c r="A1782" t="s">
        <v>1156</v>
      </c>
      <c r="B1782">
        <v>2</v>
      </c>
      <c r="C1782" s="3">
        <v>46243</v>
      </c>
      <c r="D1782" t="s">
        <v>373</v>
      </c>
      <c r="E1782" t="s">
        <v>164</v>
      </c>
      <c r="F1782" t="s">
        <v>77</v>
      </c>
      <c r="G1782" t="s">
        <v>50</v>
      </c>
      <c r="H1782" t="s">
        <v>102</v>
      </c>
      <c r="I1782">
        <v>2</v>
      </c>
      <c r="J1782" s="4">
        <v>5739.85</v>
      </c>
      <c r="K1782" s="5">
        <v>0</v>
      </c>
      <c r="L1782" s="4">
        <v>5050.04</v>
      </c>
      <c r="M1782" t="s">
        <v>42</v>
      </c>
      <c r="N1782" t="s">
        <v>52</v>
      </c>
      <c r="O1782">
        <f>IF(TablaVentas[[#This Row],[Precio_unitario]]="","PENDIENTE",TablaVentas[[#This Row],[Unidades]]*TablaVentas[[#This Row],[Precio_unitario]]*(1-TablaVentas[[#This Row],[Descuento_pct]]))</f>
        <v>11479.7</v>
      </c>
      <c r="P1782">
        <f>IF(TablaVentas[[#This Row],[Costo_unitario]]="","PENDIENTE",TablaVentas[[#This Row],[Unidades]]*TablaVentas[[#This Row],[Costo_unitario]])</f>
        <v>10100.08</v>
      </c>
      <c r="Q1782">
        <f>IF(OR(TablaVentas[[#This Row],[Ingreso_neto]]="PENDIENTE",TablaVentas[[#This Row],[Costo_total]]="PENDIENTE"),"PENDIENTE",TablaVentas[[#This Row],[Ingreso_neto]]-TablaVentas[[#This Row],[Costo_total]])</f>
        <v>1379.6200000000008</v>
      </c>
    </row>
    <row r="1783" spans="1:17">
      <c r="A1783" t="s">
        <v>1156</v>
      </c>
      <c r="B1783">
        <v>3</v>
      </c>
      <c r="C1783" s="3">
        <v>46243</v>
      </c>
      <c r="D1783" t="s">
        <v>373</v>
      </c>
      <c r="E1783" t="s">
        <v>293</v>
      </c>
      <c r="F1783" t="s">
        <v>77</v>
      </c>
      <c r="G1783" t="s">
        <v>50</v>
      </c>
      <c r="H1783" t="s">
        <v>102</v>
      </c>
      <c r="I1783">
        <v>5</v>
      </c>
      <c r="J1783" s="4">
        <v>1142.69</v>
      </c>
      <c r="K1783" s="5">
        <v>0</v>
      </c>
      <c r="L1783" s="4">
        <v>936.52</v>
      </c>
      <c r="M1783" t="s">
        <v>42</v>
      </c>
      <c r="N1783" t="s">
        <v>60</v>
      </c>
      <c r="O1783">
        <f>IF(TablaVentas[[#This Row],[Precio_unitario]]="","PENDIENTE",TablaVentas[[#This Row],[Unidades]]*TablaVentas[[#This Row],[Precio_unitario]]*(1-TablaVentas[[#This Row],[Descuento_pct]]))</f>
        <v>5713.4500000000007</v>
      </c>
      <c r="P1783">
        <f>IF(TablaVentas[[#This Row],[Costo_unitario]]="","PENDIENTE",TablaVentas[[#This Row],[Unidades]]*TablaVentas[[#This Row],[Costo_unitario]])</f>
        <v>4682.6000000000004</v>
      </c>
      <c r="Q1783">
        <f>IF(OR(TablaVentas[[#This Row],[Ingreso_neto]]="PENDIENTE",TablaVentas[[#This Row],[Costo_total]]="PENDIENTE"),"PENDIENTE",TablaVentas[[#This Row],[Ingreso_neto]]-TablaVentas[[#This Row],[Costo_total]])</f>
        <v>1030.8500000000004</v>
      </c>
    </row>
    <row r="1784" spans="1:17">
      <c r="A1784" t="s">
        <v>1157</v>
      </c>
      <c r="B1784">
        <v>1</v>
      </c>
      <c r="C1784" s="3">
        <v>46166</v>
      </c>
      <c r="D1784" t="s">
        <v>127</v>
      </c>
      <c r="E1784" t="s">
        <v>163</v>
      </c>
      <c r="F1784" t="s">
        <v>77</v>
      </c>
      <c r="G1784" t="s">
        <v>57</v>
      </c>
      <c r="H1784" t="s">
        <v>102</v>
      </c>
      <c r="I1784">
        <v>1</v>
      </c>
      <c r="J1784" s="4">
        <v>16424.740000000002</v>
      </c>
      <c r="K1784" s="5">
        <v>0.1</v>
      </c>
      <c r="L1784" s="4">
        <v>12141.44</v>
      </c>
      <c r="M1784" t="s">
        <v>42</v>
      </c>
      <c r="N1784" t="s">
        <v>60</v>
      </c>
      <c r="O1784">
        <f>IF(TablaVentas[[#This Row],[Precio_unitario]]="","PENDIENTE",TablaVentas[[#This Row],[Unidades]]*TablaVentas[[#This Row],[Precio_unitario]]*(1-TablaVentas[[#This Row],[Descuento_pct]]))</f>
        <v>14782.266000000001</v>
      </c>
      <c r="P1784">
        <f>IF(TablaVentas[[#This Row],[Costo_unitario]]="","PENDIENTE",TablaVentas[[#This Row],[Unidades]]*TablaVentas[[#This Row],[Costo_unitario]])</f>
        <v>12141.44</v>
      </c>
      <c r="Q1784">
        <f>IF(OR(TablaVentas[[#This Row],[Ingreso_neto]]="PENDIENTE",TablaVentas[[#This Row],[Costo_total]]="PENDIENTE"),"PENDIENTE",TablaVentas[[#This Row],[Ingreso_neto]]-TablaVentas[[#This Row],[Costo_total]])</f>
        <v>2640.8260000000009</v>
      </c>
    </row>
    <row r="1785" spans="1:17">
      <c r="A1785" t="s">
        <v>1157</v>
      </c>
      <c r="B1785">
        <v>2</v>
      </c>
      <c r="C1785" s="3">
        <v>46166</v>
      </c>
      <c r="D1785" t="s">
        <v>127</v>
      </c>
      <c r="E1785" t="s">
        <v>256</v>
      </c>
      <c r="F1785" t="s">
        <v>77</v>
      </c>
      <c r="G1785" t="s">
        <v>57</v>
      </c>
      <c r="H1785" t="s">
        <v>102</v>
      </c>
      <c r="I1785">
        <v>1</v>
      </c>
      <c r="J1785" s="4">
        <v>18150.8</v>
      </c>
      <c r="K1785" s="5">
        <v>0</v>
      </c>
      <c r="L1785" s="4">
        <v>11666.57</v>
      </c>
      <c r="M1785" t="s">
        <v>42</v>
      </c>
      <c r="N1785" t="s">
        <v>43</v>
      </c>
      <c r="O1785">
        <f>IF(TablaVentas[[#This Row],[Precio_unitario]]="","PENDIENTE",TablaVentas[[#This Row],[Unidades]]*TablaVentas[[#This Row],[Precio_unitario]]*(1-TablaVentas[[#This Row],[Descuento_pct]]))</f>
        <v>18150.8</v>
      </c>
      <c r="P1785">
        <f>IF(TablaVentas[[#This Row],[Costo_unitario]]="","PENDIENTE",TablaVentas[[#This Row],[Unidades]]*TablaVentas[[#This Row],[Costo_unitario]])</f>
        <v>11666.57</v>
      </c>
      <c r="Q1785">
        <f>IF(OR(TablaVentas[[#This Row],[Ingreso_neto]]="PENDIENTE",TablaVentas[[#This Row],[Costo_total]]="PENDIENTE"),"PENDIENTE",TablaVentas[[#This Row],[Ingreso_neto]]-TablaVentas[[#This Row],[Costo_total]])</f>
        <v>6484.23</v>
      </c>
    </row>
    <row r="1786" spans="1:17">
      <c r="A1786" t="s">
        <v>1158</v>
      </c>
      <c r="B1786">
        <v>1</v>
      </c>
      <c r="C1786" s="3">
        <v>46234</v>
      </c>
      <c r="D1786" t="s">
        <v>593</v>
      </c>
      <c r="E1786" t="s">
        <v>120</v>
      </c>
      <c r="F1786" t="s">
        <v>39</v>
      </c>
      <c r="G1786" t="s">
        <v>40</v>
      </c>
      <c r="H1786" t="s">
        <v>51</v>
      </c>
      <c r="I1786">
        <v>8</v>
      </c>
      <c r="J1786" s="4">
        <v>13474.47</v>
      </c>
      <c r="K1786" s="5">
        <v>0</v>
      </c>
      <c r="L1786" s="4">
        <v>7975.26</v>
      </c>
      <c r="M1786" t="s">
        <v>42</v>
      </c>
      <c r="N1786" t="s">
        <v>60</v>
      </c>
      <c r="O1786">
        <f>IF(TablaVentas[[#This Row],[Precio_unitario]]="","PENDIENTE",TablaVentas[[#This Row],[Unidades]]*TablaVentas[[#This Row],[Precio_unitario]]*(1-TablaVentas[[#This Row],[Descuento_pct]]))</f>
        <v>107795.76</v>
      </c>
      <c r="P1786">
        <f>IF(TablaVentas[[#This Row],[Costo_unitario]]="","PENDIENTE",TablaVentas[[#This Row],[Unidades]]*TablaVentas[[#This Row],[Costo_unitario]])</f>
        <v>63802.080000000002</v>
      </c>
      <c r="Q1786">
        <f>IF(OR(TablaVentas[[#This Row],[Ingreso_neto]]="PENDIENTE",TablaVentas[[#This Row],[Costo_total]]="PENDIENTE"),"PENDIENTE",TablaVentas[[#This Row],[Ingreso_neto]]-TablaVentas[[#This Row],[Costo_total]])</f>
        <v>43993.679999999993</v>
      </c>
    </row>
    <row r="1787" spans="1:17">
      <c r="A1787" t="s">
        <v>1158</v>
      </c>
      <c r="B1787">
        <v>2</v>
      </c>
      <c r="C1787" s="3">
        <v>46234</v>
      </c>
      <c r="D1787" t="s">
        <v>593</v>
      </c>
      <c r="E1787" t="s">
        <v>256</v>
      </c>
      <c r="F1787" t="s">
        <v>39</v>
      </c>
      <c r="G1787" t="s">
        <v>40</v>
      </c>
      <c r="H1787" t="s">
        <v>51</v>
      </c>
      <c r="I1787">
        <v>3</v>
      </c>
      <c r="J1787" s="4">
        <v>18753.36</v>
      </c>
      <c r="K1787" s="5">
        <v>0</v>
      </c>
      <c r="L1787" s="4">
        <v>11666.57</v>
      </c>
      <c r="M1787" t="s">
        <v>42</v>
      </c>
      <c r="N1787" t="s">
        <v>60</v>
      </c>
      <c r="O1787">
        <f>IF(TablaVentas[[#This Row],[Precio_unitario]]="","PENDIENTE",TablaVentas[[#This Row],[Unidades]]*TablaVentas[[#This Row],[Precio_unitario]]*(1-TablaVentas[[#This Row],[Descuento_pct]]))</f>
        <v>56260.08</v>
      </c>
      <c r="P1787">
        <f>IF(TablaVentas[[#This Row],[Costo_unitario]]="","PENDIENTE",TablaVentas[[#This Row],[Unidades]]*TablaVentas[[#This Row],[Costo_unitario]])</f>
        <v>34999.71</v>
      </c>
      <c r="Q1787">
        <f>IF(OR(TablaVentas[[#This Row],[Ingreso_neto]]="PENDIENTE",TablaVentas[[#This Row],[Costo_total]]="PENDIENTE"),"PENDIENTE",TablaVentas[[#This Row],[Ingreso_neto]]-TablaVentas[[#This Row],[Costo_total]])</f>
        <v>21260.370000000003</v>
      </c>
    </row>
    <row r="1788" spans="1:17">
      <c r="A1788" t="s">
        <v>1158</v>
      </c>
      <c r="B1788">
        <v>3</v>
      </c>
      <c r="C1788" s="3">
        <v>46234</v>
      </c>
      <c r="D1788" t="s">
        <v>593</v>
      </c>
      <c r="E1788" t="s">
        <v>167</v>
      </c>
      <c r="F1788" t="s">
        <v>39</v>
      </c>
      <c r="G1788" t="s">
        <v>40</v>
      </c>
      <c r="H1788" t="s">
        <v>51</v>
      </c>
      <c r="I1788">
        <v>3</v>
      </c>
      <c r="J1788" s="4">
        <v>17864</v>
      </c>
      <c r="K1788" s="5">
        <v>0</v>
      </c>
      <c r="L1788" s="4">
        <v>8704.4</v>
      </c>
      <c r="M1788" t="s">
        <v>42</v>
      </c>
      <c r="N1788" t="s">
        <v>52</v>
      </c>
      <c r="O1788">
        <f>IF(TablaVentas[[#This Row],[Precio_unitario]]="","PENDIENTE",TablaVentas[[#This Row],[Unidades]]*TablaVentas[[#This Row],[Precio_unitario]]*(1-TablaVentas[[#This Row],[Descuento_pct]]))</f>
        <v>53592</v>
      </c>
      <c r="P1788">
        <f>IF(TablaVentas[[#This Row],[Costo_unitario]]="","PENDIENTE",TablaVentas[[#This Row],[Unidades]]*TablaVentas[[#This Row],[Costo_unitario]])</f>
        <v>26113.199999999997</v>
      </c>
      <c r="Q1788">
        <f>IF(OR(TablaVentas[[#This Row],[Ingreso_neto]]="PENDIENTE",TablaVentas[[#This Row],[Costo_total]]="PENDIENTE"),"PENDIENTE",TablaVentas[[#This Row],[Ingreso_neto]]-TablaVentas[[#This Row],[Costo_total]])</f>
        <v>27478.800000000003</v>
      </c>
    </row>
    <row r="1789" spans="1:17">
      <c r="A1789" t="s">
        <v>1158</v>
      </c>
      <c r="B1789">
        <v>4</v>
      </c>
      <c r="C1789" s="3">
        <v>46234</v>
      </c>
      <c r="D1789" t="s">
        <v>593</v>
      </c>
      <c r="E1789" t="s">
        <v>76</v>
      </c>
      <c r="F1789" t="s">
        <v>39</v>
      </c>
      <c r="G1789" t="s">
        <v>40</v>
      </c>
      <c r="H1789" t="s">
        <v>51</v>
      </c>
      <c r="I1789">
        <v>3</v>
      </c>
      <c r="J1789" s="4">
        <v>14663.58</v>
      </c>
      <c r="K1789" s="5">
        <v>0</v>
      </c>
      <c r="L1789" s="4">
        <v>7748.44</v>
      </c>
      <c r="M1789" t="s">
        <v>42</v>
      </c>
      <c r="N1789" t="s">
        <v>45</v>
      </c>
      <c r="O1789">
        <f>IF(TablaVentas[[#This Row],[Precio_unitario]]="","PENDIENTE",TablaVentas[[#This Row],[Unidades]]*TablaVentas[[#This Row],[Precio_unitario]]*(1-TablaVentas[[#This Row],[Descuento_pct]]))</f>
        <v>43990.74</v>
      </c>
      <c r="P1789">
        <f>IF(TablaVentas[[#This Row],[Costo_unitario]]="","PENDIENTE",TablaVentas[[#This Row],[Unidades]]*TablaVentas[[#This Row],[Costo_unitario]])</f>
        <v>23245.32</v>
      </c>
      <c r="Q1789">
        <f>IF(OR(TablaVentas[[#This Row],[Ingreso_neto]]="PENDIENTE",TablaVentas[[#This Row],[Costo_total]]="PENDIENTE"),"PENDIENTE",TablaVentas[[#This Row],[Ingreso_neto]]-TablaVentas[[#This Row],[Costo_total]])</f>
        <v>20745.419999999998</v>
      </c>
    </row>
    <row r="1790" spans="1:17">
      <c r="A1790" t="s">
        <v>1159</v>
      </c>
      <c r="B1790">
        <v>1</v>
      </c>
      <c r="C1790" s="3">
        <v>46024</v>
      </c>
      <c r="D1790" t="s">
        <v>492</v>
      </c>
      <c r="E1790" t="s">
        <v>211</v>
      </c>
      <c r="F1790" t="s">
        <v>56</v>
      </c>
      <c r="G1790" t="s">
        <v>57</v>
      </c>
      <c r="H1790" t="s">
        <v>58</v>
      </c>
      <c r="I1790">
        <v>1</v>
      </c>
      <c r="J1790" s="4">
        <v>17638.47</v>
      </c>
      <c r="K1790" s="5">
        <v>0.1</v>
      </c>
      <c r="L1790" s="4">
        <v>13760.53</v>
      </c>
      <c r="M1790" t="s">
        <v>42</v>
      </c>
      <c r="N1790" t="s">
        <v>52</v>
      </c>
      <c r="O1790">
        <f>IF(TablaVentas[[#This Row],[Precio_unitario]]="","PENDIENTE",TablaVentas[[#This Row],[Unidades]]*TablaVentas[[#This Row],[Precio_unitario]]*(1-TablaVentas[[#This Row],[Descuento_pct]]))</f>
        <v>15874.623000000001</v>
      </c>
      <c r="P1790">
        <f>IF(TablaVentas[[#This Row],[Costo_unitario]]="","PENDIENTE",TablaVentas[[#This Row],[Unidades]]*TablaVentas[[#This Row],[Costo_unitario]])</f>
        <v>13760.53</v>
      </c>
      <c r="Q1790">
        <f>IF(OR(TablaVentas[[#This Row],[Ingreso_neto]]="PENDIENTE",TablaVentas[[#This Row],[Costo_total]]="PENDIENTE"),"PENDIENTE",TablaVentas[[#This Row],[Ingreso_neto]]-TablaVentas[[#This Row],[Costo_total]])</f>
        <v>2114.0930000000008</v>
      </c>
    </row>
    <row r="1791" spans="1:17">
      <c r="A1791" t="s">
        <v>1159</v>
      </c>
      <c r="B1791">
        <v>2</v>
      </c>
      <c r="C1791" s="3">
        <v>46024</v>
      </c>
      <c r="D1791" t="s">
        <v>492</v>
      </c>
      <c r="E1791" t="s">
        <v>218</v>
      </c>
      <c r="F1791" t="s">
        <v>56</v>
      </c>
      <c r="G1791" t="s">
        <v>57</v>
      </c>
      <c r="H1791" t="s">
        <v>58</v>
      </c>
      <c r="I1791">
        <v>4</v>
      </c>
      <c r="J1791" s="4">
        <v>4197.76</v>
      </c>
      <c r="K1791" s="5">
        <v>0.15</v>
      </c>
      <c r="L1791" s="4">
        <v>2833.97</v>
      </c>
      <c r="M1791" t="s">
        <v>42</v>
      </c>
      <c r="N1791" t="s">
        <v>60</v>
      </c>
      <c r="O1791">
        <f>IF(TablaVentas[[#This Row],[Precio_unitario]]="","PENDIENTE",TablaVentas[[#This Row],[Unidades]]*TablaVentas[[#This Row],[Precio_unitario]]*(1-TablaVentas[[#This Row],[Descuento_pct]]))</f>
        <v>14272.384</v>
      </c>
      <c r="P1791">
        <f>IF(TablaVentas[[#This Row],[Costo_unitario]]="","PENDIENTE",TablaVentas[[#This Row],[Unidades]]*TablaVentas[[#This Row],[Costo_unitario]])</f>
        <v>11335.88</v>
      </c>
      <c r="Q1791">
        <f>IF(OR(TablaVentas[[#This Row],[Ingreso_neto]]="PENDIENTE",TablaVentas[[#This Row],[Costo_total]]="PENDIENTE"),"PENDIENTE",TablaVentas[[#This Row],[Ingreso_neto]]-TablaVentas[[#This Row],[Costo_total]])</f>
        <v>2936.5040000000008</v>
      </c>
    </row>
    <row r="1792" spans="1:17">
      <c r="A1792" t="s">
        <v>1160</v>
      </c>
      <c r="B1792">
        <v>1</v>
      </c>
      <c r="C1792" s="3">
        <v>46106</v>
      </c>
      <c r="D1792" t="s">
        <v>244</v>
      </c>
      <c r="E1792" t="s">
        <v>93</v>
      </c>
      <c r="F1792" t="s">
        <v>77</v>
      </c>
      <c r="G1792" t="s">
        <v>57</v>
      </c>
      <c r="H1792" t="s">
        <v>51</v>
      </c>
      <c r="I1792">
        <v>1</v>
      </c>
      <c r="J1792" s="4">
        <v>16268.15</v>
      </c>
      <c r="K1792" s="5">
        <v>0</v>
      </c>
      <c r="L1792" s="4">
        <v>8788.7900000000009</v>
      </c>
      <c r="M1792" t="s">
        <v>42</v>
      </c>
      <c r="N1792" t="s">
        <v>45</v>
      </c>
      <c r="O1792">
        <f>IF(TablaVentas[[#This Row],[Precio_unitario]]="","PENDIENTE",TablaVentas[[#This Row],[Unidades]]*TablaVentas[[#This Row],[Precio_unitario]]*(1-TablaVentas[[#This Row],[Descuento_pct]]))</f>
        <v>16268.15</v>
      </c>
      <c r="P1792">
        <f>IF(TablaVentas[[#This Row],[Costo_unitario]]="","PENDIENTE",TablaVentas[[#This Row],[Unidades]]*TablaVentas[[#This Row],[Costo_unitario]])</f>
        <v>8788.7900000000009</v>
      </c>
      <c r="Q1792">
        <f>IF(OR(TablaVentas[[#This Row],[Ingreso_neto]]="PENDIENTE",TablaVentas[[#This Row],[Costo_total]]="PENDIENTE"),"PENDIENTE",TablaVentas[[#This Row],[Ingreso_neto]]-TablaVentas[[#This Row],[Costo_total]])</f>
        <v>7479.3599999999988</v>
      </c>
    </row>
    <row r="1793" spans="1:17">
      <c r="A1793" t="s">
        <v>1160</v>
      </c>
      <c r="B1793">
        <v>2</v>
      </c>
      <c r="C1793" s="3">
        <v>46106</v>
      </c>
      <c r="D1793" t="s">
        <v>244</v>
      </c>
      <c r="E1793" t="s">
        <v>106</v>
      </c>
      <c r="F1793" t="s">
        <v>77</v>
      </c>
      <c r="G1793" t="s">
        <v>57</v>
      </c>
      <c r="H1793" t="s">
        <v>51</v>
      </c>
      <c r="I1793">
        <v>2</v>
      </c>
      <c r="J1793" s="4">
        <v>10487.69</v>
      </c>
      <c r="K1793" s="5">
        <v>0.2</v>
      </c>
      <c r="L1793" s="4">
        <v>8276.74</v>
      </c>
      <c r="M1793" t="s">
        <v>62</v>
      </c>
      <c r="N1793" t="s">
        <v>43</v>
      </c>
      <c r="O1793">
        <f>IF(TablaVentas[[#This Row],[Precio_unitario]]="","PENDIENTE",TablaVentas[[#This Row],[Unidades]]*TablaVentas[[#This Row],[Precio_unitario]]*(1-TablaVentas[[#This Row],[Descuento_pct]]))</f>
        <v>16780.304</v>
      </c>
      <c r="P1793">
        <f>IF(TablaVentas[[#This Row],[Costo_unitario]]="","PENDIENTE",TablaVentas[[#This Row],[Unidades]]*TablaVentas[[#This Row],[Costo_unitario]])</f>
        <v>16553.48</v>
      </c>
      <c r="Q1793">
        <f>IF(OR(TablaVentas[[#This Row],[Ingreso_neto]]="PENDIENTE",TablaVentas[[#This Row],[Costo_total]]="PENDIENTE"),"PENDIENTE",TablaVentas[[#This Row],[Ingreso_neto]]-TablaVentas[[#This Row],[Costo_total]])</f>
        <v>226.82400000000052</v>
      </c>
    </row>
    <row r="1794" spans="1:17">
      <c r="A1794" t="s">
        <v>1161</v>
      </c>
      <c r="B1794">
        <v>1</v>
      </c>
      <c r="C1794" s="3">
        <v>46052</v>
      </c>
      <c r="D1794" t="s">
        <v>369</v>
      </c>
      <c r="E1794" t="s">
        <v>86</v>
      </c>
      <c r="F1794" t="s">
        <v>39</v>
      </c>
      <c r="G1794" t="s">
        <v>40</v>
      </c>
      <c r="H1794" t="s">
        <v>51</v>
      </c>
      <c r="I1794">
        <v>1</v>
      </c>
      <c r="J1794" s="4">
        <v>14863.79</v>
      </c>
      <c r="K1794" s="5">
        <v>0</v>
      </c>
      <c r="L1794" s="4">
        <v>11166.03</v>
      </c>
      <c r="M1794" t="s">
        <v>42</v>
      </c>
      <c r="N1794" t="s">
        <v>45</v>
      </c>
      <c r="O1794">
        <f>IF(TablaVentas[[#This Row],[Precio_unitario]]="","PENDIENTE",TablaVentas[[#This Row],[Unidades]]*TablaVentas[[#This Row],[Precio_unitario]]*(1-TablaVentas[[#This Row],[Descuento_pct]]))</f>
        <v>14863.79</v>
      </c>
      <c r="P1794">
        <f>IF(TablaVentas[[#This Row],[Costo_unitario]]="","PENDIENTE",TablaVentas[[#This Row],[Unidades]]*TablaVentas[[#This Row],[Costo_unitario]])</f>
        <v>11166.03</v>
      </c>
      <c r="Q1794">
        <f>IF(OR(TablaVentas[[#This Row],[Ingreso_neto]]="PENDIENTE",TablaVentas[[#This Row],[Costo_total]]="PENDIENTE"),"PENDIENTE",TablaVentas[[#This Row],[Ingreso_neto]]-TablaVentas[[#This Row],[Costo_total]])</f>
        <v>3697.76</v>
      </c>
    </row>
    <row r="1795" spans="1:17">
      <c r="A1795" t="s">
        <v>1161</v>
      </c>
      <c r="B1795">
        <v>2</v>
      </c>
      <c r="C1795" s="3">
        <v>46052</v>
      </c>
      <c r="D1795" t="s">
        <v>369</v>
      </c>
      <c r="E1795" t="s">
        <v>115</v>
      </c>
      <c r="F1795" t="s">
        <v>39</v>
      </c>
      <c r="G1795" t="s">
        <v>40</v>
      </c>
      <c r="H1795" t="s">
        <v>51</v>
      </c>
      <c r="I1795">
        <v>2</v>
      </c>
      <c r="J1795" s="4">
        <v>1416.56</v>
      </c>
      <c r="K1795" s="5">
        <v>0.05</v>
      </c>
      <c r="L1795" s="4">
        <v>705.87</v>
      </c>
      <c r="M1795" t="s">
        <v>42</v>
      </c>
      <c r="N1795" t="s">
        <v>43</v>
      </c>
      <c r="O1795">
        <f>IF(TablaVentas[[#This Row],[Precio_unitario]]="","PENDIENTE",TablaVentas[[#This Row],[Unidades]]*TablaVentas[[#This Row],[Precio_unitario]]*(1-TablaVentas[[#This Row],[Descuento_pct]]))</f>
        <v>2691.4639999999999</v>
      </c>
      <c r="P1795">
        <f>IF(TablaVentas[[#This Row],[Costo_unitario]]="","PENDIENTE",TablaVentas[[#This Row],[Unidades]]*TablaVentas[[#This Row],[Costo_unitario]])</f>
        <v>1411.74</v>
      </c>
      <c r="Q1795">
        <f>IF(OR(TablaVentas[[#This Row],[Ingreso_neto]]="PENDIENTE",TablaVentas[[#This Row],[Costo_total]]="PENDIENTE"),"PENDIENTE",TablaVentas[[#This Row],[Ingreso_neto]]-TablaVentas[[#This Row],[Costo_total]])</f>
        <v>1279.7239999999999</v>
      </c>
    </row>
    <row r="1796" spans="1:17">
      <c r="A1796" t="s">
        <v>1162</v>
      </c>
      <c r="B1796">
        <v>1</v>
      </c>
      <c r="C1796" s="3">
        <v>46278</v>
      </c>
      <c r="D1796" t="s">
        <v>54</v>
      </c>
      <c r="E1796" t="s">
        <v>175</v>
      </c>
      <c r="F1796" t="s">
        <v>77</v>
      </c>
      <c r="G1796" t="s">
        <v>57</v>
      </c>
      <c r="H1796" t="s">
        <v>184</v>
      </c>
      <c r="I1796">
        <v>1</v>
      </c>
      <c r="J1796" s="4">
        <v>2526.02</v>
      </c>
      <c r="K1796" s="5">
        <v>0</v>
      </c>
      <c r="L1796" s="4">
        <v>1857.39</v>
      </c>
      <c r="M1796" t="s">
        <v>42</v>
      </c>
      <c r="N1796" t="s">
        <v>45</v>
      </c>
      <c r="O1796">
        <f>IF(TablaVentas[[#This Row],[Precio_unitario]]="","PENDIENTE",TablaVentas[[#This Row],[Unidades]]*TablaVentas[[#This Row],[Precio_unitario]]*(1-TablaVentas[[#This Row],[Descuento_pct]]))</f>
        <v>2526.02</v>
      </c>
      <c r="P1796">
        <f>IF(TablaVentas[[#This Row],[Costo_unitario]]="","PENDIENTE",TablaVentas[[#This Row],[Unidades]]*TablaVentas[[#This Row],[Costo_unitario]])</f>
        <v>1857.39</v>
      </c>
      <c r="Q1796">
        <f>IF(OR(TablaVentas[[#This Row],[Ingreso_neto]]="PENDIENTE",TablaVentas[[#This Row],[Costo_total]]="PENDIENTE"),"PENDIENTE",TablaVentas[[#This Row],[Ingreso_neto]]-TablaVentas[[#This Row],[Costo_total]])</f>
        <v>668.62999999999988</v>
      </c>
    </row>
    <row r="1797" spans="1:17">
      <c r="A1797" t="s">
        <v>1162</v>
      </c>
      <c r="B1797">
        <v>2</v>
      </c>
      <c r="C1797" s="3">
        <v>46278</v>
      </c>
      <c r="D1797" t="s">
        <v>54</v>
      </c>
      <c r="E1797" t="s">
        <v>226</v>
      </c>
      <c r="F1797" t="s">
        <v>77</v>
      </c>
      <c r="G1797" t="s">
        <v>57</v>
      </c>
      <c r="H1797" t="s">
        <v>184</v>
      </c>
      <c r="I1797">
        <v>3</v>
      </c>
      <c r="J1797" s="4">
        <v>19031.98</v>
      </c>
      <c r="K1797" s="5">
        <v>0</v>
      </c>
      <c r="L1797" s="4">
        <v>9976.68</v>
      </c>
      <c r="M1797" t="s">
        <v>42</v>
      </c>
      <c r="N1797" t="s">
        <v>52</v>
      </c>
      <c r="O1797">
        <f>IF(TablaVentas[[#This Row],[Precio_unitario]]="","PENDIENTE",TablaVentas[[#This Row],[Unidades]]*TablaVentas[[#This Row],[Precio_unitario]]*(1-TablaVentas[[#This Row],[Descuento_pct]]))</f>
        <v>57095.94</v>
      </c>
      <c r="P1797">
        <f>IF(TablaVentas[[#This Row],[Costo_unitario]]="","PENDIENTE",TablaVentas[[#This Row],[Unidades]]*TablaVentas[[#This Row],[Costo_unitario]])</f>
        <v>29930.04</v>
      </c>
      <c r="Q1797">
        <f>IF(OR(TablaVentas[[#This Row],[Ingreso_neto]]="PENDIENTE",TablaVentas[[#This Row],[Costo_total]]="PENDIENTE"),"PENDIENTE",TablaVentas[[#This Row],[Ingreso_neto]]-TablaVentas[[#This Row],[Costo_total]])</f>
        <v>27165.9</v>
      </c>
    </row>
    <row r="1798" spans="1:17">
      <c r="A1798" t="s">
        <v>1162</v>
      </c>
      <c r="B1798">
        <v>3</v>
      </c>
      <c r="C1798" s="3">
        <v>46278</v>
      </c>
      <c r="D1798" t="s">
        <v>54</v>
      </c>
      <c r="E1798" t="s">
        <v>378</v>
      </c>
      <c r="F1798" t="s">
        <v>77</v>
      </c>
      <c r="G1798" t="s">
        <v>57</v>
      </c>
      <c r="H1798" t="s">
        <v>184</v>
      </c>
      <c r="I1798">
        <v>3</v>
      </c>
      <c r="J1798" s="4">
        <v>3543.47</v>
      </c>
      <c r="K1798" s="5">
        <v>0.1</v>
      </c>
      <c r="L1798" s="4">
        <v>2864.64</v>
      </c>
      <c r="M1798" t="s">
        <v>42</v>
      </c>
      <c r="N1798" t="s">
        <v>43</v>
      </c>
      <c r="O1798">
        <f>IF(TablaVentas[[#This Row],[Precio_unitario]]="","PENDIENTE",TablaVentas[[#This Row],[Unidades]]*TablaVentas[[#This Row],[Precio_unitario]]*(1-TablaVentas[[#This Row],[Descuento_pct]]))</f>
        <v>9567.3690000000006</v>
      </c>
      <c r="P1798">
        <f>IF(TablaVentas[[#This Row],[Costo_unitario]]="","PENDIENTE",TablaVentas[[#This Row],[Unidades]]*TablaVentas[[#This Row],[Costo_unitario]])</f>
        <v>8593.92</v>
      </c>
      <c r="Q1798">
        <f>IF(OR(TablaVentas[[#This Row],[Ingreso_neto]]="PENDIENTE",TablaVentas[[#This Row],[Costo_total]]="PENDIENTE"),"PENDIENTE",TablaVentas[[#This Row],[Ingreso_neto]]-TablaVentas[[#This Row],[Costo_total]])</f>
        <v>973.44900000000052</v>
      </c>
    </row>
    <row r="1799" spans="1:17">
      <c r="A1799" t="s">
        <v>1163</v>
      </c>
      <c r="B1799">
        <v>1</v>
      </c>
      <c r="C1799" s="3">
        <v>46249</v>
      </c>
      <c r="D1799" t="s">
        <v>620</v>
      </c>
      <c r="E1799" t="s">
        <v>97</v>
      </c>
      <c r="F1799" t="s">
        <v>66</v>
      </c>
      <c r="G1799" t="s">
        <v>57</v>
      </c>
      <c r="H1799" t="s">
        <v>58</v>
      </c>
      <c r="I1799">
        <v>1</v>
      </c>
      <c r="J1799" s="4">
        <v>14146.16</v>
      </c>
      <c r="K1799" s="5">
        <v>0.15</v>
      </c>
      <c r="L1799" s="4">
        <v>11424.77</v>
      </c>
      <c r="M1799" t="s">
        <v>42</v>
      </c>
      <c r="N1799" t="s">
        <v>60</v>
      </c>
      <c r="O1799">
        <f>IF(TablaVentas[[#This Row],[Precio_unitario]]="","PENDIENTE",TablaVentas[[#This Row],[Unidades]]*TablaVentas[[#This Row],[Precio_unitario]]*(1-TablaVentas[[#This Row],[Descuento_pct]]))</f>
        <v>12024.235999999999</v>
      </c>
      <c r="P1799">
        <f>IF(TablaVentas[[#This Row],[Costo_unitario]]="","PENDIENTE",TablaVentas[[#This Row],[Unidades]]*TablaVentas[[#This Row],[Costo_unitario]])</f>
        <v>11424.77</v>
      </c>
      <c r="Q1799">
        <f>IF(OR(TablaVentas[[#This Row],[Ingreso_neto]]="PENDIENTE",TablaVentas[[#This Row],[Costo_total]]="PENDIENTE"),"PENDIENTE",TablaVentas[[#This Row],[Ingreso_neto]]-TablaVentas[[#This Row],[Costo_total]])</f>
        <v>599.46599999999853</v>
      </c>
    </row>
    <row r="1800" spans="1:17">
      <c r="A1800" t="s">
        <v>1163</v>
      </c>
      <c r="B1800">
        <v>2</v>
      </c>
      <c r="C1800" s="3">
        <v>46249</v>
      </c>
      <c r="D1800" t="s">
        <v>620</v>
      </c>
      <c r="E1800" t="s">
        <v>217</v>
      </c>
      <c r="F1800" t="s">
        <v>66</v>
      </c>
      <c r="G1800" t="s">
        <v>57</v>
      </c>
      <c r="H1800" t="s">
        <v>58</v>
      </c>
      <c r="I1800">
        <v>1</v>
      </c>
      <c r="J1800" s="4">
        <v>17572.099999999999</v>
      </c>
      <c r="K1800" s="5">
        <v>0.05</v>
      </c>
      <c r="L1800" s="4">
        <v>14161.63</v>
      </c>
      <c r="M1800" t="s">
        <v>42</v>
      </c>
      <c r="N1800" t="s">
        <v>45</v>
      </c>
      <c r="O1800">
        <f>IF(TablaVentas[[#This Row],[Precio_unitario]]="","PENDIENTE",TablaVentas[[#This Row],[Unidades]]*TablaVentas[[#This Row],[Precio_unitario]]*(1-TablaVentas[[#This Row],[Descuento_pct]]))</f>
        <v>16693.494999999999</v>
      </c>
      <c r="P1800">
        <f>IF(TablaVentas[[#This Row],[Costo_unitario]]="","PENDIENTE",TablaVentas[[#This Row],[Unidades]]*TablaVentas[[#This Row],[Costo_unitario]])</f>
        <v>14161.63</v>
      </c>
      <c r="Q1800">
        <f>IF(OR(TablaVentas[[#This Row],[Ingreso_neto]]="PENDIENTE",TablaVentas[[#This Row],[Costo_total]]="PENDIENTE"),"PENDIENTE",TablaVentas[[#This Row],[Ingreso_neto]]-TablaVentas[[#This Row],[Costo_total]])</f>
        <v>2531.8649999999998</v>
      </c>
    </row>
    <row r="1801" spans="1:17">
      <c r="A1801" t="s">
        <v>1163</v>
      </c>
      <c r="B1801">
        <v>3</v>
      </c>
      <c r="C1801" s="3">
        <v>46249</v>
      </c>
      <c r="D1801" t="s">
        <v>620</v>
      </c>
      <c r="E1801" t="s">
        <v>125</v>
      </c>
      <c r="F1801" t="s">
        <v>66</v>
      </c>
      <c r="G1801" t="s">
        <v>57</v>
      </c>
      <c r="H1801" t="s">
        <v>58</v>
      </c>
      <c r="I1801">
        <v>4</v>
      </c>
      <c r="J1801" s="4">
        <v>1644.78</v>
      </c>
      <c r="K1801" s="5">
        <v>0.2</v>
      </c>
      <c r="L1801" s="4">
        <v>1044.32</v>
      </c>
      <c r="M1801" t="s">
        <v>42</v>
      </c>
      <c r="N1801" t="s">
        <v>43</v>
      </c>
      <c r="O1801">
        <f>IF(TablaVentas[[#This Row],[Precio_unitario]]="","PENDIENTE",TablaVentas[[#This Row],[Unidades]]*TablaVentas[[#This Row],[Precio_unitario]]*(1-TablaVentas[[#This Row],[Descuento_pct]]))</f>
        <v>5263.2960000000003</v>
      </c>
      <c r="P1801">
        <f>IF(TablaVentas[[#This Row],[Costo_unitario]]="","PENDIENTE",TablaVentas[[#This Row],[Unidades]]*TablaVentas[[#This Row],[Costo_unitario]])</f>
        <v>4177.28</v>
      </c>
      <c r="Q1801">
        <f>IF(OR(TablaVentas[[#This Row],[Ingreso_neto]]="PENDIENTE",TablaVentas[[#This Row],[Costo_total]]="PENDIENTE"),"PENDIENTE",TablaVentas[[#This Row],[Ingreso_neto]]-TablaVentas[[#This Row],[Costo_total]])</f>
        <v>1086.0160000000005</v>
      </c>
    </row>
    <row r="1802" spans="1:17">
      <c r="A1802" t="s">
        <v>1163</v>
      </c>
      <c r="B1802">
        <v>4</v>
      </c>
      <c r="C1802" s="3">
        <v>46249</v>
      </c>
      <c r="D1802" t="s">
        <v>620</v>
      </c>
      <c r="E1802" t="s">
        <v>133</v>
      </c>
      <c r="F1802" t="s">
        <v>66</v>
      </c>
      <c r="G1802" t="s">
        <v>57</v>
      </c>
      <c r="H1802" t="s">
        <v>58</v>
      </c>
      <c r="I1802">
        <v>1</v>
      </c>
      <c r="J1802" s="4">
        <v>7513.13</v>
      </c>
      <c r="K1802" s="5">
        <v>0.1</v>
      </c>
      <c r="L1802" s="4">
        <v>4061.34</v>
      </c>
      <c r="M1802" t="s">
        <v>62</v>
      </c>
      <c r="N1802" t="s">
        <v>43</v>
      </c>
      <c r="O1802">
        <f>IF(TablaVentas[[#This Row],[Precio_unitario]]="","PENDIENTE",TablaVentas[[#This Row],[Unidades]]*TablaVentas[[#This Row],[Precio_unitario]]*(1-TablaVentas[[#This Row],[Descuento_pct]]))</f>
        <v>6761.817</v>
      </c>
      <c r="P1802">
        <f>IF(TablaVentas[[#This Row],[Costo_unitario]]="","PENDIENTE",TablaVentas[[#This Row],[Unidades]]*TablaVentas[[#This Row],[Costo_unitario]])</f>
        <v>4061.34</v>
      </c>
      <c r="Q1802">
        <f>IF(OR(TablaVentas[[#This Row],[Ingreso_neto]]="PENDIENTE",TablaVentas[[#This Row],[Costo_total]]="PENDIENTE"),"PENDIENTE",TablaVentas[[#This Row],[Ingreso_neto]]-TablaVentas[[#This Row],[Costo_total]])</f>
        <v>2700.4769999999999</v>
      </c>
    </row>
    <row r="1803" spans="1:17">
      <c r="A1803" t="s">
        <v>1163</v>
      </c>
      <c r="B1803">
        <v>5</v>
      </c>
      <c r="C1803" s="3">
        <v>46249</v>
      </c>
      <c r="D1803" t="s">
        <v>620</v>
      </c>
      <c r="E1803" t="s">
        <v>44</v>
      </c>
      <c r="F1803" t="s">
        <v>66</v>
      </c>
      <c r="G1803" t="s">
        <v>57</v>
      </c>
      <c r="H1803" t="s">
        <v>58</v>
      </c>
      <c r="I1803">
        <v>5</v>
      </c>
      <c r="J1803" s="4">
        <v>14593.26</v>
      </c>
      <c r="K1803" s="5">
        <v>0</v>
      </c>
      <c r="L1803" s="4">
        <v>8980.68</v>
      </c>
      <c r="M1803" t="s">
        <v>42</v>
      </c>
      <c r="N1803" t="s">
        <v>52</v>
      </c>
      <c r="O1803">
        <f>IF(TablaVentas[[#This Row],[Precio_unitario]]="","PENDIENTE",TablaVentas[[#This Row],[Unidades]]*TablaVentas[[#This Row],[Precio_unitario]]*(1-TablaVentas[[#This Row],[Descuento_pct]]))</f>
        <v>72966.3</v>
      </c>
      <c r="P1803">
        <f>IF(TablaVentas[[#This Row],[Costo_unitario]]="","PENDIENTE",TablaVentas[[#This Row],[Unidades]]*TablaVentas[[#This Row],[Costo_unitario]])</f>
        <v>44903.4</v>
      </c>
      <c r="Q1803">
        <f>IF(OR(TablaVentas[[#This Row],[Ingreso_neto]]="PENDIENTE",TablaVentas[[#This Row],[Costo_total]]="PENDIENTE"),"PENDIENTE",TablaVentas[[#This Row],[Ingreso_neto]]-TablaVentas[[#This Row],[Costo_total]])</f>
        <v>28062.9</v>
      </c>
    </row>
    <row r="1804" spans="1:17">
      <c r="A1804" t="s">
        <v>1164</v>
      </c>
      <c r="B1804">
        <v>1</v>
      </c>
      <c r="C1804" s="3">
        <v>46025</v>
      </c>
      <c r="D1804" t="s">
        <v>386</v>
      </c>
      <c r="E1804" t="s">
        <v>163</v>
      </c>
      <c r="F1804" t="s">
        <v>39</v>
      </c>
      <c r="G1804" t="s">
        <v>57</v>
      </c>
      <c r="H1804" t="s">
        <v>129</v>
      </c>
      <c r="I1804">
        <v>5</v>
      </c>
      <c r="J1804" s="4">
        <v>17010.46</v>
      </c>
      <c r="K1804" s="5">
        <v>0.05</v>
      </c>
      <c r="L1804" s="4">
        <v>12141.44</v>
      </c>
      <c r="M1804" t="s">
        <v>42</v>
      </c>
      <c r="N1804" t="s">
        <v>45</v>
      </c>
      <c r="O1804">
        <f>IF(TablaVentas[[#This Row],[Precio_unitario]]="","PENDIENTE",TablaVentas[[#This Row],[Unidades]]*TablaVentas[[#This Row],[Precio_unitario]]*(1-TablaVentas[[#This Row],[Descuento_pct]]))</f>
        <v>80799.684999999983</v>
      </c>
      <c r="P1804">
        <f>IF(TablaVentas[[#This Row],[Costo_unitario]]="","PENDIENTE",TablaVentas[[#This Row],[Unidades]]*TablaVentas[[#This Row],[Costo_unitario]])</f>
        <v>60707.200000000004</v>
      </c>
      <c r="Q1804">
        <f>IF(OR(TablaVentas[[#This Row],[Ingreso_neto]]="PENDIENTE",TablaVentas[[#This Row],[Costo_total]]="PENDIENTE"),"PENDIENTE",TablaVentas[[#This Row],[Ingreso_neto]]-TablaVentas[[#This Row],[Costo_total]])</f>
        <v>20092.484999999979</v>
      </c>
    </row>
    <row r="1805" spans="1:17">
      <c r="A1805" t="s">
        <v>1164</v>
      </c>
      <c r="B1805">
        <v>2</v>
      </c>
      <c r="C1805" s="3">
        <v>46025</v>
      </c>
      <c r="D1805" t="s">
        <v>386</v>
      </c>
      <c r="E1805" t="s">
        <v>271</v>
      </c>
      <c r="F1805" t="s">
        <v>39</v>
      </c>
      <c r="G1805" t="s">
        <v>57</v>
      </c>
      <c r="H1805" t="s">
        <v>129</v>
      </c>
      <c r="I1805">
        <v>2</v>
      </c>
      <c r="J1805" s="4">
        <v>1050.3699999999999</v>
      </c>
      <c r="K1805" s="5">
        <v>0</v>
      </c>
      <c r="L1805" s="4">
        <v>759.03</v>
      </c>
      <c r="M1805" t="s">
        <v>62</v>
      </c>
      <c r="N1805" t="s">
        <v>45</v>
      </c>
      <c r="O1805">
        <f>IF(TablaVentas[[#This Row],[Precio_unitario]]="","PENDIENTE",TablaVentas[[#This Row],[Unidades]]*TablaVentas[[#This Row],[Precio_unitario]]*(1-TablaVentas[[#This Row],[Descuento_pct]]))</f>
        <v>2100.7399999999998</v>
      </c>
      <c r="P1805">
        <f>IF(TablaVentas[[#This Row],[Costo_unitario]]="","PENDIENTE",TablaVentas[[#This Row],[Unidades]]*TablaVentas[[#This Row],[Costo_unitario]])</f>
        <v>1518.06</v>
      </c>
      <c r="Q1805">
        <f>IF(OR(TablaVentas[[#This Row],[Ingreso_neto]]="PENDIENTE",TablaVentas[[#This Row],[Costo_total]]="PENDIENTE"),"PENDIENTE",TablaVentas[[#This Row],[Ingreso_neto]]-TablaVentas[[#This Row],[Costo_total]])</f>
        <v>582.67999999999984</v>
      </c>
    </row>
    <row r="1806" spans="1:17">
      <c r="A1806" t="s">
        <v>1164</v>
      </c>
      <c r="B1806">
        <v>3</v>
      </c>
      <c r="C1806" s="3">
        <v>46025</v>
      </c>
      <c r="D1806" t="s">
        <v>386</v>
      </c>
      <c r="E1806" t="s">
        <v>125</v>
      </c>
      <c r="F1806" t="s">
        <v>39</v>
      </c>
      <c r="G1806" t="s">
        <v>57</v>
      </c>
      <c r="H1806" t="s">
        <v>129</v>
      </c>
      <c r="I1806">
        <v>1</v>
      </c>
      <c r="J1806" s="4">
        <v>1833.59</v>
      </c>
      <c r="K1806" s="5">
        <v>0.1</v>
      </c>
      <c r="L1806" s="4">
        <v>1044.32</v>
      </c>
      <c r="M1806" t="s">
        <v>42</v>
      </c>
      <c r="N1806" t="s">
        <v>43</v>
      </c>
      <c r="O1806">
        <f>IF(TablaVentas[[#This Row],[Precio_unitario]]="","PENDIENTE",TablaVentas[[#This Row],[Unidades]]*TablaVentas[[#This Row],[Precio_unitario]]*(1-TablaVentas[[#This Row],[Descuento_pct]]))</f>
        <v>1650.231</v>
      </c>
      <c r="P1806">
        <f>IF(TablaVentas[[#This Row],[Costo_unitario]]="","PENDIENTE",TablaVentas[[#This Row],[Unidades]]*TablaVentas[[#This Row],[Costo_unitario]])</f>
        <v>1044.32</v>
      </c>
      <c r="Q1806">
        <f>IF(OR(TablaVentas[[#This Row],[Ingreso_neto]]="PENDIENTE",TablaVentas[[#This Row],[Costo_total]]="PENDIENTE"),"PENDIENTE",TablaVentas[[#This Row],[Ingreso_neto]]-TablaVentas[[#This Row],[Costo_total]])</f>
        <v>605.91100000000006</v>
      </c>
    </row>
    <row r="1807" spans="1:17">
      <c r="A1807" t="s">
        <v>1165</v>
      </c>
      <c r="B1807">
        <v>1</v>
      </c>
      <c r="C1807" s="3">
        <v>46141</v>
      </c>
      <c r="D1807" t="s">
        <v>414</v>
      </c>
      <c r="E1807" t="s">
        <v>321</v>
      </c>
      <c r="F1807" t="s">
        <v>56</v>
      </c>
      <c r="G1807" t="s">
        <v>40</v>
      </c>
      <c r="H1807" t="s">
        <v>67</v>
      </c>
      <c r="I1807">
        <v>1</v>
      </c>
      <c r="J1807" s="4">
        <v>1369.75</v>
      </c>
      <c r="K1807" s="5">
        <v>0.1</v>
      </c>
      <c r="L1807" s="4">
        <v>679.37</v>
      </c>
      <c r="M1807" t="s">
        <v>42</v>
      </c>
      <c r="N1807" t="s">
        <v>52</v>
      </c>
      <c r="O1807">
        <f>IF(TablaVentas[[#This Row],[Precio_unitario]]="","PENDIENTE",TablaVentas[[#This Row],[Unidades]]*TablaVentas[[#This Row],[Precio_unitario]]*(1-TablaVentas[[#This Row],[Descuento_pct]]))</f>
        <v>1232.7750000000001</v>
      </c>
      <c r="P1807">
        <f>IF(TablaVentas[[#This Row],[Costo_unitario]]="","PENDIENTE",TablaVentas[[#This Row],[Unidades]]*TablaVentas[[#This Row],[Costo_unitario]])</f>
        <v>679.37</v>
      </c>
      <c r="Q1807">
        <f>IF(OR(TablaVentas[[#This Row],[Ingreso_neto]]="PENDIENTE",TablaVentas[[#This Row],[Costo_total]]="PENDIENTE"),"PENDIENTE",TablaVentas[[#This Row],[Ingreso_neto]]-TablaVentas[[#This Row],[Costo_total]])</f>
        <v>553.40500000000009</v>
      </c>
    </row>
    <row r="1808" spans="1:17">
      <c r="A1808" t="s">
        <v>1165</v>
      </c>
      <c r="B1808">
        <v>2</v>
      </c>
      <c r="C1808" s="3">
        <v>46141</v>
      </c>
      <c r="D1808" t="s">
        <v>414</v>
      </c>
      <c r="E1808" t="s">
        <v>143</v>
      </c>
      <c r="F1808" t="s">
        <v>56</v>
      </c>
      <c r="G1808" t="s">
        <v>40</v>
      </c>
      <c r="H1808" t="s">
        <v>67</v>
      </c>
      <c r="I1808">
        <v>8</v>
      </c>
      <c r="J1808" s="4">
        <v>9243.0499999999993</v>
      </c>
      <c r="K1808" s="5">
        <v>0.15</v>
      </c>
      <c r="L1808" s="4">
        <v>6815.42</v>
      </c>
      <c r="M1808" t="s">
        <v>42</v>
      </c>
      <c r="N1808" t="s">
        <v>60</v>
      </c>
      <c r="O1808">
        <f>IF(TablaVentas[[#This Row],[Precio_unitario]]="","PENDIENTE",TablaVentas[[#This Row],[Unidades]]*TablaVentas[[#This Row],[Precio_unitario]]*(1-TablaVentas[[#This Row],[Descuento_pct]]))</f>
        <v>62852.739999999991</v>
      </c>
      <c r="P1808">
        <f>IF(TablaVentas[[#This Row],[Costo_unitario]]="","PENDIENTE",TablaVentas[[#This Row],[Unidades]]*TablaVentas[[#This Row],[Costo_unitario]])</f>
        <v>54523.360000000001</v>
      </c>
      <c r="Q1808">
        <f>IF(OR(TablaVentas[[#This Row],[Ingreso_neto]]="PENDIENTE",TablaVentas[[#This Row],[Costo_total]]="PENDIENTE"),"PENDIENTE",TablaVentas[[#This Row],[Ingreso_neto]]-TablaVentas[[#This Row],[Costo_total]])</f>
        <v>8329.3799999999901</v>
      </c>
    </row>
    <row r="1809" spans="1:17">
      <c r="A1809" t="s">
        <v>1165</v>
      </c>
      <c r="B1809">
        <v>3</v>
      </c>
      <c r="C1809" s="3">
        <v>46141</v>
      </c>
      <c r="D1809" t="s">
        <v>414</v>
      </c>
      <c r="E1809" t="s">
        <v>38</v>
      </c>
      <c r="F1809" t="s">
        <v>56</v>
      </c>
      <c r="G1809" t="s">
        <v>40</v>
      </c>
      <c r="H1809" t="s">
        <v>67</v>
      </c>
      <c r="I1809">
        <v>4</v>
      </c>
      <c r="J1809" s="4">
        <v>5443.22</v>
      </c>
      <c r="K1809" s="5">
        <v>0</v>
      </c>
      <c r="L1809" s="4">
        <v>3832.69</v>
      </c>
      <c r="M1809" t="s">
        <v>42</v>
      </c>
      <c r="N1809" t="s">
        <v>43</v>
      </c>
      <c r="O1809">
        <f>IF(TablaVentas[[#This Row],[Precio_unitario]]="","PENDIENTE",TablaVentas[[#This Row],[Unidades]]*TablaVentas[[#This Row],[Precio_unitario]]*(1-TablaVentas[[#This Row],[Descuento_pct]]))</f>
        <v>21772.880000000001</v>
      </c>
      <c r="P1809">
        <f>IF(TablaVentas[[#This Row],[Costo_unitario]]="","PENDIENTE",TablaVentas[[#This Row],[Unidades]]*TablaVentas[[#This Row],[Costo_unitario]])</f>
        <v>15330.76</v>
      </c>
      <c r="Q1809">
        <f>IF(OR(TablaVentas[[#This Row],[Ingreso_neto]]="PENDIENTE",TablaVentas[[#This Row],[Costo_total]]="PENDIENTE"),"PENDIENTE",TablaVentas[[#This Row],[Ingreso_neto]]-TablaVentas[[#This Row],[Costo_total]])</f>
        <v>6442.1200000000008</v>
      </c>
    </row>
    <row r="1810" spans="1:17">
      <c r="A1810" t="s">
        <v>1165</v>
      </c>
      <c r="B1810">
        <v>4</v>
      </c>
      <c r="C1810" s="3">
        <v>46141</v>
      </c>
      <c r="D1810" t="s">
        <v>414</v>
      </c>
      <c r="E1810" t="s">
        <v>180</v>
      </c>
      <c r="F1810" t="s">
        <v>56</v>
      </c>
      <c r="G1810" t="s">
        <v>40</v>
      </c>
      <c r="H1810" t="s">
        <v>67</v>
      </c>
      <c r="I1810">
        <v>1</v>
      </c>
      <c r="J1810" s="4">
        <v>5959.03</v>
      </c>
      <c r="K1810" s="5">
        <v>0</v>
      </c>
      <c r="L1810" s="4">
        <v>3824.92</v>
      </c>
      <c r="M1810" t="s">
        <v>62</v>
      </c>
      <c r="N1810" t="s">
        <v>45</v>
      </c>
      <c r="O1810">
        <f>IF(TablaVentas[[#This Row],[Precio_unitario]]="","PENDIENTE",TablaVentas[[#This Row],[Unidades]]*TablaVentas[[#This Row],[Precio_unitario]]*(1-TablaVentas[[#This Row],[Descuento_pct]]))</f>
        <v>5959.03</v>
      </c>
      <c r="P1810">
        <f>IF(TablaVentas[[#This Row],[Costo_unitario]]="","PENDIENTE",TablaVentas[[#This Row],[Unidades]]*TablaVentas[[#This Row],[Costo_unitario]])</f>
        <v>3824.92</v>
      </c>
      <c r="Q1810">
        <f>IF(OR(TablaVentas[[#This Row],[Ingreso_neto]]="PENDIENTE",TablaVentas[[#This Row],[Costo_total]]="PENDIENTE"),"PENDIENTE",TablaVentas[[#This Row],[Ingreso_neto]]-TablaVentas[[#This Row],[Costo_total]])</f>
        <v>2134.1099999999997</v>
      </c>
    </row>
    <row r="1811" spans="1:17">
      <c r="A1811" t="s">
        <v>1166</v>
      </c>
      <c r="B1811">
        <v>1</v>
      </c>
      <c r="C1811" s="3">
        <v>46288</v>
      </c>
      <c r="D1811" t="s">
        <v>48</v>
      </c>
      <c r="E1811" t="s">
        <v>262</v>
      </c>
      <c r="F1811" t="s">
        <v>77</v>
      </c>
      <c r="G1811" t="s">
        <v>50</v>
      </c>
      <c r="H1811" t="s">
        <v>102</v>
      </c>
      <c r="I1811">
        <v>5</v>
      </c>
      <c r="J1811" s="4">
        <v>13555.76</v>
      </c>
      <c r="K1811" s="5">
        <v>0</v>
      </c>
      <c r="L1811" s="4">
        <v>8227.4599999999991</v>
      </c>
      <c r="M1811" t="s">
        <v>42</v>
      </c>
      <c r="N1811" t="s">
        <v>52</v>
      </c>
      <c r="O1811">
        <f>IF(TablaVentas[[#This Row],[Precio_unitario]]="","PENDIENTE",TablaVentas[[#This Row],[Unidades]]*TablaVentas[[#This Row],[Precio_unitario]]*(1-TablaVentas[[#This Row],[Descuento_pct]]))</f>
        <v>67778.8</v>
      </c>
      <c r="P1811">
        <f>IF(TablaVentas[[#This Row],[Costo_unitario]]="","PENDIENTE",TablaVentas[[#This Row],[Unidades]]*TablaVentas[[#This Row],[Costo_unitario]])</f>
        <v>41137.299999999996</v>
      </c>
      <c r="Q1811">
        <f>IF(OR(TablaVentas[[#This Row],[Ingreso_neto]]="PENDIENTE",TablaVentas[[#This Row],[Costo_total]]="PENDIENTE"),"PENDIENTE",TablaVentas[[#This Row],[Ingreso_neto]]-TablaVentas[[#This Row],[Costo_total]])</f>
        <v>26641.500000000007</v>
      </c>
    </row>
    <row r="1812" spans="1:17">
      <c r="A1812" t="s">
        <v>1166</v>
      </c>
      <c r="B1812">
        <v>2</v>
      </c>
      <c r="C1812" s="3">
        <v>46288</v>
      </c>
      <c r="D1812" t="s">
        <v>48</v>
      </c>
      <c r="E1812" t="s">
        <v>159</v>
      </c>
      <c r="F1812" t="s">
        <v>77</v>
      </c>
      <c r="G1812" t="s">
        <v>50</v>
      </c>
      <c r="H1812" t="s">
        <v>102</v>
      </c>
      <c r="I1812">
        <v>4</v>
      </c>
      <c r="J1812" s="4">
        <v>13020.48</v>
      </c>
      <c r="K1812" s="5">
        <v>0</v>
      </c>
      <c r="L1812" s="4">
        <v>9317.3700000000008</v>
      </c>
      <c r="M1812" t="s">
        <v>42</v>
      </c>
      <c r="N1812" t="s">
        <v>45</v>
      </c>
      <c r="O1812">
        <f>IF(TablaVentas[[#This Row],[Precio_unitario]]="","PENDIENTE",TablaVentas[[#This Row],[Unidades]]*TablaVentas[[#This Row],[Precio_unitario]]*(1-TablaVentas[[#This Row],[Descuento_pct]]))</f>
        <v>52081.919999999998</v>
      </c>
      <c r="P1812">
        <f>IF(TablaVentas[[#This Row],[Costo_unitario]]="","PENDIENTE",TablaVentas[[#This Row],[Unidades]]*TablaVentas[[#This Row],[Costo_unitario]])</f>
        <v>37269.480000000003</v>
      </c>
      <c r="Q1812">
        <f>IF(OR(TablaVentas[[#This Row],[Ingreso_neto]]="PENDIENTE",TablaVentas[[#This Row],[Costo_total]]="PENDIENTE"),"PENDIENTE",TablaVentas[[#This Row],[Ingreso_neto]]-TablaVentas[[#This Row],[Costo_total]])</f>
        <v>14812.439999999995</v>
      </c>
    </row>
    <row r="1813" spans="1:17">
      <c r="A1813" t="s">
        <v>1166</v>
      </c>
      <c r="B1813">
        <v>3</v>
      </c>
      <c r="C1813" s="3">
        <v>46288</v>
      </c>
      <c r="D1813" t="s">
        <v>48</v>
      </c>
      <c r="E1813" t="s">
        <v>139</v>
      </c>
      <c r="F1813" t="s">
        <v>77</v>
      </c>
      <c r="G1813" t="s">
        <v>50</v>
      </c>
      <c r="H1813" t="s">
        <v>102</v>
      </c>
      <c r="I1813">
        <v>1</v>
      </c>
      <c r="J1813" s="4">
        <v>8951.52</v>
      </c>
      <c r="K1813" s="5">
        <v>0.15</v>
      </c>
      <c r="L1813" s="4">
        <v>8002.16</v>
      </c>
      <c r="M1813" t="s">
        <v>42</v>
      </c>
      <c r="N1813" t="s">
        <v>45</v>
      </c>
      <c r="O1813">
        <f>IF(TablaVentas[[#This Row],[Precio_unitario]]="","PENDIENTE",TablaVentas[[#This Row],[Unidades]]*TablaVentas[[#This Row],[Precio_unitario]]*(1-TablaVentas[[#This Row],[Descuento_pct]]))</f>
        <v>7608.7920000000004</v>
      </c>
      <c r="P1813">
        <f>IF(TablaVentas[[#This Row],[Costo_unitario]]="","PENDIENTE",TablaVentas[[#This Row],[Unidades]]*TablaVentas[[#This Row],[Costo_unitario]])</f>
        <v>8002.16</v>
      </c>
      <c r="Q1813">
        <f>IF(OR(TablaVentas[[#This Row],[Ingreso_neto]]="PENDIENTE",TablaVentas[[#This Row],[Costo_total]]="PENDIENTE"),"PENDIENTE",TablaVentas[[#This Row],[Ingreso_neto]]-TablaVentas[[#This Row],[Costo_total]])</f>
        <v>-393.36799999999948</v>
      </c>
    </row>
    <row r="1814" spans="1:17">
      <c r="A1814" t="s">
        <v>1166</v>
      </c>
      <c r="B1814">
        <v>4</v>
      </c>
      <c r="C1814" s="3">
        <v>46288</v>
      </c>
      <c r="D1814" t="s">
        <v>48</v>
      </c>
      <c r="E1814" t="s">
        <v>256</v>
      </c>
      <c r="F1814" t="s">
        <v>77</v>
      </c>
      <c r="G1814" t="s">
        <v>50</v>
      </c>
      <c r="H1814" t="s">
        <v>102</v>
      </c>
      <c r="I1814">
        <v>2</v>
      </c>
      <c r="J1814" s="4">
        <v>19406.689999999999</v>
      </c>
      <c r="K1814" s="5">
        <v>0</v>
      </c>
      <c r="L1814" s="4">
        <v>11666.57</v>
      </c>
      <c r="M1814" t="s">
        <v>116</v>
      </c>
      <c r="N1814" t="s">
        <v>45</v>
      </c>
      <c r="O1814">
        <f>IF(TablaVentas[[#This Row],[Precio_unitario]]="","PENDIENTE",TablaVentas[[#This Row],[Unidades]]*TablaVentas[[#This Row],[Precio_unitario]]*(1-TablaVentas[[#This Row],[Descuento_pct]]))</f>
        <v>38813.379999999997</v>
      </c>
      <c r="P1814">
        <f>IF(TablaVentas[[#This Row],[Costo_unitario]]="","PENDIENTE",TablaVentas[[#This Row],[Unidades]]*TablaVentas[[#This Row],[Costo_unitario]])</f>
        <v>23333.14</v>
      </c>
      <c r="Q1814">
        <f>IF(OR(TablaVentas[[#This Row],[Ingreso_neto]]="PENDIENTE",TablaVentas[[#This Row],[Costo_total]]="PENDIENTE"),"PENDIENTE",TablaVentas[[#This Row],[Ingreso_neto]]-TablaVentas[[#This Row],[Costo_total]])</f>
        <v>15480.239999999998</v>
      </c>
    </row>
    <row r="1815" spans="1:17">
      <c r="A1815" t="s">
        <v>1167</v>
      </c>
      <c r="B1815">
        <v>1</v>
      </c>
      <c r="C1815" s="3">
        <v>46219</v>
      </c>
      <c r="D1815" t="s">
        <v>720</v>
      </c>
      <c r="E1815" t="s">
        <v>59</v>
      </c>
      <c r="F1815" t="s">
        <v>77</v>
      </c>
      <c r="G1815" t="s">
        <v>57</v>
      </c>
      <c r="H1815" t="s">
        <v>102</v>
      </c>
      <c r="I1815">
        <v>2</v>
      </c>
      <c r="J1815" s="4">
        <v>13915.2</v>
      </c>
      <c r="K1815" s="5">
        <v>0.15</v>
      </c>
      <c r="L1815" s="4">
        <v>10170.290000000001</v>
      </c>
      <c r="M1815" t="s">
        <v>42</v>
      </c>
      <c r="N1815" t="s">
        <v>60</v>
      </c>
      <c r="O1815">
        <f>IF(TablaVentas[[#This Row],[Precio_unitario]]="","PENDIENTE",TablaVentas[[#This Row],[Unidades]]*TablaVentas[[#This Row],[Precio_unitario]]*(1-TablaVentas[[#This Row],[Descuento_pct]]))</f>
        <v>23655.84</v>
      </c>
      <c r="P1815">
        <f>IF(TablaVentas[[#This Row],[Costo_unitario]]="","PENDIENTE",TablaVentas[[#This Row],[Unidades]]*TablaVentas[[#This Row],[Costo_unitario]])</f>
        <v>20340.580000000002</v>
      </c>
      <c r="Q1815">
        <f>IF(OR(TablaVentas[[#This Row],[Ingreso_neto]]="PENDIENTE",TablaVentas[[#This Row],[Costo_total]]="PENDIENTE"),"PENDIENTE",TablaVentas[[#This Row],[Ingreso_neto]]-TablaVentas[[#This Row],[Costo_total]])</f>
        <v>3315.2599999999984</v>
      </c>
    </row>
    <row r="1816" spans="1:17">
      <c r="A1816" t="s">
        <v>1168</v>
      </c>
      <c r="B1816">
        <v>1</v>
      </c>
      <c r="C1816" s="3">
        <v>46066</v>
      </c>
      <c r="D1816" t="s">
        <v>703</v>
      </c>
      <c r="E1816" t="s">
        <v>68</v>
      </c>
      <c r="F1816" t="s">
        <v>56</v>
      </c>
      <c r="G1816" t="s">
        <v>57</v>
      </c>
      <c r="H1816" t="s">
        <v>124</v>
      </c>
      <c r="I1816">
        <v>1</v>
      </c>
      <c r="J1816" s="4">
        <v>15866.8</v>
      </c>
      <c r="K1816" s="5">
        <v>0</v>
      </c>
      <c r="L1816" s="4">
        <v>9243.35</v>
      </c>
      <c r="M1816" t="s">
        <v>42</v>
      </c>
      <c r="N1816" t="s">
        <v>60</v>
      </c>
      <c r="O1816">
        <f>IF(TablaVentas[[#This Row],[Precio_unitario]]="","PENDIENTE",TablaVentas[[#This Row],[Unidades]]*TablaVentas[[#This Row],[Precio_unitario]]*(1-TablaVentas[[#This Row],[Descuento_pct]]))</f>
        <v>15866.8</v>
      </c>
      <c r="P1816">
        <f>IF(TablaVentas[[#This Row],[Costo_unitario]]="","PENDIENTE",TablaVentas[[#This Row],[Unidades]]*TablaVentas[[#This Row],[Costo_unitario]])</f>
        <v>9243.35</v>
      </c>
      <c r="Q1816">
        <f>IF(OR(TablaVentas[[#This Row],[Ingreso_neto]]="PENDIENTE",TablaVentas[[#This Row],[Costo_total]]="PENDIENTE"),"PENDIENTE",TablaVentas[[#This Row],[Ingreso_neto]]-TablaVentas[[#This Row],[Costo_total]])</f>
        <v>6623.4499999999989</v>
      </c>
    </row>
    <row r="1817" spans="1:17">
      <c r="A1817" t="s">
        <v>1168</v>
      </c>
      <c r="B1817">
        <v>2</v>
      </c>
      <c r="C1817" s="3">
        <v>46066</v>
      </c>
      <c r="D1817" t="s">
        <v>703</v>
      </c>
      <c r="E1817" t="s">
        <v>120</v>
      </c>
      <c r="F1817" t="s">
        <v>56</v>
      </c>
      <c r="G1817" t="s">
        <v>57</v>
      </c>
      <c r="H1817" t="s">
        <v>124</v>
      </c>
      <c r="I1817">
        <v>3</v>
      </c>
      <c r="J1817" s="4">
        <v>12705.39</v>
      </c>
      <c r="K1817" s="5">
        <v>0</v>
      </c>
      <c r="L1817" s="4">
        <v>7975.26</v>
      </c>
      <c r="M1817" t="s">
        <v>42</v>
      </c>
      <c r="N1817" t="s">
        <v>52</v>
      </c>
      <c r="O1817">
        <f>IF(TablaVentas[[#This Row],[Precio_unitario]]="","PENDIENTE",TablaVentas[[#This Row],[Unidades]]*TablaVentas[[#This Row],[Precio_unitario]]*(1-TablaVentas[[#This Row],[Descuento_pct]]))</f>
        <v>38116.17</v>
      </c>
      <c r="P1817">
        <f>IF(TablaVentas[[#This Row],[Costo_unitario]]="","PENDIENTE",TablaVentas[[#This Row],[Unidades]]*TablaVentas[[#This Row],[Costo_unitario]])</f>
        <v>23925.78</v>
      </c>
      <c r="Q1817">
        <f>IF(OR(TablaVentas[[#This Row],[Ingreso_neto]]="PENDIENTE",TablaVentas[[#This Row],[Costo_total]]="PENDIENTE"),"PENDIENTE",TablaVentas[[#This Row],[Ingreso_neto]]-TablaVentas[[#This Row],[Costo_total]])</f>
        <v>14190.39</v>
      </c>
    </row>
    <row r="1818" spans="1:17">
      <c r="A1818" t="s">
        <v>1169</v>
      </c>
      <c r="B1818">
        <v>1</v>
      </c>
      <c r="C1818" s="3">
        <v>46061</v>
      </c>
      <c r="D1818" t="s">
        <v>366</v>
      </c>
      <c r="E1818" t="s">
        <v>212</v>
      </c>
      <c r="F1818" t="s">
        <v>56</v>
      </c>
      <c r="G1818" t="s">
        <v>50</v>
      </c>
      <c r="H1818" t="s">
        <v>102</v>
      </c>
      <c r="I1818">
        <v>2</v>
      </c>
      <c r="J1818" s="4">
        <v>3947.16</v>
      </c>
      <c r="K1818" s="5">
        <v>0</v>
      </c>
      <c r="L1818" s="4">
        <v>2157.5500000000002</v>
      </c>
      <c r="M1818" t="s">
        <v>42</v>
      </c>
      <c r="N1818" t="s">
        <v>43</v>
      </c>
      <c r="O1818">
        <f>IF(TablaVentas[[#This Row],[Precio_unitario]]="","PENDIENTE",TablaVentas[[#This Row],[Unidades]]*TablaVentas[[#This Row],[Precio_unitario]]*(1-TablaVentas[[#This Row],[Descuento_pct]]))</f>
        <v>7894.32</v>
      </c>
      <c r="P1818">
        <f>IF(TablaVentas[[#This Row],[Costo_unitario]]="","PENDIENTE",TablaVentas[[#This Row],[Unidades]]*TablaVentas[[#This Row],[Costo_unitario]])</f>
        <v>4315.1000000000004</v>
      </c>
      <c r="Q1818">
        <f>IF(OR(TablaVentas[[#This Row],[Ingreso_neto]]="PENDIENTE",TablaVentas[[#This Row],[Costo_total]]="PENDIENTE"),"PENDIENTE",TablaVentas[[#This Row],[Ingreso_neto]]-TablaVentas[[#This Row],[Costo_total]])</f>
        <v>3579.2199999999993</v>
      </c>
    </row>
    <row r="1819" spans="1:17">
      <c r="A1819" t="s">
        <v>1169</v>
      </c>
      <c r="B1819">
        <v>2</v>
      </c>
      <c r="C1819" s="3">
        <v>46061</v>
      </c>
      <c r="D1819" t="s">
        <v>366</v>
      </c>
      <c r="E1819" t="s">
        <v>185</v>
      </c>
      <c r="F1819" t="s">
        <v>56</v>
      </c>
      <c r="G1819" t="s">
        <v>50</v>
      </c>
      <c r="H1819" t="s">
        <v>102</v>
      </c>
      <c r="I1819">
        <v>3</v>
      </c>
      <c r="J1819" s="4">
        <v>15789.05</v>
      </c>
      <c r="K1819" s="5">
        <v>0</v>
      </c>
      <c r="L1819" s="4">
        <v>11904.09</v>
      </c>
      <c r="M1819" t="s">
        <v>42</v>
      </c>
      <c r="N1819" t="s">
        <v>43</v>
      </c>
      <c r="O1819">
        <f>IF(TablaVentas[[#This Row],[Precio_unitario]]="","PENDIENTE",TablaVentas[[#This Row],[Unidades]]*TablaVentas[[#This Row],[Precio_unitario]]*(1-TablaVentas[[#This Row],[Descuento_pct]]))</f>
        <v>47367.149999999994</v>
      </c>
      <c r="P1819">
        <f>IF(TablaVentas[[#This Row],[Costo_unitario]]="","PENDIENTE",TablaVentas[[#This Row],[Unidades]]*TablaVentas[[#This Row],[Costo_unitario]])</f>
        <v>35712.270000000004</v>
      </c>
      <c r="Q1819">
        <f>IF(OR(TablaVentas[[#This Row],[Ingreso_neto]]="PENDIENTE",TablaVentas[[#This Row],[Costo_total]]="PENDIENTE"),"PENDIENTE",TablaVentas[[#This Row],[Ingreso_neto]]-TablaVentas[[#This Row],[Costo_total]])</f>
        <v>11654.87999999999</v>
      </c>
    </row>
    <row r="1820" spans="1:17">
      <c r="A1820" t="s">
        <v>1169</v>
      </c>
      <c r="B1820">
        <v>3</v>
      </c>
      <c r="C1820" s="3">
        <v>46061</v>
      </c>
      <c r="D1820" t="s">
        <v>366</v>
      </c>
      <c r="E1820" t="s">
        <v>103</v>
      </c>
      <c r="F1820" t="s">
        <v>56</v>
      </c>
      <c r="G1820" t="s">
        <v>50</v>
      </c>
      <c r="H1820" t="s">
        <v>102</v>
      </c>
      <c r="I1820">
        <v>3</v>
      </c>
      <c r="J1820" s="4">
        <v>12188.02</v>
      </c>
      <c r="K1820" s="5">
        <v>0.05</v>
      </c>
      <c r="L1820" s="4">
        <v>7549.71</v>
      </c>
      <c r="M1820" t="s">
        <v>42</v>
      </c>
      <c r="N1820" t="s">
        <v>60</v>
      </c>
      <c r="O1820">
        <f>IF(TablaVentas[[#This Row],[Precio_unitario]]="","PENDIENTE",TablaVentas[[#This Row],[Unidades]]*TablaVentas[[#This Row],[Precio_unitario]]*(1-TablaVentas[[#This Row],[Descuento_pct]]))</f>
        <v>34735.856999999996</v>
      </c>
      <c r="P1820">
        <f>IF(TablaVentas[[#This Row],[Costo_unitario]]="","PENDIENTE",TablaVentas[[#This Row],[Unidades]]*TablaVentas[[#This Row],[Costo_unitario]])</f>
        <v>22649.13</v>
      </c>
      <c r="Q1820">
        <f>IF(OR(TablaVentas[[#This Row],[Ingreso_neto]]="PENDIENTE",TablaVentas[[#This Row],[Costo_total]]="PENDIENTE"),"PENDIENTE",TablaVentas[[#This Row],[Ingreso_neto]]-TablaVentas[[#This Row],[Costo_total]])</f>
        <v>12086.726999999995</v>
      </c>
    </row>
    <row r="1821" spans="1:17">
      <c r="A1821" t="s">
        <v>1169</v>
      </c>
      <c r="B1821">
        <v>4</v>
      </c>
      <c r="C1821" s="3">
        <v>46061</v>
      </c>
      <c r="D1821" t="s">
        <v>366</v>
      </c>
      <c r="E1821" t="s">
        <v>273</v>
      </c>
      <c r="F1821" t="s">
        <v>56</v>
      </c>
      <c r="G1821" t="s">
        <v>50</v>
      </c>
      <c r="H1821" t="s">
        <v>102</v>
      </c>
      <c r="I1821">
        <v>1</v>
      </c>
      <c r="J1821" s="4">
        <v>1410.08</v>
      </c>
      <c r="K1821" s="5">
        <v>0</v>
      </c>
      <c r="L1821" s="4">
        <v>716.26</v>
      </c>
      <c r="M1821" t="s">
        <v>42</v>
      </c>
      <c r="N1821" t="s">
        <v>52</v>
      </c>
      <c r="O1821">
        <f>IF(TablaVentas[[#This Row],[Precio_unitario]]="","PENDIENTE",TablaVentas[[#This Row],[Unidades]]*TablaVentas[[#This Row],[Precio_unitario]]*(1-TablaVentas[[#This Row],[Descuento_pct]]))</f>
        <v>1410.08</v>
      </c>
      <c r="P1821">
        <f>IF(TablaVentas[[#This Row],[Costo_unitario]]="","PENDIENTE",TablaVentas[[#This Row],[Unidades]]*TablaVentas[[#This Row],[Costo_unitario]])</f>
        <v>716.26</v>
      </c>
      <c r="Q1821">
        <f>IF(OR(TablaVentas[[#This Row],[Ingreso_neto]]="PENDIENTE",TablaVentas[[#This Row],[Costo_total]]="PENDIENTE"),"PENDIENTE",TablaVentas[[#This Row],[Ingreso_neto]]-TablaVentas[[#This Row],[Costo_total]])</f>
        <v>693.81999999999994</v>
      </c>
    </row>
    <row r="1822" spans="1:17">
      <c r="A1822" t="s">
        <v>1170</v>
      </c>
      <c r="B1822">
        <v>1</v>
      </c>
      <c r="C1822" s="3">
        <v>46245</v>
      </c>
      <c r="D1822" t="s">
        <v>1171</v>
      </c>
      <c r="E1822" t="s">
        <v>70</v>
      </c>
      <c r="F1822" t="s">
        <v>77</v>
      </c>
      <c r="G1822" t="s">
        <v>57</v>
      </c>
      <c r="H1822" t="s">
        <v>51</v>
      </c>
      <c r="I1822">
        <v>4</v>
      </c>
      <c r="J1822" s="4">
        <v>14857.95</v>
      </c>
      <c r="K1822" s="5">
        <v>0</v>
      </c>
      <c r="L1822" s="4">
        <v>10571.25</v>
      </c>
      <c r="M1822" t="s">
        <v>42</v>
      </c>
      <c r="N1822" t="s">
        <v>52</v>
      </c>
      <c r="O1822">
        <f>IF(TablaVentas[[#This Row],[Precio_unitario]]="","PENDIENTE",TablaVentas[[#This Row],[Unidades]]*TablaVentas[[#This Row],[Precio_unitario]]*(1-TablaVentas[[#This Row],[Descuento_pct]]))</f>
        <v>59431.8</v>
      </c>
      <c r="P1822">
        <f>IF(TablaVentas[[#This Row],[Costo_unitario]]="","PENDIENTE",TablaVentas[[#This Row],[Unidades]]*TablaVentas[[#This Row],[Costo_unitario]])</f>
        <v>42285</v>
      </c>
      <c r="Q1822">
        <f>IF(OR(TablaVentas[[#This Row],[Ingreso_neto]]="PENDIENTE",TablaVentas[[#This Row],[Costo_total]]="PENDIENTE"),"PENDIENTE",TablaVentas[[#This Row],[Ingreso_neto]]-TablaVentas[[#This Row],[Costo_total]])</f>
        <v>17146.800000000003</v>
      </c>
    </row>
    <row r="1823" spans="1:17">
      <c r="A1823" t="s">
        <v>1172</v>
      </c>
      <c r="B1823">
        <v>1</v>
      </c>
      <c r="C1823" s="3">
        <v>46237</v>
      </c>
      <c r="D1823" t="s">
        <v>88</v>
      </c>
      <c r="E1823" t="s">
        <v>98</v>
      </c>
      <c r="F1823" t="s">
        <v>77</v>
      </c>
      <c r="G1823" t="s">
        <v>40</v>
      </c>
      <c r="H1823" t="s">
        <v>41</v>
      </c>
      <c r="I1823">
        <v>1</v>
      </c>
      <c r="J1823" s="4">
        <v>17165.34</v>
      </c>
      <c r="K1823" s="5">
        <v>0</v>
      </c>
      <c r="L1823" s="4">
        <v>9881</v>
      </c>
      <c r="M1823" t="s">
        <v>42</v>
      </c>
      <c r="N1823" t="s">
        <v>60</v>
      </c>
      <c r="O1823">
        <f>IF(TablaVentas[[#This Row],[Precio_unitario]]="","PENDIENTE",TablaVentas[[#This Row],[Unidades]]*TablaVentas[[#This Row],[Precio_unitario]]*(1-TablaVentas[[#This Row],[Descuento_pct]]))</f>
        <v>17165.34</v>
      </c>
      <c r="P1823">
        <f>IF(TablaVentas[[#This Row],[Costo_unitario]]="","PENDIENTE",TablaVentas[[#This Row],[Unidades]]*TablaVentas[[#This Row],[Costo_unitario]])</f>
        <v>9881</v>
      </c>
      <c r="Q1823">
        <f>IF(OR(TablaVentas[[#This Row],[Ingreso_neto]]="PENDIENTE",TablaVentas[[#This Row],[Costo_total]]="PENDIENTE"),"PENDIENTE",TablaVentas[[#This Row],[Ingreso_neto]]-TablaVentas[[#This Row],[Costo_total]])</f>
        <v>7284.34</v>
      </c>
    </row>
    <row r="1824" spans="1:17">
      <c r="A1824" t="s">
        <v>1172</v>
      </c>
      <c r="B1824">
        <v>2</v>
      </c>
      <c r="C1824" s="3">
        <v>46237</v>
      </c>
      <c r="D1824" t="s">
        <v>88</v>
      </c>
      <c r="E1824" t="s">
        <v>123</v>
      </c>
      <c r="F1824" t="s">
        <v>77</v>
      </c>
      <c r="G1824" t="s">
        <v>40</v>
      </c>
      <c r="H1824" t="s">
        <v>41</v>
      </c>
      <c r="I1824">
        <v>5</v>
      </c>
      <c r="J1824" s="4">
        <v>18903.009999999998</v>
      </c>
      <c r="K1824" s="5">
        <v>0.15</v>
      </c>
      <c r="L1824" s="4">
        <v>12679.41</v>
      </c>
      <c r="M1824" t="s">
        <v>42</v>
      </c>
      <c r="N1824" t="s">
        <v>43</v>
      </c>
      <c r="O1824">
        <f>IF(TablaVentas[[#This Row],[Precio_unitario]]="","PENDIENTE",TablaVentas[[#This Row],[Unidades]]*TablaVentas[[#This Row],[Precio_unitario]]*(1-TablaVentas[[#This Row],[Descuento_pct]]))</f>
        <v>80337.792499999981</v>
      </c>
      <c r="P1824">
        <f>IF(TablaVentas[[#This Row],[Costo_unitario]]="","PENDIENTE",TablaVentas[[#This Row],[Unidades]]*TablaVentas[[#This Row],[Costo_unitario]])</f>
        <v>63397.05</v>
      </c>
      <c r="Q1824">
        <f>IF(OR(TablaVentas[[#This Row],[Ingreso_neto]]="PENDIENTE",TablaVentas[[#This Row],[Costo_total]]="PENDIENTE"),"PENDIENTE",TablaVentas[[#This Row],[Ingreso_neto]]-TablaVentas[[#This Row],[Costo_total]])</f>
        <v>16940.742499999978</v>
      </c>
    </row>
    <row r="1825" spans="1:17">
      <c r="A1825" t="s">
        <v>1172</v>
      </c>
      <c r="B1825">
        <v>3</v>
      </c>
      <c r="C1825" s="3">
        <v>46237</v>
      </c>
      <c r="D1825" t="s">
        <v>88</v>
      </c>
      <c r="E1825" t="s">
        <v>206</v>
      </c>
      <c r="F1825" t="s">
        <v>77</v>
      </c>
      <c r="G1825" t="s">
        <v>40</v>
      </c>
      <c r="H1825" t="s">
        <v>41</v>
      </c>
      <c r="I1825">
        <v>2</v>
      </c>
      <c r="J1825" s="4">
        <v>5694.56</v>
      </c>
      <c r="K1825" s="5">
        <v>0</v>
      </c>
      <c r="L1825" s="4">
        <v>4008.77</v>
      </c>
      <c r="M1825" t="s">
        <v>42</v>
      </c>
      <c r="N1825" t="s">
        <v>45</v>
      </c>
      <c r="O1825">
        <f>IF(TablaVentas[[#This Row],[Precio_unitario]]="","PENDIENTE",TablaVentas[[#This Row],[Unidades]]*TablaVentas[[#This Row],[Precio_unitario]]*(1-TablaVentas[[#This Row],[Descuento_pct]]))</f>
        <v>11389.12</v>
      </c>
      <c r="P1825">
        <f>IF(TablaVentas[[#This Row],[Costo_unitario]]="","PENDIENTE",TablaVentas[[#This Row],[Unidades]]*TablaVentas[[#This Row],[Costo_unitario]])</f>
        <v>8017.54</v>
      </c>
      <c r="Q1825">
        <f>IF(OR(TablaVentas[[#This Row],[Ingreso_neto]]="PENDIENTE",TablaVentas[[#This Row],[Costo_total]]="PENDIENTE"),"PENDIENTE",TablaVentas[[#This Row],[Ingreso_neto]]-TablaVentas[[#This Row],[Costo_total]])</f>
        <v>3371.5800000000008</v>
      </c>
    </row>
    <row r="1826" spans="1:17">
      <c r="A1826" t="s">
        <v>1173</v>
      </c>
      <c r="B1826">
        <v>1</v>
      </c>
      <c r="C1826" s="3">
        <v>46187</v>
      </c>
      <c r="D1826" t="s">
        <v>295</v>
      </c>
      <c r="E1826" t="s">
        <v>38</v>
      </c>
      <c r="F1826" t="s">
        <v>56</v>
      </c>
      <c r="G1826" t="s">
        <v>57</v>
      </c>
      <c r="H1826" t="s">
        <v>51</v>
      </c>
      <c r="I1826">
        <v>8</v>
      </c>
      <c r="J1826" s="4">
        <v>5432.87</v>
      </c>
      <c r="K1826" s="5">
        <v>0</v>
      </c>
      <c r="L1826" s="4">
        <v>3832.69</v>
      </c>
      <c r="M1826" t="s">
        <v>42</v>
      </c>
      <c r="N1826" t="s">
        <v>52</v>
      </c>
      <c r="O1826">
        <f>IF(TablaVentas[[#This Row],[Precio_unitario]]="","PENDIENTE",TablaVentas[[#This Row],[Unidades]]*TablaVentas[[#This Row],[Precio_unitario]]*(1-TablaVentas[[#This Row],[Descuento_pct]]))</f>
        <v>43462.96</v>
      </c>
      <c r="P1826">
        <f>IF(TablaVentas[[#This Row],[Costo_unitario]]="","PENDIENTE",TablaVentas[[#This Row],[Unidades]]*TablaVentas[[#This Row],[Costo_unitario]])</f>
        <v>30661.52</v>
      </c>
      <c r="Q1826">
        <f>IF(OR(TablaVentas[[#This Row],[Ingreso_neto]]="PENDIENTE",TablaVentas[[#This Row],[Costo_total]]="PENDIENTE"),"PENDIENTE",TablaVentas[[#This Row],[Ingreso_neto]]-TablaVentas[[#This Row],[Costo_total]])</f>
        <v>12801.439999999999</v>
      </c>
    </row>
    <row r="1827" spans="1:17">
      <c r="A1827" t="s">
        <v>1173</v>
      </c>
      <c r="B1827">
        <v>2</v>
      </c>
      <c r="C1827" s="3">
        <v>46187</v>
      </c>
      <c r="D1827" t="s">
        <v>295</v>
      </c>
      <c r="E1827" t="s">
        <v>180</v>
      </c>
      <c r="F1827" t="s">
        <v>56</v>
      </c>
      <c r="G1827" t="s">
        <v>57</v>
      </c>
      <c r="H1827" t="s">
        <v>51</v>
      </c>
      <c r="I1827">
        <v>3</v>
      </c>
      <c r="J1827" s="4">
        <v>6857.63</v>
      </c>
      <c r="K1827" s="5">
        <v>0</v>
      </c>
      <c r="L1827" s="4">
        <v>3824.92</v>
      </c>
      <c r="M1827" t="s">
        <v>42</v>
      </c>
      <c r="N1827" t="s">
        <v>45</v>
      </c>
      <c r="O1827">
        <f>IF(TablaVentas[[#This Row],[Precio_unitario]]="","PENDIENTE",TablaVentas[[#This Row],[Unidades]]*TablaVentas[[#This Row],[Precio_unitario]]*(1-TablaVentas[[#This Row],[Descuento_pct]]))</f>
        <v>20572.89</v>
      </c>
      <c r="P1827">
        <f>IF(TablaVentas[[#This Row],[Costo_unitario]]="","PENDIENTE",TablaVentas[[#This Row],[Unidades]]*TablaVentas[[#This Row],[Costo_unitario]])</f>
        <v>11474.76</v>
      </c>
      <c r="Q1827">
        <f>IF(OR(TablaVentas[[#This Row],[Ingreso_neto]]="PENDIENTE",TablaVentas[[#This Row],[Costo_total]]="PENDIENTE"),"PENDIENTE",TablaVentas[[#This Row],[Ingreso_neto]]-TablaVentas[[#This Row],[Costo_total]])</f>
        <v>9098.1299999999992</v>
      </c>
    </row>
    <row r="1828" spans="1:17">
      <c r="A1828" t="s">
        <v>1173</v>
      </c>
      <c r="B1828">
        <v>3</v>
      </c>
      <c r="C1828" s="3">
        <v>46187</v>
      </c>
      <c r="D1828" t="s">
        <v>295</v>
      </c>
      <c r="E1828" t="s">
        <v>236</v>
      </c>
      <c r="F1828" t="s">
        <v>56</v>
      </c>
      <c r="G1828" t="s">
        <v>57</v>
      </c>
      <c r="H1828" t="s">
        <v>51</v>
      </c>
      <c r="I1828">
        <v>1</v>
      </c>
      <c r="J1828" s="4">
        <v>9166.15</v>
      </c>
      <c r="K1828" s="5">
        <v>0.2</v>
      </c>
      <c r="L1828" s="4">
        <v>8061.7</v>
      </c>
      <c r="M1828" t="s">
        <v>42</v>
      </c>
      <c r="N1828" t="s">
        <v>45</v>
      </c>
      <c r="O1828">
        <f>IF(TablaVentas[[#This Row],[Precio_unitario]]="","PENDIENTE",TablaVentas[[#This Row],[Unidades]]*TablaVentas[[#This Row],[Precio_unitario]]*(1-TablaVentas[[#This Row],[Descuento_pct]]))</f>
        <v>7332.92</v>
      </c>
      <c r="P1828">
        <f>IF(TablaVentas[[#This Row],[Costo_unitario]]="","PENDIENTE",TablaVentas[[#This Row],[Unidades]]*TablaVentas[[#This Row],[Costo_unitario]])</f>
        <v>8061.7</v>
      </c>
      <c r="Q1828">
        <f>IF(OR(TablaVentas[[#This Row],[Ingreso_neto]]="PENDIENTE",TablaVentas[[#This Row],[Costo_total]]="PENDIENTE"),"PENDIENTE",TablaVentas[[#This Row],[Ingreso_neto]]-TablaVentas[[#This Row],[Costo_total]])</f>
        <v>-728.77999999999975</v>
      </c>
    </row>
    <row r="1829" spans="1:17">
      <c r="A1829" t="s">
        <v>1173</v>
      </c>
      <c r="B1829">
        <v>4</v>
      </c>
      <c r="C1829" s="3">
        <v>46187</v>
      </c>
      <c r="D1829" t="s">
        <v>295</v>
      </c>
      <c r="E1829" t="s">
        <v>208</v>
      </c>
      <c r="F1829" t="s">
        <v>56</v>
      </c>
      <c r="G1829" t="s">
        <v>57</v>
      </c>
      <c r="H1829" t="s">
        <v>51</v>
      </c>
      <c r="I1829">
        <v>2</v>
      </c>
      <c r="J1829" s="4">
        <v>11358.66</v>
      </c>
      <c r="K1829" s="5">
        <v>0</v>
      </c>
      <c r="L1829" s="4">
        <v>5535.31</v>
      </c>
      <c r="M1829" t="s">
        <v>42</v>
      </c>
      <c r="N1829" t="s">
        <v>60</v>
      </c>
      <c r="O1829">
        <f>IF(TablaVentas[[#This Row],[Precio_unitario]]="","PENDIENTE",TablaVentas[[#This Row],[Unidades]]*TablaVentas[[#This Row],[Precio_unitario]]*(1-TablaVentas[[#This Row],[Descuento_pct]]))</f>
        <v>22717.32</v>
      </c>
      <c r="P1829">
        <f>IF(TablaVentas[[#This Row],[Costo_unitario]]="","PENDIENTE",TablaVentas[[#This Row],[Unidades]]*TablaVentas[[#This Row],[Costo_unitario]])</f>
        <v>11070.62</v>
      </c>
      <c r="Q1829">
        <f>IF(OR(TablaVentas[[#This Row],[Ingreso_neto]]="PENDIENTE",TablaVentas[[#This Row],[Costo_total]]="PENDIENTE"),"PENDIENTE",TablaVentas[[#This Row],[Ingreso_neto]]-TablaVentas[[#This Row],[Costo_total]])</f>
        <v>11646.699999999999</v>
      </c>
    </row>
    <row r="1830" spans="1:17">
      <c r="A1830" t="s">
        <v>1174</v>
      </c>
      <c r="B1830">
        <v>1</v>
      </c>
      <c r="C1830" s="3">
        <v>46241</v>
      </c>
      <c r="D1830" t="s">
        <v>189</v>
      </c>
      <c r="E1830" t="s">
        <v>245</v>
      </c>
      <c r="F1830" t="s">
        <v>39</v>
      </c>
      <c r="G1830" t="s">
        <v>40</v>
      </c>
      <c r="H1830" t="s">
        <v>102</v>
      </c>
      <c r="I1830">
        <v>1</v>
      </c>
      <c r="J1830" s="4">
        <v>16620.82</v>
      </c>
      <c r="K1830" s="5">
        <v>0</v>
      </c>
      <c r="L1830" s="4">
        <v>10507.24</v>
      </c>
      <c r="M1830" t="s">
        <v>42</v>
      </c>
      <c r="N1830" t="s">
        <v>43</v>
      </c>
      <c r="O1830">
        <f>IF(TablaVentas[[#This Row],[Precio_unitario]]="","PENDIENTE",TablaVentas[[#This Row],[Unidades]]*TablaVentas[[#This Row],[Precio_unitario]]*(1-TablaVentas[[#This Row],[Descuento_pct]]))</f>
        <v>16620.82</v>
      </c>
      <c r="P1830">
        <f>IF(TablaVentas[[#This Row],[Costo_unitario]]="","PENDIENTE",TablaVentas[[#This Row],[Unidades]]*TablaVentas[[#This Row],[Costo_unitario]])</f>
        <v>10507.24</v>
      </c>
      <c r="Q1830">
        <f>IF(OR(TablaVentas[[#This Row],[Ingreso_neto]]="PENDIENTE",TablaVentas[[#This Row],[Costo_total]]="PENDIENTE"),"PENDIENTE",TablaVentas[[#This Row],[Ingreso_neto]]-TablaVentas[[#This Row],[Costo_total]])</f>
        <v>6113.58</v>
      </c>
    </row>
    <row r="1831" spans="1:17">
      <c r="A1831" t="s">
        <v>1175</v>
      </c>
      <c r="B1831">
        <v>1</v>
      </c>
      <c r="C1831" s="3">
        <v>46061</v>
      </c>
      <c r="D1831" t="s">
        <v>1005</v>
      </c>
      <c r="E1831" t="s">
        <v>226</v>
      </c>
      <c r="F1831" t="s">
        <v>56</v>
      </c>
      <c r="G1831" t="s">
        <v>50</v>
      </c>
      <c r="H1831" t="s">
        <v>58</v>
      </c>
      <c r="I1831">
        <v>1</v>
      </c>
      <c r="J1831" s="4">
        <v>18938.8</v>
      </c>
      <c r="K1831" s="5">
        <v>0.15</v>
      </c>
      <c r="L1831" s="4">
        <v>9976.68</v>
      </c>
      <c r="M1831" t="s">
        <v>42</v>
      </c>
      <c r="N1831" t="s">
        <v>60</v>
      </c>
      <c r="O1831">
        <f>IF(TablaVentas[[#This Row],[Precio_unitario]]="","PENDIENTE",TablaVentas[[#This Row],[Unidades]]*TablaVentas[[#This Row],[Precio_unitario]]*(1-TablaVentas[[#This Row],[Descuento_pct]]))</f>
        <v>16097.98</v>
      </c>
      <c r="P1831">
        <f>IF(TablaVentas[[#This Row],[Costo_unitario]]="","PENDIENTE",TablaVentas[[#This Row],[Unidades]]*TablaVentas[[#This Row],[Costo_unitario]])</f>
        <v>9976.68</v>
      </c>
      <c r="Q1831">
        <f>IF(OR(TablaVentas[[#This Row],[Ingreso_neto]]="PENDIENTE",TablaVentas[[#This Row],[Costo_total]]="PENDIENTE"),"PENDIENTE",TablaVentas[[#This Row],[Ingreso_neto]]-TablaVentas[[#This Row],[Costo_total]])</f>
        <v>6121.2999999999993</v>
      </c>
    </row>
    <row r="1832" spans="1:17">
      <c r="A1832" t="s">
        <v>1175</v>
      </c>
      <c r="B1832">
        <v>2</v>
      </c>
      <c r="C1832" s="3">
        <v>46061</v>
      </c>
      <c r="D1832" t="s">
        <v>1005</v>
      </c>
      <c r="E1832" t="s">
        <v>139</v>
      </c>
      <c r="F1832" t="s">
        <v>56</v>
      </c>
      <c r="G1832" t="s">
        <v>50</v>
      </c>
      <c r="H1832" t="s">
        <v>58</v>
      </c>
      <c r="I1832">
        <v>8</v>
      </c>
      <c r="J1832" s="4">
        <v>9248.64</v>
      </c>
      <c r="K1832" s="5">
        <v>0</v>
      </c>
      <c r="L1832" s="4">
        <v>8002.16</v>
      </c>
      <c r="M1832" t="s">
        <v>42</v>
      </c>
      <c r="N1832" t="s">
        <v>43</v>
      </c>
      <c r="O1832">
        <f>IF(TablaVentas[[#This Row],[Precio_unitario]]="","PENDIENTE",TablaVentas[[#This Row],[Unidades]]*TablaVentas[[#This Row],[Precio_unitario]]*(1-TablaVentas[[#This Row],[Descuento_pct]]))</f>
        <v>73989.119999999995</v>
      </c>
      <c r="P1832">
        <f>IF(TablaVentas[[#This Row],[Costo_unitario]]="","PENDIENTE",TablaVentas[[#This Row],[Unidades]]*TablaVentas[[#This Row],[Costo_unitario]])</f>
        <v>64017.279999999999</v>
      </c>
      <c r="Q1832">
        <f>IF(OR(TablaVentas[[#This Row],[Ingreso_neto]]="PENDIENTE",TablaVentas[[#This Row],[Costo_total]]="PENDIENTE"),"PENDIENTE",TablaVentas[[#This Row],[Ingreso_neto]]-TablaVentas[[#This Row],[Costo_total]])</f>
        <v>9971.8399999999965</v>
      </c>
    </row>
    <row r="1833" spans="1:17">
      <c r="A1833" t="s">
        <v>1175</v>
      </c>
      <c r="B1833">
        <v>3</v>
      </c>
      <c r="C1833" s="3">
        <v>46061</v>
      </c>
      <c r="D1833" t="s">
        <v>1005</v>
      </c>
      <c r="E1833" t="s">
        <v>271</v>
      </c>
      <c r="F1833" t="s">
        <v>56</v>
      </c>
      <c r="G1833" t="s">
        <v>50</v>
      </c>
      <c r="H1833" t="s">
        <v>58</v>
      </c>
      <c r="I1833">
        <v>3</v>
      </c>
      <c r="J1833" s="4">
        <v>1077.7</v>
      </c>
      <c r="K1833" s="5">
        <v>0</v>
      </c>
      <c r="L1833" s="4">
        <v>759.03</v>
      </c>
      <c r="M1833" t="s">
        <v>42</v>
      </c>
      <c r="N1833" t="s">
        <v>52</v>
      </c>
      <c r="O1833">
        <f>IF(TablaVentas[[#This Row],[Precio_unitario]]="","PENDIENTE",TablaVentas[[#This Row],[Unidades]]*TablaVentas[[#This Row],[Precio_unitario]]*(1-TablaVentas[[#This Row],[Descuento_pct]]))</f>
        <v>3233.1000000000004</v>
      </c>
      <c r="P1833">
        <f>IF(TablaVentas[[#This Row],[Costo_unitario]]="","PENDIENTE",TablaVentas[[#This Row],[Unidades]]*TablaVentas[[#This Row],[Costo_unitario]])</f>
        <v>2277.09</v>
      </c>
      <c r="Q1833">
        <f>IF(OR(TablaVentas[[#This Row],[Ingreso_neto]]="PENDIENTE",TablaVentas[[#This Row],[Costo_total]]="PENDIENTE"),"PENDIENTE",TablaVentas[[#This Row],[Ingreso_neto]]-TablaVentas[[#This Row],[Costo_total]])</f>
        <v>956.01000000000022</v>
      </c>
    </row>
    <row r="1834" spans="1:17">
      <c r="A1834" t="s">
        <v>1176</v>
      </c>
      <c r="B1834">
        <v>1</v>
      </c>
      <c r="C1834" s="3">
        <v>46240</v>
      </c>
      <c r="D1834" t="s">
        <v>438</v>
      </c>
      <c r="E1834" t="s">
        <v>78</v>
      </c>
      <c r="F1834" t="s">
        <v>77</v>
      </c>
      <c r="G1834" t="s">
        <v>57</v>
      </c>
      <c r="H1834" t="s">
        <v>73</v>
      </c>
      <c r="I1834">
        <v>1</v>
      </c>
      <c r="J1834" s="4">
        <v>9517.7099999999991</v>
      </c>
      <c r="K1834" s="5">
        <v>0</v>
      </c>
      <c r="L1834" s="4">
        <v>5033.47</v>
      </c>
      <c r="M1834" t="s">
        <v>42</v>
      </c>
      <c r="N1834" t="s">
        <v>52</v>
      </c>
      <c r="O1834">
        <f>IF(TablaVentas[[#This Row],[Precio_unitario]]="","PENDIENTE",TablaVentas[[#This Row],[Unidades]]*TablaVentas[[#This Row],[Precio_unitario]]*(1-TablaVentas[[#This Row],[Descuento_pct]]))</f>
        <v>9517.7099999999991</v>
      </c>
      <c r="P1834">
        <f>IF(TablaVentas[[#This Row],[Costo_unitario]]="","PENDIENTE",TablaVentas[[#This Row],[Unidades]]*TablaVentas[[#This Row],[Costo_unitario]])</f>
        <v>5033.47</v>
      </c>
      <c r="Q1834">
        <f>IF(OR(TablaVentas[[#This Row],[Ingreso_neto]]="PENDIENTE",TablaVentas[[#This Row],[Costo_total]]="PENDIENTE"),"PENDIENTE",TablaVentas[[#This Row],[Ingreso_neto]]-TablaVentas[[#This Row],[Costo_total]])</f>
        <v>4484.2399999999989</v>
      </c>
    </row>
    <row r="1835" spans="1:17">
      <c r="A1835" t="s">
        <v>1177</v>
      </c>
      <c r="B1835">
        <v>1</v>
      </c>
      <c r="C1835" s="3">
        <v>46133</v>
      </c>
      <c r="D1835" t="s">
        <v>414</v>
      </c>
      <c r="E1835" t="s">
        <v>55</v>
      </c>
      <c r="F1835" t="s">
        <v>77</v>
      </c>
      <c r="G1835" t="s">
        <v>57</v>
      </c>
      <c r="H1835" t="s">
        <v>73</v>
      </c>
      <c r="I1835">
        <v>1</v>
      </c>
      <c r="J1835" s="4">
        <v>12385.73</v>
      </c>
      <c r="K1835" s="5">
        <v>0.2</v>
      </c>
      <c r="L1835" s="4">
        <v>6407.85</v>
      </c>
      <c r="M1835" t="s">
        <v>42</v>
      </c>
      <c r="N1835" t="s">
        <v>43</v>
      </c>
      <c r="O1835">
        <f>IF(TablaVentas[[#This Row],[Precio_unitario]]="","PENDIENTE",TablaVentas[[#This Row],[Unidades]]*TablaVentas[[#This Row],[Precio_unitario]]*(1-TablaVentas[[#This Row],[Descuento_pct]]))</f>
        <v>9908.5840000000007</v>
      </c>
      <c r="P1835">
        <f>IF(TablaVentas[[#This Row],[Costo_unitario]]="","PENDIENTE",TablaVentas[[#This Row],[Unidades]]*TablaVentas[[#This Row],[Costo_unitario]])</f>
        <v>6407.85</v>
      </c>
      <c r="Q1835">
        <f>IF(OR(TablaVentas[[#This Row],[Ingreso_neto]]="PENDIENTE",TablaVentas[[#This Row],[Costo_total]]="PENDIENTE"),"PENDIENTE",TablaVentas[[#This Row],[Ingreso_neto]]-TablaVentas[[#This Row],[Costo_total]])</f>
        <v>3500.7340000000004</v>
      </c>
    </row>
    <row r="1836" spans="1:17">
      <c r="A1836" t="s">
        <v>1178</v>
      </c>
      <c r="B1836">
        <v>1</v>
      </c>
      <c r="C1836" s="3">
        <v>46190</v>
      </c>
      <c r="D1836" t="s">
        <v>542</v>
      </c>
      <c r="E1836" t="s">
        <v>120</v>
      </c>
      <c r="F1836" t="s">
        <v>77</v>
      </c>
      <c r="G1836" t="s">
        <v>40</v>
      </c>
      <c r="H1836" t="s">
        <v>58</v>
      </c>
      <c r="I1836">
        <v>1</v>
      </c>
      <c r="J1836" s="4">
        <v>12236.53</v>
      </c>
      <c r="K1836" s="5">
        <v>0</v>
      </c>
      <c r="L1836" s="4">
        <v>7975.26</v>
      </c>
      <c r="M1836" t="s">
        <v>42</v>
      </c>
      <c r="N1836" t="s">
        <v>52</v>
      </c>
      <c r="O1836">
        <f>IF(TablaVentas[[#This Row],[Precio_unitario]]="","PENDIENTE",TablaVentas[[#This Row],[Unidades]]*TablaVentas[[#This Row],[Precio_unitario]]*(1-TablaVentas[[#This Row],[Descuento_pct]]))</f>
        <v>12236.53</v>
      </c>
      <c r="P1836">
        <f>IF(TablaVentas[[#This Row],[Costo_unitario]]="","PENDIENTE",TablaVentas[[#This Row],[Unidades]]*TablaVentas[[#This Row],[Costo_unitario]])</f>
        <v>7975.26</v>
      </c>
      <c r="Q1836">
        <f>IF(OR(TablaVentas[[#This Row],[Ingreso_neto]]="PENDIENTE",TablaVentas[[#This Row],[Costo_total]]="PENDIENTE"),"PENDIENTE",TablaVentas[[#This Row],[Ingreso_neto]]-TablaVentas[[#This Row],[Costo_total]])</f>
        <v>4261.2700000000004</v>
      </c>
    </row>
    <row r="1837" spans="1:17">
      <c r="A1837" t="s">
        <v>1179</v>
      </c>
      <c r="B1837">
        <v>1</v>
      </c>
      <c r="C1837" s="3">
        <v>46185</v>
      </c>
      <c r="D1837" t="s">
        <v>737</v>
      </c>
      <c r="E1837" t="s">
        <v>86</v>
      </c>
      <c r="F1837" t="s">
        <v>66</v>
      </c>
      <c r="G1837" t="s">
        <v>57</v>
      </c>
      <c r="H1837" t="s">
        <v>73</v>
      </c>
      <c r="I1837">
        <v>1</v>
      </c>
      <c r="J1837" s="4">
        <v>15164.89</v>
      </c>
      <c r="K1837" s="5">
        <v>0.2</v>
      </c>
      <c r="L1837" s="4">
        <v>11166.03</v>
      </c>
      <c r="M1837" t="s">
        <v>42</v>
      </c>
      <c r="N1837" t="s">
        <v>52</v>
      </c>
      <c r="O1837">
        <f>IF(TablaVentas[[#This Row],[Precio_unitario]]="","PENDIENTE",TablaVentas[[#This Row],[Unidades]]*TablaVentas[[#This Row],[Precio_unitario]]*(1-TablaVentas[[#This Row],[Descuento_pct]]))</f>
        <v>12131.912</v>
      </c>
      <c r="P1837">
        <f>IF(TablaVentas[[#This Row],[Costo_unitario]]="","PENDIENTE",TablaVentas[[#This Row],[Unidades]]*TablaVentas[[#This Row],[Costo_unitario]])</f>
        <v>11166.03</v>
      </c>
      <c r="Q1837">
        <f>IF(OR(TablaVentas[[#This Row],[Ingreso_neto]]="PENDIENTE",TablaVentas[[#This Row],[Costo_total]]="PENDIENTE"),"PENDIENTE",TablaVentas[[#This Row],[Ingreso_neto]]-TablaVentas[[#This Row],[Costo_total]])</f>
        <v>965.88199999999961</v>
      </c>
    </row>
    <row r="1838" spans="1:17">
      <c r="A1838" t="s">
        <v>1179</v>
      </c>
      <c r="B1838">
        <v>2</v>
      </c>
      <c r="C1838" s="3">
        <v>46185</v>
      </c>
      <c r="D1838" t="s">
        <v>737</v>
      </c>
      <c r="E1838" t="s">
        <v>103</v>
      </c>
      <c r="F1838" t="s">
        <v>66</v>
      </c>
      <c r="G1838" t="s">
        <v>57</v>
      </c>
      <c r="H1838" t="s">
        <v>73</v>
      </c>
      <c r="I1838">
        <v>4</v>
      </c>
      <c r="J1838" s="4">
        <v>12851.6</v>
      </c>
      <c r="K1838" s="5">
        <v>0.15</v>
      </c>
      <c r="L1838" s="4">
        <v>7549.71</v>
      </c>
      <c r="M1838" t="s">
        <v>42</v>
      </c>
      <c r="N1838" t="s">
        <v>52</v>
      </c>
      <c r="O1838">
        <f>IF(TablaVentas[[#This Row],[Precio_unitario]]="","PENDIENTE",TablaVentas[[#This Row],[Unidades]]*TablaVentas[[#This Row],[Precio_unitario]]*(1-TablaVentas[[#This Row],[Descuento_pct]]))</f>
        <v>43695.44</v>
      </c>
      <c r="P1838">
        <f>IF(TablaVentas[[#This Row],[Costo_unitario]]="","PENDIENTE",TablaVentas[[#This Row],[Unidades]]*TablaVentas[[#This Row],[Costo_unitario]])</f>
        <v>30198.84</v>
      </c>
      <c r="Q1838">
        <f>IF(OR(TablaVentas[[#This Row],[Ingreso_neto]]="PENDIENTE",TablaVentas[[#This Row],[Costo_total]]="PENDIENTE"),"PENDIENTE",TablaVentas[[#This Row],[Ingreso_neto]]-TablaVentas[[#This Row],[Costo_total]])</f>
        <v>13496.600000000002</v>
      </c>
    </row>
    <row r="1839" spans="1:17">
      <c r="A1839" t="s">
        <v>1180</v>
      </c>
      <c r="B1839">
        <v>1</v>
      </c>
      <c r="C1839" s="3">
        <v>46236</v>
      </c>
      <c r="D1839" t="s">
        <v>304</v>
      </c>
      <c r="E1839" t="s">
        <v>103</v>
      </c>
      <c r="F1839" t="s">
        <v>66</v>
      </c>
      <c r="G1839" t="s">
        <v>50</v>
      </c>
      <c r="H1839" t="s">
        <v>184</v>
      </c>
      <c r="I1839">
        <v>8</v>
      </c>
      <c r="J1839" s="4">
        <v>13146.71</v>
      </c>
      <c r="K1839" s="5">
        <v>0.2</v>
      </c>
      <c r="L1839" s="4">
        <v>7549.71</v>
      </c>
      <c r="M1839" t="s">
        <v>42</v>
      </c>
      <c r="N1839" t="s">
        <v>43</v>
      </c>
      <c r="O1839">
        <f>IF(TablaVentas[[#This Row],[Precio_unitario]]="","PENDIENTE",TablaVentas[[#This Row],[Unidades]]*TablaVentas[[#This Row],[Precio_unitario]]*(1-TablaVentas[[#This Row],[Descuento_pct]]))</f>
        <v>84138.944000000003</v>
      </c>
      <c r="P1839">
        <f>IF(TablaVentas[[#This Row],[Costo_unitario]]="","PENDIENTE",TablaVentas[[#This Row],[Unidades]]*TablaVentas[[#This Row],[Costo_unitario]])</f>
        <v>60397.68</v>
      </c>
      <c r="Q1839">
        <f>IF(OR(TablaVentas[[#This Row],[Ingreso_neto]]="PENDIENTE",TablaVentas[[#This Row],[Costo_total]]="PENDIENTE"),"PENDIENTE",TablaVentas[[#This Row],[Ingreso_neto]]-TablaVentas[[#This Row],[Costo_total]])</f>
        <v>23741.264000000003</v>
      </c>
    </row>
    <row r="1840" spans="1:17">
      <c r="A1840" t="s">
        <v>1180</v>
      </c>
      <c r="B1840">
        <v>2</v>
      </c>
      <c r="C1840" s="3">
        <v>46236</v>
      </c>
      <c r="D1840" t="s">
        <v>304</v>
      </c>
      <c r="E1840" t="s">
        <v>132</v>
      </c>
      <c r="F1840" t="s">
        <v>66</v>
      </c>
      <c r="G1840" t="s">
        <v>50</v>
      </c>
      <c r="H1840" t="s">
        <v>184</v>
      </c>
      <c r="I1840">
        <v>2</v>
      </c>
      <c r="J1840" s="4">
        <v>16956.490000000002</v>
      </c>
      <c r="K1840" s="5">
        <v>0</v>
      </c>
      <c r="L1840" s="4">
        <v>11036.95</v>
      </c>
      <c r="M1840" t="s">
        <v>116</v>
      </c>
      <c r="N1840" t="s">
        <v>52</v>
      </c>
      <c r="O1840">
        <f>IF(TablaVentas[[#This Row],[Precio_unitario]]="","PENDIENTE",TablaVentas[[#This Row],[Unidades]]*TablaVentas[[#This Row],[Precio_unitario]]*(1-TablaVentas[[#This Row],[Descuento_pct]]))</f>
        <v>33912.980000000003</v>
      </c>
      <c r="P1840">
        <f>IF(TablaVentas[[#This Row],[Costo_unitario]]="","PENDIENTE",TablaVentas[[#This Row],[Unidades]]*TablaVentas[[#This Row],[Costo_unitario]])</f>
        <v>22073.9</v>
      </c>
      <c r="Q1840">
        <f>IF(OR(TablaVentas[[#This Row],[Ingreso_neto]]="PENDIENTE",TablaVentas[[#This Row],[Costo_total]]="PENDIENTE"),"PENDIENTE",TablaVentas[[#This Row],[Ingreso_neto]]-TablaVentas[[#This Row],[Costo_total]])</f>
        <v>11839.080000000002</v>
      </c>
    </row>
    <row r="1841" spans="1:17">
      <c r="A1841" t="s">
        <v>1180</v>
      </c>
      <c r="B1841">
        <v>3</v>
      </c>
      <c r="C1841" s="3">
        <v>46236</v>
      </c>
      <c r="D1841" t="s">
        <v>304</v>
      </c>
      <c r="E1841" t="s">
        <v>273</v>
      </c>
      <c r="F1841" t="s">
        <v>66</v>
      </c>
      <c r="G1841" t="s">
        <v>50</v>
      </c>
      <c r="H1841" t="s">
        <v>184</v>
      </c>
      <c r="I1841">
        <v>3</v>
      </c>
      <c r="J1841" s="4">
        <v>1382.02</v>
      </c>
      <c r="K1841" s="5">
        <v>0.05</v>
      </c>
      <c r="L1841" s="4">
        <v>716.26</v>
      </c>
      <c r="M1841" t="s">
        <v>42</v>
      </c>
      <c r="N1841" t="s">
        <v>45</v>
      </c>
      <c r="O1841">
        <f>IF(TablaVentas[[#This Row],[Precio_unitario]]="","PENDIENTE",TablaVentas[[#This Row],[Unidades]]*TablaVentas[[#This Row],[Precio_unitario]]*(1-TablaVentas[[#This Row],[Descuento_pct]]))</f>
        <v>3938.7569999999992</v>
      </c>
      <c r="P1841">
        <f>IF(TablaVentas[[#This Row],[Costo_unitario]]="","PENDIENTE",TablaVentas[[#This Row],[Unidades]]*TablaVentas[[#This Row],[Costo_unitario]])</f>
        <v>2148.7799999999997</v>
      </c>
      <c r="Q1841">
        <f>IF(OR(TablaVentas[[#This Row],[Ingreso_neto]]="PENDIENTE",TablaVentas[[#This Row],[Costo_total]]="PENDIENTE"),"PENDIENTE",TablaVentas[[#This Row],[Ingreso_neto]]-TablaVentas[[#This Row],[Costo_total]])</f>
        <v>1789.9769999999994</v>
      </c>
    </row>
    <row r="1842" spans="1:17">
      <c r="A1842" t="s">
        <v>1181</v>
      </c>
      <c r="B1842">
        <v>1</v>
      </c>
      <c r="C1842" s="3">
        <v>46177</v>
      </c>
      <c r="D1842" t="s">
        <v>752</v>
      </c>
      <c r="E1842" t="s">
        <v>119</v>
      </c>
      <c r="F1842" t="s">
        <v>56</v>
      </c>
      <c r="G1842" t="s">
        <v>40</v>
      </c>
      <c r="H1842" t="s">
        <v>58</v>
      </c>
      <c r="I1842">
        <v>3</v>
      </c>
      <c r="J1842" s="4">
        <v>8272.5</v>
      </c>
      <c r="K1842" s="5">
        <v>0</v>
      </c>
      <c r="L1842" s="4">
        <v>6981.94</v>
      </c>
      <c r="M1842" t="s">
        <v>42</v>
      </c>
      <c r="N1842" t="s">
        <v>52</v>
      </c>
      <c r="O1842">
        <f>IF(TablaVentas[[#This Row],[Precio_unitario]]="","PENDIENTE",TablaVentas[[#This Row],[Unidades]]*TablaVentas[[#This Row],[Precio_unitario]]*(1-TablaVentas[[#This Row],[Descuento_pct]]))</f>
        <v>24817.5</v>
      </c>
      <c r="P1842">
        <f>IF(TablaVentas[[#This Row],[Costo_unitario]]="","PENDIENTE",TablaVentas[[#This Row],[Unidades]]*TablaVentas[[#This Row],[Costo_unitario]])</f>
        <v>20945.82</v>
      </c>
      <c r="Q1842">
        <f>IF(OR(TablaVentas[[#This Row],[Ingreso_neto]]="PENDIENTE",TablaVentas[[#This Row],[Costo_total]]="PENDIENTE"),"PENDIENTE",TablaVentas[[#This Row],[Ingreso_neto]]-TablaVentas[[#This Row],[Costo_total]])</f>
        <v>3871.6800000000003</v>
      </c>
    </row>
    <row r="1843" spans="1:17">
      <c r="A1843" t="s">
        <v>1181</v>
      </c>
      <c r="B1843">
        <v>2</v>
      </c>
      <c r="C1843" s="3">
        <v>46177</v>
      </c>
      <c r="D1843" t="s">
        <v>752</v>
      </c>
      <c r="E1843" t="s">
        <v>160</v>
      </c>
      <c r="F1843" t="s">
        <v>56</v>
      </c>
      <c r="G1843" t="s">
        <v>40</v>
      </c>
      <c r="H1843" t="s">
        <v>58</v>
      </c>
      <c r="I1843">
        <v>4</v>
      </c>
      <c r="J1843" s="4">
        <v>7460.89</v>
      </c>
      <c r="K1843" s="5">
        <v>0.2</v>
      </c>
      <c r="L1843" s="4">
        <v>4082.15</v>
      </c>
      <c r="M1843" t="s">
        <v>42</v>
      </c>
      <c r="N1843" t="s">
        <v>43</v>
      </c>
      <c r="O1843">
        <f>IF(TablaVentas[[#This Row],[Precio_unitario]]="","PENDIENTE",TablaVentas[[#This Row],[Unidades]]*TablaVentas[[#This Row],[Precio_unitario]]*(1-TablaVentas[[#This Row],[Descuento_pct]]))</f>
        <v>23874.848000000002</v>
      </c>
      <c r="P1843">
        <f>IF(TablaVentas[[#This Row],[Costo_unitario]]="","PENDIENTE",TablaVentas[[#This Row],[Unidades]]*TablaVentas[[#This Row],[Costo_unitario]])</f>
        <v>16328.6</v>
      </c>
      <c r="Q1843">
        <f>IF(OR(TablaVentas[[#This Row],[Ingreso_neto]]="PENDIENTE",TablaVentas[[#This Row],[Costo_total]]="PENDIENTE"),"PENDIENTE",TablaVentas[[#This Row],[Ingreso_neto]]-TablaVentas[[#This Row],[Costo_total]])</f>
        <v>7546.2480000000014</v>
      </c>
    </row>
    <row r="1844" spans="1:17">
      <c r="A1844" t="s">
        <v>1181</v>
      </c>
      <c r="B1844">
        <v>3</v>
      </c>
      <c r="C1844" s="3">
        <v>46177</v>
      </c>
      <c r="D1844" t="s">
        <v>752</v>
      </c>
      <c r="E1844" t="s">
        <v>139</v>
      </c>
      <c r="F1844" t="s">
        <v>56</v>
      </c>
      <c r="G1844" t="s">
        <v>40</v>
      </c>
      <c r="H1844" t="s">
        <v>58</v>
      </c>
      <c r="I1844">
        <v>3</v>
      </c>
      <c r="J1844" s="4">
        <v>9039.5400000000009</v>
      </c>
      <c r="K1844" s="5">
        <v>0</v>
      </c>
      <c r="L1844" s="4">
        <v>8002.16</v>
      </c>
      <c r="M1844" t="s">
        <v>42</v>
      </c>
      <c r="N1844" t="s">
        <v>45</v>
      </c>
      <c r="O1844">
        <f>IF(TablaVentas[[#This Row],[Precio_unitario]]="","PENDIENTE",TablaVentas[[#This Row],[Unidades]]*TablaVentas[[#This Row],[Precio_unitario]]*(1-TablaVentas[[#This Row],[Descuento_pct]]))</f>
        <v>27118.620000000003</v>
      </c>
      <c r="P1844">
        <f>IF(TablaVentas[[#This Row],[Costo_unitario]]="","PENDIENTE",TablaVentas[[#This Row],[Unidades]]*TablaVentas[[#This Row],[Costo_unitario]])</f>
        <v>24006.48</v>
      </c>
      <c r="Q1844">
        <f>IF(OR(TablaVentas[[#This Row],[Ingreso_neto]]="PENDIENTE",TablaVentas[[#This Row],[Costo_total]]="PENDIENTE"),"PENDIENTE",TablaVentas[[#This Row],[Ingreso_neto]]-TablaVentas[[#This Row],[Costo_total]])</f>
        <v>3112.1400000000031</v>
      </c>
    </row>
    <row r="1845" spans="1:17">
      <c r="A1845" t="s">
        <v>1181</v>
      </c>
      <c r="B1845">
        <v>4</v>
      </c>
      <c r="C1845" s="3">
        <v>46177</v>
      </c>
      <c r="D1845" t="s">
        <v>752</v>
      </c>
      <c r="E1845" t="s">
        <v>537</v>
      </c>
      <c r="F1845" t="s">
        <v>56</v>
      </c>
      <c r="G1845" t="s">
        <v>40</v>
      </c>
      <c r="H1845" t="s">
        <v>58</v>
      </c>
      <c r="I1845">
        <v>1</v>
      </c>
      <c r="J1845" s="4">
        <v>5752.08</v>
      </c>
      <c r="K1845" s="5">
        <v>0.15</v>
      </c>
      <c r="L1845" s="4">
        <v>4556.2299999999996</v>
      </c>
      <c r="M1845" t="s">
        <v>42</v>
      </c>
      <c r="N1845" t="s">
        <v>60</v>
      </c>
      <c r="O1845">
        <f>IF(TablaVentas[[#This Row],[Precio_unitario]]="","PENDIENTE",TablaVentas[[#This Row],[Unidades]]*TablaVentas[[#This Row],[Precio_unitario]]*(1-TablaVentas[[#This Row],[Descuento_pct]]))</f>
        <v>4889.268</v>
      </c>
      <c r="P1845">
        <f>IF(TablaVentas[[#This Row],[Costo_unitario]]="","PENDIENTE",TablaVentas[[#This Row],[Unidades]]*TablaVentas[[#This Row],[Costo_unitario]])</f>
        <v>4556.2299999999996</v>
      </c>
      <c r="Q1845">
        <f>IF(OR(TablaVentas[[#This Row],[Ingreso_neto]]="PENDIENTE",TablaVentas[[#This Row],[Costo_total]]="PENDIENTE"),"PENDIENTE",TablaVentas[[#This Row],[Ingreso_neto]]-TablaVentas[[#This Row],[Costo_total]])</f>
        <v>333.03800000000047</v>
      </c>
    </row>
    <row r="1846" spans="1:17">
      <c r="A1846" t="s">
        <v>1181</v>
      </c>
      <c r="B1846">
        <v>5</v>
      </c>
      <c r="C1846" s="3">
        <v>46177</v>
      </c>
      <c r="D1846" t="s">
        <v>752</v>
      </c>
      <c r="E1846" t="s">
        <v>378</v>
      </c>
      <c r="F1846" t="s">
        <v>56</v>
      </c>
      <c r="G1846" t="s">
        <v>40</v>
      </c>
      <c r="H1846" t="s">
        <v>58</v>
      </c>
      <c r="I1846">
        <v>2</v>
      </c>
      <c r="J1846" s="4">
        <v>3478.89</v>
      </c>
      <c r="K1846" s="5">
        <v>0</v>
      </c>
      <c r="L1846" s="4">
        <v>2864.64</v>
      </c>
      <c r="M1846" t="s">
        <v>42</v>
      </c>
      <c r="N1846" t="s">
        <v>45</v>
      </c>
      <c r="O1846">
        <f>IF(TablaVentas[[#This Row],[Precio_unitario]]="","PENDIENTE",TablaVentas[[#This Row],[Unidades]]*TablaVentas[[#This Row],[Precio_unitario]]*(1-TablaVentas[[#This Row],[Descuento_pct]]))</f>
        <v>6957.78</v>
      </c>
      <c r="P1846">
        <f>IF(TablaVentas[[#This Row],[Costo_unitario]]="","PENDIENTE",TablaVentas[[#This Row],[Unidades]]*TablaVentas[[#This Row],[Costo_unitario]])</f>
        <v>5729.28</v>
      </c>
      <c r="Q1846">
        <f>IF(OR(TablaVentas[[#This Row],[Ingreso_neto]]="PENDIENTE",TablaVentas[[#This Row],[Costo_total]]="PENDIENTE"),"PENDIENTE",TablaVentas[[#This Row],[Ingreso_neto]]-TablaVentas[[#This Row],[Costo_total]])</f>
        <v>1228.5</v>
      </c>
    </row>
    <row r="1847" spans="1:17">
      <c r="A1847" t="s">
        <v>1182</v>
      </c>
      <c r="B1847">
        <v>1</v>
      </c>
      <c r="C1847" s="3">
        <v>46294</v>
      </c>
      <c r="D1847" t="s">
        <v>782</v>
      </c>
      <c r="E1847" t="s">
        <v>206</v>
      </c>
      <c r="F1847" t="s">
        <v>39</v>
      </c>
      <c r="G1847" t="s">
        <v>57</v>
      </c>
      <c r="H1847" t="s">
        <v>51</v>
      </c>
      <c r="I1847">
        <v>1</v>
      </c>
      <c r="J1847" s="4">
        <v>5757.13</v>
      </c>
      <c r="K1847" s="5">
        <v>0.15</v>
      </c>
      <c r="L1847" s="4">
        <v>4008.77</v>
      </c>
      <c r="M1847" t="s">
        <v>42</v>
      </c>
      <c r="N1847" t="s">
        <v>60</v>
      </c>
      <c r="O1847">
        <f>IF(TablaVentas[[#This Row],[Precio_unitario]]="","PENDIENTE",TablaVentas[[#This Row],[Unidades]]*TablaVentas[[#This Row],[Precio_unitario]]*(1-TablaVentas[[#This Row],[Descuento_pct]]))</f>
        <v>4893.5604999999996</v>
      </c>
      <c r="P1847">
        <f>IF(TablaVentas[[#This Row],[Costo_unitario]]="","PENDIENTE",TablaVentas[[#This Row],[Unidades]]*TablaVentas[[#This Row],[Costo_unitario]])</f>
        <v>4008.77</v>
      </c>
      <c r="Q1847">
        <f>IF(OR(TablaVentas[[#This Row],[Ingreso_neto]]="PENDIENTE",TablaVentas[[#This Row],[Costo_total]]="PENDIENTE"),"PENDIENTE",TablaVentas[[#This Row],[Ingreso_neto]]-TablaVentas[[#This Row],[Costo_total]])</f>
        <v>884.79049999999961</v>
      </c>
    </row>
    <row r="1848" spans="1:17">
      <c r="A1848" t="s">
        <v>1182</v>
      </c>
      <c r="B1848">
        <v>2</v>
      </c>
      <c r="C1848" s="3">
        <v>46294</v>
      </c>
      <c r="D1848" t="s">
        <v>782</v>
      </c>
      <c r="E1848" t="s">
        <v>119</v>
      </c>
      <c r="F1848" t="s">
        <v>39</v>
      </c>
      <c r="G1848" t="s">
        <v>57</v>
      </c>
      <c r="H1848" t="s">
        <v>51</v>
      </c>
      <c r="I1848">
        <v>1</v>
      </c>
      <c r="J1848" s="4">
        <v>8073.1</v>
      </c>
      <c r="K1848" s="5">
        <v>0.1</v>
      </c>
      <c r="L1848" s="4">
        <v>6981.94</v>
      </c>
      <c r="M1848" t="s">
        <v>42</v>
      </c>
      <c r="N1848" t="s">
        <v>60</v>
      </c>
      <c r="O1848">
        <f>IF(TablaVentas[[#This Row],[Precio_unitario]]="","PENDIENTE",TablaVentas[[#This Row],[Unidades]]*TablaVentas[[#This Row],[Precio_unitario]]*(1-TablaVentas[[#This Row],[Descuento_pct]]))</f>
        <v>7265.7900000000009</v>
      </c>
      <c r="P1848">
        <f>IF(TablaVentas[[#This Row],[Costo_unitario]]="","PENDIENTE",TablaVentas[[#This Row],[Unidades]]*TablaVentas[[#This Row],[Costo_unitario]])</f>
        <v>6981.94</v>
      </c>
      <c r="Q1848">
        <f>IF(OR(TablaVentas[[#This Row],[Ingreso_neto]]="PENDIENTE",TablaVentas[[#This Row],[Costo_total]]="PENDIENTE"),"PENDIENTE",TablaVentas[[#This Row],[Ingreso_neto]]-TablaVentas[[#This Row],[Costo_total]])</f>
        <v>283.85000000000127</v>
      </c>
    </row>
    <row r="1849" spans="1:17">
      <c r="A1849" t="s">
        <v>1183</v>
      </c>
      <c r="B1849">
        <v>1</v>
      </c>
      <c r="C1849" s="3">
        <v>46284</v>
      </c>
      <c r="D1849" t="s">
        <v>400</v>
      </c>
      <c r="E1849" t="s">
        <v>125</v>
      </c>
      <c r="F1849" t="s">
        <v>39</v>
      </c>
      <c r="G1849" t="s">
        <v>57</v>
      </c>
      <c r="H1849" t="s">
        <v>58</v>
      </c>
      <c r="I1849">
        <v>2</v>
      </c>
      <c r="J1849" s="4">
        <v>1600.15</v>
      </c>
      <c r="K1849" s="5">
        <v>0</v>
      </c>
      <c r="L1849" s="4">
        <v>1044.32</v>
      </c>
      <c r="M1849" t="s">
        <v>42</v>
      </c>
      <c r="N1849" t="s">
        <v>60</v>
      </c>
      <c r="O1849">
        <f>IF(TablaVentas[[#This Row],[Precio_unitario]]="","PENDIENTE",TablaVentas[[#This Row],[Unidades]]*TablaVentas[[#This Row],[Precio_unitario]]*(1-TablaVentas[[#This Row],[Descuento_pct]]))</f>
        <v>3200.3</v>
      </c>
      <c r="P1849">
        <f>IF(TablaVentas[[#This Row],[Costo_unitario]]="","PENDIENTE",TablaVentas[[#This Row],[Unidades]]*TablaVentas[[#This Row],[Costo_unitario]])</f>
        <v>2088.64</v>
      </c>
      <c r="Q1849">
        <f>IF(OR(TablaVentas[[#This Row],[Ingreso_neto]]="PENDIENTE",TablaVentas[[#This Row],[Costo_total]]="PENDIENTE"),"PENDIENTE",TablaVentas[[#This Row],[Ingreso_neto]]-TablaVentas[[#This Row],[Costo_total]])</f>
        <v>1111.6600000000003</v>
      </c>
    </row>
    <row r="1850" spans="1:17">
      <c r="A1850" t="s">
        <v>1183</v>
      </c>
      <c r="B1850">
        <v>2</v>
      </c>
      <c r="C1850" s="3">
        <v>46284</v>
      </c>
      <c r="D1850" t="s">
        <v>400</v>
      </c>
      <c r="E1850" t="s">
        <v>133</v>
      </c>
      <c r="F1850" t="s">
        <v>39</v>
      </c>
      <c r="G1850" t="s">
        <v>57</v>
      </c>
      <c r="H1850" t="s">
        <v>58</v>
      </c>
      <c r="I1850">
        <v>2</v>
      </c>
      <c r="J1850" s="4">
        <v>7863.11</v>
      </c>
      <c r="K1850" s="5">
        <v>0</v>
      </c>
      <c r="L1850" s="4">
        <v>4061.34</v>
      </c>
      <c r="M1850" t="s">
        <v>116</v>
      </c>
      <c r="N1850" t="s">
        <v>45</v>
      </c>
      <c r="O1850">
        <f>IF(TablaVentas[[#This Row],[Precio_unitario]]="","PENDIENTE",TablaVentas[[#This Row],[Unidades]]*TablaVentas[[#This Row],[Precio_unitario]]*(1-TablaVentas[[#This Row],[Descuento_pct]]))</f>
        <v>15726.22</v>
      </c>
      <c r="P1850">
        <f>IF(TablaVentas[[#This Row],[Costo_unitario]]="","PENDIENTE",TablaVentas[[#This Row],[Unidades]]*TablaVentas[[#This Row],[Costo_unitario]])</f>
        <v>8122.68</v>
      </c>
      <c r="Q1850">
        <f>IF(OR(TablaVentas[[#This Row],[Ingreso_neto]]="PENDIENTE",TablaVentas[[#This Row],[Costo_total]]="PENDIENTE"),"PENDIENTE",TablaVentas[[#This Row],[Ingreso_neto]]-TablaVentas[[#This Row],[Costo_total]])</f>
        <v>7603.5399999999991</v>
      </c>
    </row>
    <row r="1851" spans="1:17">
      <c r="A1851" t="s">
        <v>1183</v>
      </c>
      <c r="B1851">
        <v>3</v>
      </c>
      <c r="C1851" s="3">
        <v>46284</v>
      </c>
      <c r="D1851" t="s">
        <v>400</v>
      </c>
      <c r="E1851" t="s">
        <v>258</v>
      </c>
      <c r="F1851" t="s">
        <v>39</v>
      </c>
      <c r="G1851" t="s">
        <v>57</v>
      </c>
      <c r="H1851" t="s">
        <v>58</v>
      </c>
      <c r="I1851">
        <v>1</v>
      </c>
      <c r="J1851" s="4">
        <v>4081.46</v>
      </c>
      <c r="K1851" s="5">
        <v>0</v>
      </c>
      <c r="L1851" s="4">
        <v>2008.57</v>
      </c>
      <c r="M1851" t="s">
        <v>42</v>
      </c>
      <c r="N1851" t="s">
        <v>43</v>
      </c>
      <c r="O1851">
        <f>IF(TablaVentas[[#This Row],[Precio_unitario]]="","PENDIENTE",TablaVentas[[#This Row],[Unidades]]*TablaVentas[[#This Row],[Precio_unitario]]*(1-TablaVentas[[#This Row],[Descuento_pct]]))</f>
        <v>4081.46</v>
      </c>
      <c r="P1851">
        <f>IF(TablaVentas[[#This Row],[Costo_unitario]]="","PENDIENTE",TablaVentas[[#This Row],[Unidades]]*TablaVentas[[#This Row],[Costo_unitario]])</f>
        <v>2008.57</v>
      </c>
      <c r="Q1851">
        <f>IF(OR(TablaVentas[[#This Row],[Ingreso_neto]]="PENDIENTE",TablaVentas[[#This Row],[Costo_total]]="PENDIENTE"),"PENDIENTE",TablaVentas[[#This Row],[Ingreso_neto]]-TablaVentas[[#This Row],[Costo_total]])</f>
        <v>2072.8900000000003</v>
      </c>
    </row>
    <row r="1852" spans="1:17">
      <c r="A1852" t="s">
        <v>1184</v>
      </c>
      <c r="B1852">
        <v>1</v>
      </c>
      <c r="C1852" s="3">
        <v>46070</v>
      </c>
      <c r="D1852" t="s">
        <v>554</v>
      </c>
      <c r="E1852" t="s">
        <v>103</v>
      </c>
      <c r="F1852" t="s">
        <v>39</v>
      </c>
      <c r="G1852" t="s">
        <v>50</v>
      </c>
      <c r="H1852" t="s">
        <v>124</v>
      </c>
      <c r="I1852">
        <v>3</v>
      </c>
      <c r="J1852" s="4">
        <v>13412.93</v>
      </c>
      <c r="K1852" s="5">
        <v>0</v>
      </c>
      <c r="L1852" s="4">
        <v>7549.71</v>
      </c>
      <c r="M1852" t="s">
        <v>42</v>
      </c>
      <c r="N1852" t="s">
        <v>43</v>
      </c>
      <c r="O1852">
        <f>IF(TablaVentas[[#This Row],[Precio_unitario]]="","PENDIENTE",TablaVentas[[#This Row],[Unidades]]*TablaVentas[[#This Row],[Precio_unitario]]*(1-TablaVentas[[#This Row],[Descuento_pct]]))</f>
        <v>40238.79</v>
      </c>
      <c r="P1852">
        <f>IF(TablaVentas[[#This Row],[Costo_unitario]]="","PENDIENTE",TablaVentas[[#This Row],[Unidades]]*TablaVentas[[#This Row],[Costo_unitario]])</f>
        <v>22649.13</v>
      </c>
      <c r="Q1852">
        <f>IF(OR(TablaVentas[[#This Row],[Ingreso_neto]]="PENDIENTE",TablaVentas[[#This Row],[Costo_total]]="PENDIENTE"),"PENDIENTE",TablaVentas[[#This Row],[Ingreso_neto]]-TablaVentas[[#This Row],[Costo_total]])</f>
        <v>17589.66</v>
      </c>
    </row>
    <row r="1853" spans="1:17">
      <c r="A1853" t="s">
        <v>1184</v>
      </c>
      <c r="B1853">
        <v>2</v>
      </c>
      <c r="C1853" s="3">
        <v>46070</v>
      </c>
      <c r="D1853" t="s">
        <v>554</v>
      </c>
      <c r="E1853" t="s">
        <v>134</v>
      </c>
      <c r="F1853" t="s">
        <v>39</v>
      </c>
      <c r="G1853" t="s">
        <v>50</v>
      </c>
      <c r="H1853" t="s">
        <v>124</v>
      </c>
      <c r="I1853">
        <v>1</v>
      </c>
      <c r="J1853" s="4">
        <v>271.36</v>
      </c>
      <c r="K1853" s="5">
        <v>0.15</v>
      </c>
      <c r="L1853" s="4">
        <v>176.47</v>
      </c>
      <c r="M1853" t="s">
        <v>42</v>
      </c>
      <c r="N1853" t="s">
        <v>52</v>
      </c>
      <c r="O1853">
        <f>IF(TablaVentas[[#This Row],[Precio_unitario]]="","PENDIENTE",TablaVentas[[#This Row],[Unidades]]*TablaVentas[[#This Row],[Precio_unitario]]*(1-TablaVentas[[#This Row],[Descuento_pct]]))</f>
        <v>230.65600000000001</v>
      </c>
      <c r="P1853">
        <f>IF(TablaVentas[[#This Row],[Costo_unitario]]="","PENDIENTE",TablaVentas[[#This Row],[Unidades]]*TablaVentas[[#This Row],[Costo_unitario]])</f>
        <v>176.47</v>
      </c>
      <c r="Q1853">
        <f>IF(OR(TablaVentas[[#This Row],[Ingreso_neto]]="PENDIENTE",TablaVentas[[#This Row],[Costo_total]]="PENDIENTE"),"PENDIENTE",TablaVentas[[#This Row],[Ingreso_neto]]-TablaVentas[[#This Row],[Costo_total]])</f>
        <v>54.186000000000007</v>
      </c>
    </row>
    <row r="1854" spans="1:17">
      <c r="A1854" t="s">
        <v>1184</v>
      </c>
      <c r="B1854">
        <v>3</v>
      </c>
      <c r="C1854" s="3">
        <v>46070</v>
      </c>
      <c r="D1854" t="s">
        <v>554</v>
      </c>
      <c r="E1854" t="s">
        <v>132</v>
      </c>
      <c r="F1854" t="s">
        <v>39</v>
      </c>
      <c r="G1854" t="s">
        <v>50</v>
      </c>
      <c r="H1854" t="s">
        <v>124</v>
      </c>
      <c r="I1854">
        <v>1</v>
      </c>
      <c r="J1854" s="4">
        <v>19424.099999999999</v>
      </c>
      <c r="K1854" s="5">
        <v>0</v>
      </c>
      <c r="L1854" s="4">
        <v>11036.95</v>
      </c>
      <c r="M1854" t="s">
        <v>42</v>
      </c>
      <c r="N1854" t="s">
        <v>60</v>
      </c>
      <c r="O1854">
        <f>IF(TablaVentas[[#This Row],[Precio_unitario]]="","PENDIENTE",TablaVentas[[#This Row],[Unidades]]*TablaVentas[[#This Row],[Precio_unitario]]*(1-TablaVentas[[#This Row],[Descuento_pct]]))</f>
        <v>19424.099999999999</v>
      </c>
      <c r="P1854">
        <f>IF(TablaVentas[[#This Row],[Costo_unitario]]="","PENDIENTE",TablaVentas[[#This Row],[Unidades]]*TablaVentas[[#This Row],[Costo_unitario]])</f>
        <v>11036.95</v>
      </c>
      <c r="Q1854">
        <f>IF(OR(TablaVentas[[#This Row],[Ingreso_neto]]="PENDIENTE",TablaVentas[[#This Row],[Costo_total]]="PENDIENTE"),"PENDIENTE",TablaVentas[[#This Row],[Ingreso_neto]]-TablaVentas[[#This Row],[Costo_total]])</f>
        <v>8387.1499999999978</v>
      </c>
    </row>
    <row r="1855" spans="1:17">
      <c r="A1855" t="s">
        <v>1185</v>
      </c>
      <c r="B1855">
        <v>1</v>
      </c>
      <c r="C1855" s="3">
        <v>46232</v>
      </c>
      <c r="D1855" t="s">
        <v>337</v>
      </c>
      <c r="E1855" t="s">
        <v>138</v>
      </c>
      <c r="F1855" t="s">
        <v>66</v>
      </c>
      <c r="G1855" t="s">
        <v>50</v>
      </c>
      <c r="H1855" t="s">
        <v>73</v>
      </c>
      <c r="I1855">
        <v>2</v>
      </c>
      <c r="J1855" s="4">
        <v>6047.82</v>
      </c>
      <c r="K1855" s="5">
        <v>0.15</v>
      </c>
      <c r="L1855" s="4">
        <v>4665.62</v>
      </c>
      <c r="M1855" t="s">
        <v>116</v>
      </c>
      <c r="N1855" t="s">
        <v>60</v>
      </c>
      <c r="O1855">
        <f>IF(TablaVentas[[#This Row],[Precio_unitario]]="","PENDIENTE",TablaVentas[[#This Row],[Unidades]]*TablaVentas[[#This Row],[Precio_unitario]]*(1-TablaVentas[[#This Row],[Descuento_pct]]))</f>
        <v>10281.294</v>
      </c>
      <c r="P1855">
        <f>IF(TablaVentas[[#This Row],[Costo_unitario]]="","PENDIENTE",TablaVentas[[#This Row],[Unidades]]*TablaVentas[[#This Row],[Costo_unitario]])</f>
        <v>9331.24</v>
      </c>
      <c r="Q1855">
        <f>IF(OR(TablaVentas[[#This Row],[Ingreso_neto]]="PENDIENTE",TablaVentas[[#This Row],[Costo_total]]="PENDIENTE"),"PENDIENTE",TablaVentas[[#This Row],[Ingreso_neto]]-TablaVentas[[#This Row],[Costo_total]])</f>
        <v>950.05400000000009</v>
      </c>
    </row>
    <row r="1856" spans="1:17">
      <c r="A1856" t="s">
        <v>1185</v>
      </c>
      <c r="B1856">
        <v>2</v>
      </c>
      <c r="C1856" s="3">
        <v>46232</v>
      </c>
      <c r="D1856" t="s">
        <v>337</v>
      </c>
      <c r="E1856" t="s">
        <v>346</v>
      </c>
      <c r="F1856" t="s">
        <v>66</v>
      </c>
      <c r="G1856" t="s">
        <v>50</v>
      </c>
      <c r="H1856" t="s">
        <v>73</v>
      </c>
      <c r="I1856">
        <v>2</v>
      </c>
      <c r="J1856" s="4">
        <v>2054.4</v>
      </c>
      <c r="K1856" s="5">
        <v>0.2</v>
      </c>
      <c r="L1856" s="4">
        <v>1175.74</v>
      </c>
      <c r="M1856" t="s">
        <v>42</v>
      </c>
      <c r="N1856" t="s">
        <v>43</v>
      </c>
      <c r="O1856">
        <f>IF(TablaVentas[[#This Row],[Precio_unitario]]="","PENDIENTE",TablaVentas[[#This Row],[Unidades]]*TablaVentas[[#This Row],[Precio_unitario]]*(1-TablaVentas[[#This Row],[Descuento_pct]]))</f>
        <v>3287.0400000000004</v>
      </c>
      <c r="P1856">
        <f>IF(TablaVentas[[#This Row],[Costo_unitario]]="","PENDIENTE",TablaVentas[[#This Row],[Unidades]]*TablaVentas[[#This Row],[Costo_unitario]])</f>
        <v>2351.48</v>
      </c>
      <c r="Q1856">
        <f>IF(OR(TablaVentas[[#This Row],[Ingreso_neto]]="PENDIENTE",TablaVentas[[#This Row],[Costo_total]]="PENDIENTE"),"PENDIENTE",TablaVentas[[#This Row],[Ingreso_neto]]-TablaVentas[[#This Row],[Costo_total]])</f>
        <v>935.5600000000004</v>
      </c>
    </row>
    <row r="1857" spans="1:17">
      <c r="A1857" t="s">
        <v>1185</v>
      </c>
      <c r="B1857">
        <v>3</v>
      </c>
      <c r="C1857" s="3">
        <v>46232</v>
      </c>
      <c r="D1857" t="s">
        <v>337</v>
      </c>
      <c r="E1857" t="s">
        <v>163</v>
      </c>
      <c r="F1857" t="s">
        <v>66</v>
      </c>
      <c r="G1857" t="s">
        <v>50</v>
      </c>
      <c r="H1857" t="s">
        <v>73</v>
      </c>
      <c r="I1857">
        <v>3</v>
      </c>
      <c r="J1857" s="4">
        <v>16337.87</v>
      </c>
      <c r="K1857" s="5">
        <v>0.1</v>
      </c>
      <c r="L1857" s="4">
        <v>12141.44</v>
      </c>
      <c r="M1857" t="s">
        <v>42</v>
      </c>
      <c r="N1857" t="s">
        <v>52</v>
      </c>
      <c r="O1857">
        <f>IF(TablaVentas[[#This Row],[Precio_unitario]]="","PENDIENTE",TablaVentas[[#This Row],[Unidades]]*TablaVentas[[#This Row],[Precio_unitario]]*(1-TablaVentas[[#This Row],[Descuento_pct]]))</f>
        <v>44112.249000000003</v>
      </c>
      <c r="P1857">
        <f>IF(TablaVentas[[#This Row],[Costo_unitario]]="","PENDIENTE",TablaVentas[[#This Row],[Unidades]]*TablaVentas[[#This Row],[Costo_unitario]])</f>
        <v>36424.32</v>
      </c>
      <c r="Q1857">
        <f>IF(OR(TablaVentas[[#This Row],[Ingreso_neto]]="PENDIENTE",TablaVentas[[#This Row],[Costo_total]]="PENDIENTE"),"PENDIENTE",TablaVentas[[#This Row],[Ingreso_neto]]-TablaVentas[[#This Row],[Costo_total]])</f>
        <v>7687.9290000000037</v>
      </c>
    </row>
    <row r="1858" spans="1:17">
      <c r="A1858" t="s">
        <v>1186</v>
      </c>
      <c r="B1858">
        <v>1</v>
      </c>
      <c r="C1858" s="3">
        <v>46251</v>
      </c>
      <c r="D1858" t="s">
        <v>667</v>
      </c>
      <c r="E1858" t="s">
        <v>185</v>
      </c>
      <c r="F1858" t="s">
        <v>39</v>
      </c>
      <c r="G1858" t="s">
        <v>57</v>
      </c>
      <c r="H1858" t="s">
        <v>124</v>
      </c>
      <c r="I1858">
        <v>3</v>
      </c>
      <c r="J1858" s="4">
        <v>16018.57</v>
      </c>
      <c r="K1858" s="5">
        <v>0</v>
      </c>
      <c r="L1858" s="4">
        <v>11904.09</v>
      </c>
      <c r="M1858" t="s">
        <v>42</v>
      </c>
      <c r="N1858" t="s">
        <v>43</v>
      </c>
      <c r="O1858">
        <f>IF(TablaVentas[[#This Row],[Precio_unitario]]="","PENDIENTE",TablaVentas[[#This Row],[Unidades]]*TablaVentas[[#This Row],[Precio_unitario]]*(1-TablaVentas[[#This Row],[Descuento_pct]]))</f>
        <v>48055.71</v>
      </c>
      <c r="P1858">
        <f>IF(TablaVentas[[#This Row],[Costo_unitario]]="","PENDIENTE",TablaVentas[[#This Row],[Unidades]]*TablaVentas[[#This Row],[Costo_unitario]])</f>
        <v>35712.270000000004</v>
      </c>
      <c r="Q1858">
        <f>IF(OR(TablaVentas[[#This Row],[Ingreso_neto]]="PENDIENTE",TablaVentas[[#This Row],[Costo_total]]="PENDIENTE"),"PENDIENTE",TablaVentas[[#This Row],[Ingreso_neto]]-TablaVentas[[#This Row],[Costo_total]])</f>
        <v>12343.439999999995</v>
      </c>
    </row>
    <row r="1859" spans="1:17">
      <c r="A1859" t="s">
        <v>1186</v>
      </c>
      <c r="B1859">
        <v>2</v>
      </c>
      <c r="C1859" s="3">
        <v>46251</v>
      </c>
      <c r="D1859" t="s">
        <v>667</v>
      </c>
      <c r="E1859" t="s">
        <v>70</v>
      </c>
      <c r="F1859" t="s">
        <v>39</v>
      </c>
      <c r="G1859" t="s">
        <v>57</v>
      </c>
      <c r="H1859" t="s">
        <v>124</v>
      </c>
      <c r="I1859">
        <v>1</v>
      </c>
      <c r="J1859" s="4">
        <v>14442.34</v>
      </c>
      <c r="K1859" s="5">
        <v>0</v>
      </c>
      <c r="L1859" s="4">
        <v>10571.25</v>
      </c>
      <c r="M1859" t="s">
        <v>42</v>
      </c>
      <c r="N1859" t="s">
        <v>52</v>
      </c>
      <c r="O1859">
        <f>IF(TablaVentas[[#This Row],[Precio_unitario]]="","PENDIENTE",TablaVentas[[#This Row],[Unidades]]*TablaVentas[[#This Row],[Precio_unitario]]*(1-TablaVentas[[#This Row],[Descuento_pct]]))</f>
        <v>14442.34</v>
      </c>
      <c r="P1859">
        <f>IF(TablaVentas[[#This Row],[Costo_unitario]]="","PENDIENTE",TablaVentas[[#This Row],[Unidades]]*TablaVentas[[#This Row],[Costo_unitario]])</f>
        <v>10571.25</v>
      </c>
      <c r="Q1859">
        <f>IF(OR(TablaVentas[[#This Row],[Ingreso_neto]]="PENDIENTE",TablaVentas[[#This Row],[Costo_total]]="PENDIENTE"),"PENDIENTE",TablaVentas[[#This Row],[Ingreso_neto]]-TablaVentas[[#This Row],[Costo_total]])</f>
        <v>3871.09</v>
      </c>
    </row>
    <row r="1860" spans="1:17">
      <c r="A1860" t="s">
        <v>1187</v>
      </c>
      <c r="B1860">
        <v>1</v>
      </c>
      <c r="C1860" s="3">
        <v>46181</v>
      </c>
      <c r="D1860" t="s">
        <v>232</v>
      </c>
      <c r="E1860" t="s">
        <v>38</v>
      </c>
      <c r="F1860" t="s">
        <v>77</v>
      </c>
      <c r="G1860" t="s">
        <v>50</v>
      </c>
      <c r="H1860" t="s">
        <v>73</v>
      </c>
      <c r="I1860">
        <v>4</v>
      </c>
      <c r="J1860" s="4">
        <v>5454.25</v>
      </c>
      <c r="K1860" s="5">
        <v>0.05</v>
      </c>
      <c r="L1860" s="4">
        <v>3832.69</v>
      </c>
      <c r="M1860" t="s">
        <v>42</v>
      </c>
      <c r="N1860" t="s">
        <v>43</v>
      </c>
      <c r="O1860">
        <f>IF(TablaVentas[[#This Row],[Precio_unitario]]="","PENDIENTE",TablaVentas[[#This Row],[Unidades]]*TablaVentas[[#This Row],[Precio_unitario]]*(1-TablaVentas[[#This Row],[Descuento_pct]]))</f>
        <v>20726.149999999998</v>
      </c>
      <c r="P1860">
        <f>IF(TablaVentas[[#This Row],[Costo_unitario]]="","PENDIENTE",TablaVentas[[#This Row],[Unidades]]*TablaVentas[[#This Row],[Costo_unitario]])</f>
        <v>15330.76</v>
      </c>
      <c r="Q1860">
        <f>IF(OR(TablaVentas[[#This Row],[Ingreso_neto]]="PENDIENTE",TablaVentas[[#This Row],[Costo_total]]="PENDIENTE"),"PENDIENTE",TablaVentas[[#This Row],[Ingreso_neto]]-TablaVentas[[#This Row],[Costo_total]])</f>
        <v>5395.3899999999976</v>
      </c>
    </row>
    <row r="1861" spans="1:17">
      <c r="A1861" t="s">
        <v>1188</v>
      </c>
      <c r="B1861">
        <v>1</v>
      </c>
      <c r="C1861" s="3">
        <v>46037</v>
      </c>
      <c r="D1861" t="s">
        <v>620</v>
      </c>
      <c r="E1861" t="s">
        <v>180</v>
      </c>
      <c r="F1861" t="s">
        <v>66</v>
      </c>
      <c r="G1861" t="s">
        <v>57</v>
      </c>
      <c r="H1861" t="s">
        <v>184</v>
      </c>
      <c r="I1861">
        <v>2</v>
      </c>
      <c r="J1861" s="4">
        <v>6900.14</v>
      </c>
      <c r="K1861" s="5">
        <v>0.05</v>
      </c>
      <c r="L1861" s="4">
        <v>3824.92</v>
      </c>
      <c r="M1861" t="s">
        <v>116</v>
      </c>
      <c r="N1861" t="s">
        <v>43</v>
      </c>
      <c r="O1861">
        <f>IF(TablaVentas[[#This Row],[Precio_unitario]]="","PENDIENTE",TablaVentas[[#This Row],[Unidades]]*TablaVentas[[#This Row],[Precio_unitario]]*(1-TablaVentas[[#This Row],[Descuento_pct]]))</f>
        <v>13110.266</v>
      </c>
      <c r="P1861">
        <f>IF(TablaVentas[[#This Row],[Costo_unitario]]="","PENDIENTE",TablaVentas[[#This Row],[Unidades]]*TablaVentas[[#This Row],[Costo_unitario]])</f>
        <v>7649.84</v>
      </c>
      <c r="Q1861">
        <f>IF(OR(TablaVentas[[#This Row],[Ingreso_neto]]="PENDIENTE",TablaVentas[[#This Row],[Costo_total]]="PENDIENTE"),"PENDIENTE",TablaVentas[[#This Row],[Ingreso_neto]]-TablaVentas[[#This Row],[Costo_total]])</f>
        <v>5460.4259999999995</v>
      </c>
    </row>
    <row r="1862" spans="1:17">
      <c r="A1862" t="s">
        <v>1189</v>
      </c>
      <c r="B1862">
        <v>1</v>
      </c>
      <c r="C1862" s="3">
        <v>46066</v>
      </c>
      <c r="D1862" t="s">
        <v>394</v>
      </c>
      <c r="E1862" t="s">
        <v>55</v>
      </c>
      <c r="F1862" t="s">
        <v>39</v>
      </c>
      <c r="G1862" t="s">
        <v>40</v>
      </c>
      <c r="H1862" t="s">
        <v>82</v>
      </c>
      <c r="I1862">
        <v>3</v>
      </c>
      <c r="J1862" s="4">
        <v>12009.18</v>
      </c>
      <c r="K1862" s="5">
        <v>0</v>
      </c>
      <c r="L1862" s="4">
        <v>6407.85</v>
      </c>
      <c r="M1862" t="s">
        <v>42</v>
      </c>
      <c r="N1862" t="s">
        <v>52</v>
      </c>
      <c r="O1862">
        <f>IF(TablaVentas[[#This Row],[Precio_unitario]]="","PENDIENTE",TablaVentas[[#This Row],[Unidades]]*TablaVentas[[#This Row],[Precio_unitario]]*(1-TablaVentas[[#This Row],[Descuento_pct]]))</f>
        <v>36027.54</v>
      </c>
      <c r="P1862">
        <f>IF(TablaVentas[[#This Row],[Costo_unitario]]="","PENDIENTE",TablaVentas[[#This Row],[Unidades]]*TablaVentas[[#This Row],[Costo_unitario]])</f>
        <v>19223.550000000003</v>
      </c>
      <c r="Q1862">
        <f>IF(OR(TablaVentas[[#This Row],[Ingreso_neto]]="PENDIENTE",TablaVentas[[#This Row],[Costo_total]]="PENDIENTE"),"PENDIENTE",TablaVentas[[#This Row],[Ingreso_neto]]-TablaVentas[[#This Row],[Costo_total]])</f>
        <v>16803.989999999998</v>
      </c>
    </row>
    <row r="1863" spans="1:17">
      <c r="A1863" t="s">
        <v>1189</v>
      </c>
      <c r="B1863">
        <v>2</v>
      </c>
      <c r="C1863" s="3">
        <v>46066</v>
      </c>
      <c r="D1863" t="s">
        <v>394</v>
      </c>
      <c r="E1863" t="s">
        <v>159</v>
      </c>
      <c r="F1863" t="s">
        <v>39</v>
      </c>
      <c r="G1863" t="s">
        <v>40</v>
      </c>
      <c r="H1863" t="s">
        <v>82</v>
      </c>
      <c r="I1863">
        <v>2</v>
      </c>
      <c r="J1863" s="4">
        <v>11318.12</v>
      </c>
      <c r="K1863" s="5">
        <v>0.05</v>
      </c>
      <c r="L1863" s="4">
        <v>9317.3700000000008</v>
      </c>
      <c r="M1863" t="s">
        <v>42</v>
      </c>
      <c r="N1863" t="s">
        <v>60</v>
      </c>
      <c r="O1863">
        <f>IF(TablaVentas[[#This Row],[Precio_unitario]]="","PENDIENTE",TablaVentas[[#This Row],[Unidades]]*TablaVentas[[#This Row],[Precio_unitario]]*(1-TablaVentas[[#This Row],[Descuento_pct]]))</f>
        <v>21504.428</v>
      </c>
      <c r="P1863">
        <f>IF(TablaVentas[[#This Row],[Costo_unitario]]="","PENDIENTE",TablaVentas[[#This Row],[Unidades]]*TablaVentas[[#This Row],[Costo_unitario]])</f>
        <v>18634.740000000002</v>
      </c>
      <c r="Q1863">
        <f>IF(OR(TablaVentas[[#This Row],[Ingreso_neto]]="PENDIENTE",TablaVentas[[#This Row],[Costo_total]]="PENDIENTE"),"PENDIENTE",TablaVentas[[#This Row],[Ingreso_neto]]-TablaVentas[[#This Row],[Costo_total]])</f>
        <v>2869.6879999999983</v>
      </c>
    </row>
    <row r="1864" spans="1:17">
      <c r="A1864" t="s">
        <v>1190</v>
      </c>
      <c r="B1864">
        <v>1</v>
      </c>
      <c r="C1864" s="3">
        <v>46178</v>
      </c>
      <c r="D1864" t="s">
        <v>518</v>
      </c>
      <c r="E1864" t="s">
        <v>212</v>
      </c>
      <c r="F1864" t="s">
        <v>39</v>
      </c>
      <c r="G1864" t="s">
        <v>57</v>
      </c>
      <c r="H1864" t="s">
        <v>124</v>
      </c>
      <c r="I1864">
        <v>3</v>
      </c>
      <c r="J1864" s="4">
        <v>3668.3</v>
      </c>
      <c r="K1864" s="5">
        <v>0</v>
      </c>
      <c r="L1864" s="4">
        <v>2157.5500000000002</v>
      </c>
      <c r="M1864" t="s">
        <v>42</v>
      </c>
      <c r="N1864" t="s">
        <v>45</v>
      </c>
      <c r="O1864">
        <f>IF(TablaVentas[[#This Row],[Precio_unitario]]="","PENDIENTE",TablaVentas[[#This Row],[Unidades]]*TablaVentas[[#This Row],[Precio_unitario]]*(1-TablaVentas[[#This Row],[Descuento_pct]]))</f>
        <v>11004.900000000001</v>
      </c>
      <c r="P1864">
        <f>IF(TablaVentas[[#This Row],[Costo_unitario]]="","PENDIENTE",TablaVentas[[#This Row],[Unidades]]*TablaVentas[[#This Row],[Costo_unitario]])</f>
        <v>6472.6500000000005</v>
      </c>
      <c r="Q1864">
        <f>IF(OR(TablaVentas[[#This Row],[Ingreso_neto]]="PENDIENTE",TablaVentas[[#This Row],[Costo_total]]="PENDIENTE"),"PENDIENTE",TablaVentas[[#This Row],[Ingreso_neto]]-TablaVentas[[#This Row],[Costo_total]])</f>
        <v>4532.2500000000009</v>
      </c>
    </row>
    <row r="1865" spans="1:17">
      <c r="A1865" t="s">
        <v>1190</v>
      </c>
      <c r="B1865">
        <v>2</v>
      </c>
      <c r="C1865" s="3">
        <v>46178</v>
      </c>
      <c r="D1865" t="s">
        <v>518</v>
      </c>
      <c r="E1865" t="s">
        <v>138</v>
      </c>
      <c r="F1865" t="s">
        <v>39</v>
      </c>
      <c r="G1865" t="s">
        <v>57</v>
      </c>
      <c r="H1865" t="s">
        <v>124</v>
      </c>
      <c r="I1865">
        <v>1</v>
      </c>
      <c r="J1865" s="4">
        <v>6379.82</v>
      </c>
      <c r="K1865" s="5">
        <v>0</v>
      </c>
      <c r="L1865" s="4">
        <v>4665.62</v>
      </c>
      <c r="M1865" t="s">
        <v>42</v>
      </c>
      <c r="N1865" t="s">
        <v>43</v>
      </c>
      <c r="O1865">
        <f>IF(TablaVentas[[#This Row],[Precio_unitario]]="","PENDIENTE",TablaVentas[[#This Row],[Unidades]]*TablaVentas[[#This Row],[Precio_unitario]]*(1-TablaVentas[[#This Row],[Descuento_pct]]))</f>
        <v>6379.82</v>
      </c>
      <c r="P1865">
        <f>IF(TablaVentas[[#This Row],[Costo_unitario]]="","PENDIENTE",TablaVentas[[#This Row],[Unidades]]*TablaVentas[[#This Row],[Costo_unitario]])</f>
        <v>4665.62</v>
      </c>
      <c r="Q1865">
        <f>IF(OR(TablaVentas[[#This Row],[Ingreso_neto]]="PENDIENTE",TablaVentas[[#This Row],[Costo_total]]="PENDIENTE"),"PENDIENTE",TablaVentas[[#This Row],[Ingreso_neto]]-TablaVentas[[#This Row],[Costo_total]])</f>
        <v>1714.1999999999998</v>
      </c>
    </row>
    <row r="1866" spans="1:17">
      <c r="A1866" t="s">
        <v>1190</v>
      </c>
      <c r="B1866">
        <v>3</v>
      </c>
      <c r="C1866" s="3">
        <v>46178</v>
      </c>
      <c r="D1866" t="s">
        <v>518</v>
      </c>
      <c r="E1866" t="s">
        <v>114</v>
      </c>
      <c r="F1866" t="s">
        <v>39</v>
      </c>
      <c r="G1866" t="s">
        <v>57</v>
      </c>
      <c r="H1866" t="s">
        <v>124</v>
      </c>
      <c r="I1866">
        <v>1</v>
      </c>
      <c r="J1866" s="4">
        <v>15180.93</v>
      </c>
      <c r="K1866" s="5">
        <v>0.1</v>
      </c>
      <c r="L1866" s="4">
        <v>8239.48</v>
      </c>
      <c r="M1866" t="s">
        <v>42</v>
      </c>
      <c r="N1866" t="s">
        <v>52</v>
      </c>
      <c r="O1866">
        <f>IF(TablaVentas[[#This Row],[Precio_unitario]]="","PENDIENTE",TablaVentas[[#This Row],[Unidades]]*TablaVentas[[#This Row],[Precio_unitario]]*(1-TablaVentas[[#This Row],[Descuento_pct]]))</f>
        <v>13662.837000000001</v>
      </c>
      <c r="P1866">
        <f>IF(TablaVentas[[#This Row],[Costo_unitario]]="","PENDIENTE",TablaVentas[[#This Row],[Unidades]]*TablaVentas[[#This Row],[Costo_unitario]])</f>
        <v>8239.48</v>
      </c>
      <c r="Q1866">
        <f>IF(OR(TablaVentas[[#This Row],[Ingreso_neto]]="PENDIENTE",TablaVentas[[#This Row],[Costo_total]]="PENDIENTE"),"PENDIENTE",TablaVentas[[#This Row],[Ingreso_neto]]-TablaVentas[[#This Row],[Costo_total]])</f>
        <v>5423.3570000000018</v>
      </c>
    </row>
    <row r="1867" spans="1:17">
      <c r="A1867" t="s">
        <v>1190</v>
      </c>
      <c r="B1867">
        <v>4</v>
      </c>
      <c r="C1867" s="3">
        <v>46178</v>
      </c>
      <c r="D1867" t="s">
        <v>518</v>
      </c>
      <c r="E1867" t="s">
        <v>90</v>
      </c>
      <c r="F1867" t="s">
        <v>39</v>
      </c>
      <c r="G1867" t="s">
        <v>57</v>
      </c>
      <c r="H1867" t="s">
        <v>124</v>
      </c>
      <c r="I1867">
        <v>2</v>
      </c>
      <c r="J1867" s="4">
        <v>11020.77</v>
      </c>
      <c r="K1867" s="5">
        <v>0.1</v>
      </c>
      <c r="L1867" s="4">
        <v>8174.87</v>
      </c>
      <c r="M1867" t="s">
        <v>42</v>
      </c>
      <c r="N1867" t="s">
        <v>45</v>
      </c>
      <c r="O1867">
        <f>IF(TablaVentas[[#This Row],[Precio_unitario]]="","PENDIENTE",TablaVentas[[#This Row],[Unidades]]*TablaVentas[[#This Row],[Precio_unitario]]*(1-TablaVentas[[#This Row],[Descuento_pct]]))</f>
        <v>19837.386000000002</v>
      </c>
      <c r="P1867">
        <f>IF(TablaVentas[[#This Row],[Costo_unitario]]="","PENDIENTE",TablaVentas[[#This Row],[Unidades]]*TablaVentas[[#This Row],[Costo_unitario]])</f>
        <v>16349.74</v>
      </c>
      <c r="Q1867">
        <f>IF(OR(TablaVentas[[#This Row],[Ingreso_neto]]="PENDIENTE",TablaVentas[[#This Row],[Costo_total]]="PENDIENTE"),"PENDIENTE",TablaVentas[[#This Row],[Ingreso_neto]]-TablaVentas[[#This Row],[Costo_total]])</f>
        <v>3487.6460000000025</v>
      </c>
    </row>
    <row r="1868" spans="1:17">
      <c r="A1868" t="s">
        <v>1191</v>
      </c>
      <c r="B1868">
        <v>1</v>
      </c>
      <c r="C1868" s="3">
        <v>46252</v>
      </c>
      <c r="D1868" t="s">
        <v>752</v>
      </c>
      <c r="E1868" t="s">
        <v>113</v>
      </c>
      <c r="F1868" t="s">
        <v>39</v>
      </c>
      <c r="G1868" t="s">
        <v>50</v>
      </c>
      <c r="H1868" t="s">
        <v>124</v>
      </c>
      <c r="I1868">
        <v>1</v>
      </c>
      <c r="J1868" s="4">
        <v>3294.5</v>
      </c>
      <c r="K1868" s="5">
        <v>0</v>
      </c>
      <c r="L1868" s="4">
        <v>2196.34</v>
      </c>
      <c r="M1868" t="s">
        <v>42</v>
      </c>
      <c r="N1868" t="s">
        <v>60</v>
      </c>
      <c r="O1868">
        <f>IF(TablaVentas[[#This Row],[Precio_unitario]]="","PENDIENTE",TablaVentas[[#This Row],[Unidades]]*TablaVentas[[#This Row],[Precio_unitario]]*(1-TablaVentas[[#This Row],[Descuento_pct]]))</f>
        <v>3294.5</v>
      </c>
      <c r="P1868">
        <f>IF(TablaVentas[[#This Row],[Costo_unitario]]="","PENDIENTE",TablaVentas[[#This Row],[Unidades]]*TablaVentas[[#This Row],[Costo_unitario]])</f>
        <v>2196.34</v>
      </c>
      <c r="Q1868">
        <f>IF(OR(TablaVentas[[#This Row],[Ingreso_neto]]="PENDIENTE",TablaVentas[[#This Row],[Costo_total]]="PENDIENTE"),"PENDIENTE",TablaVentas[[#This Row],[Ingreso_neto]]-TablaVentas[[#This Row],[Costo_total]])</f>
        <v>1098.1599999999999</v>
      </c>
    </row>
    <row r="1869" spans="1:17">
      <c r="A1869" t="s">
        <v>1191</v>
      </c>
      <c r="B1869">
        <v>2</v>
      </c>
      <c r="C1869" s="3">
        <v>46252</v>
      </c>
      <c r="D1869" t="s">
        <v>752</v>
      </c>
      <c r="E1869" t="s">
        <v>160</v>
      </c>
      <c r="F1869" t="s">
        <v>39</v>
      </c>
      <c r="G1869" t="s">
        <v>50</v>
      </c>
      <c r="H1869" t="s">
        <v>124</v>
      </c>
      <c r="I1869">
        <v>2</v>
      </c>
      <c r="J1869" s="4">
        <v>8122.67</v>
      </c>
      <c r="K1869" s="5">
        <v>0</v>
      </c>
      <c r="L1869" s="4">
        <v>4082.15</v>
      </c>
      <c r="M1869" t="s">
        <v>42</v>
      </c>
      <c r="N1869" t="s">
        <v>52</v>
      </c>
      <c r="O1869">
        <f>IF(TablaVentas[[#This Row],[Precio_unitario]]="","PENDIENTE",TablaVentas[[#This Row],[Unidades]]*TablaVentas[[#This Row],[Precio_unitario]]*(1-TablaVentas[[#This Row],[Descuento_pct]]))</f>
        <v>16245.34</v>
      </c>
      <c r="P1869">
        <f>IF(TablaVentas[[#This Row],[Costo_unitario]]="","PENDIENTE",TablaVentas[[#This Row],[Unidades]]*TablaVentas[[#This Row],[Costo_unitario]])</f>
        <v>8164.3</v>
      </c>
      <c r="Q1869">
        <f>IF(OR(TablaVentas[[#This Row],[Ingreso_neto]]="PENDIENTE",TablaVentas[[#This Row],[Costo_total]]="PENDIENTE"),"PENDIENTE",TablaVentas[[#This Row],[Ingreso_neto]]-TablaVentas[[#This Row],[Costo_total]])</f>
        <v>8081.04</v>
      </c>
    </row>
    <row r="1870" spans="1:17">
      <c r="A1870" t="s">
        <v>1192</v>
      </c>
      <c r="B1870">
        <v>1</v>
      </c>
      <c r="C1870" s="3">
        <v>46039</v>
      </c>
      <c r="D1870" t="s">
        <v>1064</v>
      </c>
      <c r="E1870" t="s">
        <v>113</v>
      </c>
      <c r="F1870" t="s">
        <v>77</v>
      </c>
      <c r="G1870" t="s">
        <v>57</v>
      </c>
      <c r="H1870" t="s">
        <v>124</v>
      </c>
      <c r="I1870">
        <v>8</v>
      </c>
      <c r="J1870" s="4">
        <v>2837.81</v>
      </c>
      <c r="K1870" s="5">
        <v>0.15</v>
      </c>
      <c r="L1870" s="4">
        <v>2196.34</v>
      </c>
      <c r="M1870" t="s">
        <v>62</v>
      </c>
      <c r="N1870" t="s">
        <v>52</v>
      </c>
      <c r="O1870">
        <f>IF(TablaVentas[[#This Row],[Precio_unitario]]="","PENDIENTE",TablaVentas[[#This Row],[Unidades]]*TablaVentas[[#This Row],[Precio_unitario]]*(1-TablaVentas[[#This Row],[Descuento_pct]]))</f>
        <v>19297.108</v>
      </c>
      <c r="P1870">
        <f>IF(TablaVentas[[#This Row],[Costo_unitario]]="","PENDIENTE",TablaVentas[[#This Row],[Unidades]]*TablaVentas[[#This Row],[Costo_unitario]])</f>
        <v>17570.72</v>
      </c>
      <c r="Q1870">
        <f>IF(OR(TablaVentas[[#This Row],[Ingreso_neto]]="PENDIENTE",TablaVentas[[#This Row],[Costo_total]]="PENDIENTE"),"PENDIENTE",TablaVentas[[#This Row],[Ingreso_neto]]-TablaVentas[[#This Row],[Costo_total]])</f>
        <v>1726.387999999999</v>
      </c>
    </row>
    <row r="1871" spans="1:17">
      <c r="A1871" t="s">
        <v>1192</v>
      </c>
      <c r="B1871">
        <v>2</v>
      </c>
      <c r="C1871" s="3">
        <v>46039</v>
      </c>
      <c r="D1871" t="s">
        <v>1064</v>
      </c>
      <c r="E1871" t="s">
        <v>253</v>
      </c>
      <c r="F1871" t="s">
        <v>77</v>
      </c>
      <c r="G1871" t="s">
        <v>57</v>
      </c>
      <c r="H1871" t="s">
        <v>124</v>
      </c>
      <c r="I1871">
        <v>2</v>
      </c>
      <c r="J1871" s="4">
        <v>2797.55</v>
      </c>
      <c r="K1871" s="5">
        <v>0</v>
      </c>
      <c r="L1871" s="4">
        <v>2486.1799999999998</v>
      </c>
      <c r="M1871" t="s">
        <v>42</v>
      </c>
      <c r="N1871" t="s">
        <v>60</v>
      </c>
      <c r="O1871">
        <f>IF(TablaVentas[[#This Row],[Precio_unitario]]="","PENDIENTE",TablaVentas[[#This Row],[Unidades]]*TablaVentas[[#This Row],[Precio_unitario]]*(1-TablaVentas[[#This Row],[Descuento_pct]]))</f>
        <v>5595.1</v>
      </c>
      <c r="P1871">
        <f>IF(TablaVentas[[#This Row],[Costo_unitario]]="","PENDIENTE",TablaVentas[[#This Row],[Unidades]]*TablaVentas[[#This Row],[Costo_unitario]])</f>
        <v>4972.3599999999997</v>
      </c>
      <c r="Q1871">
        <f>IF(OR(TablaVentas[[#This Row],[Ingreso_neto]]="PENDIENTE",TablaVentas[[#This Row],[Costo_total]]="PENDIENTE"),"PENDIENTE",TablaVentas[[#This Row],[Ingreso_neto]]-TablaVentas[[#This Row],[Costo_total]])</f>
        <v>622.74000000000069</v>
      </c>
    </row>
    <row r="1872" spans="1:17">
      <c r="A1872" t="s">
        <v>1193</v>
      </c>
      <c r="B1872">
        <v>1</v>
      </c>
      <c r="C1872" s="3">
        <v>46029</v>
      </c>
      <c r="D1872" t="s">
        <v>1064</v>
      </c>
      <c r="E1872" t="s">
        <v>262</v>
      </c>
      <c r="F1872" t="s">
        <v>39</v>
      </c>
      <c r="G1872" t="s">
        <v>50</v>
      </c>
      <c r="H1872" t="s">
        <v>41</v>
      </c>
      <c r="I1872">
        <v>8</v>
      </c>
      <c r="J1872" s="4">
        <v>12643.22</v>
      </c>
      <c r="K1872" s="5">
        <v>0</v>
      </c>
      <c r="L1872" s="4">
        <v>8227.4599999999991</v>
      </c>
      <c r="M1872" t="s">
        <v>42</v>
      </c>
      <c r="N1872" t="s">
        <v>60</v>
      </c>
      <c r="O1872">
        <f>IF(TablaVentas[[#This Row],[Precio_unitario]]="","PENDIENTE",TablaVentas[[#This Row],[Unidades]]*TablaVentas[[#This Row],[Precio_unitario]]*(1-TablaVentas[[#This Row],[Descuento_pct]]))</f>
        <v>101145.76</v>
      </c>
      <c r="P1872">
        <f>IF(TablaVentas[[#This Row],[Costo_unitario]]="","PENDIENTE",TablaVentas[[#This Row],[Unidades]]*TablaVentas[[#This Row],[Costo_unitario]])</f>
        <v>65819.679999999993</v>
      </c>
      <c r="Q1872">
        <f>IF(OR(TablaVentas[[#This Row],[Ingreso_neto]]="PENDIENTE",TablaVentas[[#This Row],[Costo_total]]="PENDIENTE"),"PENDIENTE",TablaVentas[[#This Row],[Ingreso_neto]]-TablaVentas[[#This Row],[Costo_total]])</f>
        <v>35326.080000000002</v>
      </c>
    </row>
    <row r="1873" spans="1:17">
      <c r="A1873" t="s">
        <v>1194</v>
      </c>
      <c r="B1873">
        <v>1</v>
      </c>
      <c r="C1873" s="3">
        <v>46247</v>
      </c>
      <c r="D1873" t="s">
        <v>309</v>
      </c>
      <c r="E1873" t="s">
        <v>403</v>
      </c>
      <c r="F1873" t="s">
        <v>77</v>
      </c>
      <c r="G1873" t="s">
        <v>57</v>
      </c>
      <c r="H1873" t="s">
        <v>184</v>
      </c>
      <c r="I1873">
        <v>4</v>
      </c>
      <c r="J1873" s="4">
        <v>3037.7</v>
      </c>
      <c r="K1873" s="5">
        <v>0</v>
      </c>
      <c r="L1873" s="4">
        <v>1801.83</v>
      </c>
      <c r="M1873" t="s">
        <v>116</v>
      </c>
      <c r="N1873" t="s">
        <v>52</v>
      </c>
      <c r="O1873">
        <f>IF(TablaVentas[[#This Row],[Precio_unitario]]="","PENDIENTE",TablaVentas[[#This Row],[Unidades]]*TablaVentas[[#This Row],[Precio_unitario]]*(1-TablaVentas[[#This Row],[Descuento_pct]]))</f>
        <v>12150.8</v>
      </c>
      <c r="P1873">
        <f>IF(TablaVentas[[#This Row],[Costo_unitario]]="","PENDIENTE",TablaVentas[[#This Row],[Unidades]]*TablaVentas[[#This Row],[Costo_unitario]])</f>
        <v>7207.32</v>
      </c>
      <c r="Q1873">
        <f>IF(OR(TablaVentas[[#This Row],[Ingreso_neto]]="PENDIENTE",TablaVentas[[#This Row],[Costo_total]]="PENDIENTE"),"PENDIENTE",TablaVentas[[#This Row],[Ingreso_neto]]-TablaVentas[[#This Row],[Costo_total]])</f>
        <v>4943.4799999999996</v>
      </c>
    </row>
    <row r="1874" spans="1:17">
      <c r="A1874" t="s">
        <v>1195</v>
      </c>
      <c r="B1874">
        <v>1</v>
      </c>
      <c r="C1874" s="3">
        <v>46289</v>
      </c>
      <c r="D1874" t="s">
        <v>191</v>
      </c>
      <c r="E1874" t="s">
        <v>133</v>
      </c>
      <c r="F1874" t="s">
        <v>56</v>
      </c>
      <c r="G1874" t="s">
        <v>57</v>
      </c>
      <c r="H1874" t="s">
        <v>67</v>
      </c>
      <c r="I1874">
        <v>3</v>
      </c>
      <c r="J1874" s="4">
        <v>8370.93</v>
      </c>
      <c r="K1874" s="5">
        <v>0</v>
      </c>
      <c r="L1874" s="4">
        <v>4061.34</v>
      </c>
      <c r="M1874" t="s">
        <v>42</v>
      </c>
      <c r="N1874" t="s">
        <v>52</v>
      </c>
      <c r="O1874">
        <f>IF(TablaVentas[[#This Row],[Precio_unitario]]="","PENDIENTE",TablaVentas[[#This Row],[Unidades]]*TablaVentas[[#This Row],[Precio_unitario]]*(1-TablaVentas[[#This Row],[Descuento_pct]]))</f>
        <v>25112.79</v>
      </c>
      <c r="P1874">
        <f>IF(TablaVentas[[#This Row],[Costo_unitario]]="","PENDIENTE",TablaVentas[[#This Row],[Unidades]]*TablaVentas[[#This Row],[Costo_unitario]])</f>
        <v>12184.02</v>
      </c>
      <c r="Q1874">
        <f>IF(OR(TablaVentas[[#This Row],[Ingreso_neto]]="PENDIENTE",TablaVentas[[#This Row],[Costo_total]]="PENDIENTE"),"PENDIENTE",TablaVentas[[#This Row],[Ingreso_neto]]-TablaVentas[[#This Row],[Costo_total]])</f>
        <v>12928.77</v>
      </c>
    </row>
    <row r="1875" spans="1:17">
      <c r="A1875" t="s">
        <v>1195</v>
      </c>
      <c r="B1875">
        <v>2</v>
      </c>
      <c r="C1875" s="3">
        <v>46289</v>
      </c>
      <c r="D1875" t="s">
        <v>191</v>
      </c>
      <c r="E1875" t="s">
        <v>248</v>
      </c>
      <c r="F1875" t="s">
        <v>56</v>
      </c>
      <c r="G1875" t="s">
        <v>57</v>
      </c>
      <c r="H1875" t="s">
        <v>67</v>
      </c>
      <c r="I1875">
        <v>1</v>
      </c>
      <c r="J1875" s="4">
        <v>12448.82</v>
      </c>
      <c r="K1875" s="5">
        <v>0.1</v>
      </c>
      <c r="L1875" s="4">
        <v>6856.4</v>
      </c>
      <c r="M1875" t="s">
        <v>42</v>
      </c>
      <c r="N1875" t="s">
        <v>43</v>
      </c>
      <c r="O1875">
        <f>IF(TablaVentas[[#This Row],[Precio_unitario]]="","PENDIENTE",TablaVentas[[#This Row],[Unidades]]*TablaVentas[[#This Row],[Precio_unitario]]*(1-TablaVentas[[#This Row],[Descuento_pct]]))</f>
        <v>11203.938</v>
      </c>
      <c r="P1875">
        <f>IF(TablaVentas[[#This Row],[Costo_unitario]]="","PENDIENTE",TablaVentas[[#This Row],[Unidades]]*TablaVentas[[#This Row],[Costo_unitario]])</f>
        <v>6856.4</v>
      </c>
      <c r="Q1875">
        <f>IF(OR(TablaVentas[[#This Row],[Ingreso_neto]]="PENDIENTE",TablaVentas[[#This Row],[Costo_total]]="PENDIENTE"),"PENDIENTE",TablaVentas[[#This Row],[Ingreso_neto]]-TablaVentas[[#This Row],[Costo_total]])</f>
        <v>4347.5380000000005</v>
      </c>
    </row>
    <row r="1876" spans="1:17">
      <c r="A1876" t="s">
        <v>1196</v>
      </c>
      <c r="B1876">
        <v>1</v>
      </c>
      <c r="C1876" s="3">
        <v>46237</v>
      </c>
      <c r="D1876" t="s">
        <v>460</v>
      </c>
      <c r="E1876" t="s">
        <v>272</v>
      </c>
      <c r="F1876" t="s">
        <v>77</v>
      </c>
      <c r="G1876" t="s">
        <v>57</v>
      </c>
      <c r="H1876" t="s">
        <v>73</v>
      </c>
      <c r="I1876">
        <v>1</v>
      </c>
      <c r="J1876" s="4">
        <v>663.85</v>
      </c>
      <c r="K1876" s="5">
        <v>0.05</v>
      </c>
      <c r="L1876" s="4">
        <v>443</v>
      </c>
      <c r="M1876" t="s">
        <v>42</v>
      </c>
      <c r="N1876" t="s">
        <v>60</v>
      </c>
      <c r="O1876">
        <f>IF(TablaVentas[[#This Row],[Precio_unitario]]="","PENDIENTE",TablaVentas[[#This Row],[Unidades]]*TablaVentas[[#This Row],[Precio_unitario]]*(1-TablaVentas[[#This Row],[Descuento_pct]]))</f>
        <v>630.65750000000003</v>
      </c>
      <c r="P1876">
        <f>IF(TablaVentas[[#This Row],[Costo_unitario]]="","PENDIENTE",TablaVentas[[#This Row],[Unidades]]*TablaVentas[[#This Row],[Costo_unitario]])</f>
        <v>443</v>
      </c>
      <c r="Q1876">
        <f>IF(OR(TablaVentas[[#This Row],[Ingreso_neto]]="PENDIENTE",TablaVentas[[#This Row],[Costo_total]]="PENDIENTE"),"PENDIENTE",TablaVentas[[#This Row],[Ingreso_neto]]-TablaVentas[[#This Row],[Costo_total]])</f>
        <v>187.65750000000003</v>
      </c>
    </row>
    <row r="1877" spans="1:17">
      <c r="A1877" t="s">
        <v>1197</v>
      </c>
      <c r="B1877">
        <v>1</v>
      </c>
      <c r="C1877" s="3">
        <v>46211</v>
      </c>
      <c r="D1877" t="s">
        <v>625</v>
      </c>
      <c r="E1877" t="s">
        <v>353</v>
      </c>
      <c r="F1877" t="s">
        <v>56</v>
      </c>
      <c r="G1877" t="s">
        <v>50</v>
      </c>
      <c r="H1877" t="s">
        <v>82</v>
      </c>
      <c r="I1877">
        <v>4</v>
      </c>
      <c r="J1877" s="4">
        <v>2029.57</v>
      </c>
      <c r="K1877" s="5">
        <v>0</v>
      </c>
      <c r="L1877" s="4">
        <v>1479.71</v>
      </c>
      <c r="M1877" t="s">
        <v>42</v>
      </c>
      <c r="N1877" t="s">
        <v>60</v>
      </c>
      <c r="O1877">
        <f>IF(TablaVentas[[#This Row],[Precio_unitario]]="","PENDIENTE",TablaVentas[[#This Row],[Unidades]]*TablaVentas[[#This Row],[Precio_unitario]]*(1-TablaVentas[[#This Row],[Descuento_pct]]))</f>
        <v>8118.28</v>
      </c>
      <c r="P1877">
        <f>IF(TablaVentas[[#This Row],[Costo_unitario]]="","PENDIENTE",TablaVentas[[#This Row],[Unidades]]*TablaVentas[[#This Row],[Costo_unitario]])</f>
        <v>5918.84</v>
      </c>
      <c r="Q1877">
        <f>IF(OR(TablaVentas[[#This Row],[Ingreso_neto]]="PENDIENTE",TablaVentas[[#This Row],[Costo_total]]="PENDIENTE"),"PENDIENTE",TablaVentas[[#This Row],[Ingreso_neto]]-TablaVentas[[#This Row],[Costo_total]])</f>
        <v>2199.4399999999996</v>
      </c>
    </row>
    <row r="1878" spans="1:17">
      <c r="A1878" t="s">
        <v>1198</v>
      </c>
      <c r="B1878">
        <v>1</v>
      </c>
      <c r="C1878" s="3">
        <v>46117</v>
      </c>
      <c r="D1878" t="s">
        <v>1199</v>
      </c>
      <c r="E1878" t="s">
        <v>353</v>
      </c>
      <c r="F1878" t="s">
        <v>77</v>
      </c>
      <c r="G1878" t="s">
        <v>50</v>
      </c>
      <c r="H1878" t="s">
        <v>184</v>
      </c>
      <c r="I1878">
        <v>5</v>
      </c>
      <c r="J1878" s="4">
        <v>1950.86</v>
      </c>
      <c r="K1878" s="5">
        <v>0</v>
      </c>
      <c r="L1878" s="4">
        <v>1479.71</v>
      </c>
      <c r="M1878" t="s">
        <v>42</v>
      </c>
      <c r="N1878" t="s">
        <v>45</v>
      </c>
      <c r="O1878">
        <f>IF(TablaVentas[[#This Row],[Precio_unitario]]="","PENDIENTE",TablaVentas[[#This Row],[Unidades]]*TablaVentas[[#This Row],[Precio_unitario]]*(1-TablaVentas[[#This Row],[Descuento_pct]]))</f>
        <v>9754.2999999999993</v>
      </c>
      <c r="P1878">
        <f>IF(TablaVentas[[#This Row],[Costo_unitario]]="","PENDIENTE",TablaVentas[[#This Row],[Unidades]]*TablaVentas[[#This Row],[Costo_unitario]])</f>
        <v>7398.55</v>
      </c>
      <c r="Q1878">
        <f>IF(OR(TablaVentas[[#This Row],[Ingreso_neto]]="PENDIENTE",TablaVentas[[#This Row],[Costo_total]]="PENDIENTE"),"PENDIENTE",TablaVentas[[#This Row],[Ingreso_neto]]-TablaVentas[[#This Row],[Costo_total]])</f>
        <v>2355.7499999999991</v>
      </c>
    </row>
    <row r="1879" spans="1:17">
      <c r="A1879" t="s">
        <v>1200</v>
      </c>
      <c r="B1879">
        <v>1</v>
      </c>
      <c r="C1879" s="3">
        <v>46111</v>
      </c>
      <c r="D1879" t="s">
        <v>37</v>
      </c>
      <c r="E1879" t="s">
        <v>256</v>
      </c>
      <c r="F1879" t="s">
        <v>66</v>
      </c>
      <c r="G1879" t="s">
        <v>57</v>
      </c>
      <c r="H1879" t="s">
        <v>51</v>
      </c>
      <c r="I1879">
        <v>4</v>
      </c>
      <c r="J1879" s="4">
        <v>17395.150000000001</v>
      </c>
      <c r="K1879" s="5">
        <v>0.05</v>
      </c>
      <c r="L1879" s="4">
        <v>11666.57</v>
      </c>
      <c r="M1879" t="s">
        <v>116</v>
      </c>
      <c r="N1879" t="s">
        <v>45</v>
      </c>
      <c r="O1879">
        <f>IF(TablaVentas[[#This Row],[Precio_unitario]]="","PENDIENTE",TablaVentas[[#This Row],[Unidades]]*TablaVentas[[#This Row],[Precio_unitario]]*(1-TablaVentas[[#This Row],[Descuento_pct]]))</f>
        <v>66101.570000000007</v>
      </c>
      <c r="P1879">
        <f>IF(TablaVentas[[#This Row],[Costo_unitario]]="","PENDIENTE",TablaVentas[[#This Row],[Unidades]]*TablaVentas[[#This Row],[Costo_unitario]])</f>
        <v>46666.28</v>
      </c>
      <c r="Q1879">
        <f>IF(OR(TablaVentas[[#This Row],[Ingreso_neto]]="PENDIENTE",TablaVentas[[#This Row],[Costo_total]]="PENDIENTE"),"PENDIENTE",TablaVentas[[#This Row],[Ingreso_neto]]-TablaVentas[[#This Row],[Costo_total]])</f>
        <v>19435.290000000008</v>
      </c>
    </row>
    <row r="1880" spans="1:17">
      <c r="A1880" t="s">
        <v>1200</v>
      </c>
      <c r="B1880">
        <v>2</v>
      </c>
      <c r="C1880" s="3">
        <v>46111</v>
      </c>
      <c r="D1880" t="s">
        <v>37</v>
      </c>
      <c r="E1880" t="s">
        <v>69</v>
      </c>
      <c r="F1880" t="s">
        <v>66</v>
      </c>
      <c r="G1880" t="s">
        <v>57</v>
      </c>
      <c r="H1880" t="s">
        <v>51</v>
      </c>
      <c r="I1880">
        <v>1</v>
      </c>
      <c r="J1880" s="4">
        <v>13470.92</v>
      </c>
      <c r="K1880" s="5">
        <v>0</v>
      </c>
      <c r="L1880" s="4">
        <v>10094.26</v>
      </c>
      <c r="M1880" t="s">
        <v>42</v>
      </c>
      <c r="N1880" t="s">
        <v>60</v>
      </c>
      <c r="O1880">
        <f>IF(TablaVentas[[#This Row],[Precio_unitario]]="","PENDIENTE",TablaVentas[[#This Row],[Unidades]]*TablaVentas[[#This Row],[Precio_unitario]]*(1-TablaVentas[[#This Row],[Descuento_pct]]))</f>
        <v>13470.92</v>
      </c>
      <c r="P1880">
        <f>IF(TablaVentas[[#This Row],[Costo_unitario]]="","PENDIENTE",TablaVentas[[#This Row],[Unidades]]*TablaVentas[[#This Row],[Costo_unitario]])</f>
        <v>10094.26</v>
      </c>
      <c r="Q1880">
        <f>IF(OR(TablaVentas[[#This Row],[Ingreso_neto]]="PENDIENTE",TablaVentas[[#This Row],[Costo_total]]="PENDIENTE"),"PENDIENTE",TablaVentas[[#This Row],[Ingreso_neto]]-TablaVentas[[#This Row],[Costo_total]])</f>
        <v>3376.66</v>
      </c>
    </row>
    <row r="1881" spans="1:17">
      <c r="A1881" t="s">
        <v>1200</v>
      </c>
      <c r="B1881">
        <v>3</v>
      </c>
      <c r="C1881" s="3">
        <v>46111</v>
      </c>
      <c r="D1881" t="s">
        <v>37</v>
      </c>
      <c r="E1881" t="s">
        <v>109</v>
      </c>
      <c r="F1881" t="s">
        <v>66</v>
      </c>
      <c r="G1881" t="s">
        <v>57</v>
      </c>
      <c r="H1881" t="s">
        <v>51</v>
      </c>
      <c r="I1881">
        <v>1</v>
      </c>
      <c r="J1881" s="4">
        <v>14705.45</v>
      </c>
      <c r="K1881" s="5">
        <v>0.05</v>
      </c>
      <c r="L1881" s="4">
        <v>9880.77</v>
      </c>
      <c r="M1881" t="s">
        <v>42</v>
      </c>
      <c r="N1881" t="s">
        <v>52</v>
      </c>
      <c r="O1881">
        <f>IF(TablaVentas[[#This Row],[Precio_unitario]]="","PENDIENTE",TablaVentas[[#This Row],[Unidades]]*TablaVentas[[#This Row],[Precio_unitario]]*(1-TablaVentas[[#This Row],[Descuento_pct]]))</f>
        <v>13970.1775</v>
      </c>
      <c r="P1881">
        <f>IF(TablaVentas[[#This Row],[Costo_unitario]]="","PENDIENTE",TablaVentas[[#This Row],[Unidades]]*TablaVentas[[#This Row],[Costo_unitario]])</f>
        <v>9880.77</v>
      </c>
      <c r="Q1881">
        <f>IF(OR(TablaVentas[[#This Row],[Ingreso_neto]]="PENDIENTE",TablaVentas[[#This Row],[Costo_total]]="PENDIENTE"),"PENDIENTE",TablaVentas[[#This Row],[Ingreso_neto]]-TablaVentas[[#This Row],[Costo_total]])</f>
        <v>4089.4074999999993</v>
      </c>
    </row>
    <row r="1882" spans="1:17">
      <c r="A1882" t="s">
        <v>1201</v>
      </c>
      <c r="B1882">
        <v>1</v>
      </c>
      <c r="C1882" s="3">
        <v>46081</v>
      </c>
      <c r="D1882" t="s">
        <v>339</v>
      </c>
      <c r="E1882" t="s">
        <v>233</v>
      </c>
      <c r="F1882" t="s">
        <v>77</v>
      </c>
      <c r="G1882" t="s">
        <v>50</v>
      </c>
      <c r="H1882" t="s">
        <v>102</v>
      </c>
      <c r="I1882">
        <v>1</v>
      </c>
      <c r="J1882" s="4">
        <v>10072.700000000001</v>
      </c>
      <c r="K1882" s="5">
        <v>0.05</v>
      </c>
      <c r="L1882" s="4">
        <v>5932.12</v>
      </c>
      <c r="M1882" t="s">
        <v>42</v>
      </c>
      <c r="N1882" t="s">
        <v>43</v>
      </c>
      <c r="O1882">
        <f>IF(TablaVentas[[#This Row],[Precio_unitario]]="","PENDIENTE",TablaVentas[[#This Row],[Unidades]]*TablaVentas[[#This Row],[Precio_unitario]]*(1-TablaVentas[[#This Row],[Descuento_pct]]))</f>
        <v>9569.0650000000005</v>
      </c>
      <c r="P1882">
        <f>IF(TablaVentas[[#This Row],[Costo_unitario]]="","PENDIENTE",TablaVentas[[#This Row],[Unidades]]*TablaVentas[[#This Row],[Costo_unitario]])</f>
        <v>5932.12</v>
      </c>
      <c r="Q1882">
        <f>IF(OR(TablaVentas[[#This Row],[Ingreso_neto]]="PENDIENTE",TablaVentas[[#This Row],[Costo_total]]="PENDIENTE"),"PENDIENTE",TablaVentas[[#This Row],[Ingreso_neto]]-TablaVentas[[#This Row],[Costo_total]])</f>
        <v>3636.9450000000006</v>
      </c>
    </row>
    <row r="1883" spans="1:17">
      <c r="A1883" t="s">
        <v>1201</v>
      </c>
      <c r="B1883">
        <v>2</v>
      </c>
      <c r="C1883" s="3">
        <v>46081</v>
      </c>
      <c r="D1883" t="s">
        <v>339</v>
      </c>
      <c r="E1883" t="s">
        <v>68</v>
      </c>
      <c r="F1883" t="s">
        <v>77</v>
      </c>
      <c r="G1883" t="s">
        <v>50</v>
      </c>
      <c r="H1883" t="s">
        <v>102</v>
      </c>
      <c r="I1883">
        <v>2</v>
      </c>
      <c r="J1883" s="4">
        <v>15258.24</v>
      </c>
      <c r="K1883" s="5">
        <v>0.2</v>
      </c>
      <c r="L1883" s="4">
        <v>9243.35</v>
      </c>
      <c r="M1883" t="s">
        <v>42</v>
      </c>
      <c r="N1883" t="s">
        <v>52</v>
      </c>
      <c r="O1883">
        <f>IF(TablaVentas[[#This Row],[Precio_unitario]]="","PENDIENTE",TablaVentas[[#This Row],[Unidades]]*TablaVentas[[#This Row],[Precio_unitario]]*(1-TablaVentas[[#This Row],[Descuento_pct]]))</f>
        <v>24413.184000000001</v>
      </c>
      <c r="P1883">
        <f>IF(TablaVentas[[#This Row],[Costo_unitario]]="","PENDIENTE",TablaVentas[[#This Row],[Unidades]]*TablaVentas[[#This Row],[Costo_unitario]])</f>
        <v>18486.7</v>
      </c>
      <c r="Q1883">
        <f>IF(OR(TablaVentas[[#This Row],[Ingreso_neto]]="PENDIENTE",TablaVentas[[#This Row],[Costo_total]]="PENDIENTE"),"PENDIENTE",TablaVentas[[#This Row],[Ingreso_neto]]-TablaVentas[[#This Row],[Costo_total]])</f>
        <v>5926.4840000000004</v>
      </c>
    </row>
    <row r="1884" spans="1:17">
      <c r="A1884" t="s">
        <v>1201</v>
      </c>
      <c r="B1884">
        <v>3</v>
      </c>
      <c r="C1884" s="3">
        <v>46081</v>
      </c>
      <c r="D1884" t="s">
        <v>339</v>
      </c>
      <c r="E1884" t="s">
        <v>128</v>
      </c>
      <c r="F1884" t="s">
        <v>77</v>
      </c>
      <c r="G1884" t="s">
        <v>50</v>
      </c>
      <c r="H1884" t="s">
        <v>102</v>
      </c>
      <c r="I1884">
        <v>1</v>
      </c>
      <c r="J1884" s="4">
        <v>1621.99</v>
      </c>
      <c r="K1884" s="5">
        <v>0</v>
      </c>
      <c r="L1884" s="4">
        <v>900.08</v>
      </c>
      <c r="M1884" t="s">
        <v>62</v>
      </c>
      <c r="N1884" t="s">
        <v>45</v>
      </c>
      <c r="O1884">
        <f>IF(TablaVentas[[#This Row],[Precio_unitario]]="","PENDIENTE",TablaVentas[[#This Row],[Unidades]]*TablaVentas[[#This Row],[Precio_unitario]]*(1-TablaVentas[[#This Row],[Descuento_pct]]))</f>
        <v>1621.99</v>
      </c>
      <c r="P1884">
        <f>IF(TablaVentas[[#This Row],[Costo_unitario]]="","PENDIENTE",TablaVentas[[#This Row],[Unidades]]*TablaVentas[[#This Row],[Costo_unitario]])</f>
        <v>900.08</v>
      </c>
      <c r="Q1884">
        <f>IF(OR(TablaVentas[[#This Row],[Ingreso_neto]]="PENDIENTE",TablaVentas[[#This Row],[Costo_total]]="PENDIENTE"),"PENDIENTE",TablaVentas[[#This Row],[Ingreso_neto]]-TablaVentas[[#This Row],[Costo_total]])</f>
        <v>721.91</v>
      </c>
    </row>
    <row r="1885" spans="1:17">
      <c r="A1885" t="s">
        <v>1202</v>
      </c>
      <c r="B1885">
        <v>1</v>
      </c>
      <c r="C1885" s="3">
        <v>46277</v>
      </c>
      <c r="D1885" t="s">
        <v>118</v>
      </c>
      <c r="E1885" t="s">
        <v>152</v>
      </c>
      <c r="F1885" t="s">
        <v>77</v>
      </c>
      <c r="G1885" t="s">
        <v>57</v>
      </c>
      <c r="H1885" t="s">
        <v>51</v>
      </c>
      <c r="I1885">
        <v>3</v>
      </c>
      <c r="J1885" s="4">
        <v>2610.7199999999998</v>
      </c>
      <c r="K1885" s="5">
        <v>0</v>
      </c>
      <c r="L1885" s="4">
        <v>1962.3</v>
      </c>
      <c r="M1885" t="s">
        <v>42</v>
      </c>
      <c r="N1885" t="s">
        <v>45</v>
      </c>
      <c r="O1885">
        <f>IF(TablaVentas[[#This Row],[Precio_unitario]]="","PENDIENTE",TablaVentas[[#This Row],[Unidades]]*TablaVentas[[#This Row],[Precio_unitario]]*(1-TablaVentas[[#This Row],[Descuento_pct]]))</f>
        <v>7832.16</v>
      </c>
      <c r="P1885">
        <f>IF(TablaVentas[[#This Row],[Costo_unitario]]="","PENDIENTE",TablaVentas[[#This Row],[Unidades]]*TablaVentas[[#This Row],[Costo_unitario]])</f>
        <v>5886.9</v>
      </c>
      <c r="Q1885">
        <f>IF(OR(TablaVentas[[#This Row],[Ingreso_neto]]="PENDIENTE",TablaVentas[[#This Row],[Costo_total]]="PENDIENTE"),"PENDIENTE",TablaVentas[[#This Row],[Ingreso_neto]]-TablaVentas[[#This Row],[Costo_total]])</f>
        <v>1945.2600000000002</v>
      </c>
    </row>
    <row r="1886" spans="1:17">
      <c r="A1886" t="s">
        <v>1202</v>
      </c>
      <c r="B1886">
        <v>2</v>
      </c>
      <c r="C1886" s="3">
        <v>46277</v>
      </c>
      <c r="D1886" t="s">
        <v>118</v>
      </c>
      <c r="E1886" t="s">
        <v>185</v>
      </c>
      <c r="F1886" t="s">
        <v>77</v>
      </c>
      <c r="G1886" t="s">
        <v>57</v>
      </c>
      <c r="H1886" t="s">
        <v>51</v>
      </c>
      <c r="I1886">
        <v>2</v>
      </c>
      <c r="J1886" s="4">
        <v>16327.78</v>
      </c>
      <c r="K1886" s="5">
        <v>0</v>
      </c>
      <c r="L1886" s="4">
        <v>11904.09</v>
      </c>
      <c r="M1886" t="s">
        <v>42</v>
      </c>
      <c r="N1886" t="s">
        <v>45</v>
      </c>
      <c r="O1886">
        <f>IF(TablaVentas[[#This Row],[Precio_unitario]]="","PENDIENTE",TablaVentas[[#This Row],[Unidades]]*TablaVentas[[#This Row],[Precio_unitario]]*(1-TablaVentas[[#This Row],[Descuento_pct]]))</f>
        <v>32655.56</v>
      </c>
      <c r="P1886">
        <f>IF(TablaVentas[[#This Row],[Costo_unitario]]="","PENDIENTE",TablaVentas[[#This Row],[Unidades]]*TablaVentas[[#This Row],[Costo_unitario]])</f>
        <v>23808.18</v>
      </c>
      <c r="Q1886">
        <f>IF(OR(TablaVentas[[#This Row],[Ingreso_neto]]="PENDIENTE",TablaVentas[[#This Row],[Costo_total]]="PENDIENTE"),"PENDIENTE",TablaVentas[[#This Row],[Ingreso_neto]]-TablaVentas[[#This Row],[Costo_total]])</f>
        <v>8847.380000000001</v>
      </c>
    </row>
    <row r="1887" spans="1:17">
      <c r="A1887" t="s">
        <v>1203</v>
      </c>
      <c r="B1887">
        <v>1</v>
      </c>
      <c r="C1887" s="3">
        <v>46264</v>
      </c>
      <c r="D1887" t="s">
        <v>564</v>
      </c>
      <c r="E1887" t="s">
        <v>44</v>
      </c>
      <c r="F1887" t="s">
        <v>77</v>
      </c>
      <c r="G1887" t="s">
        <v>57</v>
      </c>
      <c r="H1887" t="s">
        <v>67</v>
      </c>
      <c r="I1887">
        <v>4</v>
      </c>
      <c r="J1887" s="4">
        <v>14561.49</v>
      </c>
      <c r="K1887" s="5">
        <v>0</v>
      </c>
      <c r="L1887" s="4">
        <v>8980.68</v>
      </c>
      <c r="M1887" t="s">
        <v>42</v>
      </c>
      <c r="N1887" t="s">
        <v>45</v>
      </c>
      <c r="O1887">
        <f>IF(TablaVentas[[#This Row],[Precio_unitario]]="","PENDIENTE",TablaVentas[[#This Row],[Unidades]]*TablaVentas[[#This Row],[Precio_unitario]]*(1-TablaVentas[[#This Row],[Descuento_pct]]))</f>
        <v>58245.96</v>
      </c>
      <c r="P1887">
        <f>IF(TablaVentas[[#This Row],[Costo_unitario]]="","PENDIENTE",TablaVentas[[#This Row],[Unidades]]*TablaVentas[[#This Row],[Costo_unitario]])</f>
        <v>35922.720000000001</v>
      </c>
      <c r="Q1887">
        <f>IF(OR(TablaVentas[[#This Row],[Ingreso_neto]]="PENDIENTE",TablaVentas[[#This Row],[Costo_total]]="PENDIENTE"),"PENDIENTE",TablaVentas[[#This Row],[Ingreso_neto]]-TablaVentas[[#This Row],[Costo_total]])</f>
        <v>22323.239999999998</v>
      </c>
    </row>
    <row r="1888" spans="1:17">
      <c r="A1888" t="s">
        <v>1203</v>
      </c>
      <c r="B1888">
        <v>2</v>
      </c>
      <c r="C1888" s="3">
        <v>46264</v>
      </c>
      <c r="D1888" t="s">
        <v>564</v>
      </c>
      <c r="E1888" t="s">
        <v>156</v>
      </c>
      <c r="F1888" t="s">
        <v>77</v>
      </c>
      <c r="G1888" t="s">
        <v>57</v>
      </c>
      <c r="H1888" t="s">
        <v>67</v>
      </c>
      <c r="I1888">
        <v>8</v>
      </c>
      <c r="J1888" s="4">
        <v>17481.02</v>
      </c>
      <c r="K1888" s="5">
        <v>0.2</v>
      </c>
      <c r="L1888" s="4">
        <v>13981.13</v>
      </c>
      <c r="M1888" t="s">
        <v>42</v>
      </c>
      <c r="N1888" t="s">
        <v>43</v>
      </c>
      <c r="O1888">
        <f>IF(TablaVentas[[#This Row],[Precio_unitario]]="","PENDIENTE",TablaVentas[[#This Row],[Unidades]]*TablaVentas[[#This Row],[Precio_unitario]]*(1-TablaVentas[[#This Row],[Descuento_pct]]))</f>
        <v>111878.52800000001</v>
      </c>
      <c r="P1888">
        <f>IF(TablaVentas[[#This Row],[Costo_unitario]]="","PENDIENTE",TablaVentas[[#This Row],[Unidades]]*TablaVentas[[#This Row],[Costo_unitario]])</f>
        <v>111849.04</v>
      </c>
      <c r="Q1888">
        <f>IF(OR(TablaVentas[[#This Row],[Ingreso_neto]]="PENDIENTE",TablaVentas[[#This Row],[Costo_total]]="PENDIENTE"),"PENDIENTE",TablaVentas[[#This Row],[Ingreso_neto]]-TablaVentas[[#This Row],[Costo_total]])</f>
        <v>29.488000000012107</v>
      </c>
    </row>
    <row r="1889" spans="1:17">
      <c r="A1889" t="s">
        <v>1204</v>
      </c>
      <c r="B1889">
        <v>1</v>
      </c>
      <c r="C1889" s="3">
        <v>46199</v>
      </c>
      <c r="D1889" t="s">
        <v>639</v>
      </c>
      <c r="E1889" t="s">
        <v>49</v>
      </c>
      <c r="F1889" t="s">
        <v>39</v>
      </c>
      <c r="G1889" t="s">
        <v>57</v>
      </c>
      <c r="H1889" t="s">
        <v>51</v>
      </c>
      <c r="I1889">
        <v>1</v>
      </c>
      <c r="J1889" s="4">
        <v>3920.36</v>
      </c>
      <c r="K1889" s="5">
        <v>0</v>
      </c>
      <c r="L1889" s="4">
        <v>2950.52</v>
      </c>
      <c r="M1889" t="s">
        <v>62</v>
      </c>
      <c r="N1889" t="s">
        <v>43</v>
      </c>
      <c r="O1889">
        <f>IF(TablaVentas[[#This Row],[Precio_unitario]]="","PENDIENTE",TablaVentas[[#This Row],[Unidades]]*TablaVentas[[#This Row],[Precio_unitario]]*(1-TablaVentas[[#This Row],[Descuento_pct]]))</f>
        <v>3920.36</v>
      </c>
      <c r="P1889">
        <f>IF(TablaVentas[[#This Row],[Costo_unitario]]="","PENDIENTE",TablaVentas[[#This Row],[Unidades]]*TablaVentas[[#This Row],[Costo_unitario]])</f>
        <v>2950.52</v>
      </c>
      <c r="Q1889">
        <f>IF(OR(TablaVentas[[#This Row],[Ingreso_neto]]="PENDIENTE",TablaVentas[[#This Row],[Costo_total]]="PENDIENTE"),"PENDIENTE",TablaVentas[[#This Row],[Ingreso_neto]]-TablaVentas[[#This Row],[Costo_total]])</f>
        <v>969.84000000000015</v>
      </c>
    </row>
    <row r="1890" spans="1:17">
      <c r="A1890" t="s">
        <v>1205</v>
      </c>
      <c r="B1890">
        <v>1</v>
      </c>
      <c r="C1890" s="3">
        <v>46152</v>
      </c>
      <c r="D1890" t="s">
        <v>615</v>
      </c>
      <c r="E1890" t="s">
        <v>128</v>
      </c>
      <c r="F1890" t="s">
        <v>39</v>
      </c>
      <c r="G1890" t="s">
        <v>40</v>
      </c>
      <c r="H1890" t="s">
        <v>73</v>
      </c>
      <c r="I1890">
        <v>1</v>
      </c>
      <c r="J1890" s="4">
        <v>1640.12</v>
      </c>
      <c r="K1890" s="5">
        <v>0</v>
      </c>
      <c r="L1890" s="4">
        <v>900.08</v>
      </c>
      <c r="M1890" t="s">
        <v>42</v>
      </c>
      <c r="N1890" t="s">
        <v>43</v>
      </c>
      <c r="O1890">
        <f>IF(TablaVentas[[#This Row],[Precio_unitario]]="","PENDIENTE",TablaVentas[[#This Row],[Unidades]]*TablaVentas[[#This Row],[Precio_unitario]]*(1-TablaVentas[[#This Row],[Descuento_pct]]))</f>
        <v>1640.12</v>
      </c>
      <c r="P1890">
        <f>IF(TablaVentas[[#This Row],[Costo_unitario]]="","PENDIENTE",TablaVentas[[#This Row],[Unidades]]*TablaVentas[[#This Row],[Costo_unitario]])</f>
        <v>900.08</v>
      </c>
      <c r="Q1890">
        <f>IF(OR(TablaVentas[[#This Row],[Ingreso_neto]]="PENDIENTE",TablaVentas[[#This Row],[Costo_total]]="PENDIENTE"),"PENDIENTE",TablaVentas[[#This Row],[Ingreso_neto]]-TablaVentas[[#This Row],[Costo_total]])</f>
        <v>740.03999999999985</v>
      </c>
    </row>
    <row r="1891" spans="1:17">
      <c r="A1891" t="s">
        <v>1205</v>
      </c>
      <c r="B1891">
        <v>2</v>
      </c>
      <c r="C1891" s="3">
        <v>46152</v>
      </c>
      <c r="D1891" t="s">
        <v>615</v>
      </c>
      <c r="E1891" t="s">
        <v>272</v>
      </c>
      <c r="F1891" t="s">
        <v>39</v>
      </c>
      <c r="G1891" t="s">
        <v>40</v>
      </c>
      <c r="H1891" t="s">
        <v>73</v>
      </c>
      <c r="I1891">
        <v>1</v>
      </c>
      <c r="J1891" s="4">
        <v>687.32</v>
      </c>
      <c r="K1891" s="5">
        <v>0</v>
      </c>
      <c r="L1891" s="4">
        <v>443</v>
      </c>
      <c r="M1891" t="s">
        <v>42</v>
      </c>
      <c r="N1891" t="s">
        <v>52</v>
      </c>
      <c r="O1891">
        <f>IF(TablaVentas[[#This Row],[Precio_unitario]]="","PENDIENTE",TablaVentas[[#This Row],[Unidades]]*TablaVentas[[#This Row],[Precio_unitario]]*(1-TablaVentas[[#This Row],[Descuento_pct]]))</f>
        <v>687.32</v>
      </c>
      <c r="P1891">
        <f>IF(TablaVentas[[#This Row],[Costo_unitario]]="","PENDIENTE",TablaVentas[[#This Row],[Unidades]]*TablaVentas[[#This Row],[Costo_unitario]])</f>
        <v>443</v>
      </c>
      <c r="Q1891">
        <f>IF(OR(TablaVentas[[#This Row],[Ingreso_neto]]="PENDIENTE",TablaVentas[[#This Row],[Costo_total]]="PENDIENTE"),"PENDIENTE",TablaVentas[[#This Row],[Ingreso_neto]]-TablaVentas[[#This Row],[Costo_total]])</f>
        <v>244.32000000000005</v>
      </c>
    </row>
    <row r="1892" spans="1:17">
      <c r="A1892" t="s">
        <v>1205</v>
      </c>
      <c r="B1892">
        <v>3</v>
      </c>
      <c r="C1892" s="3">
        <v>46152</v>
      </c>
      <c r="D1892" t="s">
        <v>615</v>
      </c>
      <c r="E1892" t="s">
        <v>223</v>
      </c>
      <c r="F1892" t="s">
        <v>39</v>
      </c>
      <c r="G1892" t="s">
        <v>40</v>
      </c>
      <c r="H1892" t="s">
        <v>73</v>
      </c>
      <c r="I1892">
        <v>1</v>
      </c>
      <c r="J1892" s="4">
        <v>6294.87</v>
      </c>
      <c r="K1892" s="5">
        <v>0</v>
      </c>
      <c r="L1892" s="4">
        <v>3298.19</v>
      </c>
      <c r="M1892" t="s">
        <v>42</v>
      </c>
      <c r="N1892" t="s">
        <v>45</v>
      </c>
      <c r="O1892">
        <f>IF(TablaVentas[[#This Row],[Precio_unitario]]="","PENDIENTE",TablaVentas[[#This Row],[Unidades]]*TablaVentas[[#This Row],[Precio_unitario]]*(1-TablaVentas[[#This Row],[Descuento_pct]]))</f>
        <v>6294.87</v>
      </c>
      <c r="P1892">
        <f>IF(TablaVentas[[#This Row],[Costo_unitario]]="","PENDIENTE",TablaVentas[[#This Row],[Unidades]]*TablaVentas[[#This Row],[Costo_unitario]])</f>
        <v>3298.19</v>
      </c>
      <c r="Q1892">
        <f>IF(OR(TablaVentas[[#This Row],[Ingreso_neto]]="PENDIENTE",TablaVentas[[#This Row],[Costo_total]]="PENDIENTE"),"PENDIENTE",TablaVentas[[#This Row],[Ingreso_neto]]-TablaVentas[[#This Row],[Costo_total]])</f>
        <v>2996.68</v>
      </c>
    </row>
    <row r="1893" spans="1:17">
      <c r="A1893" t="s">
        <v>1205</v>
      </c>
      <c r="B1893">
        <v>4</v>
      </c>
      <c r="C1893" s="3">
        <v>46152</v>
      </c>
      <c r="D1893" t="s">
        <v>615</v>
      </c>
      <c r="E1893" t="s">
        <v>103</v>
      </c>
      <c r="F1893" t="s">
        <v>39</v>
      </c>
      <c r="G1893" t="s">
        <v>40</v>
      </c>
      <c r="H1893" t="s">
        <v>73</v>
      </c>
      <c r="I1893">
        <v>1</v>
      </c>
      <c r="J1893" s="4">
        <v>13617.08</v>
      </c>
      <c r="K1893" s="5">
        <v>0.2</v>
      </c>
      <c r="L1893" s="4">
        <v>7549.71</v>
      </c>
      <c r="M1893" t="s">
        <v>42</v>
      </c>
      <c r="N1893" t="s">
        <v>45</v>
      </c>
      <c r="O1893">
        <f>IF(TablaVentas[[#This Row],[Precio_unitario]]="","PENDIENTE",TablaVentas[[#This Row],[Unidades]]*TablaVentas[[#This Row],[Precio_unitario]]*(1-TablaVentas[[#This Row],[Descuento_pct]]))</f>
        <v>10893.664000000001</v>
      </c>
      <c r="P1893">
        <f>IF(TablaVentas[[#This Row],[Costo_unitario]]="","PENDIENTE",TablaVentas[[#This Row],[Unidades]]*TablaVentas[[#This Row],[Costo_unitario]])</f>
        <v>7549.71</v>
      </c>
      <c r="Q1893">
        <f>IF(OR(TablaVentas[[#This Row],[Ingreso_neto]]="PENDIENTE",TablaVentas[[#This Row],[Costo_total]]="PENDIENTE"),"PENDIENTE",TablaVentas[[#This Row],[Ingreso_neto]]-TablaVentas[[#This Row],[Costo_total]])</f>
        <v>3343.9540000000006</v>
      </c>
    </row>
    <row r="1894" spans="1:17">
      <c r="A1894" t="s">
        <v>1206</v>
      </c>
      <c r="B1894">
        <v>1</v>
      </c>
      <c r="C1894" s="3">
        <v>46052</v>
      </c>
      <c r="D1894" t="s">
        <v>880</v>
      </c>
      <c r="E1894" t="s">
        <v>151</v>
      </c>
      <c r="F1894" t="s">
        <v>66</v>
      </c>
      <c r="G1894" t="s">
        <v>40</v>
      </c>
      <c r="H1894" t="s">
        <v>51</v>
      </c>
      <c r="I1894">
        <v>2</v>
      </c>
      <c r="J1894" s="4">
        <v>16053.37</v>
      </c>
      <c r="K1894" s="5">
        <v>0.2</v>
      </c>
      <c r="L1894" s="4">
        <v>8963.23</v>
      </c>
      <c r="M1894" t="s">
        <v>42</v>
      </c>
      <c r="N1894" t="s">
        <v>52</v>
      </c>
      <c r="O1894">
        <f>IF(TablaVentas[[#This Row],[Precio_unitario]]="","PENDIENTE",TablaVentas[[#This Row],[Unidades]]*TablaVentas[[#This Row],[Precio_unitario]]*(1-TablaVentas[[#This Row],[Descuento_pct]]))</f>
        <v>25685.392000000003</v>
      </c>
      <c r="P1894">
        <f>IF(TablaVentas[[#This Row],[Costo_unitario]]="","PENDIENTE",TablaVentas[[#This Row],[Unidades]]*TablaVentas[[#This Row],[Costo_unitario]])</f>
        <v>17926.46</v>
      </c>
      <c r="Q1894">
        <f>IF(OR(TablaVentas[[#This Row],[Ingreso_neto]]="PENDIENTE",TablaVentas[[#This Row],[Costo_total]]="PENDIENTE"),"PENDIENTE",TablaVentas[[#This Row],[Ingreso_neto]]-TablaVentas[[#This Row],[Costo_total]])</f>
        <v>7758.9320000000043</v>
      </c>
    </row>
    <row r="1895" spans="1:17">
      <c r="A1895" t="s">
        <v>1206</v>
      </c>
      <c r="B1895">
        <v>2</v>
      </c>
      <c r="C1895" s="3">
        <v>46052</v>
      </c>
      <c r="D1895" t="s">
        <v>880</v>
      </c>
      <c r="E1895" t="s">
        <v>335</v>
      </c>
      <c r="F1895" t="s">
        <v>66</v>
      </c>
      <c r="G1895" t="s">
        <v>40</v>
      </c>
      <c r="H1895" t="s">
        <v>51</v>
      </c>
      <c r="I1895">
        <v>4</v>
      </c>
      <c r="J1895" s="4">
        <v>7577.46</v>
      </c>
      <c r="K1895" s="5">
        <v>0.05</v>
      </c>
      <c r="L1895" s="4">
        <v>5587.31</v>
      </c>
      <c r="M1895" t="s">
        <v>42</v>
      </c>
      <c r="N1895" t="s">
        <v>43</v>
      </c>
      <c r="O1895">
        <f>IF(TablaVentas[[#This Row],[Precio_unitario]]="","PENDIENTE",TablaVentas[[#This Row],[Unidades]]*TablaVentas[[#This Row],[Precio_unitario]]*(1-TablaVentas[[#This Row],[Descuento_pct]]))</f>
        <v>28794.347999999998</v>
      </c>
      <c r="P1895">
        <f>IF(TablaVentas[[#This Row],[Costo_unitario]]="","PENDIENTE",TablaVentas[[#This Row],[Unidades]]*TablaVentas[[#This Row],[Costo_unitario]])</f>
        <v>22349.24</v>
      </c>
      <c r="Q1895">
        <f>IF(OR(TablaVentas[[#This Row],[Ingreso_neto]]="PENDIENTE",TablaVentas[[#This Row],[Costo_total]]="PENDIENTE"),"PENDIENTE",TablaVentas[[#This Row],[Ingreso_neto]]-TablaVentas[[#This Row],[Costo_total]])</f>
        <v>6445.1079999999965</v>
      </c>
    </row>
    <row r="1896" spans="1:17">
      <c r="A1896" t="s">
        <v>1206</v>
      </c>
      <c r="B1896">
        <v>3</v>
      </c>
      <c r="C1896" s="3">
        <v>46052</v>
      </c>
      <c r="D1896" t="s">
        <v>880</v>
      </c>
      <c r="E1896" t="s">
        <v>135</v>
      </c>
      <c r="F1896" t="s">
        <v>66</v>
      </c>
      <c r="G1896" t="s">
        <v>40</v>
      </c>
      <c r="H1896" t="s">
        <v>51</v>
      </c>
      <c r="I1896">
        <v>8</v>
      </c>
      <c r="J1896" s="4">
        <v>2013.29</v>
      </c>
      <c r="K1896" s="5">
        <v>0.15</v>
      </c>
      <c r="L1896" s="4">
        <v>1529.93</v>
      </c>
      <c r="M1896" t="s">
        <v>42</v>
      </c>
      <c r="N1896" t="s">
        <v>60</v>
      </c>
      <c r="O1896">
        <f>IF(TablaVentas[[#This Row],[Precio_unitario]]="","PENDIENTE",TablaVentas[[#This Row],[Unidades]]*TablaVentas[[#This Row],[Precio_unitario]]*(1-TablaVentas[[#This Row],[Descuento_pct]]))</f>
        <v>13690.371999999999</v>
      </c>
      <c r="P1896">
        <f>IF(TablaVentas[[#This Row],[Costo_unitario]]="","PENDIENTE",TablaVentas[[#This Row],[Unidades]]*TablaVentas[[#This Row],[Costo_unitario]])</f>
        <v>12239.44</v>
      </c>
      <c r="Q1896">
        <f>IF(OR(TablaVentas[[#This Row],[Ingreso_neto]]="PENDIENTE",TablaVentas[[#This Row],[Costo_total]]="PENDIENTE"),"PENDIENTE",TablaVentas[[#This Row],[Ingreso_neto]]-TablaVentas[[#This Row],[Costo_total]])</f>
        <v>1450.9319999999989</v>
      </c>
    </row>
    <row r="1897" spans="1:17">
      <c r="A1897" t="s">
        <v>1206</v>
      </c>
      <c r="B1897">
        <v>4</v>
      </c>
      <c r="C1897" s="3">
        <v>46052</v>
      </c>
      <c r="D1897" t="s">
        <v>880</v>
      </c>
      <c r="E1897" t="s">
        <v>172</v>
      </c>
      <c r="F1897" t="s">
        <v>66</v>
      </c>
      <c r="G1897" t="s">
        <v>40</v>
      </c>
      <c r="H1897" t="s">
        <v>51</v>
      </c>
      <c r="I1897">
        <v>1</v>
      </c>
      <c r="J1897" s="4">
        <v>15947.17</v>
      </c>
      <c r="K1897" s="5">
        <v>0</v>
      </c>
      <c r="L1897" s="4">
        <v>10830.17</v>
      </c>
      <c r="M1897" t="s">
        <v>42</v>
      </c>
      <c r="N1897" t="s">
        <v>43</v>
      </c>
      <c r="O1897">
        <f>IF(TablaVentas[[#This Row],[Precio_unitario]]="","PENDIENTE",TablaVentas[[#This Row],[Unidades]]*TablaVentas[[#This Row],[Precio_unitario]]*(1-TablaVentas[[#This Row],[Descuento_pct]]))</f>
        <v>15947.17</v>
      </c>
      <c r="P1897">
        <f>IF(TablaVentas[[#This Row],[Costo_unitario]]="","PENDIENTE",TablaVentas[[#This Row],[Unidades]]*TablaVentas[[#This Row],[Costo_unitario]])</f>
        <v>10830.17</v>
      </c>
      <c r="Q1897">
        <f>IF(OR(TablaVentas[[#This Row],[Ingreso_neto]]="PENDIENTE",TablaVentas[[#This Row],[Costo_total]]="PENDIENTE"),"PENDIENTE",TablaVentas[[#This Row],[Ingreso_neto]]-TablaVentas[[#This Row],[Costo_total]])</f>
        <v>5117</v>
      </c>
    </row>
    <row r="1898" spans="1:17">
      <c r="A1898" t="s">
        <v>1206</v>
      </c>
      <c r="B1898">
        <v>5</v>
      </c>
      <c r="C1898" s="3">
        <v>46052</v>
      </c>
      <c r="D1898" t="s">
        <v>880</v>
      </c>
      <c r="E1898" t="s">
        <v>183</v>
      </c>
      <c r="F1898" t="s">
        <v>66</v>
      </c>
      <c r="G1898" t="s">
        <v>40</v>
      </c>
      <c r="H1898" t="s">
        <v>51</v>
      </c>
      <c r="I1898">
        <v>1</v>
      </c>
      <c r="J1898" s="4">
        <v>5499.48</v>
      </c>
      <c r="K1898" s="5">
        <v>0.05</v>
      </c>
      <c r="L1898" s="4">
        <v>4325.7299999999996</v>
      </c>
      <c r="M1898" t="s">
        <v>42</v>
      </c>
      <c r="N1898" t="s">
        <v>45</v>
      </c>
      <c r="O1898">
        <f>IF(TablaVentas[[#This Row],[Precio_unitario]]="","PENDIENTE",TablaVentas[[#This Row],[Unidades]]*TablaVentas[[#This Row],[Precio_unitario]]*(1-TablaVentas[[#This Row],[Descuento_pct]]))</f>
        <v>5224.5059999999994</v>
      </c>
      <c r="P1898">
        <f>IF(TablaVentas[[#This Row],[Costo_unitario]]="","PENDIENTE",TablaVentas[[#This Row],[Unidades]]*TablaVentas[[#This Row],[Costo_unitario]])</f>
        <v>4325.7299999999996</v>
      </c>
      <c r="Q1898">
        <f>IF(OR(TablaVentas[[#This Row],[Ingreso_neto]]="PENDIENTE",TablaVentas[[#This Row],[Costo_total]]="PENDIENTE"),"PENDIENTE",TablaVentas[[#This Row],[Ingreso_neto]]-TablaVentas[[#This Row],[Costo_total]])</f>
        <v>898.77599999999984</v>
      </c>
    </row>
    <row r="1899" spans="1:17">
      <c r="A1899" t="s">
        <v>1207</v>
      </c>
      <c r="B1899">
        <v>1</v>
      </c>
      <c r="C1899" s="3">
        <v>46230</v>
      </c>
      <c r="D1899" t="s">
        <v>54</v>
      </c>
      <c r="E1899" t="s">
        <v>397</v>
      </c>
      <c r="F1899" t="s">
        <v>39</v>
      </c>
      <c r="G1899" t="s">
        <v>40</v>
      </c>
      <c r="H1899" t="s">
        <v>102</v>
      </c>
      <c r="I1899">
        <v>1</v>
      </c>
      <c r="J1899" s="4">
        <v>6490.54</v>
      </c>
      <c r="K1899" s="5">
        <v>0.2</v>
      </c>
      <c r="L1899" s="4">
        <v>3640.56</v>
      </c>
      <c r="M1899" t="s">
        <v>42</v>
      </c>
      <c r="N1899" t="s">
        <v>52</v>
      </c>
      <c r="O1899">
        <f>IF(TablaVentas[[#This Row],[Precio_unitario]]="","PENDIENTE",TablaVentas[[#This Row],[Unidades]]*TablaVentas[[#This Row],[Precio_unitario]]*(1-TablaVentas[[#This Row],[Descuento_pct]]))</f>
        <v>5192.4320000000007</v>
      </c>
      <c r="P1899">
        <f>IF(TablaVentas[[#This Row],[Costo_unitario]]="","PENDIENTE",TablaVentas[[#This Row],[Unidades]]*TablaVentas[[#This Row],[Costo_unitario]])</f>
        <v>3640.56</v>
      </c>
      <c r="Q1899">
        <f>IF(OR(TablaVentas[[#This Row],[Ingreso_neto]]="PENDIENTE",TablaVentas[[#This Row],[Costo_total]]="PENDIENTE"),"PENDIENTE",TablaVentas[[#This Row],[Ingreso_neto]]-TablaVentas[[#This Row],[Costo_total]])</f>
        <v>1551.8720000000008</v>
      </c>
    </row>
    <row r="1900" spans="1:17">
      <c r="A1900" t="s">
        <v>1207</v>
      </c>
      <c r="B1900">
        <v>2</v>
      </c>
      <c r="C1900" s="3">
        <v>46230</v>
      </c>
      <c r="D1900" t="s">
        <v>54</v>
      </c>
      <c r="E1900" t="s">
        <v>38</v>
      </c>
      <c r="F1900" t="s">
        <v>39</v>
      </c>
      <c r="G1900" t="s">
        <v>40</v>
      </c>
      <c r="H1900" t="s">
        <v>102</v>
      </c>
      <c r="I1900">
        <v>2</v>
      </c>
      <c r="J1900" s="4">
        <v>5825.85</v>
      </c>
      <c r="K1900" s="5">
        <v>0.05</v>
      </c>
      <c r="L1900" s="4">
        <v>3832.69</v>
      </c>
      <c r="M1900" t="s">
        <v>42</v>
      </c>
      <c r="N1900" t="s">
        <v>52</v>
      </c>
      <c r="O1900">
        <f>IF(TablaVentas[[#This Row],[Precio_unitario]]="","PENDIENTE",TablaVentas[[#This Row],[Unidades]]*TablaVentas[[#This Row],[Precio_unitario]]*(1-TablaVentas[[#This Row],[Descuento_pct]]))</f>
        <v>11069.115</v>
      </c>
      <c r="P1900">
        <f>IF(TablaVentas[[#This Row],[Costo_unitario]]="","PENDIENTE",TablaVentas[[#This Row],[Unidades]]*TablaVentas[[#This Row],[Costo_unitario]])</f>
        <v>7665.38</v>
      </c>
      <c r="Q1900">
        <f>IF(OR(TablaVentas[[#This Row],[Ingreso_neto]]="PENDIENTE",TablaVentas[[#This Row],[Costo_total]]="PENDIENTE"),"PENDIENTE",TablaVentas[[#This Row],[Ingreso_neto]]-TablaVentas[[#This Row],[Costo_total]])</f>
        <v>3403.7349999999997</v>
      </c>
    </row>
    <row r="1901" spans="1:17">
      <c r="A1901" t="s">
        <v>1207</v>
      </c>
      <c r="B1901">
        <v>3</v>
      </c>
      <c r="C1901" s="3">
        <v>46230</v>
      </c>
      <c r="D1901" t="s">
        <v>54</v>
      </c>
      <c r="E1901" t="s">
        <v>139</v>
      </c>
      <c r="F1901" t="s">
        <v>39</v>
      </c>
      <c r="G1901" t="s">
        <v>40</v>
      </c>
      <c r="H1901" t="s">
        <v>102</v>
      </c>
      <c r="I1901">
        <v>1</v>
      </c>
      <c r="J1901" s="4">
        <v>9015.34</v>
      </c>
      <c r="K1901" s="5">
        <v>0.05</v>
      </c>
      <c r="L1901" s="4">
        <v>8002.16</v>
      </c>
      <c r="M1901" t="s">
        <v>42</v>
      </c>
      <c r="N1901" t="s">
        <v>60</v>
      </c>
      <c r="O1901">
        <f>IF(TablaVentas[[#This Row],[Precio_unitario]]="","PENDIENTE",TablaVentas[[#This Row],[Unidades]]*TablaVentas[[#This Row],[Precio_unitario]]*(1-TablaVentas[[#This Row],[Descuento_pct]]))</f>
        <v>8564.5730000000003</v>
      </c>
      <c r="P1901">
        <f>IF(TablaVentas[[#This Row],[Costo_unitario]]="","PENDIENTE",TablaVentas[[#This Row],[Unidades]]*TablaVentas[[#This Row],[Costo_unitario]])</f>
        <v>8002.16</v>
      </c>
      <c r="Q1901">
        <f>IF(OR(TablaVentas[[#This Row],[Ingreso_neto]]="PENDIENTE",TablaVentas[[#This Row],[Costo_total]]="PENDIENTE"),"PENDIENTE",TablaVentas[[#This Row],[Ingreso_neto]]-TablaVentas[[#This Row],[Costo_total]])</f>
        <v>562.41300000000047</v>
      </c>
    </row>
    <row r="1902" spans="1:17">
      <c r="A1902" t="s">
        <v>1208</v>
      </c>
      <c r="B1902">
        <v>1</v>
      </c>
      <c r="C1902" s="3">
        <v>46089</v>
      </c>
      <c r="D1902" t="s">
        <v>137</v>
      </c>
      <c r="E1902" t="s">
        <v>140</v>
      </c>
      <c r="F1902" t="s">
        <v>39</v>
      </c>
      <c r="G1902" t="s">
        <v>50</v>
      </c>
      <c r="H1902" t="s">
        <v>67</v>
      </c>
      <c r="I1902">
        <v>1</v>
      </c>
      <c r="J1902" s="4">
        <v>3209.66</v>
      </c>
      <c r="K1902" s="5">
        <v>0.05</v>
      </c>
      <c r="L1902" s="4">
        <v>2427.63</v>
      </c>
      <c r="M1902" t="s">
        <v>42</v>
      </c>
      <c r="N1902" t="s">
        <v>60</v>
      </c>
      <c r="O1902">
        <f>IF(TablaVentas[[#This Row],[Precio_unitario]]="","PENDIENTE",TablaVentas[[#This Row],[Unidades]]*TablaVentas[[#This Row],[Precio_unitario]]*(1-TablaVentas[[#This Row],[Descuento_pct]]))</f>
        <v>3049.1769999999997</v>
      </c>
      <c r="P1902">
        <f>IF(TablaVentas[[#This Row],[Costo_unitario]]="","PENDIENTE",TablaVentas[[#This Row],[Unidades]]*TablaVentas[[#This Row],[Costo_unitario]])</f>
        <v>2427.63</v>
      </c>
      <c r="Q1902">
        <f>IF(OR(TablaVentas[[#This Row],[Ingreso_neto]]="PENDIENTE",TablaVentas[[#This Row],[Costo_total]]="PENDIENTE"),"PENDIENTE",TablaVentas[[#This Row],[Ingreso_neto]]-TablaVentas[[#This Row],[Costo_total]])</f>
        <v>621.54699999999957</v>
      </c>
    </row>
    <row r="1903" spans="1:17">
      <c r="A1903" t="s">
        <v>1209</v>
      </c>
      <c r="B1903">
        <v>1</v>
      </c>
      <c r="C1903" s="3">
        <v>46057</v>
      </c>
      <c r="D1903" t="s">
        <v>1102</v>
      </c>
      <c r="E1903" t="s">
        <v>98</v>
      </c>
      <c r="F1903" t="s">
        <v>66</v>
      </c>
      <c r="G1903" t="s">
        <v>57</v>
      </c>
      <c r="H1903" t="s">
        <v>82</v>
      </c>
      <c r="I1903">
        <v>1</v>
      </c>
      <c r="J1903" s="4">
        <v>18250.43</v>
      </c>
      <c r="K1903" s="5">
        <v>0.05</v>
      </c>
      <c r="L1903" s="4">
        <v>9881</v>
      </c>
      <c r="M1903" t="s">
        <v>42</v>
      </c>
      <c r="N1903" t="s">
        <v>45</v>
      </c>
      <c r="O1903">
        <f>IF(TablaVentas[[#This Row],[Precio_unitario]]="","PENDIENTE",TablaVentas[[#This Row],[Unidades]]*TablaVentas[[#This Row],[Precio_unitario]]*(1-TablaVentas[[#This Row],[Descuento_pct]]))</f>
        <v>17337.908499999998</v>
      </c>
      <c r="P1903">
        <f>IF(TablaVentas[[#This Row],[Costo_unitario]]="","PENDIENTE",TablaVentas[[#This Row],[Unidades]]*TablaVentas[[#This Row],[Costo_unitario]])</f>
        <v>9881</v>
      </c>
      <c r="Q1903">
        <f>IF(OR(TablaVentas[[#This Row],[Ingreso_neto]]="PENDIENTE",TablaVentas[[#This Row],[Costo_total]]="PENDIENTE"),"PENDIENTE",TablaVentas[[#This Row],[Ingreso_neto]]-TablaVentas[[#This Row],[Costo_total]])</f>
        <v>7456.9084999999977</v>
      </c>
    </row>
    <row r="1904" spans="1:17">
      <c r="A1904" t="s">
        <v>1209</v>
      </c>
      <c r="B1904">
        <v>2</v>
      </c>
      <c r="C1904" s="3">
        <v>46057</v>
      </c>
      <c r="D1904" t="s">
        <v>1102</v>
      </c>
      <c r="E1904" t="s">
        <v>138</v>
      </c>
      <c r="F1904" t="s">
        <v>66</v>
      </c>
      <c r="G1904" t="s">
        <v>57</v>
      </c>
      <c r="H1904" t="s">
        <v>82</v>
      </c>
      <c r="I1904">
        <v>3</v>
      </c>
      <c r="J1904" s="4">
        <v>6241.62</v>
      </c>
      <c r="K1904" s="5">
        <v>0.2</v>
      </c>
      <c r="L1904" s="4">
        <v>4665.62</v>
      </c>
      <c r="M1904" t="s">
        <v>42</v>
      </c>
      <c r="N1904" t="s">
        <v>43</v>
      </c>
      <c r="O1904">
        <f>IF(TablaVentas[[#This Row],[Precio_unitario]]="","PENDIENTE",TablaVentas[[#This Row],[Unidades]]*TablaVentas[[#This Row],[Precio_unitario]]*(1-TablaVentas[[#This Row],[Descuento_pct]]))</f>
        <v>14979.888000000001</v>
      </c>
      <c r="P1904">
        <f>IF(TablaVentas[[#This Row],[Costo_unitario]]="","PENDIENTE",TablaVentas[[#This Row],[Unidades]]*TablaVentas[[#This Row],[Costo_unitario]])</f>
        <v>13996.86</v>
      </c>
      <c r="Q1904">
        <f>IF(OR(TablaVentas[[#This Row],[Ingreso_neto]]="PENDIENTE",TablaVentas[[#This Row],[Costo_total]]="PENDIENTE"),"PENDIENTE",TablaVentas[[#This Row],[Ingreso_neto]]-TablaVentas[[#This Row],[Costo_total]])</f>
        <v>983.02800000000025</v>
      </c>
    </row>
    <row r="1905" spans="1:17">
      <c r="A1905" t="s">
        <v>1209</v>
      </c>
      <c r="B1905">
        <v>3</v>
      </c>
      <c r="C1905" s="3">
        <v>46057</v>
      </c>
      <c r="D1905" t="s">
        <v>1102</v>
      </c>
      <c r="E1905" t="s">
        <v>148</v>
      </c>
      <c r="F1905" t="s">
        <v>66</v>
      </c>
      <c r="G1905" t="s">
        <v>57</v>
      </c>
      <c r="H1905" t="s">
        <v>82</v>
      </c>
      <c r="I1905">
        <v>3</v>
      </c>
      <c r="J1905" s="4">
        <v>3234.35</v>
      </c>
      <c r="K1905" s="5">
        <v>0.2</v>
      </c>
      <c r="L1905" s="4">
        <v>2459.34</v>
      </c>
      <c r="M1905" t="s">
        <v>42</v>
      </c>
      <c r="N1905" t="s">
        <v>60</v>
      </c>
      <c r="O1905">
        <f>IF(TablaVentas[[#This Row],[Precio_unitario]]="","PENDIENTE",TablaVentas[[#This Row],[Unidades]]*TablaVentas[[#This Row],[Precio_unitario]]*(1-TablaVentas[[#This Row],[Descuento_pct]]))</f>
        <v>7762.44</v>
      </c>
      <c r="P1905">
        <f>IF(TablaVentas[[#This Row],[Costo_unitario]]="","PENDIENTE",TablaVentas[[#This Row],[Unidades]]*TablaVentas[[#This Row],[Costo_unitario]])</f>
        <v>7378.02</v>
      </c>
      <c r="Q1905">
        <f>IF(OR(TablaVentas[[#This Row],[Ingreso_neto]]="PENDIENTE",TablaVentas[[#This Row],[Costo_total]]="PENDIENTE"),"PENDIENTE",TablaVentas[[#This Row],[Ingreso_neto]]-TablaVentas[[#This Row],[Costo_total]])</f>
        <v>384.41999999999916</v>
      </c>
    </row>
    <row r="1906" spans="1:17">
      <c r="A1906" t="s">
        <v>1209</v>
      </c>
      <c r="B1906">
        <v>4</v>
      </c>
      <c r="C1906" s="3">
        <v>46057</v>
      </c>
      <c r="D1906" t="s">
        <v>1102</v>
      </c>
      <c r="E1906" t="s">
        <v>223</v>
      </c>
      <c r="F1906" t="s">
        <v>66</v>
      </c>
      <c r="G1906" t="s">
        <v>57</v>
      </c>
      <c r="H1906" t="s">
        <v>82</v>
      </c>
      <c r="I1906">
        <v>1</v>
      </c>
      <c r="J1906" s="4">
        <v>6532</v>
      </c>
      <c r="K1906" s="5">
        <v>0.15</v>
      </c>
      <c r="L1906" s="4">
        <v>3298.19</v>
      </c>
      <c r="M1906" t="s">
        <v>42</v>
      </c>
      <c r="N1906" t="s">
        <v>43</v>
      </c>
      <c r="O1906">
        <f>IF(TablaVentas[[#This Row],[Precio_unitario]]="","PENDIENTE",TablaVentas[[#This Row],[Unidades]]*TablaVentas[[#This Row],[Precio_unitario]]*(1-TablaVentas[[#This Row],[Descuento_pct]]))</f>
        <v>5552.2</v>
      </c>
      <c r="P1906">
        <f>IF(TablaVentas[[#This Row],[Costo_unitario]]="","PENDIENTE",TablaVentas[[#This Row],[Unidades]]*TablaVentas[[#This Row],[Costo_unitario]])</f>
        <v>3298.19</v>
      </c>
      <c r="Q1906">
        <f>IF(OR(TablaVentas[[#This Row],[Ingreso_neto]]="PENDIENTE",TablaVentas[[#This Row],[Costo_total]]="PENDIENTE"),"PENDIENTE",TablaVentas[[#This Row],[Ingreso_neto]]-TablaVentas[[#This Row],[Costo_total]])</f>
        <v>2254.0099999999998</v>
      </c>
    </row>
    <row r="1907" spans="1:17">
      <c r="A1907" t="s">
        <v>1210</v>
      </c>
      <c r="B1907">
        <v>1</v>
      </c>
      <c r="C1907" s="3">
        <v>46092</v>
      </c>
      <c r="D1907" t="s">
        <v>672</v>
      </c>
      <c r="E1907" t="s">
        <v>86</v>
      </c>
      <c r="F1907" t="s">
        <v>77</v>
      </c>
      <c r="G1907" t="s">
        <v>57</v>
      </c>
      <c r="H1907" t="s">
        <v>82</v>
      </c>
      <c r="I1907">
        <v>1</v>
      </c>
      <c r="J1907" s="4">
        <v>14687.57</v>
      </c>
      <c r="K1907" s="5">
        <v>0</v>
      </c>
      <c r="L1907" s="4">
        <v>11166.03</v>
      </c>
      <c r="M1907" t="s">
        <v>42</v>
      </c>
      <c r="N1907" t="s">
        <v>52</v>
      </c>
      <c r="O1907">
        <f>IF(TablaVentas[[#This Row],[Precio_unitario]]="","PENDIENTE",TablaVentas[[#This Row],[Unidades]]*TablaVentas[[#This Row],[Precio_unitario]]*(1-TablaVentas[[#This Row],[Descuento_pct]]))</f>
        <v>14687.57</v>
      </c>
      <c r="P1907">
        <f>IF(TablaVentas[[#This Row],[Costo_unitario]]="","PENDIENTE",TablaVentas[[#This Row],[Unidades]]*TablaVentas[[#This Row],[Costo_unitario]])</f>
        <v>11166.03</v>
      </c>
      <c r="Q1907">
        <f>IF(OR(TablaVentas[[#This Row],[Ingreso_neto]]="PENDIENTE",TablaVentas[[#This Row],[Costo_total]]="PENDIENTE"),"PENDIENTE",TablaVentas[[#This Row],[Ingreso_neto]]-TablaVentas[[#This Row],[Costo_total]])</f>
        <v>3521.5399999999991</v>
      </c>
    </row>
    <row r="1908" spans="1:17">
      <c r="A1908" t="s">
        <v>1210</v>
      </c>
      <c r="B1908">
        <v>2</v>
      </c>
      <c r="C1908" s="3">
        <v>46092</v>
      </c>
      <c r="D1908" t="s">
        <v>672</v>
      </c>
      <c r="E1908" t="s">
        <v>277</v>
      </c>
      <c r="F1908" t="s">
        <v>77</v>
      </c>
      <c r="G1908" t="s">
        <v>57</v>
      </c>
      <c r="H1908" t="s">
        <v>82</v>
      </c>
      <c r="I1908">
        <v>1</v>
      </c>
      <c r="J1908" s="4">
        <v>6284.29</v>
      </c>
      <c r="K1908" s="5">
        <v>0</v>
      </c>
      <c r="L1908" s="4">
        <v>4858.08</v>
      </c>
      <c r="M1908" t="s">
        <v>42</v>
      </c>
      <c r="N1908" t="s">
        <v>45</v>
      </c>
      <c r="O1908">
        <f>IF(TablaVentas[[#This Row],[Precio_unitario]]="","PENDIENTE",TablaVentas[[#This Row],[Unidades]]*TablaVentas[[#This Row],[Precio_unitario]]*(1-TablaVentas[[#This Row],[Descuento_pct]]))</f>
        <v>6284.29</v>
      </c>
      <c r="P1908">
        <f>IF(TablaVentas[[#This Row],[Costo_unitario]]="","PENDIENTE",TablaVentas[[#This Row],[Unidades]]*TablaVentas[[#This Row],[Costo_unitario]])</f>
        <v>4858.08</v>
      </c>
      <c r="Q1908">
        <f>IF(OR(TablaVentas[[#This Row],[Ingreso_neto]]="PENDIENTE",TablaVentas[[#This Row],[Costo_total]]="PENDIENTE"),"PENDIENTE",TablaVentas[[#This Row],[Ingreso_neto]]-TablaVentas[[#This Row],[Costo_total]])</f>
        <v>1426.21</v>
      </c>
    </row>
    <row r="1909" spans="1:17">
      <c r="A1909" t="s">
        <v>1210</v>
      </c>
      <c r="B1909">
        <v>3</v>
      </c>
      <c r="C1909" s="3">
        <v>46092</v>
      </c>
      <c r="D1909" t="s">
        <v>672</v>
      </c>
      <c r="E1909" t="s">
        <v>160</v>
      </c>
      <c r="F1909" t="s">
        <v>77</v>
      </c>
      <c r="G1909" t="s">
        <v>57</v>
      </c>
      <c r="H1909" t="s">
        <v>82</v>
      </c>
      <c r="I1909">
        <v>8</v>
      </c>
      <c r="J1909" s="4">
        <v>8174.72</v>
      </c>
      <c r="K1909" s="5">
        <v>0.1</v>
      </c>
      <c r="L1909" s="4">
        <v>4082.15</v>
      </c>
      <c r="M1909" t="s">
        <v>42</v>
      </c>
      <c r="N1909" t="s">
        <v>52</v>
      </c>
      <c r="O1909">
        <f>IF(TablaVentas[[#This Row],[Precio_unitario]]="","PENDIENTE",TablaVentas[[#This Row],[Unidades]]*TablaVentas[[#This Row],[Precio_unitario]]*(1-TablaVentas[[#This Row],[Descuento_pct]]))</f>
        <v>58857.984000000004</v>
      </c>
      <c r="P1909">
        <f>IF(TablaVentas[[#This Row],[Costo_unitario]]="","PENDIENTE",TablaVentas[[#This Row],[Unidades]]*TablaVentas[[#This Row],[Costo_unitario]])</f>
        <v>32657.200000000001</v>
      </c>
      <c r="Q1909">
        <f>IF(OR(TablaVentas[[#This Row],[Ingreso_neto]]="PENDIENTE",TablaVentas[[#This Row],[Costo_total]]="PENDIENTE"),"PENDIENTE",TablaVentas[[#This Row],[Ingreso_neto]]-TablaVentas[[#This Row],[Costo_total]])</f>
        <v>26200.784000000003</v>
      </c>
    </row>
    <row r="1910" spans="1:17">
      <c r="A1910" t="s">
        <v>1211</v>
      </c>
      <c r="B1910">
        <v>1</v>
      </c>
      <c r="C1910" s="3">
        <v>46257</v>
      </c>
      <c r="D1910" t="s">
        <v>162</v>
      </c>
      <c r="E1910" t="s">
        <v>282</v>
      </c>
      <c r="F1910" t="s">
        <v>56</v>
      </c>
      <c r="G1910" t="s">
        <v>40</v>
      </c>
      <c r="H1910" t="s">
        <v>58</v>
      </c>
      <c r="I1910">
        <v>8</v>
      </c>
      <c r="J1910" s="4">
        <v>4260.8100000000004</v>
      </c>
      <c r="K1910" s="5">
        <v>0.15</v>
      </c>
      <c r="L1910" s="4">
        <v>3399.5</v>
      </c>
      <c r="M1910" t="s">
        <v>42</v>
      </c>
      <c r="N1910" t="s">
        <v>60</v>
      </c>
      <c r="O1910">
        <f>IF(TablaVentas[[#This Row],[Precio_unitario]]="","PENDIENTE",TablaVentas[[#This Row],[Unidades]]*TablaVentas[[#This Row],[Precio_unitario]]*(1-TablaVentas[[#This Row],[Descuento_pct]]))</f>
        <v>28973.508000000002</v>
      </c>
      <c r="P1910">
        <f>IF(TablaVentas[[#This Row],[Costo_unitario]]="","PENDIENTE",TablaVentas[[#This Row],[Unidades]]*TablaVentas[[#This Row],[Costo_unitario]])</f>
        <v>27196</v>
      </c>
      <c r="Q1910">
        <f>IF(OR(TablaVentas[[#This Row],[Ingreso_neto]]="PENDIENTE",TablaVentas[[#This Row],[Costo_total]]="PENDIENTE"),"PENDIENTE",TablaVentas[[#This Row],[Ingreso_neto]]-TablaVentas[[#This Row],[Costo_total]])</f>
        <v>1777.5080000000016</v>
      </c>
    </row>
    <row r="1911" spans="1:17">
      <c r="A1911" t="s">
        <v>1211</v>
      </c>
      <c r="B1911">
        <v>2</v>
      </c>
      <c r="C1911" s="3">
        <v>46257</v>
      </c>
      <c r="D1911" t="s">
        <v>162</v>
      </c>
      <c r="E1911" t="s">
        <v>335</v>
      </c>
      <c r="F1911" t="s">
        <v>56</v>
      </c>
      <c r="G1911" t="s">
        <v>40</v>
      </c>
      <c r="H1911" t="s">
        <v>58</v>
      </c>
      <c r="I1911">
        <v>5</v>
      </c>
      <c r="J1911" s="4">
        <v>6770.05</v>
      </c>
      <c r="K1911" s="5">
        <v>0</v>
      </c>
      <c r="L1911" s="4">
        <v>5587.31</v>
      </c>
      <c r="M1911" t="s">
        <v>42</v>
      </c>
      <c r="N1911" t="s">
        <v>43</v>
      </c>
      <c r="O1911">
        <f>IF(TablaVentas[[#This Row],[Precio_unitario]]="","PENDIENTE",TablaVentas[[#This Row],[Unidades]]*TablaVentas[[#This Row],[Precio_unitario]]*(1-TablaVentas[[#This Row],[Descuento_pct]]))</f>
        <v>33850.25</v>
      </c>
      <c r="P1911">
        <f>IF(TablaVentas[[#This Row],[Costo_unitario]]="","PENDIENTE",TablaVentas[[#This Row],[Unidades]]*TablaVentas[[#This Row],[Costo_unitario]])</f>
        <v>27936.550000000003</v>
      </c>
      <c r="Q1911">
        <f>IF(OR(TablaVentas[[#This Row],[Ingreso_neto]]="PENDIENTE",TablaVentas[[#This Row],[Costo_total]]="PENDIENTE"),"PENDIENTE",TablaVentas[[#This Row],[Ingreso_neto]]-TablaVentas[[#This Row],[Costo_total]])</f>
        <v>5913.6999999999971</v>
      </c>
    </row>
    <row r="1912" spans="1:17">
      <c r="A1912" t="s">
        <v>1212</v>
      </c>
      <c r="B1912">
        <v>1</v>
      </c>
      <c r="C1912" s="3">
        <v>46233</v>
      </c>
      <c r="D1912" t="s">
        <v>244</v>
      </c>
      <c r="E1912" t="s">
        <v>208</v>
      </c>
      <c r="F1912" t="s">
        <v>66</v>
      </c>
      <c r="G1912" t="s">
        <v>57</v>
      </c>
      <c r="H1912" t="s">
        <v>82</v>
      </c>
      <c r="I1912">
        <v>2</v>
      </c>
      <c r="J1912" s="4">
        <v>10433.85</v>
      </c>
      <c r="K1912" s="5">
        <v>0</v>
      </c>
      <c r="L1912" s="4">
        <v>5535.31</v>
      </c>
      <c r="M1912" t="s">
        <v>42</v>
      </c>
      <c r="N1912" t="s">
        <v>43</v>
      </c>
      <c r="O1912">
        <f>IF(TablaVentas[[#This Row],[Precio_unitario]]="","PENDIENTE",TablaVentas[[#This Row],[Unidades]]*TablaVentas[[#This Row],[Precio_unitario]]*(1-TablaVentas[[#This Row],[Descuento_pct]]))</f>
        <v>20867.7</v>
      </c>
      <c r="P1912">
        <f>IF(TablaVentas[[#This Row],[Costo_unitario]]="","PENDIENTE",TablaVentas[[#This Row],[Unidades]]*TablaVentas[[#This Row],[Costo_unitario]])</f>
        <v>11070.62</v>
      </c>
      <c r="Q1912">
        <f>IF(OR(TablaVentas[[#This Row],[Ingreso_neto]]="PENDIENTE",TablaVentas[[#This Row],[Costo_total]]="PENDIENTE"),"PENDIENTE",TablaVentas[[#This Row],[Ingreso_neto]]-TablaVentas[[#This Row],[Costo_total]])</f>
        <v>9797.08</v>
      </c>
    </row>
    <row r="1913" spans="1:17">
      <c r="A1913" t="s">
        <v>1212</v>
      </c>
      <c r="B1913">
        <v>2</v>
      </c>
      <c r="C1913" s="3">
        <v>46233</v>
      </c>
      <c r="D1913" t="s">
        <v>244</v>
      </c>
      <c r="E1913" t="s">
        <v>61</v>
      </c>
      <c r="F1913" t="s">
        <v>66</v>
      </c>
      <c r="G1913" t="s">
        <v>57</v>
      </c>
      <c r="H1913" t="s">
        <v>82</v>
      </c>
      <c r="I1913">
        <v>1</v>
      </c>
      <c r="J1913" s="4">
        <v>5016.83</v>
      </c>
      <c r="K1913" s="5">
        <v>0.15</v>
      </c>
      <c r="L1913" s="4">
        <v>2554.06</v>
      </c>
      <c r="M1913" t="s">
        <v>42</v>
      </c>
      <c r="N1913" t="s">
        <v>52</v>
      </c>
      <c r="O1913">
        <f>IF(TablaVentas[[#This Row],[Precio_unitario]]="","PENDIENTE",TablaVentas[[#This Row],[Unidades]]*TablaVentas[[#This Row],[Precio_unitario]]*(1-TablaVentas[[#This Row],[Descuento_pct]]))</f>
        <v>4264.3054999999995</v>
      </c>
      <c r="P1913">
        <f>IF(TablaVentas[[#This Row],[Costo_unitario]]="","PENDIENTE",TablaVentas[[#This Row],[Unidades]]*TablaVentas[[#This Row],[Costo_unitario]])</f>
        <v>2554.06</v>
      </c>
      <c r="Q1913">
        <f>IF(OR(TablaVentas[[#This Row],[Ingreso_neto]]="PENDIENTE",TablaVentas[[#This Row],[Costo_total]]="PENDIENTE"),"PENDIENTE",TablaVentas[[#This Row],[Ingreso_neto]]-TablaVentas[[#This Row],[Costo_total]])</f>
        <v>1710.2454999999995</v>
      </c>
    </row>
    <row r="1914" spans="1:17">
      <c r="A1914" t="s">
        <v>1213</v>
      </c>
      <c r="B1914">
        <v>1</v>
      </c>
      <c r="C1914" s="3">
        <v>46293</v>
      </c>
      <c r="D1914" t="s">
        <v>137</v>
      </c>
      <c r="E1914" t="s">
        <v>89</v>
      </c>
      <c r="F1914" t="s">
        <v>77</v>
      </c>
      <c r="G1914" t="s">
        <v>50</v>
      </c>
      <c r="H1914" t="s">
        <v>184</v>
      </c>
      <c r="I1914">
        <v>2</v>
      </c>
      <c r="J1914" s="4">
        <v>11575.13</v>
      </c>
      <c r="K1914" s="5">
        <v>0</v>
      </c>
      <c r="L1914" s="4">
        <v>9118.07</v>
      </c>
      <c r="M1914" t="s">
        <v>62</v>
      </c>
      <c r="N1914" t="s">
        <v>45</v>
      </c>
      <c r="O1914">
        <f>IF(TablaVentas[[#This Row],[Precio_unitario]]="","PENDIENTE",TablaVentas[[#This Row],[Unidades]]*TablaVentas[[#This Row],[Precio_unitario]]*(1-TablaVentas[[#This Row],[Descuento_pct]]))</f>
        <v>23150.26</v>
      </c>
      <c r="P1914">
        <f>IF(TablaVentas[[#This Row],[Costo_unitario]]="","PENDIENTE",TablaVentas[[#This Row],[Unidades]]*TablaVentas[[#This Row],[Costo_unitario]])</f>
        <v>18236.14</v>
      </c>
      <c r="Q1914">
        <f>IF(OR(TablaVentas[[#This Row],[Ingreso_neto]]="PENDIENTE",TablaVentas[[#This Row],[Costo_total]]="PENDIENTE"),"PENDIENTE",TablaVentas[[#This Row],[Ingreso_neto]]-TablaVentas[[#This Row],[Costo_total]])</f>
        <v>4914.119999999999</v>
      </c>
    </row>
    <row r="1915" spans="1:17">
      <c r="A1915" t="s">
        <v>1214</v>
      </c>
      <c r="B1915">
        <v>1</v>
      </c>
      <c r="C1915" s="3">
        <v>46086</v>
      </c>
      <c r="D1915" t="s">
        <v>400</v>
      </c>
      <c r="E1915" t="s">
        <v>196</v>
      </c>
      <c r="F1915" t="s">
        <v>66</v>
      </c>
      <c r="G1915" t="s">
        <v>57</v>
      </c>
      <c r="H1915" t="s">
        <v>67</v>
      </c>
      <c r="I1915">
        <v>1</v>
      </c>
      <c r="J1915" s="4">
        <v>752.93</v>
      </c>
      <c r="K1915" s="5">
        <v>0</v>
      </c>
      <c r="L1915" s="4">
        <v>485.16</v>
      </c>
      <c r="M1915" t="s">
        <v>116</v>
      </c>
      <c r="N1915" t="s">
        <v>45</v>
      </c>
      <c r="O1915">
        <f>IF(TablaVentas[[#This Row],[Precio_unitario]]="","PENDIENTE",TablaVentas[[#This Row],[Unidades]]*TablaVentas[[#This Row],[Precio_unitario]]*(1-TablaVentas[[#This Row],[Descuento_pct]]))</f>
        <v>752.93</v>
      </c>
      <c r="P1915">
        <f>IF(TablaVentas[[#This Row],[Costo_unitario]]="","PENDIENTE",TablaVentas[[#This Row],[Unidades]]*TablaVentas[[#This Row],[Costo_unitario]])</f>
        <v>485.16</v>
      </c>
      <c r="Q1915">
        <f>IF(OR(TablaVentas[[#This Row],[Ingreso_neto]]="PENDIENTE",TablaVentas[[#This Row],[Costo_total]]="PENDIENTE"),"PENDIENTE",TablaVentas[[#This Row],[Ingreso_neto]]-TablaVentas[[#This Row],[Costo_total]])</f>
        <v>267.76999999999992</v>
      </c>
    </row>
    <row r="1916" spans="1:17">
      <c r="A1916" t="s">
        <v>1215</v>
      </c>
      <c r="B1916">
        <v>1</v>
      </c>
      <c r="C1916" s="3">
        <v>46288</v>
      </c>
      <c r="D1916" t="s">
        <v>337</v>
      </c>
      <c r="E1916" t="s">
        <v>55</v>
      </c>
      <c r="F1916" t="s">
        <v>66</v>
      </c>
      <c r="G1916" t="s">
        <v>50</v>
      </c>
      <c r="H1916" t="s">
        <v>67</v>
      </c>
      <c r="I1916">
        <v>1</v>
      </c>
      <c r="J1916" s="4">
        <v>11185.35</v>
      </c>
      <c r="K1916" s="5">
        <v>0</v>
      </c>
      <c r="L1916" s="4">
        <v>6407.85</v>
      </c>
      <c r="M1916" t="s">
        <v>42</v>
      </c>
      <c r="N1916" t="s">
        <v>52</v>
      </c>
      <c r="O1916">
        <f>IF(TablaVentas[[#This Row],[Precio_unitario]]="","PENDIENTE",TablaVentas[[#This Row],[Unidades]]*TablaVentas[[#This Row],[Precio_unitario]]*(1-TablaVentas[[#This Row],[Descuento_pct]]))</f>
        <v>11185.35</v>
      </c>
      <c r="P1916">
        <f>IF(TablaVentas[[#This Row],[Costo_unitario]]="","PENDIENTE",TablaVentas[[#This Row],[Unidades]]*TablaVentas[[#This Row],[Costo_unitario]])</f>
        <v>6407.85</v>
      </c>
      <c r="Q1916">
        <f>IF(OR(TablaVentas[[#This Row],[Ingreso_neto]]="PENDIENTE",TablaVentas[[#This Row],[Costo_total]]="PENDIENTE"),"PENDIENTE",TablaVentas[[#This Row],[Ingreso_neto]]-TablaVentas[[#This Row],[Costo_total]])</f>
        <v>4777.5</v>
      </c>
    </row>
    <row r="1917" spans="1:17">
      <c r="A1917" t="s">
        <v>1215</v>
      </c>
      <c r="B1917">
        <v>2</v>
      </c>
      <c r="C1917" s="3">
        <v>46288</v>
      </c>
      <c r="D1917" t="s">
        <v>337</v>
      </c>
      <c r="E1917" t="s">
        <v>132</v>
      </c>
      <c r="F1917" t="s">
        <v>66</v>
      </c>
      <c r="G1917" t="s">
        <v>50</v>
      </c>
      <c r="H1917" t="s">
        <v>67</v>
      </c>
      <c r="I1917">
        <v>4</v>
      </c>
      <c r="J1917" s="4">
        <v>19356.68</v>
      </c>
      <c r="K1917" s="5">
        <v>0</v>
      </c>
      <c r="L1917" s="4">
        <v>11036.95</v>
      </c>
      <c r="M1917" t="s">
        <v>116</v>
      </c>
      <c r="N1917" t="s">
        <v>52</v>
      </c>
      <c r="O1917">
        <f>IF(TablaVentas[[#This Row],[Precio_unitario]]="","PENDIENTE",TablaVentas[[#This Row],[Unidades]]*TablaVentas[[#This Row],[Precio_unitario]]*(1-TablaVentas[[#This Row],[Descuento_pct]]))</f>
        <v>77426.720000000001</v>
      </c>
      <c r="P1917">
        <f>IF(TablaVentas[[#This Row],[Costo_unitario]]="","PENDIENTE",TablaVentas[[#This Row],[Unidades]]*TablaVentas[[#This Row],[Costo_unitario]])</f>
        <v>44147.8</v>
      </c>
      <c r="Q1917">
        <f>IF(OR(TablaVentas[[#This Row],[Ingreso_neto]]="PENDIENTE",TablaVentas[[#This Row],[Costo_total]]="PENDIENTE"),"PENDIENTE",TablaVentas[[#This Row],[Ingreso_neto]]-TablaVentas[[#This Row],[Costo_total]])</f>
        <v>33278.92</v>
      </c>
    </row>
    <row r="1918" spans="1:17">
      <c r="A1918" t="s">
        <v>1215</v>
      </c>
      <c r="B1918">
        <v>3</v>
      </c>
      <c r="C1918" s="3">
        <v>46288</v>
      </c>
      <c r="D1918" t="s">
        <v>337</v>
      </c>
      <c r="E1918" t="s">
        <v>97</v>
      </c>
      <c r="F1918" t="s">
        <v>66</v>
      </c>
      <c r="G1918" t="s">
        <v>50</v>
      </c>
      <c r="H1918" t="s">
        <v>67</v>
      </c>
      <c r="I1918">
        <v>3</v>
      </c>
      <c r="J1918" s="4">
        <v>14765.09</v>
      </c>
      <c r="K1918" s="5">
        <v>0.15</v>
      </c>
      <c r="L1918" s="4">
        <v>11424.77</v>
      </c>
      <c r="M1918" t="s">
        <v>42</v>
      </c>
      <c r="N1918" t="s">
        <v>43</v>
      </c>
      <c r="O1918">
        <f>IF(TablaVentas[[#This Row],[Precio_unitario]]="","PENDIENTE",TablaVentas[[#This Row],[Unidades]]*TablaVentas[[#This Row],[Precio_unitario]]*(1-TablaVentas[[#This Row],[Descuento_pct]]))</f>
        <v>37650.979500000001</v>
      </c>
      <c r="P1918">
        <f>IF(TablaVentas[[#This Row],[Costo_unitario]]="","PENDIENTE",TablaVentas[[#This Row],[Unidades]]*TablaVentas[[#This Row],[Costo_unitario]])</f>
        <v>34274.31</v>
      </c>
      <c r="Q1918">
        <f>IF(OR(TablaVentas[[#This Row],[Ingreso_neto]]="PENDIENTE",TablaVentas[[#This Row],[Costo_total]]="PENDIENTE"),"PENDIENTE",TablaVentas[[#This Row],[Ingreso_neto]]-TablaVentas[[#This Row],[Costo_total]])</f>
        <v>3376.6695000000036</v>
      </c>
    </row>
    <row r="1919" spans="1:17">
      <c r="A1919" t="s">
        <v>1215</v>
      </c>
      <c r="B1919">
        <v>4</v>
      </c>
      <c r="C1919" s="3">
        <v>46288</v>
      </c>
      <c r="D1919" t="s">
        <v>337</v>
      </c>
      <c r="E1919" t="s">
        <v>282</v>
      </c>
      <c r="F1919" t="s">
        <v>66</v>
      </c>
      <c r="G1919" t="s">
        <v>50</v>
      </c>
      <c r="H1919" t="s">
        <v>67</v>
      </c>
      <c r="I1919">
        <v>2</v>
      </c>
      <c r="J1919" s="4">
        <v>4149.3599999999997</v>
      </c>
      <c r="K1919" s="5">
        <v>0.1</v>
      </c>
      <c r="L1919" s="4">
        <v>3399.5</v>
      </c>
      <c r="M1919" t="s">
        <v>42</v>
      </c>
      <c r="N1919" t="s">
        <v>45</v>
      </c>
      <c r="O1919">
        <f>IF(TablaVentas[[#This Row],[Precio_unitario]]="","PENDIENTE",TablaVentas[[#This Row],[Unidades]]*TablaVentas[[#This Row],[Precio_unitario]]*(1-TablaVentas[[#This Row],[Descuento_pct]]))</f>
        <v>7468.848</v>
      </c>
      <c r="P1919">
        <f>IF(TablaVentas[[#This Row],[Costo_unitario]]="","PENDIENTE",TablaVentas[[#This Row],[Unidades]]*TablaVentas[[#This Row],[Costo_unitario]])</f>
        <v>6799</v>
      </c>
      <c r="Q1919">
        <f>IF(OR(TablaVentas[[#This Row],[Ingreso_neto]]="PENDIENTE",TablaVentas[[#This Row],[Costo_total]]="PENDIENTE"),"PENDIENTE",TablaVentas[[#This Row],[Ingreso_neto]]-TablaVentas[[#This Row],[Costo_total]])</f>
        <v>669.84799999999996</v>
      </c>
    </row>
    <row r="1920" spans="1:17">
      <c r="A1920" t="s">
        <v>1216</v>
      </c>
      <c r="B1920">
        <v>1</v>
      </c>
      <c r="C1920" s="3">
        <v>46260</v>
      </c>
      <c r="D1920" t="s">
        <v>792</v>
      </c>
      <c r="E1920" t="s">
        <v>211</v>
      </c>
      <c r="F1920" t="s">
        <v>66</v>
      </c>
      <c r="G1920" t="s">
        <v>40</v>
      </c>
      <c r="H1920" t="s">
        <v>67</v>
      </c>
      <c r="I1920">
        <v>3</v>
      </c>
      <c r="J1920" s="4">
        <v>17323.29</v>
      </c>
      <c r="K1920" s="5">
        <v>0.15</v>
      </c>
      <c r="L1920" s="4">
        <v>13760.53</v>
      </c>
      <c r="M1920" t="s">
        <v>42</v>
      </c>
      <c r="N1920" t="s">
        <v>45</v>
      </c>
      <c r="O1920">
        <f>IF(TablaVentas[[#This Row],[Precio_unitario]]="","PENDIENTE",TablaVentas[[#This Row],[Unidades]]*TablaVentas[[#This Row],[Precio_unitario]]*(1-TablaVentas[[#This Row],[Descuento_pct]]))</f>
        <v>44174.389499999997</v>
      </c>
      <c r="P1920">
        <f>IF(TablaVentas[[#This Row],[Costo_unitario]]="","PENDIENTE",TablaVentas[[#This Row],[Unidades]]*TablaVentas[[#This Row],[Costo_unitario]])</f>
        <v>41281.590000000004</v>
      </c>
      <c r="Q1920">
        <f>IF(OR(TablaVentas[[#This Row],[Ingreso_neto]]="PENDIENTE",TablaVentas[[#This Row],[Costo_total]]="PENDIENTE"),"PENDIENTE",TablaVentas[[#This Row],[Ingreso_neto]]-TablaVentas[[#This Row],[Costo_total]])</f>
        <v>2892.7994999999937</v>
      </c>
    </row>
    <row r="1921" spans="1:17">
      <c r="A1921" t="s">
        <v>1217</v>
      </c>
      <c r="B1921">
        <v>1</v>
      </c>
      <c r="C1921" s="3">
        <v>46278</v>
      </c>
      <c r="D1921" t="s">
        <v>108</v>
      </c>
      <c r="E1921" t="s">
        <v>139</v>
      </c>
      <c r="F1921" t="s">
        <v>77</v>
      </c>
      <c r="G1921" t="s">
        <v>57</v>
      </c>
      <c r="H1921" t="s">
        <v>184</v>
      </c>
      <c r="I1921">
        <v>1</v>
      </c>
      <c r="J1921" s="4">
        <v>10278.58</v>
      </c>
      <c r="K1921" s="5">
        <v>0.2</v>
      </c>
      <c r="L1921" s="4">
        <v>8002.16</v>
      </c>
      <c r="M1921" t="s">
        <v>42</v>
      </c>
      <c r="N1921" t="s">
        <v>60</v>
      </c>
      <c r="O1921">
        <f>IF(TablaVentas[[#This Row],[Precio_unitario]]="","PENDIENTE",TablaVentas[[#This Row],[Unidades]]*TablaVentas[[#This Row],[Precio_unitario]]*(1-TablaVentas[[#This Row],[Descuento_pct]]))</f>
        <v>8222.8639999999996</v>
      </c>
      <c r="P1921">
        <f>IF(TablaVentas[[#This Row],[Costo_unitario]]="","PENDIENTE",TablaVentas[[#This Row],[Unidades]]*TablaVentas[[#This Row],[Costo_unitario]])</f>
        <v>8002.16</v>
      </c>
      <c r="Q1921">
        <f>IF(OR(TablaVentas[[#This Row],[Ingreso_neto]]="PENDIENTE",TablaVentas[[#This Row],[Costo_total]]="PENDIENTE"),"PENDIENTE",TablaVentas[[#This Row],[Ingreso_neto]]-TablaVentas[[#This Row],[Costo_total]])</f>
        <v>220.70399999999972</v>
      </c>
    </row>
    <row r="1922" spans="1:17">
      <c r="A1922" t="s">
        <v>1217</v>
      </c>
      <c r="B1922">
        <v>2</v>
      </c>
      <c r="C1922" s="3">
        <v>46278</v>
      </c>
      <c r="D1922" t="s">
        <v>108</v>
      </c>
      <c r="E1922" t="s">
        <v>193</v>
      </c>
      <c r="F1922" t="s">
        <v>77</v>
      </c>
      <c r="G1922" t="s">
        <v>57</v>
      </c>
      <c r="H1922" t="s">
        <v>184</v>
      </c>
      <c r="I1922">
        <v>1</v>
      </c>
      <c r="J1922" s="4">
        <v>10810.2</v>
      </c>
      <c r="K1922" s="5">
        <v>0.2</v>
      </c>
      <c r="L1922" s="4">
        <v>5811.72</v>
      </c>
      <c r="M1922" t="s">
        <v>42</v>
      </c>
      <c r="N1922" t="s">
        <v>52</v>
      </c>
      <c r="O1922">
        <f>IF(TablaVentas[[#This Row],[Precio_unitario]]="","PENDIENTE",TablaVentas[[#This Row],[Unidades]]*TablaVentas[[#This Row],[Precio_unitario]]*(1-TablaVentas[[#This Row],[Descuento_pct]]))</f>
        <v>8648.1600000000017</v>
      </c>
      <c r="P1922">
        <f>IF(TablaVentas[[#This Row],[Costo_unitario]]="","PENDIENTE",TablaVentas[[#This Row],[Unidades]]*TablaVentas[[#This Row],[Costo_unitario]])</f>
        <v>5811.72</v>
      </c>
      <c r="Q1922">
        <f>IF(OR(TablaVentas[[#This Row],[Ingreso_neto]]="PENDIENTE",TablaVentas[[#This Row],[Costo_total]]="PENDIENTE"),"PENDIENTE",TablaVentas[[#This Row],[Ingreso_neto]]-TablaVentas[[#This Row],[Costo_total]])</f>
        <v>2836.4400000000014</v>
      </c>
    </row>
    <row r="1923" spans="1:17">
      <c r="A1923" t="s">
        <v>1217</v>
      </c>
      <c r="B1923">
        <v>3</v>
      </c>
      <c r="C1923" s="3">
        <v>46278</v>
      </c>
      <c r="D1923" t="s">
        <v>108</v>
      </c>
      <c r="E1923" t="s">
        <v>271</v>
      </c>
      <c r="F1923" t="s">
        <v>77</v>
      </c>
      <c r="G1923" t="s">
        <v>57</v>
      </c>
      <c r="H1923" t="s">
        <v>184</v>
      </c>
      <c r="I1923">
        <v>2</v>
      </c>
      <c r="J1923" s="4">
        <v>1075</v>
      </c>
      <c r="K1923" s="5">
        <v>0</v>
      </c>
      <c r="L1923" s="4">
        <v>759.03</v>
      </c>
      <c r="M1923" t="s">
        <v>42</v>
      </c>
      <c r="N1923" t="s">
        <v>45</v>
      </c>
      <c r="O1923">
        <f>IF(TablaVentas[[#This Row],[Precio_unitario]]="","PENDIENTE",TablaVentas[[#This Row],[Unidades]]*TablaVentas[[#This Row],[Precio_unitario]]*(1-TablaVentas[[#This Row],[Descuento_pct]]))</f>
        <v>2150</v>
      </c>
      <c r="P1923">
        <f>IF(TablaVentas[[#This Row],[Costo_unitario]]="","PENDIENTE",TablaVentas[[#This Row],[Unidades]]*TablaVentas[[#This Row],[Costo_unitario]])</f>
        <v>1518.06</v>
      </c>
      <c r="Q1923">
        <f>IF(OR(TablaVentas[[#This Row],[Ingreso_neto]]="PENDIENTE",TablaVentas[[#This Row],[Costo_total]]="PENDIENTE"),"PENDIENTE",TablaVentas[[#This Row],[Ingreso_neto]]-TablaVentas[[#This Row],[Costo_total]])</f>
        <v>631.94000000000005</v>
      </c>
    </row>
    <row r="1924" spans="1:17">
      <c r="A1924" t="s">
        <v>1217</v>
      </c>
      <c r="B1924">
        <v>4</v>
      </c>
      <c r="C1924" s="3">
        <v>46278</v>
      </c>
      <c r="D1924" t="s">
        <v>108</v>
      </c>
      <c r="E1924" t="s">
        <v>156</v>
      </c>
      <c r="F1924" t="s">
        <v>77</v>
      </c>
      <c r="G1924" t="s">
        <v>57</v>
      </c>
      <c r="H1924" t="s">
        <v>184</v>
      </c>
      <c r="I1924">
        <v>1</v>
      </c>
      <c r="J1924" s="4">
        <v>17242.97</v>
      </c>
      <c r="K1924" s="5">
        <v>0</v>
      </c>
      <c r="L1924" s="4">
        <v>13981.13</v>
      </c>
      <c r="M1924" t="s">
        <v>116</v>
      </c>
      <c r="N1924" t="s">
        <v>45</v>
      </c>
      <c r="O1924">
        <f>IF(TablaVentas[[#This Row],[Precio_unitario]]="","PENDIENTE",TablaVentas[[#This Row],[Unidades]]*TablaVentas[[#This Row],[Precio_unitario]]*(1-TablaVentas[[#This Row],[Descuento_pct]]))</f>
        <v>17242.97</v>
      </c>
      <c r="P1924">
        <f>IF(TablaVentas[[#This Row],[Costo_unitario]]="","PENDIENTE",TablaVentas[[#This Row],[Unidades]]*TablaVentas[[#This Row],[Costo_unitario]])</f>
        <v>13981.13</v>
      </c>
      <c r="Q1924">
        <f>IF(OR(TablaVentas[[#This Row],[Ingreso_neto]]="PENDIENTE",TablaVentas[[#This Row],[Costo_total]]="PENDIENTE"),"PENDIENTE",TablaVentas[[#This Row],[Ingreso_neto]]-TablaVentas[[#This Row],[Costo_total]])</f>
        <v>3261.840000000002</v>
      </c>
    </row>
    <row r="1925" spans="1:17">
      <c r="A1925" t="s">
        <v>1217</v>
      </c>
      <c r="B1925">
        <v>5</v>
      </c>
      <c r="C1925" s="3">
        <v>46278</v>
      </c>
      <c r="D1925" t="s">
        <v>108</v>
      </c>
      <c r="E1925" t="s">
        <v>227</v>
      </c>
      <c r="F1925" t="s">
        <v>77</v>
      </c>
      <c r="G1925" t="s">
        <v>57</v>
      </c>
      <c r="H1925" t="s">
        <v>184</v>
      </c>
      <c r="I1925">
        <v>4</v>
      </c>
      <c r="J1925" s="4">
        <v>8195.83</v>
      </c>
      <c r="K1925" s="5">
        <v>0.15</v>
      </c>
      <c r="L1925" s="4">
        <v>6255.13</v>
      </c>
      <c r="M1925" t="s">
        <v>42</v>
      </c>
      <c r="N1925" t="s">
        <v>52</v>
      </c>
      <c r="O1925">
        <f>IF(TablaVentas[[#This Row],[Precio_unitario]]="","PENDIENTE",TablaVentas[[#This Row],[Unidades]]*TablaVentas[[#This Row],[Precio_unitario]]*(1-TablaVentas[[#This Row],[Descuento_pct]]))</f>
        <v>27865.822</v>
      </c>
      <c r="P1925">
        <f>IF(TablaVentas[[#This Row],[Costo_unitario]]="","PENDIENTE",TablaVentas[[#This Row],[Unidades]]*TablaVentas[[#This Row],[Costo_unitario]])</f>
        <v>25020.52</v>
      </c>
      <c r="Q1925">
        <f>IF(OR(TablaVentas[[#This Row],[Ingreso_neto]]="PENDIENTE",TablaVentas[[#This Row],[Costo_total]]="PENDIENTE"),"PENDIENTE",TablaVentas[[#This Row],[Ingreso_neto]]-TablaVentas[[#This Row],[Costo_total]])</f>
        <v>2845.3019999999997</v>
      </c>
    </row>
    <row r="1926" spans="1:17">
      <c r="A1926" t="s">
        <v>1218</v>
      </c>
      <c r="B1926">
        <v>1</v>
      </c>
      <c r="C1926" s="3">
        <v>46207</v>
      </c>
      <c r="D1926" t="s">
        <v>1007</v>
      </c>
      <c r="E1926" t="s">
        <v>282</v>
      </c>
      <c r="F1926" t="s">
        <v>56</v>
      </c>
      <c r="G1926" t="s">
        <v>40</v>
      </c>
      <c r="H1926" t="s">
        <v>129</v>
      </c>
      <c r="I1926">
        <v>3</v>
      </c>
      <c r="J1926" s="4">
        <v>4294.58</v>
      </c>
      <c r="K1926" s="5">
        <v>0.1</v>
      </c>
      <c r="L1926" s="4">
        <v>3399.5</v>
      </c>
      <c r="M1926" t="s">
        <v>42</v>
      </c>
      <c r="N1926" t="s">
        <v>45</v>
      </c>
      <c r="O1926">
        <f>IF(TablaVentas[[#This Row],[Precio_unitario]]="","PENDIENTE",TablaVentas[[#This Row],[Unidades]]*TablaVentas[[#This Row],[Precio_unitario]]*(1-TablaVentas[[#This Row],[Descuento_pct]]))</f>
        <v>11595.366</v>
      </c>
      <c r="P1926">
        <f>IF(TablaVentas[[#This Row],[Costo_unitario]]="","PENDIENTE",TablaVentas[[#This Row],[Unidades]]*TablaVentas[[#This Row],[Costo_unitario]])</f>
        <v>10198.5</v>
      </c>
      <c r="Q1926">
        <f>IF(OR(TablaVentas[[#This Row],[Ingreso_neto]]="PENDIENTE",TablaVentas[[#This Row],[Costo_total]]="PENDIENTE"),"PENDIENTE",TablaVentas[[#This Row],[Ingreso_neto]]-TablaVentas[[#This Row],[Costo_total]])</f>
        <v>1396.866</v>
      </c>
    </row>
    <row r="1927" spans="1:17">
      <c r="A1927" t="s">
        <v>1219</v>
      </c>
      <c r="B1927">
        <v>1</v>
      </c>
      <c r="C1927" s="3">
        <v>46207</v>
      </c>
      <c r="D1927" t="s">
        <v>329</v>
      </c>
      <c r="E1927" t="s">
        <v>172</v>
      </c>
      <c r="F1927" t="s">
        <v>39</v>
      </c>
      <c r="G1927" t="s">
        <v>40</v>
      </c>
      <c r="H1927" t="s">
        <v>51</v>
      </c>
      <c r="I1927">
        <v>1</v>
      </c>
      <c r="J1927" s="4">
        <v>17609</v>
      </c>
      <c r="K1927" s="5">
        <v>0</v>
      </c>
      <c r="L1927" s="4">
        <v>10830.17</v>
      </c>
      <c r="M1927" t="s">
        <v>62</v>
      </c>
      <c r="N1927" t="s">
        <v>45</v>
      </c>
      <c r="O1927">
        <f>IF(TablaVentas[[#This Row],[Precio_unitario]]="","PENDIENTE",TablaVentas[[#This Row],[Unidades]]*TablaVentas[[#This Row],[Precio_unitario]]*(1-TablaVentas[[#This Row],[Descuento_pct]]))</f>
        <v>17609</v>
      </c>
      <c r="P1927">
        <f>IF(TablaVentas[[#This Row],[Costo_unitario]]="","PENDIENTE",TablaVentas[[#This Row],[Unidades]]*TablaVentas[[#This Row],[Costo_unitario]])</f>
        <v>10830.17</v>
      </c>
      <c r="Q1927">
        <f>IF(OR(TablaVentas[[#This Row],[Ingreso_neto]]="PENDIENTE",TablaVentas[[#This Row],[Costo_total]]="PENDIENTE"),"PENDIENTE",TablaVentas[[#This Row],[Ingreso_neto]]-TablaVentas[[#This Row],[Costo_total]])</f>
        <v>6778.83</v>
      </c>
    </row>
    <row r="1928" spans="1:17">
      <c r="A1928" t="s">
        <v>1219</v>
      </c>
      <c r="B1928">
        <v>2</v>
      </c>
      <c r="C1928" s="3">
        <v>46207</v>
      </c>
      <c r="D1928" t="s">
        <v>329</v>
      </c>
      <c r="E1928" t="s">
        <v>353</v>
      </c>
      <c r="F1928" t="s">
        <v>39</v>
      </c>
      <c r="G1928" t="s">
        <v>40</v>
      </c>
      <c r="H1928" t="s">
        <v>51</v>
      </c>
      <c r="I1928">
        <v>1</v>
      </c>
      <c r="J1928" s="4">
        <v>2110.91</v>
      </c>
      <c r="K1928" s="5">
        <v>0.2</v>
      </c>
      <c r="L1928" s="4">
        <v>1479.71</v>
      </c>
      <c r="M1928" t="s">
        <v>116</v>
      </c>
      <c r="N1928" t="s">
        <v>43</v>
      </c>
      <c r="O1928">
        <f>IF(TablaVentas[[#This Row],[Precio_unitario]]="","PENDIENTE",TablaVentas[[#This Row],[Unidades]]*TablaVentas[[#This Row],[Precio_unitario]]*(1-TablaVentas[[#This Row],[Descuento_pct]]))</f>
        <v>1688.7280000000001</v>
      </c>
      <c r="P1928">
        <f>IF(TablaVentas[[#This Row],[Costo_unitario]]="","PENDIENTE",TablaVentas[[#This Row],[Unidades]]*TablaVentas[[#This Row],[Costo_unitario]])</f>
        <v>1479.71</v>
      </c>
      <c r="Q1928">
        <f>IF(OR(TablaVentas[[#This Row],[Ingreso_neto]]="PENDIENTE",TablaVentas[[#This Row],[Costo_total]]="PENDIENTE"),"PENDIENTE",TablaVentas[[#This Row],[Ingreso_neto]]-TablaVentas[[#This Row],[Costo_total]])</f>
        <v>209.01800000000003</v>
      </c>
    </row>
    <row r="1929" spans="1:17">
      <c r="A1929" t="s">
        <v>1219</v>
      </c>
      <c r="B1929">
        <v>3</v>
      </c>
      <c r="C1929" s="3">
        <v>46207</v>
      </c>
      <c r="D1929" t="s">
        <v>329</v>
      </c>
      <c r="E1929" t="s">
        <v>256</v>
      </c>
      <c r="F1929" t="s">
        <v>39</v>
      </c>
      <c r="G1929" t="s">
        <v>40</v>
      </c>
      <c r="H1929" t="s">
        <v>51</v>
      </c>
      <c r="I1929">
        <v>1</v>
      </c>
      <c r="J1929" s="4">
        <v>17244.830000000002</v>
      </c>
      <c r="K1929" s="5">
        <v>0</v>
      </c>
      <c r="L1929" s="4">
        <v>11666.57</v>
      </c>
      <c r="M1929" t="s">
        <v>42</v>
      </c>
      <c r="N1929" t="s">
        <v>43</v>
      </c>
      <c r="O1929">
        <f>IF(TablaVentas[[#This Row],[Precio_unitario]]="","PENDIENTE",TablaVentas[[#This Row],[Unidades]]*TablaVentas[[#This Row],[Precio_unitario]]*(1-TablaVentas[[#This Row],[Descuento_pct]]))</f>
        <v>17244.830000000002</v>
      </c>
      <c r="P1929">
        <f>IF(TablaVentas[[#This Row],[Costo_unitario]]="","PENDIENTE",TablaVentas[[#This Row],[Unidades]]*TablaVentas[[#This Row],[Costo_unitario]])</f>
        <v>11666.57</v>
      </c>
      <c r="Q1929">
        <f>IF(OR(TablaVentas[[#This Row],[Ingreso_neto]]="PENDIENTE",TablaVentas[[#This Row],[Costo_total]]="PENDIENTE"),"PENDIENTE",TablaVentas[[#This Row],[Ingreso_neto]]-TablaVentas[[#This Row],[Costo_total]])</f>
        <v>5578.260000000002</v>
      </c>
    </row>
    <row r="1930" spans="1:17">
      <c r="A1930" t="s">
        <v>1220</v>
      </c>
      <c r="B1930">
        <v>1</v>
      </c>
      <c r="C1930" s="3">
        <v>46223</v>
      </c>
      <c r="D1930" t="s">
        <v>334</v>
      </c>
      <c r="E1930" t="s">
        <v>59</v>
      </c>
      <c r="F1930" t="s">
        <v>56</v>
      </c>
      <c r="G1930" t="s">
        <v>57</v>
      </c>
      <c r="H1930" t="s">
        <v>58</v>
      </c>
      <c r="I1930">
        <v>8</v>
      </c>
      <c r="J1930" s="4">
        <v>14801.84</v>
      </c>
      <c r="K1930" s="5">
        <v>0.05</v>
      </c>
      <c r="L1930" s="4">
        <v>10170.290000000001</v>
      </c>
      <c r="M1930" t="s">
        <v>42</v>
      </c>
      <c r="N1930" t="s">
        <v>60</v>
      </c>
      <c r="O1930">
        <f>IF(TablaVentas[[#This Row],[Precio_unitario]]="","PENDIENTE",TablaVentas[[#This Row],[Unidades]]*TablaVentas[[#This Row],[Precio_unitario]]*(1-TablaVentas[[#This Row],[Descuento_pct]]))</f>
        <v>112493.984</v>
      </c>
      <c r="P1930">
        <f>IF(TablaVentas[[#This Row],[Costo_unitario]]="","PENDIENTE",TablaVentas[[#This Row],[Unidades]]*TablaVentas[[#This Row],[Costo_unitario]])</f>
        <v>81362.320000000007</v>
      </c>
      <c r="Q1930">
        <f>IF(OR(TablaVentas[[#This Row],[Ingreso_neto]]="PENDIENTE",TablaVentas[[#This Row],[Costo_total]]="PENDIENTE"),"PENDIENTE",TablaVentas[[#This Row],[Ingreso_neto]]-TablaVentas[[#This Row],[Costo_total]])</f>
        <v>31131.66399999999</v>
      </c>
    </row>
    <row r="1931" spans="1:17">
      <c r="A1931" t="s">
        <v>1220</v>
      </c>
      <c r="B1931">
        <v>2</v>
      </c>
      <c r="C1931" s="3">
        <v>46223</v>
      </c>
      <c r="D1931" t="s">
        <v>334</v>
      </c>
      <c r="E1931" t="s">
        <v>125</v>
      </c>
      <c r="F1931" t="s">
        <v>56</v>
      </c>
      <c r="G1931" t="s">
        <v>57</v>
      </c>
      <c r="H1931" t="s">
        <v>58</v>
      </c>
      <c r="I1931">
        <v>3</v>
      </c>
      <c r="J1931" s="4">
        <v>1835.98</v>
      </c>
      <c r="K1931" s="5">
        <v>0</v>
      </c>
      <c r="L1931" s="4">
        <v>1044.32</v>
      </c>
      <c r="M1931" t="s">
        <v>42</v>
      </c>
      <c r="N1931" t="s">
        <v>45</v>
      </c>
      <c r="O1931">
        <f>IF(TablaVentas[[#This Row],[Precio_unitario]]="","PENDIENTE",TablaVentas[[#This Row],[Unidades]]*TablaVentas[[#This Row],[Precio_unitario]]*(1-TablaVentas[[#This Row],[Descuento_pct]]))</f>
        <v>5507.9400000000005</v>
      </c>
      <c r="P1931">
        <f>IF(TablaVentas[[#This Row],[Costo_unitario]]="","PENDIENTE",TablaVentas[[#This Row],[Unidades]]*TablaVentas[[#This Row],[Costo_unitario]])</f>
        <v>3132.96</v>
      </c>
      <c r="Q1931">
        <f>IF(OR(TablaVentas[[#This Row],[Ingreso_neto]]="PENDIENTE",TablaVentas[[#This Row],[Costo_total]]="PENDIENTE"),"PENDIENTE",TablaVentas[[#This Row],[Ingreso_neto]]-TablaVentas[[#This Row],[Costo_total]])</f>
        <v>2374.9800000000005</v>
      </c>
    </row>
    <row r="1932" spans="1:17">
      <c r="A1932" t="s">
        <v>1220</v>
      </c>
      <c r="B1932">
        <v>3</v>
      </c>
      <c r="C1932" s="3">
        <v>46223</v>
      </c>
      <c r="D1932" t="s">
        <v>334</v>
      </c>
      <c r="E1932" t="s">
        <v>236</v>
      </c>
      <c r="F1932" t="s">
        <v>56</v>
      </c>
      <c r="G1932" t="s">
        <v>57</v>
      </c>
      <c r="H1932" t="s">
        <v>58</v>
      </c>
      <c r="I1932">
        <v>2</v>
      </c>
      <c r="J1932" s="4">
        <v>9557.42</v>
      </c>
      <c r="K1932" s="5">
        <v>0</v>
      </c>
      <c r="L1932" s="4">
        <v>8061.7</v>
      </c>
      <c r="M1932" t="s">
        <v>42</v>
      </c>
      <c r="N1932" t="s">
        <v>45</v>
      </c>
      <c r="O1932">
        <f>IF(TablaVentas[[#This Row],[Precio_unitario]]="","PENDIENTE",TablaVentas[[#This Row],[Unidades]]*TablaVentas[[#This Row],[Precio_unitario]]*(1-TablaVentas[[#This Row],[Descuento_pct]]))</f>
        <v>19114.84</v>
      </c>
      <c r="P1932">
        <f>IF(TablaVentas[[#This Row],[Costo_unitario]]="","PENDIENTE",TablaVentas[[#This Row],[Unidades]]*TablaVentas[[#This Row],[Costo_unitario]])</f>
        <v>16123.4</v>
      </c>
      <c r="Q1932">
        <f>IF(OR(TablaVentas[[#This Row],[Ingreso_neto]]="PENDIENTE",TablaVentas[[#This Row],[Costo_total]]="PENDIENTE"),"PENDIENTE",TablaVentas[[#This Row],[Ingreso_neto]]-TablaVentas[[#This Row],[Costo_total]])</f>
        <v>2991.4400000000005</v>
      </c>
    </row>
    <row r="1933" spans="1:17">
      <c r="A1933" t="s">
        <v>1220</v>
      </c>
      <c r="B1933">
        <v>4</v>
      </c>
      <c r="C1933" s="3">
        <v>46223</v>
      </c>
      <c r="D1933" t="s">
        <v>334</v>
      </c>
      <c r="E1933" t="s">
        <v>70</v>
      </c>
      <c r="F1933" t="s">
        <v>56</v>
      </c>
      <c r="G1933" t="s">
        <v>57</v>
      </c>
      <c r="H1933" t="s">
        <v>58</v>
      </c>
      <c r="I1933">
        <v>8</v>
      </c>
      <c r="J1933" s="4">
        <v>14308.34</v>
      </c>
      <c r="K1933" s="5">
        <v>0.05</v>
      </c>
      <c r="L1933" s="4">
        <v>10571.25</v>
      </c>
      <c r="M1933" t="s">
        <v>42</v>
      </c>
      <c r="N1933" t="s">
        <v>45</v>
      </c>
      <c r="O1933">
        <f>IF(TablaVentas[[#This Row],[Precio_unitario]]="","PENDIENTE",TablaVentas[[#This Row],[Unidades]]*TablaVentas[[#This Row],[Precio_unitario]]*(1-TablaVentas[[#This Row],[Descuento_pct]]))</f>
        <v>108743.38399999999</v>
      </c>
      <c r="P1933">
        <f>IF(TablaVentas[[#This Row],[Costo_unitario]]="","PENDIENTE",TablaVentas[[#This Row],[Unidades]]*TablaVentas[[#This Row],[Costo_unitario]])</f>
        <v>84570</v>
      </c>
      <c r="Q1933">
        <f>IF(OR(TablaVentas[[#This Row],[Ingreso_neto]]="PENDIENTE",TablaVentas[[#This Row],[Costo_total]]="PENDIENTE"),"PENDIENTE",TablaVentas[[#This Row],[Ingreso_neto]]-TablaVentas[[#This Row],[Costo_total]])</f>
        <v>24173.383999999991</v>
      </c>
    </row>
    <row r="1934" spans="1:17">
      <c r="A1934" t="s">
        <v>1221</v>
      </c>
      <c r="B1934">
        <v>1</v>
      </c>
      <c r="C1934" s="3">
        <v>46093</v>
      </c>
      <c r="D1934" t="s">
        <v>1222</v>
      </c>
      <c r="E1934" t="s">
        <v>218</v>
      </c>
      <c r="F1934" t="s">
        <v>77</v>
      </c>
      <c r="G1934" t="s">
        <v>40</v>
      </c>
      <c r="H1934" t="s">
        <v>67</v>
      </c>
      <c r="I1934">
        <v>2</v>
      </c>
      <c r="J1934" s="4">
        <v>4867.6499999999996</v>
      </c>
      <c r="K1934" s="5">
        <v>0</v>
      </c>
      <c r="L1934" s="4">
        <v>2833.97</v>
      </c>
      <c r="M1934" t="s">
        <v>42</v>
      </c>
      <c r="N1934" t="s">
        <v>45</v>
      </c>
      <c r="O1934">
        <f>IF(TablaVentas[[#This Row],[Precio_unitario]]="","PENDIENTE",TablaVentas[[#This Row],[Unidades]]*TablaVentas[[#This Row],[Precio_unitario]]*(1-TablaVentas[[#This Row],[Descuento_pct]]))</f>
        <v>9735.2999999999993</v>
      </c>
      <c r="P1934">
        <f>IF(TablaVentas[[#This Row],[Costo_unitario]]="","PENDIENTE",TablaVentas[[#This Row],[Unidades]]*TablaVentas[[#This Row],[Costo_unitario]])</f>
        <v>5667.94</v>
      </c>
      <c r="Q1934">
        <f>IF(OR(TablaVentas[[#This Row],[Ingreso_neto]]="PENDIENTE",TablaVentas[[#This Row],[Costo_total]]="PENDIENTE"),"PENDIENTE",TablaVentas[[#This Row],[Ingreso_neto]]-TablaVentas[[#This Row],[Costo_total]])</f>
        <v>4067.3599999999997</v>
      </c>
    </row>
    <row r="1935" spans="1:17">
      <c r="A1935" t="s">
        <v>1221</v>
      </c>
      <c r="B1935">
        <v>2</v>
      </c>
      <c r="C1935" s="3">
        <v>46093</v>
      </c>
      <c r="D1935" t="s">
        <v>1222</v>
      </c>
      <c r="E1935" t="s">
        <v>143</v>
      </c>
      <c r="F1935" t="s">
        <v>77</v>
      </c>
      <c r="G1935" t="s">
        <v>40</v>
      </c>
      <c r="H1935" t="s">
        <v>67</v>
      </c>
      <c r="I1935">
        <v>1</v>
      </c>
      <c r="J1935" s="4">
        <v>8951.27</v>
      </c>
      <c r="K1935" s="5">
        <v>0.2</v>
      </c>
      <c r="L1935" s="4">
        <v>6815.42</v>
      </c>
      <c r="M1935" t="s">
        <v>42</v>
      </c>
      <c r="N1935" t="s">
        <v>43</v>
      </c>
      <c r="O1935">
        <f>IF(TablaVentas[[#This Row],[Precio_unitario]]="","PENDIENTE",TablaVentas[[#This Row],[Unidades]]*TablaVentas[[#This Row],[Precio_unitario]]*(1-TablaVentas[[#This Row],[Descuento_pct]]))</f>
        <v>7161.0160000000005</v>
      </c>
      <c r="P1935">
        <f>IF(TablaVentas[[#This Row],[Costo_unitario]]="","PENDIENTE",TablaVentas[[#This Row],[Unidades]]*TablaVentas[[#This Row],[Costo_unitario]])</f>
        <v>6815.42</v>
      </c>
      <c r="Q1935">
        <f>IF(OR(TablaVentas[[#This Row],[Ingreso_neto]]="PENDIENTE",TablaVentas[[#This Row],[Costo_total]]="PENDIENTE"),"PENDIENTE",TablaVentas[[#This Row],[Ingreso_neto]]-TablaVentas[[#This Row],[Costo_total]])</f>
        <v>345.59600000000046</v>
      </c>
    </row>
    <row r="1936" spans="1:17">
      <c r="A1936" t="s">
        <v>1221</v>
      </c>
      <c r="B1936">
        <v>3</v>
      </c>
      <c r="C1936" s="3">
        <v>46093</v>
      </c>
      <c r="D1936" t="s">
        <v>1222</v>
      </c>
      <c r="E1936" t="s">
        <v>70</v>
      </c>
      <c r="F1936" t="s">
        <v>77</v>
      </c>
      <c r="G1936" t="s">
        <v>40</v>
      </c>
      <c r="H1936" t="s">
        <v>67</v>
      </c>
      <c r="I1936">
        <v>2</v>
      </c>
      <c r="J1936" s="4">
        <v>15576.95</v>
      </c>
      <c r="K1936" s="5">
        <v>0.05</v>
      </c>
      <c r="L1936" s="4">
        <v>10571.25</v>
      </c>
      <c r="M1936" t="s">
        <v>42</v>
      </c>
      <c r="N1936" t="s">
        <v>52</v>
      </c>
      <c r="O1936">
        <f>IF(TablaVentas[[#This Row],[Precio_unitario]]="","PENDIENTE",TablaVentas[[#This Row],[Unidades]]*TablaVentas[[#This Row],[Precio_unitario]]*(1-TablaVentas[[#This Row],[Descuento_pct]]))</f>
        <v>29596.205000000002</v>
      </c>
      <c r="P1936">
        <f>IF(TablaVentas[[#This Row],[Costo_unitario]]="","PENDIENTE",TablaVentas[[#This Row],[Unidades]]*TablaVentas[[#This Row],[Costo_unitario]])</f>
        <v>21142.5</v>
      </c>
      <c r="Q1936">
        <f>IF(OR(TablaVentas[[#This Row],[Ingreso_neto]]="PENDIENTE",TablaVentas[[#This Row],[Costo_total]]="PENDIENTE"),"PENDIENTE",TablaVentas[[#This Row],[Ingreso_neto]]-TablaVentas[[#This Row],[Costo_total]])</f>
        <v>8453.7050000000017</v>
      </c>
    </row>
    <row r="1937" spans="1:17">
      <c r="A1937" t="s">
        <v>1223</v>
      </c>
      <c r="B1937">
        <v>1</v>
      </c>
      <c r="C1937" s="3">
        <v>46160</v>
      </c>
      <c r="D1937" t="s">
        <v>472</v>
      </c>
      <c r="E1937" t="s">
        <v>115</v>
      </c>
      <c r="F1937" t="s">
        <v>77</v>
      </c>
      <c r="G1937" t="s">
        <v>40</v>
      </c>
      <c r="H1937" t="s">
        <v>184</v>
      </c>
      <c r="I1937">
        <v>1</v>
      </c>
      <c r="J1937" s="4">
        <v>1405.28</v>
      </c>
      <c r="K1937" s="5">
        <v>0.1</v>
      </c>
      <c r="L1937" s="4">
        <v>705.87</v>
      </c>
      <c r="M1937" t="s">
        <v>42</v>
      </c>
      <c r="N1937" t="s">
        <v>43</v>
      </c>
      <c r="O1937">
        <f>IF(TablaVentas[[#This Row],[Precio_unitario]]="","PENDIENTE",TablaVentas[[#This Row],[Unidades]]*TablaVentas[[#This Row],[Precio_unitario]]*(1-TablaVentas[[#This Row],[Descuento_pct]]))</f>
        <v>1264.752</v>
      </c>
      <c r="P1937">
        <f>IF(TablaVentas[[#This Row],[Costo_unitario]]="","PENDIENTE",TablaVentas[[#This Row],[Unidades]]*TablaVentas[[#This Row],[Costo_unitario]])</f>
        <v>705.87</v>
      </c>
      <c r="Q1937">
        <f>IF(OR(TablaVentas[[#This Row],[Ingreso_neto]]="PENDIENTE",TablaVentas[[#This Row],[Costo_total]]="PENDIENTE"),"PENDIENTE",TablaVentas[[#This Row],[Ingreso_neto]]-TablaVentas[[#This Row],[Costo_total]])</f>
        <v>558.88199999999995</v>
      </c>
    </row>
    <row r="1938" spans="1:17">
      <c r="A1938" t="s">
        <v>1223</v>
      </c>
      <c r="B1938">
        <v>2</v>
      </c>
      <c r="C1938" s="3">
        <v>46160</v>
      </c>
      <c r="D1938" t="s">
        <v>472</v>
      </c>
      <c r="E1938" t="s">
        <v>346</v>
      </c>
      <c r="F1938" t="s">
        <v>77</v>
      </c>
      <c r="G1938" t="s">
        <v>40</v>
      </c>
      <c r="H1938" t="s">
        <v>184</v>
      </c>
      <c r="I1938">
        <v>2</v>
      </c>
      <c r="J1938" s="4">
        <v>2145.11</v>
      </c>
      <c r="K1938" s="5">
        <v>0</v>
      </c>
      <c r="L1938" s="4">
        <v>1175.74</v>
      </c>
      <c r="M1938" t="s">
        <v>42</v>
      </c>
      <c r="N1938" t="s">
        <v>60</v>
      </c>
      <c r="O1938">
        <f>IF(TablaVentas[[#This Row],[Precio_unitario]]="","PENDIENTE",TablaVentas[[#This Row],[Unidades]]*TablaVentas[[#This Row],[Precio_unitario]]*(1-TablaVentas[[#This Row],[Descuento_pct]]))</f>
        <v>4290.22</v>
      </c>
      <c r="P1938">
        <f>IF(TablaVentas[[#This Row],[Costo_unitario]]="","PENDIENTE",TablaVentas[[#This Row],[Unidades]]*TablaVentas[[#This Row],[Costo_unitario]])</f>
        <v>2351.48</v>
      </c>
      <c r="Q1938">
        <f>IF(OR(TablaVentas[[#This Row],[Ingreso_neto]]="PENDIENTE",TablaVentas[[#This Row],[Costo_total]]="PENDIENTE"),"PENDIENTE",TablaVentas[[#This Row],[Ingreso_neto]]-TablaVentas[[#This Row],[Costo_total]])</f>
        <v>1938.7400000000002</v>
      </c>
    </row>
    <row r="1939" spans="1:17">
      <c r="A1939" t="s">
        <v>1223</v>
      </c>
      <c r="B1939">
        <v>3</v>
      </c>
      <c r="C1939" s="3">
        <v>46160</v>
      </c>
      <c r="D1939" t="s">
        <v>472</v>
      </c>
      <c r="E1939" t="s">
        <v>38</v>
      </c>
      <c r="F1939" t="s">
        <v>77</v>
      </c>
      <c r="G1939" t="s">
        <v>40</v>
      </c>
      <c r="H1939" t="s">
        <v>184</v>
      </c>
      <c r="I1939">
        <v>2</v>
      </c>
      <c r="J1939" s="4">
        <v>5448.03</v>
      </c>
      <c r="K1939" s="5">
        <v>0</v>
      </c>
      <c r="L1939" s="4">
        <v>3832.69</v>
      </c>
      <c r="M1939" t="s">
        <v>42</v>
      </c>
      <c r="N1939" t="s">
        <v>45</v>
      </c>
      <c r="O1939">
        <f>IF(TablaVentas[[#This Row],[Precio_unitario]]="","PENDIENTE",TablaVentas[[#This Row],[Unidades]]*TablaVentas[[#This Row],[Precio_unitario]]*(1-TablaVentas[[#This Row],[Descuento_pct]]))</f>
        <v>10896.06</v>
      </c>
      <c r="P1939">
        <f>IF(TablaVentas[[#This Row],[Costo_unitario]]="","PENDIENTE",TablaVentas[[#This Row],[Unidades]]*TablaVentas[[#This Row],[Costo_unitario]])</f>
        <v>7665.38</v>
      </c>
      <c r="Q1939">
        <f>IF(OR(TablaVentas[[#This Row],[Ingreso_neto]]="PENDIENTE",TablaVentas[[#This Row],[Costo_total]]="PENDIENTE"),"PENDIENTE",TablaVentas[[#This Row],[Ingreso_neto]]-TablaVentas[[#This Row],[Costo_total]])</f>
        <v>3230.6799999999994</v>
      </c>
    </row>
    <row r="1940" spans="1:17">
      <c r="A1940" t="s">
        <v>1223</v>
      </c>
      <c r="B1940">
        <v>4</v>
      </c>
      <c r="C1940" s="3">
        <v>46160</v>
      </c>
      <c r="D1940" t="s">
        <v>472</v>
      </c>
      <c r="E1940" t="s">
        <v>139</v>
      </c>
      <c r="F1940" t="s">
        <v>77</v>
      </c>
      <c r="G1940" t="s">
        <v>40</v>
      </c>
      <c r="H1940" t="s">
        <v>184</v>
      </c>
      <c r="I1940">
        <v>1</v>
      </c>
      <c r="J1940" s="4">
        <v>10282.08</v>
      </c>
      <c r="K1940" s="5">
        <v>0.15</v>
      </c>
      <c r="L1940" s="4">
        <v>8002.16</v>
      </c>
      <c r="M1940" t="s">
        <v>42</v>
      </c>
      <c r="N1940" t="s">
        <v>43</v>
      </c>
      <c r="O1940">
        <f>IF(TablaVentas[[#This Row],[Precio_unitario]]="","PENDIENTE",TablaVentas[[#This Row],[Unidades]]*TablaVentas[[#This Row],[Precio_unitario]]*(1-TablaVentas[[#This Row],[Descuento_pct]]))</f>
        <v>8739.768</v>
      </c>
      <c r="P1940">
        <f>IF(TablaVentas[[#This Row],[Costo_unitario]]="","PENDIENTE",TablaVentas[[#This Row],[Unidades]]*TablaVentas[[#This Row],[Costo_unitario]])</f>
        <v>8002.16</v>
      </c>
      <c r="Q1940">
        <f>IF(OR(TablaVentas[[#This Row],[Ingreso_neto]]="PENDIENTE",TablaVentas[[#This Row],[Costo_total]]="PENDIENTE"),"PENDIENTE",TablaVentas[[#This Row],[Ingreso_neto]]-TablaVentas[[#This Row],[Costo_total]])</f>
        <v>737.60800000000017</v>
      </c>
    </row>
    <row r="1941" spans="1:17">
      <c r="A1941" t="s">
        <v>1224</v>
      </c>
      <c r="B1941">
        <v>1</v>
      </c>
      <c r="C1941" s="3">
        <v>46037</v>
      </c>
      <c r="D1941" t="s">
        <v>522</v>
      </c>
      <c r="E1941" t="s">
        <v>271</v>
      </c>
      <c r="F1941" t="s">
        <v>56</v>
      </c>
      <c r="G1941" t="s">
        <v>40</v>
      </c>
      <c r="H1941" t="s">
        <v>41</v>
      </c>
      <c r="I1941">
        <v>1</v>
      </c>
      <c r="J1941" s="4">
        <v>1012.75</v>
      </c>
      <c r="K1941" s="5">
        <v>0</v>
      </c>
      <c r="L1941" s="4">
        <v>759.03</v>
      </c>
      <c r="M1941" t="s">
        <v>42</v>
      </c>
      <c r="N1941" t="s">
        <v>43</v>
      </c>
      <c r="O1941">
        <f>IF(TablaVentas[[#This Row],[Precio_unitario]]="","PENDIENTE",TablaVentas[[#This Row],[Unidades]]*TablaVentas[[#This Row],[Precio_unitario]]*(1-TablaVentas[[#This Row],[Descuento_pct]]))</f>
        <v>1012.75</v>
      </c>
      <c r="P1941">
        <f>IF(TablaVentas[[#This Row],[Costo_unitario]]="","PENDIENTE",TablaVentas[[#This Row],[Unidades]]*TablaVentas[[#This Row],[Costo_unitario]])</f>
        <v>759.03</v>
      </c>
      <c r="Q1941">
        <f>IF(OR(TablaVentas[[#This Row],[Ingreso_neto]]="PENDIENTE",TablaVentas[[#This Row],[Costo_total]]="PENDIENTE"),"PENDIENTE",TablaVentas[[#This Row],[Ingreso_neto]]-TablaVentas[[#This Row],[Costo_total]])</f>
        <v>253.72000000000003</v>
      </c>
    </row>
    <row r="1942" spans="1:17">
      <c r="A1942" t="s">
        <v>1224</v>
      </c>
      <c r="B1942">
        <v>2</v>
      </c>
      <c r="C1942" s="3">
        <v>46037</v>
      </c>
      <c r="D1942" t="s">
        <v>522</v>
      </c>
      <c r="E1942" t="s">
        <v>90</v>
      </c>
      <c r="F1942" t="s">
        <v>56</v>
      </c>
      <c r="G1942" t="s">
        <v>40</v>
      </c>
      <c r="H1942" t="s">
        <v>41</v>
      </c>
      <c r="I1942">
        <v>1</v>
      </c>
      <c r="J1942" s="4">
        <v>9893.4699999999993</v>
      </c>
      <c r="K1942" s="5">
        <v>0</v>
      </c>
      <c r="L1942" s="4">
        <v>8174.87</v>
      </c>
      <c r="M1942" t="s">
        <v>42</v>
      </c>
      <c r="N1942" t="s">
        <v>52</v>
      </c>
      <c r="O1942">
        <f>IF(TablaVentas[[#This Row],[Precio_unitario]]="","PENDIENTE",TablaVentas[[#This Row],[Unidades]]*TablaVentas[[#This Row],[Precio_unitario]]*(1-TablaVentas[[#This Row],[Descuento_pct]]))</f>
        <v>9893.4699999999993</v>
      </c>
      <c r="P1942">
        <f>IF(TablaVentas[[#This Row],[Costo_unitario]]="","PENDIENTE",TablaVentas[[#This Row],[Unidades]]*TablaVentas[[#This Row],[Costo_unitario]])</f>
        <v>8174.87</v>
      </c>
      <c r="Q1942">
        <f>IF(OR(TablaVentas[[#This Row],[Ingreso_neto]]="PENDIENTE",TablaVentas[[#This Row],[Costo_total]]="PENDIENTE"),"PENDIENTE",TablaVentas[[#This Row],[Ingreso_neto]]-TablaVentas[[#This Row],[Costo_total]])</f>
        <v>1718.5999999999995</v>
      </c>
    </row>
    <row r="1943" spans="1:17">
      <c r="A1943" t="s">
        <v>1224</v>
      </c>
      <c r="B1943">
        <v>3</v>
      </c>
      <c r="C1943" s="3">
        <v>46037</v>
      </c>
      <c r="D1943" t="s">
        <v>522</v>
      </c>
      <c r="E1943" t="s">
        <v>175</v>
      </c>
      <c r="F1943" t="s">
        <v>56</v>
      </c>
      <c r="G1943" t="s">
        <v>40</v>
      </c>
      <c r="H1943" t="s">
        <v>41</v>
      </c>
      <c r="I1943">
        <v>1</v>
      </c>
      <c r="J1943" s="4">
        <v>2743.65</v>
      </c>
      <c r="K1943" s="5">
        <v>0</v>
      </c>
      <c r="L1943" s="4">
        <v>1857.39</v>
      </c>
      <c r="M1943" t="s">
        <v>42</v>
      </c>
      <c r="N1943" t="s">
        <v>45</v>
      </c>
      <c r="O1943">
        <f>IF(TablaVentas[[#This Row],[Precio_unitario]]="","PENDIENTE",TablaVentas[[#This Row],[Unidades]]*TablaVentas[[#This Row],[Precio_unitario]]*(1-TablaVentas[[#This Row],[Descuento_pct]]))</f>
        <v>2743.65</v>
      </c>
      <c r="P1943">
        <f>IF(TablaVentas[[#This Row],[Costo_unitario]]="","PENDIENTE",TablaVentas[[#This Row],[Unidades]]*TablaVentas[[#This Row],[Costo_unitario]])</f>
        <v>1857.39</v>
      </c>
      <c r="Q1943">
        <f>IF(OR(TablaVentas[[#This Row],[Ingreso_neto]]="PENDIENTE",TablaVentas[[#This Row],[Costo_total]]="PENDIENTE"),"PENDIENTE",TablaVentas[[#This Row],[Ingreso_neto]]-TablaVentas[[#This Row],[Costo_total]])</f>
        <v>886.26</v>
      </c>
    </row>
    <row r="1944" spans="1:17">
      <c r="A1944" t="s">
        <v>1225</v>
      </c>
      <c r="B1944">
        <v>1</v>
      </c>
      <c r="C1944" s="3">
        <v>46270</v>
      </c>
      <c r="D1944" t="s">
        <v>444</v>
      </c>
      <c r="E1944" t="s">
        <v>208</v>
      </c>
      <c r="F1944" t="s">
        <v>77</v>
      </c>
      <c r="G1944" t="s">
        <v>40</v>
      </c>
      <c r="H1944" t="s">
        <v>67</v>
      </c>
      <c r="I1944">
        <v>2</v>
      </c>
      <c r="J1944" s="4">
        <v>10688.23</v>
      </c>
      <c r="K1944" s="5">
        <v>0.15</v>
      </c>
      <c r="L1944" s="4">
        <v>5535.31</v>
      </c>
      <c r="M1944" t="s">
        <v>42</v>
      </c>
      <c r="N1944" t="s">
        <v>45</v>
      </c>
      <c r="O1944">
        <f>IF(TablaVentas[[#This Row],[Precio_unitario]]="","PENDIENTE",TablaVentas[[#This Row],[Unidades]]*TablaVentas[[#This Row],[Precio_unitario]]*(1-TablaVentas[[#This Row],[Descuento_pct]]))</f>
        <v>18169.990999999998</v>
      </c>
      <c r="P1944">
        <f>IF(TablaVentas[[#This Row],[Costo_unitario]]="","PENDIENTE",TablaVentas[[#This Row],[Unidades]]*TablaVentas[[#This Row],[Costo_unitario]])</f>
        <v>11070.62</v>
      </c>
      <c r="Q1944">
        <f>IF(OR(TablaVentas[[#This Row],[Ingreso_neto]]="PENDIENTE",TablaVentas[[#This Row],[Costo_total]]="PENDIENTE"),"PENDIENTE",TablaVentas[[#This Row],[Ingreso_neto]]-TablaVentas[[#This Row],[Costo_total]])</f>
        <v>7099.3709999999974</v>
      </c>
    </row>
    <row r="1945" spans="1:17">
      <c r="A1945" t="s">
        <v>1225</v>
      </c>
      <c r="B1945">
        <v>2</v>
      </c>
      <c r="C1945" s="3">
        <v>46270</v>
      </c>
      <c r="D1945" t="s">
        <v>444</v>
      </c>
      <c r="E1945" t="s">
        <v>148</v>
      </c>
      <c r="F1945" t="s">
        <v>77</v>
      </c>
      <c r="G1945" t="s">
        <v>40</v>
      </c>
      <c r="H1945" t="s">
        <v>67</v>
      </c>
      <c r="I1945">
        <v>3</v>
      </c>
      <c r="J1945" s="4">
        <v>3277.48</v>
      </c>
      <c r="K1945" s="5">
        <v>0</v>
      </c>
      <c r="L1945" s="4">
        <v>2459.34</v>
      </c>
      <c r="M1945" t="s">
        <v>42</v>
      </c>
      <c r="N1945" t="s">
        <v>60</v>
      </c>
      <c r="O1945">
        <f>IF(TablaVentas[[#This Row],[Precio_unitario]]="","PENDIENTE",TablaVentas[[#This Row],[Unidades]]*TablaVentas[[#This Row],[Precio_unitario]]*(1-TablaVentas[[#This Row],[Descuento_pct]]))</f>
        <v>9832.44</v>
      </c>
      <c r="P1945">
        <f>IF(TablaVentas[[#This Row],[Costo_unitario]]="","PENDIENTE",TablaVentas[[#This Row],[Unidades]]*TablaVentas[[#This Row],[Costo_unitario]])</f>
        <v>7378.02</v>
      </c>
      <c r="Q1945">
        <f>IF(OR(TablaVentas[[#This Row],[Ingreso_neto]]="PENDIENTE",TablaVentas[[#This Row],[Costo_total]]="PENDIENTE"),"PENDIENTE",TablaVentas[[#This Row],[Ingreso_neto]]-TablaVentas[[#This Row],[Costo_total]])</f>
        <v>2454.42</v>
      </c>
    </row>
    <row r="1946" spans="1:17">
      <c r="A1946" t="s">
        <v>1226</v>
      </c>
      <c r="B1946">
        <v>1</v>
      </c>
      <c r="C1946" s="3">
        <v>46081</v>
      </c>
      <c r="D1946" t="s">
        <v>1227</v>
      </c>
      <c r="E1946" t="s">
        <v>120</v>
      </c>
      <c r="F1946" t="s">
        <v>56</v>
      </c>
      <c r="G1946" t="s">
        <v>40</v>
      </c>
      <c r="H1946" t="s">
        <v>102</v>
      </c>
      <c r="I1946">
        <v>1</v>
      </c>
      <c r="J1946" s="4">
        <v>13019.86</v>
      </c>
      <c r="K1946" s="5">
        <v>0</v>
      </c>
      <c r="L1946" s="4">
        <v>7975.26</v>
      </c>
      <c r="M1946" t="s">
        <v>42</v>
      </c>
      <c r="N1946" t="s">
        <v>45</v>
      </c>
      <c r="O1946">
        <f>IF(TablaVentas[[#This Row],[Precio_unitario]]="","PENDIENTE",TablaVentas[[#This Row],[Unidades]]*TablaVentas[[#This Row],[Precio_unitario]]*(1-TablaVentas[[#This Row],[Descuento_pct]]))</f>
        <v>13019.86</v>
      </c>
      <c r="P1946">
        <f>IF(TablaVentas[[#This Row],[Costo_unitario]]="","PENDIENTE",TablaVentas[[#This Row],[Unidades]]*TablaVentas[[#This Row],[Costo_unitario]])</f>
        <v>7975.26</v>
      </c>
      <c r="Q1946">
        <f>IF(OR(TablaVentas[[#This Row],[Ingreso_neto]]="PENDIENTE",TablaVentas[[#This Row],[Costo_total]]="PENDIENTE"),"PENDIENTE",TablaVentas[[#This Row],[Ingreso_neto]]-TablaVentas[[#This Row],[Costo_total]])</f>
        <v>5044.6000000000004</v>
      </c>
    </row>
    <row r="1947" spans="1:17">
      <c r="A1947" t="s">
        <v>1226</v>
      </c>
      <c r="B1947">
        <v>2</v>
      </c>
      <c r="C1947" s="3">
        <v>46081</v>
      </c>
      <c r="D1947" t="s">
        <v>1227</v>
      </c>
      <c r="E1947" t="s">
        <v>151</v>
      </c>
      <c r="F1947" t="s">
        <v>56</v>
      </c>
      <c r="G1947" t="s">
        <v>40</v>
      </c>
      <c r="H1947" t="s">
        <v>102</v>
      </c>
      <c r="I1947">
        <v>1</v>
      </c>
      <c r="J1947" s="4">
        <v>17687.27</v>
      </c>
      <c r="K1947" s="5">
        <v>0.2</v>
      </c>
      <c r="L1947" s="4">
        <v>8963.23</v>
      </c>
      <c r="M1947" t="s">
        <v>42</v>
      </c>
      <c r="N1947" t="s">
        <v>43</v>
      </c>
      <c r="O1947">
        <f>IF(TablaVentas[[#This Row],[Precio_unitario]]="","PENDIENTE",TablaVentas[[#This Row],[Unidades]]*TablaVentas[[#This Row],[Precio_unitario]]*(1-TablaVentas[[#This Row],[Descuento_pct]]))</f>
        <v>14149.816000000001</v>
      </c>
      <c r="P1947">
        <f>IF(TablaVentas[[#This Row],[Costo_unitario]]="","PENDIENTE",TablaVentas[[#This Row],[Unidades]]*TablaVentas[[#This Row],[Costo_unitario]])</f>
        <v>8963.23</v>
      </c>
      <c r="Q1947">
        <f>IF(OR(TablaVentas[[#This Row],[Ingreso_neto]]="PENDIENTE",TablaVentas[[#This Row],[Costo_total]]="PENDIENTE"),"PENDIENTE",TablaVentas[[#This Row],[Ingreso_neto]]-TablaVentas[[#This Row],[Costo_total]])</f>
        <v>5186.5860000000011</v>
      </c>
    </row>
    <row r="1948" spans="1:17">
      <c r="A1948" t="s">
        <v>1228</v>
      </c>
      <c r="B1948">
        <v>1</v>
      </c>
      <c r="C1948" s="3">
        <v>46270</v>
      </c>
      <c r="D1948" t="s">
        <v>291</v>
      </c>
      <c r="E1948" t="s">
        <v>135</v>
      </c>
      <c r="F1948" t="s">
        <v>56</v>
      </c>
      <c r="G1948" t="s">
        <v>50</v>
      </c>
      <c r="H1948" t="s">
        <v>67</v>
      </c>
      <c r="I1948">
        <v>1</v>
      </c>
      <c r="J1948" s="4">
        <v>1832.33</v>
      </c>
      <c r="K1948" s="5">
        <v>0.1</v>
      </c>
      <c r="L1948" s="4">
        <v>1529.93</v>
      </c>
      <c r="M1948" t="s">
        <v>42</v>
      </c>
      <c r="N1948" t="s">
        <v>60</v>
      </c>
      <c r="O1948">
        <f>IF(TablaVentas[[#This Row],[Precio_unitario]]="","PENDIENTE",TablaVentas[[#This Row],[Unidades]]*TablaVentas[[#This Row],[Precio_unitario]]*(1-TablaVentas[[#This Row],[Descuento_pct]]))</f>
        <v>1649.097</v>
      </c>
      <c r="P1948">
        <f>IF(TablaVentas[[#This Row],[Costo_unitario]]="","PENDIENTE",TablaVentas[[#This Row],[Unidades]]*TablaVentas[[#This Row],[Costo_unitario]])</f>
        <v>1529.93</v>
      </c>
      <c r="Q1948">
        <f>IF(OR(TablaVentas[[#This Row],[Ingreso_neto]]="PENDIENTE",TablaVentas[[#This Row],[Costo_total]]="PENDIENTE"),"PENDIENTE",TablaVentas[[#This Row],[Ingreso_neto]]-TablaVentas[[#This Row],[Costo_total]])</f>
        <v>119.16699999999992</v>
      </c>
    </row>
    <row r="1949" spans="1:17">
      <c r="A1949" t="s">
        <v>1228</v>
      </c>
      <c r="B1949">
        <v>2</v>
      </c>
      <c r="C1949" s="3">
        <v>46270</v>
      </c>
      <c r="D1949" t="s">
        <v>291</v>
      </c>
      <c r="E1949" t="s">
        <v>133</v>
      </c>
      <c r="F1949" t="s">
        <v>56</v>
      </c>
      <c r="G1949" t="s">
        <v>50</v>
      </c>
      <c r="H1949" t="s">
        <v>67</v>
      </c>
      <c r="I1949">
        <v>2</v>
      </c>
      <c r="J1949" s="4">
        <v>8255.92</v>
      </c>
      <c r="K1949" s="5">
        <v>0.2</v>
      </c>
      <c r="L1949" s="4">
        <v>4061.34</v>
      </c>
      <c r="M1949" t="s">
        <v>42</v>
      </c>
      <c r="N1949" t="s">
        <v>60</v>
      </c>
      <c r="O1949">
        <f>IF(TablaVentas[[#This Row],[Precio_unitario]]="","PENDIENTE",TablaVentas[[#This Row],[Unidades]]*TablaVentas[[#This Row],[Precio_unitario]]*(1-TablaVentas[[#This Row],[Descuento_pct]]))</f>
        <v>13209.472000000002</v>
      </c>
      <c r="P1949">
        <f>IF(TablaVentas[[#This Row],[Costo_unitario]]="","PENDIENTE",TablaVentas[[#This Row],[Unidades]]*TablaVentas[[#This Row],[Costo_unitario]])</f>
        <v>8122.68</v>
      </c>
      <c r="Q1949">
        <f>IF(OR(TablaVentas[[#This Row],[Ingreso_neto]]="PENDIENTE",TablaVentas[[#This Row],[Costo_total]]="PENDIENTE"),"PENDIENTE",TablaVentas[[#This Row],[Ingreso_neto]]-TablaVentas[[#This Row],[Costo_total]])</f>
        <v>5086.7920000000013</v>
      </c>
    </row>
    <row r="1950" spans="1:17">
      <c r="A1950" t="s">
        <v>1228</v>
      </c>
      <c r="B1950">
        <v>3</v>
      </c>
      <c r="C1950" s="3">
        <v>46270</v>
      </c>
      <c r="D1950" t="s">
        <v>291</v>
      </c>
      <c r="E1950" t="s">
        <v>144</v>
      </c>
      <c r="F1950" t="s">
        <v>56</v>
      </c>
      <c r="G1950" t="s">
        <v>50</v>
      </c>
      <c r="H1950" t="s">
        <v>67</v>
      </c>
      <c r="I1950">
        <v>1</v>
      </c>
      <c r="J1950" s="4">
        <v>9111.7800000000007</v>
      </c>
      <c r="K1950" s="5">
        <v>0.15</v>
      </c>
      <c r="L1950" s="4">
        <v>5125.3599999999997</v>
      </c>
      <c r="M1950" t="s">
        <v>42</v>
      </c>
      <c r="N1950" t="s">
        <v>60</v>
      </c>
      <c r="O1950">
        <f>IF(TablaVentas[[#This Row],[Precio_unitario]]="","PENDIENTE",TablaVentas[[#This Row],[Unidades]]*TablaVentas[[#This Row],[Precio_unitario]]*(1-TablaVentas[[#This Row],[Descuento_pct]]))</f>
        <v>7745.0129999999999</v>
      </c>
      <c r="P1950">
        <f>IF(TablaVentas[[#This Row],[Costo_unitario]]="","PENDIENTE",TablaVentas[[#This Row],[Unidades]]*TablaVentas[[#This Row],[Costo_unitario]])</f>
        <v>5125.3599999999997</v>
      </c>
      <c r="Q1950">
        <f>IF(OR(TablaVentas[[#This Row],[Ingreso_neto]]="PENDIENTE",TablaVentas[[#This Row],[Costo_total]]="PENDIENTE"),"PENDIENTE",TablaVentas[[#This Row],[Ingreso_neto]]-TablaVentas[[#This Row],[Costo_total]])</f>
        <v>2619.6530000000002</v>
      </c>
    </row>
    <row r="1951" spans="1:17">
      <c r="A1951" t="s">
        <v>1228</v>
      </c>
      <c r="B1951">
        <v>4</v>
      </c>
      <c r="C1951" s="3">
        <v>46270</v>
      </c>
      <c r="D1951" t="s">
        <v>291</v>
      </c>
      <c r="E1951" t="s">
        <v>326</v>
      </c>
      <c r="F1951" t="s">
        <v>56</v>
      </c>
      <c r="G1951" t="s">
        <v>50</v>
      </c>
      <c r="H1951" t="s">
        <v>67</v>
      </c>
      <c r="I1951">
        <v>1</v>
      </c>
      <c r="J1951" s="4">
        <v>8017.47</v>
      </c>
      <c r="K1951" s="5">
        <v>0</v>
      </c>
      <c r="L1951" s="4">
        <v>4044.16</v>
      </c>
      <c r="M1951" t="s">
        <v>42</v>
      </c>
      <c r="N1951" t="s">
        <v>60</v>
      </c>
      <c r="O1951">
        <f>IF(TablaVentas[[#This Row],[Precio_unitario]]="","PENDIENTE",TablaVentas[[#This Row],[Unidades]]*TablaVentas[[#This Row],[Precio_unitario]]*(1-TablaVentas[[#This Row],[Descuento_pct]]))</f>
        <v>8017.47</v>
      </c>
      <c r="P1951">
        <f>IF(TablaVentas[[#This Row],[Costo_unitario]]="","PENDIENTE",TablaVentas[[#This Row],[Unidades]]*TablaVentas[[#This Row],[Costo_unitario]])</f>
        <v>4044.16</v>
      </c>
      <c r="Q1951">
        <f>IF(OR(TablaVentas[[#This Row],[Ingreso_neto]]="PENDIENTE",TablaVentas[[#This Row],[Costo_total]]="PENDIENTE"),"PENDIENTE",TablaVentas[[#This Row],[Ingreso_neto]]-TablaVentas[[#This Row],[Costo_total]])</f>
        <v>3973.3100000000004</v>
      </c>
    </row>
    <row r="1952" spans="1:17">
      <c r="A1952" t="s">
        <v>1228</v>
      </c>
      <c r="B1952">
        <v>5</v>
      </c>
      <c r="C1952" s="3">
        <v>46270</v>
      </c>
      <c r="D1952" t="s">
        <v>291</v>
      </c>
      <c r="E1952" t="s">
        <v>68</v>
      </c>
      <c r="F1952" t="s">
        <v>56</v>
      </c>
      <c r="G1952" t="s">
        <v>50</v>
      </c>
      <c r="H1952" t="s">
        <v>67</v>
      </c>
      <c r="I1952">
        <v>2</v>
      </c>
      <c r="J1952" s="4">
        <v>16500.84</v>
      </c>
      <c r="K1952" s="5">
        <v>0.1</v>
      </c>
      <c r="L1952" s="4">
        <v>9243.35</v>
      </c>
      <c r="M1952" t="s">
        <v>42</v>
      </c>
      <c r="N1952" t="s">
        <v>60</v>
      </c>
      <c r="O1952">
        <f>IF(TablaVentas[[#This Row],[Precio_unitario]]="","PENDIENTE",TablaVentas[[#This Row],[Unidades]]*TablaVentas[[#This Row],[Precio_unitario]]*(1-TablaVentas[[#This Row],[Descuento_pct]]))</f>
        <v>29701.512000000002</v>
      </c>
      <c r="P1952">
        <f>IF(TablaVentas[[#This Row],[Costo_unitario]]="","PENDIENTE",TablaVentas[[#This Row],[Unidades]]*TablaVentas[[#This Row],[Costo_unitario]])</f>
        <v>18486.7</v>
      </c>
      <c r="Q1952">
        <f>IF(OR(TablaVentas[[#This Row],[Ingreso_neto]]="PENDIENTE",TablaVentas[[#This Row],[Costo_total]]="PENDIENTE"),"PENDIENTE",TablaVentas[[#This Row],[Ingreso_neto]]-TablaVentas[[#This Row],[Costo_total]])</f>
        <v>11214.812000000002</v>
      </c>
    </row>
    <row r="1953" spans="1:17">
      <c r="A1953" t="s">
        <v>1229</v>
      </c>
      <c r="B1953">
        <v>1</v>
      </c>
      <c r="C1953" s="3">
        <v>46066</v>
      </c>
      <c r="D1953" t="s">
        <v>377</v>
      </c>
      <c r="E1953" t="s">
        <v>120</v>
      </c>
      <c r="F1953" t="s">
        <v>56</v>
      </c>
      <c r="G1953" t="s">
        <v>50</v>
      </c>
      <c r="H1953" t="s">
        <v>41</v>
      </c>
      <c r="I1953">
        <v>1</v>
      </c>
      <c r="J1953" s="4">
        <v>13678.94</v>
      </c>
      <c r="K1953" s="5">
        <v>0</v>
      </c>
      <c r="L1953" s="4">
        <v>7975.26</v>
      </c>
      <c r="M1953" t="s">
        <v>42</v>
      </c>
      <c r="N1953" t="s">
        <v>45</v>
      </c>
      <c r="O1953">
        <f>IF(TablaVentas[[#This Row],[Precio_unitario]]="","PENDIENTE",TablaVentas[[#This Row],[Unidades]]*TablaVentas[[#This Row],[Precio_unitario]]*(1-TablaVentas[[#This Row],[Descuento_pct]]))</f>
        <v>13678.94</v>
      </c>
      <c r="P1953">
        <f>IF(TablaVentas[[#This Row],[Costo_unitario]]="","PENDIENTE",TablaVentas[[#This Row],[Unidades]]*TablaVentas[[#This Row],[Costo_unitario]])</f>
        <v>7975.26</v>
      </c>
      <c r="Q1953">
        <f>IF(OR(TablaVentas[[#This Row],[Ingreso_neto]]="PENDIENTE",TablaVentas[[#This Row],[Costo_total]]="PENDIENTE"),"PENDIENTE",TablaVentas[[#This Row],[Ingreso_neto]]-TablaVentas[[#This Row],[Costo_total]])</f>
        <v>5703.68</v>
      </c>
    </row>
    <row r="1954" spans="1:17">
      <c r="A1954" t="s">
        <v>1230</v>
      </c>
      <c r="B1954">
        <v>1</v>
      </c>
      <c r="C1954" s="3">
        <v>46158</v>
      </c>
      <c r="D1954" t="s">
        <v>396</v>
      </c>
      <c r="E1954" t="s">
        <v>326</v>
      </c>
      <c r="F1954" t="s">
        <v>77</v>
      </c>
      <c r="G1954" t="s">
        <v>50</v>
      </c>
      <c r="H1954" t="s">
        <v>124</v>
      </c>
      <c r="I1954">
        <v>5</v>
      </c>
      <c r="J1954" s="4">
        <v>6986.48</v>
      </c>
      <c r="K1954" s="5">
        <v>0.1</v>
      </c>
      <c r="L1954" s="4">
        <v>4044.16</v>
      </c>
      <c r="M1954" t="s">
        <v>42</v>
      </c>
      <c r="N1954" t="s">
        <v>52</v>
      </c>
      <c r="O1954">
        <f>IF(TablaVentas[[#This Row],[Precio_unitario]]="","PENDIENTE",TablaVentas[[#This Row],[Unidades]]*TablaVentas[[#This Row],[Precio_unitario]]*(1-TablaVentas[[#This Row],[Descuento_pct]]))</f>
        <v>31439.159999999996</v>
      </c>
      <c r="P1954">
        <f>IF(TablaVentas[[#This Row],[Costo_unitario]]="","PENDIENTE",TablaVentas[[#This Row],[Unidades]]*TablaVentas[[#This Row],[Costo_unitario]])</f>
        <v>20220.8</v>
      </c>
      <c r="Q1954">
        <f>IF(OR(TablaVentas[[#This Row],[Ingreso_neto]]="PENDIENTE",TablaVentas[[#This Row],[Costo_total]]="PENDIENTE"),"PENDIENTE",TablaVentas[[#This Row],[Ingreso_neto]]-TablaVentas[[#This Row],[Costo_total]])</f>
        <v>11218.359999999997</v>
      </c>
    </row>
    <row r="1955" spans="1:17">
      <c r="A1955" t="s">
        <v>1230</v>
      </c>
      <c r="B1955">
        <v>2</v>
      </c>
      <c r="C1955" s="3">
        <v>46158</v>
      </c>
      <c r="D1955" t="s">
        <v>396</v>
      </c>
      <c r="E1955" t="s">
        <v>212</v>
      </c>
      <c r="F1955" t="s">
        <v>77</v>
      </c>
      <c r="G1955" t="s">
        <v>50</v>
      </c>
      <c r="H1955" t="s">
        <v>124</v>
      </c>
      <c r="I1955">
        <v>2</v>
      </c>
      <c r="J1955" s="4">
        <v>3662.34</v>
      </c>
      <c r="K1955" s="5">
        <v>0.15</v>
      </c>
      <c r="L1955" s="4">
        <v>2157.5500000000002</v>
      </c>
      <c r="M1955" t="s">
        <v>42</v>
      </c>
      <c r="N1955" t="s">
        <v>45</v>
      </c>
      <c r="O1955">
        <f>IF(TablaVentas[[#This Row],[Precio_unitario]]="","PENDIENTE",TablaVentas[[#This Row],[Unidades]]*TablaVentas[[#This Row],[Precio_unitario]]*(1-TablaVentas[[#This Row],[Descuento_pct]]))</f>
        <v>6225.9780000000001</v>
      </c>
      <c r="P1955">
        <f>IF(TablaVentas[[#This Row],[Costo_unitario]]="","PENDIENTE",TablaVentas[[#This Row],[Unidades]]*TablaVentas[[#This Row],[Costo_unitario]])</f>
        <v>4315.1000000000004</v>
      </c>
      <c r="Q1955">
        <f>IF(OR(TablaVentas[[#This Row],[Ingreso_neto]]="PENDIENTE",TablaVentas[[#This Row],[Costo_total]]="PENDIENTE"),"PENDIENTE",TablaVentas[[#This Row],[Ingreso_neto]]-TablaVentas[[#This Row],[Costo_total]])</f>
        <v>1910.8779999999997</v>
      </c>
    </row>
    <row r="1956" spans="1:17">
      <c r="A1956" t="s">
        <v>1230</v>
      </c>
      <c r="B1956">
        <v>3</v>
      </c>
      <c r="C1956" s="3">
        <v>46158</v>
      </c>
      <c r="D1956" t="s">
        <v>396</v>
      </c>
      <c r="E1956" t="s">
        <v>44</v>
      </c>
      <c r="F1956" t="s">
        <v>77</v>
      </c>
      <c r="G1956" t="s">
        <v>50</v>
      </c>
      <c r="H1956" t="s">
        <v>124</v>
      </c>
      <c r="I1956">
        <v>8</v>
      </c>
      <c r="J1956" s="4">
        <v>14350.9</v>
      </c>
      <c r="K1956" s="5">
        <v>0</v>
      </c>
      <c r="L1956" s="4">
        <v>8980.68</v>
      </c>
      <c r="M1956" t="s">
        <v>42</v>
      </c>
      <c r="N1956" t="s">
        <v>45</v>
      </c>
      <c r="O1956">
        <f>IF(TablaVentas[[#This Row],[Precio_unitario]]="","PENDIENTE",TablaVentas[[#This Row],[Unidades]]*TablaVentas[[#This Row],[Precio_unitario]]*(1-TablaVentas[[#This Row],[Descuento_pct]]))</f>
        <v>114807.2</v>
      </c>
      <c r="P1956">
        <f>IF(TablaVentas[[#This Row],[Costo_unitario]]="","PENDIENTE",TablaVentas[[#This Row],[Unidades]]*TablaVentas[[#This Row],[Costo_unitario]])</f>
        <v>71845.440000000002</v>
      </c>
      <c r="Q1956">
        <f>IF(OR(TablaVentas[[#This Row],[Ingreso_neto]]="PENDIENTE",TablaVentas[[#This Row],[Costo_total]]="PENDIENTE"),"PENDIENTE",TablaVentas[[#This Row],[Ingreso_neto]]-TablaVentas[[#This Row],[Costo_total]])</f>
        <v>42961.759999999995</v>
      </c>
    </row>
    <row r="1957" spans="1:17">
      <c r="A1957" t="s">
        <v>1230</v>
      </c>
      <c r="B1957">
        <v>4</v>
      </c>
      <c r="C1957" s="3">
        <v>46158</v>
      </c>
      <c r="D1957" t="s">
        <v>396</v>
      </c>
      <c r="E1957" t="s">
        <v>175</v>
      </c>
      <c r="F1957" t="s">
        <v>77</v>
      </c>
      <c r="G1957" t="s">
        <v>50</v>
      </c>
      <c r="H1957" t="s">
        <v>124</v>
      </c>
      <c r="I1957">
        <v>1</v>
      </c>
      <c r="J1957" s="4">
        <v>2589.4299999999998</v>
      </c>
      <c r="K1957" s="5">
        <v>0.2</v>
      </c>
      <c r="L1957" s="4">
        <v>1857.39</v>
      </c>
      <c r="M1957" t="s">
        <v>42</v>
      </c>
      <c r="N1957" t="s">
        <v>52</v>
      </c>
      <c r="O1957">
        <f>IF(TablaVentas[[#This Row],[Precio_unitario]]="","PENDIENTE",TablaVentas[[#This Row],[Unidades]]*TablaVentas[[#This Row],[Precio_unitario]]*(1-TablaVentas[[#This Row],[Descuento_pct]]))</f>
        <v>2071.5439999999999</v>
      </c>
      <c r="P1957">
        <f>IF(TablaVentas[[#This Row],[Costo_unitario]]="","PENDIENTE",TablaVentas[[#This Row],[Unidades]]*TablaVentas[[#This Row],[Costo_unitario]])</f>
        <v>1857.39</v>
      </c>
      <c r="Q1957">
        <f>IF(OR(TablaVentas[[#This Row],[Ingreso_neto]]="PENDIENTE",TablaVentas[[#This Row],[Costo_total]]="PENDIENTE"),"PENDIENTE",TablaVentas[[#This Row],[Ingreso_neto]]-TablaVentas[[#This Row],[Costo_total]])</f>
        <v>214.15399999999977</v>
      </c>
    </row>
    <row r="1958" spans="1:17">
      <c r="A1958" t="s">
        <v>1231</v>
      </c>
      <c r="B1958">
        <v>1</v>
      </c>
      <c r="C1958" s="3">
        <v>46181</v>
      </c>
      <c r="D1958" t="s">
        <v>309</v>
      </c>
      <c r="E1958" t="s">
        <v>114</v>
      </c>
      <c r="F1958" t="s">
        <v>56</v>
      </c>
      <c r="G1958" t="s">
        <v>40</v>
      </c>
      <c r="H1958" t="s">
        <v>51</v>
      </c>
      <c r="I1958">
        <v>2</v>
      </c>
      <c r="J1958" s="4">
        <v>13770.27</v>
      </c>
      <c r="K1958" s="5">
        <v>0.15</v>
      </c>
      <c r="L1958" s="4">
        <v>8239.48</v>
      </c>
      <c r="M1958" t="s">
        <v>42</v>
      </c>
      <c r="N1958" t="s">
        <v>45</v>
      </c>
      <c r="O1958">
        <f>IF(TablaVentas[[#This Row],[Precio_unitario]]="","PENDIENTE",TablaVentas[[#This Row],[Unidades]]*TablaVentas[[#This Row],[Precio_unitario]]*(1-TablaVentas[[#This Row],[Descuento_pct]]))</f>
        <v>23409.458999999999</v>
      </c>
      <c r="P1958">
        <f>IF(TablaVentas[[#This Row],[Costo_unitario]]="","PENDIENTE",TablaVentas[[#This Row],[Unidades]]*TablaVentas[[#This Row],[Costo_unitario]])</f>
        <v>16478.96</v>
      </c>
      <c r="Q1958">
        <f>IF(OR(TablaVentas[[#This Row],[Ingreso_neto]]="PENDIENTE",TablaVentas[[#This Row],[Costo_total]]="PENDIENTE"),"PENDIENTE",TablaVentas[[#This Row],[Ingreso_neto]]-TablaVentas[[#This Row],[Costo_total]])</f>
        <v>6930.4989999999998</v>
      </c>
    </row>
    <row r="1959" spans="1:17">
      <c r="A1959" t="s">
        <v>1231</v>
      </c>
      <c r="B1959">
        <v>2</v>
      </c>
      <c r="C1959" s="3">
        <v>46181</v>
      </c>
      <c r="D1959" t="s">
        <v>309</v>
      </c>
      <c r="E1959" t="s">
        <v>148</v>
      </c>
      <c r="F1959" t="s">
        <v>56</v>
      </c>
      <c r="G1959" t="s">
        <v>40</v>
      </c>
      <c r="H1959" t="s">
        <v>51</v>
      </c>
      <c r="I1959">
        <v>1</v>
      </c>
      <c r="J1959" s="4">
        <v>2998.08</v>
      </c>
      <c r="K1959" s="5">
        <v>0.05</v>
      </c>
      <c r="L1959" s="4">
        <v>2459.34</v>
      </c>
      <c r="M1959" t="s">
        <v>42</v>
      </c>
      <c r="N1959" t="s">
        <v>43</v>
      </c>
      <c r="O1959">
        <f>IF(TablaVentas[[#This Row],[Precio_unitario]]="","PENDIENTE",TablaVentas[[#This Row],[Unidades]]*TablaVentas[[#This Row],[Precio_unitario]]*(1-TablaVentas[[#This Row],[Descuento_pct]]))</f>
        <v>2848.1759999999999</v>
      </c>
      <c r="P1959">
        <f>IF(TablaVentas[[#This Row],[Costo_unitario]]="","PENDIENTE",TablaVentas[[#This Row],[Unidades]]*TablaVentas[[#This Row],[Costo_unitario]])</f>
        <v>2459.34</v>
      </c>
      <c r="Q1959">
        <f>IF(OR(TablaVentas[[#This Row],[Ingreso_neto]]="PENDIENTE",TablaVentas[[#This Row],[Costo_total]]="PENDIENTE"),"PENDIENTE",TablaVentas[[#This Row],[Ingreso_neto]]-TablaVentas[[#This Row],[Costo_total]])</f>
        <v>388.83599999999979</v>
      </c>
    </row>
    <row r="1960" spans="1:17">
      <c r="A1960" t="s">
        <v>1232</v>
      </c>
      <c r="B1960">
        <v>1</v>
      </c>
      <c r="C1960" s="3">
        <v>46257</v>
      </c>
      <c r="D1960" t="s">
        <v>319</v>
      </c>
      <c r="E1960" t="s">
        <v>236</v>
      </c>
      <c r="F1960" t="s">
        <v>66</v>
      </c>
      <c r="G1960" t="s">
        <v>40</v>
      </c>
      <c r="H1960" t="s">
        <v>184</v>
      </c>
      <c r="I1960">
        <v>3</v>
      </c>
      <c r="J1960" s="4">
        <v>10287.040000000001</v>
      </c>
      <c r="K1960" s="5">
        <v>0.1</v>
      </c>
      <c r="L1960" s="4">
        <v>8061.7</v>
      </c>
      <c r="M1960" t="s">
        <v>42</v>
      </c>
      <c r="N1960" t="s">
        <v>52</v>
      </c>
      <c r="O1960">
        <f>IF(TablaVentas[[#This Row],[Precio_unitario]]="","PENDIENTE",TablaVentas[[#This Row],[Unidades]]*TablaVentas[[#This Row],[Precio_unitario]]*(1-TablaVentas[[#This Row],[Descuento_pct]]))</f>
        <v>27775.008000000002</v>
      </c>
      <c r="P1960">
        <f>IF(TablaVentas[[#This Row],[Costo_unitario]]="","PENDIENTE",TablaVentas[[#This Row],[Unidades]]*TablaVentas[[#This Row],[Costo_unitario]])</f>
        <v>24185.1</v>
      </c>
      <c r="Q1960">
        <f>IF(OR(TablaVentas[[#This Row],[Ingreso_neto]]="PENDIENTE",TablaVentas[[#This Row],[Costo_total]]="PENDIENTE"),"PENDIENTE",TablaVentas[[#This Row],[Ingreso_neto]]-TablaVentas[[#This Row],[Costo_total]])</f>
        <v>3589.9080000000031</v>
      </c>
    </row>
    <row r="1961" spans="1:17">
      <c r="A1961" t="s">
        <v>1232</v>
      </c>
      <c r="B1961">
        <v>2</v>
      </c>
      <c r="C1961" s="3">
        <v>46257</v>
      </c>
      <c r="D1961" t="s">
        <v>319</v>
      </c>
      <c r="E1961" t="s">
        <v>93</v>
      </c>
      <c r="F1961" t="s">
        <v>66</v>
      </c>
      <c r="G1961" t="s">
        <v>40</v>
      </c>
      <c r="H1961" t="s">
        <v>184</v>
      </c>
      <c r="I1961">
        <v>5</v>
      </c>
      <c r="J1961" s="4">
        <v>14209.12</v>
      </c>
      <c r="K1961" s="5">
        <v>0</v>
      </c>
      <c r="L1961" s="4">
        <v>8788.7900000000009</v>
      </c>
      <c r="M1961" t="s">
        <v>42</v>
      </c>
      <c r="N1961" t="s">
        <v>45</v>
      </c>
      <c r="O1961">
        <f>IF(TablaVentas[[#This Row],[Precio_unitario]]="","PENDIENTE",TablaVentas[[#This Row],[Unidades]]*TablaVentas[[#This Row],[Precio_unitario]]*(1-TablaVentas[[#This Row],[Descuento_pct]]))</f>
        <v>71045.600000000006</v>
      </c>
      <c r="P1961">
        <f>IF(TablaVentas[[#This Row],[Costo_unitario]]="","PENDIENTE",TablaVentas[[#This Row],[Unidades]]*TablaVentas[[#This Row],[Costo_unitario]])</f>
        <v>43943.950000000004</v>
      </c>
      <c r="Q1961">
        <f>IF(OR(TablaVentas[[#This Row],[Ingreso_neto]]="PENDIENTE",TablaVentas[[#This Row],[Costo_total]]="PENDIENTE"),"PENDIENTE",TablaVentas[[#This Row],[Ingreso_neto]]-TablaVentas[[#This Row],[Costo_total]])</f>
        <v>27101.65</v>
      </c>
    </row>
    <row r="1962" spans="1:17">
      <c r="A1962" t="s">
        <v>1232</v>
      </c>
      <c r="B1962">
        <v>3</v>
      </c>
      <c r="C1962" s="3">
        <v>46257</v>
      </c>
      <c r="D1962" t="s">
        <v>319</v>
      </c>
      <c r="E1962" t="s">
        <v>133</v>
      </c>
      <c r="F1962" t="s">
        <v>66</v>
      </c>
      <c r="G1962" t="s">
        <v>40</v>
      </c>
      <c r="H1962" t="s">
        <v>184</v>
      </c>
      <c r="I1962">
        <v>1</v>
      </c>
      <c r="J1962" s="4">
        <v>7564.19</v>
      </c>
      <c r="K1962" s="5">
        <v>0</v>
      </c>
      <c r="L1962" s="4">
        <v>4061.34</v>
      </c>
      <c r="M1962" t="s">
        <v>42</v>
      </c>
      <c r="N1962" t="s">
        <v>60</v>
      </c>
      <c r="O1962">
        <f>IF(TablaVentas[[#This Row],[Precio_unitario]]="","PENDIENTE",TablaVentas[[#This Row],[Unidades]]*TablaVentas[[#This Row],[Precio_unitario]]*(1-TablaVentas[[#This Row],[Descuento_pct]]))</f>
        <v>7564.19</v>
      </c>
      <c r="P1962">
        <f>IF(TablaVentas[[#This Row],[Costo_unitario]]="","PENDIENTE",TablaVentas[[#This Row],[Unidades]]*TablaVentas[[#This Row],[Costo_unitario]])</f>
        <v>4061.34</v>
      </c>
      <c r="Q1962">
        <f>IF(OR(TablaVentas[[#This Row],[Ingreso_neto]]="PENDIENTE",TablaVentas[[#This Row],[Costo_total]]="PENDIENTE"),"PENDIENTE",TablaVentas[[#This Row],[Ingreso_neto]]-TablaVentas[[#This Row],[Costo_total]])</f>
        <v>3502.8499999999995</v>
      </c>
    </row>
    <row r="1963" spans="1:17">
      <c r="A1963" t="s">
        <v>1232</v>
      </c>
      <c r="B1963">
        <v>4</v>
      </c>
      <c r="C1963" s="3">
        <v>46257</v>
      </c>
      <c r="D1963" t="s">
        <v>319</v>
      </c>
      <c r="E1963" t="s">
        <v>148</v>
      </c>
      <c r="F1963" t="s">
        <v>66</v>
      </c>
      <c r="G1963" t="s">
        <v>40</v>
      </c>
      <c r="H1963" t="s">
        <v>184</v>
      </c>
      <c r="I1963">
        <v>1</v>
      </c>
      <c r="J1963" s="4">
        <v>3119.64</v>
      </c>
      <c r="K1963" s="5">
        <v>0.05</v>
      </c>
      <c r="L1963" s="4">
        <v>2459.34</v>
      </c>
      <c r="M1963" t="s">
        <v>42</v>
      </c>
      <c r="N1963" t="s">
        <v>45</v>
      </c>
      <c r="O1963">
        <f>IF(TablaVentas[[#This Row],[Precio_unitario]]="","PENDIENTE",TablaVentas[[#This Row],[Unidades]]*TablaVentas[[#This Row],[Precio_unitario]]*(1-TablaVentas[[#This Row],[Descuento_pct]]))</f>
        <v>2963.6579999999999</v>
      </c>
      <c r="P1963">
        <f>IF(TablaVentas[[#This Row],[Costo_unitario]]="","PENDIENTE",TablaVentas[[#This Row],[Unidades]]*TablaVentas[[#This Row],[Costo_unitario]])</f>
        <v>2459.34</v>
      </c>
      <c r="Q1963">
        <f>IF(OR(TablaVentas[[#This Row],[Ingreso_neto]]="PENDIENTE",TablaVentas[[#This Row],[Costo_total]]="PENDIENTE"),"PENDIENTE",TablaVentas[[#This Row],[Ingreso_neto]]-TablaVentas[[#This Row],[Costo_total]])</f>
        <v>504.31799999999976</v>
      </c>
    </row>
    <row r="1964" spans="1:17">
      <c r="A1964" t="s">
        <v>1233</v>
      </c>
      <c r="B1964">
        <v>1</v>
      </c>
      <c r="C1964" s="3">
        <v>46232</v>
      </c>
      <c r="D1964" t="s">
        <v>350</v>
      </c>
      <c r="E1964" t="s">
        <v>120</v>
      </c>
      <c r="F1964" t="s">
        <v>39</v>
      </c>
      <c r="G1964" t="s">
        <v>57</v>
      </c>
      <c r="H1964" t="s">
        <v>82</v>
      </c>
      <c r="I1964">
        <v>1</v>
      </c>
      <c r="J1964" s="4">
        <v>12194.59</v>
      </c>
      <c r="K1964" s="5">
        <v>0.05</v>
      </c>
      <c r="L1964" s="4">
        <v>7975.26</v>
      </c>
      <c r="M1964" t="s">
        <v>42</v>
      </c>
      <c r="N1964" t="s">
        <v>52</v>
      </c>
      <c r="O1964">
        <f>IF(TablaVentas[[#This Row],[Precio_unitario]]="","PENDIENTE",TablaVentas[[#This Row],[Unidades]]*TablaVentas[[#This Row],[Precio_unitario]]*(1-TablaVentas[[#This Row],[Descuento_pct]]))</f>
        <v>11584.860499999999</v>
      </c>
      <c r="P1964">
        <f>IF(TablaVentas[[#This Row],[Costo_unitario]]="","PENDIENTE",TablaVentas[[#This Row],[Unidades]]*TablaVentas[[#This Row],[Costo_unitario]])</f>
        <v>7975.26</v>
      </c>
      <c r="Q1964">
        <f>IF(OR(TablaVentas[[#This Row],[Ingreso_neto]]="PENDIENTE",TablaVentas[[#This Row],[Costo_total]]="PENDIENTE"),"PENDIENTE",TablaVentas[[#This Row],[Ingreso_neto]]-TablaVentas[[#This Row],[Costo_total]])</f>
        <v>3609.6004999999986</v>
      </c>
    </row>
    <row r="1965" spans="1:17">
      <c r="A1965" t="s">
        <v>1233</v>
      </c>
      <c r="B1965">
        <v>2</v>
      </c>
      <c r="C1965" s="3">
        <v>46232</v>
      </c>
      <c r="D1965" t="s">
        <v>350</v>
      </c>
      <c r="E1965" t="s">
        <v>537</v>
      </c>
      <c r="F1965" t="s">
        <v>39</v>
      </c>
      <c r="G1965" t="s">
        <v>57</v>
      </c>
      <c r="H1965" t="s">
        <v>82</v>
      </c>
      <c r="I1965">
        <v>2</v>
      </c>
      <c r="J1965" s="4">
        <v>5677.5</v>
      </c>
      <c r="K1965" s="5">
        <v>0</v>
      </c>
      <c r="L1965" s="4">
        <v>4556.2299999999996</v>
      </c>
      <c r="M1965" t="s">
        <v>42</v>
      </c>
      <c r="N1965" t="s">
        <v>60</v>
      </c>
      <c r="O1965">
        <f>IF(TablaVentas[[#This Row],[Precio_unitario]]="","PENDIENTE",TablaVentas[[#This Row],[Unidades]]*TablaVentas[[#This Row],[Precio_unitario]]*(1-TablaVentas[[#This Row],[Descuento_pct]]))</f>
        <v>11355</v>
      </c>
      <c r="P1965">
        <f>IF(TablaVentas[[#This Row],[Costo_unitario]]="","PENDIENTE",TablaVentas[[#This Row],[Unidades]]*TablaVentas[[#This Row],[Costo_unitario]])</f>
        <v>9112.4599999999991</v>
      </c>
      <c r="Q1965">
        <f>IF(OR(TablaVentas[[#This Row],[Ingreso_neto]]="PENDIENTE",TablaVentas[[#This Row],[Costo_total]]="PENDIENTE"),"PENDIENTE",TablaVentas[[#This Row],[Ingreso_neto]]-TablaVentas[[#This Row],[Costo_total]])</f>
        <v>2242.5400000000009</v>
      </c>
    </row>
    <row r="1966" spans="1:17">
      <c r="A1966" t="s">
        <v>1233</v>
      </c>
      <c r="B1966">
        <v>3</v>
      </c>
      <c r="C1966" s="3">
        <v>46232</v>
      </c>
      <c r="D1966" t="s">
        <v>350</v>
      </c>
      <c r="E1966" t="s">
        <v>123</v>
      </c>
      <c r="F1966" t="s">
        <v>39</v>
      </c>
      <c r="G1966" t="s">
        <v>57</v>
      </c>
      <c r="H1966" t="s">
        <v>82</v>
      </c>
      <c r="I1966">
        <v>4</v>
      </c>
      <c r="J1966" s="4">
        <v>18797.66</v>
      </c>
      <c r="K1966" s="5">
        <v>0</v>
      </c>
      <c r="L1966" s="4">
        <v>12679.41</v>
      </c>
      <c r="M1966" t="s">
        <v>42</v>
      </c>
      <c r="N1966" t="s">
        <v>45</v>
      </c>
      <c r="O1966">
        <f>IF(TablaVentas[[#This Row],[Precio_unitario]]="","PENDIENTE",TablaVentas[[#This Row],[Unidades]]*TablaVentas[[#This Row],[Precio_unitario]]*(1-TablaVentas[[#This Row],[Descuento_pct]]))</f>
        <v>75190.64</v>
      </c>
      <c r="P1966">
        <f>IF(TablaVentas[[#This Row],[Costo_unitario]]="","PENDIENTE",TablaVentas[[#This Row],[Unidades]]*TablaVentas[[#This Row],[Costo_unitario]])</f>
        <v>50717.64</v>
      </c>
      <c r="Q1966">
        <f>IF(OR(TablaVentas[[#This Row],[Ingreso_neto]]="PENDIENTE",TablaVentas[[#This Row],[Costo_total]]="PENDIENTE"),"PENDIENTE",TablaVentas[[#This Row],[Ingreso_neto]]-TablaVentas[[#This Row],[Costo_total]])</f>
        <v>24473</v>
      </c>
    </row>
    <row r="1967" spans="1:17">
      <c r="A1967" t="s">
        <v>1234</v>
      </c>
      <c r="B1967">
        <v>1</v>
      </c>
      <c r="C1967" s="3">
        <v>46064</v>
      </c>
      <c r="D1967" t="s">
        <v>639</v>
      </c>
      <c r="E1967" t="s">
        <v>271</v>
      </c>
      <c r="F1967" t="s">
        <v>77</v>
      </c>
      <c r="G1967" t="s">
        <v>57</v>
      </c>
      <c r="H1967" t="s">
        <v>73</v>
      </c>
      <c r="I1967">
        <v>1</v>
      </c>
      <c r="J1967" s="4">
        <v>1091.9100000000001</v>
      </c>
      <c r="K1967" s="5">
        <v>0</v>
      </c>
      <c r="L1967" s="4">
        <v>759.03</v>
      </c>
      <c r="M1967" t="s">
        <v>42</v>
      </c>
      <c r="N1967" t="s">
        <v>52</v>
      </c>
      <c r="O1967">
        <f>IF(TablaVentas[[#This Row],[Precio_unitario]]="","PENDIENTE",TablaVentas[[#This Row],[Unidades]]*TablaVentas[[#This Row],[Precio_unitario]]*(1-TablaVentas[[#This Row],[Descuento_pct]]))</f>
        <v>1091.9100000000001</v>
      </c>
      <c r="P1967">
        <f>IF(TablaVentas[[#This Row],[Costo_unitario]]="","PENDIENTE",TablaVentas[[#This Row],[Unidades]]*TablaVentas[[#This Row],[Costo_unitario]])</f>
        <v>759.03</v>
      </c>
      <c r="Q1967">
        <f>IF(OR(TablaVentas[[#This Row],[Ingreso_neto]]="PENDIENTE",TablaVentas[[#This Row],[Costo_total]]="PENDIENTE"),"PENDIENTE",TablaVentas[[#This Row],[Ingreso_neto]]-TablaVentas[[#This Row],[Costo_total]])</f>
        <v>332.88000000000011</v>
      </c>
    </row>
    <row r="1968" spans="1:17">
      <c r="A1968" t="s">
        <v>1235</v>
      </c>
      <c r="B1968">
        <v>1</v>
      </c>
      <c r="C1968" s="3">
        <v>46245</v>
      </c>
      <c r="D1968" t="s">
        <v>276</v>
      </c>
      <c r="E1968" t="s">
        <v>335</v>
      </c>
      <c r="F1968" t="s">
        <v>39</v>
      </c>
      <c r="G1968" t="s">
        <v>50</v>
      </c>
      <c r="H1968" t="s">
        <v>51</v>
      </c>
      <c r="I1968">
        <v>2</v>
      </c>
      <c r="J1968" s="4">
        <v>6712.52</v>
      </c>
      <c r="K1968" s="5">
        <v>0</v>
      </c>
      <c r="L1968" s="4">
        <v>5587.31</v>
      </c>
      <c r="M1968" t="s">
        <v>42</v>
      </c>
      <c r="N1968" t="s">
        <v>43</v>
      </c>
      <c r="O1968">
        <f>IF(TablaVentas[[#This Row],[Precio_unitario]]="","PENDIENTE",TablaVentas[[#This Row],[Unidades]]*TablaVentas[[#This Row],[Precio_unitario]]*(1-TablaVentas[[#This Row],[Descuento_pct]]))</f>
        <v>13425.04</v>
      </c>
      <c r="P1968">
        <f>IF(TablaVentas[[#This Row],[Costo_unitario]]="","PENDIENTE",TablaVentas[[#This Row],[Unidades]]*TablaVentas[[#This Row],[Costo_unitario]])</f>
        <v>11174.62</v>
      </c>
      <c r="Q1968">
        <f>IF(OR(TablaVentas[[#This Row],[Ingreso_neto]]="PENDIENTE",TablaVentas[[#This Row],[Costo_total]]="PENDIENTE"),"PENDIENTE",TablaVentas[[#This Row],[Ingreso_neto]]-TablaVentas[[#This Row],[Costo_total]])</f>
        <v>2250.42</v>
      </c>
    </row>
    <row r="1969" spans="1:17">
      <c r="A1969" t="s">
        <v>1235</v>
      </c>
      <c r="B1969">
        <v>2</v>
      </c>
      <c r="C1969" s="3">
        <v>46245</v>
      </c>
      <c r="D1969" t="s">
        <v>276</v>
      </c>
      <c r="E1969" t="s">
        <v>172</v>
      </c>
      <c r="F1969" t="s">
        <v>39</v>
      </c>
      <c r="G1969" t="s">
        <v>50</v>
      </c>
      <c r="H1969" t="s">
        <v>51</v>
      </c>
      <c r="I1969">
        <v>5</v>
      </c>
      <c r="J1969" s="4">
        <v>14994.87</v>
      </c>
      <c r="K1969" s="5">
        <v>0.2</v>
      </c>
      <c r="L1969" s="4">
        <v>10830.17</v>
      </c>
      <c r="M1969" t="s">
        <v>42</v>
      </c>
      <c r="N1969" t="s">
        <v>45</v>
      </c>
      <c r="O1969">
        <f>IF(TablaVentas[[#This Row],[Precio_unitario]]="","PENDIENTE",TablaVentas[[#This Row],[Unidades]]*TablaVentas[[#This Row],[Precio_unitario]]*(1-TablaVentas[[#This Row],[Descuento_pct]]))</f>
        <v>59979.48000000001</v>
      </c>
      <c r="P1969">
        <f>IF(TablaVentas[[#This Row],[Costo_unitario]]="","PENDIENTE",TablaVentas[[#This Row],[Unidades]]*TablaVentas[[#This Row],[Costo_unitario]])</f>
        <v>54150.85</v>
      </c>
      <c r="Q1969">
        <f>IF(OR(TablaVentas[[#This Row],[Ingreso_neto]]="PENDIENTE",TablaVentas[[#This Row],[Costo_total]]="PENDIENTE"),"PENDIENTE",TablaVentas[[#This Row],[Ingreso_neto]]-TablaVentas[[#This Row],[Costo_total]])</f>
        <v>5828.6300000000119</v>
      </c>
    </row>
    <row r="1970" spans="1:17">
      <c r="A1970" t="s">
        <v>1235</v>
      </c>
      <c r="B1970">
        <v>3</v>
      </c>
      <c r="C1970" s="3">
        <v>46245</v>
      </c>
      <c r="D1970" t="s">
        <v>276</v>
      </c>
      <c r="E1970" t="s">
        <v>258</v>
      </c>
      <c r="F1970" t="s">
        <v>39</v>
      </c>
      <c r="G1970" t="s">
        <v>50</v>
      </c>
      <c r="H1970" t="s">
        <v>51</v>
      </c>
      <c r="I1970">
        <v>2</v>
      </c>
      <c r="J1970" s="4">
        <v>3917.53</v>
      </c>
      <c r="K1970" s="5">
        <v>0.15</v>
      </c>
      <c r="L1970" s="4">
        <v>2008.57</v>
      </c>
      <c r="M1970" t="s">
        <v>42</v>
      </c>
      <c r="N1970" t="s">
        <v>60</v>
      </c>
      <c r="O1970">
        <f>IF(TablaVentas[[#This Row],[Precio_unitario]]="","PENDIENTE",TablaVentas[[#This Row],[Unidades]]*TablaVentas[[#This Row],[Precio_unitario]]*(1-TablaVentas[[#This Row],[Descuento_pct]]))</f>
        <v>6659.8010000000004</v>
      </c>
      <c r="P1970">
        <f>IF(TablaVentas[[#This Row],[Costo_unitario]]="","PENDIENTE",TablaVentas[[#This Row],[Unidades]]*TablaVentas[[#This Row],[Costo_unitario]])</f>
        <v>4017.14</v>
      </c>
      <c r="Q1970">
        <f>IF(OR(TablaVentas[[#This Row],[Ingreso_neto]]="PENDIENTE",TablaVentas[[#This Row],[Costo_total]]="PENDIENTE"),"PENDIENTE",TablaVentas[[#This Row],[Ingreso_neto]]-TablaVentas[[#This Row],[Costo_total]])</f>
        <v>2642.6610000000005</v>
      </c>
    </row>
    <row r="1971" spans="1:17">
      <c r="A1971" t="s">
        <v>1236</v>
      </c>
      <c r="B1971">
        <v>1</v>
      </c>
      <c r="C1971" s="3">
        <v>46174</v>
      </c>
      <c r="D1971" t="s">
        <v>1237</v>
      </c>
      <c r="E1971" t="s">
        <v>38</v>
      </c>
      <c r="F1971" t="s">
        <v>39</v>
      </c>
      <c r="G1971" t="s">
        <v>50</v>
      </c>
      <c r="H1971" t="s">
        <v>73</v>
      </c>
      <c r="I1971">
        <v>2</v>
      </c>
      <c r="J1971" s="4">
        <v>5688.91</v>
      </c>
      <c r="K1971" s="5">
        <v>0.2</v>
      </c>
      <c r="L1971" s="4">
        <v>3832.69</v>
      </c>
      <c r="M1971" t="s">
        <v>42</v>
      </c>
      <c r="N1971" t="s">
        <v>52</v>
      </c>
      <c r="O1971">
        <f>IF(TablaVentas[[#This Row],[Precio_unitario]]="","PENDIENTE",TablaVentas[[#This Row],[Unidades]]*TablaVentas[[#This Row],[Precio_unitario]]*(1-TablaVentas[[#This Row],[Descuento_pct]]))</f>
        <v>9102.2559999999994</v>
      </c>
      <c r="P1971">
        <f>IF(TablaVentas[[#This Row],[Costo_unitario]]="","PENDIENTE",TablaVentas[[#This Row],[Unidades]]*TablaVentas[[#This Row],[Costo_unitario]])</f>
        <v>7665.38</v>
      </c>
      <c r="Q1971">
        <f>IF(OR(TablaVentas[[#This Row],[Ingreso_neto]]="PENDIENTE",TablaVentas[[#This Row],[Costo_total]]="PENDIENTE"),"PENDIENTE",TablaVentas[[#This Row],[Ingreso_neto]]-TablaVentas[[#This Row],[Costo_total]])</f>
        <v>1436.8759999999993</v>
      </c>
    </row>
    <row r="1972" spans="1:17">
      <c r="A1972" t="s">
        <v>1238</v>
      </c>
      <c r="B1972">
        <v>1</v>
      </c>
      <c r="C1972" s="3">
        <v>46257</v>
      </c>
      <c r="D1972" t="s">
        <v>214</v>
      </c>
      <c r="E1972" t="s">
        <v>85</v>
      </c>
      <c r="F1972" t="s">
        <v>56</v>
      </c>
      <c r="G1972" t="s">
        <v>57</v>
      </c>
      <c r="H1972" t="s">
        <v>58</v>
      </c>
      <c r="I1972">
        <v>2</v>
      </c>
      <c r="J1972" s="4">
        <v>487.27</v>
      </c>
      <c r="K1972" s="5">
        <v>0</v>
      </c>
      <c r="L1972" s="4">
        <v>307.75</v>
      </c>
      <c r="M1972" t="s">
        <v>42</v>
      </c>
      <c r="N1972" t="s">
        <v>60</v>
      </c>
      <c r="O1972">
        <f>IF(TablaVentas[[#This Row],[Precio_unitario]]="","PENDIENTE",TablaVentas[[#This Row],[Unidades]]*TablaVentas[[#This Row],[Precio_unitario]]*(1-TablaVentas[[#This Row],[Descuento_pct]]))</f>
        <v>974.54</v>
      </c>
      <c r="P1972">
        <f>IF(TablaVentas[[#This Row],[Costo_unitario]]="","PENDIENTE",TablaVentas[[#This Row],[Unidades]]*TablaVentas[[#This Row],[Costo_unitario]])</f>
        <v>615.5</v>
      </c>
      <c r="Q1972">
        <f>IF(OR(TablaVentas[[#This Row],[Ingreso_neto]]="PENDIENTE",TablaVentas[[#This Row],[Costo_total]]="PENDIENTE"),"PENDIENTE",TablaVentas[[#This Row],[Ingreso_neto]]-TablaVentas[[#This Row],[Costo_total]])</f>
        <v>359.03999999999996</v>
      </c>
    </row>
    <row r="1973" spans="1:17">
      <c r="A1973" t="s">
        <v>1238</v>
      </c>
      <c r="B1973">
        <v>2</v>
      </c>
      <c r="C1973" s="3">
        <v>46257</v>
      </c>
      <c r="D1973" t="s">
        <v>214</v>
      </c>
      <c r="E1973" t="s">
        <v>193</v>
      </c>
      <c r="F1973" t="s">
        <v>56</v>
      </c>
      <c r="G1973" t="s">
        <v>57</v>
      </c>
      <c r="H1973" t="s">
        <v>58</v>
      </c>
      <c r="I1973">
        <v>5</v>
      </c>
      <c r="J1973" s="4">
        <v>10594.15</v>
      </c>
      <c r="K1973" s="5">
        <v>0.15</v>
      </c>
      <c r="L1973" s="4">
        <v>5811.72</v>
      </c>
      <c r="M1973" t="s">
        <v>42</v>
      </c>
      <c r="N1973" t="s">
        <v>43</v>
      </c>
      <c r="O1973">
        <f>IF(TablaVentas[[#This Row],[Precio_unitario]]="","PENDIENTE",TablaVentas[[#This Row],[Unidades]]*TablaVentas[[#This Row],[Precio_unitario]]*(1-TablaVentas[[#This Row],[Descuento_pct]]))</f>
        <v>45025.137499999997</v>
      </c>
      <c r="P1973">
        <f>IF(TablaVentas[[#This Row],[Costo_unitario]]="","PENDIENTE",TablaVentas[[#This Row],[Unidades]]*TablaVentas[[#This Row],[Costo_unitario]])</f>
        <v>29058.600000000002</v>
      </c>
      <c r="Q1973">
        <f>IF(OR(TablaVentas[[#This Row],[Ingreso_neto]]="PENDIENTE",TablaVentas[[#This Row],[Costo_total]]="PENDIENTE"),"PENDIENTE",TablaVentas[[#This Row],[Ingreso_neto]]-TablaVentas[[#This Row],[Costo_total]])</f>
        <v>15966.537499999995</v>
      </c>
    </row>
    <row r="1974" spans="1:17">
      <c r="A1974" t="s">
        <v>1239</v>
      </c>
      <c r="B1974">
        <v>1</v>
      </c>
      <c r="C1974" s="3">
        <v>46230</v>
      </c>
      <c r="D1974" t="s">
        <v>281</v>
      </c>
      <c r="E1974" t="s">
        <v>185</v>
      </c>
      <c r="F1974" t="s">
        <v>56</v>
      </c>
      <c r="G1974" t="s">
        <v>40</v>
      </c>
      <c r="H1974" t="s">
        <v>67</v>
      </c>
      <c r="I1974">
        <v>1</v>
      </c>
      <c r="J1974" s="4">
        <v>15698.45</v>
      </c>
      <c r="K1974" s="5">
        <v>0</v>
      </c>
      <c r="L1974" s="4">
        <v>11904.09</v>
      </c>
      <c r="M1974" t="s">
        <v>42</v>
      </c>
      <c r="N1974" t="s">
        <v>45</v>
      </c>
      <c r="O1974">
        <f>IF(TablaVentas[[#This Row],[Precio_unitario]]="","PENDIENTE",TablaVentas[[#This Row],[Unidades]]*TablaVentas[[#This Row],[Precio_unitario]]*(1-TablaVentas[[#This Row],[Descuento_pct]]))</f>
        <v>15698.45</v>
      </c>
      <c r="P1974">
        <f>IF(TablaVentas[[#This Row],[Costo_unitario]]="","PENDIENTE",TablaVentas[[#This Row],[Unidades]]*TablaVentas[[#This Row],[Costo_unitario]])</f>
        <v>11904.09</v>
      </c>
      <c r="Q1974">
        <f>IF(OR(TablaVentas[[#This Row],[Ingreso_neto]]="PENDIENTE",TablaVentas[[#This Row],[Costo_total]]="PENDIENTE"),"PENDIENTE",TablaVentas[[#This Row],[Ingreso_neto]]-TablaVentas[[#This Row],[Costo_total]])</f>
        <v>3794.3600000000006</v>
      </c>
    </row>
    <row r="1975" spans="1:17">
      <c r="A1975" t="s">
        <v>1239</v>
      </c>
      <c r="B1975">
        <v>2</v>
      </c>
      <c r="C1975" s="3">
        <v>46230</v>
      </c>
      <c r="D1975" t="s">
        <v>281</v>
      </c>
      <c r="E1975" t="s">
        <v>180</v>
      </c>
      <c r="F1975" t="s">
        <v>56</v>
      </c>
      <c r="G1975" t="s">
        <v>40</v>
      </c>
      <c r="H1975" t="s">
        <v>67</v>
      </c>
      <c r="I1975">
        <v>1</v>
      </c>
      <c r="J1975" s="4">
        <v>6298.04</v>
      </c>
      <c r="K1975" s="5">
        <v>0</v>
      </c>
      <c r="L1975" s="4">
        <v>3824.92</v>
      </c>
      <c r="M1975" t="s">
        <v>42</v>
      </c>
      <c r="N1975" t="s">
        <v>52</v>
      </c>
      <c r="O1975">
        <f>IF(TablaVentas[[#This Row],[Precio_unitario]]="","PENDIENTE",TablaVentas[[#This Row],[Unidades]]*TablaVentas[[#This Row],[Precio_unitario]]*(1-TablaVentas[[#This Row],[Descuento_pct]]))</f>
        <v>6298.04</v>
      </c>
      <c r="P1975">
        <f>IF(TablaVentas[[#This Row],[Costo_unitario]]="","PENDIENTE",TablaVentas[[#This Row],[Unidades]]*TablaVentas[[#This Row],[Costo_unitario]])</f>
        <v>3824.92</v>
      </c>
      <c r="Q1975">
        <f>IF(OR(TablaVentas[[#This Row],[Ingreso_neto]]="PENDIENTE",TablaVentas[[#This Row],[Costo_total]]="PENDIENTE"),"PENDIENTE",TablaVentas[[#This Row],[Ingreso_neto]]-TablaVentas[[#This Row],[Costo_total]])</f>
        <v>2473.12</v>
      </c>
    </row>
    <row r="1976" spans="1:17">
      <c r="A1976" t="s">
        <v>1240</v>
      </c>
      <c r="B1976">
        <v>1</v>
      </c>
      <c r="C1976" s="3">
        <v>46166</v>
      </c>
      <c r="D1976" t="s">
        <v>709</v>
      </c>
      <c r="E1976" t="s">
        <v>70</v>
      </c>
      <c r="F1976" t="s">
        <v>39</v>
      </c>
      <c r="G1976" t="s">
        <v>57</v>
      </c>
      <c r="H1976" t="s">
        <v>41</v>
      </c>
      <c r="I1976">
        <v>4</v>
      </c>
      <c r="J1976" s="4">
        <v>15100.81</v>
      </c>
      <c r="K1976" s="5">
        <v>0.15</v>
      </c>
      <c r="L1976" s="4">
        <v>10571.25</v>
      </c>
      <c r="M1976" t="s">
        <v>42</v>
      </c>
      <c r="N1976" t="s">
        <v>45</v>
      </c>
      <c r="O1976">
        <f>IF(TablaVentas[[#This Row],[Precio_unitario]]="","PENDIENTE",TablaVentas[[#This Row],[Unidades]]*TablaVentas[[#This Row],[Precio_unitario]]*(1-TablaVentas[[#This Row],[Descuento_pct]]))</f>
        <v>51342.753999999994</v>
      </c>
      <c r="P1976">
        <f>IF(TablaVentas[[#This Row],[Costo_unitario]]="","PENDIENTE",TablaVentas[[#This Row],[Unidades]]*TablaVentas[[#This Row],[Costo_unitario]])</f>
        <v>42285</v>
      </c>
      <c r="Q1976">
        <f>IF(OR(TablaVentas[[#This Row],[Ingreso_neto]]="PENDIENTE",TablaVentas[[#This Row],[Costo_total]]="PENDIENTE"),"PENDIENTE",TablaVentas[[#This Row],[Ingreso_neto]]-TablaVentas[[#This Row],[Costo_total]])</f>
        <v>9057.7539999999935</v>
      </c>
    </row>
    <row r="1977" spans="1:17">
      <c r="A1977" t="s">
        <v>1240</v>
      </c>
      <c r="B1977">
        <v>2</v>
      </c>
      <c r="C1977" s="3">
        <v>46166</v>
      </c>
      <c r="D1977" t="s">
        <v>709</v>
      </c>
      <c r="E1977" t="s">
        <v>68</v>
      </c>
      <c r="F1977" t="s">
        <v>39</v>
      </c>
      <c r="G1977" t="s">
        <v>57</v>
      </c>
      <c r="H1977" t="s">
        <v>41</v>
      </c>
      <c r="I1977">
        <v>1</v>
      </c>
      <c r="J1977" s="4">
        <v>14676.34</v>
      </c>
      <c r="K1977" s="5">
        <v>0</v>
      </c>
      <c r="L1977" s="4">
        <v>9243.35</v>
      </c>
      <c r="M1977" t="s">
        <v>42</v>
      </c>
      <c r="N1977" t="s">
        <v>52</v>
      </c>
      <c r="O1977">
        <f>IF(TablaVentas[[#This Row],[Precio_unitario]]="","PENDIENTE",TablaVentas[[#This Row],[Unidades]]*TablaVentas[[#This Row],[Precio_unitario]]*(1-TablaVentas[[#This Row],[Descuento_pct]]))</f>
        <v>14676.34</v>
      </c>
      <c r="P1977">
        <f>IF(TablaVentas[[#This Row],[Costo_unitario]]="","PENDIENTE",TablaVentas[[#This Row],[Unidades]]*TablaVentas[[#This Row],[Costo_unitario]])</f>
        <v>9243.35</v>
      </c>
      <c r="Q1977">
        <f>IF(OR(TablaVentas[[#This Row],[Ingreso_neto]]="PENDIENTE",TablaVentas[[#This Row],[Costo_total]]="PENDIENTE"),"PENDIENTE",TablaVentas[[#This Row],[Ingreso_neto]]-TablaVentas[[#This Row],[Costo_total]])</f>
        <v>5432.99</v>
      </c>
    </row>
    <row r="1978" spans="1:17">
      <c r="A1978" t="s">
        <v>1240</v>
      </c>
      <c r="B1978">
        <v>3</v>
      </c>
      <c r="C1978" s="3">
        <v>46166</v>
      </c>
      <c r="D1978" t="s">
        <v>709</v>
      </c>
      <c r="E1978" t="s">
        <v>397</v>
      </c>
      <c r="F1978" t="s">
        <v>39</v>
      </c>
      <c r="G1978" t="s">
        <v>57</v>
      </c>
      <c r="H1978" t="s">
        <v>41</v>
      </c>
      <c r="I1978">
        <v>1</v>
      </c>
      <c r="J1978" s="4">
        <v>6408.21</v>
      </c>
      <c r="K1978" s="5">
        <v>0</v>
      </c>
      <c r="L1978" s="4">
        <v>3640.56</v>
      </c>
      <c r="M1978" t="s">
        <v>42</v>
      </c>
      <c r="N1978" t="s">
        <v>60</v>
      </c>
      <c r="O1978">
        <f>IF(TablaVentas[[#This Row],[Precio_unitario]]="","PENDIENTE",TablaVentas[[#This Row],[Unidades]]*TablaVentas[[#This Row],[Precio_unitario]]*(1-TablaVentas[[#This Row],[Descuento_pct]]))</f>
        <v>6408.21</v>
      </c>
      <c r="P1978">
        <f>IF(TablaVentas[[#This Row],[Costo_unitario]]="","PENDIENTE",TablaVentas[[#This Row],[Unidades]]*TablaVentas[[#This Row],[Costo_unitario]])</f>
        <v>3640.56</v>
      </c>
      <c r="Q1978">
        <f>IF(OR(TablaVentas[[#This Row],[Ingreso_neto]]="PENDIENTE",TablaVentas[[#This Row],[Costo_total]]="PENDIENTE"),"PENDIENTE",TablaVentas[[#This Row],[Ingreso_neto]]-TablaVentas[[#This Row],[Costo_total]])</f>
        <v>2767.65</v>
      </c>
    </row>
    <row r="1979" spans="1:17">
      <c r="A1979" t="s">
        <v>1241</v>
      </c>
      <c r="B1979">
        <v>1</v>
      </c>
      <c r="C1979" s="3">
        <v>46258</v>
      </c>
      <c r="D1979" t="s">
        <v>75</v>
      </c>
      <c r="E1979" t="s">
        <v>134</v>
      </c>
      <c r="F1979" t="s">
        <v>56</v>
      </c>
      <c r="G1979" t="s">
        <v>57</v>
      </c>
      <c r="H1979" t="s">
        <v>73</v>
      </c>
      <c r="I1979">
        <v>5</v>
      </c>
      <c r="J1979" s="4">
        <v>275.32</v>
      </c>
      <c r="K1979" s="5">
        <v>0.2</v>
      </c>
      <c r="L1979" s="4">
        <v>176.47</v>
      </c>
      <c r="M1979" t="s">
        <v>42</v>
      </c>
      <c r="N1979" t="s">
        <v>60</v>
      </c>
      <c r="O1979">
        <f>IF(TablaVentas[[#This Row],[Precio_unitario]]="","PENDIENTE",TablaVentas[[#This Row],[Unidades]]*TablaVentas[[#This Row],[Precio_unitario]]*(1-TablaVentas[[#This Row],[Descuento_pct]]))</f>
        <v>1101.28</v>
      </c>
      <c r="P1979">
        <f>IF(TablaVentas[[#This Row],[Costo_unitario]]="","PENDIENTE",TablaVentas[[#This Row],[Unidades]]*TablaVentas[[#This Row],[Costo_unitario]])</f>
        <v>882.35</v>
      </c>
      <c r="Q1979">
        <f>IF(OR(TablaVentas[[#This Row],[Ingreso_neto]]="PENDIENTE",TablaVentas[[#This Row],[Costo_total]]="PENDIENTE"),"PENDIENTE",TablaVentas[[#This Row],[Ingreso_neto]]-TablaVentas[[#This Row],[Costo_total]])</f>
        <v>218.92999999999995</v>
      </c>
    </row>
    <row r="1980" spans="1:17">
      <c r="A1980" t="s">
        <v>1242</v>
      </c>
      <c r="B1980">
        <v>1</v>
      </c>
      <c r="C1980" s="3">
        <v>46217</v>
      </c>
      <c r="D1980" t="s">
        <v>348</v>
      </c>
      <c r="E1980" t="s">
        <v>321</v>
      </c>
      <c r="F1980" t="s">
        <v>66</v>
      </c>
      <c r="G1980" t="s">
        <v>40</v>
      </c>
      <c r="H1980" t="s">
        <v>102</v>
      </c>
      <c r="I1980">
        <v>3</v>
      </c>
      <c r="J1980" s="4">
        <v>1181.81</v>
      </c>
      <c r="K1980" s="5">
        <v>0</v>
      </c>
      <c r="L1980" s="4">
        <v>679.37</v>
      </c>
      <c r="M1980" t="s">
        <v>42</v>
      </c>
      <c r="N1980" t="s">
        <v>60</v>
      </c>
      <c r="O1980">
        <f>IF(TablaVentas[[#This Row],[Precio_unitario]]="","PENDIENTE",TablaVentas[[#This Row],[Unidades]]*TablaVentas[[#This Row],[Precio_unitario]]*(1-TablaVentas[[#This Row],[Descuento_pct]]))</f>
        <v>3545.43</v>
      </c>
      <c r="P1980">
        <f>IF(TablaVentas[[#This Row],[Costo_unitario]]="","PENDIENTE",TablaVentas[[#This Row],[Unidades]]*TablaVentas[[#This Row],[Costo_unitario]])</f>
        <v>2038.1100000000001</v>
      </c>
      <c r="Q1980">
        <f>IF(OR(TablaVentas[[#This Row],[Ingreso_neto]]="PENDIENTE",TablaVentas[[#This Row],[Costo_total]]="PENDIENTE"),"PENDIENTE",TablaVentas[[#This Row],[Ingreso_neto]]-TablaVentas[[#This Row],[Costo_total]])</f>
        <v>1507.3199999999997</v>
      </c>
    </row>
    <row r="1981" spans="1:17">
      <c r="A1981" t="s">
        <v>1243</v>
      </c>
      <c r="B1981">
        <v>1</v>
      </c>
      <c r="C1981" s="3">
        <v>46111</v>
      </c>
      <c r="D1981" t="s">
        <v>334</v>
      </c>
      <c r="E1981" t="s">
        <v>353</v>
      </c>
      <c r="F1981" t="s">
        <v>66</v>
      </c>
      <c r="G1981" t="s">
        <v>57</v>
      </c>
      <c r="H1981" t="s">
        <v>67</v>
      </c>
      <c r="I1981">
        <v>1</v>
      </c>
      <c r="J1981" s="4">
        <v>2331.7600000000002</v>
      </c>
      <c r="K1981" s="5">
        <v>0</v>
      </c>
      <c r="L1981" s="4">
        <v>1479.71</v>
      </c>
      <c r="M1981" t="s">
        <v>42</v>
      </c>
      <c r="N1981" t="s">
        <v>60</v>
      </c>
      <c r="O1981">
        <f>IF(TablaVentas[[#This Row],[Precio_unitario]]="","PENDIENTE",TablaVentas[[#This Row],[Unidades]]*TablaVentas[[#This Row],[Precio_unitario]]*(1-TablaVentas[[#This Row],[Descuento_pct]]))</f>
        <v>2331.7600000000002</v>
      </c>
      <c r="P1981">
        <f>IF(TablaVentas[[#This Row],[Costo_unitario]]="","PENDIENTE",TablaVentas[[#This Row],[Unidades]]*TablaVentas[[#This Row],[Costo_unitario]])</f>
        <v>1479.71</v>
      </c>
      <c r="Q1981">
        <f>IF(OR(TablaVentas[[#This Row],[Ingreso_neto]]="PENDIENTE",TablaVentas[[#This Row],[Costo_total]]="PENDIENTE"),"PENDIENTE",TablaVentas[[#This Row],[Ingreso_neto]]-TablaVentas[[#This Row],[Costo_total]])</f>
        <v>852.05000000000018</v>
      </c>
    </row>
    <row r="1982" spans="1:17">
      <c r="A1982" t="s">
        <v>1244</v>
      </c>
      <c r="B1982">
        <v>1</v>
      </c>
      <c r="C1982" s="3">
        <v>46032</v>
      </c>
      <c r="D1982" t="s">
        <v>48</v>
      </c>
      <c r="E1982" t="s">
        <v>46</v>
      </c>
      <c r="F1982" t="s">
        <v>77</v>
      </c>
      <c r="G1982" t="s">
        <v>50</v>
      </c>
      <c r="H1982" t="s">
        <v>51</v>
      </c>
      <c r="I1982">
        <v>1</v>
      </c>
      <c r="J1982" s="4">
        <v>3985.26</v>
      </c>
      <c r="K1982" s="5">
        <v>0</v>
      </c>
      <c r="L1982" s="4">
        <v>2957.6</v>
      </c>
      <c r="M1982" t="s">
        <v>42</v>
      </c>
      <c r="N1982" t="s">
        <v>60</v>
      </c>
      <c r="O1982">
        <f>IF(TablaVentas[[#This Row],[Precio_unitario]]="","PENDIENTE",TablaVentas[[#This Row],[Unidades]]*TablaVentas[[#This Row],[Precio_unitario]]*(1-TablaVentas[[#This Row],[Descuento_pct]]))</f>
        <v>3985.26</v>
      </c>
      <c r="P1982">
        <f>IF(TablaVentas[[#This Row],[Costo_unitario]]="","PENDIENTE",TablaVentas[[#This Row],[Unidades]]*TablaVentas[[#This Row],[Costo_unitario]])</f>
        <v>2957.6</v>
      </c>
      <c r="Q1982">
        <f>IF(OR(TablaVentas[[#This Row],[Ingreso_neto]]="PENDIENTE",TablaVentas[[#This Row],[Costo_total]]="PENDIENTE"),"PENDIENTE",TablaVentas[[#This Row],[Ingreso_neto]]-TablaVentas[[#This Row],[Costo_total]])</f>
        <v>1027.6600000000003</v>
      </c>
    </row>
    <row r="1983" spans="1:17">
      <c r="A1983" t="s">
        <v>1244</v>
      </c>
      <c r="B1983">
        <v>2</v>
      </c>
      <c r="C1983" s="3">
        <v>46032</v>
      </c>
      <c r="D1983" t="s">
        <v>48</v>
      </c>
      <c r="E1983" t="s">
        <v>89</v>
      </c>
      <c r="F1983" t="s">
        <v>77</v>
      </c>
      <c r="G1983" t="s">
        <v>50</v>
      </c>
      <c r="H1983" t="s">
        <v>51</v>
      </c>
      <c r="I1983">
        <v>4</v>
      </c>
      <c r="J1983" s="4">
        <v>12080.61</v>
      </c>
      <c r="K1983" s="5">
        <v>0</v>
      </c>
      <c r="L1983" s="4">
        <v>9118.07</v>
      </c>
      <c r="M1983" t="s">
        <v>42</v>
      </c>
      <c r="N1983" t="s">
        <v>43</v>
      </c>
      <c r="O1983">
        <f>IF(TablaVentas[[#This Row],[Precio_unitario]]="","PENDIENTE",TablaVentas[[#This Row],[Unidades]]*TablaVentas[[#This Row],[Precio_unitario]]*(1-TablaVentas[[#This Row],[Descuento_pct]]))</f>
        <v>48322.44</v>
      </c>
      <c r="P1983">
        <f>IF(TablaVentas[[#This Row],[Costo_unitario]]="","PENDIENTE",TablaVentas[[#This Row],[Unidades]]*TablaVentas[[#This Row],[Costo_unitario]])</f>
        <v>36472.28</v>
      </c>
      <c r="Q1983">
        <f>IF(OR(TablaVentas[[#This Row],[Ingreso_neto]]="PENDIENTE",TablaVentas[[#This Row],[Costo_total]]="PENDIENTE"),"PENDIENTE",TablaVentas[[#This Row],[Ingreso_neto]]-TablaVentas[[#This Row],[Costo_total]])</f>
        <v>11850.160000000003</v>
      </c>
    </row>
    <row r="1984" spans="1:17">
      <c r="A1984" t="s">
        <v>1245</v>
      </c>
      <c r="B1984">
        <v>1</v>
      </c>
      <c r="C1984" s="3">
        <v>46061</v>
      </c>
      <c r="D1984" t="s">
        <v>54</v>
      </c>
      <c r="E1984" t="s">
        <v>256</v>
      </c>
      <c r="F1984" t="s">
        <v>39</v>
      </c>
      <c r="G1984" t="s">
        <v>50</v>
      </c>
      <c r="H1984" t="s">
        <v>184</v>
      </c>
      <c r="I1984">
        <v>2</v>
      </c>
      <c r="J1984" s="4">
        <v>19027.830000000002</v>
      </c>
      <c r="K1984" s="5">
        <v>0.1</v>
      </c>
      <c r="L1984" s="4">
        <v>11666.57</v>
      </c>
      <c r="M1984" t="s">
        <v>42</v>
      </c>
      <c r="N1984" t="s">
        <v>60</v>
      </c>
      <c r="O1984">
        <f>IF(TablaVentas[[#This Row],[Precio_unitario]]="","PENDIENTE",TablaVentas[[#This Row],[Unidades]]*TablaVentas[[#This Row],[Precio_unitario]]*(1-TablaVentas[[#This Row],[Descuento_pct]]))</f>
        <v>34250.094000000005</v>
      </c>
      <c r="P1984">
        <f>IF(TablaVentas[[#This Row],[Costo_unitario]]="","PENDIENTE",TablaVentas[[#This Row],[Unidades]]*TablaVentas[[#This Row],[Costo_unitario]])</f>
        <v>23333.14</v>
      </c>
      <c r="Q1984">
        <f>IF(OR(TablaVentas[[#This Row],[Ingreso_neto]]="PENDIENTE",TablaVentas[[#This Row],[Costo_total]]="PENDIENTE"),"PENDIENTE",TablaVentas[[#This Row],[Ingreso_neto]]-TablaVentas[[#This Row],[Costo_total]])</f>
        <v>10916.954000000005</v>
      </c>
    </row>
    <row r="1985" spans="1:17">
      <c r="A1985" t="s">
        <v>1245</v>
      </c>
      <c r="B1985">
        <v>2</v>
      </c>
      <c r="C1985" s="3">
        <v>46061</v>
      </c>
      <c r="D1985" t="s">
        <v>54</v>
      </c>
      <c r="E1985" t="s">
        <v>277</v>
      </c>
      <c r="F1985" t="s">
        <v>39</v>
      </c>
      <c r="G1985" t="s">
        <v>50</v>
      </c>
      <c r="H1985" t="s">
        <v>184</v>
      </c>
      <c r="I1985">
        <v>2</v>
      </c>
      <c r="J1985" s="4">
        <v>6145.99</v>
      </c>
      <c r="K1985" s="5">
        <v>0.1</v>
      </c>
      <c r="L1985" s="4">
        <v>4858.08</v>
      </c>
      <c r="M1985" t="s">
        <v>42</v>
      </c>
      <c r="N1985" t="s">
        <v>52</v>
      </c>
      <c r="O1985">
        <f>IF(TablaVentas[[#This Row],[Precio_unitario]]="","PENDIENTE",TablaVentas[[#This Row],[Unidades]]*TablaVentas[[#This Row],[Precio_unitario]]*(1-TablaVentas[[#This Row],[Descuento_pct]]))</f>
        <v>11062.781999999999</v>
      </c>
      <c r="P1985">
        <f>IF(TablaVentas[[#This Row],[Costo_unitario]]="","PENDIENTE",TablaVentas[[#This Row],[Unidades]]*TablaVentas[[#This Row],[Costo_unitario]])</f>
        <v>9716.16</v>
      </c>
      <c r="Q1985">
        <f>IF(OR(TablaVentas[[#This Row],[Ingreso_neto]]="PENDIENTE",TablaVentas[[#This Row],[Costo_total]]="PENDIENTE"),"PENDIENTE",TablaVentas[[#This Row],[Ingreso_neto]]-TablaVentas[[#This Row],[Costo_total]])</f>
        <v>1346.6219999999994</v>
      </c>
    </row>
    <row r="1986" spans="1:17">
      <c r="A1986" t="s">
        <v>1245</v>
      </c>
      <c r="B1986">
        <v>3</v>
      </c>
      <c r="C1986" s="3">
        <v>46061</v>
      </c>
      <c r="D1986" t="s">
        <v>54</v>
      </c>
      <c r="E1986" t="s">
        <v>138</v>
      </c>
      <c r="F1986" t="s">
        <v>39</v>
      </c>
      <c r="G1986" t="s">
        <v>50</v>
      </c>
      <c r="H1986" t="s">
        <v>184</v>
      </c>
      <c r="I1986">
        <v>1</v>
      </c>
      <c r="J1986" s="4">
        <v>6557.8</v>
      </c>
      <c r="K1986" s="5">
        <v>0.2</v>
      </c>
      <c r="L1986" s="4">
        <v>4665.62</v>
      </c>
      <c r="M1986" t="s">
        <v>42</v>
      </c>
      <c r="N1986" t="s">
        <v>45</v>
      </c>
      <c r="O1986">
        <f>IF(TablaVentas[[#This Row],[Precio_unitario]]="","PENDIENTE",TablaVentas[[#This Row],[Unidades]]*TablaVentas[[#This Row],[Precio_unitario]]*(1-TablaVentas[[#This Row],[Descuento_pct]]))</f>
        <v>5246.2400000000007</v>
      </c>
      <c r="P1986">
        <f>IF(TablaVentas[[#This Row],[Costo_unitario]]="","PENDIENTE",TablaVentas[[#This Row],[Unidades]]*TablaVentas[[#This Row],[Costo_unitario]])</f>
        <v>4665.62</v>
      </c>
      <c r="Q1986">
        <f>IF(OR(TablaVentas[[#This Row],[Ingreso_neto]]="PENDIENTE",TablaVentas[[#This Row],[Costo_total]]="PENDIENTE"),"PENDIENTE",TablaVentas[[#This Row],[Ingreso_neto]]-TablaVentas[[#This Row],[Costo_total]])</f>
        <v>580.6200000000008</v>
      </c>
    </row>
    <row r="1987" spans="1:17">
      <c r="A1987" t="s">
        <v>1246</v>
      </c>
      <c r="B1987">
        <v>1</v>
      </c>
      <c r="C1987" s="3">
        <v>46071</v>
      </c>
      <c r="D1987" t="s">
        <v>1199</v>
      </c>
      <c r="E1987" t="s">
        <v>282</v>
      </c>
      <c r="F1987" t="s">
        <v>77</v>
      </c>
      <c r="G1987" t="s">
        <v>40</v>
      </c>
      <c r="H1987" t="s">
        <v>51</v>
      </c>
      <c r="I1987">
        <v>1</v>
      </c>
      <c r="J1987" s="4">
        <v>4557.08</v>
      </c>
      <c r="K1987" s="5">
        <v>0</v>
      </c>
      <c r="L1987" s="4">
        <v>3399.5</v>
      </c>
      <c r="M1987" t="s">
        <v>42</v>
      </c>
      <c r="N1987" t="s">
        <v>43</v>
      </c>
      <c r="O1987">
        <f>IF(TablaVentas[[#This Row],[Precio_unitario]]="","PENDIENTE",TablaVentas[[#This Row],[Unidades]]*TablaVentas[[#This Row],[Precio_unitario]]*(1-TablaVentas[[#This Row],[Descuento_pct]]))</f>
        <v>4557.08</v>
      </c>
      <c r="P1987">
        <f>IF(TablaVentas[[#This Row],[Costo_unitario]]="","PENDIENTE",TablaVentas[[#This Row],[Unidades]]*TablaVentas[[#This Row],[Costo_unitario]])</f>
        <v>3399.5</v>
      </c>
      <c r="Q1987">
        <f>IF(OR(TablaVentas[[#This Row],[Ingreso_neto]]="PENDIENTE",TablaVentas[[#This Row],[Costo_total]]="PENDIENTE"),"PENDIENTE",TablaVentas[[#This Row],[Ingreso_neto]]-TablaVentas[[#This Row],[Costo_total]])</f>
        <v>1157.58</v>
      </c>
    </row>
    <row r="1988" spans="1:17">
      <c r="A1988" t="s">
        <v>1246</v>
      </c>
      <c r="B1988">
        <v>2</v>
      </c>
      <c r="C1988" s="3">
        <v>46071</v>
      </c>
      <c r="D1988" t="s">
        <v>1199</v>
      </c>
      <c r="E1988" t="s">
        <v>262</v>
      </c>
      <c r="F1988" t="s">
        <v>77</v>
      </c>
      <c r="G1988" t="s">
        <v>40</v>
      </c>
      <c r="H1988" t="s">
        <v>51</v>
      </c>
      <c r="I1988">
        <v>2</v>
      </c>
      <c r="J1988" s="4">
        <v>14495.99</v>
      </c>
      <c r="K1988" s="5">
        <v>0</v>
      </c>
      <c r="L1988" s="4">
        <v>8227.4599999999991</v>
      </c>
      <c r="M1988" t="s">
        <v>42</v>
      </c>
      <c r="N1988" t="s">
        <v>60</v>
      </c>
      <c r="O1988">
        <f>IF(TablaVentas[[#This Row],[Precio_unitario]]="","PENDIENTE",TablaVentas[[#This Row],[Unidades]]*TablaVentas[[#This Row],[Precio_unitario]]*(1-TablaVentas[[#This Row],[Descuento_pct]]))</f>
        <v>28991.98</v>
      </c>
      <c r="P1988">
        <f>IF(TablaVentas[[#This Row],[Costo_unitario]]="","PENDIENTE",TablaVentas[[#This Row],[Unidades]]*TablaVentas[[#This Row],[Costo_unitario]])</f>
        <v>16454.919999999998</v>
      </c>
      <c r="Q1988">
        <f>IF(OR(TablaVentas[[#This Row],[Ingreso_neto]]="PENDIENTE",TablaVentas[[#This Row],[Costo_total]]="PENDIENTE"),"PENDIENTE",TablaVentas[[#This Row],[Ingreso_neto]]-TablaVentas[[#This Row],[Costo_total]])</f>
        <v>12537.060000000001</v>
      </c>
    </row>
    <row r="1989" spans="1:17">
      <c r="A1989" t="s">
        <v>1246</v>
      </c>
      <c r="B1989">
        <v>3</v>
      </c>
      <c r="C1989" s="3">
        <v>46071</v>
      </c>
      <c r="D1989" t="s">
        <v>1199</v>
      </c>
      <c r="E1989" t="s">
        <v>46</v>
      </c>
      <c r="F1989" t="s">
        <v>77</v>
      </c>
      <c r="G1989" t="s">
        <v>40</v>
      </c>
      <c r="H1989" t="s">
        <v>51</v>
      </c>
      <c r="I1989">
        <v>1</v>
      </c>
      <c r="J1989" s="4">
        <v>4131.09</v>
      </c>
      <c r="K1989" s="5">
        <v>0</v>
      </c>
      <c r="L1989" s="4">
        <v>2957.6</v>
      </c>
      <c r="M1989" t="s">
        <v>42</v>
      </c>
      <c r="N1989" t="s">
        <v>43</v>
      </c>
      <c r="O1989">
        <f>IF(TablaVentas[[#This Row],[Precio_unitario]]="","PENDIENTE",TablaVentas[[#This Row],[Unidades]]*TablaVentas[[#This Row],[Precio_unitario]]*(1-TablaVentas[[#This Row],[Descuento_pct]]))</f>
        <v>4131.09</v>
      </c>
      <c r="P1989">
        <f>IF(TablaVentas[[#This Row],[Costo_unitario]]="","PENDIENTE",TablaVentas[[#This Row],[Unidades]]*TablaVentas[[#This Row],[Costo_unitario]])</f>
        <v>2957.6</v>
      </c>
      <c r="Q1989">
        <f>IF(OR(TablaVentas[[#This Row],[Ingreso_neto]]="PENDIENTE",TablaVentas[[#This Row],[Costo_total]]="PENDIENTE"),"PENDIENTE",TablaVentas[[#This Row],[Ingreso_neto]]-TablaVentas[[#This Row],[Costo_total]])</f>
        <v>1173.4900000000002</v>
      </c>
    </row>
    <row r="1990" spans="1:17">
      <c r="A1990" t="s">
        <v>1247</v>
      </c>
      <c r="B1990">
        <v>1</v>
      </c>
      <c r="C1990" s="3">
        <v>46243</v>
      </c>
      <c r="D1990" t="s">
        <v>633</v>
      </c>
      <c r="E1990" t="s">
        <v>132</v>
      </c>
      <c r="F1990" t="s">
        <v>77</v>
      </c>
      <c r="G1990" t="s">
        <v>40</v>
      </c>
      <c r="H1990" t="s">
        <v>124</v>
      </c>
      <c r="I1990">
        <v>12</v>
      </c>
      <c r="J1990" s="4">
        <v>18198.29</v>
      </c>
      <c r="K1990" s="5">
        <v>0.2</v>
      </c>
      <c r="L1990" s="4">
        <v>11036.95</v>
      </c>
      <c r="M1990" t="s">
        <v>42</v>
      </c>
      <c r="N1990" t="s">
        <v>60</v>
      </c>
      <c r="O1990">
        <f>IF(TablaVentas[[#This Row],[Precio_unitario]]="","PENDIENTE",TablaVentas[[#This Row],[Unidades]]*TablaVentas[[#This Row],[Precio_unitario]]*(1-TablaVentas[[#This Row],[Descuento_pct]]))</f>
        <v>174703.58400000003</v>
      </c>
      <c r="P1990">
        <f>IF(TablaVentas[[#This Row],[Costo_unitario]]="","PENDIENTE",TablaVentas[[#This Row],[Unidades]]*TablaVentas[[#This Row],[Costo_unitario]])</f>
        <v>132443.40000000002</v>
      </c>
      <c r="Q1990">
        <f>IF(OR(TablaVentas[[#This Row],[Ingreso_neto]]="PENDIENTE",TablaVentas[[#This Row],[Costo_total]]="PENDIENTE"),"PENDIENTE",TablaVentas[[#This Row],[Ingreso_neto]]-TablaVentas[[#This Row],[Costo_total]])</f>
        <v>42260.184000000008</v>
      </c>
    </row>
    <row r="1991" spans="1:17">
      <c r="A1991" t="s">
        <v>1248</v>
      </c>
      <c r="B1991">
        <v>1</v>
      </c>
      <c r="C1991" s="3">
        <v>46164</v>
      </c>
      <c r="D1991" t="s">
        <v>177</v>
      </c>
      <c r="E1991" t="s">
        <v>223</v>
      </c>
      <c r="F1991" t="s">
        <v>66</v>
      </c>
      <c r="G1991" t="s">
        <v>50</v>
      </c>
      <c r="H1991" t="s">
        <v>129</v>
      </c>
      <c r="I1991">
        <v>3</v>
      </c>
      <c r="J1991" s="4">
        <v>5867.13</v>
      </c>
      <c r="K1991" s="5">
        <v>0</v>
      </c>
      <c r="L1991" s="4">
        <v>3298.19</v>
      </c>
      <c r="M1991" t="s">
        <v>42</v>
      </c>
      <c r="N1991" t="s">
        <v>60</v>
      </c>
      <c r="O1991">
        <f>IF(TablaVentas[[#This Row],[Precio_unitario]]="","PENDIENTE",TablaVentas[[#This Row],[Unidades]]*TablaVentas[[#This Row],[Precio_unitario]]*(1-TablaVentas[[#This Row],[Descuento_pct]]))</f>
        <v>17601.39</v>
      </c>
      <c r="P1991">
        <f>IF(TablaVentas[[#This Row],[Costo_unitario]]="","PENDIENTE",TablaVentas[[#This Row],[Unidades]]*TablaVentas[[#This Row],[Costo_unitario]])</f>
        <v>9894.57</v>
      </c>
      <c r="Q1991">
        <f>IF(OR(TablaVentas[[#This Row],[Ingreso_neto]]="PENDIENTE",TablaVentas[[#This Row],[Costo_total]]="PENDIENTE"),"PENDIENTE",TablaVentas[[#This Row],[Ingreso_neto]]-TablaVentas[[#This Row],[Costo_total]])</f>
        <v>7706.82</v>
      </c>
    </row>
    <row r="1992" spans="1:17">
      <c r="A1992" t="s">
        <v>1249</v>
      </c>
      <c r="B1992">
        <v>1</v>
      </c>
      <c r="C1992" s="3">
        <v>46103</v>
      </c>
      <c r="D1992" t="s">
        <v>857</v>
      </c>
      <c r="E1992" t="s">
        <v>76</v>
      </c>
      <c r="F1992" t="s">
        <v>56</v>
      </c>
      <c r="G1992" t="s">
        <v>40</v>
      </c>
      <c r="H1992" t="s">
        <v>51</v>
      </c>
      <c r="I1992">
        <v>1</v>
      </c>
      <c r="J1992" s="4">
        <v>12653.94</v>
      </c>
      <c r="K1992" s="5">
        <v>0</v>
      </c>
      <c r="L1992" s="4">
        <v>7748.44</v>
      </c>
      <c r="M1992" t="s">
        <v>42</v>
      </c>
      <c r="N1992" t="s">
        <v>43</v>
      </c>
      <c r="O1992">
        <f>IF(TablaVentas[[#This Row],[Precio_unitario]]="","PENDIENTE",TablaVentas[[#This Row],[Unidades]]*TablaVentas[[#This Row],[Precio_unitario]]*(1-TablaVentas[[#This Row],[Descuento_pct]]))</f>
        <v>12653.94</v>
      </c>
      <c r="P1992">
        <f>IF(TablaVentas[[#This Row],[Costo_unitario]]="","PENDIENTE",TablaVentas[[#This Row],[Unidades]]*TablaVentas[[#This Row],[Costo_unitario]])</f>
        <v>7748.44</v>
      </c>
      <c r="Q1992">
        <f>IF(OR(TablaVentas[[#This Row],[Ingreso_neto]]="PENDIENTE",TablaVentas[[#This Row],[Costo_total]]="PENDIENTE"),"PENDIENTE",TablaVentas[[#This Row],[Ingreso_neto]]-TablaVentas[[#This Row],[Costo_total]])</f>
        <v>4905.5000000000009</v>
      </c>
    </row>
    <row r="1993" spans="1:17">
      <c r="A1993" t="s">
        <v>1249</v>
      </c>
      <c r="B1993">
        <v>2</v>
      </c>
      <c r="C1993" s="3">
        <v>46103</v>
      </c>
      <c r="D1993" t="s">
        <v>857</v>
      </c>
      <c r="E1993" t="s">
        <v>84</v>
      </c>
      <c r="F1993" t="s">
        <v>56</v>
      </c>
      <c r="G1993" t="s">
        <v>40</v>
      </c>
      <c r="H1993" t="s">
        <v>51</v>
      </c>
      <c r="I1993">
        <v>1</v>
      </c>
      <c r="J1993" s="4">
        <v>15902.32</v>
      </c>
      <c r="K1993" s="5">
        <v>0</v>
      </c>
      <c r="L1993" s="4">
        <v>8576.0499999999993</v>
      </c>
      <c r="M1993" t="s">
        <v>116</v>
      </c>
      <c r="N1993" t="s">
        <v>52</v>
      </c>
      <c r="O1993">
        <f>IF(TablaVentas[[#This Row],[Precio_unitario]]="","PENDIENTE",TablaVentas[[#This Row],[Unidades]]*TablaVentas[[#This Row],[Precio_unitario]]*(1-TablaVentas[[#This Row],[Descuento_pct]]))</f>
        <v>15902.32</v>
      </c>
      <c r="P1993">
        <f>IF(TablaVentas[[#This Row],[Costo_unitario]]="","PENDIENTE",TablaVentas[[#This Row],[Unidades]]*TablaVentas[[#This Row],[Costo_unitario]])</f>
        <v>8576.0499999999993</v>
      </c>
      <c r="Q1993">
        <f>IF(OR(TablaVentas[[#This Row],[Ingreso_neto]]="PENDIENTE",TablaVentas[[#This Row],[Costo_total]]="PENDIENTE"),"PENDIENTE",TablaVentas[[#This Row],[Ingreso_neto]]-TablaVentas[[#This Row],[Costo_total]])</f>
        <v>7326.27</v>
      </c>
    </row>
    <row r="1994" spans="1:17">
      <c r="A1994" t="s">
        <v>1249</v>
      </c>
      <c r="B1994">
        <v>3</v>
      </c>
      <c r="C1994" s="3">
        <v>46103</v>
      </c>
      <c r="D1994" t="s">
        <v>857</v>
      </c>
      <c r="E1994" t="s">
        <v>139</v>
      </c>
      <c r="F1994" t="s">
        <v>56</v>
      </c>
      <c r="G1994" t="s">
        <v>40</v>
      </c>
      <c r="H1994" t="s">
        <v>51</v>
      </c>
      <c r="I1994">
        <v>8</v>
      </c>
      <c r="J1994" s="4">
        <v>8958.25</v>
      </c>
      <c r="K1994" s="5">
        <v>0.1</v>
      </c>
      <c r="L1994" s="4">
        <v>8002.16</v>
      </c>
      <c r="M1994" t="s">
        <v>42</v>
      </c>
      <c r="N1994" t="s">
        <v>43</v>
      </c>
      <c r="O1994">
        <f>IF(TablaVentas[[#This Row],[Precio_unitario]]="","PENDIENTE",TablaVentas[[#This Row],[Unidades]]*TablaVentas[[#This Row],[Precio_unitario]]*(1-TablaVentas[[#This Row],[Descuento_pct]]))</f>
        <v>64499.4</v>
      </c>
      <c r="P1994">
        <f>IF(TablaVentas[[#This Row],[Costo_unitario]]="","PENDIENTE",TablaVentas[[#This Row],[Unidades]]*TablaVentas[[#This Row],[Costo_unitario]])</f>
        <v>64017.279999999999</v>
      </c>
      <c r="Q1994">
        <f>IF(OR(TablaVentas[[#This Row],[Ingreso_neto]]="PENDIENTE",TablaVentas[[#This Row],[Costo_total]]="PENDIENTE"),"PENDIENTE",TablaVentas[[#This Row],[Ingreso_neto]]-TablaVentas[[#This Row],[Costo_total]])</f>
        <v>482.12000000000262</v>
      </c>
    </row>
    <row r="1995" spans="1:17">
      <c r="A1995" t="s">
        <v>1250</v>
      </c>
      <c r="B1995">
        <v>1</v>
      </c>
      <c r="C1995" s="3">
        <v>46104</v>
      </c>
      <c r="D1995" t="s">
        <v>1251</v>
      </c>
      <c r="E1995" t="s">
        <v>208</v>
      </c>
      <c r="F1995" t="s">
        <v>77</v>
      </c>
      <c r="G1995" t="s">
        <v>57</v>
      </c>
      <c r="H1995" t="s">
        <v>129</v>
      </c>
      <c r="I1995">
        <v>1</v>
      </c>
      <c r="J1995" s="4">
        <v>9952.4699999999993</v>
      </c>
      <c r="K1995" s="5">
        <v>0.2</v>
      </c>
      <c r="L1995" s="4">
        <v>5535.31</v>
      </c>
      <c r="M1995" t="s">
        <v>42</v>
      </c>
      <c r="N1995" t="s">
        <v>45</v>
      </c>
      <c r="O1995">
        <f>IF(TablaVentas[[#This Row],[Precio_unitario]]="","PENDIENTE",TablaVentas[[#This Row],[Unidades]]*TablaVentas[[#This Row],[Precio_unitario]]*(1-TablaVentas[[#This Row],[Descuento_pct]]))</f>
        <v>7961.9759999999997</v>
      </c>
      <c r="P1995">
        <f>IF(TablaVentas[[#This Row],[Costo_unitario]]="","PENDIENTE",TablaVentas[[#This Row],[Unidades]]*TablaVentas[[#This Row],[Costo_unitario]])</f>
        <v>5535.31</v>
      </c>
      <c r="Q1995">
        <f>IF(OR(TablaVentas[[#This Row],[Ingreso_neto]]="PENDIENTE",TablaVentas[[#This Row],[Costo_total]]="PENDIENTE"),"PENDIENTE",TablaVentas[[#This Row],[Ingreso_neto]]-TablaVentas[[#This Row],[Costo_total]])</f>
        <v>2426.6659999999993</v>
      </c>
    </row>
    <row r="1996" spans="1:17">
      <c r="A1996" t="s">
        <v>1250</v>
      </c>
      <c r="B1996">
        <v>2</v>
      </c>
      <c r="C1996" s="3">
        <v>46104</v>
      </c>
      <c r="D1996" t="s">
        <v>1251</v>
      </c>
      <c r="E1996" t="s">
        <v>135</v>
      </c>
      <c r="F1996" t="s">
        <v>77</v>
      </c>
      <c r="G1996" t="s">
        <v>57</v>
      </c>
      <c r="H1996" t="s">
        <v>129</v>
      </c>
      <c r="I1996">
        <v>2</v>
      </c>
      <c r="J1996" s="4">
        <v>1875.41</v>
      </c>
      <c r="K1996" s="5">
        <v>0</v>
      </c>
      <c r="L1996" s="4">
        <v>1529.93</v>
      </c>
      <c r="M1996" t="s">
        <v>42</v>
      </c>
      <c r="N1996" t="s">
        <v>60</v>
      </c>
      <c r="O1996">
        <f>IF(TablaVentas[[#This Row],[Precio_unitario]]="","PENDIENTE",TablaVentas[[#This Row],[Unidades]]*TablaVentas[[#This Row],[Precio_unitario]]*(1-TablaVentas[[#This Row],[Descuento_pct]]))</f>
        <v>3750.82</v>
      </c>
      <c r="P1996">
        <f>IF(TablaVentas[[#This Row],[Costo_unitario]]="","PENDIENTE",TablaVentas[[#This Row],[Unidades]]*TablaVentas[[#This Row],[Costo_unitario]])</f>
        <v>3059.86</v>
      </c>
      <c r="Q1996">
        <f>IF(OR(TablaVentas[[#This Row],[Ingreso_neto]]="PENDIENTE",TablaVentas[[#This Row],[Costo_total]]="PENDIENTE"),"PENDIENTE",TablaVentas[[#This Row],[Ingreso_neto]]-TablaVentas[[#This Row],[Costo_total]])</f>
        <v>690.96</v>
      </c>
    </row>
    <row r="1997" spans="1:17">
      <c r="A1997" t="s">
        <v>1252</v>
      </c>
      <c r="B1997">
        <v>1</v>
      </c>
      <c r="C1997" s="3">
        <v>46131</v>
      </c>
      <c r="D1997" t="s">
        <v>252</v>
      </c>
      <c r="E1997" t="s">
        <v>236</v>
      </c>
      <c r="F1997" t="s">
        <v>77</v>
      </c>
      <c r="G1997" t="s">
        <v>40</v>
      </c>
      <c r="H1997" t="s">
        <v>184</v>
      </c>
      <c r="I1997">
        <v>1</v>
      </c>
      <c r="J1997" s="4">
        <v>9146.9599999999991</v>
      </c>
      <c r="K1997" s="5">
        <v>0.15</v>
      </c>
      <c r="L1997" s="4">
        <v>8061.7</v>
      </c>
      <c r="M1997" t="s">
        <v>42</v>
      </c>
      <c r="N1997" t="s">
        <v>60</v>
      </c>
      <c r="O1997">
        <f>IF(TablaVentas[[#This Row],[Precio_unitario]]="","PENDIENTE",TablaVentas[[#This Row],[Unidades]]*TablaVentas[[#This Row],[Precio_unitario]]*(1-TablaVentas[[#This Row],[Descuento_pct]]))</f>
        <v>7774.9159999999993</v>
      </c>
      <c r="P1997">
        <f>IF(TablaVentas[[#This Row],[Costo_unitario]]="","PENDIENTE",TablaVentas[[#This Row],[Unidades]]*TablaVentas[[#This Row],[Costo_unitario]])</f>
        <v>8061.7</v>
      </c>
      <c r="Q1997">
        <f>IF(OR(TablaVentas[[#This Row],[Ingreso_neto]]="PENDIENTE",TablaVentas[[#This Row],[Costo_total]]="PENDIENTE"),"PENDIENTE",TablaVentas[[#This Row],[Ingreso_neto]]-TablaVentas[[#This Row],[Costo_total]])</f>
        <v>-286.78400000000056</v>
      </c>
    </row>
    <row r="1998" spans="1:17">
      <c r="A1998" t="s">
        <v>1252</v>
      </c>
      <c r="B1998">
        <v>2</v>
      </c>
      <c r="C1998" s="3">
        <v>46131</v>
      </c>
      <c r="D1998" t="s">
        <v>252</v>
      </c>
      <c r="E1998" t="s">
        <v>273</v>
      </c>
      <c r="F1998" t="s">
        <v>77</v>
      </c>
      <c r="G1998" t="s">
        <v>40</v>
      </c>
      <c r="H1998" t="s">
        <v>184</v>
      </c>
      <c r="I1998">
        <v>12</v>
      </c>
      <c r="J1998" s="4">
        <v>1434.18</v>
      </c>
      <c r="K1998" s="5">
        <v>0</v>
      </c>
      <c r="L1998" s="4">
        <v>716.26</v>
      </c>
      <c r="M1998" t="s">
        <v>42</v>
      </c>
      <c r="N1998" t="s">
        <v>45</v>
      </c>
      <c r="O1998">
        <f>IF(TablaVentas[[#This Row],[Precio_unitario]]="","PENDIENTE",TablaVentas[[#This Row],[Unidades]]*TablaVentas[[#This Row],[Precio_unitario]]*(1-TablaVentas[[#This Row],[Descuento_pct]]))</f>
        <v>17210.16</v>
      </c>
      <c r="P1998">
        <f>IF(TablaVentas[[#This Row],[Costo_unitario]]="","PENDIENTE",TablaVentas[[#This Row],[Unidades]]*TablaVentas[[#This Row],[Costo_unitario]])</f>
        <v>8595.119999999999</v>
      </c>
      <c r="Q1998">
        <f>IF(OR(TablaVentas[[#This Row],[Ingreso_neto]]="PENDIENTE",TablaVentas[[#This Row],[Costo_total]]="PENDIENTE"),"PENDIENTE",TablaVentas[[#This Row],[Ingreso_neto]]-TablaVentas[[#This Row],[Costo_total]])</f>
        <v>8615.0400000000009</v>
      </c>
    </row>
    <row r="1999" spans="1:17">
      <c r="A1999" t="s">
        <v>1253</v>
      </c>
      <c r="B1999">
        <v>1</v>
      </c>
      <c r="C1999" s="3">
        <v>46261</v>
      </c>
      <c r="D1999" t="s">
        <v>295</v>
      </c>
      <c r="E1999" t="s">
        <v>410</v>
      </c>
      <c r="F1999" t="s">
        <v>56</v>
      </c>
      <c r="G1999" t="s">
        <v>40</v>
      </c>
      <c r="H1999" t="s">
        <v>82</v>
      </c>
      <c r="I1999">
        <v>2</v>
      </c>
      <c r="J1999" s="4">
        <v>7434.45</v>
      </c>
      <c r="K1999" s="5">
        <v>0.15</v>
      </c>
      <c r="L1999" s="4">
        <v>5874.17</v>
      </c>
      <c r="M1999" t="s">
        <v>42</v>
      </c>
      <c r="N1999" t="s">
        <v>43</v>
      </c>
      <c r="O1999">
        <f>IF(TablaVentas[[#This Row],[Precio_unitario]]="","PENDIENTE",TablaVentas[[#This Row],[Unidades]]*TablaVentas[[#This Row],[Precio_unitario]]*(1-TablaVentas[[#This Row],[Descuento_pct]]))</f>
        <v>12638.564999999999</v>
      </c>
      <c r="P1999">
        <f>IF(TablaVentas[[#This Row],[Costo_unitario]]="","PENDIENTE",TablaVentas[[#This Row],[Unidades]]*TablaVentas[[#This Row],[Costo_unitario]])</f>
        <v>11748.34</v>
      </c>
      <c r="Q1999">
        <f>IF(OR(TablaVentas[[#This Row],[Ingreso_neto]]="PENDIENTE",TablaVentas[[#This Row],[Costo_total]]="PENDIENTE"),"PENDIENTE",TablaVentas[[#This Row],[Ingreso_neto]]-TablaVentas[[#This Row],[Costo_total]])</f>
        <v>890.22499999999854</v>
      </c>
    </row>
    <row r="2000" spans="1:17">
      <c r="A2000" t="s">
        <v>1254</v>
      </c>
      <c r="B2000">
        <v>1</v>
      </c>
      <c r="C2000" s="3">
        <v>46246</v>
      </c>
      <c r="D2000" t="s">
        <v>593</v>
      </c>
      <c r="E2000" t="s">
        <v>326</v>
      </c>
      <c r="F2000" t="s">
        <v>66</v>
      </c>
      <c r="G2000" t="s">
        <v>57</v>
      </c>
      <c r="H2000" t="s">
        <v>73</v>
      </c>
      <c r="I2000">
        <v>3</v>
      </c>
      <c r="J2000" s="4">
        <v>7842.03</v>
      </c>
      <c r="K2000" s="5">
        <v>0</v>
      </c>
      <c r="L2000" s="4">
        <v>4044.16</v>
      </c>
      <c r="M2000" t="s">
        <v>42</v>
      </c>
      <c r="N2000" t="s">
        <v>43</v>
      </c>
      <c r="O2000">
        <f>IF(TablaVentas[[#This Row],[Precio_unitario]]="","PENDIENTE",TablaVentas[[#This Row],[Unidades]]*TablaVentas[[#This Row],[Precio_unitario]]*(1-TablaVentas[[#This Row],[Descuento_pct]]))</f>
        <v>23526.09</v>
      </c>
      <c r="P2000">
        <f>IF(TablaVentas[[#This Row],[Costo_unitario]]="","PENDIENTE",TablaVentas[[#This Row],[Unidades]]*TablaVentas[[#This Row],[Costo_unitario]])</f>
        <v>12132.48</v>
      </c>
      <c r="Q2000">
        <f>IF(OR(TablaVentas[[#This Row],[Ingreso_neto]]="PENDIENTE",TablaVentas[[#This Row],[Costo_total]]="PENDIENTE"),"PENDIENTE",TablaVentas[[#This Row],[Ingreso_neto]]-TablaVentas[[#This Row],[Costo_total]])</f>
        <v>11393.61</v>
      </c>
    </row>
    <row r="2001" spans="1:17">
      <c r="A2001" t="s">
        <v>1254</v>
      </c>
      <c r="B2001">
        <v>2</v>
      </c>
      <c r="C2001" s="3">
        <v>46246</v>
      </c>
      <c r="D2001" t="s">
        <v>593</v>
      </c>
      <c r="E2001" t="s">
        <v>90</v>
      </c>
      <c r="F2001" t="s">
        <v>66</v>
      </c>
      <c r="G2001" t="s">
        <v>57</v>
      </c>
      <c r="H2001" t="s">
        <v>73</v>
      </c>
      <c r="I2001">
        <v>3</v>
      </c>
      <c r="J2001" s="4">
        <v>10389.709999999999</v>
      </c>
      <c r="K2001" s="5">
        <v>0.05</v>
      </c>
      <c r="L2001" s="4">
        <v>8174.87</v>
      </c>
      <c r="M2001" t="s">
        <v>42</v>
      </c>
      <c r="N2001" t="s">
        <v>60</v>
      </c>
      <c r="O2001">
        <f>IF(TablaVentas[[#This Row],[Precio_unitario]]="","PENDIENTE",TablaVentas[[#This Row],[Unidades]]*TablaVentas[[#This Row],[Precio_unitario]]*(1-TablaVentas[[#This Row],[Descuento_pct]]))</f>
        <v>29610.673499999997</v>
      </c>
      <c r="P2001">
        <f>IF(TablaVentas[[#This Row],[Costo_unitario]]="","PENDIENTE",TablaVentas[[#This Row],[Unidades]]*TablaVentas[[#This Row],[Costo_unitario]])</f>
        <v>24524.61</v>
      </c>
      <c r="Q2001">
        <f>IF(OR(TablaVentas[[#This Row],[Ingreso_neto]]="PENDIENTE",TablaVentas[[#This Row],[Costo_total]]="PENDIENTE"),"PENDIENTE",TablaVentas[[#This Row],[Ingreso_neto]]-TablaVentas[[#This Row],[Costo_total]])</f>
        <v>5086.0634999999966</v>
      </c>
    </row>
    <row r="2002" spans="1:17">
      <c r="A2002" t="s">
        <v>1255</v>
      </c>
      <c r="B2002">
        <v>1</v>
      </c>
      <c r="C2002" s="3">
        <v>46165</v>
      </c>
      <c r="D2002" t="s">
        <v>648</v>
      </c>
      <c r="E2002" t="s">
        <v>196</v>
      </c>
      <c r="F2002" t="s">
        <v>66</v>
      </c>
      <c r="G2002" t="s">
        <v>40</v>
      </c>
      <c r="H2002" t="s">
        <v>102</v>
      </c>
      <c r="I2002">
        <v>2</v>
      </c>
      <c r="J2002" s="4">
        <v>827.75</v>
      </c>
      <c r="K2002" s="5">
        <v>0</v>
      </c>
      <c r="L2002" s="4">
        <v>485.16</v>
      </c>
      <c r="M2002" t="s">
        <v>42</v>
      </c>
      <c r="N2002" t="s">
        <v>60</v>
      </c>
      <c r="O2002">
        <f>IF(TablaVentas[[#This Row],[Precio_unitario]]="","PENDIENTE",TablaVentas[[#This Row],[Unidades]]*TablaVentas[[#This Row],[Precio_unitario]]*(1-TablaVentas[[#This Row],[Descuento_pct]]))</f>
        <v>1655.5</v>
      </c>
      <c r="P2002">
        <f>IF(TablaVentas[[#This Row],[Costo_unitario]]="","PENDIENTE",TablaVentas[[#This Row],[Unidades]]*TablaVentas[[#This Row],[Costo_unitario]])</f>
        <v>970.32</v>
      </c>
      <c r="Q2002">
        <f>IF(OR(TablaVentas[[#This Row],[Ingreso_neto]]="PENDIENTE",TablaVentas[[#This Row],[Costo_total]]="PENDIENTE"),"PENDIENTE",TablaVentas[[#This Row],[Ingreso_neto]]-TablaVentas[[#This Row],[Costo_total]])</f>
        <v>685.18</v>
      </c>
    </row>
    <row r="2003" spans="1:17">
      <c r="A2003" t="s">
        <v>1255</v>
      </c>
      <c r="B2003">
        <v>2</v>
      </c>
      <c r="C2003" s="3">
        <v>46165</v>
      </c>
      <c r="D2003" t="s">
        <v>648</v>
      </c>
      <c r="E2003" t="s">
        <v>115</v>
      </c>
      <c r="F2003" t="s">
        <v>66</v>
      </c>
      <c r="G2003" t="s">
        <v>40</v>
      </c>
      <c r="H2003" t="s">
        <v>102</v>
      </c>
      <c r="I2003">
        <v>2</v>
      </c>
      <c r="J2003" s="4">
        <v>1442.08</v>
      </c>
      <c r="K2003" s="5">
        <v>0.2</v>
      </c>
      <c r="L2003" s="4">
        <v>705.87</v>
      </c>
      <c r="M2003" t="s">
        <v>42</v>
      </c>
      <c r="N2003" t="s">
        <v>45</v>
      </c>
      <c r="O2003">
        <f>IF(TablaVentas[[#This Row],[Precio_unitario]]="","PENDIENTE",TablaVentas[[#This Row],[Unidades]]*TablaVentas[[#This Row],[Precio_unitario]]*(1-TablaVentas[[#This Row],[Descuento_pct]]))</f>
        <v>2307.328</v>
      </c>
      <c r="P2003">
        <f>IF(TablaVentas[[#This Row],[Costo_unitario]]="","PENDIENTE",TablaVentas[[#This Row],[Unidades]]*TablaVentas[[#This Row],[Costo_unitario]])</f>
        <v>1411.74</v>
      </c>
      <c r="Q2003">
        <f>IF(OR(TablaVentas[[#This Row],[Ingreso_neto]]="PENDIENTE",TablaVentas[[#This Row],[Costo_total]]="PENDIENTE"),"PENDIENTE",TablaVentas[[#This Row],[Ingreso_neto]]-TablaVentas[[#This Row],[Costo_total]])</f>
        <v>895.58799999999997</v>
      </c>
    </row>
    <row r="2004" spans="1:17">
      <c r="A2004" t="s">
        <v>1256</v>
      </c>
      <c r="B2004">
        <v>1</v>
      </c>
      <c r="C2004" s="3">
        <v>46287</v>
      </c>
      <c r="D2004" t="s">
        <v>672</v>
      </c>
      <c r="E2004" t="s">
        <v>38</v>
      </c>
      <c r="F2004" t="s">
        <v>56</v>
      </c>
      <c r="G2004" t="s">
        <v>57</v>
      </c>
      <c r="H2004" t="s">
        <v>102</v>
      </c>
      <c r="I2004">
        <v>1</v>
      </c>
      <c r="J2004" s="4">
        <v>6322.16</v>
      </c>
      <c r="K2004" s="5">
        <v>0.15</v>
      </c>
      <c r="L2004" s="4">
        <v>3832.69</v>
      </c>
      <c r="M2004" t="s">
        <v>42</v>
      </c>
      <c r="N2004" t="s">
        <v>43</v>
      </c>
      <c r="O2004">
        <f>IF(TablaVentas[[#This Row],[Precio_unitario]]="","PENDIENTE",TablaVentas[[#This Row],[Unidades]]*TablaVentas[[#This Row],[Precio_unitario]]*(1-TablaVentas[[#This Row],[Descuento_pct]]))</f>
        <v>5373.8359999999993</v>
      </c>
      <c r="P2004">
        <f>IF(TablaVentas[[#This Row],[Costo_unitario]]="","PENDIENTE",TablaVentas[[#This Row],[Unidades]]*TablaVentas[[#This Row],[Costo_unitario]])</f>
        <v>3832.69</v>
      </c>
      <c r="Q2004">
        <f>IF(OR(TablaVentas[[#This Row],[Ingreso_neto]]="PENDIENTE",TablaVentas[[#This Row],[Costo_total]]="PENDIENTE"),"PENDIENTE",TablaVentas[[#This Row],[Ingreso_neto]]-TablaVentas[[#This Row],[Costo_total]])</f>
        <v>1541.1459999999993</v>
      </c>
    </row>
    <row r="2005" spans="1:17">
      <c r="A2005" t="s">
        <v>1256</v>
      </c>
      <c r="B2005">
        <v>2</v>
      </c>
      <c r="C2005" s="3">
        <v>46287</v>
      </c>
      <c r="D2005" t="s">
        <v>672</v>
      </c>
      <c r="E2005" t="s">
        <v>185</v>
      </c>
      <c r="F2005" t="s">
        <v>56</v>
      </c>
      <c r="G2005" t="s">
        <v>57</v>
      </c>
      <c r="H2005" t="s">
        <v>102</v>
      </c>
      <c r="I2005">
        <v>1</v>
      </c>
      <c r="J2005" s="4">
        <v>18520.32</v>
      </c>
      <c r="K2005" s="5">
        <v>0.1</v>
      </c>
      <c r="L2005" s="4">
        <v>11904.09</v>
      </c>
      <c r="M2005" t="s">
        <v>42</v>
      </c>
      <c r="N2005" t="s">
        <v>45</v>
      </c>
      <c r="O2005">
        <f>IF(TablaVentas[[#This Row],[Precio_unitario]]="","PENDIENTE",TablaVentas[[#This Row],[Unidades]]*TablaVentas[[#This Row],[Precio_unitario]]*(1-TablaVentas[[#This Row],[Descuento_pct]]))</f>
        <v>16668.288</v>
      </c>
      <c r="P2005">
        <f>IF(TablaVentas[[#This Row],[Costo_unitario]]="","PENDIENTE",TablaVentas[[#This Row],[Unidades]]*TablaVentas[[#This Row],[Costo_unitario]])</f>
        <v>11904.09</v>
      </c>
      <c r="Q2005">
        <f>IF(OR(TablaVentas[[#This Row],[Ingreso_neto]]="PENDIENTE",TablaVentas[[#This Row],[Costo_total]]="PENDIENTE"),"PENDIENTE",TablaVentas[[#This Row],[Ingreso_neto]]-TablaVentas[[#This Row],[Costo_total]])</f>
        <v>4764.1980000000003</v>
      </c>
    </row>
    <row r="2006" spans="1:17">
      <c r="A2006" t="s">
        <v>1256</v>
      </c>
      <c r="B2006">
        <v>3</v>
      </c>
      <c r="C2006" s="3">
        <v>46287</v>
      </c>
      <c r="D2006" t="s">
        <v>672</v>
      </c>
      <c r="E2006" t="s">
        <v>183</v>
      </c>
      <c r="F2006" t="s">
        <v>56</v>
      </c>
      <c r="G2006" t="s">
        <v>57</v>
      </c>
      <c r="H2006" t="s">
        <v>102</v>
      </c>
      <c r="I2006">
        <v>4</v>
      </c>
      <c r="J2006" s="4">
        <v>5362.14</v>
      </c>
      <c r="K2006" s="5">
        <v>0</v>
      </c>
      <c r="L2006" s="4">
        <v>4325.7299999999996</v>
      </c>
      <c r="M2006" t="s">
        <v>42</v>
      </c>
      <c r="N2006" t="s">
        <v>43</v>
      </c>
      <c r="O2006">
        <f>IF(TablaVentas[[#This Row],[Precio_unitario]]="","PENDIENTE",TablaVentas[[#This Row],[Unidades]]*TablaVentas[[#This Row],[Precio_unitario]]*(1-TablaVentas[[#This Row],[Descuento_pct]]))</f>
        <v>21448.560000000001</v>
      </c>
      <c r="P2006">
        <f>IF(TablaVentas[[#This Row],[Costo_unitario]]="","PENDIENTE",TablaVentas[[#This Row],[Unidades]]*TablaVentas[[#This Row],[Costo_unitario]])</f>
        <v>17302.919999999998</v>
      </c>
      <c r="Q2006">
        <f>IF(OR(TablaVentas[[#This Row],[Ingreso_neto]]="PENDIENTE",TablaVentas[[#This Row],[Costo_total]]="PENDIENTE"),"PENDIENTE",TablaVentas[[#This Row],[Ingreso_neto]]-TablaVentas[[#This Row],[Costo_total]])</f>
        <v>4145.6400000000031</v>
      </c>
    </row>
    <row r="2007" spans="1:17">
      <c r="A2007" t="s">
        <v>1256</v>
      </c>
      <c r="B2007">
        <v>4</v>
      </c>
      <c r="C2007" s="3">
        <v>46287</v>
      </c>
      <c r="D2007" t="s">
        <v>672</v>
      </c>
      <c r="E2007" t="s">
        <v>109</v>
      </c>
      <c r="F2007" t="s">
        <v>56</v>
      </c>
      <c r="G2007" t="s">
        <v>57</v>
      </c>
      <c r="H2007" t="s">
        <v>102</v>
      </c>
      <c r="I2007">
        <v>12</v>
      </c>
      <c r="J2007" s="4">
        <v>16207.69</v>
      </c>
      <c r="K2007" s="5">
        <v>0</v>
      </c>
      <c r="L2007" s="4">
        <v>9880.77</v>
      </c>
      <c r="M2007" t="s">
        <v>42</v>
      </c>
      <c r="N2007" t="s">
        <v>43</v>
      </c>
      <c r="O2007">
        <f>IF(TablaVentas[[#This Row],[Precio_unitario]]="","PENDIENTE",TablaVentas[[#This Row],[Unidades]]*TablaVentas[[#This Row],[Precio_unitario]]*(1-TablaVentas[[#This Row],[Descuento_pct]]))</f>
        <v>194492.28</v>
      </c>
      <c r="P2007">
        <f>IF(TablaVentas[[#This Row],[Costo_unitario]]="","PENDIENTE",TablaVentas[[#This Row],[Unidades]]*TablaVentas[[#This Row],[Costo_unitario]])</f>
        <v>118569.24</v>
      </c>
      <c r="Q2007">
        <f>IF(OR(TablaVentas[[#This Row],[Ingreso_neto]]="PENDIENTE",TablaVentas[[#This Row],[Costo_total]]="PENDIENTE"),"PENDIENTE",TablaVentas[[#This Row],[Ingreso_neto]]-TablaVentas[[#This Row],[Costo_total]])</f>
        <v>75923.039999999994</v>
      </c>
    </row>
    <row r="2008" spans="1:17">
      <c r="A2008" t="s">
        <v>1257</v>
      </c>
      <c r="B2008">
        <v>1</v>
      </c>
      <c r="C2008" s="3">
        <v>46276</v>
      </c>
      <c r="D2008" t="s">
        <v>220</v>
      </c>
      <c r="E2008" t="s">
        <v>226</v>
      </c>
      <c r="F2008" t="s">
        <v>77</v>
      </c>
      <c r="G2008" t="s">
        <v>40</v>
      </c>
      <c r="H2008" t="s">
        <v>51</v>
      </c>
      <c r="I2008">
        <v>1</v>
      </c>
      <c r="J2008" s="4">
        <v>19369.64</v>
      </c>
      <c r="K2008" s="5">
        <v>0</v>
      </c>
      <c r="L2008" s="4">
        <v>9976.68</v>
      </c>
      <c r="M2008" t="s">
        <v>42</v>
      </c>
      <c r="N2008" t="s">
        <v>43</v>
      </c>
      <c r="O2008">
        <f>IF(TablaVentas[[#This Row],[Precio_unitario]]="","PENDIENTE",TablaVentas[[#This Row],[Unidades]]*TablaVentas[[#This Row],[Precio_unitario]]*(1-TablaVentas[[#This Row],[Descuento_pct]]))</f>
        <v>19369.64</v>
      </c>
      <c r="P2008">
        <f>IF(TablaVentas[[#This Row],[Costo_unitario]]="","PENDIENTE",TablaVentas[[#This Row],[Unidades]]*TablaVentas[[#This Row],[Costo_unitario]])</f>
        <v>9976.68</v>
      </c>
      <c r="Q2008">
        <f>IF(OR(TablaVentas[[#This Row],[Ingreso_neto]]="PENDIENTE",TablaVentas[[#This Row],[Costo_total]]="PENDIENTE"),"PENDIENTE",TablaVentas[[#This Row],[Ingreso_neto]]-TablaVentas[[#This Row],[Costo_total]])</f>
        <v>9392.9599999999991</v>
      </c>
    </row>
    <row r="2009" spans="1:17">
      <c r="A2009" t="s">
        <v>1257</v>
      </c>
      <c r="B2009">
        <v>2</v>
      </c>
      <c r="C2009" s="3">
        <v>46276</v>
      </c>
      <c r="D2009" t="s">
        <v>220</v>
      </c>
      <c r="E2009" t="s">
        <v>49</v>
      </c>
      <c r="F2009" t="s">
        <v>77</v>
      </c>
      <c r="G2009" t="s">
        <v>40</v>
      </c>
      <c r="H2009" t="s">
        <v>51</v>
      </c>
      <c r="I2009">
        <v>1</v>
      </c>
      <c r="J2009" s="4">
        <v>4014.83</v>
      </c>
      <c r="K2009" s="5">
        <v>0</v>
      </c>
      <c r="L2009" s="4">
        <v>2950.52</v>
      </c>
      <c r="M2009" t="s">
        <v>42</v>
      </c>
      <c r="N2009" t="s">
        <v>45</v>
      </c>
      <c r="O2009">
        <f>IF(TablaVentas[[#This Row],[Precio_unitario]]="","PENDIENTE",TablaVentas[[#This Row],[Unidades]]*TablaVentas[[#This Row],[Precio_unitario]]*(1-TablaVentas[[#This Row],[Descuento_pct]]))</f>
        <v>4014.83</v>
      </c>
      <c r="P2009">
        <f>IF(TablaVentas[[#This Row],[Costo_unitario]]="","PENDIENTE",TablaVentas[[#This Row],[Unidades]]*TablaVentas[[#This Row],[Costo_unitario]])</f>
        <v>2950.52</v>
      </c>
      <c r="Q2009">
        <f>IF(OR(TablaVentas[[#This Row],[Ingreso_neto]]="PENDIENTE",TablaVentas[[#This Row],[Costo_total]]="PENDIENTE"),"PENDIENTE",TablaVentas[[#This Row],[Ingreso_neto]]-TablaVentas[[#This Row],[Costo_total]])</f>
        <v>1064.31</v>
      </c>
    </row>
    <row r="2010" spans="1:17">
      <c r="A2010" t="s">
        <v>1257</v>
      </c>
      <c r="B2010">
        <v>3</v>
      </c>
      <c r="C2010" s="3">
        <v>46276</v>
      </c>
      <c r="D2010" t="s">
        <v>220</v>
      </c>
      <c r="E2010" t="s">
        <v>216</v>
      </c>
      <c r="F2010" t="s">
        <v>77</v>
      </c>
      <c r="G2010" t="s">
        <v>40</v>
      </c>
      <c r="H2010" t="s">
        <v>51</v>
      </c>
      <c r="I2010">
        <v>1</v>
      </c>
      <c r="J2010" s="4">
        <v>16024.64</v>
      </c>
      <c r="K2010" s="5">
        <v>0.05</v>
      </c>
      <c r="L2010" s="4">
        <v>12064.41</v>
      </c>
      <c r="M2010" t="s">
        <v>42</v>
      </c>
      <c r="N2010" t="s">
        <v>60</v>
      </c>
      <c r="O2010">
        <f>IF(TablaVentas[[#This Row],[Precio_unitario]]="","PENDIENTE",TablaVentas[[#This Row],[Unidades]]*TablaVentas[[#This Row],[Precio_unitario]]*(1-TablaVentas[[#This Row],[Descuento_pct]]))</f>
        <v>15223.407999999999</v>
      </c>
      <c r="P2010">
        <f>IF(TablaVentas[[#This Row],[Costo_unitario]]="","PENDIENTE",TablaVentas[[#This Row],[Unidades]]*TablaVentas[[#This Row],[Costo_unitario]])</f>
        <v>12064.41</v>
      </c>
      <c r="Q2010">
        <f>IF(OR(TablaVentas[[#This Row],[Ingreso_neto]]="PENDIENTE",TablaVentas[[#This Row],[Costo_total]]="PENDIENTE"),"PENDIENTE",TablaVentas[[#This Row],[Ingreso_neto]]-TablaVentas[[#This Row],[Costo_total]])</f>
        <v>3158.9979999999996</v>
      </c>
    </row>
    <row r="2011" spans="1:17">
      <c r="A2011" t="s">
        <v>1257</v>
      </c>
      <c r="B2011">
        <v>4</v>
      </c>
      <c r="C2011" s="3">
        <v>46276</v>
      </c>
      <c r="D2011" t="s">
        <v>220</v>
      </c>
      <c r="E2011" t="s">
        <v>212</v>
      </c>
      <c r="F2011" t="s">
        <v>77</v>
      </c>
      <c r="G2011" t="s">
        <v>40</v>
      </c>
      <c r="H2011" t="s">
        <v>51</v>
      </c>
      <c r="I2011">
        <v>1</v>
      </c>
      <c r="J2011" s="4">
        <v>3462.23</v>
      </c>
      <c r="K2011" s="5">
        <v>0.2</v>
      </c>
      <c r="L2011" s="4">
        <v>2157.5500000000002</v>
      </c>
      <c r="M2011" t="s">
        <v>42</v>
      </c>
      <c r="N2011" t="s">
        <v>52</v>
      </c>
      <c r="O2011">
        <f>IF(TablaVentas[[#This Row],[Precio_unitario]]="","PENDIENTE",TablaVentas[[#This Row],[Unidades]]*TablaVentas[[#This Row],[Precio_unitario]]*(1-TablaVentas[[#This Row],[Descuento_pct]]))</f>
        <v>2769.7840000000001</v>
      </c>
      <c r="P2011">
        <f>IF(TablaVentas[[#This Row],[Costo_unitario]]="","PENDIENTE",TablaVentas[[#This Row],[Unidades]]*TablaVentas[[#This Row],[Costo_unitario]])</f>
        <v>2157.5500000000002</v>
      </c>
      <c r="Q2011">
        <f>IF(OR(TablaVentas[[#This Row],[Ingreso_neto]]="PENDIENTE",TablaVentas[[#This Row],[Costo_total]]="PENDIENTE"),"PENDIENTE",TablaVentas[[#This Row],[Ingreso_neto]]-TablaVentas[[#This Row],[Costo_total]])</f>
        <v>612.23399999999992</v>
      </c>
    </row>
    <row r="2012" spans="1:17">
      <c r="A2012" t="s">
        <v>1258</v>
      </c>
      <c r="B2012">
        <v>1</v>
      </c>
      <c r="C2012" s="3">
        <v>46196</v>
      </c>
      <c r="D2012" t="s">
        <v>606</v>
      </c>
      <c r="E2012" t="s">
        <v>44</v>
      </c>
      <c r="F2012" t="s">
        <v>66</v>
      </c>
      <c r="G2012" t="s">
        <v>57</v>
      </c>
      <c r="H2012" t="s">
        <v>73</v>
      </c>
      <c r="I2012">
        <v>4</v>
      </c>
      <c r="J2012" s="4">
        <v>14216.99</v>
      </c>
      <c r="K2012" s="5">
        <v>0</v>
      </c>
      <c r="L2012" s="4">
        <v>8980.68</v>
      </c>
      <c r="M2012" t="s">
        <v>42</v>
      </c>
      <c r="N2012" t="s">
        <v>60</v>
      </c>
      <c r="O2012">
        <f>IF(TablaVentas[[#This Row],[Precio_unitario]]="","PENDIENTE",TablaVentas[[#This Row],[Unidades]]*TablaVentas[[#This Row],[Precio_unitario]]*(1-TablaVentas[[#This Row],[Descuento_pct]]))</f>
        <v>56867.96</v>
      </c>
      <c r="P2012">
        <f>IF(TablaVentas[[#This Row],[Costo_unitario]]="","PENDIENTE",TablaVentas[[#This Row],[Unidades]]*TablaVentas[[#This Row],[Costo_unitario]])</f>
        <v>35922.720000000001</v>
      </c>
      <c r="Q2012">
        <f>IF(OR(TablaVentas[[#This Row],[Ingreso_neto]]="PENDIENTE",TablaVentas[[#This Row],[Costo_total]]="PENDIENTE"),"PENDIENTE",TablaVentas[[#This Row],[Ingreso_neto]]-TablaVentas[[#This Row],[Costo_total]])</f>
        <v>20945.239999999998</v>
      </c>
    </row>
    <row r="2013" spans="1:17">
      <c r="A2013" t="s">
        <v>1258</v>
      </c>
      <c r="B2013">
        <v>2</v>
      </c>
      <c r="C2013" s="3">
        <v>46196</v>
      </c>
      <c r="D2013" t="s">
        <v>606</v>
      </c>
      <c r="E2013" t="s">
        <v>160</v>
      </c>
      <c r="F2013" t="s">
        <v>66</v>
      </c>
      <c r="G2013" t="s">
        <v>57</v>
      </c>
      <c r="H2013" t="s">
        <v>73</v>
      </c>
      <c r="I2013">
        <v>2</v>
      </c>
      <c r="J2013" s="4">
        <v>7450.67</v>
      </c>
      <c r="K2013" s="5">
        <v>0</v>
      </c>
      <c r="L2013" s="4">
        <v>4082.15</v>
      </c>
      <c r="M2013" t="s">
        <v>62</v>
      </c>
      <c r="N2013" t="s">
        <v>52</v>
      </c>
      <c r="O2013">
        <f>IF(TablaVentas[[#This Row],[Precio_unitario]]="","PENDIENTE",TablaVentas[[#This Row],[Unidades]]*TablaVentas[[#This Row],[Precio_unitario]]*(1-TablaVentas[[#This Row],[Descuento_pct]]))</f>
        <v>14901.34</v>
      </c>
      <c r="P2013">
        <f>IF(TablaVentas[[#This Row],[Costo_unitario]]="","PENDIENTE",TablaVentas[[#This Row],[Unidades]]*TablaVentas[[#This Row],[Costo_unitario]])</f>
        <v>8164.3</v>
      </c>
      <c r="Q2013">
        <f>IF(OR(TablaVentas[[#This Row],[Ingreso_neto]]="PENDIENTE",TablaVentas[[#This Row],[Costo_total]]="PENDIENTE"),"PENDIENTE",TablaVentas[[#This Row],[Ingreso_neto]]-TablaVentas[[#This Row],[Costo_total]])</f>
        <v>6737.04</v>
      </c>
    </row>
    <row r="2014" spans="1:17">
      <c r="A2014" t="s">
        <v>1259</v>
      </c>
      <c r="B2014">
        <v>1</v>
      </c>
      <c r="C2014" s="3">
        <v>46231</v>
      </c>
      <c r="D2014" t="s">
        <v>766</v>
      </c>
      <c r="E2014" t="s">
        <v>132</v>
      </c>
      <c r="F2014" t="s">
        <v>56</v>
      </c>
      <c r="G2014" t="s">
        <v>57</v>
      </c>
      <c r="H2014" t="s">
        <v>129</v>
      </c>
      <c r="I2014">
        <v>4</v>
      </c>
      <c r="J2014" s="4">
        <v>18778.53</v>
      </c>
      <c r="K2014" s="5">
        <v>0.2</v>
      </c>
      <c r="L2014" s="4">
        <v>11036.95</v>
      </c>
      <c r="M2014" t="s">
        <v>42</v>
      </c>
      <c r="N2014" t="s">
        <v>43</v>
      </c>
      <c r="O2014">
        <f>IF(TablaVentas[[#This Row],[Precio_unitario]]="","PENDIENTE",TablaVentas[[#This Row],[Unidades]]*TablaVentas[[#This Row],[Precio_unitario]]*(1-TablaVentas[[#This Row],[Descuento_pct]]))</f>
        <v>60091.296000000002</v>
      </c>
      <c r="P2014">
        <f>IF(TablaVentas[[#This Row],[Costo_unitario]]="","PENDIENTE",TablaVentas[[#This Row],[Unidades]]*TablaVentas[[#This Row],[Costo_unitario]])</f>
        <v>44147.8</v>
      </c>
      <c r="Q2014">
        <f>IF(OR(TablaVentas[[#This Row],[Ingreso_neto]]="PENDIENTE",TablaVentas[[#This Row],[Costo_total]]="PENDIENTE"),"PENDIENTE",TablaVentas[[#This Row],[Ingreso_neto]]-TablaVentas[[#This Row],[Costo_total]])</f>
        <v>15943.495999999999</v>
      </c>
    </row>
    <row r="2015" spans="1:17">
      <c r="A2015" t="s">
        <v>1259</v>
      </c>
      <c r="B2015">
        <v>2</v>
      </c>
      <c r="C2015" s="3">
        <v>46231</v>
      </c>
      <c r="D2015" t="s">
        <v>766</v>
      </c>
      <c r="E2015" t="s">
        <v>273</v>
      </c>
      <c r="F2015" t="s">
        <v>56</v>
      </c>
      <c r="G2015" t="s">
        <v>57</v>
      </c>
      <c r="H2015" t="s">
        <v>129</v>
      </c>
      <c r="I2015">
        <v>1</v>
      </c>
      <c r="J2015" s="4">
        <v>1462.14</v>
      </c>
      <c r="K2015" s="5">
        <v>0.05</v>
      </c>
      <c r="L2015" s="4">
        <v>716.26</v>
      </c>
      <c r="M2015" t="s">
        <v>42</v>
      </c>
      <c r="N2015" t="s">
        <v>43</v>
      </c>
      <c r="O2015">
        <f>IF(TablaVentas[[#This Row],[Precio_unitario]]="","PENDIENTE",TablaVentas[[#This Row],[Unidades]]*TablaVentas[[#This Row],[Precio_unitario]]*(1-TablaVentas[[#This Row],[Descuento_pct]]))</f>
        <v>1389.0330000000001</v>
      </c>
      <c r="P2015">
        <f>IF(TablaVentas[[#This Row],[Costo_unitario]]="","PENDIENTE",TablaVentas[[#This Row],[Unidades]]*TablaVentas[[#This Row],[Costo_unitario]])</f>
        <v>716.26</v>
      </c>
      <c r="Q2015">
        <f>IF(OR(TablaVentas[[#This Row],[Ingreso_neto]]="PENDIENTE",TablaVentas[[#This Row],[Costo_total]]="PENDIENTE"),"PENDIENTE",TablaVentas[[#This Row],[Ingreso_neto]]-TablaVentas[[#This Row],[Costo_total]])</f>
        <v>672.77300000000014</v>
      </c>
    </row>
    <row r="2016" spans="1:17">
      <c r="A2016" t="s">
        <v>1259</v>
      </c>
      <c r="B2016">
        <v>3</v>
      </c>
      <c r="C2016" s="3">
        <v>46231</v>
      </c>
      <c r="D2016" t="s">
        <v>766</v>
      </c>
      <c r="E2016" t="s">
        <v>135</v>
      </c>
      <c r="F2016" t="s">
        <v>56</v>
      </c>
      <c r="G2016" t="s">
        <v>57</v>
      </c>
      <c r="H2016" t="s">
        <v>129</v>
      </c>
      <c r="I2016">
        <v>1</v>
      </c>
      <c r="J2016" s="4">
        <v>1914.92</v>
      </c>
      <c r="K2016" s="5">
        <v>0</v>
      </c>
      <c r="L2016" s="4">
        <v>1529.93</v>
      </c>
      <c r="M2016" t="s">
        <v>42</v>
      </c>
      <c r="N2016" t="s">
        <v>60</v>
      </c>
      <c r="O2016">
        <f>IF(TablaVentas[[#This Row],[Precio_unitario]]="","PENDIENTE",TablaVentas[[#This Row],[Unidades]]*TablaVentas[[#This Row],[Precio_unitario]]*(1-TablaVentas[[#This Row],[Descuento_pct]]))</f>
        <v>1914.92</v>
      </c>
      <c r="P2016">
        <f>IF(TablaVentas[[#This Row],[Costo_unitario]]="","PENDIENTE",TablaVentas[[#This Row],[Unidades]]*TablaVentas[[#This Row],[Costo_unitario]])</f>
        <v>1529.93</v>
      </c>
      <c r="Q2016">
        <f>IF(OR(TablaVentas[[#This Row],[Ingreso_neto]]="PENDIENTE",TablaVentas[[#This Row],[Costo_total]]="PENDIENTE"),"PENDIENTE",TablaVentas[[#This Row],[Ingreso_neto]]-TablaVentas[[#This Row],[Costo_total]])</f>
        <v>384.99</v>
      </c>
    </row>
    <row r="2017" spans="1:17">
      <c r="A2017" t="s">
        <v>1259</v>
      </c>
      <c r="B2017">
        <v>4</v>
      </c>
      <c r="C2017" s="3">
        <v>46231</v>
      </c>
      <c r="D2017" t="s">
        <v>766</v>
      </c>
      <c r="E2017" t="s">
        <v>282</v>
      </c>
      <c r="F2017" t="s">
        <v>56</v>
      </c>
      <c r="G2017" t="s">
        <v>57</v>
      </c>
      <c r="H2017" t="s">
        <v>129</v>
      </c>
      <c r="I2017">
        <v>3</v>
      </c>
      <c r="J2017" s="4">
        <v>4052.61</v>
      </c>
      <c r="K2017" s="5">
        <v>0.05</v>
      </c>
      <c r="L2017" s="4">
        <v>3399.5</v>
      </c>
      <c r="M2017" t="s">
        <v>42</v>
      </c>
      <c r="N2017" t="s">
        <v>43</v>
      </c>
      <c r="O2017">
        <f>IF(TablaVentas[[#This Row],[Precio_unitario]]="","PENDIENTE",TablaVentas[[#This Row],[Unidades]]*TablaVentas[[#This Row],[Precio_unitario]]*(1-TablaVentas[[#This Row],[Descuento_pct]]))</f>
        <v>11549.9385</v>
      </c>
      <c r="P2017">
        <f>IF(TablaVentas[[#This Row],[Costo_unitario]]="","PENDIENTE",TablaVentas[[#This Row],[Unidades]]*TablaVentas[[#This Row],[Costo_unitario]])</f>
        <v>10198.5</v>
      </c>
      <c r="Q2017">
        <f>IF(OR(TablaVentas[[#This Row],[Ingreso_neto]]="PENDIENTE",TablaVentas[[#This Row],[Costo_total]]="PENDIENTE"),"PENDIENTE",TablaVentas[[#This Row],[Ingreso_neto]]-TablaVentas[[#This Row],[Costo_total]])</f>
        <v>1351.4385000000002</v>
      </c>
    </row>
    <row r="2018" spans="1:17">
      <c r="A2018" t="s">
        <v>1260</v>
      </c>
      <c r="B2018">
        <v>1</v>
      </c>
      <c r="C2018" s="3">
        <v>46095</v>
      </c>
      <c r="D2018" t="s">
        <v>302</v>
      </c>
      <c r="E2018" t="s">
        <v>272</v>
      </c>
      <c r="F2018" t="s">
        <v>66</v>
      </c>
      <c r="G2018" t="s">
        <v>40</v>
      </c>
      <c r="H2018" t="s">
        <v>82</v>
      </c>
      <c r="I2018">
        <v>1</v>
      </c>
      <c r="J2018" s="4">
        <v>614.62</v>
      </c>
      <c r="K2018" s="5">
        <v>0</v>
      </c>
      <c r="L2018" s="4">
        <v>443</v>
      </c>
      <c r="M2018" t="s">
        <v>42</v>
      </c>
      <c r="N2018" t="s">
        <v>60</v>
      </c>
      <c r="O2018">
        <f>IF(TablaVentas[[#This Row],[Precio_unitario]]="","PENDIENTE",TablaVentas[[#This Row],[Unidades]]*TablaVentas[[#This Row],[Precio_unitario]]*(1-TablaVentas[[#This Row],[Descuento_pct]]))</f>
        <v>614.62</v>
      </c>
      <c r="P2018">
        <f>IF(TablaVentas[[#This Row],[Costo_unitario]]="","PENDIENTE",TablaVentas[[#This Row],[Unidades]]*TablaVentas[[#This Row],[Costo_unitario]])</f>
        <v>443</v>
      </c>
      <c r="Q2018">
        <f>IF(OR(TablaVentas[[#This Row],[Ingreso_neto]]="PENDIENTE",TablaVentas[[#This Row],[Costo_total]]="PENDIENTE"),"PENDIENTE",TablaVentas[[#This Row],[Ingreso_neto]]-TablaVentas[[#This Row],[Costo_total]])</f>
        <v>171.62</v>
      </c>
    </row>
    <row r="2019" spans="1:17">
      <c r="A2019" t="s">
        <v>1261</v>
      </c>
      <c r="B2019">
        <v>1</v>
      </c>
      <c r="C2019" s="3">
        <v>46268</v>
      </c>
      <c r="D2019" t="s">
        <v>316</v>
      </c>
      <c r="E2019" t="s">
        <v>321</v>
      </c>
      <c r="F2019" t="s">
        <v>77</v>
      </c>
      <c r="G2019" t="s">
        <v>50</v>
      </c>
      <c r="H2019" t="s">
        <v>58</v>
      </c>
      <c r="I2019">
        <v>8</v>
      </c>
      <c r="J2019" s="4">
        <v>1221.74</v>
      </c>
      <c r="K2019" s="5">
        <v>0</v>
      </c>
      <c r="L2019" s="4">
        <v>679.37</v>
      </c>
      <c r="M2019" t="s">
        <v>42</v>
      </c>
      <c r="N2019" t="s">
        <v>52</v>
      </c>
      <c r="O2019">
        <f>IF(TablaVentas[[#This Row],[Precio_unitario]]="","PENDIENTE",TablaVentas[[#This Row],[Unidades]]*TablaVentas[[#This Row],[Precio_unitario]]*(1-TablaVentas[[#This Row],[Descuento_pct]]))</f>
        <v>9773.92</v>
      </c>
      <c r="P2019">
        <f>IF(TablaVentas[[#This Row],[Costo_unitario]]="","PENDIENTE",TablaVentas[[#This Row],[Unidades]]*TablaVentas[[#This Row],[Costo_unitario]])</f>
        <v>5434.96</v>
      </c>
      <c r="Q2019">
        <f>IF(OR(TablaVentas[[#This Row],[Ingreso_neto]]="PENDIENTE",TablaVentas[[#This Row],[Costo_total]]="PENDIENTE"),"PENDIENTE",TablaVentas[[#This Row],[Ingreso_neto]]-TablaVentas[[#This Row],[Costo_total]])</f>
        <v>4338.96</v>
      </c>
    </row>
    <row r="2020" spans="1:17">
      <c r="A2020" t="s">
        <v>1262</v>
      </c>
      <c r="B2020">
        <v>1</v>
      </c>
      <c r="C2020" s="3">
        <v>46172</v>
      </c>
      <c r="D2020" t="s">
        <v>540</v>
      </c>
      <c r="E2020" t="s">
        <v>271</v>
      </c>
      <c r="F2020" t="s">
        <v>77</v>
      </c>
      <c r="G2020" t="s">
        <v>50</v>
      </c>
      <c r="H2020" t="s">
        <v>58</v>
      </c>
      <c r="I2020">
        <v>1</v>
      </c>
      <c r="J2020" s="4">
        <v>1065.02</v>
      </c>
      <c r="K2020" s="5">
        <v>0.15</v>
      </c>
      <c r="L2020" s="4">
        <v>759.03</v>
      </c>
      <c r="M2020" t="s">
        <v>42</v>
      </c>
      <c r="N2020" t="s">
        <v>60</v>
      </c>
      <c r="O2020">
        <f>IF(TablaVentas[[#This Row],[Precio_unitario]]="","PENDIENTE",TablaVentas[[#This Row],[Unidades]]*TablaVentas[[#This Row],[Precio_unitario]]*(1-TablaVentas[[#This Row],[Descuento_pct]]))</f>
        <v>905.26699999999994</v>
      </c>
      <c r="P2020">
        <f>IF(TablaVentas[[#This Row],[Costo_unitario]]="","PENDIENTE",TablaVentas[[#This Row],[Unidades]]*TablaVentas[[#This Row],[Costo_unitario]])</f>
        <v>759.03</v>
      </c>
      <c r="Q2020">
        <f>IF(OR(TablaVentas[[#This Row],[Ingreso_neto]]="PENDIENTE",TablaVentas[[#This Row],[Costo_total]]="PENDIENTE"),"PENDIENTE",TablaVentas[[#This Row],[Ingreso_neto]]-TablaVentas[[#This Row],[Costo_total]])</f>
        <v>146.23699999999997</v>
      </c>
    </row>
    <row r="2021" spans="1:17">
      <c r="A2021" t="s">
        <v>1262</v>
      </c>
      <c r="B2021">
        <v>2</v>
      </c>
      <c r="C2021" s="3">
        <v>46172</v>
      </c>
      <c r="D2021" t="s">
        <v>540</v>
      </c>
      <c r="E2021" t="s">
        <v>76</v>
      </c>
      <c r="F2021" t="s">
        <v>77</v>
      </c>
      <c r="G2021" t="s">
        <v>50</v>
      </c>
      <c r="H2021" t="s">
        <v>58</v>
      </c>
      <c r="I2021">
        <v>2</v>
      </c>
      <c r="J2021" s="4">
        <v>12425.01</v>
      </c>
      <c r="K2021" s="5">
        <v>0</v>
      </c>
      <c r="L2021" s="4">
        <v>7748.44</v>
      </c>
      <c r="M2021" t="s">
        <v>42</v>
      </c>
      <c r="N2021" t="s">
        <v>43</v>
      </c>
      <c r="O2021">
        <f>IF(TablaVentas[[#This Row],[Precio_unitario]]="","PENDIENTE",TablaVentas[[#This Row],[Unidades]]*TablaVentas[[#This Row],[Precio_unitario]]*(1-TablaVentas[[#This Row],[Descuento_pct]]))</f>
        <v>24850.02</v>
      </c>
      <c r="P2021">
        <f>IF(TablaVentas[[#This Row],[Costo_unitario]]="","PENDIENTE",TablaVentas[[#This Row],[Unidades]]*TablaVentas[[#This Row],[Costo_unitario]])</f>
        <v>15496.88</v>
      </c>
      <c r="Q2021">
        <f>IF(OR(TablaVentas[[#This Row],[Ingreso_neto]]="PENDIENTE",TablaVentas[[#This Row],[Costo_total]]="PENDIENTE"),"PENDIENTE",TablaVentas[[#This Row],[Ingreso_neto]]-TablaVentas[[#This Row],[Costo_total]])</f>
        <v>9353.1400000000012</v>
      </c>
    </row>
    <row r="2022" spans="1:17">
      <c r="A2022" t="s">
        <v>1262</v>
      </c>
      <c r="B2022">
        <v>3</v>
      </c>
      <c r="C2022" s="3">
        <v>46172</v>
      </c>
      <c r="D2022" t="s">
        <v>540</v>
      </c>
      <c r="E2022" t="s">
        <v>65</v>
      </c>
      <c r="F2022" t="s">
        <v>77</v>
      </c>
      <c r="G2022" t="s">
        <v>50</v>
      </c>
      <c r="H2022" t="s">
        <v>58</v>
      </c>
      <c r="I2022">
        <v>1</v>
      </c>
      <c r="J2022" s="4">
        <v>11455.32</v>
      </c>
      <c r="K2022" s="5">
        <v>0.2</v>
      </c>
      <c r="L2022" s="4">
        <v>7328.02</v>
      </c>
      <c r="M2022" t="s">
        <v>42</v>
      </c>
      <c r="N2022" t="s">
        <v>52</v>
      </c>
      <c r="O2022">
        <f>IF(TablaVentas[[#This Row],[Precio_unitario]]="","PENDIENTE",TablaVentas[[#This Row],[Unidades]]*TablaVentas[[#This Row],[Precio_unitario]]*(1-TablaVentas[[#This Row],[Descuento_pct]]))</f>
        <v>9164.2559999999994</v>
      </c>
      <c r="P2022">
        <f>IF(TablaVentas[[#This Row],[Costo_unitario]]="","PENDIENTE",TablaVentas[[#This Row],[Unidades]]*TablaVentas[[#This Row],[Costo_unitario]])</f>
        <v>7328.02</v>
      </c>
      <c r="Q2022">
        <f>IF(OR(TablaVentas[[#This Row],[Ingreso_neto]]="PENDIENTE",TablaVentas[[#This Row],[Costo_total]]="PENDIENTE"),"PENDIENTE",TablaVentas[[#This Row],[Ingreso_neto]]-TablaVentas[[#This Row],[Costo_total]])</f>
        <v>1836.235999999999</v>
      </c>
    </row>
    <row r="2023" spans="1:17">
      <c r="A2023" t="s">
        <v>1263</v>
      </c>
      <c r="B2023">
        <v>1</v>
      </c>
      <c r="C2023" s="3">
        <v>46110</v>
      </c>
      <c r="D2023" t="s">
        <v>606</v>
      </c>
      <c r="E2023" t="s">
        <v>123</v>
      </c>
      <c r="F2023" t="s">
        <v>66</v>
      </c>
      <c r="G2023" t="s">
        <v>57</v>
      </c>
      <c r="H2023" t="s">
        <v>73</v>
      </c>
      <c r="I2023">
        <v>1</v>
      </c>
      <c r="J2023" s="4">
        <v>17101.75</v>
      </c>
      <c r="K2023" s="5">
        <v>0.05</v>
      </c>
      <c r="L2023" s="4">
        <v>12679.41</v>
      </c>
      <c r="M2023" t="s">
        <v>116</v>
      </c>
      <c r="N2023" t="s">
        <v>43</v>
      </c>
      <c r="O2023">
        <f>IF(TablaVentas[[#This Row],[Precio_unitario]]="","PENDIENTE",TablaVentas[[#This Row],[Unidades]]*TablaVentas[[#This Row],[Precio_unitario]]*(1-TablaVentas[[#This Row],[Descuento_pct]]))</f>
        <v>16246.662499999999</v>
      </c>
      <c r="P2023">
        <f>IF(TablaVentas[[#This Row],[Costo_unitario]]="","PENDIENTE",TablaVentas[[#This Row],[Unidades]]*TablaVentas[[#This Row],[Costo_unitario]])</f>
        <v>12679.41</v>
      </c>
      <c r="Q2023">
        <f>IF(OR(TablaVentas[[#This Row],[Ingreso_neto]]="PENDIENTE",TablaVentas[[#This Row],[Costo_total]]="PENDIENTE"),"PENDIENTE",TablaVentas[[#This Row],[Ingreso_neto]]-TablaVentas[[#This Row],[Costo_total]])</f>
        <v>3567.2524999999987</v>
      </c>
    </row>
    <row r="2024" spans="1:17">
      <c r="A2024" t="s">
        <v>1264</v>
      </c>
      <c r="B2024">
        <v>1</v>
      </c>
      <c r="C2024" s="3">
        <v>46033</v>
      </c>
      <c r="D2024" t="s">
        <v>777</v>
      </c>
      <c r="E2024" t="s">
        <v>46</v>
      </c>
      <c r="F2024" t="s">
        <v>56</v>
      </c>
      <c r="G2024" t="s">
        <v>57</v>
      </c>
      <c r="H2024" t="s">
        <v>73</v>
      </c>
      <c r="I2024">
        <v>2</v>
      </c>
      <c r="J2024" s="4">
        <v>4099.4399999999996</v>
      </c>
      <c r="K2024" s="5">
        <v>0</v>
      </c>
      <c r="L2024" s="4">
        <v>2957.6</v>
      </c>
      <c r="M2024" t="s">
        <v>42</v>
      </c>
      <c r="N2024" t="s">
        <v>45</v>
      </c>
      <c r="O2024">
        <f>IF(TablaVentas[[#This Row],[Precio_unitario]]="","PENDIENTE",TablaVentas[[#This Row],[Unidades]]*TablaVentas[[#This Row],[Precio_unitario]]*(1-TablaVentas[[#This Row],[Descuento_pct]]))</f>
        <v>8198.8799999999992</v>
      </c>
      <c r="P2024">
        <f>IF(TablaVentas[[#This Row],[Costo_unitario]]="","PENDIENTE",TablaVentas[[#This Row],[Unidades]]*TablaVentas[[#This Row],[Costo_unitario]])</f>
        <v>5915.2</v>
      </c>
      <c r="Q2024">
        <f>IF(OR(TablaVentas[[#This Row],[Ingreso_neto]]="PENDIENTE",TablaVentas[[#This Row],[Costo_total]]="PENDIENTE"),"PENDIENTE",TablaVentas[[#This Row],[Ingreso_neto]]-TablaVentas[[#This Row],[Costo_total]])</f>
        <v>2283.6799999999994</v>
      </c>
    </row>
    <row r="2025" spans="1:17">
      <c r="A2025" t="s">
        <v>1264</v>
      </c>
      <c r="B2025">
        <v>2</v>
      </c>
      <c r="C2025" s="3">
        <v>46033</v>
      </c>
      <c r="D2025" t="s">
        <v>777</v>
      </c>
      <c r="E2025" t="s">
        <v>172</v>
      </c>
      <c r="F2025" t="s">
        <v>56</v>
      </c>
      <c r="G2025" t="s">
        <v>57</v>
      </c>
      <c r="H2025" t="s">
        <v>73</v>
      </c>
      <c r="I2025">
        <v>1</v>
      </c>
      <c r="J2025" s="4">
        <v>17838.310000000001</v>
      </c>
      <c r="K2025" s="5">
        <v>0.05</v>
      </c>
      <c r="L2025" s="4">
        <v>10830.17</v>
      </c>
      <c r="M2025" t="s">
        <v>42</v>
      </c>
      <c r="N2025" t="s">
        <v>60</v>
      </c>
      <c r="O2025">
        <f>IF(TablaVentas[[#This Row],[Precio_unitario]]="","PENDIENTE",TablaVentas[[#This Row],[Unidades]]*TablaVentas[[#This Row],[Precio_unitario]]*(1-TablaVentas[[#This Row],[Descuento_pct]]))</f>
        <v>16946.394500000002</v>
      </c>
      <c r="P2025">
        <f>IF(TablaVentas[[#This Row],[Costo_unitario]]="","PENDIENTE",TablaVentas[[#This Row],[Unidades]]*TablaVentas[[#This Row],[Costo_unitario]])</f>
        <v>10830.17</v>
      </c>
      <c r="Q2025">
        <f>IF(OR(TablaVentas[[#This Row],[Ingreso_neto]]="PENDIENTE",TablaVentas[[#This Row],[Costo_total]]="PENDIENTE"),"PENDIENTE",TablaVentas[[#This Row],[Ingreso_neto]]-TablaVentas[[#This Row],[Costo_total]])</f>
        <v>6116.2245000000021</v>
      </c>
    </row>
    <row r="2026" spans="1:17">
      <c r="A2026" t="s">
        <v>1265</v>
      </c>
      <c r="B2026">
        <v>1</v>
      </c>
      <c r="C2026" s="3">
        <v>46214</v>
      </c>
      <c r="D2026" t="s">
        <v>307</v>
      </c>
      <c r="E2026" t="s">
        <v>69</v>
      </c>
      <c r="F2026" t="s">
        <v>77</v>
      </c>
      <c r="G2026" t="s">
        <v>50</v>
      </c>
      <c r="H2026" t="s">
        <v>184</v>
      </c>
      <c r="I2026">
        <v>1</v>
      </c>
      <c r="J2026" s="4">
        <v>13194.76</v>
      </c>
      <c r="K2026" s="5">
        <v>0</v>
      </c>
      <c r="L2026" s="4">
        <v>10094.26</v>
      </c>
      <c r="M2026" t="s">
        <v>42</v>
      </c>
      <c r="N2026" t="s">
        <v>43</v>
      </c>
      <c r="O2026">
        <f>IF(TablaVentas[[#This Row],[Precio_unitario]]="","PENDIENTE",TablaVentas[[#This Row],[Unidades]]*TablaVentas[[#This Row],[Precio_unitario]]*(1-TablaVentas[[#This Row],[Descuento_pct]]))</f>
        <v>13194.76</v>
      </c>
      <c r="P2026">
        <f>IF(TablaVentas[[#This Row],[Costo_unitario]]="","PENDIENTE",TablaVentas[[#This Row],[Unidades]]*TablaVentas[[#This Row],[Costo_unitario]])</f>
        <v>10094.26</v>
      </c>
      <c r="Q2026">
        <f>IF(OR(TablaVentas[[#This Row],[Ingreso_neto]]="PENDIENTE",TablaVentas[[#This Row],[Costo_total]]="PENDIENTE"),"PENDIENTE",TablaVentas[[#This Row],[Ingreso_neto]]-TablaVentas[[#This Row],[Costo_total]])</f>
        <v>3100.5</v>
      </c>
    </row>
    <row r="2027" spans="1:17">
      <c r="A2027" t="s">
        <v>1265</v>
      </c>
      <c r="B2027">
        <v>2</v>
      </c>
      <c r="C2027" s="3">
        <v>46214</v>
      </c>
      <c r="D2027" t="s">
        <v>307</v>
      </c>
      <c r="E2027" t="s">
        <v>59</v>
      </c>
      <c r="F2027" t="s">
        <v>77</v>
      </c>
      <c r="G2027" t="s">
        <v>50</v>
      </c>
      <c r="H2027" t="s">
        <v>184</v>
      </c>
      <c r="I2027">
        <v>1</v>
      </c>
      <c r="J2027" s="4">
        <v>13555.72</v>
      </c>
      <c r="K2027" s="5">
        <v>0.15</v>
      </c>
      <c r="L2027" s="4">
        <v>10170.290000000001</v>
      </c>
      <c r="M2027" t="s">
        <v>42</v>
      </c>
      <c r="N2027" t="s">
        <v>60</v>
      </c>
      <c r="O2027">
        <f>IF(TablaVentas[[#This Row],[Precio_unitario]]="","PENDIENTE",TablaVentas[[#This Row],[Unidades]]*TablaVentas[[#This Row],[Precio_unitario]]*(1-TablaVentas[[#This Row],[Descuento_pct]]))</f>
        <v>11522.361999999999</v>
      </c>
      <c r="P2027">
        <f>IF(TablaVentas[[#This Row],[Costo_unitario]]="","PENDIENTE",TablaVentas[[#This Row],[Unidades]]*TablaVentas[[#This Row],[Costo_unitario]])</f>
        <v>10170.290000000001</v>
      </c>
      <c r="Q2027">
        <f>IF(OR(TablaVentas[[#This Row],[Ingreso_neto]]="PENDIENTE",TablaVentas[[#This Row],[Costo_total]]="PENDIENTE"),"PENDIENTE",TablaVentas[[#This Row],[Ingreso_neto]]-TablaVentas[[#This Row],[Costo_total]])</f>
        <v>1352.0719999999983</v>
      </c>
    </row>
    <row r="2028" spans="1:17">
      <c r="A2028" t="s">
        <v>1265</v>
      </c>
      <c r="B2028">
        <v>3</v>
      </c>
      <c r="C2028" s="3">
        <v>46214</v>
      </c>
      <c r="D2028" t="s">
        <v>307</v>
      </c>
      <c r="E2028" t="s">
        <v>321</v>
      </c>
      <c r="F2028" t="s">
        <v>77</v>
      </c>
      <c r="G2028" t="s">
        <v>50</v>
      </c>
      <c r="H2028" t="s">
        <v>184</v>
      </c>
      <c r="I2028">
        <v>1</v>
      </c>
      <c r="J2028" s="4">
        <v>1204.42</v>
      </c>
      <c r="K2028" s="5">
        <v>0.15</v>
      </c>
      <c r="L2028" s="4">
        <v>679.37</v>
      </c>
      <c r="M2028" t="s">
        <v>42</v>
      </c>
      <c r="N2028" t="s">
        <v>52</v>
      </c>
      <c r="O2028">
        <f>IF(TablaVentas[[#This Row],[Precio_unitario]]="","PENDIENTE",TablaVentas[[#This Row],[Unidades]]*TablaVentas[[#This Row],[Precio_unitario]]*(1-TablaVentas[[#This Row],[Descuento_pct]]))</f>
        <v>1023.7570000000001</v>
      </c>
      <c r="P2028">
        <f>IF(TablaVentas[[#This Row],[Costo_unitario]]="","PENDIENTE",TablaVentas[[#This Row],[Unidades]]*TablaVentas[[#This Row],[Costo_unitario]])</f>
        <v>679.37</v>
      </c>
      <c r="Q2028">
        <f>IF(OR(TablaVentas[[#This Row],[Ingreso_neto]]="PENDIENTE",TablaVentas[[#This Row],[Costo_total]]="PENDIENTE"),"PENDIENTE",TablaVentas[[#This Row],[Ingreso_neto]]-TablaVentas[[#This Row],[Costo_total]])</f>
        <v>344.38700000000006</v>
      </c>
    </row>
    <row r="2029" spans="1:17">
      <c r="A2029" t="s">
        <v>1266</v>
      </c>
      <c r="B2029">
        <v>1</v>
      </c>
      <c r="C2029" s="3">
        <v>46100</v>
      </c>
      <c r="D2029" t="s">
        <v>100</v>
      </c>
      <c r="E2029" t="s">
        <v>245</v>
      </c>
      <c r="F2029" t="s">
        <v>39</v>
      </c>
      <c r="G2029" t="s">
        <v>57</v>
      </c>
      <c r="H2029" t="s">
        <v>67</v>
      </c>
      <c r="I2029">
        <v>1</v>
      </c>
      <c r="J2029" s="4">
        <v>18344.650000000001</v>
      </c>
      <c r="K2029" s="5">
        <v>0</v>
      </c>
      <c r="L2029" s="4">
        <v>10507.24</v>
      </c>
      <c r="M2029" t="s">
        <v>42</v>
      </c>
      <c r="N2029" t="s">
        <v>60</v>
      </c>
      <c r="O2029">
        <f>IF(TablaVentas[[#This Row],[Precio_unitario]]="","PENDIENTE",TablaVentas[[#This Row],[Unidades]]*TablaVentas[[#This Row],[Precio_unitario]]*(1-TablaVentas[[#This Row],[Descuento_pct]]))</f>
        <v>18344.650000000001</v>
      </c>
      <c r="P2029">
        <f>IF(TablaVentas[[#This Row],[Costo_unitario]]="","PENDIENTE",TablaVentas[[#This Row],[Unidades]]*TablaVentas[[#This Row],[Costo_unitario]])</f>
        <v>10507.24</v>
      </c>
      <c r="Q2029">
        <f>IF(OR(TablaVentas[[#This Row],[Ingreso_neto]]="PENDIENTE",TablaVentas[[#This Row],[Costo_total]]="PENDIENTE"),"PENDIENTE",TablaVentas[[#This Row],[Ingreso_neto]]-TablaVentas[[#This Row],[Costo_total]])</f>
        <v>7837.4100000000017</v>
      </c>
    </row>
    <row r="2030" spans="1:17">
      <c r="A2030" t="s">
        <v>1266</v>
      </c>
      <c r="B2030">
        <v>2</v>
      </c>
      <c r="C2030" s="3">
        <v>46100</v>
      </c>
      <c r="D2030" t="s">
        <v>100</v>
      </c>
      <c r="E2030" t="s">
        <v>175</v>
      </c>
      <c r="F2030" t="s">
        <v>39</v>
      </c>
      <c r="G2030" t="s">
        <v>57</v>
      </c>
      <c r="H2030" t="s">
        <v>67</v>
      </c>
      <c r="I2030">
        <v>2</v>
      </c>
      <c r="J2030" s="4">
        <v>2895.47</v>
      </c>
      <c r="K2030" s="5">
        <v>0</v>
      </c>
      <c r="L2030" s="4">
        <v>1857.39</v>
      </c>
      <c r="M2030" t="s">
        <v>42</v>
      </c>
      <c r="N2030" t="s">
        <v>60</v>
      </c>
      <c r="O2030">
        <f>IF(TablaVentas[[#This Row],[Precio_unitario]]="","PENDIENTE",TablaVentas[[#This Row],[Unidades]]*TablaVentas[[#This Row],[Precio_unitario]]*(1-TablaVentas[[#This Row],[Descuento_pct]]))</f>
        <v>5790.94</v>
      </c>
      <c r="P2030">
        <f>IF(TablaVentas[[#This Row],[Costo_unitario]]="","PENDIENTE",TablaVentas[[#This Row],[Unidades]]*TablaVentas[[#This Row],[Costo_unitario]])</f>
        <v>3714.78</v>
      </c>
      <c r="Q2030">
        <f>IF(OR(TablaVentas[[#This Row],[Ingreso_neto]]="PENDIENTE",TablaVentas[[#This Row],[Costo_total]]="PENDIENTE"),"PENDIENTE",TablaVentas[[#This Row],[Ingreso_neto]]-TablaVentas[[#This Row],[Costo_total]])</f>
        <v>2076.1599999999994</v>
      </c>
    </row>
    <row r="2031" spans="1:17">
      <c r="A2031" t="s">
        <v>1266</v>
      </c>
      <c r="B2031">
        <v>3</v>
      </c>
      <c r="C2031" s="3">
        <v>46100</v>
      </c>
      <c r="D2031" t="s">
        <v>100</v>
      </c>
      <c r="E2031" t="s">
        <v>273</v>
      </c>
      <c r="F2031" t="s">
        <v>39</v>
      </c>
      <c r="G2031" t="s">
        <v>57</v>
      </c>
      <c r="H2031" t="s">
        <v>67</v>
      </c>
      <c r="I2031">
        <v>8</v>
      </c>
      <c r="J2031" s="4">
        <v>1485.3</v>
      </c>
      <c r="K2031" s="5">
        <v>0.05</v>
      </c>
      <c r="L2031" s="4">
        <v>716.26</v>
      </c>
      <c r="M2031" t="s">
        <v>42</v>
      </c>
      <c r="N2031" t="s">
        <v>60</v>
      </c>
      <c r="O2031">
        <f>IF(TablaVentas[[#This Row],[Precio_unitario]]="","PENDIENTE",TablaVentas[[#This Row],[Unidades]]*TablaVentas[[#This Row],[Precio_unitario]]*(1-TablaVentas[[#This Row],[Descuento_pct]]))</f>
        <v>11288.279999999999</v>
      </c>
      <c r="P2031">
        <f>IF(TablaVentas[[#This Row],[Costo_unitario]]="","PENDIENTE",TablaVentas[[#This Row],[Unidades]]*TablaVentas[[#This Row],[Costo_unitario]])</f>
        <v>5730.08</v>
      </c>
      <c r="Q2031">
        <f>IF(OR(TablaVentas[[#This Row],[Ingreso_neto]]="PENDIENTE",TablaVentas[[#This Row],[Costo_total]]="PENDIENTE"),"PENDIENTE",TablaVentas[[#This Row],[Ingreso_neto]]-TablaVentas[[#This Row],[Costo_total]])</f>
        <v>5558.1999999999989</v>
      </c>
    </row>
    <row r="2032" spans="1:17">
      <c r="A2032" t="s">
        <v>1267</v>
      </c>
      <c r="B2032">
        <v>1</v>
      </c>
      <c r="C2032" s="3">
        <v>46197</v>
      </c>
      <c r="D2032" t="s">
        <v>276</v>
      </c>
      <c r="E2032" t="s">
        <v>110</v>
      </c>
      <c r="F2032" t="s">
        <v>56</v>
      </c>
      <c r="G2032" t="s">
        <v>50</v>
      </c>
      <c r="H2032" t="s">
        <v>41</v>
      </c>
      <c r="I2032">
        <v>2</v>
      </c>
      <c r="J2032" s="4">
        <v>5431.16</v>
      </c>
      <c r="K2032" s="5">
        <v>0.1</v>
      </c>
      <c r="L2032" s="4">
        <v>4205.6899999999996</v>
      </c>
      <c r="M2032" t="s">
        <v>42</v>
      </c>
      <c r="N2032" t="s">
        <v>60</v>
      </c>
      <c r="O2032">
        <f>IF(TablaVentas[[#This Row],[Precio_unitario]]="","PENDIENTE",TablaVentas[[#This Row],[Unidades]]*TablaVentas[[#This Row],[Precio_unitario]]*(1-TablaVentas[[#This Row],[Descuento_pct]]))</f>
        <v>9776.0879999999997</v>
      </c>
      <c r="P2032">
        <f>IF(TablaVentas[[#This Row],[Costo_unitario]]="","PENDIENTE",TablaVentas[[#This Row],[Unidades]]*TablaVentas[[#This Row],[Costo_unitario]])</f>
        <v>8411.3799999999992</v>
      </c>
      <c r="Q2032">
        <f>IF(OR(TablaVentas[[#This Row],[Ingreso_neto]]="PENDIENTE",TablaVentas[[#This Row],[Costo_total]]="PENDIENTE"),"PENDIENTE",TablaVentas[[#This Row],[Ingreso_neto]]-TablaVentas[[#This Row],[Costo_total]])</f>
        <v>1364.7080000000005</v>
      </c>
    </row>
    <row r="2033" spans="1:17">
      <c r="A2033" t="s">
        <v>1267</v>
      </c>
      <c r="B2033">
        <v>2</v>
      </c>
      <c r="C2033" s="3">
        <v>46197</v>
      </c>
      <c r="D2033" t="s">
        <v>276</v>
      </c>
      <c r="E2033" t="s">
        <v>81</v>
      </c>
      <c r="F2033" t="s">
        <v>56</v>
      </c>
      <c r="G2033" t="s">
        <v>50</v>
      </c>
      <c r="H2033" t="s">
        <v>41</v>
      </c>
      <c r="I2033">
        <v>1</v>
      </c>
      <c r="J2033" s="4">
        <v>16363.84</v>
      </c>
      <c r="K2033" s="5">
        <v>0.2</v>
      </c>
      <c r="L2033" s="4">
        <v>11614.87</v>
      </c>
      <c r="M2033" t="s">
        <v>42</v>
      </c>
      <c r="N2033" t="s">
        <v>52</v>
      </c>
      <c r="O2033">
        <f>IF(TablaVentas[[#This Row],[Precio_unitario]]="","PENDIENTE",TablaVentas[[#This Row],[Unidades]]*TablaVentas[[#This Row],[Precio_unitario]]*(1-TablaVentas[[#This Row],[Descuento_pct]]))</f>
        <v>13091.072</v>
      </c>
      <c r="P2033">
        <f>IF(TablaVentas[[#This Row],[Costo_unitario]]="","PENDIENTE",TablaVentas[[#This Row],[Unidades]]*TablaVentas[[#This Row],[Costo_unitario]])</f>
        <v>11614.87</v>
      </c>
      <c r="Q2033">
        <f>IF(OR(TablaVentas[[#This Row],[Ingreso_neto]]="PENDIENTE",TablaVentas[[#This Row],[Costo_total]]="PENDIENTE"),"PENDIENTE",TablaVentas[[#This Row],[Ingreso_neto]]-TablaVentas[[#This Row],[Costo_total]])</f>
        <v>1476.2019999999993</v>
      </c>
    </row>
    <row r="2034" spans="1:17">
      <c r="A2034" t="s">
        <v>1267</v>
      </c>
      <c r="B2034">
        <v>3</v>
      </c>
      <c r="C2034" s="3">
        <v>46197</v>
      </c>
      <c r="D2034" t="s">
        <v>276</v>
      </c>
      <c r="E2034" t="s">
        <v>120</v>
      </c>
      <c r="F2034" t="s">
        <v>56</v>
      </c>
      <c r="G2034" t="s">
        <v>50</v>
      </c>
      <c r="H2034" t="s">
        <v>41</v>
      </c>
      <c r="I2034">
        <v>3</v>
      </c>
      <c r="J2034" s="4">
        <v>13258.18</v>
      </c>
      <c r="K2034" s="5">
        <v>0</v>
      </c>
      <c r="L2034" s="4">
        <v>7975.26</v>
      </c>
      <c r="M2034" t="s">
        <v>42</v>
      </c>
      <c r="N2034" t="s">
        <v>45</v>
      </c>
      <c r="O2034">
        <f>IF(TablaVentas[[#This Row],[Precio_unitario]]="","PENDIENTE",TablaVentas[[#This Row],[Unidades]]*TablaVentas[[#This Row],[Precio_unitario]]*(1-TablaVentas[[#This Row],[Descuento_pct]]))</f>
        <v>39774.54</v>
      </c>
      <c r="P2034">
        <f>IF(TablaVentas[[#This Row],[Costo_unitario]]="","PENDIENTE",TablaVentas[[#This Row],[Unidades]]*TablaVentas[[#This Row],[Costo_unitario]])</f>
        <v>23925.78</v>
      </c>
      <c r="Q2034">
        <f>IF(OR(TablaVentas[[#This Row],[Ingreso_neto]]="PENDIENTE",TablaVentas[[#This Row],[Costo_total]]="PENDIENTE"),"PENDIENTE",TablaVentas[[#This Row],[Ingreso_neto]]-TablaVentas[[#This Row],[Costo_total]])</f>
        <v>15848.760000000002</v>
      </c>
    </row>
    <row r="2035" spans="1:17">
      <c r="A2035" t="s">
        <v>1268</v>
      </c>
      <c r="B2035">
        <v>1</v>
      </c>
      <c r="C2035" s="3">
        <v>46041</v>
      </c>
      <c r="D2035" t="s">
        <v>169</v>
      </c>
      <c r="E2035" t="s">
        <v>282</v>
      </c>
      <c r="F2035" t="s">
        <v>56</v>
      </c>
      <c r="G2035" t="s">
        <v>40</v>
      </c>
      <c r="H2035" t="s">
        <v>58</v>
      </c>
      <c r="I2035">
        <v>12</v>
      </c>
      <c r="J2035" s="4">
        <v>4294.53</v>
      </c>
      <c r="K2035" s="5">
        <v>0.15</v>
      </c>
      <c r="L2035" s="4">
        <v>3399.5</v>
      </c>
      <c r="M2035" t="s">
        <v>42</v>
      </c>
      <c r="N2035" t="s">
        <v>43</v>
      </c>
      <c r="O2035">
        <f>IF(TablaVentas[[#This Row],[Precio_unitario]]="","PENDIENTE",TablaVentas[[#This Row],[Unidades]]*TablaVentas[[#This Row],[Precio_unitario]]*(1-TablaVentas[[#This Row],[Descuento_pct]]))</f>
        <v>43804.205999999998</v>
      </c>
      <c r="P2035">
        <f>IF(TablaVentas[[#This Row],[Costo_unitario]]="","PENDIENTE",TablaVentas[[#This Row],[Unidades]]*TablaVentas[[#This Row],[Costo_unitario]])</f>
        <v>40794</v>
      </c>
      <c r="Q2035">
        <f>IF(OR(TablaVentas[[#This Row],[Ingreso_neto]]="PENDIENTE",TablaVentas[[#This Row],[Costo_total]]="PENDIENTE"),"PENDIENTE",TablaVentas[[#This Row],[Ingreso_neto]]-TablaVentas[[#This Row],[Costo_total]])</f>
        <v>3010.2059999999983</v>
      </c>
    </row>
    <row r="2036" spans="1:17">
      <c r="A2036" t="s">
        <v>1268</v>
      </c>
      <c r="B2036">
        <v>2</v>
      </c>
      <c r="C2036" s="3">
        <v>46041</v>
      </c>
      <c r="D2036" t="s">
        <v>169</v>
      </c>
      <c r="E2036" t="s">
        <v>55</v>
      </c>
      <c r="F2036" t="s">
        <v>56</v>
      </c>
      <c r="G2036" t="s">
        <v>40</v>
      </c>
      <c r="H2036" t="s">
        <v>58</v>
      </c>
      <c r="I2036">
        <v>8</v>
      </c>
      <c r="J2036" s="4">
        <v>11578.51</v>
      </c>
      <c r="K2036" s="5">
        <v>0.2</v>
      </c>
      <c r="L2036" s="4">
        <v>6407.85</v>
      </c>
      <c r="M2036" t="s">
        <v>42</v>
      </c>
      <c r="N2036" t="s">
        <v>52</v>
      </c>
      <c r="O2036">
        <f>IF(TablaVentas[[#This Row],[Precio_unitario]]="","PENDIENTE",TablaVentas[[#This Row],[Unidades]]*TablaVentas[[#This Row],[Precio_unitario]]*(1-TablaVentas[[#This Row],[Descuento_pct]]))</f>
        <v>74102.464000000007</v>
      </c>
      <c r="P2036">
        <f>IF(TablaVentas[[#This Row],[Costo_unitario]]="","PENDIENTE",TablaVentas[[#This Row],[Unidades]]*TablaVentas[[#This Row],[Costo_unitario]])</f>
        <v>51262.8</v>
      </c>
      <c r="Q2036">
        <f>IF(OR(TablaVentas[[#This Row],[Ingreso_neto]]="PENDIENTE",TablaVentas[[#This Row],[Costo_total]]="PENDIENTE"),"PENDIENTE",TablaVentas[[#This Row],[Ingreso_neto]]-TablaVentas[[#This Row],[Costo_total]])</f>
        <v>22839.664000000004</v>
      </c>
    </row>
    <row r="2037" spans="1:17">
      <c r="A2037" t="s">
        <v>1268</v>
      </c>
      <c r="B2037">
        <v>3</v>
      </c>
      <c r="C2037" s="3">
        <v>46041</v>
      </c>
      <c r="D2037" t="s">
        <v>169</v>
      </c>
      <c r="E2037" t="s">
        <v>93</v>
      </c>
      <c r="F2037" t="s">
        <v>56</v>
      </c>
      <c r="G2037" t="s">
        <v>40</v>
      </c>
      <c r="H2037" t="s">
        <v>58</v>
      </c>
      <c r="I2037">
        <v>1</v>
      </c>
      <c r="J2037" s="4">
        <v>13885.16</v>
      </c>
      <c r="K2037" s="5">
        <v>0</v>
      </c>
      <c r="L2037" s="4">
        <v>8788.7900000000009</v>
      </c>
      <c r="M2037" t="s">
        <v>42</v>
      </c>
      <c r="N2037" t="s">
        <v>45</v>
      </c>
      <c r="O2037">
        <f>IF(TablaVentas[[#This Row],[Precio_unitario]]="","PENDIENTE",TablaVentas[[#This Row],[Unidades]]*TablaVentas[[#This Row],[Precio_unitario]]*(1-TablaVentas[[#This Row],[Descuento_pct]]))</f>
        <v>13885.16</v>
      </c>
      <c r="P2037">
        <f>IF(TablaVentas[[#This Row],[Costo_unitario]]="","PENDIENTE",TablaVentas[[#This Row],[Unidades]]*TablaVentas[[#This Row],[Costo_unitario]])</f>
        <v>8788.7900000000009</v>
      </c>
      <c r="Q2037">
        <f>IF(OR(TablaVentas[[#This Row],[Ingreso_neto]]="PENDIENTE",TablaVentas[[#This Row],[Costo_total]]="PENDIENTE"),"PENDIENTE",TablaVentas[[#This Row],[Ingreso_neto]]-TablaVentas[[#This Row],[Costo_total]])</f>
        <v>5096.369999999999</v>
      </c>
    </row>
    <row r="2038" spans="1:17">
      <c r="A2038" t="s">
        <v>1268</v>
      </c>
      <c r="B2038">
        <v>4</v>
      </c>
      <c r="C2038" s="3">
        <v>46041</v>
      </c>
      <c r="D2038" t="s">
        <v>169</v>
      </c>
      <c r="E2038" t="s">
        <v>208</v>
      </c>
      <c r="F2038" t="s">
        <v>56</v>
      </c>
      <c r="G2038" t="s">
        <v>40</v>
      </c>
      <c r="H2038" t="s">
        <v>58</v>
      </c>
      <c r="I2038">
        <v>2</v>
      </c>
      <c r="J2038" s="4">
        <v>10444.58</v>
      </c>
      <c r="K2038" s="5">
        <v>0</v>
      </c>
      <c r="L2038" s="4">
        <v>5535.31</v>
      </c>
      <c r="M2038" t="s">
        <v>42</v>
      </c>
      <c r="N2038" t="s">
        <v>52</v>
      </c>
      <c r="O2038">
        <f>IF(TablaVentas[[#This Row],[Precio_unitario]]="","PENDIENTE",TablaVentas[[#This Row],[Unidades]]*TablaVentas[[#This Row],[Precio_unitario]]*(1-TablaVentas[[#This Row],[Descuento_pct]]))</f>
        <v>20889.16</v>
      </c>
      <c r="P2038">
        <f>IF(TablaVentas[[#This Row],[Costo_unitario]]="","PENDIENTE",TablaVentas[[#This Row],[Unidades]]*TablaVentas[[#This Row],[Costo_unitario]])</f>
        <v>11070.62</v>
      </c>
      <c r="Q2038">
        <f>IF(OR(TablaVentas[[#This Row],[Ingreso_neto]]="PENDIENTE",TablaVentas[[#This Row],[Costo_total]]="PENDIENTE"),"PENDIENTE",TablaVentas[[#This Row],[Ingreso_neto]]-TablaVentas[[#This Row],[Costo_total]])</f>
        <v>9818.5399999999991</v>
      </c>
    </row>
    <row r="2039" spans="1:17">
      <c r="A2039" t="s">
        <v>1269</v>
      </c>
      <c r="B2039">
        <v>1</v>
      </c>
      <c r="C2039" s="3">
        <v>46030</v>
      </c>
      <c r="D2039" t="s">
        <v>857</v>
      </c>
      <c r="E2039" t="s">
        <v>89</v>
      </c>
      <c r="F2039" t="s">
        <v>56</v>
      </c>
      <c r="G2039" t="s">
        <v>50</v>
      </c>
      <c r="H2039" t="s">
        <v>58</v>
      </c>
      <c r="I2039">
        <v>1</v>
      </c>
      <c r="J2039" s="4">
        <v>11499.46</v>
      </c>
      <c r="K2039" s="5">
        <v>0</v>
      </c>
      <c r="L2039" s="4">
        <v>9118.07</v>
      </c>
      <c r="M2039" t="s">
        <v>42</v>
      </c>
      <c r="N2039" t="s">
        <v>52</v>
      </c>
      <c r="O2039">
        <f>IF(TablaVentas[[#This Row],[Precio_unitario]]="","PENDIENTE",TablaVentas[[#This Row],[Unidades]]*TablaVentas[[#This Row],[Precio_unitario]]*(1-TablaVentas[[#This Row],[Descuento_pct]]))</f>
        <v>11499.46</v>
      </c>
      <c r="P2039">
        <f>IF(TablaVentas[[#This Row],[Costo_unitario]]="","PENDIENTE",TablaVentas[[#This Row],[Unidades]]*TablaVentas[[#This Row],[Costo_unitario]])</f>
        <v>9118.07</v>
      </c>
      <c r="Q2039">
        <f>IF(OR(TablaVentas[[#This Row],[Ingreso_neto]]="PENDIENTE",TablaVentas[[#This Row],[Costo_total]]="PENDIENTE"),"PENDIENTE",TablaVentas[[#This Row],[Ingreso_neto]]-TablaVentas[[#This Row],[Costo_total]])</f>
        <v>2381.3899999999994</v>
      </c>
    </row>
    <row r="2040" spans="1:17">
      <c r="A2040" t="s">
        <v>1269</v>
      </c>
      <c r="B2040">
        <v>2</v>
      </c>
      <c r="C2040" s="3">
        <v>46030</v>
      </c>
      <c r="D2040" t="s">
        <v>857</v>
      </c>
      <c r="E2040" t="s">
        <v>236</v>
      </c>
      <c r="F2040" t="s">
        <v>56</v>
      </c>
      <c r="G2040" t="s">
        <v>50</v>
      </c>
      <c r="H2040" t="s">
        <v>58</v>
      </c>
      <c r="I2040">
        <v>2</v>
      </c>
      <c r="J2040" s="4">
        <v>8772.3799999999992</v>
      </c>
      <c r="K2040" s="5">
        <v>0.15</v>
      </c>
      <c r="L2040" s="4">
        <v>8061.7</v>
      </c>
      <c r="M2040" t="s">
        <v>42</v>
      </c>
      <c r="N2040" t="s">
        <v>45</v>
      </c>
      <c r="O2040">
        <f>IF(TablaVentas[[#This Row],[Precio_unitario]]="","PENDIENTE",TablaVentas[[#This Row],[Unidades]]*TablaVentas[[#This Row],[Precio_unitario]]*(1-TablaVentas[[#This Row],[Descuento_pct]]))</f>
        <v>14913.045999999998</v>
      </c>
      <c r="P2040">
        <f>IF(TablaVentas[[#This Row],[Costo_unitario]]="","PENDIENTE",TablaVentas[[#This Row],[Unidades]]*TablaVentas[[#This Row],[Costo_unitario]])</f>
        <v>16123.4</v>
      </c>
      <c r="Q2040">
        <f>IF(OR(TablaVentas[[#This Row],[Ingreso_neto]]="PENDIENTE",TablaVentas[[#This Row],[Costo_total]]="PENDIENTE"),"PENDIENTE",TablaVentas[[#This Row],[Ingreso_neto]]-TablaVentas[[#This Row],[Costo_total]])</f>
        <v>-1210.3540000000012</v>
      </c>
    </row>
    <row r="2041" spans="1:17">
      <c r="A2041" t="s">
        <v>1269</v>
      </c>
      <c r="B2041">
        <v>3</v>
      </c>
      <c r="C2041" s="3">
        <v>46030</v>
      </c>
      <c r="D2041" t="s">
        <v>857</v>
      </c>
      <c r="E2041" t="s">
        <v>223</v>
      </c>
      <c r="F2041" t="s">
        <v>56</v>
      </c>
      <c r="G2041" t="s">
        <v>50</v>
      </c>
      <c r="H2041" t="s">
        <v>58</v>
      </c>
      <c r="I2041">
        <v>1</v>
      </c>
      <c r="J2041" s="4">
        <v>6236.08</v>
      </c>
      <c r="K2041" s="5">
        <v>0.1</v>
      </c>
      <c r="L2041" s="4">
        <v>3298.19</v>
      </c>
      <c r="M2041" t="s">
        <v>42</v>
      </c>
      <c r="N2041" t="s">
        <v>52</v>
      </c>
      <c r="O2041">
        <f>IF(TablaVentas[[#This Row],[Precio_unitario]]="","PENDIENTE",TablaVentas[[#This Row],[Unidades]]*TablaVentas[[#This Row],[Precio_unitario]]*(1-TablaVentas[[#This Row],[Descuento_pct]]))</f>
        <v>5612.4719999999998</v>
      </c>
      <c r="P2041">
        <f>IF(TablaVentas[[#This Row],[Costo_unitario]]="","PENDIENTE",TablaVentas[[#This Row],[Unidades]]*TablaVentas[[#This Row],[Costo_unitario]])</f>
        <v>3298.19</v>
      </c>
      <c r="Q2041">
        <f>IF(OR(TablaVentas[[#This Row],[Ingreso_neto]]="PENDIENTE",TablaVentas[[#This Row],[Costo_total]]="PENDIENTE"),"PENDIENTE",TablaVentas[[#This Row],[Ingreso_neto]]-TablaVentas[[#This Row],[Costo_total]])</f>
        <v>2314.2819999999997</v>
      </c>
    </row>
    <row r="2042" spans="1:17">
      <c r="A2042" t="s">
        <v>1269</v>
      </c>
      <c r="B2042">
        <v>4</v>
      </c>
      <c r="C2042" s="3">
        <v>46030</v>
      </c>
      <c r="D2042" t="s">
        <v>857</v>
      </c>
      <c r="E2042" t="s">
        <v>61</v>
      </c>
      <c r="F2042" t="s">
        <v>56</v>
      </c>
      <c r="G2042" t="s">
        <v>50</v>
      </c>
      <c r="H2042" t="s">
        <v>58</v>
      </c>
      <c r="I2042">
        <v>2</v>
      </c>
      <c r="J2042" s="4">
        <v>4645.13</v>
      </c>
      <c r="K2042" s="5">
        <v>0.05</v>
      </c>
      <c r="L2042" s="4">
        <v>2554.06</v>
      </c>
      <c r="M2042" t="s">
        <v>42</v>
      </c>
      <c r="N2042" t="s">
        <v>52</v>
      </c>
      <c r="O2042">
        <f>IF(TablaVentas[[#This Row],[Precio_unitario]]="","PENDIENTE",TablaVentas[[#This Row],[Unidades]]*TablaVentas[[#This Row],[Precio_unitario]]*(1-TablaVentas[[#This Row],[Descuento_pct]]))</f>
        <v>8825.7469999999994</v>
      </c>
      <c r="P2042">
        <f>IF(TablaVentas[[#This Row],[Costo_unitario]]="","PENDIENTE",TablaVentas[[#This Row],[Unidades]]*TablaVentas[[#This Row],[Costo_unitario]])</f>
        <v>5108.12</v>
      </c>
      <c r="Q2042">
        <f>IF(OR(TablaVentas[[#This Row],[Ingreso_neto]]="PENDIENTE",TablaVentas[[#This Row],[Costo_total]]="PENDIENTE"),"PENDIENTE",TablaVentas[[#This Row],[Ingreso_neto]]-TablaVentas[[#This Row],[Costo_total]])</f>
        <v>3717.6269999999995</v>
      </c>
    </row>
    <row r="2043" spans="1:17">
      <c r="A2043" t="s">
        <v>1270</v>
      </c>
      <c r="B2043">
        <v>1</v>
      </c>
      <c r="C2043" s="3">
        <v>46264</v>
      </c>
      <c r="D2043" t="s">
        <v>191</v>
      </c>
      <c r="E2043" t="s">
        <v>172</v>
      </c>
      <c r="F2043" t="s">
        <v>39</v>
      </c>
      <c r="G2043" t="s">
        <v>50</v>
      </c>
      <c r="H2043" t="s">
        <v>82</v>
      </c>
      <c r="I2043">
        <v>2</v>
      </c>
      <c r="J2043" s="4">
        <v>15745.97</v>
      </c>
      <c r="K2043" s="5">
        <v>0.1</v>
      </c>
      <c r="L2043" s="4">
        <v>10830.17</v>
      </c>
      <c r="M2043" t="s">
        <v>42</v>
      </c>
      <c r="N2043" t="s">
        <v>43</v>
      </c>
      <c r="O2043">
        <f>IF(TablaVentas[[#This Row],[Precio_unitario]]="","PENDIENTE",TablaVentas[[#This Row],[Unidades]]*TablaVentas[[#This Row],[Precio_unitario]]*(1-TablaVentas[[#This Row],[Descuento_pct]]))</f>
        <v>28342.745999999999</v>
      </c>
      <c r="P2043">
        <f>IF(TablaVentas[[#This Row],[Costo_unitario]]="","PENDIENTE",TablaVentas[[#This Row],[Unidades]]*TablaVentas[[#This Row],[Costo_unitario]])</f>
        <v>21660.34</v>
      </c>
      <c r="Q2043">
        <f>IF(OR(TablaVentas[[#This Row],[Ingreso_neto]]="PENDIENTE",TablaVentas[[#This Row],[Costo_total]]="PENDIENTE"),"PENDIENTE",TablaVentas[[#This Row],[Ingreso_neto]]-TablaVentas[[#This Row],[Costo_total]])</f>
        <v>6682.405999999999</v>
      </c>
    </row>
    <row r="2044" spans="1:17">
      <c r="A2044" t="s">
        <v>1271</v>
      </c>
      <c r="B2044">
        <v>1</v>
      </c>
      <c r="C2044" s="3">
        <v>46111</v>
      </c>
      <c r="D2044" t="s">
        <v>300</v>
      </c>
      <c r="E2044" t="s">
        <v>69</v>
      </c>
      <c r="F2044" t="s">
        <v>56</v>
      </c>
      <c r="G2044" t="s">
        <v>50</v>
      </c>
      <c r="H2044" t="s">
        <v>129</v>
      </c>
      <c r="I2044">
        <v>1</v>
      </c>
      <c r="J2044" s="4">
        <v>13299.42</v>
      </c>
      <c r="K2044" s="5">
        <v>0.1</v>
      </c>
      <c r="L2044" s="4">
        <v>10094.26</v>
      </c>
      <c r="M2044" t="s">
        <v>42</v>
      </c>
      <c r="N2044" t="s">
        <v>52</v>
      </c>
      <c r="O2044">
        <f>IF(TablaVentas[[#This Row],[Precio_unitario]]="","PENDIENTE",TablaVentas[[#This Row],[Unidades]]*TablaVentas[[#This Row],[Precio_unitario]]*(1-TablaVentas[[#This Row],[Descuento_pct]]))</f>
        <v>11969.478000000001</v>
      </c>
      <c r="P2044">
        <f>IF(TablaVentas[[#This Row],[Costo_unitario]]="","PENDIENTE",TablaVentas[[#This Row],[Unidades]]*TablaVentas[[#This Row],[Costo_unitario]])</f>
        <v>10094.26</v>
      </c>
      <c r="Q2044">
        <f>IF(OR(TablaVentas[[#This Row],[Ingreso_neto]]="PENDIENTE",TablaVentas[[#This Row],[Costo_total]]="PENDIENTE"),"PENDIENTE",TablaVentas[[#This Row],[Ingreso_neto]]-TablaVentas[[#This Row],[Costo_total]])</f>
        <v>1875.2180000000008</v>
      </c>
    </row>
    <row r="2045" spans="1:17">
      <c r="A2045" t="s">
        <v>1271</v>
      </c>
      <c r="B2045">
        <v>2</v>
      </c>
      <c r="C2045" s="3">
        <v>46111</v>
      </c>
      <c r="D2045" t="s">
        <v>300</v>
      </c>
      <c r="E2045" t="s">
        <v>226</v>
      </c>
      <c r="F2045" t="s">
        <v>56</v>
      </c>
      <c r="G2045" t="s">
        <v>50</v>
      </c>
      <c r="H2045" t="s">
        <v>129</v>
      </c>
      <c r="I2045">
        <v>1</v>
      </c>
      <c r="J2045" s="4">
        <v>16423.61</v>
      </c>
      <c r="K2045" s="5">
        <v>0</v>
      </c>
      <c r="L2045" s="4">
        <v>9976.68</v>
      </c>
      <c r="M2045" t="s">
        <v>42</v>
      </c>
      <c r="N2045" t="s">
        <v>45</v>
      </c>
      <c r="O2045">
        <f>IF(TablaVentas[[#This Row],[Precio_unitario]]="","PENDIENTE",TablaVentas[[#This Row],[Unidades]]*TablaVentas[[#This Row],[Precio_unitario]]*(1-TablaVentas[[#This Row],[Descuento_pct]]))</f>
        <v>16423.61</v>
      </c>
      <c r="P2045">
        <f>IF(TablaVentas[[#This Row],[Costo_unitario]]="","PENDIENTE",TablaVentas[[#This Row],[Unidades]]*TablaVentas[[#This Row],[Costo_unitario]])</f>
        <v>9976.68</v>
      </c>
      <c r="Q2045">
        <f>IF(OR(TablaVentas[[#This Row],[Ingreso_neto]]="PENDIENTE",TablaVentas[[#This Row],[Costo_total]]="PENDIENTE"),"PENDIENTE",TablaVentas[[#This Row],[Ingreso_neto]]-TablaVentas[[#This Row],[Costo_total]])</f>
        <v>6446.93</v>
      </c>
    </row>
    <row r="2046" spans="1:17">
      <c r="A2046" t="s">
        <v>1271</v>
      </c>
      <c r="B2046">
        <v>3</v>
      </c>
      <c r="C2046" s="3">
        <v>46111</v>
      </c>
      <c r="D2046" t="s">
        <v>300</v>
      </c>
      <c r="E2046" t="s">
        <v>172</v>
      </c>
      <c r="F2046" t="s">
        <v>56</v>
      </c>
      <c r="G2046" t="s">
        <v>50</v>
      </c>
      <c r="H2046" t="s">
        <v>129</v>
      </c>
      <c r="I2046">
        <v>2</v>
      </c>
      <c r="J2046" s="4">
        <v>15182.71</v>
      </c>
      <c r="K2046" s="5">
        <v>0.15</v>
      </c>
      <c r="L2046" s="4">
        <v>10830.17</v>
      </c>
      <c r="M2046" t="s">
        <v>42</v>
      </c>
      <c r="N2046" t="s">
        <v>45</v>
      </c>
      <c r="O2046">
        <f>IF(TablaVentas[[#This Row],[Precio_unitario]]="","PENDIENTE",TablaVentas[[#This Row],[Unidades]]*TablaVentas[[#This Row],[Precio_unitario]]*(1-TablaVentas[[#This Row],[Descuento_pct]]))</f>
        <v>25810.606999999996</v>
      </c>
      <c r="P2046">
        <f>IF(TablaVentas[[#This Row],[Costo_unitario]]="","PENDIENTE",TablaVentas[[#This Row],[Unidades]]*TablaVentas[[#This Row],[Costo_unitario]])</f>
        <v>21660.34</v>
      </c>
      <c r="Q2046">
        <f>IF(OR(TablaVentas[[#This Row],[Ingreso_neto]]="PENDIENTE",TablaVentas[[#This Row],[Costo_total]]="PENDIENTE"),"PENDIENTE",TablaVentas[[#This Row],[Ingreso_neto]]-TablaVentas[[#This Row],[Costo_total]])</f>
        <v>4150.2669999999962</v>
      </c>
    </row>
    <row r="2047" spans="1:17">
      <c r="A2047" t="s">
        <v>1271</v>
      </c>
      <c r="B2047">
        <v>4</v>
      </c>
      <c r="C2047" s="3">
        <v>46111</v>
      </c>
      <c r="D2047" t="s">
        <v>300</v>
      </c>
      <c r="E2047" t="s">
        <v>367</v>
      </c>
      <c r="F2047" t="s">
        <v>56</v>
      </c>
      <c r="G2047" t="s">
        <v>50</v>
      </c>
      <c r="H2047" t="s">
        <v>129</v>
      </c>
      <c r="I2047">
        <v>3</v>
      </c>
      <c r="J2047" s="4">
        <v>8950.9</v>
      </c>
      <c r="K2047" s="5">
        <v>0.1</v>
      </c>
      <c r="L2047" s="4">
        <v>5079.43</v>
      </c>
      <c r="M2047" t="s">
        <v>42</v>
      </c>
      <c r="N2047" t="s">
        <v>45</v>
      </c>
      <c r="O2047">
        <f>IF(TablaVentas[[#This Row],[Precio_unitario]]="","PENDIENTE",TablaVentas[[#This Row],[Unidades]]*TablaVentas[[#This Row],[Precio_unitario]]*(1-TablaVentas[[#This Row],[Descuento_pct]]))</f>
        <v>24167.429999999997</v>
      </c>
      <c r="P2047">
        <f>IF(TablaVentas[[#This Row],[Costo_unitario]]="","PENDIENTE",TablaVentas[[#This Row],[Unidades]]*TablaVentas[[#This Row],[Costo_unitario]])</f>
        <v>15238.29</v>
      </c>
      <c r="Q2047">
        <f>IF(OR(TablaVentas[[#This Row],[Ingreso_neto]]="PENDIENTE",TablaVentas[[#This Row],[Costo_total]]="PENDIENTE"),"PENDIENTE",TablaVentas[[#This Row],[Ingreso_neto]]-TablaVentas[[#This Row],[Costo_total]])</f>
        <v>8929.1399999999958</v>
      </c>
    </row>
    <row r="2048" spans="1:17">
      <c r="A2048" t="s">
        <v>1272</v>
      </c>
      <c r="B2048">
        <v>1</v>
      </c>
      <c r="C2048" s="3">
        <v>46191</v>
      </c>
      <c r="D2048" t="s">
        <v>622</v>
      </c>
      <c r="E2048" t="s">
        <v>133</v>
      </c>
      <c r="F2048" t="s">
        <v>66</v>
      </c>
      <c r="G2048" t="s">
        <v>50</v>
      </c>
      <c r="H2048" t="s">
        <v>184</v>
      </c>
      <c r="I2048">
        <v>8</v>
      </c>
      <c r="J2048" s="4">
        <v>8206.15</v>
      </c>
      <c r="K2048" s="5">
        <v>0.15</v>
      </c>
      <c r="L2048" s="4">
        <v>4061.34</v>
      </c>
      <c r="M2048" t="s">
        <v>42</v>
      </c>
      <c r="N2048" t="s">
        <v>60</v>
      </c>
      <c r="O2048">
        <f>IF(TablaVentas[[#This Row],[Precio_unitario]]="","PENDIENTE",TablaVentas[[#This Row],[Unidades]]*TablaVentas[[#This Row],[Precio_unitario]]*(1-TablaVentas[[#This Row],[Descuento_pct]]))</f>
        <v>55801.819999999992</v>
      </c>
      <c r="P2048">
        <f>IF(TablaVentas[[#This Row],[Costo_unitario]]="","PENDIENTE",TablaVentas[[#This Row],[Unidades]]*TablaVentas[[#This Row],[Costo_unitario]])</f>
        <v>32490.720000000001</v>
      </c>
      <c r="Q2048">
        <f>IF(OR(TablaVentas[[#This Row],[Ingreso_neto]]="PENDIENTE",TablaVentas[[#This Row],[Costo_total]]="PENDIENTE"),"PENDIENTE",TablaVentas[[#This Row],[Ingreso_neto]]-TablaVentas[[#This Row],[Costo_total]])</f>
        <v>23311.099999999991</v>
      </c>
    </row>
    <row r="2049" spans="1:17">
      <c r="A2049" t="s">
        <v>1272</v>
      </c>
      <c r="B2049">
        <v>2</v>
      </c>
      <c r="C2049" s="3">
        <v>46191</v>
      </c>
      <c r="D2049" t="s">
        <v>622</v>
      </c>
      <c r="E2049" t="s">
        <v>70</v>
      </c>
      <c r="F2049" t="s">
        <v>66</v>
      </c>
      <c r="G2049" t="s">
        <v>50</v>
      </c>
      <c r="H2049" t="s">
        <v>184</v>
      </c>
      <c r="I2049">
        <v>1</v>
      </c>
      <c r="J2049" s="4">
        <v>15748.03</v>
      </c>
      <c r="K2049" s="5">
        <v>0.05</v>
      </c>
      <c r="L2049" s="4">
        <v>10571.25</v>
      </c>
      <c r="M2049" t="s">
        <v>42</v>
      </c>
      <c r="N2049" t="s">
        <v>43</v>
      </c>
      <c r="O2049">
        <f>IF(TablaVentas[[#This Row],[Precio_unitario]]="","PENDIENTE",TablaVentas[[#This Row],[Unidades]]*TablaVentas[[#This Row],[Precio_unitario]]*(1-TablaVentas[[#This Row],[Descuento_pct]]))</f>
        <v>14960.628500000001</v>
      </c>
      <c r="P2049">
        <f>IF(TablaVentas[[#This Row],[Costo_unitario]]="","PENDIENTE",TablaVentas[[#This Row],[Unidades]]*TablaVentas[[#This Row],[Costo_unitario]])</f>
        <v>10571.25</v>
      </c>
      <c r="Q2049">
        <f>IF(OR(TablaVentas[[#This Row],[Ingreso_neto]]="PENDIENTE",TablaVentas[[#This Row],[Costo_total]]="PENDIENTE"),"PENDIENTE",TablaVentas[[#This Row],[Ingreso_neto]]-TablaVentas[[#This Row],[Costo_total]])</f>
        <v>4389.3785000000007</v>
      </c>
    </row>
    <row r="2050" spans="1:17">
      <c r="A2050" t="s">
        <v>1273</v>
      </c>
      <c r="B2050">
        <v>1</v>
      </c>
      <c r="C2050" s="3">
        <v>46092</v>
      </c>
      <c r="D2050" t="s">
        <v>969</v>
      </c>
      <c r="E2050" t="s">
        <v>216</v>
      </c>
      <c r="F2050" t="s">
        <v>66</v>
      </c>
      <c r="G2050" t="s">
        <v>57</v>
      </c>
      <c r="H2050" t="s">
        <v>102</v>
      </c>
      <c r="I2050">
        <v>2</v>
      </c>
      <c r="J2050" s="4">
        <v>15074.51</v>
      </c>
      <c r="K2050" s="5">
        <v>0</v>
      </c>
      <c r="L2050" s="4">
        <v>12064.41</v>
      </c>
      <c r="M2050" t="s">
        <v>42</v>
      </c>
      <c r="N2050" t="s">
        <v>52</v>
      </c>
      <c r="O2050">
        <f>IF(TablaVentas[[#This Row],[Precio_unitario]]="","PENDIENTE",TablaVentas[[#This Row],[Unidades]]*TablaVentas[[#This Row],[Precio_unitario]]*(1-TablaVentas[[#This Row],[Descuento_pct]]))</f>
        <v>30149.02</v>
      </c>
      <c r="P2050">
        <f>IF(TablaVentas[[#This Row],[Costo_unitario]]="","PENDIENTE",TablaVentas[[#This Row],[Unidades]]*TablaVentas[[#This Row],[Costo_unitario]])</f>
        <v>24128.82</v>
      </c>
      <c r="Q2050">
        <f>IF(OR(TablaVentas[[#This Row],[Ingreso_neto]]="PENDIENTE",TablaVentas[[#This Row],[Costo_total]]="PENDIENTE"),"PENDIENTE",TablaVentas[[#This Row],[Ingreso_neto]]-TablaVentas[[#This Row],[Costo_total]])</f>
        <v>6020.2000000000007</v>
      </c>
    </row>
    <row r="2051" spans="1:17">
      <c r="A2051" t="s">
        <v>1273</v>
      </c>
      <c r="B2051">
        <v>2</v>
      </c>
      <c r="C2051" s="3">
        <v>46092</v>
      </c>
      <c r="D2051" t="s">
        <v>969</v>
      </c>
      <c r="E2051" t="s">
        <v>70</v>
      </c>
      <c r="F2051" t="s">
        <v>66</v>
      </c>
      <c r="G2051" t="s">
        <v>57</v>
      </c>
      <c r="H2051" t="s">
        <v>102</v>
      </c>
      <c r="I2051">
        <v>2</v>
      </c>
      <c r="J2051" s="4">
        <v>15465.94</v>
      </c>
      <c r="K2051" s="5">
        <v>0.05</v>
      </c>
      <c r="L2051" s="4">
        <v>10571.25</v>
      </c>
      <c r="M2051" t="s">
        <v>42</v>
      </c>
      <c r="N2051" t="s">
        <v>60</v>
      </c>
      <c r="O2051">
        <f>IF(TablaVentas[[#This Row],[Precio_unitario]]="","PENDIENTE",TablaVentas[[#This Row],[Unidades]]*TablaVentas[[#This Row],[Precio_unitario]]*(1-TablaVentas[[#This Row],[Descuento_pct]]))</f>
        <v>29385.286</v>
      </c>
      <c r="P2051">
        <f>IF(TablaVentas[[#This Row],[Costo_unitario]]="","PENDIENTE",TablaVentas[[#This Row],[Unidades]]*TablaVentas[[#This Row],[Costo_unitario]])</f>
        <v>21142.5</v>
      </c>
      <c r="Q2051">
        <f>IF(OR(TablaVentas[[#This Row],[Ingreso_neto]]="PENDIENTE",TablaVentas[[#This Row],[Costo_total]]="PENDIENTE"),"PENDIENTE",TablaVentas[[#This Row],[Ingreso_neto]]-TablaVentas[[#This Row],[Costo_total]])</f>
        <v>8242.7860000000001</v>
      </c>
    </row>
    <row r="2052" spans="1:17">
      <c r="A2052" t="s">
        <v>1273</v>
      </c>
      <c r="B2052">
        <v>3</v>
      </c>
      <c r="C2052" s="3">
        <v>46092</v>
      </c>
      <c r="D2052" t="s">
        <v>969</v>
      </c>
      <c r="E2052" t="s">
        <v>180</v>
      </c>
      <c r="F2052" t="s">
        <v>66</v>
      </c>
      <c r="G2052" t="s">
        <v>57</v>
      </c>
      <c r="H2052" t="s">
        <v>102</v>
      </c>
      <c r="I2052">
        <v>5</v>
      </c>
      <c r="J2052" s="4">
        <v>5892.91</v>
      </c>
      <c r="K2052" s="5">
        <v>0.1</v>
      </c>
      <c r="L2052" s="4">
        <v>3824.92</v>
      </c>
      <c r="M2052" t="s">
        <v>42</v>
      </c>
      <c r="N2052" t="s">
        <v>43</v>
      </c>
      <c r="O2052">
        <f>IF(TablaVentas[[#This Row],[Precio_unitario]]="","PENDIENTE",TablaVentas[[#This Row],[Unidades]]*TablaVentas[[#This Row],[Precio_unitario]]*(1-TablaVentas[[#This Row],[Descuento_pct]]))</f>
        <v>26518.095000000001</v>
      </c>
      <c r="P2052">
        <f>IF(TablaVentas[[#This Row],[Costo_unitario]]="","PENDIENTE",TablaVentas[[#This Row],[Unidades]]*TablaVentas[[#This Row],[Costo_unitario]])</f>
        <v>19124.599999999999</v>
      </c>
      <c r="Q2052">
        <f>IF(OR(TablaVentas[[#This Row],[Ingreso_neto]]="PENDIENTE",TablaVentas[[#This Row],[Costo_total]]="PENDIENTE"),"PENDIENTE",TablaVentas[[#This Row],[Ingreso_neto]]-TablaVentas[[#This Row],[Costo_total]])</f>
        <v>7393.4950000000026</v>
      </c>
    </row>
    <row r="2053" spans="1:17">
      <c r="A2053" t="s">
        <v>1273</v>
      </c>
      <c r="B2053">
        <v>4</v>
      </c>
      <c r="C2053" s="3">
        <v>46092</v>
      </c>
      <c r="D2053" t="s">
        <v>969</v>
      </c>
      <c r="E2053" t="s">
        <v>245</v>
      </c>
      <c r="F2053" t="s">
        <v>66</v>
      </c>
      <c r="G2053" t="s">
        <v>57</v>
      </c>
      <c r="H2053" t="s">
        <v>102</v>
      </c>
      <c r="I2053">
        <v>4</v>
      </c>
      <c r="J2053" s="4">
        <v>17049.55</v>
      </c>
      <c r="K2053" s="5">
        <v>0</v>
      </c>
      <c r="L2053" s="4">
        <v>10507.24</v>
      </c>
      <c r="M2053" t="s">
        <v>42</v>
      </c>
      <c r="N2053" t="s">
        <v>43</v>
      </c>
      <c r="O2053">
        <f>IF(TablaVentas[[#This Row],[Precio_unitario]]="","PENDIENTE",TablaVentas[[#This Row],[Unidades]]*TablaVentas[[#This Row],[Precio_unitario]]*(1-TablaVentas[[#This Row],[Descuento_pct]]))</f>
        <v>68198.2</v>
      </c>
      <c r="P2053">
        <f>IF(TablaVentas[[#This Row],[Costo_unitario]]="","PENDIENTE",TablaVentas[[#This Row],[Unidades]]*TablaVentas[[#This Row],[Costo_unitario]])</f>
        <v>42028.959999999999</v>
      </c>
      <c r="Q2053">
        <f>IF(OR(TablaVentas[[#This Row],[Ingreso_neto]]="PENDIENTE",TablaVentas[[#This Row],[Costo_total]]="PENDIENTE"),"PENDIENTE",TablaVentas[[#This Row],[Ingreso_neto]]-TablaVentas[[#This Row],[Costo_total]])</f>
        <v>26169.239999999998</v>
      </c>
    </row>
    <row r="2054" spans="1:17">
      <c r="A2054" t="s">
        <v>1274</v>
      </c>
      <c r="B2054">
        <v>1</v>
      </c>
      <c r="C2054" s="3">
        <v>46282</v>
      </c>
      <c r="D2054" t="s">
        <v>882</v>
      </c>
      <c r="E2054" t="s">
        <v>273</v>
      </c>
      <c r="F2054" t="s">
        <v>39</v>
      </c>
      <c r="G2054" t="s">
        <v>57</v>
      </c>
      <c r="H2054" t="s">
        <v>102</v>
      </c>
      <c r="I2054">
        <v>2</v>
      </c>
      <c r="J2054" s="4">
        <v>1323.52</v>
      </c>
      <c r="K2054" s="5">
        <v>0</v>
      </c>
      <c r="L2054" s="4">
        <v>716.26</v>
      </c>
      <c r="M2054" t="s">
        <v>42</v>
      </c>
      <c r="N2054" t="s">
        <v>52</v>
      </c>
      <c r="O2054">
        <f>IF(TablaVentas[[#This Row],[Precio_unitario]]="","PENDIENTE",TablaVentas[[#This Row],[Unidades]]*TablaVentas[[#This Row],[Precio_unitario]]*(1-TablaVentas[[#This Row],[Descuento_pct]]))</f>
        <v>2647.04</v>
      </c>
      <c r="P2054">
        <f>IF(TablaVentas[[#This Row],[Costo_unitario]]="","PENDIENTE",TablaVentas[[#This Row],[Unidades]]*TablaVentas[[#This Row],[Costo_unitario]])</f>
        <v>1432.52</v>
      </c>
      <c r="Q2054">
        <f>IF(OR(TablaVentas[[#This Row],[Ingreso_neto]]="PENDIENTE",TablaVentas[[#This Row],[Costo_total]]="PENDIENTE"),"PENDIENTE",TablaVentas[[#This Row],[Ingreso_neto]]-TablaVentas[[#This Row],[Costo_total]])</f>
        <v>1214.52</v>
      </c>
    </row>
    <row r="2055" spans="1:17">
      <c r="A2055" t="s">
        <v>1275</v>
      </c>
      <c r="B2055">
        <v>1</v>
      </c>
      <c r="C2055" s="3">
        <v>46275</v>
      </c>
      <c r="D2055" t="s">
        <v>309</v>
      </c>
      <c r="E2055" t="s">
        <v>403</v>
      </c>
      <c r="F2055" t="s">
        <v>56</v>
      </c>
      <c r="G2055" t="s">
        <v>40</v>
      </c>
      <c r="H2055" t="s">
        <v>41</v>
      </c>
      <c r="I2055">
        <v>2</v>
      </c>
      <c r="J2055" s="4">
        <v>2953.04</v>
      </c>
      <c r="K2055" s="5">
        <v>0</v>
      </c>
      <c r="L2055" s="4">
        <v>1801.83</v>
      </c>
      <c r="M2055" t="s">
        <v>42</v>
      </c>
      <c r="N2055" t="s">
        <v>45</v>
      </c>
      <c r="O2055">
        <f>IF(TablaVentas[[#This Row],[Precio_unitario]]="","PENDIENTE",TablaVentas[[#This Row],[Unidades]]*TablaVentas[[#This Row],[Precio_unitario]]*(1-TablaVentas[[#This Row],[Descuento_pct]]))</f>
        <v>5906.08</v>
      </c>
      <c r="P2055">
        <f>IF(TablaVentas[[#This Row],[Costo_unitario]]="","PENDIENTE",TablaVentas[[#This Row],[Unidades]]*TablaVentas[[#This Row],[Costo_unitario]])</f>
        <v>3603.66</v>
      </c>
      <c r="Q2055">
        <f>IF(OR(TablaVentas[[#This Row],[Ingreso_neto]]="PENDIENTE",TablaVentas[[#This Row],[Costo_total]]="PENDIENTE"),"PENDIENTE",TablaVentas[[#This Row],[Ingreso_neto]]-TablaVentas[[#This Row],[Costo_total]])</f>
        <v>2302.42</v>
      </c>
    </row>
    <row r="2056" spans="1:17">
      <c r="A2056" t="s">
        <v>1275</v>
      </c>
      <c r="B2056">
        <v>2</v>
      </c>
      <c r="C2056" s="3">
        <v>46275</v>
      </c>
      <c r="D2056" t="s">
        <v>309</v>
      </c>
      <c r="E2056" t="s">
        <v>120</v>
      </c>
      <c r="F2056" t="s">
        <v>56</v>
      </c>
      <c r="G2056" t="s">
        <v>40</v>
      </c>
      <c r="H2056" t="s">
        <v>41</v>
      </c>
      <c r="I2056">
        <v>3</v>
      </c>
      <c r="J2056" s="4">
        <v>13112.23</v>
      </c>
      <c r="K2056" s="5">
        <v>0</v>
      </c>
      <c r="L2056" s="4">
        <v>7975.26</v>
      </c>
      <c r="M2056" t="s">
        <v>42</v>
      </c>
      <c r="N2056" t="s">
        <v>43</v>
      </c>
      <c r="O2056">
        <f>IF(TablaVentas[[#This Row],[Precio_unitario]]="","PENDIENTE",TablaVentas[[#This Row],[Unidades]]*TablaVentas[[#This Row],[Precio_unitario]]*(1-TablaVentas[[#This Row],[Descuento_pct]]))</f>
        <v>39336.69</v>
      </c>
      <c r="P2056">
        <f>IF(TablaVentas[[#This Row],[Costo_unitario]]="","PENDIENTE",TablaVentas[[#This Row],[Unidades]]*TablaVentas[[#This Row],[Costo_unitario]])</f>
        <v>23925.78</v>
      </c>
      <c r="Q2056">
        <f>IF(OR(TablaVentas[[#This Row],[Ingreso_neto]]="PENDIENTE",TablaVentas[[#This Row],[Costo_total]]="PENDIENTE"),"PENDIENTE",TablaVentas[[#This Row],[Ingreso_neto]]-TablaVentas[[#This Row],[Costo_total]])</f>
        <v>15410.910000000003</v>
      </c>
    </row>
    <row r="2057" spans="1:17">
      <c r="A2057" t="s">
        <v>1276</v>
      </c>
      <c r="B2057">
        <v>1</v>
      </c>
      <c r="C2057" s="3">
        <v>46274</v>
      </c>
      <c r="D2057" t="s">
        <v>709</v>
      </c>
      <c r="E2057" t="s">
        <v>163</v>
      </c>
      <c r="F2057" t="s">
        <v>77</v>
      </c>
      <c r="G2057" t="s">
        <v>40</v>
      </c>
      <c r="H2057" t="s">
        <v>67</v>
      </c>
      <c r="I2057">
        <v>1</v>
      </c>
      <c r="J2057" s="4">
        <v>18074.11</v>
      </c>
      <c r="K2057" s="5">
        <v>0</v>
      </c>
      <c r="L2057" s="4">
        <v>12141.44</v>
      </c>
      <c r="M2057" t="s">
        <v>116</v>
      </c>
      <c r="N2057" t="s">
        <v>60</v>
      </c>
      <c r="O2057">
        <f>IF(TablaVentas[[#This Row],[Precio_unitario]]="","PENDIENTE",TablaVentas[[#This Row],[Unidades]]*TablaVentas[[#This Row],[Precio_unitario]]*(1-TablaVentas[[#This Row],[Descuento_pct]]))</f>
        <v>18074.11</v>
      </c>
      <c r="P2057">
        <f>IF(TablaVentas[[#This Row],[Costo_unitario]]="","PENDIENTE",TablaVentas[[#This Row],[Unidades]]*TablaVentas[[#This Row],[Costo_unitario]])</f>
        <v>12141.44</v>
      </c>
      <c r="Q2057">
        <f>IF(OR(TablaVentas[[#This Row],[Ingreso_neto]]="PENDIENTE",TablaVentas[[#This Row],[Costo_total]]="PENDIENTE"),"PENDIENTE",TablaVentas[[#This Row],[Ingreso_neto]]-TablaVentas[[#This Row],[Costo_total]])</f>
        <v>5932.67</v>
      </c>
    </row>
    <row r="2058" spans="1:17">
      <c r="A2058" t="s">
        <v>1277</v>
      </c>
      <c r="B2058">
        <v>1</v>
      </c>
      <c r="C2058" s="3">
        <v>46036</v>
      </c>
      <c r="D2058" t="s">
        <v>355</v>
      </c>
      <c r="E2058" t="s">
        <v>160</v>
      </c>
      <c r="F2058" t="s">
        <v>39</v>
      </c>
      <c r="G2058" t="s">
        <v>57</v>
      </c>
      <c r="H2058" t="s">
        <v>41</v>
      </c>
      <c r="I2058">
        <v>5</v>
      </c>
      <c r="J2058" s="4">
        <v>8015.76</v>
      </c>
      <c r="K2058" s="5">
        <v>0.15</v>
      </c>
      <c r="L2058" s="4">
        <v>4082.15</v>
      </c>
      <c r="M2058" t="s">
        <v>42</v>
      </c>
      <c r="N2058" t="s">
        <v>43</v>
      </c>
      <c r="O2058">
        <f>IF(TablaVentas[[#This Row],[Precio_unitario]]="","PENDIENTE",TablaVentas[[#This Row],[Unidades]]*TablaVentas[[#This Row],[Precio_unitario]]*(1-TablaVentas[[#This Row],[Descuento_pct]]))</f>
        <v>34066.980000000003</v>
      </c>
      <c r="P2058">
        <f>IF(TablaVentas[[#This Row],[Costo_unitario]]="","PENDIENTE",TablaVentas[[#This Row],[Unidades]]*TablaVentas[[#This Row],[Costo_unitario]])</f>
        <v>20410.75</v>
      </c>
      <c r="Q2058">
        <f>IF(OR(TablaVentas[[#This Row],[Ingreso_neto]]="PENDIENTE",TablaVentas[[#This Row],[Costo_total]]="PENDIENTE"),"PENDIENTE",TablaVentas[[#This Row],[Ingreso_neto]]-TablaVentas[[#This Row],[Costo_total]])</f>
        <v>13656.230000000003</v>
      </c>
    </row>
    <row r="2059" spans="1:17">
      <c r="A2059" t="s">
        <v>1277</v>
      </c>
      <c r="B2059">
        <v>2</v>
      </c>
      <c r="C2059" s="3">
        <v>46036</v>
      </c>
      <c r="D2059" t="s">
        <v>355</v>
      </c>
      <c r="E2059" t="s">
        <v>236</v>
      </c>
      <c r="F2059" t="s">
        <v>39</v>
      </c>
      <c r="G2059" t="s">
        <v>57</v>
      </c>
      <c r="H2059" t="s">
        <v>41</v>
      </c>
      <c r="I2059">
        <v>1</v>
      </c>
      <c r="J2059" s="4">
        <v>9667.73</v>
      </c>
      <c r="K2059" s="5">
        <v>0</v>
      </c>
      <c r="L2059" s="4">
        <v>8061.7</v>
      </c>
      <c r="M2059" t="s">
        <v>42</v>
      </c>
      <c r="N2059" t="s">
        <v>52</v>
      </c>
      <c r="O2059">
        <f>IF(TablaVentas[[#This Row],[Precio_unitario]]="","PENDIENTE",TablaVentas[[#This Row],[Unidades]]*TablaVentas[[#This Row],[Precio_unitario]]*(1-TablaVentas[[#This Row],[Descuento_pct]]))</f>
        <v>9667.73</v>
      </c>
      <c r="P2059">
        <f>IF(TablaVentas[[#This Row],[Costo_unitario]]="","PENDIENTE",TablaVentas[[#This Row],[Unidades]]*TablaVentas[[#This Row],[Costo_unitario]])</f>
        <v>8061.7</v>
      </c>
      <c r="Q2059">
        <f>IF(OR(TablaVentas[[#This Row],[Ingreso_neto]]="PENDIENTE",TablaVentas[[#This Row],[Costo_total]]="PENDIENTE"),"PENDIENTE",TablaVentas[[#This Row],[Ingreso_neto]]-TablaVentas[[#This Row],[Costo_total]])</f>
        <v>1606.0299999999997</v>
      </c>
    </row>
    <row r="2060" spans="1:17">
      <c r="A2060" t="s">
        <v>1278</v>
      </c>
      <c r="B2060">
        <v>1</v>
      </c>
      <c r="C2060" s="3">
        <v>46152</v>
      </c>
      <c r="D2060" t="s">
        <v>1279</v>
      </c>
      <c r="E2060" t="s">
        <v>217</v>
      </c>
      <c r="F2060" t="s">
        <v>56</v>
      </c>
      <c r="G2060" t="s">
        <v>50</v>
      </c>
      <c r="H2060" t="s">
        <v>58</v>
      </c>
      <c r="I2060">
        <v>1</v>
      </c>
      <c r="J2060" s="4">
        <v>16411.11</v>
      </c>
      <c r="K2060" s="5">
        <v>0.2</v>
      </c>
      <c r="L2060" s="4">
        <v>14161.63</v>
      </c>
      <c r="M2060" t="s">
        <v>42</v>
      </c>
      <c r="N2060" t="s">
        <v>45</v>
      </c>
      <c r="O2060">
        <f>IF(TablaVentas[[#This Row],[Precio_unitario]]="","PENDIENTE",TablaVentas[[#This Row],[Unidades]]*TablaVentas[[#This Row],[Precio_unitario]]*(1-TablaVentas[[#This Row],[Descuento_pct]]))</f>
        <v>13128.888000000001</v>
      </c>
      <c r="P2060">
        <f>IF(TablaVentas[[#This Row],[Costo_unitario]]="","PENDIENTE",TablaVentas[[#This Row],[Unidades]]*TablaVentas[[#This Row],[Costo_unitario]])</f>
        <v>14161.63</v>
      </c>
      <c r="Q2060">
        <f>IF(OR(TablaVentas[[#This Row],[Ingreso_neto]]="PENDIENTE",TablaVentas[[#This Row],[Costo_total]]="PENDIENTE"),"PENDIENTE",TablaVentas[[#This Row],[Ingreso_neto]]-TablaVentas[[#This Row],[Costo_total]])</f>
        <v>-1032.7419999999984</v>
      </c>
    </row>
    <row r="2061" spans="1:17">
      <c r="A2061" t="s">
        <v>1278</v>
      </c>
      <c r="B2061">
        <v>2</v>
      </c>
      <c r="C2061" s="3">
        <v>46152</v>
      </c>
      <c r="D2061" t="s">
        <v>1279</v>
      </c>
      <c r="E2061" t="s">
        <v>93</v>
      </c>
      <c r="F2061" t="s">
        <v>56</v>
      </c>
      <c r="G2061" t="s">
        <v>50</v>
      </c>
      <c r="H2061" t="s">
        <v>58</v>
      </c>
      <c r="I2061">
        <v>1</v>
      </c>
      <c r="J2061" s="4">
        <v>15573.54</v>
      </c>
      <c r="K2061" s="5">
        <v>0</v>
      </c>
      <c r="L2061" s="4">
        <v>8788.7900000000009</v>
      </c>
      <c r="M2061" t="s">
        <v>116</v>
      </c>
      <c r="N2061" t="s">
        <v>45</v>
      </c>
      <c r="O2061">
        <f>IF(TablaVentas[[#This Row],[Precio_unitario]]="","PENDIENTE",TablaVentas[[#This Row],[Unidades]]*TablaVentas[[#This Row],[Precio_unitario]]*(1-TablaVentas[[#This Row],[Descuento_pct]]))</f>
        <v>15573.54</v>
      </c>
      <c r="P2061">
        <f>IF(TablaVentas[[#This Row],[Costo_unitario]]="","PENDIENTE",TablaVentas[[#This Row],[Unidades]]*TablaVentas[[#This Row],[Costo_unitario]])</f>
        <v>8788.7900000000009</v>
      </c>
      <c r="Q2061">
        <f>IF(OR(TablaVentas[[#This Row],[Ingreso_neto]]="PENDIENTE",TablaVentas[[#This Row],[Costo_total]]="PENDIENTE"),"PENDIENTE",TablaVentas[[#This Row],[Ingreso_neto]]-TablaVentas[[#This Row],[Costo_total]])</f>
        <v>6784.75</v>
      </c>
    </row>
    <row r="2062" spans="1:17">
      <c r="A2062" t="s">
        <v>1278</v>
      </c>
      <c r="B2062">
        <v>3</v>
      </c>
      <c r="C2062" s="3">
        <v>46152</v>
      </c>
      <c r="D2062" t="s">
        <v>1279</v>
      </c>
      <c r="E2062" t="s">
        <v>86</v>
      </c>
      <c r="F2062" t="s">
        <v>56</v>
      </c>
      <c r="G2062" t="s">
        <v>50</v>
      </c>
      <c r="H2062" t="s">
        <v>58</v>
      </c>
      <c r="I2062">
        <v>1</v>
      </c>
      <c r="J2062" s="4">
        <v>15750.27</v>
      </c>
      <c r="K2062" s="5">
        <v>0.2</v>
      </c>
      <c r="L2062" s="4">
        <v>11166.03</v>
      </c>
      <c r="M2062" t="s">
        <v>42</v>
      </c>
      <c r="N2062" t="s">
        <v>45</v>
      </c>
      <c r="O2062">
        <f>IF(TablaVentas[[#This Row],[Precio_unitario]]="","PENDIENTE",TablaVentas[[#This Row],[Unidades]]*TablaVentas[[#This Row],[Precio_unitario]]*(1-TablaVentas[[#This Row],[Descuento_pct]]))</f>
        <v>12600.216</v>
      </c>
      <c r="P2062">
        <f>IF(TablaVentas[[#This Row],[Costo_unitario]]="","PENDIENTE",TablaVentas[[#This Row],[Unidades]]*TablaVentas[[#This Row],[Costo_unitario]])</f>
        <v>11166.03</v>
      </c>
      <c r="Q2062">
        <f>IF(OR(TablaVentas[[#This Row],[Ingreso_neto]]="PENDIENTE",TablaVentas[[#This Row],[Costo_total]]="PENDIENTE"),"PENDIENTE",TablaVentas[[#This Row],[Ingreso_neto]]-TablaVentas[[#This Row],[Costo_total]])</f>
        <v>1434.1859999999997</v>
      </c>
    </row>
    <row r="2063" spans="1:17">
      <c r="A2063" t="s">
        <v>1278</v>
      </c>
      <c r="B2063">
        <v>4</v>
      </c>
      <c r="C2063" s="3">
        <v>46152</v>
      </c>
      <c r="D2063" t="s">
        <v>1279</v>
      </c>
      <c r="E2063" t="s">
        <v>81</v>
      </c>
      <c r="F2063" t="s">
        <v>56</v>
      </c>
      <c r="G2063" t="s">
        <v>50</v>
      </c>
      <c r="H2063" t="s">
        <v>58</v>
      </c>
      <c r="I2063">
        <v>8</v>
      </c>
      <c r="J2063" s="4">
        <v>16753.509999999998</v>
      </c>
      <c r="K2063" s="5">
        <v>0.2</v>
      </c>
      <c r="L2063" s="4">
        <v>11614.87</v>
      </c>
      <c r="M2063" t="s">
        <v>42</v>
      </c>
      <c r="N2063" t="s">
        <v>45</v>
      </c>
      <c r="O2063">
        <f>IF(TablaVentas[[#This Row],[Precio_unitario]]="","PENDIENTE",TablaVentas[[#This Row],[Unidades]]*TablaVentas[[#This Row],[Precio_unitario]]*(1-TablaVentas[[#This Row],[Descuento_pct]]))</f>
        <v>107222.46399999999</v>
      </c>
      <c r="P2063">
        <f>IF(TablaVentas[[#This Row],[Costo_unitario]]="","PENDIENTE",TablaVentas[[#This Row],[Unidades]]*TablaVentas[[#This Row],[Costo_unitario]])</f>
        <v>92918.96</v>
      </c>
      <c r="Q2063">
        <f>IF(OR(TablaVentas[[#This Row],[Ingreso_neto]]="PENDIENTE",TablaVentas[[#This Row],[Costo_total]]="PENDIENTE"),"PENDIENTE",TablaVentas[[#This Row],[Ingreso_neto]]-TablaVentas[[#This Row],[Costo_total]])</f>
        <v>14303.503999999986</v>
      </c>
    </row>
    <row r="2064" spans="1:17">
      <c r="A2064" t="s">
        <v>1280</v>
      </c>
      <c r="B2064">
        <v>1</v>
      </c>
      <c r="C2064" s="3">
        <v>46161</v>
      </c>
      <c r="D2064" t="s">
        <v>429</v>
      </c>
      <c r="E2064" t="s">
        <v>160</v>
      </c>
      <c r="F2064" t="s">
        <v>77</v>
      </c>
      <c r="G2064" t="s">
        <v>40</v>
      </c>
      <c r="H2064" t="s">
        <v>41</v>
      </c>
      <c r="I2064">
        <v>12</v>
      </c>
      <c r="J2064" s="4">
        <v>7115.98</v>
      </c>
      <c r="K2064" s="5">
        <v>0.05</v>
      </c>
      <c r="L2064" s="4">
        <v>4082.15</v>
      </c>
      <c r="M2064" t="s">
        <v>42</v>
      </c>
      <c r="N2064" t="s">
        <v>52</v>
      </c>
      <c r="O2064">
        <f>IF(TablaVentas[[#This Row],[Precio_unitario]]="","PENDIENTE",TablaVentas[[#This Row],[Unidades]]*TablaVentas[[#This Row],[Precio_unitario]]*(1-TablaVentas[[#This Row],[Descuento_pct]]))</f>
        <v>81122.171999999991</v>
      </c>
      <c r="P2064">
        <f>IF(TablaVentas[[#This Row],[Costo_unitario]]="","PENDIENTE",TablaVentas[[#This Row],[Unidades]]*TablaVentas[[#This Row],[Costo_unitario]])</f>
        <v>48985.8</v>
      </c>
      <c r="Q2064">
        <f>IF(OR(TablaVentas[[#This Row],[Ingreso_neto]]="PENDIENTE",TablaVentas[[#This Row],[Costo_total]]="PENDIENTE"),"PENDIENTE",TablaVentas[[#This Row],[Ingreso_neto]]-TablaVentas[[#This Row],[Costo_total]])</f>
        <v>32136.371999999988</v>
      </c>
    </row>
    <row r="2065" spans="1:17">
      <c r="A2065" t="s">
        <v>1280</v>
      </c>
      <c r="B2065">
        <v>2</v>
      </c>
      <c r="C2065" s="3">
        <v>46161</v>
      </c>
      <c r="D2065" t="s">
        <v>429</v>
      </c>
      <c r="E2065" t="s">
        <v>115</v>
      </c>
      <c r="F2065" t="s">
        <v>77</v>
      </c>
      <c r="G2065" t="s">
        <v>40</v>
      </c>
      <c r="H2065" t="s">
        <v>41</v>
      </c>
      <c r="I2065">
        <v>5</v>
      </c>
      <c r="J2065" s="4">
        <v>1221.51</v>
      </c>
      <c r="K2065" s="5">
        <v>0.15</v>
      </c>
      <c r="L2065" s="4">
        <v>705.87</v>
      </c>
      <c r="M2065" t="s">
        <v>42</v>
      </c>
      <c r="N2065" t="s">
        <v>43</v>
      </c>
      <c r="O2065">
        <f>IF(TablaVentas[[#This Row],[Precio_unitario]]="","PENDIENTE",TablaVentas[[#This Row],[Unidades]]*TablaVentas[[#This Row],[Precio_unitario]]*(1-TablaVentas[[#This Row],[Descuento_pct]]))</f>
        <v>5191.4175000000005</v>
      </c>
      <c r="P2065">
        <f>IF(TablaVentas[[#This Row],[Costo_unitario]]="","PENDIENTE",TablaVentas[[#This Row],[Unidades]]*TablaVentas[[#This Row],[Costo_unitario]])</f>
        <v>3529.35</v>
      </c>
      <c r="Q2065">
        <f>IF(OR(TablaVentas[[#This Row],[Ingreso_neto]]="PENDIENTE",TablaVentas[[#This Row],[Costo_total]]="PENDIENTE"),"PENDIENTE",TablaVentas[[#This Row],[Ingreso_neto]]-TablaVentas[[#This Row],[Costo_total]])</f>
        <v>1662.0675000000006</v>
      </c>
    </row>
    <row r="2066" spans="1:17">
      <c r="A2066" t="s">
        <v>1281</v>
      </c>
      <c r="B2066">
        <v>1</v>
      </c>
      <c r="C2066" s="3">
        <v>46112</v>
      </c>
      <c r="D2066" t="s">
        <v>969</v>
      </c>
      <c r="E2066" t="s">
        <v>180</v>
      </c>
      <c r="F2066" t="s">
        <v>56</v>
      </c>
      <c r="G2066" t="s">
        <v>57</v>
      </c>
      <c r="H2066" t="s">
        <v>41</v>
      </c>
      <c r="I2066">
        <v>2</v>
      </c>
      <c r="J2066" s="4">
        <v>5875.26</v>
      </c>
      <c r="K2066" s="5">
        <v>0</v>
      </c>
      <c r="L2066" s="4">
        <v>3824.92</v>
      </c>
      <c r="M2066" t="s">
        <v>42</v>
      </c>
      <c r="N2066" t="s">
        <v>60</v>
      </c>
      <c r="O2066">
        <f>IF(TablaVentas[[#This Row],[Precio_unitario]]="","PENDIENTE",TablaVentas[[#This Row],[Unidades]]*TablaVentas[[#This Row],[Precio_unitario]]*(1-TablaVentas[[#This Row],[Descuento_pct]]))</f>
        <v>11750.52</v>
      </c>
      <c r="P2066">
        <f>IF(TablaVentas[[#This Row],[Costo_unitario]]="","PENDIENTE",TablaVentas[[#This Row],[Unidades]]*TablaVentas[[#This Row],[Costo_unitario]])</f>
        <v>7649.84</v>
      </c>
      <c r="Q2066">
        <f>IF(OR(TablaVentas[[#This Row],[Ingreso_neto]]="PENDIENTE",TablaVentas[[#This Row],[Costo_total]]="PENDIENTE"),"PENDIENTE",TablaVentas[[#This Row],[Ingreso_neto]]-TablaVentas[[#This Row],[Costo_total]])</f>
        <v>4100.68</v>
      </c>
    </row>
    <row r="2067" spans="1:17">
      <c r="A2067" t="s">
        <v>1281</v>
      </c>
      <c r="B2067">
        <v>2</v>
      </c>
      <c r="C2067" s="3">
        <v>46112</v>
      </c>
      <c r="D2067" t="s">
        <v>969</v>
      </c>
      <c r="E2067" t="s">
        <v>135</v>
      </c>
      <c r="F2067" t="s">
        <v>56</v>
      </c>
      <c r="G2067" t="s">
        <v>57</v>
      </c>
      <c r="H2067" t="s">
        <v>41</v>
      </c>
      <c r="I2067">
        <v>2</v>
      </c>
      <c r="J2067" s="4">
        <v>1974.73</v>
      </c>
      <c r="K2067" s="5">
        <v>0</v>
      </c>
      <c r="L2067" s="4">
        <v>1529.93</v>
      </c>
      <c r="M2067" t="s">
        <v>42</v>
      </c>
      <c r="N2067" t="s">
        <v>60</v>
      </c>
      <c r="O2067">
        <f>IF(TablaVentas[[#This Row],[Precio_unitario]]="","PENDIENTE",TablaVentas[[#This Row],[Unidades]]*TablaVentas[[#This Row],[Precio_unitario]]*(1-TablaVentas[[#This Row],[Descuento_pct]]))</f>
        <v>3949.46</v>
      </c>
      <c r="P2067">
        <f>IF(TablaVentas[[#This Row],[Costo_unitario]]="","PENDIENTE",TablaVentas[[#This Row],[Unidades]]*TablaVentas[[#This Row],[Costo_unitario]])</f>
        <v>3059.86</v>
      </c>
      <c r="Q2067">
        <f>IF(OR(TablaVentas[[#This Row],[Ingreso_neto]]="PENDIENTE",TablaVentas[[#This Row],[Costo_total]]="PENDIENTE"),"PENDIENTE",TablaVentas[[#This Row],[Ingreso_neto]]-TablaVentas[[#This Row],[Costo_total]])</f>
        <v>889.59999999999991</v>
      </c>
    </row>
    <row r="2068" spans="1:17">
      <c r="A2068" t="s">
        <v>1281</v>
      </c>
      <c r="B2068">
        <v>3</v>
      </c>
      <c r="C2068" s="3">
        <v>46112</v>
      </c>
      <c r="D2068" t="s">
        <v>969</v>
      </c>
      <c r="E2068" t="s">
        <v>253</v>
      </c>
      <c r="F2068" t="s">
        <v>56</v>
      </c>
      <c r="G2068" t="s">
        <v>57</v>
      </c>
      <c r="H2068" t="s">
        <v>41</v>
      </c>
      <c r="I2068">
        <v>3</v>
      </c>
      <c r="J2068" s="4">
        <v>3153.77</v>
      </c>
      <c r="K2068" s="5">
        <v>0.2</v>
      </c>
      <c r="L2068" s="4">
        <v>2486.1799999999998</v>
      </c>
      <c r="M2068" t="s">
        <v>42</v>
      </c>
      <c r="N2068" t="s">
        <v>43</v>
      </c>
      <c r="O2068">
        <f>IF(TablaVentas[[#This Row],[Precio_unitario]]="","PENDIENTE",TablaVentas[[#This Row],[Unidades]]*TablaVentas[[#This Row],[Precio_unitario]]*(1-TablaVentas[[#This Row],[Descuento_pct]]))</f>
        <v>7569.0479999999998</v>
      </c>
      <c r="P2068">
        <f>IF(TablaVentas[[#This Row],[Costo_unitario]]="","PENDIENTE",TablaVentas[[#This Row],[Unidades]]*TablaVentas[[#This Row],[Costo_unitario]])</f>
        <v>7458.5399999999991</v>
      </c>
      <c r="Q2068">
        <f>IF(OR(TablaVentas[[#This Row],[Ingreso_neto]]="PENDIENTE",TablaVentas[[#This Row],[Costo_total]]="PENDIENTE"),"PENDIENTE",TablaVentas[[#This Row],[Ingreso_neto]]-TablaVentas[[#This Row],[Costo_total]])</f>
        <v>110.50800000000072</v>
      </c>
    </row>
    <row r="2069" spans="1:17">
      <c r="A2069" t="s">
        <v>1281</v>
      </c>
      <c r="B2069">
        <v>4</v>
      </c>
      <c r="C2069" s="3">
        <v>46112</v>
      </c>
      <c r="D2069" t="s">
        <v>969</v>
      </c>
      <c r="E2069" t="s">
        <v>320</v>
      </c>
      <c r="F2069" t="s">
        <v>56</v>
      </c>
      <c r="G2069" t="s">
        <v>57</v>
      </c>
      <c r="H2069" t="s">
        <v>41</v>
      </c>
      <c r="I2069">
        <v>1</v>
      </c>
      <c r="J2069" s="4">
        <v>4343.6099999999997</v>
      </c>
      <c r="K2069" s="5">
        <v>0.15</v>
      </c>
      <c r="L2069" s="4">
        <v>3065.66</v>
      </c>
      <c r="M2069" t="s">
        <v>42</v>
      </c>
      <c r="N2069" t="s">
        <v>60</v>
      </c>
      <c r="O2069">
        <f>IF(TablaVentas[[#This Row],[Precio_unitario]]="","PENDIENTE",TablaVentas[[#This Row],[Unidades]]*TablaVentas[[#This Row],[Precio_unitario]]*(1-TablaVentas[[#This Row],[Descuento_pct]]))</f>
        <v>3692.0684999999994</v>
      </c>
      <c r="P2069">
        <f>IF(TablaVentas[[#This Row],[Costo_unitario]]="","PENDIENTE",TablaVentas[[#This Row],[Unidades]]*TablaVentas[[#This Row],[Costo_unitario]])</f>
        <v>3065.66</v>
      </c>
      <c r="Q2069">
        <f>IF(OR(TablaVentas[[#This Row],[Ingreso_neto]]="PENDIENTE",TablaVentas[[#This Row],[Costo_total]]="PENDIENTE"),"PENDIENTE",TablaVentas[[#This Row],[Ingreso_neto]]-TablaVentas[[#This Row],[Costo_total]])</f>
        <v>626.40849999999955</v>
      </c>
    </row>
    <row r="2070" spans="1:17">
      <c r="A2070" t="s">
        <v>1282</v>
      </c>
      <c r="B2070">
        <v>1</v>
      </c>
      <c r="C2070" s="3">
        <v>46031</v>
      </c>
      <c r="D2070" t="s">
        <v>361</v>
      </c>
      <c r="E2070" t="s">
        <v>106</v>
      </c>
      <c r="F2070" t="s">
        <v>56</v>
      </c>
      <c r="G2070" t="s">
        <v>40</v>
      </c>
      <c r="H2070" t="s">
        <v>102</v>
      </c>
      <c r="I2070">
        <v>3</v>
      </c>
      <c r="J2070" s="4">
        <v>10172.9</v>
      </c>
      <c r="K2070" s="5">
        <v>0.05</v>
      </c>
      <c r="L2070" s="4">
        <v>8276.74</v>
      </c>
      <c r="M2070" t="s">
        <v>42</v>
      </c>
      <c r="N2070" t="s">
        <v>45</v>
      </c>
      <c r="O2070">
        <f>IF(TablaVentas[[#This Row],[Precio_unitario]]="","PENDIENTE",TablaVentas[[#This Row],[Unidades]]*TablaVentas[[#This Row],[Precio_unitario]]*(1-TablaVentas[[#This Row],[Descuento_pct]]))</f>
        <v>28992.764999999996</v>
      </c>
      <c r="P2070">
        <f>IF(TablaVentas[[#This Row],[Costo_unitario]]="","PENDIENTE",TablaVentas[[#This Row],[Unidades]]*TablaVentas[[#This Row],[Costo_unitario]])</f>
        <v>24830.22</v>
      </c>
      <c r="Q2070">
        <f>IF(OR(TablaVentas[[#This Row],[Ingreso_neto]]="PENDIENTE",TablaVentas[[#This Row],[Costo_total]]="PENDIENTE"),"PENDIENTE",TablaVentas[[#This Row],[Ingreso_neto]]-TablaVentas[[#This Row],[Costo_total]])</f>
        <v>4162.5449999999946</v>
      </c>
    </row>
    <row r="2071" spans="1:17">
      <c r="A2071" t="s">
        <v>1282</v>
      </c>
      <c r="B2071">
        <v>2</v>
      </c>
      <c r="C2071" s="3">
        <v>46031</v>
      </c>
      <c r="D2071" t="s">
        <v>361</v>
      </c>
      <c r="E2071" t="s">
        <v>193</v>
      </c>
      <c r="F2071" t="s">
        <v>56</v>
      </c>
      <c r="G2071" t="s">
        <v>40</v>
      </c>
      <c r="H2071" t="s">
        <v>102</v>
      </c>
      <c r="I2071">
        <v>1</v>
      </c>
      <c r="J2071" s="4">
        <v>11880.91</v>
      </c>
      <c r="K2071" s="5">
        <v>0.05</v>
      </c>
      <c r="L2071" s="4">
        <v>5811.72</v>
      </c>
      <c r="M2071" t="s">
        <v>42</v>
      </c>
      <c r="N2071" t="s">
        <v>45</v>
      </c>
      <c r="O2071">
        <f>IF(TablaVentas[[#This Row],[Precio_unitario]]="","PENDIENTE",TablaVentas[[#This Row],[Unidades]]*TablaVentas[[#This Row],[Precio_unitario]]*(1-TablaVentas[[#This Row],[Descuento_pct]]))</f>
        <v>11286.8645</v>
      </c>
      <c r="P2071">
        <f>IF(TablaVentas[[#This Row],[Costo_unitario]]="","PENDIENTE",TablaVentas[[#This Row],[Unidades]]*TablaVentas[[#This Row],[Costo_unitario]])</f>
        <v>5811.72</v>
      </c>
      <c r="Q2071">
        <f>IF(OR(TablaVentas[[#This Row],[Ingreso_neto]]="PENDIENTE",TablaVentas[[#This Row],[Costo_total]]="PENDIENTE"),"PENDIENTE",TablaVentas[[#This Row],[Ingreso_neto]]-TablaVentas[[#This Row],[Costo_total]])</f>
        <v>5475.1444999999994</v>
      </c>
    </row>
    <row r="2072" spans="1:17">
      <c r="A2072" t="s">
        <v>1283</v>
      </c>
      <c r="B2072">
        <v>1</v>
      </c>
      <c r="C2072" s="3">
        <v>46170</v>
      </c>
      <c r="D2072" t="s">
        <v>817</v>
      </c>
      <c r="E2072" t="s">
        <v>193</v>
      </c>
      <c r="F2072" t="s">
        <v>66</v>
      </c>
      <c r="G2072" t="s">
        <v>50</v>
      </c>
      <c r="H2072" t="s">
        <v>129</v>
      </c>
      <c r="I2072">
        <v>2</v>
      </c>
      <c r="J2072" s="4">
        <v>11012.06</v>
      </c>
      <c r="K2072" s="5">
        <v>0.15</v>
      </c>
      <c r="L2072" s="4">
        <v>5811.72</v>
      </c>
      <c r="M2072" t="s">
        <v>42</v>
      </c>
      <c r="N2072" t="s">
        <v>43</v>
      </c>
      <c r="O2072">
        <f>IF(TablaVentas[[#This Row],[Precio_unitario]]="","PENDIENTE",TablaVentas[[#This Row],[Unidades]]*TablaVentas[[#This Row],[Precio_unitario]]*(1-TablaVentas[[#This Row],[Descuento_pct]]))</f>
        <v>18720.502</v>
      </c>
      <c r="P2072">
        <f>IF(TablaVentas[[#This Row],[Costo_unitario]]="","PENDIENTE",TablaVentas[[#This Row],[Unidades]]*TablaVentas[[#This Row],[Costo_unitario]])</f>
        <v>11623.44</v>
      </c>
      <c r="Q2072">
        <f>IF(OR(TablaVentas[[#This Row],[Ingreso_neto]]="PENDIENTE",TablaVentas[[#This Row],[Costo_total]]="PENDIENTE"),"PENDIENTE",TablaVentas[[#This Row],[Ingreso_neto]]-TablaVentas[[#This Row],[Costo_total]])</f>
        <v>7097.0619999999999</v>
      </c>
    </row>
    <row r="2073" spans="1:17">
      <c r="A2073" t="s">
        <v>1284</v>
      </c>
      <c r="B2073">
        <v>1</v>
      </c>
      <c r="C2073" s="3">
        <v>46229</v>
      </c>
      <c r="D2073" t="s">
        <v>72</v>
      </c>
      <c r="E2073" t="s">
        <v>152</v>
      </c>
      <c r="F2073" t="s">
        <v>56</v>
      </c>
      <c r="G2073" t="s">
        <v>57</v>
      </c>
      <c r="H2073" t="s">
        <v>184</v>
      </c>
      <c r="I2073">
        <v>3</v>
      </c>
      <c r="J2073" s="4">
        <v>2761.98</v>
      </c>
      <c r="K2073" s="5">
        <v>0.2</v>
      </c>
      <c r="L2073" s="4">
        <v>1962.3</v>
      </c>
      <c r="M2073" t="s">
        <v>42</v>
      </c>
      <c r="N2073" t="s">
        <v>45</v>
      </c>
      <c r="O2073">
        <f>IF(TablaVentas[[#This Row],[Precio_unitario]]="","PENDIENTE",TablaVentas[[#This Row],[Unidades]]*TablaVentas[[#This Row],[Precio_unitario]]*(1-TablaVentas[[#This Row],[Descuento_pct]]))</f>
        <v>6628.7520000000004</v>
      </c>
      <c r="P2073">
        <f>IF(TablaVentas[[#This Row],[Costo_unitario]]="","PENDIENTE",TablaVentas[[#This Row],[Unidades]]*TablaVentas[[#This Row],[Costo_unitario]])</f>
        <v>5886.9</v>
      </c>
      <c r="Q2073">
        <f>IF(OR(TablaVentas[[#This Row],[Ingreso_neto]]="PENDIENTE",TablaVentas[[#This Row],[Costo_total]]="PENDIENTE"),"PENDIENTE",TablaVentas[[#This Row],[Ingreso_neto]]-TablaVentas[[#This Row],[Costo_total]])</f>
        <v>741.85200000000077</v>
      </c>
    </row>
    <row r="2074" spans="1:17">
      <c r="A2074" t="s">
        <v>1285</v>
      </c>
      <c r="B2074">
        <v>1</v>
      </c>
      <c r="C2074" s="3">
        <v>46106</v>
      </c>
      <c r="D2074" t="s">
        <v>1222</v>
      </c>
      <c r="E2074" t="s">
        <v>320</v>
      </c>
      <c r="F2074" t="s">
        <v>77</v>
      </c>
      <c r="G2074" t="s">
        <v>40</v>
      </c>
      <c r="H2074" t="s">
        <v>102</v>
      </c>
      <c r="I2074">
        <v>1</v>
      </c>
      <c r="J2074" s="4">
        <v>4981.53</v>
      </c>
      <c r="K2074" s="5">
        <v>0</v>
      </c>
      <c r="L2074" s="4">
        <v>3065.66</v>
      </c>
      <c r="M2074" t="s">
        <v>42</v>
      </c>
      <c r="N2074" t="s">
        <v>52</v>
      </c>
      <c r="O2074">
        <f>IF(TablaVentas[[#This Row],[Precio_unitario]]="","PENDIENTE",TablaVentas[[#This Row],[Unidades]]*TablaVentas[[#This Row],[Precio_unitario]]*(1-TablaVentas[[#This Row],[Descuento_pct]]))</f>
        <v>4981.53</v>
      </c>
      <c r="P2074">
        <f>IF(TablaVentas[[#This Row],[Costo_unitario]]="","PENDIENTE",TablaVentas[[#This Row],[Unidades]]*TablaVentas[[#This Row],[Costo_unitario]])</f>
        <v>3065.66</v>
      </c>
      <c r="Q2074">
        <f>IF(OR(TablaVentas[[#This Row],[Ingreso_neto]]="PENDIENTE",TablaVentas[[#This Row],[Costo_total]]="PENDIENTE"),"PENDIENTE",TablaVentas[[#This Row],[Ingreso_neto]]-TablaVentas[[#This Row],[Costo_total]])</f>
        <v>1915.87</v>
      </c>
    </row>
    <row r="2075" spans="1:17">
      <c r="A2075" t="s">
        <v>1286</v>
      </c>
      <c r="B2075">
        <v>1</v>
      </c>
      <c r="C2075" s="3">
        <v>46197</v>
      </c>
      <c r="D2075" t="s">
        <v>37</v>
      </c>
      <c r="E2075" t="s">
        <v>277</v>
      </c>
      <c r="F2075" t="s">
        <v>66</v>
      </c>
      <c r="G2075" t="s">
        <v>50</v>
      </c>
      <c r="H2075" t="s">
        <v>82</v>
      </c>
      <c r="I2075">
        <v>1</v>
      </c>
      <c r="J2075" s="4">
        <v>6954.06</v>
      </c>
      <c r="K2075" s="5">
        <v>0</v>
      </c>
      <c r="L2075" s="4">
        <v>4858.08</v>
      </c>
      <c r="M2075" t="s">
        <v>42</v>
      </c>
      <c r="N2075" t="s">
        <v>43</v>
      </c>
      <c r="O2075">
        <f>IF(TablaVentas[[#This Row],[Precio_unitario]]="","PENDIENTE",TablaVentas[[#This Row],[Unidades]]*TablaVentas[[#This Row],[Precio_unitario]]*(1-TablaVentas[[#This Row],[Descuento_pct]]))</f>
        <v>6954.06</v>
      </c>
      <c r="P2075">
        <f>IF(TablaVentas[[#This Row],[Costo_unitario]]="","PENDIENTE",TablaVentas[[#This Row],[Unidades]]*TablaVentas[[#This Row],[Costo_unitario]])</f>
        <v>4858.08</v>
      </c>
      <c r="Q2075">
        <f>IF(OR(TablaVentas[[#This Row],[Ingreso_neto]]="PENDIENTE",TablaVentas[[#This Row],[Costo_total]]="PENDIENTE"),"PENDIENTE",TablaVentas[[#This Row],[Ingreso_neto]]-TablaVentas[[#This Row],[Costo_total]])</f>
        <v>2095.9800000000005</v>
      </c>
    </row>
    <row r="2076" spans="1:17">
      <c r="A2076" t="s">
        <v>1286</v>
      </c>
      <c r="B2076">
        <v>2</v>
      </c>
      <c r="C2076" s="3">
        <v>46197</v>
      </c>
      <c r="D2076" t="s">
        <v>37</v>
      </c>
      <c r="E2076" t="s">
        <v>367</v>
      </c>
      <c r="F2076" t="s">
        <v>66</v>
      </c>
      <c r="G2076" t="s">
        <v>50</v>
      </c>
      <c r="H2076" t="s">
        <v>82</v>
      </c>
      <c r="I2076">
        <v>1</v>
      </c>
      <c r="J2076" s="4">
        <v>9653.27</v>
      </c>
      <c r="K2076" s="5">
        <v>0</v>
      </c>
      <c r="L2076" s="4">
        <v>5079.43</v>
      </c>
      <c r="M2076" t="s">
        <v>42</v>
      </c>
      <c r="N2076" t="s">
        <v>45</v>
      </c>
      <c r="O2076">
        <f>IF(TablaVentas[[#This Row],[Precio_unitario]]="","PENDIENTE",TablaVentas[[#This Row],[Unidades]]*TablaVentas[[#This Row],[Precio_unitario]]*(1-TablaVentas[[#This Row],[Descuento_pct]]))</f>
        <v>9653.27</v>
      </c>
      <c r="P2076">
        <f>IF(TablaVentas[[#This Row],[Costo_unitario]]="","PENDIENTE",TablaVentas[[#This Row],[Unidades]]*TablaVentas[[#This Row],[Costo_unitario]])</f>
        <v>5079.43</v>
      </c>
      <c r="Q2076">
        <f>IF(OR(TablaVentas[[#This Row],[Ingreso_neto]]="PENDIENTE",TablaVentas[[#This Row],[Costo_total]]="PENDIENTE"),"PENDIENTE",TablaVentas[[#This Row],[Ingreso_neto]]-TablaVentas[[#This Row],[Costo_total]])</f>
        <v>4573.84</v>
      </c>
    </row>
    <row r="2077" spans="1:17">
      <c r="A2077" t="s">
        <v>1286</v>
      </c>
      <c r="B2077">
        <v>3</v>
      </c>
      <c r="C2077" s="3">
        <v>46197</v>
      </c>
      <c r="D2077" t="s">
        <v>37</v>
      </c>
      <c r="E2077" t="s">
        <v>38</v>
      </c>
      <c r="F2077" t="s">
        <v>66</v>
      </c>
      <c r="G2077" t="s">
        <v>50</v>
      </c>
      <c r="H2077" t="s">
        <v>82</v>
      </c>
      <c r="I2077">
        <v>1</v>
      </c>
      <c r="J2077" s="4">
        <v>5417.7</v>
      </c>
      <c r="K2077" s="5">
        <v>0.15</v>
      </c>
      <c r="L2077" s="4">
        <v>3832.69</v>
      </c>
      <c r="M2077" t="s">
        <v>116</v>
      </c>
      <c r="N2077" t="s">
        <v>52</v>
      </c>
      <c r="O2077">
        <f>IF(TablaVentas[[#This Row],[Precio_unitario]]="","PENDIENTE",TablaVentas[[#This Row],[Unidades]]*TablaVentas[[#This Row],[Precio_unitario]]*(1-TablaVentas[[#This Row],[Descuento_pct]]))</f>
        <v>4605.0450000000001</v>
      </c>
      <c r="P2077">
        <f>IF(TablaVentas[[#This Row],[Costo_unitario]]="","PENDIENTE",TablaVentas[[#This Row],[Unidades]]*TablaVentas[[#This Row],[Costo_unitario]])</f>
        <v>3832.69</v>
      </c>
      <c r="Q2077">
        <f>IF(OR(TablaVentas[[#This Row],[Ingreso_neto]]="PENDIENTE",TablaVentas[[#This Row],[Costo_total]]="PENDIENTE"),"PENDIENTE",TablaVentas[[#This Row],[Ingreso_neto]]-TablaVentas[[#This Row],[Costo_total]])</f>
        <v>772.35500000000002</v>
      </c>
    </row>
    <row r="2078" spans="1:17">
      <c r="A2078" t="s">
        <v>1286</v>
      </c>
      <c r="B2078">
        <v>4</v>
      </c>
      <c r="C2078" s="3">
        <v>46197</v>
      </c>
      <c r="D2078" t="s">
        <v>37</v>
      </c>
      <c r="E2078" t="s">
        <v>90</v>
      </c>
      <c r="F2078" t="s">
        <v>66</v>
      </c>
      <c r="G2078" t="s">
        <v>50</v>
      </c>
      <c r="H2078" t="s">
        <v>82</v>
      </c>
      <c r="I2078">
        <v>5</v>
      </c>
      <c r="J2078" s="4">
        <v>10504.01</v>
      </c>
      <c r="K2078" s="5">
        <v>0.15</v>
      </c>
      <c r="L2078" s="4">
        <v>8174.87</v>
      </c>
      <c r="M2078" t="s">
        <v>42</v>
      </c>
      <c r="N2078" t="s">
        <v>45</v>
      </c>
      <c r="O2078">
        <f>IF(TablaVentas[[#This Row],[Precio_unitario]]="","PENDIENTE",TablaVentas[[#This Row],[Unidades]]*TablaVentas[[#This Row],[Precio_unitario]]*(1-TablaVentas[[#This Row],[Descuento_pct]]))</f>
        <v>44642.042500000003</v>
      </c>
      <c r="P2078">
        <f>IF(TablaVentas[[#This Row],[Costo_unitario]]="","PENDIENTE",TablaVentas[[#This Row],[Unidades]]*TablaVentas[[#This Row],[Costo_unitario]])</f>
        <v>40874.35</v>
      </c>
      <c r="Q2078">
        <f>IF(OR(TablaVentas[[#This Row],[Ingreso_neto]]="PENDIENTE",TablaVentas[[#This Row],[Costo_total]]="PENDIENTE"),"PENDIENTE",TablaVentas[[#This Row],[Ingreso_neto]]-TablaVentas[[#This Row],[Costo_total]])</f>
        <v>3767.6925000000047</v>
      </c>
    </row>
    <row r="2079" spans="1:17">
      <c r="A2079" t="s">
        <v>1286</v>
      </c>
      <c r="B2079">
        <v>5</v>
      </c>
      <c r="C2079" s="3">
        <v>46197</v>
      </c>
      <c r="D2079" t="s">
        <v>37</v>
      </c>
      <c r="E2079" t="s">
        <v>123</v>
      </c>
      <c r="F2079" t="s">
        <v>66</v>
      </c>
      <c r="G2079" t="s">
        <v>50</v>
      </c>
      <c r="H2079" t="s">
        <v>82</v>
      </c>
      <c r="I2079">
        <v>1</v>
      </c>
      <c r="J2079" s="4">
        <v>19247.29</v>
      </c>
      <c r="K2079" s="5">
        <v>0.2</v>
      </c>
      <c r="L2079" s="4">
        <v>12679.41</v>
      </c>
      <c r="M2079" t="s">
        <v>42</v>
      </c>
      <c r="N2079" t="s">
        <v>60</v>
      </c>
      <c r="O2079">
        <f>IF(TablaVentas[[#This Row],[Precio_unitario]]="","PENDIENTE",TablaVentas[[#This Row],[Unidades]]*TablaVentas[[#This Row],[Precio_unitario]]*(1-TablaVentas[[#This Row],[Descuento_pct]]))</f>
        <v>15397.832000000002</v>
      </c>
      <c r="P2079">
        <f>IF(TablaVentas[[#This Row],[Costo_unitario]]="","PENDIENTE",TablaVentas[[#This Row],[Unidades]]*TablaVentas[[#This Row],[Costo_unitario]])</f>
        <v>12679.41</v>
      </c>
      <c r="Q2079">
        <f>IF(OR(TablaVentas[[#This Row],[Ingreso_neto]]="PENDIENTE",TablaVentas[[#This Row],[Costo_total]]="PENDIENTE"),"PENDIENTE",TablaVentas[[#This Row],[Ingreso_neto]]-TablaVentas[[#This Row],[Costo_total]])</f>
        <v>2718.4220000000023</v>
      </c>
    </row>
    <row r="2080" spans="1:17">
      <c r="A2080" t="s">
        <v>1287</v>
      </c>
      <c r="B2080">
        <v>1</v>
      </c>
      <c r="C2080" s="3">
        <v>46036</v>
      </c>
      <c r="D2080" t="s">
        <v>514</v>
      </c>
      <c r="E2080" t="s">
        <v>140</v>
      </c>
      <c r="F2080" t="s">
        <v>77</v>
      </c>
      <c r="G2080" t="s">
        <v>57</v>
      </c>
      <c r="H2080" t="s">
        <v>41</v>
      </c>
      <c r="I2080">
        <v>3</v>
      </c>
      <c r="J2080" s="4">
        <v>3029.59</v>
      </c>
      <c r="K2080" s="5">
        <v>0.15</v>
      </c>
      <c r="L2080" s="4">
        <v>2427.63</v>
      </c>
      <c r="M2080" t="s">
        <v>42</v>
      </c>
      <c r="N2080" t="s">
        <v>43</v>
      </c>
      <c r="O2080">
        <f>IF(TablaVentas[[#This Row],[Precio_unitario]]="","PENDIENTE",TablaVentas[[#This Row],[Unidades]]*TablaVentas[[#This Row],[Precio_unitario]]*(1-TablaVentas[[#This Row],[Descuento_pct]]))</f>
        <v>7725.4544999999998</v>
      </c>
      <c r="P2080">
        <f>IF(TablaVentas[[#This Row],[Costo_unitario]]="","PENDIENTE",TablaVentas[[#This Row],[Unidades]]*TablaVentas[[#This Row],[Costo_unitario]])</f>
        <v>7282.89</v>
      </c>
      <c r="Q2080">
        <f>IF(OR(TablaVentas[[#This Row],[Ingreso_neto]]="PENDIENTE",TablaVentas[[#This Row],[Costo_total]]="PENDIENTE"),"PENDIENTE",TablaVentas[[#This Row],[Ingreso_neto]]-TablaVentas[[#This Row],[Costo_total]])</f>
        <v>442.5644999999995</v>
      </c>
    </row>
    <row r="2081" spans="1:17">
      <c r="A2081" t="s">
        <v>1288</v>
      </c>
      <c r="B2081">
        <v>1</v>
      </c>
      <c r="C2081" s="3">
        <v>46219</v>
      </c>
      <c r="D2081" t="s">
        <v>150</v>
      </c>
      <c r="E2081" t="s">
        <v>55</v>
      </c>
      <c r="F2081" t="s">
        <v>39</v>
      </c>
      <c r="G2081" t="s">
        <v>40</v>
      </c>
      <c r="H2081" t="s">
        <v>73</v>
      </c>
      <c r="I2081">
        <v>1</v>
      </c>
      <c r="J2081" s="4">
        <v>11884.34</v>
      </c>
      <c r="K2081" s="5">
        <v>0</v>
      </c>
      <c r="L2081" s="4">
        <v>6407.85</v>
      </c>
      <c r="M2081" t="s">
        <v>42</v>
      </c>
      <c r="N2081" t="s">
        <v>45</v>
      </c>
      <c r="O2081">
        <f>IF(TablaVentas[[#This Row],[Precio_unitario]]="","PENDIENTE",TablaVentas[[#This Row],[Unidades]]*TablaVentas[[#This Row],[Precio_unitario]]*(1-TablaVentas[[#This Row],[Descuento_pct]]))</f>
        <v>11884.34</v>
      </c>
      <c r="P2081">
        <f>IF(TablaVentas[[#This Row],[Costo_unitario]]="","PENDIENTE",TablaVentas[[#This Row],[Unidades]]*TablaVentas[[#This Row],[Costo_unitario]])</f>
        <v>6407.85</v>
      </c>
      <c r="Q2081">
        <f>IF(OR(TablaVentas[[#This Row],[Ingreso_neto]]="PENDIENTE",TablaVentas[[#This Row],[Costo_total]]="PENDIENTE"),"PENDIENTE",TablaVentas[[#This Row],[Ingreso_neto]]-TablaVentas[[#This Row],[Costo_total]])</f>
        <v>5476.49</v>
      </c>
    </row>
    <row r="2082" spans="1:17">
      <c r="A2082" t="s">
        <v>1289</v>
      </c>
      <c r="B2082">
        <v>1</v>
      </c>
      <c r="C2082" s="3">
        <v>46220</v>
      </c>
      <c r="D2082" t="s">
        <v>324</v>
      </c>
      <c r="E2082" t="s">
        <v>175</v>
      </c>
      <c r="F2082" t="s">
        <v>56</v>
      </c>
      <c r="G2082" t="s">
        <v>50</v>
      </c>
      <c r="H2082" t="s">
        <v>82</v>
      </c>
      <c r="I2082">
        <v>3</v>
      </c>
      <c r="J2082" s="4">
        <v>2921.79</v>
      </c>
      <c r="K2082" s="5">
        <v>0</v>
      </c>
      <c r="L2082" s="4">
        <v>1857.39</v>
      </c>
      <c r="M2082" t="s">
        <v>42</v>
      </c>
      <c r="N2082" t="s">
        <v>43</v>
      </c>
      <c r="O2082">
        <f>IF(TablaVentas[[#This Row],[Precio_unitario]]="","PENDIENTE",TablaVentas[[#This Row],[Unidades]]*TablaVentas[[#This Row],[Precio_unitario]]*(1-TablaVentas[[#This Row],[Descuento_pct]]))</f>
        <v>8765.369999999999</v>
      </c>
      <c r="P2082">
        <f>IF(TablaVentas[[#This Row],[Costo_unitario]]="","PENDIENTE",TablaVentas[[#This Row],[Unidades]]*TablaVentas[[#This Row],[Costo_unitario]])</f>
        <v>5572.17</v>
      </c>
      <c r="Q2082">
        <f>IF(OR(TablaVentas[[#This Row],[Ingreso_neto]]="PENDIENTE",TablaVentas[[#This Row],[Costo_total]]="PENDIENTE"),"PENDIENTE",TablaVentas[[#This Row],[Ingreso_neto]]-TablaVentas[[#This Row],[Costo_total]])</f>
        <v>3193.1999999999989</v>
      </c>
    </row>
    <row r="2083" spans="1:17">
      <c r="A2083" t="s">
        <v>1289</v>
      </c>
      <c r="B2083">
        <v>2</v>
      </c>
      <c r="C2083" s="3">
        <v>46220</v>
      </c>
      <c r="D2083" t="s">
        <v>324</v>
      </c>
      <c r="E2083" t="s">
        <v>180</v>
      </c>
      <c r="F2083" t="s">
        <v>56</v>
      </c>
      <c r="G2083" t="s">
        <v>50</v>
      </c>
      <c r="H2083" t="s">
        <v>82</v>
      </c>
      <c r="I2083">
        <v>2</v>
      </c>
      <c r="J2083" s="4">
        <v>5986.87</v>
      </c>
      <c r="K2083" s="5">
        <v>0</v>
      </c>
      <c r="L2083" s="4">
        <v>3824.92</v>
      </c>
      <c r="M2083" t="s">
        <v>42</v>
      </c>
      <c r="N2083" t="s">
        <v>60</v>
      </c>
      <c r="O2083">
        <f>IF(TablaVentas[[#This Row],[Precio_unitario]]="","PENDIENTE",TablaVentas[[#This Row],[Unidades]]*TablaVentas[[#This Row],[Precio_unitario]]*(1-TablaVentas[[#This Row],[Descuento_pct]]))</f>
        <v>11973.74</v>
      </c>
      <c r="P2083">
        <f>IF(TablaVentas[[#This Row],[Costo_unitario]]="","PENDIENTE",TablaVentas[[#This Row],[Unidades]]*TablaVentas[[#This Row],[Costo_unitario]])</f>
        <v>7649.84</v>
      </c>
      <c r="Q2083">
        <f>IF(OR(TablaVentas[[#This Row],[Ingreso_neto]]="PENDIENTE",TablaVentas[[#This Row],[Costo_total]]="PENDIENTE"),"PENDIENTE",TablaVentas[[#This Row],[Ingreso_neto]]-TablaVentas[[#This Row],[Costo_total]])</f>
        <v>4323.8999999999996</v>
      </c>
    </row>
    <row r="2084" spans="1:17">
      <c r="A2084" t="s">
        <v>1289</v>
      </c>
      <c r="B2084">
        <v>3</v>
      </c>
      <c r="C2084" s="3">
        <v>46220</v>
      </c>
      <c r="D2084" t="s">
        <v>324</v>
      </c>
      <c r="E2084" t="s">
        <v>84</v>
      </c>
      <c r="F2084" t="s">
        <v>56</v>
      </c>
      <c r="G2084" t="s">
        <v>50</v>
      </c>
      <c r="H2084" t="s">
        <v>82</v>
      </c>
      <c r="I2084">
        <v>1</v>
      </c>
      <c r="J2084" s="4">
        <v>14709.18</v>
      </c>
      <c r="K2084" s="5">
        <v>0.05</v>
      </c>
      <c r="L2084" s="4">
        <v>8576.0499999999993</v>
      </c>
      <c r="M2084" t="s">
        <v>42</v>
      </c>
      <c r="N2084" t="s">
        <v>45</v>
      </c>
      <c r="O2084">
        <f>IF(TablaVentas[[#This Row],[Precio_unitario]]="","PENDIENTE",TablaVentas[[#This Row],[Unidades]]*TablaVentas[[#This Row],[Precio_unitario]]*(1-TablaVentas[[#This Row],[Descuento_pct]]))</f>
        <v>13973.721</v>
      </c>
      <c r="P2084">
        <f>IF(TablaVentas[[#This Row],[Costo_unitario]]="","PENDIENTE",TablaVentas[[#This Row],[Unidades]]*TablaVentas[[#This Row],[Costo_unitario]])</f>
        <v>8576.0499999999993</v>
      </c>
      <c r="Q2084">
        <f>IF(OR(TablaVentas[[#This Row],[Ingreso_neto]]="PENDIENTE",TablaVentas[[#This Row],[Costo_total]]="PENDIENTE"),"PENDIENTE",TablaVentas[[#This Row],[Ingreso_neto]]-TablaVentas[[#This Row],[Costo_total]])</f>
        <v>5397.6710000000003</v>
      </c>
    </row>
    <row r="2085" spans="1:17">
      <c r="A2085" t="s">
        <v>1290</v>
      </c>
      <c r="B2085">
        <v>1</v>
      </c>
      <c r="C2085" s="3">
        <v>46109</v>
      </c>
      <c r="D2085" t="s">
        <v>162</v>
      </c>
      <c r="E2085" t="s">
        <v>135</v>
      </c>
      <c r="F2085" t="s">
        <v>56</v>
      </c>
      <c r="G2085" t="s">
        <v>50</v>
      </c>
      <c r="H2085" t="s">
        <v>82</v>
      </c>
      <c r="I2085">
        <v>1</v>
      </c>
      <c r="J2085" s="4">
        <v>2122.79</v>
      </c>
      <c r="K2085" s="5">
        <v>0.15</v>
      </c>
      <c r="L2085" s="4">
        <v>1529.93</v>
      </c>
      <c r="M2085" t="s">
        <v>42</v>
      </c>
      <c r="N2085" t="s">
        <v>52</v>
      </c>
      <c r="O2085">
        <f>IF(TablaVentas[[#This Row],[Precio_unitario]]="","PENDIENTE",TablaVentas[[#This Row],[Unidades]]*TablaVentas[[#This Row],[Precio_unitario]]*(1-TablaVentas[[#This Row],[Descuento_pct]]))</f>
        <v>1804.3715</v>
      </c>
      <c r="P2085">
        <f>IF(TablaVentas[[#This Row],[Costo_unitario]]="","PENDIENTE",TablaVentas[[#This Row],[Unidades]]*TablaVentas[[#This Row],[Costo_unitario]])</f>
        <v>1529.93</v>
      </c>
      <c r="Q2085">
        <f>IF(OR(TablaVentas[[#This Row],[Ingreso_neto]]="PENDIENTE",TablaVentas[[#This Row],[Costo_total]]="PENDIENTE"),"PENDIENTE",TablaVentas[[#This Row],[Ingreso_neto]]-TablaVentas[[#This Row],[Costo_total]])</f>
        <v>274.44149999999991</v>
      </c>
    </row>
    <row r="2086" spans="1:17">
      <c r="A2086" t="s">
        <v>1291</v>
      </c>
      <c r="B2086">
        <v>1</v>
      </c>
      <c r="C2086" s="3">
        <v>46229</v>
      </c>
      <c r="D2086" t="s">
        <v>630</v>
      </c>
      <c r="E2086" t="s">
        <v>293</v>
      </c>
      <c r="F2086" t="s">
        <v>39</v>
      </c>
      <c r="G2086" t="s">
        <v>50</v>
      </c>
      <c r="H2086" t="s">
        <v>184</v>
      </c>
      <c r="I2086">
        <v>12</v>
      </c>
      <c r="J2086" s="4">
        <v>1224.6600000000001</v>
      </c>
      <c r="K2086" s="5">
        <v>0</v>
      </c>
      <c r="L2086" s="4">
        <v>936.52</v>
      </c>
      <c r="M2086" t="s">
        <v>42</v>
      </c>
      <c r="N2086" t="s">
        <v>45</v>
      </c>
      <c r="O2086">
        <f>IF(TablaVentas[[#This Row],[Precio_unitario]]="","PENDIENTE",TablaVentas[[#This Row],[Unidades]]*TablaVentas[[#This Row],[Precio_unitario]]*(1-TablaVentas[[#This Row],[Descuento_pct]]))</f>
        <v>14695.920000000002</v>
      </c>
      <c r="P2086">
        <f>IF(TablaVentas[[#This Row],[Costo_unitario]]="","PENDIENTE",TablaVentas[[#This Row],[Unidades]]*TablaVentas[[#This Row],[Costo_unitario]])</f>
        <v>11238.24</v>
      </c>
      <c r="Q2086">
        <f>IF(OR(TablaVentas[[#This Row],[Ingreso_neto]]="PENDIENTE",TablaVentas[[#This Row],[Costo_total]]="PENDIENTE"),"PENDIENTE",TablaVentas[[#This Row],[Ingreso_neto]]-TablaVentas[[#This Row],[Costo_total]])</f>
        <v>3457.6800000000021</v>
      </c>
    </row>
    <row r="2087" spans="1:17">
      <c r="A2087" t="s">
        <v>1291</v>
      </c>
      <c r="B2087">
        <v>2</v>
      </c>
      <c r="C2087" s="3">
        <v>46229</v>
      </c>
      <c r="D2087" t="s">
        <v>630</v>
      </c>
      <c r="E2087" t="s">
        <v>103</v>
      </c>
      <c r="F2087" t="s">
        <v>39</v>
      </c>
      <c r="G2087" t="s">
        <v>50</v>
      </c>
      <c r="H2087" t="s">
        <v>184</v>
      </c>
      <c r="I2087">
        <v>2</v>
      </c>
      <c r="J2087" s="4">
        <v>12277.55</v>
      </c>
      <c r="K2087" s="5">
        <v>0.15</v>
      </c>
      <c r="L2087" s="4">
        <v>7549.71</v>
      </c>
      <c r="M2087" t="s">
        <v>42</v>
      </c>
      <c r="N2087" t="s">
        <v>43</v>
      </c>
      <c r="O2087">
        <f>IF(TablaVentas[[#This Row],[Precio_unitario]]="","PENDIENTE",TablaVentas[[#This Row],[Unidades]]*TablaVentas[[#This Row],[Precio_unitario]]*(1-TablaVentas[[#This Row],[Descuento_pct]]))</f>
        <v>20871.834999999999</v>
      </c>
      <c r="P2087">
        <f>IF(TablaVentas[[#This Row],[Costo_unitario]]="","PENDIENTE",TablaVentas[[#This Row],[Unidades]]*TablaVentas[[#This Row],[Costo_unitario]])</f>
        <v>15099.42</v>
      </c>
      <c r="Q2087">
        <f>IF(OR(TablaVentas[[#This Row],[Ingreso_neto]]="PENDIENTE",TablaVentas[[#This Row],[Costo_total]]="PENDIENTE"),"PENDIENTE",TablaVentas[[#This Row],[Ingreso_neto]]-TablaVentas[[#This Row],[Costo_total]])</f>
        <v>5772.4149999999991</v>
      </c>
    </row>
    <row r="2088" spans="1:17">
      <c r="A2088" t="s">
        <v>1291</v>
      </c>
      <c r="B2088">
        <v>3</v>
      </c>
      <c r="C2088" s="3">
        <v>46229</v>
      </c>
      <c r="D2088" t="s">
        <v>630</v>
      </c>
      <c r="E2088" t="s">
        <v>193</v>
      </c>
      <c r="F2088" t="s">
        <v>39</v>
      </c>
      <c r="G2088" t="s">
        <v>50</v>
      </c>
      <c r="H2088" t="s">
        <v>184</v>
      </c>
      <c r="I2088">
        <v>3</v>
      </c>
      <c r="J2088" s="4">
        <v>10035.790000000001</v>
      </c>
      <c r="K2088" s="5">
        <v>0</v>
      </c>
      <c r="L2088" s="4">
        <v>5811.72</v>
      </c>
      <c r="M2088" t="s">
        <v>42</v>
      </c>
      <c r="N2088" t="s">
        <v>43</v>
      </c>
      <c r="O2088">
        <f>IF(TablaVentas[[#This Row],[Precio_unitario]]="","PENDIENTE",TablaVentas[[#This Row],[Unidades]]*TablaVentas[[#This Row],[Precio_unitario]]*(1-TablaVentas[[#This Row],[Descuento_pct]]))</f>
        <v>30107.370000000003</v>
      </c>
      <c r="P2088">
        <f>IF(TablaVentas[[#This Row],[Costo_unitario]]="","PENDIENTE",TablaVentas[[#This Row],[Unidades]]*TablaVentas[[#This Row],[Costo_unitario]])</f>
        <v>17435.16</v>
      </c>
      <c r="Q2088">
        <f>IF(OR(TablaVentas[[#This Row],[Ingreso_neto]]="PENDIENTE",TablaVentas[[#This Row],[Costo_total]]="PENDIENTE"),"PENDIENTE",TablaVentas[[#This Row],[Ingreso_neto]]-TablaVentas[[#This Row],[Costo_total]])</f>
        <v>12672.210000000003</v>
      </c>
    </row>
    <row r="2089" spans="1:17">
      <c r="A2089" t="s">
        <v>1291</v>
      </c>
      <c r="B2089">
        <v>4</v>
      </c>
      <c r="C2089" s="3">
        <v>46229</v>
      </c>
      <c r="D2089" t="s">
        <v>630</v>
      </c>
      <c r="E2089" t="s">
        <v>123</v>
      </c>
      <c r="F2089" t="s">
        <v>39</v>
      </c>
      <c r="G2089" t="s">
        <v>50</v>
      </c>
      <c r="H2089" t="s">
        <v>184</v>
      </c>
      <c r="I2089">
        <v>8</v>
      </c>
      <c r="J2089" s="4">
        <v>16909.580000000002</v>
      </c>
      <c r="K2089" s="5">
        <v>0</v>
      </c>
      <c r="L2089" s="4">
        <v>12679.41</v>
      </c>
      <c r="M2089" t="s">
        <v>42</v>
      </c>
      <c r="N2089" t="s">
        <v>60</v>
      </c>
      <c r="O2089">
        <f>IF(TablaVentas[[#This Row],[Precio_unitario]]="","PENDIENTE",TablaVentas[[#This Row],[Unidades]]*TablaVentas[[#This Row],[Precio_unitario]]*(1-TablaVentas[[#This Row],[Descuento_pct]]))</f>
        <v>135276.64000000001</v>
      </c>
      <c r="P2089">
        <f>IF(TablaVentas[[#This Row],[Costo_unitario]]="","PENDIENTE",TablaVentas[[#This Row],[Unidades]]*TablaVentas[[#This Row],[Costo_unitario]])</f>
        <v>101435.28</v>
      </c>
      <c r="Q2089">
        <f>IF(OR(TablaVentas[[#This Row],[Ingreso_neto]]="PENDIENTE",TablaVentas[[#This Row],[Costo_total]]="PENDIENTE"),"PENDIENTE",TablaVentas[[#This Row],[Ingreso_neto]]-TablaVentas[[#This Row],[Costo_total]])</f>
        <v>33841.360000000015</v>
      </c>
    </row>
    <row r="2090" spans="1:17">
      <c r="A2090" t="s">
        <v>1292</v>
      </c>
      <c r="B2090">
        <v>1</v>
      </c>
      <c r="C2090" s="3">
        <v>46205</v>
      </c>
      <c r="D2090" t="s">
        <v>474</v>
      </c>
      <c r="E2090" t="s">
        <v>175</v>
      </c>
      <c r="F2090" t="s">
        <v>77</v>
      </c>
      <c r="G2090" t="s">
        <v>50</v>
      </c>
      <c r="H2090" t="s">
        <v>73</v>
      </c>
      <c r="I2090">
        <v>3</v>
      </c>
      <c r="J2090" s="4">
        <v>2967.3</v>
      </c>
      <c r="K2090" s="5">
        <v>0</v>
      </c>
      <c r="L2090" s="4">
        <v>1857.39</v>
      </c>
      <c r="M2090" t="s">
        <v>42</v>
      </c>
      <c r="N2090" t="s">
        <v>45</v>
      </c>
      <c r="O2090">
        <f>IF(TablaVentas[[#This Row],[Precio_unitario]]="","PENDIENTE",TablaVentas[[#This Row],[Unidades]]*TablaVentas[[#This Row],[Precio_unitario]]*(1-TablaVentas[[#This Row],[Descuento_pct]]))</f>
        <v>8901.9000000000015</v>
      </c>
      <c r="P2090">
        <f>IF(TablaVentas[[#This Row],[Costo_unitario]]="","PENDIENTE",TablaVentas[[#This Row],[Unidades]]*TablaVentas[[#This Row],[Costo_unitario]])</f>
        <v>5572.17</v>
      </c>
      <c r="Q2090">
        <f>IF(OR(TablaVentas[[#This Row],[Ingreso_neto]]="PENDIENTE",TablaVentas[[#This Row],[Costo_total]]="PENDIENTE"),"PENDIENTE",TablaVentas[[#This Row],[Ingreso_neto]]-TablaVentas[[#This Row],[Costo_total]])</f>
        <v>3329.7300000000014</v>
      </c>
    </row>
    <row r="2091" spans="1:17">
      <c r="A2091" t="s">
        <v>1292</v>
      </c>
      <c r="B2091">
        <v>2</v>
      </c>
      <c r="C2091" s="3">
        <v>46205</v>
      </c>
      <c r="D2091" t="s">
        <v>474</v>
      </c>
      <c r="E2091" t="s">
        <v>83</v>
      </c>
      <c r="F2091" t="s">
        <v>77</v>
      </c>
      <c r="G2091" t="s">
        <v>50</v>
      </c>
      <c r="H2091" t="s">
        <v>73</v>
      </c>
      <c r="I2091">
        <v>1</v>
      </c>
      <c r="J2091" s="4">
        <v>16434.3</v>
      </c>
      <c r="K2091" s="5">
        <v>0.1</v>
      </c>
      <c r="L2091" s="4">
        <v>12723.77</v>
      </c>
      <c r="M2091" t="s">
        <v>42</v>
      </c>
      <c r="N2091" t="s">
        <v>60</v>
      </c>
      <c r="O2091">
        <f>IF(TablaVentas[[#This Row],[Precio_unitario]]="","PENDIENTE",TablaVentas[[#This Row],[Unidades]]*TablaVentas[[#This Row],[Precio_unitario]]*(1-TablaVentas[[#This Row],[Descuento_pct]]))</f>
        <v>14790.869999999999</v>
      </c>
      <c r="P2091">
        <f>IF(TablaVentas[[#This Row],[Costo_unitario]]="","PENDIENTE",TablaVentas[[#This Row],[Unidades]]*TablaVentas[[#This Row],[Costo_unitario]])</f>
        <v>12723.77</v>
      </c>
      <c r="Q2091">
        <f>IF(OR(TablaVentas[[#This Row],[Ingreso_neto]]="PENDIENTE",TablaVentas[[#This Row],[Costo_total]]="PENDIENTE"),"PENDIENTE",TablaVentas[[#This Row],[Ingreso_neto]]-TablaVentas[[#This Row],[Costo_total]])</f>
        <v>2067.0999999999985</v>
      </c>
    </row>
    <row r="2092" spans="1:17">
      <c r="A2092" t="s">
        <v>1292</v>
      </c>
      <c r="B2092">
        <v>3</v>
      </c>
      <c r="C2092" s="3">
        <v>46205</v>
      </c>
      <c r="D2092" t="s">
        <v>474</v>
      </c>
      <c r="E2092" t="s">
        <v>135</v>
      </c>
      <c r="F2092" t="s">
        <v>77</v>
      </c>
      <c r="G2092" t="s">
        <v>50</v>
      </c>
      <c r="H2092" t="s">
        <v>73</v>
      </c>
      <c r="I2092">
        <v>1</v>
      </c>
      <c r="J2092" s="4">
        <v>2095.39</v>
      </c>
      <c r="K2092" s="5">
        <v>0</v>
      </c>
      <c r="L2092" s="4">
        <v>1529.93</v>
      </c>
      <c r="M2092" t="s">
        <v>42</v>
      </c>
      <c r="N2092" t="s">
        <v>60</v>
      </c>
      <c r="O2092">
        <f>IF(TablaVentas[[#This Row],[Precio_unitario]]="","PENDIENTE",TablaVentas[[#This Row],[Unidades]]*TablaVentas[[#This Row],[Precio_unitario]]*(1-TablaVentas[[#This Row],[Descuento_pct]]))</f>
        <v>2095.39</v>
      </c>
      <c r="P2092">
        <f>IF(TablaVentas[[#This Row],[Costo_unitario]]="","PENDIENTE",TablaVentas[[#This Row],[Unidades]]*TablaVentas[[#This Row],[Costo_unitario]])</f>
        <v>1529.93</v>
      </c>
      <c r="Q2092">
        <f>IF(OR(TablaVentas[[#This Row],[Ingreso_neto]]="PENDIENTE",TablaVentas[[#This Row],[Costo_total]]="PENDIENTE"),"PENDIENTE",TablaVentas[[#This Row],[Ingreso_neto]]-TablaVentas[[#This Row],[Costo_total]])</f>
        <v>565.45999999999981</v>
      </c>
    </row>
    <row r="2093" spans="1:17">
      <c r="A2093" t="s">
        <v>1292</v>
      </c>
      <c r="B2093">
        <v>4</v>
      </c>
      <c r="C2093" s="3">
        <v>46205</v>
      </c>
      <c r="D2093" t="s">
        <v>474</v>
      </c>
      <c r="E2093" t="s">
        <v>109</v>
      </c>
      <c r="F2093" t="s">
        <v>77</v>
      </c>
      <c r="G2093" t="s">
        <v>50</v>
      </c>
      <c r="H2093" t="s">
        <v>73</v>
      </c>
      <c r="I2093">
        <v>3</v>
      </c>
      <c r="J2093" s="4">
        <v>14786.19</v>
      </c>
      <c r="K2093" s="5">
        <v>0.15</v>
      </c>
      <c r="L2093" s="4">
        <v>9880.77</v>
      </c>
      <c r="M2093" t="s">
        <v>42</v>
      </c>
      <c r="N2093" t="s">
        <v>43</v>
      </c>
      <c r="O2093">
        <f>IF(TablaVentas[[#This Row],[Precio_unitario]]="","PENDIENTE",TablaVentas[[#This Row],[Unidades]]*TablaVentas[[#This Row],[Precio_unitario]]*(1-TablaVentas[[#This Row],[Descuento_pct]]))</f>
        <v>37704.784500000002</v>
      </c>
      <c r="P2093">
        <f>IF(TablaVentas[[#This Row],[Costo_unitario]]="","PENDIENTE",TablaVentas[[#This Row],[Unidades]]*TablaVentas[[#This Row],[Costo_unitario]])</f>
        <v>29642.31</v>
      </c>
      <c r="Q2093">
        <f>IF(OR(TablaVentas[[#This Row],[Ingreso_neto]]="PENDIENTE",TablaVentas[[#This Row],[Costo_total]]="PENDIENTE"),"PENDIENTE",TablaVentas[[#This Row],[Ingreso_neto]]-TablaVentas[[#This Row],[Costo_total]])</f>
        <v>8062.4745000000003</v>
      </c>
    </row>
    <row r="2094" spans="1:17">
      <c r="A2094" t="s">
        <v>1293</v>
      </c>
      <c r="B2094">
        <v>1</v>
      </c>
      <c r="C2094" s="3">
        <v>46053</v>
      </c>
      <c r="D2094" t="s">
        <v>225</v>
      </c>
      <c r="E2094" t="s">
        <v>89</v>
      </c>
      <c r="F2094" t="s">
        <v>56</v>
      </c>
      <c r="G2094" t="s">
        <v>50</v>
      </c>
      <c r="H2094" t="s">
        <v>82</v>
      </c>
      <c r="I2094">
        <v>1</v>
      </c>
      <c r="J2094" s="4">
        <v>11594.19</v>
      </c>
      <c r="K2094" s="5">
        <v>0</v>
      </c>
      <c r="L2094" s="4">
        <v>9118.07</v>
      </c>
      <c r="M2094" t="s">
        <v>42</v>
      </c>
      <c r="N2094" t="s">
        <v>43</v>
      </c>
      <c r="O2094">
        <f>IF(TablaVentas[[#This Row],[Precio_unitario]]="","PENDIENTE",TablaVentas[[#This Row],[Unidades]]*TablaVentas[[#This Row],[Precio_unitario]]*(1-TablaVentas[[#This Row],[Descuento_pct]]))</f>
        <v>11594.19</v>
      </c>
      <c r="P2094">
        <f>IF(TablaVentas[[#This Row],[Costo_unitario]]="","PENDIENTE",TablaVentas[[#This Row],[Unidades]]*TablaVentas[[#This Row],[Costo_unitario]])</f>
        <v>9118.07</v>
      </c>
      <c r="Q2094">
        <f>IF(OR(TablaVentas[[#This Row],[Ingreso_neto]]="PENDIENTE",TablaVentas[[#This Row],[Costo_total]]="PENDIENTE"),"PENDIENTE",TablaVentas[[#This Row],[Ingreso_neto]]-TablaVentas[[#This Row],[Costo_total]])</f>
        <v>2476.1200000000008</v>
      </c>
    </row>
    <row r="2095" spans="1:17">
      <c r="A2095" t="s">
        <v>1293</v>
      </c>
      <c r="B2095">
        <v>2</v>
      </c>
      <c r="C2095" s="3">
        <v>46053</v>
      </c>
      <c r="D2095" t="s">
        <v>225</v>
      </c>
      <c r="E2095" t="s">
        <v>143</v>
      </c>
      <c r="F2095" t="s">
        <v>56</v>
      </c>
      <c r="G2095" t="s">
        <v>50</v>
      </c>
      <c r="H2095" t="s">
        <v>82</v>
      </c>
      <c r="I2095">
        <v>2</v>
      </c>
      <c r="J2095" s="4">
        <v>9652.07</v>
      </c>
      <c r="K2095" s="5">
        <v>0.05</v>
      </c>
      <c r="L2095" s="4">
        <v>6815.42</v>
      </c>
      <c r="M2095" t="s">
        <v>42</v>
      </c>
      <c r="N2095" t="s">
        <v>60</v>
      </c>
      <c r="O2095">
        <f>IF(TablaVentas[[#This Row],[Precio_unitario]]="","PENDIENTE",TablaVentas[[#This Row],[Unidades]]*TablaVentas[[#This Row],[Precio_unitario]]*(1-TablaVentas[[#This Row],[Descuento_pct]]))</f>
        <v>18338.932999999997</v>
      </c>
      <c r="P2095">
        <f>IF(TablaVentas[[#This Row],[Costo_unitario]]="","PENDIENTE",TablaVentas[[#This Row],[Unidades]]*TablaVentas[[#This Row],[Costo_unitario]])</f>
        <v>13630.84</v>
      </c>
      <c r="Q2095">
        <f>IF(OR(TablaVentas[[#This Row],[Ingreso_neto]]="PENDIENTE",TablaVentas[[#This Row],[Costo_total]]="PENDIENTE"),"PENDIENTE",TablaVentas[[#This Row],[Ingreso_neto]]-TablaVentas[[#This Row],[Costo_total]])</f>
        <v>4708.0929999999971</v>
      </c>
    </row>
    <row r="2096" spans="1:17">
      <c r="A2096" t="s">
        <v>1293</v>
      </c>
      <c r="B2096">
        <v>3</v>
      </c>
      <c r="C2096" s="3">
        <v>46053</v>
      </c>
      <c r="D2096" t="s">
        <v>225</v>
      </c>
      <c r="E2096" t="s">
        <v>123</v>
      </c>
      <c r="F2096" t="s">
        <v>56</v>
      </c>
      <c r="G2096" t="s">
        <v>50</v>
      </c>
      <c r="H2096" t="s">
        <v>82</v>
      </c>
      <c r="I2096">
        <v>2</v>
      </c>
      <c r="J2096" s="4">
        <v>16172.86</v>
      </c>
      <c r="K2096" s="5">
        <v>0.05</v>
      </c>
      <c r="L2096" s="4">
        <v>12679.41</v>
      </c>
      <c r="M2096" t="s">
        <v>42</v>
      </c>
      <c r="N2096" t="s">
        <v>45</v>
      </c>
      <c r="O2096">
        <f>IF(TablaVentas[[#This Row],[Precio_unitario]]="","PENDIENTE",TablaVentas[[#This Row],[Unidades]]*TablaVentas[[#This Row],[Precio_unitario]]*(1-TablaVentas[[#This Row],[Descuento_pct]]))</f>
        <v>30728.434000000001</v>
      </c>
      <c r="P2096">
        <f>IF(TablaVentas[[#This Row],[Costo_unitario]]="","PENDIENTE",TablaVentas[[#This Row],[Unidades]]*TablaVentas[[#This Row],[Costo_unitario]])</f>
        <v>25358.82</v>
      </c>
      <c r="Q2096">
        <f>IF(OR(TablaVentas[[#This Row],[Ingreso_neto]]="PENDIENTE",TablaVentas[[#This Row],[Costo_total]]="PENDIENTE"),"PENDIENTE",TablaVentas[[#This Row],[Ingreso_neto]]-TablaVentas[[#This Row],[Costo_total]])</f>
        <v>5369.6140000000014</v>
      </c>
    </row>
    <row r="2097" spans="1:17">
      <c r="A2097" t="s">
        <v>1294</v>
      </c>
      <c r="B2097">
        <v>1</v>
      </c>
      <c r="C2097" s="3">
        <v>46232</v>
      </c>
      <c r="D2097" t="s">
        <v>252</v>
      </c>
      <c r="E2097" t="s">
        <v>94</v>
      </c>
      <c r="F2097" t="s">
        <v>39</v>
      </c>
      <c r="G2097" t="s">
        <v>50</v>
      </c>
      <c r="H2097" t="s">
        <v>58</v>
      </c>
      <c r="I2097">
        <v>1</v>
      </c>
      <c r="J2097" s="4">
        <v>7186.58</v>
      </c>
      <c r="K2097" s="5">
        <v>0</v>
      </c>
      <c r="L2097" s="4">
        <v>4538.0600000000004</v>
      </c>
      <c r="M2097" t="s">
        <v>116</v>
      </c>
      <c r="N2097" t="s">
        <v>60</v>
      </c>
      <c r="O2097">
        <f>IF(TablaVentas[[#This Row],[Precio_unitario]]="","PENDIENTE",TablaVentas[[#This Row],[Unidades]]*TablaVentas[[#This Row],[Precio_unitario]]*(1-TablaVentas[[#This Row],[Descuento_pct]]))</f>
        <v>7186.58</v>
      </c>
      <c r="P2097">
        <f>IF(TablaVentas[[#This Row],[Costo_unitario]]="","PENDIENTE",TablaVentas[[#This Row],[Unidades]]*TablaVentas[[#This Row],[Costo_unitario]])</f>
        <v>4538.0600000000004</v>
      </c>
      <c r="Q2097">
        <f>IF(OR(TablaVentas[[#This Row],[Ingreso_neto]]="PENDIENTE",TablaVentas[[#This Row],[Costo_total]]="PENDIENTE"),"PENDIENTE",TablaVentas[[#This Row],[Ingreso_neto]]-TablaVentas[[#This Row],[Costo_total]])</f>
        <v>2648.5199999999995</v>
      </c>
    </row>
    <row r="2098" spans="1:17">
      <c r="A2098" t="s">
        <v>1295</v>
      </c>
      <c r="B2098">
        <v>1</v>
      </c>
      <c r="C2098" s="3">
        <v>46167</v>
      </c>
      <c r="D2098" t="s">
        <v>232</v>
      </c>
      <c r="E2098" t="s">
        <v>143</v>
      </c>
      <c r="F2098" t="s">
        <v>77</v>
      </c>
      <c r="G2098" t="s">
        <v>50</v>
      </c>
      <c r="H2098" t="s">
        <v>102</v>
      </c>
      <c r="I2098">
        <v>2</v>
      </c>
      <c r="J2098" s="4">
        <v>8907.0300000000007</v>
      </c>
      <c r="K2098" s="5">
        <v>0.15</v>
      </c>
      <c r="L2098" s="4">
        <v>6815.42</v>
      </c>
      <c r="M2098" t="s">
        <v>42</v>
      </c>
      <c r="N2098" t="s">
        <v>60</v>
      </c>
      <c r="O2098">
        <f>IF(TablaVentas[[#This Row],[Precio_unitario]]="","PENDIENTE",TablaVentas[[#This Row],[Unidades]]*TablaVentas[[#This Row],[Precio_unitario]]*(1-TablaVentas[[#This Row],[Descuento_pct]]))</f>
        <v>15141.951000000001</v>
      </c>
      <c r="P2098">
        <f>IF(TablaVentas[[#This Row],[Costo_unitario]]="","PENDIENTE",TablaVentas[[#This Row],[Unidades]]*TablaVentas[[#This Row],[Costo_unitario]])</f>
        <v>13630.84</v>
      </c>
      <c r="Q2098">
        <f>IF(OR(TablaVentas[[#This Row],[Ingreso_neto]]="PENDIENTE",TablaVentas[[#This Row],[Costo_total]]="PENDIENTE"),"PENDIENTE",TablaVentas[[#This Row],[Ingreso_neto]]-TablaVentas[[#This Row],[Costo_total]])</f>
        <v>1511.1110000000008</v>
      </c>
    </row>
    <row r="2099" spans="1:17">
      <c r="A2099" t="s">
        <v>1295</v>
      </c>
      <c r="B2099">
        <v>2</v>
      </c>
      <c r="C2099" s="3">
        <v>46167</v>
      </c>
      <c r="D2099" t="s">
        <v>232</v>
      </c>
      <c r="E2099" t="s">
        <v>46</v>
      </c>
      <c r="F2099" t="s">
        <v>77</v>
      </c>
      <c r="G2099" t="s">
        <v>50</v>
      </c>
      <c r="H2099" t="s">
        <v>102</v>
      </c>
      <c r="I2099">
        <v>1</v>
      </c>
      <c r="J2099" s="4">
        <v>3698.88</v>
      </c>
      <c r="K2099" s="5">
        <v>0</v>
      </c>
      <c r="L2099" s="4">
        <v>2957.6</v>
      </c>
      <c r="M2099" t="s">
        <v>42</v>
      </c>
      <c r="N2099" t="s">
        <v>43</v>
      </c>
      <c r="O2099">
        <f>IF(TablaVentas[[#This Row],[Precio_unitario]]="","PENDIENTE",TablaVentas[[#This Row],[Unidades]]*TablaVentas[[#This Row],[Precio_unitario]]*(1-TablaVentas[[#This Row],[Descuento_pct]]))</f>
        <v>3698.88</v>
      </c>
      <c r="P2099">
        <f>IF(TablaVentas[[#This Row],[Costo_unitario]]="","PENDIENTE",TablaVentas[[#This Row],[Unidades]]*TablaVentas[[#This Row],[Costo_unitario]])</f>
        <v>2957.6</v>
      </c>
      <c r="Q2099">
        <f>IF(OR(TablaVentas[[#This Row],[Ingreso_neto]]="PENDIENTE",TablaVentas[[#This Row],[Costo_total]]="PENDIENTE"),"PENDIENTE",TablaVentas[[#This Row],[Ingreso_neto]]-TablaVentas[[#This Row],[Costo_total]])</f>
        <v>741.2800000000002</v>
      </c>
    </row>
    <row r="2100" spans="1:17">
      <c r="A2100" t="s">
        <v>1296</v>
      </c>
      <c r="B2100">
        <v>1</v>
      </c>
      <c r="C2100" s="3">
        <v>46044</v>
      </c>
      <c r="D2100" t="s">
        <v>574</v>
      </c>
      <c r="E2100" t="s">
        <v>68</v>
      </c>
      <c r="F2100" t="s">
        <v>56</v>
      </c>
      <c r="G2100" t="s">
        <v>57</v>
      </c>
      <c r="H2100" t="s">
        <v>51</v>
      </c>
      <c r="I2100">
        <v>5</v>
      </c>
      <c r="J2100" s="4">
        <v>14531.1</v>
      </c>
      <c r="K2100" s="5">
        <v>0</v>
      </c>
      <c r="L2100" s="4">
        <v>9243.35</v>
      </c>
      <c r="M2100" t="s">
        <v>42</v>
      </c>
      <c r="N2100" t="s">
        <v>43</v>
      </c>
      <c r="O2100">
        <f>IF(TablaVentas[[#This Row],[Precio_unitario]]="","PENDIENTE",TablaVentas[[#This Row],[Unidades]]*TablaVentas[[#This Row],[Precio_unitario]]*(1-TablaVentas[[#This Row],[Descuento_pct]]))</f>
        <v>72655.5</v>
      </c>
      <c r="P2100">
        <f>IF(TablaVentas[[#This Row],[Costo_unitario]]="","PENDIENTE",TablaVentas[[#This Row],[Unidades]]*TablaVentas[[#This Row],[Costo_unitario]])</f>
        <v>46216.75</v>
      </c>
      <c r="Q2100">
        <f>IF(OR(TablaVentas[[#This Row],[Ingreso_neto]]="PENDIENTE",TablaVentas[[#This Row],[Costo_total]]="PENDIENTE"),"PENDIENTE",TablaVentas[[#This Row],[Ingreso_neto]]-TablaVentas[[#This Row],[Costo_total]])</f>
        <v>26438.75</v>
      </c>
    </row>
    <row r="2101" spans="1:17">
      <c r="A2101" t="s">
        <v>1296</v>
      </c>
      <c r="B2101">
        <v>2</v>
      </c>
      <c r="C2101" s="3">
        <v>46044</v>
      </c>
      <c r="D2101" t="s">
        <v>574</v>
      </c>
      <c r="E2101" t="s">
        <v>203</v>
      </c>
      <c r="F2101" t="s">
        <v>56</v>
      </c>
      <c r="G2101" t="s">
        <v>57</v>
      </c>
      <c r="H2101" t="s">
        <v>51</v>
      </c>
      <c r="I2101">
        <v>1</v>
      </c>
      <c r="J2101" s="4">
        <v>2008.03</v>
      </c>
      <c r="K2101" s="5">
        <v>0.1</v>
      </c>
      <c r="L2101" s="4">
        <v>1252.8399999999999</v>
      </c>
      <c r="M2101" t="s">
        <v>42</v>
      </c>
      <c r="N2101" t="s">
        <v>52</v>
      </c>
      <c r="O2101">
        <f>IF(TablaVentas[[#This Row],[Precio_unitario]]="","PENDIENTE",TablaVentas[[#This Row],[Unidades]]*TablaVentas[[#This Row],[Precio_unitario]]*(1-TablaVentas[[#This Row],[Descuento_pct]]))</f>
        <v>1807.2270000000001</v>
      </c>
      <c r="P2101">
        <f>IF(TablaVentas[[#This Row],[Costo_unitario]]="","PENDIENTE",TablaVentas[[#This Row],[Unidades]]*TablaVentas[[#This Row],[Costo_unitario]])</f>
        <v>1252.8399999999999</v>
      </c>
      <c r="Q2101">
        <f>IF(OR(TablaVentas[[#This Row],[Ingreso_neto]]="PENDIENTE",TablaVentas[[#This Row],[Costo_total]]="PENDIENTE"),"PENDIENTE",TablaVentas[[#This Row],[Ingreso_neto]]-TablaVentas[[#This Row],[Costo_total]])</f>
        <v>554.38700000000017</v>
      </c>
    </row>
    <row r="2102" spans="1:17">
      <c r="A2102" t="s">
        <v>1296</v>
      </c>
      <c r="B2102">
        <v>3</v>
      </c>
      <c r="C2102" s="3">
        <v>46044</v>
      </c>
      <c r="D2102" t="s">
        <v>574</v>
      </c>
      <c r="E2102" t="s">
        <v>320</v>
      </c>
      <c r="F2102" t="s">
        <v>56</v>
      </c>
      <c r="G2102" t="s">
        <v>57</v>
      </c>
      <c r="H2102" t="s">
        <v>51</v>
      </c>
      <c r="I2102">
        <v>5</v>
      </c>
      <c r="J2102" s="4">
        <v>4830.5600000000004</v>
      </c>
      <c r="K2102" s="5">
        <v>0</v>
      </c>
      <c r="L2102" s="4">
        <v>3065.66</v>
      </c>
      <c r="M2102" t="s">
        <v>42</v>
      </c>
      <c r="N2102" t="s">
        <v>45</v>
      </c>
      <c r="O2102">
        <f>IF(TablaVentas[[#This Row],[Precio_unitario]]="","PENDIENTE",TablaVentas[[#This Row],[Unidades]]*TablaVentas[[#This Row],[Precio_unitario]]*(1-TablaVentas[[#This Row],[Descuento_pct]]))</f>
        <v>24152.800000000003</v>
      </c>
      <c r="P2102">
        <f>IF(TablaVentas[[#This Row],[Costo_unitario]]="","PENDIENTE",TablaVentas[[#This Row],[Unidades]]*TablaVentas[[#This Row],[Costo_unitario]])</f>
        <v>15328.3</v>
      </c>
      <c r="Q2102">
        <f>IF(OR(TablaVentas[[#This Row],[Ingreso_neto]]="PENDIENTE",TablaVentas[[#This Row],[Costo_total]]="PENDIENTE"),"PENDIENTE",TablaVentas[[#This Row],[Ingreso_neto]]-TablaVentas[[#This Row],[Costo_total]])</f>
        <v>8824.5000000000036</v>
      </c>
    </row>
    <row r="2103" spans="1:17">
      <c r="A2103" t="s">
        <v>1297</v>
      </c>
      <c r="B2103">
        <v>1</v>
      </c>
      <c r="C2103" s="3">
        <v>46143</v>
      </c>
      <c r="D2103" t="s">
        <v>158</v>
      </c>
      <c r="E2103" t="s">
        <v>321</v>
      </c>
      <c r="F2103" t="s">
        <v>39</v>
      </c>
      <c r="G2103" t="s">
        <v>57</v>
      </c>
      <c r="H2103" t="s">
        <v>102</v>
      </c>
      <c r="I2103">
        <v>1</v>
      </c>
      <c r="J2103" s="4">
        <v>1192.24</v>
      </c>
      <c r="K2103" s="5">
        <v>0</v>
      </c>
      <c r="L2103" s="4">
        <v>679.37</v>
      </c>
      <c r="M2103" t="s">
        <v>42</v>
      </c>
      <c r="N2103" t="s">
        <v>60</v>
      </c>
      <c r="O2103">
        <f>IF(TablaVentas[[#This Row],[Precio_unitario]]="","PENDIENTE",TablaVentas[[#This Row],[Unidades]]*TablaVentas[[#This Row],[Precio_unitario]]*(1-TablaVentas[[#This Row],[Descuento_pct]]))</f>
        <v>1192.24</v>
      </c>
      <c r="P2103">
        <f>IF(TablaVentas[[#This Row],[Costo_unitario]]="","PENDIENTE",TablaVentas[[#This Row],[Unidades]]*TablaVentas[[#This Row],[Costo_unitario]])</f>
        <v>679.37</v>
      </c>
      <c r="Q2103">
        <f>IF(OR(TablaVentas[[#This Row],[Ingreso_neto]]="PENDIENTE",TablaVentas[[#This Row],[Costo_total]]="PENDIENTE"),"PENDIENTE",TablaVentas[[#This Row],[Ingreso_neto]]-TablaVentas[[#This Row],[Costo_total]])</f>
        <v>512.87</v>
      </c>
    </row>
    <row r="2104" spans="1:17">
      <c r="A2104" t="s">
        <v>1298</v>
      </c>
      <c r="B2104">
        <v>1</v>
      </c>
      <c r="C2104" s="3">
        <v>46054</v>
      </c>
      <c r="D2104" t="s">
        <v>462</v>
      </c>
      <c r="E2104" t="s">
        <v>120</v>
      </c>
      <c r="F2104" t="s">
        <v>39</v>
      </c>
      <c r="G2104" t="s">
        <v>40</v>
      </c>
      <c r="H2104" t="s">
        <v>124</v>
      </c>
      <c r="I2104">
        <v>1</v>
      </c>
      <c r="J2104" s="4">
        <v>12569.31</v>
      </c>
      <c r="K2104" s="5">
        <v>0</v>
      </c>
      <c r="L2104" s="4">
        <v>7975.26</v>
      </c>
      <c r="M2104" t="s">
        <v>42</v>
      </c>
      <c r="N2104" t="s">
        <v>52</v>
      </c>
      <c r="O2104">
        <f>IF(TablaVentas[[#This Row],[Precio_unitario]]="","PENDIENTE",TablaVentas[[#This Row],[Unidades]]*TablaVentas[[#This Row],[Precio_unitario]]*(1-TablaVentas[[#This Row],[Descuento_pct]]))</f>
        <v>12569.31</v>
      </c>
      <c r="P2104">
        <f>IF(TablaVentas[[#This Row],[Costo_unitario]]="","PENDIENTE",TablaVentas[[#This Row],[Unidades]]*TablaVentas[[#This Row],[Costo_unitario]])</f>
        <v>7975.26</v>
      </c>
      <c r="Q2104">
        <f>IF(OR(TablaVentas[[#This Row],[Ingreso_neto]]="PENDIENTE",TablaVentas[[#This Row],[Costo_total]]="PENDIENTE"),"PENDIENTE",TablaVentas[[#This Row],[Ingreso_neto]]-TablaVentas[[#This Row],[Costo_total]])</f>
        <v>4594.0499999999993</v>
      </c>
    </row>
    <row r="2105" spans="1:17">
      <c r="A2105" t="s">
        <v>1298</v>
      </c>
      <c r="B2105">
        <v>2</v>
      </c>
      <c r="C2105" s="3">
        <v>46054</v>
      </c>
      <c r="D2105" t="s">
        <v>462</v>
      </c>
      <c r="E2105" t="s">
        <v>155</v>
      </c>
      <c r="F2105" t="s">
        <v>39</v>
      </c>
      <c r="G2105" t="s">
        <v>40</v>
      </c>
      <c r="H2105" t="s">
        <v>124</v>
      </c>
      <c r="I2105">
        <v>12</v>
      </c>
      <c r="J2105" s="4">
        <v>737.44</v>
      </c>
      <c r="K2105" s="5">
        <v>0</v>
      </c>
      <c r="L2105" s="4">
        <v>397.1</v>
      </c>
      <c r="M2105" t="s">
        <v>42</v>
      </c>
      <c r="N2105" t="s">
        <v>45</v>
      </c>
      <c r="O2105">
        <f>IF(TablaVentas[[#This Row],[Precio_unitario]]="","PENDIENTE",TablaVentas[[#This Row],[Unidades]]*TablaVentas[[#This Row],[Precio_unitario]]*(1-TablaVentas[[#This Row],[Descuento_pct]]))</f>
        <v>8849.2800000000007</v>
      </c>
      <c r="P2105">
        <f>IF(TablaVentas[[#This Row],[Costo_unitario]]="","PENDIENTE",TablaVentas[[#This Row],[Unidades]]*TablaVentas[[#This Row],[Costo_unitario]])</f>
        <v>4765.2000000000007</v>
      </c>
      <c r="Q2105">
        <f>IF(OR(TablaVentas[[#This Row],[Ingreso_neto]]="PENDIENTE",TablaVentas[[#This Row],[Costo_total]]="PENDIENTE"),"PENDIENTE",TablaVentas[[#This Row],[Ingreso_neto]]-TablaVentas[[#This Row],[Costo_total]])</f>
        <v>4084.08</v>
      </c>
    </row>
    <row r="2106" spans="1:17">
      <c r="A2106" t="s">
        <v>1298</v>
      </c>
      <c r="B2106">
        <v>3</v>
      </c>
      <c r="C2106" s="3">
        <v>46054</v>
      </c>
      <c r="D2106" t="s">
        <v>462</v>
      </c>
      <c r="E2106" t="s">
        <v>185</v>
      </c>
      <c r="F2106" t="s">
        <v>39</v>
      </c>
      <c r="G2106" t="s">
        <v>40</v>
      </c>
      <c r="H2106" t="s">
        <v>124</v>
      </c>
      <c r="I2106">
        <v>1</v>
      </c>
      <c r="J2106" s="4">
        <v>17944.39</v>
      </c>
      <c r="K2106" s="5">
        <v>0</v>
      </c>
      <c r="L2106" s="4">
        <v>11904.09</v>
      </c>
      <c r="M2106" t="s">
        <v>42</v>
      </c>
      <c r="N2106" t="s">
        <v>52</v>
      </c>
      <c r="O2106">
        <f>IF(TablaVentas[[#This Row],[Precio_unitario]]="","PENDIENTE",TablaVentas[[#This Row],[Unidades]]*TablaVentas[[#This Row],[Precio_unitario]]*(1-TablaVentas[[#This Row],[Descuento_pct]]))</f>
        <v>17944.39</v>
      </c>
      <c r="P2106">
        <f>IF(TablaVentas[[#This Row],[Costo_unitario]]="","PENDIENTE",TablaVentas[[#This Row],[Unidades]]*TablaVentas[[#This Row],[Costo_unitario]])</f>
        <v>11904.09</v>
      </c>
      <c r="Q2106">
        <f>IF(OR(TablaVentas[[#This Row],[Ingreso_neto]]="PENDIENTE",TablaVentas[[#This Row],[Costo_total]]="PENDIENTE"),"PENDIENTE",TablaVentas[[#This Row],[Ingreso_neto]]-TablaVentas[[#This Row],[Costo_total]])</f>
        <v>6040.2999999999993</v>
      </c>
    </row>
    <row r="2107" spans="1:17">
      <c r="A2107" t="s">
        <v>1299</v>
      </c>
      <c r="B2107">
        <v>1</v>
      </c>
      <c r="C2107" s="3">
        <v>46149</v>
      </c>
      <c r="D2107" t="s">
        <v>1007</v>
      </c>
      <c r="E2107" t="s">
        <v>138</v>
      </c>
      <c r="F2107" t="s">
        <v>56</v>
      </c>
      <c r="G2107" t="s">
        <v>40</v>
      </c>
      <c r="H2107" t="s">
        <v>184</v>
      </c>
      <c r="I2107">
        <v>1</v>
      </c>
      <c r="J2107" s="4">
        <v>6361.47</v>
      </c>
      <c r="K2107" s="5">
        <v>0.15</v>
      </c>
      <c r="L2107" s="4">
        <v>4665.62</v>
      </c>
      <c r="M2107" t="s">
        <v>42</v>
      </c>
      <c r="N2107" t="s">
        <v>45</v>
      </c>
      <c r="O2107">
        <f>IF(TablaVentas[[#This Row],[Precio_unitario]]="","PENDIENTE",TablaVentas[[#This Row],[Unidades]]*TablaVentas[[#This Row],[Precio_unitario]]*(1-TablaVentas[[#This Row],[Descuento_pct]]))</f>
        <v>5407.2494999999999</v>
      </c>
      <c r="P2107">
        <f>IF(TablaVentas[[#This Row],[Costo_unitario]]="","PENDIENTE",TablaVentas[[#This Row],[Unidades]]*TablaVentas[[#This Row],[Costo_unitario]])</f>
        <v>4665.62</v>
      </c>
      <c r="Q2107">
        <f>IF(OR(TablaVentas[[#This Row],[Ingreso_neto]]="PENDIENTE",TablaVentas[[#This Row],[Costo_total]]="PENDIENTE"),"PENDIENTE",TablaVentas[[#This Row],[Ingreso_neto]]-TablaVentas[[#This Row],[Costo_total]])</f>
        <v>741.62950000000001</v>
      </c>
    </row>
    <row r="2108" spans="1:17">
      <c r="A2108" t="s">
        <v>1299</v>
      </c>
      <c r="B2108">
        <v>2</v>
      </c>
      <c r="C2108" s="3">
        <v>46149</v>
      </c>
      <c r="D2108" t="s">
        <v>1007</v>
      </c>
      <c r="E2108" t="s">
        <v>151</v>
      </c>
      <c r="F2108" t="s">
        <v>56</v>
      </c>
      <c r="G2108" t="s">
        <v>40</v>
      </c>
      <c r="H2108" t="s">
        <v>184</v>
      </c>
      <c r="I2108">
        <v>3</v>
      </c>
      <c r="J2108" s="4">
        <v>16514.29</v>
      </c>
      <c r="K2108" s="5">
        <v>0</v>
      </c>
      <c r="L2108" s="4">
        <v>8963.23</v>
      </c>
      <c r="M2108" t="s">
        <v>116</v>
      </c>
      <c r="N2108" t="s">
        <v>52</v>
      </c>
      <c r="O2108">
        <f>IF(TablaVentas[[#This Row],[Precio_unitario]]="","PENDIENTE",TablaVentas[[#This Row],[Unidades]]*TablaVentas[[#This Row],[Precio_unitario]]*(1-TablaVentas[[#This Row],[Descuento_pct]]))</f>
        <v>49542.87</v>
      </c>
      <c r="P2108">
        <f>IF(TablaVentas[[#This Row],[Costo_unitario]]="","PENDIENTE",TablaVentas[[#This Row],[Unidades]]*TablaVentas[[#This Row],[Costo_unitario]])</f>
        <v>26889.69</v>
      </c>
      <c r="Q2108">
        <f>IF(OR(TablaVentas[[#This Row],[Ingreso_neto]]="PENDIENTE",TablaVentas[[#This Row],[Costo_total]]="PENDIENTE"),"PENDIENTE",TablaVentas[[#This Row],[Ingreso_neto]]-TablaVentas[[#This Row],[Costo_total]])</f>
        <v>22653.180000000004</v>
      </c>
    </row>
    <row r="2109" spans="1:17">
      <c r="A2109" t="s">
        <v>1299</v>
      </c>
      <c r="B2109">
        <v>3</v>
      </c>
      <c r="C2109" s="3">
        <v>46149</v>
      </c>
      <c r="D2109" t="s">
        <v>1007</v>
      </c>
      <c r="E2109" t="s">
        <v>156</v>
      </c>
      <c r="F2109" t="s">
        <v>56</v>
      </c>
      <c r="G2109" t="s">
        <v>40</v>
      </c>
      <c r="H2109" t="s">
        <v>184</v>
      </c>
      <c r="I2109">
        <v>1</v>
      </c>
      <c r="J2109" s="4">
        <v>20035.93</v>
      </c>
      <c r="K2109" s="5">
        <v>0.1</v>
      </c>
      <c r="L2109" s="4">
        <v>13981.13</v>
      </c>
      <c r="M2109" t="s">
        <v>42</v>
      </c>
      <c r="N2109" t="s">
        <v>52</v>
      </c>
      <c r="O2109">
        <f>IF(TablaVentas[[#This Row],[Precio_unitario]]="","PENDIENTE",TablaVentas[[#This Row],[Unidades]]*TablaVentas[[#This Row],[Precio_unitario]]*(1-TablaVentas[[#This Row],[Descuento_pct]]))</f>
        <v>18032.337</v>
      </c>
      <c r="P2109">
        <f>IF(TablaVentas[[#This Row],[Costo_unitario]]="","PENDIENTE",TablaVentas[[#This Row],[Unidades]]*TablaVentas[[#This Row],[Costo_unitario]])</f>
        <v>13981.13</v>
      </c>
      <c r="Q2109">
        <f>IF(OR(TablaVentas[[#This Row],[Ingreso_neto]]="PENDIENTE",TablaVentas[[#This Row],[Costo_total]]="PENDIENTE"),"PENDIENTE",TablaVentas[[#This Row],[Ingreso_neto]]-TablaVentas[[#This Row],[Costo_total]])</f>
        <v>4051.2070000000003</v>
      </c>
    </row>
    <row r="2110" spans="1:17">
      <c r="A2110" t="s">
        <v>1299</v>
      </c>
      <c r="B2110">
        <v>4</v>
      </c>
      <c r="C2110" s="3">
        <v>46149</v>
      </c>
      <c r="D2110" t="s">
        <v>1007</v>
      </c>
      <c r="E2110" t="s">
        <v>293</v>
      </c>
      <c r="F2110" t="s">
        <v>56</v>
      </c>
      <c r="G2110" t="s">
        <v>40</v>
      </c>
      <c r="H2110" t="s">
        <v>184</v>
      </c>
      <c r="I2110">
        <v>2</v>
      </c>
      <c r="J2110" s="4">
        <v>1049.6400000000001</v>
      </c>
      <c r="K2110" s="5">
        <v>0</v>
      </c>
      <c r="L2110" s="4">
        <v>936.52</v>
      </c>
      <c r="M2110" t="s">
        <v>42</v>
      </c>
      <c r="N2110" t="s">
        <v>43</v>
      </c>
      <c r="O2110">
        <f>IF(TablaVentas[[#This Row],[Precio_unitario]]="","PENDIENTE",TablaVentas[[#This Row],[Unidades]]*TablaVentas[[#This Row],[Precio_unitario]]*(1-TablaVentas[[#This Row],[Descuento_pct]]))</f>
        <v>2099.2800000000002</v>
      </c>
      <c r="P2110">
        <f>IF(TablaVentas[[#This Row],[Costo_unitario]]="","PENDIENTE",TablaVentas[[#This Row],[Unidades]]*TablaVentas[[#This Row],[Costo_unitario]])</f>
        <v>1873.04</v>
      </c>
      <c r="Q2110">
        <f>IF(OR(TablaVentas[[#This Row],[Ingreso_neto]]="PENDIENTE",TablaVentas[[#This Row],[Costo_total]]="PENDIENTE"),"PENDIENTE",TablaVentas[[#This Row],[Ingreso_neto]]-TablaVentas[[#This Row],[Costo_total]])</f>
        <v>226.24000000000024</v>
      </c>
    </row>
    <row r="2111" spans="1:17">
      <c r="A2111" t="s">
        <v>1299</v>
      </c>
      <c r="B2111">
        <v>5</v>
      </c>
      <c r="C2111" s="3">
        <v>46149</v>
      </c>
      <c r="D2111" t="s">
        <v>1007</v>
      </c>
      <c r="E2111" t="s">
        <v>125</v>
      </c>
      <c r="F2111" t="s">
        <v>56</v>
      </c>
      <c r="G2111" t="s">
        <v>40</v>
      </c>
      <c r="H2111" t="s">
        <v>184</v>
      </c>
      <c r="I2111">
        <v>1</v>
      </c>
      <c r="J2111" s="4">
        <v>1856.76</v>
      </c>
      <c r="K2111" s="5">
        <v>0.2</v>
      </c>
      <c r="L2111" s="4">
        <v>1044.32</v>
      </c>
      <c r="M2111" t="s">
        <v>42</v>
      </c>
      <c r="N2111" t="s">
        <v>45</v>
      </c>
      <c r="O2111">
        <f>IF(TablaVentas[[#This Row],[Precio_unitario]]="","PENDIENTE",TablaVentas[[#This Row],[Unidades]]*TablaVentas[[#This Row],[Precio_unitario]]*(1-TablaVentas[[#This Row],[Descuento_pct]]))</f>
        <v>1485.4080000000001</v>
      </c>
      <c r="P2111">
        <f>IF(TablaVentas[[#This Row],[Costo_unitario]]="","PENDIENTE",TablaVentas[[#This Row],[Unidades]]*TablaVentas[[#This Row],[Costo_unitario]])</f>
        <v>1044.32</v>
      </c>
      <c r="Q2111">
        <f>IF(OR(TablaVentas[[#This Row],[Ingreso_neto]]="PENDIENTE",TablaVentas[[#This Row],[Costo_total]]="PENDIENTE"),"PENDIENTE",TablaVentas[[#This Row],[Ingreso_neto]]-TablaVentas[[#This Row],[Costo_total]])</f>
        <v>441.08800000000019</v>
      </c>
    </row>
    <row r="2112" spans="1:17">
      <c r="A2112" t="s">
        <v>1300</v>
      </c>
      <c r="B2112">
        <v>1</v>
      </c>
      <c r="C2112" s="3">
        <v>46119</v>
      </c>
      <c r="D2112" t="s">
        <v>884</v>
      </c>
      <c r="E2112" t="s">
        <v>223</v>
      </c>
      <c r="F2112" t="s">
        <v>77</v>
      </c>
      <c r="G2112" t="s">
        <v>40</v>
      </c>
      <c r="H2112" t="s">
        <v>129</v>
      </c>
      <c r="I2112">
        <v>2</v>
      </c>
      <c r="J2112" s="4">
        <v>6145.95</v>
      </c>
      <c r="K2112" s="5">
        <v>0</v>
      </c>
      <c r="L2112" s="4">
        <v>3298.19</v>
      </c>
      <c r="M2112" t="s">
        <v>116</v>
      </c>
      <c r="N2112" t="s">
        <v>43</v>
      </c>
      <c r="O2112">
        <f>IF(TablaVentas[[#This Row],[Precio_unitario]]="","PENDIENTE",TablaVentas[[#This Row],[Unidades]]*TablaVentas[[#This Row],[Precio_unitario]]*(1-TablaVentas[[#This Row],[Descuento_pct]]))</f>
        <v>12291.9</v>
      </c>
      <c r="P2112">
        <f>IF(TablaVentas[[#This Row],[Costo_unitario]]="","PENDIENTE",TablaVentas[[#This Row],[Unidades]]*TablaVentas[[#This Row],[Costo_unitario]])</f>
        <v>6596.38</v>
      </c>
      <c r="Q2112">
        <f>IF(OR(TablaVentas[[#This Row],[Ingreso_neto]]="PENDIENTE",TablaVentas[[#This Row],[Costo_total]]="PENDIENTE"),"PENDIENTE",TablaVentas[[#This Row],[Ingreso_neto]]-TablaVentas[[#This Row],[Costo_total]])</f>
        <v>5695.5199999999995</v>
      </c>
    </row>
    <row r="2113" spans="1:17">
      <c r="A2113" t="s">
        <v>1300</v>
      </c>
      <c r="B2113">
        <v>2</v>
      </c>
      <c r="C2113" s="3">
        <v>46119</v>
      </c>
      <c r="D2113" t="s">
        <v>884</v>
      </c>
      <c r="E2113" t="s">
        <v>236</v>
      </c>
      <c r="F2113" t="s">
        <v>77</v>
      </c>
      <c r="G2113" t="s">
        <v>40</v>
      </c>
      <c r="H2113" t="s">
        <v>129</v>
      </c>
      <c r="I2113">
        <v>2</v>
      </c>
      <c r="J2113" s="4">
        <v>8865.7800000000007</v>
      </c>
      <c r="K2113" s="5">
        <v>0.15</v>
      </c>
      <c r="L2113" s="4">
        <v>8061.7</v>
      </c>
      <c r="M2113" t="s">
        <v>42</v>
      </c>
      <c r="N2113" t="s">
        <v>52</v>
      </c>
      <c r="O2113">
        <f>IF(TablaVentas[[#This Row],[Precio_unitario]]="","PENDIENTE",TablaVentas[[#This Row],[Unidades]]*TablaVentas[[#This Row],[Precio_unitario]]*(1-TablaVentas[[#This Row],[Descuento_pct]]))</f>
        <v>15071.826000000001</v>
      </c>
      <c r="P2113">
        <f>IF(TablaVentas[[#This Row],[Costo_unitario]]="","PENDIENTE",TablaVentas[[#This Row],[Unidades]]*TablaVentas[[#This Row],[Costo_unitario]])</f>
        <v>16123.4</v>
      </c>
      <c r="Q2113">
        <f>IF(OR(TablaVentas[[#This Row],[Ingreso_neto]]="PENDIENTE",TablaVentas[[#This Row],[Costo_total]]="PENDIENTE"),"PENDIENTE",TablaVentas[[#This Row],[Ingreso_neto]]-TablaVentas[[#This Row],[Costo_total]])</f>
        <v>-1051.5739999999987</v>
      </c>
    </row>
    <row r="2114" spans="1:17">
      <c r="A2114" t="s">
        <v>1300</v>
      </c>
      <c r="B2114">
        <v>3</v>
      </c>
      <c r="C2114" s="3">
        <v>46119</v>
      </c>
      <c r="D2114" t="s">
        <v>884</v>
      </c>
      <c r="E2114" t="s">
        <v>46</v>
      </c>
      <c r="F2114" t="s">
        <v>77</v>
      </c>
      <c r="G2114" t="s">
        <v>40</v>
      </c>
      <c r="H2114" t="s">
        <v>129</v>
      </c>
      <c r="I2114">
        <v>2</v>
      </c>
      <c r="J2114" s="4">
        <v>3767.52</v>
      </c>
      <c r="K2114" s="5">
        <v>0</v>
      </c>
      <c r="L2114" s="4">
        <v>2957.6</v>
      </c>
      <c r="M2114" t="s">
        <v>42</v>
      </c>
      <c r="N2114" t="s">
        <v>43</v>
      </c>
      <c r="O2114">
        <f>IF(TablaVentas[[#This Row],[Precio_unitario]]="","PENDIENTE",TablaVentas[[#This Row],[Unidades]]*TablaVentas[[#This Row],[Precio_unitario]]*(1-TablaVentas[[#This Row],[Descuento_pct]]))</f>
        <v>7535.04</v>
      </c>
      <c r="P2114">
        <f>IF(TablaVentas[[#This Row],[Costo_unitario]]="","PENDIENTE",TablaVentas[[#This Row],[Unidades]]*TablaVentas[[#This Row],[Costo_unitario]])</f>
        <v>5915.2</v>
      </c>
      <c r="Q2114">
        <f>IF(OR(TablaVentas[[#This Row],[Ingreso_neto]]="PENDIENTE",TablaVentas[[#This Row],[Costo_total]]="PENDIENTE"),"PENDIENTE",TablaVentas[[#This Row],[Ingreso_neto]]-TablaVentas[[#This Row],[Costo_total]])</f>
        <v>1619.8400000000001</v>
      </c>
    </row>
    <row r="2115" spans="1:17">
      <c r="A2115" t="s">
        <v>1301</v>
      </c>
      <c r="B2115">
        <v>1</v>
      </c>
      <c r="C2115" s="3">
        <v>46253</v>
      </c>
      <c r="D2115" t="s">
        <v>162</v>
      </c>
      <c r="E2115" t="s">
        <v>155</v>
      </c>
      <c r="F2115" t="s">
        <v>39</v>
      </c>
      <c r="G2115" t="s">
        <v>40</v>
      </c>
      <c r="H2115" t="s">
        <v>102</v>
      </c>
      <c r="I2115">
        <v>3</v>
      </c>
      <c r="J2115" s="4">
        <v>703.39</v>
      </c>
      <c r="K2115" s="5">
        <v>0</v>
      </c>
      <c r="L2115" s="4">
        <v>397.1</v>
      </c>
      <c r="M2115" t="s">
        <v>42</v>
      </c>
      <c r="N2115" t="s">
        <v>52</v>
      </c>
      <c r="O2115">
        <f>IF(TablaVentas[[#This Row],[Precio_unitario]]="","PENDIENTE",TablaVentas[[#This Row],[Unidades]]*TablaVentas[[#This Row],[Precio_unitario]]*(1-TablaVentas[[#This Row],[Descuento_pct]]))</f>
        <v>2110.17</v>
      </c>
      <c r="P2115">
        <f>IF(TablaVentas[[#This Row],[Costo_unitario]]="","PENDIENTE",TablaVentas[[#This Row],[Unidades]]*TablaVentas[[#This Row],[Costo_unitario]])</f>
        <v>1191.3000000000002</v>
      </c>
      <c r="Q2115">
        <f>IF(OR(TablaVentas[[#This Row],[Ingreso_neto]]="PENDIENTE",TablaVentas[[#This Row],[Costo_total]]="PENDIENTE"),"PENDIENTE",TablaVentas[[#This Row],[Ingreso_neto]]-TablaVentas[[#This Row],[Costo_total]])</f>
        <v>918.86999999999989</v>
      </c>
    </row>
    <row r="2116" spans="1:17">
      <c r="A2116" t="s">
        <v>1301</v>
      </c>
      <c r="B2116">
        <v>2</v>
      </c>
      <c r="C2116" s="3">
        <v>46253</v>
      </c>
      <c r="D2116" t="s">
        <v>162</v>
      </c>
      <c r="E2116" t="s">
        <v>109</v>
      </c>
      <c r="F2116" t="s">
        <v>39</v>
      </c>
      <c r="G2116" t="s">
        <v>40</v>
      </c>
      <c r="H2116" t="s">
        <v>102</v>
      </c>
      <c r="I2116">
        <v>2</v>
      </c>
      <c r="J2116" s="4">
        <v>14288.73</v>
      </c>
      <c r="K2116" s="5">
        <v>0</v>
      </c>
      <c r="L2116" s="4">
        <v>9880.77</v>
      </c>
      <c r="M2116" t="s">
        <v>42</v>
      </c>
      <c r="N2116" t="s">
        <v>45</v>
      </c>
      <c r="O2116">
        <f>IF(TablaVentas[[#This Row],[Precio_unitario]]="","PENDIENTE",TablaVentas[[#This Row],[Unidades]]*TablaVentas[[#This Row],[Precio_unitario]]*(1-TablaVentas[[#This Row],[Descuento_pct]]))</f>
        <v>28577.46</v>
      </c>
      <c r="P2116">
        <f>IF(TablaVentas[[#This Row],[Costo_unitario]]="","PENDIENTE",TablaVentas[[#This Row],[Unidades]]*TablaVentas[[#This Row],[Costo_unitario]])</f>
        <v>19761.54</v>
      </c>
      <c r="Q2116">
        <f>IF(OR(TablaVentas[[#This Row],[Ingreso_neto]]="PENDIENTE",TablaVentas[[#This Row],[Costo_total]]="PENDIENTE"),"PENDIENTE",TablaVentas[[#This Row],[Ingreso_neto]]-TablaVentas[[#This Row],[Costo_total]])</f>
        <v>8815.9199999999983</v>
      </c>
    </row>
    <row r="2117" spans="1:17">
      <c r="A2117" t="s">
        <v>1302</v>
      </c>
      <c r="B2117">
        <v>1</v>
      </c>
      <c r="C2117" s="3">
        <v>46282</v>
      </c>
      <c r="D2117" t="s">
        <v>350</v>
      </c>
      <c r="E2117" t="s">
        <v>132</v>
      </c>
      <c r="F2117" t="s">
        <v>66</v>
      </c>
      <c r="G2117" t="s">
        <v>57</v>
      </c>
      <c r="H2117" t="s">
        <v>73</v>
      </c>
      <c r="I2117">
        <v>1</v>
      </c>
      <c r="J2117" s="4">
        <v>19892.43</v>
      </c>
      <c r="K2117" s="5">
        <v>0.15</v>
      </c>
      <c r="L2117" s="4">
        <v>11036.95</v>
      </c>
      <c r="M2117" t="s">
        <v>42</v>
      </c>
      <c r="N2117" t="s">
        <v>52</v>
      </c>
      <c r="O2117">
        <f>IF(TablaVentas[[#This Row],[Precio_unitario]]="","PENDIENTE",TablaVentas[[#This Row],[Unidades]]*TablaVentas[[#This Row],[Precio_unitario]]*(1-TablaVentas[[#This Row],[Descuento_pct]]))</f>
        <v>16908.565500000001</v>
      </c>
      <c r="P2117">
        <f>IF(TablaVentas[[#This Row],[Costo_unitario]]="","PENDIENTE",TablaVentas[[#This Row],[Unidades]]*TablaVentas[[#This Row],[Costo_unitario]])</f>
        <v>11036.95</v>
      </c>
      <c r="Q2117">
        <f>IF(OR(TablaVentas[[#This Row],[Ingreso_neto]]="PENDIENTE",TablaVentas[[#This Row],[Costo_total]]="PENDIENTE"),"PENDIENTE",TablaVentas[[#This Row],[Ingreso_neto]]-TablaVentas[[#This Row],[Costo_total]])</f>
        <v>5871.6154999999999</v>
      </c>
    </row>
    <row r="2118" spans="1:17">
      <c r="A2118" t="s">
        <v>1302</v>
      </c>
      <c r="B2118">
        <v>2</v>
      </c>
      <c r="C2118" s="3">
        <v>46282</v>
      </c>
      <c r="D2118" t="s">
        <v>350</v>
      </c>
      <c r="E2118" t="s">
        <v>123</v>
      </c>
      <c r="F2118" t="s">
        <v>66</v>
      </c>
      <c r="G2118" t="s">
        <v>57</v>
      </c>
      <c r="H2118" t="s">
        <v>73</v>
      </c>
      <c r="I2118">
        <v>1</v>
      </c>
      <c r="J2118" s="4">
        <v>18783.21</v>
      </c>
      <c r="K2118" s="5">
        <v>0</v>
      </c>
      <c r="L2118" s="4">
        <v>12679.41</v>
      </c>
      <c r="M2118" t="s">
        <v>42</v>
      </c>
      <c r="N2118" t="s">
        <v>60</v>
      </c>
      <c r="O2118">
        <f>IF(TablaVentas[[#This Row],[Precio_unitario]]="","PENDIENTE",TablaVentas[[#This Row],[Unidades]]*TablaVentas[[#This Row],[Precio_unitario]]*(1-TablaVentas[[#This Row],[Descuento_pct]]))</f>
        <v>18783.21</v>
      </c>
      <c r="P2118">
        <f>IF(TablaVentas[[#This Row],[Costo_unitario]]="","PENDIENTE",TablaVentas[[#This Row],[Unidades]]*TablaVentas[[#This Row],[Costo_unitario]])</f>
        <v>12679.41</v>
      </c>
      <c r="Q2118">
        <f>IF(OR(TablaVentas[[#This Row],[Ingreso_neto]]="PENDIENTE",TablaVentas[[#This Row],[Costo_total]]="PENDIENTE"),"PENDIENTE",TablaVentas[[#This Row],[Ingreso_neto]]-TablaVentas[[#This Row],[Costo_total]])</f>
        <v>6103.7999999999993</v>
      </c>
    </row>
    <row r="2119" spans="1:17">
      <c r="A2119" t="s">
        <v>1302</v>
      </c>
      <c r="B2119">
        <v>3</v>
      </c>
      <c r="C2119" s="3">
        <v>46282</v>
      </c>
      <c r="D2119" t="s">
        <v>350</v>
      </c>
      <c r="E2119" t="s">
        <v>236</v>
      </c>
      <c r="F2119" t="s">
        <v>66</v>
      </c>
      <c r="G2119" t="s">
        <v>57</v>
      </c>
      <c r="H2119" t="s">
        <v>73</v>
      </c>
      <c r="I2119">
        <v>1</v>
      </c>
      <c r="J2119" s="4">
        <v>10121.290000000001</v>
      </c>
      <c r="K2119" s="5">
        <v>0</v>
      </c>
      <c r="L2119" s="4">
        <v>8061.7</v>
      </c>
      <c r="M2119" t="s">
        <v>42</v>
      </c>
      <c r="N2119" t="s">
        <v>45</v>
      </c>
      <c r="O2119">
        <f>IF(TablaVentas[[#This Row],[Precio_unitario]]="","PENDIENTE",TablaVentas[[#This Row],[Unidades]]*TablaVentas[[#This Row],[Precio_unitario]]*(1-TablaVentas[[#This Row],[Descuento_pct]]))</f>
        <v>10121.290000000001</v>
      </c>
      <c r="P2119">
        <f>IF(TablaVentas[[#This Row],[Costo_unitario]]="","PENDIENTE",TablaVentas[[#This Row],[Unidades]]*TablaVentas[[#This Row],[Costo_unitario]])</f>
        <v>8061.7</v>
      </c>
      <c r="Q2119">
        <f>IF(OR(TablaVentas[[#This Row],[Ingreso_neto]]="PENDIENTE",TablaVentas[[#This Row],[Costo_total]]="PENDIENTE"),"PENDIENTE",TablaVentas[[#This Row],[Ingreso_neto]]-TablaVentas[[#This Row],[Costo_total]])</f>
        <v>2059.5900000000011</v>
      </c>
    </row>
    <row r="2120" spans="1:17">
      <c r="A2120" t="s">
        <v>1302</v>
      </c>
      <c r="B2120">
        <v>4</v>
      </c>
      <c r="C2120" s="3">
        <v>46282</v>
      </c>
      <c r="D2120" t="s">
        <v>350</v>
      </c>
      <c r="E2120" t="s">
        <v>160</v>
      </c>
      <c r="F2120" t="s">
        <v>66</v>
      </c>
      <c r="G2120" t="s">
        <v>57</v>
      </c>
      <c r="H2120" t="s">
        <v>73</v>
      </c>
      <c r="I2120">
        <v>2</v>
      </c>
      <c r="J2120" s="4">
        <v>7166.38</v>
      </c>
      <c r="K2120" s="5">
        <v>0</v>
      </c>
      <c r="L2120" s="4">
        <v>4082.15</v>
      </c>
      <c r="M2120" t="s">
        <v>62</v>
      </c>
      <c r="N2120" t="s">
        <v>52</v>
      </c>
      <c r="O2120">
        <f>IF(TablaVentas[[#This Row],[Precio_unitario]]="","PENDIENTE",TablaVentas[[#This Row],[Unidades]]*TablaVentas[[#This Row],[Precio_unitario]]*(1-TablaVentas[[#This Row],[Descuento_pct]]))</f>
        <v>14332.76</v>
      </c>
      <c r="P2120">
        <f>IF(TablaVentas[[#This Row],[Costo_unitario]]="","PENDIENTE",TablaVentas[[#This Row],[Unidades]]*TablaVentas[[#This Row],[Costo_unitario]])</f>
        <v>8164.3</v>
      </c>
      <c r="Q2120">
        <f>IF(OR(TablaVentas[[#This Row],[Ingreso_neto]]="PENDIENTE",TablaVentas[[#This Row],[Costo_total]]="PENDIENTE"),"PENDIENTE",TablaVentas[[#This Row],[Ingreso_neto]]-TablaVentas[[#This Row],[Costo_total]])</f>
        <v>6168.46</v>
      </c>
    </row>
    <row r="2121" spans="1:17">
      <c r="A2121" t="s">
        <v>1303</v>
      </c>
      <c r="B2121">
        <v>1</v>
      </c>
      <c r="C2121" s="3">
        <v>46117</v>
      </c>
      <c r="D2121" t="s">
        <v>412</v>
      </c>
      <c r="E2121" t="s">
        <v>397</v>
      </c>
      <c r="F2121" t="s">
        <v>66</v>
      </c>
      <c r="G2121" t="s">
        <v>40</v>
      </c>
      <c r="H2121" t="s">
        <v>51</v>
      </c>
      <c r="I2121">
        <v>5</v>
      </c>
      <c r="J2121" s="4">
        <v>6680.44</v>
      </c>
      <c r="K2121" s="5">
        <v>0</v>
      </c>
      <c r="L2121" s="4">
        <v>3640.56</v>
      </c>
      <c r="M2121" t="s">
        <v>42</v>
      </c>
      <c r="N2121" t="s">
        <v>52</v>
      </c>
      <c r="O2121">
        <f>IF(TablaVentas[[#This Row],[Precio_unitario]]="","PENDIENTE",TablaVentas[[#This Row],[Unidades]]*TablaVentas[[#This Row],[Precio_unitario]]*(1-TablaVentas[[#This Row],[Descuento_pct]]))</f>
        <v>33402.199999999997</v>
      </c>
      <c r="P2121">
        <f>IF(TablaVentas[[#This Row],[Costo_unitario]]="","PENDIENTE",TablaVentas[[#This Row],[Unidades]]*TablaVentas[[#This Row],[Costo_unitario]])</f>
        <v>18202.8</v>
      </c>
      <c r="Q2121">
        <f>IF(OR(TablaVentas[[#This Row],[Ingreso_neto]]="PENDIENTE",TablaVentas[[#This Row],[Costo_total]]="PENDIENTE"),"PENDIENTE",TablaVentas[[#This Row],[Ingreso_neto]]-TablaVentas[[#This Row],[Costo_total]])</f>
        <v>15199.399999999998</v>
      </c>
    </row>
    <row r="2122" spans="1:17">
      <c r="A2122" t="s">
        <v>1303</v>
      </c>
      <c r="B2122">
        <v>2</v>
      </c>
      <c r="C2122" s="3">
        <v>46117</v>
      </c>
      <c r="D2122" t="s">
        <v>412</v>
      </c>
      <c r="E2122" t="s">
        <v>180</v>
      </c>
      <c r="F2122" t="s">
        <v>66</v>
      </c>
      <c r="G2122" t="s">
        <v>40</v>
      </c>
      <c r="H2122" t="s">
        <v>51</v>
      </c>
      <c r="I2122">
        <v>5</v>
      </c>
      <c r="J2122" s="4">
        <v>6592.04</v>
      </c>
      <c r="K2122" s="5">
        <v>0.1</v>
      </c>
      <c r="L2122" s="4">
        <v>3824.92</v>
      </c>
      <c r="M2122" t="s">
        <v>42</v>
      </c>
      <c r="N2122" t="s">
        <v>52</v>
      </c>
      <c r="O2122">
        <f>IF(TablaVentas[[#This Row],[Precio_unitario]]="","PENDIENTE",TablaVentas[[#This Row],[Unidades]]*TablaVentas[[#This Row],[Precio_unitario]]*(1-TablaVentas[[#This Row],[Descuento_pct]]))</f>
        <v>29664.179999999997</v>
      </c>
      <c r="P2122">
        <f>IF(TablaVentas[[#This Row],[Costo_unitario]]="","PENDIENTE",TablaVentas[[#This Row],[Unidades]]*TablaVentas[[#This Row],[Costo_unitario]])</f>
        <v>19124.599999999999</v>
      </c>
      <c r="Q2122">
        <f>IF(OR(TablaVentas[[#This Row],[Ingreso_neto]]="PENDIENTE",TablaVentas[[#This Row],[Costo_total]]="PENDIENTE"),"PENDIENTE",TablaVentas[[#This Row],[Ingreso_neto]]-TablaVentas[[#This Row],[Costo_total]])</f>
        <v>10539.579999999998</v>
      </c>
    </row>
    <row r="2123" spans="1:17">
      <c r="A2123" t="s">
        <v>1304</v>
      </c>
      <c r="B2123">
        <v>1</v>
      </c>
      <c r="C2123" s="3">
        <v>46279</v>
      </c>
      <c r="D2123" t="s">
        <v>108</v>
      </c>
      <c r="E2123" t="s">
        <v>151</v>
      </c>
      <c r="F2123" t="s">
        <v>77</v>
      </c>
      <c r="G2123" t="s">
        <v>50</v>
      </c>
      <c r="H2123" t="s">
        <v>82</v>
      </c>
      <c r="I2123">
        <v>4</v>
      </c>
      <c r="J2123" s="4">
        <v>15670.37</v>
      </c>
      <c r="K2123" s="5">
        <v>0</v>
      </c>
      <c r="L2123" s="4">
        <v>8963.23</v>
      </c>
      <c r="M2123" t="s">
        <v>42</v>
      </c>
      <c r="N2123" t="s">
        <v>45</v>
      </c>
      <c r="O2123">
        <f>IF(TablaVentas[[#This Row],[Precio_unitario]]="","PENDIENTE",TablaVentas[[#This Row],[Unidades]]*TablaVentas[[#This Row],[Precio_unitario]]*(1-TablaVentas[[#This Row],[Descuento_pct]]))</f>
        <v>62681.48</v>
      </c>
      <c r="P2123">
        <f>IF(TablaVentas[[#This Row],[Costo_unitario]]="","PENDIENTE",TablaVentas[[#This Row],[Unidades]]*TablaVentas[[#This Row],[Costo_unitario]])</f>
        <v>35852.92</v>
      </c>
      <c r="Q2123">
        <f>IF(OR(TablaVentas[[#This Row],[Ingreso_neto]]="PENDIENTE",TablaVentas[[#This Row],[Costo_total]]="PENDIENTE"),"PENDIENTE",TablaVentas[[#This Row],[Ingreso_neto]]-TablaVentas[[#This Row],[Costo_total]])</f>
        <v>26828.560000000005</v>
      </c>
    </row>
    <row r="2124" spans="1:17">
      <c r="A2124" t="s">
        <v>1304</v>
      </c>
      <c r="B2124">
        <v>2</v>
      </c>
      <c r="C2124" s="3">
        <v>46279</v>
      </c>
      <c r="D2124" t="s">
        <v>108</v>
      </c>
      <c r="E2124" t="s">
        <v>353</v>
      </c>
      <c r="F2124" t="s">
        <v>77</v>
      </c>
      <c r="G2124" t="s">
        <v>50</v>
      </c>
      <c r="H2124" t="s">
        <v>82</v>
      </c>
      <c r="I2124">
        <v>3</v>
      </c>
      <c r="J2124" s="4">
        <v>2071.75</v>
      </c>
      <c r="K2124" s="5">
        <v>0</v>
      </c>
      <c r="L2124" s="4">
        <v>1479.71</v>
      </c>
      <c r="M2124" t="s">
        <v>42</v>
      </c>
      <c r="N2124" t="s">
        <v>60</v>
      </c>
      <c r="O2124">
        <f>IF(TablaVentas[[#This Row],[Precio_unitario]]="","PENDIENTE",TablaVentas[[#This Row],[Unidades]]*TablaVentas[[#This Row],[Precio_unitario]]*(1-TablaVentas[[#This Row],[Descuento_pct]]))</f>
        <v>6215.25</v>
      </c>
      <c r="P2124">
        <f>IF(TablaVentas[[#This Row],[Costo_unitario]]="","PENDIENTE",TablaVentas[[#This Row],[Unidades]]*TablaVentas[[#This Row],[Costo_unitario]])</f>
        <v>4439.13</v>
      </c>
      <c r="Q2124">
        <f>IF(OR(TablaVentas[[#This Row],[Ingreso_neto]]="PENDIENTE",TablaVentas[[#This Row],[Costo_total]]="PENDIENTE"),"PENDIENTE",TablaVentas[[#This Row],[Ingreso_neto]]-TablaVentas[[#This Row],[Costo_total]])</f>
        <v>1776.12</v>
      </c>
    </row>
    <row r="2125" spans="1:17">
      <c r="A2125" t="s">
        <v>1304</v>
      </c>
      <c r="B2125">
        <v>3</v>
      </c>
      <c r="C2125" s="3">
        <v>46279</v>
      </c>
      <c r="D2125" t="s">
        <v>108</v>
      </c>
      <c r="E2125" t="s">
        <v>119</v>
      </c>
      <c r="F2125" t="s">
        <v>77</v>
      </c>
      <c r="G2125" t="s">
        <v>50</v>
      </c>
      <c r="H2125" t="s">
        <v>82</v>
      </c>
      <c r="I2125">
        <v>1</v>
      </c>
      <c r="J2125" s="4">
        <v>9099.69</v>
      </c>
      <c r="K2125" s="5">
        <v>0.1</v>
      </c>
      <c r="L2125" s="4">
        <v>6981.94</v>
      </c>
      <c r="M2125" t="s">
        <v>42</v>
      </c>
      <c r="N2125" t="s">
        <v>43</v>
      </c>
      <c r="O2125">
        <f>IF(TablaVentas[[#This Row],[Precio_unitario]]="","PENDIENTE",TablaVentas[[#This Row],[Unidades]]*TablaVentas[[#This Row],[Precio_unitario]]*(1-TablaVentas[[#This Row],[Descuento_pct]]))</f>
        <v>8189.7210000000005</v>
      </c>
      <c r="P2125">
        <f>IF(TablaVentas[[#This Row],[Costo_unitario]]="","PENDIENTE",TablaVentas[[#This Row],[Unidades]]*TablaVentas[[#This Row],[Costo_unitario]])</f>
        <v>6981.94</v>
      </c>
      <c r="Q2125">
        <f>IF(OR(TablaVentas[[#This Row],[Ingreso_neto]]="PENDIENTE",TablaVentas[[#This Row],[Costo_total]]="PENDIENTE"),"PENDIENTE",TablaVentas[[#This Row],[Ingreso_neto]]-TablaVentas[[#This Row],[Costo_total]])</f>
        <v>1207.7810000000009</v>
      </c>
    </row>
    <row r="2126" spans="1:17">
      <c r="A2126" t="s">
        <v>1304</v>
      </c>
      <c r="B2126">
        <v>4</v>
      </c>
      <c r="C2126" s="3">
        <v>46279</v>
      </c>
      <c r="D2126" t="s">
        <v>108</v>
      </c>
      <c r="E2126" t="s">
        <v>103</v>
      </c>
      <c r="F2126" t="s">
        <v>77</v>
      </c>
      <c r="G2126" t="s">
        <v>50</v>
      </c>
      <c r="H2126" t="s">
        <v>82</v>
      </c>
      <c r="I2126">
        <v>1</v>
      </c>
      <c r="J2126" s="4">
        <v>13260.96</v>
      </c>
      <c r="K2126" s="5">
        <v>0.05</v>
      </c>
      <c r="L2126" s="4">
        <v>7549.71</v>
      </c>
      <c r="M2126" t="s">
        <v>62</v>
      </c>
      <c r="N2126" t="s">
        <v>45</v>
      </c>
      <c r="O2126">
        <f>IF(TablaVentas[[#This Row],[Precio_unitario]]="","PENDIENTE",TablaVentas[[#This Row],[Unidades]]*TablaVentas[[#This Row],[Precio_unitario]]*(1-TablaVentas[[#This Row],[Descuento_pct]]))</f>
        <v>12597.911999999998</v>
      </c>
      <c r="P2126">
        <f>IF(TablaVentas[[#This Row],[Costo_unitario]]="","PENDIENTE",TablaVentas[[#This Row],[Unidades]]*TablaVentas[[#This Row],[Costo_unitario]])</f>
        <v>7549.71</v>
      </c>
      <c r="Q2126">
        <f>IF(OR(TablaVentas[[#This Row],[Ingreso_neto]]="PENDIENTE",TablaVentas[[#This Row],[Costo_total]]="PENDIENTE"),"PENDIENTE",TablaVentas[[#This Row],[Ingreso_neto]]-TablaVentas[[#This Row],[Costo_total]])</f>
        <v>5048.2019999999984</v>
      </c>
    </row>
    <row r="2127" spans="1:17">
      <c r="A2127" t="s">
        <v>1305</v>
      </c>
      <c r="B2127">
        <v>1</v>
      </c>
      <c r="C2127" s="3">
        <v>46061</v>
      </c>
      <c r="D2127" t="s">
        <v>394</v>
      </c>
      <c r="E2127" t="s">
        <v>119</v>
      </c>
      <c r="F2127" t="s">
        <v>56</v>
      </c>
      <c r="G2127" t="s">
        <v>50</v>
      </c>
      <c r="H2127" t="s">
        <v>67</v>
      </c>
      <c r="I2127">
        <v>2</v>
      </c>
      <c r="J2127" s="4">
        <v>8541.2900000000009</v>
      </c>
      <c r="K2127" s="5">
        <v>0</v>
      </c>
      <c r="L2127" s="4">
        <v>6981.94</v>
      </c>
      <c r="M2127" t="s">
        <v>42</v>
      </c>
      <c r="N2127" t="s">
        <v>43</v>
      </c>
      <c r="O2127">
        <f>IF(TablaVentas[[#This Row],[Precio_unitario]]="","PENDIENTE",TablaVentas[[#This Row],[Unidades]]*TablaVentas[[#This Row],[Precio_unitario]]*(1-TablaVentas[[#This Row],[Descuento_pct]]))</f>
        <v>17082.580000000002</v>
      </c>
      <c r="P2127">
        <f>IF(TablaVentas[[#This Row],[Costo_unitario]]="","PENDIENTE",TablaVentas[[#This Row],[Unidades]]*TablaVentas[[#This Row],[Costo_unitario]])</f>
        <v>13963.88</v>
      </c>
      <c r="Q2127">
        <f>IF(OR(TablaVentas[[#This Row],[Ingreso_neto]]="PENDIENTE",TablaVentas[[#This Row],[Costo_total]]="PENDIENTE"),"PENDIENTE",TablaVentas[[#This Row],[Ingreso_neto]]-TablaVentas[[#This Row],[Costo_total]])</f>
        <v>3118.7000000000025</v>
      </c>
    </row>
    <row r="2128" spans="1:17">
      <c r="A2128" t="s">
        <v>1305</v>
      </c>
      <c r="B2128">
        <v>2</v>
      </c>
      <c r="C2128" s="3">
        <v>46061</v>
      </c>
      <c r="D2128" t="s">
        <v>394</v>
      </c>
      <c r="E2128" t="s">
        <v>277</v>
      </c>
      <c r="F2128" t="s">
        <v>56</v>
      </c>
      <c r="G2128" t="s">
        <v>50</v>
      </c>
      <c r="H2128" t="s">
        <v>67</v>
      </c>
      <c r="I2128">
        <v>3</v>
      </c>
      <c r="J2128" s="4">
        <v>6095.49</v>
      </c>
      <c r="K2128" s="5">
        <v>0.2</v>
      </c>
      <c r="L2128" s="4">
        <v>4858.08</v>
      </c>
      <c r="M2128" t="s">
        <v>42</v>
      </c>
      <c r="N2128" t="s">
        <v>60</v>
      </c>
      <c r="O2128">
        <f>IF(TablaVentas[[#This Row],[Precio_unitario]]="","PENDIENTE",TablaVentas[[#This Row],[Unidades]]*TablaVentas[[#This Row],[Precio_unitario]]*(1-TablaVentas[[#This Row],[Descuento_pct]]))</f>
        <v>14629.176000000001</v>
      </c>
      <c r="P2128">
        <f>IF(TablaVentas[[#This Row],[Costo_unitario]]="","PENDIENTE",TablaVentas[[#This Row],[Unidades]]*TablaVentas[[#This Row],[Costo_unitario]])</f>
        <v>14574.24</v>
      </c>
      <c r="Q2128">
        <f>IF(OR(TablaVentas[[#This Row],[Ingreso_neto]]="PENDIENTE",TablaVentas[[#This Row],[Costo_total]]="PENDIENTE"),"PENDIENTE",TablaVentas[[#This Row],[Ingreso_neto]]-TablaVentas[[#This Row],[Costo_total]])</f>
        <v>54.936000000001513</v>
      </c>
    </row>
    <row r="2129" spans="1:17">
      <c r="A2129" t="s">
        <v>1306</v>
      </c>
      <c r="B2129">
        <v>1</v>
      </c>
      <c r="C2129" s="3">
        <v>46042</v>
      </c>
      <c r="D2129" t="s">
        <v>770</v>
      </c>
      <c r="E2129" t="s">
        <v>119</v>
      </c>
      <c r="F2129" t="s">
        <v>39</v>
      </c>
      <c r="G2129" t="s">
        <v>50</v>
      </c>
      <c r="H2129" t="s">
        <v>129</v>
      </c>
      <c r="I2129">
        <v>8</v>
      </c>
      <c r="J2129" s="4">
        <v>8907.7000000000007</v>
      </c>
      <c r="K2129" s="5">
        <v>0.1</v>
      </c>
      <c r="L2129" s="4">
        <v>6981.94</v>
      </c>
      <c r="M2129" t="s">
        <v>42</v>
      </c>
      <c r="N2129" t="s">
        <v>43</v>
      </c>
      <c r="O2129">
        <f>IF(TablaVentas[[#This Row],[Precio_unitario]]="","PENDIENTE",TablaVentas[[#This Row],[Unidades]]*TablaVentas[[#This Row],[Precio_unitario]]*(1-TablaVentas[[#This Row],[Descuento_pct]]))</f>
        <v>64135.44000000001</v>
      </c>
      <c r="P2129">
        <f>IF(TablaVentas[[#This Row],[Costo_unitario]]="","PENDIENTE",TablaVentas[[#This Row],[Unidades]]*TablaVentas[[#This Row],[Costo_unitario]])</f>
        <v>55855.519999999997</v>
      </c>
      <c r="Q2129">
        <f>IF(OR(TablaVentas[[#This Row],[Ingreso_neto]]="PENDIENTE",TablaVentas[[#This Row],[Costo_total]]="PENDIENTE"),"PENDIENTE",TablaVentas[[#This Row],[Ingreso_neto]]-TablaVentas[[#This Row],[Costo_total]])</f>
        <v>8279.9200000000128</v>
      </c>
    </row>
    <row r="2130" spans="1:17">
      <c r="A2130" t="s">
        <v>1306</v>
      </c>
      <c r="B2130">
        <v>2</v>
      </c>
      <c r="C2130" s="3">
        <v>46042</v>
      </c>
      <c r="D2130" t="s">
        <v>770</v>
      </c>
      <c r="E2130" t="s">
        <v>110</v>
      </c>
      <c r="F2130" t="s">
        <v>39</v>
      </c>
      <c r="G2130" t="s">
        <v>50</v>
      </c>
      <c r="H2130" t="s">
        <v>129</v>
      </c>
      <c r="I2130">
        <v>1</v>
      </c>
      <c r="J2130" s="4">
        <v>5019.8500000000004</v>
      </c>
      <c r="K2130" s="5">
        <v>0.1</v>
      </c>
      <c r="L2130" s="4">
        <v>4205.6899999999996</v>
      </c>
      <c r="M2130" t="s">
        <v>62</v>
      </c>
      <c r="N2130" t="s">
        <v>45</v>
      </c>
      <c r="O2130">
        <f>IF(TablaVentas[[#This Row],[Precio_unitario]]="","PENDIENTE",TablaVentas[[#This Row],[Unidades]]*TablaVentas[[#This Row],[Precio_unitario]]*(1-TablaVentas[[#This Row],[Descuento_pct]]))</f>
        <v>4517.8650000000007</v>
      </c>
      <c r="P2130">
        <f>IF(TablaVentas[[#This Row],[Costo_unitario]]="","PENDIENTE",TablaVentas[[#This Row],[Unidades]]*TablaVentas[[#This Row],[Costo_unitario]])</f>
        <v>4205.6899999999996</v>
      </c>
      <c r="Q2130">
        <f>IF(OR(TablaVentas[[#This Row],[Ingreso_neto]]="PENDIENTE",TablaVentas[[#This Row],[Costo_total]]="PENDIENTE"),"PENDIENTE",TablaVentas[[#This Row],[Ingreso_neto]]-TablaVentas[[#This Row],[Costo_total]])</f>
        <v>312.17500000000109</v>
      </c>
    </row>
    <row r="2131" spans="1:17">
      <c r="A2131" t="s">
        <v>1306</v>
      </c>
      <c r="B2131">
        <v>3</v>
      </c>
      <c r="C2131" s="3">
        <v>46042</v>
      </c>
      <c r="D2131" t="s">
        <v>770</v>
      </c>
      <c r="E2131" t="s">
        <v>113</v>
      </c>
      <c r="F2131" t="s">
        <v>39</v>
      </c>
      <c r="G2131" t="s">
        <v>50</v>
      </c>
      <c r="H2131" t="s">
        <v>129</v>
      </c>
      <c r="I2131">
        <v>2</v>
      </c>
      <c r="J2131" s="4">
        <v>3190.41</v>
      </c>
      <c r="K2131" s="5">
        <v>0.05</v>
      </c>
      <c r="L2131" s="4">
        <v>2196.34</v>
      </c>
      <c r="M2131" t="s">
        <v>42</v>
      </c>
      <c r="N2131" t="s">
        <v>43</v>
      </c>
      <c r="O2131">
        <f>IF(TablaVentas[[#This Row],[Precio_unitario]]="","PENDIENTE",TablaVentas[[#This Row],[Unidades]]*TablaVentas[[#This Row],[Precio_unitario]]*(1-TablaVentas[[#This Row],[Descuento_pct]]))</f>
        <v>6061.7789999999995</v>
      </c>
      <c r="P2131">
        <f>IF(TablaVentas[[#This Row],[Costo_unitario]]="","PENDIENTE",TablaVentas[[#This Row],[Unidades]]*TablaVentas[[#This Row],[Costo_unitario]])</f>
        <v>4392.68</v>
      </c>
      <c r="Q2131">
        <f>IF(OR(TablaVentas[[#This Row],[Ingreso_neto]]="PENDIENTE",TablaVentas[[#This Row],[Costo_total]]="PENDIENTE"),"PENDIENTE",TablaVentas[[#This Row],[Ingreso_neto]]-TablaVentas[[#This Row],[Costo_total]])</f>
        <v>1669.0989999999993</v>
      </c>
    </row>
    <row r="2132" spans="1:17">
      <c r="A2132" t="s">
        <v>1307</v>
      </c>
      <c r="B2132">
        <v>1</v>
      </c>
      <c r="C2132" s="3">
        <v>46140</v>
      </c>
      <c r="D2132" t="s">
        <v>314</v>
      </c>
      <c r="E2132" t="s">
        <v>271</v>
      </c>
      <c r="F2132" t="s">
        <v>39</v>
      </c>
      <c r="G2132" t="s">
        <v>50</v>
      </c>
      <c r="H2132" t="s">
        <v>51</v>
      </c>
      <c r="I2132">
        <v>1</v>
      </c>
      <c r="J2132" s="4">
        <v>1139.31</v>
      </c>
      <c r="K2132" s="5">
        <v>0</v>
      </c>
      <c r="L2132" s="4">
        <v>759.03</v>
      </c>
      <c r="M2132" t="s">
        <v>42</v>
      </c>
      <c r="N2132" t="s">
        <v>45</v>
      </c>
      <c r="O2132">
        <f>IF(TablaVentas[[#This Row],[Precio_unitario]]="","PENDIENTE",TablaVentas[[#This Row],[Unidades]]*TablaVentas[[#This Row],[Precio_unitario]]*(1-TablaVentas[[#This Row],[Descuento_pct]]))</f>
        <v>1139.31</v>
      </c>
      <c r="P2132">
        <f>IF(TablaVentas[[#This Row],[Costo_unitario]]="","PENDIENTE",TablaVentas[[#This Row],[Unidades]]*TablaVentas[[#This Row],[Costo_unitario]])</f>
        <v>759.03</v>
      </c>
      <c r="Q2132">
        <f>IF(OR(TablaVentas[[#This Row],[Ingreso_neto]]="PENDIENTE",TablaVentas[[#This Row],[Costo_total]]="PENDIENTE"),"PENDIENTE",TablaVentas[[#This Row],[Ingreso_neto]]-TablaVentas[[#This Row],[Costo_total]])</f>
        <v>380.28</v>
      </c>
    </row>
    <row r="2133" spans="1:17">
      <c r="A2133" t="s">
        <v>1307</v>
      </c>
      <c r="B2133">
        <v>2</v>
      </c>
      <c r="C2133" s="3">
        <v>46140</v>
      </c>
      <c r="D2133" t="s">
        <v>314</v>
      </c>
      <c r="E2133" t="s">
        <v>410</v>
      </c>
      <c r="F2133" t="s">
        <v>39</v>
      </c>
      <c r="G2133" t="s">
        <v>50</v>
      </c>
      <c r="H2133" t="s">
        <v>51</v>
      </c>
      <c r="I2133">
        <v>2</v>
      </c>
      <c r="J2133" s="4">
        <v>7697.94</v>
      </c>
      <c r="K2133" s="5">
        <v>0.15</v>
      </c>
      <c r="L2133" s="4">
        <v>5874.17</v>
      </c>
      <c r="M2133" t="s">
        <v>116</v>
      </c>
      <c r="N2133" t="s">
        <v>60</v>
      </c>
      <c r="O2133">
        <f>IF(TablaVentas[[#This Row],[Precio_unitario]]="","PENDIENTE",TablaVentas[[#This Row],[Unidades]]*TablaVentas[[#This Row],[Precio_unitario]]*(1-TablaVentas[[#This Row],[Descuento_pct]]))</f>
        <v>13086.498</v>
      </c>
      <c r="P2133">
        <f>IF(TablaVentas[[#This Row],[Costo_unitario]]="","PENDIENTE",TablaVentas[[#This Row],[Unidades]]*TablaVentas[[#This Row],[Costo_unitario]])</f>
        <v>11748.34</v>
      </c>
      <c r="Q2133">
        <f>IF(OR(TablaVentas[[#This Row],[Ingreso_neto]]="PENDIENTE",TablaVentas[[#This Row],[Costo_total]]="PENDIENTE"),"PENDIENTE",TablaVentas[[#This Row],[Ingreso_neto]]-TablaVentas[[#This Row],[Costo_total]])</f>
        <v>1338.1579999999994</v>
      </c>
    </row>
    <row r="2134" spans="1:17">
      <c r="A2134" t="s">
        <v>1308</v>
      </c>
      <c r="B2134">
        <v>1</v>
      </c>
      <c r="C2134" s="3">
        <v>46255</v>
      </c>
      <c r="D2134" t="s">
        <v>191</v>
      </c>
      <c r="E2134" t="s">
        <v>277</v>
      </c>
      <c r="F2134" t="s">
        <v>77</v>
      </c>
      <c r="G2134" t="s">
        <v>50</v>
      </c>
      <c r="H2134" t="s">
        <v>82</v>
      </c>
      <c r="I2134">
        <v>8</v>
      </c>
      <c r="J2134" s="4">
        <v>7207</v>
      </c>
      <c r="K2134" s="5">
        <v>0</v>
      </c>
      <c r="L2134" s="4">
        <v>4858.08</v>
      </c>
      <c r="M2134" t="s">
        <v>42</v>
      </c>
      <c r="N2134" t="s">
        <v>43</v>
      </c>
      <c r="O2134">
        <f>IF(TablaVentas[[#This Row],[Precio_unitario]]="","PENDIENTE",TablaVentas[[#This Row],[Unidades]]*TablaVentas[[#This Row],[Precio_unitario]]*(1-TablaVentas[[#This Row],[Descuento_pct]]))</f>
        <v>57656</v>
      </c>
      <c r="P2134">
        <f>IF(TablaVentas[[#This Row],[Costo_unitario]]="","PENDIENTE",TablaVentas[[#This Row],[Unidades]]*TablaVentas[[#This Row],[Costo_unitario]])</f>
        <v>38864.639999999999</v>
      </c>
      <c r="Q2134">
        <f>IF(OR(TablaVentas[[#This Row],[Ingreso_neto]]="PENDIENTE",TablaVentas[[#This Row],[Costo_total]]="PENDIENTE"),"PENDIENTE",TablaVentas[[#This Row],[Ingreso_neto]]-TablaVentas[[#This Row],[Costo_total]])</f>
        <v>18791.36</v>
      </c>
    </row>
    <row r="2135" spans="1:17">
      <c r="A2135" t="s">
        <v>1309</v>
      </c>
      <c r="B2135">
        <v>1</v>
      </c>
      <c r="C2135" s="3">
        <v>46205</v>
      </c>
      <c r="D2135" t="s">
        <v>1310</v>
      </c>
      <c r="E2135" t="s">
        <v>321</v>
      </c>
      <c r="F2135" t="s">
        <v>56</v>
      </c>
      <c r="G2135" t="s">
        <v>50</v>
      </c>
      <c r="H2135" t="s">
        <v>184</v>
      </c>
      <c r="I2135">
        <v>3</v>
      </c>
      <c r="J2135" s="4">
        <v>1227.03</v>
      </c>
      <c r="K2135" s="5">
        <v>0</v>
      </c>
      <c r="L2135" s="4">
        <v>679.37</v>
      </c>
      <c r="M2135" t="s">
        <v>42</v>
      </c>
      <c r="N2135" t="s">
        <v>52</v>
      </c>
      <c r="O2135">
        <f>IF(TablaVentas[[#This Row],[Precio_unitario]]="","PENDIENTE",TablaVentas[[#This Row],[Unidades]]*TablaVentas[[#This Row],[Precio_unitario]]*(1-TablaVentas[[#This Row],[Descuento_pct]]))</f>
        <v>3681.09</v>
      </c>
      <c r="P2135">
        <f>IF(TablaVentas[[#This Row],[Costo_unitario]]="","PENDIENTE",TablaVentas[[#This Row],[Unidades]]*TablaVentas[[#This Row],[Costo_unitario]])</f>
        <v>2038.1100000000001</v>
      </c>
      <c r="Q2135">
        <f>IF(OR(TablaVentas[[#This Row],[Ingreso_neto]]="PENDIENTE",TablaVentas[[#This Row],[Costo_total]]="PENDIENTE"),"PENDIENTE",TablaVentas[[#This Row],[Ingreso_neto]]-TablaVentas[[#This Row],[Costo_total]])</f>
        <v>1642.98</v>
      </c>
    </row>
    <row r="2136" spans="1:17">
      <c r="A2136" t="s">
        <v>1309</v>
      </c>
      <c r="B2136">
        <v>2</v>
      </c>
      <c r="C2136" s="3">
        <v>46205</v>
      </c>
      <c r="D2136" t="s">
        <v>1310</v>
      </c>
      <c r="E2136" t="s">
        <v>76</v>
      </c>
      <c r="F2136" t="s">
        <v>56</v>
      </c>
      <c r="G2136" t="s">
        <v>50</v>
      </c>
      <c r="H2136" t="s">
        <v>184</v>
      </c>
      <c r="I2136">
        <v>1</v>
      </c>
      <c r="J2136" s="4">
        <v>14207.97</v>
      </c>
      <c r="K2136" s="5">
        <v>0</v>
      </c>
      <c r="L2136" s="4">
        <v>7748.44</v>
      </c>
      <c r="M2136" t="s">
        <v>42</v>
      </c>
      <c r="N2136" t="s">
        <v>52</v>
      </c>
      <c r="O2136">
        <f>IF(TablaVentas[[#This Row],[Precio_unitario]]="","PENDIENTE",TablaVentas[[#This Row],[Unidades]]*TablaVentas[[#This Row],[Precio_unitario]]*(1-TablaVentas[[#This Row],[Descuento_pct]]))</f>
        <v>14207.97</v>
      </c>
      <c r="P2136">
        <f>IF(TablaVentas[[#This Row],[Costo_unitario]]="","PENDIENTE",TablaVentas[[#This Row],[Unidades]]*TablaVentas[[#This Row],[Costo_unitario]])</f>
        <v>7748.44</v>
      </c>
      <c r="Q2136">
        <f>IF(OR(TablaVentas[[#This Row],[Ingreso_neto]]="PENDIENTE",TablaVentas[[#This Row],[Costo_total]]="PENDIENTE"),"PENDIENTE",TablaVentas[[#This Row],[Ingreso_neto]]-TablaVentas[[#This Row],[Costo_total]])</f>
        <v>6459.53</v>
      </c>
    </row>
    <row r="2137" spans="1:17">
      <c r="A2137" t="s">
        <v>1309</v>
      </c>
      <c r="B2137">
        <v>3</v>
      </c>
      <c r="C2137" s="3">
        <v>46205</v>
      </c>
      <c r="D2137" t="s">
        <v>1310</v>
      </c>
      <c r="E2137" t="s">
        <v>193</v>
      </c>
      <c r="F2137" t="s">
        <v>56</v>
      </c>
      <c r="G2137" t="s">
        <v>50</v>
      </c>
      <c r="H2137" t="s">
        <v>184</v>
      </c>
      <c r="I2137">
        <v>1</v>
      </c>
      <c r="J2137" s="4">
        <v>10861.35</v>
      </c>
      <c r="K2137" s="5">
        <v>0.1</v>
      </c>
      <c r="L2137" s="4">
        <v>5811.72</v>
      </c>
      <c r="M2137" t="s">
        <v>42</v>
      </c>
      <c r="N2137" t="s">
        <v>60</v>
      </c>
      <c r="O2137">
        <f>IF(TablaVentas[[#This Row],[Precio_unitario]]="","PENDIENTE",TablaVentas[[#This Row],[Unidades]]*TablaVentas[[#This Row],[Precio_unitario]]*(1-TablaVentas[[#This Row],[Descuento_pct]]))</f>
        <v>9775.2150000000001</v>
      </c>
      <c r="P2137">
        <f>IF(TablaVentas[[#This Row],[Costo_unitario]]="","PENDIENTE",TablaVentas[[#This Row],[Unidades]]*TablaVentas[[#This Row],[Costo_unitario]])</f>
        <v>5811.72</v>
      </c>
      <c r="Q2137">
        <f>IF(OR(TablaVentas[[#This Row],[Ingreso_neto]]="PENDIENTE",TablaVentas[[#This Row],[Costo_total]]="PENDIENTE"),"PENDIENTE",TablaVentas[[#This Row],[Ingreso_neto]]-TablaVentas[[#This Row],[Costo_total]])</f>
        <v>3963.4949999999999</v>
      </c>
    </row>
    <row r="2138" spans="1:17">
      <c r="A2138" t="s">
        <v>1311</v>
      </c>
      <c r="B2138">
        <v>1</v>
      </c>
      <c r="C2138" s="3">
        <v>46228</v>
      </c>
      <c r="D2138" t="s">
        <v>1042</v>
      </c>
      <c r="E2138" t="s">
        <v>321</v>
      </c>
      <c r="F2138" t="s">
        <v>66</v>
      </c>
      <c r="G2138" t="s">
        <v>40</v>
      </c>
      <c r="H2138" t="s">
        <v>82</v>
      </c>
      <c r="I2138">
        <v>12</v>
      </c>
      <c r="J2138" s="4">
        <v>1323.07</v>
      </c>
      <c r="K2138" s="5">
        <v>0</v>
      </c>
      <c r="L2138" s="4">
        <v>679.37</v>
      </c>
      <c r="M2138" t="s">
        <v>62</v>
      </c>
      <c r="N2138" t="s">
        <v>43</v>
      </c>
      <c r="O2138">
        <f>IF(TablaVentas[[#This Row],[Precio_unitario]]="","PENDIENTE",TablaVentas[[#This Row],[Unidades]]*TablaVentas[[#This Row],[Precio_unitario]]*(1-TablaVentas[[#This Row],[Descuento_pct]]))</f>
        <v>15876.84</v>
      </c>
      <c r="P2138">
        <f>IF(TablaVentas[[#This Row],[Costo_unitario]]="","PENDIENTE",TablaVentas[[#This Row],[Unidades]]*TablaVentas[[#This Row],[Costo_unitario]])</f>
        <v>8152.4400000000005</v>
      </c>
      <c r="Q2138">
        <f>IF(OR(TablaVentas[[#This Row],[Ingreso_neto]]="PENDIENTE",TablaVentas[[#This Row],[Costo_total]]="PENDIENTE"),"PENDIENTE",TablaVentas[[#This Row],[Ingreso_neto]]-TablaVentas[[#This Row],[Costo_total]])</f>
        <v>7724.4</v>
      </c>
    </row>
    <row r="2139" spans="1:17">
      <c r="A2139" t="s">
        <v>1312</v>
      </c>
      <c r="B2139">
        <v>1</v>
      </c>
      <c r="C2139" s="3">
        <v>46027</v>
      </c>
      <c r="D2139" t="s">
        <v>550</v>
      </c>
      <c r="E2139" t="s">
        <v>106</v>
      </c>
      <c r="F2139" t="s">
        <v>56</v>
      </c>
      <c r="G2139" t="s">
        <v>50</v>
      </c>
      <c r="H2139" t="s">
        <v>184</v>
      </c>
      <c r="I2139">
        <v>3</v>
      </c>
      <c r="J2139" s="4">
        <v>10295.709999999999</v>
      </c>
      <c r="K2139" s="5">
        <v>0</v>
      </c>
      <c r="L2139" s="4">
        <v>8276.74</v>
      </c>
      <c r="M2139" t="s">
        <v>116</v>
      </c>
      <c r="N2139" t="s">
        <v>52</v>
      </c>
      <c r="O2139">
        <f>IF(TablaVentas[[#This Row],[Precio_unitario]]="","PENDIENTE",TablaVentas[[#This Row],[Unidades]]*TablaVentas[[#This Row],[Precio_unitario]]*(1-TablaVentas[[#This Row],[Descuento_pct]]))</f>
        <v>30887.129999999997</v>
      </c>
      <c r="P2139">
        <f>IF(TablaVentas[[#This Row],[Costo_unitario]]="","PENDIENTE",TablaVentas[[#This Row],[Unidades]]*TablaVentas[[#This Row],[Costo_unitario]])</f>
        <v>24830.22</v>
      </c>
      <c r="Q2139">
        <f>IF(OR(TablaVentas[[#This Row],[Ingreso_neto]]="PENDIENTE",TablaVentas[[#This Row],[Costo_total]]="PENDIENTE"),"PENDIENTE",TablaVentas[[#This Row],[Ingreso_neto]]-TablaVentas[[#This Row],[Costo_total]])</f>
        <v>6056.9099999999962</v>
      </c>
    </row>
    <row r="2140" spans="1:17">
      <c r="A2140" t="s">
        <v>1312</v>
      </c>
      <c r="B2140">
        <v>2</v>
      </c>
      <c r="C2140" s="3">
        <v>46027</v>
      </c>
      <c r="D2140" t="s">
        <v>550</v>
      </c>
      <c r="E2140" t="s">
        <v>212</v>
      </c>
      <c r="F2140" t="s">
        <v>56</v>
      </c>
      <c r="G2140" t="s">
        <v>50</v>
      </c>
      <c r="H2140" t="s">
        <v>184</v>
      </c>
      <c r="I2140">
        <v>1</v>
      </c>
      <c r="J2140" s="4">
        <v>3925.08</v>
      </c>
      <c r="K2140" s="5">
        <v>0.2</v>
      </c>
      <c r="L2140" s="4">
        <v>2157.5500000000002</v>
      </c>
      <c r="M2140" t="s">
        <v>42</v>
      </c>
      <c r="N2140" t="s">
        <v>52</v>
      </c>
      <c r="O2140">
        <f>IF(TablaVentas[[#This Row],[Precio_unitario]]="","PENDIENTE",TablaVentas[[#This Row],[Unidades]]*TablaVentas[[#This Row],[Precio_unitario]]*(1-TablaVentas[[#This Row],[Descuento_pct]]))</f>
        <v>3140.0640000000003</v>
      </c>
      <c r="P2140">
        <f>IF(TablaVentas[[#This Row],[Costo_unitario]]="","PENDIENTE",TablaVentas[[#This Row],[Unidades]]*TablaVentas[[#This Row],[Costo_unitario]])</f>
        <v>2157.5500000000002</v>
      </c>
      <c r="Q2140">
        <f>IF(OR(TablaVentas[[#This Row],[Ingreso_neto]]="PENDIENTE",TablaVentas[[#This Row],[Costo_total]]="PENDIENTE"),"PENDIENTE",TablaVentas[[#This Row],[Ingreso_neto]]-TablaVentas[[#This Row],[Costo_total]])</f>
        <v>982.51400000000012</v>
      </c>
    </row>
    <row r="2141" spans="1:17">
      <c r="A2141" t="s">
        <v>1313</v>
      </c>
      <c r="B2141">
        <v>1</v>
      </c>
      <c r="C2141" s="3">
        <v>46206</v>
      </c>
      <c r="D2141" t="s">
        <v>54</v>
      </c>
      <c r="E2141" t="s">
        <v>273</v>
      </c>
      <c r="F2141" t="s">
        <v>66</v>
      </c>
      <c r="G2141" t="s">
        <v>50</v>
      </c>
      <c r="H2141" t="s">
        <v>67</v>
      </c>
      <c r="I2141">
        <v>1</v>
      </c>
      <c r="J2141" s="4">
        <v>1476.85</v>
      </c>
      <c r="K2141" s="5">
        <v>0</v>
      </c>
      <c r="L2141" s="4">
        <v>716.26</v>
      </c>
      <c r="M2141" t="s">
        <v>42</v>
      </c>
      <c r="N2141" t="s">
        <v>45</v>
      </c>
      <c r="O2141">
        <f>IF(TablaVentas[[#This Row],[Precio_unitario]]="","PENDIENTE",TablaVentas[[#This Row],[Unidades]]*TablaVentas[[#This Row],[Precio_unitario]]*(1-TablaVentas[[#This Row],[Descuento_pct]]))</f>
        <v>1476.85</v>
      </c>
      <c r="P2141">
        <f>IF(TablaVentas[[#This Row],[Costo_unitario]]="","PENDIENTE",TablaVentas[[#This Row],[Unidades]]*TablaVentas[[#This Row],[Costo_unitario]])</f>
        <v>716.26</v>
      </c>
      <c r="Q2141">
        <f>IF(OR(TablaVentas[[#This Row],[Ingreso_neto]]="PENDIENTE",TablaVentas[[#This Row],[Costo_total]]="PENDIENTE"),"PENDIENTE",TablaVentas[[#This Row],[Ingreso_neto]]-TablaVentas[[#This Row],[Costo_total]])</f>
        <v>760.58999999999992</v>
      </c>
    </row>
    <row r="2142" spans="1:17">
      <c r="A2142" t="s">
        <v>1313</v>
      </c>
      <c r="B2142">
        <v>2</v>
      </c>
      <c r="C2142" s="3">
        <v>46206</v>
      </c>
      <c r="D2142" t="s">
        <v>54</v>
      </c>
      <c r="E2142" t="s">
        <v>206</v>
      </c>
      <c r="F2142" t="s">
        <v>66</v>
      </c>
      <c r="G2142" t="s">
        <v>50</v>
      </c>
      <c r="H2142" t="s">
        <v>67</v>
      </c>
      <c r="I2142">
        <v>3</v>
      </c>
      <c r="J2142" s="4">
        <v>5924.12</v>
      </c>
      <c r="K2142" s="5">
        <v>0.15</v>
      </c>
      <c r="L2142" s="4">
        <v>4008.77</v>
      </c>
      <c r="M2142" t="s">
        <v>116</v>
      </c>
      <c r="N2142" t="s">
        <v>45</v>
      </c>
      <c r="O2142">
        <f>IF(TablaVentas[[#This Row],[Precio_unitario]]="","PENDIENTE",TablaVentas[[#This Row],[Unidades]]*TablaVentas[[#This Row],[Precio_unitario]]*(1-TablaVentas[[#This Row],[Descuento_pct]]))</f>
        <v>15106.505999999999</v>
      </c>
      <c r="P2142">
        <f>IF(TablaVentas[[#This Row],[Costo_unitario]]="","PENDIENTE",TablaVentas[[#This Row],[Unidades]]*TablaVentas[[#This Row],[Costo_unitario]])</f>
        <v>12026.31</v>
      </c>
      <c r="Q2142">
        <f>IF(OR(TablaVentas[[#This Row],[Ingreso_neto]]="PENDIENTE",TablaVentas[[#This Row],[Costo_total]]="PENDIENTE"),"PENDIENTE",TablaVentas[[#This Row],[Ingreso_neto]]-TablaVentas[[#This Row],[Costo_total]])</f>
        <v>3080.1959999999999</v>
      </c>
    </row>
    <row r="2143" spans="1:17">
      <c r="A2143" t="s">
        <v>1313</v>
      </c>
      <c r="B2143">
        <v>3</v>
      </c>
      <c r="C2143" s="3">
        <v>46206</v>
      </c>
      <c r="D2143" t="s">
        <v>54</v>
      </c>
      <c r="E2143" t="s">
        <v>167</v>
      </c>
      <c r="F2143" t="s">
        <v>66</v>
      </c>
      <c r="G2143" t="s">
        <v>50</v>
      </c>
      <c r="H2143" t="s">
        <v>67</v>
      </c>
      <c r="I2143">
        <v>2</v>
      </c>
      <c r="J2143" s="4">
        <v>17210.47</v>
      </c>
      <c r="K2143" s="5">
        <v>0</v>
      </c>
      <c r="L2143" s="4">
        <v>8704.4</v>
      </c>
      <c r="M2143" t="s">
        <v>42</v>
      </c>
      <c r="N2143" t="s">
        <v>60</v>
      </c>
      <c r="O2143">
        <f>IF(TablaVentas[[#This Row],[Precio_unitario]]="","PENDIENTE",TablaVentas[[#This Row],[Unidades]]*TablaVentas[[#This Row],[Precio_unitario]]*(1-TablaVentas[[#This Row],[Descuento_pct]]))</f>
        <v>34420.94</v>
      </c>
      <c r="P2143">
        <f>IF(TablaVentas[[#This Row],[Costo_unitario]]="","PENDIENTE",TablaVentas[[#This Row],[Unidades]]*TablaVentas[[#This Row],[Costo_unitario]])</f>
        <v>17408.8</v>
      </c>
      <c r="Q2143">
        <f>IF(OR(TablaVentas[[#This Row],[Ingreso_neto]]="PENDIENTE",TablaVentas[[#This Row],[Costo_total]]="PENDIENTE"),"PENDIENTE",TablaVentas[[#This Row],[Ingreso_neto]]-TablaVentas[[#This Row],[Costo_total]])</f>
        <v>17012.140000000003</v>
      </c>
    </row>
    <row r="2144" spans="1:17">
      <c r="A2144" t="s">
        <v>1313</v>
      </c>
      <c r="B2144">
        <v>4</v>
      </c>
      <c r="C2144" s="3">
        <v>46206</v>
      </c>
      <c r="D2144" t="s">
        <v>54</v>
      </c>
      <c r="E2144" t="s">
        <v>282</v>
      </c>
      <c r="F2144" t="s">
        <v>66</v>
      </c>
      <c r="G2144" t="s">
        <v>50</v>
      </c>
      <c r="H2144" t="s">
        <v>67</v>
      </c>
      <c r="I2144">
        <v>1</v>
      </c>
      <c r="J2144" s="4">
        <v>4018.6</v>
      </c>
      <c r="K2144" s="5">
        <v>0</v>
      </c>
      <c r="L2144" s="4">
        <v>3399.5</v>
      </c>
      <c r="M2144" t="s">
        <v>42</v>
      </c>
      <c r="N2144" t="s">
        <v>60</v>
      </c>
      <c r="O2144">
        <f>IF(TablaVentas[[#This Row],[Precio_unitario]]="","PENDIENTE",TablaVentas[[#This Row],[Unidades]]*TablaVentas[[#This Row],[Precio_unitario]]*(1-TablaVentas[[#This Row],[Descuento_pct]]))</f>
        <v>4018.6</v>
      </c>
      <c r="P2144">
        <f>IF(TablaVentas[[#This Row],[Costo_unitario]]="","PENDIENTE",TablaVentas[[#This Row],[Unidades]]*TablaVentas[[#This Row],[Costo_unitario]])</f>
        <v>3399.5</v>
      </c>
      <c r="Q2144">
        <f>IF(OR(TablaVentas[[#This Row],[Ingreso_neto]]="PENDIENTE",TablaVentas[[#This Row],[Costo_total]]="PENDIENTE"),"PENDIENTE",TablaVentas[[#This Row],[Ingreso_neto]]-TablaVentas[[#This Row],[Costo_total]])</f>
        <v>619.09999999999991</v>
      </c>
    </row>
    <row r="2145" spans="1:17">
      <c r="A2145" t="s">
        <v>1314</v>
      </c>
      <c r="B2145">
        <v>1</v>
      </c>
      <c r="C2145" s="3">
        <v>46196</v>
      </c>
      <c r="D2145" t="s">
        <v>300</v>
      </c>
      <c r="E2145" t="s">
        <v>83</v>
      </c>
      <c r="F2145" t="s">
        <v>39</v>
      </c>
      <c r="G2145" t="s">
        <v>50</v>
      </c>
      <c r="H2145" t="s">
        <v>58</v>
      </c>
      <c r="I2145">
        <v>1</v>
      </c>
      <c r="J2145" s="4">
        <v>14683.55</v>
      </c>
      <c r="K2145" s="5">
        <v>0.2</v>
      </c>
      <c r="L2145" s="4">
        <v>12723.77</v>
      </c>
      <c r="M2145" t="s">
        <v>42</v>
      </c>
      <c r="N2145" t="s">
        <v>52</v>
      </c>
      <c r="O2145">
        <f>IF(TablaVentas[[#This Row],[Precio_unitario]]="","PENDIENTE",TablaVentas[[#This Row],[Unidades]]*TablaVentas[[#This Row],[Precio_unitario]]*(1-TablaVentas[[#This Row],[Descuento_pct]]))</f>
        <v>11746.84</v>
      </c>
      <c r="P2145">
        <f>IF(TablaVentas[[#This Row],[Costo_unitario]]="","PENDIENTE",TablaVentas[[#This Row],[Unidades]]*TablaVentas[[#This Row],[Costo_unitario]])</f>
        <v>12723.77</v>
      </c>
      <c r="Q2145">
        <f>IF(OR(TablaVentas[[#This Row],[Ingreso_neto]]="PENDIENTE",TablaVentas[[#This Row],[Costo_total]]="PENDIENTE"),"PENDIENTE",TablaVentas[[#This Row],[Ingreso_neto]]-TablaVentas[[#This Row],[Costo_total]])</f>
        <v>-976.93000000000029</v>
      </c>
    </row>
    <row r="2146" spans="1:17">
      <c r="A2146" t="s">
        <v>1315</v>
      </c>
      <c r="B2146">
        <v>1</v>
      </c>
      <c r="C2146" s="3">
        <v>46042</v>
      </c>
      <c r="D2146" t="s">
        <v>255</v>
      </c>
      <c r="E2146" t="s">
        <v>125</v>
      </c>
      <c r="F2146" t="s">
        <v>56</v>
      </c>
      <c r="G2146" t="s">
        <v>50</v>
      </c>
      <c r="H2146" t="s">
        <v>184</v>
      </c>
      <c r="I2146">
        <v>3</v>
      </c>
      <c r="J2146" s="4">
        <v>1627.98</v>
      </c>
      <c r="K2146" s="5">
        <v>0</v>
      </c>
      <c r="L2146" s="4">
        <v>1044.32</v>
      </c>
      <c r="M2146" t="s">
        <v>42</v>
      </c>
      <c r="N2146" t="s">
        <v>60</v>
      </c>
      <c r="O2146">
        <f>IF(TablaVentas[[#This Row],[Precio_unitario]]="","PENDIENTE",TablaVentas[[#This Row],[Unidades]]*TablaVentas[[#This Row],[Precio_unitario]]*(1-TablaVentas[[#This Row],[Descuento_pct]]))</f>
        <v>4883.9400000000005</v>
      </c>
      <c r="P2146">
        <f>IF(TablaVentas[[#This Row],[Costo_unitario]]="","PENDIENTE",TablaVentas[[#This Row],[Unidades]]*TablaVentas[[#This Row],[Costo_unitario]])</f>
        <v>3132.96</v>
      </c>
      <c r="Q2146">
        <f>IF(OR(TablaVentas[[#This Row],[Ingreso_neto]]="PENDIENTE",TablaVentas[[#This Row],[Costo_total]]="PENDIENTE"),"PENDIENTE",TablaVentas[[#This Row],[Ingreso_neto]]-TablaVentas[[#This Row],[Costo_total]])</f>
        <v>1750.9800000000005</v>
      </c>
    </row>
    <row r="2147" spans="1:17">
      <c r="A2147" t="s">
        <v>1315</v>
      </c>
      <c r="B2147">
        <v>2</v>
      </c>
      <c r="C2147" s="3">
        <v>46042</v>
      </c>
      <c r="D2147" t="s">
        <v>255</v>
      </c>
      <c r="E2147" t="s">
        <v>367</v>
      </c>
      <c r="F2147" t="s">
        <v>56</v>
      </c>
      <c r="G2147" t="s">
        <v>50</v>
      </c>
      <c r="H2147" t="s">
        <v>184</v>
      </c>
      <c r="I2147">
        <v>5</v>
      </c>
      <c r="J2147" s="4">
        <v>9245.6200000000008</v>
      </c>
      <c r="K2147" s="5">
        <v>0.05</v>
      </c>
      <c r="L2147" s="4">
        <v>5079.43</v>
      </c>
      <c r="M2147" t="s">
        <v>42</v>
      </c>
      <c r="N2147" t="s">
        <v>60</v>
      </c>
      <c r="O2147">
        <f>IF(TablaVentas[[#This Row],[Precio_unitario]]="","PENDIENTE",TablaVentas[[#This Row],[Unidades]]*TablaVentas[[#This Row],[Precio_unitario]]*(1-TablaVentas[[#This Row],[Descuento_pct]]))</f>
        <v>43916.695000000007</v>
      </c>
      <c r="P2147">
        <f>IF(TablaVentas[[#This Row],[Costo_unitario]]="","PENDIENTE",TablaVentas[[#This Row],[Unidades]]*TablaVentas[[#This Row],[Costo_unitario]])</f>
        <v>25397.15</v>
      </c>
      <c r="Q2147">
        <f>IF(OR(TablaVentas[[#This Row],[Ingreso_neto]]="PENDIENTE",TablaVentas[[#This Row],[Costo_total]]="PENDIENTE"),"PENDIENTE",TablaVentas[[#This Row],[Ingreso_neto]]-TablaVentas[[#This Row],[Costo_total]])</f>
        <v>18519.545000000006</v>
      </c>
    </row>
    <row r="2148" spans="1:17">
      <c r="A2148" t="s">
        <v>1316</v>
      </c>
      <c r="B2148">
        <v>1</v>
      </c>
      <c r="C2148" s="3">
        <v>46097</v>
      </c>
      <c r="D2148" t="s">
        <v>242</v>
      </c>
      <c r="E2148" t="s">
        <v>403</v>
      </c>
      <c r="F2148" t="s">
        <v>56</v>
      </c>
      <c r="G2148" t="s">
        <v>50</v>
      </c>
      <c r="H2148" t="s">
        <v>102</v>
      </c>
      <c r="I2148">
        <v>2</v>
      </c>
      <c r="J2148" s="4">
        <v>2825.57</v>
      </c>
      <c r="K2148" s="5">
        <v>0</v>
      </c>
      <c r="L2148" s="4">
        <v>1801.83</v>
      </c>
      <c r="M2148" t="s">
        <v>42</v>
      </c>
      <c r="N2148" t="s">
        <v>43</v>
      </c>
      <c r="O2148">
        <f>IF(TablaVentas[[#This Row],[Precio_unitario]]="","PENDIENTE",TablaVentas[[#This Row],[Unidades]]*TablaVentas[[#This Row],[Precio_unitario]]*(1-TablaVentas[[#This Row],[Descuento_pct]]))</f>
        <v>5651.14</v>
      </c>
      <c r="P2148">
        <f>IF(TablaVentas[[#This Row],[Costo_unitario]]="","PENDIENTE",TablaVentas[[#This Row],[Unidades]]*TablaVentas[[#This Row],[Costo_unitario]])</f>
        <v>3603.66</v>
      </c>
      <c r="Q2148">
        <f>IF(OR(TablaVentas[[#This Row],[Ingreso_neto]]="PENDIENTE",TablaVentas[[#This Row],[Costo_total]]="PENDIENTE"),"PENDIENTE",TablaVentas[[#This Row],[Ingreso_neto]]-TablaVentas[[#This Row],[Costo_total]])</f>
        <v>2047.4800000000005</v>
      </c>
    </row>
    <row r="2149" spans="1:17">
      <c r="A2149" t="s">
        <v>1316</v>
      </c>
      <c r="B2149">
        <v>2</v>
      </c>
      <c r="C2149" s="3">
        <v>46097</v>
      </c>
      <c r="D2149" t="s">
        <v>242</v>
      </c>
      <c r="E2149" t="s">
        <v>151</v>
      </c>
      <c r="F2149" t="s">
        <v>56</v>
      </c>
      <c r="G2149" t="s">
        <v>50</v>
      </c>
      <c r="H2149" t="s">
        <v>102</v>
      </c>
      <c r="I2149">
        <v>1</v>
      </c>
      <c r="J2149" s="4">
        <v>16421.02</v>
      </c>
      <c r="K2149" s="5">
        <v>0.1</v>
      </c>
      <c r="L2149" s="4">
        <v>8963.23</v>
      </c>
      <c r="M2149" t="s">
        <v>42</v>
      </c>
      <c r="N2149" t="s">
        <v>52</v>
      </c>
      <c r="O2149">
        <f>IF(TablaVentas[[#This Row],[Precio_unitario]]="","PENDIENTE",TablaVentas[[#This Row],[Unidades]]*TablaVentas[[#This Row],[Precio_unitario]]*(1-TablaVentas[[#This Row],[Descuento_pct]]))</f>
        <v>14778.918000000001</v>
      </c>
      <c r="P2149">
        <f>IF(TablaVentas[[#This Row],[Costo_unitario]]="","PENDIENTE",TablaVentas[[#This Row],[Unidades]]*TablaVentas[[#This Row],[Costo_unitario]])</f>
        <v>8963.23</v>
      </c>
      <c r="Q2149">
        <f>IF(OR(TablaVentas[[#This Row],[Ingreso_neto]]="PENDIENTE",TablaVentas[[#This Row],[Costo_total]]="PENDIENTE"),"PENDIENTE",TablaVentas[[#This Row],[Ingreso_neto]]-TablaVentas[[#This Row],[Costo_total]])</f>
        <v>5815.6880000000019</v>
      </c>
    </row>
    <row r="2150" spans="1:17">
      <c r="A2150" t="s">
        <v>1316</v>
      </c>
      <c r="B2150">
        <v>3</v>
      </c>
      <c r="C2150" s="3">
        <v>46097</v>
      </c>
      <c r="D2150" t="s">
        <v>242</v>
      </c>
      <c r="E2150" t="s">
        <v>196</v>
      </c>
      <c r="F2150" t="s">
        <v>56</v>
      </c>
      <c r="G2150" t="s">
        <v>50</v>
      </c>
      <c r="H2150" t="s">
        <v>102</v>
      </c>
      <c r="I2150">
        <v>1</v>
      </c>
      <c r="J2150" s="4">
        <v>777.55</v>
      </c>
      <c r="K2150" s="5">
        <v>0.1</v>
      </c>
      <c r="L2150" s="4">
        <v>485.16</v>
      </c>
      <c r="M2150" t="s">
        <v>42</v>
      </c>
      <c r="N2150" t="s">
        <v>52</v>
      </c>
      <c r="O2150">
        <f>IF(TablaVentas[[#This Row],[Precio_unitario]]="","PENDIENTE",TablaVentas[[#This Row],[Unidades]]*TablaVentas[[#This Row],[Precio_unitario]]*(1-TablaVentas[[#This Row],[Descuento_pct]]))</f>
        <v>699.79499999999996</v>
      </c>
      <c r="P2150">
        <f>IF(TablaVentas[[#This Row],[Costo_unitario]]="","PENDIENTE",TablaVentas[[#This Row],[Unidades]]*TablaVentas[[#This Row],[Costo_unitario]])</f>
        <v>485.16</v>
      </c>
      <c r="Q2150">
        <f>IF(OR(TablaVentas[[#This Row],[Ingreso_neto]]="PENDIENTE",TablaVentas[[#This Row],[Costo_total]]="PENDIENTE"),"PENDIENTE",TablaVentas[[#This Row],[Ingreso_neto]]-TablaVentas[[#This Row],[Costo_total]])</f>
        <v>214.63499999999993</v>
      </c>
    </row>
    <row r="2151" spans="1:17">
      <c r="A2151" t="s">
        <v>1317</v>
      </c>
      <c r="B2151">
        <v>1</v>
      </c>
      <c r="C2151" s="3">
        <v>46174</v>
      </c>
      <c r="D2151" t="s">
        <v>770</v>
      </c>
      <c r="E2151" t="s">
        <v>135</v>
      </c>
      <c r="F2151" t="s">
        <v>39</v>
      </c>
      <c r="G2151" t="s">
        <v>57</v>
      </c>
      <c r="H2151" t="s">
        <v>51</v>
      </c>
      <c r="I2151">
        <v>3</v>
      </c>
      <c r="J2151" s="4">
        <v>2028.76</v>
      </c>
      <c r="K2151" s="5">
        <v>0</v>
      </c>
      <c r="L2151" s="4">
        <v>1529.93</v>
      </c>
      <c r="M2151" t="s">
        <v>42</v>
      </c>
      <c r="N2151" t="s">
        <v>60</v>
      </c>
      <c r="O2151">
        <f>IF(TablaVentas[[#This Row],[Precio_unitario]]="","PENDIENTE",TablaVentas[[#This Row],[Unidades]]*TablaVentas[[#This Row],[Precio_unitario]]*(1-TablaVentas[[#This Row],[Descuento_pct]]))</f>
        <v>6086.28</v>
      </c>
      <c r="P2151">
        <f>IF(TablaVentas[[#This Row],[Costo_unitario]]="","PENDIENTE",TablaVentas[[#This Row],[Unidades]]*TablaVentas[[#This Row],[Costo_unitario]])</f>
        <v>4589.79</v>
      </c>
      <c r="Q2151">
        <f>IF(OR(TablaVentas[[#This Row],[Ingreso_neto]]="PENDIENTE",TablaVentas[[#This Row],[Costo_total]]="PENDIENTE"),"PENDIENTE",TablaVentas[[#This Row],[Ingreso_neto]]-TablaVentas[[#This Row],[Costo_total]])</f>
        <v>1496.4899999999998</v>
      </c>
    </row>
    <row r="2152" spans="1:17">
      <c r="A2152" t="s">
        <v>1317</v>
      </c>
      <c r="B2152">
        <v>2</v>
      </c>
      <c r="C2152" s="3">
        <v>46174</v>
      </c>
      <c r="D2152" t="s">
        <v>770</v>
      </c>
      <c r="E2152" t="s">
        <v>101</v>
      </c>
      <c r="F2152" t="s">
        <v>39</v>
      </c>
      <c r="G2152" t="s">
        <v>57</v>
      </c>
      <c r="H2152" t="s">
        <v>51</v>
      </c>
      <c r="I2152">
        <v>2</v>
      </c>
      <c r="J2152" s="4">
        <v>4813.68</v>
      </c>
      <c r="K2152" s="5">
        <v>0</v>
      </c>
      <c r="L2152" s="4">
        <v>2865.24</v>
      </c>
      <c r="M2152" t="s">
        <v>42</v>
      </c>
      <c r="N2152" t="s">
        <v>45</v>
      </c>
      <c r="O2152">
        <f>IF(TablaVentas[[#This Row],[Precio_unitario]]="","PENDIENTE",TablaVentas[[#This Row],[Unidades]]*TablaVentas[[#This Row],[Precio_unitario]]*(1-TablaVentas[[#This Row],[Descuento_pct]]))</f>
        <v>9627.36</v>
      </c>
      <c r="P2152">
        <f>IF(TablaVentas[[#This Row],[Costo_unitario]]="","PENDIENTE",TablaVentas[[#This Row],[Unidades]]*TablaVentas[[#This Row],[Costo_unitario]])</f>
        <v>5730.48</v>
      </c>
      <c r="Q2152">
        <f>IF(OR(TablaVentas[[#This Row],[Ingreso_neto]]="PENDIENTE",TablaVentas[[#This Row],[Costo_total]]="PENDIENTE"),"PENDIENTE",TablaVentas[[#This Row],[Ingreso_neto]]-TablaVentas[[#This Row],[Costo_total]])</f>
        <v>3896.880000000001</v>
      </c>
    </row>
    <row r="2153" spans="1:17">
      <c r="A2153" t="s">
        <v>1317</v>
      </c>
      <c r="B2153">
        <v>3</v>
      </c>
      <c r="C2153" s="3">
        <v>46174</v>
      </c>
      <c r="D2153" t="s">
        <v>770</v>
      </c>
      <c r="E2153" t="s">
        <v>272</v>
      </c>
      <c r="F2153" t="s">
        <v>39</v>
      </c>
      <c r="G2153" t="s">
        <v>57</v>
      </c>
      <c r="H2153" t="s">
        <v>51</v>
      </c>
      <c r="I2153">
        <v>5</v>
      </c>
      <c r="J2153" s="4">
        <v>671.41</v>
      </c>
      <c r="K2153" s="5">
        <v>0.2</v>
      </c>
      <c r="L2153" s="4">
        <v>443</v>
      </c>
      <c r="M2153" t="s">
        <v>42</v>
      </c>
      <c r="N2153" t="s">
        <v>60</v>
      </c>
      <c r="O2153">
        <f>IF(TablaVentas[[#This Row],[Precio_unitario]]="","PENDIENTE",TablaVentas[[#This Row],[Unidades]]*TablaVentas[[#This Row],[Precio_unitario]]*(1-TablaVentas[[#This Row],[Descuento_pct]]))</f>
        <v>2685.64</v>
      </c>
      <c r="P2153">
        <f>IF(TablaVentas[[#This Row],[Costo_unitario]]="","PENDIENTE",TablaVentas[[#This Row],[Unidades]]*TablaVentas[[#This Row],[Costo_unitario]])</f>
        <v>2215</v>
      </c>
      <c r="Q2153">
        <f>IF(OR(TablaVentas[[#This Row],[Ingreso_neto]]="PENDIENTE",TablaVentas[[#This Row],[Costo_total]]="PENDIENTE"),"PENDIENTE",TablaVentas[[#This Row],[Ingreso_neto]]-TablaVentas[[#This Row],[Costo_total]])</f>
        <v>470.63999999999987</v>
      </c>
    </row>
    <row r="2154" spans="1:17">
      <c r="A2154" t="s">
        <v>1317</v>
      </c>
      <c r="B2154">
        <v>4</v>
      </c>
      <c r="C2154" s="3">
        <v>46174</v>
      </c>
      <c r="D2154" t="s">
        <v>770</v>
      </c>
      <c r="E2154" t="s">
        <v>38</v>
      </c>
      <c r="F2154" t="s">
        <v>39</v>
      </c>
      <c r="G2154" t="s">
        <v>57</v>
      </c>
      <c r="H2154" t="s">
        <v>51</v>
      </c>
      <c r="I2154">
        <v>1</v>
      </c>
      <c r="J2154" s="4">
        <v>5977.68</v>
      </c>
      <c r="K2154" s="5">
        <v>0</v>
      </c>
      <c r="L2154" s="4">
        <v>3832.69</v>
      </c>
      <c r="M2154" t="s">
        <v>42</v>
      </c>
      <c r="N2154" t="s">
        <v>52</v>
      </c>
      <c r="O2154">
        <f>IF(TablaVentas[[#This Row],[Precio_unitario]]="","PENDIENTE",TablaVentas[[#This Row],[Unidades]]*TablaVentas[[#This Row],[Precio_unitario]]*(1-TablaVentas[[#This Row],[Descuento_pct]]))</f>
        <v>5977.68</v>
      </c>
      <c r="P2154">
        <f>IF(TablaVentas[[#This Row],[Costo_unitario]]="","PENDIENTE",TablaVentas[[#This Row],[Unidades]]*TablaVentas[[#This Row],[Costo_unitario]])</f>
        <v>3832.69</v>
      </c>
      <c r="Q2154">
        <f>IF(OR(TablaVentas[[#This Row],[Ingreso_neto]]="PENDIENTE",TablaVentas[[#This Row],[Costo_total]]="PENDIENTE"),"PENDIENTE",TablaVentas[[#This Row],[Ingreso_neto]]-TablaVentas[[#This Row],[Costo_total]])</f>
        <v>2144.9900000000002</v>
      </c>
    </row>
    <row r="2155" spans="1:17">
      <c r="A2155" t="s">
        <v>1318</v>
      </c>
      <c r="B2155">
        <v>1</v>
      </c>
      <c r="C2155" s="3">
        <v>46127</v>
      </c>
      <c r="D2155" t="s">
        <v>366</v>
      </c>
      <c r="E2155" t="s">
        <v>211</v>
      </c>
      <c r="F2155" t="s">
        <v>56</v>
      </c>
      <c r="G2155" t="s">
        <v>50</v>
      </c>
      <c r="H2155" t="s">
        <v>67</v>
      </c>
      <c r="I2155">
        <v>1</v>
      </c>
      <c r="J2155" s="4">
        <v>16553.55</v>
      </c>
      <c r="K2155" s="5">
        <v>0.1</v>
      </c>
      <c r="L2155" s="4">
        <v>13760.53</v>
      </c>
      <c r="M2155" t="s">
        <v>42</v>
      </c>
      <c r="N2155" t="s">
        <v>45</v>
      </c>
      <c r="O2155">
        <f>IF(TablaVentas[[#This Row],[Precio_unitario]]="","PENDIENTE",TablaVentas[[#This Row],[Unidades]]*TablaVentas[[#This Row],[Precio_unitario]]*(1-TablaVentas[[#This Row],[Descuento_pct]]))</f>
        <v>14898.195</v>
      </c>
      <c r="P2155">
        <f>IF(TablaVentas[[#This Row],[Costo_unitario]]="","PENDIENTE",TablaVentas[[#This Row],[Unidades]]*TablaVentas[[#This Row],[Costo_unitario]])</f>
        <v>13760.53</v>
      </c>
      <c r="Q2155">
        <f>IF(OR(TablaVentas[[#This Row],[Ingreso_neto]]="PENDIENTE",TablaVentas[[#This Row],[Costo_total]]="PENDIENTE"),"PENDIENTE",TablaVentas[[#This Row],[Ingreso_neto]]-TablaVentas[[#This Row],[Costo_total]])</f>
        <v>1137.6649999999991</v>
      </c>
    </row>
    <row r="2156" spans="1:17">
      <c r="A2156" t="s">
        <v>1318</v>
      </c>
      <c r="B2156">
        <v>2</v>
      </c>
      <c r="C2156" s="3">
        <v>46127</v>
      </c>
      <c r="D2156" t="s">
        <v>366</v>
      </c>
      <c r="E2156" t="s">
        <v>144</v>
      </c>
      <c r="F2156" t="s">
        <v>56</v>
      </c>
      <c r="G2156" t="s">
        <v>50</v>
      </c>
      <c r="H2156" t="s">
        <v>67</v>
      </c>
      <c r="I2156">
        <v>5</v>
      </c>
      <c r="J2156" s="4">
        <v>8627.64</v>
      </c>
      <c r="K2156" s="5">
        <v>0.1</v>
      </c>
      <c r="L2156" s="4">
        <v>5125.3599999999997</v>
      </c>
      <c r="M2156" t="s">
        <v>42</v>
      </c>
      <c r="N2156" t="s">
        <v>52</v>
      </c>
      <c r="O2156">
        <f>IF(TablaVentas[[#This Row],[Precio_unitario]]="","PENDIENTE",TablaVentas[[#This Row],[Unidades]]*TablaVentas[[#This Row],[Precio_unitario]]*(1-TablaVentas[[#This Row],[Descuento_pct]]))</f>
        <v>38824.379999999997</v>
      </c>
      <c r="P2156">
        <f>IF(TablaVentas[[#This Row],[Costo_unitario]]="","PENDIENTE",TablaVentas[[#This Row],[Unidades]]*TablaVentas[[#This Row],[Costo_unitario]])</f>
        <v>25626.799999999999</v>
      </c>
      <c r="Q2156">
        <f>IF(OR(TablaVentas[[#This Row],[Ingreso_neto]]="PENDIENTE",TablaVentas[[#This Row],[Costo_total]]="PENDIENTE"),"PENDIENTE",TablaVentas[[#This Row],[Ingreso_neto]]-TablaVentas[[#This Row],[Costo_total]])</f>
        <v>13197.579999999998</v>
      </c>
    </row>
    <row r="2157" spans="1:17">
      <c r="A2157" t="s">
        <v>1318</v>
      </c>
      <c r="B2157">
        <v>3</v>
      </c>
      <c r="C2157" s="3">
        <v>46127</v>
      </c>
      <c r="D2157" t="s">
        <v>366</v>
      </c>
      <c r="E2157" t="s">
        <v>65</v>
      </c>
      <c r="F2157" t="s">
        <v>56</v>
      </c>
      <c r="G2157" t="s">
        <v>50</v>
      </c>
      <c r="H2157" t="s">
        <v>67</v>
      </c>
      <c r="I2157">
        <v>1</v>
      </c>
      <c r="J2157" s="4">
        <v>11386.48</v>
      </c>
      <c r="K2157" s="5">
        <v>0</v>
      </c>
      <c r="L2157" s="4">
        <v>7328.02</v>
      </c>
      <c r="M2157" t="s">
        <v>42</v>
      </c>
      <c r="N2157" t="s">
        <v>60</v>
      </c>
      <c r="O2157">
        <f>IF(TablaVentas[[#This Row],[Precio_unitario]]="","PENDIENTE",TablaVentas[[#This Row],[Unidades]]*TablaVentas[[#This Row],[Precio_unitario]]*(1-TablaVentas[[#This Row],[Descuento_pct]]))</f>
        <v>11386.48</v>
      </c>
      <c r="P2157">
        <f>IF(TablaVentas[[#This Row],[Costo_unitario]]="","PENDIENTE",TablaVentas[[#This Row],[Unidades]]*TablaVentas[[#This Row],[Costo_unitario]])</f>
        <v>7328.02</v>
      </c>
      <c r="Q2157">
        <f>IF(OR(TablaVentas[[#This Row],[Ingreso_neto]]="PENDIENTE",TablaVentas[[#This Row],[Costo_total]]="PENDIENTE"),"PENDIENTE",TablaVentas[[#This Row],[Ingreso_neto]]-TablaVentas[[#This Row],[Costo_total]])</f>
        <v>4058.4599999999991</v>
      </c>
    </row>
    <row r="2158" spans="1:17">
      <c r="A2158" t="s">
        <v>1319</v>
      </c>
      <c r="B2158">
        <v>1</v>
      </c>
      <c r="C2158" s="3">
        <v>46203</v>
      </c>
      <c r="D2158" t="s">
        <v>476</v>
      </c>
      <c r="E2158" t="s">
        <v>167</v>
      </c>
      <c r="F2158" t="s">
        <v>39</v>
      </c>
      <c r="G2158" t="s">
        <v>40</v>
      </c>
      <c r="H2158" t="s">
        <v>67</v>
      </c>
      <c r="I2158">
        <v>2</v>
      </c>
      <c r="J2158" s="4">
        <v>16440.57</v>
      </c>
      <c r="K2158" s="5">
        <v>0</v>
      </c>
      <c r="L2158" s="4">
        <v>8704.4</v>
      </c>
      <c r="M2158" t="s">
        <v>42</v>
      </c>
      <c r="N2158" t="s">
        <v>60</v>
      </c>
      <c r="O2158">
        <f>IF(TablaVentas[[#This Row],[Precio_unitario]]="","PENDIENTE",TablaVentas[[#This Row],[Unidades]]*TablaVentas[[#This Row],[Precio_unitario]]*(1-TablaVentas[[#This Row],[Descuento_pct]]))</f>
        <v>32881.14</v>
      </c>
      <c r="P2158">
        <f>IF(TablaVentas[[#This Row],[Costo_unitario]]="","PENDIENTE",TablaVentas[[#This Row],[Unidades]]*TablaVentas[[#This Row],[Costo_unitario]])</f>
        <v>17408.8</v>
      </c>
      <c r="Q2158">
        <f>IF(OR(TablaVentas[[#This Row],[Ingreso_neto]]="PENDIENTE",TablaVentas[[#This Row],[Costo_total]]="PENDIENTE"),"PENDIENTE",TablaVentas[[#This Row],[Ingreso_neto]]-TablaVentas[[#This Row],[Costo_total]])</f>
        <v>15472.34</v>
      </c>
    </row>
    <row r="2159" spans="1:17">
      <c r="A2159" t="s">
        <v>1319</v>
      </c>
      <c r="B2159">
        <v>2</v>
      </c>
      <c r="C2159" s="3">
        <v>46203</v>
      </c>
      <c r="D2159" t="s">
        <v>476</v>
      </c>
      <c r="E2159" t="s">
        <v>206</v>
      </c>
      <c r="F2159" t="s">
        <v>39</v>
      </c>
      <c r="G2159" t="s">
        <v>40</v>
      </c>
      <c r="H2159" t="s">
        <v>67</v>
      </c>
      <c r="I2159">
        <v>4</v>
      </c>
      <c r="J2159" s="4">
        <v>5303.53</v>
      </c>
      <c r="K2159" s="5">
        <v>0.1</v>
      </c>
      <c r="L2159" s="4">
        <v>4008.77</v>
      </c>
      <c r="M2159" t="s">
        <v>42</v>
      </c>
      <c r="N2159" t="s">
        <v>60</v>
      </c>
      <c r="O2159">
        <f>IF(TablaVentas[[#This Row],[Precio_unitario]]="","PENDIENTE",TablaVentas[[#This Row],[Unidades]]*TablaVentas[[#This Row],[Precio_unitario]]*(1-TablaVentas[[#This Row],[Descuento_pct]]))</f>
        <v>19092.707999999999</v>
      </c>
      <c r="P2159">
        <f>IF(TablaVentas[[#This Row],[Costo_unitario]]="","PENDIENTE",TablaVentas[[#This Row],[Unidades]]*TablaVentas[[#This Row],[Costo_unitario]])</f>
        <v>16035.08</v>
      </c>
      <c r="Q2159">
        <f>IF(OR(TablaVentas[[#This Row],[Ingreso_neto]]="PENDIENTE",TablaVentas[[#This Row],[Costo_total]]="PENDIENTE"),"PENDIENTE",TablaVentas[[#This Row],[Ingreso_neto]]-TablaVentas[[#This Row],[Costo_total]])</f>
        <v>3057.6279999999988</v>
      </c>
    </row>
    <row r="2160" spans="1:17">
      <c r="A2160" t="s">
        <v>1319</v>
      </c>
      <c r="B2160">
        <v>3</v>
      </c>
      <c r="C2160" s="3">
        <v>46203</v>
      </c>
      <c r="D2160" t="s">
        <v>476</v>
      </c>
      <c r="E2160" t="s">
        <v>185</v>
      </c>
      <c r="F2160" t="s">
        <v>39</v>
      </c>
      <c r="G2160" t="s">
        <v>40</v>
      </c>
      <c r="H2160" t="s">
        <v>67</v>
      </c>
      <c r="I2160">
        <v>5</v>
      </c>
      <c r="J2160" s="4">
        <v>15597.13</v>
      </c>
      <c r="K2160" s="5">
        <v>0</v>
      </c>
      <c r="L2160" s="4">
        <v>11904.09</v>
      </c>
      <c r="M2160" t="s">
        <v>42</v>
      </c>
      <c r="N2160" t="s">
        <v>60</v>
      </c>
      <c r="O2160">
        <f>IF(TablaVentas[[#This Row],[Precio_unitario]]="","PENDIENTE",TablaVentas[[#This Row],[Unidades]]*TablaVentas[[#This Row],[Precio_unitario]]*(1-TablaVentas[[#This Row],[Descuento_pct]]))</f>
        <v>77985.649999999994</v>
      </c>
      <c r="P2160">
        <f>IF(TablaVentas[[#This Row],[Costo_unitario]]="","PENDIENTE",TablaVentas[[#This Row],[Unidades]]*TablaVentas[[#This Row],[Costo_unitario]])</f>
        <v>59520.45</v>
      </c>
      <c r="Q2160">
        <f>IF(OR(TablaVentas[[#This Row],[Ingreso_neto]]="PENDIENTE",TablaVentas[[#This Row],[Costo_total]]="PENDIENTE"),"PENDIENTE",TablaVentas[[#This Row],[Ingreso_neto]]-TablaVentas[[#This Row],[Costo_total]])</f>
        <v>18465.199999999997</v>
      </c>
    </row>
    <row r="2161" spans="1:17">
      <c r="A2161" t="s">
        <v>1319</v>
      </c>
      <c r="B2161">
        <v>4</v>
      </c>
      <c r="C2161" s="3">
        <v>46203</v>
      </c>
      <c r="D2161" t="s">
        <v>476</v>
      </c>
      <c r="E2161" t="s">
        <v>144</v>
      </c>
      <c r="F2161" t="s">
        <v>39</v>
      </c>
      <c r="G2161" t="s">
        <v>40</v>
      </c>
      <c r="H2161" t="s">
        <v>67</v>
      </c>
      <c r="I2161">
        <v>2</v>
      </c>
      <c r="J2161" s="4">
        <v>9328.4599999999991</v>
      </c>
      <c r="K2161" s="5">
        <v>0</v>
      </c>
      <c r="L2161" s="4">
        <v>5125.3599999999997</v>
      </c>
      <c r="M2161" t="s">
        <v>42</v>
      </c>
      <c r="N2161" t="s">
        <v>60</v>
      </c>
      <c r="O2161">
        <f>IF(TablaVentas[[#This Row],[Precio_unitario]]="","PENDIENTE",TablaVentas[[#This Row],[Unidades]]*TablaVentas[[#This Row],[Precio_unitario]]*(1-TablaVentas[[#This Row],[Descuento_pct]]))</f>
        <v>18656.919999999998</v>
      </c>
      <c r="P2161">
        <f>IF(TablaVentas[[#This Row],[Costo_unitario]]="","PENDIENTE",TablaVentas[[#This Row],[Unidades]]*TablaVentas[[#This Row],[Costo_unitario]])</f>
        <v>10250.719999999999</v>
      </c>
      <c r="Q2161">
        <f>IF(OR(TablaVentas[[#This Row],[Ingreso_neto]]="PENDIENTE",TablaVentas[[#This Row],[Costo_total]]="PENDIENTE"),"PENDIENTE",TablaVentas[[#This Row],[Ingreso_neto]]-TablaVentas[[#This Row],[Costo_total]])</f>
        <v>8406.1999999999989</v>
      </c>
    </row>
    <row r="2162" spans="1:17">
      <c r="A2162" t="s">
        <v>1319</v>
      </c>
      <c r="B2162">
        <v>5</v>
      </c>
      <c r="C2162" s="3">
        <v>46203</v>
      </c>
      <c r="D2162" t="s">
        <v>476</v>
      </c>
      <c r="E2162" t="s">
        <v>211</v>
      </c>
      <c r="F2162" t="s">
        <v>39</v>
      </c>
      <c r="G2162" t="s">
        <v>40</v>
      </c>
      <c r="H2162" t="s">
        <v>67</v>
      </c>
      <c r="I2162">
        <v>8</v>
      </c>
      <c r="J2162" s="4">
        <v>17720.12</v>
      </c>
      <c r="K2162" s="5">
        <v>0.15</v>
      </c>
      <c r="L2162" s="4">
        <v>13760.53</v>
      </c>
      <c r="M2162" t="s">
        <v>42</v>
      </c>
      <c r="N2162" t="s">
        <v>43</v>
      </c>
      <c r="O2162">
        <f>IF(TablaVentas[[#This Row],[Precio_unitario]]="","PENDIENTE",TablaVentas[[#This Row],[Unidades]]*TablaVentas[[#This Row],[Precio_unitario]]*(1-TablaVentas[[#This Row],[Descuento_pct]]))</f>
        <v>120496.81599999999</v>
      </c>
      <c r="P2162">
        <f>IF(TablaVentas[[#This Row],[Costo_unitario]]="","PENDIENTE",TablaVentas[[#This Row],[Unidades]]*TablaVentas[[#This Row],[Costo_unitario]])</f>
        <v>110084.24</v>
      </c>
      <c r="Q2162">
        <f>IF(OR(TablaVentas[[#This Row],[Ingreso_neto]]="PENDIENTE",TablaVentas[[#This Row],[Costo_total]]="PENDIENTE"),"PENDIENTE",TablaVentas[[#This Row],[Ingreso_neto]]-TablaVentas[[#This Row],[Costo_total]])</f>
        <v>10412.575999999986</v>
      </c>
    </row>
    <row r="2163" spans="1:17">
      <c r="A2163" t="s">
        <v>1320</v>
      </c>
      <c r="B2163">
        <v>1</v>
      </c>
      <c r="C2163" s="3">
        <v>46097</v>
      </c>
      <c r="D2163" t="s">
        <v>665</v>
      </c>
      <c r="E2163" t="s">
        <v>193</v>
      </c>
      <c r="F2163" t="s">
        <v>66</v>
      </c>
      <c r="G2163" t="s">
        <v>50</v>
      </c>
      <c r="H2163" t="s">
        <v>184</v>
      </c>
      <c r="I2163">
        <v>1</v>
      </c>
      <c r="J2163" s="4">
        <v>11308.81</v>
      </c>
      <c r="K2163" s="5">
        <v>0.15</v>
      </c>
      <c r="L2163" s="4">
        <v>5811.72</v>
      </c>
      <c r="M2163" t="s">
        <v>42</v>
      </c>
      <c r="N2163" t="s">
        <v>45</v>
      </c>
      <c r="O2163">
        <f>IF(TablaVentas[[#This Row],[Precio_unitario]]="","PENDIENTE",TablaVentas[[#This Row],[Unidades]]*TablaVentas[[#This Row],[Precio_unitario]]*(1-TablaVentas[[#This Row],[Descuento_pct]]))</f>
        <v>9612.4884999999995</v>
      </c>
      <c r="P2163">
        <f>IF(TablaVentas[[#This Row],[Costo_unitario]]="","PENDIENTE",TablaVentas[[#This Row],[Unidades]]*TablaVentas[[#This Row],[Costo_unitario]])</f>
        <v>5811.72</v>
      </c>
      <c r="Q2163">
        <f>IF(OR(TablaVentas[[#This Row],[Ingreso_neto]]="PENDIENTE",TablaVentas[[#This Row],[Costo_total]]="PENDIENTE"),"PENDIENTE",TablaVentas[[#This Row],[Ingreso_neto]]-TablaVentas[[#This Row],[Costo_total]])</f>
        <v>3800.7684999999992</v>
      </c>
    </row>
    <row r="2164" spans="1:17">
      <c r="A2164" t="s">
        <v>1320</v>
      </c>
      <c r="B2164">
        <v>2</v>
      </c>
      <c r="C2164" s="3">
        <v>46097</v>
      </c>
      <c r="D2164" t="s">
        <v>665</v>
      </c>
      <c r="E2164" t="s">
        <v>128</v>
      </c>
      <c r="F2164" t="s">
        <v>66</v>
      </c>
      <c r="G2164" t="s">
        <v>50</v>
      </c>
      <c r="H2164" t="s">
        <v>184</v>
      </c>
      <c r="I2164">
        <v>1</v>
      </c>
      <c r="J2164" s="4">
        <v>1682.66</v>
      </c>
      <c r="K2164" s="5">
        <v>0.2</v>
      </c>
      <c r="L2164" s="4">
        <v>900.08</v>
      </c>
      <c r="M2164" t="s">
        <v>42</v>
      </c>
      <c r="N2164" t="s">
        <v>60</v>
      </c>
      <c r="O2164">
        <f>IF(TablaVentas[[#This Row],[Precio_unitario]]="","PENDIENTE",TablaVentas[[#This Row],[Unidades]]*TablaVentas[[#This Row],[Precio_unitario]]*(1-TablaVentas[[#This Row],[Descuento_pct]]))</f>
        <v>1346.1280000000002</v>
      </c>
      <c r="P2164">
        <f>IF(TablaVentas[[#This Row],[Costo_unitario]]="","PENDIENTE",TablaVentas[[#This Row],[Unidades]]*TablaVentas[[#This Row],[Costo_unitario]])</f>
        <v>900.08</v>
      </c>
      <c r="Q2164">
        <f>IF(OR(TablaVentas[[#This Row],[Ingreso_neto]]="PENDIENTE",TablaVentas[[#This Row],[Costo_total]]="PENDIENTE"),"PENDIENTE",TablaVentas[[#This Row],[Ingreso_neto]]-TablaVentas[[#This Row],[Costo_total]])</f>
        <v>446.04800000000012</v>
      </c>
    </row>
    <row r="2165" spans="1:17">
      <c r="A2165" t="s">
        <v>1320</v>
      </c>
      <c r="B2165">
        <v>3</v>
      </c>
      <c r="C2165" s="3">
        <v>46097</v>
      </c>
      <c r="D2165" t="s">
        <v>665</v>
      </c>
      <c r="E2165" t="s">
        <v>175</v>
      </c>
      <c r="F2165" t="s">
        <v>66</v>
      </c>
      <c r="G2165" t="s">
        <v>50</v>
      </c>
      <c r="H2165" t="s">
        <v>184</v>
      </c>
      <c r="I2165">
        <v>1</v>
      </c>
      <c r="J2165" s="4">
        <v>2525.9699999999998</v>
      </c>
      <c r="K2165" s="5">
        <v>0</v>
      </c>
      <c r="L2165" s="4">
        <v>1857.39</v>
      </c>
      <c r="M2165" t="s">
        <v>42</v>
      </c>
      <c r="N2165" t="s">
        <v>45</v>
      </c>
      <c r="O2165">
        <f>IF(TablaVentas[[#This Row],[Precio_unitario]]="","PENDIENTE",TablaVentas[[#This Row],[Unidades]]*TablaVentas[[#This Row],[Precio_unitario]]*(1-TablaVentas[[#This Row],[Descuento_pct]]))</f>
        <v>2525.9699999999998</v>
      </c>
      <c r="P2165">
        <f>IF(TablaVentas[[#This Row],[Costo_unitario]]="","PENDIENTE",TablaVentas[[#This Row],[Unidades]]*TablaVentas[[#This Row],[Costo_unitario]])</f>
        <v>1857.39</v>
      </c>
      <c r="Q2165">
        <f>IF(OR(TablaVentas[[#This Row],[Ingreso_neto]]="PENDIENTE",TablaVentas[[#This Row],[Costo_total]]="PENDIENTE"),"PENDIENTE",TablaVentas[[#This Row],[Ingreso_neto]]-TablaVentas[[#This Row],[Costo_total]])</f>
        <v>668.5799999999997</v>
      </c>
    </row>
    <row r="2166" spans="1:17">
      <c r="A2166" t="s">
        <v>1320</v>
      </c>
      <c r="B2166">
        <v>4</v>
      </c>
      <c r="C2166" s="3">
        <v>46097</v>
      </c>
      <c r="D2166" t="s">
        <v>665</v>
      </c>
      <c r="E2166" t="s">
        <v>97</v>
      </c>
      <c r="F2166" t="s">
        <v>66</v>
      </c>
      <c r="G2166" t="s">
        <v>50</v>
      </c>
      <c r="H2166" t="s">
        <v>184</v>
      </c>
      <c r="I2166">
        <v>4</v>
      </c>
      <c r="J2166" s="4">
        <v>14112.13</v>
      </c>
      <c r="K2166" s="5">
        <v>0.1</v>
      </c>
      <c r="L2166" s="4">
        <v>11424.77</v>
      </c>
      <c r="M2166" t="s">
        <v>42</v>
      </c>
      <c r="N2166" t="s">
        <v>45</v>
      </c>
      <c r="O2166">
        <f>IF(TablaVentas[[#This Row],[Precio_unitario]]="","PENDIENTE",TablaVentas[[#This Row],[Unidades]]*TablaVentas[[#This Row],[Precio_unitario]]*(1-TablaVentas[[#This Row],[Descuento_pct]]))</f>
        <v>50803.667999999998</v>
      </c>
      <c r="P2166">
        <f>IF(TablaVentas[[#This Row],[Costo_unitario]]="","PENDIENTE",TablaVentas[[#This Row],[Unidades]]*TablaVentas[[#This Row],[Costo_unitario]])</f>
        <v>45699.08</v>
      </c>
      <c r="Q2166">
        <f>IF(OR(TablaVentas[[#This Row],[Ingreso_neto]]="PENDIENTE",TablaVentas[[#This Row],[Costo_total]]="PENDIENTE"),"PENDIENTE",TablaVentas[[#This Row],[Ingreso_neto]]-TablaVentas[[#This Row],[Costo_total]])</f>
        <v>5104.5879999999961</v>
      </c>
    </row>
    <row r="2167" spans="1:17">
      <c r="A2167" t="s">
        <v>1321</v>
      </c>
      <c r="B2167">
        <v>1</v>
      </c>
      <c r="C2167" s="3">
        <v>46161</v>
      </c>
      <c r="D2167" t="s">
        <v>232</v>
      </c>
      <c r="E2167" t="s">
        <v>69</v>
      </c>
      <c r="F2167" t="s">
        <v>39</v>
      </c>
      <c r="G2167" t="s">
        <v>50</v>
      </c>
      <c r="H2167" t="s">
        <v>184</v>
      </c>
      <c r="I2167">
        <v>3</v>
      </c>
      <c r="J2167" s="4">
        <v>12781.06</v>
      </c>
      <c r="K2167" s="5">
        <v>0.1</v>
      </c>
      <c r="L2167" s="4">
        <v>10094.26</v>
      </c>
      <c r="M2167" t="s">
        <v>42</v>
      </c>
      <c r="N2167" t="s">
        <v>45</v>
      </c>
      <c r="O2167">
        <f>IF(TablaVentas[[#This Row],[Precio_unitario]]="","PENDIENTE",TablaVentas[[#This Row],[Unidades]]*TablaVentas[[#This Row],[Precio_unitario]]*(1-TablaVentas[[#This Row],[Descuento_pct]]))</f>
        <v>34508.862000000001</v>
      </c>
      <c r="P2167">
        <f>IF(TablaVentas[[#This Row],[Costo_unitario]]="","PENDIENTE",TablaVentas[[#This Row],[Unidades]]*TablaVentas[[#This Row],[Costo_unitario]])</f>
        <v>30282.78</v>
      </c>
      <c r="Q2167">
        <f>IF(OR(TablaVentas[[#This Row],[Ingreso_neto]]="PENDIENTE",TablaVentas[[#This Row],[Costo_total]]="PENDIENTE"),"PENDIENTE",TablaVentas[[#This Row],[Ingreso_neto]]-TablaVentas[[#This Row],[Costo_total]])</f>
        <v>4226.0820000000022</v>
      </c>
    </row>
    <row r="2168" spans="1:17">
      <c r="A2168" t="s">
        <v>1321</v>
      </c>
      <c r="B2168">
        <v>2</v>
      </c>
      <c r="C2168" s="3">
        <v>46161</v>
      </c>
      <c r="D2168" t="s">
        <v>232</v>
      </c>
      <c r="E2168" t="s">
        <v>152</v>
      </c>
      <c r="F2168" t="s">
        <v>39</v>
      </c>
      <c r="G2168" t="s">
        <v>50</v>
      </c>
      <c r="H2168" t="s">
        <v>184</v>
      </c>
      <c r="I2168">
        <v>2</v>
      </c>
      <c r="J2168" s="4">
        <v>2570.7800000000002</v>
      </c>
      <c r="K2168" s="5">
        <v>0.2</v>
      </c>
      <c r="L2168" s="4">
        <v>1962.3</v>
      </c>
      <c r="M2168" t="s">
        <v>42</v>
      </c>
      <c r="N2168" t="s">
        <v>45</v>
      </c>
      <c r="O2168">
        <f>IF(TablaVentas[[#This Row],[Precio_unitario]]="","PENDIENTE",TablaVentas[[#This Row],[Unidades]]*TablaVentas[[#This Row],[Precio_unitario]]*(1-TablaVentas[[#This Row],[Descuento_pct]]))</f>
        <v>4113.2480000000005</v>
      </c>
      <c r="P2168">
        <f>IF(TablaVentas[[#This Row],[Costo_unitario]]="","PENDIENTE",TablaVentas[[#This Row],[Unidades]]*TablaVentas[[#This Row],[Costo_unitario]])</f>
        <v>3924.6</v>
      </c>
      <c r="Q2168">
        <f>IF(OR(TablaVentas[[#This Row],[Ingreso_neto]]="PENDIENTE",TablaVentas[[#This Row],[Costo_total]]="PENDIENTE"),"PENDIENTE",TablaVentas[[#This Row],[Ingreso_neto]]-TablaVentas[[#This Row],[Costo_total]])</f>
        <v>188.64800000000059</v>
      </c>
    </row>
    <row r="2169" spans="1:17">
      <c r="A2169" t="s">
        <v>1322</v>
      </c>
      <c r="B2169">
        <v>1</v>
      </c>
      <c r="C2169" s="3">
        <v>46263</v>
      </c>
      <c r="D2169" t="s">
        <v>232</v>
      </c>
      <c r="E2169" t="s">
        <v>143</v>
      </c>
      <c r="F2169" t="s">
        <v>39</v>
      </c>
      <c r="G2169" t="s">
        <v>40</v>
      </c>
      <c r="H2169" t="s">
        <v>51</v>
      </c>
      <c r="I2169">
        <v>2</v>
      </c>
      <c r="J2169" s="4">
        <v>10119.93</v>
      </c>
      <c r="K2169" s="5">
        <v>0</v>
      </c>
      <c r="L2169" s="4">
        <v>6815.42</v>
      </c>
      <c r="M2169" t="s">
        <v>42</v>
      </c>
      <c r="N2169" t="s">
        <v>45</v>
      </c>
      <c r="O2169">
        <f>IF(TablaVentas[[#This Row],[Precio_unitario]]="","PENDIENTE",TablaVentas[[#This Row],[Unidades]]*TablaVentas[[#This Row],[Precio_unitario]]*(1-TablaVentas[[#This Row],[Descuento_pct]]))</f>
        <v>20239.86</v>
      </c>
      <c r="P2169">
        <f>IF(TablaVentas[[#This Row],[Costo_unitario]]="","PENDIENTE",TablaVentas[[#This Row],[Unidades]]*TablaVentas[[#This Row],[Costo_unitario]])</f>
        <v>13630.84</v>
      </c>
      <c r="Q2169">
        <f>IF(OR(TablaVentas[[#This Row],[Ingreso_neto]]="PENDIENTE",TablaVentas[[#This Row],[Costo_total]]="PENDIENTE"),"PENDIENTE",TablaVentas[[#This Row],[Ingreso_neto]]-TablaVentas[[#This Row],[Costo_total]])</f>
        <v>6609.02</v>
      </c>
    </row>
    <row r="2170" spans="1:17">
      <c r="A2170" t="s">
        <v>1322</v>
      </c>
      <c r="B2170">
        <v>2</v>
      </c>
      <c r="C2170" s="3">
        <v>46263</v>
      </c>
      <c r="D2170" t="s">
        <v>232</v>
      </c>
      <c r="E2170" t="s">
        <v>69</v>
      </c>
      <c r="F2170" t="s">
        <v>39</v>
      </c>
      <c r="G2170" t="s">
        <v>40</v>
      </c>
      <c r="H2170" t="s">
        <v>51</v>
      </c>
      <c r="I2170">
        <v>3</v>
      </c>
      <c r="J2170" s="4">
        <v>12794.85</v>
      </c>
      <c r="K2170" s="5">
        <v>0</v>
      </c>
      <c r="L2170" s="4">
        <v>10094.26</v>
      </c>
      <c r="M2170" t="s">
        <v>42</v>
      </c>
      <c r="N2170" t="s">
        <v>45</v>
      </c>
      <c r="O2170">
        <f>IF(TablaVentas[[#This Row],[Precio_unitario]]="","PENDIENTE",TablaVentas[[#This Row],[Unidades]]*TablaVentas[[#This Row],[Precio_unitario]]*(1-TablaVentas[[#This Row],[Descuento_pct]]))</f>
        <v>38384.550000000003</v>
      </c>
      <c r="P2170">
        <f>IF(TablaVentas[[#This Row],[Costo_unitario]]="","PENDIENTE",TablaVentas[[#This Row],[Unidades]]*TablaVentas[[#This Row],[Costo_unitario]])</f>
        <v>30282.78</v>
      </c>
      <c r="Q2170">
        <f>IF(OR(TablaVentas[[#This Row],[Ingreso_neto]]="PENDIENTE",TablaVentas[[#This Row],[Costo_total]]="PENDIENTE"),"PENDIENTE",TablaVentas[[#This Row],[Ingreso_neto]]-TablaVentas[[#This Row],[Costo_total]])</f>
        <v>8101.7700000000041</v>
      </c>
    </row>
    <row r="2171" spans="1:17">
      <c r="A2171" t="s">
        <v>1322</v>
      </c>
      <c r="B2171">
        <v>3</v>
      </c>
      <c r="C2171" s="3">
        <v>46263</v>
      </c>
      <c r="D2171" t="s">
        <v>232</v>
      </c>
      <c r="E2171" t="s">
        <v>114</v>
      </c>
      <c r="F2171" t="s">
        <v>39</v>
      </c>
      <c r="G2171" t="s">
        <v>40</v>
      </c>
      <c r="H2171" t="s">
        <v>51</v>
      </c>
      <c r="I2171">
        <v>2</v>
      </c>
      <c r="J2171" s="4">
        <v>14072.32</v>
      </c>
      <c r="K2171" s="5">
        <v>0.15</v>
      </c>
      <c r="L2171" s="4">
        <v>8239.48</v>
      </c>
      <c r="M2171" t="s">
        <v>42</v>
      </c>
      <c r="N2171" t="s">
        <v>52</v>
      </c>
      <c r="O2171">
        <f>IF(TablaVentas[[#This Row],[Precio_unitario]]="","PENDIENTE",TablaVentas[[#This Row],[Unidades]]*TablaVentas[[#This Row],[Precio_unitario]]*(1-TablaVentas[[#This Row],[Descuento_pct]]))</f>
        <v>23922.944</v>
      </c>
      <c r="P2171">
        <f>IF(TablaVentas[[#This Row],[Costo_unitario]]="","PENDIENTE",TablaVentas[[#This Row],[Unidades]]*TablaVentas[[#This Row],[Costo_unitario]])</f>
        <v>16478.96</v>
      </c>
      <c r="Q2171">
        <f>IF(OR(TablaVentas[[#This Row],[Ingreso_neto]]="PENDIENTE",TablaVentas[[#This Row],[Costo_total]]="PENDIENTE"),"PENDIENTE",TablaVentas[[#This Row],[Ingreso_neto]]-TablaVentas[[#This Row],[Costo_total]])</f>
        <v>7443.9840000000004</v>
      </c>
    </row>
    <row r="2172" spans="1:17">
      <c r="A2172" t="s">
        <v>1323</v>
      </c>
      <c r="B2172">
        <v>1</v>
      </c>
      <c r="C2172" s="3">
        <v>46126</v>
      </c>
      <c r="D2172" t="s">
        <v>147</v>
      </c>
      <c r="E2172" t="s">
        <v>159</v>
      </c>
      <c r="F2172" t="s">
        <v>56</v>
      </c>
      <c r="G2172" t="s">
        <v>50</v>
      </c>
      <c r="H2172" t="s">
        <v>102</v>
      </c>
      <c r="I2172">
        <v>12</v>
      </c>
      <c r="J2172" s="4">
        <v>13229.96</v>
      </c>
      <c r="K2172" s="5">
        <v>0</v>
      </c>
      <c r="L2172" s="4">
        <v>9317.3700000000008</v>
      </c>
      <c r="M2172" t="s">
        <v>42</v>
      </c>
      <c r="N2172" t="s">
        <v>43</v>
      </c>
      <c r="O2172">
        <f>IF(TablaVentas[[#This Row],[Precio_unitario]]="","PENDIENTE",TablaVentas[[#This Row],[Unidades]]*TablaVentas[[#This Row],[Precio_unitario]]*(1-TablaVentas[[#This Row],[Descuento_pct]]))</f>
        <v>158759.51999999999</v>
      </c>
      <c r="P2172">
        <f>IF(TablaVentas[[#This Row],[Costo_unitario]]="","PENDIENTE",TablaVentas[[#This Row],[Unidades]]*TablaVentas[[#This Row],[Costo_unitario]])</f>
        <v>111808.44</v>
      </c>
      <c r="Q2172">
        <f>IF(OR(TablaVentas[[#This Row],[Ingreso_neto]]="PENDIENTE",TablaVentas[[#This Row],[Costo_total]]="PENDIENTE"),"PENDIENTE",TablaVentas[[#This Row],[Ingreso_neto]]-TablaVentas[[#This Row],[Costo_total]])</f>
        <v>46951.079999999987</v>
      </c>
    </row>
    <row r="2173" spans="1:17">
      <c r="A2173" t="s">
        <v>1323</v>
      </c>
      <c r="B2173">
        <v>2</v>
      </c>
      <c r="C2173" s="3">
        <v>46126</v>
      </c>
      <c r="D2173" t="s">
        <v>147</v>
      </c>
      <c r="E2173" t="s">
        <v>537</v>
      </c>
      <c r="F2173" t="s">
        <v>56</v>
      </c>
      <c r="G2173" t="s">
        <v>50</v>
      </c>
      <c r="H2173" t="s">
        <v>102</v>
      </c>
      <c r="I2173">
        <v>1</v>
      </c>
      <c r="J2173" s="4">
        <v>4985.83</v>
      </c>
      <c r="K2173" s="5">
        <v>0</v>
      </c>
      <c r="L2173" s="4">
        <v>4556.2299999999996</v>
      </c>
      <c r="M2173" t="s">
        <v>42</v>
      </c>
      <c r="N2173" t="s">
        <v>43</v>
      </c>
      <c r="O2173">
        <f>IF(TablaVentas[[#This Row],[Precio_unitario]]="","PENDIENTE",TablaVentas[[#This Row],[Unidades]]*TablaVentas[[#This Row],[Precio_unitario]]*(1-TablaVentas[[#This Row],[Descuento_pct]]))</f>
        <v>4985.83</v>
      </c>
      <c r="P2173">
        <f>IF(TablaVentas[[#This Row],[Costo_unitario]]="","PENDIENTE",TablaVentas[[#This Row],[Unidades]]*TablaVentas[[#This Row],[Costo_unitario]])</f>
        <v>4556.2299999999996</v>
      </c>
      <c r="Q2173">
        <f>IF(OR(TablaVentas[[#This Row],[Ingreso_neto]]="PENDIENTE",TablaVentas[[#This Row],[Costo_total]]="PENDIENTE"),"PENDIENTE",TablaVentas[[#This Row],[Ingreso_neto]]-TablaVentas[[#This Row],[Costo_total]])</f>
        <v>429.60000000000036</v>
      </c>
    </row>
    <row r="2174" spans="1:17">
      <c r="A2174" t="s">
        <v>1324</v>
      </c>
      <c r="B2174">
        <v>1</v>
      </c>
      <c r="C2174" s="3">
        <v>46196</v>
      </c>
      <c r="D2174" t="s">
        <v>369</v>
      </c>
      <c r="E2174" t="s">
        <v>90</v>
      </c>
      <c r="F2174" t="s">
        <v>77</v>
      </c>
      <c r="G2174" t="s">
        <v>40</v>
      </c>
      <c r="H2174" t="s">
        <v>82</v>
      </c>
      <c r="I2174">
        <v>2</v>
      </c>
      <c r="J2174" s="4">
        <v>10070.219999999999</v>
      </c>
      <c r="K2174" s="5">
        <v>0.1</v>
      </c>
      <c r="L2174" s="4">
        <v>8174.87</v>
      </c>
      <c r="M2174" t="s">
        <v>42</v>
      </c>
      <c r="N2174" t="s">
        <v>43</v>
      </c>
      <c r="O2174">
        <f>IF(TablaVentas[[#This Row],[Precio_unitario]]="","PENDIENTE",TablaVentas[[#This Row],[Unidades]]*TablaVentas[[#This Row],[Precio_unitario]]*(1-TablaVentas[[#This Row],[Descuento_pct]]))</f>
        <v>18126.396000000001</v>
      </c>
      <c r="P2174">
        <f>IF(TablaVentas[[#This Row],[Costo_unitario]]="","PENDIENTE",TablaVentas[[#This Row],[Unidades]]*TablaVentas[[#This Row],[Costo_unitario]])</f>
        <v>16349.74</v>
      </c>
      <c r="Q2174">
        <f>IF(OR(TablaVentas[[#This Row],[Ingreso_neto]]="PENDIENTE",TablaVentas[[#This Row],[Costo_total]]="PENDIENTE"),"PENDIENTE",TablaVentas[[#This Row],[Ingreso_neto]]-TablaVentas[[#This Row],[Costo_total]])</f>
        <v>1776.6560000000009</v>
      </c>
    </row>
    <row r="2175" spans="1:17">
      <c r="A2175" t="s">
        <v>1324</v>
      </c>
      <c r="B2175">
        <v>2</v>
      </c>
      <c r="C2175" s="3">
        <v>46196</v>
      </c>
      <c r="D2175" t="s">
        <v>369</v>
      </c>
      <c r="E2175" t="s">
        <v>206</v>
      </c>
      <c r="F2175" t="s">
        <v>77</v>
      </c>
      <c r="G2175" t="s">
        <v>40</v>
      </c>
      <c r="H2175" t="s">
        <v>82</v>
      </c>
      <c r="I2175">
        <v>2</v>
      </c>
      <c r="J2175" s="4">
        <v>5960.53</v>
      </c>
      <c r="K2175" s="5">
        <v>0.15</v>
      </c>
      <c r="L2175" s="4">
        <v>4008.77</v>
      </c>
      <c r="M2175" t="s">
        <v>42</v>
      </c>
      <c r="N2175" t="s">
        <v>43</v>
      </c>
      <c r="O2175">
        <f>IF(TablaVentas[[#This Row],[Precio_unitario]]="","PENDIENTE",TablaVentas[[#This Row],[Unidades]]*TablaVentas[[#This Row],[Precio_unitario]]*(1-TablaVentas[[#This Row],[Descuento_pct]]))</f>
        <v>10132.901</v>
      </c>
      <c r="P2175">
        <f>IF(TablaVentas[[#This Row],[Costo_unitario]]="","PENDIENTE",TablaVentas[[#This Row],[Unidades]]*TablaVentas[[#This Row],[Costo_unitario]])</f>
        <v>8017.54</v>
      </c>
      <c r="Q2175">
        <f>IF(OR(TablaVentas[[#This Row],[Ingreso_neto]]="PENDIENTE",TablaVentas[[#This Row],[Costo_total]]="PENDIENTE"),"PENDIENTE",TablaVentas[[#This Row],[Ingreso_neto]]-TablaVentas[[#This Row],[Costo_total]])</f>
        <v>2115.3609999999999</v>
      </c>
    </row>
    <row r="2176" spans="1:17">
      <c r="A2176" t="s">
        <v>1324</v>
      </c>
      <c r="B2176">
        <v>3</v>
      </c>
      <c r="C2176" s="3">
        <v>46196</v>
      </c>
      <c r="D2176" t="s">
        <v>369</v>
      </c>
      <c r="E2176" t="s">
        <v>367</v>
      </c>
      <c r="F2176" t="s">
        <v>77</v>
      </c>
      <c r="G2176" t="s">
        <v>40</v>
      </c>
      <c r="H2176" t="s">
        <v>82</v>
      </c>
      <c r="I2176">
        <v>1</v>
      </c>
      <c r="J2176" s="4">
        <v>9916.7999999999993</v>
      </c>
      <c r="K2176" s="5">
        <v>0.2</v>
      </c>
      <c r="L2176" s="4">
        <v>5079.43</v>
      </c>
      <c r="M2176" t="s">
        <v>42</v>
      </c>
      <c r="N2176" t="s">
        <v>45</v>
      </c>
      <c r="O2176">
        <f>IF(TablaVentas[[#This Row],[Precio_unitario]]="","PENDIENTE",TablaVentas[[#This Row],[Unidades]]*TablaVentas[[#This Row],[Precio_unitario]]*(1-TablaVentas[[#This Row],[Descuento_pct]]))</f>
        <v>7933.44</v>
      </c>
      <c r="P2176">
        <f>IF(TablaVentas[[#This Row],[Costo_unitario]]="","PENDIENTE",TablaVentas[[#This Row],[Unidades]]*TablaVentas[[#This Row],[Costo_unitario]])</f>
        <v>5079.43</v>
      </c>
      <c r="Q2176">
        <f>IF(OR(TablaVentas[[#This Row],[Ingreso_neto]]="PENDIENTE",TablaVentas[[#This Row],[Costo_total]]="PENDIENTE"),"PENDIENTE",TablaVentas[[#This Row],[Ingreso_neto]]-TablaVentas[[#This Row],[Costo_total]])</f>
        <v>2854.0099999999993</v>
      </c>
    </row>
    <row r="2177" spans="1:17">
      <c r="A2177" t="s">
        <v>1325</v>
      </c>
      <c r="B2177">
        <v>1</v>
      </c>
      <c r="C2177" s="3">
        <v>46155</v>
      </c>
      <c r="D2177" t="s">
        <v>1237</v>
      </c>
      <c r="E2177" t="s">
        <v>277</v>
      </c>
      <c r="F2177" t="s">
        <v>66</v>
      </c>
      <c r="G2177" t="s">
        <v>57</v>
      </c>
      <c r="H2177" t="s">
        <v>124</v>
      </c>
      <c r="I2177">
        <v>1</v>
      </c>
      <c r="J2177" s="4">
        <v>7146.75</v>
      </c>
      <c r="K2177" s="5">
        <v>0.05</v>
      </c>
      <c r="L2177" s="4">
        <v>4858.08</v>
      </c>
      <c r="M2177" t="s">
        <v>42</v>
      </c>
      <c r="N2177" t="s">
        <v>60</v>
      </c>
      <c r="O2177">
        <f>IF(TablaVentas[[#This Row],[Precio_unitario]]="","PENDIENTE",TablaVentas[[#This Row],[Unidades]]*TablaVentas[[#This Row],[Precio_unitario]]*(1-TablaVentas[[#This Row],[Descuento_pct]]))</f>
        <v>6789.4124999999995</v>
      </c>
      <c r="P2177">
        <f>IF(TablaVentas[[#This Row],[Costo_unitario]]="","PENDIENTE",TablaVentas[[#This Row],[Unidades]]*TablaVentas[[#This Row],[Costo_unitario]])</f>
        <v>4858.08</v>
      </c>
      <c r="Q2177">
        <f>IF(OR(TablaVentas[[#This Row],[Ingreso_neto]]="PENDIENTE",TablaVentas[[#This Row],[Costo_total]]="PENDIENTE"),"PENDIENTE",TablaVentas[[#This Row],[Ingreso_neto]]-TablaVentas[[#This Row],[Costo_total]])</f>
        <v>1931.3324999999995</v>
      </c>
    </row>
    <row r="2178" spans="1:17">
      <c r="A2178" t="s">
        <v>1325</v>
      </c>
      <c r="B2178">
        <v>2</v>
      </c>
      <c r="C2178" s="3">
        <v>46155</v>
      </c>
      <c r="D2178" t="s">
        <v>1237</v>
      </c>
      <c r="E2178" t="s">
        <v>320</v>
      </c>
      <c r="F2178" t="s">
        <v>66</v>
      </c>
      <c r="G2178" t="s">
        <v>57</v>
      </c>
      <c r="H2178" t="s">
        <v>124</v>
      </c>
      <c r="I2178">
        <v>1</v>
      </c>
      <c r="J2178" s="4">
        <v>4540.16</v>
      </c>
      <c r="K2178" s="5">
        <v>0.1</v>
      </c>
      <c r="L2178" s="4">
        <v>3065.66</v>
      </c>
      <c r="M2178" t="s">
        <v>116</v>
      </c>
      <c r="N2178" t="s">
        <v>52</v>
      </c>
      <c r="O2178">
        <f>IF(TablaVentas[[#This Row],[Precio_unitario]]="","PENDIENTE",TablaVentas[[#This Row],[Unidades]]*TablaVentas[[#This Row],[Precio_unitario]]*(1-TablaVentas[[#This Row],[Descuento_pct]]))</f>
        <v>4086.1439999999998</v>
      </c>
      <c r="P2178">
        <f>IF(TablaVentas[[#This Row],[Costo_unitario]]="","PENDIENTE",TablaVentas[[#This Row],[Unidades]]*TablaVentas[[#This Row],[Costo_unitario]])</f>
        <v>3065.66</v>
      </c>
      <c r="Q2178">
        <f>IF(OR(TablaVentas[[#This Row],[Ingreso_neto]]="PENDIENTE",TablaVentas[[#This Row],[Costo_total]]="PENDIENTE"),"PENDIENTE",TablaVentas[[#This Row],[Ingreso_neto]]-TablaVentas[[#This Row],[Costo_total]])</f>
        <v>1020.4839999999999</v>
      </c>
    </row>
    <row r="2179" spans="1:17">
      <c r="A2179" t="s">
        <v>1325</v>
      </c>
      <c r="B2179">
        <v>3</v>
      </c>
      <c r="C2179" s="3">
        <v>46155</v>
      </c>
      <c r="D2179" t="s">
        <v>1237</v>
      </c>
      <c r="E2179" t="s">
        <v>321</v>
      </c>
      <c r="F2179" t="s">
        <v>66</v>
      </c>
      <c r="G2179" t="s">
        <v>57</v>
      </c>
      <c r="H2179" t="s">
        <v>124</v>
      </c>
      <c r="I2179">
        <v>1</v>
      </c>
      <c r="J2179" s="4">
        <v>1180.24</v>
      </c>
      <c r="K2179" s="5">
        <v>0</v>
      </c>
      <c r="L2179" s="4">
        <v>679.37</v>
      </c>
      <c r="M2179" t="s">
        <v>62</v>
      </c>
      <c r="N2179" t="s">
        <v>52</v>
      </c>
      <c r="O2179">
        <f>IF(TablaVentas[[#This Row],[Precio_unitario]]="","PENDIENTE",TablaVentas[[#This Row],[Unidades]]*TablaVentas[[#This Row],[Precio_unitario]]*(1-TablaVentas[[#This Row],[Descuento_pct]]))</f>
        <v>1180.24</v>
      </c>
      <c r="P2179">
        <f>IF(TablaVentas[[#This Row],[Costo_unitario]]="","PENDIENTE",TablaVentas[[#This Row],[Unidades]]*TablaVentas[[#This Row],[Costo_unitario]])</f>
        <v>679.37</v>
      </c>
      <c r="Q2179">
        <f>IF(OR(TablaVentas[[#This Row],[Ingreso_neto]]="PENDIENTE",TablaVentas[[#This Row],[Costo_total]]="PENDIENTE"),"PENDIENTE",TablaVentas[[#This Row],[Ingreso_neto]]-TablaVentas[[#This Row],[Costo_total]])</f>
        <v>500.87</v>
      </c>
    </row>
    <row r="2180" spans="1:17">
      <c r="A2180" t="s">
        <v>1326</v>
      </c>
      <c r="B2180">
        <v>1</v>
      </c>
      <c r="C2180" s="3">
        <v>46062</v>
      </c>
      <c r="D2180" t="s">
        <v>96</v>
      </c>
      <c r="E2180" t="s">
        <v>218</v>
      </c>
      <c r="F2180" t="s">
        <v>66</v>
      </c>
      <c r="G2180" t="s">
        <v>50</v>
      </c>
      <c r="H2180" t="s">
        <v>67</v>
      </c>
      <c r="I2180">
        <v>2</v>
      </c>
      <c r="J2180" s="4">
        <v>4596.6099999999997</v>
      </c>
      <c r="K2180" s="5">
        <v>0</v>
      </c>
      <c r="L2180" s="4">
        <v>2833.97</v>
      </c>
      <c r="M2180" t="s">
        <v>42</v>
      </c>
      <c r="N2180" t="s">
        <v>43</v>
      </c>
      <c r="O2180">
        <f>IF(TablaVentas[[#This Row],[Precio_unitario]]="","PENDIENTE",TablaVentas[[#This Row],[Unidades]]*TablaVentas[[#This Row],[Precio_unitario]]*(1-TablaVentas[[#This Row],[Descuento_pct]]))</f>
        <v>9193.2199999999993</v>
      </c>
      <c r="P2180">
        <f>IF(TablaVentas[[#This Row],[Costo_unitario]]="","PENDIENTE",TablaVentas[[#This Row],[Unidades]]*TablaVentas[[#This Row],[Costo_unitario]])</f>
        <v>5667.94</v>
      </c>
      <c r="Q2180">
        <f>IF(OR(TablaVentas[[#This Row],[Ingreso_neto]]="PENDIENTE",TablaVentas[[#This Row],[Costo_total]]="PENDIENTE"),"PENDIENTE",TablaVentas[[#This Row],[Ingreso_neto]]-TablaVentas[[#This Row],[Costo_total]])</f>
        <v>3525.2799999999997</v>
      </c>
    </row>
    <row r="2181" spans="1:17">
      <c r="A2181" t="s">
        <v>1326</v>
      </c>
      <c r="B2181">
        <v>2</v>
      </c>
      <c r="C2181" s="3">
        <v>46062</v>
      </c>
      <c r="D2181" t="s">
        <v>96</v>
      </c>
      <c r="E2181" t="s">
        <v>335</v>
      </c>
      <c r="F2181" t="s">
        <v>66</v>
      </c>
      <c r="G2181" t="s">
        <v>50</v>
      </c>
      <c r="H2181" t="s">
        <v>67</v>
      </c>
      <c r="I2181">
        <v>2</v>
      </c>
      <c r="J2181" s="4">
        <v>7084.22</v>
      </c>
      <c r="K2181" s="5">
        <v>0</v>
      </c>
      <c r="L2181" s="4">
        <v>5587.31</v>
      </c>
      <c r="M2181" t="s">
        <v>42</v>
      </c>
      <c r="N2181" t="s">
        <v>43</v>
      </c>
      <c r="O2181">
        <f>IF(TablaVentas[[#This Row],[Precio_unitario]]="","PENDIENTE",TablaVentas[[#This Row],[Unidades]]*TablaVentas[[#This Row],[Precio_unitario]]*(1-TablaVentas[[#This Row],[Descuento_pct]]))</f>
        <v>14168.44</v>
      </c>
      <c r="P2181">
        <f>IF(TablaVentas[[#This Row],[Costo_unitario]]="","PENDIENTE",TablaVentas[[#This Row],[Unidades]]*TablaVentas[[#This Row],[Costo_unitario]])</f>
        <v>11174.62</v>
      </c>
      <c r="Q2181">
        <f>IF(OR(TablaVentas[[#This Row],[Ingreso_neto]]="PENDIENTE",TablaVentas[[#This Row],[Costo_total]]="PENDIENTE"),"PENDIENTE",TablaVentas[[#This Row],[Ingreso_neto]]-TablaVentas[[#This Row],[Costo_total]])</f>
        <v>2993.8199999999997</v>
      </c>
    </row>
    <row r="2182" spans="1:17">
      <c r="A2182" t="s">
        <v>1326</v>
      </c>
      <c r="B2182">
        <v>3</v>
      </c>
      <c r="C2182" s="3">
        <v>46062</v>
      </c>
      <c r="D2182" t="s">
        <v>96</v>
      </c>
      <c r="E2182" t="s">
        <v>84</v>
      </c>
      <c r="F2182" t="s">
        <v>66</v>
      </c>
      <c r="G2182" t="s">
        <v>50</v>
      </c>
      <c r="H2182" t="s">
        <v>67</v>
      </c>
      <c r="I2182">
        <v>1</v>
      </c>
      <c r="J2182" s="4">
        <v>14061.25</v>
      </c>
      <c r="K2182" s="5">
        <v>0.2</v>
      </c>
      <c r="L2182" s="4">
        <v>8576.0499999999993</v>
      </c>
      <c r="M2182" t="s">
        <v>42</v>
      </c>
      <c r="N2182" t="s">
        <v>43</v>
      </c>
      <c r="O2182">
        <f>IF(TablaVentas[[#This Row],[Precio_unitario]]="","PENDIENTE",TablaVentas[[#This Row],[Unidades]]*TablaVentas[[#This Row],[Precio_unitario]]*(1-TablaVentas[[#This Row],[Descuento_pct]]))</f>
        <v>11249</v>
      </c>
      <c r="P2182">
        <f>IF(TablaVentas[[#This Row],[Costo_unitario]]="","PENDIENTE",TablaVentas[[#This Row],[Unidades]]*TablaVentas[[#This Row],[Costo_unitario]])</f>
        <v>8576.0499999999993</v>
      </c>
      <c r="Q2182">
        <f>IF(OR(TablaVentas[[#This Row],[Ingreso_neto]]="PENDIENTE",TablaVentas[[#This Row],[Costo_total]]="PENDIENTE"),"PENDIENTE",TablaVentas[[#This Row],[Ingreso_neto]]-TablaVentas[[#This Row],[Costo_total]])</f>
        <v>2672.9500000000007</v>
      </c>
    </row>
    <row r="2183" spans="1:17">
      <c r="A2183" t="s">
        <v>1327</v>
      </c>
      <c r="B2183">
        <v>1</v>
      </c>
      <c r="C2183" s="3">
        <v>46121</v>
      </c>
      <c r="D2183" t="s">
        <v>1070</v>
      </c>
      <c r="E2183" t="s">
        <v>256</v>
      </c>
      <c r="F2183" t="s">
        <v>66</v>
      </c>
      <c r="G2183" t="s">
        <v>57</v>
      </c>
      <c r="H2183" t="s">
        <v>51</v>
      </c>
      <c r="I2183">
        <v>5</v>
      </c>
      <c r="J2183" s="4">
        <v>17403.62</v>
      </c>
      <c r="K2183" s="5">
        <v>0.05</v>
      </c>
      <c r="L2183" s="4">
        <v>11666.57</v>
      </c>
      <c r="M2183" t="s">
        <v>42</v>
      </c>
      <c r="N2183" t="s">
        <v>45</v>
      </c>
      <c r="O2183">
        <f>IF(TablaVentas[[#This Row],[Precio_unitario]]="","PENDIENTE",TablaVentas[[#This Row],[Unidades]]*TablaVentas[[#This Row],[Precio_unitario]]*(1-TablaVentas[[#This Row],[Descuento_pct]]))</f>
        <v>82667.194999999992</v>
      </c>
      <c r="P2183">
        <f>IF(TablaVentas[[#This Row],[Costo_unitario]]="","PENDIENTE",TablaVentas[[#This Row],[Unidades]]*TablaVentas[[#This Row],[Costo_unitario]])</f>
        <v>58332.85</v>
      </c>
      <c r="Q2183">
        <f>IF(OR(TablaVentas[[#This Row],[Ingreso_neto]]="PENDIENTE",TablaVentas[[#This Row],[Costo_total]]="PENDIENTE"),"PENDIENTE",TablaVentas[[#This Row],[Ingreso_neto]]-TablaVentas[[#This Row],[Costo_total]])</f>
        <v>24334.344999999994</v>
      </c>
    </row>
    <row r="2184" spans="1:17">
      <c r="A2184" t="s">
        <v>1327</v>
      </c>
      <c r="B2184">
        <v>2</v>
      </c>
      <c r="C2184" s="3">
        <v>46121</v>
      </c>
      <c r="D2184" t="s">
        <v>1070</v>
      </c>
      <c r="E2184" t="s">
        <v>128</v>
      </c>
      <c r="F2184" t="s">
        <v>66</v>
      </c>
      <c r="G2184" t="s">
        <v>57</v>
      </c>
      <c r="H2184" t="s">
        <v>51</v>
      </c>
      <c r="I2184">
        <v>3</v>
      </c>
      <c r="J2184" s="4">
        <v>1662.85</v>
      </c>
      <c r="K2184" s="5">
        <v>0</v>
      </c>
      <c r="L2184" s="4">
        <v>900.08</v>
      </c>
      <c r="M2184" t="s">
        <v>42</v>
      </c>
      <c r="N2184" t="s">
        <v>45</v>
      </c>
      <c r="O2184">
        <f>IF(TablaVentas[[#This Row],[Precio_unitario]]="","PENDIENTE",TablaVentas[[#This Row],[Unidades]]*TablaVentas[[#This Row],[Precio_unitario]]*(1-TablaVentas[[#This Row],[Descuento_pct]]))</f>
        <v>4988.5499999999993</v>
      </c>
      <c r="P2184">
        <f>IF(TablaVentas[[#This Row],[Costo_unitario]]="","PENDIENTE",TablaVentas[[#This Row],[Unidades]]*TablaVentas[[#This Row],[Costo_unitario]])</f>
        <v>2700.2400000000002</v>
      </c>
      <c r="Q2184">
        <f>IF(OR(TablaVentas[[#This Row],[Ingreso_neto]]="PENDIENTE",TablaVentas[[#This Row],[Costo_total]]="PENDIENTE"),"PENDIENTE",TablaVentas[[#This Row],[Ingreso_neto]]-TablaVentas[[#This Row],[Costo_total]])</f>
        <v>2288.309999999999</v>
      </c>
    </row>
    <row r="2185" spans="1:17">
      <c r="A2185" t="s">
        <v>1327</v>
      </c>
      <c r="B2185">
        <v>3</v>
      </c>
      <c r="C2185" s="3">
        <v>46121</v>
      </c>
      <c r="D2185" t="s">
        <v>1070</v>
      </c>
      <c r="E2185" t="s">
        <v>90</v>
      </c>
      <c r="F2185" t="s">
        <v>66</v>
      </c>
      <c r="G2185" t="s">
        <v>57</v>
      </c>
      <c r="H2185" t="s">
        <v>51</v>
      </c>
      <c r="I2185">
        <v>2</v>
      </c>
      <c r="J2185" s="4">
        <v>11193.07</v>
      </c>
      <c r="K2185" s="5">
        <v>0</v>
      </c>
      <c r="L2185" s="4">
        <v>8174.87</v>
      </c>
      <c r="M2185" t="s">
        <v>42</v>
      </c>
      <c r="N2185" t="s">
        <v>52</v>
      </c>
      <c r="O2185">
        <f>IF(TablaVentas[[#This Row],[Precio_unitario]]="","PENDIENTE",TablaVentas[[#This Row],[Unidades]]*TablaVentas[[#This Row],[Precio_unitario]]*(1-TablaVentas[[#This Row],[Descuento_pct]]))</f>
        <v>22386.14</v>
      </c>
      <c r="P2185">
        <f>IF(TablaVentas[[#This Row],[Costo_unitario]]="","PENDIENTE",TablaVentas[[#This Row],[Unidades]]*TablaVentas[[#This Row],[Costo_unitario]])</f>
        <v>16349.74</v>
      </c>
      <c r="Q2185">
        <f>IF(OR(TablaVentas[[#This Row],[Ingreso_neto]]="PENDIENTE",TablaVentas[[#This Row],[Costo_total]]="PENDIENTE"),"PENDIENTE",TablaVentas[[#This Row],[Ingreso_neto]]-TablaVentas[[#This Row],[Costo_total]])</f>
        <v>6036.4</v>
      </c>
    </row>
    <row r="2186" spans="1:17">
      <c r="A2186" t="s">
        <v>1327</v>
      </c>
      <c r="B2186">
        <v>4</v>
      </c>
      <c r="C2186" s="3">
        <v>46121</v>
      </c>
      <c r="D2186" t="s">
        <v>1070</v>
      </c>
      <c r="E2186" t="s">
        <v>155</v>
      </c>
      <c r="F2186" t="s">
        <v>66</v>
      </c>
      <c r="G2186" t="s">
        <v>57</v>
      </c>
      <c r="H2186" t="s">
        <v>51</v>
      </c>
      <c r="I2186">
        <v>1</v>
      </c>
      <c r="J2186" s="4">
        <v>760.69</v>
      </c>
      <c r="K2186" s="5">
        <v>0.2</v>
      </c>
      <c r="L2186" s="4">
        <v>397.1</v>
      </c>
      <c r="M2186" t="s">
        <v>42</v>
      </c>
      <c r="N2186" t="s">
        <v>45</v>
      </c>
      <c r="O2186">
        <f>IF(TablaVentas[[#This Row],[Precio_unitario]]="","PENDIENTE",TablaVentas[[#This Row],[Unidades]]*TablaVentas[[#This Row],[Precio_unitario]]*(1-TablaVentas[[#This Row],[Descuento_pct]]))</f>
        <v>608.55200000000002</v>
      </c>
      <c r="P2186">
        <f>IF(TablaVentas[[#This Row],[Costo_unitario]]="","PENDIENTE",TablaVentas[[#This Row],[Unidades]]*TablaVentas[[#This Row],[Costo_unitario]])</f>
        <v>397.1</v>
      </c>
      <c r="Q2186">
        <f>IF(OR(TablaVentas[[#This Row],[Ingreso_neto]]="PENDIENTE",TablaVentas[[#This Row],[Costo_total]]="PENDIENTE"),"PENDIENTE",TablaVentas[[#This Row],[Ingreso_neto]]-TablaVentas[[#This Row],[Costo_total]])</f>
        <v>211.452</v>
      </c>
    </row>
    <row r="2187" spans="1:17">
      <c r="A2187" t="s">
        <v>1328</v>
      </c>
      <c r="B2187">
        <v>1</v>
      </c>
      <c r="C2187" s="3">
        <v>46289</v>
      </c>
      <c r="D2187" t="s">
        <v>963</v>
      </c>
      <c r="E2187" t="s">
        <v>226</v>
      </c>
      <c r="F2187" t="s">
        <v>39</v>
      </c>
      <c r="G2187" t="s">
        <v>50</v>
      </c>
      <c r="H2187" t="s">
        <v>58</v>
      </c>
      <c r="I2187">
        <v>8</v>
      </c>
      <c r="J2187" s="4">
        <v>18633.13</v>
      </c>
      <c r="K2187" s="5">
        <v>0.05</v>
      </c>
      <c r="L2187" s="4">
        <v>9976.68</v>
      </c>
      <c r="M2187" t="s">
        <v>42</v>
      </c>
      <c r="N2187" t="s">
        <v>45</v>
      </c>
      <c r="O2187">
        <f>IF(TablaVentas[[#This Row],[Precio_unitario]]="","PENDIENTE",TablaVentas[[#This Row],[Unidades]]*TablaVentas[[#This Row],[Precio_unitario]]*(1-TablaVentas[[#This Row],[Descuento_pct]]))</f>
        <v>141611.788</v>
      </c>
      <c r="P2187">
        <f>IF(TablaVentas[[#This Row],[Costo_unitario]]="","PENDIENTE",TablaVentas[[#This Row],[Unidades]]*TablaVentas[[#This Row],[Costo_unitario]])</f>
        <v>79813.440000000002</v>
      </c>
      <c r="Q2187">
        <f>IF(OR(TablaVentas[[#This Row],[Ingreso_neto]]="PENDIENTE",TablaVentas[[#This Row],[Costo_total]]="PENDIENTE"),"PENDIENTE",TablaVentas[[#This Row],[Ingreso_neto]]-TablaVentas[[#This Row],[Costo_total]])</f>
        <v>61798.347999999998</v>
      </c>
    </row>
    <row r="2188" spans="1:17">
      <c r="A2188" t="s">
        <v>1329</v>
      </c>
      <c r="B2188">
        <v>1</v>
      </c>
      <c r="C2188" s="3">
        <v>46248</v>
      </c>
      <c r="D2188" t="s">
        <v>1171</v>
      </c>
      <c r="E2188" t="s">
        <v>256</v>
      </c>
      <c r="F2188" t="s">
        <v>56</v>
      </c>
      <c r="G2188" t="s">
        <v>50</v>
      </c>
      <c r="H2188" t="s">
        <v>73</v>
      </c>
      <c r="I2188">
        <v>3</v>
      </c>
      <c r="J2188" s="4">
        <v>17655.509999999998</v>
      </c>
      <c r="K2188" s="5">
        <v>0.2</v>
      </c>
      <c r="L2188" s="4">
        <v>11666.57</v>
      </c>
      <c r="M2188" t="s">
        <v>116</v>
      </c>
      <c r="N2188" t="s">
        <v>43</v>
      </c>
      <c r="O2188">
        <f>IF(TablaVentas[[#This Row],[Precio_unitario]]="","PENDIENTE",TablaVentas[[#This Row],[Unidades]]*TablaVentas[[#This Row],[Precio_unitario]]*(1-TablaVentas[[#This Row],[Descuento_pct]]))</f>
        <v>42373.224000000002</v>
      </c>
      <c r="P2188">
        <f>IF(TablaVentas[[#This Row],[Costo_unitario]]="","PENDIENTE",TablaVentas[[#This Row],[Unidades]]*TablaVentas[[#This Row],[Costo_unitario]])</f>
        <v>34999.71</v>
      </c>
      <c r="Q2188">
        <f>IF(OR(TablaVentas[[#This Row],[Ingreso_neto]]="PENDIENTE",TablaVentas[[#This Row],[Costo_total]]="PENDIENTE"),"PENDIENTE",TablaVentas[[#This Row],[Ingreso_neto]]-TablaVentas[[#This Row],[Costo_total]])</f>
        <v>7373.5140000000029</v>
      </c>
    </row>
    <row r="2189" spans="1:17">
      <c r="A2189" t="s">
        <v>1329</v>
      </c>
      <c r="B2189">
        <v>2</v>
      </c>
      <c r="C2189" s="3">
        <v>46248</v>
      </c>
      <c r="D2189" t="s">
        <v>1171</v>
      </c>
      <c r="E2189" t="s">
        <v>212</v>
      </c>
      <c r="F2189" t="s">
        <v>56</v>
      </c>
      <c r="G2189" t="s">
        <v>50</v>
      </c>
      <c r="H2189" t="s">
        <v>73</v>
      </c>
      <c r="I2189">
        <v>2</v>
      </c>
      <c r="J2189" s="4">
        <v>3340.57</v>
      </c>
      <c r="K2189" s="5">
        <v>0.1</v>
      </c>
      <c r="L2189" s="4">
        <v>2157.5500000000002</v>
      </c>
      <c r="M2189" t="s">
        <v>62</v>
      </c>
      <c r="N2189" t="s">
        <v>60</v>
      </c>
      <c r="O2189">
        <f>IF(TablaVentas[[#This Row],[Precio_unitario]]="","PENDIENTE",TablaVentas[[#This Row],[Unidades]]*TablaVentas[[#This Row],[Precio_unitario]]*(1-TablaVentas[[#This Row],[Descuento_pct]]))</f>
        <v>6013.0260000000007</v>
      </c>
      <c r="P2189">
        <f>IF(TablaVentas[[#This Row],[Costo_unitario]]="","PENDIENTE",TablaVentas[[#This Row],[Unidades]]*TablaVentas[[#This Row],[Costo_unitario]])</f>
        <v>4315.1000000000004</v>
      </c>
      <c r="Q2189">
        <f>IF(OR(TablaVentas[[#This Row],[Ingreso_neto]]="PENDIENTE",TablaVentas[[#This Row],[Costo_total]]="PENDIENTE"),"PENDIENTE",TablaVentas[[#This Row],[Ingreso_neto]]-TablaVentas[[#This Row],[Costo_total]])</f>
        <v>1697.9260000000004</v>
      </c>
    </row>
    <row r="2190" spans="1:17">
      <c r="A2190" t="s">
        <v>1329</v>
      </c>
      <c r="B2190">
        <v>3</v>
      </c>
      <c r="C2190" s="3">
        <v>46248</v>
      </c>
      <c r="D2190" t="s">
        <v>1171</v>
      </c>
      <c r="E2190" t="s">
        <v>128</v>
      </c>
      <c r="F2190" t="s">
        <v>56</v>
      </c>
      <c r="G2190" t="s">
        <v>50</v>
      </c>
      <c r="H2190" t="s">
        <v>73</v>
      </c>
      <c r="I2190">
        <v>3</v>
      </c>
      <c r="J2190" s="4">
        <v>1688.27</v>
      </c>
      <c r="K2190" s="5">
        <v>0</v>
      </c>
      <c r="L2190" s="4">
        <v>900.08</v>
      </c>
      <c r="M2190" t="s">
        <v>42</v>
      </c>
      <c r="N2190" t="s">
        <v>52</v>
      </c>
      <c r="O2190">
        <f>IF(TablaVentas[[#This Row],[Precio_unitario]]="","PENDIENTE",TablaVentas[[#This Row],[Unidades]]*TablaVentas[[#This Row],[Precio_unitario]]*(1-TablaVentas[[#This Row],[Descuento_pct]]))</f>
        <v>5064.8099999999995</v>
      </c>
      <c r="P2190">
        <f>IF(TablaVentas[[#This Row],[Costo_unitario]]="","PENDIENTE",TablaVentas[[#This Row],[Unidades]]*TablaVentas[[#This Row],[Costo_unitario]])</f>
        <v>2700.2400000000002</v>
      </c>
      <c r="Q2190">
        <f>IF(OR(TablaVentas[[#This Row],[Ingreso_neto]]="PENDIENTE",TablaVentas[[#This Row],[Costo_total]]="PENDIENTE"),"PENDIENTE",TablaVentas[[#This Row],[Ingreso_neto]]-TablaVentas[[#This Row],[Costo_total]])</f>
        <v>2364.5699999999993</v>
      </c>
    </row>
    <row r="2191" spans="1:17">
      <c r="A2191" t="s">
        <v>1329</v>
      </c>
      <c r="B2191">
        <v>4</v>
      </c>
      <c r="C2191" s="3">
        <v>46248</v>
      </c>
      <c r="D2191" t="s">
        <v>1171</v>
      </c>
      <c r="E2191" t="s">
        <v>167</v>
      </c>
      <c r="F2191" t="s">
        <v>56</v>
      </c>
      <c r="G2191" t="s">
        <v>50</v>
      </c>
      <c r="H2191" t="s">
        <v>73</v>
      </c>
      <c r="I2191">
        <v>1</v>
      </c>
      <c r="J2191" s="4">
        <v>18626.810000000001</v>
      </c>
      <c r="K2191" s="5">
        <v>0.15</v>
      </c>
      <c r="L2191" s="4">
        <v>8704.4</v>
      </c>
      <c r="M2191" t="s">
        <v>42</v>
      </c>
      <c r="N2191" t="s">
        <v>52</v>
      </c>
      <c r="O2191">
        <f>IF(TablaVentas[[#This Row],[Precio_unitario]]="","PENDIENTE",TablaVentas[[#This Row],[Unidades]]*TablaVentas[[#This Row],[Precio_unitario]]*(1-TablaVentas[[#This Row],[Descuento_pct]]))</f>
        <v>15832.788500000001</v>
      </c>
      <c r="P2191">
        <f>IF(TablaVentas[[#This Row],[Costo_unitario]]="","PENDIENTE",TablaVentas[[#This Row],[Unidades]]*TablaVentas[[#This Row],[Costo_unitario]])</f>
        <v>8704.4</v>
      </c>
      <c r="Q2191">
        <f>IF(OR(TablaVentas[[#This Row],[Ingreso_neto]]="PENDIENTE",TablaVentas[[#This Row],[Costo_total]]="PENDIENTE"),"PENDIENTE",TablaVentas[[#This Row],[Ingreso_neto]]-TablaVentas[[#This Row],[Costo_total]])</f>
        <v>7128.3885000000009</v>
      </c>
    </row>
    <row r="2192" spans="1:17">
      <c r="A2192" t="s">
        <v>1329</v>
      </c>
      <c r="B2192">
        <v>5</v>
      </c>
      <c r="C2192" s="3">
        <v>46248</v>
      </c>
      <c r="D2192" t="s">
        <v>1171</v>
      </c>
      <c r="E2192" t="s">
        <v>335</v>
      </c>
      <c r="F2192" t="s">
        <v>56</v>
      </c>
      <c r="G2192" t="s">
        <v>50</v>
      </c>
      <c r="H2192" t="s">
        <v>73</v>
      </c>
      <c r="I2192">
        <v>8</v>
      </c>
      <c r="J2192" s="4">
        <v>6782.61</v>
      </c>
      <c r="K2192" s="5">
        <v>0</v>
      </c>
      <c r="L2192" s="4">
        <v>5587.31</v>
      </c>
      <c r="M2192" t="s">
        <v>42</v>
      </c>
      <c r="N2192" t="s">
        <v>60</v>
      </c>
      <c r="O2192">
        <f>IF(TablaVentas[[#This Row],[Precio_unitario]]="","PENDIENTE",TablaVentas[[#This Row],[Unidades]]*TablaVentas[[#This Row],[Precio_unitario]]*(1-TablaVentas[[#This Row],[Descuento_pct]]))</f>
        <v>54260.88</v>
      </c>
      <c r="P2192">
        <f>IF(TablaVentas[[#This Row],[Costo_unitario]]="","PENDIENTE",TablaVentas[[#This Row],[Unidades]]*TablaVentas[[#This Row],[Costo_unitario]])</f>
        <v>44698.48</v>
      </c>
      <c r="Q2192">
        <f>IF(OR(TablaVentas[[#This Row],[Ingreso_neto]]="PENDIENTE",TablaVentas[[#This Row],[Costo_total]]="PENDIENTE"),"PENDIENTE",TablaVentas[[#This Row],[Ingreso_neto]]-TablaVentas[[#This Row],[Costo_total]])</f>
        <v>9562.3999999999942</v>
      </c>
    </row>
    <row r="2193" spans="1:17">
      <c r="A2193" t="s">
        <v>1330</v>
      </c>
      <c r="B2193">
        <v>1</v>
      </c>
      <c r="C2193" s="3">
        <v>46098</v>
      </c>
      <c r="D2193" t="s">
        <v>122</v>
      </c>
      <c r="E2193" t="s">
        <v>85</v>
      </c>
      <c r="F2193" t="s">
        <v>39</v>
      </c>
      <c r="G2193" t="s">
        <v>40</v>
      </c>
      <c r="H2193" t="s">
        <v>67</v>
      </c>
      <c r="I2193">
        <v>2</v>
      </c>
      <c r="J2193" s="4">
        <v>548.22</v>
      </c>
      <c r="K2193" s="5">
        <v>0.2</v>
      </c>
      <c r="L2193" s="4">
        <v>307.75</v>
      </c>
      <c r="M2193" t="s">
        <v>42</v>
      </c>
      <c r="N2193" t="s">
        <v>60</v>
      </c>
      <c r="O2193">
        <f>IF(TablaVentas[[#This Row],[Precio_unitario]]="","PENDIENTE",TablaVentas[[#This Row],[Unidades]]*TablaVentas[[#This Row],[Precio_unitario]]*(1-TablaVentas[[#This Row],[Descuento_pct]]))</f>
        <v>877.15200000000004</v>
      </c>
      <c r="P2193">
        <f>IF(TablaVentas[[#This Row],[Costo_unitario]]="","PENDIENTE",TablaVentas[[#This Row],[Unidades]]*TablaVentas[[#This Row],[Costo_unitario]])</f>
        <v>615.5</v>
      </c>
      <c r="Q2193">
        <f>IF(OR(TablaVentas[[#This Row],[Ingreso_neto]]="PENDIENTE",TablaVentas[[#This Row],[Costo_total]]="PENDIENTE"),"PENDIENTE",TablaVentas[[#This Row],[Ingreso_neto]]-TablaVentas[[#This Row],[Costo_total]])</f>
        <v>261.65200000000004</v>
      </c>
    </row>
    <row r="2194" spans="1:17">
      <c r="A2194" t="s">
        <v>1330</v>
      </c>
      <c r="B2194">
        <v>2</v>
      </c>
      <c r="C2194" s="3">
        <v>46098</v>
      </c>
      <c r="D2194" t="s">
        <v>122</v>
      </c>
      <c r="E2194" t="s">
        <v>163</v>
      </c>
      <c r="F2194" t="s">
        <v>39</v>
      </c>
      <c r="G2194" t="s">
        <v>40</v>
      </c>
      <c r="H2194" t="s">
        <v>67</v>
      </c>
      <c r="I2194">
        <v>1</v>
      </c>
      <c r="J2194" s="4">
        <v>17287.080000000002</v>
      </c>
      <c r="K2194" s="5">
        <v>0.05</v>
      </c>
      <c r="L2194" s="4">
        <v>12141.44</v>
      </c>
      <c r="M2194" t="s">
        <v>42</v>
      </c>
      <c r="N2194" t="s">
        <v>43</v>
      </c>
      <c r="O2194">
        <f>IF(TablaVentas[[#This Row],[Precio_unitario]]="","PENDIENTE",TablaVentas[[#This Row],[Unidades]]*TablaVentas[[#This Row],[Precio_unitario]]*(1-TablaVentas[[#This Row],[Descuento_pct]]))</f>
        <v>16422.726000000002</v>
      </c>
      <c r="P2194">
        <f>IF(TablaVentas[[#This Row],[Costo_unitario]]="","PENDIENTE",TablaVentas[[#This Row],[Unidades]]*TablaVentas[[#This Row],[Costo_unitario]])</f>
        <v>12141.44</v>
      </c>
      <c r="Q2194">
        <f>IF(OR(TablaVentas[[#This Row],[Ingreso_neto]]="PENDIENTE",TablaVentas[[#This Row],[Costo_total]]="PENDIENTE"),"PENDIENTE",TablaVentas[[#This Row],[Ingreso_neto]]-TablaVentas[[#This Row],[Costo_total]])</f>
        <v>4281.2860000000019</v>
      </c>
    </row>
    <row r="2195" spans="1:17">
      <c r="A2195" t="s">
        <v>1331</v>
      </c>
      <c r="B2195">
        <v>1</v>
      </c>
      <c r="C2195" s="3">
        <v>46235</v>
      </c>
      <c r="D2195" t="s">
        <v>804</v>
      </c>
      <c r="E2195" t="s">
        <v>152</v>
      </c>
      <c r="F2195" t="s">
        <v>39</v>
      </c>
      <c r="G2195" t="s">
        <v>40</v>
      </c>
      <c r="H2195" t="s">
        <v>51</v>
      </c>
      <c r="I2195">
        <v>5</v>
      </c>
      <c r="J2195" s="4">
        <v>2519.7600000000002</v>
      </c>
      <c r="K2195" s="5">
        <v>0</v>
      </c>
      <c r="L2195" s="4">
        <v>1962.3</v>
      </c>
      <c r="M2195" t="s">
        <v>42</v>
      </c>
      <c r="N2195" t="s">
        <v>52</v>
      </c>
      <c r="O2195">
        <f>IF(TablaVentas[[#This Row],[Precio_unitario]]="","PENDIENTE",TablaVentas[[#This Row],[Unidades]]*TablaVentas[[#This Row],[Precio_unitario]]*(1-TablaVentas[[#This Row],[Descuento_pct]]))</f>
        <v>12598.800000000001</v>
      </c>
      <c r="P2195">
        <f>IF(TablaVentas[[#This Row],[Costo_unitario]]="","PENDIENTE",TablaVentas[[#This Row],[Unidades]]*TablaVentas[[#This Row],[Costo_unitario]])</f>
        <v>9811.5</v>
      </c>
      <c r="Q2195">
        <f>IF(OR(TablaVentas[[#This Row],[Ingreso_neto]]="PENDIENTE",TablaVentas[[#This Row],[Costo_total]]="PENDIENTE"),"PENDIENTE",TablaVentas[[#This Row],[Ingreso_neto]]-TablaVentas[[#This Row],[Costo_total]])</f>
        <v>2787.3000000000011</v>
      </c>
    </row>
    <row r="2196" spans="1:17">
      <c r="A2196" t="s">
        <v>1332</v>
      </c>
      <c r="B2196">
        <v>1</v>
      </c>
      <c r="C2196" s="3">
        <v>46139</v>
      </c>
      <c r="D2196" t="s">
        <v>761</v>
      </c>
      <c r="E2196" t="s">
        <v>183</v>
      </c>
      <c r="F2196" t="s">
        <v>39</v>
      </c>
      <c r="G2196" t="s">
        <v>57</v>
      </c>
      <c r="H2196" t="s">
        <v>51</v>
      </c>
      <c r="I2196">
        <v>1</v>
      </c>
      <c r="J2196" s="4">
        <v>5631.19</v>
      </c>
      <c r="K2196" s="5">
        <v>0</v>
      </c>
      <c r="L2196" s="4">
        <v>4325.7299999999996</v>
      </c>
      <c r="M2196" t="s">
        <v>42</v>
      </c>
      <c r="N2196" t="s">
        <v>52</v>
      </c>
      <c r="O2196">
        <f>IF(TablaVentas[[#This Row],[Precio_unitario]]="","PENDIENTE",TablaVentas[[#This Row],[Unidades]]*TablaVentas[[#This Row],[Precio_unitario]]*(1-TablaVentas[[#This Row],[Descuento_pct]]))</f>
        <v>5631.19</v>
      </c>
      <c r="P2196">
        <f>IF(TablaVentas[[#This Row],[Costo_unitario]]="","PENDIENTE",TablaVentas[[#This Row],[Unidades]]*TablaVentas[[#This Row],[Costo_unitario]])</f>
        <v>4325.7299999999996</v>
      </c>
      <c r="Q2196">
        <f>IF(OR(TablaVentas[[#This Row],[Ingreso_neto]]="PENDIENTE",TablaVentas[[#This Row],[Costo_total]]="PENDIENTE"),"PENDIENTE",TablaVentas[[#This Row],[Ingreso_neto]]-TablaVentas[[#This Row],[Costo_total]])</f>
        <v>1305.46</v>
      </c>
    </row>
    <row r="2197" spans="1:17">
      <c r="A2197" t="s">
        <v>1333</v>
      </c>
      <c r="B2197">
        <v>1</v>
      </c>
      <c r="C2197" s="3">
        <v>46054</v>
      </c>
      <c r="D2197" t="s">
        <v>105</v>
      </c>
      <c r="E2197" t="s">
        <v>97</v>
      </c>
      <c r="F2197" t="s">
        <v>56</v>
      </c>
      <c r="G2197" t="s">
        <v>40</v>
      </c>
      <c r="H2197" t="s">
        <v>124</v>
      </c>
      <c r="I2197">
        <v>5</v>
      </c>
      <c r="J2197" s="4">
        <v>15902.72</v>
      </c>
      <c r="K2197" s="5">
        <v>0.2</v>
      </c>
      <c r="L2197" s="4">
        <v>11424.77</v>
      </c>
      <c r="M2197" t="s">
        <v>42</v>
      </c>
      <c r="N2197" t="s">
        <v>45</v>
      </c>
      <c r="O2197">
        <f>IF(TablaVentas[[#This Row],[Precio_unitario]]="","PENDIENTE",TablaVentas[[#This Row],[Unidades]]*TablaVentas[[#This Row],[Precio_unitario]]*(1-TablaVentas[[#This Row],[Descuento_pct]]))</f>
        <v>63610.879999999997</v>
      </c>
      <c r="P2197">
        <f>IF(TablaVentas[[#This Row],[Costo_unitario]]="","PENDIENTE",TablaVentas[[#This Row],[Unidades]]*TablaVentas[[#This Row],[Costo_unitario]])</f>
        <v>57123.850000000006</v>
      </c>
      <c r="Q2197">
        <f>IF(OR(TablaVentas[[#This Row],[Ingreso_neto]]="PENDIENTE",TablaVentas[[#This Row],[Costo_total]]="PENDIENTE"),"PENDIENTE",TablaVentas[[#This Row],[Ingreso_neto]]-TablaVentas[[#This Row],[Costo_total]])</f>
        <v>6487.0299999999916</v>
      </c>
    </row>
    <row r="2198" spans="1:17">
      <c r="A2198" t="s">
        <v>1334</v>
      </c>
      <c r="B2198">
        <v>1</v>
      </c>
      <c r="C2198" s="3">
        <v>46092</v>
      </c>
      <c r="D2198" t="s">
        <v>484</v>
      </c>
      <c r="E2198" t="s">
        <v>69</v>
      </c>
      <c r="F2198" t="s">
        <v>77</v>
      </c>
      <c r="G2198" t="s">
        <v>57</v>
      </c>
      <c r="H2198" t="s">
        <v>58</v>
      </c>
      <c r="I2198">
        <v>2</v>
      </c>
      <c r="J2198" s="4">
        <v>11727.48</v>
      </c>
      <c r="K2198" s="5">
        <v>0</v>
      </c>
      <c r="L2198" s="4">
        <v>10094.26</v>
      </c>
      <c r="M2198" t="s">
        <v>42</v>
      </c>
      <c r="N2198" t="s">
        <v>45</v>
      </c>
      <c r="O2198">
        <f>IF(TablaVentas[[#This Row],[Precio_unitario]]="","PENDIENTE",TablaVentas[[#This Row],[Unidades]]*TablaVentas[[#This Row],[Precio_unitario]]*(1-TablaVentas[[#This Row],[Descuento_pct]]))</f>
        <v>23454.959999999999</v>
      </c>
      <c r="P2198">
        <f>IF(TablaVentas[[#This Row],[Costo_unitario]]="","PENDIENTE",TablaVentas[[#This Row],[Unidades]]*TablaVentas[[#This Row],[Costo_unitario]])</f>
        <v>20188.52</v>
      </c>
      <c r="Q2198">
        <f>IF(OR(TablaVentas[[#This Row],[Ingreso_neto]]="PENDIENTE",TablaVentas[[#This Row],[Costo_total]]="PENDIENTE"),"PENDIENTE",TablaVentas[[#This Row],[Ingreso_neto]]-TablaVentas[[#This Row],[Costo_total]])</f>
        <v>3266.4399999999987</v>
      </c>
    </row>
    <row r="2199" spans="1:17">
      <c r="A2199" t="s">
        <v>1334</v>
      </c>
      <c r="B2199">
        <v>2</v>
      </c>
      <c r="C2199" s="3">
        <v>46092</v>
      </c>
      <c r="D2199" t="s">
        <v>484</v>
      </c>
      <c r="E2199" t="s">
        <v>196</v>
      </c>
      <c r="F2199" t="s">
        <v>77</v>
      </c>
      <c r="G2199" t="s">
        <v>57</v>
      </c>
      <c r="H2199" t="s">
        <v>58</v>
      </c>
      <c r="I2199">
        <v>1</v>
      </c>
      <c r="J2199" s="4">
        <v>828.01</v>
      </c>
      <c r="K2199" s="5">
        <v>0.05</v>
      </c>
      <c r="L2199" s="4">
        <v>485.16</v>
      </c>
      <c r="M2199" t="s">
        <v>42</v>
      </c>
      <c r="N2199" t="s">
        <v>43</v>
      </c>
      <c r="O2199">
        <f>IF(TablaVentas[[#This Row],[Precio_unitario]]="","PENDIENTE",TablaVentas[[#This Row],[Unidades]]*TablaVentas[[#This Row],[Precio_unitario]]*(1-TablaVentas[[#This Row],[Descuento_pct]]))</f>
        <v>786.60949999999991</v>
      </c>
      <c r="P2199">
        <f>IF(TablaVentas[[#This Row],[Costo_unitario]]="","PENDIENTE",TablaVentas[[#This Row],[Unidades]]*TablaVentas[[#This Row],[Costo_unitario]])</f>
        <v>485.16</v>
      </c>
      <c r="Q2199">
        <f>IF(OR(TablaVentas[[#This Row],[Ingreso_neto]]="PENDIENTE",TablaVentas[[#This Row],[Costo_total]]="PENDIENTE"),"PENDIENTE",TablaVentas[[#This Row],[Ingreso_neto]]-TablaVentas[[#This Row],[Costo_total]])</f>
        <v>301.44949999999989</v>
      </c>
    </row>
    <row r="2200" spans="1:17">
      <c r="A2200" t="s">
        <v>1335</v>
      </c>
      <c r="B2200">
        <v>1</v>
      </c>
      <c r="C2200" s="3">
        <v>46084</v>
      </c>
      <c r="D2200" t="s">
        <v>880</v>
      </c>
      <c r="E2200" t="s">
        <v>128</v>
      </c>
      <c r="F2200" t="s">
        <v>39</v>
      </c>
      <c r="G2200" t="s">
        <v>50</v>
      </c>
      <c r="H2200" t="s">
        <v>82</v>
      </c>
      <c r="I2200">
        <v>12</v>
      </c>
      <c r="J2200" s="4">
        <v>1589.18</v>
      </c>
      <c r="K2200" s="5">
        <v>0</v>
      </c>
      <c r="L2200" s="4">
        <v>900.08</v>
      </c>
      <c r="M2200" t="s">
        <v>42</v>
      </c>
      <c r="N2200" t="s">
        <v>45</v>
      </c>
      <c r="O2200">
        <f>IF(TablaVentas[[#This Row],[Precio_unitario]]="","PENDIENTE",TablaVentas[[#This Row],[Unidades]]*TablaVentas[[#This Row],[Precio_unitario]]*(1-TablaVentas[[#This Row],[Descuento_pct]]))</f>
        <v>19070.16</v>
      </c>
      <c r="P2200">
        <f>IF(TablaVentas[[#This Row],[Costo_unitario]]="","PENDIENTE",TablaVentas[[#This Row],[Unidades]]*TablaVentas[[#This Row],[Costo_unitario]])</f>
        <v>10800.960000000001</v>
      </c>
      <c r="Q2200">
        <f>IF(OR(TablaVentas[[#This Row],[Ingreso_neto]]="PENDIENTE",TablaVentas[[#This Row],[Costo_total]]="PENDIENTE"),"PENDIENTE",TablaVentas[[#This Row],[Ingreso_neto]]-TablaVentas[[#This Row],[Costo_total]])</f>
        <v>8269.1999999999989</v>
      </c>
    </row>
    <row r="2201" spans="1:17">
      <c r="A2201" t="s">
        <v>1335</v>
      </c>
      <c r="B2201">
        <v>2</v>
      </c>
      <c r="C2201" s="3">
        <v>46084</v>
      </c>
      <c r="D2201" t="s">
        <v>880</v>
      </c>
      <c r="E2201" t="s">
        <v>272</v>
      </c>
      <c r="F2201" t="s">
        <v>39</v>
      </c>
      <c r="G2201" t="s">
        <v>50</v>
      </c>
      <c r="H2201" t="s">
        <v>82</v>
      </c>
      <c r="I2201">
        <v>3</v>
      </c>
      <c r="J2201" s="4">
        <v>683.58</v>
      </c>
      <c r="K2201" s="5">
        <v>0.15</v>
      </c>
      <c r="L2201" s="4">
        <v>443</v>
      </c>
      <c r="M2201" t="s">
        <v>42</v>
      </c>
      <c r="N2201" t="s">
        <v>60</v>
      </c>
      <c r="O2201">
        <f>IF(TablaVentas[[#This Row],[Precio_unitario]]="","PENDIENTE",TablaVentas[[#This Row],[Unidades]]*TablaVentas[[#This Row],[Precio_unitario]]*(1-TablaVentas[[#This Row],[Descuento_pct]]))</f>
        <v>1743.1290000000001</v>
      </c>
      <c r="P2201">
        <f>IF(TablaVentas[[#This Row],[Costo_unitario]]="","PENDIENTE",TablaVentas[[#This Row],[Unidades]]*TablaVentas[[#This Row],[Costo_unitario]])</f>
        <v>1329</v>
      </c>
      <c r="Q2201">
        <f>IF(OR(TablaVentas[[#This Row],[Ingreso_neto]]="PENDIENTE",TablaVentas[[#This Row],[Costo_total]]="PENDIENTE"),"PENDIENTE",TablaVentas[[#This Row],[Ingreso_neto]]-TablaVentas[[#This Row],[Costo_total]])</f>
        <v>414.12900000000013</v>
      </c>
    </row>
    <row r="2202" spans="1:17">
      <c r="A2202" t="s">
        <v>1335</v>
      </c>
      <c r="B2202">
        <v>3</v>
      </c>
      <c r="C2202" s="3">
        <v>46084</v>
      </c>
      <c r="D2202" t="s">
        <v>880</v>
      </c>
      <c r="E2202" t="s">
        <v>68</v>
      </c>
      <c r="F2202" t="s">
        <v>39</v>
      </c>
      <c r="G2202" t="s">
        <v>50</v>
      </c>
      <c r="H2202" t="s">
        <v>82</v>
      </c>
      <c r="I2202">
        <v>2</v>
      </c>
      <c r="J2202" s="4">
        <v>14711.59</v>
      </c>
      <c r="K2202" s="5">
        <v>0</v>
      </c>
      <c r="L2202" s="4">
        <v>9243.35</v>
      </c>
      <c r="M2202" t="s">
        <v>42</v>
      </c>
      <c r="N2202" t="s">
        <v>60</v>
      </c>
      <c r="O2202">
        <f>IF(TablaVentas[[#This Row],[Precio_unitario]]="","PENDIENTE",TablaVentas[[#This Row],[Unidades]]*TablaVentas[[#This Row],[Precio_unitario]]*(1-TablaVentas[[#This Row],[Descuento_pct]]))</f>
        <v>29423.18</v>
      </c>
      <c r="P2202">
        <f>IF(TablaVentas[[#This Row],[Costo_unitario]]="","PENDIENTE",TablaVentas[[#This Row],[Unidades]]*TablaVentas[[#This Row],[Costo_unitario]])</f>
        <v>18486.7</v>
      </c>
      <c r="Q2202">
        <f>IF(OR(TablaVentas[[#This Row],[Ingreso_neto]]="PENDIENTE",TablaVentas[[#This Row],[Costo_total]]="PENDIENTE"),"PENDIENTE",TablaVentas[[#This Row],[Ingreso_neto]]-TablaVentas[[#This Row],[Costo_total]])</f>
        <v>10936.48</v>
      </c>
    </row>
    <row r="2203" spans="1:17">
      <c r="A2203" t="s">
        <v>1336</v>
      </c>
      <c r="B2203">
        <v>1</v>
      </c>
      <c r="C2203" s="3">
        <v>46242</v>
      </c>
      <c r="D2203" t="s">
        <v>200</v>
      </c>
      <c r="E2203" t="s">
        <v>139</v>
      </c>
      <c r="F2203" t="s">
        <v>66</v>
      </c>
      <c r="G2203" t="s">
        <v>40</v>
      </c>
      <c r="H2203" t="s">
        <v>184</v>
      </c>
      <c r="I2203">
        <v>3</v>
      </c>
      <c r="J2203" s="4">
        <v>10118.620000000001</v>
      </c>
      <c r="K2203" s="5">
        <v>0.15</v>
      </c>
      <c r="L2203" s="4">
        <v>8002.16</v>
      </c>
      <c r="M2203" t="s">
        <v>116</v>
      </c>
      <c r="N2203" t="s">
        <v>52</v>
      </c>
      <c r="O2203">
        <f>IF(TablaVentas[[#This Row],[Precio_unitario]]="","PENDIENTE",TablaVentas[[#This Row],[Unidades]]*TablaVentas[[#This Row],[Precio_unitario]]*(1-TablaVentas[[#This Row],[Descuento_pct]]))</f>
        <v>25802.481</v>
      </c>
      <c r="P2203">
        <f>IF(TablaVentas[[#This Row],[Costo_unitario]]="","PENDIENTE",TablaVentas[[#This Row],[Unidades]]*TablaVentas[[#This Row],[Costo_unitario]])</f>
        <v>24006.48</v>
      </c>
      <c r="Q2203">
        <f>IF(OR(TablaVentas[[#This Row],[Ingreso_neto]]="PENDIENTE",TablaVentas[[#This Row],[Costo_total]]="PENDIENTE"),"PENDIENTE",TablaVentas[[#This Row],[Ingreso_neto]]-TablaVentas[[#This Row],[Costo_total]])</f>
        <v>1796.0010000000002</v>
      </c>
    </row>
    <row r="2204" spans="1:17">
      <c r="A2204" t="s">
        <v>1336</v>
      </c>
      <c r="B2204">
        <v>2</v>
      </c>
      <c r="C2204" s="3">
        <v>46242</v>
      </c>
      <c r="D2204" t="s">
        <v>200</v>
      </c>
      <c r="E2204" t="s">
        <v>125</v>
      </c>
      <c r="F2204" t="s">
        <v>66</v>
      </c>
      <c r="G2204" t="s">
        <v>40</v>
      </c>
      <c r="H2204" t="s">
        <v>184</v>
      </c>
      <c r="I2204">
        <v>2</v>
      </c>
      <c r="J2204" s="4">
        <v>1721.16</v>
      </c>
      <c r="K2204" s="5">
        <v>0.05</v>
      </c>
      <c r="L2204" s="4">
        <v>1044.32</v>
      </c>
      <c r="M2204" t="s">
        <v>42</v>
      </c>
      <c r="N2204" t="s">
        <v>60</v>
      </c>
      <c r="O2204">
        <f>IF(TablaVentas[[#This Row],[Precio_unitario]]="","PENDIENTE",TablaVentas[[#This Row],[Unidades]]*TablaVentas[[#This Row],[Precio_unitario]]*(1-TablaVentas[[#This Row],[Descuento_pct]]))</f>
        <v>3270.2040000000002</v>
      </c>
      <c r="P2204">
        <f>IF(TablaVentas[[#This Row],[Costo_unitario]]="","PENDIENTE",TablaVentas[[#This Row],[Unidades]]*TablaVentas[[#This Row],[Costo_unitario]])</f>
        <v>2088.64</v>
      </c>
      <c r="Q2204">
        <f>IF(OR(TablaVentas[[#This Row],[Ingreso_neto]]="PENDIENTE",TablaVentas[[#This Row],[Costo_total]]="PENDIENTE"),"PENDIENTE",TablaVentas[[#This Row],[Ingreso_neto]]-TablaVentas[[#This Row],[Costo_total]])</f>
        <v>1181.5640000000003</v>
      </c>
    </row>
    <row r="2205" spans="1:17">
      <c r="A2205" t="s">
        <v>1337</v>
      </c>
      <c r="B2205">
        <v>1</v>
      </c>
      <c r="C2205" s="3">
        <v>46268</v>
      </c>
      <c r="D2205" t="s">
        <v>118</v>
      </c>
      <c r="E2205" t="s">
        <v>81</v>
      </c>
      <c r="F2205" t="s">
        <v>66</v>
      </c>
      <c r="G2205" t="s">
        <v>40</v>
      </c>
      <c r="H2205" t="s">
        <v>129</v>
      </c>
      <c r="I2205">
        <v>1</v>
      </c>
      <c r="J2205" s="4">
        <v>16281.49</v>
      </c>
      <c r="K2205" s="5">
        <v>0</v>
      </c>
      <c r="L2205" s="4">
        <v>11614.87</v>
      </c>
      <c r="M2205" t="s">
        <v>42</v>
      </c>
      <c r="N2205" t="s">
        <v>60</v>
      </c>
      <c r="O2205">
        <f>IF(TablaVentas[[#This Row],[Precio_unitario]]="","PENDIENTE",TablaVentas[[#This Row],[Unidades]]*TablaVentas[[#This Row],[Precio_unitario]]*(1-TablaVentas[[#This Row],[Descuento_pct]]))</f>
        <v>16281.49</v>
      </c>
      <c r="P2205">
        <f>IF(TablaVentas[[#This Row],[Costo_unitario]]="","PENDIENTE",TablaVentas[[#This Row],[Unidades]]*TablaVentas[[#This Row],[Costo_unitario]])</f>
        <v>11614.87</v>
      </c>
      <c r="Q2205">
        <f>IF(OR(TablaVentas[[#This Row],[Ingreso_neto]]="PENDIENTE",TablaVentas[[#This Row],[Costo_total]]="PENDIENTE"),"PENDIENTE",TablaVentas[[#This Row],[Ingreso_neto]]-TablaVentas[[#This Row],[Costo_total]])</f>
        <v>4666.619999999999</v>
      </c>
    </row>
    <row r="2206" spans="1:17">
      <c r="A2206" t="s">
        <v>1338</v>
      </c>
      <c r="B2206">
        <v>1</v>
      </c>
      <c r="C2206" s="3">
        <v>46228</v>
      </c>
      <c r="D2206" t="s">
        <v>604</v>
      </c>
      <c r="E2206" t="s">
        <v>208</v>
      </c>
      <c r="F2206" t="s">
        <v>66</v>
      </c>
      <c r="G2206" t="s">
        <v>40</v>
      </c>
      <c r="H2206" t="s">
        <v>51</v>
      </c>
      <c r="I2206">
        <v>2</v>
      </c>
      <c r="J2206" s="4">
        <v>10112.49</v>
      </c>
      <c r="K2206" s="5">
        <v>0.2</v>
      </c>
      <c r="L2206" s="4">
        <v>5535.31</v>
      </c>
      <c r="M2206" t="s">
        <v>42</v>
      </c>
      <c r="N2206" t="s">
        <v>45</v>
      </c>
      <c r="O2206">
        <f>IF(TablaVentas[[#This Row],[Precio_unitario]]="","PENDIENTE",TablaVentas[[#This Row],[Unidades]]*TablaVentas[[#This Row],[Precio_unitario]]*(1-TablaVentas[[#This Row],[Descuento_pct]]))</f>
        <v>16179.984</v>
      </c>
      <c r="P2206">
        <f>IF(TablaVentas[[#This Row],[Costo_unitario]]="","PENDIENTE",TablaVentas[[#This Row],[Unidades]]*TablaVentas[[#This Row],[Costo_unitario]])</f>
        <v>11070.62</v>
      </c>
      <c r="Q2206">
        <f>IF(OR(TablaVentas[[#This Row],[Ingreso_neto]]="PENDIENTE",TablaVentas[[#This Row],[Costo_total]]="PENDIENTE"),"PENDIENTE",TablaVentas[[#This Row],[Ingreso_neto]]-TablaVentas[[#This Row],[Costo_total]])</f>
        <v>5109.3639999999996</v>
      </c>
    </row>
    <row r="2207" spans="1:17">
      <c r="A2207" t="s">
        <v>1338</v>
      </c>
      <c r="B2207">
        <v>2</v>
      </c>
      <c r="C2207" s="3">
        <v>46228</v>
      </c>
      <c r="D2207" t="s">
        <v>604</v>
      </c>
      <c r="E2207" t="s">
        <v>156</v>
      </c>
      <c r="F2207" t="s">
        <v>66</v>
      </c>
      <c r="G2207" t="s">
        <v>40</v>
      </c>
      <c r="H2207" t="s">
        <v>51</v>
      </c>
      <c r="I2207">
        <v>1</v>
      </c>
      <c r="J2207" s="4">
        <v>18313.55</v>
      </c>
      <c r="K2207" s="5">
        <v>0.2</v>
      </c>
      <c r="L2207" s="4">
        <v>13981.13</v>
      </c>
      <c r="M2207" t="s">
        <v>42</v>
      </c>
      <c r="N2207" t="s">
        <v>43</v>
      </c>
      <c r="O2207">
        <f>IF(TablaVentas[[#This Row],[Precio_unitario]]="","PENDIENTE",TablaVentas[[#This Row],[Unidades]]*TablaVentas[[#This Row],[Precio_unitario]]*(1-TablaVentas[[#This Row],[Descuento_pct]]))</f>
        <v>14650.84</v>
      </c>
      <c r="P2207">
        <f>IF(TablaVentas[[#This Row],[Costo_unitario]]="","PENDIENTE",TablaVentas[[#This Row],[Unidades]]*TablaVentas[[#This Row],[Costo_unitario]])</f>
        <v>13981.13</v>
      </c>
      <c r="Q2207">
        <f>IF(OR(TablaVentas[[#This Row],[Ingreso_neto]]="PENDIENTE",TablaVentas[[#This Row],[Costo_total]]="PENDIENTE"),"PENDIENTE",TablaVentas[[#This Row],[Ingreso_neto]]-TablaVentas[[#This Row],[Costo_total]])</f>
        <v>669.71000000000095</v>
      </c>
    </row>
    <row r="2208" spans="1:17">
      <c r="A2208" t="s">
        <v>1338</v>
      </c>
      <c r="B2208">
        <v>3</v>
      </c>
      <c r="C2208" s="3">
        <v>46228</v>
      </c>
      <c r="D2208" t="s">
        <v>604</v>
      </c>
      <c r="E2208" t="s">
        <v>272</v>
      </c>
      <c r="F2208" t="s">
        <v>66</v>
      </c>
      <c r="G2208" t="s">
        <v>40</v>
      </c>
      <c r="H2208" t="s">
        <v>51</v>
      </c>
      <c r="I2208">
        <v>1</v>
      </c>
      <c r="J2208" s="4">
        <v>683.87</v>
      </c>
      <c r="K2208" s="5">
        <v>0.1</v>
      </c>
      <c r="L2208" s="4">
        <v>443</v>
      </c>
      <c r="M2208" t="s">
        <v>42</v>
      </c>
      <c r="N2208" t="s">
        <v>45</v>
      </c>
      <c r="O2208">
        <f>IF(TablaVentas[[#This Row],[Precio_unitario]]="","PENDIENTE",TablaVentas[[#This Row],[Unidades]]*TablaVentas[[#This Row],[Precio_unitario]]*(1-TablaVentas[[#This Row],[Descuento_pct]]))</f>
        <v>615.48300000000006</v>
      </c>
      <c r="P2208">
        <f>IF(TablaVentas[[#This Row],[Costo_unitario]]="","PENDIENTE",TablaVentas[[#This Row],[Unidades]]*TablaVentas[[#This Row],[Costo_unitario]])</f>
        <v>443</v>
      </c>
      <c r="Q2208">
        <f>IF(OR(TablaVentas[[#This Row],[Ingreso_neto]]="PENDIENTE",TablaVentas[[#This Row],[Costo_total]]="PENDIENTE"),"PENDIENTE",TablaVentas[[#This Row],[Ingreso_neto]]-TablaVentas[[#This Row],[Costo_total]])</f>
        <v>172.48300000000006</v>
      </c>
    </row>
    <row r="2209" spans="1:17">
      <c r="A2209" t="s">
        <v>1338</v>
      </c>
      <c r="B2209">
        <v>4</v>
      </c>
      <c r="C2209" s="3">
        <v>46228</v>
      </c>
      <c r="D2209" t="s">
        <v>604</v>
      </c>
      <c r="E2209" t="s">
        <v>320</v>
      </c>
      <c r="F2209" t="s">
        <v>66</v>
      </c>
      <c r="G2209" t="s">
        <v>40</v>
      </c>
      <c r="H2209" t="s">
        <v>51</v>
      </c>
      <c r="I2209">
        <v>4</v>
      </c>
      <c r="J2209" s="4">
        <v>4624.2700000000004</v>
      </c>
      <c r="K2209" s="5">
        <v>0.05</v>
      </c>
      <c r="L2209" s="4">
        <v>3065.66</v>
      </c>
      <c r="M2209" t="s">
        <v>42</v>
      </c>
      <c r="N2209" t="s">
        <v>45</v>
      </c>
      <c r="O2209">
        <f>IF(TablaVentas[[#This Row],[Precio_unitario]]="","PENDIENTE",TablaVentas[[#This Row],[Unidades]]*TablaVentas[[#This Row],[Precio_unitario]]*(1-TablaVentas[[#This Row],[Descuento_pct]]))</f>
        <v>17572.226000000002</v>
      </c>
      <c r="P2209">
        <f>IF(TablaVentas[[#This Row],[Costo_unitario]]="","PENDIENTE",TablaVentas[[#This Row],[Unidades]]*TablaVentas[[#This Row],[Costo_unitario]])</f>
        <v>12262.64</v>
      </c>
      <c r="Q2209">
        <f>IF(OR(TablaVentas[[#This Row],[Ingreso_neto]]="PENDIENTE",TablaVentas[[#This Row],[Costo_total]]="PENDIENTE"),"PENDIENTE",TablaVentas[[#This Row],[Ingreso_neto]]-TablaVentas[[#This Row],[Costo_total]])</f>
        <v>5309.586000000003</v>
      </c>
    </row>
    <row r="2210" spans="1:17">
      <c r="A2210" t="s">
        <v>1338</v>
      </c>
      <c r="B2210">
        <v>5</v>
      </c>
      <c r="C2210" s="3">
        <v>46228</v>
      </c>
      <c r="D2210" t="s">
        <v>604</v>
      </c>
      <c r="E2210" t="s">
        <v>335</v>
      </c>
      <c r="F2210" t="s">
        <v>66</v>
      </c>
      <c r="G2210" t="s">
        <v>40</v>
      </c>
      <c r="H2210" t="s">
        <v>51</v>
      </c>
      <c r="I2210">
        <v>1</v>
      </c>
      <c r="J2210" s="4">
        <v>7616.49</v>
      </c>
      <c r="K2210" s="5">
        <v>0.2</v>
      </c>
      <c r="L2210" s="4">
        <v>5587.31</v>
      </c>
      <c r="M2210" t="s">
        <v>42</v>
      </c>
      <c r="N2210" t="s">
        <v>43</v>
      </c>
      <c r="O2210">
        <f>IF(TablaVentas[[#This Row],[Precio_unitario]]="","PENDIENTE",TablaVentas[[#This Row],[Unidades]]*TablaVentas[[#This Row],[Precio_unitario]]*(1-TablaVentas[[#This Row],[Descuento_pct]]))</f>
        <v>6093.192</v>
      </c>
      <c r="P2210">
        <f>IF(TablaVentas[[#This Row],[Costo_unitario]]="","PENDIENTE",TablaVentas[[#This Row],[Unidades]]*TablaVentas[[#This Row],[Costo_unitario]])</f>
        <v>5587.31</v>
      </c>
      <c r="Q2210">
        <f>IF(OR(TablaVentas[[#This Row],[Ingreso_neto]]="PENDIENTE",TablaVentas[[#This Row],[Costo_total]]="PENDIENTE"),"PENDIENTE",TablaVentas[[#This Row],[Ingreso_neto]]-TablaVentas[[#This Row],[Costo_total]])</f>
        <v>505.88199999999961</v>
      </c>
    </row>
    <row r="2211" spans="1:17">
      <c r="A2211" t="s">
        <v>1339</v>
      </c>
      <c r="B2211">
        <v>1</v>
      </c>
      <c r="C2211" s="3">
        <v>46053</v>
      </c>
      <c r="D2211" t="s">
        <v>452</v>
      </c>
      <c r="E2211" t="s">
        <v>159</v>
      </c>
      <c r="F2211" t="s">
        <v>39</v>
      </c>
      <c r="G2211" t="s">
        <v>40</v>
      </c>
      <c r="H2211" t="s">
        <v>41</v>
      </c>
      <c r="I2211">
        <v>5</v>
      </c>
      <c r="J2211" s="4">
        <v>11438.73</v>
      </c>
      <c r="K2211" s="5">
        <v>0</v>
      </c>
      <c r="L2211" s="4">
        <v>9317.3700000000008</v>
      </c>
      <c r="M2211" t="s">
        <v>42</v>
      </c>
      <c r="N2211" t="s">
        <v>43</v>
      </c>
      <c r="O2211">
        <f>IF(TablaVentas[[#This Row],[Precio_unitario]]="","PENDIENTE",TablaVentas[[#This Row],[Unidades]]*TablaVentas[[#This Row],[Precio_unitario]]*(1-TablaVentas[[#This Row],[Descuento_pct]]))</f>
        <v>57193.649999999994</v>
      </c>
      <c r="P2211">
        <f>IF(TablaVentas[[#This Row],[Costo_unitario]]="","PENDIENTE",TablaVentas[[#This Row],[Unidades]]*TablaVentas[[#This Row],[Costo_unitario]])</f>
        <v>46586.850000000006</v>
      </c>
      <c r="Q2211">
        <f>IF(OR(TablaVentas[[#This Row],[Ingreso_neto]]="PENDIENTE",TablaVentas[[#This Row],[Costo_total]]="PENDIENTE"),"PENDIENTE",TablaVentas[[#This Row],[Ingreso_neto]]-TablaVentas[[#This Row],[Costo_total]])</f>
        <v>10606.799999999988</v>
      </c>
    </row>
    <row r="2212" spans="1:17">
      <c r="A2212" t="s">
        <v>1339</v>
      </c>
      <c r="B2212">
        <v>2</v>
      </c>
      <c r="C2212" s="3">
        <v>46053</v>
      </c>
      <c r="D2212" t="s">
        <v>452</v>
      </c>
      <c r="E2212" t="s">
        <v>70</v>
      </c>
      <c r="F2212" t="s">
        <v>39</v>
      </c>
      <c r="G2212" t="s">
        <v>40</v>
      </c>
      <c r="H2212" t="s">
        <v>41</v>
      </c>
      <c r="I2212">
        <v>1</v>
      </c>
      <c r="J2212" s="4">
        <v>14354.65</v>
      </c>
      <c r="K2212" s="5">
        <v>0.2</v>
      </c>
      <c r="L2212" s="4">
        <v>10571.25</v>
      </c>
      <c r="M2212" t="s">
        <v>42</v>
      </c>
      <c r="N2212" t="s">
        <v>52</v>
      </c>
      <c r="O2212">
        <f>IF(TablaVentas[[#This Row],[Precio_unitario]]="","PENDIENTE",TablaVentas[[#This Row],[Unidades]]*TablaVentas[[#This Row],[Precio_unitario]]*(1-TablaVentas[[#This Row],[Descuento_pct]]))</f>
        <v>11483.720000000001</v>
      </c>
      <c r="P2212">
        <f>IF(TablaVentas[[#This Row],[Costo_unitario]]="","PENDIENTE",TablaVentas[[#This Row],[Unidades]]*TablaVentas[[#This Row],[Costo_unitario]])</f>
        <v>10571.25</v>
      </c>
      <c r="Q2212">
        <f>IF(OR(TablaVentas[[#This Row],[Ingreso_neto]]="PENDIENTE",TablaVentas[[#This Row],[Costo_total]]="PENDIENTE"),"PENDIENTE",TablaVentas[[#This Row],[Ingreso_neto]]-TablaVentas[[#This Row],[Costo_total]])</f>
        <v>912.47000000000116</v>
      </c>
    </row>
    <row r="2213" spans="1:17">
      <c r="A2213" t="s">
        <v>1339</v>
      </c>
      <c r="B2213">
        <v>3</v>
      </c>
      <c r="C2213" s="3">
        <v>46053</v>
      </c>
      <c r="D2213" t="s">
        <v>452</v>
      </c>
      <c r="E2213" t="s">
        <v>353</v>
      </c>
      <c r="F2213" t="s">
        <v>39</v>
      </c>
      <c r="G2213" t="s">
        <v>40</v>
      </c>
      <c r="H2213" t="s">
        <v>41</v>
      </c>
      <c r="I2213">
        <v>1</v>
      </c>
      <c r="J2213" s="4">
        <v>2141.5500000000002</v>
      </c>
      <c r="K2213" s="5">
        <v>0</v>
      </c>
      <c r="L2213" s="4">
        <v>1479.71</v>
      </c>
      <c r="M2213" t="s">
        <v>42</v>
      </c>
      <c r="N2213" t="s">
        <v>60</v>
      </c>
      <c r="O2213">
        <f>IF(TablaVentas[[#This Row],[Precio_unitario]]="","PENDIENTE",TablaVentas[[#This Row],[Unidades]]*TablaVentas[[#This Row],[Precio_unitario]]*(1-TablaVentas[[#This Row],[Descuento_pct]]))</f>
        <v>2141.5500000000002</v>
      </c>
      <c r="P2213">
        <f>IF(TablaVentas[[#This Row],[Costo_unitario]]="","PENDIENTE",TablaVentas[[#This Row],[Unidades]]*TablaVentas[[#This Row],[Costo_unitario]])</f>
        <v>1479.71</v>
      </c>
      <c r="Q2213">
        <f>IF(OR(TablaVentas[[#This Row],[Ingreso_neto]]="PENDIENTE",TablaVentas[[#This Row],[Costo_total]]="PENDIENTE"),"PENDIENTE",TablaVentas[[#This Row],[Ingreso_neto]]-TablaVentas[[#This Row],[Costo_total]])</f>
        <v>661.84000000000015</v>
      </c>
    </row>
    <row r="2214" spans="1:17">
      <c r="A2214" t="s">
        <v>1340</v>
      </c>
      <c r="B2214">
        <v>1</v>
      </c>
      <c r="C2214" s="3">
        <v>46158</v>
      </c>
      <c r="D2214" t="s">
        <v>465</v>
      </c>
      <c r="E2214" t="s">
        <v>140</v>
      </c>
      <c r="F2214" t="s">
        <v>56</v>
      </c>
      <c r="G2214" t="s">
        <v>50</v>
      </c>
      <c r="H2214" t="s">
        <v>73</v>
      </c>
      <c r="I2214">
        <v>4</v>
      </c>
      <c r="J2214" s="4">
        <v>2922.12</v>
      </c>
      <c r="K2214" s="5">
        <v>0</v>
      </c>
      <c r="L2214" s="4">
        <v>2427.63</v>
      </c>
      <c r="M2214" t="s">
        <v>42</v>
      </c>
      <c r="N2214" t="s">
        <v>43</v>
      </c>
      <c r="O2214">
        <f>IF(TablaVentas[[#This Row],[Precio_unitario]]="","PENDIENTE",TablaVentas[[#This Row],[Unidades]]*TablaVentas[[#This Row],[Precio_unitario]]*(1-TablaVentas[[#This Row],[Descuento_pct]]))</f>
        <v>11688.48</v>
      </c>
      <c r="P2214">
        <f>IF(TablaVentas[[#This Row],[Costo_unitario]]="","PENDIENTE",TablaVentas[[#This Row],[Unidades]]*TablaVentas[[#This Row],[Costo_unitario]])</f>
        <v>9710.52</v>
      </c>
      <c r="Q2214">
        <f>IF(OR(TablaVentas[[#This Row],[Ingreso_neto]]="PENDIENTE",TablaVentas[[#This Row],[Costo_total]]="PENDIENTE"),"PENDIENTE",TablaVentas[[#This Row],[Ingreso_neto]]-TablaVentas[[#This Row],[Costo_total]])</f>
        <v>1977.9599999999991</v>
      </c>
    </row>
    <row r="2215" spans="1:17">
      <c r="A2215" t="s">
        <v>1341</v>
      </c>
      <c r="B2215">
        <v>1</v>
      </c>
      <c r="C2215" s="3">
        <v>46245</v>
      </c>
      <c r="D2215" t="s">
        <v>618</v>
      </c>
      <c r="E2215" t="s">
        <v>185</v>
      </c>
      <c r="F2215" t="s">
        <v>39</v>
      </c>
      <c r="G2215" t="s">
        <v>50</v>
      </c>
      <c r="H2215" t="s">
        <v>82</v>
      </c>
      <c r="I2215">
        <v>2</v>
      </c>
      <c r="J2215" s="4">
        <v>17481.79</v>
      </c>
      <c r="K2215" s="5">
        <v>0.1</v>
      </c>
      <c r="L2215" s="4">
        <v>11904.09</v>
      </c>
      <c r="M2215" t="s">
        <v>42</v>
      </c>
      <c r="N2215" t="s">
        <v>52</v>
      </c>
      <c r="O2215">
        <f>IF(TablaVentas[[#This Row],[Precio_unitario]]="","PENDIENTE",TablaVentas[[#This Row],[Unidades]]*TablaVentas[[#This Row],[Precio_unitario]]*(1-TablaVentas[[#This Row],[Descuento_pct]]))</f>
        <v>31467.222000000002</v>
      </c>
      <c r="P2215">
        <f>IF(TablaVentas[[#This Row],[Costo_unitario]]="","PENDIENTE",TablaVentas[[#This Row],[Unidades]]*TablaVentas[[#This Row],[Costo_unitario]])</f>
        <v>23808.18</v>
      </c>
      <c r="Q2215">
        <f>IF(OR(TablaVentas[[#This Row],[Ingreso_neto]]="PENDIENTE",TablaVentas[[#This Row],[Costo_total]]="PENDIENTE"),"PENDIENTE",TablaVentas[[#This Row],[Ingreso_neto]]-TablaVentas[[#This Row],[Costo_total]])</f>
        <v>7659.0420000000013</v>
      </c>
    </row>
    <row r="2216" spans="1:17">
      <c r="A2216" t="s">
        <v>1341</v>
      </c>
      <c r="B2216">
        <v>2</v>
      </c>
      <c r="C2216" s="3">
        <v>46245</v>
      </c>
      <c r="D2216" t="s">
        <v>618</v>
      </c>
      <c r="E2216" t="s">
        <v>346</v>
      </c>
      <c r="F2216" t="s">
        <v>39</v>
      </c>
      <c r="G2216" t="s">
        <v>50</v>
      </c>
      <c r="H2216" t="s">
        <v>82</v>
      </c>
      <c r="I2216">
        <v>2</v>
      </c>
      <c r="J2216" s="4">
        <v>2223.46</v>
      </c>
      <c r="K2216" s="5">
        <v>0.05</v>
      </c>
      <c r="L2216" s="4">
        <v>1175.74</v>
      </c>
      <c r="M2216" t="s">
        <v>42</v>
      </c>
      <c r="N2216" t="s">
        <v>43</v>
      </c>
      <c r="O2216">
        <f>IF(TablaVentas[[#This Row],[Precio_unitario]]="","PENDIENTE",TablaVentas[[#This Row],[Unidades]]*TablaVentas[[#This Row],[Precio_unitario]]*(1-TablaVentas[[#This Row],[Descuento_pct]]))</f>
        <v>4224.5739999999996</v>
      </c>
      <c r="P2216">
        <f>IF(TablaVentas[[#This Row],[Costo_unitario]]="","PENDIENTE",TablaVentas[[#This Row],[Unidades]]*TablaVentas[[#This Row],[Costo_unitario]])</f>
        <v>2351.48</v>
      </c>
      <c r="Q2216">
        <f>IF(OR(TablaVentas[[#This Row],[Ingreso_neto]]="PENDIENTE",TablaVentas[[#This Row],[Costo_total]]="PENDIENTE"),"PENDIENTE",TablaVentas[[#This Row],[Ingreso_neto]]-TablaVentas[[#This Row],[Costo_total]])</f>
        <v>1873.0939999999996</v>
      </c>
    </row>
    <row r="2217" spans="1:17">
      <c r="A2217" t="s">
        <v>1341</v>
      </c>
      <c r="B2217">
        <v>3</v>
      </c>
      <c r="C2217" s="3">
        <v>46245</v>
      </c>
      <c r="D2217" t="s">
        <v>618</v>
      </c>
      <c r="E2217" t="s">
        <v>84</v>
      </c>
      <c r="F2217" t="s">
        <v>39</v>
      </c>
      <c r="G2217" t="s">
        <v>50</v>
      </c>
      <c r="H2217" t="s">
        <v>82</v>
      </c>
      <c r="I2217">
        <v>1</v>
      </c>
      <c r="J2217" s="4">
        <v>16280.58</v>
      </c>
      <c r="K2217" s="5">
        <v>0.15</v>
      </c>
      <c r="L2217" s="4">
        <v>8576.0499999999993</v>
      </c>
      <c r="M2217" t="s">
        <v>42</v>
      </c>
      <c r="N2217" t="s">
        <v>60</v>
      </c>
      <c r="O2217">
        <f>IF(TablaVentas[[#This Row],[Precio_unitario]]="","PENDIENTE",TablaVentas[[#This Row],[Unidades]]*TablaVentas[[#This Row],[Precio_unitario]]*(1-TablaVentas[[#This Row],[Descuento_pct]]))</f>
        <v>13838.493</v>
      </c>
      <c r="P2217">
        <f>IF(TablaVentas[[#This Row],[Costo_unitario]]="","PENDIENTE",TablaVentas[[#This Row],[Unidades]]*TablaVentas[[#This Row],[Costo_unitario]])</f>
        <v>8576.0499999999993</v>
      </c>
      <c r="Q2217">
        <f>IF(OR(TablaVentas[[#This Row],[Ingreso_neto]]="PENDIENTE",TablaVentas[[#This Row],[Costo_total]]="PENDIENTE"),"PENDIENTE",TablaVentas[[#This Row],[Ingreso_neto]]-TablaVentas[[#This Row],[Costo_total]])</f>
        <v>5262.4430000000011</v>
      </c>
    </row>
    <row r="2218" spans="1:17">
      <c r="A2218" t="s">
        <v>1342</v>
      </c>
      <c r="B2218">
        <v>1</v>
      </c>
      <c r="C2218" s="3">
        <v>46053</v>
      </c>
      <c r="D2218" t="s">
        <v>800</v>
      </c>
      <c r="E2218" t="s">
        <v>217</v>
      </c>
      <c r="F2218" t="s">
        <v>66</v>
      </c>
      <c r="G2218" t="s">
        <v>40</v>
      </c>
      <c r="H2218" t="s">
        <v>129</v>
      </c>
      <c r="I2218">
        <v>1</v>
      </c>
      <c r="J2218" s="4">
        <v>17752.68</v>
      </c>
      <c r="K2218" s="5">
        <v>0.05</v>
      </c>
      <c r="L2218" s="4">
        <v>14161.63</v>
      </c>
      <c r="M2218" t="s">
        <v>42</v>
      </c>
      <c r="N2218" t="s">
        <v>45</v>
      </c>
      <c r="O2218">
        <f>IF(TablaVentas[[#This Row],[Precio_unitario]]="","PENDIENTE",TablaVentas[[#This Row],[Unidades]]*TablaVentas[[#This Row],[Precio_unitario]]*(1-TablaVentas[[#This Row],[Descuento_pct]]))</f>
        <v>16865.045999999998</v>
      </c>
      <c r="P2218">
        <f>IF(TablaVentas[[#This Row],[Costo_unitario]]="","PENDIENTE",TablaVentas[[#This Row],[Unidades]]*TablaVentas[[#This Row],[Costo_unitario]])</f>
        <v>14161.63</v>
      </c>
      <c r="Q2218">
        <f>IF(OR(TablaVentas[[#This Row],[Ingreso_neto]]="PENDIENTE",TablaVentas[[#This Row],[Costo_total]]="PENDIENTE"),"PENDIENTE",TablaVentas[[#This Row],[Ingreso_neto]]-TablaVentas[[#This Row],[Costo_total]])</f>
        <v>2703.4159999999993</v>
      </c>
    </row>
    <row r="2219" spans="1:17">
      <c r="A2219" t="s">
        <v>1342</v>
      </c>
      <c r="B2219">
        <v>2</v>
      </c>
      <c r="C2219" s="3">
        <v>46053</v>
      </c>
      <c r="D2219" t="s">
        <v>800</v>
      </c>
      <c r="E2219" t="s">
        <v>403</v>
      </c>
      <c r="F2219" t="s">
        <v>66</v>
      </c>
      <c r="G2219" t="s">
        <v>40</v>
      </c>
      <c r="H2219" t="s">
        <v>129</v>
      </c>
      <c r="I2219">
        <v>1</v>
      </c>
      <c r="J2219" s="4">
        <v>2947.49</v>
      </c>
      <c r="K2219" s="5">
        <v>0.15</v>
      </c>
      <c r="L2219" s="4">
        <v>1801.83</v>
      </c>
      <c r="M2219" t="s">
        <v>42</v>
      </c>
      <c r="N2219" t="s">
        <v>45</v>
      </c>
      <c r="O2219">
        <f>IF(TablaVentas[[#This Row],[Precio_unitario]]="","PENDIENTE",TablaVentas[[#This Row],[Unidades]]*TablaVentas[[#This Row],[Precio_unitario]]*(1-TablaVentas[[#This Row],[Descuento_pct]]))</f>
        <v>2505.3664999999996</v>
      </c>
      <c r="P2219">
        <f>IF(TablaVentas[[#This Row],[Costo_unitario]]="","PENDIENTE",TablaVentas[[#This Row],[Unidades]]*TablaVentas[[#This Row],[Costo_unitario]])</f>
        <v>1801.83</v>
      </c>
      <c r="Q2219">
        <f>IF(OR(TablaVentas[[#This Row],[Ingreso_neto]]="PENDIENTE",TablaVentas[[#This Row],[Costo_total]]="PENDIENTE"),"PENDIENTE",TablaVentas[[#This Row],[Ingreso_neto]]-TablaVentas[[#This Row],[Costo_total]])</f>
        <v>703.53649999999971</v>
      </c>
    </row>
    <row r="2220" spans="1:17">
      <c r="A2220" t="s">
        <v>1342</v>
      </c>
      <c r="B2220">
        <v>3</v>
      </c>
      <c r="C2220" s="3">
        <v>46053</v>
      </c>
      <c r="D2220" t="s">
        <v>800</v>
      </c>
      <c r="E2220" t="s">
        <v>151</v>
      </c>
      <c r="F2220" t="s">
        <v>66</v>
      </c>
      <c r="G2220" t="s">
        <v>40</v>
      </c>
      <c r="H2220" t="s">
        <v>129</v>
      </c>
      <c r="I2220">
        <v>1</v>
      </c>
      <c r="J2220" s="4">
        <v>15162.07</v>
      </c>
      <c r="K2220" s="5">
        <v>0</v>
      </c>
      <c r="L2220" s="4">
        <v>8963.23</v>
      </c>
      <c r="M2220" t="s">
        <v>42</v>
      </c>
      <c r="N2220" t="s">
        <v>43</v>
      </c>
      <c r="O2220">
        <f>IF(TablaVentas[[#This Row],[Precio_unitario]]="","PENDIENTE",TablaVentas[[#This Row],[Unidades]]*TablaVentas[[#This Row],[Precio_unitario]]*(1-TablaVentas[[#This Row],[Descuento_pct]]))</f>
        <v>15162.07</v>
      </c>
      <c r="P2220">
        <f>IF(TablaVentas[[#This Row],[Costo_unitario]]="","PENDIENTE",TablaVentas[[#This Row],[Unidades]]*TablaVentas[[#This Row],[Costo_unitario]])</f>
        <v>8963.23</v>
      </c>
      <c r="Q2220">
        <f>IF(OR(TablaVentas[[#This Row],[Ingreso_neto]]="PENDIENTE",TablaVentas[[#This Row],[Costo_total]]="PENDIENTE"),"PENDIENTE",TablaVentas[[#This Row],[Ingreso_neto]]-TablaVentas[[#This Row],[Costo_total]])</f>
        <v>6198.84</v>
      </c>
    </row>
    <row r="2221" spans="1:17">
      <c r="A2221" t="s">
        <v>1342</v>
      </c>
      <c r="B2221">
        <v>4</v>
      </c>
      <c r="C2221" s="3">
        <v>46053</v>
      </c>
      <c r="D2221" t="s">
        <v>800</v>
      </c>
      <c r="E2221" t="s">
        <v>163</v>
      </c>
      <c r="F2221" t="s">
        <v>66</v>
      </c>
      <c r="G2221" t="s">
        <v>40</v>
      </c>
      <c r="H2221" t="s">
        <v>129</v>
      </c>
      <c r="I2221">
        <v>1</v>
      </c>
      <c r="J2221" s="4">
        <v>17539.59</v>
      </c>
      <c r="K2221" s="5">
        <v>0</v>
      </c>
      <c r="L2221" s="4">
        <v>12141.44</v>
      </c>
      <c r="M2221" t="s">
        <v>42</v>
      </c>
      <c r="N2221" t="s">
        <v>43</v>
      </c>
      <c r="O2221">
        <f>IF(TablaVentas[[#This Row],[Precio_unitario]]="","PENDIENTE",TablaVentas[[#This Row],[Unidades]]*TablaVentas[[#This Row],[Precio_unitario]]*(1-TablaVentas[[#This Row],[Descuento_pct]]))</f>
        <v>17539.59</v>
      </c>
      <c r="P2221">
        <f>IF(TablaVentas[[#This Row],[Costo_unitario]]="","PENDIENTE",TablaVentas[[#This Row],[Unidades]]*TablaVentas[[#This Row],[Costo_unitario]])</f>
        <v>12141.44</v>
      </c>
      <c r="Q2221">
        <f>IF(OR(TablaVentas[[#This Row],[Ingreso_neto]]="PENDIENTE",TablaVentas[[#This Row],[Costo_total]]="PENDIENTE"),"PENDIENTE",TablaVentas[[#This Row],[Ingreso_neto]]-TablaVentas[[#This Row],[Costo_total]])</f>
        <v>5398.15</v>
      </c>
    </row>
    <row r="2222" spans="1:17">
      <c r="A2222" t="s">
        <v>1343</v>
      </c>
      <c r="B2222">
        <v>1</v>
      </c>
      <c r="C2222" s="3">
        <v>46138</v>
      </c>
      <c r="D2222" t="s">
        <v>639</v>
      </c>
      <c r="E2222" t="s">
        <v>196</v>
      </c>
      <c r="F2222" t="s">
        <v>39</v>
      </c>
      <c r="G2222" t="s">
        <v>40</v>
      </c>
      <c r="H2222" t="s">
        <v>102</v>
      </c>
      <c r="I2222">
        <v>8</v>
      </c>
      <c r="J2222" s="4">
        <v>719.28</v>
      </c>
      <c r="K2222" s="5">
        <v>0.05</v>
      </c>
      <c r="L2222" s="4">
        <v>485.16</v>
      </c>
      <c r="M2222" t="s">
        <v>42</v>
      </c>
      <c r="N2222" t="s">
        <v>60</v>
      </c>
      <c r="O2222">
        <f>IF(TablaVentas[[#This Row],[Precio_unitario]]="","PENDIENTE",TablaVentas[[#This Row],[Unidades]]*TablaVentas[[#This Row],[Precio_unitario]]*(1-TablaVentas[[#This Row],[Descuento_pct]]))</f>
        <v>5466.5279999999993</v>
      </c>
      <c r="P2222">
        <f>IF(TablaVentas[[#This Row],[Costo_unitario]]="","PENDIENTE",TablaVentas[[#This Row],[Unidades]]*TablaVentas[[#This Row],[Costo_unitario]])</f>
        <v>3881.28</v>
      </c>
      <c r="Q2222">
        <f>IF(OR(TablaVentas[[#This Row],[Ingreso_neto]]="PENDIENTE",TablaVentas[[#This Row],[Costo_total]]="PENDIENTE"),"PENDIENTE",TablaVentas[[#This Row],[Ingreso_neto]]-TablaVentas[[#This Row],[Costo_total]])</f>
        <v>1585.2479999999991</v>
      </c>
    </row>
    <row r="2223" spans="1:17">
      <c r="A2223" t="s">
        <v>1344</v>
      </c>
      <c r="B2223">
        <v>1</v>
      </c>
      <c r="C2223" s="3">
        <v>46177</v>
      </c>
      <c r="D2223" t="s">
        <v>633</v>
      </c>
      <c r="E2223" t="s">
        <v>97</v>
      </c>
      <c r="F2223" t="s">
        <v>66</v>
      </c>
      <c r="G2223" t="s">
        <v>50</v>
      </c>
      <c r="H2223" t="s">
        <v>73</v>
      </c>
      <c r="I2223">
        <v>2</v>
      </c>
      <c r="J2223" s="4">
        <v>16061.23</v>
      </c>
      <c r="K2223" s="5">
        <v>0</v>
      </c>
      <c r="L2223" s="4">
        <v>11424.77</v>
      </c>
      <c r="M2223" t="s">
        <v>42</v>
      </c>
      <c r="N2223" t="s">
        <v>52</v>
      </c>
      <c r="O2223">
        <f>IF(TablaVentas[[#This Row],[Precio_unitario]]="","PENDIENTE",TablaVentas[[#This Row],[Unidades]]*TablaVentas[[#This Row],[Precio_unitario]]*(1-TablaVentas[[#This Row],[Descuento_pct]]))</f>
        <v>32122.46</v>
      </c>
      <c r="P2223">
        <f>IF(TablaVentas[[#This Row],[Costo_unitario]]="","PENDIENTE",TablaVentas[[#This Row],[Unidades]]*TablaVentas[[#This Row],[Costo_unitario]])</f>
        <v>22849.54</v>
      </c>
      <c r="Q2223">
        <f>IF(OR(TablaVentas[[#This Row],[Ingreso_neto]]="PENDIENTE",TablaVentas[[#This Row],[Costo_total]]="PENDIENTE"),"PENDIENTE",TablaVentas[[#This Row],[Ingreso_neto]]-TablaVentas[[#This Row],[Costo_total]])</f>
        <v>9272.9199999999983</v>
      </c>
    </row>
    <row r="2224" spans="1:17">
      <c r="A2224" t="s">
        <v>1344</v>
      </c>
      <c r="B2224">
        <v>2</v>
      </c>
      <c r="C2224" s="3">
        <v>46177</v>
      </c>
      <c r="D2224" t="s">
        <v>633</v>
      </c>
      <c r="E2224" t="s">
        <v>403</v>
      </c>
      <c r="F2224" t="s">
        <v>66</v>
      </c>
      <c r="G2224" t="s">
        <v>50</v>
      </c>
      <c r="H2224" t="s">
        <v>73</v>
      </c>
      <c r="I2224">
        <v>2</v>
      </c>
      <c r="J2224" s="4">
        <v>2920.82</v>
      </c>
      <c r="K2224" s="5">
        <v>0</v>
      </c>
      <c r="L2224" s="4">
        <v>1801.83</v>
      </c>
      <c r="M2224" t="s">
        <v>62</v>
      </c>
      <c r="N2224" t="s">
        <v>52</v>
      </c>
      <c r="O2224">
        <f>IF(TablaVentas[[#This Row],[Precio_unitario]]="","PENDIENTE",TablaVentas[[#This Row],[Unidades]]*TablaVentas[[#This Row],[Precio_unitario]]*(1-TablaVentas[[#This Row],[Descuento_pct]]))</f>
        <v>5841.64</v>
      </c>
      <c r="P2224">
        <f>IF(TablaVentas[[#This Row],[Costo_unitario]]="","PENDIENTE",TablaVentas[[#This Row],[Unidades]]*TablaVentas[[#This Row],[Costo_unitario]])</f>
        <v>3603.66</v>
      </c>
      <c r="Q2224">
        <f>IF(OR(TablaVentas[[#This Row],[Ingreso_neto]]="PENDIENTE",TablaVentas[[#This Row],[Costo_total]]="PENDIENTE"),"PENDIENTE",TablaVentas[[#This Row],[Ingreso_neto]]-TablaVentas[[#This Row],[Costo_total]])</f>
        <v>2237.9800000000005</v>
      </c>
    </row>
    <row r="2225" spans="1:17">
      <c r="A2225" t="s">
        <v>1345</v>
      </c>
      <c r="B2225">
        <v>1</v>
      </c>
      <c r="C2225" s="3">
        <v>46203</v>
      </c>
      <c r="D2225" t="s">
        <v>772</v>
      </c>
      <c r="E2225" t="s">
        <v>537</v>
      </c>
      <c r="F2225" t="s">
        <v>39</v>
      </c>
      <c r="G2225" t="s">
        <v>57</v>
      </c>
      <c r="H2225" t="s">
        <v>41</v>
      </c>
      <c r="I2225">
        <v>1</v>
      </c>
      <c r="J2225" s="4">
        <v>5097.26</v>
      </c>
      <c r="K2225" s="5">
        <v>0</v>
      </c>
      <c r="L2225" s="4">
        <v>4556.2299999999996</v>
      </c>
      <c r="M2225" t="s">
        <v>42</v>
      </c>
      <c r="N2225" t="s">
        <v>43</v>
      </c>
      <c r="O2225">
        <f>IF(TablaVentas[[#This Row],[Precio_unitario]]="","PENDIENTE",TablaVentas[[#This Row],[Unidades]]*TablaVentas[[#This Row],[Precio_unitario]]*(1-TablaVentas[[#This Row],[Descuento_pct]]))</f>
        <v>5097.26</v>
      </c>
      <c r="P2225">
        <f>IF(TablaVentas[[#This Row],[Costo_unitario]]="","PENDIENTE",TablaVentas[[#This Row],[Unidades]]*TablaVentas[[#This Row],[Costo_unitario]])</f>
        <v>4556.2299999999996</v>
      </c>
      <c r="Q2225">
        <f>IF(OR(TablaVentas[[#This Row],[Ingreso_neto]]="PENDIENTE",TablaVentas[[#This Row],[Costo_total]]="PENDIENTE"),"PENDIENTE",TablaVentas[[#This Row],[Ingreso_neto]]-TablaVentas[[#This Row],[Costo_total]])</f>
        <v>541.03000000000065</v>
      </c>
    </row>
    <row r="2226" spans="1:17">
      <c r="A2226" t="s">
        <v>1345</v>
      </c>
      <c r="B2226">
        <v>2</v>
      </c>
      <c r="C2226" s="3">
        <v>46203</v>
      </c>
      <c r="D2226" t="s">
        <v>772</v>
      </c>
      <c r="E2226" t="s">
        <v>397</v>
      </c>
      <c r="F2226" t="s">
        <v>39</v>
      </c>
      <c r="G2226" t="s">
        <v>57</v>
      </c>
      <c r="H2226" t="s">
        <v>41</v>
      </c>
      <c r="I2226">
        <v>3</v>
      </c>
      <c r="J2226" s="4">
        <v>5794.83</v>
      </c>
      <c r="K2226" s="5">
        <v>0</v>
      </c>
      <c r="L2226" s="4">
        <v>3640.56</v>
      </c>
      <c r="M2226" t="s">
        <v>42</v>
      </c>
      <c r="N2226" t="s">
        <v>60</v>
      </c>
      <c r="O2226">
        <f>IF(TablaVentas[[#This Row],[Precio_unitario]]="","PENDIENTE",TablaVentas[[#This Row],[Unidades]]*TablaVentas[[#This Row],[Precio_unitario]]*(1-TablaVentas[[#This Row],[Descuento_pct]]))</f>
        <v>17384.489999999998</v>
      </c>
      <c r="P2226">
        <f>IF(TablaVentas[[#This Row],[Costo_unitario]]="","PENDIENTE",TablaVentas[[#This Row],[Unidades]]*TablaVentas[[#This Row],[Costo_unitario]])</f>
        <v>10921.68</v>
      </c>
      <c r="Q2226">
        <f>IF(OR(TablaVentas[[#This Row],[Ingreso_neto]]="PENDIENTE",TablaVentas[[#This Row],[Costo_total]]="PENDIENTE"),"PENDIENTE",TablaVentas[[#This Row],[Ingreso_neto]]-TablaVentas[[#This Row],[Costo_total]])</f>
        <v>6462.8099999999977</v>
      </c>
    </row>
    <row r="2227" spans="1:17">
      <c r="A2227" t="s">
        <v>1345</v>
      </c>
      <c r="B2227">
        <v>3</v>
      </c>
      <c r="C2227" s="3">
        <v>46203</v>
      </c>
      <c r="D2227" t="s">
        <v>772</v>
      </c>
      <c r="E2227" t="s">
        <v>218</v>
      </c>
      <c r="F2227" t="s">
        <v>39</v>
      </c>
      <c r="G2227" t="s">
        <v>57</v>
      </c>
      <c r="H2227" t="s">
        <v>41</v>
      </c>
      <c r="I2227">
        <v>2</v>
      </c>
      <c r="J2227" s="4">
        <v>4503.95</v>
      </c>
      <c r="K2227" s="5">
        <v>0</v>
      </c>
      <c r="L2227" s="4">
        <v>2833.97</v>
      </c>
      <c r="M2227" t="s">
        <v>42</v>
      </c>
      <c r="N2227" t="s">
        <v>43</v>
      </c>
      <c r="O2227">
        <f>IF(TablaVentas[[#This Row],[Precio_unitario]]="","PENDIENTE",TablaVentas[[#This Row],[Unidades]]*TablaVentas[[#This Row],[Precio_unitario]]*(1-TablaVentas[[#This Row],[Descuento_pct]]))</f>
        <v>9007.9</v>
      </c>
      <c r="P2227">
        <f>IF(TablaVentas[[#This Row],[Costo_unitario]]="","PENDIENTE",TablaVentas[[#This Row],[Unidades]]*TablaVentas[[#This Row],[Costo_unitario]])</f>
        <v>5667.94</v>
      </c>
      <c r="Q2227">
        <f>IF(OR(TablaVentas[[#This Row],[Ingreso_neto]]="PENDIENTE",TablaVentas[[#This Row],[Costo_total]]="PENDIENTE"),"PENDIENTE",TablaVentas[[#This Row],[Ingreso_neto]]-TablaVentas[[#This Row],[Costo_total]])</f>
        <v>3339.96</v>
      </c>
    </row>
    <row r="2228" spans="1:17">
      <c r="A2228" t="s">
        <v>1345</v>
      </c>
      <c r="B2228">
        <v>4</v>
      </c>
      <c r="C2228" s="3">
        <v>46203</v>
      </c>
      <c r="D2228" t="s">
        <v>772</v>
      </c>
      <c r="E2228" t="s">
        <v>196</v>
      </c>
      <c r="F2228" t="s">
        <v>39</v>
      </c>
      <c r="G2228" t="s">
        <v>57</v>
      </c>
      <c r="H2228" t="s">
        <v>41</v>
      </c>
      <c r="I2228">
        <v>2</v>
      </c>
      <c r="J2228" s="4">
        <v>735.61</v>
      </c>
      <c r="K2228" s="5">
        <v>0</v>
      </c>
      <c r="L2228" s="4">
        <v>485.16</v>
      </c>
      <c r="M2228" t="s">
        <v>42</v>
      </c>
      <c r="N2228" t="s">
        <v>60</v>
      </c>
      <c r="O2228">
        <f>IF(TablaVentas[[#This Row],[Precio_unitario]]="","PENDIENTE",TablaVentas[[#This Row],[Unidades]]*TablaVentas[[#This Row],[Precio_unitario]]*(1-TablaVentas[[#This Row],[Descuento_pct]]))</f>
        <v>1471.22</v>
      </c>
      <c r="P2228">
        <f>IF(TablaVentas[[#This Row],[Costo_unitario]]="","PENDIENTE",TablaVentas[[#This Row],[Unidades]]*TablaVentas[[#This Row],[Costo_unitario]])</f>
        <v>970.32</v>
      </c>
      <c r="Q2228">
        <f>IF(OR(TablaVentas[[#This Row],[Ingreso_neto]]="PENDIENTE",TablaVentas[[#This Row],[Costo_total]]="PENDIENTE"),"PENDIENTE",TablaVentas[[#This Row],[Ingreso_neto]]-TablaVentas[[#This Row],[Costo_total]])</f>
        <v>500.9</v>
      </c>
    </row>
    <row r="2229" spans="1:17">
      <c r="A2229" t="s">
        <v>1346</v>
      </c>
      <c r="B2229">
        <v>1</v>
      </c>
      <c r="C2229" s="3">
        <v>46263</v>
      </c>
      <c r="D2229" t="s">
        <v>554</v>
      </c>
      <c r="E2229" t="s">
        <v>159</v>
      </c>
      <c r="F2229" t="s">
        <v>39</v>
      </c>
      <c r="G2229" t="s">
        <v>40</v>
      </c>
      <c r="H2229" t="s">
        <v>184</v>
      </c>
      <c r="I2229">
        <v>2</v>
      </c>
      <c r="J2229" s="4">
        <v>11936.31</v>
      </c>
      <c r="K2229" s="5">
        <v>0.2</v>
      </c>
      <c r="L2229" s="4">
        <v>9317.3700000000008</v>
      </c>
      <c r="M2229" t="s">
        <v>42</v>
      </c>
      <c r="N2229" t="s">
        <v>60</v>
      </c>
      <c r="O2229">
        <f>IF(TablaVentas[[#This Row],[Precio_unitario]]="","PENDIENTE",TablaVentas[[#This Row],[Unidades]]*TablaVentas[[#This Row],[Precio_unitario]]*(1-TablaVentas[[#This Row],[Descuento_pct]]))</f>
        <v>19098.096000000001</v>
      </c>
      <c r="P2229">
        <f>IF(TablaVentas[[#This Row],[Costo_unitario]]="","PENDIENTE",TablaVentas[[#This Row],[Unidades]]*TablaVentas[[#This Row],[Costo_unitario]])</f>
        <v>18634.740000000002</v>
      </c>
      <c r="Q2229">
        <f>IF(OR(TablaVentas[[#This Row],[Ingreso_neto]]="PENDIENTE",TablaVentas[[#This Row],[Costo_total]]="PENDIENTE"),"PENDIENTE",TablaVentas[[#This Row],[Ingreso_neto]]-TablaVentas[[#This Row],[Costo_total]])</f>
        <v>463.35599999999977</v>
      </c>
    </row>
    <row r="2230" spans="1:17">
      <c r="A2230" t="s">
        <v>1346</v>
      </c>
      <c r="B2230">
        <v>2</v>
      </c>
      <c r="C2230" s="3">
        <v>46263</v>
      </c>
      <c r="D2230" t="s">
        <v>554</v>
      </c>
      <c r="E2230" t="s">
        <v>106</v>
      </c>
      <c r="F2230" t="s">
        <v>39</v>
      </c>
      <c r="G2230" t="s">
        <v>40</v>
      </c>
      <c r="H2230" t="s">
        <v>184</v>
      </c>
      <c r="I2230">
        <v>5</v>
      </c>
      <c r="J2230" s="4">
        <v>10137.82</v>
      </c>
      <c r="K2230" s="5">
        <v>0</v>
      </c>
      <c r="L2230" s="4">
        <v>8276.74</v>
      </c>
      <c r="M2230" t="s">
        <v>42</v>
      </c>
      <c r="N2230" t="s">
        <v>60</v>
      </c>
      <c r="O2230">
        <f>IF(TablaVentas[[#This Row],[Precio_unitario]]="","PENDIENTE",TablaVentas[[#This Row],[Unidades]]*TablaVentas[[#This Row],[Precio_unitario]]*(1-TablaVentas[[#This Row],[Descuento_pct]]))</f>
        <v>50689.1</v>
      </c>
      <c r="P2230">
        <f>IF(TablaVentas[[#This Row],[Costo_unitario]]="","PENDIENTE",TablaVentas[[#This Row],[Unidades]]*TablaVentas[[#This Row],[Costo_unitario]])</f>
        <v>41383.699999999997</v>
      </c>
      <c r="Q2230">
        <f>IF(OR(TablaVentas[[#This Row],[Ingreso_neto]]="PENDIENTE",TablaVentas[[#This Row],[Costo_total]]="PENDIENTE"),"PENDIENTE",TablaVentas[[#This Row],[Ingreso_neto]]-TablaVentas[[#This Row],[Costo_total]])</f>
        <v>9305.4000000000015</v>
      </c>
    </row>
    <row r="2231" spans="1:17">
      <c r="A2231" t="s">
        <v>1347</v>
      </c>
      <c r="B2231">
        <v>1</v>
      </c>
      <c r="C2231" s="3">
        <v>46166</v>
      </c>
      <c r="D2231" t="s">
        <v>676</v>
      </c>
      <c r="E2231" t="s">
        <v>253</v>
      </c>
      <c r="F2231" t="s">
        <v>77</v>
      </c>
      <c r="G2231" t="s">
        <v>57</v>
      </c>
      <c r="H2231" t="s">
        <v>82</v>
      </c>
      <c r="I2231">
        <v>5</v>
      </c>
      <c r="J2231" s="4">
        <v>2840.96</v>
      </c>
      <c r="K2231" s="5">
        <v>0</v>
      </c>
      <c r="L2231" s="4">
        <v>2486.1799999999998</v>
      </c>
      <c r="M2231" t="s">
        <v>42</v>
      </c>
      <c r="N2231" t="s">
        <v>52</v>
      </c>
      <c r="O2231">
        <f>IF(TablaVentas[[#This Row],[Precio_unitario]]="","PENDIENTE",TablaVentas[[#This Row],[Unidades]]*TablaVentas[[#This Row],[Precio_unitario]]*(1-TablaVentas[[#This Row],[Descuento_pct]]))</f>
        <v>14204.8</v>
      </c>
      <c r="P2231">
        <f>IF(TablaVentas[[#This Row],[Costo_unitario]]="","PENDIENTE",TablaVentas[[#This Row],[Unidades]]*TablaVentas[[#This Row],[Costo_unitario]])</f>
        <v>12430.9</v>
      </c>
      <c r="Q2231">
        <f>IF(OR(TablaVentas[[#This Row],[Ingreso_neto]]="PENDIENTE",TablaVentas[[#This Row],[Costo_total]]="PENDIENTE"),"PENDIENTE",TablaVentas[[#This Row],[Ingreso_neto]]-TablaVentas[[#This Row],[Costo_total]])</f>
        <v>1773.8999999999996</v>
      </c>
    </row>
    <row r="2232" spans="1:17">
      <c r="A2232" t="s">
        <v>1348</v>
      </c>
      <c r="B2232">
        <v>1</v>
      </c>
      <c r="C2232" s="3">
        <v>46225</v>
      </c>
      <c r="D2232" t="s">
        <v>564</v>
      </c>
      <c r="E2232" t="s">
        <v>93</v>
      </c>
      <c r="F2232" t="s">
        <v>77</v>
      </c>
      <c r="G2232" t="s">
        <v>57</v>
      </c>
      <c r="H2232" t="s">
        <v>51</v>
      </c>
      <c r="I2232">
        <v>1</v>
      </c>
      <c r="J2232" s="4">
        <v>14327.31</v>
      </c>
      <c r="K2232" s="5">
        <v>0</v>
      </c>
      <c r="L2232" s="4">
        <v>8788.7900000000009</v>
      </c>
      <c r="M2232" t="s">
        <v>42</v>
      </c>
      <c r="N2232" t="s">
        <v>43</v>
      </c>
      <c r="O2232">
        <f>IF(TablaVentas[[#This Row],[Precio_unitario]]="","PENDIENTE",TablaVentas[[#This Row],[Unidades]]*TablaVentas[[#This Row],[Precio_unitario]]*(1-TablaVentas[[#This Row],[Descuento_pct]]))</f>
        <v>14327.31</v>
      </c>
      <c r="P2232">
        <f>IF(TablaVentas[[#This Row],[Costo_unitario]]="","PENDIENTE",TablaVentas[[#This Row],[Unidades]]*TablaVentas[[#This Row],[Costo_unitario]])</f>
        <v>8788.7900000000009</v>
      </c>
      <c r="Q2232">
        <f>IF(OR(TablaVentas[[#This Row],[Ingreso_neto]]="PENDIENTE",TablaVentas[[#This Row],[Costo_total]]="PENDIENTE"),"PENDIENTE",TablaVentas[[#This Row],[Ingreso_neto]]-TablaVentas[[#This Row],[Costo_total]])</f>
        <v>5538.5199999999986</v>
      </c>
    </row>
    <row r="2233" spans="1:17">
      <c r="A2233" t="s">
        <v>1348</v>
      </c>
      <c r="B2233">
        <v>2</v>
      </c>
      <c r="C2233" s="3">
        <v>46225</v>
      </c>
      <c r="D2233" t="s">
        <v>564</v>
      </c>
      <c r="E2233" t="s">
        <v>185</v>
      </c>
      <c r="F2233" t="s">
        <v>77</v>
      </c>
      <c r="G2233" t="s">
        <v>57</v>
      </c>
      <c r="H2233" t="s">
        <v>51</v>
      </c>
      <c r="I2233">
        <v>1</v>
      </c>
      <c r="J2233" s="4">
        <v>16124.8</v>
      </c>
      <c r="K2233" s="5">
        <v>0.15</v>
      </c>
      <c r="L2233" s="4">
        <v>11904.09</v>
      </c>
      <c r="M2233" t="s">
        <v>42</v>
      </c>
      <c r="N2233" t="s">
        <v>43</v>
      </c>
      <c r="O2233">
        <f>IF(TablaVentas[[#This Row],[Precio_unitario]]="","PENDIENTE",TablaVentas[[#This Row],[Unidades]]*TablaVentas[[#This Row],[Precio_unitario]]*(1-TablaVentas[[#This Row],[Descuento_pct]]))</f>
        <v>13706.08</v>
      </c>
      <c r="P2233">
        <f>IF(TablaVentas[[#This Row],[Costo_unitario]]="","PENDIENTE",TablaVentas[[#This Row],[Unidades]]*TablaVentas[[#This Row],[Costo_unitario]])</f>
        <v>11904.09</v>
      </c>
      <c r="Q2233">
        <f>IF(OR(TablaVentas[[#This Row],[Ingreso_neto]]="PENDIENTE",TablaVentas[[#This Row],[Costo_total]]="PENDIENTE"),"PENDIENTE",TablaVentas[[#This Row],[Ingreso_neto]]-TablaVentas[[#This Row],[Costo_total]])</f>
        <v>1801.9899999999998</v>
      </c>
    </row>
    <row r="2234" spans="1:17">
      <c r="A2234" t="s">
        <v>1349</v>
      </c>
      <c r="B2234">
        <v>1</v>
      </c>
      <c r="C2234" s="3">
        <v>46253</v>
      </c>
      <c r="D2234" t="s">
        <v>414</v>
      </c>
      <c r="E2234" t="s">
        <v>208</v>
      </c>
      <c r="F2234" t="s">
        <v>77</v>
      </c>
      <c r="G2234" t="s">
        <v>50</v>
      </c>
      <c r="H2234" t="s">
        <v>184</v>
      </c>
      <c r="I2234">
        <v>3</v>
      </c>
      <c r="J2234" s="4">
        <v>10296.6</v>
      </c>
      <c r="K2234" s="5">
        <v>0.05</v>
      </c>
      <c r="L2234" s="4">
        <v>5535.31</v>
      </c>
      <c r="M2234" t="s">
        <v>42</v>
      </c>
      <c r="N2234" t="s">
        <v>52</v>
      </c>
      <c r="O2234">
        <f>IF(TablaVentas[[#This Row],[Precio_unitario]]="","PENDIENTE",TablaVentas[[#This Row],[Unidades]]*TablaVentas[[#This Row],[Precio_unitario]]*(1-TablaVentas[[#This Row],[Descuento_pct]]))</f>
        <v>29345.31</v>
      </c>
      <c r="P2234">
        <f>IF(TablaVentas[[#This Row],[Costo_unitario]]="","PENDIENTE",TablaVentas[[#This Row],[Unidades]]*TablaVentas[[#This Row],[Costo_unitario]])</f>
        <v>16605.93</v>
      </c>
      <c r="Q2234">
        <f>IF(OR(TablaVentas[[#This Row],[Ingreso_neto]]="PENDIENTE",TablaVentas[[#This Row],[Costo_total]]="PENDIENTE"),"PENDIENTE",TablaVentas[[#This Row],[Ingreso_neto]]-TablaVentas[[#This Row],[Costo_total]])</f>
        <v>12739.380000000001</v>
      </c>
    </row>
    <row r="2235" spans="1:17">
      <c r="A2235" t="s">
        <v>1350</v>
      </c>
      <c r="B2235">
        <v>1</v>
      </c>
      <c r="C2235" s="3">
        <v>46151</v>
      </c>
      <c r="D2235" t="s">
        <v>187</v>
      </c>
      <c r="E2235" t="s">
        <v>151</v>
      </c>
      <c r="F2235" t="s">
        <v>56</v>
      </c>
      <c r="G2235" t="s">
        <v>40</v>
      </c>
      <c r="H2235" t="s">
        <v>184</v>
      </c>
      <c r="I2235">
        <v>1</v>
      </c>
      <c r="J2235" s="4">
        <v>17385.759999999998</v>
      </c>
      <c r="K2235" s="5">
        <v>0</v>
      </c>
      <c r="L2235" s="4">
        <v>8963.23</v>
      </c>
      <c r="M2235" t="s">
        <v>42</v>
      </c>
      <c r="N2235" t="s">
        <v>52</v>
      </c>
      <c r="O2235">
        <f>IF(TablaVentas[[#This Row],[Precio_unitario]]="","PENDIENTE",TablaVentas[[#This Row],[Unidades]]*TablaVentas[[#This Row],[Precio_unitario]]*(1-TablaVentas[[#This Row],[Descuento_pct]]))</f>
        <v>17385.759999999998</v>
      </c>
      <c r="P2235">
        <f>IF(TablaVentas[[#This Row],[Costo_unitario]]="","PENDIENTE",TablaVentas[[#This Row],[Unidades]]*TablaVentas[[#This Row],[Costo_unitario]])</f>
        <v>8963.23</v>
      </c>
      <c r="Q2235">
        <f>IF(OR(TablaVentas[[#This Row],[Ingreso_neto]]="PENDIENTE",TablaVentas[[#This Row],[Costo_total]]="PENDIENTE"),"PENDIENTE",TablaVentas[[#This Row],[Ingreso_neto]]-TablaVentas[[#This Row],[Costo_total]])</f>
        <v>8422.5299999999988</v>
      </c>
    </row>
    <row r="2236" spans="1:17">
      <c r="A2236" t="s">
        <v>1350</v>
      </c>
      <c r="B2236">
        <v>2</v>
      </c>
      <c r="C2236" s="3">
        <v>46151</v>
      </c>
      <c r="D2236" t="s">
        <v>187</v>
      </c>
      <c r="E2236" t="s">
        <v>321</v>
      </c>
      <c r="F2236" t="s">
        <v>56</v>
      </c>
      <c r="G2236" t="s">
        <v>40</v>
      </c>
      <c r="H2236" t="s">
        <v>184</v>
      </c>
      <c r="I2236">
        <v>1</v>
      </c>
      <c r="J2236" s="4">
        <v>1381.99</v>
      </c>
      <c r="K2236" s="5">
        <v>0.2</v>
      </c>
      <c r="L2236" s="4">
        <v>679.37</v>
      </c>
      <c r="M2236" t="s">
        <v>42</v>
      </c>
      <c r="N2236" t="s">
        <v>45</v>
      </c>
      <c r="O2236">
        <f>IF(TablaVentas[[#This Row],[Precio_unitario]]="","PENDIENTE",TablaVentas[[#This Row],[Unidades]]*TablaVentas[[#This Row],[Precio_unitario]]*(1-TablaVentas[[#This Row],[Descuento_pct]]))</f>
        <v>1105.5920000000001</v>
      </c>
      <c r="P2236">
        <f>IF(TablaVentas[[#This Row],[Costo_unitario]]="","PENDIENTE",TablaVentas[[#This Row],[Unidades]]*TablaVentas[[#This Row],[Costo_unitario]])</f>
        <v>679.37</v>
      </c>
      <c r="Q2236">
        <f>IF(OR(TablaVentas[[#This Row],[Ingreso_neto]]="PENDIENTE",TablaVentas[[#This Row],[Costo_total]]="PENDIENTE"),"PENDIENTE",TablaVentas[[#This Row],[Ingreso_neto]]-TablaVentas[[#This Row],[Costo_total]])</f>
        <v>426.22200000000009</v>
      </c>
    </row>
    <row r="2237" spans="1:17">
      <c r="A2237" t="s">
        <v>1350</v>
      </c>
      <c r="B2237">
        <v>3</v>
      </c>
      <c r="C2237" s="3">
        <v>46151</v>
      </c>
      <c r="D2237" t="s">
        <v>187</v>
      </c>
      <c r="E2237" t="s">
        <v>256</v>
      </c>
      <c r="F2237" t="s">
        <v>56</v>
      </c>
      <c r="G2237" t="s">
        <v>40</v>
      </c>
      <c r="H2237" t="s">
        <v>184</v>
      </c>
      <c r="I2237">
        <v>2</v>
      </c>
      <c r="J2237" s="4">
        <v>19542.7</v>
      </c>
      <c r="K2237" s="5">
        <v>0.15</v>
      </c>
      <c r="L2237" s="4">
        <v>11666.57</v>
      </c>
      <c r="M2237" t="s">
        <v>42</v>
      </c>
      <c r="N2237" t="s">
        <v>43</v>
      </c>
      <c r="O2237">
        <f>IF(TablaVentas[[#This Row],[Precio_unitario]]="","PENDIENTE",TablaVentas[[#This Row],[Unidades]]*TablaVentas[[#This Row],[Precio_unitario]]*(1-TablaVentas[[#This Row],[Descuento_pct]]))</f>
        <v>33222.590000000004</v>
      </c>
      <c r="P2237">
        <f>IF(TablaVentas[[#This Row],[Costo_unitario]]="","PENDIENTE",TablaVentas[[#This Row],[Unidades]]*TablaVentas[[#This Row],[Costo_unitario]])</f>
        <v>23333.14</v>
      </c>
      <c r="Q2237">
        <f>IF(OR(TablaVentas[[#This Row],[Ingreso_neto]]="PENDIENTE",TablaVentas[[#This Row],[Costo_total]]="PENDIENTE"),"PENDIENTE",TablaVentas[[#This Row],[Ingreso_neto]]-TablaVentas[[#This Row],[Costo_total]])</f>
        <v>9889.4500000000044</v>
      </c>
    </row>
    <row r="2238" spans="1:17">
      <c r="A2238" t="s">
        <v>1350</v>
      </c>
      <c r="B2238">
        <v>4</v>
      </c>
      <c r="C2238" s="3">
        <v>46151</v>
      </c>
      <c r="D2238" t="s">
        <v>187</v>
      </c>
      <c r="E2238" t="s">
        <v>193</v>
      </c>
      <c r="F2238" t="s">
        <v>56</v>
      </c>
      <c r="G2238" t="s">
        <v>40</v>
      </c>
      <c r="H2238" t="s">
        <v>184</v>
      </c>
      <c r="I2238">
        <v>2</v>
      </c>
      <c r="J2238" s="4">
        <v>11779.04</v>
      </c>
      <c r="K2238" s="5">
        <v>0</v>
      </c>
      <c r="L2238" s="4">
        <v>5811.72</v>
      </c>
      <c r="M2238" t="s">
        <v>42</v>
      </c>
      <c r="N2238" t="s">
        <v>52</v>
      </c>
      <c r="O2238">
        <f>IF(TablaVentas[[#This Row],[Precio_unitario]]="","PENDIENTE",TablaVentas[[#This Row],[Unidades]]*TablaVentas[[#This Row],[Precio_unitario]]*(1-TablaVentas[[#This Row],[Descuento_pct]]))</f>
        <v>23558.080000000002</v>
      </c>
      <c r="P2238">
        <f>IF(TablaVentas[[#This Row],[Costo_unitario]]="","PENDIENTE",TablaVentas[[#This Row],[Unidades]]*TablaVentas[[#This Row],[Costo_unitario]])</f>
        <v>11623.44</v>
      </c>
      <c r="Q2238">
        <f>IF(OR(TablaVentas[[#This Row],[Ingreso_neto]]="PENDIENTE",TablaVentas[[#This Row],[Costo_total]]="PENDIENTE"),"PENDIENTE",TablaVentas[[#This Row],[Ingreso_neto]]-TablaVentas[[#This Row],[Costo_total]])</f>
        <v>11934.640000000001</v>
      </c>
    </row>
    <row r="2239" spans="1:17">
      <c r="A2239" t="s">
        <v>1351</v>
      </c>
      <c r="B2239">
        <v>1</v>
      </c>
      <c r="C2239" s="3">
        <v>46280</v>
      </c>
      <c r="D2239" t="s">
        <v>532</v>
      </c>
      <c r="E2239" t="s">
        <v>160</v>
      </c>
      <c r="F2239" t="s">
        <v>39</v>
      </c>
      <c r="G2239" t="s">
        <v>57</v>
      </c>
      <c r="H2239" t="s">
        <v>73</v>
      </c>
      <c r="I2239">
        <v>2</v>
      </c>
      <c r="J2239" s="4">
        <v>6885.34</v>
      </c>
      <c r="K2239" s="5">
        <v>0</v>
      </c>
      <c r="L2239" s="4">
        <v>4082.15</v>
      </c>
      <c r="M2239" t="s">
        <v>42</v>
      </c>
      <c r="N2239" t="s">
        <v>60</v>
      </c>
      <c r="O2239">
        <f>IF(TablaVentas[[#This Row],[Precio_unitario]]="","PENDIENTE",TablaVentas[[#This Row],[Unidades]]*TablaVentas[[#This Row],[Precio_unitario]]*(1-TablaVentas[[#This Row],[Descuento_pct]]))</f>
        <v>13770.68</v>
      </c>
      <c r="P2239">
        <f>IF(TablaVentas[[#This Row],[Costo_unitario]]="","PENDIENTE",TablaVentas[[#This Row],[Unidades]]*TablaVentas[[#This Row],[Costo_unitario]])</f>
        <v>8164.3</v>
      </c>
      <c r="Q2239">
        <f>IF(OR(TablaVentas[[#This Row],[Ingreso_neto]]="PENDIENTE",TablaVentas[[#This Row],[Costo_total]]="PENDIENTE"),"PENDIENTE",TablaVentas[[#This Row],[Ingreso_neto]]-TablaVentas[[#This Row],[Costo_total]])</f>
        <v>5606.38</v>
      </c>
    </row>
    <row r="2240" spans="1:17">
      <c r="A2240" t="s">
        <v>1351</v>
      </c>
      <c r="B2240">
        <v>2</v>
      </c>
      <c r="C2240" s="3">
        <v>46280</v>
      </c>
      <c r="D2240" t="s">
        <v>532</v>
      </c>
      <c r="E2240" t="s">
        <v>151</v>
      </c>
      <c r="F2240" t="s">
        <v>39</v>
      </c>
      <c r="G2240" t="s">
        <v>57</v>
      </c>
      <c r="H2240" t="s">
        <v>73</v>
      </c>
      <c r="I2240">
        <v>1</v>
      </c>
      <c r="J2240" s="4">
        <v>17928.68</v>
      </c>
      <c r="K2240" s="5">
        <v>0</v>
      </c>
      <c r="L2240" s="4">
        <v>8963.23</v>
      </c>
      <c r="M2240" t="s">
        <v>42</v>
      </c>
      <c r="N2240" t="s">
        <v>45</v>
      </c>
      <c r="O2240">
        <f>IF(TablaVentas[[#This Row],[Precio_unitario]]="","PENDIENTE",TablaVentas[[#This Row],[Unidades]]*TablaVentas[[#This Row],[Precio_unitario]]*(1-TablaVentas[[#This Row],[Descuento_pct]]))</f>
        <v>17928.68</v>
      </c>
      <c r="P2240">
        <f>IF(TablaVentas[[#This Row],[Costo_unitario]]="","PENDIENTE",TablaVentas[[#This Row],[Unidades]]*TablaVentas[[#This Row],[Costo_unitario]])</f>
        <v>8963.23</v>
      </c>
      <c r="Q2240">
        <f>IF(OR(TablaVentas[[#This Row],[Ingreso_neto]]="PENDIENTE",TablaVentas[[#This Row],[Costo_total]]="PENDIENTE"),"PENDIENTE",TablaVentas[[#This Row],[Ingreso_neto]]-TablaVentas[[#This Row],[Costo_total]])</f>
        <v>8965.4500000000007</v>
      </c>
    </row>
    <row r="2241" spans="1:17">
      <c r="A2241" t="s">
        <v>1351</v>
      </c>
      <c r="B2241">
        <v>3</v>
      </c>
      <c r="C2241" s="3">
        <v>46280</v>
      </c>
      <c r="D2241" t="s">
        <v>532</v>
      </c>
      <c r="E2241" t="s">
        <v>236</v>
      </c>
      <c r="F2241" t="s">
        <v>39</v>
      </c>
      <c r="G2241" t="s">
        <v>57</v>
      </c>
      <c r="H2241" t="s">
        <v>73</v>
      </c>
      <c r="I2241">
        <v>4</v>
      </c>
      <c r="J2241" s="4">
        <v>9919.5400000000009</v>
      </c>
      <c r="K2241" s="5">
        <v>0</v>
      </c>
      <c r="L2241" s="4">
        <v>8061.7</v>
      </c>
      <c r="M2241" t="s">
        <v>42</v>
      </c>
      <c r="N2241" t="s">
        <v>43</v>
      </c>
      <c r="O2241">
        <f>IF(TablaVentas[[#This Row],[Precio_unitario]]="","PENDIENTE",TablaVentas[[#This Row],[Unidades]]*TablaVentas[[#This Row],[Precio_unitario]]*(1-TablaVentas[[#This Row],[Descuento_pct]]))</f>
        <v>39678.160000000003</v>
      </c>
      <c r="P2241">
        <f>IF(TablaVentas[[#This Row],[Costo_unitario]]="","PENDIENTE",TablaVentas[[#This Row],[Unidades]]*TablaVentas[[#This Row],[Costo_unitario]])</f>
        <v>32246.799999999999</v>
      </c>
      <c r="Q2241">
        <f>IF(OR(TablaVentas[[#This Row],[Ingreso_neto]]="PENDIENTE",TablaVentas[[#This Row],[Costo_total]]="PENDIENTE"),"PENDIENTE",TablaVentas[[#This Row],[Ingreso_neto]]-TablaVentas[[#This Row],[Costo_total]])</f>
        <v>7431.3600000000042</v>
      </c>
    </row>
    <row r="2242" spans="1:17">
      <c r="A2242" t="s">
        <v>1352</v>
      </c>
      <c r="B2242">
        <v>1</v>
      </c>
      <c r="C2242" s="3">
        <v>46174</v>
      </c>
      <c r="D2242" t="s">
        <v>669</v>
      </c>
      <c r="E2242" t="s">
        <v>216</v>
      </c>
      <c r="F2242" t="s">
        <v>66</v>
      </c>
      <c r="G2242" t="s">
        <v>57</v>
      </c>
      <c r="H2242" t="s">
        <v>129</v>
      </c>
      <c r="I2242">
        <v>8</v>
      </c>
      <c r="J2242" s="4">
        <v>16740.78</v>
      </c>
      <c r="K2242" s="5">
        <v>0</v>
      </c>
      <c r="L2242" s="4">
        <v>12064.41</v>
      </c>
      <c r="M2242" t="s">
        <v>42</v>
      </c>
      <c r="N2242" t="s">
        <v>43</v>
      </c>
      <c r="O2242">
        <f>IF(TablaVentas[[#This Row],[Precio_unitario]]="","PENDIENTE",TablaVentas[[#This Row],[Unidades]]*TablaVentas[[#This Row],[Precio_unitario]]*(1-TablaVentas[[#This Row],[Descuento_pct]]))</f>
        <v>133926.24</v>
      </c>
      <c r="P2242">
        <f>IF(TablaVentas[[#This Row],[Costo_unitario]]="","PENDIENTE",TablaVentas[[#This Row],[Unidades]]*TablaVentas[[#This Row],[Costo_unitario]])</f>
        <v>96515.28</v>
      </c>
      <c r="Q2242">
        <f>IF(OR(TablaVentas[[#This Row],[Ingreso_neto]]="PENDIENTE",TablaVentas[[#This Row],[Costo_total]]="PENDIENTE"),"PENDIENTE",TablaVentas[[#This Row],[Ingreso_neto]]-TablaVentas[[#This Row],[Costo_total]])</f>
        <v>37410.959999999992</v>
      </c>
    </row>
    <row r="2243" spans="1:17">
      <c r="A2243" t="s">
        <v>1352</v>
      </c>
      <c r="B2243">
        <v>2</v>
      </c>
      <c r="C2243" s="3">
        <v>46174</v>
      </c>
      <c r="D2243" t="s">
        <v>669</v>
      </c>
      <c r="E2243" t="s">
        <v>148</v>
      </c>
      <c r="F2243" t="s">
        <v>66</v>
      </c>
      <c r="G2243" t="s">
        <v>57</v>
      </c>
      <c r="H2243" t="s">
        <v>129</v>
      </c>
      <c r="I2243">
        <v>3</v>
      </c>
      <c r="J2243" s="4">
        <v>3249.49</v>
      </c>
      <c r="K2243" s="5">
        <v>0</v>
      </c>
      <c r="L2243" s="4">
        <v>2459.34</v>
      </c>
      <c r="M2243" t="s">
        <v>42</v>
      </c>
      <c r="N2243" t="s">
        <v>60</v>
      </c>
      <c r="O2243">
        <f>IF(TablaVentas[[#This Row],[Precio_unitario]]="","PENDIENTE",TablaVentas[[#This Row],[Unidades]]*TablaVentas[[#This Row],[Precio_unitario]]*(1-TablaVentas[[#This Row],[Descuento_pct]]))</f>
        <v>9748.4699999999993</v>
      </c>
      <c r="P2243">
        <f>IF(TablaVentas[[#This Row],[Costo_unitario]]="","PENDIENTE",TablaVentas[[#This Row],[Unidades]]*TablaVentas[[#This Row],[Costo_unitario]])</f>
        <v>7378.02</v>
      </c>
      <c r="Q2243">
        <f>IF(OR(TablaVentas[[#This Row],[Ingreso_neto]]="PENDIENTE",TablaVentas[[#This Row],[Costo_total]]="PENDIENTE"),"PENDIENTE",TablaVentas[[#This Row],[Ingreso_neto]]-TablaVentas[[#This Row],[Costo_total]])</f>
        <v>2370.4499999999989</v>
      </c>
    </row>
    <row r="2244" spans="1:17">
      <c r="A2244" t="s">
        <v>1353</v>
      </c>
      <c r="B2244">
        <v>1</v>
      </c>
      <c r="C2244" s="3">
        <v>46196</v>
      </c>
      <c r="D2244" t="s">
        <v>884</v>
      </c>
      <c r="E2244" t="s">
        <v>68</v>
      </c>
      <c r="F2244" t="s">
        <v>66</v>
      </c>
      <c r="G2244" t="s">
        <v>50</v>
      </c>
      <c r="H2244" t="s">
        <v>58</v>
      </c>
      <c r="I2244">
        <v>1</v>
      </c>
      <c r="J2244" s="4">
        <v>15561.61</v>
      </c>
      <c r="K2244" s="5">
        <v>0</v>
      </c>
      <c r="L2244" s="4">
        <v>9243.35</v>
      </c>
      <c r="M2244" t="s">
        <v>42</v>
      </c>
      <c r="N2244" t="s">
        <v>52</v>
      </c>
      <c r="O2244">
        <f>IF(TablaVentas[[#This Row],[Precio_unitario]]="","PENDIENTE",TablaVentas[[#This Row],[Unidades]]*TablaVentas[[#This Row],[Precio_unitario]]*(1-TablaVentas[[#This Row],[Descuento_pct]]))</f>
        <v>15561.61</v>
      </c>
      <c r="P2244">
        <f>IF(TablaVentas[[#This Row],[Costo_unitario]]="","PENDIENTE",TablaVentas[[#This Row],[Unidades]]*TablaVentas[[#This Row],[Costo_unitario]])</f>
        <v>9243.35</v>
      </c>
      <c r="Q2244">
        <f>IF(OR(TablaVentas[[#This Row],[Ingreso_neto]]="PENDIENTE",TablaVentas[[#This Row],[Costo_total]]="PENDIENTE"),"PENDIENTE",TablaVentas[[#This Row],[Ingreso_neto]]-TablaVentas[[#This Row],[Costo_total]])</f>
        <v>6318.26</v>
      </c>
    </row>
    <row r="2245" spans="1:17">
      <c r="A2245" t="s">
        <v>1353</v>
      </c>
      <c r="B2245">
        <v>2</v>
      </c>
      <c r="C2245" s="3">
        <v>46196</v>
      </c>
      <c r="D2245" t="s">
        <v>884</v>
      </c>
      <c r="E2245" t="s">
        <v>282</v>
      </c>
      <c r="F2245" t="s">
        <v>66</v>
      </c>
      <c r="G2245" t="s">
        <v>50</v>
      </c>
      <c r="H2245" t="s">
        <v>58</v>
      </c>
      <c r="I2245">
        <v>3</v>
      </c>
      <c r="J2245" s="4">
        <v>4382.71</v>
      </c>
      <c r="K2245" s="5">
        <v>0</v>
      </c>
      <c r="L2245" s="4">
        <v>3399.5</v>
      </c>
      <c r="M2245" t="s">
        <v>42</v>
      </c>
      <c r="N2245" t="s">
        <v>43</v>
      </c>
      <c r="O2245">
        <f>IF(TablaVentas[[#This Row],[Precio_unitario]]="","PENDIENTE",TablaVentas[[#This Row],[Unidades]]*TablaVentas[[#This Row],[Precio_unitario]]*(1-TablaVentas[[#This Row],[Descuento_pct]]))</f>
        <v>13148.130000000001</v>
      </c>
      <c r="P2245">
        <f>IF(TablaVentas[[#This Row],[Costo_unitario]]="","PENDIENTE",TablaVentas[[#This Row],[Unidades]]*TablaVentas[[#This Row],[Costo_unitario]])</f>
        <v>10198.5</v>
      </c>
      <c r="Q2245">
        <f>IF(OR(TablaVentas[[#This Row],[Ingreso_neto]]="PENDIENTE",TablaVentas[[#This Row],[Costo_total]]="PENDIENTE"),"PENDIENTE",TablaVentas[[#This Row],[Ingreso_neto]]-TablaVentas[[#This Row],[Costo_total]])</f>
        <v>2949.630000000001</v>
      </c>
    </row>
    <row r="2246" spans="1:17">
      <c r="A2246" t="s">
        <v>1354</v>
      </c>
      <c r="B2246">
        <v>1</v>
      </c>
      <c r="C2246" s="3">
        <v>46116</v>
      </c>
      <c r="D2246" t="s">
        <v>402</v>
      </c>
      <c r="E2246" t="s">
        <v>109</v>
      </c>
      <c r="F2246" t="s">
        <v>66</v>
      </c>
      <c r="G2246" t="s">
        <v>40</v>
      </c>
      <c r="H2246" t="s">
        <v>184</v>
      </c>
      <c r="I2246">
        <v>1</v>
      </c>
      <c r="J2246" s="4">
        <v>14387.88</v>
      </c>
      <c r="K2246" s="5">
        <v>0</v>
      </c>
      <c r="L2246" s="4">
        <v>9880.77</v>
      </c>
      <c r="M2246" t="s">
        <v>42</v>
      </c>
      <c r="N2246" t="s">
        <v>43</v>
      </c>
      <c r="O2246">
        <f>IF(TablaVentas[[#This Row],[Precio_unitario]]="","PENDIENTE",TablaVentas[[#This Row],[Unidades]]*TablaVentas[[#This Row],[Precio_unitario]]*(1-TablaVentas[[#This Row],[Descuento_pct]]))</f>
        <v>14387.88</v>
      </c>
      <c r="P2246">
        <f>IF(TablaVentas[[#This Row],[Costo_unitario]]="","PENDIENTE",TablaVentas[[#This Row],[Unidades]]*TablaVentas[[#This Row],[Costo_unitario]])</f>
        <v>9880.77</v>
      </c>
      <c r="Q2246">
        <f>IF(OR(TablaVentas[[#This Row],[Ingreso_neto]]="PENDIENTE",TablaVentas[[#This Row],[Costo_total]]="PENDIENTE"),"PENDIENTE",TablaVentas[[#This Row],[Ingreso_neto]]-TablaVentas[[#This Row],[Costo_total]])</f>
        <v>4507.1099999999988</v>
      </c>
    </row>
    <row r="2247" spans="1:17">
      <c r="A2247" t="s">
        <v>1354</v>
      </c>
      <c r="B2247">
        <v>2</v>
      </c>
      <c r="C2247" s="3">
        <v>46116</v>
      </c>
      <c r="D2247" t="s">
        <v>402</v>
      </c>
      <c r="E2247" t="s">
        <v>403</v>
      </c>
      <c r="F2247" t="s">
        <v>66</v>
      </c>
      <c r="G2247" t="s">
        <v>40</v>
      </c>
      <c r="H2247" t="s">
        <v>184</v>
      </c>
      <c r="I2247">
        <v>2</v>
      </c>
      <c r="J2247" s="4">
        <v>3104.91</v>
      </c>
      <c r="K2247" s="5">
        <v>0.15</v>
      </c>
      <c r="L2247" s="4">
        <v>1801.83</v>
      </c>
      <c r="M2247" t="s">
        <v>42</v>
      </c>
      <c r="N2247" t="s">
        <v>60</v>
      </c>
      <c r="O2247">
        <f>IF(TablaVentas[[#This Row],[Precio_unitario]]="","PENDIENTE",TablaVentas[[#This Row],[Unidades]]*TablaVentas[[#This Row],[Precio_unitario]]*(1-TablaVentas[[#This Row],[Descuento_pct]]))</f>
        <v>5278.3469999999998</v>
      </c>
      <c r="P2247">
        <f>IF(TablaVentas[[#This Row],[Costo_unitario]]="","PENDIENTE",TablaVentas[[#This Row],[Unidades]]*TablaVentas[[#This Row],[Costo_unitario]])</f>
        <v>3603.66</v>
      </c>
      <c r="Q2247">
        <f>IF(OR(TablaVentas[[#This Row],[Ingreso_neto]]="PENDIENTE",TablaVentas[[#This Row],[Costo_total]]="PENDIENTE"),"PENDIENTE",TablaVentas[[#This Row],[Ingreso_neto]]-TablaVentas[[#This Row],[Costo_total]])</f>
        <v>1674.6869999999999</v>
      </c>
    </row>
    <row r="2248" spans="1:17">
      <c r="A2248" t="s">
        <v>1355</v>
      </c>
      <c r="B2248">
        <v>1</v>
      </c>
      <c r="C2248" s="3">
        <v>46168</v>
      </c>
      <c r="D2248" t="s">
        <v>484</v>
      </c>
      <c r="E2248" t="s">
        <v>114</v>
      </c>
      <c r="F2248" t="s">
        <v>39</v>
      </c>
      <c r="G2248" t="s">
        <v>57</v>
      </c>
      <c r="H2248" t="s">
        <v>102</v>
      </c>
      <c r="I2248">
        <v>1</v>
      </c>
      <c r="J2248" s="4">
        <v>13917.67</v>
      </c>
      <c r="K2248" s="5">
        <v>0</v>
      </c>
      <c r="L2248" s="4">
        <v>8239.48</v>
      </c>
      <c r="M2248" t="s">
        <v>116</v>
      </c>
      <c r="N2248" t="s">
        <v>52</v>
      </c>
      <c r="O2248">
        <f>IF(TablaVentas[[#This Row],[Precio_unitario]]="","PENDIENTE",TablaVentas[[#This Row],[Unidades]]*TablaVentas[[#This Row],[Precio_unitario]]*(1-TablaVentas[[#This Row],[Descuento_pct]]))</f>
        <v>13917.67</v>
      </c>
      <c r="P2248">
        <f>IF(TablaVentas[[#This Row],[Costo_unitario]]="","PENDIENTE",TablaVentas[[#This Row],[Unidades]]*TablaVentas[[#This Row],[Costo_unitario]])</f>
        <v>8239.48</v>
      </c>
      <c r="Q2248">
        <f>IF(OR(TablaVentas[[#This Row],[Ingreso_neto]]="PENDIENTE",TablaVentas[[#This Row],[Costo_total]]="PENDIENTE"),"PENDIENTE",TablaVentas[[#This Row],[Ingreso_neto]]-TablaVentas[[#This Row],[Costo_total]])</f>
        <v>5678.1900000000005</v>
      </c>
    </row>
    <row r="2249" spans="1:17">
      <c r="A2249" t="s">
        <v>1355</v>
      </c>
      <c r="B2249">
        <v>2</v>
      </c>
      <c r="C2249" s="3">
        <v>46168</v>
      </c>
      <c r="D2249" t="s">
        <v>484</v>
      </c>
      <c r="E2249" t="s">
        <v>273</v>
      </c>
      <c r="F2249" t="s">
        <v>39</v>
      </c>
      <c r="G2249" t="s">
        <v>57</v>
      </c>
      <c r="H2249" t="s">
        <v>102</v>
      </c>
      <c r="I2249">
        <v>1</v>
      </c>
      <c r="J2249" s="4">
        <v>1503.59</v>
      </c>
      <c r="K2249" s="5">
        <v>0.1</v>
      </c>
      <c r="L2249" s="4">
        <v>716.26</v>
      </c>
      <c r="M2249" t="s">
        <v>42</v>
      </c>
      <c r="N2249" t="s">
        <v>60</v>
      </c>
      <c r="O2249">
        <f>IF(TablaVentas[[#This Row],[Precio_unitario]]="","PENDIENTE",TablaVentas[[#This Row],[Unidades]]*TablaVentas[[#This Row],[Precio_unitario]]*(1-TablaVentas[[#This Row],[Descuento_pct]]))</f>
        <v>1353.231</v>
      </c>
      <c r="P2249">
        <f>IF(TablaVentas[[#This Row],[Costo_unitario]]="","PENDIENTE",TablaVentas[[#This Row],[Unidades]]*TablaVentas[[#This Row],[Costo_unitario]])</f>
        <v>716.26</v>
      </c>
      <c r="Q2249">
        <f>IF(OR(TablaVentas[[#This Row],[Ingreso_neto]]="PENDIENTE",TablaVentas[[#This Row],[Costo_total]]="PENDIENTE"),"PENDIENTE",TablaVentas[[#This Row],[Ingreso_neto]]-TablaVentas[[#This Row],[Costo_total]])</f>
        <v>636.971</v>
      </c>
    </row>
    <row r="2250" spans="1:17">
      <c r="A2250" t="s">
        <v>1355</v>
      </c>
      <c r="B2250">
        <v>3</v>
      </c>
      <c r="C2250" s="3">
        <v>46168</v>
      </c>
      <c r="D2250" t="s">
        <v>484</v>
      </c>
      <c r="E2250" t="s">
        <v>262</v>
      </c>
      <c r="F2250" t="s">
        <v>39</v>
      </c>
      <c r="G2250" t="s">
        <v>57</v>
      </c>
      <c r="H2250" t="s">
        <v>102</v>
      </c>
      <c r="I2250">
        <v>1</v>
      </c>
      <c r="J2250" s="4">
        <v>13033.81</v>
      </c>
      <c r="K2250" s="5">
        <v>0.15</v>
      </c>
      <c r="L2250" s="4">
        <v>8227.4599999999991</v>
      </c>
      <c r="M2250" t="s">
        <v>42</v>
      </c>
      <c r="N2250" t="s">
        <v>43</v>
      </c>
      <c r="O2250">
        <f>IF(TablaVentas[[#This Row],[Precio_unitario]]="","PENDIENTE",TablaVentas[[#This Row],[Unidades]]*TablaVentas[[#This Row],[Precio_unitario]]*(1-TablaVentas[[#This Row],[Descuento_pct]]))</f>
        <v>11078.738499999999</v>
      </c>
      <c r="P2250">
        <f>IF(TablaVentas[[#This Row],[Costo_unitario]]="","PENDIENTE",TablaVentas[[#This Row],[Unidades]]*TablaVentas[[#This Row],[Costo_unitario]])</f>
        <v>8227.4599999999991</v>
      </c>
      <c r="Q2250">
        <f>IF(OR(TablaVentas[[#This Row],[Ingreso_neto]]="PENDIENTE",TablaVentas[[#This Row],[Costo_total]]="PENDIENTE"),"PENDIENTE",TablaVentas[[#This Row],[Ingreso_neto]]-TablaVentas[[#This Row],[Costo_total]])</f>
        <v>2851.2785000000003</v>
      </c>
    </row>
    <row r="2251" spans="1:17">
      <c r="A2251" t="s">
        <v>1355</v>
      </c>
      <c r="B2251">
        <v>4</v>
      </c>
      <c r="C2251" s="3">
        <v>46168</v>
      </c>
      <c r="D2251" t="s">
        <v>484</v>
      </c>
      <c r="E2251" t="s">
        <v>208</v>
      </c>
      <c r="F2251" t="s">
        <v>39</v>
      </c>
      <c r="G2251" t="s">
        <v>57</v>
      </c>
      <c r="H2251" t="s">
        <v>102</v>
      </c>
      <c r="I2251">
        <v>2</v>
      </c>
      <c r="J2251" s="4">
        <v>11370.08</v>
      </c>
      <c r="K2251" s="5">
        <v>0.2</v>
      </c>
      <c r="L2251" s="4">
        <v>5535.31</v>
      </c>
      <c r="M2251" t="s">
        <v>42</v>
      </c>
      <c r="N2251" t="s">
        <v>52</v>
      </c>
      <c r="O2251">
        <f>IF(TablaVentas[[#This Row],[Precio_unitario]]="","PENDIENTE",TablaVentas[[#This Row],[Unidades]]*TablaVentas[[#This Row],[Precio_unitario]]*(1-TablaVentas[[#This Row],[Descuento_pct]]))</f>
        <v>18192.128000000001</v>
      </c>
      <c r="P2251">
        <f>IF(TablaVentas[[#This Row],[Costo_unitario]]="","PENDIENTE",TablaVentas[[#This Row],[Unidades]]*TablaVentas[[#This Row],[Costo_unitario]])</f>
        <v>11070.62</v>
      </c>
      <c r="Q2251">
        <f>IF(OR(TablaVentas[[#This Row],[Ingreso_neto]]="PENDIENTE",TablaVentas[[#This Row],[Costo_total]]="PENDIENTE"),"PENDIENTE",TablaVentas[[#This Row],[Ingreso_neto]]-TablaVentas[[#This Row],[Costo_total]])</f>
        <v>7121.5079999999998</v>
      </c>
    </row>
    <row r="2252" spans="1:17">
      <c r="A2252" t="s">
        <v>1356</v>
      </c>
      <c r="B2252">
        <v>1</v>
      </c>
      <c r="C2252" s="3">
        <v>46224</v>
      </c>
      <c r="D2252" t="s">
        <v>527</v>
      </c>
      <c r="E2252" t="s">
        <v>143</v>
      </c>
      <c r="F2252" t="s">
        <v>66</v>
      </c>
      <c r="G2252" t="s">
        <v>57</v>
      </c>
      <c r="H2252" t="s">
        <v>67</v>
      </c>
      <c r="I2252">
        <v>1</v>
      </c>
      <c r="J2252" s="4">
        <v>8649.2800000000007</v>
      </c>
      <c r="K2252" s="5">
        <v>0</v>
      </c>
      <c r="L2252" s="4">
        <v>6815.42</v>
      </c>
      <c r="M2252" t="s">
        <v>42</v>
      </c>
      <c r="N2252" t="s">
        <v>43</v>
      </c>
      <c r="O2252">
        <f>IF(TablaVentas[[#This Row],[Precio_unitario]]="","PENDIENTE",TablaVentas[[#This Row],[Unidades]]*TablaVentas[[#This Row],[Precio_unitario]]*(1-TablaVentas[[#This Row],[Descuento_pct]]))</f>
        <v>8649.2800000000007</v>
      </c>
      <c r="P2252">
        <f>IF(TablaVentas[[#This Row],[Costo_unitario]]="","PENDIENTE",TablaVentas[[#This Row],[Unidades]]*TablaVentas[[#This Row],[Costo_unitario]])</f>
        <v>6815.42</v>
      </c>
      <c r="Q2252">
        <f>IF(OR(TablaVentas[[#This Row],[Ingreso_neto]]="PENDIENTE",TablaVentas[[#This Row],[Costo_total]]="PENDIENTE"),"PENDIENTE",TablaVentas[[#This Row],[Ingreso_neto]]-TablaVentas[[#This Row],[Costo_total]])</f>
        <v>1833.8600000000006</v>
      </c>
    </row>
    <row r="2253" spans="1:17">
      <c r="A2253" t="s">
        <v>1356</v>
      </c>
      <c r="B2253">
        <v>2</v>
      </c>
      <c r="C2253" s="3">
        <v>46224</v>
      </c>
      <c r="D2253" t="s">
        <v>527</v>
      </c>
      <c r="E2253" t="s">
        <v>282</v>
      </c>
      <c r="F2253" t="s">
        <v>66</v>
      </c>
      <c r="G2253" t="s">
        <v>57</v>
      </c>
      <c r="H2253" t="s">
        <v>67</v>
      </c>
      <c r="I2253">
        <v>1</v>
      </c>
      <c r="J2253" s="4">
        <v>4369.18</v>
      </c>
      <c r="K2253" s="5">
        <v>0.15</v>
      </c>
      <c r="L2253" s="4">
        <v>3399.5</v>
      </c>
      <c r="M2253" t="s">
        <v>42</v>
      </c>
      <c r="N2253" t="s">
        <v>52</v>
      </c>
      <c r="O2253">
        <f>IF(TablaVentas[[#This Row],[Precio_unitario]]="","PENDIENTE",TablaVentas[[#This Row],[Unidades]]*TablaVentas[[#This Row],[Precio_unitario]]*(1-TablaVentas[[#This Row],[Descuento_pct]]))</f>
        <v>3713.8030000000003</v>
      </c>
      <c r="P2253">
        <f>IF(TablaVentas[[#This Row],[Costo_unitario]]="","PENDIENTE",TablaVentas[[#This Row],[Unidades]]*TablaVentas[[#This Row],[Costo_unitario]])</f>
        <v>3399.5</v>
      </c>
      <c r="Q2253">
        <f>IF(OR(TablaVentas[[#This Row],[Ingreso_neto]]="PENDIENTE",TablaVentas[[#This Row],[Costo_total]]="PENDIENTE"),"PENDIENTE",TablaVentas[[#This Row],[Ingreso_neto]]-TablaVentas[[#This Row],[Costo_total]])</f>
        <v>314.30300000000034</v>
      </c>
    </row>
    <row r="2254" spans="1:17">
      <c r="A2254" t="s">
        <v>1357</v>
      </c>
      <c r="B2254">
        <v>1</v>
      </c>
      <c r="C2254" s="3">
        <v>46256</v>
      </c>
      <c r="D2254" t="s">
        <v>316</v>
      </c>
      <c r="E2254" t="s">
        <v>211</v>
      </c>
      <c r="F2254" t="s">
        <v>39</v>
      </c>
      <c r="G2254" t="s">
        <v>40</v>
      </c>
      <c r="H2254" t="s">
        <v>41</v>
      </c>
      <c r="I2254">
        <v>2</v>
      </c>
      <c r="J2254" s="4">
        <v>16856.759999999998</v>
      </c>
      <c r="K2254" s="5">
        <v>0</v>
      </c>
      <c r="L2254" s="4">
        <v>13760.53</v>
      </c>
      <c r="M2254" t="s">
        <v>42</v>
      </c>
      <c r="N2254" t="s">
        <v>52</v>
      </c>
      <c r="O2254">
        <f>IF(TablaVentas[[#This Row],[Precio_unitario]]="","PENDIENTE",TablaVentas[[#This Row],[Unidades]]*TablaVentas[[#This Row],[Precio_unitario]]*(1-TablaVentas[[#This Row],[Descuento_pct]]))</f>
        <v>33713.519999999997</v>
      </c>
      <c r="P2254">
        <f>IF(TablaVentas[[#This Row],[Costo_unitario]]="","PENDIENTE",TablaVentas[[#This Row],[Unidades]]*TablaVentas[[#This Row],[Costo_unitario]])</f>
        <v>27521.06</v>
      </c>
      <c r="Q2254">
        <f>IF(OR(TablaVentas[[#This Row],[Ingreso_neto]]="PENDIENTE",TablaVentas[[#This Row],[Costo_total]]="PENDIENTE"),"PENDIENTE",TablaVentas[[#This Row],[Ingreso_neto]]-TablaVentas[[#This Row],[Costo_total]])</f>
        <v>6192.4599999999955</v>
      </c>
    </row>
    <row r="2255" spans="1:17">
      <c r="A2255" t="s">
        <v>1357</v>
      </c>
      <c r="B2255">
        <v>2</v>
      </c>
      <c r="C2255" s="3">
        <v>46256</v>
      </c>
      <c r="D2255" t="s">
        <v>316</v>
      </c>
      <c r="E2255" t="s">
        <v>138</v>
      </c>
      <c r="F2255" t="s">
        <v>39</v>
      </c>
      <c r="G2255" t="s">
        <v>40</v>
      </c>
      <c r="H2255" t="s">
        <v>41</v>
      </c>
      <c r="I2255">
        <v>3</v>
      </c>
      <c r="J2255" s="4">
        <v>6969.67</v>
      </c>
      <c r="K2255" s="5">
        <v>0</v>
      </c>
      <c r="L2255" s="4">
        <v>4665.62</v>
      </c>
      <c r="M2255" t="s">
        <v>62</v>
      </c>
      <c r="N2255" t="s">
        <v>43</v>
      </c>
      <c r="O2255">
        <f>IF(TablaVentas[[#This Row],[Precio_unitario]]="","PENDIENTE",TablaVentas[[#This Row],[Unidades]]*TablaVentas[[#This Row],[Precio_unitario]]*(1-TablaVentas[[#This Row],[Descuento_pct]]))</f>
        <v>20909.010000000002</v>
      </c>
      <c r="P2255">
        <f>IF(TablaVentas[[#This Row],[Costo_unitario]]="","PENDIENTE",TablaVentas[[#This Row],[Unidades]]*TablaVentas[[#This Row],[Costo_unitario]])</f>
        <v>13996.86</v>
      </c>
      <c r="Q2255">
        <f>IF(OR(TablaVentas[[#This Row],[Ingreso_neto]]="PENDIENTE",TablaVentas[[#This Row],[Costo_total]]="PENDIENTE"),"PENDIENTE",TablaVentas[[#This Row],[Ingreso_neto]]-TablaVentas[[#This Row],[Costo_total]])</f>
        <v>6912.1500000000015</v>
      </c>
    </row>
    <row r="2256" spans="1:17">
      <c r="A2256" t="s">
        <v>1357</v>
      </c>
      <c r="B2256">
        <v>3</v>
      </c>
      <c r="C2256" s="3">
        <v>46256</v>
      </c>
      <c r="D2256" t="s">
        <v>316</v>
      </c>
      <c r="E2256" t="s">
        <v>196</v>
      </c>
      <c r="F2256" t="s">
        <v>39</v>
      </c>
      <c r="G2256" t="s">
        <v>40</v>
      </c>
      <c r="H2256" t="s">
        <v>41</v>
      </c>
      <c r="I2256">
        <v>2</v>
      </c>
      <c r="J2256" s="4">
        <v>733.96</v>
      </c>
      <c r="K2256" s="5">
        <v>0</v>
      </c>
      <c r="L2256" s="4">
        <v>485.16</v>
      </c>
      <c r="M2256" t="s">
        <v>42</v>
      </c>
      <c r="N2256" t="s">
        <v>45</v>
      </c>
      <c r="O2256">
        <f>IF(TablaVentas[[#This Row],[Precio_unitario]]="","PENDIENTE",TablaVentas[[#This Row],[Unidades]]*TablaVentas[[#This Row],[Precio_unitario]]*(1-TablaVentas[[#This Row],[Descuento_pct]]))</f>
        <v>1467.92</v>
      </c>
      <c r="P2256">
        <f>IF(TablaVentas[[#This Row],[Costo_unitario]]="","PENDIENTE",TablaVentas[[#This Row],[Unidades]]*TablaVentas[[#This Row],[Costo_unitario]])</f>
        <v>970.32</v>
      </c>
      <c r="Q2256">
        <f>IF(OR(TablaVentas[[#This Row],[Ingreso_neto]]="PENDIENTE",TablaVentas[[#This Row],[Costo_total]]="PENDIENTE"),"PENDIENTE",TablaVentas[[#This Row],[Ingreso_neto]]-TablaVentas[[#This Row],[Costo_total]])</f>
        <v>497.6</v>
      </c>
    </row>
    <row r="2257" spans="1:17">
      <c r="A2257" t="s">
        <v>1357</v>
      </c>
      <c r="B2257">
        <v>4</v>
      </c>
      <c r="C2257" s="3">
        <v>46256</v>
      </c>
      <c r="D2257" t="s">
        <v>316</v>
      </c>
      <c r="E2257" t="s">
        <v>113</v>
      </c>
      <c r="F2257" t="s">
        <v>39</v>
      </c>
      <c r="G2257" t="s">
        <v>40</v>
      </c>
      <c r="H2257" t="s">
        <v>41</v>
      </c>
      <c r="I2257">
        <v>1</v>
      </c>
      <c r="J2257" s="4">
        <v>3189.37</v>
      </c>
      <c r="K2257" s="5">
        <v>0</v>
      </c>
      <c r="L2257" s="4">
        <v>2196.34</v>
      </c>
      <c r="M2257" t="s">
        <v>42</v>
      </c>
      <c r="N2257" t="s">
        <v>43</v>
      </c>
      <c r="O2257">
        <f>IF(TablaVentas[[#This Row],[Precio_unitario]]="","PENDIENTE",TablaVentas[[#This Row],[Unidades]]*TablaVentas[[#This Row],[Precio_unitario]]*(1-TablaVentas[[#This Row],[Descuento_pct]]))</f>
        <v>3189.37</v>
      </c>
      <c r="P2257">
        <f>IF(TablaVentas[[#This Row],[Costo_unitario]]="","PENDIENTE",TablaVentas[[#This Row],[Unidades]]*TablaVentas[[#This Row],[Costo_unitario]])</f>
        <v>2196.34</v>
      </c>
      <c r="Q2257">
        <f>IF(OR(TablaVentas[[#This Row],[Ingreso_neto]]="PENDIENTE",TablaVentas[[#This Row],[Costo_total]]="PENDIENTE"),"PENDIENTE",TablaVentas[[#This Row],[Ingreso_neto]]-TablaVentas[[#This Row],[Costo_total]])</f>
        <v>993.02999999999975</v>
      </c>
    </row>
    <row r="2258" spans="1:17">
      <c r="A2258" t="s">
        <v>1358</v>
      </c>
      <c r="B2258">
        <v>1</v>
      </c>
      <c r="C2258" s="3">
        <v>46026</v>
      </c>
      <c r="D2258" t="s">
        <v>480</v>
      </c>
      <c r="E2258" t="s">
        <v>180</v>
      </c>
      <c r="F2258" t="s">
        <v>56</v>
      </c>
      <c r="G2258" t="s">
        <v>50</v>
      </c>
      <c r="H2258" t="s">
        <v>67</v>
      </c>
      <c r="I2258">
        <v>2</v>
      </c>
      <c r="J2258" s="4">
        <v>6067.35</v>
      </c>
      <c r="K2258" s="5">
        <v>0.05</v>
      </c>
      <c r="L2258" s="4">
        <v>3824.92</v>
      </c>
      <c r="M2258" t="s">
        <v>42</v>
      </c>
      <c r="N2258" t="s">
        <v>52</v>
      </c>
      <c r="O2258">
        <f>IF(TablaVentas[[#This Row],[Precio_unitario]]="","PENDIENTE",TablaVentas[[#This Row],[Unidades]]*TablaVentas[[#This Row],[Precio_unitario]]*(1-TablaVentas[[#This Row],[Descuento_pct]]))</f>
        <v>11527.965</v>
      </c>
      <c r="P2258">
        <f>IF(TablaVentas[[#This Row],[Costo_unitario]]="","PENDIENTE",TablaVentas[[#This Row],[Unidades]]*TablaVentas[[#This Row],[Costo_unitario]])</f>
        <v>7649.84</v>
      </c>
      <c r="Q2258">
        <f>IF(OR(TablaVentas[[#This Row],[Ingreso_neto]]="PENDIENTE",TablaVentas[[#This Row],[Costo_total]]="PENDIENTE"),"PENDIENTE",TablaVentas[[#This Row],[Ingreso_neto]]-TablaVentas[[#This Row],[Costo_total]])</f>
        <v>3878.125</v>
      </c>
    </row>
    <row r="2259" spans="1:17">
      <c r="A2259" t="s">
        <v>1358</v>
      </c>
      <c r="B2259">
        <v>2</v>
      </c>
      <c r="C2259" s="3">
        <v>46026</v>
      </c>
      <c r="D2259" t="s">
        <v>480</v>
      </c>
      <c r="E2259" t="s">
        <v>61</v>
      </c>
      <c r="F2259" t="s">
        <v>56</v>
      </c>
      <c r="G2259" t="s">
        <v>50</v>
      </c>
      <c r="H2259" t="s">
        <v>67</v>
      </c>
      <c r="I2259">
        <v>8</v>
      </c>
      <c r="J2259" s="4">
        <v>4700.24</v>
      </c>
      <c r="K2259" s="5">
        <v>0.05</v>
      </c>
      <c r="L2259" s="4">
        <v>2554.06</v>
      </c>
      <c r="M2259" t="s">
        <v>42</v>
      </c>
      <c r="N2259" t="s">
        <v>45</v>
      </c>
      <c r="O2259">
        <f>IF(TablaVentas[[#This Row],[Precio_unitario]]="","PENDIENTE",TablaVentas[[#This Row],[Unidades]]*TablaVentas[[#This Row],[Precio_unitario]]*(1-TablaVentas[[#This Row],[Descuento_pct]]))</f>
        <v>35721.823999999993</v>
      </c>
      <c r="P2259">
        <f>IF(TablaVentas[[#This Row],[Costo_unitario]]="","PENDIENTE",TablaVentas[[#This Row],[Unidades]]*TablaVentas[[#This Row],[Costo_unitario]])</f>
        <v>20432.48</v>
      </c>
      <c r="Q2259">
        <f>IF(OR(TablaVentas[[#This Row],[Ingreso_neto]]="PENDIENTE",TablaVentas[[#This Row],[Costo_total]]="PENDIENTE"),"PENDIENTE",TablaVentas[[#This Row],[Ingreso_neto]]-TablaVentas[[#This Row],[Costo_total]])</f>
        <v>15289.343999999994</v>
      </c>
    </row>
    <row r="2260" spans="1:17">
      <c r="A2260" t="s">
        <v>1359</v>
      </c>
      <c r="B2260">
        <v>1</v>
      </c>
      <c r="C2260" s="3">
        <v>46074</v>
      </c>
      <c r="D2260" t="s">
        <v>295</v>
      </c>
      <c r="E2260" t="s">
        <v>133</v>
      </c>
      <c r="F2260" t="s">
        <v>66</v>
      </c>
      <c r="G2260" t="s">
        <v>40</v>
      </c>
      <c r="H2260" t="s">
        <v>129</v>
      </c>
      <c r="I2260">
        <v>2</v>
      </c>
      <c r="J2260" s="4">
        <v>7817.35</v>
      </c>
      <c r="K2260" s="5">
        <v>0.2</v>
      </c>
      <c r="L2260" s="4">
        <v>4061.34</v>
      </c>
      <c r="M2260" t="s">
        <v>42</v>
      </c>
      <c r="N2260" t="s">
        <v>43</v>
      </c>
      <c r="O2260">
        <f>IF(TablaVentas[[#This Row],[Precio_unitario]]="","PENDIENTE",TablaVentas[[#This Row],[Unidades]]*TablaVentas[[#This Row],[Precio_unitario]]*(1-TablaVentas[[#This Row],[Descuento_pct]]))</f>
        <v>12507.760000000002</v>
      </c>
      <c r="P2260">
        <f>IF(TablaVentas[[#This Row],[Costo_unitario]]="","PENDIENTE",TablaVentas[[#This Row],[Unidades]]*TablaVentas[[#This Row],[Costo_unitario]])</f>
        <v>8122.68</v>
      </c>
      <c r="Q2260">
        <f>IF(OR(TablaVentas[[#This Row],[Ingreso_neto]]="PENDIENTE",TablaVentas[[#This Row],[Costo_total]]="PENDIENTE"),"PENDIENTE",TablaVentas[[#This Row],[Ingreso_neto]]-TablaVentas[[#This Row],[Costo_total]])</f>
        <v>4385.0800000000017</v>
      </c>
    </row>
    <row r="2261" spans="1:17">
      <c r="A2261" t="s">
        <v>1359</v>
      </c>
      <c r="B2261">
        <v>2</v>
      </c>
      <c r="C2261" s="3">
        <v>46074</v>
      </c>
      <c r="D2261" t="s">
        <v>295</v>
      </c>
      <c r="E2261" t="s">
        <v>216</v>
      </c>
      <c r="F2261" t="s">
        <v>66</v>
      </c>
      <c r="G2261" t="s">
        <v>40</v>
      </c>
      <c r="H2261" t="s">
        <v>129</v>
      </c>
      <c r="I2261">
        <v>5</v>
      </c>
      <c r="J2261" s="4">
        <v>14905.15</v>
      </c>
      <c r="K2261" s="5">
        <v>0.05</v>
      </c>
      <c r="L2261" s="4">
        <v>12064.41</v>
      </c>
      <c r="M2261" t="s">
        <v>42</v>
      </c>
      <c r="N2261" t="s">
        <v>52</v>
      </c>
      <c r="O2261">
        <f>IF(TablaVentas[[#This Row],[Precio_unitario]]="","PENDIENTE",TablaVentas[[#This Row],[Unidades]]*TablaVentas[[#This Row],[Precio_unitario]]*(1-TablaVentas[[#This Row],[Descuento_pct]]))</f>
        <v>70799.462499999994</v>
      </c>
      <c r="P2261">
        <f>IF(TablaVentas[[#This Row],[Costo_unitario]]="","PENDIENTE",TablaVentas[[#This Row],[Unidades]]*TablaVentas[[#This Row],[Costo_unitario]])</f>
        <v>60322.05</v>
      </c>
      <c r="Q2261">
        <f>IF(OR(TablaVentas[[#This Row],[Ingreso_neto]]="PENDIENTE",TablaVentas[[#This Row],[Costo_total]]="PENDIENTE"),"PENDIENTE",TablaVentas[[#This Row],[Ingreso_neto]]-TablaVentas[[#This Row],[Costo_total]])</f>
        <v>10477.412499999991</v>
      </c>
    </row>
    <row r="2262" spans="1:17">
      <c r="A2262" t="s">
        <v>1360</v>
      </c>
      <c r="B2262">
        <v>1</v>
      </c>
      <c r="C2262" s="3">
        <v>46134</v>
      </c>
      <c r="D2262" t="s">
        <v>492</v>
      </c>
      <c r="E2262" t="s">
        <v>245</v>
      </c>
      <c r="F2262" t="s">
        <v>39</v>
      </c>
      <c r="G2262" t="s">
        <v>40</v>
      </c>
      <c r="H2262" t="s">
        <v>124</v>
      </c>
      <c r="I2262">
        <v>1</v>
      </c>
      <c r="J2262" s="4">
        <v>18658.759999999998</v>
      </c>
      <c r="K2262" s="5">
        <v>0.15</v>
      </c>
      <c r="L2262" s="4">
        <v>10507.24</v>
      </c>
      <c r="M2262" t="s">
        <v>42</v>
      </c>
      <c r="N2262" t="s">
        <v>43</v>
      </c>
      <c r="O2262">
        <f>IF(TablaVentas[[#This Row],[Precio_unitario]]="","PENDIENTE",TablaVentas[[#This Row],[Unidades]]*TablaVentas[[#This Row],[Precio_unitario]]*(1-TablaVentas[[#This Row],[Descuento_pct]]))</f>
        <v>15859.945999999998</v>
      </c>
      <c r="P2262">
        <f>IF(TablaVentas[[#This Row],[Costo_unitario]]="","PENDIENTE",TablaVentas[[#This Row],[Unidades]]*TablaVentas[[#This Row],[Costo_unitario]])</f>
        <v>10507.24</v>
      </c>
      <c r="Q2262">
        <f>IF(OR(TablaVentas[[#This Row],[Ingreso_neto]]="PENDIENTE",TablaVentas[[#This Row],[Costo_total]]="PENDIENTE"),"PENDIENTE",TablaVentas[[#This Row],[Ingreso_neto]]-TablaVentas[[#This Row],[Costo_total]])</f>
        <v>5352.7059999999983</v>
      </c>
    </row>
    <row r="2263" spans="1:17">
      <c r="A2263" t="s">
        <v>1360</v>
      </c>
      <c r="B2263">
        <v>2</v>
      </c>
      <c r="C2263" s="3">
        <v>46134</v>
      </c>
      <c r="D2263" t="s">
        <v>492</v>
      </c>
      <c r="E2263" t="s">
        <v>110</v>
      </c>
      <c r="F2263" t="s">
        <v>39</v>
      </c>
      <c r="G2263" t="s">
        <v>40</v>
      </c>
      <c r="H2263" t="s">
        <v>124</v>
      </c>
      <c r="I2263">
        <v>2</v>
      </c>
      <c r="J2263" s="4">
        <v>5841.18</v>
      </c>
      <c r="K2263" s="5">
        <v>0</v>
      </c>
      <c r="L2263" s="4">
        <v>4205.6899999999996</v>
      </c>
      <c r="M2263" t="s">
        <v>42</v>
      </c>
      <c r="N2263" t="s">
        <v>60</v>
      </c>
      <c r="O2263">
        <f>IF(TablaVentas[[#This Row],[Precio_unitario]]="","PENDIENTE",TablaVentas[[#This Row],[Unidades]]*TablaVentas[[#This Row],[Precio_unitario]]*(1-TablaVentas[[#This Row],[Descuento_pct]]))</f>
        <v>11682.36</v>
      </c>
      <c r="P2263">
        <f>IF(TablaVentas[[#This Row],[Costo_unitario]]="","PENDIENTE",TablaVentas[[#This Row],[Unidades]]*TablaVentas[[#This Row],[Costo_unitario]])</f>
        <v>8411.3799999999992</v>
      </c>
      <c r="Q2263">
        <f>IF(OR(TablaVentas[[#This Row],[Ingreso_neto]]="PENDIENTE",TablaVentas[[#This Row],[Costo_total]]="PENDIENTE"),"PENDIENTE",TablaVentas[[#This Row],[Ingreso_neto]]-TablaVentas[[#This Row],[Costo_total]])</f>
        <v>3270.9800000000014</v>
      </c>
    </row>
    <row r="2264" spans="1:17">
      <c r="A2264" t="s">
        <v>1360</v>
      </c>
      <c r="B2264">
        <v>3</v>
      </c>
      <c r="C2264" s="3">
        <v>46134</v>
      </c>
      <c r="D2264" t="s">
        <v>492</v>
      </c>
      <c r="E2264" t="s">
        <v>185</v>
      </c>
      <c r="F2264" t="s">
        <v>39</v>
      </c>
      <c r="G2264" t="s">
        <v>40</v>
      </c>
      <c r="H2264" t="s">
        <v>124</v>
      </c>
      <c r="I2264">
        <v>5</v>
      </c>
      <c r="J2264" s="4">
        <v>16456.689999999999</v>
      </c>
      <c r="K2264" s="5">
        <v>0.1</v>
      </c>
      <c r="L2264" s="4">
        <v>11904.09</v>
      </c>
      <c r="M2264" t="s">
        <v>42</v>
      </c>
      <c r="N2264" t="s">
        <v>45</v>
      </c>
      <c r="O2264">
        <f>IF(TablaVentas[[#This Row],[Precio_unitario]]="","PENDIENTE",TablaVentas[[#This Row],[Unidades]]*TablaVentas[[#This Row],[Precio_unitario]]*(1-TablaVentas[[#This Row],[Descuento_pct]]))</f>
        <v>74055.104999999996</v>
      </c>
      <c r="P2264">
        <f>IF(TablaVentas[[#This Row],[Costo_unitario]]="","PENDIENTE",TablaVentas[[#This Row],[Unidades]]*TablaVentas[[#This Row],[Costo_unitario]])</f>
        <v>59520.45</v>
      </c>
      <c r="Q2264">
        <f>IF(OR(TablaVentas[[#This Row],[Ingreso_neto]]="PENDIENTE",TablaVentas[[#This Row],[Costo_total]]="PENDIENTE"),"PENDIENTE",TablaVentas[[#This Row],[Ingreso_neto]]-TablaVentas[[#This Row],[Costo_total]])</f>
        <v>14534.654999999999</v>
      </c>
    </row>
    <row r="2265" spans="1:17">
      <c r="A2265" t="s">
        <v>1361</v>
      </c>
      <c r="B2265">
        <v>1</v>
      </c>
      <c r="C2265" s="3">
        <v>46070</v>
      </c>
      <c r="D2265" t="s">
        <v>319</v>
      </c>
      <c r="E2265" t="s">
        <v>227</v>
      </c>
      <c r="F2265" t="s">
        <v>66</v>
      </c>
      <c r="G2265" t="s">
        <v>50</v>
      </c>
      <c r="H2265" t="s">
        <v>102</v>
      </c>
      <c r="I2265">
        <v>2</v>
      </c>
      <c r="J2265" s="4">
        <v>8070.59</v>
      </c>
      <c r="K2265" s="5">
        <v>0.05</v>
      </c>
      <c r="L2265" s="4">
        <v>6255.13</v>
      </c>
      <c r="M2265" t="s">
        <v>42</v>
      </c>
      <c r="N2265" t="s">
        <v>60</v>
      </c>
      <c r="O2265">
        <f>IF(TablaVentas[[#This Row],[Precio_unitario]]="","PENDIENTE",TablaVentas[[#This Row],[Unidades]]*TablaVentas[[#This Row],[Precio_unitario]]*(1-TablaVentas[[#This Row],[Descuento_pct]]))</f>
        <v>15334.120999999999</v>
      </c>
      <c r="P2265">
        <f>IF(TablaVentas[[#This Row],[Costo_unitario]]="","PENDIENTE",TablaVentas[[#This Row],[Unidades]]*TablaVentas[[#This Row],[Costo_unitario]])</f>
        <v>12510.26</v>
      </c>
      <c r="Q2265">
        <f>IF(OR(TablaVentas[[#This Row],[Ingreso_neto]]="PENDIENTE",TablaVentas[[#This Row],[Costo_total]]="PENDIENTE"),"PENDIENTE",TablaVentas[[#This Row],[Ingreso_neto]]-TablaVentas[[#This Row],[Costo_total]])</f>
        <v>2823.860999999999</v>
      </c>
    </row>
    <row r="2266" spans="1:17">
      <c r="A2266" t="s">
        <v>1362</v>
      </c>
      <c r="B2266">
        <v>1</v>
      </c>
      <c r="C2266" s="3">
        <v>46274</v>
      </c>
      <c r="D2266" t="s">
        <v>408</v>
      </c>
      <c r="E2266" t="s">
        <v>86</v>
      </c>
      <c r="F2266" t="s">
        <v>39</v>
      </c>
      <c r="G2266" t="s">
        <v>57</v>
      </c>
      <c r="H2266" t="s">
        <v>41</v>
      </c>
      <c r="I2266">
        <v>1</v>
      </c>
      <c r="J2266" s="4">
        <v>16105.99</v>
      </c>
      <c r="K2266" s="5">
        <v>0</v>
      </c>
      <c r="L2266" s="4">
        <v>11166.03</v>
      </c>
      <c r="M2266" t="s">
        <v>42</v>
      </c>
      <c r="N2266" t="s">
        <v>52</v>
      </c>
      <c r="O2266">
        <f>IF(TablaVentas[[#This Row],[Precio_unitario]]="","PENDIENTE",TablaVentas[[#This Row],[Unidades]]*TablaVentas[[#This Row],[Precio_unitario]]*(1-TablaVentas[[#This Row],[Descuento_pct]]))</f>
        <v>16105.99</v>
      </c>
      <c r="P2266">
        <f>IF(TablaVentas[[#This Row],[Costo_unitario]]="","PENDIENTE",TablaVentas[[#This Row],[Unidades]]*TablaVentas[[#This Row],[Costo_unitario]])</f>
        <v>11166.03</v>
      </c>
      <c r="Q2266">
        <f>IF(OR(TablaVentas[[#This Row],[Ingreso_neto]]="PENDIENTE",TablaVentas[[#This Row],[Costo_total]]="PENDIENTE"),"PENDIENTE",TablaVentas[[#This Row],[Ingreso_neto]]-TablaVentas[[#This Row],[Costo_total]])</f>
        <v>4939.9599999999991</v>
      </c>
    </row>
    <row r="2267" spans="1:17">
      <c r="A2267" t="s">
        <v>1363</v>
      </c>
      <c r="B2267">
        <v>1</v>
      </c>
      <c r="C2267" s="3">
        <v>46120</v>
      </c>
      <c r="D2267" t="s">
        <v>332</v>
      </c>
      <c r="E2267" t="s">
        <v>38</v>
      </c>
      <c r="F2267" t="s">
        <v>56</v>
      </c>
      <c r="G2267" t="s">
        <v>57</v>
      </c>
      <c r="H2267" t="s">
        <v>73</v>
      </c>
      <c r="I2267">
        <v>1</v>
      </c>
      <c r="J2267" s="4">
        <v>5815.09</v>
      </c>
      <c r="K2267" s="5">
        <v>0</v>
      </c>
      <c r="L2267" s="4">
        <v>3832.69</v>
      </c>
      <c r="M2267" t="s">
        <v>42</v>
      </c>
      <c r="N2267" t="s">
        <v>43</v>
      </c>
      <c r="O2267">
        <f>IF(TablaVentas[[#This Row],[Precio_unitario]]="","PENDIENTE",TablaVentas[[#This Row],[Unidades]]*TablaVentas[[#This Row],[Precio_unitario]]*(1-TablaVentas[[#This Row],[Descuento_pct]]))</f>
        <v>5815.09</v>
      </c>
      <c r="P2267">
        <f>IF(TablaVentas[[#This Row],[Costo_unitario]]="","PENDIENTE",TablaVentas[[#This Row],[Unidades]]*TablaVentas[[#This Row],[Costo_unitario]])</f>
        <v>3832.69</v>
      </c>
      <c r="Q2267">
        <f>IF(OR(TablaVentas[[#This Row],[Ingreso_neto]]="PENDIENTE",TablaVentas[[#This Row],[Costo_total]]="PENDIENTE"),"PENDIENTE",TablaVentas[[#This Row],[Ingreso_neto]]-TablaVentas[[#This Row],[Costo_total]])</f>
        <v>1982.4</v>
      </c>
    </row>
    <row r="2268" spans="1:17">
      <c r="A2268" t="s">
        <v>1364</v>
      </c>
      <c r="B2268">
        <v>1</v>
      </c>
      <c r="C2268" s="3">
        <v>46055</v>
      </c>
      <c r="D2268" t="s">
        <v>54</v>
      </c>
      <c r="E2268" t="s">
        <v>262</v>
      </c>
      <c r="F2268" t="s">
        <v>77</v>
      </c>
      <c r="G2268" t="s">
        <v>50</v>
      </c>
      <c r="H2268" t="s">
        <v>102</v>
      </c>
      <c r="I2268">
        <v>8</v>
      </c>
      <c r="J2268" s="4">
        <v>14752.95</v>
      </c>
      <c r="K2268" s="5">
        <v>0</v>
      </c>
      <c r="L2268" s="4">
        <v>8227.4599999999991</v>
      </c>
      <c r="M2268" t="s">
        <v>42</v>
      </c>
      <c r="N2268" t="s">
        <v>45</v>
      </c>
      <c r="O2268">
        <f>IF(TablaVentas[[#This Row],[Precio_unitario]]="","PENDIENTE",TablaVentas[[#This Row],[Unidades]]*TablaVentas[[#This Row],[Precio_unitario]]*(1-TablaVentas[[#This Row],[Descuento_pct]]))</f>
        <v>118023.6</v>
      </c>
      <c r="P2268">
        <f>IF(TablaVentas[[#This Row],[Costo_unitario]]="","PENDIENTE",TablaVentas[[#This Row],[Unidades]]*TablaVentas[[#This Row],[Costo_unitario]])</f>
        <v>65819.679999999993</v>
      </c>
      <c r="Q2268">
        <f>IF(OR(TablaVentas[[#This Row],[Ingreso_neto]]="PENDIENTE",TablaVentas[[#This Row],[Costo_total]]="PENDIENTE"),"PENDIENTE",TablaVentas[[#This Row],[Ingreso_neto]]-TablaVentas[[#This Row],[Costo_total]])</f>
        <v>52203.920000000013</v>
      </c>
    </row>
    <row r="2269" spans="1:17">
      <c r="A2269" t="s">
        <v>1364</v>
      </c>
      <c r="B2269">
        <v>2</v>
      </c>
      <c r="C2269" s="3">
        <v>46055</v>
      </c>
      <c r="D2269" t="s">
        <v>54</v>
      </c>
      <c r="E2269" t="s">
        <v>144</v>
      </c>
      <c r="F2269" t="s">
        <v>77</v>
      </c>
      <c r="G2269" t="s">
        <v>50</v>
      </c>
      <c r="H2269" t="s">
        <v>102</v>
      </c>
      <c r="I2269">
        <v>2</v>
      </c>
      <c r="J2269" s="4">
        <v>9716.59</v>
      </c>
      <c r="K2269" s="5">
        <v>0</v>
      </c>
      <c r="L2269" s="4">
        <v>5125.3599999999997</v>
      </c>
      <c r="M2269" t="s">
        <v>42</v>
      </c>
      <c r="N2269" t="s">
        <v>45</v>
      </c>
      <c r="O2269">
        <f>IF(TablaVentas[[#This Row],[Precio_unitario]]="","PENDIENTE",TablaVentas[[#This Row],[Unidades]]*TablaVentas[[#This Row],[Precio_unitario]]*(1-TablaVentas[[#This Row],[Descuento_pct]]))</f>
        <v>19433.18</v>
      </c>
      <c r="P2269">
        <f>IF(TablaVentas[[#This Row],[Costo_unitario]]="","PENDIENTE",TablaVentas[[#This Row],[Unidades]]*TablaVentas[[#This Row],[Costo_unitario]])</f>
        <v>10250.719999999999</v>
      </c>
      <c r="Q2269">
        <f>IF(OR(TablaVentas[[#This Row],[Ingreso_neto]]="PENDIENTE",TablaVentas[[#This Row],[Costo_total]]="PENDIENTE"),"PENDIENTE",TablaVentas[[#This Row],[Ingreso_neto]]-TablaVentas[[#This Row],[Costo_total]])</f>
        <v>9182.4600000000009</v>
      </c>
    </row>
    <row r="2270" spans="1:17">
      <c r="A2270" t="s">
        <v>1365</v>
      </c>
      <c r="B2270">
        <v>1</v>
      </c>
      <c r="C2270" s="3">
        <v>46160</v>
      </c>
      <c r="D2270" t="s">
        <v>625</v>
      </c>
      <c r="E2270" t="s">
        <v>410</v>
      </c>
      <c r="F2270" t="s">
        <v>66</v>
      </c>
      <c r="G2270" t="s">
        <v>50</v>
      </c>
      <c r="H2270" t="s">
        <v>58</v>
      </c>
      <c r="I2270">
        <v>1</v>
      </c>
      <c r="J2270" s="4">
        <v>7631.81</v>
      </c>
      <c r="K2270" s="5">
        <v>0.15</v>
      </c>
      <c r="L2270" s="4">
        <v>5874.17</v>
      </c>
      <c r="M2270" t="s">
        <v>42</v>
      </c>
      <c r="N2270" t="s">
        <v>60</v>
      </c>
      <c r="O2270">
        <f>IF(TablaVentas[[#This Row],[Precio_unitario]]="","PENDIENTE",TablaVentas[[#This Row],[Unidades]]*TablaVentas[[#This Row],[Precio_unitario]]*(1-TablaVentas[[#This Row],[Descuento_pct]]))</f>
        <v>6487.0385000000006</v>
      </c>
      <c r="P2270">
        <f>IF(TablaVentas[[#This Row],[Costo_unitario]]="","PENDIENTE",TablaVentas[[#This Row],[Unidades]]*TablaVentas[[#This Row],[Costo_unitario]])</f>
        <v>5874.17</v>
      </c>
      <c r="Q2270">
        <f>IF(OR(TablaVentas[[#This Row],[Ingreso_neto]]="PENDIENTE",TablaVentas[[#This Row],[Costo_total]]="PENDIENTE"),"PENDIENTE",TablaVentas[[#This Row],[Ingreso_neto]]-TablaVentas[[#This Row],[Costo_total]])</f>
        <v>612.86850000000049</v>
      </c>
    </row>
    <row r="2271" spans="1:17">
      <c r="A2271" t="s">
        <v>1365</v>
      </c>
      <c r="B2271">
        <v>2</v>
      </c>
      <c r="C2271" s="3">
        <v>46160</v>
      </c>
      <c r="D2271" t="s">
        <v>625</v>
      </c>
      <c r="E2271" t="s">
        <v>321</v>
      </c>
      <c r="F2271" t="s">
        <v>66</v>
      </c>
      <c r="G2271" t="s">
        <v>50</v>
      </c>
      <c r="H2271" t="s">
        <v>58</v>
      </c>
      <c r="I2271">
        <v>2</v>
      </c>
      <c r="J2271" s="4">
        <v>1269.42</v>
      </c>
      <c r="K2271" s="5">
        <v>0.2</v>
      </c>
      <c r="L2271" s="4">
        <v>679.37</v>
      </c>
      <c r="M2271" t="s">
        <v>42</v>
      </c>
      <c r="N2271" t="s">
        <v>43</v>
      </c>
      <c r="O2271">
        <f>IF(TablaVentas[[#This Row],[Precio_unitario]]="","PENDIENTE",TablaVentas[[#This Row],[Unidades]]*TablaVentas[[#This Row],[Precio_unitario]]*(1-TablaVentas[[#This Row],[Descuento_pct]]))</f>
        <v>2031.0720000000001</v>
      </c>
      <c r="P2271">
        <f>IF(TablaVentas[[#This Row],[Costo_unitario]]="","PENDIENTE",TablaVentas[[#This Row],[Unidades]]*TablaVentas[[#This Row],[Costo_unitario]])</f>
        <v>1358.74</v>
      </c>
      <c r="Q2271">
        <f>IF(OR(TablaVentas[[#This Row],[Ingreso_neto]]="PENDIENTE",TablaVentas[[#This Row],[Costo_total]]="PENDIENTE"),"PENDIENTE",TablaVentas[[#This Row],[Ingreso_neto]]-TablaVentas[[#This Row],[Costo_total]])</f>
        <v>672.33200000000011</v>
      </c>
    </row>
    <row r="2272" spans="1:17">
      <c r="A2272" t="s">
        <v>1365</v>
      </c>
      <c r="B2272">
        <v>3</v>
      </c>
      <c r="C2272" s="3">
        <v>46160</v>
      </c>
      <c r="D2272" t="s">
        <v>625</v>
      </c>
      <c r="E2272" t="s">
        <v>378</v>
      </c>
      <c r="F2272" t="s">
        <v>66</v>
      </c>
      <c r="G2272" t="s">
        <v>50</v>
      </c>
      <c r="H2272" t="s">
        <v>58</v>
      </c>
      <c r="I2272">
        <v>2</v>
      </c>
      <c r="J2272" s="4">
        <v>3770.95</v>
      </c>
      <c r="K2272" s="5">
        <v>0.15</v>
      </c>
      <c r="L2272" s="4">
        <v>2864.64</v>
      </c>
      <c r="M2272" t="s">
        <v>42</v>
      </c>
      <c r="N2272" t="s">
        <v>60</v>
      </c>
      <c r="O2272">
        <f>IF(TablaVentas[[#This Row],[Precio_unitario]]="","PENDIENTE",TablaVentas[[#This Row],[Unidades]]*TablaVentas[[#This Row],[Precio_unitario]]*(1-TablaVentas[[#This Row],[Descuento_pct]]))</f>
        <v>6410.6149999999998</v>
      </c>
      <c r="P2272">
        <f>IF(TablaVentas[[#This Row],[Costo_unitario]]="","PENDIENTE",TablaVentas[[#This Row],[Unidades]]*TablaVentas[[#This Row],[Costo_unitario]])</f>
        <v>5729.28</v>
      </c>
      <c r="Q2272">
        <f>IF(OR(TablaVentas[[#This Row],[Ingreso_neto]]="PENDIENTE",TablaVentas[[#This Row],[Costo_total]]="PENDIENTE"),"PENDIENTE",TablaVentas[[#This Row],[Ingreso_neto]]-TablaVentas[[#This Row],[Costo_total]])</f>
        <v>681.33500000000004</v>
      </c>
    </row>
    <row r="2273" spans="1:17">
      <c r="A2273" t="s">
        <v>1365</v>
      </c>
      <c r="B2273">
        <v>4</v>
      </c>
      <c r="C2273" s="3">
        <v>46160</v>
      </c>
      <c r="D2273" t="s">
        <v>625</v>
      </c>
      <c r="E2273" t="s">
        <v>272</v>
      </c>
      <c r="F2273" t="s">
        <v>66</v>
      </c>
      <c r="G2273" t="s">
        <v>50</v>
      </c>
      <c r="H2273" t="s">
        <v>58</v>
      </c>
      <c r="I2273">
        <v>1</v>
      </c>
      <c r="J2273" s="4">
        <v>648.20000000000005</v>
      </c>
      <c r="K2273" s="5">
        <v>0.05</v>
      </c>
      <c r="L2273" s="4">
        <v>443</v>
      </c>
      <c r="M2273" t="s">
        <v>42</v>
      </c>
      <c r="N2273" t="s">
        <v>52</v>
      </c>
      <c r="O2273">
        <f>IF(TablaVentas[[#This Row],[Precio_unitario]]="","PENDIENTE",TablaVentas[[#This Row],[Unidades]]*TablaVentas[[#This Row],[Precio_unitario]]*(1-TablaVentas[[#This Row],[Descuento_pct]]))</f>
        <v>615.79</v>
      </c>
      <c r="P2273">
        <f>IF(TablaVentas[[#This Row],[Costo_unitario]]="","PENDIENTE",TablaVentas[[#This Row],[Unidades]]*TablaVentas[[#This Row],[Costo_unitario]])</f>
        <v>443</v>
      </c>
      <c r="Q2273">
        <f>IF(OR(TablaVentas[[#This Row],[Ingreso_neto]]="PENDIENTE",TablaVentas[[#This Row],[Costo_total]]="PENDIENTE"),"PENDIENTE",TablaVentas[[#This Row],[Ingreso_neto]]-TablaVentas[[#This Row],[Costo_total]])</f>
        <v>172.78999999999996</v>
      </c>
    </row>
    <row r="2274" spans="1:17">
      <c r="A2274" t="s">
        <v>1366</v>
      </c>
      <c r="B2274">
        <v>1</v>
      </c>
      <c r="C2274" s="3">
        <v>46275</v>
      </c>
      <c r="D2274" t="s">
        <v>474</v>
      </c>
      <c r="E2274" t="s">
        <v>320</v>
      </c>
      <c r="F2274" t="s">
        <v>39</v>
      </c>
      <c r="G2274" t="s">
        <v>50</v>
      </c>
      <c r="H2274" t="s">
        <v>124</v>
      </c>
      <c r="I2274">
        <v>5</v>
      </c>
      <c r="J2274" s="4">
        <v>4810.72</v>
      </c>
      <c r="K2274" s="5">
        <v>0.2</v>
      </c>
      <c r="L2274" s="4">
        <v>3065.66</v>
      </c>
      <c r="M2274" t="s">
        <v>42</v>
      </c>
      <c r="N2274" t="s">
        <v>52</v>
      </c>
      <c r="O2274">
        <f>IF(TablaVentas[[#This Row],[Precio_unitario]]="","PENDIENTE",TablaVentas[[#This Row],[Unidades]]*TablaVentas[[#This Row],[Precio_unitario]]*(1-TablaVentas[[#This Row],[Descuento_pct]]))</f>
        <v>19242.88</v>
      </c>
      <c r="P2274">
        <f>IF(TablaVentas[[#This Row],[Costo_unitario]]="","PENDIENTE",TablaVentas[[#This Row],[Unidades]]*TablaVentas[[#This Row],[Costo_unitario]])</f>
        <v>15328.3</v>
      </c>
      <c r="Q2274">
        <f>IF(OR(TablaVentas[[#This Row],[Ingreso_neto]]="PENDIENTE",TablaVentas[[#This Row],[Costo_total]]="PENDIENTE"),"PENDIENTE",TablaVentas[[#This Row],[Ingreso_neto]]-TablaVentas[[#This Row],[Costo_total]])</f>
        <v>3914.5800000000017</v>
      </c>
    </row>
    <row r="2275" spans="1:17">
      <c r="A2275" t="s">
        <v>1366</v>
      </c>
      <c r="B2275">
        <v>2</v>
      </c>
      <c r="C2275" s="3">
        <v>46275</v>
      </c>
      <c r="D2275" t="s">
        <v>474</v>
      </c>
      <c r="E2275" t="s">
        <v>61</v>
      </c>
      <c r="F2275" t="s">
        <v>39</v>
      </c>
      <c r="G2275" t="s">
        <v>50</v>
      </c>
      <c r="H2275" t="s">
        <v>124</v>
      </c>
      <c r="I2275">
        <v>2</v>
      </c>
      <c r="J2275" s="4">
        <v>4742.8599999999997</v>
      </c>
      <c r="K2275" s="5">
        <v>0</v>
      </c>
      <c r="L2275" s="4">
        <v>2554.06</v>
      </c>
      <c r="M2275" t="s">
        <v>42</v>
      </c>
      <c r="N2275" t="s">
        <v>45</v>
      </c>
      <c r="O2275">
        <f>IF(TablaVentas[[#This Row],[Precio_unitario]]="","PENDIENTE",TablaVentas[[#This Row],[Unidades]]*TablaVentas[[#This Row],[Precio_unitario]]*(1-TablaVentas[[#This Row],[Descuento_pct]]))</f>
        <v>9485.7199999999993</v>
      </c>
      <c r="P2275">
        <f>IF(TablaVentas[[#This Row],[Costo_unitario]]="","PENDIENTE",TablaVentas[[#This Row],[Unidades]]*TablaVentas[[#This Row],[Costo_unitario]])</f>
        <v>5108.12</v>
      </c>
      <c r="Q2275">
        <f>IF(OR(TablaVentas[[#This Row],[Ingreso_neto]]="PENDIENTE",TablaVentas[[#This Row],[Costo_total]]="PENDIENTE"),"PENDIENTE",TablaVentas[[#This Row],[Ingreso_neto]]-TablaVentas[[#This Row],[Costo_total]])</f>
        <v>4377.5999999999995</v>
      </c>
    </row>
    <row r="2276" spans="1:17">
      <c r="A2276" t="s">
        <v>1366</v>
      </c>
      <c r="B2276">
        <v>3</v>
      </c>
      <c r="C2276" s="3">
        <v>46275</v>
      </c>
      <c r="D2276" t="s">
        <v>474</v>
      </c>
      <c r="E2276" t="s">
        <v>148</v>
      </c>
      <c r="F2276" t="s">
        <v>39</v>
      </c>
      <c r="G2276" t="s">
        <v>50</v>
      </c>
      <c r="H2276" t="s">
        <v>124</v>
      </c>
      <c r="I2276">
        <v>2</v>
      </c>
      <c r="J2276" s="4">
        <v>3159.55</v>
      </c>
      <c r="K2276" s="5">
        <v>0.15</v>
      </c>
      <c r="L2276" s="4">
        <v>2459.34</v>
      </c>
      <c r="M2276" t="s">
        <v>42</v>
      </c>
      <c r="N2276" t="s">
        <v>43</v>
      </c>
      <c r="O2276">
        <f>IF(TablaVentas[[#This Row],[Precio_unitario]]="","PENDIENTE",TablaVentas[[#This Row],[Unidades]]*TablaVentas[[#This Row],[Precio_unitario]]*(1-TablaVentas[[#This Row],[Descuento_pct]]))</f>
        <v>5371.2350000000006</v>
      </c>
      <c r="P2276">
        <f>IF(TablaVentas[[#This Row],[Costo_unitario]]="","PENDIENTE",TablaVentas[[#This Row],[Unidades]]*TablaVentas[[#This Row],[Costo_unitario]])</f>
        <v>4918.68</v>
      </c>
      <c r="Q2276">
        <f>IF(OR(TablaVentas[[#This Row],[Ingreso_neto]]="PENDIENTE",TablaVentas[[#This Row],[Costo_total]]="PENDIENTE"),"PENDIENTE",TablaVentas[[#This Row],[Ingreso_neto]]-TablaVentas[[#This Row],[Costo_total]])</f>
        <v>452.55500000000029</v>
      </c>
    </row>
    <row r="2277" spans="1:17">
      <c r="A2277" t="s">
        <v>1367</v>
      </c>
      <c r="B2277">
        <v>1</v>
      </c>
      <c r="C2277" s="3">
        <v>46054</v>
      </c>
      <c r="D2277" t="s">
        <v>857</v>
      </c>
      <c r="E2277" t="s">
        <v>367</v>
      </c>
      <c r="F2277" t="s">
        <v>56</v>
      </c>
      <c r="G2277" t="s">
        <v>50</v>
      </c>
      <c r="H2277" t="s">
        <v>67</v>
      </c>
      <c r="I2277">
        <v>2</v>
      </c>
      <c r="J2277" s="4">
        <v>9967.7199999999993</v>
      </c>
      <c r="K2277" s="5">
        <v>0</v>
      </c>
      <c r="L2277" s="4">
        <v>5079.43</v>
      </c>
      <c r="M2277" t="s">
        <v>116</v>
      </c>
      <c r="N2277" t="s">
        <v>45</v>
      </c>
      <c r="O2277">
        <f>IF(TablaVentas[[#This Row],[Precio_unitario]]="","PENDIENTE",TablaVentas[[#This Row],[Unidades]]*TablaVentas[[#This Row],[Precio_unitario]]*(1-TablaVentas[[#This Row],[Descuento_pct]]))</f>
        <v>19935.439999999999</v>
      </c>
      <c r="P2277">
        <f>IF(TablaVentas[[#This Row],[Costo_unitario]]="","PENDIENTE",TablaVentas[[#This Row],[Unidades]]*TablaVentas[[#This Row],[Costo_unitario]])</f>
        <v>10158.86</v>
      </c>
      <c r="Q2277">
        <f>IF(OR(TablaVentas[[#This Row],[Ingreso_neto]]="PENDIENTE",TablaVentas[[#This Row],[Costo_total]]="PENDIENTE"),"PENDIENTE",TablaVentas[[#This Row],[Ingreso_neto]]-TablaVentas[[#This Row],[Costo_total]])</f>
        <v>9776.5799999999981</v>
      </c>
    </row>
    <row r="2278" spans="1:17">
      <c r="A2278" t="s">
        <v>1367</v>
      </c>
      <c r="B2278">
        <v>2</v>
      </c>
      <c r="C2278" s="3">
        <v>46054</v>
      </c>
      <c r="D2278" t="s">
        <v>857</v>
      </c>
      <c r="E2278" t="s">
        <v>216</v>
      </c>
      <c r="F2278" t="s">
        <v>56</v>
      </c>
      <c r="G2278" t="s">
        <v>50</v>
      </c>
      <c r="H2278" t="s">
        <v>67</v>
      </c>
      <c r="I2278">
        <v>4</v>
      </c>
      <c r="J2278" s="4">
        <v>16913.91</v>
      </c>
      <c r="K2278" s="5">
        <v>0</v>
      </c>
      <c r="L2278" s="4">
        <v>12064.41</v>
      </c>
      <c r="M2278" t="s">
        <v>42</v>
      </c>
      <c r="N2278" t="s">
        <v>43</v>
      </c>
      <c r="O2278">
        <f>IF(TablaVentas[[#This Row],[Precio_unitario]]="","PENDIENTE",TablaVentas[[#This Row],[Unidades]]*TablaVentas[[#This Row],[Precio_unitario]]*(1-TablaVentas[[#This Row],[Descuento_pct]]))</f>
        <v>67655.64</v>
      </c>
      <c r="P2278">
        <f>IF(TablaVentas[[#This Row],[Costo_unitario]]="","PENDIENTE",TablaVentas[[#This Row],[Unidades]]*TablaVentas[[#This Row],[Costo_unitario]])</f>
        <v>48257.64</v>
      </c>
      <c r="Q2278">
        <f>IF(OR(TablaVentas[[#This Row],[Ingreso_neto]]="PENDIENTE",TablaVentas[[#This Row],[Costo_total]]="PENDIENTE"),"PENDIENTE",TablaVentas[[#This Row],[Ingreso_neto]]-TablaVentas[[#This Row],[Costo_total]])</f>
        <v>19398</v>
      </c>
    </row>
    <row r="2279" spans="1:17">
      <c r="A2279" t="s">
        <v>1367</v>
      </c>
      <c r="B2279">
        <v>3</v>
      </c>
      <c r="C2279" s="3">
        <v>46054</v>
      </c>
      <c r="D2279" t="s">
        <v>857</v>
      </c>
      <c r="E2279" t="s">
        <v>134</v>
      </c>
      <c r="F2279" t="s">
        <v>56</v>
      </c>
      <c r="G2279" t="s">
        <v>50</v>
      </c>
      <c r="H2279" t="s">
        <v>67</v>
      </c>
      <c r="I2279">
        <v>1</v>
      </c>
      <c r="J2279" s="4">
        <v>248.58</v>
      </c>
      <c r="K2279" s="5">
        <v>0</v>
      </c>
      <c r="L2279" s="4">
        <v>176.47</v>
      </c>
      <c r="M2279" t="s">
        <v>42</v>
      </c>
      <c r="N2279" t="s">
        <v>60</v>
      </c>
      <c r="O2279">
        <f>IF(TablaVentas[[#This Row],[Precio_unitario]]="","PENDIENTE",TablaVentas[[#This Row],[Unidades]]*TablaVentas[[#This Row],[Precio_unitario]]*(1-TablaVentas[[#This Row],[Descuento_pct]]))</f>
        <v>248.58</v>
      </c>
      <c r="P2279">
        <f>IF(TablaVentas[[#This Row],[Costo_unitario]]="","PENDIENTE",TablaVentas[[#This Row],[Unidades]]*TablaVentas[[#This Row],[Costo_unitario]])</f>
        <v>176.47</v>
      </c>
      <c r="Q2279">
        <f>IF(OR(TablaVentas[[#This Row],[Ingreso_neto]]="PENDIENTE",TablaVentas[[#This Row],[Costo_total]]="PENDIENTE"),"PENDIENTE",TablaVentas[[#This Row],[Ingreso_neto]]-TablaVentas[[#This Row],[Costo_total]])</f>
        <v>72.110000000000014</v>
      </c>
    </row>
    <row r="2280" spans="1:17">
      <c r="A2280" t="s">
        <v>1368</v>
      </c>
      <c r="B2280">
        <v>1</v>
      </c>
      <c r="C2280" s="3">
        <v>46043</v>
      </c>
      <c r="D2280" t="s">
        <v>382</v>
      </c>
      <c r="E2280" t="s">
        <v>320</v>
      </c>
      <c r="F2280" t="s">
        <v>39</v>
      </c>
      <c r="G2280" t="s">
        <v>50</v>
      </c>
      <c r="H2280" t="s">
        <v>51</v>
      </c>
      <c r="I2280">
        <v>1</v>
      </c>
      <c r="J2280" s="4">
        <v>4722.05</v>
      </c>
      <c r="K2280" s="5">
        <v>0.15</v>
      </c>
      <c r="L2280" s="4">
        <v>3065.66</v>
      </c>
      <c r="M2280" t="s">
        <v>42</v>
      </c>
      <c r="N2280" t="s">
        <v>52</v>
      </c>
      <c r="O2280">
        <f>IF(TablaVentas[[#This Row],[Precio_unitario]]="","PENDIENTE",TablaVentas[[#This Row],[Unidades]]*TablaVentas[[#This Row],[Precio_unitario]]*(1-TablaVentas[[#This Row],[Descuento_pct]]))</f>
        <v>4013.7424999999998</v>
      </c>
      <c r="P2280">
        <f>IF(TablaVentas[[#This Row],[Costo_unitario]]="","PENDIENTE",TablaVentas[[#This Row],[Unidades]]*TablaVentas[[#This Row],[Costo_unitario]])</f>
        <v>3065.66</v>
      </c>
      <c r="Q2280">
        <f>IF(OR(TablaVentas[[#This Row],[Ingreso_neto]]="PENDIENTE",TablaVentas[[#This Row],[Costo_total]]="PENDIENTE"),"PENDIENTE",TablaVentas[[#This Row],[Ingreso_neto]]-TablaVentas[[#This Row],[Costo_total]])</f>
        <v>948.08249999999998</v>
      </c>
    </row>
    <row r="2281" spans="1:17">
      <c r="A2281" t="s">
        <v>1369</v>
      </c>
      <c r="B2281">
        <v>1</v>
      </c>
      <c r="C2281" s="3">
        <v>46163</v>
      </c>
      <c r="D2281" t="s">
        <v>412</v>
      </c>
      <c r="E2281" t="s">
        <v>106</v>
      </c>
      <c r="F2281" t="s">
        <v>39</v>
      </c>
      <c r="G2281" t="s">
        <v>40</v>
      </c>
      <c r="H2281" t="s">
        <v>73</v>
      </c>
      <c r="I2281">
        <v>8</v>
      </c>
      <c r="J2281" s="4">
        <v>10553.5</v>
      </c>
      <c r="K2281" s="5">
        <v>0</v>
      </c>
      <c r="L2281" s="4">
        <v>8276.74</v>
      </c>
      <c r="M2281" t="s">
        <v>42</v>
      </c>
      <c r="N2281" t="s">
        <v>43</v>
      </c>
      <c r="O2281">
        <f>IF(TablaVentas[[#This Row],[Precio_unitario]]="","PENDIENTE",TablaVentas[[#This Row],[Unidades]]*TablaVentas[[#This Row],[Precio_unitario]]*(1-TablaVentas[[#This Row],[Descuento_pct]]))</f>
        <v>84428</v>
      </c>
      <c r="P2281">
        <f>IF(TablaVentas[[#This Row],[Costo_unitario]]="","PENDIENTE",TablaVentas[[#This Row],[Unidades]]*TablaVentas[[#This Row],[Costo_unitario]])</f>
        <v>66213.919999999998</v>
      </c>
      <c r="Q2281">
        <f>IF(OR(TablaVentas[[#This Row],[Ingreso_neto]]="PENDIENTE",TablaVentas[[#This Row],[Costo_total]]="PENDIENTE"),"PENDIENTE",TablaVentas[[#This Row],[Ingreso_neto]]-TablaVentas[[#This Row],[Costo_total]])</f>
        <v>18214.080000000002</v>
      </c>
    </row>
    <row r="2282" spans="1:17">
      <c r="A2282" t="s">
        <v>1370</v>
      </c>
      <c r="B2282">
        <v>1</v>
      </c>
      <c r="C2282" s="3">
        <v>46064</v>
      </c>
      <c r="D2282" t="s">
        <v>550</v>
      </c>
      <c r="E2282" t="s">
        <v>293</v>
      </c>
      <c r="F2282" t="s">
        <v>56</v>
      </c>
      <c r="G2282" t="s">
        <v>50</v>
      </c>
      <c r="H2282" t="s">
        <v>73</v>
      </c>
      <c r="I2282">
        <v>2</v>
      </c>
      <c r="J2282" s="4">
        <v>1244.71</v>
      </c>
      <c r="K2282" s="5">
        <v>0</v>
      </c>
      <c r="L2282" s="4">
        <v>936.52</v>
      </c>
      <c r="M2282" t="s">
        <v>42</v>
      </c>
      <c r="N2282" t="s">
        <v>52</v>
      </c>
      <c r="O2282">
        <f>IF(TablaVentas[[#This Row],[Precio_unitario]]="","PENDIENTE",TablaVentas[[#This Row],[Unidades]]*TablaVentas[[#This Row],[Precio_unitario]]*(1-TablaVentas[[#This Row],[Descuento_pct]]))</f>
        <v>2489.42</v>
      </c>
      <c r="P2282">
        <f>IF(TablaVentas[[#This Row],[Costo_unitario]]="","PENDIENTE",TablaVentas[[#This Row],[Unidades]]*TablaVentas[[#This Row],[Costo_unitario]])</f>
        <v>1873.04</v>
      </c>
      <c r="Q2282">
        <f>IF(OR(TablaVentas[[#This Row],[Ingreso_neto]]="PENDIENTE",TablaVentas[[#This Row],[Costo_total]]="PENDIENTE"),"PENDIENTE",TablaVentas[[#This Row],[Ingreso_neto]]-TablaVentas[[#This Row],[Costo_total]])</f>
        <v>616.38000000000011</v>
      </c>
    </row>
    <row r="2283" spans="1:17">
      <c r="A2283" t="s">
        <v>1371</v>
      </c>
      <c r="B2283">
        <v>1</v>
      </c>
      <c r="C2283" s="3">
        <v>46241</v>
      </c>
      <c r="D2283" t="s">
        <v>804</v>
      </c>
      <c r="E2283" t="s">
        <v>175</v>
      </c>
      <c r="F2283" t="s">
        <v>66</v>
      </c>
      <c r="G2283" t="s">
        <v>40</v>
      </c>
      <c r="H2283" t="s">
        <v>82</v>
      </c>
      <c r="I2283">
        <v>3</v>
      </c>
      <c r="J2283" s="4">
        <v>2937.24</v>
      </c>
      <c r="K2283" s="5">
        <v>0</v>
      </c>
      <c r="L2283" s="4">
        <v>1857.39</v>
      </c>
      <c r="M2283" t="s">
        <v>42</v>
      </c>
      <c r="N2283" t="s">
        <v>43</v>
      </c>
      <c r="O2283">
        <f>IF(TablaVentas[[#This Row],[Precio_unitario]]="","PENDIENTE",TablaVentas[[#This Row],[Unidades]]*TablaVentas[[#This Row],[Precio_unitario]]*(1-TablaVentas[[#This Row],[Descuento_pct]]))</f>
        <v>8811.7199999999993</v>
      </c>
      <c r="P2283">
        <f>IF(TablaVentas[[#This Row],[Costo_unitario]]="","PENDIENTE",TablaVentas[[#This Row],[Unidades]]*TablaVentas[[#This Row],[Costo_unitario]])</f>
        <v>5572.17</v>
      </c>
      <c r="Q2283">
        <f>IF(OR(TablaVentas[[#This Row],[Ingreso_neto]]="PENDIENTE",TablaVentas[[#This Row],[Costo_total]]="PENDIENTE"),"PENDIENTE",TablaVentas[[#This Row],[Ingreso_neto]]-TablaVentas[[#This Row],[Costo_total]])</f>
        <v>3239.5499999999993</v>
      </c>
    </row>
    <row r="2284" spans="1:17">
      <c r="A2284" t="s">
        <v>1371</v>
      </c>
      <c r="B2284">
        <v>2</v>
      </c>
      <c r="C2284" s="3">
        <v>46241</v>
      </c>
      <c r="D2284" t="s">
        <v>804</v>
      </c>
      <c r="E2284" t="s">
        <v>90</v>
      </c>
      <c r="F2284" t="s">
        <v>66</v>
      </c>
      <c r="G2284" t="s">
        <v>40</v>
      </c>
      <c r="H2284" t="s">
        <v>82</v>
      </c>
      <c r="I2284">
        <v>5</v>
      </c>
      <c r="J2284" s="4">
        <v>11128.09</v>
      </c>
      <c r="K2284" s="5">
        <v>0.05</v>
      </c>
      <c r="L2284" s="4">
        <v>8174.87</v>
      </c>
      <c r="M2284" t="s">
        <v>42</v>
      </c>
      <c r="N2284" t="s">
        <v>52</v>
      </c>
      <c r="O2284">
        <f>IF(TablaVentas[[#This Row],[Precio_unitario]]="","PENDIENTE",TablaVentas[[#This Row],[Unidades]]*TablaVentas[[#This Row],[Precio_unitario]]*(1-TablaVentas[[#This Row],[Descuento_pct]]))</f>
        <v>52858.427499999998</v>
      </c>
      <c r="P2284">
        <f>IF(TablaVentas[[#This Row],[Costo_unitario]]="","PENDIENTE",TablaVentas[[#This Row],[Unidades]]*TablaVentas[[#This Row],[Costo_unitario]])</f>
        <v>40874.35</v>
      </c>
      <c r="Q2284">
        <f>IF(OR(TablaVentas[[#This Row],[Ingreso_neto]]="PENDIENTE",TablaVentas[[#This Row],[Costo_total]]="PENDIENTE"),"PENDIENTE",TablaVentas[[#This Row],[Ingreso_neto]]-TablaVentas[[#This Row],[Costo_total]])</f>
        <v>11984.077499999999</v>
      </c>
    </row>
    <row r="2285" spans="1:17">
      <c r="A2285" t="s">
        <v>1371</v>
      </c>
      <c r="B2285">
        <v>3</v>
      </c>
      <c r="C2285" s="3">
        <v>46241</v>
      </c>
      <c r="D2285" t="s">
        <v>804</v>
      </c>
      <c r="E2285" t="s">
        <v>86</v>
      </c>
      <c r="F2285" t="s">
        <v>66</v>
      </c>
      <c r="G2285" t="s">
        <v>40</v>
      </c>
      <c r="H2285" t="s">
        <v>82</v>
      </c>
      <c r="I2285">
        <v>2</v>
      </c>
      <c r="J2285" s="4">
        <v>14228.25</v>
      </c>
      <c r="K2285" s="5">
        <v>0</v>
      </c>
      <c r="L2285" s="4">
        <v>11166.03</v>
      </c>
      <c r="M2285" t="s">
        <v>42</v>
      </c>
      <c r="N2285" t="s">
        <v>60</v>
      </c>
      <c r="O2285">
        <f>IF(TablaVentas[[#This Row],[Precio_unitario]]="","PENDIENTE",TablaVentas[[#This Row],[Unidades]]*TablaVentas[[#This Row],[Precio_unitario]]*(1-TablaVentas[[#This Row],[Descuento_pct]]))</f>
        <v>28456.5</v>
      </c>
      <c r="P2285">
        <f>IF(TablaVentas[[#This Row],[Costo_unitario]]="","PENDIENTE",TablaVentas[[#This Row],[Unidades]]*TablaVentas[[#This Row],[Costo_unitario]])</f>
        <v>22332.06</v>
      </c>
      <c r="Q2285">
        <f>IF(OR(TablaVentas[[#This Row],[Ingreso_neto]]="PENDIENTE",TablaVentas[[#This Row],[Costo_total]]="PENDIENTE"),"PENDIENTE",TablaVentas[[#This Row],[Ingreso_neto]]-TablaVentas[[#This Row],[Costo_total]])</f>
        <v>6124.4399999999987</v>
      </c>
    </row>
    <row r="2286" spans="1:17">
      <c r="A2286" t="s">
        <v>1372</v>
      </c>
      <c r="B2286">
        <v>1</v>
      </c>
      <c r="C2286" s="3">
        <v>46126</v>
      </c>
      <c r="D2286" t="s">
        <v>452</v>
      </c>
      <c r="E2286" t="s">
        <v>256</v>
      </c>
      <c r="F2286" t="s">
        <v>77</v>
      </c>
      <c r="G2286" t="s">
        <v>50</v>
      </c>
      <c r="H2286" t="s">
        <v>58</v>
      </c>
      <c r="I2286">
        <v>2</v>
      </c>
      <c r="J2286" s="4">
        <v>20248.39</v>
      </c>
      <c r="K2286" s="5">
        <v>0.2</v>
      </c>
      <c r="L2286" s="4">
        <v>11666.57</v>
      </c>
      <c r="M2286" t="s">
        <v>42</v>
      </c>
      <c r="N2286" t="s">
        <v>43</v>
      </c>
      <c r="O2286">
        <f>IF(TablaVentas[[#This Row],[Precio_unitario]]="","PENDIENTE",TablaVentas[[#This Row],[Unidades]]*TablaVentas[[#This Row],[Precio_unitario]]*(1-TablaVentas[[#This Row],[Descuento_pct]]))</f>
        <v>32397.423999999999</v>
      </c>
      <c r="P2286">
        <f>IF(TablaVentas[[#This Row],[Costo_unitario]]="","PENDIENTE",TablaVentas[[#This Row],[Unidades]]*TablaVentas[[#This Row],[Costo_unitario]])</f>
        <v>23333.14</v>
      </c>
      <c r="Q2286">
        <f>IF(OR(TablaVentas[[#This Row],[Ingreso_neto]]="PENDIENTE",TablaVentas[[#This Row],[Costo_total]]="PENDIENTE"),"PENDIENTE",TablaVentas[[#This Row],[Ingreso_neto]]-TablaVentas[[#This Row],[Costo_total]])</f>
        <v>9064.2839999999997</v>
      </c>
    </row>
    <row r="2287" spans="1:17">
      <c r="A2287" t="s">
        <v>1372</v>
      </c>
      <c r="B2287">
        <v>2</v>
      </c>
      <c r="C2287" s="3">
        <v>46126</v>
      </c>
      <c r="D2287" t="s">
        <v>452</v>
      </c>
      <c r="E2287" t="s">
        <v>226</v>
      </c>
      <c r="F2287" t="s">
        <v>77</v>
      </c>
      <c r="G2287" t="s">
        <v>50</v>
      </c>
      <c r="H2287" t="s">
        <v>58</v>
      </c>
      <c r="I2287">
        <v>5</v>
      </c>
      <c r="J2287" s="4">
        <v>19462.05</v>
      </c>
      <c r="K2287" s="5">
        <v>0</v>
      </c>
      <c r="L2287" s="4">
        <v>9976.68</v>
      </c>
      <c r="M2287" t="s">
        <v>42</v>
      </c>
      <c r="N2287" t="s">
        <v>45</v>
      </c>
      <c r="O2287">
        <f>IF(TablaVentas[[#This Row],[Precio_unitario]]="","PENDIENTE",TablaVentas[[#This Row],[Unidades]]*TablaVentas[[#This Row],[Precio_unitario]]*(1-TablaVentas[[#This Row],[Descuento_pct]]))</f>
        <v>97310.25</v>
      </c>
      <c r="P2287">
        <f>IF(TablaVentas[[#This Row],[Costo_unitario]]="","PENDIENTE",TablaVentas[[#This Row],[Unidades]]*TablaVentas[[#This Row],[Costo_unitario]])</f>
        <v>49883.4</v>
      </c>
      <c r="Q2287">
        <f>IF(OR(TablaVentas[[#This Row],[Ingreso_neto]]="PENDIENTE",TablaVentas[[#This Row],[Costo_total]]="PENDIENTE"),"PENDIENTE",TablaVentas[[#This Row],[Ingreso_neto]]-TablaVentas[[#This Row],[Costo_total]])</f>
        <v>47426.85</v>
      </c>
    </row>
    <row r="2288" spans="1:17">
      <c r="A2288" t="s">
        <v>1373</v>
      </c>
      <c r="B2288">
        <v>1</v>
      </c>
      <c r="C2288" s="3">
        <v>46250</v>
      </c>
      <c r="D2288" t="s">
        <v>833</v>
      </c>
      <c r="E2288" t="s">
        <v>110</v>
      </c>
      <c r="F2288" t="s">
        <v>77</v>
      </c>
      <c r="G2288" t="s">
        <v>57</v>
      </c>
      <c r="H2288" t="s">
        <v>73</v>
      </c>
      <c r="I2288">
        <v>2</v>
      </c>
      <c r="J2288" s="4">
        <v>5911.98</v>
      </c>
      <c r="K2288" s="5">
        <v>0</v>
      </c>
      <c r="L2288" s="4">
        <v>4205.6899999999996</v>
      </c>
      <c r="M2288" t="s">
        <v>42</v>
      </c>
      <c r="N2288" t="s">
        <v>45</v>
      </c>
      <c r="O2288">
        <f>IF(TablaVentas[[#This Row],[Precio_unitario]]="","PENDIENTE",TablaVentas[[#This Row],[Unidades]]*TablaVentas[[#This Row],[Precio_unitario]]*(1-TablaVentas[[#This Row],[Descuento_pct]]))</f>
        <v>11823.96</v>
      </c>
      <c r="P2288">
        <f>IF(TablaVentas[[#This Row],[Costo_unitario]]="","PENDIENTE",TablaVentas[[#This Row],[Unidades]]*TablaVentas[[#This Row],[Costo_unitario]])</f>
        <v>8411.3799999999992</v>
      </c>
      <c r="Q2288">
        <f>IF(OR(TablaVentas[[#This Row],[Ingreso_neto]]="PENDIENTE",TablaVentas[[#This Row],[Costo_total]]="PENDIENTE"),"PENDIENTE",TablaVentas[[#This Row],[Ingreso_neto]]-TablaVentas[[#This Row],[Costo_total]])</f>
        <v>3412.58</v>
      </c>
    </row>
    <row r="2289" spans="1:17">
      <c r="A2289" t="s">
        <v>1373</v>
      </c>
      <c r="B2289">
        <v>2</v>
      </c>
      <c r="C2289" s="3">
        <v>46250</v>
      </c>
      <c r="D2289" t="s">
        <v>833</v>
      </c>
      <c r="E2289" t="s">
        <v>114</v>
      </c>
      <c r="F2289" t="s">
        <v>77</v>
      </c>
      <c r="G2289" t="s">
        <v>57</v>
      </c>
      <c r="H2289" t="s">
        <v>73</v>
      </c>
      <c r="I2289">
        <v>1</v>
      </c>
      <c r="J2289" s="4">
        <v>14921.09</v>
      </c>
      <c r="K2289" s="5">
        <v>0</v>
      </c>
      <c r="L2289" s="4">
        <v>8239.48</v>
      </c>
      <c r="M2289" t="s">
        <v>42</v>
      </c>
      <c r="N2289" t="s">
        <v>45</v>
      </c>
      <c r="O2289">
        <f>IF(TablaVentas[[#This Row],[Precio_unitario]]="","PENDIENTE",TablaVentas[[#This Row],[Unidades]]*TablaVentas[[#This Row],[Precio_unitario]]*(1-TablaVentas[[#This Row],[Descuento_pct]]))</f>
        <v>14921.09</v>
      </c>
      <c r="P2289">
        <f>IF(TablaVentas[[#This Row],[Costo_unitario]]="","PENDIENTE",TablaVentas[[#This Row],[Unidades]]*TablaVentas[[#This Row],[Costo_unitario]])</f>
        <v>8239.48</v>
      </c>
      <c r="Q2289">
        <f>IF(OR(TablaVentas[[#This Row],[Ingreso_neto]]="PENDIENTE",TablaVentas[[#This Row],[Costo_total]]="PENDIENTE"),"PENDIENTE",TablaVentas[[#This Row],[Ingreso_neto]]-TablaVentas[[#This Row],[Costo_total]])</f>
        <v>6681.6100000000006</v>
      </c>
    </row>
    <row r="2290" spans="1:17">
      <c r="A2290" t="s">
        <v>1373</v>
      </c>
      <c r="B2290">
        <v>3</v>
      </c>
      <c r="C2290" s="3">
        <v>46250</v>
      </c>
      <c r="D2290" t="s">
        <v>833</v>
      </c>
      <c r="E2290" t="s">
        <v>271</v>
      </c>
      <c r="F2290" t="s">
        <v>77</v>
      </c>
      <c r="G2290" t="s">
        <v>57</v>
      </c>
      <c r="H2290" t="s">
        <v>73</v>
      </c>
      <c r="I2290">
        <v>1</v>
      </c>
      <c r="J2290" s="4">
        <v>1108.49</v>
      </c>
      <c r="K2290" s="5">
        <v>0.2</v>
      </c>
      <c r="L2290" s="4">
        <v>759.03</v>
      </c>
      <c r="M2290" t="s">
        <v>42</v>
      </c>
      <c r="N2290" t="s">
        <v>45</v>
      </c>
      <c r="O2290">
        <f>IF(TablaVentas[[#This Row],[Precio_unitario]]="","PENDIENTE",TablaVentas[[#This Row],[Unidades]]*TablaVentas[[#This Row],[Precio_unitario]]*(1-TablaVentas[[#This Row],[Descuento_pct]]))</f>
        <v>886.79200000000003</v>
      </c>
      <c r="P2290">
        <f>IF(TablaVentas[[#This Row],[Costo_unitario]]="","PENDIENTE",TablaVentas[[#This Row],[Unidades]]*TablaVentas[[#This Row],[Costo_unitario]])</f>
        <v>759.03</v>
      </c>
      <c r="Q2290">
        <f>IF(OR(TablaVentas[[#This Row],[Ingreso_neto]]="PENDIENTE",TablaVentas[[#This Row],[Costo_total]]="PENDIENTE"),"PENDIENTE",TablaVentas[[#This Row],[Ingreso_neto]]-TablaVentas[[#This Row],[Costo_total]])</f>
        <v>127.76200000000006</v>
      </c>
    </row>
    <row r="2291" spans="1:17">
      <c r="A2291" t="s">
        <v>1374</v>
      </c>
      <c r="B2291">
        <v>1</v>
      </c>
      <c r="C2291" s="3">
        <v>46279</v>
      </c>
      <c r="D2291" t="s">
        <v>554</v>
      </c>
      <c r="E2291" t="s">
        <v>203</v>
      </c>
      <c r="F2291" t="s">
        <v>66</v>
      </c>
      <c r="G2291" t="s">
        <v>40</v>
      </c>
      <c r="H2291" t="s">
        <v>82</v>
      </c>
      <c r="I2291">
        <v>1</v>
      </c>
      <c r="J2291" s="4">
        <v>1831.65</v>
      </c>
      <c r="K2291" s="5">
        <v>0</v>
      </c>
      <c r="L2291" s="4">
        <v>1252.8399999999999</v>
      </c>
      <c r="M2291" t="s">
        <v>42</v>
      </c>
      <c r="N2291" t="s">
        <v>45</v>
      </c>
      <c r="O2291">
        <f>IF(TablaVentas[[#This Row],[Precio_unitario]]="","PENDIENTE",TablaVentas[[#This Row],[Unidades]]*TablaVentas[[#This Row],[Precio_unitario]]*(1-TablaVentas[[#This Row],[Descuento_pct]]))</f>
        <v>1831.65</v>
      </c>
      <c r="P2291">
        <f>IF(TablaVentas[[#This Row],[Costo_unitario]]="","PENDIENTE",TablaVentas[[#This Row],[Unidades]]*TablaVentas[[#This Row],[Costo_unitario]])</f>
        <v>1252.8399999999999</v>
      </c>
      <c r="Q2291">
        <f>IF(OR(TablaVentas[[#This Row],[Ingreso_neto]]="PENDIENTE",TablaVentas[[#This Row],[Costo_total]]="PENDIENTE"),"PENDIENTE",TablaVentas[[#This Row],[Ingreso_neto]]-TablaVentas[[#This Row],[Costo_total]])</f>
        <v>578.81000000000017</v>
      </c>
    </row>
    <row r="2292" spans="1:17">
      <c r="A2292" t="s">
        <v>1374</v>
      </c>
      <c r="B2292">
        <v>2</v>
      </c>
      <c r="C2292" s="3">
        <v>46279</v>
      </c>
      <c r="D2292" t="s">
        <v>554</v>
      </c>
      <c r="E2292" t="s">
        <v>156</v>
      </c>
      <c r="F2292" t="s">
        <v>66</v>
      </c>
      <c r="G2292" t="s">
        <v>40</v>
      </c>
      <c r="H2292" t="s">
        <v>82</v>
      </c>
      <c r="I2292">
        <v>4</v>
      </c>
      <c r="J2292" s="4">
        <v>19501.91</v>
      </c>
      <c r="K2292" s="5">
        <v>0.1</v>
      </c>
      <c r="L2292" s="4">
        <v>13981.13</v>
      </c>
      <c r="M2292" t="s">
        <v>42</v>
      </c>
      <c r="N2292" t="s">
        <v>45</v>
      </c>
      <c r="O2292">
        <f>IF(TablaVentas[[#This Row],[Precio_unitario]]="","PENDIENTE",TablaVentas[[#This Row],[Unidades]]*TablaVentas[[#This Row],[Precio_unitario]]*(1-TablaVentas[[#This Row],[Descuento_pct]]))</f>
        <v>70206.876000000004</v>
      </c>
      <c r="P2292">
        <f>IF(TablaVentas[[#This Row],[Costo_unitario]]="","PENDIENTE",TablaVentas[[#This Row],[Unidades]]*TablaVentas[[#This Row],[Costo_unitario]])</f>
        <v>55924.52</v>
      </c>
      <c r="Q2292">
        <f>IF(OR(TablaVentas[[#This Row],[Ingreso_neto]]="PENDIENTE",TablaVentas[[#This Row],[Costo_total]]="PENDIENTE"),"PENDIENTE",TablaVentas[[#This Row],[Ingreso_neto]]-TablaVentas[[#This Row],[Costo_total]])</f>
        <v>14282.356000000007</v>
      </c>
    </row>
    <row r="2293" spans="1:17">
      <c r="A2293" t="s">
        <v>1374</v>
      </c>
      <c r="B2293">
        <v>3</v>
      </c>
      <c r="C2293" s="3">
        <v>46279</v>
      </c>
      <c r="D2293" t="s">
        <v>554</v>
      </c>
      <c r="E2293" t="s">
        <v>273</v>
      </c>
      <c r="F2293" t="s">
        <v>66</v>
      </c>
      <c r="G2293" t="s">
        <v>40</v>
      </c>
      <c r="H2293" t="s">
        <v>82</v>
      </c>
      <c r="I2293">
        <v>8</v>
      </c>
      <c r="J2293" s="4">
        <v>1299.81</v>
      </c>
      <c r="K2293" s="5">
        <v>0</v>
      </c>
      <c r="L2293" s="4">
        <v>716.26</v>
      </c>
      <c r="M2293" t="s">
        <v>42</v>
      </c>
      <c r="N2293" t="s">
        <v>52</v>
      </c>
      <c r="O2293">
        <f>IF(TablaVentas[[#This Row],[Precio_unitario]]="","PENDIENTE",TablaVentas[[#This Row],[Unidades]]*TablaVentas[[#This Row],[Precio_unitario]]*(1-TablaVentas[[#This Row],[Descuento_pct]]))</f>
        <v>10398.48</v>
      </c>
      <c r="P2293">
        <f>IF(TablaVentas[[#This Row],[Costo_unitario]]="","PENDIENTE",TablaVentas[[#This Row],[Unidades]]*TablaVentas[[#This Row],[Costo_unitario]])</f>
        <v>5730.08</v>
      </c>
      <c r="Q2293">
        <f>IF(OR(TablaVentas[[#This Row],[Ingreso_neto]]="PENDIENTE",TablaVentas[[#This Row],[Costo_total]]="PENDIENTE"),"PENDIENTE",TablaVentas[[#This Row],[Ingreso_neto]]-TablaVentas[[#This Row],[Costo_total]])</f>
        <v>4668.3999999999996</v>
      </c>
    </row>
    <row r="2294" spans="1:17">
      <c r="A2294" t="s">
        <v>1374</v>
      </c>
      <c r="B2294">
        <v>4</v>
      </c>
      <c r="C2294" s="3">
        <v>46279</v>
      </c>
      <c r="D2294" t="s">
        <v>554</v>
      </c>
      <c r="E2294" t="s">
        <v>81</v>
      </c>
      <c r="F2294" t="s">
        <v>66</v>
      </c>
      <c r="G2294" t="s">
        <v>40</v>
      </c>
      <c r="H2294" t="s">
        <v>82</v>
      </c>
      <c r="I2294">
        <v>3</v>
      </c>
      <c r="J2294" s="4">
        <v>15366.18</v>
      </c>
      <c r="K2294" s="5">
        <v>0.15</v>
      </c>
      <c r="L2294" s="4">
        <v>11614.87</v>
      </c>
      <c r="M2294" t="s">
        <v>42</v>
      </c>
      <c r="N2294" t="s">
        <v>60</v>
      </c>
      <c r="O2294">
        <f>IF(TablaVentas[[#This Row],[Precio_unitario]]="","PENDIENTE",TablaVentas[[#This Row],[Unidades]]*TablaVentas[[#This Row],[Precio_unitario]]*(1-TablaVentas[[#This Row],[Descuento_pct]]))</f>
        <v>39183.758999999998</v>
      </c>
      <c r="P2294">
        <f>IF(TablaVentas[[#This Row],[Costo_unitario]]="","PENDIENTE",TablaVentas[[#This Row],[Unidades]]*TablaVentas[[#This Row],[Costo_unitario]])</f>
        <v>34844.61</v>
      </c>
      <c r="Q2294">
        <f>IF(OR(TablaVentas[[#This Row],[Ingreso_neto]]="PENDIENTE",TablaVentas[[#This Row],[Costo_total]]="PENDIENTE"),"PENDIENTE",TablaVentas[[#This Row],[Ingreso_neto]]-TablaVentas[[#This Row],[Costo_total]])</f>
        <v>4339.1489999999976</v>
      </c>
    </row>
    <row r="2295" spans="1:17">
      <c r="A2295" t="s">
        <v>1374</v>
      </c>
      <c r="B2295">
        <v>5</v>
      </c>
      <c r="C2295" s="3">
        <v>46279</v>
      </c>
      <c r="D2295" t="s">
        <v>554</v>
      </c>
      <c r="E2295" t="s">
        <v>152</v>
      </c>
      <c r="F2295" t="s">
        <v>66</v>
      </c>
      <c r="G2295" t="s">
        <v>40</v>
      </c>
      <c r="H2295" t="s">
        <v>82</v>
      </c>
      <c r="I2295">
        <v>3</v>
      </c>
      <c r="J2295" s="4">
        <v>2720.37</v>
      </c>
      <c r="K2295" s="5">
        <v>0</v>
      </c>
      <c r="L2295" s="4">
        <v>1962.3</v>
      </c>
      <c r="M2295" t="s">
        <v>42</v>
      </c>
      <c r="N2295" t="s">
        <v>43</v>
      </c>
      <c r="O2295">
        <f>IF(TablaVentas[[#This Row],[Precio_unitario]]="","PENDIENTE",TablaVentas[[#This Row],[Unidades]]*TablaVentas[[#This Row],[Precio_unitario]]*(1-TablaVentas[[#This Row],[Descuento_pct]]))</f>
        <v>8161.11</v>
      </c>
      <c r="P2295">
        <f>IF(TablaVentas[[#This Row],[Costo_unitario]]="","PENDIENTE",TablaVentas[[#This Row],[Unidades]]*TablaVentas[[#This Row],[Costo_unitario]])</f>
        <v>5886.9</v>
      </c>
      <c r="Q2295">
        <f>IF(OR(TablaVentas[[#This Row],[Ingreso_neto]]="PENDIENTE",TablaVentas[[#This Row],[Costo_total]]="PENDIENTE"),"PENDIENTE",TablaVentas[[#This Row],[Ingreso_neto]]-TablaVentas[[#This Row],[Costo_total]])</f>
        <v>2274.21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22D5-819F-564F-A0FD-E0FE8DDB9FD2}">
  <dimension ref="A1:T14"/>
  <sheetViews>
    <sheetView topLeftCell="E1" workbookViewId="0">
      <selection activeCell="T2" sqref="T2"/>
    </sheetView>
  </sheetViews>
  <sheetFormatPr baseColWidth="10" defaultColWidth="10.6640625" defaultRowHeight="14"/>
  <cols>
    <col min="1" max="1" width="10.33203125" bestFit="1" customWidth="1"/>
    <col min="2" max="2" width="11.5" bestFit="1" customWidth="1"/>
    <col min="3" max="3" width="27.1640625" bestFit="1" customWidth="1"/>
    <col min="5" max="5" width="16.33203125" bestFit="1" customWidth="1"/>
    <col min="6" max="6" width="18.6640625" bestFit="1" customWidth="1"/>
    <col min="7" max="7" width="25.6640625" bestFit="1" customWidth="1"/>
    <col min="8" max="8" width="18" bestFit="1" customWidth="1"/>
    <col min="9" max="9" width="15.1640625" bestFit="1" customWidth="1"/>
    <col min="10" max="10" width="20.6640625" bestFit="1" customWidth="1"/>
    <col min="11" max="11" width="21.5" bestFit="1" customWidth="1"/>
    <col min="13" max="13" width="6.83203125" bestFit="1" customWidth="1"/>
    <col min="14" max="14" width="8.1640625" bestFit="1" customWidth="1"/>
    <col min="15" max="15" width="15.33203125" bestFit="1" customWidth="1"/>
    <col min="16" max="16" width="20.33203125" bestFit="1" customWidth="1"/>
    <col min="17" max="17" width="17.5" bestFit="1" customWidth="1"/>
    <col min="18" max="18" width="20.33203125" bestFit="1" customWidth="1"/>
    <col min="19" max="19" width="14.33203125" bestFit="1" customWidth="1"/>
    <col min="20" max="20" width="16.5" bestFit="1" customWidth="1"/>
  </cols>
  <sheetData>
    <row r="1" spans="1:20">
      <c r="A1" s="8" t="s">
        <v>30</v>
      </c>
      <c r="B1" s="8" t="s">
        <v>32</v>
      </c>
      <c r="C1" t="s">
        <v>1787</v>
      </c>
      <c r="E1" t="s">
        <v>1791</v>
      </c>
      <c r="F1" t="s">
        <v>1790</v>
      </c>
      <c r="G1" t="s">
        <v>1792</v>
      </c>
      <c r="H1" t="s">
        <v>1793</v>
      </c>
      <c r="I1" t="s">
        <v>1794</v>
      </c>
      <c r="J1" t="s">
        <v>1795</v>
      </c>
      <c r="K1" t="s">
        <v>1796</v>
      </c>
      <c r="M1" t="s">
        <v>1797</v>
      </c>
      <c r="N1" t="s">
        <v>1375</v>
      </c>
      <c r="O1" t="s">
        <v>1806</v>
      </c>
      <c r="P1" t="s">
        <v>1804</v>
      </c>
      <c r="Q1" t="s">
        <v>1805</v>
      </c>
      <c r="R1" t="s">
        <v>1807</v>
      </c>
      <c r="S1" t="s">
        <v>1808</v>
      </c>
      <c r="T1" t="s">
        <v>1809</v>
      </c>
    </row>
    <row r="2" spans="1:20">
      <c r="A2" s="8" t="s">
        <v>116</v>
      </c>
      <c r="B2" s="8">
        <v>15000</v>
      </c>
      <c r="C2" t="str">
        <f>IF(A2="Devuelta","DEVUELTA",IF(A2="Cancelada","NO EFECTIVA",IF(A2&lt;&gt;"Completada","PENDIENTE DE VALIDACION",IF(OR(B2="",B2="PENDIENTE"),"PENDIENTE",IF(B2&gt;=10000,"ALTA","BAJA")))))</f>
        <v>DEVUELTA</v>
      </c>
      <c r="E2">
        <f>COUNTIF(A2:A8,"Cancelada")</f>
        <v>1</v>
      </c>
      <c r="F2">
        <f>COUNTIFS(A2:A8,"Completada",B2:B8,"&gt;=10000")</f>
        <v>1</v>
      </c>
      <c r="G2">
        <f>SUMIFS(B2:B8,A2:A8,"Completada",B2:B8,"&gt;=10000")</f>
        <v>15000</v>
      </c>
      <c r="H2">
        <f>SUMIF(A2:A8,"Completada",B2:B8)</f>
        <v>23000</v>
      </c>
      <c r="I2">
        <f>COUNTIF(A2:A8,"Completada")</f>
        <v>4</v>
      </c>
      <c r="J2">
        <f>COUNTIFS(A2:A8,"Completada",B2:B8,"&gt;=0")</f>
        <v>2</v>
      </c>
      <c r="K2" s="9">
        <f>IF(I2=0,"SIN DATOS",J2/I2)</f>
        <v>0.5</v>
      </c>
      <c r="M2" t="s">
        <v>1798</v>
      </c>
      <c r="N2" t="s">
        <v>1799</v>
      </c>
      <c r="O2">
        <f>COUNTIF($M$2:$M$5,M2)</f>
        <v>1</v>
      </c>
      <c r="P2" t="s">
        <v>1800</v>
      </c>
      <c r="Q2" t="str">
        <f>_xlfn.XLOOKUP(P2,M2:M5,N2:N5,"PRODUCTO NO ENCONTRADO")</f>
        <v>Mouse</v>
      </c>
      <c r="R2" t="str">
        <f>IF(O2&gt;1,"REVISAR DUPLICADO","CODIGO UNICO")</f>
        <v>CODIGO UNICO</v>
      </c>
      <c r="S2">
        <f>COUNTA(_xlfn.UNIQUE(M2:M5))</f>
        <v>3</v>
      </c>
      <c r="T2" cm="1">
        <f t="array" ref="T2">SUMPRODUCT((O2:O5&gt;1)/O2:O5)</f>
        <v>1</v>
      </c>
    </row>
    <row r="3" spans="1:20">
      <c r="A3" s="8" t="s">
        <v>62</v>
      </c>
      <c r="B3" s="8">
        <v>12000</v>
      </c>
      <c r="C3" t="str">
        <f t="shared" ref="C3:C8" si="0">IF(A3="Devuelta","DEVUELTA",IF(A3="Cancelada","NO EFECTIVA",IF(A3&lt;&gt;"Completada","PENDIENTE DE VALIDACION",IF(OR(B3="",B3="PENDIENTE"),"PENDIENTE",IF(B3&gt;=10000,"ALTA","BAJA")))))</f>
        <v>NO EFECTIVA</v>
      </c>
      <c r="M3" t="s">
        <v>1800</v>
      </c>
      <c r="N3" t="s">
        <v>1801</v>
      </c>
      <c r="O3">
        <f t="shared" ref="O3:O5" si="1">COUNTIF($M$2:$M$5,M3)</f>
        <v>2</v>
      </c>
      <c r="R3" t="str">
        <f t="shared" ref="R3:R5" si="2">IF(O3&gt;1,"REVISAR DUPLICADO","CODIGO UNICO")</f>
        <v>REVISAR DUPLICADO</v>
      </c>
    </row>
    <row r="4" spans="1:20">
      <c r="A4" s="8" t="s">
        <v>42</v>
      </c>
      <c r="B4" s="8" t="s">
        <v>1788</v>
      </c>
      <c r="C4" t="str">
        <f t="shared" si="0"/>
        <v>PENDIENTE</v>
      </c>
      <c r="M4" t="s">
        <v>1802</v>
      </c>
      <c r="N4" t="s">
        <v>1803</v>
      </c>
      <c r="O4">
        <f t="shared" si="1"/>
        <v>1</v>
      </c>
      <c r="R4" t="str">
        <f t="shared" si="2"/>
        <v>CODIGO UNICO</v>
      </c>
    </row>
    <row r="5" spans="1:20">
      <c r="A5" s="8" t="s">
        <v>42</v>
      </c>
      <c r="B5" s="8">
        <v>15000</v>
      </c>
      <c r="C5" t="str">
        <f t="shared" si="0"/>
        <v>ALTA</v>
      </c>
      <c r="M5" t="s">
        <v>1800</v>
      </c>
      <c r="N5" t="s">
        <v>1799</v>
      </c>
      <c r="O5">
        <f t="shared" si="1"/>
        <v>2</v>
      </c>
      <c r="P5" t="str">
        <f>IF(O3&gt;1,"REVISAR DUPLICADO","CODIGO UNICO")</f>
        <v>REVISAR DUPLICADO</v>
      </c>
      <c r="R5" t="str">
        <f t="shared" si="2"/>
        <v>REVISAR DUPLICADO</v>
      </c>
    </row>
    <row r="6" spans="1:20">
      <c r="A6" s="8" t="s">
        <v>42</v>
      </c>
      <c r="B6" s="8">
        <v>8000</v>
      </c>
      <c r="C6" t="str">
        <f t="shared" si="0"/>
        <v>BAJA</v>
      </c>
    </row>
    <row r="7" spans="1:20">
      <c r="A7" s="8" t="s">
        <v>1789</v>
      </c>
      <c r="B7" s="8">
        <v>18000</v>
      </c>
      <c r="C7" t="str">
        <f t="shared" si="0"/>
        <v>PENDIENTE DE VALIDACION</v>
      </c>
    </row>
    <row r="8" spans="1:20">
      <c r="A8" s="8" t="s">
        <v>42</v>
      </c>
      <c r="B8" s="8"/>
      <c r="C8" t="str">
        <f t="shared" si="0"/>
        <v>PENDIENTE</v>
      </c>
    </row>
    <row r="9" spans="1:20">
      <c r="A9" s="8"/>
      <c r="B9" s="8"/>
    </row>
    <row r="10" spans="1:20">
      <c r="A10" s="8"/>
      <c r="B10" s="8"/>
    </row>
    <row r="11" spans="1:20">
      <c r="A11" s="8"/>
      <c r="B11" s="8"/>
    </row>
    <row r="12" spans="1:20">
      <c r="A12" s="8"/>
      <c r="B12" s="8"/>
    </row>
    <row r="13" spans="1:20">
      <c r="A13" s="8"/>
      <c r="B13" s="8"/>
    </row>
    <row r="14" spans="1:20">
      <c r="A14" s="8"/>
      <c r="B1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30" customWidth="1"/>
    <col min="3" max="5" width="18" customWidth="1"/>
  </cols>
  <sheetData>
    <row r="1" spans="1:5" ht="28" customHeight="1">
      <c r="A1" s="2" t="s">
        <v>22</v>
      </c>
      <c r="B1" s="2" t="s">
        <v>1375</v>
      </c>
      <c r="C1" s="2" t="s">
        <v>1376</v>
      </c>
      <c r="D1" s="6" t="s">
        <v>1377</v>
      </c>
      <c r="E1" s="6" t="s">
        <v>1378</v>
      </c>
    </row>
    <row r="2" spans="1:5">
      <c r="A2" t="s">
        <v>223</v>
      </c>
      <c r="B2" t="s">
        <v>1379</v>
      </c>
      <c r="C2" t="s">
        <v>1380</v>
      </c>
      <c r="D2">
        <v>6160</v>
      </c>
      <c r="E2">
        <v>3298.19</v>
      </c>
    </row>
    <row r="3" spans="1:5">
      <c r="A3" t="s">
        <v>183</v>
      </c>
      <c r="B3" t="s">
        <v>1381</v>
      </c>
      <c r="C3" t="s">
        <v>1380</v>
      </c>
      <c r="D3">
        <v>5090</v>
      </c>
      <c r="E3">
        <v>4325.7299999999996</v>
      </c>
    </row>
    <row r="4" spans="1:5">
      <c r="A4" t="s">
        <v>164</v>
      </c>
      <c r="B4" t="s">
        <v>1382</v>
      </c>
      <c r="C4" t="s">
        <v>1380</v>
      </c>
      <c r="D4">
        <v>5910</v>
      </c>
      <c r="E4">
        <v>5050.04</v>
      </c>
    </row>
    <row r="5" spans="1:5">
      <c r="A5" t="s">
        <v>93</v>
      </c>
      <c r="B5" t="s">
        <v>1383</v>
      </c>
      <c r="C5" t="s">
        <v>1380</v>
      </c>
      <c r="D5">
        <v>14820</v>
      </c>
      <c r="E5">
        <v>8788.7900000000009</v>
      </c>
    </row>
    <row r="6" spans="1:5">
      <c r="A6" t="s">
        <v>163</v>
      </c>
      <c r="B6" t="s">
        <v>1384</v>
      </c>
      <c r="C6" t="s">
        <v>1380</v>
      </c>
      <c r="D6">
        <v>16200</v>
      </c>
      <c r="E6">
        <v>12141.44</v>
      </c>
    </row>
    <row r="7" spans="1:5">
      <c r="A7" t="s">
        <v>320</v>
      </c>
      <c r="B7" t="s">
        <v>1385</v>
      </c>
      <c r="C7" t="s">
        <v>1380</v>
      </c>
      <c r="D7">
        <v>4650</v>
      </c>
      <c r="E7">
        <v>3065.66</v>
      </c>
    </row>
    <row r="8" spans="1:5">
      <c r="A8" t="s">
        <v>89</v>
      </c>
      <c r="B8" t="s">
        <v>1386</v>
      </c>
      <c r="C8" t="s">
        <v>1380</v>
      </c>
      <c r="D8">
        <v>11780</v>
      </c>
      <c r="E8">
        <v>9118.07</v>
      </c>
    </row>
    <row r="9" spans="1:5">
      <c r="A9" t="s">
        <v>196</v>
      </c>
      <c r="B9" t="s">
        <v>1387</v>
      </c>
      <c r="C9" t="s">
        <v>1380</v>
      </c>
      <c r="D9">
        <v>740</v>
      </c>
      <c r="E9">
        <v>485.16</v>
      </c>
    </row>
    <row r="10" spans="1:5">
      <c r="A10" t="s">
        <v>101</v>
      </c>
      <c r="B10" t="s">
        <v>1388</v>
      </c>
      <c r="C10" t="s">
        <v>1380</v>
      </c>
      <c r="D10">
        <v>4770</v>
      </c>
      <c r="E10">
        <v>2865.24</v>
      </c>
    </row>
    <row r="11" spans="1:5">
      <c r="A11" t="s">
        <v>367</v>
      </c>
      <c r="B11" t="s">
        <v>1389</v>
      </c>
      <c r="C11" t="s">
        <v>1380</v>
      </c>
      <c r="D11">
        <v>9400</v>
      </c>
      <c r="E11">
        <v>5079.43</v>
      </c>
    </row>
    <row r="12" spans="1:5">
      <c r="A12" t="s">
        <v>353</v>
      </c>
      <c r="B12" t="s">
        <v>1390</v>
      </c>
      <c r="C12" t="s">
        <v>1380</v>
      </c>
      <c r="D12">
        <v>2090</v>
      </c>
      <c r="E12">
        <v>1479.71</v>
      </c>
    </row>
    <row r="13" spans="1:5">
      <c r="A13" t="s">
        <v>132</v>
      </c>
      <c r="B13" t="s">
        <v>1391</v>
      </c>
      <c r="C13" t="s">
        <v>1380</v>
      </c>
      <c r="D13">
        <v>17840</v>
      </c>
      <c r="E13">
        <v>11036.95</v>
      </c>
    </row>
    <row r="14" spans="1:5">
      <c r="A14" t="s">
        <v>44</v>
      </c>
      <c r="B14" t="s">
        <v>1392</v>
      </c>
      <c r="C14" t="s">
        <v>1380</v>
      </c>
      <c r="D14">
        <v>13650</v>
      </c>
      <c r="E14">
        <v>8980.68</v>
      </c>
    </row>
    <row r="15" spans="1:5">
      <c r="A15" t="s">
        <v>106</v>
      </c>
      <c r="B15" t="s">
        <v>1393</v>
      </c>
      <c r="C15" t="s">
        <v>1380</v>
      </c>
      <c r="D15">
        <v>9670</v>
      </c>
      <c r="E15">
        <v>8276.74</v>
      </c>
    </row>
    <row r="16" spans="1:5">
      <c r="A16" t="s">
        <v>273</v>
      </c>
      <c r="B16" t="s">
        <v>1394</v>
      </c>
      <c r="C16" t="s">
        <v>1380</v>
      </c>
      <c r="D16">
        <v>1370</v>
      </c>
      <c r="E16">
        <v>716.26</v>
      </c>
    </row>
    <row r="17" spans="1:5">
      <c r="A17" t="s">
        <v>326</v>
      </c>
      <c r="B17" t="s">
        <v>1395</v>
      </c>
      <c r="C17" t="s">
        <v>1380</v>
      </c>
      <c r="D17">
        <v>7400</v>
      </c>
      <c r="E17">
        <v>4044.16</v>
      </c>
    </row>
    <row r="18" spans="1:5">
      <c r="A18" t="s">
        <v>208</v>
      </c>
      <c r="B18" t="s">
        <v>1396</v>
      </c>
      <c r="C18" t="s">
        <v>1380</v>
      </c>
      <c r="D18">
        <v>10220</v>
      </c>
      <c r="E18">
        <v>5535.31</v>
      </c>
    </row>
    <row r="19" spans="1:5">
      <c r="A19" t="s">
        <v>185</v>
      </c>
      <c r="B19" t="s">
        <v>1397</v>
      </c>
      <c r="C19" t="s">
        <v>1380</v>
      </c>
      <c r="D19">
        <v>16610</v>
      </c>
      <c r="E19">
        <v>11904.09</v>
      </c>
    </row>
    <row r="20" spans="1:5">
      <c r="A20" t="s">
        <v>248</v>
      </c>
      <c r="B20" t="s">
        <v>1398</v>
      </c>
      <c r="C20" t="s">
        <v>1380</v>
      </c>
      <c r="D20">
        <v>12630</v>
      </c>
      <c r="E20">
        <v>6856.4</v>
      </c>
    </row>
    <row r="21" spans="1:5">
      <c r="A21" t="s">
        <v>403</v>
      </c>
      <c r="B21" t="s">
        <v>1399</v>
      </c>
      <c r="C21" t="s">
        <v>1380</v>
      </c>
      <c r="D21">
        <v>2820</v>
      </c>
      <c r="E21">
        <v>1801.83</v>
      </c>
    </row>
    <row r="22" spans="1:5">
      <c r="A22" t="s">
        <v>321</v>
      </c>
      <c r="B22" t="s">
        <v>1400</v>
      </c>
      <c r="C22" t="s">
        <v>1380</v>
      </c>
      <c r="D22">
        <v>1240</v>
      </c>
      <c r="E22">
        <v>679.37</v>
      </c>
    </row>
    <row r="23" spans="1:5">
      <c r="A23" t="s">
        <v>152</v>
      </c>
      <c r="B23" t="s">
        <v>1401</v>
      </c>
      <c r="C23" t="s">
        <v>1380</v>
      </c>
      <c r="D23">
        <v>2630</v>
      </c>
      <c r="E23">
        <v>1962.3</v>
      </c>
    </row>
    <row r="24" spans="1:5">
      <c r="A24" t="s">
        <v>397</v>
      </c>
      <c r="B24" t="s">
        <v>1402</v>
      </c>
      <c r="C24" t="s">
        <v>1380</v>
      </c>
      <c r="D24">
        <v>6190</v>
      </c>
      <c r="E24">
        <v>3640.56</v>
      </c>
    </row>
    <row r="25" spans="1:5">
      <c r="A25" t="s">
        <v>110</v>
      </c>
      <c r="B25" t="s">
        <v>1403</v>
      </c>
      <c r="C25" t="s">
        <v>1380</v>
      </c>
      <c r="D25">
        <v>5330</v>
      </c>
      <c r="E25">
        <v>4205.6899999999996</v>
      </c>
    </row>
    <row r="26" spans="1:5">
      <c r="A26" t="s">
        <v>258</v>
      </c>
      <c r="B26" t="s">
        <v>1404</v>
      </c>
      <c r="C26" t="s">
        <v>1380</v>
      </c>
      <c r="D26">
        <v>3660</v>
      </c>
      <c r="E26">
        <v>2008.57</v>
      </c>
    </row>
    <row r="27" spans="1:5">
      <c r="A27" t="s">
        <v>167</v>
      </c>
      <c r="B27" t="s">
        <v>1405</v>
      </c>
      <c r="C27" t="s">
        <v>1380</v>
      </c>
      <c r="D27">
        <v>16680</v>
      </c>
      <c r="E27">
        <v>8704.4</v>
      </c>
    </row>
    <row r="28" spans="1:5">
      <c r="A28" t="s">
        <v>151</v>
      </c>
      <c r="B28" t="s">
        <v>1406</v>
      </c>
      <c r="C28" t="s">
        <v>1380</v>
      </c>
      <c r="D28">
        <v>16110</v>
      </c>
      <c r="E28">
        <v>8963.23</v>
      </c>
    </row>
    <row r="29" spans="1:5">
      <c r="A29" t="s">
        <v>65</v>
      </c>
      <c r="B29" t="s">
        <v>1407</v>
      </c>
      <c r="C29" t="s">
        <v>1380</v>
      </c>
      <c r="D29">
        <v>11010</v>
      </c>
      <c r="E29">
        <v>7328.02</v>
      </c>
    </row>
    <row r="30" spans="1:5">
      <c r="A30" t="s">
        <v>155</v>
      </c>
      <c r="B30" t="s">
        <v>1408</v>
      </c>
      <c r="C30" t="s">
        <v>1380</v>
      </c>
      <c r="D30">
        <v>730</v>
      </c>
      <c r="E30">
        <v>397.1</v>
      </c>
    </row>
    <row r="31" spans="1:5">
      <c r="A31" t="s">
        <v>211</v>
      </c>
      <c r="B31" t="s">
        <v>1409</v>
      </c>
      <c r="C31" t="s">
        <v>1380</v>
      </c>
      <c r="D31">
        <v>17630</v>
      </c>
      <c r="E31">
        <v>13760.53</v>
      </c>
    </row>
    <row r="32" spans="1:5">
      <c r="A32" t="s">
        <v>203</v>
      </c>
      <c r="B32" t="s">
        <v>1410</v>
      </c>
      <c r="C32" t="s">
        <v>1380</v>
      </c>
      <c r="D32">
        <v>1880</v>
      </c>
      <c r="E32">
        <v>1252.8399999999999</v>
      </c>
    </row>
    <row r="33" spans="1:5">
      <c r="A33" t="s">
        <v>346</v>
      </c>
      <c r="B33" t="s">
        <v>1411</v>
      </c>
      <c r="C33" t="s">
        <v>1380</v>
      </c>
      <c r="D33">
        <v>2200</v>
      </c>
      <c r="E33">
        <v>1175.74</v>
      </c>
    </row>
    <row r="34" spans="1:5">
      <c r="A34" t="s">
        <v>144</v>
      </c>
      <c r="B34" t="s">
        <v>1412</v>
      </c>
      <c r="C34" t="s">
        <v>1413</v>
      </c>
      <c r="D34">
        <v>9020</v>
      </c>
      <c r="E34">
        <v>5125.3599999999997</v>
      </c>
    </row>
    <row r="35" spans="1:5">
      <c r="A35" t="s">
        <v>49</v>
      </c>
      <c r="B35" t="s">
        <v>1414</v>
      </c>
      <c r="C35" t="s">
        <v>1413</v>
      </c>
      <c r="D35">
        <v>3900</v>
      </c>
      <c r="E35">
        <v>2950.52</v>
      </c>
    </row>
    <row r="36" spans="1:5">
      <c r="A36" t="s">
        <v>143</v>
      </c>
      <c r="B36" t="s">
        <v>1415</v>
      </c>
      <c r="C36" t="s">
        <v>1413</v>
      </c>
      <c r="D36">
        <v>9120</v>
      </c>
      <c r="E36">
        <v>6815.42</v>
      </c>
    </row>
    <row r="37" spans="1:5">
      <c r="A37" t="s">
        <v>125</v>
      </c>
      <c r="B37" t="s">
        <v>1416</v>
      </c>
      <c r="C37" t="s">
        <v>1413</v>
      </c>
      <c r="D37">
        <v>1680</v>
      </c>
      <c r="E37">
        <v>1044.32</v>
      </c>
    </row>
    <row r="38" spans="1:5">
      <c r="A38" t="s">
        <v>256</v>
      </c>
      <c r="B38" t="s">
        <v>1417</v>
      </c>
      <c r="C38" t="s">
        <v>1413</v>
      </c>
      <c r="D38">
        <v>18170</v>
      </c>
      <c r="E38">
        <v>11666.57</v>
      </c>
    </row>
    <row r="39" spans="1:5">
      <c r="A39" t="s">
        <v>159</v>
      </c>
      <c r="B39" t="s">
        <v>1418</v>
      </c>
      <c r="C39" t="s">
        <v>1413</v>
      </c>
      <c r="D39">
        <v>11930</v>
      </c>
      <c r="E39">
        <v>9317.3700000000008</v>
      </c>
    </row>
    <row r="40" spans="1:5">
      <c r="A40" t="s">
        <v>133</v>
      </c>
      <c r="B40" t="s">
        <v>1419</v>
      </c>
      <c r="C40" t="s">
        <v>1413</v>
      </c>
      <c r="D40">
        <v>7610</v>
      </c>
      <c r="E40">
        <v>4061.34</v>
      </c>
    </row>
    <row r="41" spans="1:5">
      <c r="A41" t="s">
        <v>216</v>
      </c>
      <c r="B41" t="s">
        <v>1420</v>
      </c>
      <c r="C41" t="s">
        <v>1413</v>
      </c>
      <c r="D41">
        <v>15400</v>
      </c>
      <c r="E41">
        <v>12064.41</v>
      </c>
    </row>
    <row r="42" spans="1:5">
      <c r="A42" t="s">
        <v>76</v>
      </c>
      <c r="B42" t="s">
        <v>1421</v>
      </c>
      <c r="C42" t="s">
        <v>1413</v>
      </c>
      <c r="D42">
        <v>13260</v>
      </c>
      <c r="E42">
        <v>7748.44</v>
      </c>
    </row>
    <row r="43" spans="1:5">
      <c r="A43" t="s">
        <v>180</v>
      </c>
      <c r="B43" t="s">
        <v>1422</v>
      </c>
      <c r="C43" t="s">
        <v>1413</v>
      </c>
      <c r="D43">
        <v>6260</v>
      </c>
      <c r="E43">
        <v>3824.92</v>
      </c>
    </row>
    <row r="44" spans="1:5">
      <c r="A44" t="s">
        <v>148</v>
      </c>
      <c r="B44" t="s">
        <v>1423</v>
      </c>
      <c r="C44" t="s">
        <v>1413</v>
      </c>
      <c r="D44">
        <v>2940</v>
      </c>
      <c r="E44">
        <v>2459.34</v>
      </c>
    </row>
    <row r="45" spans="1:5">
      <c r="A45" t="s">
        <v>85</v>
      </c>
      <c r="B45" t="s">
        <v>1424</v>
      </c>
      <c r="C45" t="s">
        <v>1413</v>
      </c>
      <c r="D45">
        <v>510</v>
      </c>
      <c r="E45">
        <v>307.75</v>
      </c>
    </row>
    <row r="46" spans="1:5">
      <c r="A46" t="s">
        <v>55</v>
      </c>
      <c r="B46" t="s">
        <v>1425</v>
      </c>
      <c r="C46" t="s">
        <v>1413</v>
      </c>
      <c r="D46">
        <v>11570</v>
      </c>
      <c r="E46">
        <v>6407.85</v>
      </c>
    </row>
    <row r="47" spans="1:5">
      <c r="A47" t="s">
        <v>134</v>
      </c>
      <c r="B47" t="s">
        <v>1426</v>
      </c>
      <c r="C47" t="s">
        <v>1413</v>
      </c>
      <c r="D47">
        <v>260</v>
      </c>
      <c r="E47">
        <v>176.47</v>
      </c>
    </row>
    <row r="48" spans="1:5">
      <c r="A48" t="s">
        <v>70</v>
      </c>
      <c r="B48" t="s">
        <v>1427</v>
      </c>
      <c r="C48" t="s">
        <v>1413</v>
      </c>
      <c r="D48">
        <v>15230</v>
      </c>
      <c r="E48">
        <v>10571.25</v>
      </c>
    </row>
    <row r="49" spans="1:5">
      <c r="A49" t="s">
        <v>69</v>
      </c>
      <c r="B49" t="s">
        <v>1428</v>
      </c>
      <c r="C49" t="s">
        <v>1413</v>
      </c>
      <c r="D49">
        <v>12510</v>
      </c>
      <c r="E49">
        <v>10094.26</v>
      </c>
    </row>
    <row r="50" spans="1:5">
      <c r="A50" t="s">
        <v>175</v>
      </c>
      <c r="B50" t="s">
        <v>1429</v>
      </c>
      <c r="C50" t="s">
        <v>1413</v>
      </c>
      <c r="D50">
        <v>2650</v>
      </c>
      <c r="E50">
        <v>1857.39</v>
      </c>
    </row>
    <row r="51" spans="1:5">
      <c r="A51" t="s">
        <v>138</v>
      </c>
      <c r="B51" t="s">
        <v>1430</v>
      </c>
      <c r="C51" t="s">
        <v>1413</v>
      </c>
      <c r="D51">
        <v>6450</v>
      </c>
      <c r="E51">
        <v>4665.62</v>
      </c>
    </row>
    <row r="52" spans="1:5">
      <c r="A52" t="s">
        <v>68</v>
      </c>
      <c r="B52" t="s">
        <v>1431</v>
      </c>
      <c r="C52" t="s">
        <v>1413</v>
      </c>
      <c r="D52">
        <v>15000</v>
      </c>
      <c r="E52">
        <v>9243.35</v>
      </c>
    </row>
    <row r="53" spans="1:5">
      <c r="A53" t="s">
        <v>193</v>
      </c>
      <c r="B53" t="s">
        <v>1432</v>
      </c>
      <c r="C53" t="s">
        <v>1413</v>
      </c>
      <c r="D53">
        <v>10730</v>
      </c>
      <c r="E53">
        <v>5811.72</v>
      </c>
    </row>
    <row r="54" spans="1:5">
      <c r="A54" t="s">
        <v>160</v>
      </c>
      <c r="B54" t="s">
        <v>1433</v>
      </c>
      <c r="C54" t="s">
        <v>1413</v>
      </c>
      <c r="D54">
        <v>7370</v>
      </c>
      <c r="E54">
        <v>4082.15</v>
      </c>
    </row>
    <row r="55" spans="1:5">
      <c r="A55" t="s">
        <v>78</v>
      </c>
      <c r="B55" t="s">
        <v>1434</v>
      </c>
      <c r="C55" t="s">
        <v>1413</v>
      </c>
      <c r="D55">
        <v>9290</v>
      </c>
      <c r="E55">
        <v>5033.47</v>
      </c>
    </row>
    <row r="56" spans="1:5">
      <c r="A56" t="s">
        <v>233</v>
      </c>
      <c r="B56" t="s">
        <v>1435</v>
      </c>
      <c r="C56" t="s">
        <v>1413</v>
      </c>
      <c r="D56">
        <v>9990</v>
      </c>
      <c r="E56">
        <v>5932.12</v>
      </c>
    </row>
    <row r="57" spans="1:5">
      <c r="A57" t="s">
        <v>410</v>
      </c>
      <c r="B57" t="s">
        <v>1436</v>
      </c>
      <c r="C57" t="s">
        <v>1413</v>
      </c>
      <c r="D57">
        <v>7750</v>
      </c>
      <c r="E57">
        <v>5874.17</v>
      </c>
    </row>
    <row r="58" spans="1:5">
      <c r="A58" t="s">
        <v>537</v>
      </c>
      <c r="B58" t="s">
        <v>1437</v>
      </c>
      <c r="C58" t="s">
        <v>1438</v>
      </c>
      <c r="D58">
        <v>5340</v>
      </c>
      <c r="E58">
        <v>4556.2299999999996</v>
      </c>
    </row>
    <row r="59" spans="1:5">
      <c r="A59" t="s">
        <v>61</v>
      </c>
      <c r="B59" t="s">
        <v>1439</v>
      </c>
      <c r="C59" t="s">
        <v>1438</v>
      </c>
      <c r="D59">
        <v>4480</v>
      </c>
      <c r="E59">
        <v>2554.06</v>
      </c>
    </row>
    <row r="60" spans="1:5">
      <c r="A60" t="s">
        <v>217</v>
      </c>
      <c r="B60" t="s">
        <v>1440</v>
      </c>
      <c r="C60" t="s">
        <v>1438</v>
      </c>
      <c r="D60">
        <v>16530</v>
      </c>
      <c r="E60">
        <v>14161.63</v>
      </c>
    </row>
    <row r="61" spans="1:5">
      <c r="A61" t="s">
        <v>119</v>
      </c>
      <c r="B61" t="s">
        <v>1441</v>
      </c>
      <c r="C61" t="s">
        <v>1438</v>
      </c>
      <c r="D61">
        <v>8640</v>
      </c>
      <c r="E61">
        <v>6981.94</v>
      </c>
    </row>
    <row r="62" spans="1:5">
      <c r="A62" t="s">
        <v>378</v>
      </c>
      <c r="B62" t="s">
        <v>1442</v>
      </c>
      <c r="C62" t="s">
        <v>1438</v>
      </c>
      <c r="D62">
        <v>3370</v>
      </c>
      <c r="E62">
        <v>2864.64</v>
      </c>
    </row>
    <row r="63" spans="1:5">
      <c r="A63" t="s">
        <v>277</v>
      </c>
      <c r="B63" t="s">
        <v>1443</v>
      </c>
      <c r="C63" t="s">
        <v>1438</v>
      </c>
      <c r="D63">
        <v>6460</v>
      </c>
      <c r="E63">
        <v>4858.08</v>
      </c>
    </row>
    <row r="64" spans="1:5">
      <c r="A64" t="s">
        <v>90</v>
      </c>
      <c r="B64" t="s">
        <v>1444</v>
      </c>
      <c r="C64" t="s">
        <v>1438</v>
      </c>
      <c r="D64">
        <v>10590</v>
      </c>
      <c r="E64">
        <v>8174.87</v>
      </c>
    </row>
    <row r="65" spans="1:5">
      <c r="A65" t="s">
        <v>156</v>
      </c>
      <c r="B65" t="s">
        <v>1445</v>
      </c>
      <c r="C65" t="s">
        <v>1438</v>
      </c>
      <c r="D65">
        <v>18440</v>
      </c>
      <c r="E65">
        <v>13981.13</v>
      </c>
    </row>
    <row r="66" spans="1:5">
      <c r="A66" t="s">
        <v>114</v>
      </c>
      <c r="B66" t="s">
        <v>1446</v>
      </c>
      <c r="C66" t="s">
        <v>1438</v>
      </c>
      <c r="D66">
        <v>14040</v>
      </c>
      <c r="E66">
        <v>8239.48</v>
      </c>
    </row>
    <row r="67" spans="1:5">
      <c r="A67" t="s">
        <v>123</v>
      </c>
      <c r="B67" t="s">
        <v>1447</v>
      </c>
      <c r="C67" t="s">
        <v>1438</v>
      </c>
      <c r="D67">
        <v>17260</v>
      </c>
      <c r="E67">
        <v>12679.41</v>
      </c>
    </row>
    <row r="68" spans="1:5">
      <c r="A68" t="s">
        <v>113</v>
      </c>
      <c r="B68" t="s">
        <v>1448</v>
      </c>
      <c r="C68" t="s">
        <v>1438</v>
      </c>
      <c r="D68">
        <v>2980</v>
      </c>
      <c r="E68">
        <v>2196.34</v>
      </c>
    </row>
    <row r="69" spans="1:5">
      <c r="A69" t="s">
        <v>94</v>
      </c>
      <c r="B69" t="s">
        <v>1449</v>
      </c>
      <c r="C69" t="s">
        <v>1438</v>
      </c>
      <c r="D69">
        <v>7540</v>
      </c>
      <c r="E69">
        <v>4538.0600000000004</v>
      </c>
    </row>
    <row r="70" spans="1:5">
      <c r="A70" t="s">
        <v>59</v>
      </c>
      <c r="B70" t="s">
        <v>1450</v>
      </c>
      <c r="C70" t="s">
        <v>1438</v>
      </c>
      <c r="D70">
        <v>13640</v>
      </c>
      <c r="E70">
        <v>10170.290000000001</v>
      </c>
    </row>
    <row r="71" spans="1:5">
      <c r="A71" t="s">
        <v>293</v>
      </c>
      <c r="B71" t="s">
        <v>1451</v>
      </c>
      <c r="C71" t="s">
        <v>1438</v>
      </c>
      <c r="D71">
        <v>1120</v>
      </c>
      <c r="E71">
        <v>936.52</v>
      </c>
    </row>
    <row r="72" spans="1:5">
      <c r="A72" t="s">
        <v>262</v>
      </c>
      <c r="B72" t="s">
        <v>1452</v>
      </c>
      <c r="C72" t="s">
        <v>1438</v>
      </c>
      <c r="D72">
        <v>13300</v>
      </c>
      <c r="E72">
        <v>8227.4599999999991</v>
      </c>
    </row>
    <row r="73" spans="1:5">
      <c r="A73" t="s">
        <v>115</v>
      </c>
      <c r="B73" t="s">
        <v>1453</v>
      </c>
      <c r="C73" t="s">
        <v>1438</v>
      </c>
      <c r="D73">
        <v>1300</v>
      </c>
      <c r="E73">
        <v>705.87</v>
      </c>
    </row>
    <row r="74" spans="1:5">
      <c r="A74" t="s">
        <v>236</v>
      </c>
      <c r="B74" t="s">
        <v>1454</v>
      </c>
      <c r="C74" t="s">
        <v>1455</v>
      </c>
      <c r="D74">
        <v>9420</v>
      </c>
      <c r="E74">
        <v>8061.7</v>
      </c>
    </row>
    <row r="75" spans="1:5">
      <c r="A75" t="s">
        <v>245</v>
      </c>
      <c r="B75" t="s">
        <v>1456</v>
      </c>
      <c r="C75" t="s">
        <v>1455</v>
      </c>
      <c r="D75">
        <v>17500</v>
      </c>
      <c r="E75">
        <v>10507.24</v>
      </c>
    </row>
    <row r="76" spans="1:5">
      <c r="A76" t="s">
        <v>81</v>
      </c>
      <c r="B76" t="s">
        <v>1457</v>
      </c>
      <c r="C76" t="s">
        <v>1455</v>
      </c>
      <c r="D76">
        <v>16260</v>
      </c>
      <c r="E76">
        <v>11614.87</v>
      </c>
    </row>
    <row r="77" spans="1:5">
      <c r="A77" t="s">
        <v>46</v>
      </c>
      <c r="B77" t="s">
        <v>1458</v>
      </c>
      <c r="C77" t="s">
        <v>1455</v>
      </c>
      <c r="D77">
        <v>3900</v>
      </c>
      <c r="E77">
        <v>2957.6</v>
      </c>
    </row>
    <row r="78" spans="1:5">
      <c r="A78" t="s">
        <v>38</v>
      </c>
      <c r="B78" t="s">
        <v>1459</v>
      </c>
      <c r="C78" t="s">
        <v>1455</v>
      </c>
      <c r="D78">
        <v>5650</v>
      </c>
      <c r="E78">
        <v>3832.69</v>
      </c>
    </row>
    <row r="79" spans="1:5">
      <c r="A79" t="s">
        <v>128</v>
      </c>
      <c r="B79" t="s">
        <v>1460</v>
      </c>
      <c r="C79" t="s">
        <v>1455</v>
      </c>
      <c r="D79">
        <v>1540</v>
      </c>
      <c r="E79">
        <v>900.08</v>
      </c>
    </row>
    <row r="80" spans="1:5">
      <c r="A80" t="s">
        <v>212</v>
      </c>
      <c r="B80" t="s">
        <v>1461</v>
      </c>
      <c r="C80" t="s">
        <v>1455</v>
      </c>
      <c r="D80">
        <v>3580</v>
      </c>
      <c r="E80">
        <v>2157.5500000000002</v>
      </c>
    </row>
    <row r="81" spans="1:5">
      <c r="A81" t="s">
        <v>120</v>
      </c>
      <c r="B81" t="s">
        <v>1462</v>
      </c>
      <c r="C81" t="s">
        <v>1455</v>
      </c>
      <c r="D81">
        <v>12630</v>
      </c>
      <c r="E81">
        <v>7975.26</v>
      </c>
    </row>
    <row r="82" spans="1:5">
      <c r="A82" t="s">
        <v>227</v>
      </c>
      <c r="B82" t="s">
        <v>1463</v>
      </c>
      <c r="C82" t="s">
        <v>1455</v>
      </c>
      <c r="D82">
        <v>8100</v>
      </c>
      <c r="E82">
        <v>6255.13</v>
      </c>
    </row>
    <row r="83" spans="1:5">
      <c r="A83" t="s">
        <v>272</v>
      </c>
      <c r="B83" t="s">
        <v>1464</v>
      </c>
      <c r="C83" t="s">
        <v>1455</v>
      </c>
      <c r="D83">
        <v>650</v>
      </c>
      <c r="E83">
        <v>443</v>
      </c>
    </row>
    <row r="84" spans="1:5">
      <c r="A84" t="s">
        <v>83</v>
      </c>
      <c r="B84" t="s">
        <v>1465</v>
      </c>
      <c r="C84" t="s">
        <v>1455</v>
      </c>
      <c r="D84">
        <v>15680</v>
      </c>
      <c r="E84">
        <v>12723.77</v>
      </c>
    </row>
    <row r="85" spans="1:5">
      <c r="A85" t="s">
        <v>271</v>
      </c>
      <c r="B85" t="s">
        <v>1466</v>
      </c>
      <c r="C85" t="s">
        <v>1455</v>
      </c>
      <c r="D85">
        <v>1050</v>
      </c>
      <c r="E85">
        <v>759.03</v>
      </c>
    </row>
    <row r="86" spans="1:5">
      <c r="A86" t="s">
        <v>97</v>
      </c>
      <c r="B86" t="s">
        <v>1467</v>
      </c>
      <c r="C86" t="s">
        <v>1468</v>
      </c>
      <c r="D86">
        <v>14820</v>
      </c>
      <c r="E86">
        <v>11424.77</v>
      </c>
    </row>
    <row r="87" spans="1:5">
      <c r="A87" t="s">
        <v>86</v>
      </c>
      <c r="B87" t="s">
        <v>1469</v>
      </c>
      <c r="C87" t="s">
        <v>1468</v>
      </c>
      <c r="D87">
        <v>14910</v>
      </c>
      <c r="E87">
        <v>11166.03</v>
      </c>
    </row>
    <row r="88" spans="1:5">
      <c r="A88" t="s">
        <v>109</v>
      </c>
      <c r="B88" t="s">
        <v>1470</v>
      </c>
      <c r="C88" t="s">
        <v>1468</v>
      </c>
      <c r="D88">
        <v>14490</v>
      </c>
      <c r="E88">
        <v>9880.77</v>
      </c>
    </row>
    <row r="89" spans="1:5">
      <c r="A89" t="s">
        <v>282</v>
      </c>
      <c r="B89" t="s">
        <v>1471</v>
      </c>
      <c r="C89" t="s">
        <v>1468</v>
      </c>
      <c r="D89">
        <v>4070</v>
      </c>
      <c r="E89">
        <v>3399.5</v>
      </c>
    </row>
    <row r="90" spans="1:5">
      <c r="A90" t="s">
        <v>172</v>
      </c>
      <c r="B90" t="s">
        <v>1472</v>
      </c>
      <c r="C90" t="s">
        <v>1468</v>
      </c>
      <c r="D90">
        <v>15990</v>
      </c>
      <c r="E90">
        <v>10830.17</v>
      </c>
    </row>
    <row r="91" spans="1:5">
      <c r="A91" t="s">
        <v>218</v>
      </c>
      <c r="B91" t="s">
        <v>1473</v>
      </c>
      <c r="C91" t="s">
        <v>1468</v>
      </c>
      <c r="D91">
        <v>4470</v>
      </c>
      <c r="E91">
        <v>2833.97</v>
      </c>
    </row>
    <row r="92" spans="1:5">
      <c r="A92" t="s">
        <v>206</v>
      </c>
      <c r="B92" t="s">
        <v>1474</v>
      </c>
      <c r="C92" t="s">
        <v>1468</v>
      </c>
      <c r="D92">
        <v>5390</v>
      </c>
      <c r="E92">
        <v>4008.77</v>
      </c>
    </row>
    <row r="93" spans="1:5">
      <c r="A93" t="s">
        <v>226</v>
      </c>
      <c r="B93" t="s">
        <v>1475</v>
      </c>
      <c r="C93" t="s">
        <v>1468</v>
      </c>
      <c r="D93">
        <v>17540</v>
      </c>
      <c r="E93">
        <v>9976.68</v>
      </c>
    </row>
    <row r="94" spans="1:5">
      <c r="A94" t="s">
        <v>103</v>
      </c>
      <c r="B94" t="s">
        <v>1476</v>
      </c>
      <c r="C94" t="s">
        <v>1468</v>
      </c>
      <c r="D94">
        <v>12540</v>
      </c>
      <c r="E94">
        <v>7549.71</v>
      </c>
    </row>
    <row r="95" spans="1:5">
      <c r="A95" t="s">
        <v>253</v>
      </c>
      <c r="B95" t="s">
        <v>1477</v>
      </c>
      <c r="C95" t="s">
        <v>1468</v>
      </c>
      <c r="D95">
        <v>2910</v>
      </c>
      <c r="E95">
        <v>2486.1799999999998</v>
      </c>
    </row>
    <row r="96" spans="1:5">
      <c r="A96" t="s">
        <v>84</v>
      </c>
      <c r="B96" t="s">
        <v>1478</v>
      </c>
      <c r="C96" t="s">
        <v>1468</v>
      </c>
      <c r="D96">
        <v>14930</v>
      </c>
      <c r="E96">
        <v>8576.0499999999993</v>
      </c>
    </row>
    <row r="97" spans="1:5">
      <c r="A97" t="s">
        <v>335</v>
      </c>
      <c r="B97" t="s">
        <v>1479</v>
      </c>
      <c r="C97" t="s">
        <v>1468</v>
      </c>
      <c r="D97">
        <v>7070</v>
      </c>
      <c r="E97">
        <v>5587.31</v>
      </c>
    </row>
    <row r="98" spans="1:5">
      <c r="A98" t="s">
        <v>140</v>
      </c>
      <c r="B98" t="s">
        <v>1480</v>
      </c>
      <c r="C98" t="s">
        <v>1468</v>
      </c>
      <c r="D98">
        <v>2960</v>
      </c>
      <c r="E98">
        <v>2427.63</v>
      </c>
    </row>
    <row r="99" spans="1:5">
      <c r="A99" t="s">
        <v>135</v>
      </c>
      <c r="B99" t="s">
        <v>1481</v>
      </c>
      <c r="C99" t="s">
        <v>1468</v>
      </c>
      <c r="D99">
        <v>1900</v>
      </c>
      <c r="E99">
        <v>1529.93</v>
      </c>
    </row>
    <row r="100" spans="1:5">
      <c r="A100" t="s">
        <v>139</v>
      </c>
      <c r="B100" t="s">
        <v>1482</v>
      </c>
      <c r="C100" t="s">
        <v>1468</v>
      </c>
      <c r="D100">
        <v>9550</v>
      </c>
      <c r="E100">
        <v>8002.16</v>
      </c>
    </row>
    <row r="101" spans="1:5">
      <c r="A101" t="s">
        <v>98</v>
      </c>
      <c r="B101" t="s">
        <v>1483</v>
      </c>
      <c r="C101" t="s">
        <v>1468</v>
      </c>
      <c r="D101">
        <v>16630</v>
      </c>
      <c r="E101">
        <v>9881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20" customWidth="1"/>
    <col min="3" max="4" width="18" customWidth="1"/>
  </cols>
  <sheetData>
    <row r="1" spans="1:4" ht="28" customHeight="1">
      <c r="A1" s="2" t="s">
        <v>21</v>
      </c>
      <c r="B1" s="2" t="s">
        <v>1484</v>
      </c>
      <c r="C1" s="2" t="s">
        <v>1485</v>
      </c>
      <c r="D1" s="2" t="s">
        <v>1486</v>
      </c>
    </row>
    <row r="2" spans="1:4">
      <c r="A2" t="s">
        <v>514</v>
      </c>
      <c r="B2" t="s">
        <v>1487</v>
      </c>
      <c r="C2" t="s">
        <v>1488</v>
      </c>
      <c r="D2" t="s">
        <v>77</v>
      </c>
    </row>
    <row r="3" spans="1:4">
      <c r="A3" t="s">
        <v>295</v>
      </c>
      <c r="B3" t="s">
        <v>1489</v>
      </c>
      <c r="C3" t="s">
        <v>1490</v>
      </c>
      <c r="D3" t="s">
        <v>66</v>
      </c>
    </row>
    <row r="4" spans="1:4">
      <c r="A4" t="s">
        <v>373</v>
      </c>
      <c r="B4" t="s">
        <v>1491</v>
      </c>
      <c r="C4" t="s">
        <v>1490</v>
      </c>
      <c r="D4" t="s">
        <v>56</v>
      </c>
    </row>
    <row r="5" spans="1:4">
      <c r="A5" t="s">
        <v>169</v>
      </c>
      <c r="B5" t="s">
        <v>1492</v>
      </c>
      <c r="C5" t="s">
        <v>1493</v>
      </c>
      <c r="D5" t="s">
        <v>39</v>
      </c>
    </row>
    <row r="6" spans="1:4">
      <c r="A6" t="s">
        <v>238</v>
      </c>
      <c r="B6" t="s">
        <v>1494</v>
      </c>
      <c r="C6" t="s">
        <v>1493</v>
      </c>
      <c r="D6" t="s">
        <v>66</v>
      </c>
    </row>
    <row r="7" spans="1:4">
      <c r="A7" t="s">
        <v>1310</v>
      </c>
      <c r="B7" t="s">
        <v>1495</v>
      </c>
      <c r="C7" t="s">
        <v>1493</v>
      </c>
      <c r="D7" t="s">
        <v>66</v>
      </c>
    </row>
    <row r="8" spans="1:4">
      <c r="A8" t="s">
        <v>266</v>
      </c>
      <c r="B8" t="s">
        <v>1496</v>
      </c>
      <c r="C8" t="s">
        <v>1493</v>
      </c>
      <c r="D8" t="s">
        <v>56</v>
      </c>
    </row>
    <row r="9" spans="1:4">
      <c r="A9" t="s">
        <v>289</v>
      </c>
      <c r="B9" t="s">
        <v>1497</v>
      </c>
      <c r="C9" t="s">
        <v>1488</v>
      </c>
      <c r="D9" t="s">
        <v>77</v>
      </c>
    </row>
    <row r="10" spans="1:4">
      <c r="A10" t="s">
        <v>492</v>
      </c>
      <c r="B10" t="s">
        <v>1498</v>
      </c>
      <c r="C10" t="s">
        <v>1488</v>
      </c>
      <c r="D10" t="s">
        <v>56</v>
      </c>
    </row>
    <row r="11" spans="1:4">
      <c r="A11" t="s">
        <v>122</v>
      </c>
      <c r="B11" t="s">
        <v>1499</v>
      </c>
      <c r="C11" t="s">
        <v>1493</v>
      </c>
      <c r="D11" t="s">
        <v>56</v>
      </c>
    </row>
    <row r="12" spans="1:4">
      <c r="A12" t="s">
        <v>75</v>
      </c>
      <c r="B12" t="s">
        <v>1500</v>
      </c>
      <c r="C12" t="s">
        <v>1490</v>
      </c>
      <c r="D12" t="s">
        <v>56</v>
      </c>
    </row>
    <row r="13" spans="1:4">
      <c r="A13" t="s">
        <v>396</v>
      </c>
      <c r="B13" t="s">
        <v>1501</v>
      </c>
      <c r="C13" t="s">
        <v>1490</v>
      </c>
      <c r="D13" t="s">
        <v>39</v>
      </c>
    </row>
    <row r="14" spans="1:4">
      <c r="A14" t="s">
        <v>720</v>
      </c>
      <c r="B14" t="s">
        <v>1502</v>
      </c>
      <c r="C14" t="s">
        <v>1488</v>
      </c>
      <c r="D14" t="s">
        <v>39</v>
      </c>
    </row>
    <row r="15" spans="1:4">
      <c r="A15" t="s">
        <v>574</v>
      </c>
      <c r="B15" t="s">
        <v>1503</v>
      </c>
      <c r="C15" t="s">
        <v>1493</v>
      </c>
      <c r="D15" t="s">
        <v>56</v>
      </c>
    </row>
    <row r="16" spans="1:4">
      <c r="A16" t="s">
        <v>1120</v>
      </c>
      <c r="B16" t="s">
        <v>1504</v>
      </c>
      <c r="C16" t="s">
        <v>1490</v>
      </c>
      <c r="D16" t="s">
        <v>39</v>
      </c>
    </row>
    <row r="17" spans="1:4">
      <c r="A17" t="s">
        <v>177</v>
      </c>
      <c r="B17" t="s">
        <v>1505</v>
      </c>
      <c r="C17" t="s">
        <v>1490</v>
      </c>
      <c r="D17" t="s">
        <v>39</v>
      </c>
    </row>
    <row r="18" spans="1:4">
      <c r="A18" t="s">
        <v>388</v>
      </c>
      <c r="B18" t="s">
        <v>1506</v>
      </c>
      <c r="C18" t="s">
        <v>1490</v>
      </c>
      <c r="D18" t="s">
        <v>39</v>
      </c>
    </row>
    <row r="19" spans="1:4">
      <c r="A19" t="s">
        <v>544</v>
      </c>
      <c r="B19" t="s">
        <v>1507</v>
      </c>
      <c r="C19" t="s">
        <v>1493</v>
      </c>
      <c r="D19" t="s">
        <v>56</v>
      </c>
    </row>
    <row r="20" spans="1:4">
      <c r="A20" t="s">
        <v>348</v>
      </c>
      <c r="B20" t="s">
        <v>1508</v>
      </c>
      <c r="C20" t="s">
        <v>1490</v>
      </c>
      <c r="D20" t="s">
        <v>56</v>
      </c>
    </row>
    <row r="21" spans="1:4">
      <c r="A21" t="s">
        <v>276</v>
      </c>
      <c r="B21" t="s">
        <v>1509</v>
      </c>
      <c r="C21" t="s">
        <v>1493</v>
      </c>
      <c r="D21" t="s">
        <v>77</v>
      </c>
    </row>
    <row r="22" spans="1:4">
      <c r="A22" t="s">
        <v>264</v>
      </c>
      <c r="B22" t="s">
        <v>1510</v>
      </c>
      <c r="C22" t="s">
        <v>1493</v>
      </c>
      <c r="D22" t="s">
        <v>56</v>
      </c>
    </row>
    <row r="23" spans="1:4">
      <c r="A23" t="s">
        <v>977</v>
      </c>
      <c r="B23" t="s">
        <v>1511</v>
      </c>
      <c r="C23" t="s">
        <v>1493</v>
      </c>
      <c r="D23" t="s">
        <v>39</v>
      </c>
    </row>
    <row r="24" spans="1:4">
      <c r="A24" t="s">
        <v>195</v>
      </c>
      <c r="B24" t="s">
        <v>1512</v>
      </c>
      <c r="C24" t="s">
        <v>1493</v>
      </c>
      <c r="D24" t="s">
        <v>77</v>
      </c>
    </row>
    <row r="25" spans="1:4">
      <c r="A25" t="s">
        <v>369</v>
      </c>
      <c r="B25" t="s">
        <v>1513</v>
      </c>
      <c r="C25" t="s">
        <v>1490</v>
      </c>
      <c r="D25" t="s">
        <v>77</v>
      </c>
    </row>
    <row r="26" spans="1:4">
      <c r="A26" t="s">
        <v>187</v>
      </c>
      <c r="B26" t="s">
        <v>1514</v>
      </c>
      <c r="C26" t="s">
        <v>1488</v>
      </c>
      <c r="D26" t="s">
        <v>39</v>
      </c>
    </row>
    <row r="27" spans="1:4">
      <c r="A27" t="s">
        <v>244</v>
      </c>
      <c r="B27" t="s">
        <v>1515</v>
      </c>
      <c r="C27" t="s">
        <v>1493</v>
      </c>
      <c r="D27" t="s">
        <v>39</v>
      </c>
    </row>
    <row r="28" spans="1:4">
      <c r="A28" t="s">
        <v>386</v>
      </c>
      <c r="B28" t="s">
        <v>1516</v>
      </c>
      <c r="C28" t="s">
        <v>1493</v>
      </c>
      <c r="D28" t="s">
        <v>66</v>
      </c>
    </row>
    <row r="29" spans="1:4">
      <c r="A29" t="s">
        <v>1517</v>
      </c>
      <c r="B29" t="s">
        <v>1518</v>
      </c>
      <c r="C29" t="s">
        <v>1490</v>
      </c>
      <c r="D29" t="s">
        <v>77</v>
      </c>
    </row>
    <row r="30" spans="1:4">
      <c r="A30" t="s">
        <v>815</v>
      </c>
      <c r="B30" t="s">
        <v>1519</v>
      </c>
      <c r="C30" t="s">
        <v>1488</v>
      </c>
      <c r="D30" t="s">
        <v>66</v>
      </c>
    </row>
    <row r="31" spans="1:4">
      <c r="A31" t="s">
        <v>1171</v>
      </c>
      <c r="B31" t="s">
        <v>1520</v>
      </c>
      <c r="C31" t="s">
        <v>1493</v>
      </c>
      <c r="D31" t="s">
        <v>66</v>
      </c>
    </row>
    <row r="32" spans="1:4">
      <c r="A32" t="s">
        <v>676</v>
      </c>
      <c r="B32" t="s">
        <v>1521</v>
      </c>
      <c r="C32" t="s">
        <v>1488</v>
      </c>
      <c r="D32" t="s">
        <v>56</v>
      </c>
    </row>
    <row r="33" spans="1:4">
      <c r="A33" t="s">
        <v>350</v>
      </c>
      <c r="B33" t="s">
        <v>1522</v>
      </c>
      <c r="C33" t="s">
        <v>1488</v>
      </c>
      <c r="D33" t="s">
        <v>66</v>
      </c>
    </row>
    <row r="34" spans="1:4">
      <c r="A34" t="s">
        <v>268</v>
      </c>
      <c r="B34" t="s">
        <v>1523</v>
      </c>
      <c r="C34" t="s">
        <v>1488</v>
      </c>
      <c r="D34" t="s">
        <v>77</v>
      </c>
    </row>
    <row r="35" spans="1:4">
      <c r="A35" t="s">
        <v>584</v>
      </c>
      <c r="B35" t="s">
        <v>1524</v>
      </c>
      <c r="C35" t="s">
        <v>1493</v>
      </c>
      <c r="D35" t="s">
        <v>56</v>
      </c>
    </row>
    <row r="36" spans="1:4">
      <c r="A36" t="s">
        <v>384</v>
      </c>
      <c r="B36" t="s">
        <v>1525</v>
      </c>
      <c r="C36" t="s">
        <v>1490</v>
      </c>
      <c r="D36" t="s">
        <v>39</v>
      </c>
    </row>
    <row r="37" spans="1:4">
      <c r="A37" t="s">
        <v>564</v>
      </c>
      <c r="B37" t="s">
        <v>1526</v>
      </c>
      <c r="C37" t="s">
        <v>1488</v>
      </c>
      <c r="D37" t="s">
        <v>77</v>
      </c>
    </row>
    <row r="38" spans="1:4">
      <c r="A38" t="s">
        <v>137</v>
      </c>
      <c r="B38" t="s">
        <v>1527</v>
      </c>
      <c r="C38" t="s">
        <v>1488</v>
      </c>
      <c r="D38" t="s">
        <v>56</v>
      </c>
    </row>
    <row r="39" spans="1:4">
      <c r="A39" t="s">
        <v>890</v>
      </c>
      <c r="B39" t="s">
        <v>1528</v>
      </c>
      <c r="C39" t="s">
        <v>1493</v>
      </c>
      <c r="D39" t="s">
        <v>56</v>
      </c>
    </row>
    <row r="40" spans="1:4">
      <c r="A40" t="s">
        <v>622</v>
      </c>
      <c r="B40" t="s">
        <v>1529</v>
      </c>
      <c r="C40" t="s">
        <v>1488</v>
      </c>
      <c r="D40" t="s">
        <v>77</v>
      </c>
    </row>
    <row r="41" spans="1:4">
      <c r="A41" t="s">
        <v>366</v>
      </c>
      <c r="B41" t="s">
        <v>1530</v>
      </c>
      <c r="C41" t="s">
        <v>1493</v>
      </c>
      <c r="D41" t="s">
        <v>77</v>
      </c>
    </row>
    <row r="42" spans="1:4">
      <c r="A42" t="s">
        <v>88</v>
      </c>
      <c r="B42" t="s">
        <v>1531</v>
      </c>
      <c r="C42" t="s">
        <v>1488</v>
      </c>
      <c r="D42" t="s">
        <v>66</v>
      </c>
    </row>
    <row r="43" spans="1:4">
      <c r="A43" t="s">
        <v>688</v>
      </c>
      <c r="B43" t="s">
        <v>1532</v>
      </c>
      <c r="C43" t="s">
        <v>1488</v>
      </c>
      <c r="D43" t="s">
        <v>39</v>
      </c>
    </row>
    <row r="44" spans="1:4">
      <c r="A44" t="s">
        <v>96</v>
      </c>
      <c r="B44" t="s">
        <v>1533</v>
      </c>
      <c r="C44" t="s">
        <v>1493</v>
      </c>
      <c r="D44" t="s">
        <v>56</v>
      </c>
    </row>
    <row r="45" spans="1:4">
      <c r="A45" t="s">
        <v>339</v>
      </c>
      <c r="B45" t="s">
        <v>1534</v>
      </c>
      <c r="C45" t="s">
        <v>1488</v>
      </c>
      <c r="D45" t="s">
        <v>56</v>
      </c>
    </row>
    <row r="46" spans="1:4">
      <c r="A46" t="s">
        <v>527</v>
      </c>
      <c r="B46" t="s">
        <v>1535</v>
      </c>
      <c r="C46" t="s">
        <v>1490</v>
      </c>
      <c r="D46" t="s">
        <v>66</v>
      </c>
    </row>
    <row r="47" spans="1:4">
      <c r="A47" t="s">
        <v>438</v>
      </c>
      <c r="B47" t="s">
        <v>1536</v>
      </c>
      <c r="C47" t="s">
        <v>1488</v>
      </c>
      <c r="D47" t="s">
        <v>56</v>
      </c>
    </row>
    <row r="48" spans="1:4">
      <c r="A48" t="s">
        <v>639</v>
      </c>
      <c r="B48" t="s">
        <v>1537</v>
      </c>
      <c r="C48" t="s">
        <v>1493</v>
      </c>
      <c r="D48" t="s">
        <v>66</v>
      </c>
    </row>
    <row r="49" spans="1:4">
      <c r="A49" t="s">
        <v>182</v>
      </c>
      <c r="B49" t="s">
        <v>1538</v>
      </c>
      <c r="C49" t="s">
        <v>1493</v>
      </c>
      <c r="D49" t="s">
        <v>39</v>
      </c>
    </row>
    <row r="50" spans="1:4">
      <c r="A50" t="s">
        <v>329</v>
      </c>
      <c r="B50" t="s">
        <v>1539</v>
      </c>
      <c r="C50" t="s">
        <v>1488</v>
      </c>
      <c r="D50" t="s">
        <v>39</v>
      </c>
    </row>
    <row r="51" spans="1:4">
      <c r="A51" t="s">
        <v>474</v>
      </c>
      <c r="B51" t="s">
        <v>1540</v>
      </c>
      <c r="C51" t="s">
        <v>1488</v>
      </c>
      <c r="D51" t="s">
        <v>77</v>
      </c>
    </row>
    <row r="52" spans="1:4">
      <c r="A52" t="s">
        <v>202</v>
      </c>
      <c r="B52" t="s">
        <v>1541</v>
      </c>
      <c r="C52" t="s">
        <v>1488</v>
      </c>
      <c r="D52" t="s">
        <v>56</v>
      </c>
    </row>
    <row r="53" spans="1:4">
      <c r="A53" t="s">
        <v>1144</v>
      </c>
      <c r="B53" t="s">
        <v>1542</v>
      </c>
      <c r="C53" t="s">
        <v>1490</v>
      </c>
      <c r="D53" t="s">
        <v>56</v>
      </c>
    </row>
    <row r="54" spans="1:4">
      <c r="A54" t="s">
        <v>460</v>
      </c>
      <c r="B54" t="s">
        <v>1543</v>
      </c>
      <c r="C54" t="s">
        <v>1488</v>
      </c>
      <c r="D54" t="s">
        <v>56</v>
      </c>
    </row>
    <row r="55" spans="1:4">
      <c r="A55" t="s">
        <v>777</v>
      </c>
      <c r="B55" t="s">
        <v>1544</v>
      </c>
      <c r="C55" t="s">
        <v>1490</v>
      </c>
      <c r="D55" t="s">
        <v>39</v>
      </c>
    </row>
    <row r="56" spans="1:4">
      <c r="A56" t="s">
        <v>620</v>
      </c>
      <c r="B56" t="s">
        <v>1545</v>
      </c>
      <c r="C56" t="s">
        <v>1488</v>
      </c>
      <c r="D56" t="s">
        <v>66</v>
      </c>
    </row>
    <row r="57" spans="1:4">
      <c r="A57" t="s">
        <v>742</v>
      </c>
      <c r="B57" t="s">
        <v>1546</v>
      </c>
      <c r="C57" t="s">
        <v>1490</v>
      </c>
      <c r="D57" t="s">
        <v>56</v>
      </c>
    </row>
    <row r="58" spans="1:4">
      <c r="A58" t="s">
        <v>342</v>
      </c>
      <c r="B58" t="s">
        <v>1547</v>
      </c>
      <c r="C58" t="s">
        <v>1488</v>
      </c>
      <c r="D58" t="s">
        <v>56</v>
      </c>
    </row>
    <row r="59" spans="1:4">
      <c r="A59" t="s">
        <v>255</v>
      </c>
      <c r="B59" t="s">
        <v>1548</v>
      </c>
      <c r="C59" t="s">
        <v>1490</v>
      </c>
      <c r="D59" t="s">
        <v>77</v>
      </c>
    </row>
    <row r="60" spans="1:4">
      <c r="A60" t="s">
        <v>969</v>
      </c>
      <c r="B60" t="s">
        <v>1549</v>
      </c>
      <c r="C60" t="s">
        <v>1490</v>
      </c>
      <c r="D60" t="s">
        <v>39</v>
      </c>
    </row>
    <row r="61" spans="1:4">
      <c r="A61" t="s">
        <v>1007</v>
      </c>
      <c r="B61" t="s">
        <v>1550</v>
      </c>
      <c r="C61" t="s">
        <v>1490</v>
      </c>
      <c r="D61" t="s">
        <v>66</v>
      </c>
    </row>
    <row r="62" spans="1:4">
      <c r="A62" t="s">
        <v>570</v>
      </c>
      <c r="B62" t="s">
        <v>1551</v>
      </c>
      <c r="C62" t="s">
        <v>1488</v>
      </c>
      <c r="D62" t="s">
        <v>77</v>
      </c>
    </row>
    <row r="63" spans="1:4">
      <c r="A63" t="s">
        <v>108</v>
      </c>
      <c r="B63" t="s">
        <v>1552</v>
      </c>
      <c r="C63" t="s">
        <v>1488</v>
      </c>
      <c r="D63" t="s">
        <v>66</v>
      </c>
    </row>
    <row r="64" spans="1:4">
      <c r="A64" t="s">
        <v>1237</v>
      </c>
      <c r="B64" t="s">
        <v>1553</v>
      </c>
      <c r="C64" t="s">
        <v>1493</v>
      </c>
      <c r="D64" t="s">
        <v>56</v>
      </c>
    </row>
    <row r="65" spans="1:4">
      <c r="A65" t="s">
        <v>200</v>
      </c>
      <c r="B65" t="s">
        <v>1554</v>
      </c>
      <c r="C65" t="s">
        <v>1490</v>
      </c>
      <c r="D65" t="s">
        <v>77</v>
      </c>
    </row>
    <row r="66" spans="1:4">
      <c r="A66" t="s">
        <v>580</v>
      </c>
      <c r="B66" t="s">
        <v>1555</v>
      </c>
      <c r="C66" t="s">
        <v>1488</v>
      </c>
      <c r="D66" t="s">
        <v>39</v>
      </c>
    </row>
    <row r="67" spans="1:4">
      <c r="A67" t="s">
        <v>1042</v>
      </c>
      <c r="B67" t="s">
        <v>1556</v>
      </c>
      <c r="C67" t="s">
        <v>1493</v>
      </c>
      <c r="D67" t="s">
        <v>39</v>
      </c>
    </row>
    <row r="68" spans="1:4">
      <c r="A68" t="s">
        <v>665</v>
      </c>
      <c r="B68" t="s">
        <v>1557</v>
      </c>
      <c r="C68" t="s">
        <v>1490</v>
      </c>
      <c r="D68" t="s">
        <v>56</v>
      </c>
    </row>
    <row r="69" spans="1:4">
      <c r="A69" t="s">
        <v>536</v>
      </c>
      <c r="B69" t="s">
        <v>1558</v>
      </c>
      <c r="C69" t="s">
        <v>1490</v>
      </c>
      <c r="D69" t="s">
        <v>66</v>
      </c>
    </row>
    <row r="70" spans="1:4">
      <c r="A70" t="s">
        <v>390</v>
      </c>
      <c r="B70" t="s">
        <v>1559</v>
      </c>
      <c r="C70" t="s">
        <v>1490</v>
      </c>
      <c r="D70" t="s">
        <v>77</v>
      </c>
    </row>
    <row r="71" spans="1:4">
      <c r="A71" t="s">
        <v>252</v>
      </c>
      <c r="B71" t="s">
        <v>1560</v>
      </c>
      <c r="C71" t="s">
        <v>1490</v>
      </c>
      <c r="D71" t="s">
        <v>66</v>
      </c>
    </row>
    <row r="72" spans="1:4">
      <c r="A72" t="s">
        <v>644</v>
      </c>
      <c r="B72" t="s">
        <v>1561</v>
      </c>
      <c r="C72" t="s">
        <v>1490</v>
      </c>
      <c r="D72" t="s">
        <v>66</v>
      </c>
    </row>
    <row r="73" spans="1:4">
      <c r="A73" t="s">
        <v>792</v>
      </c>
      <c r="B73" t="s">
        <v>1562</v>
      </c>
      <c r="C73" t="s">
        <v>1493</v>
      </c>
      <c r="D73" t="s">
        <v>66</v>
      </c>
    </row>
    <row r="74" spans="1:4">
      <c r="A74" t="s">
        <v>380</v>
      </c>
      <c r="B74" t="s">
        <v>1563</v>
      </c>
      <c r="C74" t="s">
        <v>1488</v>
      </c>
      <c r="D74" t="s">
        <v>77</v>
      </c>
    </row>
    <row r="75" spans="1:4">
      <c r="A75" t="s">
        <v>441</v>
      </c>
      <c r="B75" t="s">
        <v>1564</v>
      </c>
      <c r="C75" t="s">
        <v>1488</v>
      </c>
      <c r="D75" t="s">
        <v>39</v>
      </c>
    </row>
    <row r="76" spans="1:4">
      <c r="A76" t="s">
        <v>48</v>
      </c>
      <c r="B76" t="s">
        <v>1565</v>
      </c>
      <c r="C76" t="s">
        <v>1493</v>
      </c>
      <c r="D76" t="s">
        <v>39</v>
      </c>
    </row>
    <row r="77" spans="1:4">
      <c r="A77" t="s">
        <v>606</v>
      </c>
      <c r="B77" t="s">
        <v>1566</v>
      </c>
      <c r="C77" t="s">
        <v>1488</v>
      </c>
      <c r="D77" t="s">
        <v>39</v>
      </c>
    </row>
    <row r="78" spans="1:4">
      <c r="A78" t="s">
        <v>462</v>
      </c>
      <c r="B78" t="s">
        <v>1567</v>
      </c>
      <c r="C78" t="s">
        <v>1490</v>
      </c>
      <c r="D78" t="s">
        <v>77</v>
      </c>
    </row>
    <row r="79" spans="1:4">
      <c r="A79" t="s">
        <v>489</v>
      </c>
      <c r="B79" t="s">
        <v>1568</v>
      </c>
      <c r="C79" t="s">
        <v>1493</v>
      </c>
      <c r="D79" t="s">
        <v>56</v>
      </c>
    </row>
    <row r="80" spans="1:4">
      <c r="A80" t="s">
        <v>770</v>
      </c>
      <c r="B80" t="s">
        <v>1569</v>
      </c>
      <c r="C80" t="s">
        <v>1490</v>
      </c>
      <c r="D80" t="s">
        <v>56</v>
      </c>
    </row>
    <row r="81" spans="1:4">
      <c r="A81" t="s">
        <v>332</v>
      </c>
      <c r="B81" t="s">
        <v>1570</v>
      </c>
      <c r="C81" t="s">
        <v>1488</v>
      </c>
      <c r="D81" t="s">
        <v>56</v>
      </c>
    </row>
    <row r="82" spans="1:4">
      <c r="A82" t="s">
        <v>557</v>
      </c>
      <c r="B82" t="s">
        <v>1571</v>
      </c>
      <c r="C82" t="s">
        <v>1488</v>
      </c>
      <c r="D82" t="s">
        <v>66</v>
      </c>
    </row>
    <row r="83" spans="1:4">
      <c r="A83" t="s">
        <v>100</v>
      </c>
      <c r="B83" t="s">
        <v>1572</v>
      </c>
      <c r="C83" t="s">
        <v>1488</v>
      </c>
      <c r="D83" t="s">
        <v>39</v>
      </c>
    </row>
    <row r="84" spans="1:4">
      <c r="A84" t="s">
        <v>524</v>
      </c>
      <c r="B84" t="s">
        <v>1573</v>
      </c>
      <c r="C84" t="s">
        <v>1493</v>
      </c>
      <c r="D84" t="s">
        <v>39</v>
      </c>
    </row>
    <row r="85" spans="1:4">
      <c r="A85" t="s">
        <v>518</v>
      </c>
      <c r="B85" t="s">
        <v>1574</v>
      </c>
      <c r="C85" t="s">
        <v>1488</v>
      </c>
      <c r="D85" t="s">
        <v>77</v>
      </c>
    </row>
    <row r="86" spans="1:4">
      <c r="A86" t="s">
        <v>1279</v>
      </c>
      <c r="B86" t="s">
        <v>1575</v>
      </c>
      <c r="C86" t="s">
        <v>1488</v>
      </c>
      <c r="D86" t="s">
        <v>39</v>
      </c>
    </row>
    <row r="87" spans="1:4">
      <c r="A87" t="s">
        <v>147</v>
      </c>
      <c r="B87" t="s">
        <v>1576</v>
      </c>
      <c r="C87" t="s">
        <v>1493</v>
      </c>
      <c r="D87" t="s">
        <v>66</v>
      </c>
    </row>
    <row r="88" spans="1:4">
      <c r="A88" t="s">
        <v>377</v>
      </c>
      <c r="B88" t="s">
        <v>1577</v>
      </c>
      <c r="C88" t="s">
        <v>1490</v>
      </c>
      <c r="D88" t="s">
        <v>66</v>
      </c>
    </row>
    <row r="89" spans="1:4">
      <c r="A89" t="s">
        <v>542</v>
      </c>
      <c r="B89" t="s">
        <v>1578</v>
      </c>
      <c r="C89" t="s">
        <v>1493</v>
      </c>
      <c r="D89" t="s">
        <v>77</v>
      </c>
    </row>
    <row r="90" spans="1:4">
      <c r="A90" t="s">
        <v>465</v>
      </c>
      <c r="B90" t="s">
        <v>1579</v>
      </c>
      <c r="C90" t="s">
        <v>1493</v>
      </c>
      <c r="D90" t="s">
        <v>39</v>
      </c>
    </row>
    <row r="91" spans="1:4">
      <c r="A91" t="s">
        <v>131</v>
      </c>
      <c r="B91" t="s">
        <v>1580</v>
      </c>
      <c r="C91" t="s">
        <v>1488</v>
      </c>
      <c r="D91" t="s">
        <v>66</v>
      </c>
    </row>
    <row r="92" spans="1:4">
      <c r="A92" t="s">
        <v>630</v>
      </c>
      <c r="B92" t="s">
        <v>1581</v>
      </c>
      <c r="C92" t="s">
        <v>1488</v>
      </c>
      <c r="D92" t="s">
        <v>66</v>
      </c>
    </row>
    <row r="93" spans="1:4">
      <c r="A93" t="s">
        <v>752</v>
      </c>
      <c r="B93" t="s">
        <v>1582</v>
      </c>
      <c r="C93" t="s">
        <v>1490</v>
      </c>
      <c r="D93" t="s">
        <v>77</v>
      </c>
    </row>
    <row r="94" spans="1:4">
      <c r="A94" t="s">
        <v>142</v>
      </c>
      <c r="B94" t="s">
        <v>1583</v>
      </c>
      <c r="C94" t="s">
        <v>1490</v>
      </c>
      <c r="D94" t="s">
        <v>56</v>
      </c>
    </row>
    <row r="95" spans="1:4">
      <c r="A95" t="s">
        <v>309</v>
      </c>
      <c r="B95" t="s">
        <v>1584</v>
      </c>
      <c r="C95" t="s">
        <v>1488</v>
      </c>
      <c r="D95" t="s">
        <v>56</v>
      </c>
    </row>
    <row r="96" spans="1:4">
      <c r="A96" t="s">
        <v>324</v>
      </c>
      <c r="B96" t="s">
        <v>1585</v>
      </c>
      <c r="C96" t="s">
        <v>1490</v>
      </c>
      <c r="D96" t="s">
        <v>77</v>
      </c>
    </row>
    <row r="97" spans="1:4">
      <c r="A97" t="s">
        <v>522</v>
      </c>
      <c r="B97" t="s">
        <v>1586</v>
      </c>
      <c r="C97" t="s">
        <v>1488</v>
      </c>
      <c r="D97" t="s">
        <v>66</v>
      </c>
    </row>
    <row r="98" spans="1:4">
      <c r="A98" t="s">
        <v>1199</v>
      </c>
      <c r="B98" t="s">
        <v>1587</v>
      </c>
      <c r="C98" t="s">
        <v>1490</v>
      </c>
      <c r="D98" t="s">
        <v>39</v>
      </c>
    </row>
    <row r="99" spans="1:4">
      <c r="A99" t="s">
        <v>497</v>
      </c>
      <c r="B99" t="s">
        <v>1588</v>
      </c>
      <c r="C99" t="s">
        <v>1490</v>
      </c>
      <c r="D99" t="s">
        <v>56</v>
      </c>
    </row>
    <row r="100" spans="1:4">
      <c r="A100" t="s">
        <v>382</v>
      </c>
      <c r="B100" t="s">
        <v>1589</v>
      </c>
      <c r="C100" t="s">
        <v>1488</v>
      </c>
      <c r="D100" t="s">
        <v>39</v>
      </c>
    </row>
    <row r="101" spans="1:4">
      <c r="A101" t="s">
        <v>92</v>
      </c>
      <c r="B101" t="s">
        <v>1590</v>
      </c>
      <c r="C101" t="s">
        <v>1490</v>
      </c>
      <c r="D101" t="s">
        <v>77</v>
      </c>
    </row>
    <row r="102" spans="1:4">
      <c r="A102" t="s">
        <v>661</v>
      </c>
      <c r="B102" t="s">
        <v>1591</v>
      </c>
      <c r="C102" t="s">
        <v>1493</v>
      </c>
      <c r="D102" t="s">
        <v>39</v>
      </c>
    </row>
    <row r="103" spans="1:4">
      <c r="A103" t="s">
        <v>872</v>
      </c>
      <c r="B103" t="s">
        <v>1592</v>
      </c>
      <c r="C103" t="s">
        <v>1490</v>
      </c>
      <c r="D103" t="s">
        <v>77</v>
      </c>
    </row>
    <row r="104" spans="1:4">
      <c r="A104" t="s">
        <v>105</v>
      </c>
      <c r="B104" t="s">
        <v>1593</v>
      </c>
      <c r="C104" t="s">
        <v>1490</v>
      </c>
      <c r="D104" t="s">
        <v>77</v>
      </c>
    </row>
    <row r="105" spans="1:4">
      <c r="A105" t="s">
        <v>618</v>
      </c>
      <c r="B105" t="s">
        <v>1594</v>
      </c>
      <c r="C105" t="s">
        <v>1490</v>
      </c>
      <c r="D105" t="s">
        <v>77</v>
      </c>
    </row>
    <row r="106" spans="1:4">
      <c r="A106" t="s">
        <v>64</v>
      </c>
      <c r="B106" t="s">
        <v>1595</v>
      </c>
      <c r="C106" t="s">
        <v>1493</v>
      </c>
      <c r="D106" t="s">
        <v>39</v>
      </c>
    </row>
    <row r="107" spans="1:4">
      <c r="A107" t="s">
        <v>235</v>
      </c>
      <c r="B107" t="s">
        <v>1596</v>
      </c>
      <c r="C107" t="s">
        <v>1490</v>
      </c>
      <c r="D107" t="s">
        <v>39</v>
      </c>
    </row>
    <row r="108" spans="1:4">
      <c r="A108" t="s">
        <v>191</v>
      </c>
      <c r="B108" t="s">
        <v>1597</v>
      </c>
      <c r="C108" t="s">
        <v>1493</v>
      </c>
      <c r="D108" t="s">
        <v>56</v>
      </c>
    </row>
    <row r="109" spans="1:4">
      <c r="A109" t="s">
        <v>507</v>
      </c>
      <c r="B109" t="s">
        <v>1598</v>
      </c>
      <c r="C109" t="s">
        <v>1490</v>
      </c>
      <c r="D109" t="s">
        <v>39</v>
      </c>
    </row>
    <row r="110" spans="1:4">
      <c r="A110" t="s">
        <v>884</v>
      </c>
      <c r="B110" t="s">
        <v>1599</v>
      </c>
      <c r="C110" t="s">
        <v>1493</v>
      </c>
      <c r="D110" t="s">
        <v>77</v>
      </c>
    </row>
    <row r="111" spans="1:4">
      <c r="A111" t="s">
        <v>857</v>
      </c>
      <c r="B111" t="s">
        <v>1600</v>
      </c>
      <c r="C111" t="s">
        <v>1488</v>
      </c>
      <c r="D111" t="s">
        <v>66</v>
      </c>
    </row>
    <row r="112" spans="1:4">
      <c r="A112" t="s">
        <v>796</v>
      </c>
      <c r="B112" t="s">
        <v>1601</v>
      </c>
      <c r="C112" t="s">
        <v>1490</v>
      </c>
      <c r="D112" t="s">
        <v>66</v>
      </c>
    </row>
    <row r="113" spans="1:4">
      <c r="A113" t="s">
        <v>444</v>
      </c>
      <c r="B113" t="s">
        <v>1602</v>
      </c>
      <c r="C113" t="s">
        <v>1493</v>
      </c>
      <c r="D113" t="s">
        <v>66</v>
      </c>
    </row>
    <row r="114" spans="1:4">
      <c r="A114" t="s">
        <v>435</v>
      </c>
      <c r="B114" t="s">
        <v>1603</v>
      </c>
      <c r="C114" t="s">
        <v>1488</v>
      </c>
      <c r="D114" t="s">
        <v>66</v>
      </c>
    </row>
    <row r="115" spans="1:4">
      <c r="A115" t="s">
        <v>394</v>
      </c>
      <c r="B115" t="s">
        <v>1604</v>
      </c>
      <c r="C115" t="s">
        <v>1490</v>
      </c>
      <c r="D115" t="s">
        <v>66</v>
      </c>
    </row>
    <row r="116" spans="1:4">
      <c r="A116" t="s">
        <v>334</v>
      </c>
      <c r="B116" t="s">
        <v>1605</v>
      </c>
      <c r="C116" t="s">
        <v>1493</v>
      </c>
      <c r="D116" t="s">
        <v>66</v>
      </c>
    </row>
    <row r="117" spans="1:4">
      <c r="A117" t="s">
        <v>291</v>
      </c>
      <c r="B117" t="s">
        <v>1606</v>
      </c>
      <c r="C117" t="s">
        <v>1488</v>
      </c>
      <c r="D117" t="s">
        <v>66</v>
      </c>
    </row>
    <row r="118" spans="1:4">
      <c r="A118" t="s">
        <v>247</v>
      </c>
      <c r="B118" t="s">
        <v>1607</v>
      </c>
      <c r="C118" t="s">
        <v>1488</v>
      </c>
      <c r="D118" t="s">
        <v>56</v>
      </c>
    </row>
    <row r="119" spans="1:4">
      <c r="A119" t="s">
        <v>1064</v>
      </c>
      <c r="B119" t="s">
        <v>1608</v>
      </c>
      <c r="C119" t="s">
        <v>1490</v>
      </c>
      <c r="D119" t="s">
        <v>77</v>
      </c>
    </row>
    <row r="120" spans="1:4">
      <c r="A120" t="s">
        <v>423</v>
      </c>
      <c r="B120" t="s">
        <v>1609</v>
      </c>
      <c r="C120" t="s">
        <v>1490</v>
      </c>
      <c r="D120" t="s">
        <v>66</v>
      </c>
    </row>
    <row r="121" spans="1:4">
      <c r="A121" t="s">
        <v>648</v>
      </c>
      <c r="B121" t="s">
        <v>1610</v>
      </c>
      <c r="C121" t="s">
        <v>1488</v>
      </c>
      <c r="D121" t="s">
        <v>66</v>
      </c>
    </row>
    <row r="122" spans="1:4">
      <c r="A122" t="s">
        <v>452</v>
      </c>
      <c r="B122" t="s">
        <v>1611</v>
      </c>
      <c r="C122" t="s">
        <v>1493</v>
      </c>
      <c r="D122" t="s">
        <v>77</v>
      </c>
    </row>
    <row r="123" spans="1:4">
      <c r="A123" t="s">
        <v>749</v>
      </c>
      <c r="B123" t="s">
        <v>1612</v>
      </c>
      <c r="C123" t="s">
        <v>1488</v>
      </c>
      <c r="D123" t="s">
        <v>66</v>
      </c>
    </row>
    <row r="124" spans="1:4">
      <c r="A124" t="s">
        <v>402</v>
      </c>
      <c r="B124" t="s">
        <v>1613</v>
      </c>
      <c r="C124" t="s">
        <v>1493</v>
      </c>
      <c r="D124" t="s">
        <v>39</v>
      </c>
    </row>
    <row r="125" spans="1:4">
      <c r="A125" t="s">
        <v>828</v>
      </c>
      <c r="B125" t="s">
        <v>1614</v>
      </c>
      <c r="C125" t="s">
        <v>1493</v>
      </c>
      <c r="D125" t="s">
        <v>66</v>
      </c>
    </row>
    <row r="126" spans="1:4">
      <c r="A126" t="s">
        <v>222</v>
      </c>
      <c r="B126" t="s">
        <v>1615</v>
      </c>
      <c r="C126" t="s">
        <v>1488</v>
      </c>
      <c r="D126" t="s">
        <v>56</v>
      </c>
    </row>
    <row r="127" spans="1:4">
      <c r="A127" t="s">
        <v>312</v>
      </c>
      <c r="B127" t="s">
        <v>1616</v>
      </c>
      <c r="C127" t="s">
        <v>1493</v>
      </c>
      <c r="D127" t="s">
        <v>66</v>
      </c>
    </row>
    <row r="128" spans="1:4">
      <c r="A128" t="s">
        <v>779</v>
      </c>
      <c r="B128" t="s">
        <v>1617</v>
      </c>
      <c r="C128" t="s">
        <v>1493</v>
      </c>
      <c r="D128" t="s">
        <v>66</v>
      </c>
    </row>
    <row r="129" spans="1:4">
      <c r="A129" t="s">
        <v>833</v>
      </c>
      <c r="B129" t="s">
        <v>1618</v>
      </c>
      <c r="C129" t="s">
        <v>1488</v>
      </c>
      <c r="D129" t="s">
        <v>39</v>
      </c>
    </row>
    <row r="130" spans="1:4">
      <c r="A130" t="s">
        <v>1102</v>
      </c>
      <c r="B130" t="s">
        <v>1619</v>
      </c>
      <c r="C130" t="s">
        <v>1490</v>
      </c>
      <c r="D130" t="s">
        <v>39</v>
      </c>
    </row>
    <row r="131" spans="1:4">
      <c r="A131" t="s">
        <v>986</v>
      </c>
      <c r="B131" t="s">
        <v>1620</v>
      </c>
      <c r="C131" t="s">
        <v>1490</v>
      </c>
      <c r="D131" t="s">
        <v>56</v>
      </c>
    </row>
    <row r="132" spans="1:4">
      <c r="A132" t="s">
        <v>337</v>
      </c>
      <c r="B132" t="s">
        <v>1621</v>
      </c>
      <c r="C132" t="s">
        <v>1490</v>
      </c>
      <c r="D132" t="s">
        <v>39</v>
      </c>
    </row>
    <row r="133" spans="1:4">
      <c r="A133" t="s">
        <v>352</v>
      </c>
      <c r="B133" t="s">
        <v>1622</v>
      </c>
      <c r="C133" t="s">
        <v>1493</v>
      </c>
      <c r="D133" t="s">
        <v>77</v>
      </c>
    </row>
    <row r="134" spans="1:4">
      <c r="A134" t="s">
        <v>171</v>
      </c>
      <c r="B134" t="s">
        <v>1623</v>
      </c>
      <c r="C134" t="s">
        <v>1488</v>
      </c>
      <c r="D134" t="s">
        <v>66</v>
      </c>
    </row>
    <row r="135" spans="1:4">
      <c r="A135" t="s">
        <v>361</v>
      </c>
      <c r="B135" t="s">
        <v>1624</v>
      </c>
      <c r="C135" t="s">
        <v>1490</v>
      </c>
      <c r="D135" t="s">
        <v>56</v>
      </c>
    </row>
    <row r="136" spans="1:4">
      <c r="A136" t="s">
        <v>446</v>
      </c>
      <c r="B136" t="s">
        <v>1625</v>
      </c>
      <c r="C136" t="s">
        <v>1490</v>
      </c>
      <c r="D136" t="s">
        <v>39</v>
      </c>
    </row>
    <row r="137" spans="1:4">
      <c r="A137" t="s">
        <v>739</v>
      </c>
      <c r="B137" t="s">
        <v>1626</v>
      </c>
      <c r="C137" t="s">
        <v>1493</v>
      </c>
      <c r="D137" t="s">
        <v>66</v>
      </c>
    </row>
    <row r="138" spans="1:4">
      <c r="A138" t="s">
        <v>225</v>
      </c>
      <c r="B138" t="s">
        <v>1627</v>
      </c>
      <c r="C138" t="s">
        <v>1488</v>
      </c>
      <c r="D138" t="s">
        <v>66</v>
      </c>
    </row>
    <row r="139" spans="1:4">
      <c r="A139" t="s">
        <v>910</v>
      </c>
      <c r="B139" t="s">
        <v>1628</v>
      </c>
      <c r="C139" t="s">
        <v>1488</v>
      </c>
      <c r="D139" t="s">
        <v>39</v>
      </c>
    </row>
    <row r="140" spans="1:4">
      <c r="A140" t="s">
        <v>408</v>
      </c>
      <c r="B140" t="s">
        <v>1629</v>
      </c>
      <c r="C140" t="s">
        <v>1488</v>
      </c>
      <c r="D140" t="s">
        <v>39</v>
      </c>
    </row>
    <row r="141" spans="1:4">
      <c r="A141" t="s">
        <v>242</v>
      </c>
      <c r="B141" t="s">
        <v>1630</v>
      </c>
      <c r="C141" t="s">
        <v>1488</v>
      </c>
      <c r="D141" t="s">
        <v>39</v>
      </c>
    </row>
    <row r="142" spans="1:4">
      <c r="A142" t="s">
        <v>604</v>
      </c>
      <c r="B142" t="s">
        <v>1631</v>
      </c>
      <c r="C142" t="s">
        <v>1488</v>
      </c>
      <c r="D142" t="s">
        <v>39</v>
      </c>
    </row>
    <row r="143" spans="1:4">
      <c r="A143" t="s">
        <v>240</v>
      </c>
      <c r="B143" t="s">
        <v>1632</v>
      </c>
      <c r="C143" t="s">
        <v>1488</v>
      </c>
      <c r="D143" t="s">
        <v>77</v>
      </c>
    </row>
    <row r="144" spans="1:4">
      <c r="A144" t="s">
        <v>457</v>
      </c>
      <c r="B144" t="s">
        <v>1633</v>
      </c>
      <c r="C144" t="s">
        <v>1490</v>
      </c>
      <c r="D144" t="s">
        <v>66</v>
      </c>
    </row>
    <row r="145" spans="1:4">
      <c r="A145" t="s">
        <v>1150</v>
      </c>
      <c r="B145" t="s">
        <v>1634</v>
      </c>
      <c r="C145" t="s">
        <v>1488</v>
      </c>
      <c r="D145" t="s">
        <v>39</v>
      </c>
    </row>
    <row r="146" spans="1:4">
      <c r="A146" t="s">
        <v>1635</v>
      </c>
      <c r="B146" t="s">
        <v>1636</v>
      </c>
      <c r="C146" t="s">
        <v>1488</v>
      </c>
      <c r="D146" t="s">
        <v>77</v>
      </c>
    </row>
    <row r="147" spans="1:4">
      <c r="A147" t="s">
        <v>307</v>
      </c>
      <c r="B147" t="s">
        <v>1637</v>
      </c>
      <c r="C147" t="s">
        <v>1490</v>
      </c>
      <c r="D147" t="s">
        <v>77</v>
      </c>
    </row>
    <row r="148" spans="1:4">
      <c r="A148" t="s">
        <v>572</v>
      </c>
      <c r="B148" t="s">
        <v>1638</v>
      </c>
      <c r="C148" t="s">
        <v>1493</v>
      </c>
      <c r="D148" t="s">
        <v>66</v>
      </c>
    </row>
    <row r="149" spans="1:4">
      <c r="A149" t="s">
        <v>166</v>
      </c>
      <c r="B149" t="s">
        <v>1639</v>
      </c>
      <c r="C149" t="s">
        <v>1488</v>
      </c>
      <c r="D149" t="s">
        <v>66</v>
      </c>
    </row>
    <row r="150" spans="1:4">
      <c r="A150" t="s">
        <v>344</v>
      </c>
      <c r="B150" t="s">
        <v>1640</v>
      </c>
      <c r="C150" t="s">
        <v>1490</v>
      </c>
      <c r="D150" t="s">
        <v>77</v>
      </c>
    </row>
    <row r="151" spans="1:4">
      <c r="A151" t="s">
        <v>375</v>
      </c>
      <c r="B151" t="s">
        <v>1641</v>
      </c>
      <c r="C151" t="s">
        <v>1488</v>
      </c>
      <c r="D151" t="s">
        <v>39</v>
      </c>
    </row>
    <row r="152" spans="1:4">
      <c r="A152" t="s">
        <v>412</v>
      </c>
      <c r="B152" t="s">
        <v>1642</v>
      </c>
      <c r="C152" t="s">
        <v>1488</v>
      </c>
      <c r="D152" t="s">
        <v>77</v>
      </c>
    </row>
    <row r="153" spans="1:4">
      <c r="A153" t="s">
        <v>529</v>
      </c>
      <c r="B153" t="s">
        <v>1643</v>
      </c>
      <c r="C153" t="s">
        <v>1490</v>
      </c>
      <c r="D153" t="s">
        <v>39</v>
      </c>
    </row>
    <row r="154" spans="1:4">
      <c r="A154" t="s">
        <v>1073</v>
      </c>
      <c r="B154" t="s">
        <v>1644</v>
      </c>
      <c r="C154" t="s">
        <v>1490</v>
      </c>
      <c r="D154" t="s">
        <v>56</v>
      </c>
    </row>
    <row r="155" spans="1:4">
      <c r="A155" t="s">
        <v>532</v>
      </c>
      <c r="B155" t="s">
        <v>1645</v>
      </c>
      <c r="C155" t="s">
        <v>1488</v>
      </c>
      <c r="D155" t="s">
        <v>66</v>
      </c>
    </row>
    <row r="156" spans="1:4">
      <c r="A156" t="s">
        <v>501</v>
      </c>
      <c r="B156" t="s">
        <v>1646</v>
      </c>
      <c r="C156" t="s">
        <v>1490</v>
      </c>
      <c r="D156" t="s">
        <v>77</v>
      </c>
    </row>
    <row r="157" spans="1:4">
      <c r="A157" t="s">
        <v>782</v>
      </c>
      <c r="B157" t="s">
        <v>1647</v>
      </c>
      <c r="C157" t="s">
        <v>1493</v>
      </c>
      <c r="D157" t="s">
        <v>77</v>
      </c>
    </row>
    <row r="158" spans="1:4">
      <c r="A158" t="s">
        <v>1133</v>
      </c>
      <c r="B158" t="s">
        <v>1648</v>
      </c>
      <c r="C158" t="s">
        <v>1490</v>
      </c>
      <c r="D158" t="s">
        <v>66</v>
      </c>
    </row>
    <row r="159" spans="1:4">
      <c r="A159" t="s">
        <v>304</v>
      </c>
      <c r="B159" t="s">
        <v>1649</v>
      </c>
      <c r="C159" t="s">
        <v>1493</v>
      </c>
      <c r="D159" t="s">
        <v>39</v>
      </c>
    </row>
    <row r="160" spans="1:4">
      <c r="A160" t="s">
        <v>1227</v>
      </c>
      <c r="B160" t="s">
        <v>1650</v>
      </c>
      <c r="C160" t="s">
        <v>1488</v>
      </c>
      <c r="D160" t="s">
        <v>77</v>
      </c>
    </row>
    <row r="161" spans="1:4">
      <c r="A161" t="s">
        <v>154</v>
      </c>
      <c r="B161" t="s">
        <v>1651</v>
      </c>
      <c r="C161" t="s">
        <v>1490</v>
      </c>
      <c r="D161" t="s">
        <v>77</v>
      </c>
    </row>
    <row r="162" spans="1:4">
      <c r="A162" t="s">
        <v>1070</v>
      </c>
      <c r="B162" t="s">
        <v>1652</v>
      </c>
      <c r="C162" t="s">
        <v>1490</v>
      </c>
      <c r="D162" t="s">
        <v>77</v>
      </c>
    </row>
    <row r="163" spans="1:4">
      <c r="A163" t="s">
        <v>505</v>
      </c>
      <c r="B163" t="s">
        <v>1653</v>
      </c>
      <c r="C163" t="s">
        <v>1493</v>
      </c>
      <c r="D163" t="s">
        <v>66</v>
      </c>
    </row>
    <row r="164" spans="1:4">
      <c r="A164" t="s">
        <v>882</v>
      </c>
      <c r="B164" t="s">
        <v>1654</v>
      </c>
      <c r="C164" t="s">
        <v>1488</v>
      </c>
      <c r="D164" t="s">
        <v>39</v>
      </c>
    </row>
    <row r="165" spans="1:4">
      <c r="A165" t="s">
        <v>534</v>
      </c>
      <c r="B165" t="s">
        <v>1655</v>
      </c>
      <c r="C165" t="s">
        <v>1493</v>
      </c>
      <c r="D165" t="s">
        <v>77</v>
      </c>
    </row>
    <row r="166" spans="1:4">
      <c r="A166" t="s">
        <v>625</v>
      </c>
      <c r="B166" t="s">
        <v>1656</v>
      </c>
      <c r="C166" t="s">
        <v>1488</v>
      </c>
      <c r="D166" t="s">
        <v>56</v>
      </c>
    </row>
    <row r="167" spans="1:4">
      <c r="A167" t="s">
        <v>484</v>
      </c>
      <c r="B167" t="s">
        <v>1657</v>
      </c>
      <c r="C167" t="s">
        <v>1490</v>
      </c>
      <c r="D167" t="s">
        <v>77</v>
      </c>
    </row>
    <row r="168" spans="1:4">
      <c r="A168" t="s">
        <v>150</v>
      </c>
      <c r="B168" t="s">
        <v>1658</v>
      </c>
      <c r="C168" t="s">
        <v>1493</v>
      </c>
      <c r="D168" t="s">
        <v>39</v>
      </c>
    </row>
    <row r="169" spans="1:4">
      <c r="A169" t="s">
        <v>1138</v>
      </c>
      <c r="B169" t="s">
        <v>1659</v>
      </c>
      <c r="C169" t="s">
        <v>1493</v>
      </c>
      <c r="D169" t="s">
        <v>39</v>
      </c>
    </row>
    <row r="170" spans="1:4">
      <c r="A170" t="s">
        <v>261</v>
      </c>
      <c r="B170" t="s">
        <v>1660</v>
      </c>
      <c r="C170" t="s">
        <v>1488</v>
      </c>
      <c r="D170" t="s">
        <v>39</v>
      </c>
    </row>
    <row r="171" spans="1:4">
      <c r="A171" t="s">
        <v>737</v>
      </c>
      <c r="B171" t="s">
        <v>1661</v>
      </c>
      <c r="C171" t="s">
        <v>1490</v>
      </c>
      <c r="D171" t="s">
        <v>77</v>
      </c>
    </row>
    <row r="172" spans="1:4">
      <c r="A172" t="s">
        <v>655</v>
      </c>
      <c r="B172" t="s">
        <v>1662</v>
      </c>
      <c r="C172" t="s">
        <v>1490</v>
      </c>
      <c r="D172" t="s">
        <v>56</v>
      </c>
    </row>
    <row r="173" spans="1:4">
      <c r="A173" t="s">
        <v>414</v>
      </c>
      <c r="B173" t="s">
        <v>1663</v>
      </c>
      <c r="C173" t="s">
        <v>1490</v>
      </c>
      <c r="D173" t="s">
        <v>39</v>
      </c>
    </row>
    <row r="174" spans="1:4">
      <c r="A174" t="s">
        <v>1005</v>
      </c>
      <c r="B174" t="s">
        <v>1664</v>
      </c>
      <c r="C174" t="s">
        <v>1493</v>
      </c>
      <c r="D174" t="s">
        <v>77</v>
      </c>
    </row>
    <row r="175" spans="1:4">
      <c r="A175" t="s">
        <v>940</v>
      </c>
      <c r="B175" t="s">
        <v>1665</v>
      </c>
      <c r="C175" t="s">
        <v>1488</v>
      </c>
      <c r="D175" t="s">
        <v>66</v>
      </c>
    </row>
    <row r="176" spans="1:4">
      <c r="A176" t="s">
        <v>158</v>
      </c>
      <c r="B176" t="s">
        <v>1666</v>
      </c>
      <c r="C176" t="s">
        <v>1490</v>
      </c>
      <c r="D176" t="s">
        <v>77</v>
      </c>
    </row>
    <row r="177" spans="1:4">
      <c r="A177" t="s">
        <v>601</v>
      </c>
      <c r="B177" t="s">
        <v>1667</v>
      </c>
      <c r="C177" t="s">
        <v>1488</v>
      </c>
      <c r="D177" t="s">
        <v>56</v>
      </c>
    </row>
    <row r="178" spans="1:4">
      <c r="A178" t="s">
        <v>627</v>
      </c>
      <c r="B178" t="s">
        <v>1668</v>
      </c>
      <c r="C178" t="s">
        <v>1488</v>
      </c>
      <c r="D178" t="s">
        <v>56</v>
      </c>
    </row>
    <row r="179" spans="1:4">
      <c r="A179" t="s">
        <v>450</v>
      </c>
      <c r="B179" t="s">
        <v>1669</v>
      </c>
      <c r="C179" t="s">
        <v>1493</v>
      </c>
      <c r="D179" t="s">
        <v>39</v>
      </c>
    </row>
    <row r="180" spans="1:4">
      <c r="A180" t="s">
        <v>817</v>
      </c>
      <c r="B180" t="s">
        <v>1670</v>
      </c>
      <c r="C180" t="s">
        <v>1493</v>
      </c>
      <c r="D180" t="s">
        <v>77</v>
      </c>
    </row>
    <row r="181" spans="1:4">
      <c r="A181" t="s">
        <v>220</v>
      </c>
      <c r="B181" t="s">
        <v>1671</v>
      </c>
      <c r="C181" t="s">
        <v>1488</v>
      </c>
      <c r="D181" t="s">
        <v>56</v>
      </c>
    </row>
    <row r="182" spans="1:4">
      <c r="A182" t="s">
        <v>478</v>
      </c>
      <c r="B182" t="s">
        <v>1672</v>
      </c>
      <c r="C182" t="s">
        <v>1493</v>
      </c>
      <c r="D182" t="s">
        <v>39</v>
      </c>
    </row>
    <row r="183" spans="1:4">
      <c r="A183" t="s">
        <v>761</v>
      </c>
      <c r="B183" t="s">
        <v>1673</v>
      </c>
      <c r="C183" t="s">
        <v>1488</v>
      </c>
      <c r="D183" t="s">
        <v>77</v>
      </c>
    </row>
    <row r="184" spans="1:4">
      <c r="A184" t="s">
        <v>357</v>
      </c>
      <c r="B184" t="s">
        <v>1674</v>
      </c>
      <c r="C184" t="s">
        <v>1493</v>
      </c>
      <c r="D184" t="s">
        <v>56</v>
      </c>
    </row>
    <row r="185" spans="1:4">
      <c r="A185" t="s">
        <v>80</v>
      </c>
      <c r="B185" t="s">
        <v>1675</v>
      </c>
      <c r="C185" t="s">
        <v>1490</v>
      </c>
      <c r="D185" t="s">
        <v>39</v>
      </c>
    </row>
    <row r="186" spans="1:4">
      <c r="A186" t="s">
        <v>680</v>
      </c>
      <c r="B186" t="s">
        <v>1676</v>
      </c>
      <c r="C186" t="s">
        <v>1490</v>
      </c>
      <c r="D186" t="s">
        <v>77</v>
      </c>
    </row>
    <row r="187" spans="1:4">
      <c r="A187" t="s">
        <v>316</v>
      </c>
      <c r="B187" t="s">
        <v>1677</v>
      </c>
      <c r="C187" t="s">
        <v>1488</v>
      </c>
      <c r="D187" t="s">
        <v>39</v>
      </c>
    </row>
    <row r="188" spans="1:4">
      <c r="A188" t="s">
        <v>287</v>
      </c>
      <c r="B188" t="s">
        <v>1678</v>
      </c>
      <c r="C188" t="s">
        <v>1490</v>
      </c>
      <c r="D188" t="s">
        <v>66</v>
      </c>
    </row>
    <row r="189" spans="1:4">
      <c r="A189" t="s">
        <v>703</v>
      </c>
      <c r="B189" t="s">
        <v>1679</v>
      </c>
      <c r="C189" t="s">
        <v>1493</v>
      </c>
      <c r="D189" t="s">
        <v>39</v>
      </c>
    </row>
    <row r="190" spans="1:4">
      <c r="A190" t="s">
        <v>562</v>
      </c>
      <c r="B190" t="s">
        <v>1680</v>
      </c>
      <c r="C190" t="s">
        <v>1493</v>
      </c>
      <c r="D190" t="s">
        <v>56</v>
      </c>
    </row>
    <row r="191" spans="1:4">
      <c r="A191" t="s">
        <v>319</v>
      </c>
      <c r="B191" t="s">
        <v>1681</v>
      </c>
      <c r="C191" t="s">
        <v>1488</v>
      </c>
      <c r="D191" t="s">
        <v>66</v>
      </c>
    </row>
    <row r="192" spans="1:4">
      <c r="A192" t="s">
        <v>270</v>
      </c>
      <c r="B192" t="s">
        <v>1682</v>
      </c>
      <c r="C192" t="s">
        <v>1490</v>
      </c>
      <c r="D192" t="s">
        <v>77</v>
      </c>
    </row>
    <row r="193" spans="1:4">
      <c r="A193" t="s">
        <v>198</v>
      </c>
      <c r="B193" t="s">
        <v>1683</v>
      </c>
      <c r="C193" t="s">
        <v>1493</v>
      </c>
      <c r="D193" t="s">
        <v>77</v>
      </c>
    </row>
    <row r="194" spans="1:4">
      <c r="A194" t="s">
        <v>790</v>
      </c>
      <c r="B194" t="s">
        <v>1684</v>
      </c>
      <c r="C194" t="s">
        <v>1493</v>
      </c>
      <c r="D194" t="s">
        <v>66</v>
      </c>
    </row>
    <row r="195" spans="1:4">
      <c r="A195" t="s">
        <v>1685</v>
      </c>
      <c r="B195" t="s">
        <v>1686</v>
      </c>
      <c r="C195" t="s">
        <v>1490</v>
      </c>
      <c r="D195" t="s">
        <v>77</v>
      </c>
    </row>
    <row r="196" spans="1:4">
      <c r="A196" t="s">
        <v>476</v>
      </c>
      <c r="B196" t="s">
        <v>1687</v>
      </c>
      <c r="C196" t="s">
        <v>1488</v>
      </c>
      <c r="D196" t="s">
        <v>39</v>
      </c>
    </row>
    <row r="197" spans="1:4">
      <c r="A197" t="s">
        <v>232</v>
      </c>
      <c r="B197" t="s">
        <v>1688</v>
      </c>
      <c r="C197" t="s">
        <v>1490</v>
      </c>
      <c r="D197" t="s">
        <v>77</v>
      </c>
    </row>
    <row r="198" spans="1:4">
      <c r="A198" t="s">
        <v>314</v>
      </c>
      <c r="B198" t="s">
        <v>1689</v>
      </c>
      <c r="C198" t="s">
        <v>1488</v>
      </c>
      <c r="D198" t="s">
        <v>77</v>
      </c>
    </row>
    <row r="199" spans="1:4">
      <c r="A199" t="s">
        <v>495</v>
      </c>
      <c r="B199" t="s">
        <v>1690</v>
      </c>
      <c r="C199" t="s">
        <v>1493</v>
      </c>
      <c r="D199" t="s">
        <v>56</v>
      </c>
    </row>
    <row r="200" spans="1:4">
      <c r="A200" t="s">
        <v>1251</v>
      </c>
      <c r="B200" t="s">
        <v>1691</v>
      </c>
      <c r="C200" t="s">
        <v>1493</v>
      </c>
      <c r="D200" t="s">
        <v>77</v>
      </c>
    </row>
    <row r="201" spans="1:4">
      <c r="A201" t="s">
        <v>540</v>
      </c>
      <c r="B201" t="s">
        <v>1692</v>
      </c>
      <c r="C201" t="s">
        <v>1493</v>
      </c>
      <c r="D201" t="s">
        <v>77</v>
      </c>
    </row>
    <row r="202" spans="1:4">
      <c r="A202" t="s">
        <v>804</v>
      </c>
      <c r="B202" t="s">
        <v>1693</v>
      </c>
      <c r="C202" t="s">
        <v>1490</v>
      </c>
      <c r="D202" t="s">
        <v>39</v>
      </c>
    </row>
    <row r="203" spans="1:4">
      <c r="A203" t="s">
        <v>429</v>
      </c>
      <c r="B203" t="s">
        <v>1694</v>
      </c>
      <c r="C203" t="s">
        <v>1488</v>
      </c>
      <c r="D203" t="s">
        <v>66</v>
      </c>
    </row>
    <row r="204" spans="1:4">
      <c r="A204" t="s">
        <v>772</v>
      </c>
      <c r="B204" t="s">
        <v>1695</v>
      </c>
      <c r="C204" t="s">
        <v>1490</v>
      </c>
      <c r="D204" t="s">
        <v>66</v>
      </c>
    </row>
    <row r="205" spans="1:4">
      <c r="A205" t="s">
        <v>880</v>
      </c>
      <c r="B205" t="s">
        <v>1696</v>
      </c>
      <c r="C205" t="s">
        <v>1493</v>
      </c>
      <c r="D205" t="s">
        <v>66</v>
      </c>
    </row>
    <row r="206" spans="1:4">
      <c r="A206" t="s">
        <v>1697</v>
      </c>
      <c r="B206" t="s">
        <v>1698</v>
      </c>
      <c r="C206" t="s">
        <v>1493</v>
      </c>
      <c r="D206" t="s">
        <v>77</v>
      </c>
    </row>
    <row r="207" spans="1:4">
      <c r="A207" t="s">
        <v>550</v>
      </c>
      <c r="B207" t="s">
        <v>1699</v>
      </c>
      <c r="C207" t="s">
        <v>1488</v>
      </c>
      <c r="D207" t="s">
        <v>56</v>
      </c>
    </row>
    <row r="208" spans="1:4">
      <c r="A208" t="s">
        <v>480</v>
      </c>
      <c r="B208" t="s">
        <v>1700</v>
      </c>
      <c r="C208" t="s">
        <v>1488</v>
      </c>
      <c r="D208" t="s">
        <v>56</v>
      </c>
    </row>
    <row r="209" spans="1:4">
      <c r="A209" t="s">
        <v>988</v>
      </c>
      <c r="B209" t="s">
        <v>1701</v>
      </c>
      <c r="C209" t="s">
        <v>1488</v>
      </c>
      <c r="D209" t="s">
        <v>39</v>
      </c>
    </row>
    <row r="210" spans="1:4">
      <c r="A210" t="s">
        <v>72</v>
      </c>
      <c r="B210" t="s">
        <v>1702</v>
      </c>
      <c r="C210" t="s">
        <v>1488</v>
      </c>
      <c r="D210" t="s">
        <v>39</v>
      </c>
    </row>
    <row r="211" spans="1:4">
      <c r="A211" t="s">
        <v>162</v>
      </c>
      <c r="B211" t="s">
        <v>1703</v>
      </c>
      <c r="C211" t="s">
        <v>1490</v>
      </c>
      <c r="D211" t="s">
        <v>56</v>
      </c>
    </row>
    <row r="212" spans="1:4">
      <c r="A212" t="s">
        <v>672</v>
      </c>
      <c r="B212" t="s">
        <v>1704</v>
      </c>
      <c r="C212" t="s">
        <v>1490</v>
      </c>
      <c r="D212" t="s">
        <v>39</v>
      </c>
    </row>
    <row r="213" spans="1:4">
      <c r="A213" t="s">
        <v>214</v>
      </c>
      <c r="B213" t="s">
        <v>1705</v>
      </c>
      <c r="C213" t="s">
        <v>1490</v>
      </c>
      <c r="D213" t="s">
        <v>66</v>
      </c>
    </row>
    <row r="214" spans="1:4">
      <c r="A214" t="s">
        <v>593</v>
      </c>
      <c r="B214" t="s">
        <v>1706</v>
      </c>
      <c r="C214" t="s">
        <v>1488</v>
      </c>
      <c r="D214" t="s">
        <v>56</v>
      </c>
    </row>
    <row r="215" spans="1:4">
      <c r="A215" t="s">
        <v>300</v>
      </c>
      <c r="B215" t="s">
        <v>1707</v>
      </c>
      <c r="C215" t="s">
        <v>1493</v>
      </c>
      <c r="D215" t="s">
        <v>39</v>
      </c>
    </row>
    <row r="216" spans="1:4">
      <c r="A216" t="s">
        <v>568</v>
      </c>
      <c r="B216" t="s">
        <v>1708</v>
      </c>
      <c r="C216" t="s">
        <v>1490</v>
      </c>
      <c r="D216" t="s">
        <v>66</v>
      </c>
    </row>
    <row r="217" spans="1:4">
      <c r="A217" t="s">
        <v>359</v>
      </c>
      <c r="B217" t="s">
        <v>1709</v>
      </c>
      <c r="C217" t="s">
        <v>1490</v>
      </c>
      <c r="D217" t="s">
        <v>39</v>
      </c>
    </row>
    <row r="218" spans="1:4">
      <c r="A218" t="s">
        <v>800</v>
      </c>
      <c r="B218" t="s">
        <v>1710</v>
      </c>
      <c r="C218" t="s">
        <v>1488</v>
      </c>
      <c r="D218" t="s">
        <v>77</v>
      </c>
    </row>
    <row r="219" spans="1:4">
      <c r="A219" t="s">
        <v>950</v>
      </c>
      <c r="B219" t="s">
        <v>1711</v>
      </c>
      <c r="C219" t="s">
        <v>1490</v>
      </c>
      <c r="D219" t="s">
        <v>39</v>
      </c>
    </row>
    <row r="220" spans="1:4">
      <c r="A220" t="s">
        <v>189</v>
      </c>
      <c r="B220" t="s">
        <v>1712</v>
      </c>
      <c r="C220" t="s">
        <v>1488</v>
      </c>
      <c r="D220" t="s">
        <v>39</v>
      </c>
    </row>
    <row r="221" spans="1:4">
      <c r="A221" t="s">
        <v>866</v>
      </c>
      <c r="B221" t="s">
        <v>1713</v>
      </c>
      <c r="C221" t="s">
        <v>1488</v>
      </c>
      <c r="D221" t="s">
        <v>66</v>
      </c>
    </row>
    <row r="222" spans="1:4">
      <c r="A222" t="s">
        <v>127</v>
      </c>
      <c r="B222" t="s">
        <v>1714</v>
      </c>
      <c r="C222" t="s">
        <v>1493</v>
      </c>
      <c r="D222" t="s">
        <v>56</v>
      </c>
    </row>
    <row r="223" spans="1:4">
      <c r="A223" t="s">
        <v>400</v>
      </c>
      <c r="B223" t="s">
        <v>1715</v>
      </c>
      <c r="C223" t="s">
        <v>1488</v>
      </c>
      <c r="D223" t="s">
        <v>66</v>
      </c>
    </row>
    <row r="224" spans="1:4">
      <c r="A224" t="s">
        <v>709</v>
      </c>
      <c r="B224" t="s">
        <v>1716</v>
      </c>
      <c r="C224" t="s">
        <v>1490</v>
      </c>
      <c r="D224" t="s">
        <v>56</v>
      </c>
    </row>
    <row r="225" spans="1:4">
      <c r="A225" t="s">
        <v>284</v>
      </c>
      <c r="B225" t="s">
        <v>1717</v>
      </c>
      <c r="C225" t="s">
        <v>1493</v>
      </c>
      <c r="D225" t="s">
        <v>56</v>
      </c>
    </row>
    <row r="226" spans="1:4">
      <c r="A226" t="s">
        <v>486</v>
      </c>
      <c r="B226" t="s">
        <v>1718</v>
      </c>
      <c r="C226" t="s">
        <v>1493</v>
      </c>
      <c r="D226" t="s">
        <v>66</v>
      </c>
    </row>
    <row r="227" spans="1:4">
      <c r="A227" t="s">
        <v>250</v>
      </c>
      <c r="B227" t="s">
        <v>1719</v>
      </c>
      <c r="C227" t="s">
        <v>1493</v>
      </c>
      <c r="D227" t="s">
        <v>39</v>
      </c>
    </row>
    <row r="228" spans="1:4">
      <c r="A228" t="s">
        <v>840</v>
      </c>
      <c r="B228" t="s">
        <v>1720</v>
      </c>
      <c r="C228" t="s">
        <v>1493</v>
      </c>
      <c r="D228" t="s">
        <v>39</v>
      </c>
    </row>
    <row r="229" spans="1:4">
      <c r="A229" t="s">
        <v>205</v>
      </c>
      <c r="B229" t="s">
        <v>1721</v>
      </c>
      <c r="C229" t="s">
        <v>1490</v>
      </c>
      <c r="D229" t="s">
        <v>66</v>
      </c>
    </row>
    <row r="230" spans="1:4">
      <c r="A230" t="s">
        <v>355</v>
      </c>
      <c r="B230" t="s">
        <v>1722</v>
      </c>
      <c r="C230" t="s">
        <v>1488</v>
      </c>
      <c r="D230" t="s">
        <v>39</v>
      </c>
    </row>
    <row r="231" spans="1:4">
      <c r="A231" t="s">
        <v>279</v>
      </c>
      <c r="B231" t="s">
        <v>1723</v>
      </c>
      <c r="C231" t="s">
        <v>1490</v>
      </c>
      <c r="D231" t="s">
        <v>66</v>
      </c>
    </row>
    <row r="232" spans="1:4">
      <c r="A232" t="s">
        <v>963</v>
      </c>
      <c r="B232" t="s">
        <v>1724</v>
      </c>
      <c r="C232" t="s">
        <v>1490</v>
      </c>
      <c r="D232" t="s">
        <v>39</v>
      </c>
    </row>
    <row r="233" spans="1:4">
      <c r="A233" t="s">
        <v>615</v>
      </c>
      <c r="B233" t="s">
        <v>1725</v>
      </c>
      <c r="C233" t="s">
        <v>1488</v>
      </c>
      <c r="D233" t="s">
        <v>77</v>
      </c>
    </row>
    <row r="234" spans="1:4">
      <c r="A234" t="s">
        <v>298</v>
      </c>
      <c r="B234" t="s">
        <v>1726</v>
      </c>
      <c r="C234" t="s">
        <v>1488</v>
      </c>
      <c r="D234" t="s">
        <v>56</v>
      </c>
    </row>
    <row r="235" spans="1:4">
      <c r="A235" t="s">
        <v>302</v>
      </c>
      <c r="B235" t="s">
        <v>1727</v>
      </c>
      <c r="C235" t="s">
        <v>1488</v>
      </c>
      <c r="D235" t="s">
        <v>77</v>
      </c>
    </row>
    <row r="236" spans="1:4">
      <c r="A236" t="s">
        <v>663</v>
      </c>
      <c r="B236" t="s">
        <v>1728</v>
      </c>
      <c r="C236" t="s">
        <v>1490</v>
      </c>
      <c r="D236" t="s">
        <v>66</v>
      </c>
    </row>
    <row r="237" spans="1:4">
      <c r="A237" t="s">
        <v>230</v>
      </c>
      <c r="B237" t="s">
        <v>1729</v>
      </c>
      <c r="C237" t="s">
        <v>1488</v>
      </c>
      <c r="D237" t="s">
        <v>66</v>
      </c>
    </row>
    <row r="238" spans="1:4">
      <c r="A238" t="s">
        <v>54</v>
      </c>
      <c r="B238" t="s">
        <v>1730</v>
      </c>
      <c r="C238" t="s">
        <v>1493</v>
      </c>
      <c r="D238" t="s">
        <v>77</v>
      </c>
    </row>
    <row r="239" spans="1:4">
      <c r="A239" t="s">
        <v>482</v>
      </c>
      <c r="B239" t="s">
        <v>1731</v>
      </c>
      <c r="C239" t="s">
        <v>1493</v>
      </c>
      <c r="D239" t="s">
        <v>77</v>
      </c>
    </row>
    <row r="240" spans="1:4">
      <c r="A240" t="s">
        <v>690</v>
      </c>
      <c r="B240" t="s">
        <v>1732</v>
      </c>
      <c r="C240" t="s">
        <v>1488</v>
      </c>
      <c r="D240" t="s">
        <v>56</v>
      </c>
    </row>
    <row r="241" spans="1:4">
      <c r="A241" t="s">
        <v>392</v>
      </c>
      <c r="B241" t="s">
        <v>1733</v>
      </c>
      <c r="C241" t="s">
        <v>1488</v>
      </c>
      <c r="D241" t="s">
        <v>39</v>
      </c>
    </row>
    <row r="242" spans="1:4">
      <c r="A242" t="s">
        <v>37</v>
      </c>
      <c r="B242" t="s">
        <v>1734</v>
      </c>
      <c r="C242" t="s">
        <v>1490</v>
      </c>
      <c r="D242" t="s">
        <v>66</v>
      </c>
    </row>
    <row r="243" spans="1:4">
      <c r="A243" t="s">
        <v>112</v>
      </c>
      <c r="B243" t="s">
        <v>1735</v>
      </c>
      <c r="C243" t="s">
        <v>1488</v>
      </c>
      <c r="D243" t="s">
        <v>66</v>
      </c>
    </row>
    <row r="244" spans="1:4">
      <c r="A244" t="s">
        <v>635</v>
      </c>
      <c r="B244" t="s">
        <v>1736</v>
      </c>
      <c r="C244" t="s">
        <v>1490</v>
      </c>
      <c r="D244" t="s">
        <v>66</v>
      </c>
    </row>
    <row r="245" spans="1:4">
      <c r="A245" t="s">
        <v>669</v>
      </c>
      <c r="B245" t="s">
        <v>1737</v>
      </c>
      <c r="C245" t="s">
        <v>1493</v>
      </c>
      <c r="D245" t="s">
        <v>66</v>
      </c>
    </row>
    <row r="246" spans="1:4">
      <c r="A246" t="s">
        <v>179</v>
      </c>
      <c r="B246" t="s">
        <v>1738</v>
      </c>
      <c r="C246" t="s">
        <v>1493</v>
      </c>
      <c r="D246" t="s">
        <v>66</v>
      </c>
    </row>
    <row r="247" spans="1:4">
      <c r="A247" t="s">
        <v>174</v>
      </c>
      <c r="B247" t="s">
        <v>1739</v>
      </c>
      <c r="C247" t="s">
        <v>1488</v>
      </c>
      <c r="D247" t="s">
        <v>77</v>
      </c>
    </row>
    <row r="248" spans="1:4">
      <c r="A248" t="s">
        <v>633</v>
      </c>
      <c r="B248" t="s">
        <v>1740</v>
      </c>
      <c r="C248" t="s">
        <v>1490</v>
      </c>
      <c r="D248" t="s">
        <v>56</v>
      </c>
    </row>
    <row r="249" spans="1:4">
      <c r="A249" t="s">
        <v>1222</v>
      </c>
      <c r="B249" t="s">
        <v>1741</v>
      </c>
      <c r="C249" t="s">
        <v>1490</v>
      </c>
      <c r="D249" t="s">
        <v>66</v>
      </c>
    </row>
    <row r="250" spans="1:4">
      <c r="A250" t="s">
        <v>472</v>
      </c>
      <c r="B250" t="s">
        <v>1742</v>
      </c>
      <c r="C250" t="s">
        <v>1493</v>
      </c>
      <c r="D250" t="s">
        <v>77</v>
      </c>
    </row>
    <row r="251" spans="1:4">
      <c r="A251" t="s">
        <v>118</v>
      </c>
      <c r="B251" t="s">
        <v>1743</v>
      </c>
      <c r="C251" t="s">
        <v>1493</v>
      </c>
      <c r="D251" t="s">
        <v>56</v>
      </c>
    </row>
    <row r="252" spans="1:4">
      <c r="A252" t="s">
        <v>613</v>
      </c>
      <c r="B252" t="s">
        <v>1744</v>
      </c>
      <c r="C252" t="s">
        <v>1493</v>
      </c>
      <c r="D252" t="s">
        <v>56</v>
      </c>
    </row>
    <row r="253" spans="1:4">
      <c r="A253" t="s">
        <v>546</v>
      </c>
      <c r="B253" t="s">
        <v>1745</v>
      </c>
      <c r="C253" t="s">
        <v>1490</v>
      </c>
      <c r="D253" t="s">
        <v>39</v>
      </c>
    </row>
    <row r="254" spans="1:4">
      <c r="A254" t="s">
        <v>667</v>
      </c>
      <c r="B254" t="s">
        <v>1746</v>
      </c>
      <c r="C254" t="s">
        <v>1488</v>
      </c>
      <c r="D254" t="s">
        <v>56</v>
      </c>
    </row>
    <row r="255" spans="1:4">
      <c r="A255" t="s">
        <v>554</v>
      </c>
      <c r="B255" t="s">
        <v>1747</v>
      </c>
      <c r="C255" t="s">
        <v>1490</v>
      </c>
      <c r="D255" t="s">
        <v>66</v>
      </c>
    </row>
    <row r="256" spans="1:4">
      <c r="A256" t="s">
        <v>903</v>
      </c>
      <c r="B256" t="s">
        <v>1748</v>
      </c>
      <c r="C256" t="s">
        <v>1488</v>
      </c>
      <c r="D256" t="s">
        <v>77</v>
      </c>
    </row>
    <row r="257" spans="1:4">
      <c r="A257" t="s">
        <v>418</v>
      </c>
      <c r="B257" t="s">
        <v>1749</v>
      </c>
      <c r="C257" t="s">
        <v>1493</v>
      </c>
      <c r="D257" t="s">
        <v>39</v>
      </c>
    </row>
    <row r="258" spans="1:4">
      <c r="A258" t="s">
        <v>281</v>
      </c>
      <c r="B258" t="s">
        <v>1750</v>
      </c>
      <c r="C258" t="s">
        <v>1493</v>
      </c>
      <c r="D258" t="s">
        <v>56</v>
      </c>
    </row>
    <row r="259" spans="1:4">
      <c r="A259" t="s">
        <v>766</v>
      </c>
      <c r="B259" t="s">
        <v>1751</v>
      </c>
      <c r="C259" t="s">
        <v>1493</v>
      </c>
      <c r="D259" t="s">
        <v>77</v>
      </c>
    </row>
    <row r="260" spans="1:4">
      <c r="A260" t="s">
        <v>835</v>
      </c>
      <c r="B260" t="s">
        <v>1752</v>
      </c>
      <c r="C260" t="s">
        <v>1490</v>
      </c>
      <c r="D260" t="s">
        <v>77</v>
      </c>
    </row>
    <row r="261" spans="1:4">
      <c r="A261" t="s">
        <v>855</v>
      </c>
      <c r="B261" t="s">
        <v>1753</v>
      </c>
      <c r="C261" t="s">
        <v>1488</v>
      </c>
      <c r="D261" t="s">
        <v>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tabSelected="1" workbookViewId="0">
      <pane ySplit="1" topLeftCell="A2" activePane="bottomLeft" state="frozen"/>
      <selection pane="bottomLeft" activeCell="I3" sqref="I3"/>
    </sheetView>
  </sheetViews>
  <sheetFormatPr baseColWidth="10" defaultColWidth="8.83203125" defaultRowHeight="14"/>
  <cols>
    <col min="1" max="1" width="12" customWidth="1"/>
    <col min="2" max="2" width="48" customWidth="1"/>
    <col min="3" max="3" width="72" customWidth="1"/>
    <col min="6" max="8" width="15" bestFit="1" customWidth="1"/>
    <col min="9" max="9" width="11.5" bestFit="1" customWidth="1"/>
  </cols>
  <sheetData>
    <row r="1" spans="1:9" ht="28" customHeight="1">
      <c r="A1" s="1" t="s">
        <v>1754</v>
      </c>
      <c r="B1" s="1" t="s">
        <v>1755</v>
      </c>
      <c r="C1" s="1" t="s">
        <v>1756</v>
      </c>
      <c r="E1" s="1" t="s">
        <v>1810</v>
      </c>
    </row>
    <row r="2" spans="1:9">
      <c r="A2" t="s">
        <v>1757</v>
      </c>
      <c r="B2" t="s">
        <v>1758</v>
      </c>
      <c r="C2" t="s">
        <v>1759</v>
      </c>
      <c r="E2" t="s">
        <v>1811</v>
      </c>
      <c r="G2" t="s">
        <v>1813</v>
      </c>
      <c r="H2" t="s">
        <v>1814</v>
      </c>
      <c r="I2" t="s">
        <v>1815</v>
      </c>
    </row>
    <row r="3" spans="1:9">
      <c r="A3" t="s">
        <v>1757</v>
      </c>
      <c r="B3" t="s">
        <v>1760</v>
      </c>
      <c r="C3" t="s">
        <v>1761</v>
      </c>
      <c r="E3" t="s">
        <v>1812</v>
      </c>
      <c r="F3" s="10">
        <f>SUMIF(Ventas!M:M,"Completada",Ventas!O:O)</f>
        <v>45512437.602999948</v>
      </c>
      <c r="G3" s="10">
        <f>SUMIFS(Ventas!O:O,Ventas!G:G,"WEB",Ventas!M:M,"COMPLETADA")</f>
        <v>15171518.469500018</v>
      </c>
      <c r="H3" s="11">
        <f>COUNTIFS(Ventas!G:G,"Web",Ventas!M:M,"Completada")</f>
        <v>666</v>
      </c>
      <c r="I3" s="12">
        <f>G3/H3</f>
        <v>22780.057762012038</v>
      </c>
    </row>
    <row r="4" spans="1:9">
      <c r="A4" t="s">
        <v>1757</v>
      </c>
      <c r="B4" t="s">
        <v>1762</v>
      </c>
      <c r="C4" t="s">
        <v>1763</v>
      </c>
    </row>
    <row r="5" spans="1:9">
      <c r="A5" t="s">
        <v>1764</v>
      </c>
      <c r="B5" t="s">
        <v>1765</v>
      </c>
      <c r="C5" t="s">
        <v>1766</v>
      </c>
    </row>
    <row r="6" spans="1:9">
      <c r="A6" t="s">
        <v>1764</v>
      </c>
      <c r="B6" t="s">
        <v>1767</v>
      </c>
      <c r="C6" t="s">
        <v>1768</v>
      </c>
    </row>
    <row r="7" spans="1:9">
      <c r="A7" t="s">
        <v>1764</v>
      </c>
      <c r="B7" t="s">
        <v>1769</v>
      </c>
      <c r="C7" t="s">
        <v>1770</v>
      </c>
    </row>
    <row r="8" spans="1:9">
      <c r="A8" t="s">
        <v>1764</v>
      </c>
      <c r="B8" t="s">
        <v>1771</v>
      </c>
      <c r="C8" t="s">
        <v>1772</v>
      </c>
    </row>
    <row r="9" spans="1:9">
      <c r="A9" t="s">
        <v>1773</v>
      </c>
      <c r="B9" t="s">
        <v>1774</v>
      </c>
      <c r="C9" t="s">
        <v>1775</v>
      </c>
    </row>
    <row r="10" spans="1:9">
      <c r="A10" t="s">
        <v>1773</v>
      </c>
      <c r="B10" t="s">
        <v>1776</v>
      </c>
      <c r="C10" t="s">
        <v>1777</v>
      </c>
    </row>
    <row r="11" spans="1:9">
      <c r="A11" t="s">
        <v>1773</v>
      </c>
      <c r="B11" t="s">
        <v>1778</v>
      </c>
      <c r="C11" t="s">
        <v>1779</v>
      </c>
    </row>
    <row r="12" spans="1:9">
      <c r="A12" t="s">
        <v>1780</v>
      </c>
      <c r="B12" t="s">
        <v>1781</v>
      </c>
      <c r="C12" t="s">
        <v>1782</v>
      </c>
    </row>
    <row r="13" spans="1:9">
      <c r="A13" t="s">
        <v>1780</v>
      </c>
      <c r="B13" t="s">
        <v>1783</v>
      </c>
      <c r="C13" t="s">
        <v>1784</v>
      </c>
    </row>
    <row r="14" spans="1:9">
      <c r="A14" t="s">
        <v>1780</v>
      </c>
      <c r="B14" t="s">
        <v>1785</v>
      </c>
      <c r="C14" t="s">
        <v>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LEEME</vt:lpstr>
      <vt:lpstr>Ventas</vt:lpstr>
      <vt:lpstr>Practica_IF</vt:lpstr>
      <vt:lpstr>Catalogo</vt:lpstr>
      <vt:lpstr>Clientes</vt:lpstr>
      <vt:lpstr>Retos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 Leon Delgadillo</cp:lastModifiedBy>
  <dcterms:created xsi:type="dcterms:W3CDTF">2026-10-09T03:28:30Z</dcterms:created>
  <dcterms:modified xsi:type="dcterms:W3CDTF">2026-10-12T00:40:55Z</dcterms:modified>
</cp:coreProperties>
</file>