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9.xml.rels" ContentType="application/vnd.openxmlformats-package.relationships+xml"/>
  <Override PartName="/xl/worksheets/_rels/sheet10.xml.rels" ContentType="application/vnd.openxmlformats-package.relationships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pivotTables/pivotTable1.xml" ContentType="application/vnd.openxmlformats-officedocument.spreadsheetml.pivotTable+xml"/>
  <Override PartName="/xl/pivotTables/_rels/pivotTable1.xml.rels" ContentType="application/vnd.openxmlformats-package.relationships+xml"/>
  <Override PartName="/xl/pivotTables/_rels/pivotTable2.xml.rels" ContentType="application/vnd.openxmlformats-package.relationships+xml"/>
  <Override PartName="/xl/pivotTables/_rels/pivotTable3.xml.rels" ContentType="application/vnd.openxmlformats-package.relationships+xml"/>
  <Override PartName="/xl/pivotTables/_rels/pivotTable4.xml.rels" ContentType="application/vnd.openxmlformats-package.relationships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Analysis" sheetId="1" state="visible" r:id="rId3"/>
    <sheet name="LEEME" sheetId="2" state="visible" r:id="rId4"/>
    <sheet name="Ventas" sheetId="3" state="visible" r:id="rId5"/>
    <sheet name="U1_B3_Evaluacion" sheetId="4" state="visible" r:id="rId6"/>
    <sheet name="Tabla dinámica_Ventas_3" sheetId="5" state="visible" r:id="rId7"/>
    <sheet name="Tabla dinámica_Ventas_2" sheetId="6" state="visible" r:id="rId8"/>
    <sheet name="Tabla dinámica_Ventas_1" sheetId="7" state="visible" r:id="rId9"/>
    <sheet name="Practica_IF" sheetId="8" state="visible" r:id="rId10"/>
    <sheet name="Catalogo" sheetId="9" state="visible" r:id="rId11"/>
    <sheet name="Clientes" sheetId="10" state="visible" r:id="rId12"/>
    <sheet name="Retos" sheetId="11" state="visible" r:id="rId13"/>
  </sheets>
  <calcPr iterateCount="100" refMode="A1" iterate="false" iterateDelta="0.0001"/>
  <pivotCaches>
    <pivotCache cacheId="1" r:id="rId15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<sst xmlns="http://schemas.openxmlformats.org/spreadsheetml/2006/main" count="20021" uniqueCount="1831">
  <si>
    <t xml:space="preserve">ANALISIS FINANCIERO - PROYECTO 1</t>
  </si>
  <si>
    <t xml:space="preserve">Indicador</t>
  </si>
  <si>
    <t xml:space="preserve">Resultado</t>
  </si>
  <si>
    <t xml:space="preserve">Ingresos totales</t>
  </si>
  <si>
    <t xml:space="preserve">Costos totales</t>
  </si>
  <si>
    <t xml:space="preserve">Utilidad bruta</t>
  </si>
  <si>
    <t xml:space="preserve">Margen bruto (%)</t>
  </si>
  <si>
    <t xml:space="preserve">LABORATORIO COMERCIAL | DATA ANALYST</t>
  </si>
  <si>
    <t xml:space="preserve">Base sintética de entrenamiento — Unidad 1 y proyectos posteriores</t>
  </si>
  <si>
    <t xml:space="preserve">CONTENIDO</t>
  </si>
  <si>
    <t xml:space="preserve">Ventas: operaciones a nivel de línea de producto (un ticket puede tener varias líneas).</t>
  </si>
  <si>
    <t xml:space="preserve">Catalogo: productos, categorías, precios y costos de referencia.</t>
  </si>
  <si>
    <t xml:space="preserve">Clientes: identificadores, segmentos y región habitual.</t>
  </si>
  <si>
    <t xml:space="preserve">Retos: ejercicios graduados sin soluciones.</t>
  </si>
  <si>
    <t xml:space="preserve">REGLAS DE TRABAJO</t>
  </si>
  <si>
    <t xml:space="preserve">1. Conserva este archivo original. Trabaja sobre una copia para las transformaciones.</t>
  </si>
  <si>
    <t xml:space="preserve">2. Las columnas O, P y Q de Ventas están vacías intencionalmente: calcula ingreso neto, costo total y utilidad bruta.</t>
  </si>
  <si>
    <t xml:space="preserve">3. Define y documenta cómo tratar cancelaciones y devoluciones antes de sumar ventas.</t>
  </si>
  <si>
    <t xml:space="preserve">4. Existen incidencias sembradas a propósito: valores ausentes, duplicados sospechosos y datos inconsistentes.</t>
  </si>
  <si>
    <t xml:space="preserve">5. No elimines filas ni rellenes datos faltantes sin documentar el criterio.</t>
  </si>
  <si>
    <t xml:space="preserve">6. No uses el catálogo como sustituto automático del precio real de una transacción.</t>
  </si>
  <si>
    <t xml:space="preserve">ALCANCE</t>
  </si>
  <si>
    <t xml:space="preserve">2,294 líneas de venta, 950 tickets generados, 100 productos y 260 clientes.</t>
  </si>
  <si>
    <t xml:space="preserve">Periodo: enero a septiembre de 2026. Moneda de práctica: MXN.</t>
  </si>
  <si>
    <t xml:space="preserve">Los datos son ficticios; no representan una empresa real.</t>
  </si>
  <si>
    <t xml:space="preserve">Ticket</t>
  </si>
  <si>
    <t xml:space="preserve">Linea</t>
  </si>
  <si>
    <t xml:space="preserve">Fecha</t>
  </si>
  <si>
    <t xml:space="preserve">Cliente_ID</t>
  </si>
  <si>
    <t xml:space="preserve">Producto_ID</t>
  </si>
  <si>
    <t xml:space="preserve">Region</t>
  </si>
  <si>
    <t xml:space="preserve">Canal</t>
  </si>
  <si>
    <t xml:space="preserve">Vendedor</t>
  </si>
  <si>
    <t xml:space="preserve">Unidades</t>
  </si>
  <si>
    <t xml:space="preserve">Precio_unitario</t>
  </si>
  <si>
    <t xml:space="preserve">Descuento_pct</t>
  </si>
  <si>
    <t xml:space="preserve">Costo_unitario</t>
  </si>
  <si>
    <t xml:space="preserve">Estado</t>
  </si>
  <si>
    <t xml:space="preserve">Metodo_pago</t>
  </si>
  <si>
    <t xml:space="preserve">Ingreso_neto</t>
  </si>
  <si>
    <t xml:space="preserve">Costo_total</t>
  </si>
  <si>
    <t xml:space="preserve">Utilidad_bruta</t>
  </si>
  <si>
    <t xml:space="preserve">Observacion</t>
  </si>
  <si>
    <t xml:space="preserve">T-10000</t>
  </si>
  <si>
    <t xml:space="preserve">C0241</t>
  </si>
  <si>
    <t xml:space="preserve">P0077</t>
  </si>
  <si>
    <t xml:space="preserve">Sur</t>
  </si>
  <si>
    <t xml:space="preserve">Distribuidor</t>
  </si>
  <si>
    <t xml:space="preserve">Elena</t>
  </si>
  <si>
    <t xml:space="preserve">Completada</t>
  </si>
  <si>
    <t xml:space="preserve">Efectivo</t>
  </si>
  <si>
    <t xml:space="preserve">P0013</t>
  </si>
  <si>
    <t xml:space="preserve">Credito</t>
  </si>
  <si>
    <t xml:space="preserve">P0076</t>
  </si>
  <si>
    <t xml:space="preserve">T-10001</t>
  </si>
  <si>
    <t xml:space="preserve">C0075</t>
  </si>
  <si>
    <t xml:space="preserve">P0034</t>
  </si>
  <si>
    <t xml:space="preserve">Tienda</t>
  </si>
  <si>
    <t xml:space="preserve">Irene</t>
  </si>
  <si>
    <t xml:space="preserve">Tarjeta</t>
  </si>
  <si>
    <t xml:space="preserve">T-10002</t>
  </si>
  <si>
    <t xml:space="preserve">C0237</t>
  </si>
  <si>
    <t xml:space="preserve">P0045</t>
  </si>
  <si>
    <t xml:space="preserve">Occidente</t>
  </si>
  <si>
    <t xml:space="preserve">Web</t>
  </si>
  <si>
    <t xml:space="preserve">Gabriela</t>
  </si>
  <si>
    <t xml:space="preserve">P0069</t>
  </si>
  <si>
    <t xml:space="preserve">Transferencia</t>
  </si>
  <si>
    <t xml:space="preserve">P0058</t>
  </si>
  <si>
    <t xml:space="preserve">Cancelada</t>
  </si>
  <si>
    <t xml:space="preserve">T-10003</t>
  </si>
  <si>
    <t xml:space="preserve">C0105</t>
  </si>
  <si>
    <t xml:space="preserve">P0028</t>
  </si>
  <si>
    <t xml:space="preserve">Centro</t>
  </si>
  <si>
    <t xml:space="preserve">Hector</t>
  </si>
  <si>
    <t xml:space="preserve">P0051</t>
  </si>
  <si>
    <t xml:space="preserve">P0048</t>
  </si>
  <si>
    <t xml:space="preserve">P0047</t>
  </si>
  <si>
    <t xml:space="preserve">T-10004</t>
  </si>
  <si>
    <t xml:space="preserve">C0209</t>
  </si>
  <si>
    <t xml:space="preserve">Carla</t>
  </si>
  <si>
    <t xml:space="preserve">T-10005</t>
  </si>
  <si>
    <t xml:space="preserve">C0011</t>
  </si>
  <si>
    <t xml:space="preserve">P0041</t>
  </si>
  <si>
    <t xml:space="preserve">Norte</t>
  </si>
  <si>
    <t xml:space="preserve">P0054</t>
  </si>
  <si>
    <t xml:space="preserve">T-10006</t>
  </si>
  <si>
    <t xml:space="preserve">C0184</t>
  </si>
  <si>
    <t xml:space="preserve">P0075</t>
  </si>
  <si>
    <t xml:space="preserve">Diego</t>
  </si>
  <si>
    <t xml:space="preserve">P0083</t>
  </si>
  <si>
    <t xml:space="preserve">P0095</t>
  </si>
  <si>
    <t xml:space="preserve">P0044</t>
  </si>
  <si>
    <t xml:space="preserve">P0086</t>
  </si>
  <si>
    <t xml:space="preserve">T-10007</t>
  </si>
  <si>
    <t xml:space="preserve">C0041</t>
  </si>
  <si>
    <t xml:space="preserve">P0007</t>
  </si>
  <si>
    <t xml:space="preserve">P0063</t>
  </si>
  <si>
    <t xml:space="preserve">T-10008</t>
  </si>
  <si>
    <t xml:space="preserve">C0100</t>
  </si>
  <si>
    <t xml:space="preserve">P0004</t>
  </si>
  <si>
    <t xml:space="preserve">P0068</t>
  </si>
  <si>
    <t xml:space="preserve">T-10009</t>
  </si>
  <si>
    <t xml:space="preserve">C0043</t>
  </si>
  <si>
    <t xml:space="preserve">P0085</t>
  </si>
  <si>
    <t xml:space="preserve">P0100</t>
  </si>
  <si>
    <t xml:space="preserve">T-10010</t>
  </si>
  <si>
    <t xml:space="preserve">C0082</t>
  </si>
  <si>
    <t xml:space="preserve">P0009</t>
  </si>
  <si>
    <t xml:space="preserve">Bruno</t>
  </si>
  <si>
    <t xml:space="preserve">P0093</t>
  </si>
  <si>
    <t xml:space="preserve">T-10011</t>
  </si>
  <si>
    <t xml:space="preserve">C0103</t>
  </si>
  <si>
    <t xml:space="preserve">P0014</t>
  </si>
  <si>
    <t xml:space="preserve">T-10012</t>
  </si>
  <si>
    <t xml:space="preserve">C0062</t>
  </si>
  <si>
    <t xml:space="preserve">P0087</t>
  </si>
  <si>
    <t xml:space="preserve">P0024</t>
  </si>
  <si>
    <t xml:space="preserve">T-10013</t>
  </si>
  <si>
    <t xml:space="preserve">C0242</t>
  </si>
  <si>
    <t xml:space="preserve">P0067</t>
  </si>
  <si>
    <t xml:space="preserve">P0065</t>
  </si>
  <si>
    <t xml:space="preserve">P0072</t>
  </si>
  <si>
    <t xml:space="preserve">Devuelta</t>
  </si>
  <si>
    <t xml:space="preserve">T-10014</t>
  </si>
  <si>
    <t xml:space="preserve">C0250</t>
  </si>
  <si>
    <t xml:space="preserve">P0060</t>
  </si>
  <si>
    <t xml:space="preserve">P0080</t>
  </si>
  <si>
    <t xml:space="preserve">T-10015</t>
  </si>
  <si>
    <t xml:space="preserve">C0010</t>
  </si>
  <si>
    <t xml:space="preserve">P0066</t>
  </si>
  <si>
    <t xml:space="preserve">Jorge</t>
  </si>
  <si>
    <t xml:space="preserve">P0036</t>
  </si>
  <si>
    <t xml:space="preserve">T-10016</t>
  </si>
  <si>
    <t xml:space="preserve">C0221</t>
  </si>
  <si>
    <t xml:space="preserve">P0078</t>
  </si>
  <si>
    <t xml:space="preserve">Fabian</t>
  </si>
  <si>
    <t xml:space="preserve">T-10017</t>
  </si>
  <si>
    <t xml:space="preserve">C0090</t>
  </si>
  <si>
    <t xml:space="preserve">P0012</t>
  </si>
  <si>
    <t xml:space="preserve">P0039</t>
  </si>
  <si>
    <t xml:space="preserve">P0046</t>
  </si>
  <si>
    <t xml:space="preserve">P0098</t>
  </si>
  <si>
    <t xml:space="preserve">T-10018</t>
  </si>
  <si>
    <t xml:space="preserve">C0037</t>
  </si>
  <si>
    <t xml:space="preserve">P0050</t>
  </si>
  <si>
    <t xml:space="preserve">P0099</t>
  </si>
  <si>
    <t xml:space="preserve">P0097</t>
  </si>
  <si>
    <t xml:space="preserve">T-10019</t>
  </si>
  <si>
    <t xml:space="preserve">C0093</t>
  </si>
  <si>
    <t xml:space="preserve">P0035</t>
  </si>
  <si>
    <t xml:space="preserve">P0033</t>
  </si>
  <si>
    <t xml:space="preserve">Precio faltante: verificar fuente</t>
  </si>
  <si>
    <t xml:space="preserve">T-10020</t>
  </si>
  <si>
    <t xml:space="preserve">C0086</t>
  </si>
  <si>
    <t xml:space="preserve">P0043</t>
  </si>
  <si>
    <t xml:space="preserve">T-10021</t>
  </si>
  <si>
    <t xml:space="preserve">C0167</t>
  </si>
  <si>
    <t xml:space="preserve">P0027</t>
  </si>
  <si>
    <t xml:space="preserve">P0022</t>
  </si>
  <si>
    <t xml:space="preserve">T-10022</t>
  </si>
  <si>
    <t xml:space="preserve">C0160</t>
  </si>
  <si>
    <t xml:space="preserve">P0029</t>
  </si>
  <si>
    <t xml:space="preserve">P0064</t>
  </si>
  <si>
    <t xml:space="preserve">T-10023</t>
  </si>
  <si>
    <t xml:space="preserve">C0175</t>
  </si>
  <si>
    <t xml:space="preserve">P0038</t>
  </si>
  <si>
    <t xml:space="preserve">P0053</t>
  </si>
  <si>
    <t xml:space="preserve">T-10024</t>
  </si>
  <si>
    <t xml:space="preserve">C0210</t>
  </si>
  <si>
    <t xml:space="preserve">P0005</t>
  </si>
  <si>
    <t xml:space="preserve">P0003</t>
  </si>
  <si>
    <t xml:space="preserve">T-10025</t>
  </si>
  <si>
    <t xml:space="preserve">C0148</t>
  </si>
  <si>
    <t xml:space="preserve">P0026</t>
  </si>
  <si>
    <t xml:space="preserve">T-10026</t>
  </si>
  <si>
    <t xml:space="preserve">C0004</t>
  </si>
  <si>
    <t xml:space="preserve">T-10027</t>
  </si>
  <si>
    <t xml:space="preserve">C0133</t>
  </si>
  <si>
    <t xml:space="preserve">P0089</t>
  </si>
  <si>
    <t xml:space="preserve">T-10028</t>
  </si>
  <si>
    <t xml:space="preserve">C0246</t>
  </si>
  <si>
    <t xml:space="preserve">P0049</t>
  </si>
  <si>
    <t xml:space="preserve">T-10029</t>
  </si>
  <si>
    <t xml:space="preserve">C0016</t>
  </si>
  <si>
    <t xml:space="preserve">T-10030</t>
  </si>
  <si>
    <t xml:space="preserve">C0245</t>
  </si>
  <si>
    <t xml:space="preserve">P0042</t>
  </si>
  <si>
    <t xml:space="preserve">T-10031</t>
  </si>
  <si>
    <t xml:space="preserve">C0048</t>
  </si>
  <si>
    <t xml:space="preserve">P0002</t>
  </si>
  <si>
    <t xml:space="preserve">Ana</t>
  </si>
  <si>
    <t xml:space="preserve">P0018</t>
  </si>
  <si>
    <t xml:space="preserve">T-10032</t>
  </si>
  <si>
    <t xml:space="preserve">C0025</t>
  </si>
  <si>
    <t xml:space="preserve">T-10033</t>
  </si>
  <si>
    <t xml:space="preserve">C0219</t>
  </si>
  <si>
    <t xml:space="preserve">T-10034</t>
  </si>
  <si>
    <t xml:space="preserve">C0107</t>
  </si>
  <si>
    <t xml:space="preserve">T-10035</t>
  </si>
  <si>
    <t xml:space="preserve">P0052</t>
  </si>
  <si>
    <t xml:space="preserve">T-10036</t>
  </si>
  <si>
    <t xml:space="preserve">C0023</t>
  </si>
  <si>
    <t xml:space="preserve">P0008</t>
  </si>
  <si>
    <t xml:space="preserve">T-10037</t>
  </si>
  <si>
    <t xml:space="preserve">C0192</t>
  </si>
  <si>
    <t xml:space="preserve">T-10038</t>
  </si>
  <si>
    <t xml:space="preserve">C0064</t>
  </si>
  <si>
    <t xml:space="preserve">T-10039</t>
  </si>
  <si>
    <t xml:space="preserve">C0051</t>
  </si>
  <si>
    <t xml:space="preserve">P0031</t>
  </si>
  <si>
    <t xml:space="preserve">T-10040</t>
  </si>
  <si>
    <t xml:space="preserve">C0228</t>
  </si>
  <si>
    <t xml:space="preserve">P0091</t>
  </si>
  <si>
    <t xml:space="preserve">T-10041</t>
  </si>
  <si>
    <t xml:space="preserve">P0017</t>
  </si>
  <si>
    <t xml:space="preserve">T-10042</t>
  </si>
  <si>
    <t xml:space="preserve">Costo faltante: no estimar sin autorizacion</t>
  </si>
  <si>
    <t xml:space="preserve">P0030</t>
  </si>
  <si>
    <t xml:space="preserve">P0079</t>
  </si>
  <si>
    <t xml:space="preserve">T-10043</t>
  </si>
  <si>
    <t xml:space="preserve">C0212</t>
  </si>
  <si>
    <t xml:space="preserve">T-10044</t>
  </si>
  <si>
    <t xml:space="preserve">P0040</t>
  </si>
  <si>
    <t xml:space="preserve">P0059</t>
  </si>
  <si>
    <t xml:space="preserve">P0090</t>
  </si>
  <si>
    <t xml:space="preserve">T-10045</t>
  </si>
  <si>
    <t xml:space="preserve">C0180</t>
  </si>
  <si>
    <t xml:space="preserve">T-10046</t>
  </si>
  <si>
    <t xml:space="preserve">C0125</t>
  </si>
  <si>
    <t xml:space="preserve">P0001</t>
  </si>
  <si>
    <t xml:space="preserve">T-10047</t>
  </si>
  <si>
    <t xml:space="preserve">C0137</t>
  </si>
  <si>
    <t xml:space="preserve">P0092</t>
  </si>
  <si>
    <t xml:space="preserve">P0081</t>
  </si>
  <si>
    <t xml:space="preserve">T-10048</t>
  </si>
  <si>
    <t xml:space="preserve">T-10049</t>
  </si>
  <si>
    <t xml:space="preserve">C0236</t>
  </si>
  <si>
    <t xml:space="preserve">T-10050</t>
  </si>
  <si>
    <t xml:space="preserve">C0196</t>
  </si>
  <si>
    <t xml:space="preserve">P0055</t>
  </si>
  <si>
    <t xml:space="preserve">T-10051</t>
  </si>
  <si>
    <t xml:space="preserve">C0106</t>
  </si>
  <si>
    <t xml:space="preserve">P0073</t>
  </si>
  <si>
    <t xml:space="preserve">T-10052</t>
  </si>
  <si>
    <t xml:space="preserve">C0005</t>
  </si>
  <si>
    <t xml:space="preserve">T-10053</t>
  </si>
  <si>
    <t xml:space="preserve">C0142</t>
  </si>
  <si>
    <t xml:space="preserve">T-10054</t>
  </si>
  <si>
    <t xml:space="preserve">C0140</t>
  </si>
  <si>
    <t xml:space="preserve">T-10055</t>
  </si>
  <si>
    <t xml:space="preserve">C0026</t>
  </si>
  <si>
    <t xml:space="preserve">P0074</t>
  </si>
  <si>
    <t xml:space="preserve">T-10056</t>
  </si>
  <si>
    <t xml:space="preserve">C0117</t>
  </si>
  <si>
    <t xml:space="preserve">P0019</t>
  </si>
  <si>
    <t xml:space="preserve">T-10057</t>
  </si>
  <si>
    <t xml:space="preserve">C0226</t>
  </si>
  <si>
    <t xml:space="preserve">T-10058</t>
  </si>
  <si>
    <t xml:space="preserve">C0070</t>
  </si>
  <si>
    <t xml:space="preserve">P0094</t>
  </si>
  <si>
    <t xml:space="preserve">T-10059</t>
  </si>
  <si>
    <t xml:space="preserve">C0058</t>
  </si>
  <si>
    <t xml:space="preserve">P0037</t>
  </si>
  <si>
    <t xml:space="preserve">T-10060</t>
  </si>
  <si>
    <t xml:space="preserve">P0025</t>
  </si>
  <si>
    <t xml:space="preserve">T-10061</t>
  </si>
  <si>
    <t xml:space="preserve">T-10062</t>
  </si>
  <si>
    <t xml:space="preserve">C0169</t>
  </si>
  <si>
    <t xml:space="preserve">P0071</t>
  </si>
  <si>
    <t xml:space="preserve">T-10063</t>
  </si>
  <si>
    <t xml:space="preserve">C0021</t>
  </si>
  <si>
    <t xml:space="preserve">T-10064</t>
  </si>
  <si>
    <t xml:space="preserve">C0007</t>
  </si>
  <si>
    <t xml:space="preserve">T-10065</t>
  </si>
  <si>
    <t xml:space="preserve">C0033</t>
  </si>
  <si>
    <t xml:space="preserve">T-10066</t>
  </si>
  <si>
    <t xml:space="preserve">C0191</t>
  </si>
  <si>
    <t xml:space="preserve">P0084</t>
  </si>
  <si>
    <t xml:space="preserve">P0082</t>
  </si>
  <si>
    <t xml:space="preserve">P0015</t>
  </si>
  <si>
    <t xml:space="preserve">T-10067</t>
  </si>
  <si>
    <t xml:space="preserve">T-10068</t>
  </si>
  <si>
    <t xml:space="preserve">C0020</t>
  </si>
  <si>
    <t xml:space="preserve">P0062</t>
  </si>
  <si>
    <t xml:space="preserve">T-10069</t>
  </si>
  <si>
    <t xml:space="preserve">C0230</t>
  </si>
  <si>
    <t xml:space="preserve">T-10070</t>
  </si>
  <si>
    <t xml:space="preserve">C0257</t>
  </si>
  <si>
    <t xml:space="preserve">P0088</t>
  </si>
  <si>
    <t xml:space="preserve">T-10071</t>
  </si>
  <si>
    <t xml:space="preserve">C0224</t>
  </si>
  <si>
    <t xml:space="preserve">T-10072</t>
  </si>
  <si>
    <t xml:space="preserve">T-10073</t>
  </si>
  <si>
    <t xml:space="preserve">C0187</t>
  </si>
  <si>
    <t xml:space="preserve">T-10074</t>
  </si>
  <si>
    <t xml:space="preserve">C0008</t>
  </si>
  <si>
    <t xml:space="preserve">T-10075</t>
  </si>
  <si>
    <t xml:space="preserve">C0116</t>
  </si>
  <si>
    <t xml:space="preserve">T-10076</t>
  </si>
  <si>
    <t xml:space="preserve">P0070</t>
  </si>
  <si>
    <t xml:space="preserve">T-10077</t>
  </si>
  <si>
    <t xml:space="preserve">C0002</t>
  </si>
  <si>
    <t xml:space="preserve">T-10078</t>
  </si>
  <si>
    <t xml:space="preserve">T-10079</t>
  </si>
  <si>
    <t xml:space="preserve">C0233</t>
  </si>
  <si>
    <t xml:space="preserve">T-10080</t>
  </si>
  <si>
    <t xml:space="preserve">C0214</t>
  </si>
  <si>
    <t xml:space="preserve">T-10081</t>
  </si>
  <si>
    <t xml:space="preserve">C0234</t>
  </si>
  <si>
    <t xml:space="preserve">T-10082</t>
  </si>
  <si>
    <t xml:space="preserve">C0158</t>
  </si>
  <si>
    <t xml:space="preserve">T-10083</t>
  </si>
  <si>
    <t xml:space="preserve">T-10084</t>
  </si>
  <si>
    <t xml:space="preserve">C0146</t>
  </si>
  <si>
    <t xml:space="preserve">T-10085</t>
  </si>
  <si>
    <t xml:space="preserve">C0094</t>
  </si>
  <si>
    <t xml:space="preserve">T-10086</t>
  </si>
  <si>
    <t xml:space="preserve">T-10087</t>
  </si>
  <si>
    <t xml:space="preserve">C0126</t>
  </si>
  <si>
    <t xml:space="preserve">T-10088</t>
  </si>
  <si>
    <t xml:space="preserve">C0197</t>
  </si>
  <si>
    <t xml:space="preserve">T-10089</t>
  </si>
  <si>
    <t xml:space="preserve">C0186</t>
  </si>
  <si>
    <t xml:space="preserve">T-10090</t>
  </si>
  <si>
    <t xml:space="preserve">T-10091</t>
  </si>
  <si>
    <t xml:space="preserve">C0190</t>
  </si>
  <si>
    <t xml:space="preserve">P0006</t>
  </si>
  <si>
    <t xml:space="preserve">P0021</t>
  </si>
  <si>
    <t xml:space="preserve">T-10092</t>
  </si>
  <si>
    <t xml:space="preserve">T-10093</t>
  </si>
  <si>
    <t xml:space="preserve">C0095</t>
  </si>
  <si>
    <t xml:space="preserve">T-10094</t>
  </si>
  <si>
    <t xml:space="preserve">P0016</t>
  </si>
  <si>
    <t xml:space="preserve">T-10095</t>
  </si>
  <si>
    <t xml:space="preserve">T-10096</t>
  </si>
  <si>
    <t xml:space="preserve">C0049</t>
  </si>
  <si>
    <t xml:space="preserve">T-10097</t>
  </si>
  <si>
    <t xml:space="preserve">T-10098</t>
  </si>
  <si>
    <t xml:space="preserve">C0080</t>
  </si>
  <si>
    <t xml:space="preserve">T-10099</t>
  </si>
  <si>
    <t xml:space="preserve">C0115</t>
  </si>
  <si>
    <t xml:space="preserve">P0096</t>
  </si>
  <si>
    <t xml:space="preserve">T-10100</t>
  </si>
  <si>
    <t xml:space="preserve">C0131</t>
  </si>
  <si>
    <t xml:space="preserve">T-10101</t>
  </si>
  <si>
    <t xml:space="preserve">C0044</t>
  </si>
  <si>
    <t xml:space="preserve">T-10102</t>
  </si>
  <si>
    <t xml:space="preserve">T-10103</t>
  </si>
  <si>
    <t xml:space="preserve">C0057</t>
  </si>
  <si>
    <t xml:space="preserve">T-10104</t>
  </si>
  <si>
    <t xml:space="preserve">C0149</t>
  </si>
  <si>
    <t xml:space="preserve">T-10105</t>
  </si>
  <si>
    <t xml:space="preserve">P0032</t>
  </si>
  <si>
    <t xml:space="preserve">T-10106</t>
  </si>
  <si>
    <t xml:space="preserve">C0019</t>
  </si>
  <si>
    <t xml:space="preserve">T-10107</t>
  </si>
  <si>
    <t xml:space="preserve">C0032</t>
  </si>
  <si>
    <t xml:space="preserve">T-10108</t>
  </si>
  <si>
    <t xml:space="preserve">C0132</t>
  </si>
  <si>
    <t xml:space="preserve">P0011</t>
  </si>
  <si>
    <t xml:space="preserve">T-10109</t>
  </si>
  <si>
    <t xml:space="preserve">C0229</t>
  </si>
  <si>
    <t xml:space="preserve">T-10110</t>
  </si>
  <si>
    <t xml:space="preserve">C0183</t>
  </si>
  <si>
    <t xml:space="preserve">T-10111</t>
  </si>
  <si>
    <t xml:space="preserve">C0216</t>
  </si>
  <si>
    <t xml:space="preserve">T-10112</t>
  </si>
  <si>
    <t xml:space="preserve">C0134</t>
  </si>
  <si>
    <t xml:space="preserve">T-10113</t>
  </si>
  <si>
    <t xml:space="preserve">T-10114</t>
  </si>
  <si>
    <t xml:space="preserve">T-10115</t>
  </si>
  <si>
    <t xml:space="preserve">T-10116</t>
  </si>
  <si>
    <t xml:space="preserve">C0040</t>
  </si>
  <si>
    <t xml:space="preserve">P0010</t>
  </si>
  <si>
    <t xml:space="preserve">T-10117</t>
  </si>
  <si>
    <t xml:space="preserve">C0024</t>
  </si>
  <si>
    <t xml:space="preserve">T-10118</t>
  </si>
  <si>
    <t xml:space="preserve">Cantidad negativa: verificar devolucion</t>
  </si>
  <si>
    <t xml:space="preserve">T-10119</t>
  </si>
  <si>
    <t xml:space="preserve">C0003</t>
  </si>
  <si>
    <t xml:space="preserve">T-10120</t>
  </si>
  <si>
    <t xml:space="preserve">C0150</t>
  </si>
  <si>
    <t xml:space="preserve">T-10121</t>
  </si>
  <si>
    <t xml:space="preserve">C0087</t>
  </si>
  <si>
    <t xml:space="preserve">P0061</t>
  </si>
  <si>
    <t xml:space="preserve">T-10122</t>
  </si>
  <si>
    <t xml:space="preserve">C0073</t>
  </si>
  <si>
    <t xml:space="preserve">T-10123</t>
  </si>
  <si>
    <t xml:space="preserve">C0099</t>
  </si>
  <si>
    <t xml:space="preserve">T-10124</t>
  </si>
  <si>
    <t xml:space="preserve">C0035</t>
  </si>
  <si>
    <t xml:space="preserve">T-10125</t>
  </si>
  <si>
    <t xml:space="preserve">C0027</t>
  </si>
  <si>
    <t xml:space="preserve">T-10126</t>
  </si>
  <si>
    <t xml:space="preserve">C0017</t>
  </si>
  <si>
    <t xml:space="preserve">T-10127</t>
  </si>
  <si>
    <t xml:space="preserve">C0069</t>
  </si>
  <si>
    <t xml:space="preserve">T-10128</t>
  </si>
  <si>
    <t xml:space="preserve">C0240</t>
  </si>
  <si>
    <t xml:space="preserve">T-10129</t>
  </si>
  <si>
    <t xml:space="preserve">C0114</t>
  </si>
  <si>
    <t xml:space="preserve">T-10130</t>
  </si>
  <si>
    <t xml:space="preserve">C0012</t>
  </si>
  <si>
    <t xml:space="preserve">P0023</t>
  </si>
  <si>
    <t xml:space="preserve">T-10131</t>
  </si>
  <si>
    <t xml:space="preserve">T-10132</t>
  </si>
  <si>
    <t xml:space="preserve">C0222</t>
  </si>
  <si>
    <t xml:space="preserve">T-10133</t>
  </si>
  <si>
    <t xml:space="preserve">C0123</t>
  </si>
  <si>
    <t xml:space="preserve">P0020</t>
  </si>
  <si>
    <t xml:space="preserve">T-10134</t>
  </si>
  <si>
    <t xml:space="preserve">Posible duplicado exacto de linea (investigar)</t>
  </si>
  <si>
    <t xml:space="preserve">T-10135</t>
  </si>
  <si>
    <t xml:space="preserve">T-10136</t>
  </si>
  <si>
    <t xml:space="preserve">C0139</t>
  </si>
  <si>
    <t xml:space="preserve">T-10137</t>
  </si>
  <si>
    <t xml:space="preserve">P0056</t>
  </si>
  <si>
    <t xml:space="preserve">T-10138</t>
  </si>
  <si>
    <t xml:space="preserve">C0151</t>
  </si>
  <si>
    <t xml:space="preserve">T-10139</t>
  </si>
  <si>
    <t xml:space="preserve">C0172</t>
  </si>
  <si>
    <t xml:space="preserve">T-10140</t>
  </si>
  <si>
    <t xml:space="preserve">T-10141</t>
  </si>
  <si>
    <t xml:space="preserve">T-10142</t>
  </si>
  <si>
    <t xml:space="preserve">C0256</t>
  </si>
  <si>
    <t xml:space="preserve">T-10143</t>
  </si>
  <si>
    <t xml:space="preserve">T-10144</t>
  </si>
  <si>
    <t xml:space="preserve">T-10145</t>
  </si>
  <si>
    <t xml:space="preserve">T-10146</t>
  </si>
  <si>
    <t xml:space="preserve">C0119</t>
  </si>
  <si>
    <t xml:space="preserve">T-10147</t>
  </si>
  <si>
    <t xml:space="preserve">T-10148</t>
  </si>
  <si>
    <t xml:space="preserve">T-10149</t>
  </si>
  <si>
    <t xml:space="preserve">T-10150</t>
  </si>
  <si>
    <t xml:space="preserve">T-10151</t>
  </si>
  <si>
    <t xml:space="preserve">C0202</t>
  </si>
  <si>
    <t xml:space="preserve">T-10152</t>
  </si>
  <si>
    <t xml:space="preserve">T-10153</t>
  </si>
  <si>
    <t xml:space="preserve">T-10154</t>
  </si>
  <si>
    <t xml:space="preserve">T-10155</t>
  </si>
  <si>
    <t xml:space="preserve">T-10156</t>
  </si>
  <si>
    <t xml:space="preserve">C0113</t>
  </si>
  <si>
    <t xml:space="preserve">T-10157</t>
  </si>
  <si>
    <t xml:space="preserve">T-10158</t>
  </si>
  <si>
    <t xml:space="preserve">C0046</t>
  </si>
  <si>
    <t xml:space="preserve">T-10159</t>
  </si>
  <si>
    <t xml:space="preserve">T-10160</t>
  </si>
  <si>
    <t xml:space="preserve">C0074</t>
  </si>
  <si>
    <t xml:space="preserve">T-10161</t>
  </si>
  <si>
    <t xml:space="preserve">T-10162</t>
  </si>
  <si>
    <t xml:space="preserve">C0112</t>
  </si>
  <si>
    <t xml:space="preserve">T-10163</t>
  </si>
  <si>
    <t xml:space="preserve">C0135</t>
  </si>
  <si>
    <t xml:space="preserve">T-10164</t>
  </si>
  <si>
    <t xml:space="preserve">T-10165</t>
  </si>
  <si>
    <t xml:space="preserve">T-10166</t>
  </si>
  <si>
    <t xml:space="preserve">C0178</t>
  </si>
  <si>
    <t xml:space="preserve">T-10167</t>
  </si>
  <si>
    <t xml:space="preserve">C0121</t>
  </si>
  <si>
    <t xml:space="preserve">T-10168</t>
  </si>
  <si>
    <t xml:space="preserve">T-10169</t>
  </si>
  <si>
    <t xml:space="preserve">T-10170</t>
  </si>
  <si>
    <t xml:space="preserve">T-10171</t>
  </si>
  <si>
    <t xml:space="preserve">C0143</t>
  </si>
  <si>
    <t xml:space="preserve">T-10172</t>
  </si>
  <si>
    <t xml:space="preserve">T-10173</t>
  </si>
  <si>
    <t xml:space="preserve">C0053</t>
  </si>
  <si>
    <t xml:space="preserve">T-10174</t>
  </si>
  <si>
    <t xml:space="preserve">C0077</t>
  </si>
  <si>
    <t xml:space="preserve">T-10175</t>
  </si>
  <si>
    <t xml:space="preserve">T-10176</t>
  </si>
  <si>
    <t xml:space="preserve">C0089</t>
  </si>
  <si>
    <t xml:space="preserve">T-10177</t>
  </si>
  <si>
    <t xml:space="preserve">T-10178</t>
  </si>
  <si>
    <t xml:space="preserve">T-10179</t>
  </si>
  <si>
    <t xml:space="preserve">T-10180</t>
  </si>
  <si>
    <t xml:space="preserve">T-10181</t>
  </si>
  <si>
    <t xml:space="preserve">T-10182</t>
  </si>
  <si>
    <t xml:space="preserve">C0249</t>
  </si>
  <si>
    <t xml:space="preserve">T-10183</t>
  </si>
  <si>
    <t xml:space="preserve">C0050</t>
  </si>
  <si>
    <t xml:space="preserve">T-10184</t>
  </si>
  <si>
    <t xml:space="preserve">C0195</t>
  </si>
  <si>
    <t xml:space="preserve">T-10185</t>
  </si>
  <si>
    <t xml:space="preserve">C0181</t>
  </si>
  <si>
    <t xml:space="preserve">T-10186</t>
  </si>
  <si>
    <t xml:space="preserve">C0207</t>
  </si>
  <si>
    <t xml:space="preserve">T-10187</t>
  </si>
  <si>
    <t xml:space="preserve">C0238</t>
  </si>
  <si>
    <t xml:space="preserve">T-10188</t>
  </si>
  <si>
    <t xml:space="preserve">C0166</t>
  </si>
  <si>
    <t xml:space="preserve">T-10189</t>
  </si>
  <si>
    <t xml:space="preserve">C0225</t>
  </si>
  <si>
    <t xml:space="preserve">T-10190</t>
  </si>
  <si>
    <t xml:space="preserve">T-10191</t>
  </si>
  <si>
    <t xml:space="preserve">C0078</t>
  </si>
  <si>
    <t xml:space="preserve">T-10192</t>
  </si>
  <si>
    <t xml:space="preserve">T-10193</t>
  </si>
  <si>
    <t xml:space="preserve">C0009</t>
  </si>
  <si>
    <t xml:space="preserve">T-10194</t>
  </si>
  <si>
    <t xml:space="preserve">T-10195</t>
  </si>
  <si>
    <t xml:space="preserve">C0198</t>
  </si>
  <si>
    <t xml:space="preserve">T-10196</t>
  </si>
  <si>
    <t xml:space="preserve">C0098</t>
  </si>
  <si>
    <t xml:space="preserve">T-10197</t>
  </si>
  <si>
    <t xml:space="preserve">T-10198</t>
  </si>
  <si>
    <t xml:space="preserve">T-10199</t>
  </si>
  <si>
    <t xml:space="preserve">C0155</t>
  </si>
  <si>
    <t xml:space="preserve">T-10200</t>
  </si>
  <si>
    <t xml:space="preserve">T-10201</t>
  </si>
  <si>
    <t xml:space="preserve">T-10202</t>
  </si>
  <si>
    <t xml:space="preserve">C0162</t>
  </si>
  <si>
    <t xml:space="preserve">T-10203</t>
  </si>
  <si>
    <t xml:space="preserve">C0108</t>
  </si>
  <si>
    <t xml:space="preserve">T-10204</t>
  </si>
  <si>
    <t xml:space="preserve">T-10205</t>
  </si>
  <si>
    <t xml:space="preserve">T-10206</t>
  </si>
  <si>
    <t xml:space="preserve">T-10207</t>
  </si>
  <si>
    <t xml:space="preserve">T-10208</t>
  </si>
  <si>
    <t xml:space="preserve">T-10209</t>
  </si>
  <si>
    <t xml:space="preserve">C0001</t>
  </si>
  <si>
    <t xml:space="preserve">T-10210</t>
  </si>
  <si>
    <t xml:space="preserve">T-10211</t>
  </si>
  <si>
    <t xml:space="preserve">T-10212</t>
  </si>
  <si>
    <t xml:space="preserve">C0084</t>
  </si>
  <si>
    <t xml:space="preserve">T-10213</t>
  </si>
  <si>
    <t xml:space="preserve">T-10214</t>
  </si>
  <si>
    <t xml:space="preserve">T-10215</t>
  </si>
  <si>
    <t xml:space="preserve">C0096</t>
  </si>
  <si>
    <t xml:space="preserve">T-10216</t>
  </si>
  <si>
    <t xml:space="preserve">C0083</t>
  </si>
  <si>
    <t xml:space="preserve">T-10217</t>
  </si>
  <si>
    <t xml:space="preserve">T-10218</t>
  </si>
  <si>
    <t xml:space="preserve">C0045</t>
  </si>
  <si>
    <t xml:space="preserve">T-10219</t>
  </si>
  <si>
    <t xml:space="preserve">C0152</t>
  </si>
  <si>
    <t xml:space="preserve">T-10220</t>
  </si>
  <si>
    <t xml:space="preserve">T-10221</t>
  </si>
  <si>
    <t xml:space="preserve">C0154</t>
  </si>
  <si>
    <t xml:space="preserve">T-10222</t>
  </si>
  <si>
    <t xml:space="preserve">C0164</t>
  </si>
  <si>
    <t xml:space="preserve">T-10223</t>
  </si>
  <si>
    <t xml:space="preserve">C0068</t>
  </si>
  <si>
    <t xml:space="preserve">P0057</t>
  </si>
  <si>
    <t xml:space="preserve">T-10224</t>
  </si>
  <si>
    <t xml:space="preserve">T-10225</t>
  </si>
  <si>
    <t xml:space="preserve">C0200</t>
  </si>
  <si>
    <t xml:space="preserve">T-10226</t>
  </si>
  <si>
    <t xml:space="preserve">C0088</t>
  </si>
  <si>
    <t xml:space="preserve">T-10227</t>
  </si>
  <si>
    <t xml:space="preserve">C0018</t>
  </si>
  <si>
    <t xml:space="preserve">T-10228</t>
  </si>
  <si>
    <t xml:space="preserve">C0252</t>
  </si>
  <si>
    <t xml:space="preserve">T-10229</t>
  </si>
  <si>
    <t xml:space="preserve">T-10230</t>
  </si>
  <si>
    <t xml:space="preserve">T-10231</t>
  </si>
  <si>
    <t xml:space="preserve">C0206</t>
  </si>
  <si>
    <t xml:space="preserve">T-10232</t>
  </si>
  <si>
    <t xml:space="preserve">T-10233</t>
  </si>
  <si>
    <t xml:space="preserve">T-10234</t>
  </si>
  <si>
    <t xml:space="preserve">C0254</t>
  </si>
  <si>
    <t xml:space="preserve">T-10235</t>
  </si>
  <si>
    <t xml:space="preserve">T-10236</t>
  </si>
  <si>
    <t xml:space="preserve">C0081</t>
  </si>
  <si>
    <t xml:space="preserve">T-10237</t>
  </si>
  <si>
    <t xml:space="preserve">T-10238</t>
  </si>
  <si>
    <t xml:space="preserve">T-10239</t>
  </si>
  <si>
    <t xml:space="preserve">T-10240</t>
  </si>
  <si>
    <t xml:space="preserve">C0189</t>
  </si>
  <si>
    <t xml:space="preserve">T-10241</t>
  </si>
  <si>
    <t xml:space="preserve">C0036</t>
  </si>
  <si>
    <t xml:space="preserve">T-10242</t>
  </si>
  <si>
    <t xml:space="preserve">T-10243</t>
  </si>
  <si>
    <t xml:space="preserve">T-10244</t>
  </si>
  <si>
    <t xml:space="preserve">C0215</t>
  </si>
  <si>
    <t xml:space="preserve">T-10245</t>
  </si>
  <si>
    <t xml:space="preserve">C0061</t>
  </si>
  <si>
    <t xml:space="preserve">T-10246</t>
  </si>
  <si>
    <t xml:space="preserve">C0147</t>
  </si>
  <si>
    <t xml:space="preserve">T-10247</t>
  </si>
  <si>
    <t xml:space="preserve">C0014</t>
  </si>
  <si>
    <t xml:space="preserve">T-10248</t>
  </si>
  <si>
    <t xml:space="preserve">T-10249</t>
  </si>
  <si>
    <t xml:space="preserve">T-10250</t>
  </si>
  <si>
    <t xml:space="preserve">T-10251</t>
  </si>
  <si>
    <t xml:space="preserve">T-10252</t>
  </si>
  <si>
    <t xml:space="preserve">C0065</t>
  </si>
  <si>
    <t xml:space="preserve">T-10253</t>
  </si>
  <si>
    <t xml:space="preserve">T-10254</t>
  </si>
  <si>
    <t xml:space="preserve">T-10255</t>
  </si>
  <si>
    <t xml:space="preserve">C0034</t>
  </si>
  <si>
    <t xml:space="preserve">T-10256</t>
  </si>
  <si>
    <t xml:space="preserve">T-10257</t>
  </si>
  <si>
    <t xml:space="preserve">T-10258</t>
  </si>
  <si>
    <t xml:space="preserve">P9999</t>
  </si>
  <si>
    <t xml:space="preserve">Producto no encontrado en catalogo</t>
  </si>
  <si>
    <t xml:space="preserve">T-10259</t>
  </si>
  <si>
    <t xml:space="preserve">T-10260</t>
  </si>
  <si>
    <t xml:space="preserve">T-10261</t>
  </si>
  <si>
    <t xml:space="preserve">C0213</t>
  </si>
  <si>
    <t xml:space="preserve">T-10262</t>
  </si>
  <si>
    <t xml:space="preserve">T-10263</t>
  </si>
  <si>
    <t xml:space="preserve">T-10264</t>
  </si>
  <si>
    <t xml:space="preserve">T-10265</t>
  </si>
  <si>
    <t xml:space="preserve">T-10266</t>
  </si>
  <si>
    <t xml:space="preserve">T-10267</t>
  </si>
  <si>
    <t xml:space="preserve">T-10268</t>
  </si>
  <si>
    <t xml:space="preserve">C0176</t>
  </si>
  <si>
    <t xml:space="preserve">T-10269</t>
  </si>
  <si>
    <t xml:space="preserve">T-10270</t>
  </si>
  <si>
    <t xml:space="preserve">C0141</t>
  </si>
  <si>
    <t xml:space="preserve">T-10271</t>
  </si>
  <si>
    <t xml:space="preserve">C0076</t>
  </si>
  <si>
    <t xml:space="preserve">T-10272</t>
  </si>
  <si>
    <t xml:space="preserve">T-10273</t>
  </si>
  <si>
    <t xml:space="preserve">T-10274</t>
  </si>
  <si>
    <t xml:space="preserve">T-10275</t>
  </si>
  <si>
    <t xml:space="preserve">T-10276</t>
  </si>
  <si>
    <t xml:space="preserve">T-10277</t>
  </si>
  <si>
    <t xml:space="preserve">C0251</t>
  </si>
  <si>
    <t xml:space="preserve">T-10278</t>
  </si>
  <si>
    <t xml:space="preserve">C0232</t>
  </si>
  <si>
    <t xml:space="preserve">T-10279</t>
  </si>
  <si>
    <t xml:space="preserve">T-10280</t>
  </si>
  <si>
    <t xml:space="preserve">C0104</t>
  </si>
  <si>
    <t xml:space="preserve">T-10281</t>
  </si>
  <si>
    <t xml:space="preserve">C0055</t>
  </si>
  <si>
    <t xml:space="preserve">T-10282</t>
  </si>
  <si>
    <t xml:space="preserve">C0039</t>
  </si>
  <si>
    <t xml:space="preserve">T-10283</t>
  </si>
  <si>
    <t xml:space="preserve">T-10284</t>
  </si>
  <si>
    <t xml:space="preserve">C0165</t>
  </si>
  <si>
    <t xml:space="preserve">T-10285</t>
  </si>
  <si>
    <t xml:space="preserve">C0177</t>
  </si>
  <si>
    <t xml:space="preserve">T-10286</t>
  </si>
  <si>
    <t xml:space="preserve">T-10287</t>
  </si>
  <si>
    <t xml:space="preserve">C0091</t>
  </si>
  <si>
    <t xml:space="preserve">T-10288</t>
  </si>
  <si>
    <t xml:space="preserve">T-10289</t>
  </si>
  <si>
    <t xml:space="preserve">C0247</t>
  </si>
  <si>
    <t xml:space="preserve">T-10290</t>
  </si>
  <si>
    <t xml:space="preserve">C0243</t>
  </si>
  <si>
    <t xml:space="preserve">T-10291</t>
  </si>
  <si>
    <t xml:space="preserve">T-10292</t>
  </si>
  <si>
    <t xml:space="preserve">T-10293</t>
  </si>
  <si>
    <t xml:space="preserve">C0047</t>
  </si>
  <si>
    <t xml:space="preserve">T-10294</t>
  </si>
  <si>
    <t xml:space="preserve">T-10295</t>
  </si>
  <si>
    <t xml:space="preserve">T-10296</t>
  </si>
  <si>
    <t xml:space="preserve">T-10297</t>
  </si>
  <si>
    <t xml:space="preserve">C0071</t>
  </si>
  <si>
    <t xml:space="preserve">T-10298</t>
  </si>
  <si>
    <t xml:space="preserve">T-10299</t>
  </si>
  <si>
    <t xml:space="preserve">T-10300</t>
  </si>
  <si>
    <t xml:space="preserve">C0120</t>
  </si>
  <si>
    <t xml:space="preserve">T-10301</t>
  </si>
  <si>
    <t xml:space="preserve">T-10302</t>
  </si>
  <si>
    <t xml:space="preserve">T-10303</t>
  </si>
  <si>
    <t xml:space="preserve">T-10304</t>
  </si>
  <si>
    <t xml:space="preserve">T-10305</t>
  </si>
  <si>
    <t xml:space="preserve">T-10306</t>
  </si>
  <si>
    <t xml:space="preserve">C0171</t>
  </si>
  <si>
    <t xml:space="preserve">T-10307</t>
  </si>
  <si>
    <t xml:space="preserve">T-10308</t>
  </si>
  <si>
    <t xml:space="preserve">T-10309</t>
  </si>
  <si>
    <t xml:space="preserve">T-10310</t>
  </si>
  <si>
    <t xml:space="preserve">T-10311</t>
  </si>
  <si>
    <t xml:space="preserve">C0101</t>
  </si>
  <si>
    <t xml:space="preserve">T-10312</t>
  </si>
  <si>
    <t xml:space="preserve">C0235</t>
  </si>
  <si>
    <t xml:space="preserve">T-10313</t>
  </si>
  <si>
    <t xml:space="preserve">C0067</t>
  </si>
  <si>
    <t xml:space="preserve">T-10314</t>
  </si>
  <si>
    <t xml:space="preserve">C0253</t>
  </si>
  <si>
    <t xml:space="preserve">T-10315</t>
  </si>
  <si>
    <t xml:space="preserve">C0244</t>
  </si>
  <si>
    <t xml:space="preserve">T-10316</t>
  </si>
  <si>
    <t xml:space="preserve">T-10317</t>
  </si>
  <si>
    <t xml:space="preserve">C0211</t>
  </si>
  <si>
    <t xml:space="preserve">T-10318</t>
  </si>
  <si>
    <t xml:space="preserve">T-10319</t>
  </si>
  <si>
    <t xml:space="preserve">T-10320</t>
  </si>
  <si>
    <t xml:space="preserve">C0031</t>
  </si>
  <si>
    <t xml:space="preserve">T-10321</t>
  </si>
  <si>
    <t xml:space="preserve">T-10322</t>
  </si>
  <si>
    <t xml:space="preserve">T-10323</t>
  </si>
  <si>
    <t xml:space="preserve">C0185</t>
  </si>
  <si>
    <t xml:space="preserve">T-10324</t>
  </si>
  <si>
    <t xml:space="preserve">T-10325</t>
  </si>
  <si>
    <t xml:space="preserve">T-10326</t>
  </si>
  <si>
    <t xml:space="preserve">T-10327</t>
  </si>
  <si>
    <t xml:space="preserve">T-10328</t>
  </si>
  <si>
    <t xml:space="preserve">T-10329</t>
  </si>
  <si>
    <t xml:space="preserve">T-10330</t>
  </si>
  <si>
    <t xml:space="preserve">C0042</t>
  </si>
  <si>
    <t xml:space="preserve">T-10331</t>
  </si>
  <si>
    <t xml:space="preserve">C0239</t>
  </si>
  <si>
    <t xml:space="preserve">T-10332</t>
  </si>
  <si>
    <t xml:space="preserve">T-10333</t>
  </si>
  <si>
    <t xml:space="preserve">T-10334</t>
  </si>
  <si>
    <t xml:space="preserve">T-10335</t>
  </si>
  <si>
    <t xml:space="preserve">T-10336</t>
  </si>
  <si>
    <t xml:space="preserve">T-10337</t>
  </si>
  <si>
    <t xml:space="preserve">T-10338</t>
  </si>
  <si>
    <t xml:space="preserve">T-10339</t>
  </si>
  <si>
    <t xml:space="preserve">T-10340</t>
  </si>
  <si>
    <t xml:space="preserve">T-10341</t>
  </si>
  <si>
    <t xml:space="preserve">T-10342</t>
  </si>
  <si>
    <t xml:space="preserve">T-10343</t>
  </si>
  <si>
    <t xml:space="preserve">C0188</t>
  </si>
  <si>
    <t xml:space="preserve">T-10344</t>
  </si>
  <si>
    <t xml:space="preserve">T-10345</t>
  </si>
  <si>
    <t xml:space="preserve">T-10346</t>
  </si>
  <si>
    <t xml:space="preserve">T-10347</t>
  </si>
  <si>
    <t xml:space="preserve">T-10348</t>
  </si>
  <si>
    <t xml:space="preserve">C0223</t>
  </si>
  <si>
    <t xml:space="preserve">T-10349</t>
  </si>
  <si>
    <t xml:space="preserve">T-10350</t>
  </si>
  <si>
    <t xml:space="preserve">T-10351</t>
  </si>
  <si>
    <t xml:space="preserve">T-10352</t>
  </si>
  <si>
    <t xml:space="preserve">T-10353</t>
  </si>
  <si>
    <t xml:space="preserve">T-10354</t>
  </si>
  <si>
    <t xml:space="preserve">T-10355</t>
  </si>
  <si>
    <t xml:space="preserve">T-10356</t>
  </si>
  <si>
    <t xml:space="preserve">T-10357</t>
  </si>
  <si>
    <t xml:space="preserve">T-10358</t>
  </si>
  <si>
    <t xml:space="preserve">C0013</t>
  </si>
  <si>
    <t xml:space="preserve">T-10359</t>
  </si>
  <si>
    <t xml:space="preserve">T-10360</t>
  </si>
  <si>
    <t xml:space="preserve">T-10361</t>
  </si>
  <si>
    <t xml:space="preserve">T-10362</t>
  </si>
  <si>
    <t xml:space="preserve">T-10363</t>
  </si>
  <si>
    <t xml:space="preserve">T-10364</t>
  </si>
  <si>
    <t xml:space="preserve">T-10365</t>
  </si>
  <si>
    <t xml:space="preserve">T-10366</t>
  </si>
  <si>
    <t xml:space="preserve">T-10367</t>
  </si>
  <si>
    <t xml:space="preserve">T-10368</t>
  </si>
  <si>
    <t xml:space="preserve">T-10369</t>
  </si>
  <si>
    <t xml:space="preserve">T-10370</t>
  </si>
  <si>
    <t xml:space="preserve">T-10371</t>
  </si>
  <si>
    <t xml:space="preserve">T-10372</t>
  </si>
  <si>
    <t xml:space="preserve">T-10373</t>
  </si>
  <si>
    <t xml:space="preserve">T-10374</t>
  </si>
  <si>
    <t xml:space="preserve">C0170</t>
  </si>
  <si>
    <t xml:space="preserve">T-10375</t>
  </si>
  <si>
    <t xml:space="preserve">C0136</t>
  </si>
  <si>
    <t xml:space="preserve">T-10376</t>
  </si>
  <si>
    <t xml:space="preserve">T-10377</t>
  </si>
  <si>
    <t xml:space="preserve">C0056</t>
  </si>
  <si>
    <t xml:space="preserve">T-10378</t>
  </si>
  <si>
    <t xml:space="preserve">T-10379</t>
  </si>
  <si>
    <t xml:space="preserve">T-10380</t>
  </si>
  <si>
    <t xml:space="preserve">T-10381</t>
  </si>
  <si>
    <t xml:space="preserve">T-10382</t>
  </si>
  <si>
    <t xml:space="preserve">T-10383</t>
  </si>
  <si>
    <t xml:space="preserve">C0122</t>
  </si>
  <si>
    <t xml:space="preserve">T-10384</t>
  </si>
  <si>
    <t xml:space="preserve">T-10385</t>
  </si>
  <si>
    <t xml:space="preserve">C0092</t>
  </si>
  <si>
    <t xml:space="preserve">T-10386</t>
  </si>
  <si>
    <t xml:space="preserve">T-10387</t>
  </si>
  <si>
    <t xml:space="preserve">T-10388</t>
  </si>
  <si>
    <t xml:space="preserve">T-10389</t>
  </si>
  <si>
    <t xml:space="preserve">T-10390</t>
  </si>
  <si>
    <t xml:space="preserve">T-10391</t>
  </si>
  <si>
    <t xml:space="preserve">T-10392</t>
  </si>
  <si>
    <t xml:space="preserve">T-10393</t>
  </si>
  <si>
    <t xml:space="preserve">C0182</t>
  </si>
  <si>
    <t xml:space="preserve">T-10394</t>
  </si>
  <si>
    <t xml:space="preserve">T-10395</t>
  </si>
  <si>
    <t xml:space="preserve">T-10396</t>
  </si>
  <si>
    <t xml:space="preserve">T-10397</t>
  </si>
  <si>
    <t xml:space="preserve">C0258</t>
  </si>
  <si>
    <t xml:space="preserve">T-10398</t>
  </si>
  <si>
    <t xml:space="preserve">T-10399</t>
  </si>
  <si>
    <t xml:space="preserve">T-10400</t>
  </si>
  <si>
    <t xml:space="preserve">C0079</t>
  </si>
  <si>
    <t xml:space="preserve">T-10401</t>
  </si>
  <si>
    <t xml:space="preserve">C0203</t>
  </si>
  <si>
    <t xml:space="preserve">T-10402</t>
  </si>
  <si>
    <t xml:space="preserve">T-10403</t>
  </si>
  <si>
    <t xml:space="preserve">T-10404</t>
  </si>
  <si>
    <t xml:space="preserve">T-10405</t>
  </si>
  <si>
    <t xml:space="preserve">C0054</t>
  </si>
  <si>
    <t xml:space="preserve">T-10406</t>
  </si>
  <si>
    <t xml:space="preserve">C0127</t>
  </si>
  <si>
    <t xml:space="preserve">T-10407</t>
  </si>
  <si>
    <t xml:space="preserve">T-10408</t>
  </si>
  <si>
    <t xml:space="preserve">C0156</t>
  </si>
  <si>
    <t xml:space="preserve">T-10409</t>
  </si>
  <si>
    <t xml:space="preserve">T-10410</t>
  </si>
  <si>
    <t xml:space="preserve">T-10411</t>
  </si>
  <si>
    <t xml:space="preserve">T-10412</t>
  </si>
  <si>
    <t xml:space="preserve">T-10413</t>
  </si>
  <si>
    <t xml:space="preserve">T-10414</t>
  </si>
  <si>
    <t xml:space="preserve">T-10415</t>
  </si>
  <si>
    <t xml:space="preserve">C0193</t>
  </si>
  <si>
    <t xml:space="preserve">T-10416</t>
  </si>
  <si>
    <t xml:space="preserve">C0072</t>
  </si>
  <si>
    <t xml:space="preserve">T-10417</t>
  </si>
  <si>
    <t xml:space="preserve">T-10418</t>
  </si>
  <si>
    <t xml:space="preserve">T-10419</t>
  </si>
  <si>
    <t xml:space="preserve">C0111</t>
  </si>
  <si>
    <t xml:space="preserve">T-10420</t>
  </si>
  <si>
    <t xml:space="preserve">T-10421</t>
  </si>
  <si>
    <t xml:space="preserve">T-10422</t>
  </si>
  <si>
    <t xml:space="preserve">C0217</t>
  </si>
  <si>
    <t xml:space="preserve">T-10423</t>
  </si>
  <si>
    <t xml:space="preserve">T-10424</t>
  </si>
  <si>
    <t xml:space="preserve">T-10425</t>
  </si>
  <si>
    <t xml:space="preserve">C0201</t>
  </si>
  <si>
    <t xml:space="preserve">T-10426</t>
  </si>
  <si>
    <t xml:space="preserve">T-10427</t>
  </si>
  <si>
    <t xml:space="preserve">T-10428</t>
  </si>
  <si>
    <t xml:space="preserve">T-10429</t>
  </si>
  <si>
    <t xml:space="preserve">T-10430</t>
  </si>
  <si>
    <t xml:space="preserve">T-10431</t>
  </si>
  <si>
    <t xml:space="preserve">T-10432</t>
  </si>
  <si>
    <t xml:space="preserve">T-10433</t>
  </si>
  <si>
    <t xml:space="preserve">T-10434</t>
  </si>
  <si>
    <t xml:space="preserve">T-10435</t>
  </si>
  <si>
    <t xml:space="preserve">C0029</t>
  </si>
  <si>
    <t xml:space="preserve">T-10436</t>
  </si>
  <si>
    <t xml:space="preserve">C0179</t>
  </si>
  <si>
    <t xml:space="preserve">T-10437</t>
  </si>
  <si>
    <t xml:space="preserve">T-10438</t>
  </si>
  <si>
    <t xml:space="preserve">T-10439</t>
  </si>
  <si>
    <t xml:space="preserve">T-10440</t>
  </si>
  <si>
    <t xml:space="preserve">T-10441</t>
  </si>
  <si>
    <t xml:space="preserve">T-10442</t>
  </si>
  <si>
    <t xml:space="preserve">T-10443</t>
  </si>
  <si>
    <t xml:space="preserve">T-10444</t>
  </si>
  <si>
    <t xml:space="preserve">T-10445</t>
  </si>
  <si>
    <t xml:space="preserve">T-10446</t>
  </si>
  <si>
    <t xml:space="preserve">C0124</t>
  </si>
  <si>
    <t xml:space="preserve">T-10447</t>
  </si>
  <si>
    <t xml:space="preserve">T-10448</t>
  </si>
  <si>
    <t xml:space="preserve">T-10449</t>
  </si>
  <si>
    <t xml:space="preserve">T-10450</t>
  </si>
  <si>
    <t xml:space="preserve">C0128</t>
  </si>
  <si>
    <t xml:space="preserve">T-10451</t>
  </si>
  <si>
    <t xml:space="preserve">C0259</t>
  </si>
  <si>
    <t xml:space="preserve">T-10452</t>
  </si>
  <si>
    <t xml:space="preserve">T-10453</t>
  </si>
  <si>
    <t xml:space="preserve">T-10454</t>
  </si>
  <si>
    <t xml:space="preserve">T-10455</t>
  </si>
  <si>
    <t xml:space="preserve">C0227</t>
  </si>
  <si>
    <t xml:space="preserve">T-10456</t>
  </si>
  <si>
    <t xml:space="preserve">T-10457</t>
  </si>
  <si>
    <t xml:space="preserve">T-10458</t>
  </si>
  <si>
    <t xml:space="preserve">T-10459</t>
  </si>
  <si>
    <t xml:space="preserve">T-10460</t>
  </si>
  <si>
    <t xml:space="preserve">T-10461</t>
  </si>
  <si>
    <t xml:space="preserve">T-10462</t>
  </si>
  <si>
    <t xml:space="preserve">T-10463</t>
  </si>
  <si>
    <t xml:space="preserve">T-10464</t>
  </si>
  <si>
    <t xml:space="preserve">T-10465</t>
  </si>
  <si>
    <t xml:space="preserve">T-10466</t>
  </si>
  <si>
    <t xml:space="preserve">T-10467</t>
  </si>
  <si>
    <t xml:space="preserve">T-10468</t>
  </si>
  <si>
    <t xml:space="preserve">T-10469</t>
  </si>
  <si>
    <t xml:space="preserve">C0260</t>
  </si>
  <si>
    <t xml:space="preserve">T-10470</t>
  </si>
  <si>
    <t xml:space="preserve">C0110</t>
  </si>
  <si>
    <t xml:space="preserve">T-10471</t>
  </si>
  <si>
    <t xml:space="preserve">T-10472</t>
  </si>
  <si>
    <t xml:space="preserve">T-10473</t>
  </si>
  <si>
    <t xml:space="preserve">T-10474</t>
  </si>
  <si>
    <t xml:space="preserve">T-10475</t>
  </si>
  <si>
    <t xml:space="preserve">T-10476</t>
  </si>
  <si>
    <t xml:space="preserve">T-10477</t>
  </si>
  <si>
    <t xml:space="preserve">T-10478</t>
  </si>
  <si>
    <t xml:space="preserve">C0220</t>
  </si>
  <si>
    <t xml:space="preserve">T-10479</t>
  </si>
  <si>
    <t xml:space="preserve">T-10480</t>
  </si>
  <si>
    <t xml:space="preserve">T-10481</t>
  </si>
  <si>
    <t xml:space="preserve">T-10482</t>
  </si>
  <si>
    <t xml:space="preserve">T-10483</t>
  </si>
  <si>
    <t xml:space="preserve">C0102</t>
  </si>
  <si>
    <t xml:space="preserve">T-10484</t>
  </si>
  <si>
    <t xml:space="preserve">T-10485</t>
  </si>
  <si>
    <t xml:space="preserve">T-10486</t>
  </si>
  <si>
    <t xml:space="preserve">T-10487</t>
  </si>
  <si>
    <t xml:space="preserve">T-10488</t>
  </si>
  <si>
    <t xml:space="preserve">T-10489</t>
  </si>
  <si>
    <t xml:space="preserve">T-10490</t>
  </si>
  <si>
    <t xml:space="preserve">C0204</t>
  </si>
  <si>
    <t xml:space="preserve">T-10491</t>
  </si>
  <si>
    <t xml:space="preserve">C0163</t>
  </si>
  <si>
    <t xml:space="preserve">T-10492</t>
  </si>
  <si>
    <t xml:space="preserve">C0109</t>
  </si>
  <si>
    <t xml:space="preserve">T-10493</t>
  </si>
  <si>
    <t xml:space="preserve">T-10494</t>
  </si>
  <si>
    <t xml:space="preserve">T-10495</t>
  </si>
  <si>
    <t xml:space="preserve">T-10496</t>
  </si>
  <si>
    <t xml:space="preserve">T-10497</t>
  </si>
  <si>
    <t xml:space="preserve">C0038</t>
  </si>
  <si>
    <t xml:space="preserve">T-10498</t>
  </si>
  <si>
    <t xml:space="preserve">T-10499</t>
  </si>
  <si>
    <t xml:space="preserve">T-10500</t>
  </si>
  <si>
    <t xml:space="preserve">T-10501</t>
  </si>
  <si>
    <t xml:space="preserve">T-10502</t>
  </si>
  <si>
    <t xml:space="preserve">T-10503</t>
  </si>
  <si>
    <t xml:space="preserve">T-10504</t>
  </si>
  <si>
    <t xml:space="preserve">T-10505</t>
  </si>
  <si>
    <t xml:space="preserve">T-10506</t>
  </si>
  <si>
    <t xml:space="preserve">T-10507</t>
  </si>
  <si>
    <t xml:space="preserve">T-10508</t>
  </si>
  <si>
    <t xml:space="preserve">T-10509</t>
  </si>
  <si>
    <t xml:space="preserve">C0255</t>
  </si>
  <si>
    <t xml:space="preserve">T-10510</t>
  </si>
  <si>
    <t xml:space="preserve">T-10511</t>
  </si>
  <si>
    <t xml:space="preserve">T-10512</t>
  </si>
  <si>
    <t xml:space="preserve">T-10513</t>
  </si>
  <si>
    <t xml:space="preserve">T-10514</t>
  </si>
  <si>
    <t xml:space="preserve">T-10515</t>
  </si>
  <si>
    <t xml:space="preserve">C0138</t>
  </si>
  <si>
    <t xml:space="preserve">T-10516</t>
  </si>
  <si>
    <t xml:space="preserve">T-10517</t>
  </si>
  <si>
    <t xml:space="preserve">T-10518</t>
  </si>
  <si>
    <t xml:space="preserve">T-10519</t>
  </si>
  <si>
    <t xml:space="preserve">T-10520</t>
  </si>
  <si>
    <t xml:space="preserve">T-10521</t>
  </si>
  <si>
    <t xml:space="preserve">T-10522</t>
  </si>
  <si>
    <t xml:space="preserve">T-10523</t>
  </si>
  <si>
    <t xml:space="preserve">T-10524</t>
  </si>
  <si>
    <t xml:space="preserve">T-10525</t>
  </si>
  <si>
    <t xml:space="preserve">T-10526</t>
  </si>
  <si>
    <t xml:space="preserve">T-10527</t>
  </si>
  <si>
    <t xml:space="preserve">T-10528</t>
  </si>
  <si>
    <t xml:space="preserve">T-10529</t>
  </si>
  <si>
    <t xml:space="preserve">T-10530</t>
  </si>
  <si>
    <t xml:space="preserve">T-10531</t>
  </si>
  <si>
    <t xml:space="preserve">T-10532</t>
  </si>
  <si>
    <t xml:space="preserve">T-10533</t>
  </si>
  <si>
    <t xml:space="preserve">T-10534</t>
  </si>
  <si>
    <t xml:space="preserve">T-10535</t>
  </si>
  <si>
    <t xml:space="preserve">T-10536</t>
  </si>
  <si>
    <t xml:space="preserve">T-10537</t>
  </si>
  <si>
    <t xml:space="preserve">T-10538</t>
  </si>
  <si>
    <t xml:space="preserve">T-10539</t>
  </si>
  <si>
    <t xml:space="preserve">T-10540</t>
  </si>
  <si>
    <t xml:space="preserve">T-10541</t>
  </si>
  <si>
    <t xml:space="preserve">T-10542</t>
  </si>
  <si>
    <t xml:space="preserve">T-10543</t>
  </si>
  <si>
    <t xml:space="preserve">T-10544</t>
  </si>
  <si>
    <t xml:space="preserve">C0174</t>
  </si>
  <si>
    <t xml:space="preserve">T-10545</t>
  </si>
  <si>
    <t xml:space="preserve">T-10546</t>
  </si>
  <si>
    <t xml:space="preserve">norte</t>
  </si>
  <si>
    <t xml:space="preserve">Region con escritura inconsistente</t>
  </si>
  <si>
    <t xml:space="preserve">T-10547</t>
  </si>
  <si>
    <t xml:space="preserve">T-10548</t>
  </si>
  <si>
    <t xml:space="preserve">T-10549</t>
  </si>
  <si>
    <t xml:space="preserve">T-10550</t>
  </si>
  <si>
    <t xml:space="preserve">T-10551</t>
  </si>
  <si>
    <t xml:space="preserve">C0218</t>
  </si>
  <si>
    <t xml:space="preserve">T-10552</t>
  </si>
  <si>
    <t xml:space="preserve">T-10553</t>
  </si>
  <si>
    <t xml:space="preserve">T-10554</t>
  </si>
  <si>
    <t xml:space="preserve">T-10555</t>
  </si>
  <si>
    <t xml:space="preserve">T-10556</t>
  </si>
  <si>
    <t xml:space="preserve">T-10557</t>
  </si>
  <si>
    <t xml:space="preserve">T-10558</t>
  </si>
  <si>
    <t xml:space="preserve">T-10559</t>
  </si>
  <si>
    <t xml:space="preserve">T-10560</t>
  </si>
  <si>
    <t xml:space="preserve">T-10561</t>
  </si>
  <si>
    <t xml:space="preserve">T-10562</t>
  </si>
  <si>
    <t xml:space="preserve">T-10563</t>
  </si>
  <si>
    <t xml:space="preserve">C0231</t>
  </si>
  <si>
    <t xml:space="preserve">T-10564</t>
  </si>
  <si>
    <t xml:space="preserve">T-10565</t>
  </si>
  <si>
    <t xml:space="preserve">T-10566</t>
  </si>
  <si>
    <t xml:space="preserve">T-10567</t>
  </si>
  <si>
    <t xml:space="preserve">T-10568</t>
  </si>
  <si>
    <t xml:space="preserve">C0059</t>
  </si>
  <si>
    <t xml:space="preserve">T-10569</t>
  </si>
  <si>
    <t xml:space="preserve">T-10570</t>
  </si>
  <si>
    <t xml:space="preserve">T-10571</t>
  </si>
  <si>
    <t xml:space="preserve">T-10572</t>
  </si>
  <si>
    <t xml:space="preserve">T-10573</t>
  </si>
  <si>
    <t xml:space="preserve">T-10574</t>
  </si>
  <si>
    <t xml:space="preserve">T-10575</t>
  </si>
  <si>
    <t xml:space="preserve">C0022</t>
  </si>
  <si>
    <t xml:space="preserve">T-10576</t>
  </si>
  <si>
    <t xml:space="preserve">T-10577</t>
  </si>
  <si>
    <t xml:space="preserve">T-10578</t>
  </si>
  <si>
    <t xml:space="preserve">T-10579</t>
  </si>
  <si>
    <t xml:space="preserve">T-10580</t>
  </si>
  <si>
    <t xml:space="preserve">T-10581</t>
  </si>
  <si>
    <t xml:space="preserve">T-10582</t>
  </si>
  <si>
    <t xml:space="preserve">T-10583</t>
  </si>
  <si>
    <t xml:space="preserve">C0130</t>
  </si>
  <si>
    <t xml:space="preserve">T-10584</t>
  </si>
  <si>
    <t xml:space="preserve">C0208</t>
  </si>
  <si>
    <t xml:space="preserve">T-10585</t>
  </si>
  <si>
    <t xml:space="preserve">T-10586</t>
  </si>
  <si>
    <t xml:space="preserve">T-10587</t>
  </si>
  <si>
    <t xml:space="preserve">T-10588</t>
  </si>
  <si>
    <t xml:space="preserve">T-10589</t>
  </si>
  <si>
    <t xml:space="preserve">T-10590</t>
  </si>
  <si>
    <t xml:space="preserve">T-10591</t>
  </si>
  <si>
    <t xml:space="preserve">T-10592</t>
  </si>
  <si>
    <t xml:space="preserve">T-10593</t>
  </si>
  <si>
    <t xml:space="preserve">T-10594</t>
  </si>
  <si>
    <t xml:space="preserve">T-10595</t>
  </si>
  <si>
    <t xml:space="preserve">T-10596</t>
  </si>
  <si>
    <t xml:space="preserve">T-10597</t>
  </si>
  <si>
    <t xml:space="preserve">T-10598</t>
  </si>
  <si>
    <t xml:space="preserve">T-10599</t>
  </si>
  <si>
    <t xml:space="preserve">T-10600</t>
  </si>
  <si>
    <t xml:space="preserve">C0173</t>
  </si>
  <si>
    <t xml:space="preserve">T-10601</t>
  </si>
  <si>
    <t xml:space="preserve">C0060</t>
  </si>
  <si>
    <t xml:space="preserve">T-10602</t>
  </si>
  <si>
    <t xml:space="preserve">T-10603</t>
  </si>
  <si>
    <t xml:space="preserve">T-10604</t>
  </si>
  <si>
    <t xml:space="preserve">T-10605</t>
  </si>
  <si>
    <t xml:space="preserve">T-10606</t>
  </si>
  <si>
    <t xml:space="preserve">T-10607</t>
  </si>
  <si>
    <t xml:space="preserve">T-10608</t>
  </si>
  <si>
    <t xml:space="preserve">T-10609</t>
  </si>
  <si>
    <t xml:space="preserve">T-10610</t>
  </si>
  <si>
    <t xml:space="preserve">T-10611</t>
  </si>
  <si>
    <t xml:space="preserve">T-10612</t>
  </si>
  <si>
    <t xml:space="preserve">T-10613</t>
  </si>
  <si>
    <t xml:space="preserve">T-10614</t>
  </si>
  <si>
    <t xml:space="preserve">T-10615</t>
  </si>
  <si>
    <t xml:space="preserve">T-10616</t>
  </si>
  <si>
    <t xml:space="preserve">T-10617</t>
  </si>
  <si>
    <t xml:space="preserve">T-10618</t>
  </si>
  <si>
    <t xml:space="preserve">T-10619</t>
  </si>
  <si>
    <t xml:space="preserve">T-10620</t>
  </si>
  <si>
    <t xml:space="preserve">T-10621</t>
  </si>
  <si>
    <t xml:space="preserve">T-10622</t>
  </si>
  <si>
    <t xml:space="preserve">T-10623</t>
  </si>
  <si>
    <t xml:space="preserve">T-10624</t>
  </si>
  <si>
    <t xml:space="preserve">T-10625</t>
  </si>
  <si>
    <t xml:space="preserve">T-10626</t>
  </si>
  <si>
    <t xml:space="preserve">T-10627</t>
  </si>
  <si>
    <t xml:space="preserve">T-10628</t>
  </si>
  <si>
    <t xml:space="preserve">T-10629</t>
  </si>
  <si>
    <t xml:space="preserve">T-10630</t>
  </si>
  <si>
    <t xml:space="preserve">T-10631</t>
  </si>
  <si>
    <t xml:space="preserve">T-10632</t>
  </si>
  <si>
    <t xml:space="preserve">T-10633</t>
  </si>
  <si>
    <t xml:space="preserve">T-10634</t>
  </si>
  <si>
    <t xml:space="preserve">T-10635</t>
  </si>
  <si>
    <t xml:space="preserve">C0066</t>
  </si>
  <si>
    <t xml:space="preserve">T-10636</t>
  </si>
  <si>
    <t xml:space="preserve">T-10637</t>
  </si>
  <si>
    <t xml:space="preserve">T-10638</t>
  </si>
  <si>
    <t xml:space="preserve">T-10639</t>
  </si>
  <si>
    <t xml:space="preserve">T-10640</t>
  </si>
  <si>
    <t xml:space="preserve">T-10641</t>
  </si>
  <si>
    <t xml:space="preserve">T-10642</t>
  </si>
  <si>
    <t xml:space="preserve">T-10643</t>
  </si>
  <si>
    <t xml:space="preserve">T-10644</t>
  </si>
  <si>
    <t xml:space="preserve">T-10645</t>
  </si>
  <si>
    <t xml:space="preserve">T-10646</t>
  </si>
  <si>
    <t xml:space="preserve">T-10647</t>
  </si>
  <si>
    <t xml:space="preserve">T-10648</t>
  </si>
  <si>
    <t xml:space="preserve">T-10649</t>
  </si>
  <si>
    <t xml:space="preserve">T-10650</t>
  </si>
  <si>
    <t xml:space="preserve">T-10651</t>
  </si>
  <si>
    <t xml:space="preserve">T-10652</t>
  </si>
  <si>
    <t xml:space="preserve">T-10653</t>
  </si>
  <si>
    <t xml:space="preserve">T-10654</t>
  </si>
  <si>
    <t xml:space="preserve">T-10655</t>
  </si>
  <si>
    <t xml:space="preserve">T-10656</t>
  </si>
  <si>
    <t xml:space="preserve">C0118</t>
  </si>
  <si>
    <t xml:space="preserve">T-10657</t>
  </si>
  <si>
    <t xml:space="preserve">T-10658</t>
  </si>
  <si>
    <t xml:space="preserve">T-10659</t>
  </si>
  <si>
    <t xml:space="preserve">T-10660</t>
  </si>
  <si>
    <t xml:space="preserve">T-10661</t>
  </si>
  <si>
    <t xml:space="preserve">C0161</t>
  </si>
  <si>
    <t xml:space="preserve">T-10662</t>
  </si>
  <si>
    <t xml:space="preserve">T-10663</t>
  </si>
  <si>
    <t xml:space="preserve">C0153</t>
  </si>
  <si>
    <t xml:space="preserve">T-10664</t>
  </si>
  <si>
    <t xml:space="preserve">T-10665</t>
  </si>
  <si>
    <t xml:space="preserve">T-10666</t>
  </si>
  <si>
    <t xml:space="preserve">T-10667</t>
  </si>
  <si>
    <t xml:space="preserve">T-10668</t>
  </si>
  <si>
    <t xml:space="preserve">T-10669</t>
  </si>
  <si>
    <t xml:space="preserve">T-10670</t>
  </si>
  <si>
    <t xml:space="preserve">T-10671</t>
  </si>
  <si>
    <t xml:space="preserve">T-10672</t>
  </si>
  <si>
    <t xml:space="preserve">T-10673</t>
  </si>
  <si>
    <t xml:space="preserve">T-10674</t>
  </si>
  <si>
    <t xml:space="preserve">T-10675</t>
  </si>
  <si>
    <t xml:space="preserve">T-10676</t>
  </si>
  <si>
    <t xml:space="preserve">T-10677</t>
  </si>
  <si>
    <t xml:space="preserve">T-10678</t>
  </si>
  <si>
    <t xml:space="preserve">T-10679</t>
  </si>
  <si>
    <t xml:space="preserve">T-10680</t>
  </si>
  <si>
    <t xml:space="preserve">T-10681</t>
  </si>
  <si>
    <t xml:space="preserve">T-10682</t>
  </si>
  <si>
    <t xml:space="preserve">T-10683</t>
  </si>
  <si>
    <t xml:space="preserve">T-10684</t>
  </si>
  <si>
    <t xml:space="preserve">T-10685</t>
  </si>
  <si>
    <t xml:space="preserve">T-10686</t>
  </si>
  <si>
    <t xml:space="preserve">T-10687</t>
  </si>
  <si>
    <t xml:space="preserve">T-10688</t>
  </si>
  <si>
    <t xml:space="preserve">T-10689</t>
  </si>
  <si>
    <t xml:space="preserve">T-10690</t>
  </si>
  <si>
    <t xml:space="preserve">T-10691</t>
  </si>
  <si>
    <t xml:space="preserve">C0129</t>
  </si>
  <si>
    <t xml:space="preserve">T-10692</t>
  </si>
  <si>
    <t xml:space="preserve">T-10693</t>
  </si>
  <si>
    <t xml:space="preserve">T-10694</t>
  </si>
  <si>
    <t xml:space="preserve">T-10695</t>
  </si>
  <si>
    <t xml:space="preserve">T-10696</t>
  </si>
  <si>
    <t xml:space="preserve">T-10697</t>
  </si>
  <si>
    <t xml:space="preserve">T-10698</t>
  </si>
  <si>
    <t xml:space="preserve">T-10699</t>
  </si>
  <si>
    <t xml:space="preserve">T-10700</t>
  </si>
  <si>
    <t xml:space="preserve">T-10701</t>
  </si>
  <si>
    <t xml:space="preserve">T-10702</t>
  </si>
  <si>
    <t xml:space="preserve">T-10703</t>
  </si>
  <si>
    <t xml:space="preserve">T-10704</t>
  </si>
  <si>
    <t xml:space="preserve">T-10705</t>
  </si>
  <si>
    <t xml:space="preserve">T-10706</t>
  </si>
  <si>
    <t xml:space="preserve">Descuento atipico: validar</t>
  </si>
  <si>
    <t xml:space="preserve">T-10707</t>
  </si>
  <si>
    <t xml:space="preserve">C0015</t>
  </si>
  <si>
    <t xml:space="preserve">T-10708</t>
  </si>
  <si>
    <t xml:space="preserve">T-10709</t>
  </si>
  <si>
    <t xml:space="preserve">T-10710</t>
  </si>
  <si>
    <t xml:space="preserve">T-10711</t>
  </si>
  <si>
    <t xml:space="preserve">T-10712</t>
  </si>
  <si>
    <t xml:space="preserve">T-10713</t>
  </si>
  <si>
    <t xml:space="preserve">T-10714</t>
  </si>
  <si>
    <t xml:space="preserve">T-10715</t>
  </si>
  <si>
    <t xml:space="preserve">T-10716</t>
  </si>
  <si>
    <t xml:space="preserve">T-10717</t>
  </si>
  <si>
    <t xml:space="preserve">T-10718</t>
  </si>
  <si>
    <t xml:space="preserve">T-10719</t>
  </si>
  <si>
    <t xml:space="preserve">C0157</t>
  </si>
  <si>
    <t xml:space="preserve">T-10720</t>
  </si>
  <si>
    <t xml:space="preserve">T-10721</t>
  </si>
  <si>
    <t xml:space="preserve">T-10722</t>
  </si>
  <si>
    <t xml:space="preserve">T-10723</t>
  </si>
  <si>
    <t xml:space="preserve">C0168</t>
  </si>
  <si>
    <t xml:space="preserve">T-10724</t>
  </si>
  <si>
    <t xml:space="preserve">T-10725</t>
  </si>
  <si>
    <t xml:space="preserve">T-10726</t>
  </si>
  <si>
    <t xml:space="preserve">T-10727</t>
  </si>
  <si>
    <t xml:space="preserve">T-10728</t>
  </si>
  <si>
    <t xml:space="preserve">C0052</t>
  </si>
  <si>
    <t xml:space="preserve">T-10729</t>
  </si>
  <si>
    <t xml:space="preserve">T-10730</t>
  </si>
  <si>
    <t xml:space="preserve">T-10731</t>
  </si>
  <si>
    <t xml:space="preserve">T-10732</t>
  </si>
  <si>
    <t xml:space="preserve">T-10733</t>
  </si>
  <si>
    <t xml:space="preserve">C0144</t>
  </si>
  <si>
    <t xml:space="preserve">T-10734</t>
  </si>
  <si>
    <t xml:space="preserve">T-10735</t>
  </si>
  <si>
    <t xml:space="preserve">T-10736</t>
  </si>
  <si>
    <t xml:space="preserve">T-10737</t>
  </si>
  <si>
    <t xml:space="preserve">T-10738</t>
  </si>
  <si>
    <t xml:space="preserve">T-10739</t>
  </si>
  <si>
    <t xml:space="preserve">T-10740</t>
  </si>
  <si>
    <t xml:space="preserve">T-10741</t>
  </si>
  <si>
    <t xml:space="preserve">T-10742</t>
  </si>
  <si>
    <t xml:space="preserve">T-10743</t>
  </si>
  <si>
    <t xml:space="preserve">T-10744</t>
  </si>
  <si>
    <t xml:space="preserve">T-10745</t>
  </si>
  <si>
    <t xml:space="preserve">T-10746</t>
  </si>
  <si>
    <t xml:space="preserve">T-10747</t>
  </si>
  <si>
    <t xml:space="preserve">T-10748</t>
  </si>
  <si>
    <t xml:space="preserve">T-10749</t>
  </si>
  <si>
    <t xml:space="preserve">T-10750</t>
  </si>
  <si>
    <t xml:space="preserve">T-10751</t>
  </si>
  <si>
    <t xml:space="preserve">T-10752</t>
  </si>
  <si>
    <t xml:space="preserve">T-10753</t>
  </si>
  <si>
    <t xml:space="preserve">C0030</t>
  </si>
  <si>
    <t xml:space="preserve">T-10754</t>
  </si>
  <si>
    <t xml:space="preserve">T-10755</t>
  </si>
  <si>
    <t xml:space="preserve">T-10756</t>
  </si>
  <si>
    <t xml:space="preserve">T-10757</t>
  </si>
  <si>
    <t xml:space="preserve">T-10758</t>
  </si>
  <si>
    <t xml:space="preserve">T-10759</t>
  </si>
  <si>
    <t xml:space="preserve">T-10760</t>
  </si>
  <si>
    <t xml:space="preserve">T-10761</t>
  </si>
  <si>
    <t xml:space="preserve">T-10762</t>
  </si>
  <si>
    <t xml:space="preserve">T-10763</t>
  </si>
  <si>
    <t xml:space="preserve">T-10764</t>
  </si>
  <si>
    <t xml:space="preserve">T-10765</t>
  </si>
  <si>
    <t xml:space="preserve">T-10766</t>
  </si>
  <si>
    <t xml:space="preserve">T-10767</t>
  </si>
  <si>
    <t xml:space="preserve">T-10768</t>
  </si>
  <si>
    <t xml:space="preserve">T-10769</t>
  </si>
  <si>
    <t xml:space="preserve">T-10770</t>
  </si>
  <si>
    <t xml:space="preserve">T-10771</t>
  </si>
  <si>
    <t xml:space="preserve">T-10772</t>
  </si>
  <si>
    <t xml:space="preserve">T-10773</t>
  </si>
  <si>
    <t xml:space="preserve">T-10774</t>
  </si>
  <si>
    <t xml:space="preserve">T-10775</t>
  </si>
  <si>
    <t xml:space="preserve">T-10776</t>
  </si>
  <si>
    <t xml:space="preserve">T-10777</t>
  </si>
  <si>
    <t xml:space="preserve">T-10778</t>
  </si>
  <si>
    <t xml:space="preserve">T-10779</t>
  </si>
  <si>
    <t xml:space="preserve">T-10780</t>
  </si>
  <si>
    <t xml:space="preserve">C0097</t>
  </si>
  <si>
    <t xml:space="preserve">T-10781</t>
  </si>
  <si>
    <t xml:space="preserve">T-10782</t>
  </si>
  <si>
    <t xml:space="preserve">T-10783</t>
  </si>
  <si>
    <t xml:space="preserve">T-10784</t>
  </si>
  <si>
    <t xml:space="preserve">T-10785</t>
  </si>
  <si>
    <t xml:space="preserve">T-10786</t>
  </si>
  <si>
    <t xml:space="preserve">T-10787</t>
  </si>
  <si>
    <t xml:space="preserve">T-10788</t>
  </si>
  <si>
    <t xml:space="preserve">T-10789</t>
  </si>
  <si>
    <t xml:space="preserve">T-10790</t>
  </si>
  <si>
    <t xml:space="preserve">T-10791</t>
  </si>
  <si>
    <t xml:space="preserve">T-10792</t>
  </si>
  <si>
    <t xml:space="preserve">T-10793</t>
  </si>
  <si>
    <t xml:space="preserve">T-10794</t>
  </si>
  <si>
    <t xml:space="preserve">T-10795</t>
  </si>
  <si>
    <t xml:space="preserve">T-10796</t>
  </si>
  <si>
    <t xml:space="preserve">T-10797</t>
  </si>
  <si>
    <t xml:space="preserve">T-10798</t>
  </si>
  <si>
    <t xml:space="preserve">T-10799</t>
  </si>
  <si>
    <t xml:space="preserve">T-10800</t>
  </si>
  <si>
    <t xml:space="preserve">T-10801</t>
  </si>
  <si>
    <t xml:space="preserve">T-10802</t>
  </si>
  <si>
    <t xml:space="preserve">C0248</t>
  </si>
  <si>
    <t xml:space="preserve">T-10803</t>
  </si>
  <si>
    <t xml:space="preserve">T-10804</t>
  </si>
  <si>
    <t xml:space="preserve">T-10805</t>
  </si>
  <si>
    <t xml:space="preserve">T-10806</t>
  </si>
  <si>
    <t xml:space="preserve">C0159</t>
  </si>
  <si>
    <t xml:space="preserve">T-10807</t>
  </si>
  <si>
    <t xml:space="preserve">T-10808</t>
  </si>
  <si>
    <t xml:space="preserve">T-10809</t>
  </si>
  <si>
    <t xml:space="preserve">T-10810</t>
  </si>
  <si>
    <t xml:space="preserve">T-10811</t>
  </si>
  <si>
    <t xml:space="preserve">T-10812</t>
  </si>
  <si>
    <t xml:space="preserve">T-10813</t>
  </si>
  <si>
    <t xml:space="preserve">T-10814</t>
  </si>
  <si>
    <t xml:space="preserve">T-10815</t>
  </si>
  <si>
    <t xml:space="preserve">C0063</t>
  </si>
  <si>
    <t xml:space="preserve">T-10816</t>
  </si>
  <si>
    <t xml:space="preserve">T-10817</t>
  </si>
  <si>
    <t xml:space="preserve">T-10818</t>
  </si>
  <si>
    <t xml:space="preserve">T-10819</t>
  </si>
  <si>
    <t xml:space="preserve">T-10820</t>
  </si>
  <si>
    <t xml:space="preserve">T-10821</t>
  </si>
  <si>
    <t xml:space="preserve">T-10822</t>
  </si>
  <si>
    <t xml:space="preserve">T-10823</t>
  </si>
  <si>
    <t xml:space="preserve">T-10824</t>
  </si>
  <si>
    <t xml:space="preserve">T-10825</t>
  </si>
  <si>
    <t xml:space="preserve">T-10826</t>
  </si>
  <si>
    <t xml:space="preserve">T-10827</t>
  </si>
  <si>
    <t xml:space="preserve">T-10828</t>
  </si>
  <si>
    <t xml:space="preserve">C0199</t>
  </si>
  <si>
    <t xml:space="preserve">T-10829</t>
  </si>
  <si>
    <t xml:space="preserve">T-10830</t>
  </si>
  <si>
    <t xml:space="preserve">T-10831</t>
  </si>
  <si>
    <t xml:space="preserve">T-10832</t>
  </si>
  <si>
    <t xml:space="preserve">T-10833</t>
  </si>
  <si>
    <t xml:space="preserve">T-10834</t>
  </si>
  <si>
    <t xml:space="preserve">T-10835</t>
  </si>
  <si>
    <t xml:space="preserve">T-10836</t>
  </si>
  <si>
    <t xml:space="preserve">T-10837</t>
  </si>
  <si>
    <t xml:space="preserve">T-10838</t>
  </si>
  <si>
    <t xml:space="preserve">T-10839</t>
  </si>
  <si>
    <t xml:space="preserve">T-10840</t>
  </si>
  <si>
    <t xml:space="preserve">T-10841</t>
  </si>
  <si>
    <t xml:space="preserve">T-10842</t>
  </si>
  <si>
    <t xml:space="preserve">T-10843</t>
  </si>
  <si>
    <t xml:space="preserve">T-10844</t>
  </si>
  <si>
    <t xml:space="preserve">T-10845</t>
  </si>
  <si>
    <t xml:space="preserve">T-10846</t>
  </si>
  <si>
    <t xml:space="preserve">T-10847</t>
  </si>
  <si>
    <t xml:space="preserve">T-10848</t>
  </si>
  <si>
    <t xml:space="preserve">T-10849</t>
  </si>
  <si>
    <t xml:space="preserve">T-10850</t>
  </si>
  <si>
    <t xml:space="preserve">T-10851</t>
  </si>
  <si>
    <t xml:space="preserve">T-10852</t>
  </si>
  <si>
    <t xml:space="preserve">T-10853</t>
  </si>
  <si>
    <t xml:space="preserve">T-10854</t>
  </si>
  <si>
    <t xml:space="preserve">T-10855</t>
  </si>
  <si>
    <t xml:space="preserve">C0085</t>
  </si>
  <si>
    <t xml:space="preserve">T-10856</t>
  </si>
  <si>
    <t xml:space="preserve">T-10857</t>
  </si>
  <si>
    <t xml:space="preserve">T-10858</t>
  </si>
  <si>
    <t xml:space="preserve">T-10859</t>
  </si>
  <si>
    <t xml:space="preserve">T-10860</t>
  </si>
  <si>
    <t xml:space="preserve">T-10861</t>
  </si>
  <si>
    <t xml:space="preserve">T-10862</t>
  </si>
  <si>
    <t xml:space="preserve">T-10863</t>
  </si>
  <si>
    <t xml:space="preserve">T-10864</t>
  </si>
  <si>
    <t xml:space="preserve">T-10865</t>
  </si>
  <si>
    <t xml:space="preserve">T-10866</t>
  </si>
  <si>
    <t xml:space="preserve">T-10867</t>
  </si>
  <si>
    <t xml:space="preserve">T-10868</t>
  </si>
  <si>
    <t xml:space="preserve">T-10869</t>
  </si>
  <si>
    <t xml:space="preserve">T-10870</t>
  </si>
  <si>
    <t xml:space="preserve">T-10871</t>
  </si>
  <si>
    <t xml:space="preserve">T-10872</t>
  </si>
  <si>
    <t xml:space="preserve">T-10873</t>
  </si>
  <si>
    <t xml:space="preserve">T-10874</t>
  </si>
  <si>
    <t xml:space="preserve">T-10875</t>
  </si>
  <si>
    <t xml:space="preserve">T-10876</t>
  </si>
  <si>
    <t xml:space="preserve">T-10877</t>
  </si>
  <si>
    <t xml:space="preserve">T-10878</t>
  </si>
  <si>
    <t xml:space="preserve">T-10879</t>
  </si>
  <si>
    <t xml:space="preserve">T-10880</t>
  </si>
  <si>
    <t xml:space="preserve">T-10881</t>
  </si>
  <si>
    <t xml:space="preserve">T-10882</t>
  </si>
  <si>
    <t xml:space="preserve">T-10883</t>
  </si>
  <si>
    <t xml:space="preserve">T-10884</t>
  </si>
  <si>
    <t xml:space="preserve">T-10885</t>
  </si>
  <si>
    <t xml:space="preserve">C0006</t>
  </si>
  <si>
    <t xml:space="preserve">T-10886</t>
  </si>
  <si>
    <t xml:space="preserve">T-10887</t>
  </si>
  <si>
    <t xml:space="preserve">T-10888</t>
  </si>
  <si>
    <t xml:space="preserve">T-10889</t>
  </si>
  <si>
    <t xml:space="preserve">T-10890</t>
  </si>
  <si>
    <t xml:space="preserve">T-10891</t>
  </si>
  <si>
    <t xml:space="preserve">T-10892</t>
  </si>
  <si>
    <t xml:space="preserve">T-10893</t>
  </si>
  <si>
    <t xml:space="preserve">T-10894</t>
  </si>
  <si>
    <t xml:space="preserve">T-10895</t>
  </si>
  <si>
    <t xml:space="preserve">T-10896</t>
  </si>
  <si>
    <t xml:space="preserve">T-10897</t>
  </si>
  <si>
    <t xml:space="preserve">T-10898</t>
  </si>
  <si>
    <t xml:space="preserve">T-10899</t>
  </si>
  <si>
    <t xml:space="preserve">T-10900</t>
  </si>
  <si>
    <t xml:space="preserve">T-10901</t>
  </si>
  <si>
    <t xml:space="preserve">T-10902</t>
  </si>
  <si>
    <t xml:space="preserve">T-10903</t>
  </si>
  <si>
    <t xml:space="preserve">T-10904</t>
  </si>
  <si>
    <t xml:space="preserve">T-10905</t>
  </si>
  <si>
    <t xml:space="preserve">T-10906</t>
  </si>
  <si>
    <t xml:space="preserve">T-10907</t>
  </si>
  <si>
    <t xml:space="preserve">T-10908</t>
  </si>
  <si>
    <t xml:space="preserve">T-10909</t>
  </si>
  <si>
    <t xml:space="preserve">T-10910</t>
  </si>
  <si>
    <t xml:space="preserve">T-10911</t>
  </si>
  <si>
    <t xml:space="preserve">T-10912</t>
  </si>
  <si>
    <t xml:space="preserve">T-10913</t>
  </si>
  <si>
    <t xml:space="preserve">T-10914</t>
  </si>
  <si>
    <t xml:space="preserve">T-10915</t>
  </si>
  <si>
    <t xml:space="preserve">T-10916</t>
  </si>
  <si>
    <t xml:space="preserve">T-10917</t>
  </si>
  <si>
    <t xml:space="preserve">T-10918</t>
  </si>
  <si>
    <t xml:space="preserve">T-10919</t>
  </si>
  <si>
    <t xml:space="preserve">T-10920</t>
  </si>
  <si>
    <t xml:space="preserve">T-10921</t>
  </si>
  <si>
    <t xml:space="preserve">T-10922</t>
  </si>
  <si>
    <t xml:space="preserve">T-10923</t>
  </si>
  <si>
    <t xml:space="preserve">T-10924</t>
  </si>
  <si>
    <t xml:space="preserve">T-10925</t>
  </si>
  <si>
    <t xml:space="preserve">T-10926</t>
  </si>
  <si>
    <t xml:space="preserve">T-10927</t>
  </si>
  <si>
    <t xml:space="preserve">T-10928</t>
  </si>
  <si>
    <t xml:space="preserve">T-10929</t>
  </si>
  <si>
    <t xml:space="preserve">T-10930</t>
  </si>
  <si>
    <t xml:space="preserve">T-10931</t>
  </si>
  <si>
    <t xml:space="preserve">T-10932</t>
  </si>
  <si>
    <t xml:space="preserve">T-10933</t>
  </si>
  <si>
    <t xml:space="preserve">T-10934</t>
  </si>
  <si>
    <t xml:space="preserve">T-10935</t>
  </si>
  <si>
    <t xml:space="preserve">T-10936</t>
  </si>
  <si>
    <t xml:space="preserve">T-10937</t>
  </si>
  <si>
    <t xml:space="preserve">T-10938</t>
  </si>
  <si>
    <t xml:space="preserve">T-10939</t>
  </si>
  <si>
    <t xml:space="preserve">T-10940</t>
  </si>
  <si>
    <t xml:space="preserve">T-10941</t>
  </si>
  <si>
    <t xml:space="preserve">T-10942</t>
  </si>
  <si>
    <t xml:space="preserve">T-10943</t>
  </si>
  <si>
    <t xml:space="preserve">T-10944</t>
  </si>
  <si>
    <t xml:space="preserve">T-10945</t>
  </si>
  <si>
    <t xml:space="preserve">T-10946</t>
  </si>
  <si>
    <t xml:space="preserve">T-10947</t>
  </si>
  <si>
    <t xml:space="preserve">T-10948</t>
  </si>
  <si>
    <t xml:space="preserve">T-10949</t>
  </si>
  <si>
    <t xml:space="preserve">Datos</t>
  </si>
  <si>
    <t xml:space="preserve">Total Suma - Utilidad_bruta</t>
  </si>
  <si>
    <t xml:space="preserve">Total Suma - Unidades</t>
  </si>
  <si>
    <t xml:space="preserve">Suma - Utilidad_bruta</t>
  </si>
  <si>
    <t xml:space="preserve">Suma - Unidades</t>
  </si>
  <si>
    <t xml:space="preserve">sep</t>
  </si>
  <si>
    <t xml:space="preserve">Total Resultado</t>
  </si>
  <si>
    <t xml:space="preserve">Utiidad bruta</t>
  </si>
  <si>
    <t xml:space="preserve">ago</t>
  </si>
  <si>
    <t xml:space="preserve">Clasificacion</t>
  </si>
  <si>
    <t xml:space="preserve">Total de canceladas</t>
  </si>
  <si>
    <t xml:space="preserve">Completadas &gt;=10000</t>
  </si>
  <si>
    <t xml:space="preserve">Ingresos completados &gt;=10000</t>
  </si>
  <si>
    <t xml:space="preserve">Ingresos completados</t>
  </si>
  <si>
    <t xml:space="preserve">Total completadas</t>
  </si>
  <si>
    <t xml:space="preserve">Completadas con ingreso</t>
  </si>
  <si>
    <t xml:space="preserve">Porcentaje de completitud</t>
  </si>
  <si>
    <t xml:space="preserve">Codigo</t>
  </si>
  <si>
    <t xml:space="preserve">Producto</t>
  </si>
  <si>
    <t xml:space="preserve">Veces que aparece</t>
  </si>
  <si>
    <t xml:space="preserve">Codigo buscado</t>
  </si>
  <si>
    <t xml:space="preserve">Producto encontrado</t>
  </si>
  <si>
    <t xml:space="preserve">Validacion de codigo</t>
  </si>
  <si>
    <t xml:space="preserve">Codigos distintos</t>
  </si>
  <si>
    <t xml:space="preserve">Codigos duplicados</t>
  </si>
  <si>
    <t xml:space="preserve">P-001</t>
  </si>
  <si>
    <t xml:space="preserve">Laptop</t>
  </si>
  <si>
    <t xml:space="preserve">P-002</t>
  </si>
  <si>
    <t xml:space="preserve">Mouse</t>
  </si>
  <si>
    <t xml:space="preserve">PENDIENTE</t>
  </si>
  <si>
    <t xml:space="preserve">P-003</t>
  </si>
  <si>
    <t xml:space="preserve">Monitor</t>
  </si>
  <si>
    <t xml:space="preserve">En revision</t>
  </si>
  <si>
    <t xml:space="preserve">Categoria</t>
  </si>
  <si>
    <t xml:space="preserve">Precio_lista</t>
  </si>
  <si>
    <t xml:space="preserve">Costo_referencia</t>
  </si>
  <si>
    <t xml:space="preserve">Laptop Eco</t>
  </si>
  <si>
    <t xml:space="preserve">Computo</t>
  </si>
  <si>
    <t xml:space="preserve">Laptop Plus</t>
  </si>
  <si>
    <t xml:space="preserve">Laptop Pro</t>
  </si>
  <si>
    <t xml:space="preserve">Laptop Max</t>
  </si>
  <si>
    <t xml:space="preserve">Monitor Eco</t>
  </si>
  <si>
    <t xml:space="preserve">Monitor Plus</t>
  </si>
  <si>
    <t xml:space="preserve">Monitor Pro</t>
  </si>
  <si>
    <t xml:space="preserve">Monitor Max</t>
  </si>
  <si>
    <t xml:space="preserve">Teclado Eco</t>
  </si>
  <si>
    <t xml:space="preserve">Teclado Plus</t>
  </si>
  <si>
    <t xml:space="preserve">Teclado Pro</t>
  </si>
  <si>
    <t xml:space="preserve">Teclado Max</t>
  </si>
  <si>
    <t xml:space="preserve">Mouse Eco</t>
  </si>
  <si>
    <t xml:space="preserve">Mouse Plus</t>
  </si>
  <si>
    <t xml:space="preserve">Mouse Pro</t>
  </si>
  <si>
    <t xml:space="preserve">Mouse Max</t>
  </si>
  <si>
    <t xml:space="preserve">Dock Eco</t>
  </si>
  <si>
    <t xml:space="preserve">Dock Plus</t>
  </si>
  <si>
    <t xml:space="preserve">Dock Pro</t>
  </si>
  <si>
    <t xml:space="preserve">Dock Max</t>
  </si>
  <si>
    <t xml:space="preserve">SSD Eco</t>
  </si>
  <si>
    <t xml:space="preserve">SSD Plus</t>
  </si>
  <si>
    <t xml:space="preserve">SSD Pro</t>
  </si>
  <si>
    <t xml:space="preserve">SSD Max</t>
  </si>
  <si>
    <t xml:space="preserve">Memoria RAM Eco</t>
  </si>
  <si>
    <t xml:space="preserve">Memoria RAM Plus</t>
  </si>
  <si>
    <t xml:space="preserve">Memoria RAM Pro</t>
  </si>
  <si>
    <t xml:space="preserve">Memoria RAM Max</t>
  </si>
  <si>
    <t xml:space="preserve">Webcam Eco</t>
  </si>
  <si>
    <t xml:space="preserve">Webcam Plus</t>
  </si>
  <si>
    <t xml:space="preserve">Webcam Pro</t>
  </si>
  <si>
    <t xml:space="preserve">Webcam Max</t>
  </si>
  <si>
    <t xml:space="preserve">Silla Eco</t>
  </si>
  <si>
    <t xml:space="preserve">Oficina</t>
  </si>
  <si>
    <t xml:space="preserve">Silla Plus</t>
  </si>
  <si>
    <t xml:space="preserve">Silla Pro</t>
  </si>
  <si>
    <t xml:space="preserve">Silla Max</t>
  </si>
  <si>
    <t xml:space="preserve">Escritorio Eco</t>
  </si>
  <si>
    <t xml:space="preserve">Escritorio Plus</t>
  </si>
  <si>
    <t xml:space="preserve">Escritorio Pro</t>
  </si>
  <si>
    <t xml:space="preserve">Escritorio Max</t>
  </si>
  <si>
    <t xml:space="preserve">Impresora Eco</t>
  </si>
  <si>
    <t xml:space="preserve">Impresora Plus</t>
  </si>
  <si>
    <t xml:space="preserve">Impresora Pro</t>
  </si>
  <si>
    <t xml:space="preserve">Impresora Max</t>
  </si>
  <si>
    <t xml:space="preserve">Papel Eco</t>
  </si>
  <si>
    <t xml:space="preserve">Papel Plus</t>
  </si>
  <si>
    <t xml:space="preserve">Papel Pro</t>
  </si>
  <si>
    <t xml:space="preserve">Papel Max</t>
  </si>
  <si>
    <t xml:space="preserve">Toner Eco</t>
  </si>
  <si>
    <t xml:space="preserve">Toner Plus</t>
  </si>
  <si>
    <t xml:space="preserve">Toner Pro</t>
  </si>
  <si>
    <t xml:space="preserve">Toner Max</t>
  </si>
  <si>
    <t xml:space="preserve">Archivero Eco</t>
  </si>
  <si>
    <t xml:space="preserve">Archivero Plus</t>
  </si>
  <si>
    <t xml:space="preserve">Archivero Pro</t>
  </si>
  <si>
    <t xml:space="preserve">Archivero Max</t>
  </si>
  <si>
    <t xml:space="preserve">Router Eco</t>
  </si>
  <si>
    <t xml:space="preserve">Redes</t>
  </si>
  <si>
    <t xml:space="preserve">Router Plus</t>
  </si>
  <si>
    <t xml:space="preserve">Router Pro</t>
  </si>
  <si>
    <t xml:space="preserve">Router Max</t>
  </si>
  <si>
    <t xml:space="preserve">Switch Eco</t>
  </si>
  <si>
    <t xml:space="preserve">Switch Plus</t>
  </si>
  <si>
    <t xml:space="preserve">Switch Pro</t>
  </si>
  <si>
    <t xml:space="preserve">Switch Max</t>
  </si>
  <si>
    <t xml:space="preserve">Cable ethernet Eco</t>
  </si>
  <si>
    <t xml:space="preserve">Cable ethernet Plus</t>
  </si>
  <si>
    <t xml:space="preserve">Cable ethernet Pro</t>
  </si>
  <si>
    <t xml:space="preserve">Cable ethernet Max</t>
  </si>
  <si>
    <t xml:space="preserve">Access Point Eco</t>
  </si>
  <si>
    <t xml:space="preserve">Access Point Plus</t>
  </si>
  <si>
    <t xml:space="preserve">Access Point Pro</t>
  </si>
  <si>
    <t xml:space="preserve">Access Point Max</t>
  </si>
  <si>
    <t xml:space="preserve">Audifonos Eco</t>
  </si>
  <si>
    <t xml:space="preserve">Audio</t>
  </si>
  <si>
    <t xml:space="preserve">Audifonos Plus</t>
  </si>
  <si>
    <t xml:space="preserve">Audifonos Pro</t>
  </si>
  <si>
    <t xml:space="preserve">Audifonos Max</t>
  </si>
  <si>
    <t xml:space="preserve">Bocina Eco</t>
  </si>
  <si>
    <t xml:space="preserve">Bocina Plus</t>
  </si>
  <si>
    <t xml:space="preserve">Bocina Pro</t>
  </si>
  <si>
    <t xml:space="preserve">Bocina Max</t>
  </si>
  <si>
    <t xml:space="preserve">Microfono Eco</t>
  </si>
  <si>
    <t xml:space="preserve">Microfono Plus</t>
  </si>
  <si>
    <t xml:space="preserve">Microfono Pro</t>
  </si>
  <si>
    <t xml:space="preserve">Microfono Max</t>
  </si>
  <si>
    <t xml:space="preserve">Tablet Eco</t>
  </si>
  <si>
    <t xml:space="preserve">Moviles</t>
  </si>
  <si>
    <t xml:space="preserve">Tablet Plus</t>
  </si>
  <si>
    <t xml:space="preserve">Tablet Pro</t>
  </si>
  <si>
    <t xml:space="preserve">Tablet Max</t>
  </si>
  <si>
    <t xml:space="preserve">Cargador Eco</t>
  </si>
  <si>
    <t xml:space="preserve">Cargador Plus</t>
  </si>
  <si>
    <t xml:space="preserve">Cargador Pro</t>
  </si>
  <si>
    <t xml:space="preserve">Cargador Max</t>
  </si>
  <si>
    <t xml:space="preserve">Funda Eco</t>
  </si>
  <si>
    <t xml:space="preserve">Funda Plus</t>
  </si>
  <si>
    <t xml:space="preserve">Funda Pro</t>
  </si>
  <si>
    <t xml:space="preserve">Funda Max</t>
  </si>
  <si>
    <t xml:space="preserve">Smartphone Eco</t>
  </si>
  <si>
    <t xml:space="preserve">Smartphone Plus</t>
  </si>
  <si>
    <t xml:space="preserve">Smartphone Pro</t>
  </si>
  <si>
    <t xml:space="preserve">Smartphone Max</t>
  </si>
  <si>
    <t xml:space="preserve">Cliente</t>
  </si>
  <si>
    <t xml:space="preserve">Segmento</t>
  </si>
  <si>
    <t xml:space="preserve">Region_base</t>
  </si>
  <si>
    <t xml:space="preserve">Cliente 001</t>
  </si>
  <si>
    <t xml:space="preserve">Minorista</t>
  </si>
  <si>
    <t xml:space="preserve">Cliente 002</t>
  </si>
  <si>
    <t xml:space="preserve">Corporativo</t>
  </si>
  <si>
    <t xml:space="preserve">Cliente 003</t>
  </si>
  <si>
    <t xml:space="preserve">Cliente 004</t>
  </si>
  <si>
    <t xml:space="preserve">Mayorista</t>
  </si>
  <si>
    <t xml:space="preserve">Cliente 005</t>
  </si>
  <si>
    <t xml:space="preserve">Cliente 006</t>
  </si>
  <si>
    <t xml:space="preserve">Cliente 007</t>
  </si>
  <si>
    <t xml:space="preserve">Cliente 008</t>
  </si>
  <si>
    <t xml:space="preserve">Cliente 009</t>
  </si>
  <si>
    <t xml:space="preserve">Cliente 010</t>
  </si>
  <si>
    <t xml:space="preserve">Cliente 011</t>
  </si>
  <si>
    <t xml:space="preserve">Cliente 012</t>
  </si>
  <si>
    <t xml:space="preserve">Cliente 013</t>
  </si>
  <si>
    <t xml:space="preserve">Cliente 014</t>
  </si>
  <si>
    <t xml:space="preserve">Cliente 015</t>
  </si>
  <si>
    <t xml:space="preserve">Cliente 016</t>
  </si>
  <si>
    <t xml:space="preserve">Cliente 017</t>
  </si>
  <si>
    <t xml:space="preserve">Cliente 018</t>
  </si>
  <si>
    <t xml:space="preserve">Cliente 019</t>
  </si>
  <si>
    <t xml:space="preserve">Cliente 020</t>
  </si>
  <si>
    <t xml:space="preserve">Cliente 021</t>
  </si>
  <si>
    <t xml:space="preserve">Cliente 022</t>
  </si>
  <si>
    <t xml:space="preserve">Cliente 023</t>
  </si>
  <si>
    <t xml:space="preserve">Cliente 024</t>
  </si>
  <si>
    <t xml:space="preserve">Cliente 025</t>
  </si>
  <si>
    <t xml:space="preserve">Cliente 026</t>
  </si>
  <si>
    <t xml:space="preserve">Cliente 027</t>
  </si>
  <si>
    <t xml:space="preserve">C0028</t>
  </si>
  <si>
    <t xml:space="preserve">Cliente 028</t>
  </si>
  <si>
    <t xml:space="preserve">Cliente 029</t>
  </si>
  <si>
    <t xml:space="preserve">Cliente 030</t>
  </si>
  <si>
    <t xml:space="preserve">Cliente 031</t>
  </si>
  <si>
    <t xml:space="preserve">Cliente 032</t>
  </si>
  <si>
    <t xml:space="preserve">Cliente 033</t>
  </si>
  <si>
    <t xml:space="preserve">Cliente 034</t>
  </si>
  <si>
    <t xml:space="preserve">Cliente 035</t>
  </si>
  <si>
    <t xml:space="preserve">Cliente 036</t>
  </si>
  <si>
    <t xml:space="preserve">Cliente 037</t>
  </si>
  <si>
    <t xml:space="preserve">Cliente 038</t>
  </si>
  <si>
    <t xml:space="preserve">Cliente 039</t>
  </si>
  <si>
    <t xml:space="preserve">Cliente 040</t>
  </si>
  <si>
    <t xml:space="preserve">Cliente 041</t>
  </si>
  <si>
    <t xml:space="preserve">Cliente 042</t>
  </si>
  <si>
    <t xml:space="preserve">Cliente 043</t>
  </si>
  <si>
    <t xml:space="preserve">Cliente 044</t>
  </si>
  <si>
    <t xml:space="preserve">Cliente 045</t>
  </si>
  <si>
    <t xml:space="preserve">Cliente 046</t>
  </si>
  <si>
    <t xml:space="preserve">Cliente 047</t>
  </si>
  <si>
    <t xml:space="preserve">Cliente 048</t>
  </si>
  <si>
    <t xml:space="preserve">Cliente 049</t>
  </si>
  <si>
    <t xml:space="preserve">Cliente 050</t>
  </si>
  <si>
    <t xml:space="preserve">Cliente 051</t>
  </si>
  <si>
    <t xml:space="preserve">Cliente 052</t>
  </si>
  <si>
    <t xml:space="preserve">Cliente 053</t>
  </si>
  <si>
    <t xml:space="preserve">Cliente 054</t>
  </si>
  <si>
    <t xml:space="preserve">Cliente 055</t>
  </si>
  <si>
    <t xml:space="preserve">Cliente 056</t>
  </si>
  <si>
    <t xml:space="preserve">Cliente 057</t>
  </si>
  <si>
    <t xml:space="preserve">Cliente 058</t>
  </si>
  <si>
    <t xml:space="preserve">Cliente 059</t>
  </si>
  <si>
    <t xml:space="preserve">Cliente 060</t>
  </si>
  <si>
    <t xml:space="preserve">Cliente 061</t>
  </si>
  <si>
    <t xml:space="preserve">Cliente 062</t>
  </si>
  <si>
    <t xml:space="preserve">Cliente 063</t>
  </si>
  <si>
    <t xml:space="preserve">Cliente 064</t>
  </si>
  <si>
    <t xml:space="preserve">Cliente 065</t>
  </si>
  <si>
    <t xml:space="preserve">Cliente 066</t>
  </si>
  <si>
    <t xml:space="preserve">Cliente 067</t>
  </si>
  <si>
    <t xml:space="preserve">Cliente 068</t>
  </si>
  <si>
    <t xml:space="preserve">Cliente 069</t>
  </si>
  <si>
    <t xml:space="preserve">Cliente 070</t>
  </si>
  <si>
    <t xml:space="preserve">Cliente 071</t>
  </si>
  <si>
    <t xml:space="preserve">Cliente 072</t>
  </si>
  <si>
    <t xml:space="preserve">Cliente 073</t>
  </si>
  <si>
    <t xml:space="preserve">Cliente 074</t>
  </si>
  <si>
    <t xml:space="preserve">Cliente 075</t>
  </si>
  <si>
    <t xml:space="preserve">Cliente 076</t>
  </si>
  <si>
    <t xml:space="preserve">Cliente 077</t>
  </si>
  <si>
    <t xml:space="preserve">Cliente 078</t>
  </si>
  <si>
    <t xml:space="preserve">Cliente 079</t>
  </si>
  <si>
    <t xml:space="preserve">Cliente 080</t>
  </si>
  <si>
    <t xml:space="preserve">Cliente 081</t>
  </si>
  <si>
    <t xml:space="preserve">Cliente 082</t>
  </si>
  <si>
    <t xml:space="preserve">Cliente 083</t>
  </si>
  <si>
    <t xml:space="preserve">Cliente 084</t>
  </si>
  <si>
    <t xml:space="preserve">Cliente 085</t>
  </si>
  <si>
    <t xml:space="preserve">Cliente 086</t>
  </si>
  <si>
    <t xml:space="preserve">Cliente 087</t>
  </si>
  <si>
    <t xml:space="preserve">Cliente 088</t>
  </si>
  <si>
    <t xml:space="preserve">Cliente 089</t>
  </si>
  <si>
    <t xml:space="preserve">Cliente 090</t>
  </si>
  <si>
    <t xml:space="preserve">Cliente 091</t>
  </si>
  <si>
    <t xml:space="preserve">Cliente 092</t>
  </si>
  <si>
    <t xml:space="preserve">Cliente 093</t>
  </si>
  <si>
    <t xml:space="preserve">Cliente 094</t>
  </si>
  <si>
    <t xml:space="preserve">Cliente 095</t>
  </si>
  <si>
    <t xml:space="preserve">Cliente 096</t>
  </si>
  <si>
    <t xml:space="preserve">Cliente 097</t>
  </si>
  <si>
    <t xml:space="preserve">Cliente 098</t>
  </si>
  <si>
    <t xml:space="preserve">Cliente 099</t>
  </si>
  <si>
    <t xml:space="preserve">Cliente 100</t>
  </si>
  <si>
    <t xml:space="preserve">Cliente 101</t>
  </si>
  <si>
    <t xml:space="preserve">Cliente 102</t>
  </si>
  <si>
    <t xml:space="preserve">Cliente 103</t>
  </si>
  <si>
    <t xml:space="preserve">Cliente 104</t>
  </si>
  <si>
    <t xml:space="preserve">Cliente 105</t>
  </si>
  <si>
    <t xml:space="preserve">Cliente 106</t>
  </si>
  <si>
    <t xml:space="preserve">Cliente 107</t>
  </si>
  <si>
    <t xml:space="preserve">Cliente 108</t>
  </si>
  <si>
    <t xml:space="preserve">Cliente 109</t>
  </si>
  <si>
    <t xml:space="preserve">Cliente 110</t>
  </si>
  <si>
    <t xml:space="preserve">Cliente 111</t>
  </si>
  <si>
    <t xml:space="preserve">Cliente 112</t>
  </si>
  <si>
    <t xml:space="preserve">Cliente 113</t>
  </si>
  <si>
    <t xml:space="preserve">Cliente 114</t>
  </si>
  <si>
    <t xml:space="preserve">Cliente 115</t>
  </si>
  <si>
    <t xml:space="preserve">Cliente 116</t>
  </si>
  <si>
    <t xml:space="preserve">Cliente 117</t>
  </si>
  <si>
    <t xml:space="preserve">Cliente 118</t>
  </si>
  <si>
    <t xml:space="preserve">Cliente 119</t>
  </si>
  <si>
    <t xml:space="preserve">Cliente 120</t>
  </si>
  <si>
    <t xml:space="preserve">Cliente 121</t>
  </si>
  <si>
    <t xml:space="preserve">Cliente 122</t>
  </si>
  <si>
    <t xml:space="preserve">Cliente 123</t>
  </si>
  <si>
    <t xml:space="preserve">Cliente 124</t>
  </si>
  <si>
    <t xml:space="preserve">Cliente 125</t>
  </si>
  <si>
    <t xml:space="preserve">Cliente 126</t>
  </si>
  <si>
    <t xml:space="preserve">Cliente 127</t>
  </si>
  <si>
    <t xml:space="preserve">Cliente 128</t>
  </si>
  <si>
    <t xml:space="preserve">Cliente 129</t>
  </si>
  <si>
    <t xml:space="preserve">Cliente 130</t>
  </si>
  <si>
    <t xml:space="preserve">Cliente 131</t>
  </si>
  <si>
    <t xml:space="preserve">Cliente 132</t>
  </si>
  <si>
    <t xml:space="preserve">Cliente 133</t>
  </si>
  <si>
    <t xml:space="preserve">Cliente 134</t>
  </si>
  <si>
    <t xml:space="preserve">Cliente 135</t>
  </si>
  <si>
    <t xml:space="preserve">Cliente 136</t>
  </si>
  <si>
    <t xml:space="preserve">Cliente 137</t>
  </si>
  <si>
    <t xml:space="preserve">Cliente 138</t>
  </si>
  <si>
    <t xml:space="preserve">Cliente 139</t>
  </si>
  <si>
    <t xml:space="preserve">Cliente 140</t>
  </si>
  <si>
    <t xml:space="preserve">Cliente 141</t>
  </si>
  <si>
    <t xml:space="preserve">Cliente 142</t>
  </si>
  <si>
    <t xml:space="preserve">Cliente 143</t>
  </si>
  <si>
    <t xml:space="preserve">Cliente 144</t>
  </si>
  <si>
    <t xml:space="preserve">C0145</t>
  </si>
  <si>
    <t xml:space="preserve">Cliente 145</t>
  </si>
  <si>
    <t xml:space="preserve">Cliente 146</t>
  </si>
  <si>
    <t xml:space="preserve">Cliente 147</t>
  </si>
  <si>
    <t xml:space="preserve">Cliente 148</t>
  </si>
  <si>
    <t xml:space="preserve">Cliente 149</t>
  </si>
  <si>
    <t xml:space="preserve">Cliente 150</t>
  </si>
  <si>
    <t xml:space="preserve">Cliente 151</t>
  </si>
  <si>
    <t xml:space="preserve">Cliente 152</t>
  </si>
  <si>
    <t xml:space="preserve">Cliente 153</t>
  </si>
  <si>
    <t xml:space="preserve">Cliente 154</t>
  </si>
  <si>
    <t xml:space="preserve">Cliente 155</t>
  </si>
  <si>
    <t xml:space="preserve">Cliente 156</t>
  </si>
  <si>
    <t xml:space="preserve">Cliente 157</t>
  </si>
  <si>
    <t xml:space="preserve">Cliente 158</t>
  </si>
  <si>
    <t xml:space="preserve">Cliente 159</t>
  </si>
  <si>
    <t xml:space="preserve">Cliente 160</t>
  </si>
  <si>
    <t xml:space="preserve">Cliente 161</t>
  </si>
  <si>
    <t xml:space="preserve">Cliente 162</t>
  </si>
  <si>
    <t xml:space="preserve">Cliente 163</t>
  </si>
  <si>
    <t xml:space="preserve">Cliente 164</t>
  </si>
  <si>
    <t xml:space="preserve">Cliente 165</t>
  </si>
  <si>
    <t xml:space="preserve">Cliente 166</t>
  </si>
  <si>
    <t xml:space="preserve">Cliente 167</t>
  </si>
  <si>
    <t xml:space="preserve">Cliente 168</t>
  </si>
  <si>
    <t xml:space="preserve">Cliente 169</t>
  </si>
  <si>
    <t xml:space="preserve">Cliente 170</t>
  </si>
  <si>
    <t xml:space="preserve">Cliente 171</t>
  </si>
  <si>
    <t xml:space="preserve">Cliente 172</t>
  </si>
  <si>
    <t xml:space="preserve">Cliente 173</t>
  </si>
  <si>
    <t xml:space="preserve">Cliente 174</t>
  </si>
  <si>
    <t xml:space="preserve">Cliente 175</t>
  </si>
  <si>
    <t xml:space="preserve">Cliente 176</t>
  </si>
  <si>
    <t xml:space="preserve">Cliente 177</t>
  </si>
  <si>
    <t xml:space="preserve">Cliente 178</t>
  </si>
  <si>
    <t xml:space="preserve">Cliente 179</t>
  </si>
  <si>
    <t xml:space="preserve">Cliente 180</t>
  </si>
  <si>
    <t xml:space="preserve">Cliente 181</t>
  </si>
  <si>
    <t xml:space="preserve">Cliente 182</t>
  </si>
  <si>
    <t xml:space="preserve">Cliente 183</t>
  </si>
  <si>
    <t xml:space="preserve">Cliente 184</t>
  </si>
  <si>
    <t xml:space="preserve">Cliente 185</t>
  </si>
  <si>
    <t xml:space="preserve">Cliente 186</t>
  </si>
  <si>
    <t xml:space="preserve">Cliente 187</t>
  </si>
  <si>
    <t xml:space="preserve">Cliente 188</t>
  </si>
  <si>
    <t xml:space="preserve">Cliente 189</t>
  </si>
  <si>
    <t xml:space="preserve">Cliente 190</t>
  </si>
  <si>
    <t xml:space="preserve">Cliente 191</t>
  </si>
  <si>
    <t xml:space="preserve">Cliente 192</t>
  </si>
  <si>
    <t xml:space="preserve">Cliente 193</t>
  </si>
  <si>
    <t xml:space="preserve">C0194</t>
  </si>
  <si>
    <t xml:space="preserve">Cliente 194</t>
  </si>
  <si>
    <t xml:space="preserve">Cliente 195</t>
  </si>
  <si>
    <t xml:space="preserve">Cliente 196</t>
  </si>
  <si>
    <t xml:space="preserve">Cliente 197</t>
  </si>
  <si>
    <t xml:space="preserve">Cliente 198</t>
  </si>
  <si>
    <t xml:space="preserve">Cliente 199</t>
  </si>
  <si>
    <t xml:space="preserve">Cliente 200</t>
  </si>
  <si>
    <t xml:space="preserve">Cliente 201</t>
  </si>
  <si>
    <t xml:space="preserve">Cliente 202</t>
  </si>
  <si>
    <t xml:space="preserve">Cliente 203</t>
  </si>
  <si>
    <t xml:space="preserve">Cliente 204</t>
  </si>
  <si>
    <t xml:space="preserve">C0205</t>
  </si>
  <si>
    <t xml:space="preserve">Cliente 205</t>
  </si>
  <si>
    <t xml:space="preserve">Cliente 206</t>
  </si>
  <si>
    <t xml:space="preserve">Cliente 207</t>
  </si>
  <si>
    <t xml:space="preserve">Cliente 208</t>
  </si>
  <si>
    <t xml:space="preserve">Cliente 209</t>
  </si>
  <si>
    <t xml:space="preserve">Cliente 210</t>
  </si>
  <si>
    <t xml:space="preserve">Cliente 211</t>
  </si>
  <si>
    <t xml:space="preserve">Cliente 212</t>
  </si>
  <si>
    <t xml:space="preserve">Cliente 213</t>
  </si>
  <si>
    <t xml:space="preserve">Cliente 214</t>
  </si>
  <si>
    <t xml:space="preserve">Cliente 215</t>
  </si>
  <si>
    <t xml:space="preserve">Cliente 216</t>
  </si>
  <si>
    <t xml:space="preserve">Cliente 217</t>
  </si>
  <si>
    <t xml:space="preserve">Cliente 218</t>
  </si>
  <si>
    <t xml:space="preserve">Cliente 219</t>
  </si>
  <si>
    <t xml:space="preserve">Cliente 220</t>
  </si>
  <si>
    <t xml:space="preserve">Cliente 221</t>
  </si>
  <si>
    <t xml:space="preserve">Cliente 222</t>
  </si>
  <si>
    <t xml:space="preserve">Cliente 223</t>
  </si>
  <si>
    <t xml:space="preserve">Cliente 224</t>
  </si>
  <si>
    <t xml:space="preserve">Cliente 225</t>
  </si>
  <si>
    <t xml:space="preserve">Cliente 226</t>
  </si>
  <si>
    <t xml:space="preserve">Cliente 227</t>
  </si>
  <si>
    <t xml:space="preserve">Cliente 228</t>
  </si>
  <si>
    <t xml:space="preserve">Cliente 229</t>
  </si>
  <si>
    <t xml:space="preserve">Cliente 230</t>
  </si>
  <si>
    <t xml:space="preserve">Cliente 231</t>
  </si>
  <si>
    <t xml:space="preserve">Cliente 232</t>
  </si>
  <si>
    <t xml:space="preserve">Cliente 233</t>
  </si>
  <si>
    <t xml:space="preserve">Cliente 234</t>
  </si>
  <si>
    <t xml:space="preserve">Cliente 235</t>
  </si>
  <si>
    <t xml:space="preserve">Cliente 236</t>
  </si>
  <si>
    <t xml:space="preserve">Cliente 237</t>
  </si>
  <si>
    <t xml:space="preserve">Cliente 238</t>
  </si>
  <si>
    <t xml:space="preserve">Cliente 239</t>
  </si>
  <si>
    <t xml:space="preserve">Cliente 240</t>
  </si>
  <si>
    <t xml:space="preserve">Cliente 241</t>
  </si>
  <si>
    <t xml:space="preserve">Cliente 242</t>
  </si>
  <si>
    <t xml:space="preserve">Cliente 243</t>
  </si>
  <si>
    <t xml:space="preserve">Cliente 244</t>
  </si>
  <si>
    <t xml:space="preserve">Cliente 245</t>
  </si>
  <si>
    <t xml:space="preserve">Cliente 246</t>
  </si>
  <si>
    <t xml:space="preserve">Cliente 247</t>
  </si>
  <si>
    <t xml:space="preserve">Cliente 248</t>
  </si>
  <si>
    <t xml:space="preserve">Cliente 249</t>
  </si>
  <si>
    <t xml:space="preserve">Cliente 250</t>
  </si>
  <si>
    <t xml:space="preserve">Cliente 251</t>
  </si>
  <si>
    <t xml:space="preserve">Cliente 252</t>
  </si>
  <si>
    <t xml:space="preserve">Cliente 253</t>
  </si>
  <si>
    <t xml:space="preserve">Cliente 254</t>
  </si>
  <si>
    <t xml:space="preserve">Cliente 255</t>
  </si>
  <si>
    <t xml:space="preserve">Cliente 256</t>
  </si>
  <si>
    <t xml:space="preserve">Cliente 257</t>
  </si>
  <si>
    <t xml:space="preserve">Cliente 258</t>
  </si>
  <si>
    <t xml:space="preserve">Cliente 259</t>
  </si>
  <si>
    <t xml:space="preserve">Cliente 260</t>
  </si>
  <si>
    <t xml:space="preserve">Nivel</t>
  </si>
  <si>
    <t xml:space="preserve">Reto</t>
  </si>
  <si>
    <t xml:space="preserve">Entregable / criterio</t>
  </si>
  <si>
    <t xml:space="preserve">Evaluacion bloque 2</t>
  </si>
  <si>
    <t xml:space="preserve">1</t>
  </si>
  <si>
    <t xml:space="preserve">Identificar columnas, tipos y granularidad</t>
  </si>
  <si>
    <t xml:space="preserve">Diccionario de datos completo; explicar Ticket vs Linea</t>
  </si>
  <si>
    <t xml:space="preserve">Reto 1 Ingreso de ventas completadas</t>
  </si>
  <si>
    <t xml:space="preserve">Ingreso de ventas canal web</t>
  </si>
  <si>
    <t xml:space="preserve">Operaciones por el canal web</t>
  </si>
  <si>
    <t xml:space="preserve">Ingreso promedio por operación web</t>
  </si>
  <si>
    <t xml:space="preserve">Detectar problemas de calidad</t>
  </si>
  <si>
    <t xml:space="preserve">Bitacora de incidencias con evidencia y estatus</t>
  </si>
  <si>
    <t xml:space="preserve">Validar claves de producto y cliente</t>
  </si>
  <si>
    <t xml:space="preserve">Lista de claves sin correspondencia; sin suposiciones</t>
  </si>
  <si>
    <t xml:space="preserve">2</t>
  </si>
  <si>
    <t xml:space="preserve">Calcular ingreso neto por linea</t>
  </si>
  <si>
    <t xml:space="preserve">Formula reproducible con descuento y cantidades; documentar estados</t>
  </si>
  <si>
    <t xml:space="preserve">Calcular costo y utilidad bruta</t>
  </si>
  <si>
    <t xml:space="preserve">Formulas; tratar precios y costos ausentes sin ocultarlos</t>
  </si>
  <si>
    <t xml:space="preserve">Resumir unidades por producto y categoria</t>
  </si>
  <si>
    <t xml:space="preserve">Tabla dinamica y top 10; justificar filtros</t>
  </si>
  <si>
    <t xml:space="preserve">Comparar ventas por region y canal</t>
  </si>
  <si>
    <t xml:space="preserve">Tablas dinamicas y grafico; verificar sumas</t>
  </si>
  <si>
    <t xml:space="preserve">3</t>
  </si>
  <si>
    <t xml:space="preserve">Evolucion mensual de ingresos y utilidad</t>
  </si>
  <si>
    <t xml:space="preserve">Dashboard con segmentadores y KPIs</t>
  </si>
  <si>
    <t xml:space="preserve">Analizar devoluciones y cancelaciones</t>
  </si>
  <si>
    <t xml:space="preserve">Tasas y efecto economico con definiciones claras</t>
  </si>
  <si>
    <t xml:space="preserve">Detectar descuentos atipicos</t>
  </si>
  <si>
    <t xml:space="preserve">Reglas, evidencia y propuesta de validacion</t>
  </si>
  <si>
    <t xml:space="preserve">4</t>
  </si>
  <si>
    <t xml:space="preserve">Analizar concentracion de clientes</t>
  </si>
  <si>
    <t xml:space="preserve">Pareto 80/20 y segmentacion</t>
  </si>
  <si>
    <t xml:space="preserve">Conciliar resultados entre hojas</t>
  </si>
  <si>
    <t xml:space="preserve">Validaciones cruzadas y control de calidad</t>
  </si>
  <si>
    <t xml:space="preserve">Presentar recomendaciones de negocio</t>
  </si>
  <si>
    <t xml:space="preserve">Informe ejecutivo con limitaciones y hallazgos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</si>
</sst>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yy"/>
    <numFmt numFmtId="166" formatCode="#,##0.00"/>
    <numFmt numFmtId="167" formatCode="0%"/>
    <numFmt numFmtId="168" formatCode="[$$-80A]#,##0.00;[RED]\-[$$-80A]#,##0.00"/>
    <numFmt numFmtId="169" formatCode="_(\$* #,##0.00_);_(\$* \(#,##0.00\);_(\$* \-??_);_(@_)"/>
    <numFmt numFmtId="170" formatCode="General"/>
  </numFmts>
  <fonts count="9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17324D"/>
      <name val="Calibri"/>
      <family val="0"/>
      <charset val="1"/>
    </font>
    <font>
      <sz val="13"/>
      <color rgb="FF000000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7324D"/>
        <bgColor rgb="FF333333"/>
      </patternFill>
    </fill>
    <fill>
      <patternFill patternType="solid">
        <fgColor rgb="FFE2EDF6"/>
        <bgColor rgb="FFCCFFFF"/>
      </patternFill>
    </fill>
  </fills>
  <borders count="4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medium"/>
      <top/>
      <bottom style="thin"/>
      <diagonal/>
    </border>
    <border diagonalUp="false" diagonalDown="false">
      <left/>
      <right style="medium"/>
      <top style="thin"/>
      <bottom/>
      <diagonal/>
    </border>
    <border diagonalUp="false" diagonalDown="false">
      <left/>
      <right style="medium"/>
      <top/>
      <bottom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/>
      <top style="thin"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1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1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2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4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5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16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1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9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0" xfId="21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21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2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5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3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3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4" xfId="21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4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2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7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5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9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30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9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1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2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3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4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27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36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6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2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5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3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5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7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30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8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9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2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9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4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2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2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3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3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6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1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4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8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9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mpo de la tabla dinámica" xfId="20"/>
    <cellStyle name="Categoría de la tabla dinámica" xfId="21"/>
    <cellStyle name="Esquina de la tabla dinámica" xfId="22"/>
    <cellStyle name="Resultado de la tabla dinámica" xfId="23"/>
    <cellStyle name="Título de la tabla dinámica" xfId="24"/>
    <cellStyle name="Valor de la tabla dinámica" xfId="25"/>
  </cellStyles>
  <dxfs count="3">
    <dxf>
      <fill>
        <patternFill patternType="solid">
          <fgColor rgb="FF17324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E2ED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24D"/>
      <rgbColor rgb="FF339966"/>
      <rgbColor rgb="FF003300"/>
      <rgbColor rgb="FF333300"/>
      <rgbColor rgb="FF993300"/>
      <rgbColor rgb="FF993366"/>
      <rgbColor rgb="FF00458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<Relationship Id="rId15" Type="http://schemas.openxmlformats.org/officeDocument/2006/relationships/pivotCacheDefinition" Target="pivotCache/pivotCacheDefinition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latin typeface="Arial"/>
                <a:ea typeface="Calibri"/>
              </a:defRPr>
            </a:pPr>
            <a:r>
              <a:rPr b="0" sz="1300" spc="-1" strike="noStrike">
                <a:solidFill>
                  <a:srgbClr val="000000"/>
                </a:solidFill>
                <a:latin typeface="Arial"/>
                <a:ea typeface="Calibri"/>
              </a:rPr>
              <a:t>Septiembre 2026 Utilidad bruta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U1_B3_Evaluacion!$C$13:$C$13</c:f>
              <c:strCache>
                <c:ptCount val="1"/>
                <c:pt idx="0">
                  <c:v>Utiidad bruta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U1_B3_Evaluacion!$B$14:$B$16</c:f>
              <c:strCache>
                <c:ptCount val="3"/>
                <c:pt idx="0">
                  <c:v>Distribuidor</c:v>
                </c:pt>
                <c:pt idx="1">
                  <c:v>Tienda</c:v>
                </c:pt>
                <c:pt idx="2">
                  <c:v>Web</c:v>
                </c:pt>
              </c:strCache>
            </c:strRef>
          </c:cat>
          <c:val>
            <c:numRef>
              <c:f>U1_B3_Evaluacion!$C$14:$C$16</c:f>
              <c:numCache>
                <c:formatCode>General</c:formatCode>
                <c:ptCount val="3"/>
                <c:pt idx="0">
                  <c:v>441278.824</c:v>
                </c:pt>
                <c:pt idx="1">
                  <c:v>724319.3155</c:v>
                </c:pt>
                <c:pt idx="2">
                  <c:v>604681.2425</c:v>
                </c:pt>
              </c:numCache>
            </c:numRef>
          </c:val>
        </c:ser>
        <c:gapWidth val="100"/>
        <c:overlap val="0"/>
        <c:axId val="84088844"/>
        <c:axId val="67990844"/>
      </c:barChart>
      <c:catAx>
        <c:axId val="840888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Calibri"/>
              </a:defRPr>
            </a:pPr>
          </a:p>
        </c:txPr>
        <c:crossAx val="67990844"/>
        <c:crosses val="autoZero"/>
        <c:auto val="1"/>
        <c:lblAlgn val="ctr"/>
        <c:lblOffset val="100"/>
        <c:noMultiLvlLbl val="0"/>
      </c:catAx>
      <c:valAx>
        <c:axId val="6799084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Calibri"/>
              </a:defRPr>
            </a:pPr>
          </a:p>
        </c:txPr>
        <c:crossAx val="84088844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latin typeface="Arial"/>
                <a:ea typeface="Calibri"/>
              </a:defRPr>
            </a:pPr>
            <a:r>
              <a:rPr b="0" sz="1300" spc="-1" strike="noStrike">
                <a:solidFill>
                  <a:srgbClr val="000000"/>
                </a:solidFill>
                <a:latin typeface="Arial"/>
                <a:ea typeface="Calibri"/>
              </a:rPr>
              <a:t>Top 10 productos por utilidad bruta — Ventas completadas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'Tabla dinámica_Ventas_2'!$F$4:$F$4</c:f>
              <c:strCache>
                <c:ptCount val="1"/>
                <c:pt idx="0">
                  <c:v>Utilidad_bruta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'Tabla dinámica_Ventas_2'!$E$5:$E$14</c:f>
              <c:strCache>
                <c:ptCount val="10"/>
                <c:pt idx="0">
                  <c:v>P0092</c:v>
                </c:pt>
                <c:pt idx="1">
                  <c:v>P0027</c:v>
                </c:pt>
                <c:pt idx="2">
                  <c:v>P0004</c:v>
                </c:pt>
                <c:pt idx="3">
                  <c:v>P0071</c:v>
                </c:pt>
                <c:pt idx="4">
                  <c:v>P0012</c:v>
                </c:pt>
                <c:pt idx="5">
                  <c:v>P0075</c:v>
                </c:pt>
                <c:pt idx="6">
                  <c:v>P0065</c:v>
                </c:pt>
                <c:pt idx="7">
                  <c:v>P0051</c:v>
                </c:pt>
                <c:pt idx="8">
                  <c:v>P0018</c:v>
                </c:pt>
                <c:pt idx="9">
                  <c:v>P0013</c:v>
                </c:pt>
              </c:strCache>
            </c:strRef>
          </c:cat>
          <c:val>
            <c:numRef>
              <c:f>'Tabla dinámica_Ventas_2'!$F$5:$F$14</c:f>
              <c:numCache>
                <c:formatCode>[$$-80A]#,##0.00;[RED]\-[$$-80A]#,##0.00</c:formatCode>
                <c:ptCount val="10"/>
                <c:pt idx="0">
                  <c:v>533925.986</c:v>
                </c:pt>
                <c:pt idx="1">
                  <c:v>525453.8295</c:v>
                </c:pt>
                <c:pt idx="2">
                  <c:v>404831.139</c:v>
                </c:pt>
                <c:pt idx="3">
                  <c:v>373480.2935</c:v>
                </c:pt>
                <c:pt idx="4">
                  <c:v>368254.5115</c:v>
                </c:pt>
                <c:pt idx="5">
                  <c:v>367324.965</c:v>
                </c:pt>
                <c:pt idx="6">
                  <c:v>344527.443</c:v>
                </c:pt>
                <c:pt idx="7">
                  <c:v>321923.791</c:v>
                </c:pt>
                <c:pt idx="8">
                  <c:v>320973.919</c:v>
                </c:pt>
                <c:pt idx="9">
                  <c:v>316220.6605</c:v>
                </c:pt>
              </c:numCache>
            </c:numRef>
          </c:val>
        </c:ser>
        <c:gapWidth val="100"/>
        <c:overlap val="0"/>
        <c:axId val="63649217"/>
        <c:axId val="40363947"/>
      </c:barChart>
      <c:catAx>
        <c:axId val="6364921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Calibri"/>
              </a:defRPr>
            </a:pPr>
          </a:p>
        </c:txPr>
        <c:crossAx val="40363947"/>
        <c:crosses val="autoZero"/>
        <c:auto val="1"/>
        <c:lblAlgn val="ctr"/>
        <c:lblOffset val="100"/>
        <c:noMultiLvlLbl val="0"/>
      </c:catAx>
      <c:valAx>
        <c:axId val="4036394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[$$-80A]#,##0.00;[RED]\-[$$-80A]#,##0.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Calibri"/>
              </a:defRPr>
            </a:pPr>
          </a:p>
        </c:txPr>
        <c:crossAx val="63649217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776160</xdr:colOff>
      <xdr:row>15</xdr:row>
      <xdr:rowOff>116280</xdr:rowOff>
    </xdr:from>
    <xdr:to>
      <xdr:col>9</xdr:col>
      <xdr:colOff>1292400</xdr:colOff>
      <xdr:row>34</xdr:row>
      <xdr:rowOff>25920</xdr:rowOff>
    </xdr:to>
    <xdr:graphicFrame>
      <xdr:nvGraphicFramePr>
        <xdr:cNvPr id="0" name=""/>
        <xdr:cNvGraphicFramePr/>
      </xdr:nvGraphicFramePr>
      <xdr:xfrm>
        <a:off x="6427800" y="2745360"/>
        <a:ext cx="576072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398520</xdr:colOff>
      <xdr:row>1</xdr:row>
      <xdr:rowOff>131760</xdr:rowOff>
    </xdr:from>
    <xdr:to>
      <xdr:col>13</xdr:col>
      <xdr:colOff>468360</xdr:colOff>
      <xdr:row>20</xdr:row>
      <xdr:rowOff>41040</xdr:rowOff>
    </xdr:to>
    <xdr:graphicFrame>
      <xdr:nvGraphicFramePr>
        <xdr:cNvPr id="1" name=""/>
        <xdr:cNvGraphicFramePr/>
      </xdr:nvGraphicFramePr>
      <xdr:xfrm>
        <a:off x="6308640" y="307080"/>
        <a:ext cx="575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294" createdVersion="3">
  <cacheSource type="worksheet">
    <worksheetSource ref="A1:R2295" sheet="Ventas"/>
  </cacheSource>
  <cacheFields count="18">
    <cacheField name="Ticket" numFmtId="0">
      <sharedItems count="950">
        <s v="T-10000"/>
        <s v="T-10001"/>
        <s v="T-10002"/>
        <s v="T-10003"/>
        <s v="T-10004"/>
        <s v="T-10005"/>
        <s v="T-10006"/>
        <s v="T-10007"/>
        <s v="T-10008"/>
        <s v="T-10009"/>
        <s v="T-10010"/>
        <s v="T-10011"/>
        <s v="T-10012"/>
        <s v="T-10013"/>
        <s v="T-10014"/>
        <s v="T-10015"/>
        <s v="T-10016"/>
        <s v="T-10017"/>
        <s v="T-10018"/>
        <s v="T-10019"/>
        <s v="T-10020"/>
        <s v="T-10021"/>
        <s v="T-10022"/>
        <s v="T-10023"/>
        <s v="T-10024"/>
        <s v="T-10025"/>
        <s v="T-10026"/>
        <s v="T-10027"/>
        <s v="T-10028"/>
        <s v="T-10029"/>
        <s v="T-10030"/>
        <s v="T-10031"/>
        <s v="T-10032"/>
        <s v="T-10033"/>
        <s v="T-10034"/>
        <s v="T-10035"/>
        <s v="T-10036"/>
        <s v="T-10037"/>
        <s v="T-10038"/>
        <s v="T-10039"/>
        <s v="T-10040"/>
        <s v="T-10041"/>
        <s v="T-10042"/>
        <s v="T-10043"/>
        <s v="T-10044"/>
        <s v="T-10045"/>
        <s v="T-10046"/>
        <s v="T-10047"/>
        <s v="T-10048"/>
        <s v="T-10049"/>
        <s v="T-10050"/>
        <s v="T-10051"/>
        <s v="T-10052"/>
        <s v="T-10053"/>
        <s v="T-10054"/>
        <s v="T-10055"/>
        <s v="T-10056"/>
        <s v="T-10057"/>
        <s v="T-10058"/>
        <s v="T-10059"/>
        <s v="T-10060"/>
        <s v="T-10061"/>
        <s v="T-10062"/>
        <s v="T-10063"/>
        <s v="T-10064"/>
        <s v="T-10065"/>
        <s v="T-10066"/>
        <s v="T-10067"/>
        <s v="T-10068"/>
        <s v="T-10069"/>
        <s v="T-10070"/>
        <s v="T-10071"/>
        <s v="T-10072"/>
        <s v="T-10073"/>
        <s v="T-10074"/>
        <s v="T-10075"/>
        <s v="T-10076"/>
        <s v="T-10077"/>
        <s v="T-10078"/>
        <s v="T-10079"/>
        <s v="T-10080"/>
        <s v="T-10081"/>
        <s v="T-10082"/>
        <s v="T-10083"/>
        <s v="T-10084"/>
        <s v="T-10085"/>
        <s v="T-10086"/>
        <s v="T-10087"/>
        <s v="T-10088"/>
        <s v="T-10089"/>
        <s v="T-10090"/>
        <s v="T-10091"/>
        <s v="T-10092"/>
        <s v="T-10093"/>
        <s v="T-10094"/>
        <s v="T-10095"/>
        <s v="T-10096"/>
        <s v="T-10097"/>
        <s v="T-10098"/>
        <s v="T-10099"/>
        <s v="T-10100"/>
        <s v="T-10101"/>
        <s v="T-10102"/>
        <s v="T-10103"/>
        <s v="T-10104"/>
        <s v="T-10105"/>
        <s v="T-10106"/>
        <s v="T-10107"/>
        <s v="T-10108"/>
        <s v="T-10109"/>
        <s v="T-10110"/>
        <s v="T-10111"/>
        <s v="T-10112"/>
        <s v="T-10113"/>
        <s v="T-10114"/>
        <s v="T-10115"/>
        <s v="T-10116"/>
        <s v="T-10117"/>
        <s v="T-10118"/>
        <s v="T-10119"/>
        <s v="T-10120"/>
        <s v="T-10121"/>
        <s v="T-10122"/>
        <s v="T-10123"/>
        <s v="T-10124"/>
        <s v="T-10125"/>
        <s v="T-10126"/>
        <s v="T-10127"/>
        <s v="T-10128"/>
        <s v="T-10129"/>
        <s v="T-10130"/>
        <s v="T-10131"/>
        <s v="T-10132"/>
        <s v="T-10133"/>
        <s v="T-10134"/>
        <s v="T-10135"/>
        <s v="T-10136"/>
        <s v="T-10137"/>
        <s v="T-10138"/>
        <s v="T-10139"/>
        <s v="T-10140"/>
        <s v="T-10141"/>
        <s v="T-10142"/>
        <s v="T-10143"/>
        <s v="T-10144"/>
        <s v="T-10145"/>
        <s v="T-10146"/>
        <s v="T-10147"/>
        <s v="T-10148"/>
        <s v="T-10149"/>
        <s v="T-10150"/>
        <s v="T-10151"/>
        <s v="T-10152"/>
        <s v="T-10153"/>
        <s v="T-10154"/>
        <s v="T-10155"/>
        <s v="T-10156"/>
        <s v="T-10157"/>
        <s v="T-10158"/>
        <s v="T-10159"/>
        <s v="T-10160"/>
        <s v="T-10161"/>
        <s v="T-10162"/>
        <s v="T-10163"/>
        <s v="T-10164"/>
        <s v="T-10165"/>
        <s v="T-10166"/>
        <s v="T-10167"/>
        <s v="T-10168"/>
        <s v="T-10169"/>
        <s v="T-10170"/>
        <s v="T-10171"/>
        <s v="T-10172"/>
        <s v="T-10173"/>
        <s v="T-10174"/>
        <s v="T-10175"/>
        <s v="T-10176"/>
        <s v="T-10177"/>
        <s v="T-10178"/>
        <s v="T-10179"/>
        <s v="T-10180"/>
        <s v="T-10181"/>
        <s v="T-10182"/>
        <s v="T-10183"/>
        <s v="T-10184"/>
        <s v="T-10185"/>
        <s v="T-10186"/>
        <s v="T-10187"/>
        <s v="T-10188"/>
        <s v="T-10189"/>
        <s v="T-10190"/>
        <s v="T-10191"/>
        <s v="T-10192"/>
        <s v="T-10193"/>
        <s v="T-10194"/>
        <s v="T-10195"/>
        <s v="T-10196"/>
        <s v="T-10197"/>
        <s v="T-10198"/>
        <s v="T-10199"/>
        <s v="T-10200"/>
        <s v="T-10201"/>
        <s v="T-10202"/>
        <s v="T-10203"/>
        <s v="T-10204"/>
        <s v="T-10205"/>
        <s v="T-10206"/>
        <s v="T-10207"/>
        <s v="T-10208"/>
        <s v="T-10209"/>
        <s v="T-10210"/>
        <s v="T-10211"/>
        <s v="T-10212"/>
        <s v="T-10213"/>
        <s v="T-10214"/>
        <s v="T-10215"/>
        <s v="T-10216"/>
        <s v="T-10217"/>
        <s v="T-10218"/>
        <s v="T-10219"/>
        <s v="T-10220"/>
        <s v="T-10221"/>
        <s v="T-10222"/>
        <s v="T-10223"/>
        <s v="T-10224"/>
        <s v="T-10225"/>
        <s v="T-10226"/>
        <s v="T-10227"/>
        <s v="T-10228"/>
        <s v="T-10229"/>
        <s v="T-10230"/>
        <s v="T-10231"/>
        <s v="T-10232"/>
        <s v="T-10233"/>
        <s v="T-10234"/>
        <s v="T-10235"/>
        <s v="T-10236"/>
        <s v="T-10237"/>
        <s v="T-10238"/>
        <s v="T-10239"/>
        <s v="T-10240"/>
        <s v="T-10241"/>
        <s v="T-10242"/>
        <s v="T-10243"/>
        <s v="T-10244"/>
        <s v="T-10245"/>
        <s v="T-10246"/>
        <s v="T-10247"/>
        <s v="T-10248"/>
        <s v="T-10249"/>
        <s v="T-10250"/>
        <s v="T-10251"/>
        <s v="T-10252"/>
        <s v="T-10253"/>
        <s v="T-10254"/>
        <s v="T-10255"/>
        <s v="T-10256"/>
        <s v="T-10257"/>
        <s v="T-10258"/>
        <s v="T-10259"/>
        <s v="T-10260"/>
        <s v="T-10261"/>
        <s v="T-10262"/>
        <s v="T-10263"/>
        <s v="T-10264"/>
        <s v="T-10265"/>
        <s v="T-10266"/>
        <s v="T-10267"/>
        <s v="T-10268"/>
        <s v="T-10269"/>
        <s v="T-10270"/>
        <s v="T-10271"/>
        <s v="T-10272"/>
        <s v="T-10273"/>
        <s v="T-10274"/>
        <s v="T-10275"/>
        <s v="T-10276"/>
        <s v="T-10277"/>
        <s v="T-10278"/>
        <s v="T-10279"/>
        <s v="T-10280"/>
        <s v="T-10281"/>
        <s v="T-10282"/>
        <s v="T-10283"/>
        <s v="T-10284"/>
        <s v="T-10285"/>
        <s v="T-10286"/>
        <s v="T-10287"/>
        <s v="T-10288"/>
        <s v="T-10289"/>
        <s v="T-10290"/>
        <s v="T-10291"/>
        <s v="T-10292"/>
        <s v="T-10293"/>
        <s v="T-10294"/>
        <s v="T-10295"/>
        <s v="T-10296"/>
        <s v="T-10297"/>
        <s v="T-10298"/>
        <s v="T-10299"/>
        <s v="T-10300"/>
        <s v="T-10301"/>
        <s v="T-10302"/>
        <s v="T-10303"/>
        <s v="T-10304"/>
        <s v="T-10305"/>
        <s v="T-10306"/>
        <s v="T-10307"/>
        <s v="T-10308"/>
        <s v="T-10309"/>
        <s v="T-10310"/>
        <s v="T-10311"/>
        <s v="T-10312"/>
        <s v="T-10313"/>
        <s v="T-10314"/>
        <s v="T-10315"/>
        <s v="T-10316"/>
        <s v="T-10317"/>
        <s v="T-10318"/>
        <s v="T-10319"/>
        <s v="T-10320"/>
        <s v="T-10321"/>
        <s v="T-10322"/>
        <s v="T-10323"/>
        <s v="T-10324"/>
        <s v="T-10325"/>
        <s v="T-10326"/>
        <s v="T-10327"/>
        <s v="T-10328"/>
        <s v="T-10329"/>
        <s v="T-10330"/>
        <s v="T-10331"/>
        <s v="T-10332"/>
        <s v="T-10333"/>
        <s v="T-10334"/>
        <s v="T-10335"/>
        <s v="T-10336"/>
        <s v="T-10337"/>
        <s v="T-10338"/>
        <s v="T-10339"/>
        <s v="T-10340"/>
        <s v="T-10341"/>
        <s v="T-10342"/>
        <s v="T-10343"/>
        <s v="T-10344"/>
        <s v="T-10345"/>
        <s v="T-10346"/>
        <s v="T-10347"/>
        <s v="T-10348"/>
        <s v="T-10349"/>
        <s v="T-10350"/>
        <s v="T-10351"/>
        <s v="T-10352"/>
        <s v="T-10353"/>
        <s v="T-10354"/>
        <s v="T-10355"/>
        <s v="T-10356"/>
        <s v="T-10357"/>
        <s v="T-10358"/>
        <s v="T-10359"/>
        <s v="T-10360"/>
        <s v="T-10361"/>
        <s v="T-10362"/>
        <s v="T-10363"/>
        <s v="T-10364"/>
        <s v="T-10365"/>
        <s v="T-10366"/>
        <s v="T-10367"/>
        <s v="T-10368"/>
        <s v="T-10369"/>
        <s v="T-10370"/>
        <s v="T-10371"/>
        <s v="T-10372"/>
        <s v="T-10373"/>
        <s v="T-10374"/>
        <s v="T-10375"/>
        <s v="T-10376"/>
        <s v="T-10377"/>
        <s v="T-10378"/>
        <s v="T-10379"/>
        <s v="T-10380"/>
        <s v="T-10381"/>
        <s v="T-10382"/>
        <s v="T-10383"/>
        <s v="T-10384"/>
        <s v="T-10385"/>
        <s v="T-10386"/>
        <s v="T-10387"/>
        <s v="T-10388"/>
        <s v="T-10389"/>
        <s v="T-10390"/>
        <s v="T-10391"/>
        <s v="T-10392"/>
        <s v="T-10393"/>
        <s v="T-10394"/>
        <s v="T-10395"/>
        <s v="T-10396"/>
        <s v="T-10397"/>
        <s v="T-10398"/>
        <s v="T-10399"/>
        <s v="T-10400"/>
        <s v="T-10401"/>
        <s v="T-10402"/>
        <s v="T-10403"/>
        <s v="T-10404"/>
        <s v="T-10405"/>
        <s v="T-10406"/>
        <s v="T-10407"/>
        <s v="T-10408"/>
        <s v="T-10409"/>
        <s v="T-10410"/>
        <s v="T-10411"/>
        <s v="T-10412"/>
        <s v="T-10413"/>
        <s v="T-10414"/>
        <s v="T-10415"/>
        <s v="T-10416"/>
        <s v="T-10417"/>
        <s v="T-10418"/>
        <s v="T-10419"/>
        <s v="T-10420"/>
        <s v="T-10421"/>
        <s v="T-10422"/>
        <s v="T-10423"/>
        <s v="T-10424"/>
        <s v="T-10425"/>
        <s v="T-10426"/>
        <s v="T-10427"/>
        <s v="T-10428"/>
        <s v="T-10429"/>
        <s v="T-10430"/>
        <s v="T-10431"/>
        <s v="T-10432"/>
        <s v="T-10433"/>
        <s v="T-10434"/>
        <s v="T-10435"/>
        <s v="T-10436"/>
        <s v="T-10437"/>
        <s v="T-10438"/>
        <s v="T-10439"/>
        <s v="T-10440"/>
        <s v="T-10441"/>
        <s v="T-10442"/>
        <s v="T-10443"/>
        <s v="T-10444"/>
        <s v="T-10445"/>
        <s v="T-10446"/>
        <s v="T-10447"/>
        <s v="T-10448"/>
        <s v="T-10449"/>
        <s v="T-10450"/>
        <s v="T-10451"/>
        <s v="T-10452"/>
        <s v="T-10453"/>
        <s v="T-10454"/>
        <s v="T-10455"/>
        <s v="T-10456"/>
        <s v="T-10457"/>
        <s v="T-10458"/>
        <s v="T-10459"/>
        <s v="T-10460"/>
        <s v="T-10461"/>
        <s v="T-10462"/>
        <s v="T-10463"/>
        <s v="T-10464"/>
        <s v="T-10465"/>
        <s v="T-10466"/>
        <s v="T-10467"/>
        <s v="T-10468"/>
        <s v="T-10469"/>
        <s v="T-10470"/>
        <s v="T-10471"/>
        <s v="T-10472"/>
        <s v="T-10473"/>
        <s v="T-10474"/>
        <s v="T-10475"/>
        <s v="T-10476"/>
        <s v="T-10477"/>
        <s v="T-10478"/>
        <s v="T-10479"/>
        <s v="T-10480"/>
        <s v="T-10481"/>
        <s v="T-10482"/>
        <s v="T-10483"/>
        <s v="T-10484"/>
        <s v="T-10485"/>
        <s v="T-10486"/>
        <s v="T-10487"/>
        <s v="T-10488"/>
        <s v="T-10489"/>
        <s v="T-10490"/>
        <s v="T-10491"/>
        <s v="T-10492"/>
        <s v="T-10493"/>
        <s v="T-10494"/>
        <s v="T-10495"/>
        <s v="T-10496"/>
        <s v="T-10497"/>
        <s v="T-10498"/>
        <s v="T-10499"/>
        <s v="T-10500"/>
        <s v="T-10501"/>
        <s v="T-10502"/>
        <s v="T-10503"/>
        <s v="T-10504"/>
        <s v="T-10505"/>
        <s v="T-10506"/>
        <s v="T-10507"/>
        <s v="T-10508"/>
        <s v="T-10509"/>
        <s v="T-10510"/>
        <s v="T-10511"/>
        <s v="T-10512"/>
        <s v="T-10513"/>
        <s v="T-10514"/>
        <s v="T-10515"/>
        <s v="T-10516"/>
        <s v="T-10517"/>
        <s v="T-10518"/>
        <s v="T-10519"/>
        <s v="T-10520"/>
        <s v="T-10521"/>
        <s v="T-10522"/>
        <s v="T-10523"/>
        <s v="T-10524"/>
        <s v="T-10525"/>
        <s v="T-10526"/>
        <s v="T-10527"/>
        <s v="T-10528"/>
        <s v="T-10529"/>
        <s v="T-10530"/>
        <s v="T-10531"/>
        <s v="T-10532"/>
        <s v="T-10533"/>
        <s v="T-10534"/>
        <s v="T-10535"/>
        <s v="T-10536"/>
        <s v="T-10537"/>
        <s v="T-10538"/>
        <s v="T-10539"/>
        <s v="T-10540"/>
        <s v="T-10541"/>
        <s v="T-10542"/>
        <s v="T-10543"/>
        <s v="T-10544"/>
        <s v="T-10545"/>
        <s v="T-10546"/>
        <s v="T-10547"/>
        <s v="T-10548"/>
        <s v="T-10549"/>
        <s v="T-10550"/>
        <s v="T-10551"/>
        <s v="T-10552"/>
        <s v="T-10553"/>
        <s v="T-10554"/>
        <s v="T-10555"/>
        <s v="T-10556"/>
        <s v="T-10557"/>
        <s v="T-10558"/>
        <s v="T-10559"/>
        <s v="T-10560"/>
        <s v="T-10561"/>
        <s v="T-10562"/>
        <s v="T-10563"/>
        <s v="T-10564"/>
        <s v="T-10565"/>
        <s v="T-10566"/>
        <s v="T-10567"/>
        <s v="T-10568"/>
        <s v="T-10569"/>
        <s v="T-10570"/>
        <s v="T-10571"/>
        <s v="T-10572"/>
        <s v="T-10573"/>
        <s v="T-10574"/>
        <s v="T-10575"/>
        <s v="T-10576"/>
        <s v="T-10577"/>
        <s v="T-10578"/>
        <s v="T-10579"/>
        <s v="T-10580"/>
        <s v="T-10581"/>
        <s v="T-10582"/>
        <s v="T-10583"/>
        <s v="T-10584"/>
        <s v="T-10585"/>
        <s v="T-10586"/>
        <s v="T-10587"/>
        <s v="T-10588"/>
        <s v="T-10589"/>
        <s v="T-10590"/>
        <s v="T-10591"/>
        <s v="T-10592"/>
        <s v="T-10593"/>
        <s v="T-10594"/>
        <s v="T-10595"/>
        <s v="T-10596"/>
        <s v="T-10597"/>
        <s v="T-10598"/>
        <s v="T-10599"/>
        <s v="T-10600"/>
        <s v="T-10601"/>
        <s v="T-10602"/>
        <s v="T-10603"/>
        <s v="T-10604"/>
        <s v="T-10605"/>
        <s v="T-10606"/>
        <s v="T-10607"/>
        <s v="T-10608"/>
        <s v="T-10609"/>
        <s v="T-10610"/>
        <s v="T-10611"/>
        <s v="T-10612"/>
        <s v="T-10613"/>
        <s v="T-10614"/>
        <s v="T-10615"/>
        <s v="T-10616"/>
        <s v="T-10617"/>
        <s v="T-10618"/>
        <s v="T-10619"/>
        <s v="T-10620"/>
        <s v="T-10621"/>
        <s v="T-10622"/>
        <s v="T-10623"/>
        <s v="T-10624"/>
        <s v="T-10625"/>
        <s v="T-10626"/>
        <s v="T-10627"/>
        <s v="T-10628"/>
        <s v="T-10629"/>
        <s v="T-10630"/>
        <s v="T-10631"/>
        <s v="T-10632"/>
        <s v="T-10633"/>
        <s v="T-10634"/>
        <s v="T-10635"/>
        <s v="T-10636"/>
        <s v="T-10637"/>
        <s v="T-10638"/>
        <s v="T-10639"/>
        <s v="T-10640"/>
        <s v="T-10641"/>
        <s v="T-10642"/>
        <s v="T-10643"/>
        <s v="T-10644"/>
        <s v="T-10645"/>
        <s v="T-10646"/>
        <s v="T-10647"/>
        <s v="T-10648"/>
        <s v="T-10649"/>
        <s v="T-10650"/>
        <s v="T-10651"/>
        <s v="T-10652"/>
        <s v="T-10653"/>
        <s v="T-10654"/>
        <s v="T-10655"/>
        <s v="T-10656"/>
        <s v="T-10657"/>
        <s v="T-10658"/>
        <s v="T-10659"/>
        <s v="T-10660"/>
        <s v="T-10661"/>
        <s v="T-10662"/>
        <s v="T-10663"/>
        <s v="T-10664"/>
        <s v="T-10665"/>
        <s v="T-10666"/>
        <s v="T-10667"/>
        <s v="T-10668"/>
        <s v="T-10669"/>
        <s v="T-10670"/>
        <s v="T-10671"/>
        <s v="T-10672"/>
        <s v="T-10673"/>
        <s v="T-10674"/>
        <s v="T-10675"/>
        <s v="T-10676"/>
        <s v="T-10677"/>
        <s v="T-10678"/>
        <s v="T-10679"/>
        <s v="T-10680"/>
        <s v="T-10681"/>
        <s v="T-10682"/>
        <s v="T-10683"/>
        <s v="T-10684"/>
        <s v="T-10685"/>
        <s v="T-10686"/>
        <s v="T-10687"/>
        <s v="T-10688"/>
        <s v="T-10689"/>
        <s v="T-10690"/>
        <s v="T-10691"/>
        <s v="T-10692"/>
        <s v="T-10693"/>
        <s v="T-10694"/>
        <s v="T-10695"/>
        <s v="T-10696"/>
        <s v="T-10697"/>
        <s v="T-10698"/>
        <s v="T-10699"/>
        <s v="T-10700"/>
        <s v="T-10701"/>
        <s v="T-10702"/>
        <s v="T-10703"/>
        <s v="T-10704"/>
        <s v="T-10705"/>
        <s v="T-10706"/>
        <s v="T-10707"/>
        <s v="T-10708"/>
        <s v="T-10709"/>
        <s v="T-10710"/>
        <s v="T-10711"/>
        <s v="T-10712"/>
        <s v="T-10713"/>
        <s v="T-10714"/>
        <s v="T-10715"/>
        <s v="T-10716"/>
        <s v="T-10717"/>
        <s v="T-10718"/>
        <s v="T-10719"/>
        <s v="T-10720"/>
        <s v="T-10721"/>
        <s v="T-10722"/>
        <s v="T-10723"/>
        <s v="T-10724"/>
        <s v="T-10725"/>
        <s v="T-10726"/>
        <s v="T-10727"/>
        <s v="T-10728"/>
        <s v="T-10729"/>
        <s v="T-10730"/>
        <s v="T-10731"/>
        <s v="T-10732"/>
        <s v="T-10733"/>
        <s v="T-10734"/>
        <s v="T-10735"/>
        <s v="T-10736"/>
        <s v="T-10737"/>
        <s v="T-10738"/>
        <s v="T-10739"/>
        <s v="T-10740"/>
        <s v="T-10741"/>
        <s v="T-10742"/>
        <s v="T-10743"/>
        <s v="T-10744"/>
        <s v="T-10745"/>
        <s v="T-10746"/>
        <s v="T-10747"/>
        <s v="T-10748"/>
        <s v="T-10749"/>
        <s v="T-10750"/>
        <s v="T-10751"/>
        <s v="T-10752"/>
        <s v="T-10753"/>
        <s v="T-10754"/>
        <s v="T-10755"/>
        <s v="T-10756"/>
        <s v="T-10757"/>
        <s v="T-10758"/>
        <s v="T-10759"/>
        <s v="T-10760"/>
        <s v="T-10761"/>
        <s v="T-10762"/>
        <s v="T-10763"/>
        <s v="T-10764"/>
        <s v="T-10765"/>
        <s v="T-10766"/>
        <s v="T-10767"/>
        <s v="T-10768"/>
        <s v="T-10769"/>
        <s v="T-10770"/>
        <s v="T-10771"/>
        <s v="T-10772"/>
        <s v="T-10773"/>
        <s v="T-10774"/>
        <s v="T-10775"/>
        <s v="T-10776"/>
        <s v="T-10777"/>
        <s v="T-10778"/>
        <s v="T-10779"/>
        <s v="T-10780"/>
        <s v="T-10781"/>
        <s v="T-10782"/>
        <s v="T-10783"/>
        <s v="T-10784"/>
        <s v="T-10785"/>
        <s v="T-10786"/>
        <s v="T-10787"/>
        <s v="T-10788"/>
        <s v="T-10789"/>
        <s v="T-10790"/>
        <s v="T-10791"/>
        <s v="T-10792"/>
        <s v="T-10793"/>
        <s v="T-10794"/>
        <s v="T-10795"/>
        <s v="T-10796"/>
        <s v="T-10797"/>
        <s v="T-10798"/>
        <s v="T-10799"/>
        <s v="T-10800"/>
        <s v="T-10801"/>
        <s v="T-10802"/>
        <s v="T-10803"/>
        <s v="T-10804"/>
        <s v="T-10805"/>
        <s v="T-10806"/>
        <s v="T-10807"/>
        <s v="T-10808"/>
        <s v="T-10809"/>
        <s v="T-10810"/>
        <s v="T-10811"/>
        <s v="T-10812"/>
        <s v="T-10813"/>
        <s v="T-10814"/>
        <s v="T-10815"/>
        <s v="T-10816"/>
        <s v="T-10817"/>
        <s v="T-10818"/>
        <s v="T-10819"/>
        <s v="T-10820"/>
        <s v="T-10821"/>
        <s v="T-10822"/>
        <s v="T-10823"/>
        <s v="T-10824"/>
        <s v="T-10825"/>
        <s v="T-10826"/>
        <s v="T-10827"/>
        <s v="T-10828"/>
        <s v="T-10829"/>
        <s v="T-10830"/>
        <s v="T-10831"/>
        <s v="T-10832"/>
        <s v="T-10833"/>
        <s v="T-10834"/>
        <s v="T-10835"/>
        <s v="T-10836"/>
        <s v="T-10837"/>
        <s v="T-10838"/>
        <s v="T-10839"/>
        <s v="T-10840"/>
        <s v="T-10841"/>
        <s v="T-10842"/>
        <s v="T-10843"/>
        <s v="T-10844"/>
        <s v="T-10845"/>
        <s v="T-10846"/>
        <s v="T-10847"/>
        <s v="T-10848"/>
        <s v="T-10849"/>
        <s v="T-10850"/>
        <s v="T-10851"/>
        <s v="T-10852"/>
        <s v="T-10853"/>
        <s v="T-10854"/>
        <s v="T-10855"/>
        <s v="T-10856"/>
        <s v="T-10857"/>
        <s v="T-10858"/>
        <s v="T-10859"/>
        <s v="T-10860"/>
        <s v="T-10861"/>
        <s v="T-10862"/>
        <s v="T-10863"/>
        <s v="T-10864"/>
        <s v="T-10865"/>
        <s v="T-10866"/>
        <s v="T-10867"/>
        <s v="T-10868"/>
        <s v="T-10869"/>
        <s v="T-10870"/>
        <s v="T-10871"/>
        <s v="T-10872"/>
        <s v="T-10873"/>
        <s v="T-10874"/>
        <s v="T-10875"/>
        <s v="T-10876"/>
        <s v="T-10877"/>
        <s v="T-10878"/>
        <s v="T-10879"/>
        <s v="T-10880"/>
        <s v="T-10881"/>
        <s v="T-10882"/>
        <s v="T-10883"/>
        <s v="T-10884"/>
        <s v="T-10885"/>
        <s v="T-10886"/>
        <s v="T-10887"/>
        <s v="T-10888"/>
        <s v="T-10889"/>
        <s v="T-10890"/>
        <s v="T-10891"/>
        <s v="T-10892"/>
        <s v="T-10893"/>
        <s v="T-10894"/>
        <s v="T-10895"/>
        <s v="T-10896"/>
        <s v="T-10897"/>
        <s v="T-10898"/>
        <s v="T-10899"/>
        <s v="T-10900"/>
        <s v="T-10901"/>
        <s v="T-10902"/>
        <s v="T-10903"/>
        <s v="T-10904"/>
        <s v="T-10905"/>
        <s v="T-10906"/>
        <s v="T-10907"/>
        <s v="T-10908"/>
        <s v="T-10909"/>
        <s v="T-10910"/>
        <s v="T-10911"/>
        <s v="T-10912"/>
        <s v="T-10913"/>
        <s v="T-10914"/>
        <s v="T-10915"/>
        <s v="T-10916"/>
        <s v="T-10917"/>
        <s v="T-10918"/>
        <s v="T-10919"/>
        <s v="T-10920"/>
        <s v="T-10921"/>
        <s v="T-10922"/>
        <s v="T-10923"/>
        <s v="T-10924"/>
        <s v="T-10925"/>
        <s v="T-10926"/>
        <s v="T-10927"/>
        <s v="T-10928"/>
        <s v="T-10929"/>
        <s v="T-10930"/>
        <s v="T-10931"/>
        <s v="T-10932"/>
        <s v="T-10933"/>
        <s v="T-10934"/>
        <s v="T-10935"/>
        <s v="T-10936"/>
        <s v="T-10937"/>
        <s v="T-10938"/>
        <s v="T-10939"/>
        <s v="T-10940"/>
        <s v="T-10941"/>
        <s v="T-10942"/>
        <s v="T-10943"/>
        <s v="T-10944"/>
        <s v="T-10945"/>
        <s v="T-10946"/>
        <s v="T-10947"/>
        <s v="T-10948"/>
        <s v="T-10949"/>
      </sharedItems>
    </cacheField>
    <cacheField name="Linea" numFmtId="0">
      <sharedItems containsSemiMixedTypes="0" containsString="0" containsNumber="1" containsInteger="1" minValue="1" maxValue="5" count="5">
        <n v="1"/>
        <n v="2"/>
        <n v="3"/>
        <n v="4"/>
        <n v="5"/>
      </sharedItems>
    </cacheField>
    <cacheField name="Fecha" numFmtId="0">
      <sharedItems containsSemiMixedTypes="0" containsNonDate="0" containsDate="1" containsString="0" minDate="2026-01-01T00:00:00" maxDate="2026-09-30T00:00:00" count="265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4T00:00:00"/>
        <d v="2026-01-25T00:00:00"/>
        <d v="2026-01-26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9T00:00:00"/>
        <d v="2026-08-30T00:00:00"/>
        <d v="2026-08-31T00:00:00"/>
        <d v="2026-09-01T00:00:00"/>
        <d v="2026-09-02T00:00:00"/>
        <d v="2026-09-03T00:00:00"/>
        <d v="2026-09-04T00:00:00"/>
        <d v="2026-09-05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9T00:00:00"/>
        <d v="2026-09-20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</sharedItems>
      <fieldGroup base="2">
        <rangePr groupBy="months" startDate="2026-01-01T00:00:00" endDate="2026-10-01T00:00:00"/>
        <groupItems count="14">
          <s v="&lt;01/01/2026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01/10/2026"/>
        </groupItems>
      </fieldGroup>
    </cacheField>
    <cacheField name="Cliente_ID" numFmtId="0">
      <sharedItems count="256">
        <s v="C0001"/>
        <s v="C0002"/>
        <s v="C0003"/>
        <s v="C0004"/>
        <s v="C0005"/>
        <s v="C0006"/>
        <s v="C0007"/>
        <s v="C0008"/>
        <s v="C0009"/>
        <s v="C0010"/>
        <s v="C0011"/>
        <s v="C0012"/>
        <s v="C0013"/>
        <s v="C0014"/>
        <s v="C0015"/>
        <s v="C0016"/>
        <s v="C0017"/>
        <s v="C0018"/>
        <s v="C0019"/>
        <s v="C0020"/>
        <s v="C0021"/>
        <s v="C0022"/>
        <s v="C0023"/>
        <s v="C0024"/>
        <s v="C0025"/>
        <s v="C0026"/>
        <s v="C0027"/>
        <s v="C0029"/>
        <s v="C0030"/>
        <s v="C0031"/>
        <s v="C0032"/>
        <s v="C0033"/>
        <s v="C0034"/>
        <s v="C0035"/>
        <s v="C0036"/>
        <s v="C0037"/>
        <s v="C0038"/>
        <s v="C0039"/>
        <s v="C0040"/>
        <s v="C0041"/>
        <s v="C0042"/>
        <s v="C0043"/>
        <s v="C0044"/>
        <s v="C0045"/>
        <s v="C0046"/>
        <s v="C0047"/>
        <s v="C0048"/>
        <s v="C0049"/>
        <s v="C0050"/>
        <s v="C0051"/>
        <s v="C0052"/>
        <s v="C0053"/>
        <s v="C0054"/>
        <s v="C0055"/>
        <s v="C0056"/>
        <s v="C0057"/>
        <s v="C0058"/>
        <s v="C0059"/>
        <s v="C0060"/>
        <s v="C0061"/>
        <s v="C0062"/>
        <s v="C0063"/>
        <s v="C0064"/>
        <s v="C0065"/>
        <s v="C0066"/>
        <s v="C0067"/>
        <s v="C0068"/>
        <s v="C0069"/>
        <s v="C0070"/>
        <s v="C0071"/>
        <s v="C0072"/>
        <s v="C0073"/>
        <s v="C0074"/>
        <s v="C0075"/>
        <s v="C0076"/>
        <s v="C0077"/>
        <s v="C0078"/>
        <s v="C0079"/>
        <s v="C0080"/>
        <s v="C0081"/>
        <s v="C0082"/>
        <s v="C0083"/>
        <s v="C0084"/>
        <s v="C0085"/>
        <s v="C0086"/>
        <s v="C0087"/>
        <s v="C0088"/>
        <s v="C0089"/>
        <s v="C0090"/>
        <s v="C0091"/>
        <s v="C0092"/>
        <s v="C0093"/>
        <s v="C0094"/>
        <s v="C0095"/>
        <s v="C0096"/>
        <s v="C0097"/>
        <s v="C0098"/>
        <s v="C0099"/>
        <s v="C0100"/>
        <s v="C0101"/>
        <s v="C0102"/>
        <s v="C0103"/>
        <s v="C0104"/>
        <s v="C0105"/>
        <s v="C0106"/>
        <s v="C0107"/>
        <s v="C0108"/>
        <s v="C0109"/>
        <s v="C0110"/>
        <s v="C0111"/>
        <s v="C0112"/>
        <s v="C0113"/>
        <s v="C0114"/>
        <s v="C0115"/>
        <s v="C0116"/>
        <s v="C0117"/>
        <s v="C0118"/>
        <s v="C0119"/>
        <s v="C0120"/>
        <s v="C0121"/>
        <s v="C0122"/>
        <s v="C0123"/>
        <s v="C0124"/>
        <s v="C0125"/>
        <s v="C0126"/>
        <s v="C0127"/>
        <s v="C0128"/>
        <s v="C0129"/>
        <s v="C0130"/>
        <s v="C0131"/>
        <s v="C0132"/>
        <s v="C0133"/>
        <s v="C0134"/>
        <s v="C0135"/>
        <s v="C0136"/>
        <s v="C0137"/>
        <s v="C0138"/>
        <s v="C0139"/>
        <s v="C0140"/>
        <s v="C0141"/>
        <s v="C0142"/>
        <s v="C0143"/>
        <s v="C0144"/>
        <s v="C0146"/>
        <s v="C0147"/>
        <s v="C0148"/>
        <s v="C0149"/>
        <s v="C0150"/>
        <s v="C0151"/>
        <s v="C0152"/>
        <s v="C0153"/>
        <s v="C0154"/>
        <s v="C0155"/>
        <s v="C0156"/>
        <s v="C0157"/>
        <s v="C0158"/>
        <s v="C0159"/>
        <s v="C0160"/>
        <s v="C0161"/>
        <s v="C0162"/>
        <s v="C0163"/>
        <s v="C0164"/>
        <s v="C0165"/>
        <s v="C0166"/>
        <s v="C0167"/>
        <s v="C0168"/>
        <s v="C0169"/>
        <s v="C0170"/>
        <s v="C0171"/>
        <s v="C0172"/>
        <s v="C0173"/>
        <s v="C0174"/>
        <s v="C0175"/>
        <s v="C0176"/>
        <s v="C0177"/>
        <s v="C0178"/>
        <s v="C0179"/>
        <s v="C0180"/>
        <s v="C0181"/>
        <s v="C0182"/>
        <s v="C0183"/>
        <s v="C0184"/>
        <s v="C0185"/>
        <s v="C0186"/>
        <s v="C0187"/>
        <s v="C0188"/>
        <s v="C0189"/>
        <s v="C0190"/>
        <s v="C0191"/>
        <s v="C0192"/>
        <s v="C0193"/>
        <s v="C0195"/>
        <s v="C0196"/>
        <s v="C0197"/>
        <s v="C0198"/>
        <s v="C0199"/>
        <s v="C0200"/>
        <s v="C0201"/>
        <s v="C0202"/>
        <s v="C0203"/>
        <s v="C0204"/>
        <s v="C0206"/>
        <s v="C0207"/>
        <s v="C0208"/>
        <s v="C0209"/>
        <s v="C0210"/>
        <s v="C0211"/>
        <s v="C0212"/>
        <s v="C0213"/>
        <s v="C0214"/>
        <s v="C0215"/>
        <s v="C0216"/>
        <s v="C0217"/>
        <s v="C0218"/>
        <s v="C0219"/>
        <s v="C0220"/>
        <s v="C0221"/>
        <s v="C0222"/>
        <s v="C0223"/>
        <s v="C0224"/>
        <s v="C0225"/>
        <s v="C0226"/>
        <s v="C0227"/>
        <s v="C0228"/>
        <s v="C0229"/>
        <s v="C0230"/>
        <s v="C0231"/>
        <s v="C0232"/>
        <s v="C0233"/>
        <s v="C0234"/>
        <s v="C0235"/>
        <s v="C0236"/>
        <s v="C0237"/>
        <s v="C0238"/>
        <s v="C0239"/>
        <s v="C0240"/>
        <s v="C0241"/>
        <s v="C0242"/>
        <s v="C0243"/>
        <s v="C0244"/>
        <s v="C0245"/>
        <s v="C0246"/>
        <s v="C0247"/>
        <s v="C0248"/>
        <s v="C0249"/>
        <s v="C0250"/>
        <s v="C0251"/>
        <s v="C0252"/>
        <s v="C0253"/>
        <s v="C0254"/>
        <s v="C0255"/>
        <s v="C0256"/>
        <s v="C0257"/>
        <s v="C0258"/>
        <s v="C0259"/>
        <s v="C0260"/>
      </sharedItems>
    </cacheField>
    <cacheField name="Producto_ID" numFmtId="0">
      <sharedItems count="101">
        <s v="P0001"/>
        <s v="P0002"/>
        <s v="P0003"/>
        <s v="P0004"/>
        <s v="P0005"/>
        <s v="P0006"/>
        <s v="P0007"/>
        <s v="P0008"/>
        <s v="P0009"/>
        <s v="P0010"/>
        <s v="P0011"/>
        <s v="P0012"/>
        <s v="P0013"/>
        <s v="P0014"/>
        <s v="P0015"/>
        <s v="P0016"/>
        <s v="P0017"/>
        <s v="P0018"/>
        <s v="P0019"/>
        <s v="P0020"/>
        <s v="P0021"/>
        <s v="P0022"/>
        <s v="P0023"/>
        <s v="P0024"/>
        <s v="P0025"/>
        <s v="P0026"/>
        <s v="P0027"/>
        <s v="P0028"/>
        <s v="P0029"/>
        <s v="P0030"/>
        <s v="P0031"/>
        <s v="P0032"/>
        <s v="P0033"/>
        <s v="P0034"/>
        <s v="P0035"/>
        <s v="P0036"/>
        <s v="P0037"/>
        <s v="P0038"/>
        <s v="P0039"/>
        <s v="P0040"/>
        <s v="P0041"/>
        <s v="P0042"/>
        <s v="P0043"/>
        <s v="P0044"/>
        <s v="P0045"/>
        <s v="P0046"/>
        <s v="P0047"/>
        <s v="P0048"/>
        <s v="P0049"/>
        <s v="P0050"/>
        <s v="P0051"/>
        <s v="P0052"/>
        <s v="P0053"/>
        <s v="P0054"/>
        <s v="P0055"/>
        <s v="P0056"/>
        <s v="P0057"/>
        <s v="P0058"/>
        <s v="P0059"/>
        <s v="P0060"/>
        <s v="P0061"/>
        <s v="P0062"/>
        <s v="P0063"/>
        <s v="P0064"/>
        <s v="P0065"/>
        <s v="P0066"/>
        <s v="P0067"/>
        <s v="P0068"/>
        <s v="P0069"/>
        <s v="P0070"/>
        <s v="P0071"/>
        <s v="P0072"/>
        <s v="P0073"/>
        <s v="P0074"/>
        <s v="P0075"/>
        <s v="P0076"/>
        <s v="P0077"/>
        <s v="P0078"/>
        <s v="P0079"/>
        <s v="P0080"/>
        <s v="P0081"/>
        <s v="P0082"/>
        <s v="P0083"/>
        <s v="P0084"/>
        <s v="P0085"/>
        <s v="P0086"/>
        <s v="P0087"/>
        <s v="P0088"/>
        <s v="P0089"/>
        <s v="P0090"/>
        <s v="P0091"/>
        <s v="P0092"/>
        <s v="P0093"/>
        <s v="P0094"/>
        <s v="P0095"/>
        <s v="P0096"/>
        <s v="P0097"/>
        <s v="P0098"/>
        <s v="P0099"/>
        <s v="P0100"/>
        <s v="P9999"/>
      </sharedItems>
    </cacheField>
    <cacheField name="Region" numFmtId="0">
      <sharedItems count="4">
        <s v="Centro"/>
        <s v="Norte"/>
        <s v="Occidente"/>
        <s v="Sur"/>
      </sharedItems>
    </cacheField>
    <cacheField name="Canal" numFmtId="0">
      <sharedItems count="3">
        <s v="Distribuidor"/>
        <s v="Tienda"/>
        <s v="Web"/>
      </sharedItems>
    </cacheField>
    <cacheField name="Vendedor" numFmtId="0">
      <sharedItems count="10">
        <s v="Ana"/>
        <s v="Bruno"/>
        <s v="Carla"/>
        <s v="Diego"/>
        <s v="Elena"/>
        <s v="Fabian"/>
        <s v="Gabriela"/>
        <s v="Hector"/>
        <s v="Irene"/>
        <s v="Jorge"/>
      </sharedItems>
    </cacheField>
    <cacheField name="Unidades" numFmtId="0">
      <sharedItems containsSemiMixedTypes="0" containsString="0" containsNumber="1" containsInteger="1" minValue="-3" maxValue="12" count="8">
        <n v="-3"/>
        <n v="1"/>
        <n v="2"/>
        <n v="3"/>
        <n v="4"/>
        <n v="5"/>
        <n v="8"/>
        <n v="12"/>
      </sharedItems>
    </cacheField>
    <cacheField name="Precio_unitario" numFmtId="0">
      <sharedItems containsString="0" containsBlank="1" containsNumber="1" minValue="248.4" maxValue="20560.88" count="2290">
        <n v="248.4"/>
        <n v="248.58"/>
        <n v="249.31"/>
        <n v="250.04"/>
        <n v="253.8"/>
        <n v="256.4"/>
        <n v="262.8"/>
        <n v="264.18"/>
        <n v="264.44"/>
        <n v="266.76"/>
        <n v="269.91"/>
        <n v="270.58"/>
        <n v="270.59"/>
        <n v="271.36"/>
        <n v="271.58"/>
        <n v="275.32"/>
        <n v="277.74"/>
        <n v="281.77"/>
        <n v="288.88"/>
        <n v="291.19"/>
        <n v="474.43"/>
        <n v="474.85"/>
        <n v="474.92"/>
        <n v="482.46"/>
        <n v="485.75"/>
        <n v="486.89"/>
        <n v="487.27"/>
        <n v="488.38"/>
        <n v="493.57"/>
        <n v="495.24"/>
        <n v="496.12"/>
        <n v="498.35"/>
        <n v="501.64"/>
        <n v="506.9"/>
        <n v="514.69"/>
        <n v="523.47"/>
        <n v="524.83"/>
        <n v="525.9"/>
        <n v="530.8"/>
        <n v="535.91"/>
        <n v="537.45"/>
        <n v="548.22"/>
        <n v="557.97"/>
        <n v="570.27"/>
        <n v="570.43"/>
        <n v="607.01"/>
        <n v="607.65"/>
        <n v="609.7"/>
        <n v="614.62"/>
        <n v="615.97"/>
        <n v="628.2"/>
        <n v="629.89"/>
        <n v="636.48"/>
        <n v="648.2"/>
        <n v="663.85"/>
        <n v="668.28"/>
        <n v="670.63"/>
        <n v="671.41"/>
        <n v="683.58"/>
        <n v="683.87"/>
        <n v="687.32"/>
        <n v="690.64"/>
        <n v="691.45"/>
        <n v="694.08"/>
        <n v="698.38"/>
        <n v="701.05"/>
        <n v="702.55"/>
        <n v="703.39"/>
        <n v="704.3"/>
        <n v="704.8"/>
        <n v="708.15"/>
        <n v="710"/>
        <n v="719.28"/>
        <n v="721.3"/>
        <n v="722.61"/>
        <n v="723.35"/>
        <n v="727.48"/>
        <n v="733.96"/>
        <n v="735.61"/>
        <n v="737.44"/>
        <n v="739.79"/>
        <n v="745.05"/>
        <n v="748.78"/>
        <n v="750.82"/>
        <n v="751.28"/>
        <n v="752.93"/>
        <n v="754.98"/>
        <n v="758.04"/>
        <n v="760.69"/>
        <n v="761.3"/>
        <n v="762.23"/>
        <n v="769.63"/>
        <n v="773.2"/>
        <n v="775.07"/>
        <n v="777.55"/>
        <n v="777.61"/>
        <n v="779.71"/>
        <n v="780.27"/>
        <n v="783.4"/>
        <n v="785.62"/>
        <n v="786.9"/>
        <n v="791.09"/>
        <n v="796.47"/>
        <n v="800.36"/>
        <n v="809.32"/>
        <n v="811.79"/>
        <n v="812.37"/>
        <n v="814.15"/>
        <n v="825.03"/>
        <n v="827.75"/>
        <n v="828.01"/>
        <n v="977.67"/>
        <n v="978.5"/>
        <n v="980.52"/>
        <n v="1012.75"/>
        <n v="1023.38"/>
        <n v="1029.94"/>
        <n v="1039.21"/>
        <n v="1049.64"/>
        <n v="1050.37"/>
        <n v="1050.65"/>
        <n v="1061.5"/>
        <n v="1065.02"/>
        <n v="1075"/>
        <n v="1075.68"/>
        <n v="1077.7"/>
        <n v="1081.45"/>
        <n v="1091.91"/>
        <n v="1094.66"/>
        <n v="1101.7"/>
        <n v="1103"/>
        <n v="1106.57"/>
        <n v="1108.49"/>
        <n v="1113.67"/>
        <n v="1114.91"/>
        <n v="1122.64"/>
        <n v="1123.27"/>
        <n v="1139.31"/>
        <n v="1142.69"/>
        <n v="1145.13"/>
        <n v="1147.49"/>
        <n v="1148.19"/>
        <n v="1156.4"/>
        <n v="1160.17"/>
        <n v="1163.83"/>
        <n v="1167.46"/>
        <n v="1167.81"/>
        <n v="1180.24"/>
        <n v="1181.81"/>
        <n v="1192.24"/>
        <n v="1204.42"/>
        <n v="1209.45"/>
        <n v="1211.86"/>
        <n v="1221.51"/>
        <n v="1221.74"/>
        <n v="1224.66"/>
        <n v="1227.03"/>
        <n v="1227.58"/>
        <n v="1237.7"/>
        <n v="1244.71"/>
        <n v="1248.93"/>
        <n v="1266.18"/>
        <n v="1269.42"/>
        <n v="1275"/>
        <n v="1275.13"/>
        <n v="1276.52"/>
        <n v="1277.85"/>
        <n v="1280.84"/>
        <n v="1281.54"/>
        <n v="1283.78"/>
        <n v="1285.23"/>
        <n v="1292.61"/>
        <n v="1296.88"/>
        <n v="1299.81"/>
        <n v="1305.14"/>
        <n v="1305.72"/>
        <n v="1307.54"/>
        <n v="1315.95"/>
        <n v="1316.24"/>
        <n v="1317.02"/>
        <n v="1318.5"/>
        <n v="1323.07"/>
        <n v="1323.52"/>
        <n v="1325.46"/>
        <n v="1326.46"/>
        <n v="1327.83"/>
        <n v="1331.9"/>
        <n v="1332.94"/>
        <n v="1335.2"/>
        <n v="1339.6"/>
        <n v="1341.46"/>
        <n v="1352.89"/>
        <n v="1356.15"/>
        <n v="1359.05"/>
        <n v="1365.17"/>
        <n v="1369.75"/>
        <n v="1380"/>
        <n v="1381.99"/>
        <n v="1382.02"/>
        <n v="1387.09"/>
        <n v="1398.86"/>
        <n v="1402.47"/>
        <n v="1405.28"/>
        <n v="1410.08"/>
        <n v="1416.56"/>
        <n v="1424.27"/>
        <n v="1434.18"/>
        <n v="1438.06"/>
        <n v="1441.68"/>
        <n v="1442.08"/>
        <n v="1452.03"/>
        <n v="1452.05"/>
        <n v="1455.75"/>
        <n v="1458.99"/>
        <n v="1459.26"/>
        <n v="1462.14"/>
        <n v="1466.31"/>
        <n v="1467.44"/>
        <n v="1469.84"/>
        <n v="1472.85"/>
        <n v="1476.85"/>
        <n v="1480.84"/>
        <n v="1481.42"/>
        <n v="1485.3"/>
        <n v="1495.67"/>
        <n v="1503.59"/>
        <n v="1505.31"/>
        <n v="1526.42"/>
        <n v="1529.75"/>
        <n v="1532.61"/>
        <n v="1567.69"/>
        <n v="1569.54"/>
        <n v="1580.1"/>
        <n v="1587.47"/>
        <n v="1589.18"/>
        <n v="1590.01"/>
        <n v="1592.4"/>
        <n v="1600.15"/>
        <n v="1621.99"/>
        <n v="1627.98"/>
        <n v="1628.31"/>
        <n v="1640.12"/>
        <n v="1644.78"/>
        <n v="1650.14"/>
        <n v="1657.83"/>
        <n v="1662.85"/>
        <n v="1665.21"/>
        <n v="1667.46"/>
        <n v="1669.85"/>
        <n v="1669.89"/>
        <n v="1679.27"/>
        <n v="1682.66"/>
        <n v="1688.12"/>
        <n v="1688.27"/>
        <n v="1690.56"/>
        <n v="1692.1"/>
        <n v="1698.11"/>
        <n v="1706.59"/>
        <n v="1707.05"/>
        <n v="1709.19"/>
        <n v="1717.9"/>
        <n v="1721.16"/>
        <n v="1721.88"/>
        <n v="1741.61"/>
        <n v="1749.93"/>
        <n v="1752.21"/>
        <n v="1752.4"/>
        <n v="1754.45"/>
        <n v="1760.97"/>
        <n v="1770.15"/>
        <n v="1777.91"/>
        <n v="1778.02"/>
        <n v="1781.31"/>
        <n v="1784.93"/>
        <n v="1787.5"/>
        <n v="1801.2"/>
        <n v="1813.04"/>
        <n v="1813.27"/>
        <n v="1813.69"/>
        <n v="1814.84"/>
        <n v="1824.11"/>
        <n v="1825.97"/>
        <n v="1828.46"/>
        <n v="1831.65"/>
        <n v="1832.14"/>
        <n v="1832.33"/>
        <n v="1832.49"/>
        <n v="1833.59"/>
        <n v="1835.98"/>
        <n v="1842.79"/>
        <n v="1846.81"/>
        <n v="1849.3"/>
        <n v="1853.04"/>
        <n v="1856.76"/>
        <n v="1872.56"/>
        <n v="1873"/>
        <n v="1875.41"/>
        <n v="1881.36"/>
        <n v="1889.62"/>
        <n v="1896.44"/>
        <n v="1897.22"/>
        <n v="1901.42"/>
        <n v="1914.92"/>
        <n v="1928.96"/>
        <n v="1945.83"/>
        <n v="1950.86"/>
        <n v="1953.72"/>
        <n v="1958.31"/>
        <n v="1967.24"/>
        <n v="1967.33"/>
        <n v="1970.52"/>
        <n v="1974.73"/>
        <n v="1978.8"/>
        <n v="2001.33"/>
        <n v="2002.2"/>
        <n v="2006.19"/>
        <n v="2007.51"/>
        <n v="2008.03"/>
        <n v="2013.29"/>
        <n v="2014.72"/>
        <n v="2026.1"/>
        <n v="2028.76"/>
        <n v="2029.57"/>
        <n v="2030.74"/>
        <n v="2032.53"/>
        <n v="2034.78"/>
        <n v="2035.17"/>
        <n v="2044.4"/>
        <n v="2054.4"/>
        <n v="2059.14"/>
        <n v="2060.19"/>
        <n v="2061.1"/>
        <n v="2064.84"/>
        <n v="2067.18"/>
        <n v="2067.24"/>
        <n v="2070.38"/>
        <n v="2071.75"/>
        <n v="2076"/>
        <n v="2095.39"/>
        <n v="2098.89"/>
        <n v="2101.53"/>
        <n v="2101.66"/>
        <n v="2110.91"/>
        <n v="2111.63"/>
        <n v="2117.29"/>
        <n v="2122.79"/>
        <n v="2138"/>
        <n v="2141.55"/>
        <n v="2145.11"/>
        <n v="2167.6"/>
        <n v="2174.63"/>
        <n v="2176.94"/>
        <n v="2181.91"/>
        <n v="2187.47"/>
        <n v="2191.31"/>
        <n v="2197.05"/>
        <n v="2202.53"/>
        <n v="2208.86"/>
        <n v="2223.46"/>
        <n v="2255.29"/>
        <n v="2272.62"/>
        <n v="2287.88"/>
        <n v="2293.79"/>
        <n v="2299.04"/>
        <n v="2301.43"/>
        <n v="2301.98"/>
        <n v="2322.26"/>
        <n v="2327.92"/>
        <n v="2331.76"/>
        <n v="2340.05"/>
        <n v="2411.18"/>
        <n v="2424.85"/>
        <n v="2461.63"/>
        <n v="2468.33"/>
        <n v="2484.17"/>
        <n v="2485.1"/>
        <n v="2502.91"/>
        <n v="2503.97"/>
        <n v="2519.76"/>
        <n v="2525.97"/>
        <n v="2526.02"/>
        <n v="2528.67"/>
        <n v="2529.97"/>
        <n v="2537.3"/>
        <n v="2570.78"/>
        <n v="2577.51"/>
        <n v="2589.43"/>
        <n v="2610.72"/>
        <n v="2620.18"/>
        <n v="2645.38"/>
        <n v="2649.92"/>
        <n v="2660.25"/>
        <n v="2662.21"/>
        <n v="2686.39"/>
        <n v="2720.37"/>
        <n v="2729.89"/>
        <n v="2737.5"/>
        <n v="2738.63"/>
        <n v="2743.65"/>
        <n v="2744.99"/>
        <n v="2745.97"/>
        <n v="2748.53"/>
        <n v="2750.35"/>
        <n v="2750.77"/>
        <n v="2751.12"/>
        <n v="2753.26"/>
        <n v="2755.13"/>
        <n v="2757.64"/>
        <n v="2758.38"/>
        <n v="2761.87"/>
        <n v="2761.98"/>
        <n v="2770.05"/>
        <n v="2778.08"/>
        <n v="2780.79"/>
        <n v="2782.77"/>
        <n v="2787.01"/>
        <n v="2788.04"/>
        <n v="2788.94"/>
        <n v="2797.55"/>
        <n v="2802.2"/>
        <n v="2804.3"/>
        <n v="2809.28"/>
        <n v="2811.59"/>
        <n v="2813.65"/>
        <n v="2814.56"/>
        <n v="2817.27"/>
        <n v="2817.55"/>
        <n v="2820.98"/>
        <n v="2824.2"/>
        <n v="2825.57"/>
        <n v="2829.45"/>
        <n v="2829.86"/>
        <n v="2837.81"/>
        <n v="2838.68"/>
        <n v="2840.47"/>
        <n v="2840.96"/>
        <n v="2842.82"/>
        <n v="2846.12"/>
        <n v="2854.62"/>
        <n v="2854.76"/>
        <n v="2855.92"/>
        <n v="2857.57"/>
        <n v="2857.67"/>
        <n v="2861.35"/>
        <n v="2862.18"/>
        <n v="2863.09"/>
        <n v="2868.55"/>
        <n v="2869"/>
        <n v="2872.39"/>
        <n v="2873.94"/>
        <n v="2878.24"/>
        <n v="2881.26"/>
        <n v="2889.13"/>
        <n v="2891.46"/>
        <n v="2892.1"/>
        <n v="2895.47"/>
        <n v="2903.94"/>
        <n v="2912.46"/>
        <n v="2913.26"/>
        <n v="2914.66"/>
        <n v="2920.82"/>
        <n v="2921.79"/>
        <n v="2922.12"/>
        <n v="2924.06"/>
        <n v="2924.2"/>
        <n v="2926.63"/>
        <n v="2932.4"/>
        <n v="2937.24"/>
        <n v="2940.04"/>
        <n v="2942.16"/>
        <n v="2943.17"/>
        <n v="2944.31"/>
        <n v="2945.64"/>
        <n v="2947.49"/>
        <n v="2953.04"/>
        <n v="2956.37"/>
        <n v="2957.04"/>
        <n v="2957.62"/>
        <n v="2959.84"/>
        <n v="2963.64"/>
        <n v="2966.6"/>
        <n v="2967.3"/>
        <n v="2972.54"/>
        <n v="2979.42"/>
        <n v="2989.47"/>
        <n v="2998.08"/>
        <n v="3026.74"/>
        <n v="3029.59"/>
        <n v="3037.7"/>
        <n v="3041.18"/>
        <n v="3050.55"/>
        <n v="3054.76"/>
        <n v="3064.95"/>
        <n v="3078.43"/>
        <n v="3084.53"/>
        <n v="3091.55"/>
        <n v="3094.35"/>
        <n v="3104.91"/>
        <n v="3119.64"/>
        <n v="3125.57"/>
        <n v="3129.44"/>
        <n v="3139.2"/>
        <n v="3141.09"/>
        <n v="3146.96"/>
        <n v="3153.77"/>
        <n v="3157.34"/>
        <n v="3159.55"/>
        <n v="3164.06"/>
        <n v="3168.2"/>
        <n v="3181.24"/>
        <n v="3189.37"/>
        <n v="3190.41"/>
        <n v="3190.46"/>
        <n v="3190.61"/>
        <n v="3200.11"/>
        <n v="3208"/>
        <n v="3209.66"/>
        <n v="3211.48"/>
        <n v="3220.33"/>
        <n v="3234.35"/>
        <n v="3241.62"/>
        <n v="3249.08"/>
        <n v="3249.49"/>
        <n v="3261.35"/>
        <n v="3269.83"/>
        <n v="3277.48"/>
        <n v="3285.99"/>
        <n v="3294.5"/>
        <n v="3294.88"/>
        <n v="3295.59"/>
        <n v="3297.65"/>
        <n v="3322.61"/>
        <n v="3330.06"/>
        <n v="3340.57"/>
        <n v="3361.13"/>
        <n v="3383.37"/>
        <n v="3401.04"/>
        <n v="3401.05"/>
        <n v="3424.4"/>
        <n v="3462.23"/>
        <n v="3464.4"/>
        <n v="3469"/>
        <n v="3472.33"/>
        <n v="3478.89"/>
        <n v="3488.44"/>
        <n v="3490.11"/>
        <n v="3538.83"/>
        <n v="3543.47"/>
        <n v="3545.91"/>
        <n v="3546.84"/>
        <n v="3586.68"/>
        <n v="3604.49"/>
        <n v="3605.54"/>
        <n v="3607.1"/>
        <n v="3615.33"/>
        <n v="3634.74"/>
        <n v="3634.81"/>
        <n v="3636.53"/>
        <n v="3642.46"/>
        <n v="3657.58"/>
        <n v="3658.71"/>
        <n v="3662.34"/>
        <n v="3668.3"/>
        <n v="3674.41"/>
        <n v="3688.01"/>
        <n v="3696.23"/>
        <n v="3698.88"/>
        <n v="3727.03"/>
        <n v="3730.61"/>
        <n v="3734.3"/>
        <n v="3754.54"/>
        <n v="3756.05"/>
        <n v="3757.33"/>
        <n v="3766.73"/>
        <n v="3767.52"/>
        <n v="3768.97"/>
        <n v="3770.95"/>
        <n v="3804.88"/>
        <n v="3806.11"/>
        <n v="3814.25"/>
        <n v="3817.35"/>
        <n v="3847.83"/>
        <n v="3849.26"/>
        <n v="3859.06"/>
        <n v="3859.48"/>
        <n v="3864.46"/>
        <n v="3875.91"/>
        <n v="3880.9"/>
        <n v="3882.43"/>
        <n v="3887.96"/>
        <n v="3893.77"/>
        <n v="3898.1"/>
        <n v="3905.88"/>
        <n v="3916.72"/>
        <n v="3917.53"/>
        <n v="3920.36"/>
        <n v="3924.18"/>
        <n v="3925.08"/>
        <n v="3936.45"/>
        <n v="3947.16"/>
        <n v="3955.12"/>
        <n v="3967.26"/>
        <n v="3972.3"/>
        <n v="3972.81"/>
        <n v="3978.33"/>
        <n v="3982.71"/>
        <n v="3985.26"/>
        <n v="3996"/>
        <n v="3996.71"/>
        <n v="4001.97"/>
        <n v="4007.46"/>
        <n v="4014.83"/>
        <n v="4018.6"/>
        <n v="4020.89"/>
        <n v="4022.37"/>
        <n v="4026.9"/>
        <n v="4029.51"/>
        <n v="4033.43"/>
        <n v="4052.61"/>
        <n v="4063.45"/>
        <n v="4067.38"/>
        <n v="4081.46"/>
        <n v="4097.68"/>
        <n v="4099.44"/>
        <n v="4113.07"/>
        <n v="4131.09"/>
        <n v="4143.42"/>
        <n v="4144.31"/>
        <n v="4149.36"/>
        <n v="4149.47"/>
        <n v="4180.71"/>
        <n v="4182.62"/>
        <n v="4191.77"/>
        <n v="4197.76"/>
        <n v="4205.02"/>
        <n v="4221.28"/>
        <n v="4225.88"/>
        <n v="4233.87"/>
        <n v="4238.26"/>
        <n v="4258.06"/>
        <n v="4260.81"/>
        <n v="4292.8"/>
        <n v="4293.3"/>
        <n v="4294.53"/>
        <n v="4294.58"/>
        <n v="4296.69"/>
        <n v="4327.94"/>
        <n v="4337.78"/>
        <n v="4343.61"/>
        <n v="4349.75"/>
        <n v="4355.19"/>
        <n v="4369.18"/>
        <n v="4371.29"/>
        <n v="4382.71"/>
        <n v="4387.89"/>
        <n v="4409.59"/>
        <n v="4415.15"/>
        <n v="4448.37"/>
        <n v="4464.62"/>
        <n v="4481.29"/>
        <n v="4489.14"/>
        <n v="4489.61"/>
        <n v="4489.78"/>
        <n v="4490.91"/>
        <n v="4494.14"/>
        <n v="4499.63"/>
        <n v="4501.82"/>
        <n v="4503.95"/>
        <n v="4533.45"/>
        <n v="4540.16"/>
        <n v="4544.76"/>
        <n v="4546.49"/>
        <n v="4556.07"/>
        <n v="4557.08"/>
        <n v="4566.55"/>
        <n v="4569.77"/>
        <n v="4574.67"/>
        <n v="4596.61"/>
        <n v="4613.95"/>
        <n v="4624.27"/>
        <n v="4625.76"/>
        <n v="4645.13"/>
        <n v="4652.96"/>
        <n v="4692.19"/>
        <n v="4700.24"/>
        <n v="4701.15"/>
        <n v="4715.05"/>
        <n v="4722.05"/>
        <n v="4726.13"/>
        <n v="4742.86"/>
        <n v="4742.98"/>
        <n v="4743.29"/>
        <n v="4757.72"/>
        <n v="4765.36"/>
        <n v="4779.31"/>
        <n v="4788.24"/>
        <n v="4795.49"/>
        <n v="4798.58"/>
        <n v="4804.52"/>
        <n v="4810.72"/>
        <n v="4813.68"/>
        <n v="4827.89"/>
        <n v="4830.56"/>
        <n v="4835.94"/>
        <n v="4848.91"/>
        <n v="4851.34"/>
        <n v="4867.35"/>
        <n v="4867.65"/>
        <n v="4889.41"/>
        <n v="4913.31"/>
        <n v="4951.02"/>
        <n v="4953.46"/>
        <n v="4969.08"/>
        <n v="4981.53"/>
        <n v="4984.95"/>
        <n v="4985.83"/>
        <n v="4988.1"/>
        <n v="4989.84"/>
        <n v="4993.2"/>
        <n v="5016.83"/>
        <n v="5019.85"/>
        <n v="5043.25"/>
        <n v="5050.44"/>
        <n v="5058.56"/>
        <n v="5058.84"/>
        <n v="5061.54"/>
        <n v="5067.42"/>
        <n v="5067.94"/>
        <n v="5077.33"/>
        <n v="5088.69"/>
        <n v="5097.26"/>
        <n v="5105.42"/>
        <n v="5109.49"/>
        <n v="5111.77"/>
        <n v="5114.78"/>
        <n v="5121.21"/>
        <n v="5124.02"/>
        <n v="5132.93"/>
        <n v="5138.4"/>
        <n v="5159.57"/>
        <n v="5161.88"/>
        <n v="5162.23"/>
        <n v="5177.18"/>
        <n v="5190.34"/>
        <n v="5193.72"/>
        <n v="5206.87"/>
        <n v="5249.71"/>
        <n v="5264.49"/>
        <n v="5278.44"/>
        <n v="5279.46"/>
        <n v="5289.86"/>
        <n v="5290.89"/>
        <n v="5302.45"/>
        <n v="5303.53"/>
        <n v="5306.45"/>
        <n v="5311.82"/>
        <n v="5318.86"/>
        <n v="5324.65"/>
        <n v="5328.89"/>
        <n v="5329.66"/>
        <n v="5336.03"/>
        <n v="5344.86"/>
        <n v="5347.21"/>
        <n v="5348.06"/>
        <n v="5349.94"/>
        <n v="5362.14"/>
        <n v="5369.3"/>
        <n v="5371.47"/>
        <n v="5394.09"/>
        <n v="5404.72"/>
        <n v="5409.76"/>
        <n v="5410.98"/>
        <n v="5414.98"/>
        <n v="5417.7"/>
        <n v="5419.26"/>
        <n v="5419.55"/>
        <n v="5431.16"/>
        <n v="5432.87"/>
        <n v="5443.22"/>
        <n v="5445.61"/>
        <n v="5448.03"/>
        <n v="5452.4"/>
        <n v="5454.25"/>
        <n v="5468.48"/>
        <n v="5470.56"/>
        <n v="5499.48"/>
        <n v="5514.07"/>
        <n v="5517.4"/>
        <n v="5562.88"/>
        <n v="5573.2"/>
        <n v="5585.38"/>
        <n v="5595.02"/>
        <n v="5604.88"/>
        <n v="5619.43"/>
        <n v="5627.84"/>
        <n v="5631.19"/>
        <n v="5639.27"/>
        <n v="5645.27"/>
        <n v="5645.83"/>
        <n v="5664.75"/>
        <n v="5677.5"/>
        <n v="5688.91"/>
        <n v="5694.56"/>
        <n v="5737.43"/>
        <n v="5739.85"/>
        <n v="5752.08"/>
        <n v="5754.59"/>
        <n v="5757.13"/>
        <n v="5765.47"/>
        <n v="5769.28"/>
        <n v="5782.53"/>
        <n v="5791.05"/>
        <n v="5794.78"/>
        <n v="5794.83"/>
        <n v="5809.07"/>
        <n v="5815.09"/>
        <n v="5819.19"/>
        <n v="5823.53"/>
        <n v="5825.85"/>
        <n v="5841.18"/>
        <n v="5858.41"/>
        <n v="5862.61"/>
        <n v="5862.9"/>
        <n v="5867.13"/>
        <n v="5870.49"/>
        <n v="5875.07"/>
        <n v="5875.26"/>
        <n v="5875.75"/>
        <n v="5882.22"/>
        <n v="5884.07"/>
        <n v="5886.88"/>
        <n v="5888.22"/>
        <n v="5891.9"/>
        <n v="5892.91"/>
        <n v="5904.07"/>
        <n v="5906.17"/>
        <n v="5910.04"/>
        <n v="5911.88"/>
        <n v="5911.98"/>
        <n v="5921.92"/>
        <n v="5924.12"/>
        <n v="5933.35"/>
        <n v="5936.71"/>
        <n v="5943.55"/>
        <n v="5959.03"/>
        <n v="5960.53"/>
        <n v="5961.66"/>
        <n v="5963.41"/>
        <n v="5977.68"/>
        <n v="5986.87"/>
        <n v="6000.05"/>
        <n v="6000.87"/>
        <n v="6011.86"/>
        <n v="6012.34"/>
        <n v="6014.21"/>
        <n v="6019.98"/>
        <n v="6021.42"/>
        <n v="6028"/>
        <n v="6047.82"/>
        <n v="6058.44"/>
        <n v="6060.96"/>
        <n v="6067.35"/>
        <n v="6075.94"/>
        <n v="6095.49"/>
        <n v="6103.68"/>
        <n v="6118.75"/>
        <n v="6121.59"/>
        <n v="6124.03"/>
        <n v="6124.84"/>
        <n v="6125.16"/>
        <n v="6131.8"/>
        <n v="6134.73"/>
        <n v="6141.48"/>
        <n v="6143.68"/>
        <n v="6145.87"/>
        <n v="6145.95"/>
        <n v="6145.99"/>
        <n v="6170.24"/>
        <n v="6192.25"/>
        <n v="6198.75"/>
        <n v="6214.85"/>
        <n v="6236.08"/>
        <n v="6241.62"/>
        <n v="6246.24"/>
        <n v="6260.37"/>
        <n v="6284.29"/>
        <n v="6288.51"/>
        <n v="6289.31"/>
        <n v="6294.87"/>
        <n v="6298.04"/>
        <n v="6309.8"/>
        <n v="6318.49"/>
        <n v="6322.16"/>
        <n v="6337.34"/>
        <n v="6349.4"/>
        <n v="6352.52"/>
        <n v="6361.47"/>
        <n v="6379.82"/>
        <n v="6385.25"/>
        <n v="6401.16"/>
        <n v="6407.89"/>
        <n v="6408.21"/>
        <n v="6413.68"/>
        <n v="6423.3"/>
        <n v="6432.6"/>
        <n v="6458.81"/>
        <n v="6461.81"/>
        <n v="6470.76"/>
        <n v="6490.54"/>
        <n v="6503.41"/>
        <n v="6506.39"/>
        <n v="6523.09"/>
        <n v="6529.34"/>
        <n v="6532"/>
        <n v="6535.31"/>
        <n v="6537.86"/>
        <n v="6553.44"/>
        <n v="6557.8"/>
        <n v="6564.6"/>
        <n v="6572.46"/>
        <n v="6592.04"/>
        <n v="6599.74"/>
        <n v="6602.06"/>
        <n v="6608.66"/>
        <n v="6618.94"/>
        <n v="6619.58"/>
        <n v="6622.29"/>
        <n v="6633.55"/>
        <n v="6647.7"/>
        <n v="6650.98"/>
        <n v="6659.96"/>
        <n v="6666.12"/>
        <n v="6670.79"/>
        <n v="6680.44"/>
        <n v="6684.35"/>
        <n v="6694.56"/>
        <n v="6705.13"/>
        <n v="6712.52"/>
        <n v="6713.95"/>
        <n v="6717.9"/>
        <n v="6724.05"/>
        <n v="6727.62"/>
        <n v="6734.65"/>
        <n v="6743.29"/>
        <n v="6764.88"/>
        <n v="6765.11"/>
        <n v="6770.05"/>
        <n v="6777.85"/>
        <n v="6777.88"/>
        <n v="6782.25"/>
        <n v="6782.61"/>
        <n v="6789.81"/>
        <n v="6815.58"/>
        <n v="6823.86"/>
        <n v="6827.31"/>
        <n v="6835.49"/>
        <n v="6836.42"/>
        <n v="6839.06"/>
        <n v="6852.03"/>
        <n v="6852.09"/>
        <n v="6857.63"/>
        <n v="6857.85"/>
        <n v="6872.75"/>
        <n v="6885.34"/>
        <n v="6900.14"/>
        <n v="6910.34"/>
        <n v="6954.06"/>
        <n v="6964.91"/>
        <n v="6969.67"/>
        <n v="6973.78"/>
        <n v="6983.39"/>
        <n v="6986.48"/>
        <n v="6987.86"/>
        <n v="6991.29"/>
        <n v="7000.66"/>
        <n v="7022.16"/>
        <n v="7037.93"/>
        <n v="7053.56"/>
        <n v="7056.18"/>
        <n v="7059.01"/>
        <n v="7084.22"/>
        <n v="7097.18"/>
        <n v="7102.07"/>
        <n v="7114.74"/>
        <n v="7115.98"/>
        <n v="7146.75"/>
        <n v="7153.59"/>
        <n v="7161.43"/>
        <n v="7161.44"/>
        <n v="7166.38"/>
        <n v="7173.17"/>
        <n v="7176.44"/>
        <n v="7177.07"/>
        <n v="7186.58"/>
        <n v="7187.19"/>
        <n v="7191.03"/>
        <n v="7191.69"/>
        <n v="7192.35"/>
        <n v="7193.69"/>
        <n v="7201"/>
        <n v="7207"/>
        <n v="7239.12"/>
        <n v="7251.64"/>
        <n v="7265.6"/>
        <n v="7272.12"/>
        <n v="7285.75"/>
        <n v="7297.6"/>
        <n v="7311.25"/>
        <n v="7323.28"/>
        <n v="7338.12"/>
        <n v="7350.88"/>
        <n v="7357.5"/>
        <n v="7371.23"/>
        <n v="7417.45"/>
        <n v="7434.45"/>
        <n v="7440.07"/>
        <n v="7445.31"/>
        <n v="7450.67"/>
        <n v="7460.89"/>
        <n v="7472.72"/>
        <n v="7480.7"/>
        <n v="7484.29"/>
        <n v="7487.29"/>
        <n v="7491.8"/>
        <n v="7505.03"/>
        <n v="7510.91"/>
        <n v="7513.13"/>
        <n v="7525.09"/>
        <n v="7536.64"/>
        <n v="7542.67"/>
        <n v="7547.62"/>
        <n v="7556.31"/>
        <n v="7557.56"/>
        <n v="7564.19"/>
        <n v="7577.46"/>
        <n v="7579.74"/>
        <n v="7586.58"/>
        <n v="7588.78"/>
        <n v="7595.54"/>
        <n v="7600.44"/>
        <n v="7616.49"/>
        <n v="7617.58"/>
        <n v="7617.91"/>
        <n v="7631.81"/>
        <n v="7640.94"/>
        <n v="7647"/>
        <n v="7655.14"/>
        <n v="7657.11"/>
        <n v="7666.31"/>
        <n v="7678.12"/>
        <n v="7692.26"/>
        <n v="7696.91"/>
        <n v="7697.94"/>
        <n v="7733.33"/>
        <n v="7784.56"/>
        <n v="7794.92"/>
        <n v="7805.91"/>
        <n v="7817.35"/>
        <n v="7820.95"/>
        <n v="7842.03"/>
        <n v="7847.18"/>
        <n v="7855.79"/>
        <n v="7863.11"/>
        <n v="7866.16"/>
        <n v="7905.99"/>
        <n v="7916.3"/>
        <n v="7946.3"/>
        <n v="7965.11"/>
        <n v="7973.6"/>
        <n v="7981.63"/>
        <n v="8000.16"/>
        <n v="8015.76"/>
        <n v="8016.79"/>
        <n v="8017.47"/>
        <n v="8020.95"/>
        <n v="8024.01"/>
        <n v="8026.13"/>
        <n v="8031.38"/>
        <n v="8033.48"/>
        <n v="8037.73"/>
        <n v="8046.09"/>
        <n v="8048.59"/>
        <n v="8070.59"/>
        <n v="8073.1"/>
        <n v="8073.88"/>
        <n v="8080.68"/>
        <n v="8092.97"/>
        <n v="8093.69"/>
        <n v="8097.62"/>
        <n v="8097.71"/>
        <n v="8103.29"/>
        <n v="8112.26"/>
        <n v="8122.67"/>
        <n v="8143.16"/>
        <n v="8144.83"/>
        <n v="8146.49"/>
        <n v="8156.92"/>
        <n v="8159.62"/>
        <n v="8163.2"/>
        <n v="8164.56"/>
        <n v="8165.88"/>
        <n v="8173.17"/>
        <n v="8174.72"/>
        <n v="8174.86"/>
        <n v="8179.54"/>
        <n v="8193.99"/>
        <n v="8195.83"/>
        <n v="8206.15"/>
        <n v="8255.92"/>
        <n v="8265.87"/>
        <n v="8272.5"/>
        <n v="8273.4"/>
        <n v="8323"/>
        <n v="8334.43"/>
        <n v="8352.65"/>
        <n v="8370.93"/>
        <n v="8381.75"/>
        <n v="8398.32"/>
        <n v="8400.69"/>
        <n v="8402.19"/>
        <n v="8473.8"/>
        <n v="8478.17"/>
        <n v="8480.74"/>
        <n v="8488.69"/>
        <n v="8497.74"/>
        <n v="8512.91"/>
        <n v="8516.88"/>
        <n v="8530.57"/>
        <n v="8539.86"/>
        <n v="8541.29"/>
        <n v="8544.15"/>
        <n v="8552.58"/>
        <n v="8562.19"/>
        <n v="8563.6"/>
        <n v="8572.38"/>
        <n v="8591.85"/>
        <n v="8604.79"/>
        <n v="8611.38"/>
        <n v="8627.64"/>
        <n v="8636.44"/>
        <n v="8637.35"/>
        <n v="8649.28"/>
        <n v="8678.66"/>
        <n v="8689.79"/>
        <n v="8711.1"/>
        <n v="8722.23"/>
        <n v="8733.58"/>
        <n v="8747.4"/>
        <n v="8748.76"/>
        <n v="8751.78"/>
        <n v="8772.38"/>
        <n v="8784.7"/>
        <n v="8786.97"/>
        <n v="8789.43"/>
        <n v="8803.46"/>
        <n v="8818.5"/>
        <n v="8826.9"/>
        <n v="8857.36"/>
        <n v="8865.78"/>
        <n v="8874.36"/>
        <n v="8875.55"/>
        <n v="8877.59"/>
        <n v="8903.17"/>
        <n v="8907.03"/>
        <n v="8907.7"/>
        <n v="8926.33"/>
        <n v="8932.64"/>
        <n v="8935.11"/>
        <n v="8950.9"/>
        <n v="8951.27"/>
        <n v="8951.52"/>
        <n v="8958.25"/>
        <n v="8963.88"/>
        <n v="8966.1"/>
        <n v="8972.74"/>
        <n v="8973.42"/>
        <n v="8974.43"/>
        <n v="8998.65"/>
        <n v="8999.88"/>
        <n v="9015.34"/>
        <n v="9018.89"/>
        <n v="9029.95"/>
        <n v="9031.17"/>
        <n v="9035.48"/>
        <n v="9038.01"/>
        <n v="9039.54"/>
        <n v="9065.36"/>
        <n v="9066.87"/>
        <n v="9072.03"/>
        <n v="9083.9"/>
        <n v="9091.47"/>
        <n v="9099.28"/>
        <n v="9099.69"/>
        <n v="9099.94"/>
        <n v="9099.98"/>
        <n v="9100.03"/>
        <n v="9106.52"/>
        <n v="9111.78"/>
        <n v="9116.29"/>
        <n v="9122.43"/>
        <n v="9146.96"/>
        <n v="9166.15"/>
        <n v="9187.01"/>
        <n v="9192.96"/>
        <n v="9204.77"/>
        <n v="9210.89"/>
        <n v="9223.32"/>
        <n v="9243.05"/>
        <n v="9245.62"/>
        <n v="9248.64"/>
        <n v="9255.49"/>
        <n v="9322.34"/>
        <n v="9324.98"/>
        <n v="9328.46"/>
        <n v="9328.87"/>
        <n v="9342.8"/>
        <n v="9349.67"/>
        <n v="9351.26"/>
        <n v="9371.76"/>
        <n v="9373.31"/>
        <n v="9387.6"/>
        <n v="9414.91"/>
        <n v="9421.54"/>
        <n v="9441.74"/>
        <n v="9444.79"/>
        <n v="9470.25"/>
        <n v="9493.59"/>
        <n v="9508.34"/>
        <n v="9517.71"/>
        <n v="9518.61"/>
        <n v="9544.46"/>
        <n v="9544.84"/>
        <n v="9557.42"/>
        <n v="9567.55"/>
        <n v="9609.36"/>
        <n v="9637.65"/>
        <n v="9642.65"/>
        <n v="9645.72"/>
        <n v="9648.19"/>
        <n v="9652.07"/>
        <n v="9653.27"/>
        <n v="9661.16"/>
        <n v="9666.82"/>
        <n v="9666.99"/>
        <n v="9667.73"/>
        <n v="9668.46"/>
        <n v="9671.46"/>
        <n v="9672.31"/>
        <n v="9712.19"/>
        <n v="9716.59"/>
        <n v="9725.25"/>
        <n v="9727.19"/>
        <n v="9736.11"/>
        <n v="9755.02"/>
        <n v="9758.89"/>
        <n v="9778.4"/>
        <n v="9787.67"/>
        <n v="9798.41"/>
        <n v="9804.57"/>
        <n v="9811.84"/>
        <n v="9826.9"/>
        <n v="9856.85"/>
        <n v="9859.68"/>
        <n v="9888.79"/>
        <n v="9893.47"/>
        <n v="9896.22"/>
        <n v="9906.1"/>
        <n v="9914.06"/>
        <n v="9916.28"/>
        <n v="9916.8"/>
        <n v="9919.54"/>
        <n v="9920.47"/>
        <n v="9927.85"/>
        <n v="9928.77"/>
        <n v="9931.07"/>
        <n v="9932.34"/>
        <n v="9952.47"/>
        <n v="9967.72"/>
        <n v="9998.31"/>
        <n v="9998.4"/>
        <n v="10001.3"/>
        <n v="10017.67"/>
        <n v="10026.56"/>
        <n v="10035.79"/>
        <n v="10051.83"/>
        <n v="10058.05"/>
        <n v="10061.06"/>
        <n v="10065.72"/>
        <n v="10070.22"/>
        <n v="10072.7"/>
        <n v="10074.29"/>
        <n v="10079.74"/>
        <n v="10081.65"/>
        <n v="10082.15"/>
        <n v="10092.11"/>
        <n v="10094.77"/>
        <n v="10104.94"/>
        <n v="10112.49"/>
        <n v="10114.59"/>
        <n v="10116.61"/>
        <n v="10118.62"/>
        <n v="10119.93"/>
        <n v="10121.29"/>
        <n v="10129.67"/>
        <n v="10131.36"/>
        <n v="10131.71"/>
        <n v="10137.82"/>
        <n v="10139.13"/>
        <n v="10156.34"/>
        <n v="10156.58"/>
        <n v="10171.91"/>
        <n v="10172.9"/>
        <n v="10180.53"/>
        <n v="10188.68"/>
        <n v="10214.23"/>
        <n v="10227.91"/>
        <n v="10243.51"/>
        <n v="10250.49"/>
        <n v="10278.58"/>
        <n v="10282.08"/>
        <n v="10287.04"/>
        <n v="10292.74"/>
        <n v="10292.91"/>
        <n v="10295.71"/>
        <n v="10296.6"/>
        <n v="10296.83"/>
        <n v="10300.84"/>
        <n v="10304.43"/>
        <n v="10308.26"/>
        <n v="10313.49"/>
        <n v="10322.33"/>
        <n v="10328.06"/>
        <n v="10354.31"/>
        <n v="10354.84"/>
        <n v="10356.5"/>
        <n v="10361.37"/>
        <n v="10380.42"/>
        <n v="10381.24"/>
        <n v="10385.5"/>
        <n v="10388.23"/>
        <n v="10389.71"/>
        <n v="10393.1"/>
        <n v="10399.4"/>
        <n v="10400.99"/>
        <n v="10407.58"/>
        <n v="10433.05"/>
        <n v="10433.85"/>
        <n v="10444.58"/>
        <n v="10470.07"/>
        <n v="10483.41"/>
        <n v="10487.69"/>
        <n v="10489.26"/>
        <n v="10490.7"/>
        <n v="10501.86"/>
        <n v="10504.01"/>
        <n v="10539.42"/>
        <n v="10553.5"/>
        <n v="10594.15"/>
        <n v="10596.08"/>
        <n v="10607.85"/>
        <n v="10623.54"/>
        <n v="10640.55"/>
        <n v="10651.57"/>
        <n v="10654.46"/>
        <n v="10655.7"/>
        <n v="10672.42"/>
        <n v="10688.23"/>
        <n v="10719.81"/>
        <n v="10738.55"/>
        <n v="10750.8"/>
        <n v="10778.55"/>
        <n v="10793.64"/>
        <n v="10798.95"/>
        <n v="10810.2"/>
        <n v="10820.52"/>
        <n v="10821.8"/>
        <n v="10848.29"/>
        <n v="10851.74"/>
        <n v="10861.35"/>
        <n v="10862.35"/>
        <n v="10881.12"/>
        <n v="10895.84"/>
        <n v="10907.02"/>
        <n v="10956.77"/>
        <n v="10980.61"/>
        <n v="10984.78"/>
        <n v="11007.01"/>
        <n v="11012.06"/>
        <n v="11017.8"/>
        <n v="11018.19"/>
        <n v="11020.77"/>
        <n v="11081.17"/>
        <n v="11114.53"/>
        <n v="11128.09"/>
        <n v="11135.26"/>
        <n v="11139.62"/>
        <n v="11149.2"/>
        <n v="11172.19"/>
        <n v="11181"/>
        <n v="11185.35"/>
        <n v="11186.42"/>
        <n v="11193.07"/>
        <n v="11195.83"/>
        <n v="11198.64"/>
        <n v="11199.89"/>
        <n v="11201.71"/>
        <n v="11220.8"/>
        <n v="11222.83"/>
        <n v="11239.06"/>
        <n v="11239.67"/>
        <n v="11243.08"/>
        <n v="11270.83"/>
        <n v="11308.81"/>
        <n v="11312.91"/>
        <n v="11318.12"/>
        <n v="11321.56"/>
        <n v="11349.72"/>
        <n v="11358.66"/>
        <n v="11370.08"/>
        <n v="11386.48"/>
        <n v="11409.98"/>
        <n v="11420.69"/>
        <n v="11438.73"/>
        <n v="11440.56"/>
        <n v="11455.32"/>
        <n v="11499.46"/>
        <n v="11524.91"/>
        <n v="11541.92"/>
        <n v="11575.13"/>
        <n v="11578.51"/>
        <n v="11587.54"/>
        <n v="11594.19"/>
        <n v="11613.67"/>
        <n v="11613.82"/>
        <n v="11628.19"/>
        <n v="11666.46"/>
        <n v="11672.71"/>
        <n v="11689.74"/>
        <n v="11691"/>
        <n v="11696.47"/>
        <n v="11708.2"/>
        <n v="11711.83"/>
        <n v="11712.73"/>
        <n v="11714.68"/>
        <n v="11720.86"/>
        <n v="11727.48"/>
        <n v="11743.99"/>
        <n v="11749.71"/>
        <n v="11761.48"/>
        <n v="11773.76"/>
        <n v="11775.41"/>
        <n v="11779.04"/>
        <n v="11787.79"/>
        <n v="11801.49"/>
        <n v="11815.11"/>
        <n v="11818.09"/>
        <n v="11865.24"/>
        <n v="11872"/>
        <n v="11880.91"/>
        <n v="11884.34"/>
        <n v="11922.42"/>
        <n v="11922.8"/>
        <n v="11928.38"/>
        <n v="11936.31"/>
        <n v="11965.17"/>
        <n v="11967.54"/>
        <n v="11975.29"/>
        <n v="11983.31"/>
        <n v="11997.85"/>
        <n v="12009.18"/>
        <n v="12020.74"/>
        <n v="12027.89"/>
        <n v="12034.38"/>
        <n v="12035.18"/>
        <n v="12041.56"/>
        <n v="12056.6"/>
        <n v="12073.48"/>
        <n v="12078.96"/>
        <n v="12080.61"/>
        <n v="12089.49"/>
        <n v="12114.59"/>
        <n v="12114.79"/>
        <n v="12120.02"/>
        <n v="12141.09"/>
        <n v="12148.38"/>
        <n v="12174.22"/>
        <n v="12188.02"/>
        <n v="12194.59"/>
        <n v="12236.53"/>
        <n v="12277.55"/>
        <n v="12296.13"/>
        <n v="12297.35"/>
        <n v="12300.57"/>
        <n v="12334.83"/>
        <n v="12385.73"/>
        <n v="12415.93"/>
        <n v="12421.8"/>
        <n v="12425.01"/>
        <n v="12425.59"/>
        <n v="12439.12"/>
        <n v="12446.27"/>
        <n v="12448.82"/>
        <n v="12449.94"/>
        <n v="12450.26"/>
        <n v="12460.2"/>
        <n v="12461.57"/>
        <n v="12482.3"/>
        <n v="12502.44"/>
        <n v="12509.84"/>
        <n v="12513.37"/>
        <n v="12523.09"/>
        <n v="12531.28"/>
        <n v="12534.91"/>
        <n v="12547.07"/>
        <n v="12558.36"/>
        <n v="12569.31"/>
        <n v="12572.08"/>
        <n v="12609.46"/>
        <n v="12615.46"/>
        <n v="12617.62"/>
        <n v="12621.82"/>
        <n v="12629.32"/>
        <n v="12643.22"/>
        <n v="12653.94"/>
        <n v="12655.52"/>
        <n v="12660.47"/>
        <n v="12668.68"/>
        <n v="12685.23"/>
        <n v="12693.86"/>
        <n v="12696.14"/>
        <n v="12701.2"/>
        <n v="12705.39"/>
        <n v="12716.42"/>
        <n v="12733.08"/>
        <n v="12734.06"/>
        <n v="12740.15"/>
        <n v="12762.95"/>
        <n v="12776.86"/>
        <n v="12781.06"/>
        <n v="12784.99"/>
        <n v="12787.71"/>
        <n v="12794.85"/>
        <n v="12795.74"/>
        <n v="12818.12"/>
        <n v="12832.65"/>
        <n v="12835.54"/>
        <n v="12843.01"/>
        <n v="12851.6"/>
        <n v="12853.14"/>
        <n v="12856.85"/>
        <n v="12857.88"/>
        <n v="12873.03"/>
        <n v="12896.24"/>
        <n v="12916.5"/>
        <n v="12916.52"/>
        <n v="12929.81"/>
        <n v="12939.11"/>
        <n v="12984.64"/>
        <n v="12994.17"/>
        <n v="13018.47"/>
        <n v="13019.86"/>
        <n v="13020.48"/>
        <n v="13030.22"/>
        <n v="13033.81"/>
        <n v="13052.66"/>
        <n v="13064.6"/>
        <n v="13070.67"/>
        <n v="13085.35"/>
        <n v="13095.55"/>
        <n v="13098.73"/>
        <n v="13112.23"/>
        <n v="13114.28"/>
        <n v="13130.92"/>
        <n v="13134.29"/>
        <n v="13140.55"/>
        <n v="13146.71"/>
        <n v="13147.84"/>
        <n v="13152.1"/>
        <n v="13174.32"/>
        <n v="13178.31"/>
        <n v="13178.69"/>
        <n v="13184.01"/>
        <n v="13194.76"/>
        <n v="13197.37"/>
        <n v="13209.76"/>
        <n v="13229.96"/>
        <n v="13240.64"/>
        <n v="13257.48"/>
        <n v="13258.18"/>
        <n v="13260.96"/>
        <n v="13284.1"/>
        <n v="13287.61"/>
        <n v="13294.39"/>
        <n v="13299.42"/>
        <n v="13307.61"/>
        <n v="13310.29"/>
        <n v="13315.5"/>
        <n v="13342.61"/>
        <n v="13344.16"/>
        <n v="13348.9"/>
        <n v="13368.61"/>
        <n v="13397.27"/>
        <n v="13403.2"/>
        <n v="13412.93"/>
        <n v="13429.46"/>
        <n v="13470.92"/>
        <n v="13474.47"/>
        <n v="13481.8"/>
        <n v="13506.77"/>
        <n v="13508.94"/>
        <n v="13510.24"/>
        <n v="13522.89"/>
        <n v="13530.66"/>
        <n v="13555.72"/>
        <n v="13555.76"/>
        <n v="13565.77"/>
        <n v="13569.95"/>
        <n v="13617.08"/>
        <n v="13624.43"/>
        <n v="13638.02"/>
        <n v="13660.61"/>
        <n v="13666.44"/>
        <n v="13673.02"/>
        <n v="13678.94"/>
        <n v="13686.38"/>
        <n v="13700.69"/>
        <n v="13711.43"/>
        <n v="13718.19"/>
        <n v="13725.48"/>
        <n v="13728.46"/>
        <n v="13731.22"/>
        <n v="13733.8"/>
        <n v="13744.34"/>
        <n v="13769.57"/>
        <n v="13770.06"/>
        <n v="13770.27"/>
        <n v="13782.75"/>
        <n v="13785.64"/>
        <n v="13799.11"/>
        <n v="13820.52"/>
        <n v="13828.83"/>
        <n v="13850.97"/>
        <n v="13863.92"/>
        <n v="13877.93"/>
        <n v="13885.16"/>
        <n v="13890.26"/>
        <n v="13891.53"/>
        <n v="13892.67"/>
        <n v="13895.57"/>
        <n v="13907.16"/>
        <n v="13914.47"/>
        <n v="13915.2"/>
        <n v="13917.67"/>
        <n v="13922.09"/>
        <n v="13927.23"/>
        <n v="13948.51"/>
        <n v="13960.73"/>
        <n v="13963.08"/>
        <n v="13997.54"/>
        <n v="14000.36"/>
        <n v="14005.35"/>
        <n v="14009.66"/>
        <n v="14013.97"/>
        <n v="14034.26"/>
        <n v="14039.87"/>
        <n v="14050.79"/>
        <n v="14061.25"/>
        <n v="14072.32"/>
        <n v="14075.51"/>
        <n v="14082.78"/>
        <n v="14096.18"/>
        <n v="14106.06"/>
        <n v="14108.13"/>
        <n v="14112.13"/>
        <n v="14121.29"/>
        <n v="14121.77"/>
        <n v="14146.16"/>
        <n v="14152.38"/>
        <n v="14153.03"/>
        <n v="14153.95"/>
        <n v="14156.25"/>
        <n v="14181.87"/>
        <n v="14207.97"/>
        <n v="14209.12"/>
        <n v="14216.99"/>
        <n v="14228.25"/>
        <n v="14238.23"/>
        <n v="14240.39"/>
        <n v="14249.74"/>
        <n v="14280.76"/>
        <n v="14284.09"/>
        <n v="14288.73"/>
        <n v="14308.34"/>
        <n v="14317.79"/>
        <n v="14318.7"/>
        <n v="14327.31"/>
        <n v="14350.9"/>
        <n v="14352.62"/>
        <n v="14354.65"/>
        <n v="14387.88"/>
        <n v="14403.49"/>
        <n v="14404.5"/>
        <n v="14404.79"/>
        <n v="14406.23"/>
        <n v="14409.41"/>
        <n v="14410.07"/>
        <n v="14419.09"/>
        <n v="14420.09"/>
        <n v="14430.24"/>
        <n v="14432.05"/>
        <n v="14442.34"/>
        <n v="14446.53"/>
        <n v="14448.45"/>
        <n v="14448.74"/>
        <n v="14453.85"/>
        <n v="14460.16"/>
        <n v="14481.42"/>
        <n v="14495.99"/>
        <n v="14511.59"/>
        <n v="14531.1"/>
        <n v="14544.34"/>
        <n v="14545.08"/>
        <n v="14560.24"/>
        <n v="14561.49"/>
        <n v="14568.28"/>
        <n v="14573.57"/>
        <n v="14579.02"/>
        <n v="14593.26"/>
        <n v="14617.82"/>
        <n v="14618.2"/>
        <n v="14627.01"/>
        <n v="14627.93"/>
        <n v="14643.87"/>
        <n v="14662.53"/>
        <n v="14663.58"/>
        <n v="14668.31"/>
        <n v="14676.34"/>
        <n v="14683.55"/>
        <n v="14687.57"/>
        <n v="14689.33"/>
        <n v="14705.45"/>
        <n v="14709.18"/>
        <n v="14710.66"/>
        <n v="14711.59"/>
        <n v="14728.53"/>
        <n v="14729.89"/>
        <n v="14746.1"/>
        <n v="14752.95"/>
        <n v="14756.61"/>
        <n v="14765.09"/>
        <n v="14767.67"/>
        <n v="14778.26"/>
        <n v="14780.87"/>
        <n v="14786.19"/>
        <n v="14801.84"/>
        <n v="14802.65"/>
        <n v="14809.11"/>
        <n v="14817.71"/>
        <n v="14821.26"/>
        <n v="14834.06"/>
        <n v="14843.67"/>
        <n v="14847.53"/>
        <n v="14852.59"/>
        <n v="14856.04"/>
        <n v="14857.95"/>
        <n v="14863.79"/>
        <n v="14866.32"/>
        <n v="14883.61"/>
        <n v="14898.55"/>
        <n v="14905.15"/>
        <n v="14905.24"/>
        <n v="14909.88"/>
        <n v="14918.13"/>
        <n v="14921.09"/>
        <n v="14922.08"/>
        <n v="14928.6"/>
        <n v="14933.82"/>
        <n v="14954.99"/>
        <n v="14957.68"/>
        <n v="14963.31"/>
        <n v="14994.87"/>
        <n v="15039.9"/>
        <n v="15041.04"/>
        <n v="15042.22"/>
        <n v="15042.92"/>
        <n v="15050.51"/>
        <n v="15050.81"/>
        <n v="15055.4"/>
        <n v="15056.12"/>
        <n v="15069.1"/>
        <n v="15074.51"/>
        <n v="15076.21"/>
        <n v="15086.78"/>
        <n v="15089.24"/>
        <n v="15090.7"/>
        <n v="15100.81"/>
        <n v="15103.02"/>
        <n v="15111.5"/>
        <n v="15125.67"/>
        <n v="15141.4"/>
        <n v="15151.1"/>
        <n v="15151.59"/>
        <n v="15152.31"/>
        <n v="15162.07"/>
        <n v="15164.89"/>
        <n v="15170.64"/>
        <n v="15174.46"/>
        <n v="15179.59"/>
        <n v="15180.93"/>
        <n v="15182.71"/>
        <n v="15184.74"/>
        <n v="15224.56"/>
        <n v="15234.26"/>
        <n v="15235.6"/>
        <n v="15238.49"/>
        <n v="15252.19"/>
        <n v="15258.24"/>
        <n v="15261.05"/>
        <n v="15262.92"/>
        <n v="15280.42"/>
        <n v="15348.24"/>
        <n v="15360.92"/>
        <n v="15362.74"/>
        <n v="15366.18"/>
        <n v="15376.7"/>
        <n v="15384.26"/>
        <n v="15390.71"/>
        <n v="15402.88"/>
        <n v="15406.16"/>
        <n v="15410.85"/>
        <n v="15410.93"/>
        <n v="15416.73"/>
        <n v="15424.46"/>
        <n v="15428.94"/>
        <n v="15441.22"/>
        <n v="15456.52"/>
        <n v="15459.53"/>
        <n v="15465.94"/>
        <n v="15467.25"/>
        <n v="15468.92"/>
        <n v="15476.91"/>
        <n v="15493.05"/>
        <n v="15501.01"/>
        <n v="15513.37"/>
        <n v="15525.63"/>
        <n v="15535.05"/>
        <n v="15539.17"/>
        <n v="15541.04"/>
        <n v="15561.61"/>
        <n v="15569.43"/>
        <n v="15573.54"/>
        <n v="15576.95"/>
        <n v="15579.26"/>
        <n v="15580.34"/>
        <n v="15593.54"/>
        <n v="15594.51"/>
        <n v="15597.13"/>
        <n v="15601.55"/>
        <n v="15613.58"/>
        <n v="15616.32"/>
        <n v="15621.03"/>
        <n v="15621.65"/>
        <n v="15622"/>
        <n v="15629.58"/>
        <n v="15642.24"/>
        <n v="15644.6"/>
        <n v="15649.61"/>
        <n v="15649.85"/>
        <n v="15655.53"/>
        <n v="15658.61"/>
        <n v="15664.49"/>
        <n v="15670.37"/>
        <n v="15671.49"/>
        <n v="15673.04"/>
        <n v="15673.26"/>
        <n v="15690.53"/>
        <n v="15691.03"/>
        <n v="15691.88"/>
        <n v="15698.45"/>
        <n v="15700.41"/>
        <n v="15708.92"/>
        <n v="15717.28"/>
        <n v="15718.66"/>
        <n v="15737.62"/>
        <n v="15743.38"/>
        <n v="15745.97"/>
        <n v="15746.49"/>
        <n v="15748.03"/>
        <n v="15748.88"/>
        <n v="15750.27"/>
        <n v="15761.32"/>
        <n v="15766.37"/>
        <n v="15789.05"/>
        <n v="15795.61"/>
        <n v="15808.83"/>
        <n v="15811.87"/>
        <n v="15813.26"/>
        <n v="15816.36"/>
        <n v="15820.4"/>
        <n v="15824.22"/>
        <n v="15827.69"/>
        <n v="15835.83"/>
        <n v="15837.27"/>
        <n v="15863.84"/>
        <n v="15866.8"/>
        <n v="15872.89"/>
        <n v="15874.54"/>
        <n v="15880.09"/>
        <n v="15882.04"/>
        <n v="15883.08"/>
        <n v="15883.32"/>
        <n v="15895.02"/>
        <n v="15897.24"/>
        <n v="15897.89"/>
        <n v="15902.32"/>
        <n v="15902.72"/>
        <n v="15905.2"/>
        <n v="15916.96"/>
        <n v="15917.21"/>
        <n v="15930.26"/>
        <n v="15942.43"/>
        <n v="15947.17"/>
        <n v="15967.28"/>
        <n v="15979.53"/>
        <n v="15987.76"/>
        <n v="15992.41"/>
        <n v="15995.59"/>
        <n v="16004.19"/>
        <n v="16018.57"/>
        <n v="16022.95"/>
        <n v="16024.64"/>
        <n v="16026.02"/>
        <n v="16036.09"/>
        <n v="16036.15"/>
        <n v="16039.15"/>
        <n v="16042.66"/>
        <n v="16053.37"/>
        <n v="16056.53"/>
        <n v="16061.23"/>
        <n v="16073.78"/>
        <n v="16082.27"/>
        <n v="16085.91"/>
        <n v="16094.57"/>
        <n v="16102.56"/>
        <n v="16105.64"/>
        <n v="16105.99"/>
        <n v="16120.49"/>
        <n v="16124.8"/>
        <n v="16127.17"/>
        <n v="16135.42"/>
        <n v="16139.4"/>
        <n v="16148.93"/>
        <n v="16150.8"/>
        <n v="16160.21"/>
        <n v="16172.86"/>
        <n v="16178.7"/>
        <n v="16179.91"/>
        <n v="16179.99"/>
        <n v="16185.31"/>
        <n v="16207.69"/>
        <n v="16235.6"/>
        <n v="16241.99"/>
        <n v="16246.81"/>
        <n v="16249.27"/>
        <n v="16255.35"/>
        <n v="16256.09"/>
        <n v="16256.79"/>
        <n v="16257.94"/>
        <n v="16262.44"/>
        <n v="16268.15"/>
        <n v="16280.58"/>
        <n v="16281.49"/>
        <n v="16282.37"/>
        <n v="16295.18"/>
        <n v="16296.72"/>
        <n v="16320.55"/>
        <n v="16325.36"/>
        <n v="16327.78"/>
        <n v="16334.99"/>
        <n v="16337.87"/>
        <n v="16352.49"/>
        <n v="16363.84"/>
        <n v="16376.82"/>
        <n v="16386.12"/>
        <n v="16392.59"/>
        <n v="16396.07"/>
        <n v="16405.12"/>
        <n v="16411.11"/>
        <n v="16413.62"/>
        <n v="16415.09"/>
        <n v="16421.02"/>
        <n v="16423.61"/>
        <n v="16424.74"/>
        <n v="16432.97"/>
        <n v="16434.15"/>
        <n v="16434.3"/>
        <n v="16440.57"/>
        <n v="16443.08"/>
        <n v="16444.83"/>
        <n v="16456.69"/>
        <n v="16459.69"/>
        <n v="16460.5"/>
        <n v="16479.76"/>
        <n v="16500.42"/>
        <n v="16500.84"/>
        <n v="16503.51"/>
        <n v="16506.33"/>
        <n v="16507.22"/>
        <n v="16509.56"/>
        <n v="16514.29"/>
        <n v="16526.14"/>
        <n v="16537.84"/>
        <n v="16539.25"/>
        <n v="16541.83"/>
        <n v="16541.99"/>
        <n v="16547.91"/>
        <n v="16553.55"/>
        <n v="16574.05"/>
        <n v="16575.05"/>
        <n v="16588.09"/>
        <n v="16589.04"/>
        <n v="16608.49"/>
        <n v="16614.42"/>
        <n v="16618.11"/>
        <n v="16620.82"/>
        <n v="16622.56"/>
        <n v="16626.08"/>
        <n v="16632.64"/>
        <n v="16644.58"/>
        <n v="16650.06"/>
        <n v="16682.21"/>
        <n v="16712.17"/>
        <n v="16713.3"/>
        <n v="16723.26"/>
        <n v="16727.23"/>
        <n v="16729.98"/>
        <n v="16740.78"/>
        <n v="16750.99"/>
        <n v="16753.51"/>
        <n v="16768.18"/>
        <n v="16773.62"/>
        <n v="16785.42"/>
        <n v="16792.83"/>
        <n v="16793.95"/>
        <n v="16812.29"/>
        <n v="16813.35"/>
        <n v="16842.88"/>
        <n v="16845.3"/>
        <n v="16856.76"/>
        <n v="16859.09"/>
        <n v="16862.54"/>
        <n v="16862.77"/>
        <n v="16870.06"/>
        <n v="16887.99"/>
        <n v="16889.7"/>
        <n v="16891.25"/>
        <n v="16909.58"/>
        <n v="16913.91"/>
        <n v="16918.1"/>
        <n v="16919.45"/>
        <n v="16931.55"/>
        <n v="16934.21"/>
        <n v="16956.49"/>
        <n v="16960.07"/>
        <n v="16960.62"/>
        <n v="16970.67"/>
        <n v="16997.6"/>
        <n v="16998.66"/>
        <n v="17006.4"/>
        <n v="17010.46"/>
        <n v="17016.06"/>
        <n v="17017.67"/>
        <n v="17035.53"/>
        <n v="17042.19"/>
        <n v="17049.55"/>
        <n v="17063"/>
        <n v="17077.38"/>
        <n v="17086.08"/>
        <n v="17094.63"/>
        <n v="17098.71"/>
        <n v="17101.75"/>
        <n v="17105.55"/>
        <n v="17109.91"/>
        <n v="17125.81"/>
        <n v="17139.78"/>
        <n v="17144.35"/>
        <n v="17164.97"/>
        <n v="17165.34"/>
        <n v="17166.65"/>
        <n v="17168.96"/>
        <n v="17174.74"/>
        <n v="17179.25"/>
        <n v="17194.69"/>
        <n v="17201.35"/>
        <n v="17201.88"/>
        <n v="17201.9"/>
        <n v="17206.53"/>
        <n v="17207.42"/>
        <n v="17210.47"/>
        <n v="17211.72"/>
        <n v="17221.26"/>
        <n v="17230.4"/>
        <n v="17242.97"/>
        <n v="17244.83"/>
        <n v="17252.93"/>
        <n v="17277.29"/>
        <n v="17283.09"/>
        <n v="17287.08"/>
        <n v="17293.37"/>
        <n v="17314.43"/>
        <n v="17318.95"/>
        <n v="17323.29"/>
        <n v="17327.11"/>
        <n v="17334.93"/>
        <n v="17349.67"/>
        <n v="17360.14"/>
        <n v="17364.47"/>
        <n v="17383.75"/>
        <n v="17385.76"/>
        <n v="17395.15"/>
        <n v="17403.62"/>
        <n v="17414.62"/>
        <n v="17415.51"/>
        <n v="17419.86"/>
        <n v="17432.94"/>
        <n v="17442.69"/>
        <n v="17448.07"/>
        <n v="17453.07"/>
        <n v="17459.38"/>
        <n v="17463.79"/>
        <n v="17471.12"/>
        <n v="17481.02"/>
        <n v="17481.79"/>
        <n v="17482.65"/>
        <n v="17485.82"/>
        <n v="17493.53"/>
        <n v="17496.18"/>
        <n v="17524.48"/>
        <n v="17539.59"/>
        <n v="17545.87"/>
        <n v="17560.64"/>
        <n v="17572.1"/>
        <n v="17572.74"/>
        <n v="17595.34"/>
        <n v="17595.76"/>
        <n v="17601.44"/>
        <n v="17609"/>
        <n v="17611.62"/>
        <n v="17622.22"/>
        <n v="17625.71"/>
        <n v="17636.53"/>
        <n v="17638.47"/>
        <n v="17646.8"/>
        <n v="17654.1"/>
        <n v="17655.51"/>
        <n v="17672.73"/>
        <n v="17687.27"/>
        <n v="17697.58"/>
        <n v="17704.22"/>
        <n v="17707.37"/>
        <n v="17708.33"/>
        <n v="17708.66"/>
        <n v="17713.85"/>
        <n v="17720.12"/>
        <n v="17729.92"/>
        <n v="17752.68"/>
        <n v="17817.03"/>
        <n v="17831.75"/>
        <n v="17831.93"/>
        <n v="17838.31"/>
        <n v="17848.5"/>
        <n v="17852.9"/>
        <n v="17864"/>
        <n v="17882.12"/>
        <n v="17888.15"/>
        <n v="17891.78"/>
        <n v="17906.58"/>
        <n v="17908.4"/>
        <n v="17921.2"/>
        <n v="17928.68"/>
        <n v="17931.63"/>
        <n v="17937.98"/>
        <n v="17944.39"/>
        <n v="17967.8"/>
        <n v="17970.37"/>
        <n v="17986.37"/>
        <n v="18032.15"/>
        <n v="18040.77"/>
        <n v="18041.37"/>
        <n v="18045.16"/>
        <n v="18047.12"/>
        <n v="18066.69"/>
        <n v="18074.11"/>
        <n v="18082.9"/>
        <n v="18084.42"/>
        <n v="18105.47"/>
        <n v="18150.8"/>
        <n v="18154.48"/>
        <n v="18159.57"/>
        <n v="18179.71"/>
        <n v="18187.55"/>
        <n v="18194.17"/>
        <n v="18198.29"/>
        <n v="18203.53"/>
        <n v="18219.21"/>
        <n v="18227.46"/>
        <n v="18250.43"/>
        <n v="18251.8"/>
        <n v="18285.67"/>
        <n v="18308.45"/>
        <n v="18313.55"/>
        <n v="18344.65"/>
        <n v="18374.37"/>
        <n v="18392.74"/>
        <n v="18447.99"/>
        <n v="18462.68"/>
        <n v="18520.32"/>
        <n v="18537.18"/>
        <n v="18544.85"/>
        <n v="18547.09"/>
        <n v="18573.42"/>
        <n v="18592.46"/>
        <n v="18599.22"/>
        <n v="18603.27"/>
        <n v="18614.08"/>
        <n v="18624.56"/>
        <n v="18626.81"/>
        <n v="18633.13"/>
        <n v="18638.91"/>
        <n v="18644.13"/>
        <n v="18658.76"/>
        <n v="18662.52"/>
        <n v="18700.76"/>
        <n v="18718.6"/>
        <n v="18729.11"/>
        <n v="18740.11"/>
        <n v="18753.36"/>
        <n v="18778.53"/>
        <n v="18783.21"/>
        <n v="18797.66"/>
        <n v="18831.5"/>
        <n v="18847.91"/>
        <n v="18855.67"/>
        <n v="18860.66"/>
        <n v="18903.01"/>
        <n v="18908.62"/>
        <n v="18909.27"/>
        <n v="18938.8"/>
        <n v="18973.68"/>
        <n v="19014.63"/>
        <n v="19026.67"/>
        <n v="19027.83"/>
        <n v="19031.98"/>
        <n v="19130.67"/>
        <n v="19247.29"/>
        <n v="19262.08"/>
        <n v="19282.42"/>
        <n v="19345.93"/>
        <n v="19356.68"/>
        <n v="19369.64"/>
        <n v="19406.69"/>
        <n v="19424.1"/>
        <n v="19441.15"/>
        <n v="19452.88"/>
        <n v="19462.05"/>
        <n v="19480.85"/>
        <n v="19496.75"/>
        <n v="19501.91"/>
        <n v="19519.71"/>
        <n v="19542.7"/>
        <n v="19577.42"/>
        <n v="19604.29"/>
        <n v="19617"/>
        <n v="19663.16"/>
        <n v="19716.82"/>
        <n v="19733.38"/>
        <n v="19764.45"/>
        <n v="19783.33"/>
        <n v="19848.68"/>
        <n v="19892.43"/>
        <n v="19914.54"/>
        <n v="19924.93"/>
        <n v="20035.93"/>
        <n v="20135.3"/>
        <n v="20221.66"/>
        <n v="20248.39"/>
        <n v="20264.39"/>
        <n v="20269.49"/>
        <n v="20560.88"/>
        <m/>
      </sharedItems>
    </cacheField>
    <cacheField name="Descuento_pct" numFmtId="0">
      <sharedItems containsSemiMixedTypes="0" containsString="0" containsNumber="1" minValue="0" maxValue="0.85" count="6">
        <n v="0"/>
        <n v="0.05"/>
        <n v="0.1"/>
        <n v="0.15"/>
        <n v="0.2"/>
        <n v="0.85"/>
      </sharedItems>
    </cacheField>
    <cacheField name="Costo_unitario" numFmtId="0">
      <sharedItems containsString="0" containsBlank="1" containsNumber="1" minValue="176.47" maxValue="14161.63" count="101">
        <n v="176.47"/>
        <n v="307.75"/>
        <n v="397.1"/>
        <n v="443"/>
        <n v="485.16"/>
        <n v="679.37"/>
        <n v="705.87"/>
        <n v="716.26"/>
        <n v="759.03"/>
        <n v="900.08"/>
        <n v="936.52"/>
        <n v="1044.32"/>
        <n v="1175.74"/>
        <n v="1252.84"/>
        <n v="1479.71"/>
        <n v="1529.93"/>
        <n v="1801.83"/>
        <n v="1857.39"/>
        <n v="1962.3"/>
        <n v="2008.57"/>
        <n v="2157.55"/>
        <n v="2196.34"/>
        <n v="2427.63"/>
        <n v="2459.34"/>
        <n v="2486.18"/>
        <n v="2554.06"/>
        <n v="2833.97"/>
        <n v="2864.64"/>
        <n v="2865.24"/>
        <n v="2950.52"/>
        <n v="2957.6"/>
        <n v="3065.66"/>
        <n v="3298.19"/>
        <n v="3399.5"/>
        <n v="3640.56"/>
        <n v="3824.92"/>
        <n v="3832.69"/>
        <n v="4008.77"/>
        <n v="4044.16"/>
        <n v="4061.34"/>
        <n v="4082.15"/>
        <n v="4205.69"/>
        <n v="4325.73"/>
        <n v="4538.06"/>
        <n v="4556.23"/>
        <n v="4665.62"/>
        <n v="4858.08"/>
        <n v="5033.47"/>
        <n v="5050.04"/>
        <n v="5079.43"/>
        <n v="5125.36"/>
        <n v="5535.31"/>
        <n v="5587.31"/>
        <n v="5811.72"/>
        <n v="5874.17"/>
        <n v="5932.12"/>
        <n v="6255.13"/>
        <n v="6407.85"/>
        <n v="6815.42"/>
        <n v="6856.4"/>
        <n v="6981.94"/>
        <n v="7328.02"/>
        <n v="7549.71"/>
        <n v="7748.44"/>
        <n v="7975.26"/>
        <n v="8002.16"/>
        <n v="8061.7"/>
        <n v="8174.87"/>
        <n v="8227.46"/>
        <n v="8239.48"/>
        <n v="8276.74"/>
        <n v="8576.05"/>
        <n v="8704.4"/>
        <n v="8788.79"/>
        <n v="8963.23"/>
        <n v="8980.68"/>
        <n v="9118.07"/>
        <n v="9243.35"/>
        <n v="9317.37"/>
        <n v="9880.77"/>
        <n v="9881"/>
        <n v="9976.68"/>
        <n v="10094.26"/>
        <n v="10170.29"/>
        <n v="10507.24"/>
        <n v="10571.25"/>
        <n v="10830.17"/>
        <n v="11036.95"/>
        <n v="11166.03"/>
        <n v="11424.77"/>
        <n v="11614.87"/>
        <n v="11666.57"/>
        <n v="11904.09"/>
        <n v="12064.41"/>
        <n v="12141.44"/>
        <n v="12679.41"/>
        <n v="12723.77"/>
        <n v="13760.53"/>
        <n v="13981.13"/>
        <n v="14161.63"/>
        <m/>
      </sharedItems>
    </cacheField>
    <cacheField name="Estado" numFmtId="0">
      <sharedItems count="3">
        <s v="Cancelada"/>
        <s v="Completada"/>
        <s v="Devuelta"/>
      </sharedItems>
    </cacheField>
    <cacheField name="Metodo_pago" numFmtId="0">
      <sharedItems count="4">
        <s v="Credito"/>
        <s v="Efectivo"/>
        <s v="Tarjeta"/>
        <s v="Transferencia"/>
      </sharedItems>
    </cacheField>
    <cacheField name="Ingreso_neto" numFmtId="0">
      <sharedItems containsMixedTypes="1" containsNumber="1" minValue="-42288.54" maxValue="217914.84" count="2290">
        <n v="-42288.54"/>
        <n v="229.993"/>
        <n v="230.656"/>
        <n v="236.8445"/>
        <n v="248.58"/>
        <n v="250.04"/>
        <n v="253.422"/>
        <n v="256.4"/>
        <n v="264.18"/>
        <n v="264.44"/>
        <n v="269.91"/>
        <n v="270.59"/>
        <n v="291.19"/>
        <n v="403.682"/>
        <n v="419.5345"/>
        <n v="450.832"/>
        <n v="474.85"/>
        <n v="483.705"/>
        <n v="486.89"/>
        <n v="499.932"/>
        <n v="513.243"/>
        <n v="516.002"/>
        <n v="554.373"/>
        <n v="598.3955"/>
        <n v="603.984"/>
        <n v="608.552"/>
        <n v="614.62"/>
        <n v="615.483"/>
        <n v="615.79"/>
        <n v="630.6575"/>
        <n v="636.48"/>
        <n v="647.8955"/>
        <n v="654.1855"/>
        <n v="667.4225"/>
        <n v="669.56"/>
        <n v="687.32"/>
        <n v="699.795"/>
        <n v="708.15"/>
        <n v="713.716"/>
        <n v="721.3"/>
        <n v="723.33"/>
        <n v="745.2"/>
        <n v="748.78"/>
        <n v="752.93"/>
        <n v="761.3"/>
        <n v="780.27"/>
        <n v="783.4"/>
        <n v="786.6095"/>
        <n v="812.37"/>
        <n v="866.64"/>
        <n v="869.873"/>
        <n v="877.152"/>
        <n v="886.792"/>
        <n v="905.267"/>
        <n v="929.575"/>
        <n v="942.246"/>
        <n v="964.92"/>
        <n v="974.54"/>
        <n v="977.67"/>
        <n v="992.341"/>
        <n v="1012.75"/>
        <n v="1023.757"/>
        <n v="1026.774"/>
        <n v="1039.21"/>
        <n v="1052.992"/>
        <n v="1054.8"/>
        <n v="1060.368"/>
        <n v="1061.6"/>
        <n v="1090.674"/>
        <n v="1090.7805"/>
        <n v="1091.213"/>
        <n v="1091.91"/>
        <n v="1101.28"/>
        <n v="1101.7"/>
        <n v="1103"/>
        <n v="1105.592"/>
        <n v="1122.64"/>
        <n v="1139.31"/>
        <n v="1140.241"/>
        <n v="1145.13"/>
        <n v="1147.49"/>
        <n v="1147.617"/>
        <n v="1175.815"/>
        <n v="1180.24"/>
        <n v="1185.318"/>
        <n v="1192.24"/>
        <n v="1207.134"/>
        <n v="1215.3"/>
        <n v="1232.775"/>
        <n v="1243.152"/>
        <n v="1247.536"/>
        <n v="1249.364"/>
        <n v="1254.152"/>
        <n v="1259.207"/>
        <n v="1261.4385"/>
        <n v="1264.752"/>
        <n v="1275"/>
        <n v="1276.52"/>
        <n v="1277.85"/>
        <n v="1296.88"/>
        <n v="1318.752"/>
        <n v="1320.048"/>
        <n v="1339.6"/>
        <n v="1346.128"/>
        <n v="1353.231"/>
        <n v="1364.472"/>
        <n v="1365.17"/>
        <n v="1389.033"/>
        <n v="1410.08"/>
        <n v="1420"/>
        <n v="1423.962"/>
        <n v="1429.674"/>
        <n v="1438.06"/>
        <n v="1446.7"/>
        <n v="1455.75"/>
        <n v="1458.99"/>
        <n v="1459.26"/>
        <n v="1467.44"/>
        <n v="1467.92"/>
        <n v="1471.22"/>
        <n v="1476.85"/>
        <n v="1485.408"/>
        <n v="1492.047"/>
        <n v="1498.815"/>
        <n v="1501.64"/>
        <n v="1505.31"/>
        <n v="1520.7"/>
        <n v="1526.42"/>
        <n v="1546.4"/>
        <n v="1573.8"/>
        <n v="1574.49"/>
        <n v="1587.47"/>
        <n v="1592.4"/>
        <n v="1606.008"/>
        <n v="1621.99"/>
        <n v="1640.12"/>
        <n v="1647.904"/>
        <n v="1649.097"/>
        <n v="1650.14"/>
        <n v="1650.231"/>
        <n v="1655.5"/>
        <n v="1665.21"/>
        <n v="1667.46"/>
        <n v="1669.85"/>
        <n v="1673.91"/>
        <n v="1679.112"/>
        <n v="1683.816"/>
        <n v="1685.304"/>
        <n v="1688.12"/>
        <n v="1688.728"/>
        <n v="1706.59"/>
        <n v="1722.388"/>
        <n v="1741.552"/>
        <n v="1743.129"/>
        <n v="1752.21"/>
        <n v="1760.97"/>
        <n v="1770.15"/>
        <n v="1781.31"/>
        <n v="1784.93"/>
        <n v="1787.5"/>
        <n v="1801.2"/>
        <n v="1804.3715"/>
        <n v="1807.227"/>
        <n v="1814.84"/>
        <n v="1825.97"/>
        <n v="1828.46"/>
        <n v="1829.1"/>
        <n v="1831.65"/>
        <n v="1842.79"/>
        <n v="1853.04"/>
        <n v="1854.6235"/>
        <n v="1855.074"/>
        <n v="1881.36"/>
        <n v="1901.42"/>
        <n v="1911.528"/>
        <n v="1914.92"/>
        <n v="1928.96"/>
        <n v="1939.88"/>
        <n v="1942.368"/>
        <n v="1943"/>
        <n v="1945.83"/>
        <n v="1953.96"/>
        <n v="1970.52"/>
        <n v="1985.277"/>
        <n v="2004.84"/>
        <n v="2006.19"/>
        <n v="2014.72"/>
        <n v="2025.888"/>
        <n v="2026.1"/>
        <n v="2031.072"/>
        <n v="2032.53"/>
        <n v="2059.14"/>
        <n v="2067.24"/>
        <n v="2071.544"/>
        <n v="2078.0965"/>
        <n v="2087.1975"/>
        <n v="2095.128"/>
        <n v="2095.39"/>
        <n v="2099.28"/>
        <n v="2100.74"/>
        <n v="2101.53"/>
        <n v="2102.4"/>
        <n v="2110.17"/>
        <n v="2117.29"/>
        <n v="2118.329"/>
        <n v="2119.936"/>
        <n v="2128.3745"/>
        <n v="2141.55"/>
        <n v="2143.64"/>
        <n v="2150"/>
        <n v="2178.618"/>
        <n v="2185.236"/>
        <n v="2191.833"/>
        <n v="2219.37"/>
        <n v="2227.34"/>
        <n v="2262.8785"/>
        <n v="2272.62"/>
        <n v="2275.803"/>
        <n v="2287.88"/>
        <n v="2289.744"/>
        <n v="2307.328"/>
        <n v="2312.8"/>
        <n v="2331.728"/>
        <n v="2331.76"/>
        <n v="2353.572"/>
        <n v="2356.512"/>
        <n v="2368.9585"/>
        <n v="2372.15"/>
        <n v="2389.8515"/>
        <n v="2441.9"/>
        <n v="2468.451"/>
        <n v="2470.491"/>
        <n v="2476.008"/>
        <n v="2489.42"/>
        <n v="2502.91"/>
        <n v="2505.3665"/>
        <n v="2517.568"/>
        <n v="2525.97"/>
        <n v="2526.02"/>
        <n v="2526.659"/>
        <n v="2561.68"/>
        <n v="2570.46"/>
        <n v="2590.416"/>
        <n v="2647.04"/>
        <n v="2685.64"/>
        <n v="2686.39"/>
        <n v="2691.464"/>
        <n v="2711.889"/>
        <n v="2714.7865"/>
        <n v="2720.84"/>
        <n v="2737.5"/>
        <n v="2743.65"/>
        <n v="2745.97"/>
        <n v="2761.87"/>
        <n v="2769.784"/>
        <n v="2770.05"/>
        <n v="2782.77"/>
        <n v="2790.752"/>
        <n v="2793.038"/>
        <n v="2802.2"/>
        <n v="2804.2"/>
        <n v="2804.3"/>
        <n v="2811.848"/>
        <n v="2813.65"/>
        <n v="2817.2"/>
        <n v="2820.98"/>
        <n v="2824.2"/>
        <n v="2826.9"/>
        <n v="2842.82"/>
        <n v="2848.176"/>
        <n v="2848.54"/>
        <n v="2854.76"/>
        <n v="2861.35"/>
        <n v="2866.05"/>
        <n v="2876.57"/>
        <n v="2881.26"/>
        <n v="2883.592"/>
        <n v="2887.2"/>
        <n v="2890.332"/>
        <n v="2904.336"/>
        <n v="2924.06"/>
        <n v="2926.63"/>
        <n v="2942.16"/>
        <n v="2944.31"/>
        <n v="2945.7"/>
        <n v="2955.582"/>
        <n v="2961.68"/>
        <n v="2963.658"/>
        <n v="2968.115"/>
        <n v="2989.47"/>
        <n v="3008.0055"/>
        <n v="3009.79"/>
        <n v="3023.392"/>
        <n v="3049.177"/>
        <n v="3065.22"/>
        <n v="3118.48"/>
        <n v="3130.329"/>
        <n v="3132.7675"/>
        <n v="3137.664"/>
        <n v="3139.2"/>
        <n v="3140.064"/>
        <n v="3141.09"/>
        <n v="3147.728"/>
        <n v="3158.01"/>
        <n v="3189.37"/>
        <n v="3191.319"/>
        <n v="3196.56"/>
        <n v="3200.3"/>
        <n v="3201.44"/>
        <n v="3220.33"/>
        <n v="3228.012"/>
        <n v="3233.1"/>
        <n v="3244.35"/>
        <n v="3270.204"/>
        <n v="3272.877"/>
        <n v="3278.214"/>
        <n v="3287.04"/>
        <n v="3294.5"/>
        <n v="3295.59"/>
        <n v="3304.766"/>
        <n v="3322.61"/>
        <n v="3329.56"/>
        <n v="3383.37"/>
        <n v="3401.04"/>
        <n v="3404.916"/>
        <n v="3414.1"/>
        <n v="3414.996"/>
        <n v="3418.38"/>
        <n v="3453.9325"/>
        <n v="3469"/>
        <n v="3472.33"/>
        <n v="3475.7745"/>
        <n v="3491.49"/>
        <n v="3506.096"/>
        <n v="3508.939"/>
        <n v="3515.292"/>
        <n v="3544.0795"/>
        <n v="3545.43"/>
        <n v="3547.585"/>
        <n v="3603.236"/>
        <n v="3605.04"/>
        <n v="3615.33"/>
        <n v="3634.6"/>
        <n v="3681.09"/>
        <n v="3692.0685"/>
        <n v="3698.88"/>
        <n v="3713.803"/>
        <n v="3720.924"/>
        <n v="3727.03"/>
        <n v="3746"/>
        <n v="3750.82"/>
        <n v="3754.54"/>
        <n v="3766.73"/>
        <n v="3787.46"/>
        <n v="3804.88"/>
        <n v="3815.769"/>
        <n v="3817.35"/>
        <n v="3825.555"/>
        <n v="3847.83"/>
        <n v="3849.26"/>
        <n v="3855.7365"/>
        <n v="3859.06"/>
        <n v="3875.35"/>
        <n v="3877.83"/>
        <n v="3888.05"/>
        <n v="3892.536"/>
        <n v="3915.42"/>
        <n v="3916.72"/>
        <n v="3920.36"/>
        <n v="3920.535"/>
        <n v="3928.1"/>
        <n v="3933"/>
        <n v="3934.48"/>
        <n v="3938.757"/>
        <n v="3947.85"/>
        <n v="3949.46"/>
        <n v="3959.037"/>
        <n v="3982.71"/>
        <n v="3985.26"/>
        <n v="4007.736"/>
        <n v="4013.7425"/>
        <n v="4014.83"/>
        <n v="4018.6"/>
        <n v="4049.232"/>
        <n v="4050.556"/>
        <n v="4061.48"/>
        <n v="4077.15"/>
        <n v="4081.46"/>
        <n v="4086.144"/>
        <n v="4088.8"/>
        <n v="4091.841"/>
        <n v="4113.248"/>
        <n v="4117.52"/>
        <n v="4120.38"/>
        <n v="4122.2"/>
        <n v="4127.656"/>
        <n v="4129.504"/>
        <n v="4131.09"/>
        <n v="4140.76"/>
        <n v="4142.574"/>
        <n v="4152.7255"/>
        <n v="4161.27"/>
        <n v="4187.664"/>
        <n v="4194.3925"/>
        <n v="4202.6"/>
        <n v="4207.41"/>
        <n v="4221.28"/>
        <n v="4222.752"/>
        <n v="4224.574"/>
        <n v="4225.88"/>
        <n v="4238.26"/>
        <n v="4243.545"/>
        <n v="4246.362"/>
        <n v="4257.2255"/>
        <n v="4258.06"/>
        <n v="4264.3055"/>
        <n v="4268.824"/>
        <n v="4279.952"/>
        <n v="4281.948"/>
        <n v="4290.22"/>
        <n v="4292.8"/>
        <n v="4307.307"/>
        <n v="4315.272"/>
        <n v="4335.2"/>
        <n v="4345.101"/>
        <n v="4352.346"/>
        <n v="4352.856"/>
        <n v="4409.59"/>
        <n v="4417.72"/>
        <n v="4448.37"/>
        <n v="4460.864"/>
        <n v="4464.62"/>
        <n v="4489.29"/>
        <n v="4489.61"/>
        <n v="4493.08"/>
        <n v="4507.632"/>
        <n v="4517.865"/>
        <n v="4525.9525"/>
        <n v="4530.211"/>
        <n v="4545.851"/>
        <n v="4555.7155"/>
        <n v="4557.08"/>
        <n v="4589.25"/>
        <n v="4598.08"/>
        <n v="4605.045"/>
        <n v="4701.86"/>
        <n v="4726.13"/>
        <n v="4743.29"/>
        <n v="4779.31"/>
        <n v="4791.0875"/>
        <n v="4803.192"/>
        <n v="4851.34"/>
        <n v="4865.888"/>
        <n v="4883.472"/>
        <n v="4883.94"/>
        <n v="4884.93"/>
        <n v="4889.268"/>
        <n v="4889.41"/>
        <n v="4893.5605"/>
        <n v="4923.26"/>
        <n v="4946.5265"/>
        <n v="4946.778"/>
        <n v="4981.53"/>
        <n v="4985.83"/>
        <n v="4988.55"/>
        <n v="4989.84"/>
        <n v="4993.2"/>
        <n v="5007.104"/>
        <n v="5023.534"/>
        <n v="5051.744"/>
        <n v="5059.94"/>
        <n v="5064.81"/>
        <n v="5071.68"/>
        <n v="5097.26"/>
        <n v="5109.49"/>
        <n v="5121.21"/>
        <n v="5138.4"/>
        <n v="5145.458"/>
        <n v="5153.37"/>
        <n v="5162.23"/>
        <n v="5177.18"/>
        <n v="5189.6835"/>
        <n v="5191.4175"/>
        <n v="5192.432"/>
        <n v="5193.092"/>
        <n v="5193.72"/>
        <n v="5206.114"/>
        <n v="5220.258"/>
        <n v="5220.765"/>
        <n v="5224.506"/>
        <n v="5246.24"/>
        <n v="5263.296"/>
        <n v="5272.569"/>
        <n v="5278.347"/>
        <n v="5290.76"/>
        <n v="5290.89"/>
        <n v="5305.84"/>
        <n v="5306.45"/>
        <n v="5311.82"/>
        <n v="5334.552"/>
        <n v="5358.096"/>
        <n v="5371.235"/>
        <n v="5371.47"/>
        <n v="5373.836"/>
        <n v="5407.2495"/>
        <n v="5419.26"/>
        <n v="5429.383"/>
        <n v="5442.525"/>
        <n v="5445.61"/>
        <n v="5450.245"/>
        <n v="5466.528"/>
        <n v="5469.136"/>
        <n v="5479.04"/>
        <n v="5491.836"/>
        <n v="5493.774"/>
        <n v="5501.54"/>
        <n v="5507.94"/>
        <n v="5512.644"/>
        <n v="5516.91"/>
        <n v="5532.85"/>
        <n v="5533.674"/>
        <n v="5552.2"/>
        <n v="5555.98"/>
        <n v="5577.88"/>
        <n v="5585.38"/>
        <n v="5589.8665"/>
        <n v="5592.023"/>
        <n v="5595.1"/>
        <n v="5599.776"/>
        <n v="5612.472"/>
        <n v="5618.376"/>
        <n v="5619.43"/>
        <n v="5625.824"/>
        <n v="5629.12"/>
        <n v="5631.19"/>
        <n v="5645.83"/>
        <n v="5651.14"/>
        <n v="5658.9"/>
        <n v="5664.75"/>
        <n v="5677.36"/>
        <n v="5678.82"/>
        <n v="5690.376"/>
        <n v="5691.792"/>
        <n v="5711.267"/>
        <n v="5713.45"/>
        <n v="5726.232"/>
        <n v="5744.78"/>
        <n v="5747.88"/>
        <n v="5754.59"/>
        <n v="5768.864"/>
        <n v="5772.143"/>
        <n v="5789.34"/>
        <n v="5790.94"/>
        <n v="5794.78"/>
        <n v="5815.09"/>
        <n v="5815.629"/>
        <n v="5819.19"/>
        <n v="5823.53"/>
        <n v="5823.684"/>
        <n v="5841.64"/>
        <n v="5870.049"/>
        <n v="5875.07"/>
        <n v="5888.22"/>
        <n v="5889.48"/>
        <n v="5906.08"/>
        <n v="5906.17"/>
        <n v="5913.968"/>
        <n v="5921.763"/>
        <n v="5959.03"/>
        <n v="5960.4"/>
        <n v="5963.41"/>
        <n v="5977.68"/>
        <n v="5994.108"/>
        <n v="6013.026"/>
        <n v="6028"/>
        <n v="6044.894"/>
        <n v="6046.048"/>
        <n v="6061.779"/>
        <n v="6069.264"/>
        <n v="6080.209"/>
        <n v="6086.28"/>
        <n v="6093.192"/>
        <n v="6124.03"/>
        <n v="6132.07"/>
        <n v="6156.86"/>
        <n v="6181.302"/>
        <n v="6183.1"/>
        <n v="6194.52"/>
        <n v="6202.17"/>
        <n v="6211.888"/>
        <n v="6215.25"/>
        <n v="6225.978"/>
        <n v="6235.936"/>
        <n v="6251.14"/>
        <n v="6253.875"/>
        <n v="6277.744"/>
        <n v="6278.688"/>
        <n v="6284.29"/>
        <n v="6294.2415"/>
        <n v="6294.87"/>
        <n v="6298.04"/>
        <n v="6319.944"/>
        <n v="6360.04"/>
        <n v="6379.82"/>
        <n v="6381.22"/>
        <n v="6408.21"/>
        <n v="6410.615"/>
        <n v="6435.792"/>
        <n v="6483.24"/>
        <n v="6487.0385"/>
        <n v="6516.3635"/>
        <n v="6539.04"/>
        <n v="6542.3735"/>
        <n v="6569.582"/>
        <n v="6599.74"/>
        <n v="6602.06"/>
        <n v="6607.59"/>
        <n v="6628.752"/>
        <n v="6659.801"/>
        <n v="6682.12"/>
        <n v="6717.08"/>
        <n v="6717.9"/>
        <n v="6734.65"/>
        <n v="6761.817"/>
        <n v="6765.11"/>
        <n v="6789.4125"/>
        <n v="6813.504"/>
        <n v="6827.31"/>
        <n v="6831.4785"/>
        <n v="6832.1055"/>
        <n v="6839.06"/>
        <n v="6852.09"/>
        <n v="6872.75"/>
        <n v="6874.704"/>
        <n v="6881.37"/>
        <n v="6906.139"/>
        <n v="6954.06"/>
        <n v="6957.78"/>
        <n v="6968.304"/>
        <n v="6992.219"/>
        <n v="7027.34"/>
        <n v="7084.104"/>
        <n v="7085.888"/>
        <n v="7102.07"/>
        <n v="7112.08"/>
        <n v="7124.4875"/>
        <n v="7129.7785"/>
        <n v="7135.3645"/>
        <n v="7148.088"/>
        <n v="7151.058"/>
        <n v="7161.016"/>
        <n v="7173.17"/>
        <n v="7183.648"/>
        <n v="7186.58"/>
        <n v="7193.69"/>
        <n v="7199.904"/>
        <n v="7233.54"/>
        <n v="7253.08"/>
        <n v="7265.79"/>
        <n v="7272.612"/>
        <n v="7293.032"/>
        <n v="7296.44"/>
        <n v="7301.034"/>
        <n v="7319.673"/>
        <n v="7332.92"/>
        <n v="7341.7475"/>
        <n v="7357.498"/>
        <n v="7368.712"/>
        <n v="7393.742"/>
        <n v="7405.047"/>
        <n v="7455.3"/>
        <n v="7458.156"/>
        <n v="7468.848"/>
        <n v="7478.35"/>
        <n v="7479.736"/>
        <n v="7491.8"/>
        <n v="7512.1"/>
        <n v="7535.04"/>
        <n v="7536.64"/>
        <n v="7542.67"/>
        <n v="7555.832"/>
        <n v="7561.971"/>
        <n v="7564.19"/>
        <n v="7569.048"/>
        <n v="7608.792"/>
        <n v="7617.58"/>
        <n v="7617.91"/>
        <n v="7627.407"/>
        <n v="7628.5"/>
        <n v="7647.966"/>
        <n v="7649.371"/>
        <n v="7661.619"/>
        <n v="7682.3085"/>
        <n v="7685.874"/>
        <n v="7707.24"/>
        <n v="7725.4545"/>
        <n v="7732.53"/>
        <n v="7745.013"/>
        <n v="7749.074"/>
        <n v="7762.44"/>
        <n v="7774.916"/>
        <n v="7780.2"/>
        <n v="7787.54"/>
        <n v="7800.651"/>
        <n v="7832.16"/>
        <n v="7852.5765"/>
        <n v="7855.79"/>
        <n v="7860.54"/>
        <n v="7894.32"/>
        <n v="7900.5"/>
        <n v="7910.24"/>
        <n v="7915.2"/>
        <n v="7933.44"/>
        <n v="7961.976"/>
        <n v="7980.6555"/>
        <n v="7991.955"/>
        <n v="7992"/>
        <n v="8003.94"/>
        <n v="8008.309"/>
        <n v="8008.8"/>
        <n v="8009.82"/>
        <n v="8016.79"/>
        <n v="8017.47"/>
        <n v="8020.95"/>
        <n v="8021.248"/>
        <n v="8026.13"/>
        <n v="8041.464"/>
        <n v="8041.78"/>
        <n v="8054.2615"/>
        <n v="8059.432"/>
        <n v="8065.32"/>
        <n v="8073.88"/>
        <n v="8089.452"/>
        <n v="8093.69"/>
        <n v="8097.62"/>
        <n v="8105.088"/>
        <n v="8118.28"/>
        <n v="8123.728"/>
        <n v="8143.16"/>
        <n v="8161.11"/>
        <n v="8175.51"/>
        <n v="8176.65"/>
        <n v="8179.54"/>
        <n v="8189.721"/>
        <n v="8195.36"/>
        <n v="8198.88"/>
        <n v="8222.864"/>
        <n v="8259.78"/>
        <n v="8272.92"/>
        <n v="8273.4"/>
        <n v="8298.94"/>
        <n v="8304.992"/>
        <n v="8311.322"/>
        <n v="8326.368"/>
        <n v="8328.231"/>
        <n v="8334.43"/>
        <n v="8383.54"/>
        <n v="8427.84"/>
        <n v="8429.217"/>
        <n v="8433.7105"/>
        <n v="8489.58"/>
        <n v="8490.55"/>
        <n v="8515.686"/>
        <n v="8525.7085"/>
        <n v="8564.573"/>
        <n v="8572.38"/>
        <n v="8589.5"/>
        <n v="8590.84"/>
        <n v="8636.44"/>
        <n v="8648.16"/>
        <n v="8649.28"/>
        <n v="8656.533"/>
        <n v="8657.44"/>
        <n v="8691.873"/>
        <n v="8700.291"/>
        <n v="8725.616"/>
        <n v="8733.58"/>
        <n v="8739.768"/>
        <n v="8752.3055"/>
        <n v="8765.37"/>
        <n v="8766.4665"/>
        <n v="8789.43"/>
        <n v="8811.72"/>
        <n v="8825.747"/>
        <n v="8830.656"/>
        <n v="8834.135"/>
        <n v="8849.28"/>
        <n v="8869.11"/>
        <n v="8896.176"/>
        <n v="8901.9"/>
        <n v="8922.654"/>
        <n v="8932.64"/>
        <n v="8935.065"/>
        <n v="9007.9"/>
        <n v="9021.16"/>
        <n v="9022.832"/>
        <n v="9044.442"/>
        <n v="9050.328"/>
        <n v="9067.237"/>
        <n v="9071.557"/>
        <n v="9102.256"/>
        <n v="9106.52"/>
        <n v="9136.552"/>
        <n v="9161.888"/>
        <n v="9164.256"/>
        <n v="9193.22"/>
        <n v="9197.442"/>
        <n v="9227.9"/>
        <n v="9239.274"/>
        <n v="9283.05"/>
        <n v="9333.168"/>
        <n v="9351.26"/>
        <n v="9387.6"/>
        <n v="9401.2"/>
        <n v="9419.008"/>
        <n v="9446.512"/>
        <n v="9468.677"/>
        <n v="9485.72"/>
        <n v="9498.48"/>
        <n v="9517.71"/>
        <n v="9567.369"/>
        <n v="9567.55"/>
        <n v="9569.065"/>
        <n v="9586.648"/>
        <n v="9609.36"/>
        <n v="9611.264"/>
        <n v="9612.4885"/>
        <n v="9627.36"/>
        <n v="9653.27"/>
        <n v="9666.82"/>
        <n v="9667.73"/>
        <n v="9705.5805"/>
        <n v="9712.19"/>
        <n v="9727.19"/>
        <n v="9735.3"/>
        <n v="9748.47"/>
        <n v="9754.3"/>
        <n v="9763.461"/>
        <n v="9773.92"/>
        <n v="9775.215"/>
        <n v="9776.088"/>
        <n v="9778.103"/>
        <n v="9793.008"/>
        <n v="9801.299"/>
        <n v="9832.44"/>
        <n v="9837.098"/>
        <n v="9856.85"/>
        <n v="9857.97"/>
        <n v="9859.68"/>
        <n v="9861.646"/>
        <n v="9893.47"/>
        <n v="9894.708"/>
        <n v="9908.584"/>
        <n v="9916.28"/>
        <n v="9928.77"/>
        <n v="9931.07"/>
        <n v="9957.478"/>
        <n v="9957.627"/>
        <n v="9969.256"/>
        <n v="9970.16"/>
        <n v="9998.31"/>
        <n v="10017.67"/>
        <n v="10025.024"/>
        <n v="10030.2425"/>
        <n v="10108.95"/>
        <n v="10118.772"/>
        <n v="10121.29"/>
        <n v="10132.901"/>
        <n v="10139.13"/>
        <n v="10148.184"/>
        <n v="10149.2"/>
        <n v="10173.136"/>
        <n v="10177.38"/>
        <n v="10200.085"/>
        <n v="10227.91"/>
        <n v="10243.51"/>
        <n v="10248.11"/>
        <n v="10281.294"/>
        <n v="10304.43"/>
        <n v="10376.256"/>
        <n v="10380"/>
        <n v="10390.112"/>
        <n v="10398.48"/>
        <n v="10399.4"/>
        <n v="10407.58"/>
        <n v="10442.128"/>
        <n v="10463.456"/>
        <n v="10483.41"/>
        <n v="10537.38"/>
        <n v="10539.42"/>
        <n v="10573.252"/>
        <n v="10579.3295"/>
        <n v="10607.85"/>
        <n v="10613.5805"/>
        <n v="10621.341"/>
        <n v="10621.95"/>
        <n v="10636.281"/>
        <n v="10640.55"/>
        <n v="10641.568"/>
        <n v="10655.7"/>
        <n v="10657.78"/>
        <n v="10663.52"/>
        <n v="10674.606"/>
        <n v="10706.69"/>
        <n v="10730.52"/>
        <n v="10768.378"/>
        <n v="10778.55"/>
        <n v="10793.64"/>
        <n v="10831.662"/>
        <n v="10860.331"/>
        <n v="10862.35"/>
        <n v="10868.532"/>
        <n v="10871.064"/>
        <n v="10893.664"/>
        <n v="10895.84"/>
        <n v="10896.06"/>
        <n v="10904.928"/>
        <n v="10936.784"/>
        <n v="10947.915"/>
        <n v="10948.6645"/>
        <n v="10954.52"/>
        <n v="10969.144"/>
        <n v="10987.04"/>
        <n v="11001.4"/>
        <n v="11004.9"/>
        <n v="11020.52"/>
        <n v="11023.23"/>
        <n v="11028.14"/>
        <n v="11046.3435"/>
        <n v="11056.416"/>
        <n v="11062.782"/>
        <n v="11067.615"/>
        <n v="11069.115"/>
        <n v="11078.7385"/>
        <n v="11110.0695"/>
        <n v="11115.2375"/>
        <n v="11131.2175"/>
        <n v="11156.7905"/>
        <n v="11158.048"/>
        <n v="11178.765"/>
        <n v="11183.031"/>
        <n v="11185.35"/>
        <n v="11190.04"/>
        <n v="11190.88"/>
        <n v="11203.938"/>
        <n v="11211.176"/>
        <n v="11239.67"/>
        <n v="11249"/>
        <n v="11270.83"/>
        <n v="11286.8645"/>
        <n v="11288.28"/>
        <n v="11290.54"/>
        <n v="11297.032"/>
        <n v="11346.565"/>
        <n v="11355"/>
        <n v="11361.88"/>
        <n v="11384.48"/>
        <n v="11386.48"/>
        <n v="11389.12"/>
        <n v="11424.474"/>
        <n v="11431.449"/>
        <n v="11479.7"/>
        <n v="11483.72"/>
        <n v="11499.46"/>
        <n v="11511.036"/>
        <n v="11522.362"/>
        <n v="11522.792"/>
        <n v="11524.984"/>
        <n v="11527.965"/>
        <n v="11541.92"/>
        <n v="11549.9385"/>
        <n v="11578.44"/>
        <n v="11580.7655"/>
        <n v="11582.1"/>
        <n v="11584.8605"/>
        <n v="11594.19"/>
        <n v="11595.366"/>
        <n v="11628.19"/>
        <n v="11642.7"/>
        <n v="11645.5865"/>
        <n v="11652.9135"/>
        <n v="11653.04"/>
        <n v="11672.71"/>
        <n v="11682.36"/>
        <n v="11682.689"/>
        <n v="11688.48"/>
        <n v="11696.47"/>
        <n v="11711.83"/>
        <n v="11734.648"/>
        <n v="11746.84"/>
        <n v="11747.578"/>
        <n v="11750.52"/>
        <n v="11775.41"/>
        <n v="11807.8005"/>
        <n v="11809.35"/>
        <n v="11823.96"/>
        <n v="11877.318"/>
        <n v="11884.34"/>
        <n v="11887.1"/>
        <n v="11901.78"/>
        <n v="11908.211"/>
        <n v="11916.9"/>
        <n v="11917.68"/>
        <n v="11928.38"/>
        <n v="11949.689"/>
        <n v="11963.992"/>
        <n v="11964.1835"/>
        <n v="11969.478"/>
        <n v="11973.74"/>
        <n v="11976.849"/>
        <n v="11979.261"/>
        <n v="11979.664"/>
        <n v="12024.236"/>
        <n v="12027.89"/>
        <n v="12028.42"/>
        <n v="12032.8125"/>
        <n v="12041.56"/>
        <n v="12069.788"/>
        <n v="12085.11"/>
        <n v="12120.02"/>
        <n v="12121.056"/>
        <n v="12131.912"/>
        <n v="12150.8"/>
        <n v="12155.953"/>
        <n v="12177.594"/>
        <n v="12202.14"/>
        <n v="12202.2"/>
        <n v="12224.336"/>
        <n v="12225.504"/>
        <n v="12236.53"/>
        <n v="12263.6"/>
        <n v="12265.704"/>
        <n v="12291.9"/>
        <n v="12334.83"/>
        <n v="12376.204"/>
        <n v="12387.5345"/>
        <n v="12397.5"/>
        <n v="12432.93"/>
        <n v="12449.94"/>
        <n v="12460.2"/>
        <n v="12474.804"/>
        <n v="12489.456"/>
        <n v="12496.824"/>
        <n v="12497.32"/>
        <n v="12507.76"/>
        <n v="12509.84"/>
        <n v="12519.2505"/>
        <n v="12531.091"/>
        <n v="12539.592"/>
        <n v="12556.32"/>
        <n v="12569.31"/>
        <n v="12572.08"/>
        <n v="12595.0535"/>
        <n v="12597.912"/>
        <n v="12598.8"/>
        <n v="12599.104"/>
        <n v="12600.216"/>
        <n v="12609.665"/>
        <n v="12613.096"/>
        <n v="12638.565"/>
        <n v="12653.94"/>
        <n v="12660.47"/>
        <n v="12665.628"/>
        <n v="12668.664"/>
        <n v="12669.454"/>
        <n v="12674.68"/>
        <n v="12696.14"/>
        <n v="12727.4065"/>
        <n v="12734.06"/>
        <n v="12740.15"/>
        <n v="12774.924"/>
        <n v="12775.695"/>
        <n v="12784.99"/>
        <n v="12802.32"/>
        <n v="12827.36"/>
        <n v="12832.65"/>
        <n v="12855.681"/>
        <n v="12857.88"/>
        <n v="12873.03"/>
        <n v="12878.8515"/>
        <n v="12890.574"/>
        <n v="12916.5"/>
        <n v="12917.62"/>
        <n v="12929.81"/>
        <n v="12939.11"/>
        <n v="12948.248"/>
        <n v="12956.119"/>
        <n v="12988.48"/>
        <n v="12999.416"/>
        <n v="13001.877"/>
        <n v="13012.78"/>
        <n v="13019.86"/>
        <n v="13046.004"/>
        <n v="13049.25"/>
        <n v="13085.35"/>
        <n v="13085.76"/>
        <n v="13086.498"/>
        <n v="13091.072"/>
        <n v="13110.266"/>
        <n v="13114.35"/>
        <n v="13128.888"/>
        <n v="13137.3885"/>
        <n v="13147.84"/>
        <n v="13148.13"/>
        <n v="13155.864"/>
        <n v="13178.31"/>
        <n v="13194.76"/>
        <n v="13204.7925"/>
        <n v="13205.776"/>
        <n v="13209.472"/>
        <n v="13209.76"/>
        <n v="13233.329"/>
        <n v="13255.3335"/>
        <n v="13257.48"/>
        <n v="13265.937"/>
        <n v="13315.5"/>
        <n v="13342.61"/>
        <n v="13344.16"/>
        <n v="13416.516"/>
        <n v="13425.04"/>
        <n v="13470.92"/>
        <n v="13472.73"/>
        <n v="13500.822"/>
        <n v="13505.46"/>
        <n v="13506.77"/>
        <n v="13511.76"/>
        <n v="13538.628"/>
        <n v="13565.77"/>
        <n v="13569.184"/>
        <n v="13579.62"/>
        <n v="13602.765"/>
        <n v="13630.6765"/>
        <n v="13647.72"/>
        <n v="13662.713"/>
        <n v="13662.837"/>
        <n v="13678.94"/>
        <n v="13690.372"/>
        <n v="13706.08"/>
        <n v="13712.04"/>
        <n v="13731.976"/>
        <n v="13769.57"/>
        <n v="13770.06"/>
        <n v="13770.68"/>
        <n v="13775.04"/>
        <n v="13782.75"/>
        <n v="13794.888"/>
        <n v="13797.999"/>
        <n v="13799.11"/>
        <n v="13838.493"/>
        <n v="13850.97"/>
        <n v="13863.92"/>
        <n v="13876.556"/>
        <n v="13885.16"/>
        <n v="13890.26"/>
        <n v="13895.57"/>
        <n v="13903.95"/>
        <n v="13907.16"/>
        <n v="13917.67"/>
        <n v="13920.525"/>
        <n v="13948.51"/>
        <n v="13949.928"/>
        <n v="13963.08"/>
        <n v="13970.1775"/>
        <n v="13973.721"/>
        <n v="14030.3805"/>
        <n v="14041.8265"/>
        <n v="14076.57"/>
        <n v="14082.78"/>
        <n v="14089.296"/>
        <n v="14117.361"/>
        <n v="14125.3935"/>
        <n v="14149.816"/>
        <n v="14168.44"/>
        <n v="14171.841"/>
        <n v="14174.217"/>
        <n v="14204.8"/>
        <n v="14207.97"/>
        <n v="14231.934"/>
        <n v="14244.921"/>
        <n v="14272.384"/>
        <n v="14305.518"/>
        <n v="14314.68"/>
        <n v="14327.31"/>
        <n v="14332.76"/>
        <n v="14352.88"/>
        <n v="14387.88"/>
        <n v="14394.6945"/>
        <n v="14401.506"/>
        <n v="14404.5"/>
        <n v="14404.79"/>
        <n v="14405.46"/>
        <n v="14410.07"/>
        <n v="14413.56"/>
        <n v="14420.09"/>
        <n v="14432.05"/>
        <n v="14442.34"/>
        <n v="14448.74"/>
        <n v="14448.861"/>
        <n v="14465.0195"/>
        <n v="14467.914"/>
        <n v="14478.24"/>
        <n v="14485.8615"/>
        <n v="14525.055"/>
        <n v="14538.96"/>
        <n v="14546.73"/>
        <n v="14579.02"/>
        <n v="14595.2"/>
        <n v="14622.129"/>
        <n v="14627.93"/>
        <n v="14629.176"/>
        <n v="14650.84"/>
        <n v="14659.92"/>
        <n v="14664.9905"/>
        <n v="14676.34"/>
        <n v="14687.57"/>
        <n v="14688.495"/>
        <n v="14695.92"/>
        <n v="14711.664"/>
        <n v="14714.748"/>
        <n v="14723.352"/>
        <n v="14729.89"/>
        <n v="14756.61"/>
        <n v="14764.608"/>
        <n v="14778.918"/>
        <n v="14782.266"/>
        <n v="14790.87"/>
        <n v="14806.881"/>
        <n v="14813.721"/>
        <n v="14863.79"/>
        <n v="14875.6795"/>
        <n v="14881.2655"/>
        <n v="14898.195"/>
        <n v="14901.34"/>
        <n v="14909.88"/>
        <n v="14913.046"/>
        <n v="14915.3895"/>
        <n v="14921.09"/>
        <n v="14922.08"/>
        <n v="14928.6"/>
        <n v="14960.6285"/>
        <n v="14961.224"/>
        <n v="14979.888"/>
        <n v="14981.8535"/>
        <n v="14990.976"/>
        <n v="14999.661"/>
        <n v="15039.9"/>
        <n v="15050.18"/>
        <n v="15050.934"/>
        <n v="15071.826"/>
        <n v="15092.424"/>
        <n v="15095.24"/>
        <n v="15106.506"/>
        <n v="15111.5"/>
        <n v="15135.389"/>
        <n v="15141.951"/>
        <n v="15151.1"/>
        <n v="15162.07"/>
        <n v="15173.181"/>
        <n v="15177.56"/>
        <n v="15203.82"/>
        <n v="15203.9805"/>
        <n v="15223.408"/>
        <n v="15224.56"/>
        <n v="15234.26"/>
        <n v="15238.395"/>
        <n v="15242.37"/>
        <n v="15252.19"/>
        <n v="15287.571"/>
        <n v="15302.505"/>
        <n v="15310.28"/>
        <n v="15316.26"/>
        <n v="15332.113"/>
        <n v="15334.121"/>
        <n v="15335.31"/>
        <n v="15356.24"/>
        <n v="15356.6865"/>
        <n v="15384.52"/>
        <n v="15394.995"/>
        <n v="15397.832"/>
        <n v="15402.88"/>
        <n v="15424.46"/>
        <n v="15449.985"/>
        <n v="15456.52"/>
        <n v="15459.53"/>
        <n v="15469.898"/>
        <n v="15485.877"/>
        <n v="15493.05"/>
        <n v="15525.63"/>
        <n v="15544.715"/>
        <n v="15561.61"/>
        <n v="15569.12"/>
        <n v="15573.54"/>
        <n v="15582.987"/>
        <n v="15601.55"/>
        <n v="15641.9"/>
        <n v="15642.24"/>
        <n v="15649.85"/>
        <n v="15666.48"/>
        <n v="15671.9685"/>
        <n v="15683.432"/>
        <n v="15698.45"/>
        <n v="15699.833"/>
        <n v="15726.22"/>
        <n v="15728.256"/>
        <n v="15746.562"/>
        <n v="15787.407"/>
        <n v="15791.432"/>
        <n v="15803.591"/>
        <n v="15813.7"/>
        <n v="15820.4"/>
        <n v="15824.22"/>
        <n v="15832.6"/>
        <n v="15832.7885"/>
        <n v="15859.946"/>
        <n v="15866.8"/>
        <n v="15872.89"/>
        <n v="15874.623"/>
        <n v="15876.84"/>
        <n v="15880.09"/>
        <n v="15883.08"/>
        <n v="15897.89"/>
        <n v="15902.32"/>
        <n v="15913.32"/>
        <n v="15934.627"/>
        <n v="15946.149"/>
        <n v="15947.17"/>
        <n v="15947.2"/>
        <n v="15956.808"/>
        <n v="15979.53"/>
        <n v="15987.76"/>
        <n v="15992.41"/>
        <n v="15995.59"/>
        <n v="16029.84"/>
        <n v="16035.327"/>
        <n v="16056.53"/>
        <n v="16066.96"/>
        <n v="16096.482"/>
        <n v="16097.98"/>
        <n v="16105.99"/>
        <n v="16118.04"/>
        <n v="16127.17"/>
        <n v="16178.7"/>
        <n v="16179.984"/>
        <n v="16179.99"/>
        <n v="16244.94"/>
        <n v="16245.34"/>
        <n v="16245.4"/>
        <n v="16246.6625"/>
        <n v="16256.09"/>
        <n v="16268.15"/>
        <n v="16281.49"/>
        <n v="16288.848"/>
        <n v="16306.75"/>
        <n v="16319.24"/>
        <n v="16334.9555"/>
        <n v="16334.99"/>
        <n v="16351.134"/>
        <n v="16352.49"/>
        <n v="16368.88"/>
        <n v="16396.07"/>
        <n v="16415.09"/>
        <n v="16422.726"/>
        <n v="16423.61"/>
        <n v="16434.15"/>
        <n v="16443.08"/>
        <n v="16448.704"/>
        <n v="16541.99"/>
        <n v="16543.889"/>
        <n v="16620.82"/>
        <n v="16633.8795"/>
        <n v="16668.288"/>
        <n v="16688.64"/>
        <n v="16692.88"/>
        <n v="16693.495"/>
        <n v="16719.6"/>
        <n v="16722.84"/>
        <n v="16771.11"/>
        <n v="16773.62"/>
        <n v="16780.212"/>
        <n v="16780.304"/>
        <n v="16810.943"/>
        <n v="16842.88"/>
        <n v="16865.046"/>
        <n v="16870.06"/>
        <n v="16886.8395"/>
        <n v="16908.5655"/>
        <n v="16918.1"/>
        <n v="16927.552"/>
        <n v="16946.3945"/>
        <n v="16951.635"/>
        <n v="16970.103"/>
        <n v="16970.67"/>
        <n v="16977.38"/>
        <n v="16997.6"/>
        <n v="17016.06"/>
        <n v="17035.53"/>
        <n v="17046.45"/>
        <n v="17082.58"/>
        <n v="17086.08"/>
        <n v="17124.003"/>
        <n v="17125.81"/>
        <n v="17135.558"/>
        <n v="17139.78"/>
        <n v="17165.34"/>
        <n v="17174.74"/>
        <n v="17179.25"/>
        <n v="17183.7"/>
        <n v="17210.16"/>
        <n v="17212.29"/>
        <n v="17242.97"/>
        <n v="17244.83"/>
        <n v="17274.888"/>
        <n v="17277.29"/>
        <n v="17295.104"/>
        <n v="17337.9085"/>
        <n v="17351.12"/>
        <n v="17384.49"/>
        <n v="17385.76"/>
        <n v="17442.69"/>
        <n v="17453.07"/>
        <n v="17459.38"/>
        <n v="17463.79"/>
        <n v="17485.82"/>
        <n v="17494.8"/>
        <n v="17503.56"/>
        <n v="17522.46"/>
        <n v="17524.48"/>
        <n v="17539.59"/>
        <n v="17547.075"/>
        <n v="17572.226"/>
        <n v="17588.7"/>
        <n v="17595.76"/>
        <n v="17601.39"/>
        <n v="17609"/>
        <n v="17646.8"/>
        <n v="17696.844"/>
        <n v="17712.3225"/>
        <n v="17735.64"/>
        <n v="17819.043"/>
        <n v="17831.75"/>
        <n v="17852.66"/>
        <n v="17852.9"/>
        <n v="17906.58"/>
        <n v="17921.2"/>
        <n v="17928.68"/>
        <n v="17931.63"/>
        <n v="17939.306"/>
        <n v="17944.39"/>
        <n v="17950.164"/>
        <n v="17997.3"/>
        <n v="18002.61"/>
        <n v="18032.15"/>
        <n v="18032.337"/>
        <n v="18040.77"/>
        <n v="18041.37"/>
        <n v="18059.94"/>
        <n v="18070.96"/>
        <n v="18074.11"/>
        <n v="18121.77"/>
        <n v="18126.396"/>
        <n v="18130.72"/>
        <n v="18150.8"/>
        <n v="18169.991"/>
        <n v="18179.04"/>
        <n v="18179.71"/>
        <n v="18182.88"/>
        <n v="18192.128"/>
        <n v="18195.312"/>
        <n v="18199.96"/>
        <n v="18219.21"/>
        <n v="18277.888"/>
        <n v="18331.561"/>
        <n v="18338.933"/>
        <n v="18339.624"/>
        <n v="18344.65"/>
        <n v="18364.77"/>
        <n v="18385.92"/>
        <n v="18446.64"/>
        <n v="18498.609"/>
        <n v="18510.72"/>
        <n v="18544.85"/>
        <n v="18547.09"/>
        <n v="18599.22"/>
        <n v="18603.27"/>
        <n v="18614.08"/>
        <n v="18624.56"/>
        <n v="18625.6335"/>
        <n v="18628.683"/>
        <n v="18638.91"/>
        <n v="18649.96"/>
        <n v="18656.92"/>
        <n v="18657.74"/>
        <n v="18700.76"/>
        <n v="18709.11"/>
        <n v="18718.6"/>
        <n v="18720.502"/>
        <n v="18743.52"/>
        <n v="18755.712"/>
        <n v="18781.11"/>
        <n v="18783.21"/>
        <n v="18829.82"/>
        <n v="18834.681"/>
        <n v="18847.91"/>
        <n v="18860.66"/>
        <n v="18904.176"/>
        <n v="18997.472"/>
        <n v="19070.16"/>
        <n v="19075.872"/>
        <n v="19089.68"/>
        <n v="19092.708"/>
        <n v="19098.096"/>
        <n v="19114.84"/>
        <n v="19116.264"/>
        <n v="19155.75"/>
        <n v="19180.063"/>
        <n v="19223.67"/>
        <n v="19242.88"/>
        <n v="19262.08"/>
        <n v="19282.42"/>
        <n v="19297.108"/>
        <n v="19297.502"/>
        <n v="19336.92"/>
        <n v="19342.92"/>
        <n v="19344.62"/>
        <n v="19369.64"/>
        <n v="19424.1"/>
        <n v="19433.18"/>
        <n v="19452.88"/>
        <n v="19517.78"/>
        <n v="19519.71"/>
        <n v="19575.34"/>
        <n v="19588.02"/>
        <n v="19596.82"/>
        <n v="19617"/>
        <n v="19804.08"/>
        <n v="19812.2"/>
        <n v="19815.2"/>
        <n v="19837.386"/>
        <n v="19856.82"/>
        <n v="19920.416"/>
        <n v="19935.44"/>
        <n v="19974.507"/>
        <n v="19983.55"/>
        <n v="20012.37"/>
        <n v="20116.1"/>
        <n v="20135.556"/>
        <n v="20167.15"/>
        <n v="20184.22"/>
        <n v="20184.726"/>
        <n v="20229.87"/>
        <n v="20230.308"/>
        <n v="20235.36"/>
        <n v="20239.86"/>
        <n v="20259.34"/>
        <n v="20269.49"/>
        <n v="20333.55"/>
        <n v="20428.46"/>
        <n v="20454.6495"/>
        <n v="20500.98"/>
        <n v="20572.89"/>
        <n v="20573.55"/>
        <n v="20644.66"/>
        <n v="20656.12"/>
        <n v="20708.62"/>
        <n v="20722.74"/>
        <n v="20726.15"/>
        <n v="20769.3165"/>
        <n v="20801.98"/>
        <n v="20867.7"/>
        <n v="20871.835"/>
        <n v="20889.16"/>
        <n v="20909.01"/>
        <n v="20933.82"/>
        <n v="20940.14"/>
        <n v="20966.12"/>
        <n v="20973.87"/>
        <n v="20982.848"/>
        <n v="21057.96"/>
        <n v="21160.68"/>
        <n v="21192.16"/>
        <n v="21279.791"/>
        <n v="21303.14"/>
        <n v="21308.92"/>
        <n v="21388.84"/>
        <n v="21439.62"/>
        <n v="21448.56"/>
        <n v="21504.428"/>
        <n v="21537.306"/>
        <n v="21597.9"/>
        <n v="21603"/>
        <n v="21637.332"/>
        <n v="21754.92"/>
        <n v="21772.88"/>
        <n v="21866.304"/>
        <n v="21876.832"/>
        <n v="21913.54"/>
        <n v="21933.75"/>
        <n v="22067.04"/>
        <n v="22123.773"/>
        <n v="22141.026"/>
        <n v="22162.34"/>
        <n v="22213.176"/>
        <n v="22229.06"/>
        <n v="22307.862"/>
        <n v="22346.364"/>
        <n v="22386.14"/>
        <n v="22403.42"/>
        <n v="22418.16"/>
        <n v="22419.52"/>
        <n v="22442.1"/>
        <n v="22569.696"/>
        <n v="22629.618"/>
        <n v="22668.93"/>
        <n v="22697.928"/>
        <n v="22717.32"/>
        <n v="22726.637"/>
        <n v="22779.936"/>
        <n v="22797.442"/>
        <n v="23033.0875"/>
        <n v="23136.8"/>
        <n v="23142.36"/>
        <n v="23150.26"/>
        <n v="23227.64"/>
        <n v="23333.316"/>
        <n v="23409.459"/>
        <n v="23450.44"/>
        <n v="23454.96"/>
        <n v="23522.96"/>
        <n v="23526.09"/>
        <n v="23558.08"/>
        <n v="23567.6"/>
        <n v="23575.58"/>
        <n v="23584.56"/>
        <n v="23655.84"/>
        <n v="23678.5125"/>
        <n v="23744"/>
        <n v="23874.848"/>
        <n v="23922.944"/>
        <n v="23935.08"/>
        <n v="23944.89"/>
        <n v="23950.58"/>
        <n v="23973.478"/>
        <n v="23995.7"/>
        <n v="24049.36"/>
        <n v="24067.552"/>
        <n v="24068.76"/>
        <n v="24072.03"/>
        <n v="24152.8"/>
        <n v="24167.43"/>
        <n v="24229.58"/>
        <n v="24278.91"/>
        <n v="24293.13"/>
        <n v="24295.205"/>
        <n v="24296.76"/>
        <n v="24348.44"/>
        <n v="24400.368"/>
        <n v="24413.184"/>
        <n v="24475"/>
        <n v="24489.6"/>
        <n v="24493.68"/>
        <n v="24519.51"/>
        <n v="24546.969"/>
        <n v="24602.72"/>
        <n v="24725.378"/>
        <n v="24817.5"/>
        <n v="24850.02"/>
        <n v="24911.088"/>
        <n v="24988.99"/>
        <n v="25008.122"/>
        <n v="25094.14"/>
        <n v="25112.79"/>
        <n v="25175.487"/>
        <n v="25202.376"/>
        <n v="25258.64"/>
        <n v="25261.668"/>
        <n v="25273.96"/>
        <n v="25446.586"/>
        <n v="25467.136"/>
        <n v="25569.768"/>
        <n v="25591.035"/>
        <n v="25628.814"/>
        <n v="25636.24"/>
        <n v="25662.64"/>
        <n v="25671.08"/>
        <n v="25685.392"/>
        <n v="25686.57"/>
        <n v="25693.2"/>
        <n v="25764.096"/>
        <n v="25782.905"/>
        <n v="25792.2045"/>
        <n v="25802.481"/>
        <n v="25810.607"/>
        <n v="25969.28"/>
        <n v="26113.564"/>
        <n v="26130.816"/>
        <n v="26293.322"/>
        <n v="26336.8"/>
        <n v="26357.38"/>
        <n v="26416.824"/>
        <n v="26518.095"/>
        <n v="26701.308"/>
        <n v="26817.39"/>
        <n v="26869.992"/>
        <n v="27026"/>
        <n v="27093.51"/>
        <n v="27118.62"/>
        <n v="27128.0385"/>
        <n v="27129"/>
        <n v="27210.24"/>
        <n v="27216.09"/>
        <n v="27244.234"/>
        <n v="27254.52"/>
        <n v="27355.617"/>
        <n v="27368.256"/>
        <n v="27372.76"/>
        <n v="27453.181"/>
        <n v="27467.0175"/>
        <n v="27561.03"/>
        <n v="27671.937"/>
        <n v="27691.668"/>
        <n v="27704.424"/>
        <n v="27755.86"/>
        <n v="27772.092"/>
        <n v="27774.58"/>
        <n v="27775.008"/>
        <n v="27807.328"/>
        <n v="27858.807"/>
        <n v="27865.822"/>
        <n v="27920.88"/>
        <n v="28058.573"/>
        <n v="28139.2"/>
        <n v="28210.307"/>
        <n v="28236.04"/>
        <n v="28304.76"/>
        <n v="28342.746"/>
        <n v="28430.289"/>
        <n v="28456.5"/>
        <n v="28469.448"/>
        <n v="28480.78"/>
        <n v="28557.6"/>
        <n v="28577.46"/>
        <n v="28644.799"/>
        <n v="28645.76"/>
        <n v="28748.76"/>
        <n v="28752.592"/>
        <n v="28769.4"/>
        <n v="28794.348"/>
        <n v="28841.221"/>
        <n v="28912.95"/>
        <n v="28912.968"/>
        <n v="28970.226"/>
        <n v="28973.508"/>
        <n v="28976.352"/>
        <n v="28983.48"/>
        <n v="28991.98"/>
        <n v="28992.765"/>
        <n v="29014.776"/>
        <n v="29235.64"/>
        <n v="29335.2"/>
        <n v="29345.31"/>
        <n v="29378.66"/>
        <n v="29385.286"/>
        <n v="29390.948"/>
        <n v="29403.52"/>
        <n v="29423.18"/>
        <n v="29596.205"/>
        <n v="29610.6735"/>
        <n v="29655.582"/>
        <n v="29664.18"/>
        <n v="29687.34"/>
        <n v="29700.756"/>
        <n v="29701.512"/>
        <n v="29781.24"/>
        <n v="29798.232"/>
        <n v="29837.652"/>
        <n v="29895.282"/>
        <n v="30058.64"/>
        <n v="30101.02"/>
        <n v="30107.37"/>
        <n v="30130.4"/>
        <n v="30149.02"/>
        <n v="30151.76"/>
        <n v="30206.04"/>
        <n v="30242.699"/>
        <n v="30349.83"/>
        <n v="30398.382"/>
        <n v="30401.76"/>
        <n v="30476.98"/>
        <n v="30588"/>
        <n v="30600.716"/>
        <n v="30680.104"/>
        <n v="30728.434"/>
        <n v="30812.32"/>
        <n v="30833.46"/>
        <n v="30866.304"/>
        <n v="30878.73"/>
        <n v="30887.13"/>
        <n v="30892.2045"/>
        <n v="30953.82"/>
        <n v="30963.42"/>
        <n v="31002.02"/>
        <n v="31026.74"/>
        <n v="31105.84"/>
        <n v="31156.5"/>
        <n v="31160.68"/>
        <n v="31188.798"/>
        <n v="31202.874"/>
        <n v="31311.544"/>
        <n v="31342.98"/>
        <n v="31381.06"/>
        <n v="31386.556"/>
        <n v="31437.32"/>
        <n v="31439.16"/>
        <n v="31441.029"/>
        <n v="31467.222"/>
        <n v="31467.78"/>
        <n v="31475.24"/>
        <n v="31582.566"/>
        <n v="31609.152"/>
        <n v="31617.66"/>
        <n v="31667.904"/>
        <n v="31727.68"/>
        <n v="31749.08"/>
        <n v="31785.2"/>
        <n v="31794.48"/>
        <n v="31826.881"/>
        <n v="31906.377"/>
        <n v="32122.46"/>
        <n v="32205.204"/>
        <n v="32210.304"/>
        <n v="32262.88"/>
        <n v="32266.848"/>
        <n v="32270.84"/>
        <n v="32301.6"/>
        <n v="32335.808"/>
        <n v="32397.424"/>
        <n v="32510.7"/>
        <n v="32517.05"/>
        <n v="32640.84"/>
        <n v="32655.56"/>
        <n v="32758.68"/>
        <n v="32772.24"/>
        <n v="32827.24"/>
        <n v="32881.14"/>
        <n v="32941.83"/>
        <n v="32962.688"/>
        <n v="32964.373"/>
        <n v="32984.266"/>
        <n v="33075.68"/>
        <n v="33083.66"/>
        <n v="33106.932"/>
        <n v="33167.75"/>
        <n v="33222.59"/>
        <n v="33228.84"/>
        <n v="33252.16"/>
        <n v="33289.16"/>
        <n v="33402.2"/>
        <n v="33421.75"/>
        <n v="33447.6"/>
        <n v="33453.148"/>
        <n v="33625.402"/>
        <n v="33640.16"/>
        <n v="33645.827"/>
        <n v="33713.52"/>
        <n v="33725.08"/>
        <n v="33850.25"/>
        <n v="33868.42"/>
        <n v="33880.667"/>
        <n v="33912.98"/>
        <n v="33920.14"/>
        <n v="33921.24"/>
        <n v="33967.272"/>
        <n v="34066.98"/>
        <n v="34149.456"/>
        <n v="34179.93"/>
        <n v="34219.82"/>
        <n v="34229.94"/>
        <n v="34250.094"/>
        <n v="34337.92"/>
        <n v="34402.7"/>
        <n v="34420.94"/>
        <n v="34508.862"/>
        <n v="34580.114"/>
        <n v="34735.857"/>
        <n v="34831.02"/>
        <n v="34844.4"/>
        <n v="34865.88"/>
        <n v="35051.181"/>
        <n v="35069.22"/>
        <n v="35118.072"/>
        <n v="35138.8"/>
        <n v="35147.88"/>
        <n v="35189.65"/>
        <n v="35273.06"/>
        <n v="35308.2"/>
        <n v="35340.3325"/>
        <n v="35408.44"/>
        <n v="35417.32"/>
        <n v="35459.84"/>
        <n v="35462.583"/>
        <n v="35632.899"/>
        <n v="35693.727"/>
        <n v="35721.824"/>
        <n v="35816.8"/>
        <n v="35894.853"/>
        <n v="35935.6"/>
        <n v="35954.061"/>
        <n v="36027.54"/>
        <n v="36132.96"/>
        <n v="36165.8"/>
        <n v="36210.94"/>
        <n v="36254.9225"/>
        <n v="36397.12"/>
        <n v="36443.376"/>
        <n v="36475.902"/>
        <n v="37298.496"/>
        <n v="37364.26"/>
        <n v="37650.9795"/>
        <n v="37704.7845"/>
        <n v="37818.54"/>
        <n v="37865.46"/>
        <n v="37968.72"/>
        <n v="38000.76"/>
        <n v="38033.36"/>
        <n v="38116.17"/>
        <n v="38150.72"/>
        <n v="38199.12"/>
        <n v="38232.028"/>
        <n v="38261.34"/>
        <n v="38285.52"/>
        <n v="38285.55"/>
        <n v="38379.5655"/>
        <n v="38384.55"/>
        <n v="38529.03"/>
        <n v="38594.092"/>
        <n v="38813.38"/>
        <n v="38824.38"/>
        <n v="38982.51"/>
        <n v="39154.84"/>
        <n v="39183.759"/>
        <n v="39246.3105"/>
        <n v="39296.19"/>
        <n v="39336.69"/>
        <n v="39433.64"/>
        <n v="39445.596"/>
        <n v="39528.9"/>
        <n v="39529.95"/>
        <n v="39566.66"/>
        <n v="39678.16"/>
        <n v="39706.9"/>
        <n v="39729.36"/>
        <n v="39774.54"/>
        <n v="40014.294"/>
        <n v="40017.402"/>
        <n v="40238.79"/>
        <n v="40243.632"/>
        <n v="40278.951"/>
        <n v="40298.62"/>
        <n v="40338.7575"/>
        <n v="40443.32"/>
        <n v="40568.67"/>
        <n v="40687.64"/>
        <n v="40951.2"/>
        <n v="41027.112"/>
        <n v="41233.04"/>
        <n v="41267.968"/>
        <n v="41453.478"/>
        <n v="41781.69"/>
        <n v="42026.385"/>
        <n v="42049.76"/>
        <n v="42119.61"/>
        <n v="42266.3775"/>
        <n v="42329.8815"/>
        <n v="42365.312"/>
        <n v="42373.224"/>
        <n v="42505.525"/>
        <n v="42550.88"/>
        <n v="42661.449"/>
        <n v="43003.2"/>
        <n v="43295.232"/>
        <n v="43345.35"/>
        <n v="43361.55"/>
        <n v="43444.26"/>
        <n v="43462.96"/>
        <n v="43695.44"/>
        <n v="43804.206"/>
        <n v="43881.03"/>
        <n v="43916.695"/>
        <n v="43931.61"/>
        <n v="43990.74"/>
        <n v="44112.249"/>
        <n v="44114.048"/>
        <n v="44174.3895"/>
        <n v="44234.496"/>
        <n v="44598.96"/>
        <n v="44601.3885"/>
        <n v="44642.0425"/>
        <n v="44936.661"/>
        <n v="44976.264"/>
        <n v="45025.1375"/>
        <n v="45048.132"/>
        <n v="45094.5525"/>
        <n v="45189.664"/>
        <n v="45286.24"/>
        <n v="45343.665"/>
        <n v="45511.92"/>
        <n v="45612.15"/>
        <n v="45783.15"/>
        <n v="45788.76"/>
        <n v="45838.12"/>
        <n v="46023.85"/>
        <n v="46056.5985"/>
        <n v="46141.088"/>
        <n v="46323.66"/>
        <n v="46437.088"/>
        <n v="46441.263"/>
        <n v="46472.56"/>
        <n v="46617.51"/>
        <n v="46628.4585"/>
        <n v="46686.5475"/>
        <n v="46866"/>
        <n v="46966.59"/>
        <n v="47126.76"/>
        <n v="47230.14"/>
        <n v="47367.15"/>
        <n v="47368.48"/>
        <n v="47460.96"/>
        <n v="47511.81"/>
        <n v="48055.71"/>
        <n v="48281.724"/>
        <n v="48322.44"/>
        <n v="48487.3065"/>
        <n v="48731.3235"/>
        <n v="48841.932"/>
        <n v="49130.46"/>
        <n v="49193.375"/>
        <n v="49279.86"/>
        <n v="49298.91"/>
        <n v="49344.0925"/>
        <n v="49542.87"/>
        <n v="49602.35"/>
        <n v="49767.12"/>
        <n v="49779.1025"/>
        <n v="49798.304"/>
        <n v="49950.18"/>
        <n v="50181.69"/>
        <n v="50191.44"/>
        <n v="50436.87"/>
        <n v="50535.9"/>
        <n v="50689.1"/>
        <n v="50795.2"/>
        <n v="50803.668"/>
        <n v="50932.32"/>
        <n v="51342.754"/>
        <n v="51605.64"/>
        <n v="51666.08"/>
        <n v="51849.27"/>
        <n v="51956.85"/>
        <n v="52039.808"/>
        <n v="52081.92"/>
        <n v="52302.88"/>
        <n v="52344.21"/>
        <n v="52598.295"/>
        <n v="52697.28"/>
        <n v="52786.02"/>
        <n v="52792.146"/>
        <n v="52858.4275"/>
        <n v="52962.56"/>
        <n v="52981.92"/>
        <n v="53018.19"/>
        <n v="53150.44"/>
        <n v="53592"/>
        <n v="53820.96"/>
        <n v="54035.76"/>
        <n v="54253.26"/>
        <n v="54260.88"/>
        <n v="54463.44"/>
        <n v="54642.44"/>
        <n v="54798.6"/>
        <n v="54816.24"/>
        <n v="54923.9"/>
        <n v="55360.058"/>
        <n v="55543.424"/>
        <n v="55674.085"/>
        <n v="55801.82"/>
        <n v="56032.0425"/>
        <n v="56203.16"/>
        <n v="56218.752"/>
        <n v="56260.08"/>
        <n v="56432.52"/>
        <n v="56825.22"/>
        <n v="56867.96"/>
        <n v="56921.04"/>
        <n v="57095.94"/>
        <n v="57193.65"/>
        <n v="57228.72"/>
        <n v="57392.748"/>
        <n v="57656"/>
        <n v="57662.948"/>
        <n v="57840.64"/>
        <n v="58037.79"/>
        <n v="58245.96"/>
        <n v="58357.685"/>
        <n v="58561.534"/>
        <n v="58583.115"/>
        <n v="58635.99"/>
        <n v="58857.984"/>
        <n v="59200.14"/>
        <n v="59431.8"/>
        <n v="59534.44"/>
        <n v="59625.914"/>
        <n v="59747.316"/>
        <n v="59877.504"/>
        <n v="59965.8"/>
        <n v="59979.48"/>
        <n v="60091.296"/>
        <n v="60227.09"/>
        <n v="60356.96"/>
        <n v="60362.8"/>
        <n v="60693.23"/>
        <n v="60931.404"/>
        <n v="61450.96"/>
        <n v="61488.24"/>
        <n v="61585.004"/>
        <n v="61643.4"/>
        <n v="62411.5"/>
        <n v="62472.858"/>
        <n v="62581.5"/>
        <n v="62674.55"/>
        <n v="62681.48"/>
        <n v="62852.74"/>
        <n v="63452.568"/>
        <n v="63506"/>
        <n v="63610.88"/>
        <n v="63869.12"/>
        <n v="64135.44"/>
        <n v="64144.6"/>
        <n v="64170.64"/>
        <n v="64343.64"/>
        <n v="64481.96"/>
        <n v="64499.4"/>
        <n v="64603.728"/>
        <n v="65031.76"/>
        <n v="65210.185"/>
        <n v="65323"/>
        <n v="66101.57"/>
        <n v="66296.2"/>
        <n v="66420.5"/>
        <n v="67309.56"/>
        <n v="67640.19"/>
        <n v="67655.64"/>
        <n v="67739.328"/>
        <n v="67778.8"/>
        <n v="68065.515"/>
        <n v="68198.2"/>
        <n v="68309.52"/>
        <n v="68577.4"/>
        <n v="68590.95"/>
        <n v="68838.32"/>
        <n v="69173.48"/>
        <n v="69803.65"/>
        <n v="70001.8"/>
        <n v="70206.876"/>
        <n v="70799.4625"/>
        <n v="71004.4"/>
        <n v="71045.6"/>
        <n v="71170.618"/>
        <n v="71248.7"/>
        <n v="71552.6"/>
        <n v="71763.1"/>
        <n v="72103.275"/>
        <n v="72534.96"/>
        <n v="72655.5"/>
        <n v="72814.12"/>
        <n v="72841.4"/>
        <n v="72966.3"/>
        <n v="73989.12"/>
        <n v="74055.105"/>
        <n v="74102.464"/>
        <n v="74301.2625"/>
        <n v="74311.85"/>
        <n v="75190.64"/>
        <n v="75280.6"/>
        <n v="75345.5"/>
        <n v="75420.612"/>
        <n v="75634.48"/>
        <n v="75668.735"/>
        <n v="77149.4525"/>
        <n v="77426.72"/>
        <n v="77702.976"/>
        <n v="77985.65"/>
        <n v="78067.9"/>
        <n v="78366.3"/>
        <n v="78586.4"/>
        <n v="78978.05"/>
        <n v="79059.35"/>
        <n v="79394.72"/>
        <n v="79498.8"/>
        <n v="79658.16"/>
        <n v="79919.52"/>
        <n v="80337.7925"/>
        <n v="80411.35"/>
        <n v="80697"/>
        <n v="80799.685"/>
        <n v="81122.172"/>
        <n v="81800.985"/>
        <n v="82667.195"/>
        <n v="82940.45"/>
        <n v="83925.6"/>
        <n v="84014.88"/>
        <n v="84138.944"/>
        <n v="84428"/>
        <n v="84597.25"/>
        <n v="85109.664"/>
        <n v="87355.6"/>
        <n v="88145.52"/>
        <n v="89782.64"/>
        <n v="90166.248"/>
        <n v="90225.8"/>
        <n v="90763.968"/>
        <n v="90970.85"/>
        <n v="91869.632"/>
        <n v="92569.32"/>
        <n v="92685.9"/>
        <n v="96583.08"/>
        <n v="97310.25"/>
        <n v="97757.88"/>
        <n v="98369.04"/>
        <n v="99374.4"/>
        <n v="99794.992"/>
        <n v="101145.76"/>
        <n v="102063.896"/>
        <n v="102301.68"/>
        <n v="105807.884"/>
        <n v="106440.66"/>
        <n v="107222.464"/>
        <n v="107795.76"/>
        <n v="108359.4"/>
        <n v="108743.384"/>
        <n v="109511.516"/>
        <n v="110023.388"/>
        <n v="111315.76"/>
        <n v="111878.528"/>
        <n v="112223.868"/>
        <n v="112466.9"/>
        <n v="112493.984"/>
        <n v="113481.504"/>
        <n v="114350.688"/>
        <n v="114542.32"/>
        <n v="114659.528"/>
        <n v="114807.2"/>
        <n v="115112.768"/>
        <n v="118023.6"/>
        <n v="118026.648"/>
        <n v="118192.908"/>
        <n v="118226.08"/>
        <n v="119115.104"/>
        <n v="120496.816"/>
        <n v="124634.08"/>
        <n v="124748.32"/>
        <n v="125036.64"/>
        <n v="125427.636"/>
        <n v="126784.796"/>
        <n v="130054.32"/>
        <n v="131237.712"/>
        <n v="133623.12"/>
        <n v="133926.24"/>
        <n v="134506.8"/>
        <n v="134902.16"/>
        <n v="135276.64"/>
        <n v="137659.36"/>
        <n v="138915.76"/>
        <n v="141611.788"/>
        <n v="141658.96"/>
        <n v="141695.388"/>
        <n v="142617.984"/>
        <n v="143503.84"/>
        <n v="151313.52"/>
        <n v="153155.4"/>
        <n v="158759.52"/>
        <n v="159399.44"/>
        <n v="161285.256"/>
        <n v="167937.888"/>
        <n v="174703.584"/>
        <n v="185513.01"/>
        <n v="188208.984"/>
        <n v="190518.738"/>
        <n v="194492.28"/>
        <n v="217914.84"/>
        <s v="PENDIENTE"/>
      </sharedItems>
    </cacheField>
    <cacheField name="Costo_total" numFmtId="0">
      <sharedItems containsMixedTypes="1" containsNumber="1" minValue="-20569.2" maxValue="169939.56" count="572">
        <n v="-20569.2"/>
        <n v="176.47"/>
        <n v="307.75"/>
        <n v="352.94"/>
        <n v="397.1"/>
        <n v="443"/>
        <n v="485.16"/>
        <n v="529.41"/>
        <n v="615.5"/>
        <n v="679.37"/>
        <n v="705.87"/>
        <n v="716.26"/>
        <n v="759.03"/>
        <n v="794.2"/>
        <n v="882.35"/>
        <n v="886"/>
        <n v="900.08"/>
        <n v="923.25"/>
        <n v="936.52"/>
        <n v="970.32"/>
        <n v="1044.32"/>
        <n v="1175.74"/>
        <n v="1191.3"/>
        <n v="1231"/>
        <n v="1252.84"/>
        <n v="1329"/>
        <n v="1358.74"/>
        <n v="1411.74"/>
        <n v="1411.76"/>
        <n v="1432.52"/>
        <n v="1455.48"/>
        <n v="1479.71"/>
        <n v="1518.06"/>
        <n v="1529.93"/>
        <n v="1538.75"/>
        <n v="1588.4"/>
        <n v="1772"/>
        <n v="1800.16"/>
        <n v="1801.83"/>
        <n v="1857.39"/>
        <n v="1873.04"/>
        <n v="1962.3"/>
        <n v="1985.5"/>
        <n v="2008.57"/>
        <n v="2038.11"/>
        <n v="2088.64"/>
        <n v="2117.61"/>
        <n v="2148.78"/>
        <n v="2157.55"/>
        <n v="2196.34"/>
        <n v="2215"/>
        <n v="2277.09"/>
        <n v="2351.48"/>
        <n v="2427.63"/>
        <n v="2459.34"/>
        <n v="2462"/>
        <n v="2486.18"/>
        <n v="2505.68"/>
        <n v="2554.06"/>
        <n v="2700.24"/>
        <n v="2717.48"/>
        <n v="2809.56"/>
        <n v="2833.97"/>
        <n v="2864.64"/>
        <n v="2865.24"/>
        <n v="2950.52"/>
        <n v="2957.6"/>
        <n v="2959.42"/>
        <n v="3036.12"/>
        <n v="3059.86"/>
        <n v="3065.66"/>
        <n v="3132.96"/>
        <n v="3176.8"/>
        <n v="3298.19"/>
        <n v="3396.85"/>
        <n v="3399.5"/>
        <n v="3527.22"/>
        <n v="3529.35"/>
        <n v="3544"/>
        <n v="3581.3"/>
        <n v="3603.66"/>
        <n v="3640.56"/>
        <n v="3693"/>
        <n v="3714.78"/>
        <n v="3746.08"/>
        <n v="3758.52"/>
        <n v="3795.15"/>
        <n v="3824.92"/>
        <n v="3832.69"/>
        <n v="3881.28"/>
        <n v="3924.6"/>
        <n v="4008.77"/>
        <n v="4017.14"/>
        <n v="4044.16"/>
        <n v="4061.34"/>
        <n v="4082.15"/>
        <n v="4177.28"/>
        <n v="4205.69"/>
        <n v="4315.1"/>
        <n v="4325.73"/>
        <n v="4392.68"/>
        <n v="4439.13"/>
        <n v="4500.4"/>
        <n v="4538.06"/>
        <n v="4556.23"/>
        <n v="4589.79"/>
        <n v="4665.62"/>
        <n v="4682.6"/>
        <n v="4702.96"/>
        <n v="4765.2"/>
        <n v="4855.26"/>
        <n v="4858.08"/>
        <n v="4918.68"/>
        <n v="4972.36"/>
        <n v="5011.36"/>
        <n v="5033.47"/>
        <n v="5050.04"/>
        <n v="5079.43"/>
        <n v="5108.12"/>
        <n v="5125.36"/>
        <n v="5221.6"/>
        <n v="5405.49"/>
        <n v="5434.96"/>
        <n v="5535.31"/>
        <n v="5572.17"/>
        <n v="5587.31"/>
        <n v="5646.96"/>
        <n v="5667.94"/>
        <n v="5729.28"/>
        <n v="5730.08"/>
        <n v="5730.48"/>
        <n v="5811.72"/>
        <n v="5874.17"/>
        <n v="5878.7"/>
        <n v="5886.9"/>
        <n v="5901.04"/>
        <n v="5915.2"/>
        <n v="5918.84"/>
        <n v="5932.12"/>
        <n v="6025.71"/>
        <n v="6119.72"/>
        <n v="6131.32"/>
        <n v="6255.13"/>
        <n v="6264.2"/>
        <n v="6407.85"/>
        <n v="6472.65"/>
        <n v="6589.02"/>
        <n v="6596.38"/>
        <n v="6799"/>
        <n v="6815.42"/>
        <n v="6856.4"/>
        <n v="6981.94"/>
        <n v="7200.64"/>
        <n v="7207.32"/>
        <n v="7281.12"/>
        <n v="7282.89"/>
        <n v="7328.02"/>
        <n v="7378.02"/>
        <n v="7398.55"/>
        <n v="7429.56"/>
        <n v="7458.54"/>
        <n v="7549.71"/>
        <n v="7649.65"/>
        <n v="7649.84"/>
        <n v="7662.18"/>
        <n v="7665.38"/>
        <n v="7748.44"/>
        <n v="7849.2"/>
        <n v="7975.26"/>
        <n v="8002.16"/>
        <n v="8017.54"/>
        <n v="8034.28"/>
        <n v="8061.7"/>
        <n v="8088.32"/>
        <n v="8122.68"/>
        <n v="8152.44"/>
        <n v="8164.3"/>
        <n v="8174.87"/>
        <n v="8227.46"/>
        <n v="8239.48"/>
        <n v="8276.74"/>
        <n v="8354.56"/>
        <n v="8411.38"/>
        <n v="8501.91"/>
        <n v="8576.05"/>
        <n v="8593.92"/>
        <n v="8595.12"/>
        <n v="8595.72"/>
        <n v="8651.46"/>
        <n v="8704.4"/>
        <n v="8785.36"/>
        <n v="8788.79"/>
        <n v="8851.56"/>
        <n v="8872.8"/>
        <n v="8963.23"/>
        <n v="8980.68"/>
        <n v="9076.12"/>
        <n v="9112.46"/>
        <n v="9118.07"/>
        <n v="9196.98"/>
        <n v="9243.35"/>
        <n v="9286.95"/>
        <n v="9317.37"/>
        <n v="9331.24"/>
        <n v="9710.52"/>
        <n v="9716.16"/>
        <n v="9811.5"/>
        <n v="9837.36"/>
        <n v="9880.77"/>
        <n v="9881"/>
        <n v="9894.57"/>
        <n v="9944.72"/>
        <n v="9976.68"/>
        <n v="10022.72"/>
        <n v="10066.94"/>
        <n v="10094.26"/>
        <n v="10100.08"/>
        <n v="10158.86"/>
        <n v="10170.29"/>
        <n v="10198.5"/>
        <n v="10216.24"/>
        <n v="10250.72"/>
        <n v="10507.24"/>
        <n v="10571.25"/>
        <n v="10787.75"/>
        <n v="10800.96"/>
        <n v="10830.17"/>
        <n v="10921.68"/>
        <n v="10981.7"/>
        <n v="11036.95"/>
        <n v="11070.62"/>
        <n v="11166.03"/>
        <n v="11174.62"/>
        <n v="11238.24"/>
        <n v="11335.88"/>
        <n v="11424.77"/>
        <n v="11460.96"/>
        <n v="11474.76"/>
        <n v="11498.07"/>
        <n v="11614.87"/>
        <n v="11623.44"/>
        <n v="11666.57"/>
        <n v="11748.34"/>
        <n v="11830.4"/>
        <n v="11864.24"/>
        <n v="11904.09"/>
        <n v="12026.31"/>
        <n v="12064.41"/>
        <n v="12132.48"/>
        <n v="12141.44"/>
        <n v="12184.02"/>
        <n v="12239.44"/>
        <n v="12246.45"/>
        <n v="12262.64"/>
        <n v="12296.7"/>
        <n v="12430.9"/>
        <n v="12510.26"/>
        <n v="12617.07"/>
        <n v="12679.41"/>
        <n v="12723.77"/>
        <n v="12770.3"/>
        <n v="12815.7"/>
        <n v="12977.19"/>
        <n v="13192.76"/>
        <n v="13598"/>
        <n v="13614.18"/>
        <n v="13630.84"/>
        <n v="13668.69"/>
        <n v="13712.8"/>
        <n v="13760.53"/>
        <n v="13963.88"/>
        <n v="13981.13"/>
        <n v="13996.86"/>
        <n v="14161.63"/>
        <n v="14562.24"/>
        <n v="14574.24"/>
        <n v="14656.04"/>
        <n v="14752.6"/>
        <n v="15034.08"/>
        <n v="15099.42"/>
        <n v="15100.41"/>
        <n v="15150.12"/>
        <n v="15238.29"/>
        <n v="15299.68"/>
        <n v="15328.3"/>
        <n v="15330.76"/>
        <n v="15496.88"/>
        <n v="15950.52"/>
        <n v="16004.32"/>
        <n v="16035.08"/>
        <n v="16123.4"/>
        <n v="16176.64"/>
        <n v="16245.36"/>
        <n v="16328.6"/>
        <n v="16349.74"/>
        <n v="16454.92"/>
        <n v="16478.96"/>
        <n v="16490.95"/>
        <n v="16553.48"/>
        <n v="16605.93"/>
        <n v="16761.93"/>
        <n v="16822.76"/>
        <n v="16997.5"/>
        <n v="17152.1"/>
        <n v="17260.4"/>
        <n v="17302.92"/>
        <n v="17408.8"/>
        <n v="17435.16"/>
        <n v="17570.72"/>
        <n v="17577.58"/>
        <n v="17622.51"/>
        <n v="17756.52"/>
        <n v="17796.36"/>
        <n v="17926.46"/>
        <n v="17961.36"/>
        <n v="18152.24"/>
        <n v="18202.8"/>
        <n v="18224.92"/>
        <n v="18236.14"/>
        <n v="18486.7"/>
        <n v="18634.74"/>
        <n v="18662.48"/>
        <n v="18765.39"/>
        <n v="19124.6"/>
        <n v="19163.45"/>
        <n v="19223.55"/>
        <n v="19421.04"/>
        <n v="19432.32"/>
        <n v="19761.54"/>
        <n v="19762"/>
        <n v="19889.44"/>
        <n v="19953.36"/>
        <n v="20043.85"/>
        <n v="20133.88"/>
        <n v="20188.52"/>
        <n v="20220.8"/>
        <n v="20340.58"/>
        <n v="20410.75"/>
        <n v="20432.48"/>
        <n v="20446.26"/>
        <n v="20501.44"/>
        <n v="20569.2"/>
        <n v="20945.82"/>
        <n v="21014.48"/>
        <n v="21028.45"/>
        <n v="21142.5"/>
        <n v="21660.34"/>
        <n v="21984.06"/>
        <n v="22073.9"/>
        <n v="22141.24"/>
        <n v="22288.68"/>
        <n v="22332.06"/>
        <n v="22349.24"/>
        <n v="22649.13"/>
        <n v="22671.76"/>
        <n v="22781.15"/>
        <n v="22849.54"/>
        <n v="22917.12"/>
        <n v="22921.92"/>
        <n v="23229.74"/>
        <n v="23245.32"/>
        <n v="23246.88"/>
        <n v="23328.1"/>
        <n v="23333.14"/>
        <n v="23496.68"/>
        <n v="23604.16"/>
        <n v="23660.8"/>
        <n v="23728.48"/>
        <n v="23808.18"/>
        <n v="23925.78"/>
        <n v="24006.48"/>
        <n v="24128.82"/>
        <n v="24185.1"/>
        <n v="24282.88"/>
        <n v="24290.4"/>
        <n v="24524.61"/>
        <n v="24682.38"/>
        <n v="24718.44"/>
        <n v="24830.22"/>
        <n v="25020.52"/>
        <n v="25250.2"/>
        <n v="25358.82"/>
        <n v="25397.15"/>
        <n v="25447.54"/>
        <n v="25626.8"/>
        <n v="25631.4"/>
        <n v="25728.15"/>
        <n v="26113.2"/>
        <n v="26366.37"/>
        <n v="26385.52"/>
        <n v="26889.69"/>
        <n v="26942.04"/>
        <n v="27196"/>
        <n v="27261.68"/>
        <n v="27425.6"/>
        <n v="27521.06"/>
        <n v="27730.05"/>
        <n v="27927.76"/>
        <n v="27936.55"/>
        <n v="27952.11"/>
        <n v="27962.26"/>
        <n v="28323.26"/>
        <n v="29058.6"/>
        <n v="29124.48"/>
        <n v="29131.56"/>
        <n v="29312.08"/>
        <n v="29370.85"/>
        <n v="29512.08"/>
        <n v="29642.31"/>
        <n v="29643"/>
        <n v="29930.04"/>
        <n v="30198.84"/>
        <n v="30282.78"/>
        <n v="30510.87"/>
        <n v="30599.36"/>
        <n v="30648.72"/>
        <n v="30661.52"/>
        <n v="30993.76"/>
        <n v="31275.65"/>
        <n v="31521.72"/>
        <n v="31713.75"/>
        <n v="31901.04"/>
        <n v="32008.64"/>
        <n v="32039.25"/>
        <n v="32070.16"/>
        <n v="32246.8"/>
        <n v="32490.51"/>
        <n v="32490.72"/>
        <n v="32657.2"/>
        <n v="32699.48"/>
        <n v="32909.84"/>
        <n v="32957.92"/>
        <n v="33106.96"/>
        <n v="33110.85"/>
        <n v="33498.09"/>
        <n v="33645.52"/>
        <n v="34077.1"/>
        <n v="34274.31"/>
        <n v="34304.2"/>
        <n v="34375.68"/>
        <n v="34382.88"/>
        <n v="34844.61"/>
        <n v="34999.71"/>
        <n v="35155.16"/>
        <n v="35712.27"/>
        <n v="35852.92"/>
        <n v="35922.72"/>
        <n v="36193.23"/>
        <n v="36424.32"/>
        <n v="36472.28"/>
        <n v="36973.4"/>
        <n v="37269.48"/>
        <n v="37324.96"/>
        <n v="37748.55"/>
        <n v="38038.23"/>
        <n v="38171.31"/>
        <n v="38742.2"/>
        <n v="38864.64"/>
        <n v="39523.08"/>
        <n v="39524"/>
        <n v="39578.28"/>
        <n v="39876.3"/>
        <n v="39906.72"/>
        <n v="40010.8"/>
        <n v="40308.5"/>
        <n v="40377.04"/>
        <n v="40635.44"/>
        <n v="40681.16"/>
        <n v="40794"/>
        <n v="40874.35"/>
        <n v="41002.88"/>
        <n v="41137.3"/>
        <n v="41197.4"/>
        <n v="41281.59"/>
        <n v="41383.7"/>
        <n v="41943.39"/>
        <n v="42028.96"/>
        <n v="42285"/>
        <n v="42484.89"/>
        <n v="42880.25"/>
        <n v="43320.68"/>
        <n v="43522"/>
        <n v="43943.95"/>
        <n v="44147.8"/>
        <n v="44282.48"/>
        <n v="44698.48"/>
        <n v="44816.15"/>
        <n v="44903.4"/>
        <n v="45590.35"/>
        <n v="45699.08"/>
        <n v="46216.75"/>
        <n v="46459.48"/>
        <n v="46586.85"/>
        <n v="46666.28"/>
        <n v="46993.36"/>
        <n v="47456.96"/>
        <n v="47616.36"/>
        <n v="48257.64"/>
        <n v="48565.76"/>
        <n v="48985.8"/>
        <n v="49405"/>
        <n v="49883.4"/>
        <n v="50471.3"/>
        <n v="50717.64"/>
        <n v="50851.45"/>
        <n v="51262.8"/>
        <n v="51908.76"/>
        <n v="52856.25"/>
        <n v="54150.85"/>
        <n v="54456.72"/>
        <n v="54523.36"/>
        <n v="54851.2"/>
        <n v="55042.12"/>
        <n v="55184.75"/>
        <n v="55855.52"/>
        <n v="55924.52"/>
        <n v="56646.52"/>
        <n v="57123.85"/>
        <n v="58074.35"/>
        <n v="58296.96"/>
        <n v="58332.85"/>
        <n v="58624.16"/>
        <n v="59520.45"/>
        <n v="60322.05"/>
        <n v="60397.68"/>
        <n v="60707.2"/>
        <n v="63397.05"/>
        <n v="63618.85"/>
        <n v="63802.08"/>
        <n v="64017.28"/>
        <n v="64493.6"/>
        <n v="65819.68"/>
        <n v="65915.84"/>
        <n v="66213.92"/>
        <n v="68608.4"/>
        <n v="70310.32"/>
        <n v="70490.04"/>
        <n v="71705.84"/>
        <n v="71845.44"/>
        <n v="72944.56"/>
        <n v="74538.96"/>
        <n v="79046.16"/>
        <n v="79813.44"/>
        <n v="80754.08"/>
        <n v="81362.32"/>
        <n v="84570"/>
        <n v="88295.6"/>
        <n v="89328.24"/>
        <n v="91398.16"/>
        <n v="92918.96"/>
        <n v="95232.72"/>
        <n v="96515.28"/>
        <n v="98098.44"/>
        <n v="98729.52"/>
        <n v="99320.88"/>
        <n v="101435.28"/>
        <n v="109416.84"/>
        <n v="110084.24"/>
        <n v="111808.44"/>
        <n v="111849.04"/>
        <n v="113293.04"/>
        <n v="118569.24"/>
        <n v="119720.16"/>
        <n v="121131.12"/>
        <n v="126086.88"/>
        <n v="126855"/>
        <n v="132443.4"/>
        <n v="137097.24"/>
        <n v="142849.08"/>
        <n v="144772.92"/>
        <n v="169939.56"/>
        <s v="PENDIENTE"/>
      </sharedItems>
    </cacheField>
    <cacheField name="Utilidad_bruta" numFmtId="0">
      <sharedItems containsMixedTypes="1" containsNumber="1" minValue="-21719.34" maxValue="75923.04" count="2286">
        <n v="-21719.34"/>
        <n v="-11251.124"/>
        <n v="-2830.68"/>
        <n v="-2333.168"/>
        <n v="-2108.832"/>
        <n v="-1492.966"/>
        <n v="-1255.28"/>
        <n v="-1210.354"/>
        <n v="-1143.152"/>
        <n v="-1069.17200000001"/>
        <n v="-1051.574"/>
        <n v="-1032.742"/>
        <n v="-976.93"/>
        <n v="-728.78"/>
        <n v="-709.127999999999"/>
        <n v="-692.197500000009"/>
        <n v="-660.807999999999"/>
        <n v="-633.448"/>
        <n v="-618.853000000001"/>
        <n v="-601.599999999999"/>
        <n v="-582.929999999999"/>
        <n v="-578.896000000001"/>
        <n v="-505.867999999999"/>
        <n v="-496.013999999999"/>
        <n v="-489.176"/>
        <n v="-484.547999999995"/>
        <n v="-438.456"/>
        <n v="-411.048"/>
        <n v="-393.368"/>
        <n v="-375.367999999999"/>
        <n v="-312.095999999998"/>
        <n v="-286.784000000001"/>
        <n v="-281.02"/>
        <n v="-269.692000000001"/>
        <n v="-255.492"/>
        <n v="-250.239999999999"/>
        <n v="-236.934"/>
        <n v="-211.42"/>
        <n v="-198.786000000001"/>
        <n v="-176.503500000003"/>
        <n v="-136.782000000001"/>
        <n v="-129.668"/>
        <n v="-120.431999999993"/>
        <n v="-60.2699999999968"/>
        <n v="-58.6714999999999"/>
        <n v="-43.7819999999992"/>
        <n v="-36.4680000000003"/>
        <n v="-30.2775000000001"/>
        <n v="-19.1939999999995"/>
        <n v="-10.378999999999"/>
        <n v="-7.81599999999526"/>
        <n v="11.1509999999998"/>
        <n v="15.7979999999989"/>
        <n v="27.0269999999991"/>
        <n v="29.4880000000121"/>
        <n v="31.3880000000004"/>
        <n v="39.5840000000007"/>
        <n v="40.4790000000003"/>
        <n v="53.523"/>
        <n v="54.186"/>
        <n v="54.9360000000015"/>
        <n v="55.821"/>
        <n v="60.3745"/>
        <n v="72.11"/>
        <n v="73.57"/>
        <n v="76.952"/>
        <n v="79.93"/>
        <n v="82.8960000000006"/>
        <n v="87.71"/>
        <n v="87.97"/>
        <n v="89.0080000000053"/>
        <n v="93.44"/>
        <n v="94.12"/>
        <n v="94.7760000000003"/>
        <n v="95.932"/>
        <n v="97.892"/>
        <n v="101.544"/>
        <n v="106.188"/>
        <n v="110.128000000004"/>
        <n v="110.508000000001"/>
        <n v="110.843"/>
        <n v="111.373"/>
        <n v="111.7845"/>
        <n v="114.72"/>
        <n v="118.886"/>
        <n v="119.167"/>
        <n v="124.909499999998"/>
        <n v="127.762"/>
        <n v="129.844"/>
        <n v="146.022"/>
        <n v="146.237"/>
        <n v="146.992"/>
        <n v="149.182"/>
        <n v="151.844"/>
        <n v="154.154"/>
        <n v="154.2605"/>
        <n v="155.3955"/>
        <n v="160.2"/>
        <n v="163.062"/>
        <n v="163.560000000001"/>
        <n v="165.18"/>
        <n v="166.0745"/>
        <n v="167.1"/>
        <n v="169.0255"/>
        <n v="170.545"/>
        <n v="171.62"/>
        <n v="172.483"/>
        <n v="172.79"/>
        <n v="173.098"/>
        <n v="175.955"/>
        <n v="179.14"/>
        <n v="182.2625"/>
        <n v="187.6575"/>
        <n v="188.308"/>
        <n v="188.648000000001"/>
        <n v="189.704999999998"/>
        <n v="193.48"/>
        <n v="193.5115"/>
        <n v="193.92"/>
        <n v="205.493"/>
        <n v="206.884"/>
        <n v="209.018"/>
        <n v="211.452"/>
        <n v="214.154"/>
        <n v="214.635"/>
        <n v="215.79"/>
        <n v="217.964"/>
        <n v="218.64"/>
        <n v="218.93"/>
        <n v="220.704"/>
        <n v="222.99"/>
        <n v="226.24"/>
        <n v="226.56"/>
        <n v="226.824000000001"/>
        <n v="240.22"/>
        <n v="243.292"/>
        <n v="244.32"/>
        <n v="250.7955"/>
        <n v="253.72"/>
        <n v="255"/>
        <n v="261.652"/>
        <n v="263.62"/>
        <n v="267.77"/>
        <n v="272.832"/>
        <n v="274.412"/>
        <n v="274.4415"/>
        <n v="280.18"/>
        <n v="283.850000000001"/>
        <n v="286.63"/>
        <n v="295.11"/>
        <n v="296.59"/>
        <n v="296.688"/>
        <n v="298.24"/>
        <n v="298.53"/>
        <n v="301.4495"/>
        <n v="302.255999999999"/>
        <n v="307.132"/>
        <n v="312.175000000001"/>
        <n v="313.503"/>
        <n v="314.303"/>
        <n v="316.616"/>
        <n v="318.106"/>
        <n v="319.84"/>
        <n v="320.614"/>
        <n v="320.769"/>
        <n v="321.134"/>
        <n v="324.2"/>
        <n v="326.746"/>
        <n v="329.3"/>
        <n v="332.88"/>
        <n v="333.038"/>
        <n v="336.732"/>
        <n v="337.23"/>
        <n v="337.732999999999"/>
        <n v="338.54"/>
        <n v="342.86"/>
        <n v="343.97"/>
        <n v="344.387"/>
        <n v="345.596"/>
        <n v="347.166"/>
        <n v="348.432"/>
        <n v="349.284"/>
        <n v="349.42"/>
        <n v="349.728"/>
        <n v="353.168"/>
        <n v="354.072"/>
        <n v="354.3"/>
        <n v="354.498"/>
        <n v="356.988"/>
        <n v="359.04"/>
        <n v="359.127"/>
        <n v="363.372"/>
        <n v="363.61"/>
        <n v="364.062"/>
        <n v="364.2"/>
        <n v="364.86"/>
        <n v="369.428"/>
        <n v="371.49"/>
        <n v="379.705"/>
        <n v="380.28"/>
        <n v="384.419999999999"/>
        <n v="384.99"/>
        <n v="385.343"/>
        <n v="386.1"/>
        <n v="388.46"/>
        <n v="388.836"/>
        <n v="390.061999999999"/>
        <n v="399.594"/>
        <n v="401.02"/>
        <n v="405.276000000002"/>
        <n v="407.3415"/>
        <n v="407.450000000001"/>
        <n v="408.237000000001"/>
        <n v="411.274"/>
        <n v="413.236"/>
        <n v="414.129"/>
        <n v="415.27"/>
        <n v="415.9"/>
        <n v="416.269"/>
        <n v="426.222"/>
        <n v="429.6"/>
        <n v="432.464"/>
        <n v="434.371"/>
        <n v="439.76"/>
        <n v="440.59"/>
        <n v="441.088"/>
        <n v="441.131999999998"/>
        <n v="442.5645"/>
        <n v="446.048"/>
        <n v="446.1"/>
        <n v="447.262"/>
        <n v="447.727"/>
        <n v="448.201999999998"/>
        <n v="449.68"/>
        <n v="449.76"/>
        <n v="452.555"/>
        <n v="452.816"/>
        <n v="453.336"/>
        <n v="457.97"/>
        <n v="461.0485"/>
        <n v="463.356"/>
        <n v="468.247"/>
        <n v="469.548"/>
        <n v="470.64"/>
        <n v="473.208"/>
        <n v="479.448"/>
        <n v="482.006000000001"/>
        <n v="482.120000000003"/>
        <n v="482.570000000001"/>
        <n v="482.582"/>
        <n v="486.888"/>
        <n v="487.914"/>
        <n v="496.17"/>
        <n v="496.445"/>
        <n v="497.6"/>
        <n v="500.1"/>
        <n v="500.282"/>
        <n v="500.87"/>
        <n v="500.9"/>
        <n v="503.4125"/>
        <n v="504.318"/>
        <n v="505.882"/>
        <n v="506.424"/>
        <n v="512.87"/>
        <n v="514.53"/>
        <n v="515.549"/>
        <n v="516.68"/>
        <n v="518.73"/>
        <n v="520.592000000001"/>
        <n v="525.2545"/>
        <n v="526.3275"/>
        <n v="526.48"/>
        <n v="531.32"/>
        <n v="534.66"/>
        <n v="535.01"/>
        <n v="536.264000000001"/>
        <n v="536.4"/>
        <n v="537.31"/>
        <n v="537.98"/>
        <n v="540.494"/>
        <n v="541.030000000001"/>
        <n v="543.15"/>
        <n v="545.1785"/>
        <n v="546.676"/>
        <n v="548.08"/>
        <n v="552.82"/>
        <n v="553.405"/>
        <n v="554.387"/>
        <n v="558.882"/>
        <n v="558.91"/>
        <n v="559.18"/>
        <n v="561.174999999999"/>
        <n v="561.84"/>
        <n v="562.413000000001"/>
        <n v="563.29"/>
        <n v="564.980000000001"/>
        <n v="565.46"/>
        <n v="565.812"/>
        <n v="568.618"/>
        <n v="569.39"/>
        <n v="570.272"/>
        <n v="570.65"/>
        <n v="571.6"/>
        <n v="571.98"/>
        <n v="572.957999999999"/>
        <n v="573.13"/>
        <n v="575.565"/>
        <n v="575.784"/>
        <n v="577.435500000001"/>
        <n v="578.81"/>
        <n v="580.620000000001"/>
        <n v="582.159999999999"/>
        <n v="582.68"/>
        <n v="585.3975"/>
        <n v="588.416000000001"/>
        <n v="588.96"/>
        <n v="593.5595"/>
        <n v="594.985"/>
        <n v="595.63"/>
        <n v="596.698"/>
        <n v="597.45"/>
        <n v="598.3865"/>
        <n v="599.465999999999"/>
        <n v="600.269"/>
        <n v="605.82"/>
        <n v="605.911"/>
        <n v="607.4875"/>
        <n v="607.69"/>
        <n v="611.452000000001"/>
        <n v="611.9"/>
        <n v="612.234"/>
        <n v="612.868500000001"/>
        <n v="615.418"/>
        <n v="616.38"/>
        <n v="619.1"/>
        <n v="619.663000000001"/>
        <n v="620.7965"/>
        <n v="620.950000000001"/>
        <n v="621.547"/>
        <n v="622.740000000001"/>
        <n v="623.14"/>
        <n v="625.53"/>
        <n v="626.34"/>
        <n v="626.4085"/>
        <n v="626.537"/>
        <n v="628.116"/>
        <n v="628.52"/>
        <n v="629.762"/>
        <n v="631.94"/>
        <n v="633.73"/>
        <n v="636.971"/>
        <n v="642.268"/>
        <n v="645.52"/>
        <n v="651.24"/>
        <n v="652.33"/>
        <n v="652.5"/>
        <n v="659.064"/>
        <n v="659.156"/>
        <n v="661.84"/>
        <n v="662.27"/>
        <n v="666.023999999998"/>
        <n v="666.026000000001"/>
        <n v="667.148"/>
        <n v="667.47"/>
        <n v="668.542"/>
        <n v="668.58"/>
        <n v="668.63"/>
        <n v="669.710000000001"/>
        <n v="669.848"/>
        <n v="672.332"/>
        <n v="672.773"/>
        <n v="674.118"/>
        <n v="674.178"/>
        <n v="675.84"/>
        <n v="676.12"/>
        <n v="678.414"/>
        <n v="678.8835"/>
        <n v="681.335"/>
        <n v="685.18"/>
        <n v="685.8"/>
        <n v="690.64"/>
        <n v="690.96"/>
        <n v="693.82"/>
        <n v="693.992"/>
        <n v="699.695999999999"/>
        <n v="703.5365"/>
        <n v="705.1375"/>
        <n v="707.89"/>
        <n v="711.57"/>
        <n v="712"/>
        <n v="715.888000000003"/>
        <n v="716.65"/>
        <n v="718.110000000001"/>
        <n v="720.228"/>
        <n v="721.91"/>
        <n v="722.102999999999"/>
        <n v="722.62"/>
        <n v="726.042"/>
        <n v="726.929999999999"/>
        <n v="730.29"/>
        <n v="736.353"/>
        <n v="736.99"/>
        <n v="737.608"/>
        <n v="740.04"/>
        <n v="740.219999999999"/>
        <n v="741.28"/>
        <n v="741.6295"/>
        <n v="741.852000000001"/>
        <n v="747"/>
        <n v="749.88"/>
        <n v="750.66"/>
        <n v="750.69"/>
        <n v="751.18"/>
        <n v="752.2"/>
        <n v="752.4865"/>
        <n v="753.115"/>
        <n v="753.2255"/>
        <n v="756.88"/>
        <n v="760.59"/>
        <n v="762.66"/>
        <n v="764.14"/>
        <n v="765.13"/>
        <n v="766.878"/>
        <n v="767.134"/>
        <n v="770.52"/>
        <n v="772.355"/>
        <n v="775.52"/>
        <n v="779.6"/>
        <n v="782.182000000001"/>
        <n v="787.990000000002"/>
        <n v="788.04"/>
        <n v="789.05"/>
        <n v="792.7"/>
        <n v="796.94"/>
        <n v="798.47"/>
        <n v="799.593999999999"/>
        <n v="806.3"/>
        <n v="807.95"/>
        <n v="808.17"/>
        <n v="808.72"/>
        <n v="822.1"/>
        <n v="823.88"/>
        <n v="825.03"/>
        <n v="829"/>
        <n v="831.975"/>
        <n v="833.4"/>
        <n v="836.5"/>
        <n v="846.199"/>
        <n v="847.024"/>
        <n v="850.371"/>
        <n v="852.05"/>
        <n v="853.187"/>
        <n v="863.030000000001"/>
        <n v="867.96"/>
        <n v="870.972"/>
        <n v="874.62"/>
        <n v="874.776"/>
        <n v="880.11"/>
        <n v="880.52"/>
        <n v="884.7905"/>
        <n v="886.26"/>
        <n v="889.6"/>
        <n v="890.224999999999"/>
        <n v="890.23"/>
        <n v="894.9"/>
        <n v="895.588"/>
        <n v="898.776"/>
        <n v="902.09"/>
        <n v="903.15"/>
        <n v="903.8"/>
        <n v="904.48"/>
        <n v="908.54"/>
        <n v="909.316"/>
        <n v="912.470000000001"/>
        <n v="912.64"/>
        <n v="912.66"/>
        <n v="918.87"/>
        <n v="918.96"/>
        <n v="920.702000000001"/>
        <n v="923.050000000001"/>
        <n v="931.26"/>
        <n v="935.56"/>
        <n v="939.779499999999"/>
        <n v="941.55"/>
        <n v="941.832"/>
        <n v="941.871999999999"/>
        <n v="944.75"/>
        <n v="946.91"/>
        <n v="948.0825"/>
        <n v="950.054"/>
        <n v="950.210999999999"/>
        <n v="956.01"/>
        <n v="956.26"/>
        <n v="959.504"/>
        <n v="959.804000000002"/>
        <n v="963.59"/>
        <n v="965.882"/>
        <n v="967.26"/>
        <n v="969.84"/>
        <n v="970.677000000002"/>
        <n v="973.449000000001"/>
        <n v="982.514"/>
        <n v="983.028"/>
        <n v="983.572"/>
        <n v="984.787499999991"/>
        <n v="988.27"/>
        <n v="992.36"/>
        <n v="993.03"/>
        <n v="997.37"/>
        <n v="998.7155"/>
        <n v="999.191999999999"/>
        <n v="999.4355"/>
        <n v="1005.099"/>
        <n v="1009.8"/>
        <n v="1010.018"/>
        <n v="1020.484"/>
        <n v="1027.66"/>
        <n v="1028.07"/>
        <n v="1030.85"/>
        <n v="1032.24"/>
        <n v="1033.534"/>
        <n v="1033.769"/>
        <n v="1045.2"/>
        <n v="1052.566"/>
        <n v="1056.711"/>
        <n v="1057.64800000002"/>
        <n v="1058.924"/>
        <n v="1059.52"/>
        <n v="1063.844"/>
        <n v="1064.31"/>
        <n v="1072.3215"/>
        <n v="1076.41"/>
        <n v="1077.019"/>
        <n v="1078.95"/>
        <n v="1086.016"/>
        <n v="1089.6"/>
        <n v="1095.326"/>
        <n v="1096.88"/>
        <n v="1097.556"/>
        <n v="1098.16"/>
        <n v="1100.76"/>
        <n v="1101.094"/>
        <n v="1102.06"/>
        <n v="1104.36"/>
        <n v="1107.849"/>
        <n v="1110.296"/>
        <n v="1111.24"/>
        <n v="1111.66"/>
        <n v="1122.23"/>
        <n v="1124.758"/>
        <n v="1124.952"/>
        <n v="1128.7325"/>
        <n v="1129.16"/>
        <n v="1129.38"/>
        <n v="1133.36"/>
        <n v="1133.822"/>
        <n v="1135.34"/>
        <n v="1137.665"/>
        <n v="1157.58"/>
        <n v="1157.86"/>
        <n v="1160.72"/>
        <n v="1161.52"/>
        <n v="1165.78"/>
        <n v="1171.509"/>
        <n v="1173.49"/>
        <n v="1181.34"/>
        <n v="1181.564"/>
        <n v="1183.154"/>
        <n v="1184.8"/>
        <n v="1184.95"/>
        <n v="1189.9"/>
        <n v="1191.5655"/>
        <n v="1196.755"/>
        <n v="1198.36"/>
        <n v="1198.614"/>
        <n v="1204.94"/>
        <n v="1206.69"/>
        <n v="1207.781"/>
        <n v="1210.186"/>
        <n v="1210.74"/>
        <n v="1211.72"/>
        <n v="1214.52"/>
        <n v="1215.244"/>
        <n v="1215.8"/>
        <n v="1215.94"/>
        <n v="1216.586"/>
        <n v="1220.01"/>
        <n v="1220.295"/>
        <n v="1220.624"/>
        <n v="1226.601"/>
        <n v="1228.5"/>
        <n v="1240.32"/>
        <n v="1241.647"/>
        <n v="1263.68"/>
        <n v="1267.3"/>
        <n v="1267.356"/>
        <n v="1268.28"/>
        <n v="1279.441"/>
        <n v="1279.724"/>
        <n v="1282.12"/>
        <n v="1283.12"/>
        <n v="1286.686"/>
        <n v="1289.668"/>
        <n v="1290.81"/>
        <n v="1296.2105"/>
        <n v="1297.9"/>
        <n v="1303.05"/>
        <n v="1305.46"/>
        <n v="1310.328"/>
        <n v="1311.45"/>
        <n v="1322.424"/>
        <n v="1325.46"/>
        <n v="1329.74"/>
        <n v="1338.158"/>
        <n v="1342.28"/>
        <n v="1346.622"/>
        <n v="1351.4385"/>
        <n v="1352.072"/>
        <n v="1352.1"/>
        <n v="1360.09"/>
        <n v="1362.78"/>
        <n v="1364.708"/>
        <n v="1366.16"/>
        <n v="1372.277"/>
        <n v="1375.78"/>
        <n v="1379.62"/>
        <n v="1379.76"/>
        <n v="1379.94"/>
        <n v="1385.826"/>
        <n v="1390.035"/>
        <n v="1396.866"/>
        <n v="1401.468"/>
        <n v="1403.584"/>
        <n v="1416.02"/>
        <n v="1420.299"/>
        <n v="1423.95"/>
        <n v="1425.615"/>
        <n v="1426.21"/>
        <n v="1426.864"/>
        <n v="1429.0235"/>
        <n v="1430.744"/>
        <n v="1430.919"/>
        <n v="1431.1635"/>
        <n v="1434.186"/>
        <n v="1436.37"/>
        <n v="1436.84"/>
        <n v="1436.876"/>
        <n v="1438.4465"/>
        <n v="1442.298"/>
        <n v="1447.066"/>
        <n v="1450.932"/>
        <n v="1453.38"/>
        <n v="1458.3"/>
        <n v="1461.2595"/>
        <n v="1461.864"/>
        <n v="1476.202"/>
        <n v="1482.02"/>
        <n v="1487.43"/>
        <n v="1489.2365"/>
        <n v="1490.0555"/>
        <n v="1496.32"/>
        <n v="1496.49"/>
        <n v="1503.271"/>
        <n v="1504.783"/>
        <n v="1506.722"/>
        <n v="1507.32"/>
        <n v="1511.111"/>
        <n v="1513.18"/>
        <n v="1514.055"/>
        <n v="1525.96"/>
        <n v="1541.146"/>
        <n v="1543.7685"/>
        <n v="1547.616"/>
        <n v="1551.872"/>
        <n v="1557.147"/>
        <n v="1568.4"/>
        <n v="1575.62"/>
        <n v="1577.24"/>
        <n v="1579.698"/>
        <n v="1584.54"/>
        <n v="1585.248"/>
        <n v="1588.591"/>
        <n v="1598.868"/>
        <n v="1599.38"/>
        <n v="1600.304"/>
        <n v="1600.66"/>
        <n v="1606.03"/>
        <n v="1606.38"/>
        <n v="1610.85"/>
        <n v="1614.4"/>
        <n v="1614.7"/>
        <n v="1616.52"/>
        <n v="1619.84"/>
        <n v="1630.452"/>
        <n v="1632.7"/>
        <n v="1638.66"/>
        <n v="1642.98"/>
        <n v="1644.216"/>
        <n v="1647.33"/>
        <n v="1654.33"/>
        <n v="1655.52"/>
        <n v="1662.0675"/>
        <n v="1662.228"/>
        <n v="1664.971"/>
        <n v="1665.096"/>
        <n v="1669.099"/>
        <n v="1674.687"/>
        <n v="1677.63"/>
        <n v="1678.096"/>
        <n v="1679.008"/>
        <n v="1682.53"/>
        <n v="1684.2"/>
        <n v="1688.144"/>
        <n v="1689.485"/>
        <n v="1697.926"/>
        <n v="1704"/>
        <n v="1704.52"/>
        <n v="1710.2455"/>
        <n v="1714.2"/>
        <n v="1715.954"/>
        <n v="1718.46"/>
        <n v="1718.6"/>
        <n v="1726.388"/>
        <n v="1729.26"/>
        <n v="1731.396"/>
        <n v="1732.328"/>
        <n v="1735.82"/>
        <n v="1737.7"/>
        <n v="1738.367"/>
        <n v="1743.41"/>
        <n v="1743.537"/>
        <n v="1744.6"/>
        <n v="1750.98"/>
        <n v="1751.97"/>
        <n v="1752.69"/>
        <n v="1753.9"/>
        <n v="1759.17"/>
        <n v="1760.22"/>
        <n v="1764.18"/>
        <n v="1764.8165"/>
        <n v="1768.578"/>
        <n v="1773.9"/>
        <n v="1774.926"/>
        <n v="1775.943"/>
        <n v="1776.12"/>
        <n v="1776.49"/>
        <n v="1776.656"/>
        <n v="1777.508"/>
        <n v="1783.759"/>
        <n v="1786.76"/>
        <n v="1789.977"/>
        <n v="1796.001"/>
        <n v="1797.81"/>
        <n v="1801.99"/>
        <n v="1804.954"/>
        <n v="1808.532"/>
        <n v="1808.78"/>
        <n v="1810.257"/>
        <n v="1815.39"/>
        <n v="1816.97"/>
        <n v="1816.985"/>
        <n v="1817.6265"/>
        <n v="1823.75"/>
        <n v="1830.5945"/>
        <n v="1832.06"/>
        <n v="1833.86"/>
        <n v="1835.847"/>
        <n v="1836.236"/>
        <n v="1839.284"/>
        <n v="1845.63"/>
        <n v="1860.184"/>
        <n v="1860.635"/>
        <n v="1873.094"/>
        <n v="1875.218"/>
        <n v="1889.01"/>
        <n v="1889.85"/>
        <n v="1891.815"/>
        <n v="1892.16"/>
        <n v="1902.55"/>
        <n v="1905.03"/>
        <n v="1909.74"/>
        <n v="1910.878"/>
        <n v="1913.25"/>
        <n v="1914.12"/>
        <n v="1915.68"/>
        <n v="1915.87"/>
        <n v="1923.618"/>
        <n v="1924.18"/>
        <n v="1925.574"/>
        <n v="1928.37"/>
        <n v="1931.3325"/>
        <n v="1934.12"/>
        <n v="1938.72"/>
        <n v="1938.74"/>
        <n v="1942.6"/>
        <n v="1945.26"/>
        <n v="1945.34"/>
        <n v="1949.3065"/>
        <n v="1952.32"/>
        <n v="1957.654"/>
        <n v="1960.528"/>
        <n v="1963.588"/>
        <n v="1969.23"/>
        <n v="1969.708"/>
        <n v="1972.96"/>
        <n v="1973.64"/>
        <n v="1974.01"/>
        <n v="1974.14"/>
        <n v="1974.379"/>
        <n v="1977.96"/>
        <n v="1978.4065"/>
        <n v="1978.732"/>
        <n v="1982.4"/>
        <n v="1984.708"/>
        <n v="1986.1"/>
        <n v="1992.928"/>
        <n v="2006.12"/>
        <n v="2015.51"/>
        <n v="2015.98"/>
        <n v="2025.104"/>
        <n v="2045.675"/>
        <n v="2047.48"/>
        <n v="2048.6815"/>
        <n v="2052.28"/>
        <n v="2058.63"/>
        <n v="2059.59"/>
        <n v="2064.961"/>
        <n v="2067.1"/>
        <n v="2068.64"/>
        <n v="2068.658"/>
        <n v="2072.89"/>
        <n v="2075.528"/>
        <n v="2076.16"/>
        <n v="2076.189"/>
        <n v="2079.3"/>
        <n v="2081.25"/>
        <n v="2090.56"/>
        <n v="2090.96"/>
        <n v="2095.98"/>
        <n v="2099.49"/>
        <n v="2104.26"/>
        <n v="2109.344"/>
        <n v="2114.093"/>
        <n v="2115.361"/>
        <n v="2116.4985"/>
        <n v="2121.6"/>
        <n v="2123.16"/>
        <n v="2134.11"/>
        <n v="2138.49"/>
        <n v="2144.99"/>
        <n v="2150.43"/>
        <n v="2151.96"/>
        <n v="2163.52"/>
        <n v="2168.46"/>
        <n v="2173.24"/>
        <n v="2177.6"/>
        <n v="2177.8225"/>
        <n v="2178.5805"/>
        <n v="2178.63"/>
        <n v="2182.76"/>
        <n v="2183.358"/>
        <n v="2195.31"/>
        <n v="2197.876"/>
        <n v="2199.44"/>
        <n v="2216.404"/>
        <n v="2224.55"/>
        <n v="2237.98"/>
        <n v="2242.54"/>
        <n v="2244.89"/>
        <n v="2246.4"/>
        <n v="2250.42"/>
        <n v="2254.01"/>
        <n v="2262.68"/>
        <n v="2273.16"/>
        <n v="2274.21"/>
        <n v="2280.09"/>
        <n v="2280.16"/>
        <n v="2281.45"/>
        <n v="2283.68"/>
        <n v="2288.31"/>
        <n v="2299.11"/>
        <n v="2299.929"/>
        <n v="2300"/>
        <n v="2302.42"/>
        <n v="2308.54"/>
        <n v="2314.282"/>
        <n v="2315.036"/>
        <n v="2323.5795"/>
        <n v="2325.315"/>
        <n v="2344.4215"/>
        <n v="2355.75"/>
        <n v="2364.57"/>
        <n v="2364.84"/>
        <n v="2370.45"/>
        <n v="2371.524"/>
        <n v="2374.34"/>
        <n v="2374.98"/>
        <n v="2380.5925"/>
        <n v="2380.63"/>
        <n v="2381.39"/>
        <n v="2382.259"/>
        <n v="2392.186"/>
        <n v="2394.46"/>
        <n v="2394.543"/>
        <n v="2395.161"/>
        <n v="2397.9"/>
        <n v="2399.23"/>
        <n v="2407.212"/>
        <n v="2426.666"/>
        <n v="2434.2135"/>
        <n v="2435.89"/>
        <n v="2436.45"/>
        <n v="2436.611"/>
        <n v="2442.24"/>
        <n v="2447.08"/>
        <n v="2447.146"/>
        <n v="2453.88600000001"/>
        <n v="2454.42"/>
        <n v="2456.89"/>
        <n v="2465.148"/>
        <n v="2465.21"/>
        <n v="2465.68"/>
        <n v="2467.574"/>
        <n v="2473.12"/>
        <n v="2476.12"/>
        <n v="2477.82"/>
        <n v="2482.39"/>
        <n v="2496.59"/>
        <n v="2498.2135"/>
        <n v="2507.55"/>
        <n v="2510.12"/>
        <n v="2510.49"/>
        <n v="2517.439"/>
        <n v="2525.494"/>
        <n v="2531.865"/>
        <n v="2539.8"/>
        <n v="2547.055"/>
        <n v="2550.245"/>
        <n v="2557.719"/>
        <n v="2569.86"/>
        <n v="2571.78"/>
        <n v="2574.6"/>
        <n v="2575.08"/>
        <n v="2579.028"/>
        <n v="2581.88"/>
        <n v="2585.52"/>
        <n v="2586.4275"/>
        <n v="2603.68"/>
        <n v="2617.0565"/>
        <n v="2619.653"/>
        <n v="2627.42"/>
        <n v="2633.5425"/>
        <n v="2637.0195"/>
        <n v="2640.826"/>
        <n v="2642.478"/>
        <n v="2642.661"/>
        <n v="2647.48"/>
        <n v="2648.52"/>
        <n v="2648.8385"/>
        <n v="2650.0625"/>
        <n v="2653.166"/>
        <n v="2658.428"/>
        <n v="2658.72"/>
        <n v="2661.021"/>
        <n v="2664.861"/>
        <n v="2667.3"/>
        <n v="2672.95"/>
        <n v="2678.9"/>
        <n v="2679.39"/>
        <n v="2685.391"/>
        <n v="2690.782"/>
        <n v="2700.477"/>
        <n v="2702.24"/>
        <n v="2703.416"/>
        <n v="2718.334"/>
        <n v="2718.422"/>
        <n v="2730.35"/>
        <n v="2732.11"/>
        <n v="2734.552"/>
        <n v="2744.022"/>
        <n v="2749.3285"/>
        <n v="2749.9555"/>
        <n v="2762.27"/>
        <n v="2767.65"/>
        <n v="2769.9"/>
        <n v="2778.66"/>
        <n v="2783.6"/>
        <n v="2787.3"/>
        <n v="2805.32"/>
        <n v="2823.861"/>
        <n v="2833.04"/>
        <n v="2835.55"/>
        <n v="2836.44"/>
        <n v="2838.583"/>
        <n v="2838.6"/>
        <n v="2845.302"/>
        <n v="2846.86"/>
        <n v="2850.132"/>
        <n v="2851.2785"/>
        <n v="2854.01"/>
        <n v="2854.29"/>
        <n v="2856.402"/>
        <n v="2857.49"/>
        <n v="2861.859"/>
        <n v="2865.538"/>
        <n v="2869.688"/>
        <n v="2871.272"/>
        <n v="2892.79949999999"/>
        <n v="2902.791"/>
        <n v="2903.544"/>
        <n v="2903.84"/>
        <n v="2913.896"/>
        <n v="2920.09"/>
        <n v="2923.49"/>
        <n v="2927.36"/>
        <n v="2929.539"/>
        <n v="2929.608"/>
        <n v="2936.504"/>
        <n v="2948.934"/>
        <n v="2949.63"/>
        <n v="2953.656"/>
        <n v="2953.74"/>
        <n v="2967.378"/>
        <n v="2971.696"/>
        <n v="2981.332"/>
        <n v="2989.2375"/>
        <n v="2991.44"/>
        <n v="2993.82"/>
        <n v="2993.884"/>
        <n v="2995.32"/>
        <n v="2996.68"/>
        <n v="3001.16"/>
        <n v="3010.206"/>
        <n v="3017.46"/>
        <n v="3018.732"/>
        <n v="3020.423"/>
        <n v="3022.35"/>
        <n v="3025.962"/>
        <n v="3047.83"/>
        <n v="3050.22"/>
        <n v="3053.0805"/>
        <n v="3057.1935"/>
        <n v="3057.552"/>
        <n v="3057.628"/>
        <n v="3058.86"/>
        <n v="3067.478"/>
        <n v="3069.728"/>
        <n v="3080.196"/>
        <n v="3081.156"/>
        <n v="3085.6185"/>
        <n v="3088.4435"/>
        <n v="3091.2045"/>
        <n v="3094.09"/>
        <n v="3095.136"/>
        <n v="3095.96"/>
        <n v="3096.58"/>
        <n v="3100.5"/>
        <n v="3102.32"/>
        <n v="3112.14"/>
        <n v="3112.856"/>
        <n v="3118.7"/>
        <n v="3132.57"/>
        <n v="3133.918"/>
        <n v="3138.0825"/>
        <n v="3144.796"/>
        <n v="3145.21"/>
        <n v="3158.998"/>
        <n v="3168.624"/>
        <n v="3169.65"/>
        <n v="3173.87"/>
        <n v="3179.184"/>
        <n v="3180.81"/>
        <n v="3185.962"/>
        <n v="3193.2"/>
        <n v="3197"/>
        <n v="3198.12"/>
        <n v="3210.14"/>
        <n v="3211.53"/>
        <n v="3221.22"/>
        <n v="3230.68"/>
        <n v="3230.984"/>
        <n v="3231.7505"/>
        <n v="3239.55"/>
        <n v="3244.803"/>
        <n v="3248.592"/>
        <n v="3256.6185"/>
        <n v="3261.84"/>
        <n v="3266.02"/>
        <n v="3266.44"/>
        <n v="3270.98"/>
        <n v="3273"/>
        <n v="3285.735"/>
        <n v="3289.95"/>
        <n v="3291.44"/>
        <n v="3296.16"/>
        <n v="3296.62"/>
        <n v="3301.84"/>
        <n v="3303.87"/>
        <n v="3310.621"/>
        <n v="3315.26"/>
        <n v="3329.73"/>
        <n v="3339.96"/>
        <n v="3343.1"/>
        <n v="3343.954"/>
        <n v="3349.137"/>
        <n v="3363.473"/>
        <n v="3367.9"/>
        <n v="3371.58"/>
        <n v="3376.66"/>
        <n v="3376.6695"/>
        <n v="3398.684"/>
        <n v="3403.735"/>
        <n v="3406.8545"/>
        <n v="3412.58"/>
        <n v="3436.256"/>
        <n v="3437.33"/>
        <n v="3443.209"/>
        <n v="3444.455"/>
        <n v="3447.02"/>
        <n v="3454.93"/>
        <n v="3454.971"/>
        <n v="3455.48"/>
        <n v="3457.68"/>
        <n v="3461.22"/>
        <n v="3467.62"/>
        <n v="3475.3"/>
        <n v="3476.914"/>
        <n v="3478.73"/>
        <n v="3487.646"/>
        <n v="3492.906"/>
        <n v="3498.51"/>
        <n v="3500.734"/>
        <n v="3501.591"/>
        <n v="3502.85"/>
        <n v="3508.794"/>
        <n v="3521.54"/>
        <n v="3521.6"/>
        <n v="3525.28"/>
        <n v="3530.92"/>
        <n v="3540.87"/>
        <n v="3547.86"/>
        <n v="3548.413"/>
        <n v="3564.5245"/>
        <n v="3567.2525"/>
        <n v="3568.75"/>
        <n v="3573.69"/>
        <n v="3574.931"/>
        <n v="3579.22"/>
        <n v="3581.37"/>
        <n v="3583.753"/>
        <n v="3584.78"/>
        <n v="3589.908"/>
        <n v="3594.354"/>
        <n v="3605.1"/>
        <n v="3608.22"/>
        <n v="3608.64"/>
        <n v="3609.6005"/>
        <n v="3611.36"/>
        <n v="3618.691"/>
        <n v="3623.525"/>
        <n v="3636.945"/>
        <n v="3671.724"/>
        <n v="3679.8705"/>
        <n v="3697.76"/>
        <n v="3705.296"/>
        <n v="3706.32"/>
        <n v="3710.922"/>
        <n v="3711.45"/>
        <n v="3714.58"/>
        <n v="3715.714"/>
        <n v="3717.627"/>
        <n v="3721.995"/>
        <n v="3729.987"/>
        <n v="3734.268"/>
        <n v="3739.595"/>
        <n v="3740.334"/>
        <n v="3745.13"/>
        <n v="3753.12"/>
        <n v="3767.6925"/>
        <n v="3769.66"/>
        <n v="3770.4"/>
        <n v="3774.352"/>
        <n v="3774.928"/>
        <n v="3780.07"/>
        <n v="3780.125"/>
        <n v="3790.53"/>
        <n v="3792.79"/>
        <n v="3793.3325"/>
        <n v="3794.36"/>
        <n v="3800.7685"/>
        <n v="3803.84"/>
        <n v="3806.796"/>
        <n v="3807.28"/>
        <n v="3813.2"/>
        <n v="3833.54"/>
        <n v="3843.224"/>
        <n v="3845.656"/>
        <n v="3855.635"/>
        <n v="3870.52"/>
        <n v="3871.09"/>
        <n v="3871.576"/>
        <n v="3871.68"/>
        <n v="3874.764"/>
        <n v="3878.125"/>
        <n v="3893.887"/>
        <n v="3896.88"/>
        <n v="3897.05"/>
        <n v="3902.089"/>
        <n v="3912.49"/>
        <n v="3914.58"/>
        <n v="3920.62"/>
        <n v="3928"/>
        <n v="3931.18"/>
        <n v="3931.917"/>
        <n v="3932.32"/>
        <n v="3933.367"/>
        <n v="3934.438"/>
        <n v="3938.114"/>
        <n v="3941.877"/>
        <n v="3943.2005"/>
        <n v="3952.54"/>
        <n v="3952.866"/>
        <n v="3954.92"/>
        <n v="3959.61"/>
        <n v="3963.495"/>
        <n v="3968.117"/>
        <n v="3973.31"/>
        <n v="3978.11"/>
        <n v="3988.9235"/>
        <n v="3990.15"/>
        <n v="3992.7"/>
        <n v="3992.92"/>
        <n v="4010.05"/>
        <n v="4012.54"/>
        <n v="4014.664"/>
        <n v="4016.862"/>
        <n v="4024.64"/>
        <n v="4031.0555"/>
        <n v="4032.35"/>
        <n v="4046.06"/>
        <n v="4051.207"/>
        <n v="4051.3935"/>
        <n v="4053.46"/>
        <n v="4053.7005"/>
        <n v="4058.46"/>
        <n v="4067.36"/>
        <n v="4082.996"/>
        <n v="4084.08"/>
        <n v="4084.26"/>
        <n v="4085.72100000001"/>
        <n v="4089.4075"/>
        <n v="4092.45"/>
        <n v="4097.39"/>
        <n v="4100.68"/>
        <n v="4102.64"/>
        <n v="4102.824"/>
        <n v="4112.616"/>
        <n v="4131.51"/>
        <n v="4140.64"/>
        <n v="4144.76"/>
        <n v="4145.64"/>
        <n v="4150.267"/>
        <n v="4162.545"/>
        <n v="4165.402"/>
        <n v="4171.1"/>
        <n v="4173.8985"/>
        <n v="4180.406"/>
        <n v="4185.032"/>
        <n v="4186.59"/>
        <n v="4199.44"/>
        <n v="4200.28"/>
        <n v="4201.76"/>
        <n v="4225.9"/>
        <n v="4226.082"/>
        <n v="4228.409"/>
        <n v="4230.821"/>
        <n v="4237.26"/>
        <n v="4257.214"/>
        <n v="4257.698"/>
        <n v="4257.84"/>
        <n v="4261.27"/>
        <n v="4274.8175"/>
        <n v="4275.75"/>
        <n v="4281.286"/>
        <n v="4282.38"/>
        <n v="4287.64"/>
        <n v="4299.849"/>
        <n v="4321.54"/>
        <n v="4323.9"/>
        <n v="4338.96"/>
        <n v="4339.149"/>
        <n v="4344.1395"/>
        <n v="4347.538"/>
        <n v="4356.12"/>
        <n v="4366.46"/>
        <n v="4366.776"/>
        <n v="4377.6"/>
        <n v="4378.58"/>
        <n v="4385.08"/>
        <n v="4386.66"/>
        <n v="4389.3785"/>
        <n v="4398.75"/>
        <n v="4399.45"/>
        <n v="4402.04"/>
        <n v="4419.18"/>
        <n v="4422.04"/>
        <n v="4424.608"/>
        <n v="4432.764"/>
        <n v="4435.232"/>
        <n v="4435.27"/>
        <n v="4445.365"/>
        <n v="4460.682"/>
        <n v="4473.12"/>
        <n v="4475.46"/>
        <n v="4477.58"/>
        <n v="4484.24"/>
        <n v="4490.165"/>
        <n v="4501.263"/>
        <n v="4503.98"/>
        <n v="4506.6"/>
        <n v="4507.11"/>
        <n v="4532.25"/>
        <n v="4566.08"/>
        <n v="4570.9"/>
        <n v="4573.6935"/>
        <n v="4573.84"/>
        <n v="4584.08"/>
        <n v="4585.22"/>
        <n v="4594.05"/>
        <n v="4603.641"/>
        <n v="4632.7305"/>
        <n v="4647.76"/>
        <n v="4655.707"/>
        <n v="4666.62"/>
        <n v="4668.4"/>
        <n v="4673.44"/>
        <n v="4679.2835"/>
        <n v="4692.6"/>
        <n v="4693.29"/>
        <n v="4699.87"/>
        <n v="4700.721"/>
        <n v="4701.44"/>
        <n v="4708.093"/>
        <n v="4708.784"/>
        <n v="4711.65"/>
        <n v="4720.88"/>
        <n v="4732.12"/>
        <n v="4746.87"/>
        <n v="4752.1465"/>
        <n v="4755.44"/>
        <n v="4756.965"/>
        <n v="4764.198"/>
        <n v="4777.5"/>
        <n v="4780.25"/>
        <n v="4788.89"/>
        <n v="4798.38"/>
        <n v="4800.47"/>
        <n v="4809.08"/>
        <n v="4834.907"/>
        <n v="4838.69"/>
        <n v="4843.98"/>
        <n v="4845.87"/>
        <n v="4853.69"/>
        <n v="4905.5"/>
        <n v="4909.74"/>
        <n v="4914.12"/>
        <n v="4914.606"/>
        <n v="4914.89"/>
        <n v="4920.381"/>
        <n v="4926.4"/>
        <n v="4938.83"/>
        <n v="4939.96"/>
        <n v="4943.48"/>
        <n v="4944.64"/>
        <n v="4950.05"/>
        <n v="4958.313"/>
        <n v="4961.14"/>
        <n v="4967.39"/>
        <n v="4967.83"/>
        <n v="4981.92"/>
        <n v="5005.1735"/>
        <n v="5016.56"/>
        <n v="5028.52799999999"/>
        <n v="5030.02"/>
        <n v="5044.6"/>
        <n v="5047.83"/>
        <n v="5048.202"/>
        <n v="5050.63"/>
        <n v="5059.7"/>
        <n v="5062.18"/>
        <n v="5069.44"/>
        <n v="5071.98"/>
        <n v="5072.54"/>
        <n v="5081.9"/>
        <n v="5084.12"/>
        <n v="5086.0635"/>
        <n v="5086.792"/>
        <n v="5087.38"/>
        <n v="5093.51"/>
        <n v="5096.37"/>
        <n v="5100.13"/>
        <n v="5104.588"/>
        <n v="5109.364"/>
        <n v="5109.44"/>
        <n v="5117"/>
        <n v="5124.59"/>
        <n v="5125.068"/>
        <n v="5125.8"/>
        <n v="5166.72"/>
        <n v="5172.156"/>
        <n v="5173.253"/>
        <n v="5179.80300000001"/>
        <n v="5185.98"/>
        <n v="5186.586"/>
        <n v="5198.98"/>
        <n v="5205.39"/>
        <n v="5220.182"/>
        <n v="5225"/>
        <n v="5225.52"/>
        <n v="5226.81"/>
        <n v="5230.95"/>
        <n v="5234.5"/>
        <n v="5236.5375"/>
        <n v="5240.31"/>
        <n v="5252.96"/>
        <n v="5262.443"/>
        <n v="5263.7"/>
        <n v="5280.167"/>
        <n v="5282.58"/>
        <n v="5296.351"/>
        <n v="5300.34"/>
        <n v="5306.64"/>
        <n v="5309.586"/>
        <n v="5314.842"/>
        <n v="5315.84"/>
        <n v="5317.94"/>
        <n v="5319.97"/>
        <n v="5326.29"/>
        <n v="5328.72"/>
        <n v="5345.0705"/>
        <n v="5346"/>
        <n v="5352.706"/>
        <n v="5358.05"/>
        <n v="5359.608"/>
        <n v="5367.56"/>
        <n v="5369.614"/>
        <n v="5384.508"/>
        <n v="5387.07"/>
        <n v="5395.39"/>
        <n v="5397.671"/>
        <n v="5398.15"/>
        <n v="5402.12"/>
        <n v="5402.958"/>
        <n v="5411.38400000001"/>
        <n v="5423.357"/>
        <n v="5432.99"/>
        <n v="5444.25"/>
        <n v="5455.22"/>
        <n v="5460.426"/>
        <n v="5469.468"/>
        <n v="5473.305"/>
        <n v="5475.1445"/>
        <n v="5476.49"/>
        <n v="5480.85"/>
        <n v="5520.74400000004"/>
        <n v="5522.32"/>
        <n v="5524.91"/>
        <n v="5538.52"/>
        <n v="5538.71"/>
        <n v="5540.521"/>
        <n v="5543.92"/>
        <n v="5546.24"/>
        <n v="5558.2"/>
        <n v="5562.39"/>
        <n v="5566.08"/>
        <n v="5577.48"/>
        <n v="5578.26"/>
        <n v="5595.791"/>
        <n v="5596.88"/>
        <n v="5598.13"/>
        <n v="5603.757"/>
        <n v="5603.8"/>
        <n v="5606.38"/>
        <n v="5611.481"/>
        <n v="5619.908"/>
        <n v="5631.24"/>
        <n v="5635.36"/>
        <n v="5636.5"/>
        <n v="5643.76"/>
        <n v="5647.25"/>
        <n v="5655.63"/>
        <n v="5655.884"/>
        <n v="5678.19"/>
        <n v="5680.17"/>
        <n v="5690.31"/>
        <n v="5692.35"/>
        <n v="5695.52"/>
        <n v="5701.7605"/>
        <n v="5703.68"/>
        <n v="5715.35000000001"/>
        <n v="5724.21"/>
        <n v="5740.323"/>
        <n v="5758.33"/>
        <n v="5759.18"/>
        <n v="5763.74"/>
        <n v="5768.1"/>
        <n v="5769.08"/>
        <n v="5769.882"/>
        <n v="5772.415"/>
        <n v="5792.9"/>
        <n v="5795.259"/>
        <n v="5813.928"/>
        <n v="5815.688"/>
        <n v="5825.22"/>
        <n v="5828.63000000001"/>
        <n v="5833.11"/>
        <n v="5856.47"/>
        <n v="5860.99"/>
        <n v="5862.9"/>
        <n v="5870.95"/>
        <n v="5871.6155"/>
        <n v="5899.33"/>
        <n v="5906.84"/>
        <n v="5907"/>
        <n v="5907.75"/>
        <n v="5913.7"/>
        <n v="5915"/>
        <n v="5926.312"/>
        <n v="5926.484"/>
        <n v="5932.67"/>
        <n v="5969.4825"/>
        <n v="5981.21"/>
        <n v="5992.12"/>
        <n v="6002.49"/>
        <n v="6002.97"/>
        <n v="6006.84"/>
        <n v="6020.2"/>
        <n v="6021.62"/>
        <n v="6034.31"/>
        <n v="6036.4"/>
        <n v="6040.3"/>
        <n v="6056.91"/>
        <n v="6066.7"/>
        <n v="6103.8"/>
        <n v="6112.3"/>
        <n v="6113.58"/>
        <n v="6116.2245"/>
        <n v="6121.3"/>
        <n v="6124.44"/>
        <n v="6137.28"/>
        <n v="6138.33"/>
        <n v="6168.46"/>
        <n v="6176.43"/>
        <n v="6176.8655"/>
        <n v="6177.04"/>
        <n v="6185.89"/>
        <n v="6191.46799999999"/>
        <n v="6192.46"/>
        <n v="6198.84"/>
        <n v="6201.912"/>
        <n v="6207.616"/>
        <n v="6213.17"/>
        <n v="6237.671"/>
        <n v="6246.4335"/>
        <n v="6249.7"/>
        <n v="6251.11"/>
        <n v="6264.56"/>
        <n v="6270.27"/>
        <n v="6282.78"/>
        <n v="6288.36"/>
        <n v="6298.5"/>
        <n v="6305.36"/>
        <n v="6318.26"/>
        <n v="6336.69"/>
        <n v="6344.57"/>
        <n v="6358.2755"/>
        <n v="6398.89"/>
        <n v="6442.12"/>
        <n v="6445.108"/>
        <n v="6446.93"/>
        <n v="6454.48"/>
        <n v="6459.4"/>
        <n v="6459.53"/>
        <n v="6462.81"/>
        <n v="6468.781"/>
        <n v="6476.81"/>
        <n v="6484.23"/>
        <n v="6487.02999999999"/>
        <n v="6489.204"/>
        <n v="6504.68"/>
        <n v="6508.65"/>
        <n v="6520.39"/>
        <n v="6529.15"/>
        <n v="6534.09"/>
        <n v="6535.45"/>
        <n v="6550.448"/>
        <n v="6561.924"/>
        <n v="6574.4"/>
        <n v="6585.18"/>
        <n v="6609.02"/>
        <n v="6623.45"/>
        <n v="6623.751"/>
        <n v="6628.5"/>
        <n v="6636.1995"/>
        <n v="6636.74"/>
        <n v="6640.76"/>
        <n v="6652.2865"/>
        <n v="6653.1"/>
        <n v="6665.542"/>
        <n v="6670.4"/>
        <n v="6681.61"/>
        <n v="6682.406"/>
        <n v="6682.6"/>
        <n v="6693.63"/>
        <n v="6702.799"/>
        <n v="6713.272"/>
        <n v="6726.66"/>
        <n v="6734.352"/>
        <n v="6736.18"/>
        <n v="6737.04"/>
        <n v="6744.84"/>
        <n v="6764.018"/>
        <n v="6776.117"/>
        <n v="6778.83"/>
        <n v="6784.75"/>
        <n v="6840.4695"/>
        <n v="6848.41"/>
        <n v="6851.216"/>
        <n v="6869.814"/>
        <n v="6881.266"/>
        <n v="6881.64"/>
        <n v="6884.25"/>
        <n v="6884.55"/>
        <n v="6884.838"/>
        <n v="6912.02"/>
        <n v="6912.15"/>
        <n v="6930.499"/>
        <n v="6936.64"/>
        <n v="6938.03400000001"/>
        <n v="6941.86"/>
        <n v="6957.99"/>
        <n v="6972.34"/>
        <n v="6984.94"/>
        <n v="6992.292"/>
        <n v="6993.423"/>
        <n v="7000.134"/>
        <n v="7008.182"/>
        <n v="7012.65"/>
        <n v="7028.66399999999"/>
        <n v="7030.716"/>
        <n v="7039.835"/>
        <n v="7046.684"/>
        <n v="7046.762"/>
        <n v="7051.34"/>
        <n v="7088.52"/>
        <n v="7088.92100000001"/>
        <n v="7089.24"/>
        <n v="7093.3"/>
        <n v="7097.062"/>
        <n v="7099.371"/>
        <n v="7114.77"/>
        <n v="7121.508"/>
        <n v="7128.3885"/>
        <n v="7150.02"/>
        <n v="7164.891"/>
        <n v="7165.892"/>
        <n v="7187.6"/>
        <n v="7191.94"/>
        <n v="7198.796"/>
        <n v="7198.97"/>
        <n v="7220.22"/>
        <n v="7225.84"/>
        <n v="7234.64"/>
        <n v="7244.35"/>
        <n v="7251.48"/>
        <n v="7284.34"/>
        <n v="7306.22"/>
        <n v="7307.03"/>
        <n v="7319.856"/>
        <n v="7326.27"/>
        <n v="7334.54"/>
        <n v="7344.7"/>
        <n v="7362.07"/>
        <n v="7373.514"/>
        <n v="7393.495"/>
        <n v="7431.36"/>
        <n v="7443.984"/>
        <n v="7456.9085"/>
        <n v="7466.01"/>
        <n v="7466.2"/>
        <n v="7477.6"/>
        <n v="7479.36"/>
        <n v="7487.11"/>
        <n v="7528.048"/>
        <n v="7530.27"/>
        <n v="7546.248"/>
        <n v="7551.69"/>
        <n v="7558.063"/>
        <n v="7567.34"/>
        <n v="7577.13"/>
        <n v="7578.376"/>
        <n v="7603.54"/>
        <n v="7606.14"/>
        <n v="7659.042"/>
        <n v="7663.81"/>
        <n v="7663.848"/>
        <n v="7667.454"/>
        <n v="7680.99"/>
        <n v="7681.65"/>
        <n v="7687.929"/>
        <n v="7691.02"/>
        <n v="7706.82"/>
        <n v="7711.1"/>
        <n v="7711.97"/>
        <n v="7720.72"/>
        <n v="7724.4"/>
        <n v="7730.608"/>
        <n v="7751.176"/>
        <n v="7758.932"/>
        <n v="7782.9"/>
        <n v="7816.839"/>
        <n v="7820.02"/>
        <n v="7820.24"/>
        <n v="7821.545"/>
        <n v="7827.726"/>
        <n v="7837.41"/>
        <n v="7873.98"/>
        <n v="7902.66"/>
        <n v="7942.743"/>
        <n v="7947.96"/>
        <n v="7961.112"/>
        <n v="7962.8"/>
        <n v="7971.9"/>
        <n v="7988.16"/>
        <n v="7993.41"/>
        <n v="8017.32"/>
        <n v="8062.4745"/>
        <n v="8081.04"/>
        <n v="8101.77"/>
        <n v="8108.04"/>
        <n v="8133.02"/>
        <n v="8151.32"/>
        <n v="8172.78"/>
        <n v="8195.92"/>
        <n v="8218.65"/>
        <n v="8225.13"/>
        <n v="8238.76"/>
        <n v="8239.12200000001"/>
        <n v="8242.786"/>
        <n v="8243.0745"/>
        <n v="8249.426"/>
        <n v="8266.3"/>
        <n v="8269.2"/>
        <n v="8279.92000000001"/>
        <n v="8303.5675"/>
        <n v="8329.37999999999"/>
        <n v="8339.749"/>
        <n v="8346.27"/>
        <n v="8387.15"/>
        <n v="8396.02"/>
        <n v="8397.024"/>
        <n v="8399.24"/>
        <n v="8406.2"/>
        <n v="8422.53"/>
        <n v="8447.16"/>
        <n v="8453.705"/>
        <n v="8456.64"/>
        <n v="8460.69"/>
        <n v="8466.69"/>
        <n v="8469.36"/>
        <n v="8471.64"/>
        <n v="8480.26"/>
        <n v="8489.36"/>
        <n v="8533.56"/>
        <n v="8588.10799999999"/>
        <n v="8597.141"/>
        <n v="8615.04"/>
        <n v="8676.58"/>
        <n v="8718.6"/>
        <n v="8721.912"/>
        <n v="8722.27"/>
        <n v="8725.064"/>
        <n v="8727.42"/>
        <n v="8738.04200000001"/>
        <n v="8775.18"/>
        <n v="8803.72"/>
        <n v="8814.54"/>
        <n v="8815.92"/>
        <n v="8820.08"/>
        <n v="8821.632"/>
        <n v="8824.5"/>
        <n v="8838.63999999999"/>
        <n v="8847.38"/>
        <n v="8884.875"/>
        <n v="8886.54"/>
        <n v="8896.28"/>
        <n v="8922.99000000001"/>
        <n v="8929.14"/>
        <n v="8940.111"/>
        <n v="8965.45"/>
        <n v="9016"/>
        <n v="9022.64399999999"/>
        <n v="9025.736"/>
        <n v="9038.52"/>
        <n v="9057.75399999999"/>
        <n v="9058.83"/>
        <n v="9064.284"/>
        <n v="9067.136"/>
        <n v="9087.6"/>
        <n v="9090.69"/>
        <n v="9090.808"/>
        <n v="9098.13"/>
        <n v="9099.54"/>
        <n v="9100.085"/>
        <n v="9113.123"/>
        <n v="9115.92"/>
        <n v="9130.16"/>
        <n v="9144.24"/>
        <n v="9153.96"/>
        <n v="9154.142"/>
        <n v="9155.28"/>
        <n v="9159.688"/>
        <n v="9182.46"/>
        <n v="9184.06"/>
        <n v="9184.7"/>
        <n v="9188.95"/>
        <n v="9197.34"/>
        <n v="9213.44"/>
        <n v="9267.5"/>
        <n v="9269.946"/>
        <n v="9272.92"/>
        <n v="9287.88"/>
        <n v="9305.4"/>
        <n v="9308.679"/>
        <n v="9325.326"/>
        <n v="9327.92"/>
        <n v="9331.6785"/>
        <n v="9333.29249999999"/>
        <n v="9333.55"/>
        <n v="9346.1"/>
        <n v="9353.14"/>
        <n v="9357.84"/>
        <n v="9364.38000000001"/>
        <n v="9364.44"/>
        <n v="9392.96"/>
        <n v="9412.72"/>
        <n v="9508.47"/>
        <n v="9562.39999999999"/>
        <n v="9573.56"/>
        <n v="9574.04"/>
        <n v="9587.84"/>
        <n v="9596.26"/>
        <n v="9597.787"/>
        <n v="9651.87"/>
        <n v="9687.3"/>
        <n v="9693.45"/>
        <n v="9718.92"/>
        <n v="9739.728"/>
        <n v="9776.58"/>
        <n v="9797.08"/>
        <n v="9810.16"/>
        <n v="9811.32"/>
        <n v="9818.54"/>
        <n v="9838.128"/>
        <n v="9839.65"/>
        <n v="9842.69"/>
        <n v="9845.632"/>
        <n v="9859.52"/>
        <n v="9889.45"/>
        <n v="9913.35"/>
        <n v="9925.8"/>
        <n v="9933.5"/>
        <n v="9948.812"/>
        <n v="9957.32"/>
        <n v="9971.84"/>
        <n v="9979.36"/>
        <n v="9999.1"/>
        <n v="10047.962"/>
        <n v="10117.76"/>
        <n v="10118.28"/>
        <n v="10232.52"/>
        <n v="10236.777"/>
        <n v="10248.947"/>
        <n v="10260.678"/>
        <n v="10264.062"/>
        <n v="10274.208"/>
        <n v="10285.68"/>
        <n v="10290.1"/>
        <n v="10292.262"/>
        <n v="10330.71"/>
        <n v="10342.12"/>
        <n v="10369"/>
        <n v="10371.984"/>
        <n v="10411.94"/>
        <n v="10412.576"/>
        <n v="10449.0765"/>
        <n v="10470"/>
        <n v="10477.4125"/>
        <n v="10480.72"/>
        <n v="10536.82"/>
        <n v="10539.58"/>
        <n v="10542.27"/>
        <n v="10544.61"/>
        <n v="10553.9145"/>
        <n v="10606.8"/>
        <n v="10617.16"/>
        <n v="10643.12"/>
        <n v="10660.48"/>
        <n v="10760.728"/>
        <n v="10775.56"/>
        <n v="10779.98"/>
        <n v="10899.25"/>
        <n v="10916.954"/>
        <n v="10936.48"/>
        <n v="10984.92"/>
        <n v="11011.347"/>
        <n v="11071.92"/>
        <n v="11091.72"/>
        <n v="11130.96"/>
        <n v="11148.8"/>
        <n v="11204.428"/>
        <n v="11214.812"/>
        <n v="11218.36"/>
        <n v="11271.681"/>
        <n v="11316.705"/>
        <n v="11323.926"/>
        <n v="11332.412"/>
        <n v="11343.792"/>
        <n v="11393.61"/>
        <n v="11455.28"/>
        <n v="11489.8755"/>
        <n v="11559.98"/>
        <n v="11579.613"/>
        <n v="11593.4"/>
        <n v="11604.4"/>
        <n v="11646.7"/>
        <n v="11654.88"/>
        <n v="11713.24"/>
        <n v="11799.54"/>
        <n v="11801.08"/>
        <n v="11819.0115"/>
        <n v="11836.888"/>
        <n v="11839.08"/>
        <n v="11850.16"/>
        <n v="11934.64"/>
        <n v="11949.893"/>
        <n v="11951.329"/>
        <n v="11958.28"/>
        <n v="11966.14"/>
        <n v="11984.0775"/>
        <n v="11985.487"/>
        <n v="11993.1"/>
        <n v="12008.62"/>
        <n v="12046.68"/>
        <n v="12075.3"/>
        <n v="12081.2"/>
        <n v="12086.727"/>
        <n v="12120.56"/>
        <n v="12139.38"/>
        <n v="12146.43"/>
        <n v="12245.88"/>
        <n v="12264.02"/>
        <n v="12273.34"/>
        <n v="12279.824"/>
        <n v="12343.2"/>
        <n v="12343.44"/>
        <n v="12354.15"/>
        <n v="12415.106"/>
        <n v="12420.16"/>
        <n v="12446.151"/>
        <n v="12515.808"/>
        <n v="12520.05"/>
        <n v="12537.06"/>
        <n v="12540.04"/>
        <n v="12558.5085"/>
        <n v="12582.825"/>
        <n v="12672.21"/>
        <n v="12739.38"/>
        <n v="12756.68"/>
        <n v="12791.98"/>
        <n v="12801.44"/>
        <n v="12885.2"/>
        <n v="12928.77"/>
        <n v="12936.06"/>
        <n v="12954.329"/>
        <n v="12971.67"/>
        <n v="13034.7"/>
        <n v="13045.64"/>
        <n v="13090.599"/>
        <n v="13120.288"/>
        <n v="13130.3"/>
        <n v="13142.762"/>
        <n v="13147.092"/>
        <n v="13153.572"/>
        <n v="13197.58"/>
        <n v="13271.304"/>
        <n v="13276.414"/>
        <n v="13282.608"/>
        <n v="13298.8"/>
        <n v="13343.42"/>
        <n v="13354.6"/>
        <n v="13452.64"/>
        <n v="13470.24"/>
        <n v="13496.6"/>
        <n v="13504.54"/>
        <n v="13619.196"/>
        <n v="13635.136"/>
        <n v="13656.23"/>
        <n v="13716.976"/>
        <n v="13765.4"/>
        <n v="13767.61"/>
        <n v="13833.15"/>
        <n v="13868.02"/>
        <n v="13915.06"/>
        <n v="13972.3875"/>
        <n v="13979.917"/>
        <n v="13998.02"/>
        <n v="14008.58"/>
        <n v="14124.85"/>
        <n v="14159.24"/>
        <n v="14190.39"/>
        <n v="14238.72"/>
        <n v="14280.15"/>
        <n v="14282.356"/>
        <n v="14285.22"/>
        <n v="14289.3"/>
        <n v="14296.335"/>
        <n v="14297.15"/>
        <n v="14303.504"/>
        <n v="14358.735"/>
        <n v="14410.56"/>
        <n v="14446.234"/>
        <n v="14534.655"/>
        <n v="14584.24"/>
        <n v="14646.44"/>
        <n v="14812.44"/>
        <n v="14823.63"/>
        <n v="14861.85"/>
        <n v="14919.543"/>
        <n v="14956.32"/>
        <n v="14956.65"/>
        <n v="14977.92"/>
        <n v="15063.699"/>
        <n v="15181.32"/>
        <n v="15183.92"/>
        <n v="15196.46"/>
        <n v="15199.4"/>
        <n v="15233.37"/>
        <n v="15240.854"/>
        <n v="15283.71"/>
        <n v="15289.344"/>
        <n v="15410.91"/>
        <n v="15440.5"/>
        <n v="15443.328"/>
        <n v="15472.34"/>
        <n v="15480.24"/>
        <n v="15506.67"/>
        <n v="15549.99"/>
        <n v="15573.45"/>
        <n v="15608.56"/>
        <n v="15628.08"/>
        <n v="15848.76"/>
        <n v="15943.496"/>
        <n v="15951.62"/>
        <n v="15966.5375"/>
        <n v="16087.7"/>
        <n v="16100.5"/>
        <n v="16195.76"/>
        <n v="16224.32"/>
        <n v="16403.31"/>
        <n v="16554.28"/>
        <n v="16591.368"/>
        <n v="16698.4185"/>
        <n v="16772.082"/>
        <n v="16803.99"/>
        <n v="16811.02"/>
        <n v="16878.725"/>
        <n v="16909.712"/>
        <n v="16940.7425"/>
        <n v="17012.14"/>
        <n v="17110.18"/>
        <n v="17123.652"/>
        <n v="17141.104"/>
        <n v="17146.8"/>
        <n v="17220.385"/>
        <n v="17223.69"/>
        <n v="17246.86"/>
        <n v="17256.75"/>
        <n v="17305.296"/>
        <n v="17346.6"/>
        <n v="17348.08"/>
        <n v="17422.22"/>
        <n v="17445.815"/>
        <n v="17483.76"/>
        <n v="17533.38"/>
        <n v="17589.66"/>
        <n v="17590.01"/>
        <n v="17613.615"/>
        <n v="17716.11"/>
        <n v="17848.172"/>
        <n v="17865.18"/>
        <n v="17884.16"/>
        <n v="18009.14"/>
        <n v="18022.48"/>
        <n v="18030.36"/>
        <n v="18064.75"/>
        <n v="18140.36"/>
        <n v="18214.08"/>
        <n v="18283.4925"/>
        <n v="18402.36"/>
        <n v="18412.52"/>
        <n v="18433.7"/>
        <n v="18465.2"/>
        <n v="18519.545"/>
        <n v="18791.36"/>
        <n v="18815.01"/>
        <n v="18874.29"/>
        <n v="19116.5125"/>
        <n v="19233.36"/>
        <n v="19274.72"/>
        <n v="19330.36"/>
        <n v="19388.672"/>
        <n v="19398"/>
        <n v="19435.29"/>
        <n v="19467.7525"/>
        <n v="19495.83"/>
        <n v="19542.72"/>
        <n v="19654.84"/>
        <n v="19836.72"/>
        <n v="19840.596"/>
        <n v="19985.15"/>
        <n v="19985.35"/>
        <n v="19999.47"/>
        <n v="20092.485"/>
        <n v="20094.468"/>
        <n v="20102.834"/>
        <n v="20116.23"/>
        <n v="20240.6"/>
        <n v="20280.44"/>
        <n v="20419.348"/>
        <n v="20419.6"/>
        <n v="20509.8"/>
        <n v="20527.68"/>
        <n v="20573.3475"/>
        <n v="20592.36"/>
        <n v="20693.16"/>
        <n v="20745.42"/>
        <n v="20839.72"/>
        <n v="20945.24"/>
        <n v="21055.858"/>
        <n v="21064.71"/>
        <n v="21260.37"/>
        <n v="21517.1"/>
        <n v="21844.96"/>
        <n v="21968.8"/>
        <n v="22155.568"/>
        <n v="22323.24"/>
        <n v="22451.64"/>
        <n v="22566.138"/>
        <n v="22653.18"/>
        <n v="22714"/>
        <n v="22764.09"/>
        <n v="22839.664"/>
        <n v="23060.49"/>
        <n v="23143.02"/>
        <n v="23144.16"/>
        <n v="23311.1"/>
        <n v="23358.748"/>
        <n v="23365.61"/>
        <n v="23470.2"/>
        <n v="23634.835"/>
        <n v="23648.68"/>
        <n v="23653.92"/>
        <n v="23669.3"/>
        <n v="23687.55"/>
        <n v="23741.264"/>
        <n v="23810.19"/>
        <n v="24121.565"/>
        <n v="24149.88"/>
        <n v="24153.264"/>
        <n v="24173.384"/>
        <n v="24206.28"/>
        <n v="24334.345"/>
        <n v="24346.04"/>
        <n v="24379.28"/>
        <n v="24473"/>
        <n v="24504.338"/>
        <n v="24571.52"/>
        <n v="24866.1"/>
        <n v="24882.72"/>
        <n v="24926.94"/>
        <n v="25053.804"/>
        <n v="25067.16"/>
        <n v="25201.8"/>
        <n v="25301.44"/>
        <n v="25730.15"/>
        <n v="26093.04"/>
        <n v="26169.24"/>
        <n v="26196.144"/>
        <n v="26200.784"/>
        <n v="26263.735"/>
        <n v="26354.64"/>
        <n v="26438.75"/>
        <n v="26641.5"/>
        <n v="26828.56"/>
        <n v="26923.4"/>
        <n v="27101.65"/>
        <n v="27105.36"/>
        <n v="27165.9"/>
        <n v="27171.2"/>
        <n v="27478.8"/>
        <n v="27650.135"/>
        <n v="28061.91"/>
        <n v="28062.9"/>
        <n v="28095.1"/>
        <n v="29053.4"/>
        <n v="29094.284"/>
        <n v="29357.12"/>
        <n v="29768.568"/>
        <n v="29803.92"/>
        <n v="30001.52"/>
        <n v="30125.5"/>
        <n v="30182.4"/>
        <n v="30625.8"/>
        <n v="31131.664"/>
        <n v="31336.65"/>
        <n v="31532.08"/>
        <n v="31892.95"/>
        <n v="32136.372"/>
        <n v="32465.25"/>
        <n v="32991.88"/>
        <n v="33205.5025"/>
        <n v="33278.92"/>
        <n v="33297.208"/>
        <n v="33550.15"/>
        <n v="33554.72"/>
        <n v="33841.36"/>
        <n v="33846.864"/>
        <n v="34123.95"/>
        <n v="34161.9"/>
        <n v="34430.256"/>
        <n v="34480.25"/>
        <n v="35326.08"/>
        <n v="35992.912"/>
        <n v="36130.34"/>
        <n v="36557.92"/>
        <n v="37018.432"/>
        <n v="37410.96"/>
        <n v="39179.92"/>
        <n v="39201.196"/>
        <n v="39744.88"/>
        <n v="40260.108"/>
        <n v="40341.24"/>
        <n v="41075.25"/>
        <n v="41087.45"/>
        <n v="41666.216"/>
        <n v="41851.008"/>
        <n v="42260.184"/>
        <n v="42802.5"/>
        <n v="42961.76"/>
        <n v="43301.16"/>
        <n v="43833.6"/>
        <n v="43863.04"/>
        <n v="43993.68"/>
        <n v="44740.4"/>
        <n v="45399.92"/>
        <n v="45500.16"/>
        <n v="45745.818"/>
        <n v="45996.8"/>
        <n v="46606.56"/>
        <n v="46951.08"/>
        <n v="46971.356"/>
        <n v="47426.85"/>
        <n v="52203.92"/>
        <n v="54425.88"/>
        <n v="54693.36"/>
        <n v="58348.48"/>
        <n v="58718.24"/>
        <n v="61798.348"/>
        <n v="68488.824"/>
        <n v="69953.12"/>
        <n v="71103.84"/>
        <n v="71798"/>
        <n v="75065.76"/>
        <n v="75923.04"/>
        <s v="PENDIENTE"/>
      </sharedItems>
    </cacheField>
    <cacheField name="Observacion" numFmtId="0">
      <sharedItems containsBlank="1" count="8">
        <s v="Cantidad negativa: verificar devolucion"/>
        <s v="Costo faltante: no estimar sin autorizacion"/>
        <s v="Descuento atipico: validar"/>
        <s v="Posible duplicado exacto de linea (investigar)"/>
        <s v="Precio faltante: verificar fuente"/>
        <s v="Producto no encontrado en catalogo"/>
        <s v="Region con escritura inconsistente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294">
  <r>
    <x v="0"/>
    <x v="0"/>
    <x v="21"/>
    <x v="236"/>
    <x v="76"/>
    <x v="3"/>
    <x v="0"/>
    <x v="4"/>
    <x v="3"/>
    <x v="772"/>
    <x v="0"/>
    <x v="36"/>
    <x v="1"/>
    <x v="1"/>
    <x v="1344"/>
    <x v="238"/>
    <x v="1347"/>
    <x v="7"/>
  </r>
  <r>
    <x v="0"/>
    <x v="1"/>
    <x v="21"/>
    <x v="236"/>
    <x v="12"/>
    <x v="3"/>
    <x v="0"/>
    <x v="4"/>
    <x v="2"/>
    <x v="1720"/>
    <x v="3"/>
    <x v="75"/>
    <x v="1"/>
    <x v="0"/>
    <x v="1663"/>
    <x v="314"/>
    <x v="1621"/>
    <x v="7"/>
  </r>
  <r>
    <x v="0"/>
    <x v="2"/>
    <x v="21"/>
    <x v="236"/>
    <x v="75"/>
    <x v="3"/>
    <x v="0"/>
    <x v="4"/>
    <x v="2"/>
    <x v="645"/>
    <x v="4"/>
    <x v="30"/>
    <x v="1"/>
    <x v="1"/>
    <x v="633"/>
    <x v="136"/>
    <x v="493"/>
    <x v="7"/>
  </r>
  <r>
    <x v="1"/>
    <x v="0"/>
    <x v="83"/>
    <x v="73"/>
    <x v="33"/>
    <x v="3"/>
    <x v="1"/>
    <x v="8"/>
    <x v="1"/>
    <x v="619"/>
    <x v="3"/>
    <x v="29"/>
    <x v="1"/>
    <x v="2"/>
    <x v="328"/>
    <x v="65"/>
    <x v="259"/>
    <x v="7"/>
  </r>
  <r>
    <x v="2"/>
    <x v="0"/>
    <x v="259"/>
    <x v="232"/>
    <x v="44"/>
    <x v="2"/>
    <x v="2"/>
    <x v="6"/>
    <x v="1"/>
    <x v="1410"/>
    <x v="2"/>
    <x v="57"/>
    <x v="1"/>
    <x v="2"/>
    <x v="865"/>
    <x v="144"/>
    <x v="1166"/>
    <x v="7"/>
  </r>
  <r>
    <x v="2"/>
    <x v="1"/>
    <x v="259"/>
    <x v="232"/>
    <x v="68"/>
    <x v="2"/>
    <x v="2"/>
    <x v="6"/>
    <x v="5"/>
    <x v="1629"/>
    <x v="1"/>
    <x v="83"/>
    <x v="1"/>
    <x v="3"/>
    <x v="2143"/>
    <x v="504"/>
    <x v="2029"/>
    <x v="7"/>
  </r>
  <r>
    <x v="2"/>
    <x v="2"/>
    <x v="259"/>
    <x v="232"/>
    <x v="57"/>
    <x v="2"/>
    <x v="2"/>
    <x v="6"/>
    <x v="2"/>
    <x v="662"/>
    <x v="4"/>
    <x v="25"/>
    <x v="0"/>
    <x v="2"/>
    <x v="652"/>
    <x v="118"/>
    <x v="831"/>
    <x v="7"/>
  </r>
  <r>
    <x v="3"/>
    <x v="0"/>
    <x v="137"/>
    <x v="103"/>
    <x v="27"/>
    <x v="0"/>
    <x v="0"/>
    <x v="7"/>
    <x v="2"/>
    <x v="1372"/>
    <x v="0"/>
    <x v="61"/>
    <x v="1"/>
    <x v="3"/>
    <x v="1588"/>
    <x v="276"/>
    <x v="1639"/>
    <x v="7"/>
  </r>
  <r>
    <x v="3"/>
    <x v="1"/>
    <x v="137"/>
    <x v="103"/>
    <x v="50"/>
    <x v="0"/>
    <x v="0"/>
    <x v="7"/>
    <x v="5"/>
    <x v="1865"/>
    <x v="1"/>
    <x v="77"/>
    <x v="0"/>
    <x v="0"/>
    <x v="2180"/>
    <x v="490"/>
    <x v="2214"/>
    <x v="7"/>
  </r>
  <r>
    <x v="3"/>
    <x v="2"/>
    <x v="137"/>
    <x v="103"/>
    <x v="47"/>
    <x v="0"/>
    <x v="0"/>
    <x v="7"/>
    <x v="7"/>
    <x v="1517"/>
    <x v="0"/>
    <x v="82"/>
    <x v="1"/>
    <x v="2"/>
    <x v="2277"/>
    <x v="563"/>
    <x v="2222"/>
    <x v="7"/>
  </r>
  <r>
    <x v="3"/>
    <x v="3"/>
    <x v="137"/>
    <x v="103"/>
    <x v="75"/>
    <x v="0"/>
    <x v="0"/>
    <x v="7"/>
    <x v="3"/>
    <x v="563"/>
    <x v="0"/>
    <x v="30"/>
    <x v="1"/>
    <x v="0"/>
    <x v="926"/>
    <x v="193"/>
    <x v="850"/>
    <x v="7"/>
  </r>
  <r>
    <x v="3"/>
    <x v="4"/>
    <x v="137"/>
    <x v="103"/>
    <x v="46"/>
    <x v="0"/>
    <x v="0"/>
    <x v="7"/>
    <x v="1"/>
    <x v="1994"/>
    <x v="0"/>
    <x v="85"/>
    <x v="1"/>
    <x v="3"/>
    <x v="1363"/>
    <x v="223"/>
    <x v="1518"/>
    <x v="7"/>
  </r>
  <r>
    <x v="4"/>
    <x v="0"/>
    <x v="220"/>
    <x v="204"/>
    <x v="33"/>
    <x v="0"/>
    <x v="2"/>
    <x v="2"/>
    <x v="2"/>
    <x v="585"/>
    <x v="3"/>
    <x v="29"/>
    <x v="1"/>
    <x v="0"/>
    <x v="613"/>
    <x v="135"/>
    <x v="364"/>
    <x v="7"/>
  </r>
  <r>
    <x v="5"/>
    <x v="0"/>
    <x v="192"/>
    <x v="10"/>
    <x v="40"/>
    <x v="1"/>
    <x v="2"/>
    <x v="4"/>
    <x v="5"/>
    <x v="1506"/>
    <x v="0"/>
    <x v="63"/>
    <x v="1"/>
    <x v="0"/>
    <x v="2125"/>
    <x v="456"/>
    <x v="2173"/>
    <x v="7"/>
  </r>
  <r>
    <x v="5"/>
    <x v="1"/>
    <x v="192"/>
    <x v="10"/>
    <x v="53"/>
    <x v="1"/>
    <x v="2"/>
    <x v="4"/>
    <x v="2"/>
    <x v="1218"/>
    <x v="0"/>
    <x v="47"/>
    <x v="1"/>
    <x v="0"/>
    <x v="1496"/>
    <x v="214"/>
    <x v="1777"/>
    <x v="7"/>
  </r>
  <r>
    <x v="6"/>
    <x v="0"/>
    <x v="54"/>
    <x v="181"/>
    <x v="74"/>
    <x v="0"/>
    <x v="2"/>
    <x v="3"/>
    <x v="5"/>
    <x v="2019"/>
    <x v="0"/>
    <x v="90"/>
    <x v="1"/>
    <x v="3"/>
    <x v="2207"/>
    <x v="518"/>
    <x v="2188"/>
    <x v="7"/>
  </r>
  <r>
    <x v="6"/>
    <x v="1"/>
    <x v="54"/>
    <x v="181"/>
    <x v="82"/>
    <x v="0"/>
    <x v="2"/>
    <x v="3"/>
    <x v="1"/>
    <x v="1838"/>
    <x v="2"/>
    <x v="96"/>
    <x v="1"/>
    <x v="0"/>
    <x v="1158"/>
    <x v="259"/>
    <x v="572"/>
    <x v="7"/>
  </r>
  <r>
    <x v="6"/>
    <x v="2"/>
    <x v="54"/>
    <x v="181"/>
    <x v="94"/>
    <x v="0"/>
    <x v="2"/>
    <x v="3"/>
    <x v="1"/>
    <x v="1985"/>
    <x v="0"/>
    <x v="71"/>
    <x v="1"/>
    <x v="1"/>
    <x v="1359"/>
    <x v="184"/>
    <x v="1721"/>
    <x v="7"/>
  </r>
  <r>
    <x v="6"/>
    <x v="3"/>
    <x v="54"/>
    <x v="181"/>
    <x v="43"/>
    <x v="0"/>
    <x v="2"/>
    <x v="3"/>
    <x v="1"/>
    <x v="43"/>
    <x v="2"/>
    <x v="1"/>
    <x v="1"/>
    <x v="0"/>
    <x v="20"/>
    <x v="2"/>
    <x v="119"/>
    <x v="7"/>
  </r>
  <r>
    <x v="6"/>
    <x v="4"/>
    <x v="54"/>
    <x v="181"/>
    <x v="85"/>
    <x v="0"/>
    <x v="2"/>
    <x v="3"/>
    <x v="3"/>
    <x v="1953"/>
    <x v="1"/>
    <x v="88"/>
    <x v="1"/>
    <x v="0"/>
    <x v="2011"/>
    <x v="434"/>
    <x v="1974"/>
    <x v="7"/>
  </r>
  <r>
    <x v="7"/>
    <x v="0"/>
    <x v="21"/>
    <x v="39"/>
    <x v="6"/>
    <x v="0"/>
    <x v="0"/>
    <x v="3"/>
    <x v="1"/>
    <x v="1500"/>
    <x v="3"/>
    <x v="76"/>
    <x v="1"/>
    <x v="0"/>
    <x v="891"/>
    <x v="198"/>
    <x v="653"/>
    <x v="7"/>
  </r>
  <r>
    <x v="7"/>
    <x v="1"/>
    <x v="21"/>
    <x v="39"/>
    <x v="62"/>
    <x v="0"/>
    <x v="0"/>
    <x v="3"/>
    <x v="1"/>
    <x v="1398"/>
    <x v="1"/>
    <x v="67"/>
    <x v="1"/>
    <x v="2"/>
    <x v="895"/>
    <x v="177"/>
    <x v="914"/>
    <x v="7"/>
  </r>
  <r>
    <x v="8"/>
    <x v="0"/>
    <x v="55"/>
    <x v="98"/>
    <x v="3"/>
    <x v="1"/>
    <x v="0"/>
    <x v="3"/>
    <x v="5"/>
    <x v="1788"/>
    <x v="0"/>
    <x v="73"/>
    <x v="1"/>
    <x v="3"/>
    <x v="2182"/>
    <x v="482"/>
    <x v="2225"/>
    <x v="7"/>
  </r>
  <r>
    <x v="8"/>
    <x v="1"/>
    <x v="55"/>
    <x v="98"/>
    <x v="67"/>
    <x v="1"/>
    <x v="0"/>
    <x v="3"/>
    <x v="2"/>
    <x v="1022"/>
    <x v="4"/>
    <x v="43"/>
    <x v="1"/>
    <x v="0"/>
    <x v="1011"/>
    <x v="196"/>
    <x v="1009"/>
    <x v="7"/>
  </r>
  <r>
    <x v="9"/>
    <x v="0"/>
    <x v="121"/>
    <x v="41"/>
    <x v="84"/>
    <x v="0"/>
    <x v="2"/>
    <x v="8"/>
    <x v="1"/>
    <x v="1649"/>
    <x v="0"/>
    <x v="89"/>
    <x v="1"/>
    <x v="3"/>
    <x v="1156"/>
    <x v="235"/>
    <x v="926"/>
    <x v="7"/>
  </r>
  <r>
    <x v="9"/>
    <x v="1"/>
    <x v="121"/>
    <x v="41"/>
    <x v="99"/>
    <x v="0"/>
    <x v="2"/>
    <x v="8"/>
    <x v="1"/>
    <x v="2223"/>
    <x v="0"/>
    <x v="80"/>
    <x v="1"/>
    <x v="0"/>
    <x v="1483"/>
    <x v="209"/>
    <x v="1780"/>
    <x v="7"/>
  </r>
  <r>
    <x v="10"/>
    <x v="0"/>
    <x v="109"/>
    <x v="80"/>
    <x v="8"/>
    <x v="0"/>
    <x v="2"/>
    <x v="1"/>
    <x v="1"/>
    <x v="682"/>
    <x v="2"/>
    <x v="28"/>
    <x v="1"/>
    <x v="1"/>
    <x v="402"/>
    <x v="64"/>
    <x v="610"/>
    <x v="7"/>
  </r>
  <r>
    <x v="10"/>
    <x v="1"/>
    <x v="109"/>
    <x v="80"/>
    <x v="92"/>
    <x v="0"/>
    <x v="2"/>
    <x v="1"/>
    <x v="2"/>
    <x v="1481"/>
    <x v="0"/>
    <x v="62"/>
    <x v="1"/>
    <x v="2"/>
    <x v="1649"/>
    <x v="279"/>
    <x v="1816"/>
    <x v="7"/>
  </r>
  <r>
    <x v="10"/>
    <x v="2"/>
    <x v="109"/>
    <x v="80"/>
    <x v="50"/>
    <x v="0"/>
    <x v="2"/>
    <x v="1"/>
    <x v="1"/>
    <x v="1713"/>
    <x v="0"/>
    <x v="77"/>
    <x v="1"/>
    <x v="0"/>
    <x v="1196"/>
    <x v="200"/>
    <x v="1415"/>
    <x v="7"/>
  </r>
  <r>
    <x v="11"/>
    <x v="0"/>
    <x v="149"/>
    <x v="101"/>
    <x v="13"/>
    <x v="2"/>
    <x v="2"/>
    <x v="3"/>
    <x v="1"/>
    <x v="1374"/>
    <x v="3"/>
    <x v="70"/>
    <x v="1"/>
    <x v="3"/>
    <x v="806"/>
    <x v="180"/>
    <x v="478"/>
    <x v="7"/>
  </r>
  <r>
    <x v="12"/>
    <x v="0"/>
    <x v="12"/>
    <x v="60"/>
    <x v="86"/>
    <x v="2"/>
    <x v="2"/>
    <x v="1"/>
    <x v="1"/>
    <x v="1625"/>
    <x v="3"/>
    <x v="79"/>
    <x v="1"/>
    <x v="0"/>
    <x v="979"/>
    <x v="208"/>
    <x v="739"/>
    <x v="7"/>
  </r>
  <r>
    <x v="12"/>
    <x v="1"/>
    <x v="12"/>
    <x v="60"/>
    <x v="23"/>
    <x v="2"/>
    <x v="2"/>
    <x v="1"/>
    <x v="1"/>
    <x v="767"/>
    <x v="0"/>
    <x v="41"/>
    <x v="1"/>
    <x v="3"/>
    <x v="502"/>
    <x v="97"/>
    <x v="562"/>
    <x v="7"/>
  </r>
  <r>
    <x v="12"/>
    <x v="2"/>
    <x v="12"/>
    <x v="60"/>
    <x v="85"/>
    <x v="2"/>
    <x v="2"/>
    <x v="1"/>
    <x v="1"/>
    <x v="1709"/>
    <x v="0"/>
    <x v="88"/>
    <x v="1"/>
    <x v="0"/>
    <x v="1194"/>
    <x v="231"/>
    <x v="1087"/>
    <x v="7"/>
  </r>
  <r>
    <x v="13"/>
    <x v="0"/>
    <x v="198"/>
    <x v="237"/>
    <x v="66"/>
    <x v="0"/>
    <x v="1"/>
    <x v="7"/>
    <x v="5"/>
    <x v="521"/>
    <x v="0"/>
    <x v="21"/>
    <x v="1"/>
    <x v="0"/>
    <x v="1346"/>
    <x v="228"/>
    <x v="1426"/>
    <x v="7"/>
  </r>
  <r>
    <x v="13"/>
    <x v="1"/>
    <x v="198"/>
    <x v="237"/>
    <x v="64"/>
    <x v="0"/>
    <x v="1"/>
    <x v="7"/>
    <x v="2"/>
    <x v="1814"/>
    <x v="0"/>
    <x v="69"/>
    <x v="1"/>
    <x v="1"/>
    <x v="1787"/>
    <x v="296"/>
    <x v="2016"/>
    <x v="7"/>
  </r>
  <r>
    <x v="13"/>
    <x v="2"/>
    <x v="198"/>
    <x v="237"/>
    <x v="71"/>
    <x v="0"/>
    <x v="1"/>
    <x v="7"/>
    <x v="1"/>
    <x v="212"/>
    <x v="0"/>
    <x v="6"/>
    <x v="2"/>
    <x v="0"/>
    <x v="114"/>
    <x v="10"/>
    <x v="409"/>
    <x v="7"/>
  </r>
  <r>
    <x v="14"/>
    <x v="0"/>
    <x v="140"/>
    <x v="245"/>
    <x v="59"/>
    <x v="3"/>
    <x v="2"/>
    <x v="1"/>
    <x v="1"/>
    <x v="1096"/>
    <x v="1"/>
    <x v="60"/>
    <x v="1"/>
    <x v="1"/>
    <x v="698"/>
    <x v="151"/>
    <x v="423"/>
    <x v="7"/>
  </r>
  <r>
    <x v="14"/>
    <x v="1"/>
    <x v="140"/>
    <x v="245"/>
    <x v="47"/>
    <x v="3"/>
    <x v="2"/>
    <x v="1"/>
    <x v="2"/>
    <x v="1643"/>
    <x v="0"/>
    <x v="82"/>
    <x v="1"/>
    <x v="2"/>
    <x v="1721"/>
    <x v="334"/>
    <x v="1698"/>
    <x v="7"/>
  </r>
  <r>
    <x v="14"/>
    <x v="2"/>
    <x v="140"/>
    <x v="245"/>
    <x v="71"/>
    <x v="3"/>
    <x v="2"/>
    <x v="1"/>
    <x v="3"/>
    <x v="188"/>
    <x v="2"/>
    <x v="6"/>
    <x v="1"/>
    <x v="0"/>
    <x v="340"/>
    <x v="46"/>
    <x v="657"/>
    <x v="7"/>
  </r>
  <r>
    <x v="14"/>
    <x v="3"/>
    <x v="140"/>
    <x v="245"/>
    <x v="79"/>
    <x v="3"/>
    <x v="2"/>
    <x v="1"/>
    <x v="1"/>
    <x v="1455"/>
    <x v="2"/>
    <x v="64"/>
    <x v="0"/>
    <x v="3"/>
    <x v="896"/>
    <x v="168"/>
    <x v="963"/>
    <x v="7"/>
  </r>
  <r>
    <x v="14"/>
    <x v="4"/>
    <x v="140"/>
    <x v="245"/>
    <x v="64"/>
    <x v="3"/>
    <x v="2"/>
    <x v="1"/>
    <x v="6"/>
    <x v="1852"/>
    <x v="0"/>
    <x v="69"/>
    <x v="1"/>
    <x v="0"/>
    <x v="2258"/>
    <x v="532"/>
    <x v="2277"/>
    <x v="7"/>
  </r>
  <r>
    <x v="15"/>
    <x v="0"/>
    <x v="191"/>
    <x v="9"/>
    <x v="65"/>
    <x v="1"/>
    <x v="0"/>
    <x v="9"/>
    <x v="3"/>
    <x v="2249"/>
    <x v="3"/>
    <x v="95"/>
    <x v="1"/>
    <x v="0"/>
    <x v="2031"/>
    <x v="454"/>
    <x v="1895"/>
    <x v="7"/>
  </r>
  <r>
    <x v="15"/>
    <x v="1"/>
    <x v="191"/>
    <x v="9"/>
    <x v="35"/>
    <x v="1"/>
    <x v="0"/>
    <x v="9"/>
    <x v="3"/>
    <x v="249"/>
    <x v="4"/>
    <x v="11"/>
    <x v="1"/>
    <x v="3"/>
    <x v="379"/>
    <x v="71"/>
    <x v="456"/>
    <x v="7"/>
  </r>
  <r>
    <x v="16"/>
    <x v="0"/>
    <x v="156"/>
    <x v="216"/>
    <x v="77"/>
    <x v="1"/>
    <x v="2"/>
    <x v="5"/>
    <x v="1"/>
    <x v="227"/>
    <x v="0"/>
    <x v="9"/>
    <x v="1"/>
    <x v="2"/>
    <x v="127"/>
    <x v="16"/>
    <x v="342"/>
    <x v="7"/>
  </r>
  <r>
    <x v="17"/>
    <x v="0"/>
    <x v="85"/>
    <x v="88"/>
    <x v="11"/>
    <x v="1"/>
    <x v="2"/>
    <x v="3"/>
    <x v="1"/>
    <x v="2255"/>
    <x v="0"/>
    <x v="87"/>
    <x v="1"/>
    <x v="2"/>
    <x v="1517"/>
    <x v="229"/>
    <x v="1745"/>
    <x v="7"/>
  </r>
  <r>
    <x v="17"/>
    <x v="1"/>
    <x v="85"/>
    <x v="88"/>
    <x v="38"/>
    <x v="1"/>
    <x v="2"/>
    <x v="3"/>
    <x v="2"/>
    <x v="1044"/>
    <x v="4"/>
    <x v="39"/>
    <x v="1"/>
    <x v="0"/>
    <x v="1028"/>
    <x v="174"/>
    <x v="1255"/>
    <x v="7"/>
  </r>
  <r>
    <x v="17"/>
    <x v="2"/>
    <x v="85"/>
    <x v="88"/>
    <x v="45"/>
    <x v="1"/>
    <x v="2"/>
    <x v="3"/>
    <x v="1"/>
    <x v="3"/>
    <x v="0"/>
    <x v="0"/>
    <x v="1"/>
    <x v="0"/>
    <x v="5"/>
    <x v="1"/>
    <x v="64"/>
    <x v="7"/>
  </r>
  <r>
    <x v="17"/>
    <x v="3"/>
    <x v="85"/>
    <x v="88"/>
    <x v="97"/>
    <x v="1"/>
    <x v="2"/>
    <x v="3"/>
    <x v="1"/>
    <x v="282"/>
    <x v="0"/>
    <x v="15"/>
    <x v="1"/>
    <x v="3"/>
    <x v="165"/>
    <x v="33"/>
    <x v="153"/>
    <x v="7"/>
  </r>
  <r>
    <x v="18"/>
    <x v="0"/>
    <x v="232"/>
    <x v="35"/>
    <x v="49"/>
    <x v="2"/>
    <x v="0"/>
    <x v="9"/>
    <x v="1"/>
    <x v="868"/>
    <x v="3"/>
    <x v="45"/>
    <x v="1"/>
    <x v="1"/>
    <x v="486"/>
    <x v="106"/>
    <x v="279"/>
    <x v="7"/>
  </r>
  <r>
    <x v="18"/>
    <x v="1"/>
    <x v="232"/>
    <x v="35"/>
    <x v="98"/>
    <x v="2"/>
    <x v="0"/>
    <x v="9"/>
    <x v="1"/>
    <x v="1205"/>
    <x v="4"/>
    <x v="65"/>
    <x v="1"/>
    <x v="1"/>
    <x v="667"/>
    <x v="169"/>
    <x v="17"/>
    <x v="7"/>
  </r>
  <r>
    <x v="18"/>
    <x v="2"/>
    <x v="232"/>
    <x v="35"/>
    <x v="96"/>
    <x v="2"/>
    <x v="0"/>
    <x v="9"/>
    <x v="2"/>
    <x v="509"/>
    <x v="2"/>
    <x v="22"/>
    <x v="1"/>
    <x v="3"/>
    <x v="545"/>
    <x v="110"/>
    <x v="454"/>
    <x v="7"/>
  </r>
  <r>
    <x v="19"/>
    <x v="0"/>
    <x v="76"/>
    <x v="91"/>
    <x v="3"/>
    <x v="1"/>
    <x v="0"/>
    <x v="2"/>
    <x v="5"/>
    <x v="1778"/>
    <x v="2"/>
    <x v="73"/>
    <x v="1"/>
    <x v="2"/>
    <x v="2148"/>
    <x v="482"/>
    <x v="2168"/>
    <x v="7"/>
  </r>
  <r>
    <x v="19"/>
    <x v="1"/>
    <x v="76"/>
    <x v="91"/>
    <x v="34"/>
    <x v="1"/>
    <x v="0"/>
    <x v="2"/>
    <x v="3"/>
    <x v="1235"/>
    <x v="0"/>
    <x v="58"/>
    <x v="0"/>
    <x v="0"/>
    <x v="1748"/>
    <x v="339"/>
    <x v="1768"/>
    <x v="7"/>
  </r>
  <r>
    <x v="19"/>
    <x v="2"/>
    <x v="76"/>
    <x v="91"/>
    <x v="32"/>
    <x v="1"/>
    <x v="0"/>
    <x v="2"/>
    <x v="5"/>
    <x v="2289"/>
    <x v="1"/>
    <x v="50"/>
    <x v="1"/>
    <x v="0"/>
    <x v="2289"/>
    <x v="384"/>
    <x v="2285"/>
    <x v="4"/>
  </r>
  <r>
    <x v="20"/>
    <x v="0"/>
    <x v="24"/>
    <x v="84"/>
    <x v="42"/>
    <x v="1"/>
    <x v="0"/>
    <x v="9"/>
    <x v="1"/>
    <x v="428"/>
    <x v="0"/>
    <x v="23"/>
    <x v="1"/>
    <x v="3"/>
    <x v="266"/>
    <x v="54"/>
    <x v="195"/>
    <x v="7"/>
  </r>
  <r>
    <x v="20"/>
    <x v="1"/>
    <x v="24"/>
    <x v="84"/>
    <x v="79"/>
    <x v="1"/>
    <x v="0"/>
    <x v="9"/>
    <x v="1"/>
    <x v="1473"/>
    <x v="2"/>
    <x v="64"/>
    <x v="1"/>
    <x v="1"/>
    <x v="908"/>
    <x v="168"/>
    <x v="1001"/>
    <x v="7"/>
  </r>
  <r>
    <x v="21"/>
    <x v="0"/>
    <x v="105"/>
    <x v="164"/>
    <x v="26"/>
    <x v="1"/>
    <x v="0"/>
    <x v="3"/>
    <x v="5"/>
    <x v="1893"/>
    <x v="0"/>
    <x v="74"/>
    <x v="1"/>
    <x v="0"/>
    <x v="2194"/>
    <x v="486"/>
    <x v="2239"/>
    <x v="7"/>
  </r>
  <r>
    <x v="21"/>
    <x v="1"/>
    <x v="105"/>
    <x v="164"/>
    <x v="21"/>
    <x v="1"/>
    <x v="0"/>
    <x v="3"/>
    <x v="5"/>
    <x v="413"/>
    <x v="0"/>
    <x v="18"/>
    <x v="1"/>
    <x v="0"/>
    <x v="1155"/>
    <x v="206"/>
    <x v="1251"/>
    <x v="7"/>
  </r>
  <r>
    <x v="22"/>
    <x v="0"/>
    <x v="99"/>
    <x v="157"/>
    <x v="64"/>
    <x v="1"/>
    <x v="0"/>
    <x v="8"/>
    <x v="1"/>
    <x v="1857"/>
    <x v="0"/>
    <x v="69"/>
    <x v="1"/>
    <x v="2"/>
    <x v="1293"/>
    <x v="179"/>
    <x v="1682"/>
    <x v="7"/>
  </r>
  <r>
    <x v="22"/>
    <x v="1"/>
    <x v="99"/>
    <x v="157"/>
    <x v="28"/>
    <x v="1"/>
    <x v="0"/>
    <x v="8"/>
    <x v="2"/>
    <x v="87"/>
    <x v="2"/>
    <x v="2"/>
    <x v="1"/>
    <x v="3"/>
    <x v="105"/>
    <x v="13"/>
    <x v="300"/>
    <x v="7"/>
  </r>
  <r>
    <x v="22"/>
    <x v="2"/>
    <x v="99"/>
    <x v="157"/>
    <x v="63"/>
    <x v="1"/>
    <x v="0"/>
    <x v="8"/>
    <x v="1"/>
    <x v="2288"/>
    <x v="4"/>
    <x v="98"/>
    <x v="1"/>
    <x v="1"/>
    <x v="1365"/>
    <x v="271"/>
    <x v="922"/>
    <x v="7"/>
  </r>
  <r>
    <x v="23"/>
    <x v="0"/>
    <x v="9"/>
    <x v="172"/>
    <x v="37"/>
    <x v="0"/>
    <x v="1"/>
    <x v="8"/>
    <x v="1"/>
    <x v="1502"/>
    <x v="0"/>
    <x v="78"/>
    <x v="1"/>
    <x v="0"/>
    <x v="1038"/>
    <x v="202"/>
    <x v="1061"/>
    <x v="7"/>
  </r>
  <r>
    <x v="23"/>
    <x v="1"/>
    <x v="9"/>
    <x v="172"/>
    <x v="52"/>
    <x v="0"/>
    <x v="1"/>
    <x v="8"/>
    <x v="1"/>
    <x v="1048"/>
    <x v="3"/>
    <x v="40"/>
    <x v="1"/>
    <x v="1"/>
    <x v="610"/>
    <x v="95"/>
    <x v="909"/>
    <x v="7"/>
  </r>
  <r>
    <x v="24"/>
    <x v="0"/>
    <x v="150"/>
    <x v="205"/>
    <x v="4"/>
    <x v="1"/>
    <x v="2"/>
    <x v="1"/>
    <x v="2"/>
    <x v="1983"/>
    <x v="0"/>
    <x v="94"/>
    <x v="1"/>
    <x v="1"/>
    <x v="1841"/>
    <x v="373"/>
    <x v="1772"/>
    <x v="7"/>
  </r>
  <r>
    <x v="24"/>
    <x v="1"/>
    <x v="150"/>
    <x v="205"/>
    <x v="2"/>
    <x v="1"/>
    <x v="2"/>
    <x v="1"/>
    <x v="2"/>
    <x v="893"/>
    <x v="0"/>
    <x v="48"/>
    <x v="1"/>
    <x v="3"/>
    <x v="1065"/>
    <x v="216"/>
    <x v="941"/>
    <x v="7"/>
  </r>
  <r>
    <x v="24"/>
    <x v="2"/>
    <x v="150"/>
    <x v="205"/>
    <x v="64"/>
    <x v="1"/>
    <x v="2"/>
    <x v="1"/>
    <x v="1"/>
    <x v="1567"/>
    <x v="0"/>
    <x v="69"/>
    <x v="1"/>
    <x v="1"/>
    <x v="1094"/>
    <x v="179"/>
    <x v="1361"/>
    <x v="7"/>
  </r>
  <r>
    <x v="25"/>
    <x v="0"/>
    <x v="199"/>
    <x v="145"/>
    <x v="25"/>
    <x v="1"/>
    <x v="0"/>
    <x v="8"/>
    <x v="2"/>
    <x v="2184"/>
    <x v="4"/>
    <x v="72"/>
    <x v="1"/>
    <x v="2"/>
    <x v="1744"/>
    <x v="306"/>
    <x v="1927"/>
    <x v="7"/>
  </r>
  <r>
    <x v="25"/>
    <x v="1"/>
    <x v="199"/>
    <x v="145"/>
    <x v="40"/>
    <x v="1"/>
    <x v="0"/>
    <x v="8"/>
    <x v="1"/>
    <x v="1636"/>
    <x v="0"/>
    <x v="63"/>
    <x v="0"/>
    <x v="2"/>
    <x v="1144"/>
    <x v="166"/>
    <x v="1538"/>
    <x v="7"/>
  </r>
  <r>
    <x v="26"/>
    <x v="0"/>
    <x v="6"/>
    <x v="3"/>
    <x v="23"/>
    <x v="0"/>
    <x v="0"/>
    <x v="7"/>
    <x v="3"/>
    <x v="746"/>
    <x v="2"/>
    <x v="41"/>
    <x v="1"/>
    <x v="3"/>
    <x v="1174"/>
    <x v="257"/>
    <x v="674"/>
    <x v="7"/>
  </r>
  <r>
    <x v="26"/>
    <x v="1"/>
    <x v="6"/>
    <x v="3"/>
    <x v="25"/>
    <x v="0"/>
    <x v="0"/>
    <x v="7"/>
    <x v="1"/>
    <x v="1965"/>
    <x v="0"/>
    <x v="72"/>
    <x v="1"/>
    <x v="3"/>
    <x v="1348"/>
    <x v="189"/>
    <x v="1696"/>
    <x v="7"/>
  </r>
  <r>
    <x v="27"/>
    <x v="0"/>
    <x v="96"/>
    <x v="131"/>
    <x v="27"/>
    <x v="3"/>
    <x v="2"/>
    <x v="4"/>
    <x v="2"/>
    <x v="1335"/>
    <x v="0"/>
    <x v="61"/>
    <x v="1"/>
    <x v="0"/>
    <x v="1564"/>
    <x v="276"/>
    <x v="1542"/>
    <x v="7"/>
  </r>
  <r>
    <x v="27"/>
    <x v="1"/>
    <x v="96"/>
    <x v="131"/>
    <x v="88"/>
    <x v="3"/>
    <x v="2"/>
    <x v="4"/>
    <x v="4"/>
    <x v="1830"/>
    <x v="1"/>
    <x v="86"/>
    <x v="2"/>
    <x v="2"/>
    <x v="2103"/>
    <x v="480"/>
    <x v="2048"/>
    <x v="7"/>
  </r>
  <r>
    <x v="28"/>
    <x v="0"/>
    <x v="198"/>
    <x v="241"/>
    <x v="48"/>
    <x v="3"/>
    <x v="0"/>
    <x v="4"/>
    <x v="7"/>
    <x v="395"/>
    <x v="0"/>
    <x v="17"/>
    <x v="1"/>
    <x v="1"/>
    <x v="1840"/>
    <x v="350"/>
    <x v="1896"/>
    <x v="7"/>
  </r>
  <r>
    <x v="28"/>
    <x v="1"/>
    <x v="198"/>
    <x v="241"/>
    <x v="68"/>
    <x v="3"/>
    <x v="0"/>
    <x v="4"/>
    <x v="1"/>
    <x v="1657"/>
    <x v="0"/>
    <x v="83"/>
    <x v="1"/>
    <x v="3"/>
    <x v="1161"/>
    <x v="218"/>
    <x v="1186"/>
    <x v="7"/>
  </r>
  <r>
    <x v="28"/>
    <x v="2"/>
    <x v="198"/>
    <x v="241"/>
    <x v="52"/>
    <x v="3"/>
    <x v="0"/>
    <x v="4"/>
    <x v="2"/>
    <x v="1068"/>
    <x v="0"/>
    <x v="40"/>
    <x v="1"/>
    <x v="1"/>
    <x v="1326"/>
    <x v="176"/>
    <x v="1719"/>
    <x v="7"/>
  </r>
  <r>
    <x v="28"/>
    <x v="3"/>
    <x v="198"/>
    <x v="241"/>
    <x v="21"/>
    <x v="3"/>
    <x v="0"/>
    <x v="4"/>
    <x v="1"/>
    <x v="450"/>
    <x v="2"/>
    <x v="18"/>
    <x v="1"/>
    <x v="2"/>
    <x v="242"/>
    <x v="41"/>
    <x v="345"/>
    <x v="7"/>
  </r>
  <r>
    <x v="29"/>
    <x v="0"/>
    <x v="261"/>
    <x v="15"/>
    <x v="12"/>
    <x v="2"/>
    <x v="1"/>
    <x v="8"/>
    <x v="1"/>
    <x v="1725"/>
    <x v="3"/>
    <x v="75"/>
    <x v="1"/>
    <x v="2"/>
    <x v="1035"/>
    <x v="195"/>
    <x v="1112"/>
    <x v="7"/>
  </r>
  <r>
    <x v="30"/>
    <x v="0"/>
    <x v="203"/>
    <x v="240"/>
    <x v="41"/>
    <x v="1"/>
    <x v="0"/>
    <x v="3"/>
    <x v="4"/>
    <x v="919"/>
    <x v="3"/>
    <x v="35"/>
    <x v="1"/>
    <x v="0"/>
    <x v="1604"/>
    <x v="283"/>
    <x v="1651"/>
    <x v="7"/>
  </r>
  <r>
    <x v="30"/>
    <x v="1"/>
    <x v="203"/>
    <x v="240"/>
    <x v="77"/>
    <x v="1"/>
    <x v="0"/>
    <x v="3"/>
    <x v="5"/>
    <x v="256"/>
    <x v="0"/>
    <x v="9"/>
    <x v="1"/>
    <x v="3"/>
    <x v="761"/>
    <x v="102"/>
    <x v="1229"/>
    <x v="7"/>
  </r>
  <r>
    <x v="31"/>
    <x v="0"/>
    <x v="259"/>
    <x v="46"/>
    <x v="1"/>
    <x v="3"/>
    <x v="1"/>
    <x v="0"/>
    <x v="1"/>
    <x v="741"/>
    <x v="0"/>
    <x v="42"/>
    <x v="1"/>
    <x v="1"/>
    <x v="479"/>
    <x v="99"/>
    <x v="446"/>
    <x v="7"/>
  </r>
  <r>
    <x v="31"/>
    <x v="1"/>
    <x v="259"/>
    <x v="46"/>
    <x v="17"/>
    <x v="3"/>
    <x v="1"/>
    <x v="0"/>
    <x v="3"/>
    <x v="2078"/>
    <x v="4"/>
    <x v="92"/>
    <x v="1"/>
    <x v="3"/>
    <x v="1963"/>
    <x v="444"/>
    <x v="1433"/>
    <x v="7"/>
  </r>
  <r>
    <x v="32"/>
    <x v="0"/>
    <x v="206"/>
    <x v="24"/>
    <x v="6"/>
    <x v="1"/>
    <x v="2"/>
    <x v="2"/>
    <x v="6"/>
    <x v="1540"/>
    <x v="0"/>
    <x v="76"/>
    <x v="1"/>
    <x v="1"/>
    <x v="2232"/>
    <x v="539"/>
    <x v="2217"/>
    <x v="7"/>
  </r>
  <r>
    <x v="33"/>
    <x v="0"/>
    <x v="175"/>
    <x v="214"/>
    <x v="44"/>
    <x v="0"/>
    <x v="1"/>
    <x v="5"/>
    <x v="2"/>
    <x v="1492"/>
    <x v="2"/>
    <x v="57"/>
    <x v="0"/>
    <x v="0"/>
    <x v="1599"/>
    <x v="261"/>
    <x v="1834"/>
    <x v="7"/>
  </r>
  <r>
    <x v="34"/>
    <x v="0"/>
    <x v="142"/>
    <x v="105"/>
    <x v="59"/>
    <x v="3"/>
    <x v="2"/>
    <x v="3"/>
    <x v="3"/>
    <x v="1101"/>
    <x v="0"/>
    <x v="60"/>
    <x v="0"/>
    <x v="0"/>
    <x v="1660"/>
    <x v="342"/>
    <x v="1145"/>
    <x v="7"/>
  </r>
  <r>
    <x v="35"/>
    <x v="0"/>
    <x v="124"/>
    <x v="172"/>
    <x v="45"/>
    <x v="2"/>
    <x v="1"/>
    <x v="0"/>
    <x v="1"/>
    <x v="19"/>
    <x v="0"/>
    <x v="0"/>
    <x v="1"/>
    <x v="2"/>
    <x v="12"/>
    <x v="1"/>
    <x v="83"/>
    <x v="7"/>
  </r>
  <r>
    <x v="35"/>
    <x v="1"/>
    <x v="124"/>
    <x v="172"/>
    <x v="51"/>
    <x v="2"/>
    <x v="1"/>
    <x v="0"/>
    <x v="2"/>
    <x v="1383"/>
    <x v="0"/>
    <x v="53"/>
    <x v="1"/>
    <x v="0"/>
    <x v="1595"/>
    <x v="240"/>
    <x v="1887"/>
    <x v="7"/>
  </r>
  <r>
    <x v="36"/>
    <x v="0"/>
    <x v="207"/>
    <x v="22"/>
    <x v="7"/>
    <x v="2"/>
    <x v="0"/>
    <x v="7"/>
    <x v="3"/>
    <x v="104"/>
    <x v="4"/>
    <x v="4"/>
    <x v="1"/>
    <x v="2"/>
    <x v="178"/>
    <x v="30"/>
    <x v="250"/>
    <x v="7"/>
  </r>
  <r>
    <x v="37"/>
    <x v="0"/>
    <x v="64"/>
    <x v="189"/>
    <x v="62"/>
    <x v="0"/>
    <x v="2"/>
    <x v="8"/>
    <x v="1"/>
    <x v="1411"/>
    <x v="0"/>
    <x v="67"/>
    <x v="1"/>
    <x v="3"/>
    <x v="948"/>
    <x v="177"/>
    <x v="1054"/>
    <x v="7"/>
  </r>
  <r>
    <x v="38"/>
    <x v="0"/>
    <x v="181"/>
    <x v="62"/>
    <x v="86"/>
    <x v="2"/>
    <x v="0"/>
    <x v="6"/>
    <x v="1"/>
    <x v="1867"/>
    <x v="0"/>
    <x v="79"/>
    <x v="1"/>
    <x v="1"/>
    <x v="1296"/>
    <x v="208"/>
    <x v="1506"/>
    <x v="7"/>
  </r>
  <r>
    <x v="39"/>
    <x v="0"/>
    <x v="8"/>
    <x v="49"/>
    <x v="30"/>
    <x v="0"/>
    <x v="1"/>
    <x v="9"/>
    <x v="2"/>
    <x v="266"/>
    <x v="1"/>
    <x v="13"/>
    <x v="1"/>
    <x v="2"/>
    <x v="321"/>
    <x v="57"/>
    <x v="441"/>
    <x v="7"/>
  </r>
  <r>
    <x v="40"/>
    <x v="0"/>
    <x v="98"/>
    <x v="223"/>
    <x v="84"/>
    <x v="0"/>
    <x v="2"/>
    <x v="8"/>
    <x v="2"/>
    <x v="1791"/>
    <x v="1"/>
    <x v="89"/>
    <x v="1"/>
    <x v="1"/>
    <x v="1741"/>
    <x v="356"/>
    <x v="1510"/>
    <x v="7"/>
  </r>
  <r>
    <x v="40"/>
    <x v="1"/>
    <x v="98"/>
    <x v="223"/>
    <x v="90"/>
    <x v="0"/>
    <x v="2"/>
    <x v="8"/>
    <x v="3"/>
    <x v="784"/>
    <x v="3"/>
    <x v="37"/>
    <x v="1"/>
    <x v="2"/>
    <x v="1160"/>
    <x v="246"/>
    <x v="786"/>
    <x v="7"/>
  </r>
  <r>
    <x v="40"/>
    <x v="2"/>
    <x v="98"/>
    <x v="223"/>
    <x v="3"/>
    <x v="0"/>
    <x v="2"/>
    <x v="8"/>
    <x v="2"/>
    <x v="1872"/>
    <x v="0"/>
    <x v="73"/>
    <x v="1"/>
    <x v="3"/>
    <x v="1808"/>
    <x v="309"/>
    <x v="2009"/>
    <x v="7"/>
  </r>
  <r>
    <x v="41"/>
    <x v="0"/>
    <x v="196"/>
    <x v="88"/>
    <x v="16"/>
    <x v="0"/>
    <x v="1"/>
    <x v="3"/>
    <x v="1"/>
    <x v="1395"/>
    <x v="3"/>
    <x v="51"/>
    <x v="1"/>
    <x v="0"/>
    <x v="816"/>
    <x v="123"/>
    <x v="1215"/>
    <x v="7"/>
  </r>
  <r>
    <x v="42"/>
    <x v="0"/>
    <x v="23"/>
    <x v="131"/>
    <x v="59"/>
    <x v="3"/>
    <x v="2"/>
    <x v="6"/>
    <x v="4"/>
    <x v="1191"/>
    <x v="0"/>
    <x v="60"/>
    <x v="1"/>
    <x v="0"/>
    <x v="1912"/>
    <x v="397"/>
    <x v="1769"/>
    <x v="7"/>
  </r>
  <r>
    <x v="42"/>
    <x v="1"/>
    <x v="23"/>
    <x v="131"/>
    <x v="17"/>
    <x v="3"/>
    <x v="2"/>
    <x v="6"/>
    <x v="5"/>
    <x v="1940"/>
    <x v="0"/>
    <x v="100"/>
    <x v="1"/>
    <x v="2"/>
    <x v="2201"/>
    <x v="571"/>
    <x v="2285"/>
    <x v="1"/>
  </r>
  <r>
    <x v="42"/>
    <x v="2"/>
    <x v="23"/>
    <x v="131"/>
    <x v="29"/>
    <x v="3"/>
    <x v="2"/>
    <x v="6"/>
    <x v="3"/>
    <x v="1993"/>
    <x v="0"/>
    <x v="97"/>
    <x v="1"/>
    <x v="3"/>
    <x v="2037"/>
    <x v="473"/>
    <x v="1735"/>
    <x v="7"/>
  </r>
  <r>
    <x v="42"/>
    <x v="3"/>
    <x v="23"/>
    <x v="131"/>
    <x v="78"/>
    <x v="3"/>
    <x v="2"/>
    <x v="6"/>
    <x v="6"/>
    <x v="545"/>
    <x v="0"/>
    <x v="20"/>
    <x v="1"/>
    <x v="1"/>
    <x v="1728"/>
    <x v="304"/>
    <x v="1907"/>
    <x v="7"/>
  </r>
  <r>
    <x v="43"/>
    <x v="0"/>
    <x v="203"/>
    <x v="207"/>
    <x v="38"/>
    <x v="2"/>
    <x v="0"/>
    <x v="4"/>
    <x v="2"/>
    <x v="1112"/>
    <x v="1"/>
    <x v="39"/>
    <x v="1"/>
    <x v="3"/>
    <x v="1308"/>
    <x v="174"/>
    <x v="1710"/>
    <x v="7"/>
  </r>
  <r>
    <x v="44"/>
    <x v="0"/>
    <x v="147"/>
    <x v="46"/>
    <x v="39"/>
    <x v="2"/>
    <x v="2"/>
    <x v="2"/>
    <x v="1"/>
    <x v="1926"/>
    <x v="0"/>
    <x v="93"/>
    <x v="1"/>
    <x v="2"/>
    <x v="1331"/>
    <x v="247"/>
    <x v="1212"/>
    <x v="7"/>
  </r>
  <r>
    <x v="44"/>
    <x v="1"/>
    <x v="147"/>
    <x v="46"/>
    <x v="58"/>
    <x v="2"/>
    <x v="2"/>
    <x v="2"/>
    <x v="1"/>
    <x v="2127"/>
    <x v="0"/>
    <x v="99"/>
    <x v="1"/>
    <x v="3"/>
    <x v="1419"/>
    <x v="273"/>
    <x v="1093"/>
    <x v="7"/>
  </r>
  <r>
    <x v="44"/>
    <x v="2"/>
    <x v="147"/>
    <x v="46"/>
    <x v="89"/>
    <x v="2"/>
    <x v="2"/>
    <x v="2"/>
    <x v="1"/>
    <x v="655"/>
    <x v="0"/>
    <x v="26"/>
    <x v="1"/>
    <x v="2"/>
    <x v="427"/>
    <x v="62"/>
    <x v="676"/>
    <x v="7"/>
  </r>
  <r>
    <x v="44"/>
    <x v="3"/>
    <x v="147"/>
    <x v="46"/>
    <x v="35"/>
    <x v="2"/>
    <x v="2"/>
    <x v="2"/>
    <x v="4"/>
    <x v="250"/>
    <x v="0"/>
    <x v="11"/>
    <x v="1"/>
    <x v="2"/>
    <x v="620"/>
    <x v="96"/>
    <x v="935"/>
    <x v="7"/>
  </r>
  <r>
    <x v="44"/>
    <x v="4"/>
    <x v="147"/>
    <x v="46"/>
    <x v="38"/>
    <x v="2"/>
    <x v="2"/>
    <x v="2"/>
    <x v="4"/>
    <x v="1053"/>
    <x v="3"/>
    <x v="39"/>
    <x v="1"/>
    <x v="1"/>
    <x v="1695"/>
    <x v="292"/>
    <x v="1877"/>
    <x v="7"/>
  </r>
  <r>
    <x v="45"/>
    <x v="0"/>
    <x v="117"/>
    <x v="177"/>
    <x v="21"/>
    <x v="1"/>
    <x v="2"/>
    <x v="1"/>
    <x v="3"/>
    <x v="373"/>
    <x v="3"/>
    <x v="18"/>
    <x v="1"/>
    <x v="3"/>
    <x v="598"/>
    <x v="134"/>
    <x v="210"/>
    <x v="7"/>
  </r>
  <r>
    <x v="46"/>
    <x v="0"/>
    <x v="21"/>
    <x v="123"/>
    <x v="62"/>
    <x v="2"/>
    <x v="2"/>
    <x v="0"/>
    <x v="7"/>
    <x v="1430"/>
    <x v="3"/>
    <x v="67"/>
    <x v="1"/>
    <x v="3"/>
    <x v="2254"/>
    <x v="552"/>
    <x v="2134"/>
    <x v="7"/>
  </r>
  <r>
    <x v="46"/>
    <x v="1"/>
    <x v="21"/>
    <x v="123"/>
    <x v="94"/>
    <x v="2"/>
    <x v="2"/>
    <x v="0"/>
    <x v="2"/>
    <x v="2001"/>
    <x v="4"/>
    <x v="71"/>
    <x v="1"/>
    <x v="3"/>
    <x v="1696"/>
    <x v="303"/>
    <x v="1824"/>
    <x v="7"/>
  </r>
  <r>
    <x v="46"/>
    <x v="2"/>
    <x v="21"/>
    <x v="123"/>
    <x v="0"/>
    <x v="2"/>
    <x v="2"/>
    <x v="0"/>
    <x v="1"/>
    <x v="922"/>
    <x v="0"/>
    <x v="32"/>
    <x v="1"/>
    <x v="2"/>
    <x v="615"/>
    <x v="73"/>
    <x v="1097"/>
    <x v="7"/>
  </r>
  <r>
    <x v="47"/>
    <x v="0"/>
    <x v="243"/>
    <x v="135"/>
    <x v="29"/>
    <x v="2"/>
    <x v="1"/>
    <x v="4"/>
    <x v="3"/>
    <x v="2265"/>
    <x v="2"/>
    <x v="97"/>
    <x v="1"/>
    <x v="2"/>
    <x v="2062"/>
    <x v="473"/>
    <x v="1924"/>
    <x v="7"/>
  </r>
  <r>
    <x v="47"/>
    <x v="1"/>
    <x v="243"/>
    <x v="135"/>
    <x v="91"/>
    <x v="2"/>
    <x v="1"/>
    <x v="4"/>
    <x v="1"/>
    <x v="2125"/>
    <x v="0"/>
    <x v="81"/>
    <x v="1"/>
    <x v="1"/>
    <x v="1418"/>
    <x v="212"/>
    <x v="1688"/>
    <x v="7"/>
  </r>
  <r>
    <x v="47"/>
    <x v="2"/>
    <x v="243"/>
    <x v="135"/>
    <x v="0"/>
    <x v="2"/>
    <x v="1"/>
    <x v="4"/>
    <x v="1"/>
    <x v="820"/>
    <x v="2"/>
    <x v="32"/>
    <x v="1"/>
    <x v="2"/>
    <x v="492"/>
    <x v="73"/>
    <x v="808"/>
    <x v="7"/>
  </r>
  <r>
    <x v="47"/>
    <x v="3"/>
    <x v="243"/>
    <x v="135"/>
    <x v="80"/>
    <x v="2"/>
    <x v="1"/>
    <x v="4"/>
    <x v="4"/>
    <x v="1100"/>
    <x v="4"/>
    <x v="56"/>
    <x v="1"/>
    <x v="3"/>
    <x v="1694"/>
    <x v="379"/>
    <x v="545"/>
    <x v="7"/>
  </r>
  <r>
    <x v="47"/>
    <x v="4"/>
    <x v="243"/>
    <x v="135"/>
    <x v="78"/>
    <x v="2"/>
    <x v="1"/>
    <x v="4"/>
    <x v="2"/>
    <x v="596"/>
    <x v="4"/>
    <x v="20"/>
    <x v="1"/>
    <x v="0"/>
    <x v="596"/>
    <x v="98"/>
    <x v="801"/>
    <x v="7"/>
  </r>
  <r>
    <x v="48"/>
    <x v="0"/>
    <x v="75"/>
    <x v="84"/>
    <x v="80"/>
    <x v="2"/>
    <x v="1"/>
    <x v="1"/>
    <x v="3"/>
    <x v="1075"/>
    <x v="0"/>
    <x v="56"/>
    <x v="0"/>
    <x v="1"/>
    <x v="1646"/>
    <x v="322"/>
    <x v="1431"/>
    <x v="7"/>
  </r>
  <r>
    <x v="49"/>
    <x v="0"/>
    <x v="165"/>
    <x v="231"/>
    <x v="71"/>
    <x v="1"/>
    <x v="1"/>
    <x v="5"/>
    <x v="1"/>
    <x v="179"/>
    <x v="2"/>
    <x v="6"/>
    <x v="1"/>
    <x v="0"/>
    <x v="84"/>
    <x v="10"/>
    <x v="245"/>
    <x v="7"/>
  </r>
  <r>
    <x v="49"/>
    <x v="1"/>
    <x v="165"/>
    <x v="231"/>
    <x v="51"/>
    <x v="1"/>
    <x v="1"/>
    <x v="5"/>
    <x v="1"/>
    <x v="1371"/>
    <x v="0"/>
    <x v="53"/>
    <x v="0"/>
    <x v="3"/>
    <x v="907"/>
    <x v="131"/>
    <x v="1379"/>
    <x v="7"/>
  </r>
  <r>
    <x v="49"/>
    <x v="2"/>
    <x v="165"/>
    <x v="231"/>
    <x v="41"/>
    <x v="1"/>
    <x v="1"/>
    <x v="5"/>
    <x v="1"/>
    <x v="847"/>
    <x v="0"/>
    <x v="35"/>
    <x v="1"/>
    <x v="0"/>
    <x v="570"/>
    <x v="87"/>
    <x v="848"/>
    <x v="7"/>
  </r>
  <r>
    <x v="50"/>
    <x v="0"/>
    <x v="155"/>
    <x v="192"/>
    <x v="54"/>
    <x v="1"/>
    <x v="2"/>
    <x v="2"/>
    <x v="1"/>
    <x v="1220"/>
    <x v="0"/>
    <x v="55"/>
    <x v="1"/>
    <x v="3"/>
    <x v="812"/>
    <x v="138"/>
    <x v="1121"/>
    <x v="7"/>
  </r>
  <r>
    <x v="51"/>
    <x v="0"/>
    <x v="23"/>
    <x v="104"/>
    <x v="72"/>
    <x v="2"/>
    <x v="1"/>
    <x v="9"/>
    <x v="5"/>
    <x v="1204"/>
    <x v="0"/>
    <x v="66"/>
    <x v="1"/>
    <x v="2"/>
    <x v="2010"/>
    <x v="464"/>
    <x v="1499"/>
    <x v="7"/>
  </r>
  <r>
    <x v="51"/>
    <x v="1"/>
    <x v="23"/>
    <x v="104"/>
    <x v="49"/>
    <x v="2"/>
    <x v="1"/>
    <x v="9"/>
    <x v="3"/>
    <x v="947"/>
    <x v="0"/>
    <x v="45"/>
    <x v="1"/>
    <x v="0"/>
    <x v="1555"/>
    <x v="272"/>
    <x v="1573"/>
    <x v="7"/>
  </r>
  <r>
    <x v="51"/>
    <x v="2"/>
    <x v="23"/>
    <x v="104"/>
    <x v="12"/>
    <x v="2"/>
    <x v="1"/>
    <x v="9"/>
    <x v="1"/>
    <x v="1731"/>
    <x v="0"/>
    <x v="75"/>
    <x v="1"/>
    <x v="1"/>
    <x v="1208"/>
    <x v="195"/>
    <x v="1489"/>
    <x v="7"/>
  </r>
  <r>
    <x v="52"/>
    <x v="0"/>
    <x v="143"/>
    <x v="4"/>
    <x v="64"/>
    <x v="1"/>
    <x v="2"/>
    <x v="3"/>
    <x v="1"/>
    <x v="1615"/>
    <x v="0"/>
    <x v="69"/>
    <x v="1"/>
    <x v="1"/>
    <x v="1127"/>
    <x v="179"/>
    <x v="1437"/>
    <x v="7"/>
  </r>
  <r>
    <x v="53"/>
    <x v="0"/>
    <x v="187"/>
    <x v="140"/>
    <x v="4"/>
    <x v="3"/>
    <x v="0"/>
    <x v="3"/>
    <x v="3"/>
    <x v="2094"/>
    <x v="0"/>
    <x v="94"/>
    <x v="1"/>
    <x v="1"/>
    <x v="2054"/>
    <x v="448"/>
    <x v="2043"/>
    <x v="7"/>
  </r>
  <r>
    <x v="53"/>
    <x v="1"/>
    <x v="187"/>
    <x v="140"/>
    <x v="34"/>
    <x v="3"/>
    <x v="0"/>
    <x v="3"/>
    <x v="1"/>
    <x v="1189"/>
    <x v="2"/>
    <x v="58"/>
    <x v="1"/>
    <x v="0"/>
    <x v="740"/>
    <x v="149"/>
    <x v="619"/>
    <x v="7"/>
  </r>
  <r>
    <x v="54"/>
    <x v="0"/>
    <x v="223"/>
    <x v="138"/>
    <x v="82"/>
    <x v="3"/>
    <x v="0"/>
    <x v="2"/>
    <x v="1"/>
    <x v="2007"/>
    <x v="4"/>
    <x v="96"/>
    <x v="1"/>
    <x v="2"/>
    <x v="1108"/>
    <x v="259"/>
    <x v="246"/>
    <x v="7"/>
  </r>
  <r>
    <x v="55"/>
    <x v="0"/>
    <x v="56"/>
    <x v="25"/>
    <x v="64"/>
    <x v="3"/>
    <x v="0"/>
    <x v="5"/>
    <x v="1"/>
    <x v="1632"/>
    <x v="3"/>
    <x v="69"/>
    <x v="1"/>
    <x v="0"/>
    <x v="984"/>
    <x v="179"/>
    <x v="1116"/>
    <x v="7"/>
  </r>
  <r>
    <x v="55"/>
    <x v="1"/>
    <x v="56"/>
    <x v="25"/>
    <x v="73"/>
    <x v="3"/>
    <x v="0"/>
    <x v="5"/>
    <x v="1"/>
    <x v="2256"/>
    <x v="0"/>
    <x v="84"/>
    <x v="1"/>
    <x v="2"/>
    <x v="1518"/>
    <x v="222"/>
    <x v="1784"/>
    <x v="7"/>
  </r>
  <r>
    <x v="55"/>
    <x v="2"/>
    <x v="56"/>
    <x v="25"/>
    <x v="40"/>
    <x v="3"/>
    <x v="0"/>
    <x v="5"/>
    <x v="4"/>
    <x v="1718"/>
    <x v="4"/>
    <x v="63"/>
    <x v="1"/>
    <x v="1"/>
    <x v="2014"/>
    <x v="417"/>
    <x v="2053"/>
    <x v="7"/>
  </r>
  <r>
    <x v="56"/>
    <x v="0"/>
    <x v="119"/>
    <x v="115"/>
    <x v="18"/>
    <x v="3"/>
    <x v="1"/>
    <x v="0"/>
    <x v="6"/>
    <x v="1610"/>
    <x v="3"/>
    <x v="59"/>
    <x v="1"/>
    <x v="0"/>
    <x v="2221"/>
    <x v="511"/>
    <x v="2246"/>
    <x v="7"/>
  </r>
  <r>
    <x v="57"/>
    <x v="0"/>
    <x v="75"/>
    <x v="221"/>
    <x v="47"/>
    <x v="1"/>
    <x v="0"/>
    <x v="3"/>
    <x v="1"/>
    <x v="1555"/>
    <x v="0"/>
    <x v="82"/>
    <x v="2"/>
    <x v="0"/>
    <x v="1083"/>
    <x v="215"/>
    <x v="991"/>
    <x v="7"/>
  </r>
  <r>
    <x v="57"/>
    <x v="1"/>
    <x v="75"/>
    <x v="221"/>
    <x v="38"/>
    <x v="1"/>
    <x v="0"/>
    <x v="3"/>
    <x v="1"/>
    <x v="1084"/>
    <x v="0"/>
    <x v="39"/>
    <x v="1"/>
    <x v="1"/>
    <x v="731"/>
    <x v="94"/>
    <x v="1233"/>
    <x v="7"/>
  </r>
  <r>
    <x v="58"/>
    <x v="0"/>
    <x v="246"/>
    <x v="68"/>
    <x v="37"/>
    <x v="3"/>
    <x v="0"/>
    <x v="2"/>
    <x v="3"/>
    <x v="1592"/>
    <x v="2"/>
    <x v="78"/>
    <x v="1"/>
    <x v="2"/>
    <x v="1904"/>
    <x v="399"/>
    <x v="1728"/>
    <x v="7"/>
  </r>
  <r>
    <x v="58"/>
    <x v="1"/>
    <x v="246"/>
    <x v="68"/>
    <x v="93"/>
    <x v="3"/>
    <x v="0"/>
    <x v="2"/>
    <x v="2"/>
    <x v="449"/>
    <x v="0"/>
    <x v="24"/>
    <x v="1"/>
    <x v="2"/>
    <x v="547"/>
    <x v="113"/>
    <x v="426"/>
    <x v="7"/>
  </r>
  <r>
    <x v="58"/>
    <x v="2"/>
    <x v="246"/>
    <x v="68"/>
    <x v="25"/>
    <x v="3"/>
    <x v="0"/>
    <x v="2"/>
    <x v="5"/>
    <x v="2059"/>
    <x v="0"/>
    <x v="72"/>
    <x v="1"/>
    <x v="3"/>
    <x v="2212"/>
    <x v="481"/>
    <x v="2253"/>
    <x v="7"/>
  </r>
  <r>
    <x v="58"/>
    <x v="3"/>
    <x v="246"/>
    <x v="68"/>
    <x v="43"/>
    <x v="3"/>
    <x v="0"/>
    <x v="2"/>
    <x v="5"/>
    <x v="27"/>
    <x v="0"/>
    <x v="1"/>
    <x v="1"/>
    <x v="0"/>
    <x v="229"/>
    <x v="34"/>
    <x v="468"/>
    <x v="7"/>
  </r>
  <r>
    <x v="58"/>
    <x v="4"/>
    <x v="246"/>
    <x v="68"/>
    <x v="74"/>
    <x v="3"/>
    <x v="0"/>
    <x v="2"/>
    <x v="1"/>
    <x v="2060"/>
    <x v="2"/>
    <x v="90"/>
    <x v="1"/>
    <x v="3"/>
    <x v="1264"/>
    <x v="239"/>
    <x v="1159"/>
    <x v="7"/>
  </r>
  <r>
    <x v="59"/>
    <x v="0"/>
    <x v="109"/>
    <x v="56"/>
    <x v="36"/>
    <x v="0"/>
    <x v="1"/>
    <x v="2"/>
    <x v="2"/>
    <x v="2274"/>
    <x v="0"/>
    <x v="91"/>
    <x v="1"/>
    <x v="0"/>
    <x v="1943"/>
    <x v="363"/>
    <x v="2066"/>
    <x v="7"/>
  </r>
  <r>
    <x v="60"/>
    <x v="0"/>
    <x v="153"/>
    <x v="214"/>
    <x v="93"/>
    <x v="1"/>
    <x v="0"/>
    <x v="3"/>
    <x v="1"/>
    <x v="503"/>
    <x v="4"/>
    <x v="24"/>
    <x v="1"/>
    <x v="3"/>
    <x v="236"/>
    <x v="56"/>
    <x v="55"/>
    <x v="7"/>
  </r>
  <r>
    <x v="60"/>
    <x v="1"/>
    <x v="153"/>
    <x v="214"/>
    <x v="24"/>
    <x v="1"/>
    <x v="0"/>
    <x v="3"/>
    <x v="3"/>
    <x v="620"/>
    <x v="0"/>
    <x v="19"/>
    <x v="1"/>
    <x v="0"/>
    <x v="1025"/>
    <x v="139"/>
    <x v="1552"/>
    <x v="7"/>
  </r>
  <r>
    <x v="61"/>
    <x v="0"/>
    <x v="158"/>
    <x v="3"/>
    <x v="52"/>
    <x v="1"/>
    <x v="2"/>
    <x v="0"/>
    <x v="1"/>
    <x v="996"/>
    <x v="1"/>
    <x v="40"/>
    <x v="1"/>
    <x v="0"/>
    <x v="629"/>
    <x v="95"/>
    <x v="981"/>
    <x v="7"/>
  </r>
  <r>
    <x v="61"/>
    <x v="1"/>
    <x v="158"/>
    <x v="3"/>
    <x v="26"/>
    <x v="1"/>
    <x v="2"/>
    <x v="0"/>
    <x v="6"/>
    <x v="2181"/>
    <x v="0"/>
    <x v="74"/>
    <x v="1"/>
    <x v="0"/>
    <x v="2276"/>
    <x v="537"/>
    <x v="2282"/>
    <x v="7"/>
  </r>
  <r>
    <x v="61"/>
    <x v="2"/>
    <x v="158"/>
    <x v="3"/>
    <x v="54"/>
    <x v="1"/>
    <x v="2"/>
    <x v="0"/>
    <x v="3"/>
    <x v="1236"/>
    <x v="4"/>
    <x v="55"/>
    <x v="1"/>
    <x v="1"/>
    <x v="1620"/>
    <x v="312"/>
    <x v="1440"/>
    <x v="7"/>
  </r>
  <r>
    <x v="62"/>
    <x v="0"/>
    <x v="211"/>
    <x v="166"/>
    <x v="70"/>
    <x v="2"/>
    <x v="0"/>
    <x v="3"/>
    <x v="3"/>
    <x v="1518"/>
    <x v="1"/>
    <x v="68"/>
    <x v="1"/>
    <x v="2"/>
    <x v="1906"/>
    <x v="376"/>
    <x v="1923"/>
    <x v="7"/>
  </r>
  <r>
    <x v="63"/>
    <x v="0"/>
    <x v="82"/>
    <x v="20"/>
    <x v="4"/>
    <x v="0"/>
    <x v="2"/>
    <x v="4"/>
    <x v="2"/>
    <x v="2002"/>
    <x v="1"/>
    <x v="94"/>
    <x v="1"/>
    <x v="0"/>
    <x v="1807"/>
    <x v="373"/>
    <x v="1648"/>
    <x v="7"/>
  </r>
  <r>
    <x v="63"/>
    <x v="1"/>
    <x v="82"/>
    <x v="20"/>
    <x v="44"/>
    <x v="0"/>
    <x v="2"/>
    <x v="4"/>
    <x v="1"/>
    <x v="1527"/>
    <x v="4"/>
    <x v="57"/>
    <x v="1"/>
    <x v="3"/>
    <x v="869"/>
    <x v="144"/>
    <x v="1175"/>
    <x v="7"/>
  </r>
  <r>
    <x v="64"/>
    <x v="0"/>
    <x v="228"/>
    <x v="6"/>
    <x v="48"/>
    <x v="2"/>
    <x v="1"/>
    <x v="0"/>
    <x v="1"/>
    <x v="411"/>
    <x v="0"/>
    <x v="17"/>
    <x v="1"/>
    <x v="3"/>
    <x v="255"/>
    <x v="39"/>
    <x v="475"/>
    <x v="7"/>
  </r>
  <r>
    <x v="64"/>
    <x v="1"/>
    <x v="228"/>
    <x v="6"/>
    <x v="0"/>
    <x v="2"/>
    <x v="1"/>
    <x v="0"/>
    <x v="3"/>
    <x v="912"/>
    <x v="0"/>
    <x v="32"/>
    <x v="1"/>
    <x v="1"/>
    <x v="1531"/>
    <x v="210"/>
    <x v="1855"/>
    <x v="7"/>
  </r>
  <r>
    <x v="64"/>
    <x v="2"/>
    <x v="228"/>
    <x v="6"/>
    <x v="59"/>
    <x v="2"/>
    <x v="1"/>
    <x v="0"/>
    <x v="3"/>
    <x v="1094"/>
    <x v="3"/>
    <x v="60"/>
    <x v="1"/>
    <x v="0"/>
    <x v="1566"/>
    <x v="342"/>
    <x v="39"/>
    <x v="7"/>
  </r>
  <r>
    <x v="64"/>
    <x v="3"/>
    <x v="228"/>
    <x v="6"/>
    <x v="86"/>
    <x v="2"/>
    <x v="1"/>
    <x v="0"/>
    <x v="3"/>
    <x v="1732"/>
    <x v="0"/>
    <x v="79"/>
    <x v="1"/>
    <x v="2"/>
    <x v="1988"/>
    <x v="408"/>
    <x v="2025"/>
    <x v="7"/>
  </r>
  <r>
    <x v="64"/>
    <x v="4"/>
    <x v="228"/>
    <x v="6"/>
    <x v="30"/>
    <x v="2"/>
    <x v="1"/>
    <x v="0"/>
    <x v="7"/>
    <x v="341"/>
    <x v="2"/>
    <x v="13"/>
    <x v="1"/>
    <x v="1"/>
    <x v="1613"/>
    <x v="278"/>
    <x v="1705"/>
    <x v="7"/>
  </r>
  <r>
    <x v="65"/>
    <x v="0"/>
    <x v="72"/>
    <x v="31"/>
    <x v="90"/>
    <x v="2"/>
    <x v="0"/>
    <x v="9"/>
    <x v="3"/>
    <x v="803"/>
    <x v="0"/>
    <x v="37"/>
    <x v="1"/>
    <x v="1"/>
    <x v="1408"/>
    <x v="246"/>
    <x v="1412"/>
    <x v="7"/>
  </r>
  <r>
    <x v="66"/>
    <x v="0"/>
    <x v="143"/>
    <x v="188"/>
    <x v="83"/>
    <x v="2"/>
    <x v="2"/>
    <x v="5"/>
    <x v="1"/>
    <x v="111"/>
    <x v="0"/>
    <x v="8"/>
    <x v="1"/>
    <x v="3"/>
    <x v="58"/>
    <x v="12"/>
    <x v="127"/>
    <x v="7"/>
  </r>
  <r>
    <x v="66"/>
    <x v="1"/>
    <x v="143"/>
    <x v="188"/>
    <x v="81"/>
    <x v="2"/>
    <x v="2"/>
    <x v="5"/>
    <x v="3"/>
    <x v="55"/>
    <x v="0"/>
    <x v="3"/>
    <x v="1"/>
    <x v="0"/>
    <x v="184"/>
    <x v="25"/>
    <x v="373"/>
    <x v="7"/>
  </r>
  <r>
    <x v="66"/>
    <x v="2"/>
    <x v="143"/>
    <x v="188"/>
    <x v="14"/>
    <x v="2"/>
    <x v="2"/>
    <x v="5"/>
    <x v="2"/>
    <x v="205"/>
    <x v="0"/>
    <x v="7"/>
    <x v="1"/>
    <x v="1"/>
    <x v="270"/>
    <x v="29"/>
    <x v="633"/>
    <x v="7"/>
  </r>
  <r>
    <x v="67"/>
    <x v="0"/>
    <x v="60"/>
    <x v="60"/>
    <x v="17"/>
    <x v="3"/>
    <x v="2"/>
    <x v="6"/>
    <x v="2"/>
    <x v="2177"/>
    <x v="0"/>
    <x v="92"/>
    <x v="1"/>
    <x v="1"/>
    <x v="1903"/>
    <x v="368"/>
    <x v="1952"/>
    <x v="7"/>
  </r>
  <r>
    <x v="68"/>
    <x v="0"/>
    <x v="59"/>
    <x v="19"/>
    <x v="47"/>
    <x v="2"/>
    <x v="1"/>
    <x v="0"/>
    <x v="2"/>
    <x v="1628"/>
    <x v="3"/>
    <x v="82"/>
    <x v="1"/>
    <x v="3"/>
    <x v="1623"/>
    <x v="334"/>
    <x v="1064"/>
    <x v="7"/>
  </r>
  <r>
    <x v="68"/>
    <x v="1"/>
    <x v="59"/>
    <x v="19"/>
    <x v="16"/>
    <x v="2"/>
    <x v="1"/>
    <x v="0"/>
    <x v="1"/>
    <x v="1242"/>
    <x v="0"/>
    <x v="51"/>
    <x v="2"/>
    <x v="0"/>
    <x v="829"/>
    <x v="123"/>
    <x v="1257"/>
    <x v="7"/>
  </r>
  <r>
    <x v="68"/>
    <x v="2"/>
    <x v="59"/>
    <x v="19"/>
    <x v="61"/>
    <x v="2"/>
    <x v="1"/>
    <x v="0"/>
    <x v="3"/>
    <x v="914"/>
    <x v="1"/>
    <x v="46"/>
    <x v="1"/>
    <x v="0"/>
    <x v="1486"/>
    <x v="275"/>
    <x v="1241"/>
    <x v="7"/>
  </r>
  <r>
    <x v="68"/>
    <x v="3"/>
    <x v="59"/>
    <x v="19"/>
    <x v="76"/>
    <x v="2"/>
    <x v="1"/>
    <x v="0"/>
    <x v="1"/>
    <x v="748"/>
    <x v="4"/>
    <x v="36"/>
    <x v="1"/>
    <x v="2"/>
    <x v="407"/>
    <x v="88"/>
    <x v="206"/>
    <x v="7"/>
  </r>
  <r>
    <x v="69"/>
    <x v="0"/>
    <x v="20"/>
    <x v="225"/>
    <x v="35"/>
    <x v="1"/>
    <x v="2"/>
    <x v="8"/>
    <x v="1"/>
    <x v="243"/>
    <x v="0"/>
    <x v="11"/>
    <x v="1"/>
    <x v="3"/>
    <x v="138"/>
    <x v="20"/>
    <x v="324"/>
    <x v="7"/>
  </r>
  <r>
    <x v="69"/>
    <x v="1"/>
    <x v="20"/>
    <x v="225"/>
    <x v="59"/>
    <x v="1"/>
    <x v="2"/>
    <x v="8"/>
    <x v="2"/>
    <x v="1203"/>
    <x v="0"/>
    <x v="60"/>
    <x v="1"/>
    <x v="0"/>
    <x v="1476"/>
    <x v="270"/>
    <x v="1305"/>
    <x v="7"/>
  </r>
  <r>
    <x v="69"/>
    <x v="2"/>
    <x v="20"/>
    <x v="225"/>
    <x v="21"/>
    <x v="1"/>
    <x v="2"/>
    <x v="8"/>
    <x v="4"/>
    <x v="426"/>
    <x v="1"/>
    <x v="18"/>
    <x v="1"/>
    <x v="0"/>
    <x v="903"/>
    <x v="167"/>
    <x v="1002"/>
    <x v="7"/>
  </r>
  <r>
    <x v="70"/>
    <x v="0"/>
    <x v="6"/>
    <x v="252"/>
    <x v="87"/>
    <x v="1"/>
    <x v="2"/>
    <x v="6"/>
    <x v="1"/>
    <x v="591"/>
    <x v="4"/>
    <x v="33"/>
    <x v="1"/>
    <x v="2"/>
    <x v="295"/>
    <x v="75"/>
    <x v="32"/>
    <x v="7"/>
  </r>
  <r>
    <x v="70"/>
    <x v="1"/>
    <x v="6"/>
    <x v="252"/>
    <x v="46"/>
    <x v="1"/>
    <x v="2"/>
    <x v="6"/>
    <x v="7"/>
    <x v="1776"/>
    <x v="2"/>
    <x v="85"/>
    <x v="1"/>
    <x v="2"/>
    <x v="2281"/>
    <x v="565"/>
    <x v="2240"/>
    <x v="7"/>
  </r>
  <r>
    <x v="70"/>
    <x v="2"/>
    <x v="6"/>
    <x v="252"/>
    <x v="2"/>
    <x v="1"/>
    <x v="2"/>
    <x v="6"/>
    <x v="5"/>
    <x v="792"/>
    <x v="4"/>
    <x v="48"/>
    <x v="1"/>
    <x v="1"/>
    <x v="1608"/>
    <x v="380"/>
    <x v="2"/>
    <x v="7"/>
  </r>
  <r>
    <x v="71"/>
    <x v="0"/>
    <x v="3"/>
    <x v="219"/>
    <x v="39"/>
    <x v="3"/>
    <x v="2"/>
    <x v="8"/>
    <x v="3"/>
    <x v="1826"/>
    <x v="3"/>
    <x v="93"/>
    <x v="1"/>
    <x v="0"/>
    <x v="1940"/>
    <x v="447"/>
    <x v="1040"/>
    <x v="7"/>
  </r>
  <r>
    <x v="71"/>
    <x v="1"/>
    <x v="3"/>
    <x v="219"/>
    <x v="91"/>
    <x v="3"/>
    <x v="2"/>
    <x v="8"/>
    <x v="1"/>
    <x v="1998"/>
    <x v="4"/>
    <x v="81"/>
    <x v="1"/>
    <x v="1"/>
    <x v="1104"/>
    <x v="212"/>
    <x v="1070"/>
    <x v="7"/>
  </r>
  <r>
    <x v="71"/>
    <x v="2"/>
    <x v="3"/>
    <x v="219"/>
    <x v="77"/>
    <x v="3"/>
    <x v="2"/>
    <x v="8"/>
    <x v="1"/>
    <x v="213"/>
    <x v="0"/>
    <x v="9"/>
    <x v="1"/>
    <x v="0"/>
    <x v="115"/>
    <x v="16"/>
    <x v="289"/>
    <x v="7"/>
  </r>
  <r>
    <x v="71"/>
    <x v="3"/>
    <x v="3"/>
    <x v="219"/>
    <x v="61"/>
    <x v="3"/>
    <x v="2"/>
    <x v="8"/>
    <x v="3"/>
    <x v="972"/>
    <x v="3"/>
    <x v="46"/>
    <x v="1"/>
    <x v="0"/>
    <x v="1438"/>
    <x v="275"/>
    <x v="1083"/>
    <x v="7"/>
  </r>
  <r>
    <x v="71"/>
    <x v="4"/>
    <x v="3"/>
    <x v="219"/>
    <x v="21"/>
    <x v="3"/>
    <x v="2"/>
    <x v="8"/>
    <x v="1"/>
    <x v="381"/>
    <x v="2"/>
    <x v="18"/>
    <x v="1"/>
    <x v="1"/>
    <x v="217"/>
    <x v="41"/>
    <x v="158"/>
    <x v="7"/>
  </r>
  <r>
    <x v="72"/>
    <x v="0"/>
    <x v="162"/>
    <x v="24"/>
    <x v="26"/>
    <x v="0"/>
    <x v="2"/>
    <x v="0"/>
    <x v="2"/>
    <x v="2042"/>
    <x v="1"/>
    <x v="74"/>
    <x v="1"/>
    <x v="3"/>
    <x v="1826"/>
    <x v="313"/>
    <x v="2015"/>
    <x v="7"/>
  </r>
  <r>
    <x v="72"/>
    <x v="1"/>
    <x v="162"/>
    <x v="24"/>
    <x v="37"/>
    <x v="0"/>
    <x v="2"/>
    <x v="0"/>
    <x v="1"/>
    <x v="1539"/>
    <x v="0"/>
    <x v="78"/>
    <x v="1"/>
    <x v="1"/>
    <x v="1072"/>
    <x v="202"/>
    <x v="1124"/>
    <x v="7"/>
  </r>
  <r>
    <x v="72"/>
    <x v="2"/>
    <x v="162"/>
    <x v="24"/>
    <x v="80"/>
    <x v="0"/>
    <x v="2"/>
    <x v="0"/>
    <x v="1"/>
    <x v="1128"/>
    <x v="2"/>
    <x v="56"/>
    <x v="1"/>
    <x v="0"/>
    <x v="693"/>
    <x v="142"/>
    <x v="640"/>
    <x v="7"/>
  </r>
  <r>
    <x v="73"/>
    <x v="0"/>
    <x v="114"/>
    <x v="184"/>
    <x v="67"/>
    <x v="0"/>
    <x v="0"/>
    <x v="7"/>
    <x v="3"/>
    <x v="992"/>
    <x v="1"/>
    <x v="43"/>
    <x v="1"/>
    <x v="0"/>
    <x v="1557"/>
    <x v="265"/>
    <x v="1625"/>
    <x v="7"/>
  </r>
  <r>
    <x v="73"/>
    <x v="1"/>
    <x v="114"/>
    <x v="184"/>
    <x v="70"/>
    <x v="0"/>
    <x v="0"/>
    <x v="7"/>
    <x v="1"/>
    <x v="1748"/>
    <x v="0"/>
    <x v="68"/>
    <x v="1"/>
    <x v="2"/>
    <x v="1221"/>
    <x v="178"/>
    <x v="1592"/>
    <x v="7"/>
  </r>
  <r>
    <x v="74"/>
    <x v="0"/>
    <x v="227"/>
    <x v="7"/>
    <x v="42"/>
    <x v="0"/>
    <x v="1"/>
    <x v="4"/>
    <x v="4"/>
    <x v="490"/>
    <x v="0"/>
    <x v="23"/>
    <x v="1"/>
    <x v="1"/>
    <x v="1026"/>
    <x v="207"/>
    <x v="892"/>
    <x v="7"/>
  </r>
  <r>
    <x v="74"/>
    <x v="1"/>
    <x v="227"/>
    <x v="7"/>
    <x v="35"/>
    <x v="0"/>
    <x v="1"/>
    <x v="4"/>
    <x v="1"/>
    <x v="275"/>
    <x v="0"/>
    <x v="11"/>
    <x v="1"/>
    <x v="0"/>
    <x v="160"/>
    <x v="20"/>
    <x v="417"/>
    <x v="7"/>
  </r>
  <r>
    <x v="74"/>
    <x v="2"/>
    <x v="227"/>
    <x v="7"/>
    <x v="41"/>
    <x v="0"/>
    <x v="1"/>
    <x v="4"/>
    <x v="2"/>
    <x v="938"/>
    <x v="2"/>
    <x v="35"/>
    <x v="1"/>
    <x v="0"/>
    <x v="1018"/>
    <x v="163"/>
    <x v="1309"/>
    <x v="7"/>
  </r>
  <r>
    <x v="75"/>
    <x v="0"/>
    <x v="209"/>
    <x v="114"/>
    <x v="40"/>
    <x v="2"/>
    <x v="1"/>
    <x v="3"/>
    <x v="3"/>
    <x v="1758"/>
    <x v="2"/>
    <x v="63"/>
    <x v="1"/>
    <x v="3"/>
    <x v="1953"/>
    <x v="360"/>
    <x v="2073"/>
    <x v="7"/>
  </r>
  <r>
    <x v="75"/>
    <x v="1"/>
    <x v="209"/>
    <x v="114"/>
    <x v="88"/>
    <x v="2"/>
    <x v="1"/>
    <x v="3"/>
    <x v="5"/>
    <x v="2100"/>
    <x v="1"/>
    <x v="86"/>
    <x v="1"/>
    <x v="3"/>
    <x v="2205"/>
    <x v="508"/>
    <x v="2211"/>
    <x v="7"/>
  </r>
  <r>
    <x v="76"/>
    <x v="0"/>
    <x v="217"/>
    <x v="68"/>
    <x v="69"/>
    <x v="0"/>
    <x v="2"/>
    <x v="5"/>
    <x v="4"/>
    <x v="136"/>
    <x v="0"/>
    <x v="10"/>
    <x v="1"/>
    <x v="3"/>
    <x v="434"/>
    <x v="84"/>
    <x v="408"/>
    <x v="7"/>
  </r>
  <r>
    <x v="76"/>
    <x v="1"/>
    <x v="217"/>
    <x v="68"/>
    <x v="88"/>
    <x v="0"/>
    <x v="2"/>
    <x v="5"/>
    <x v="3"/>
    <x v="2075"/>
    <x v="4"/>
    <x v="86"/>
    <x v="1"/>
    <x v="1"/>
    <x v="1962"/>
    <x v="426"/>
    <x v="1767"/>
    <x v="7"/>
  </r>
  <r>
    <x v="76"/>
    <x v="2"/>
    <x v="217"/>
    <x v="68"/>
    <x v="64"/>
    <x v="0"/>
    <x v="2"/>
    <x v="5"/>
    <x v="2"/>
    <x v="1799"/>
    <x v="2"/>
    <x v="69"/>
    <x v="1"/>
    <x v="1"/>
    <x v="1711"/>
    <x v="296"/>
    <x v="1909"/>
    <x v="7"/>
  </r>
  <r>
    <x v="77"/>
    <x v="0"/>
    <x v="109"/>
    <x v="1"/>
    <x v="39"/>
    <x v="1"/>
    <x v="1"/>
    <x v="0"/>
    <x v="1"/>
    <x v="2058"/>
    <x v="0"/>
    <x v="93"/>
    <x v="2"/>
    <x v="0"/>
    <x v="1386"/>
    <x v="247"/>
    <x v="1362"/>
    <x v="7"/>
  </r>
  <r>
    <x v="78"/>
    <x v="0"/>
    <x v="11"/>
    <x v="60"/>
    <x v="62"/>
    <x v="0"/>
    <x v="1"/>
    <x v="1"/>
    <x v="1"/>
    <x v="1316"/>
    <x v="0"/>
    <x v="67"/>
    <x v="1"/>
    <x v="1"/>
    <x v="875"/>
    <x v="177"/>
    <x v="828"/>
    <x v="7"/>
  </r>
  <r>
    <x v="78"/>
    <x v="1"/>
    <x v="11"/>
    <x v="60"/>
    <x v="90"/>
    <x v="0"/>
    <x v="1"/>
    <x v="1"/>
    <x v="3"/>
    <x v="822"/>
    <x v="0"/>
    <x v="37"/>
    <x v="1"/>
    <x v="0"/>
    <x v="1430"/>
    <x v="246"/>
    <x v="1473"/>
    <x v="7"/>
  </r>
  <r>
    <x v="79"/>
    <x v="0"/>
    <x v="261"/>
    <x v="228"/>
    <x v="32"/>
    <x v="1"/>
    <x v="2"/>
    <x v="0"/>
    <x v="1"/>
    <x v="1230"/>
    <x v="1"/>
    <x v="50"/>
    <x v="1"/>
    <x v="3"/>
    <x v="798"/>
    <x v="119"/>
    <x v="1218"/>
    <x v="7"/>
  </r>
  <r>
    <x v="79"/>
    <x v="1"/>
    <x v="261"/>
    <x v="228"/>
    <x v="49"/>
    <x v="1"/>
    <x v="2"/>
    <x v="0"/>
    <x v="1"/>
    <x v="921"/>
    <x v="0"/>
    <x v="45"/>
    <x v="1"/>
    <x v="3"/>
    <x v="614"/>
    <x v="106"/>
    <x v="791"/>
    <x v="7"/>
  </r>
  <r>
    <x v="79"/>
    <x v="2"/>
    <x v="261"/>
    <x v="228"/>
    <x v="72"/>
    <x v="1"/>
    <x v="2"/>
    <x v="0"/>
    <x v="4"/>
    <x v="1265"/>
    <x v="4"/>
    <x v="66"/>
    <x v="1"/>
    <x v="1"/>
    <x v="1820"/>
    <x v="425"/>
    <x v="21"/>
    <x v="7"/>
  </r>
  <r>
    <x v="80"/>
    <x v="0"/>
    <x v="213"/>
    <x v="209"/>
    <x v="11"/>
    <x v="1"/>
    <x v="2"/>
    <x v="1"/>
    <x v="3"/>
    <x v="2248"/>
    <x v="0"/>
    <x v="87"/>
    <x v="1"/>
    <x v="2"/>
    <x v="2092"/>
    <x v="433"/>
    <x v="2176"/>
    <x v="7"/>
  </r>
  <r>
    <x v="80"/>
    <x v="1"/>
    <x v="213"/>
    <x v="209"/>
    <x v="6"/>
    <x v="1"/>
    <x v="2"/>
    <x v="1"/>
    <x v="1"/>
    <x v="1409"/>
    <x v="0"/>
    <x v="76"/>
    <x v="2"/>
    <x v="3"/>
    <x v="946"/>
    <x v="198"/>
    <x v="845"/>
    <x v="7"/>
  </r>
  <r>
    <x v="81"/>
    <x v="0"/>
    <x v="73"/>
    <x v="229"/>
    <x v="3"/>
    <x v="1"/>
    <x v="2"/>
    <x v="6"/>
    <x v="4"/>
    <x v="1767"/>
    <x v="0"/>
    <x v="73"/>
    <x v="1"/>
    <x v="0"/>
    <x v="2109"/>
    <x v="443"/>
    <x v="2184"/>
    <x v="7"/>
  </r>
  <r>
    <x v="81"/>
    <x v="1"/>
    <x v="73"/>
    <x v="229"/>
    <x v="25"/>
    <x v="1"/>
    <x v="2"/>
    <x v="6"/>
    <x v="1"/>
    <x v="2219"/>
    <x v="0"/>
    <x v="72"/>
    <x v="1"/>
    <x v="3"/>
    <x v="1481"/>
    <x v="189"/>
    <x v="1865"/>
    <x v="7"/>
  </r>
  <r>
    <x v="82"/>
    <x v="0"/>
    <x v="33"/>
    <x v="155"/>
    <x v="29"/>
    <x v="1"/>
    <x v="1"/>
    <x v="7"/>
    <x v="4"/>
    <x v="2245"/>
    <x v="0"/>
    <x v="97"/>
    <x v="1"/>
    <x v="0"/>
    <x v="2185"/>
    <x v="512"/>
    <x v="2144"/>
    <x v="7"/>
  </r>
  <r>
    <x v="82"/>
    <x v="1"/>
    <x v="33"/>
    <x v="155"/>
    <x v="76"/>
    <x v="1"/>
    <x v="1"/>
    <x v="7"/>
    <x v="1"/>
    <x v="764"/>
    <x v="4"/>
    <x v="36"/>
    <x v="1"/>
    <x v="1"/>
    <x v="417"/>
    <x v="88"/>
    <x v="230"/>
    <x v="7"/>
  </r>
  <r>
    <x v="82"/>
    <x v="2"/>
    <x v="33"/>
    <x v="155"/>
    <x v="58"/>
    <x v="1"/>
    <x v="1"/>
    <x v="7"/>
    <x v="1"/>
    <x v="1836"/>
    <x v="0"/>
    <x v="99"/>
    <x v="1"/>
    <x v="1"/>
    <x v="1283"/>
    <x v="273"/>
    <x v="605"/>
    <x v="7"/>
  </r>
  <r>
    <x v="83"/>
    <x v="0"/>
    <x v="107"/>
    <x v="88"/>
    <x v="43"/>
    <x v="3"/>
    <x v="2"/>
    <x v="1"/>
    <x v="3"/>
    <x v="32"/>
    <x v="1"/>
    <x v="1"/>
    <x v="2"/>
    <x v="2"/>
    <x v="111"/>
    <x v="17"/>
    <x v="262"/>
    <x v="7"/>
  </r>
  <r>
    <x v="83"/>
    <x v="1"/>
    <x v="107"/>
    <x v="88"/>
    <x v="8"/>
    <x v="3"/>
    <x v="2"/>
    <x v="1"/>
    <x v="1"/>
    <x v="738"/>
    <x v="0"/>
    <x v="28"/>
    <x v="1"/>
    <x v="0"/>
    <x v="476"/>
    <x v="64"/>
    <x v="873"/>
    <x v="7"/>
  </r>
  <r>
    <x v="83"/>
    <x v="2"/>
    <x v="107"/>
    <x v="88"/>
    <x v="12"/>
    <x v="3"/>
    <x v="2"/>
    <x v="1"/>
    <x v="4"/>
    <x v="1672"/>
    <x v="0"/>
    <x v="75"/>
    <x v="1"/>
    <x v="0"/>
    <x v="2089"/>
    <x v="446"/>
    <x v="2141"/>
    <x v="7"/>
  </r>
  <r>
    <x v="84"/>
    <x v="0"/>
    <x v="13"/>
    <x v="143"/>
    <x v="65"/>
    <x v="1"/>
    <x v="0"/>
    <x v="7"/>
    <x v="2"/>
    <x v="1949"/>
    <x v="0"/>
    <x v="95"/>
    <x v="1"/>
    <x v="0"/>
    <x v="1832"/>
    <x v="381"/>
    <x v="1634"/>
    <x v="7"/>
  </r>
  <r>
    <x v="84"/>
    <x v="1"/>
    <x v="13"/>
    <x v="143"/>
    <x v="73"/>
    <x v="1"/>
    <x v="0"/>
    <x v="7"/>
    <x v="2"/>
    <x v="2240"/>
    <x v="4"/>
    <x v="84"/>
    <x v="0"/>
    <x v="1"/>
    <x v="1779"/>
    <x v="343"/>
    <x v="1815"/>
    <x v="7"/>
  </r>
  <r>
    <x v="84"/>
    <x v="2"/>
    <x v="13"/>
    <x v="143"/>
    <x v="29"/>
    <x v="1"/>
    <x v="0"/>
    <x v="7"/>
    <x v="1"/>
    <x v="2199"/>
    <x v="0"/>
    <x v="97"/>
    <x v="1"/>
    <x v="2"/>
    <x v="1464"/>
    <x v="269"/>
    <x v="1304"/>
    <x v="7"/>
  </r>
  <r>
    <x v="84"/>
    <x v="3"/>
    <x v="13"/>
    <x v="143"/>
    <x v="62"/>
    <x v="1"/>
    <x v="0"/>
    <x v="7"/>
    <x v="4"/>
    <x v="1287"/>
    <x v="4"/>
    <x v="67"/>
    <x v="1"/>
    <x v="2"/>
    <x v="1829"/>
    <x v="429"/>
    <x v="24"/>
    <x v="7"/>
  </r>
  <r>
    <x v="84"/>
    <x v="4"/>
    <x v="13"/>
    <x v="143"/>
    <x v="50"/>
    <x v="1"/>
    <x v="0"/>
    <x v="7"/>
    <x v="1"/>
    <x v="1841"/>
    <x v="0"/>
    <x v="77"/>
    <x v="1"/>
    <x v="1"/>
    <x v="1286"/>
    <x v="200"/>
    <x v="1564"/>
    <x v="7"/>
  </r>
  <r>
    <x v="85"/>
    <x v="0"/>
    <x v="35"/>
    <x v="92"/>
    <x v="7"/>
    <x v="1"/>
    <x v="1"/>
    <x v="9"/>
    <x v="2"/>
    <x v="63"/>
    <x v="1"/>
    <x v="4"/>
    <x v="1"/>
    <x v="0"/>
    <x v="100"/>
    <x v="19"/>
    <x v="180"/>
    <x v="7"/>
  </r>
  <r>
    <x v="85"/>
    <x v="1"/>
    <x v="35"/>
    <x v="92"/>
    <x v="51"/>
    <x v="1"/>
    <x v="1"/>
    <x v="9"/>
    <x v="2"/>
    <x v="1405"/>
    <x v="0"/>
    <x v="53"/>
    <x v="1"/>
    <x v="0"/>
    <x v="1606"/>
    <x v="240"/>
    <x v="1910"/>
    <x v="7"/>
  </r>
  <r>
    <x v="86"/>
    <x v="0"/>
    <x v="150"/>
    <x v="35"/>
    <x v="66"/>
    <x v="3"/>
    <x v="0"/>
    <x v="0"/>
    <x v="4"/>
    <x v="524"/>
    <x v="4"/>
    <x v="21"/>
    <x v="1"/>
    <x v="1"/>
    <x v="886"/>
    <x v="190"/>
    <x v="708"/>
    <x v="7"/>
  </r>
  <r>
    <x v="87"/>
    <x v="0"/>
    <x v="259"/>
    <x v="124"/>
    <x v="96"/>
    <x v="1"/>
    <x v="0"/>
    <x v="6"/>
    <x v="3"/>
    <x v="526"/>
    <x v="0"/>
    <x v="22"/>
    <x v="1"/>
    <x v="0"/>
    <x v="847"/>
    <x v="155"/>
    <x v="942"/>
    <x v="7"/>
  </r>
  <r>
    <x v="87"/>
    <x v="1"/>
    <x v="259"/>
    <x v="124"/>
    <x v="84"/>
    <x v="1"/>
    <x v="0"/>
    <x v="6"/>
    <x v="2"/>
    <x v="1897"/>
    <x v="2"/>
    <x v="89"/>
    <x v="1"/>
    <x v="0"/>
    <x v="1737"/>
    <x v="356"/>
    <x v="1484"/>
    <x v="7"/>
  </r>
  <r>
    <x v="87"/>
    <x v="2"/>
    <x v="259"/>
    <x v="124"/>
    <x v="13"/>
    <x v="1"/>
    <x v="0"/>
    <x v="6"/>
    <x v="2"/>
    <x v="1331"/>
    <x v="0"/>
    <x v="70"/>
    <x v="1"/>
    <x v="3"/>
    <x v="1562"/>
    <x v="298"/>
    <x v="1254"/>
    <x v="7"/>
  </r>
  <r>
    <x v="88"/>
    <x v="0"/>
    <x v="229"/>
    <x v="193"/>
    <x v="71"/>
    <x v="0"/>
    <x v="1"/>
    <x v="7"/>
    <x v="3"/>
    <x v="208"/>
    <x v="2"/>
    <x v="6"/>
    <x v="1"/>
    <x v="1"/>
    <x v="365"/>
    <x v="46"/>
    <x v="742"/>
    <x v="7"/>
  </r>
  <r>
    <x v="88"/>
    <x v="1"/>
    <x v="229"/>
    <x v="193"/>
    <x v="36"/>
    <x v="0"/>
    <x v="1"/>
    <x v="7"/>
    <x v="1"/>
    <x v="2228"/>
    <x v="0"/>
    <x v="91"/>
    <x v="1"/>
    <x v="2"/>
    <x v="1488"/>
    <x v="241"/>
    <x v="1641"/>
    <x v="7"/>
  </r>
  <r>
    <x v="88"/>
    <x v="2"/>
    <x v="229"/>
    <x v="193"/>
    <x v="80"/>
    <x v="0"/>
    <x v="1"/>
    <x v="7"/>
    <x v="1"/>
    <x v="1113"/>
    <x v="0"/>
    <x v="56"/>
    <x v="1"/>
    <x v="3"/>
    <x v="755"/>
    <x v="142"/>
    <x v="834"/>
    <x v="7"/>
  </r>
  <r>
    <x v="88"/>
    <x v="3"/>
    <x v="229"/>
    <x v="193"/>
    <x v="48"/>
    <x v="0"/>
    <x v="1"/>
    <x v="7"/>
    <x v="1"/>
    <x v="427"/>
    <x v="0"/>
    <x v="17"/>
    <x v="1"/>
    <x v="3"/>
    <x v="265"/>
    <x v="39"/>
    <x v="495"/>
    <x v="7"/>
  </r>
  <r>
    <x v="88"/>
    <x v="4"/>
    <x v="229"/>
    <x v="193"/>
    <x v="49"/>
    <x v="0"/>
    <x v="1"/>
    <x v="7"/>
    <x v="6"/>
    <x v="894"/>
    <x v="0"/>
    <x v="45"/>
    <x v="1"/>
    <x v="1"/>
    <x v="2050"/>
    <x v="452"/>
    <x v="2002"/>
    <x v="7"/>
  </r>
  <r>
    <x v="89"/>
    <x v="0"/>
    <x v="31"/>
    <x v="183"/>
    <x v="36"/>
    <x v="3"/>
    <x v="2"/>
    <x v="8"/>
    <x v="2"/>
    <x v="2158"/>
    <x v="0"/>
    <x v="91"/>
    <x v="1"/>
    <x v="0"/>
    <x v="1896"/>
    <x v="363"/>
    <x v="1954"/>
    <x v="7"/>
  </r>
  <r>
    <x v="89"/>
    <x v="1"/>
    <x v="31"/>
    <x v="183"/>
    <x v="35"/>
    <x v="3"/>
    <x v="2"/>
    <x v="8"/>
    <x v="1"/>
    <x v="248"/>
    <x v="0"/>
    <x v="11"/>
    <x v="1"/>
    <x v="1"/>
    <x v="143"/>
    <x v="20"/>
    <x v="341"/>
    <x v="7"/>
  </r>
  <r>
    <x v="90"/>
    <x v="0"/>
    <x v="74"/>
    <x v="204"/>
    <x v="3"/>
    <x v="2"/>
    <x v="2"/>
    <x v="4"/>
    <x v="5"/>
    <x v="1961"/>
    <x v="1"/>
    <x v="73"/>
    <x v="1"/>
    <x v="2"/>
    <x v="2187"/>
    <x v="482"/>
    <x v="2231"/>
    <x v="7"/>
  </r>
  <r>
    <x v="90"/>
    <x v="1"/>
    <x v="74"/>
    <x v="204"/>
    <x v="27"/>
    <x v="2"/>
    <x v="2"/>
    <x v="4"/>
    <x v="1"/>
    <x v="1329"/>
    <x v="3"/>
    <x v="61"/>
    <x v="1"/>
    <x v="0"/>
    <x v="780"/>
    <x v="156"/>
    <x v="647"/>
    <x v="7"/>
  </r>
  <r>
    <x v="91"/>
    <x v="0"/>
    <x v="71"/>
    <x v="187"/>
    <x v="5"/>
    <x v="1"/>
    <x v="1"/>
    <x v="3"/>
    <x v="1"/>
    <x v="656"/>
    <x v="1"/>
    <x v="31"/>
    <x v="1"/>
    <x v="1"/>
    <x v="403"/>
    <x v="70"/>
    <x v="551"/>
    <x v="7"/>
  </r>
  <r>
    <x v="91"/>
    <x v="1"/>
    <x v="71"/>
    <x v="187"/>
    <x v="20"/>
    <x v="1"/>
    <x v="1"/>
    <x v="3"/>
    <x v="1"/>
    <x v="163"/>
    <x v="0"/>
    <x v="5"/>
    <x v="1"/>
    <x v="3"/>
    <x v="96"/>
    <x v="9"/>
    <x v="318"/>
    <x v="7"/>
  </r>
  <r>
    <x v="92"/>
    <x v="0"/>
    <x v="136"/>
    <x v="177"/>
    <x v="37"/>
    <x v="3"/>
    <x v="2"/>
    <x v="9"/>
    <x v="5"/>
    <x v="1512"/>
    <x v="0"/>
    <x v="78"/>
    <x v="1"/>
    <x v="3"/>
    <x v="2128"/>
    <x v="492"/>
    <x v="2065"/>
    <x v="7"/>
  </r>
  <r>
    <x v="92"/>
    <x v="1"/>
    <x v="136"/>
    <x v="177"/>
    <x v="34"/>
    <x v="3"/>
    <x v="2"/>
    <x v="9"/>
    <x v="1"/>
    <x v="1304"/>
    <x v="4"/>
    <x v="58"/>
    <x v="1"/>
    <x v="1"/>
    <x v="735"/>
    <x v="149"/>
    <x v="602"/>
    <x v="7"/>
  </r>
  <r>
    <x v="92"/>
    <x v="2"/>
    <x v="136"/>
    <x v="177"/>
    <x v="44"/>
    <x v="3"/>
    <x v="2"/>
    <x v="9"/>
    <x v="1"/>
    <x v="1553"/>
    <x v="0"/>
    <x v="57"/>
    <x v="1"/>
    <x v="1"/>
    <x v="1081"/>
    <x v="144"/>
    <x v="1590"/>
    <x v="7"/>
  </r>
  <r>
    <x v="93"/>
    <x v="0"/>
    <x v="114"/>
    <x v="93"/>
    <x v="43"/>
    <x v="0"/>
    <x v="2"/>
    <x v="5"/>
    <x v="6"/>
    <x v="34"/>
    <x v="0"/>
    <x v="1"/>
    <x v="2"/>
    <x v="0"/>
    <x v="392"/>
    <x v="55"/>
    <x v="700"/>
    <x v="7"/>
  </r>
  <r>
    <x v="93"/>
    <x v="1"/>
    <x v="114"/>
    <x v="93"/>
    <x v="7"/>
    <x v="0"/>
    <x v="2"/>
    <x v="5"/>
    <x v="2"/>
    <x v="108"/>
    <x v="4"/>
    <x v="4"/>
    <x v="1"/>
    <x v="1"/>
    <x v="101"/>
    <x v="19"/>
    <x v="183"/>
    <x v="7"/>
  </r>
  <r>
    <x v="93"/>
    <x v="2"/>
    <x v="114"/>
    <x v="93"/>
    <x v="99"/>
    <x v="0"/>
    <x v="2"/>
    <x v="5"/>
    <x v="4"/>
    <x v="2085"/>
    <x v="0"/>
    <x v="80"/>
    <x v="1"/>
    <x v="1"/>
    <x v="2156"/>
    <x v="459"/>
    <x v="2215"/>
    <x v="7"/>
  </r>
  <r>
    <x v="94"/>
    <x v="0"/>
    <x v="208"/>
    <x v="184"/>
    <x v="15"/>
    <x v="3"/>
    <x v="2"/>
    <x v="4"/>
    <x v="1"/>
    <x v="1025"/>
    <x v="1"/>
    <x v="38"/>
    <x v="1"/>
    <x v="2"/>
    <x v="647"/>
    <x v="93"/>
    <x v="1051"/>
    <x v="7"/>
  </r>
  <r>
    <x v="95"/>
    <x v="0"/>
    <x v="8"/>
    <x v="103"/>
    <x v="17"/>
    <x v="1"/>
    <x v="0"/>
    <x v="4"/>
    <x v="1"/>
    <x v="2123"/>
    <x v="3"/>
    <x v="92"/>
    <x v="1"/>
    <x v="2"/>
    <x v="1226"/>
    <x v="245"/>
    <x v="1008"/>
    <x v="7"/>
  </r>
  <r>
    <x v="95"/>
    <x v="1"/>
    <x v="8"/>
    <x v="103"/>
    <x v="45"/>
    <x v="1"/>
    <x v="0"/>
    <x v="4"/>
    <x v="2"/>
    <x v="17"/>
    <x v="4"/>
    <x v="0"/>
    <x v="1"/>
    <x v="2"/>
    <x v="15"/>
    <x v="3"/>
    <x v="75"/>
    <x v="7"/>
  </r>
  <r>
    <x v="96"/>
    <x v="0"/>
    <x v="141"/>
    <x v="47"/>
    <x v="66"/>
    <x v="0"/>
    <x v="2"/>
    <x v="3"/>
    <x v="2"/>
    <x v="453"/>
    <x v="1"/>
    <x v="21"/>
    <x v="1"/>
    <x v="0"/>
    <x v="514"/>
    <x v="100"/>
    <x v="541"/>
    <x v="7"/>
  </r>
  <r>
    <x v="97"/>
    <x v="0"/>
    <x v="236"/>
    <x v="56"/>
    <x v="59"/>
    <x v="1"/>
    <x v="0"/>
    <x v="6"/>
    <x v="3"/>
    <x v="1099"/>
    <x v="0"/>
    <x v="60"/>
    <x v="1"/>
    <x v="1"/>
    <x v="1659"/>
    <x v="342"/>
    <x v="1140"/>
    <x v="7"/>
  </r>
  <r>
    <x v="97"/>
    <x v="1"/>
    <x v="236"/>
    <x v="56"/>
    <x v="65"/>
    <x v="1"/>
    <x v="0"/>
    <x v="6"/>
    <x v="3"/>
    <x v="2235"/>
    <x v="4"/>
    <x v="95"/>
    <x v="1"/>
    <x v="0"/>
    <x v="1998"/>
    <x v="454"/>
    <x v="1638"/>
    <x v="7"/>
  </r>
  <r>
    <x v="97"/>
    <x v="2"/>
    <x v="236"/>
    <x v="56"/>
    <x v="27"/>
    <x v="1"/>
    <x v="0"/>
    <x v="6"/>
    <x v="1"/>
    <x v="1365"/>
    <x v="3"/>
    <x v="61"/>
    <x v="1"/>
    <x v="1"/>
    <x v="799"/>
    <x v="156"/>
    <x v="730"/>
    <x v="7"/>
  </r>
  <r>
    <x v="97"/>
    <x v="3"/>
    <x v="236"/>
    <x v="56"/>
    <x v="35"/>
    <x v="1"/>
    <x v="0"/>
    <x v="6"/>
    <x v="2"/>
    <x v="258"/>
    <x v="0"/>
    <x v="11"/>
    <x v="1"/>
    <x v="0"/>
    <x v="325"/>
    <x v="45"/>
    <x v="611"/>
    <x v="7"/>
  </r>
  <r>
    <x v="98"/>
    <x v="0"/>
    <x v="259"/>
    <x v="78"/>
    <x v="71"/>
    <x v="3"/>
    <x v="0"/>
    <x v="6"/>
    <x v="3"/>
    <x v="171"/>
    <x v="0"/>
    <x v="6"/>
    <x v="1"/>
    <x v="2"/>
    <x v="363"/>
    <x v="46"/>
    <x v="737"/>
    <x v="7"/>
  </r>
  <r>
    <x v="99"/>
    <x v="0"/>
    <x v="61"/>
    <x v="113"/>
    <x v="95"/>
    <x v="0"/>
    <x v="1"/>
    <x v="4"/>
    <x v="2"/>
    <x v="1030"/>
    <x v="0"/>
    <x v="52"/>
    <x v="2"/>
    <x v="1"/>
    <x v="1250"/>
    <x v="232"/>
    <x v="1210"/>
    <x v="7"/>
  </r>
  <r>
    <x v="99"/>
    <x v="1"/>
    <x v="61"/>
    <x v="113"/>
    <x v="69"/>
    <x v="0"/>
    <x v="1"/>
    <x v="4"/>
    <x v="1"/>
    <x v="152"/>
    <x v="2"/>
    <x v="10"/>
    <x v="1"/>
    <x v="3"/>
    <x v="68"/>
    <x v="18"/>
    <x v="94"/>
    <x v="7"/>
  </r>
  <r>
    <x v="100"/>
    <x v="0"/>
    <x v="85"/>
    <x v="129"/>
    <x v="21"/>
    <x v="3"/>
    <x v="2"/>
    <x v="0"/>
    <x v="2"/>
    <x v="382"/>
    <x v="0"/>
    <x v="18"/>
    <x v="1"/>
    <x v="2"/>
    <x v="470"/>
    <x v="90"/>
    <x v="556"/>
    <x v="7"/>
  </r>
  <r>
    <x v="100"/>
    <x v="1"/>
    <x v="85"/>
    <x v="129"/>
    <x v="37"/>
    <x v="3"/>
    <x v="2"/>
    <x v="0"/>
    <x v="1"/>
    <x v="1427"/>
    <x v="0"/>
    <x v="78"/>
    <x v="1"/>
    <x v="3"/>
    <x v="969"/>
    <x v="202"/>
    <x v="865"/>
    <x v="7"/>
  </r>
  <r>
    <x v="101"/>
    <x v="0"/>
    <x v="238"/>
    <x v="42"/>
    <x v="72"/>
    <x v="2"/>
    <x v="2"/>
    <x v="9"/>
    <x v="3"/>
    <x v="1322"/>
    <x v="0"/>
    <x v="66"/>
    <x v="1"/>
    <x v="0"/>
    <x v="1795"/>
    <x v="372"/>
    <x v="1613"/>
    <x v="7"/>
  </r>
  <r>
    <x v="101"/>
    <x v="1"/>
    <x v="238"/>
    <x v="42"/>
    <x v="40"/>
    <x v="2"/>
    <x v="2"/>
    <x v="9"/>
    <x v="4"/>
    <x v="1552"/>
    <x v="4"/>
    <x v="63"/>
    <x v="1"/>
    <x v="0"/>
    <x v="1965"/>
    <x v="417"/>
    <x v="1885"/>
    <x v="7"/>
  </r>
  <r>
    <x v="102"/>
    <x v="0"/>
    <x v="146"/>
    <x v="9"/>
    <x v="42"/>
    <x v="2"/>
    <x v="1"/>
    <x v="5"/>
    <x v="2"/>
    <x v="425"/>
    <x v="4"/>
    <x v="23"/>
    <x v="1"/>
    <x v="1"/>
    <x v="435"/>
    <x v="112"/>
    <x v="27"/>
    <x v="7"/>
  </r>
  <r>
    <x v="102"/>
    <x v="1"/>
    <x v="146"/>
    <x v="9"/>
    <x v="12"/>
    <x v="2"/>
    <x v="1"/>
    <x v="5"/>
    <x v="1"/>
    <x v="1648"/>
    <x v="0"/>
    <x v="75"/>
    <x v="0"/>
    <x v="3"/>
    <x v="1154"/>
    <x v="195"/>
    <x v="1367"/>
    <x v="7"/>
  </r>
  <r>
    <x v="102"/>
    <x v="2"/>
    <x v="146"/>
    <x v="9"/>
    <x v="17"/>
    <x v="2"/>
    <x v="1"/>
    <x v="5"/>
    <x v="4"/>
    <x v="2076"/>
    <x v="0"/>
    <x v="92"/>
    <x v="2"/>
    <x v="2"/>
    <x v="2155"/>
    <x v="496"/>
    <x v="2145"/>
    <x v="7"/>
  </r>
  <r>
    <x v="102"/>
    <x v="3"/>
    <x v="146"/>
    <x v="9"/>
    <x v="70"/>
    <x v="2"/>
    <x v="1"/>
    <x v="5"/>
    <x v="6"/>
    <x v="1496"/>
    <x v="0"/>
    <x v="68"/>
    <x v="1"/>
    <x v="0"/>
    <x v="2228"/>
    <x v="531"/>
    <x v="2235"/>
    <x v="7"/>
  </r>
  <r>
    <x v="103"/>
    <x v="0"/>
    <x v="134"/>
    <x v="55"/>
    <x v="85"/>
    <x v="2"/>
    <x v="0"/>
    <x v="4"/>
    <x v="2"/>
    <x v="1663"/>
    <x v="2"/>
    <x v="88"/>
    <x v="1"/>
    <x v="1"/>
    <x v="1674"/>
    <x v="351"/>
    <x v="1016"/>
    <x v="7"/>
  </r>
  <r>
    <x v="103"/>
    <x v="1"/>
    <x v="134"/>
    <x v="55"/>
    <x v="83"/>
    <x v="2"/>
    <x v="0"/>
    <x v="4"/>
    <x v="1"/>
    <x v="130"/>
    <x v="0"/>
    <x v="8"/>
    <x v="1"/>
    <x v="1"/>
    <x v="74"/>
    <x v="12"/>
    <x v="176"/>
    <x v="7"/>
  </r>
  <r>
    <x v="104"/>
    <x v="0"/>
    <x v="264"/>
    <x v="146"/>
    <x v="49"/>
    <x v="0"/>
    <x v="2"/>
    <x v="2"/>
    <x v="2"/>
    <x v="967"/>
    <x v="1"/>
    <x v="45"/>
    <x v="1"/>
    <x v="2"/>
    <x v="1111"/>
    <x v="203"/>
    <x v="1207"/>
    <x v="7"/>
  </r>
  <r>
    <x v="104"/>
    <x v="1"/>
    <x v="264"/>
    <x v="146"/>
    <x v="88"/>
    <x v="0"/>
    <x v="2"/>
    <x v="2"/>
    <x v="1"/>
    <x v="1986"/>
    <x v="2"/>
    <x v="86"/>
    <x v="1"/>
    <x v="2"/>
    <x v="1222"/>
    <x v="226"/>
    <x v="1216"/>
    <x v="7"/>
  </r>
  <r>
    <x v="104"/>
    <x v="2"/>
    <x v="264"/>
    <x v="146"/>
    <x v="69"/>
    <x v="0"/>
    <x v="2"/>
    <x v="2"/>
    <x v="1"/>
    <x v="141"/>
    <x v="1"/>
    <x v="10"/>
    <x v="1"/>
    <x v="3"/>
    <x v="69"/>
    <x v="18"/>
    <x v="95"/>
    <x v="7"/>
  </r>
  <r>
    <x v="104"/>
    <x v="3"/>
    <x v="264"/>
    <x v="146"/>
    <x v="62"/>
    <x v="0"/>
    <x v="2"/>
    <x v="2"/>
    <x v="1"/>
    <x v="1376"/>
    <x v="2"/>
    <x v="67"/>
    <x v="1"/>
    <x v="3"/>
    <x v="837"/>
    <x v="177"/>
    <x v="681"/>
    <x v="7"/>
  </r>
  <r>
    <x v="105"/>
    <x v="0"/>
    <x v="182"/>
    <x v="84"/>
    <x v="14"/>
    <x v="3"/>
    <x v="0"/>
    <x v="6"/>
    <x v="1"/>
    <x v="178"/>
    <x v="4"/>
    <x v="7"/>
    <x v="1"/>
    <x v="2"/>
    <x v="64"/>
    <x v="11"/>
    <x v="171"/>
    <x v="7"/>
  </r>
  <r>
    <x v="105"/>
    <x v="1"/>
    <x v="182"/>
    <x v="84"/>
    <x v="31"/>
    <x v="3"/>
    <x v="0"/>
    <x v="6"/>
    <x v="1"/>
    <x v="360"/>
    <x v="0"/>
    <x v="12"/>
    <x v="1"/>
    <x v="2"/>
    <x v="216"/>
    <x v="21"/>
    <x v="537"/>
    <x v="7"/>
  </r>
  <r>
    <x v="105"/>
    <x v="2"/>
    <x v="182"/>
    <x v="84"/>
    <x v="91"/>
    <x v="3"/>
    <x v="0"/>
    <x v="6"/>
    <x v="4"/>
    <x v="2142"/>
    <x v="3"/>
    <x v="81"/>
    <x v="1"/>
    <x v="0"/>
    <x v="2111"/>
    <x v="462"/>
    <x v="2129"/>
    <x v="7"/>
  </r>
  <r>
    <x v="105"/>
    <x v="3"/>
    <x v="182"/>
    <x v="84"/>
    <x v="75"/>
    <x v="3"/>
    <x v="0"/>
    <x v="6"/>
    <x v="1"/>
    <x v="635"/>
    <x v="0"/>
    <x v="30"/>
    <x v="1"/>
    <x v="2"/>
    <x v="406"/>
    <x v="66"/>
    <x v="593"/>
    <x v="7"/>
  </r>
  <r>
    <x v="106"/>
    <x v="0"/>
    <x v="62"/>
    <x v="18"/>
    <x v="24"/>
    <x v="2"/>
    <x v="0"/>
    <x v="5"/>
    <x v="1"/>
    <x v="546"/>
    <x v="3"/>
    <x v="19"/>
    <x v="1"/>
    <x v="0"/>
    <x v="290"/>
    <x v="43"/>
    <x v="511"/>
    <x v="7"/>
  </r>
  <r>
    <x v="107"/>
    <x v="0"/>
    <x v="184"/>
    <x v="30"/>
    <x v="29"/>
    <x v="2"/>
    <x v="1"/>
    <x v="4"/>
    <x v="2"/>
    <x v="2262"/>
    <x v="4"/>
    <x v="97"/>
    <x v="1"/>
    <x v="0"/>
    <x v="1802"/>
    <x v="395"/>
    <x v="1150"/>
    <x v="7"/>
  </r>
  <r>
    <x v="108"/>
    <x v="0"/>
    <x v="55"/>
    <x v="130"/>
    <x v="12"/>
    <x v="3"/>
    <x v="0"/>
    <x v="1"/>
    <x v="2"/>
    <x v="1686"/>
    <x v="2"/>
    <x v="75"/>
    <x v="1"/>
    <x v="3"/>
    <x v="1680"/>
    <x v="314"/>
    <x v="1706"/>
    <x v="7"/>
  </r>
  <r>
    <x v="108"/>
    <x v="1"/>
    <x v="55"/>
    <x v="130"/>
    <x v="10"/>
    <x v="3"/>
    <x v="0"/>
    <x v="1"/>
    <x v="2"/>
    <x v="354"/>
    <x v="4"/>
    <x v="14"/>
    <x v="1"/>
    <x v="3"/>
    <x v="333"/>
    <x v="67"/>
    <x v="283"/>
    <x v="7"/>
  </r>
  <r>
    <x v="108"/>
    <x v="2"/>
    <x v="55"/>
    <x v="130"/>
    <x v="66"/>
    <x v="3"/>
    <x v="0"/>
    <x v="1"/>
    <x v="2"/>
    <x v="493"/>
    <x v="0"/>
    <x v="21"/>
    <x v="1"/>
    <x v="0"/>
    <x v="584"/>
    <x v="100"/>
    <x v="738"/>
    <x v="7"/>
  </r>
  <r>
    <x v="109"/>
    <x v="0"/>
    <x v="244"/>
    <x v="224"/>
    <x v="35"/>
    <x v="2"/>
    <x v="0"/>
    <x v="8"/>
    <x v="2"/>
    <x v="259"/>
    <x v="0"/>
    <x v="11"/>
    <x v="0"/>
    <x v="2"/>
    <x v="327"/>
    <x v="45"/>
    <x v="612"/>
    <x v="7"/>
  </r>
  <r>
    <x v="109"/>
    <x v="1"/>
    <x v="244"/>
    <x v="224"/>
    <x v="12"/>
    <x v="2"/>
    <x v="0"/>
    <x v="8"/>
    <x v="5"/>
    <x v="1590"/>
    <x v="0"/>
    <x v="75"/>
    <x v="1"/>
    <x v="2"/>
    <x v="2147"/>
    <x v="487"/>
    <x v="2152"/>
    <x v="7"/>
  </r>
  <r>
    <x v="109"/>
    <x v="2"/>
    <x v="244"/>
    <x v="224"/>
    <x v="27"/>
    <x v="2"/>
    <x v="0"/>
    <x v="8"/>
    <x v="3"/>
    <x v="1420"/>
    <x v="0"/>
    <x v="61"/>
    <x v="2"/>
    <x v="3"/>
    <x v="1876"/>
    <x v="347"/>
    <x v="1960"/>
    <x v="7"/>
  </r>
  <r>
    <x v="110"/>
    <x v="0"/>
    <x v="19"/>
    <x v="180"/>
    <x v="68"/>
    <x v="2"/>
    <x v="1"/>
    <x v="9"/>
    <x v="2"/>
    <x v="1571"/>
    <x v="4"/>
    <x v="83"/>
    <x v="1"/>
    <x v="0"/>
    <x v="1576"/>
    <x v="336"/>
    <x v="351"/>
    <x v="7"/>
  </r>
  <r>
    <x v="111"/>
    <x v="0"/>
    <x v="209"/>
    <x v="211"/>
    <x v="45"/>
    <x v="1"/>
    <x v="2"/>
    <x v="9"/>
    <x v="2"/>
    <x v="14"/>
    <x v="1"/>
    <x v="0"/>
    <x v="2"/>
    <x v="0"/>
    <x v="21"/>
    <x v="3"/>
    <x v="98"/>
    <x v="7"/>
  </r>
  <r>
    <x v="111"/>
    <x v="1"/>
    <x v="209"/>
    <x v="211"/>
    <x v="28"/>
    <x v="1"/>
    <x v="2"/>
    <x v="9"/>
    <x v="5"/>
    <x v="93"/>
    <x v="0"/>
    <x v="2"/>
    <x v="1"/>
    <x v="2"/>
    <x v="362"/>
    <x v="42"/>
    <x v="775"/>
    <x v="7"/>
  </r>
  <r>
    <x v="112"/>
    <x v="0"/>
    <x v="254"/>
    <x v="132"/>
    <x v="64"/>
    <x v="0"/>
    <x v="1"/>
    <x v="1"/>
    <x v="1"/>
    <x v="1662"/>
    <x v="4"/>
    <x v="69"/>
    <x v="1"/>
    <x v="0"/>
    <x v="945"/>
    <x v="179"/>
    <x v="1023"/>
    <x v="7"/>
  </r>
  <r>
    <x v="112"/>
    <x v="1"/>
    <x v="254"/>
    <x v="132"/>
    <x v="68"/>
    <x v="0"/>
    <x v="1"/>
    <x v="1"/>
    <x v="4"/>
    <x v="1554"/>
    <x v="0"/>
    <x v="83"/>
    <x v="1"/>
    <x v="1"/>
    <x v="2055"/>
    <x v="467"/>
    <x v="1914"/>
    <x v="7"/>
  </r>
  <r>
    <x v="113"/>
    <x v="0"/>
    <x v="193"/>
    <x v="84"/>
    <x v="68"/>
    <x v="3"/>
    <x v="0"/>
    <x v="0"/>
    <x v="1"/>
    <x v="1690"/>
    <x v="2"/>
    <x v="83"/>
    <x v="1"/>
    <x v="1"/>
    <x v="1076"/>
    <x v="218"/>
    <x v="969"/>
    <x v="7"/>
  </r>
  <r>
    <x v="113"/>
    <x v="1"/>
    <x v="193"/>
    <x v="84"/>
    <x v="47"/>
    <x v="3"/>
    <x v="0"/>
    <x v="0"/>
    <x v="5"/>
    <x v="1442"/>
    <x v="3"/>
    <x v="82"/>
    <x v="1"/>
    <x v="3"/>
    <x v="2042"/>
    <x v="502"/>
    <x v="15"/>
    <x v="7"/>
  </r>
  <r>
    <x v="114"/>
    <x v="0"/>
    <x v="218"/>
    <x v="219"/>
    <x v="38"/>
    <x v="0"/>
    <x v="1"/>
    <x v="0"/>
    <x v="1"/>
    <x v="1087"/>
    <x v="0"/>
    <x v="39"/>
    <x v="1"/>
    <x v="0"/>
    <x v="733"/>
    <x v="94"/>
    <x v="1238"/>
    <x v="7"/>
  </r>
  <r>
    <x v="115"/>
    <x v="0"/>
    <x v="6"/>
    <x v="93"/>
    <x v="79"/>
    <x v="0"/>
    <x v="0"/>
    <x v="0"/>
    <x v="2"/>
    <x v="1600"/>
    <x v="3"/>
    <x v="64"/>
    <x v="1"/>
    <x v="0"/>
    <x v="1615"/>
    <x v="287"/>
    <x v="1622"/>
    <x v="7"/>
  </r>
  <r>
    <x v="116"/>
    <x v="0"/>
    <x v="263"/>
    <x v="38"/>
    <x v="3"/>
    <x v="3"/>
    <x v="0"/>
    <x v="6"/>
    <x v="1"/>
    <x v="1924"/>
    <x v="0"/>
    <x v="73"/>
    <x v="1"/>
    <x v="2"/>
    <x v="1329"/>
    <x v="191"/>
    <x v="1669"/>
    <x v="7"/>
  </r>
  <r>
    <x v="116"/>
    <x v="1"/>
    <x v="263"/>
    <x v="38"/>
    <x v="9"/>
    <x v="3"/>
    <x v="0"/>
    <x v="6"/>
    <x v="1"/>
    <x v="1272"/>
    <x v="2"/>
    <x v="49"/>
    <x v="1"/>
    <x v="0"/>
    <x v="792"/>
    <x v="117"/>
    <x v="1197"/>
    <x v="7"/>
  </r>
  <r>
    <x v="117"/>
    <x v="0"/>
    <x v="65"/>
    <x v="23"/>
    <x v="46"/>
    <x v="2"/>
    <x v="0"/>
    <x v="9"/>
    <x v="1"/>
    <x v="1860"/>
    <x v="4"/>
    <x v="85"/>
    <x v="1"/>
    <x v="3"/>
    <x v="1042"/>
    <x v="223"/>
    <x v="788"/>
    <x v="7"/>
  </r>
  <r>
    <x v="117"/>
    <x v="1"/>
    <x v="65"/>
    <x v="23"/>
    <x v="2"/>
    <x v="2"/>
    <x v="0"/>
    <x v="9"/>
    <x v="2"/>
    <x v="899"/>
    <x v="0"/>
    <x v="48"/>
    <x v="1"/>
    <x v="0"/>
    <x v="1073"/>
    <x v="216"/>
    <x v="972"/>
    <x v="7"/>
  </r>
  <r>
    <x v="117"/>
    <x v="2"/>
    <x v="65"/>
    <x v="23"/>
    <x v="61"/>
    <x v="2"/>
    <x v="0"/>
    <x v="9"/>
    <x v="3"/>
    <x v="866"/>
    <x v="0"/>
    <x v="46"/>
    <x v="2"/>
    <x v="1"/>
    <x v="1475"/>
    <x v="275"/>
    <x v="1185"/>
    <x v="7"/>
  </r>
  <r>
    <x v="118"/>
    <x v="0"/>
    <x v="194"/>
    <x v="231"/>
    <x v="18"/>
    <x v="1"/>
    <x v="1"/>
    <x v="0"/>
    <x v="0"/>
    <x v="1670"/>
    <x v="0"/>
    <x v="59"/>
    <x v="1"/>
    <x v="1"/>
    <x v="0"/>
    <x v="0"/>
    <x v="0"/>
    <x v="0"/>
  </r>
  <r>
    <x v="118"/>
    <x v="1"/>
    <x v="194"/>
    <x v="231"/>
    <x v="38"/>
    <x v="1"/>
    <x v="1"/>
    <x v="0"/>
    <x v="1"/>
    <x v="1074"/>
    <x v="0"/>
    <x v="39"/>
    <x v="2"/>
    <x v="0"/>
    <x v="723"/>
    <x v="94"/>
    <x v="1223"/>
    <x v="7"/>
  </r>
  <r>
    <x v="119"/>
    <x v="0"/>
    <x v="257"/>
    <x v="2"/>
    <x v="32"/>
    <x v="2"/>
    <x v="2"/>
    <x v="3"/>
    <x v="1"/>
    <x v="1148"/>
    <x v="1"/>
    <x v="50"/>
    <x v="1"/>
    <x v="3"/>
    <x v="752"/>
    <x v="119"/>
    <x v="1072"/>
    <x v="7"/>
  </r>
  <r>
    <x v="119"/>
    <x v="1"/>
    <x v="257"/>
    <x v="2"/>
    <x v="52"/>
    <x v="2"/>
    <x v="2"/>
    <x v="3"/>
    <x v="6"/>
    <x v="986"/>
    <x v="0"/>
    <x v="40"/>
    <x v="1"/>
    <x v="3"/>
    <x v="2095"/>
    <x v="428"/>
    <x v="2187"/>
    <x v="7"/>
  </r>
  <r>
    <x v="119"/>
    <x v="2"/>
    <x v="257"/>
    <x v="2"/>
    <x v="96"/>
    <x v="2"/>
    <x v="2"/>
    <x v="3"/>
    <x v="3"/>
    <x v="480"/>
    <x v="2"/>
    <x v="22"/>
    <x v="1"/>
    <x v="3"/>
    <x v="720"/>
    <x v="155"/>
    <x v="398"/>
    <x v="7"/>
  </r>
  <r>
    <x v="119"/>
    <x v="3"/>
    <x v="257"/>
    <x v="2"/>
    <x v="94"/>
    <x v="2"/>
    <x v="2"/>
    <x v="3"/>
    <x v="3"/>
    <x v="1678"/>
    <x v="4"/>
    <x v="71"/>
    <x v="1"/>
    <x v="1"/>
    <x v="1871"/>
    <x v="386"/>
    <x v="1747"/>
    <x v="7"/>
  </r>
  <r>
    <x v="119"/>
    <x v="4"/>
    <x v="257"/>
    <x v="2"/>
    <x v="37"/>
    <x v="2"/>
    <x v="2"/>
    <x v="3"/>
    <x v="2"/>
    <x v="1465"/>
    <x v="0"/>
    <x v="78"/>
    <x v="1"/>
    <x v="0"/>
    <x v="1638"/>
    <x v="320"/>
    <x v="1430"/>
    <x v="7"/>
  </r>
  <r>
    <x v="120"/>
    <x v="0"/>
    <x v="120"/>
    <x v="147"/>
    <x v="62"/>
    <x v="2"/>
    <x v="0"/>
    <x v="2"/>
    <x v="1"/>
    <x v="1325"/>
    <x v="3"/>
    <x v="67"/>
    <x v="1"/>
    <x v="3"/>
    <x v="778"/>
    <x v="177"/>
    <x v="308"/>
    <x v="7"/>
  </r>
  <r>
    <x v="120"/>
    <x v="1"/>
    <x v="120"/>
    <x v="147"/>
    <x v="63"/>
    <x v="2"/>
    <x v="0"/>
    <x v="2"/>
    <x v="4"/>
    <x v="2174"/>
    <x v="0"/>
    <x v="98"/>
    <x v="1"/>
    <x v="1"/>
    <x v="2168"/>
    <x v="515"/>
    <x v="2060"/>
    <x v="7"/>
  </r>
  <r>
    <x v="120"/>
    <x v="2"/>
    <x v="120"/>
    <x v="147"/>
    <x v="79"/>
    <x v="2"/>
    <x v="0"/>
    <x v="2"/>
    <x v="5"/>
    <x v="1659"/>
    <x v="0"/>
    <x v="64"/>
    <x v="1"/>
    <x v="2"/>
    <x v="2161"/>
    <x v="461"/>
    <x v="2221"/>
    <x v="7"/>
  </r>
  <r>
    <x v="120"/>
    <x v="3"/>
    <x v="120"/>
    <x v="147"/>
    <x v="30"/>
    <x v="2"/>
    <x v="0"/>
    <x v="2"/>
    <x v="1"/>
    <x v="329"/>
    <x v="0"/>
    <x v="13"/>
    <x v="1"/>
    <x v="2"/>
    <x v="191"/>
    <x v="24"/>
    <x v="436"/>
    <x v="7"/>
  </r>
  <r>
    <x v="121"/>
    <x v="0"/>
    <x v="153"/>
    <x v="85"/>
    <x v="60"/>
    <x v="2"/>
    <x v="0"/>
    <x v="2"/>
    <x v="1"/>
    <x v="535"/>
    <x v="0"/>
    <x v="27"/>
    <x v="1"/>
    <x v="3"/>
    <x v="322"/>
    <x v="63"/>
    <x v="267"/>
    <x v="7"/>
  </r>
  <r>
    <x v="121"/>
    <x v="1"/>
    <x v="153"/>
    <x v="85"/>
    <x v="2"/>
    <x v="2"/>
    <x v="0"/>
    <x v="2"/>
    <x v="1"/>
    <x v="862"/>
    <x v="1"/>
    <x v="48"/>
    <x v="1"/>
    <x v="3"/>
    <x v="550"/>
    <x v="116"/>
    <x v="395"/>
    <x v="7"/>
  </r>
  <r>
    <x v="121"/>
    <x v="2"/>
    <x v="153"/>
    <x v="85"/>
    <x v="52"/>
    <x v="2"/>
    <x v="0"/>
    <x v="2"/>
    <x v="2"/>
    <x v="1078"/>
    <x v="0"/>
    <x v="40"/>
    <x v="1"/>
    <x v="0"/>
    <x v="1335"/>
    <x v="176"/>
    <x v="1727"/>
    <x v="7"/>
  </r>
  <r>
    <x v="122"/>
    <x v="0"/>
    <x v="24"/>
    <x v="71"/>
    <x v="65"/>
    <x v="0"/>
    <x v="0"/>
    <x v="3"/>
    <x v="1"/>
    <x v="2152"/>
    <x v="0"/>
    <x v="95"/>
    <x v="1"/>
    <x v="3"/>
    <x v="1434"/>
    <x v="258"/>
    <x v="1377"/>
    <x v="7"/>
  </r>
  <r>
    <x v="123"/>
    <x v="0"/>
    <x v="76"/>
    <x v="97"/>
    <x v="77"/>
    <x v="0"/>
    <x v="0"/>
    <x v="6"/>
    <x v="1"/>
    <x v="230"/>
    <x v="4"/>
    <x v="9"/>
    <x v="1"/>
    <x v="1"/>
    <x v="92"/>
    <x v="16"/>
    <x v="185"/>
    <x v="7"/>
  </r>
  <r>
    <x v="123"/>
    <x v="1"/>
    <x v="76"/>
    <x v="97"/>
    <x v="0"/>
    <x v="0"/>
    <x v="0"/>
    <x v="6"/>
    <x v="3"/>
    <x v="884"/>
    <x v="0"/>
    <x v="32"/>
    <x v="1"/>
    <x v="2"/>
    <x v="1498"/>
    <x v="210"/>
    <x v="1794"/>
    <x v="7"/>
  </r>
  <r>
    <x v="124"/>
    <x v="0"/>
    <x v="107"/>
    <x v="33"/>
    <x v="50"/>
    <x v="0"/>
    <x v="0"/>
    <x v="1"/>
    <x v="1"/>
    <x v="1705"/>
    <x v="0"/>
    <x v="77"/>
    <x v="1"/>
    <x v="0"/>
    <x v="1191"/>
    <x v="200"/>
    <x v="1408"/>
    <x v="7"/>
  </r>
  <r>
    <x v="124"/>
    <x v="1"/>
    <x v="107"/>
    <x v="33"/>
    <x v="35"/>
    <x v="0"/>
    <x v="0"/>
    <x v="1"/>
    <x v="2"/>
    <x v="290"/>
    <x v="1"/>
    <x v="11"/>
    <x v="1"/>
    <x v="1"/>
    <x v="334"/>
    <x v="45"/>
    <x v="634"/>
    <x v="7"/>
  </r>
  <r>
    <x v="125"/>
    <x v="0"/>
    <x v="204"/>
    <x v="26"/>
    <x v="87"/>
    <x v="0"/>
    <x v="2"/>
    <x v="9"/>
    <x v="1"/>
    <x v="582"/>
    <x v="0"/>
    <x v="33"/>
    <x v="1"/>
    <x v="0"/>
    <x v="359"/>
    <x v="75"/>
    <x v="234"/>
    <x v="7"/>
  </r>
  <r>
    <x v="125"/>
    <x v="1"/>
    <x v="204"/>
    <x v="26"/>
    <x v="5"/>
    <x v="0"/>
    <x v="2"/>
    <x v="9"/>
    <x v="2"/>
    <x v="678"/>
    <x v="0"/>
    <x v="31"/>
    <x v="1"/>
    <x v="0"/>
    <x v="807"/>
    <x v="141"/>
    <x v="1055"/>
    <x v="7"/>
  </r>
  <r>
    <x v="125"/>
    <x v="2"/>
    <x v="204"/>
    <x v="26"/>
    <x v="88"/>
    <x v="0"/>
    <x v="2"/>
    <x v="9"/>
    <x v="3"/>
    <x v="1834"/>
    <x v="0"/>
    <x v="86"/>
    <x v="2"/>
    <x v="0"/>
    <x v="2013"/>
    <x v="426"/>
    <x v="2011"/>
    <x v="7"/>
  </r>
  <r>
    <x v="126"/>
    <x v="0"/>
    <x v="212"/>
    <x v="16"/>
    <x v="76"/>
    <x v="1"/>
    <x v="0"/>
    <x v="2"/>
    <x v="2"/>
    <x v="827"/>
    <x v="4"/>
    <x v="36"/>
    <x v="1"/>
    <x v="1"/>
    <x v="813"/>
    <x v="165"/>
    <x v="726"/>
    <x v="7"/>
  </r>
  <r>
    <x v="127"/>
    <x v="0"/>
    <x v="89"/>
    <x v="67"/>
    <x v="90"/>
    <x v="2"/>
    <x v="2"/>
    <x v="4"/>
    <x v="5"/>
    <x v="775"/>
    <x v="3"/>
    <x v="37"/>
    <x v="1"/>
    <x v="1"/>
    <x v="1618"/>
    <x v="332"/>
    <x v="1025"/>
    <x v="7"/>
  </r>
  <r>
    <x v="127"/>
    <x v="1"/>
    <x v="89"/>
    <x v="67"/>
    <x v="83"/>
    <x v="2"/>
    <x v="2"/>
    <x v="4"/>
    <x v="5"/>
    <x v="131"/>
    <x v="0"/>
    <x v="8"/>
    <x v="1"/>
    <x v="1"/>
    <x v="519"/>
    <x v="86"/>
    <x v="727"/>
    <x v="7"/>
  </r>
  <r>
    <x v="128"/>
    <x v="0"/>
    <x v="143"/>
    <x v="235"/>
    <x v="25"/>
    <x v="0"/>
    <x v="1"/>
    <x v="5"/>
    <x v="3"/>
    <x v="2020"/>
    <x v="0"/>
    <x v="72"/>
    <x v="1"/>
    <x v="2"/>
    <x v="2041"/>
    <x v="387"/>
    <x v="2172"/>
    <x v="7"/>
  </r>
  <r>
    <x v="129"/>
    <x v="0"/>
    <x v="80"/>
    <x v="112"/>
    <x v="90"/>
    <x v="2"/>
    <x v="0"/>
    <x v="7"/>
    <x v="3"/>
    <x v="789"/>
    <x v="0"/>
    <x v="37"/>
    <x v="1"/>
    <x v="2"/>
    <x v="1374"/>
    <x v="246"/>
    <x v="1338"/>
    <x v="7"/>
  </r>
  <r>
    <x v="130"/>
    <x v="0"/>
    <x v="97"/>
    <x v="11"/>
    <x v="77"/>
    <x v="3"/>
    <x v="2"/>
    <x v="3"/>
    <x v="3"/>
    <x v="211"/>
    <x v="2"/>
    <x v="9"/>
    <x v="1"/>
    <x v="3"/>
    <x v="369"/>
    <x v="59"/>
    <x v="587"/>
    <x v="7"/>
  </r>
  <r>
    <x v="130"/>
    <x v="1"/>
    <x v="97"/>
    <x v="11"/>
    <x v="89"/>
    <x v="3"/>
    <x v="2"/>
    <x v="3"/>
    <x v="3"/>
    <x v="637"/>
    <x v="2"/>
    <x v="26"/>
    <x v="1"/>
    <x v="2"/>
    <x v="960"/>
    <x v="183"/>
    <x v="1015"/>
    <x v="7"/>
  </r>
  <r>
    <x v="130"/>
    <x v="2"/>
    <x v="97"/>
    <x v="11"/>
    <x v="88"/>
    <x v="3"/>
    <x v="2"/>
    <x v="3"/>
    <x v="3"/>
    <x v="2148"/>
    <x v="3"/>
    <x v="86"/>
    <x v="1"/>
    <x v="3"/>
    <x v="1997"/>
    <x v="426"/>
    <x v="1969"/>
    <x v="7"/>
  </r>
  <r>
    <x v="130"/>
    <x v="3"/>
    <x v="97"/>
    <x v="11"/>
    <x v="22"/>
    <x v="3"/>
    <x v="2"/>
    <x v="3"/>
    <x v="4"/>
    <x v="842"/>
    <x v="4"/>
    <x v="34"/>
    <x v="1"/>
    <x v="1"/>
    <x v="1505"/>
    <x v="274"/>
    <x v="1308"/>
    <x v="7"/>
  </r>
  <r>
    <x v="130"/>
    <x v="4"/>
    <x v="97"/>
    <x v="11"/>
    <x v="61"/>
    <x v="3"/>
    <x v="2"/>
    <x v="3"/>
    <x v="1"/>
    <x v="852"/>
    <x v="1"/>
    <x v="46"/>
    <x v="1"/>
    <x v="3"/>
    <x v="543"/>
    <x v="111"/>
    <x v="451"/>
    <x v="7"/>
  </r>
  <r>
    <x v="131"/>
    <x v="0"/>
    <x v="52"/>
    <x v="4"/>
    <x v="2"/>
    <x v="3"/>
    <x v="0"/>
    <x v="8"/>
    <x v="2"/>
    <x v="811"/>
    <x v="0"/>
    <x v="48"/>
    <x v="1"/>
    <x v="1"/>
    <x v="973"/>
    <x v="216"/>
    <x v="656"/>
    <x v="7"/>
  </r>
  <r>
    <x v="131"/>
    <x v="1"/>
    <x v="52"/>
    <x v="4"/>
    <x v="73"/>
    <x v="3"/>
    <x v="0"/>
    <x v="8"/>
    <x v="1"/>
    <x v="2266"/>
    <x v="2"/>
    <x v="84"/>
    <x v="1"/>
    <x v="1"/>
    <x v="1428"/>
    <x v="222"/>
    <x v="1650"/>
    <x v="7"/>
  </r>
  <r>
    <x v="131"/>
    <x v="2"/>
    <x v="52"/>
    <x v="4"/>
    <x v="44"/>
    <x v="3"/>
    <x v="0"/>
    <x v="8"/>
    <x v="5"/>
    <x v="1444"/>
    <x v="1"/>
    <x v="57"/>
    <x v="1"/>
    <x v="0"/>
    <x v="2083"/>
    <x v="423"/>
    <x v="2170"/>
    <x v="7"/>
  </r>
  <r>
    <x v="132"/>
    <x v="0"/>
    <x v="134"/>
    <x v="217"/>
    <x v="97"/>
    <x v="3"/>
    <x v="0"/>
    <x v="3"/>
    <x v="1"/>
    <x v="339"/>
    <x v="4"/>
    <x v="15"/>
    <x v="1"/>
    <x v="2"/>
    <x v="145"/>
    <x v="33"/>
    <x v="92"/>
    <x v="7"/>
  </r>
  <r>
    <x v="132"/>
    <x v="1"/>
    <x v="134"/>
    <x v="217"/>
    <x v="50"/>
    <x v="3"/>
    <x v="0"/>
    <x v="3"/>
    <x v="1"/>
    <x v="1923"/>
    <x v="0"/>
    <x v="77"/>
    <x v="2"/>
    <x v="3"/>
    <x v="1328"/>
    <x v="200"/>
    <x v="1618"/>
    <x v="7"/>
  </r>
  <r>
    <x v="133"/>
    <x v="0"/>
    <x v="154"/>
    <x v="121"/>
    <x v="37"/>
    <x v="3"/>
    <x v="0"/>
    <x v="9"/>
    <x v="2"/>
    <x v="1466"/>
    <x v="0"/>
    <x v="78"/>
    <x v="1"/>
    <x v="2"/>
    <x v="1640"/>
    <x v="320"/>
    <x v="1434"/>
    <x v="7"/>
  </r>
  <r>
    <x v="133"/>
    <x v="1"/>
    <x v="154"/>
    <x v="121"/>
    <x v="30"/>
    <x v="3"/>
    <x v="0"/>
    <x v="9"/>
    <x v="2"/>
    <x v="295"/>
    <x v="0"/>
    <x v="13"/>
    <x v="1"/>
    <x v="2"/>
    <x v="349"/>
    <x v="57"/>
    <x v="591"/>
    <x v="7"/>
  </r>
  <r>
    <x v="133"/>
    <x v="2"/>
    <x v="154"/>
    <x v="121"/>
    <x v="17"/>
    <x v="3"/>
    <x v="0"/>
    <x v="9"/>
    <x v="7"/>
    <x v="2198"/>
    <x v="0"/>
    <x v="92"/>
    <x v="1"/>
    <x v="0"/>
    <x v="2288"/>
    <x v="568"/>
    <x v="2283"/>
    <x v="7"/>
  </r>
  <r>
    <x v="133"/>
    <x v="3"/>
    <x v="154"/>
    <x v="121"/>
    <x v="92"/>
    <x v="3"/>
    <x v="0"/>
    <x v="9"/>
    <x v="3"/>
    <x v="1602"/>
    <x v="1"/>
    <x v="62"/>
    <x v="0"/>
    <x v="3"/>
    <x v="1926"/>
    <x v="353"/>
    <x v="2057"/>
    <x v="7"/>
  </r>
  <r>
    <x v="133"/>
    <x v="4"/>
    <x v="154"/>
    <x v="121"/>
    <x v="19"/>
    <x v="3"/>
    <x v="0"/>
    <x v="9"/>
    <x v="3"/>
    <x v="405"/>
    <x v="0"/>
    <x v="16"/>
    <x v="1"/>
    <x v="3"/>
    <x v="747"/>
    <x v="121"/>
    <x v="1000"/>
    <x v="7"/>
  </r>
  <r>
    <x v="134"/>
    <x v="0"/>
    <x v="226"/>
    <x v="25"/>
    <x v="76"/>
    <x v="1"/>
    <x v="2"/>
    <x v="0"/>
    <x v="5"/>
    <x v="810"/>
    <x v="1"/>
    <x v="36"/>
    <x v="1"/>
    <x v="0"/>
    <x v="1716"/>
    <x v="324"/>
    <x v="1754"/>
    <x v="7"/>
  </r>
  <r>
    <x v="134"/>
    <x v="0"/>
    <x v="226"/>
    <x v="25"/>
    <x v="76"/>
    <x v="1"/>
    <x v="2"/>
    <x v="0"/>
    <x v="5"/>
    <x v="810"/>
    <x v="1"/>
    <x v="36"/>
    <x v="1"/>
    <x v="0"/>
    <x v="1716"/>
    <x v="324"/>
    <x v="1754"/>
    <x v="3"/>
  </r>
  <r>
    <x v="135"/>
    <x v="0"/>
    <x v="117"/>
    <x v="235"/>
    <x v="94"/>
    <x v="0"/>
    <x v="1"/>
    <x v="6"/>
    <x v="1"/>
    <x v="1744"/>
    <x v="3"/>
    <x v="71"/>
    <x v="1"/>
    <x v="0"/>
    <x v="1046"/>
    <x v="184"/>
    <x v="1219"/>
    <x v="7"/>
  </r>
  <r>
    <x v="135"/>
    <x v="1"/>
    <x v="117"/>
    <x v="235"/>
    <x v="22"/>
    <x v="0"/>
    <x v="1"/>
    <x v="6"/>
    <x v="2"/>
    <x v="864"/>
    <x v="3"/>
    <x v="34"/>
    <x v="1"/>
    <x v="3"/>
    <x v="879"/>
    <x v="154"/>
    <x v="1053"/>
    <x v="7"/>
  </r>
  <r>
    <x v="136"/>
    <x v="0"/>
    <x v="233"/>
    <x v="137"/>
    <x v="45"/>
    <x v="1"/>
    <x v="2"/>
    <x v="0"/>
    <x v="1"/>
    <x v="7"/>
    <x v="0"/>
    <x v="0"/>
    <x v="2"/>
    <x v="3"/>
    <x v="8"/>
    <x v="1"/>
    <x v="68"/>
    <x v="7"/>
  </r>
  <r>
    <x v="136"/>
    <x v="1"/>
    <x v="233"/>
    <x v="137"/>
    <x v="21"/>
    <x v="1"/>
    <x v="2"/>
    <x v="0"/>
    <x v="3"/>
    <x v="385"/>
    <x v="0"/>
    <x v="18"/>
    <x v="2"/>
    <x v="2"/>
    <x v="696"/>
    <x v="134"/>
    <x v="769"/>
    <x v="7"/>
  </r>
  <r>
    <x v="136"/>
    <x v="2"/>
    <x v="233"/>
    <x v="137"/>
    <x v="80"/>
    <x v="1"/>
    <x v="2"/>
    <x v="0"/>
    <x v="1"/>
    <x v="1061"/>
    <x v="0"/>
    <x v="56"/>
    <x v="1"/>
    <x v="1"/>
    <x v="706"/>
    <x v="142"/>
    <x v="685"/>
    <x v="7"/>
  </r>
  <r>
    <x v="136"/>
    <x v="3"/>
    <x v="233"/>
    <x v="137"/>
    <x v="29"/>
    <x v="1"/>
    <x v="2"/>
    <x v="0"/>
    <x v="1"/>
    <x v="2263"/>
    <x v="0"/>
    <x v="97"/>
    <x v="1"/>
    <x v="0"/>
    <x v="1527"/>
    <x v="269"/>
    <x v="1495"/>
    <x v="7"/>
  </r>
  <r>
    <x v="137"/>
    <x v="0"/>
    <x v="15"/>
    <x v="112"/>
    <x v="84"/>
    <x v="0"/>
    <x v="1"/>
    <x v="8"/>
    <x v="6"/>
    <x v="1693"/>
    <x v="0"/>
    <x v="89"/>
    <x v="1"/>
    <x v="0"/>
    <x v="2248"/>
    <x v="548"/>
    <x v="2165"/>
    <x v="7"/>
  </r>
  <r>
    <x v="137"/>
    <x v="1"/>
    <x v="15"/>
    <x v="112"/>
    <x v="55"/>
    <x v="0"/>
    <x v="1"/>
    <x v="8"/>
    <x v="4"/>
    <x v="1010"/>
    <x v="0"/>
    <x v="54"/>
    <x v="1"/>
    <x v="0"/>
    <x v="1763"/>
    <x v="364"/>
    <x v="1522"/>
    <x v="7"/>
  </r>
  <r>
    <x v="137"/>
    <x v="2"/>
    <x v="15"/>
    <x v="112"/>
    <x v="44"/>
    <x v="0"/>
    <x v="1"/>
    <x v="8"/>
    <x v="2"/>
    <x v="1400"/>
    <x v="2"/>
    <x v="57"/>
    <x v="1"/>
    <x v="1"/>
    <x v="1545"/>
    <x v="261"/>
    <x v="1678"/>
    <x v="7"/>
  </r>
  <r>
    <x v="138"/>
    <x v="0"/>
    <x v="207"/>
    <x v="148"/>
    <x v="59"/>
    <x v="0"/>
    <x v="2"/>
    <x v="6"/>
    <x v="1"/>
    <x v="1178"/>
    <x v="4"/>
    <x v="60"/>
    <x v="1"/>
    <x v="0"/>
    <x v="655"/>
    <x v="151"/>
    <x v="126"/>
    <x v="7"/>
  </r>
  <r>
    <x v="138"/>
    <x v="1"/>
    <x v="207"/>
    <x v="148"/>
    <x v="87"/>
    <x v="0"/>
    <x v="2"/>
    <x v="6"/>
    <x v="2"/>
    <x v="665"/>
    <x v="3"/>
    <x v="33"/>
    <x v="1"/>
    <x v="2"/>
    <x v="690"/>
    <x v="148"/>
    <x v="449"/>
    <x v="7"/>
  </r>
  <r>
    <x v="139"/>
    <x v="0"/>
    <x v="142"/>
    <x v="169"/>
    <x v="97"/>
    <x v="2"/>
    <x v="2"/>
    <x v="0"/>
    <x v="1"/>
    <x v="334"/>
    <x v="0"/>
    <x v="15"/>
    <x v="1"/>
    <x v="3"/>
    <x v="192"/>
    <x v="33"/>
    <x v="277"/>
    <x v="7"/>
  </r>
  <r>
    <x v="139"/>
    <x v="1"/>
    <x v="142"/>
    <x v="169"/>
    <x v="26"/>
    <x v="2"/>
    <x v="2"/>
    <x v="0"/>
    <x v="2"/>
    <x v="1833"/>
    <x v="2"/>
    <x v="74"/>
    <x v="1"/>
    <x v="3"/>
    <x v="1722"/>
    <x v="313"/>
    <x v="1866"/>
    <x v="7"/>
  </r>
  <r>
    <x v="140"/>
    <x v="0"/>
    <x v="214"/>
    <x v="25"/>
    <x v="3"/>
    <x v="0"/>
    <x v="2"/>
    <x v="1"/>
    <x v="1"/>
    <x v="1781"/>
    <x v="0"/>
    <x v="73"/>
    <x v="1"/>
    <x v="0"/>
    <x v="1245"/>
    <x v="191"/>
    <x v="1565"/>
    <x v="7"/>
  </r>
  <r>
    <x v="140"/>
    <x v="1"/>
    <x v="214"/>
    <x v="25"/>
    <x v="66"/>
    <x v="0"/>
    <x v="2"/>
    <x v="1"/>
    <x v="1"/>
    <x v="502"/>
    <x v="0"/>
    <x v="21"/>
    <x v="1"/>
    <x v="2"/>
    <x v="301"/>
    <x v="49"/>
    <x v="486"/>
    <x v="7"/>
  </r>
  <r>
    <x v="140"/>
    <x v="2"/>
    <x v="214"/>
    <x v="25"/>
    <x v="7"/>
    <x v="0"/>
    <x v="2"/>
    <x v="1"/>
    <x v="1"/>
    <x v="70"/>
    <x v="0"/>
    <x v="4"/>
    <x v="1"/>
    <x v="0"/>
    <x v="37"/>
    <x v="6"/>
    <x v="130"/>
    <x v="7"/>
  </r>
  <r>
    <x v="141"/>
    <x v="0"/>
    <x v="189"/>
    <x v="23"/>
    <x v="48"/>
    <x v="0"/>
    <x v="2"/>
    <x v="0"/>
    <x v="1"/>
    <x v="420"/>
    <x v="0"/>
    <x v="17"/>
    <x v="1"/>
    <x v="1"/>
    <x v="261"/>
    <x v="39"/>
    <x v="487"/>
    <x v="7"/>
  </r>
  <r>
    <x v="141"/>
    <x v="1"/>
    <x v="189"/>
    <x v="23"/>
    <x v="98"/>
    <x v="0"/>
    <x v="2"/>
    <x v="0"/>
    <x v="3"/>
    <x v="1305"/>
    <x v="2"/>
    <x v="65"/>
    <x v="1"/>
    <x v="3"/>
    <x v="1712"/>
    <x v="370"/>
    <x v="1104"/>
    <x v="7"/>
  </r>
  <r>
    <x v="141"/>
    <x v="2"/>
    <x v="189"/>
    <x v="23"/>
    <x v="79"/>
    <x v="0"/>
    <x v="2"/>
    <x v="0"/>
    <x v="1"/>
    <x v="1645"/>
    <x v="0"/>
    <x v="64"/>
    <x v="1"/>
    <x v="2"/>
    <x v="1153"/>
    <x v="168"/>
    <x v="1526"/>
    <x v="7"/>
  </r>
  <r>
    <x v="141"/>
    <x v="3"/>
    <x v="189"/>
    <x v="23"/>
    <x v="49"/>
    <x v="0"/>
    <x v="2"/>
    <x v="0"/>
    <x v="3"/>
    <x v="900"/>
    <x v="0"/>
    <x v="45"/>
    <x v="1"/>
    <x v="2"/>
    <x v="1515"/>
    <x v="272"/>
    <x v="1419"/>
    <x v="7"/>
  </r>
  <r>
    <x v="141"/>
    <x v="4"/>
    <x v="189"/>
    <x v="23"/>
    <x v="65"/>
    <x v="0"/>
    <x v="2"/>
    <x v="0"/>
    <x v="1"/>
    <x v="2010"/>
    <x v="1"/>
    <x v="95"/>
    <x v="1"/>
    <x v="0"/>
    <x v="1301"/>
    <x v="258"/>
    <x v="1035"/>
    <x v="7"/>
  </r>
  <r>
    <x v="142"/>
    <x v="0"/>
    <x v="3"/>
    <x v="251"/>
    <x v="90"/>
    <x v="0"/>
    <x v="1"/>
    <x v="1"/>
    <x v="1"/>
    <x v="779"/>
    <x v="0"/>
    <x v="37"/>
    <x v="1"/>
    <x v="2"/>
    <x v="508"/>
    <x v="91"/>
    <x v="645"/>
    <x v="7"/>
  </r>
  <r>
    <x v="142"/>
    <x v="1"/>
    <x v="3"/>
    <x v="251"/>
    <x v="92"/>
    <x v="0"/>
    <x v="1"/>
    <x v="1"/>
    <x v="6"/>
    <x v="1604"/>
    <x v="1"/>
    <x v="62"/>
    <x v="1"/>
    <x v="2"/>
    <x v="2231"/>
    <x v="524"/>
    <x v="2255"/>
    <x v="7"/>
  </r>
  <r>
    <x v="142"/>
    <x v="2"/>
    <x v="3"/>
    <x v="251"/>
    <x v="36"/>
    <x v="0"/>
    <x v="1"/>
    <x v="1"/>
    <x v="2"/>
    <x v="2284"/>
    <x v="0"/>
    <x v="91"/>
    <x v="1"/>
    <x v="1"/>
    <x v="1959"/>
    <x v="363"/>
    <x v="2080"/>
    <x v="7"/>
  </r>
  <r>
    <x v="142"/>
    <x v="3"/>
    <x v="3"/>
    <x v="251"/>
    <x v="37"/>
    <x v="0"/>
    <x v="1"/>
    <x v="1"/>
    <x v="2"/>
    <x v="1460"/>
    <x v="4"/>
    <x v="78"/>
    <x v="1"/>
    <x v="2"/>
    <x v="1507"/>
    <x v="320"/>
    <x v="226"/>
    <x v="7"/>
  </r>
  <r>
    <x v="143"/>
    <x v="0"/>
    <x v="224"/>
    <x v="103"/>
    <x v="78"/>
    <x v="3"/>
    <x v="1"/>
    <x v="0"/>
    <x v="2"/>
    <x v="532"/>
    <x v="2"/>
    <x v="20"/>
    <x v="1"/>
    <x v="2"/>
    <x v="572"/>
    <x v="98"/>
    <x v="709"/>
    <x v="7"/>
  </r>
  <r>
    <x v="143"/>
    <x v="1"/>
    <x v="224"/>
    <x v="103"/>
    <x v="97"/>
    <x v="3"/>
    <x v="1"/>
    <x v="0"/>
    <x v="4"/>
    <x v="271"/>
    <x v="0"/>
    <x v="15"/>
    <x v="1"/>
    <x v="3"/>
    <x v="644"/>
    <x v="140"/>
    <x v="506"/>
    <x v="7"/>
  </r>
  <r>
    <x v="144"/>
    <x v="0"/>
    <x v="98"/>
    <x v="129"/>
    <x v="84"/>
    <x v="3"/>
    <x v="2"/>
    <x v="9"/>
    <x v="1"/>
    <x v="1899"/>
    <x v="0"/>
    <x v="89"/>
    <x v="1"/>
    <x v="1"/>
    <x v="1310"/>
    <x v="235"/>
    <x v="1302"/>
    <x v="7"/>
  </r>
  <r>
    <x v="145"/>
    <x v="0"/>
    <x v="212"/>
    <x v="84"/>
    <x v="75"/>
    <x v="1"/>
    <x v="0"/>
    <x v="8"/>
    <x v="1"/>
    <x v="570"/>
    <x v="0"/>
    <x v="30"/>
    <x v="1"/>
    <x v="0"/>
    <x v="351"/>
    <x v="66"/>
    <x v="433"/>
    <x v="7"/>
  </r>
  <r>
    <x v="146"/>
    <x v="0"/>
    <x v="96"/>
    <x v="117"/>
    <x v="9"/>
    <x v="3"/>
    <x v="2"/>
    <x v="2"/>
    <x v="1"/>
    <x v="1267"/>
    <x v="2"/>
    <x v="49"/>
    <x v="1"/>
    <x v="1"/>
    <x v="790"/>
    <x v="117"/>
    <x v="1195"/>
    <x v="7"/>
  </r>
  <r>
    <x v="146"/>
    <x v="1"/>
    <x v="96"/>
    <x v="117"/>
    <x v="64"/>
    <x v="3"/>
    <x v="2"/>
    <x v="2"/>
    <x v="1"/>
    <x v="1674"/>
    <x v="4"/>
    <x v="69"/>
    <x v="1"/>
    <x v="1"/>
    <x v="952"/>
    <x v="179"/>
    <x v="1042"/>
    <x v="7"/>
  </r>
  <r>
    <x v="146"/>
    <x v="2"/>
    <x v="96"/>
    <x v="117"/>
    <x v="65"/>
    <x v="3"/>
    <x v="2"/>
    <x v="2"/>
    <x v="1"/>
    <x v="2072"/>
    <x v="0"/>
    <x v="95"/>
    <x v="1"/>
    <x v="3"/>
    <x v="1395"/>
    <x v="258"/>
    <x v="1293"/>
    <x v="7"/>
  </r>
  <r>
    <x v="147"/>
    <x v="0"/>
    <x v="232"/>
    <x v="132"/>
    <x v="45"/>
    <x v="2"/>
    <x v="0"/>
    <x v="0"/>
    <x v="1"/>
    <x v="11"/>
    <x v="3"/>
    <x v="0"/>
    <x v="1"/>
    <x v="1"/>
    <x v="1"/>
    <x v="1"/>
    <x v="58"/>
    <x v="7"/>
  </r>
  <r>
    <x v="147"/>
    <x v="1"/>
    <x v="232"/>
    <x v="132"/>
    <x v="0"/>
    <x v="2"/>
    <x v="0"/>
    <x v="0"/>
    <x v="3"/>
    <x v="918"/>
    <x v="1"/>
    <x v="32"/>
    <x v="2"/>
    <x v="3"/>
    <x v="1493"/>
    <x v="210"/>
    <x v="1786"/>
    <x v="7"/>
  </r>
  <r>
    <x v="148"/>
    <x v="0"/>
    <x v="4"/>
    <x v="16"/>
    <x v="97"/>
    <x v="3"/>
    <x v="2"/>
    <x v="7"/>
    <x v="1"/>
    <x v="301"/>
    <x v="0"/>
    <x v="15"/>
    <x v="2"/>
    <x v="1"/>
    <x v="173"/>
    <x v="33"/>
    <x v="197"/>
    <x v="7"/>
  </r>
  <r>
    <x v="149"/>
    <x v="0"/>
    <x v="173"/>
    <x v="137"/>
    <x v="37"/>
    <x v="1"/>
    <x v="0"/>
    <x v="6"/>
    <x v="2"/>
    <x v="1513"/>
    <x v="0"/>
    <x v="78"/>
    <x v="1"/>
    <x v="1"/>
    <x v="1669"/>
    <x v="320"/>
    <x v="1581"/>
    <x v="7"/>
  </r>
  <r>
    <x v="150"/>
    <x v="0"/>
    <x v="91"/>
    <x v="207"/>
    <x v="35"/>
    <x v="1"/>
    <x v="2"/>
    <x v="5"/>
    <x v="5"/>
    <x v="232"/>
    <x v="0"/>
    <x v="11"/>
    <x v="1"/>
    <x v="1"/>
    <x v="709"/>
    <x v="120"/>
    <x v="967"/>
    <x v="7"/>
  </r>
  <r>
    <x v="150"/>
    <x v="1"/>
    <x v="91"/>
    <x v="207"/>
    <x v="94"/>
    <x v="1"/>
    <x v="2"/>
    <x v="5"/>
    <x v="2"/>
    <x v="1918"/>
    <x v="1"/>
    <x v="71"/>
    <x v="1"/>
    <x v="0"/>
    <x v="1783"/>
    <x v="303"/>
    <x v="1988"/>
    <x v="7"/>
  </r>
  <r>
    <x v="150"/>
    <x v="2"/>
    <x v="91"/>
    <x v="207"/>
    <x v="37"/>
    <x v="1"/>
    <x v="2"/>
    <x v="5"/>
    <x v="1"/>
    <x v="1542"/>
    <x v="1"/>
    <x v="78"/>
    <x v="1"/>
    <x v="1"/>
    <x v="1023"/>
    <x v="202"/>
    <x v="993"/>
    <x v="7"/>
  </r>
  <r>
    <x v="151"/>
    <x v="0"/>
    <x v="101"/>
    <x v="198"/>
    <x v="13"/>
    <x v="2"/>
    <x v="2"/>
    <x v="4"/>
    <x v="4"/>
    <x v="1227"/>
    <x v="0"/>
    <x v="70"/>
    <x v="1"/>
    <x v="3"/>
    <x v="1923"/>
    <x v="432"/>
    <x v="1369"/>
    <x v="7"/>
  </r>
  <r>
    <x v="152"/>
    <x v="0"/>
    <x v="110"/>
    <x v="164"/>
    <x v="92"/>
    <x v="1"/>
    <x v="0"/>
    <x v="8"/>
    <x v="5"/>
    <x v="1581"/>
    <x v="3"/>
    <x v="62"/>
    <x v="1"/>
    <x v="3"/>
    <x v="2085"/>
    <x v="453"/>
    <x v="2108"/>
    <x v="7"/>
  </r>
  <r>
    <x v="152"/>
    <x v="1"/>
    <x v="110"/>
    <x v="164"/>
    <x v="31"/>
    <x v="1"/>
    <x v="0"/>
    <x v="8"/>
    <x v="2"/>
    <x v="372"/>
    <x v="0"/>
    <x v="12"/>
    <x v="1"/>
    <x v="3"/>
    <x v="459"/>
    <x v="52"/>
    <x v="940"/>
    <x v="7"/>
  </r>
  <r>
    <x v="152"/>
    <x v="2"/>
    <x v="110"/>
    <x v="164"/>
    <x v="94"/>
    <x v="1"/>
    <x v="0"/>
    <x v="8"/>
    <x v="1"/>
    <x v="1898"/>
    <x v="0"/>
    <x v="71"/>
    <x v="1"/>
    <x v="2"/>
    <x v="1309"/>
    <x v="184"/>
    <x v="1673"/>
    <x v="7"/>
  </r>
  <r>
    <x v="152"/>
    <x v="3"/>
    <x v="110"/>
    <x v="164"/>
    <x v="20"/>
    <x v="1"/>
    <x v="0"/>
    <x v="8"/>
    <x v="1"/>
    <x v="194"/>
    <x v="0"/>
    <x v="5"/>
    <x v="1"/>
    <x v="3"/>
    <x v="106"/>
    <x v="9"/>
    <x v="379"/>
    <x v="7"/>
  </r>
  <r>
    <x v="153"/>
    <x v="0"/>
    <x v="167"/>
    <x v="103"/>
    <x v="18"/>
    <x v="0"/>
    <x v="1"/>
    <x v="5"/>
    <x v="1"/>
    <x v="1511"/>
    <x v="4"/>
    <x v="59"/>
    <x v="1"/>
    <x v="1"/>
    <x v="862"/>
    <x v="150"/>
    <x v="1067"/>
    <x v="7"/>
  </r>
  <r>
    <x v="154"/>
    <x v="0"/>
    <x v="10"/>
    <x v="240"/>
    <x v="32"/>
    <x v="3"/>
    <x v="0"/>
    <x v="3"/>
    <x v="4"/>
    <x v="1145"/>
    <x v="3"/>
    <x v="50"/>
    <x v="1"/>
    <x v="0"/>
    <x v="1767"/>
    <x v="340"/>
    <x v="1819"/>
    <x v="7"/>
  </r>
  <r>
    <x v="154"/>
    <x v="1"/>
    <x v="10"/>
    <x v="240"/>
    <x v="46"/>
    <x v="3"/>
    <x v="0"/>
    <x v="3"/>
    <x v="2"/>
    <x v="1840"/>
    <x v="0"/>
    <x v="85"/>
    <x v="1"/>
    <x v="1"/>
    <x v="1798"/>
    <x v="345"/>
    <x v="1861"/>
    <x v="7"/>
  </r>
  <r>
    <x v="155"/>
    <x v="0"/>
    <x v="148"/>
    <x v="24"/>
    <x v="99"/>
    <x v="1"/>
    <x v="0"/>
    <x v="8"/>
    <x v="3"/>
    <x v="2143"/>
    <x v="0"/>
    <x v="80"/>
    <x v="1"/>
    <x v="1"/>
    <x v="2064"/>
    <x v="409"/>
    <x v="2164"/>
    <x v="7"/>
  </r>
  <r>
    <x v="155"/>
    <x v="1"/>
    <x v="148"/>
    <x v="24"/>
    <x v="20"/>
    <x v="1"/>
    <x v="0"/>
    <x v="8"/>
    <x v="5"/>
    <x v="151"/>
    <x v="2"/>
    <x v="5"/>
    <x v="1"/>
    <x v="0"/>
    <x v="507"/>
    <x v="74"/>
    <x v="820"/>
    <x v="7"/>
  </r>
  <r>
    <x v="155"/>
    <x v="2"/>
    <x v="148"/>
    <x v="24"/>
    <x v="54"/>
    <x v="1"/>
    <x v="0"/>
    <x v="8"/>
    <x v="3"/>
    <x v="1229"/>
    <x v="1"/>
    <x v="55"/>
    <x v="1"/>
    <x v="2"/>
    <x v="1706"/>
    <x v="312"/>
    <x v="1836"/>
    <x v="7"/>
  </r>
  <r>
    <x v="156"/>
    <x v="0"/>
    <x v="30"/>
    <x v="111"/>
    <x v="89"/>
    <x v="3"/>
    <x v="2"/>
    <x v="2"/>
    <x v="1"/>
    <x v="657"/>
    <x v="0"/>
    <x v="26"/>
    <x v="1"/>
    <x v="1"/>
    <x v="429"/>
    <x v="62"/>
    <x v="689"/>
    <x v="7"/>
  </r>
  <r>
    <x v="156"/>
    <x v="1"/>
    <x v="30"/>
    <x v="111"/>
    <x v="38"/>
    <x v="3"/>
    <x v="2"/>
    <x v="2"/>
    <x v="2"/>
    <x v="1120"/>
    <x v="3"/>
    <x v="39"/>
    <x v="1"/>
    <x v="2"/>
    <x v="1190"/>
    <x v="174"/>
    <x v="1568"/>
    <x v="7"/>
  </r>
  <r>
    <x v="156"/>
    <x v="2"/>
    <x v="30"/>
    <x v="111"/>
    <x v="14"/>
    <x v="3"/>
    <x v="2"/>
    <x v="2"/>
    <x v="2"/>
    <x v="229"/>
    <x v="0"/>
    <x v="7"/>
    <x v="1"/>
    <x v="1"/>
    <x v="294"/>
    <x v="29"/>
    <x v="694"/>
    <x v="7"/>
  </r>
  <r>
    <x v="157"/>
    <x v="0"/>
    <x v="67"/>
    <x v="198"/>
    <x v="47"/>
    <x v="0"/>
    <x v="2"/>
    <x v="5"/>
    <x v="1"/>
    <x v="1619"/>
    <x v="1"/>
    <x v="82"/>
    <x v="1"/>
    <x v="2"/>
    <x v="1086"/>
    <x v="215"/>
    <x v="1003"/>
    <x v="7"/>
  </r>
  <r>
    <x v="157"/>
    <x v="1"/>
    <x v="67"/>
    <x v="198"/>
    <x v="51"/>
    <x v="0"/>
    <x v="2"/>
    <x v="5"/>
    <x v="5"/>
    <x v="1456"/>
    <x v="4"/>
    <x v="53"/>
    <x v="1"/>
    <x v="0"/>
    <x v="2026"/>
    <x v="402"/>
    <x v="2109"/>
    <x v="7"/>
  </r>
  <r>
    <x v="157"/>
    <x v="2"/>
    <x v="67"/>
    <x v="198"/>
    <x v="4"/>
    <x v="0"/>
    <x v="2"/>
    <x v="5"/>
    <x v="1"/>
    <x v="1819"/>
    <x v="4"/>
    <x v="94"/>
    <x v="1"/>
    <x v="3"/>
    <x v="1027"/>
    <x v="249"/>
    <x v="67"/>
    <x v="7"/>
  </r>
  <r>
    <x v="158"/>
    <x v="0"/>
    <x v="112"/>
    <x v="44"/>
    <x v="69"/>
    <x v="0"/>
    <x v="1"/>
    <x v="7"/>
    <x v="2"/>
    <x v="142"/>
    <x v="0"/>
    <x v="10"/>
    <x v="1"/>
    <x v="3"/>
    <x v="221"/>
    <x v="40"/>
    <x v="223"/>
    <x v="7"/>
  </r>
  <r>
    <x v="158"/>
    <x v="1"/>
    <x v="112"/>
    <x v="44"/>
    <x v="95"/>
    <x v="0"/>
    <x v="1"/>
    <x v="7"/>
    <x v="3"/>
    <x v="1020"/>
    <x v="0"/>
    <x v="52"/>
    <x v="1"/>
    <x v="3"/>
    <x v="1609"/>
    <x v="300"/>
    <x v="1493"/>
    <x v="7"/>
  </r>
  <r>
    <x v="158"/>
    <x v="2"/>
    <x v="112"/>
    <x v="44"/>
    <x v="40"/>
    <x v="0"/>
    <x v="1"/>
    <x v="7"/>
    <x v="1"/>
    <x v="1634"/>
    <x v="0"/>
    <x v="63"/>
    <x v="1"/>
    <x v="0"/>
    <x v="1141"/>
    <x v="166"/>
    <x v="1537"/>
    <x v="7"/>
  </r>
  <r>
    <x v="159"/>
    <x v="0"/>
    <x v="53"/>
    <x v="129"/>
    <x v="15"/>
    <x v="3"/>
    <x v="2"/>
    <x v="1"/>
    <x v="2"/>
    <x v="969"/>
    <x v="4"/>
    <x v="38"/>
    <x v="1"/>
    <x v="2"/>
    <x v="938"/>
    <x v="173"/>
    <x v="1046"/>
    <x v="7"/>
  </r>
  <r>
    <x v="159"/>
    <x v="1"/>
    <x v="53"/>
    <x v="129"/>
    <x v="30"/>
    <x v="3"/>
    <x v="2"/>
    <x v="1"/>
    <x v="2"/>
    <x v="331"/>
    <x v="0"/>
    <x v="13"/>
    <x v="2"/>
    <x v="0"/>
    <x v="394"/>
    <x v="57"/>
    <x v="691"/>
    <x v="7"/>
  </r>
  <r>
    <x v="160"/>
    <x v="0"/>
    <x v="122"/>
    <x v="72"/>
    <x v="45"/>
    <x v="3"/>
    <x v="1"/>
    <x v="6"/>
    <x v="3"/>
    <x v="0"/>
    <x v="0"/>
    <x v="0"/>
    <x v="1"/>
    <x v="0"/>
    <x v="41"/>
    <x v="7"/>
    <x v="125"/>
    <x v="7"/>
  </r>
  <r>
    <x v="160"/>
    <x v="1"/>
    <x v="122"/>
    <x v="72"/>
    <x v="84"/>
    <x v="3"/>
    <x v="1"/>
    <x v="6"/>
    <x v="7"/>
    <x v="1763"/>
    <x v="4"/>
    <x v="89"/>
    <x v="2"/>
    <x v="0"/>
    <x v="2275"/>
    <x v="567"/>
    <x v="1464"/>
    <x v="7"/>
  </r>
  <r>
    <x v="160"/>
    <x v="2"/>
    <x v="122"/>
    <x v="72"/>
    <x v="14"/>
    <x v="3"/>
    <x v="1"/>
    <x v="6"/>
    <x v="1"/>
    <x v="226"/>
    <x v="0"/>
    <x v="7"/>
    <x v="1"/>
    <x v="0"/>
    <x v="125"/>
    <x v="11"/>
    <x v="431"/>
    <x v="7"/>
  </r>
  <r>
    <x v="161"/>
    <x v="0"/>
    <x v="56"/>
    <x v="3"/>
    <x v="24"/>
    <x v="3"/>
    <x v="2"/>
    <x v="5"/>
    <x v="1"/>
    <x v="592"/>
    <x v="2"/>
    <x v="19"/>
    <x v="1"/>
    <x v="0"/>
    <x v="335"/>
    <x v="43"/>
    <x v="664"/>
    <x v="7"/>
  </r>
  <r>
    <x v="162"/>
    <x v="0"/>
    <x v="98"/>
    <x v="110"/>
    <x v="28"/>
    <x v="3"/>
    <x v="2"/>
    <x v="4"/>
    <x v="1"/>
    <x v="84"/>
    <x v="1"/>
    <x v="2"/>
    <x v="1"/>
    <x v="0"/>
    <x v="38"/>
    <x v="4"/>
    <x v="160"/>
    <x v="7"/>
  </r>
  <r>
    <x v="162"/>
    <x v="1"/>
    <x v="98"/>
    <x v="110"/>
    <x v="10"/>
    <x v="3"/>
    <x v="2"/>
    <x v="4"/>
    <x v="1"/>
    <x v="319"/>
    <x v="0"/>
    <x v="14"/>
    <x v="1"/>
    <x v="1"/>
    <x v="186"/>
    <x v="31"/>
    <x v="274"/>
    <x v="7"/>
  </r>
  <r>
    <x v="162"/>
    <x v="2"/>
    <x v="98"/>
    <x v="110"/>
    <x v="20"/>
    <x v="3"/>
    <x v="2"/>
    <x v="4"/>
    <x v="3"/>
    <x v="199"/>
    <x v="0"/>
    <x v="5"/>
    <x v="1"/>
    <x v="2"/>
    <x v="401"/>
    <x v="44"/>
    <x v="846"/>
    <x v="7"/>
  </r>
  <r>
    <x v="163"/>
    <x v="0"/>
    <x v="224"/>
    <x v="133"/>
    <x v="8"/>
    <x v="0"/>
    <x v="2"/>
    <x v="7"/>
    <x v="4"/>
    <x v="749"/>
    <x v="3"/>
    <x v="28"/>
    <x v="1"/>
    <x v="2"/>
    <x v="1448"/>
    <x v="236"/>
    <x v="1588"/>
    <x v="7"/>
  </r>
  <r>
    <x v="164"/>
    <x v="0"/>
    <x v="96"/>
    <x v="225"/>
    <x v="70"/>
    <x v="2"/>
    <x v="2"/>
    <x v="9"/>
    <x v="1"/>
    <x v="1701"/>
    <x v="0"/>
    <x v="68"/>
    <x v="1"/>
    <x v="1"/>
    <x v="1188"/>
    <x v="178"/>
    <x v="1554"/>
    <x v="7"/>
  </r>
  <r>
    <x v="165"/>
    <x v="0"/>
    <x v="174"/>
    <x v="130"/>
    <x v="37"/>
    <x v="2"/>
    <x v="2"/>
    <x v="9"/>
    <x v="2"/>
    <x v="1557"/>
    <x v="0"/>
    <x v="78"/>
    <x v="1"/>
    <x v="1"/>
    <x v="1692"/>
    <x v="320"/>
    <x v="1680"/>
    <x v="7"/>
  </r>
  <r>
    <x v="165"/>
    <x v="1"/>
    <x v="174"/>
    <x v="130"/>
    <x v="59"/>
    <x v="2"/>
    <x v="2"/>
    <x v="9"/>
    <x v="3"/>
    <x v="1210"/>
    <x v="4"/>
    <x v="60"/>
    <x v="1"/>
    <x v="0"/>
    <x v="1601"/>
    <x v="342"/>
    <x v="595"/>
    <x v="7"/>
  </r>
  <r>
    <x v="166"/>
    <x v="0"/>
    <x v="257"/>
    <x v="175"/>
    <x v="60"/>
    <x v="0"/>
    <x v="2"/>
    <x v="7"/>
    <x v="2"/>
    <x v="538"/>
    <x v="4"/>
    <x v="27"/>
    <x v="2"/>
    <x v="0"/>
    <x v="512"/>
    <x v="128"/>
    <x v="35"/>
    <x v="7"/>
  </r>
  <r>
    <x v="166"/>
    <x v="1"/>
    <x v="257"/>
    <x v="175"/>
    <x v="9"/>
    <x v="0"/>
    <x v="2"/>
    <x v="7"/>
    <x v="1"/>
    <x v="1251"/>
    <x v="0"/>
    <x v="49"/>
    <x v="1"/>
    <x v="3"/>
    <x v="833"/>
    <x v="117"/>
    <x v="1331"/>
    <x v="7"/>
  </r>
  <r>
    <x v="167"/>
    <x v="0"/>
    <x v="130"/>
    <x v="119"/>
    <x v="98"/>
    <x v="1"/>
    <x v="2"/>
    <x v="4"/>
    <x v="1"/>
    <x v="1268"/>
    <x v="0"/>
    <x v="65"/>
    <x v="1"/>
    <x v="0"/>
    <x v="853"/>
    <x v="169"/>
    <x v="783"/>
    <x v="7"/>
  </r>
  <r>
    <x v="167"/>
    <x v="1"/>
    <x v="130"/>
    <x v="119"/>
    <x v="84"/>
    <x v="1"/>
    <x v="2"/>
    <x v="4"/>
    <x v="2"/>
    <x v="1785"/>
    <x v="0"/>
    <x v="89"/>
    <x v="1"/>
    <x v="2"/>
    <x v="1777"/>
    <x v="356"/>
    <x v="1674"/>
    <x v="7"/>
  </r>
  <r>
    <x v="168"/>
    <x v="0"/>
    <x v="29"/>
    <x v="111"/>
    <x v="42"/>
    <x v="0"/>
    <x v="1"/>
    <x v="7"/>
    <x v="1"/>
    <x v="419"/>
    <x v="0"/>
    <x v="23"/>
    <x v="1"/>
    <x v="1"/>
    <x v="259"/>
    <x v="54"/>
    <x v="175"/>
    <x v="7"/>
  </r>
  <r>
    <x v="168"/>
    <x v="1"/>
    <x v="29"/>
    <x v="111"/>
    <x v="76"/>
    <x v="0"/>
    <x v="1"/>
    <x v="7"/>
    <x v="2"/>
    <x v="859"/>
    <x v="1"/>
    <x v="36"/>
    <x v="1"/>
    <x v="3"/>
    <x v="964"/>
    <x v="165"/>
    <x v="1196"/>
    <x v="7"/>
  </r>
  <r>
    <x v="169"/>
    <x v="0"/>
    <x v="124"/>
    <x v="140"/>
    <x v="8"/>
    <x v="3"/>
    <x v="1"/>
    <x v="7"/>
    <x v="6"/>
    <x v="668"/>
    <x v="2"/>
    <x v="28"/>
    <x v="1"/>
    <x v="0"/>
    <x v="1838"/>
    <x v="358"/>
    <x v="1856"/>
    <x v="7"/>
  </r>
  <r>
    <x v="169"/>
    <x v="1"/>
    <x v="124"/>
    <x v="140"/>
    <x v="79"/>
    <x v="3"/>
    <x v="1"/>
    <x v="7"/>
    <x v="2"/>
    <x v="1454"/>
    <x v="4"/>
    <x v="64"/>
    <x v="1"/>
    <x v="0"/>
    <x v="1504"/>
    <x v="287"/>
    <x v="1020"/>
    <x v="7"/>
  </r>
  <r>
    <x v="170"/>
    <x v="0"/>
    <x v="164"/>
    <x v="228"/>
    <x v="78"/>
    <x v="0"/>
    <x v="2"/>
    <x v="7"/>
    <x v="1"/>
    <x v="541"/>
    <x v="0"/>
    <x v="20"/>
    <x v="1"/>
    <x v="3"/>
    <x v="329"/>
    <x v="48"/>
    <x v="609"/>
    <x v="7"/>
  </r>
  <r>
    <x v="171"/>
    <x v="0"/>
    <x v="220"/>
    <x v="141"/>
    <x v="6"/>
    <x v="2"/>
    <x v="2"/>
    <x v="7"/>
    <x v="2"/>
    <x v="1392"/>
    <x v="0"/>
    <x v="76"/>
    <x v="1"/>
    <x v="1"/>
    <x v="1602"/>
    <x v="318"/>
    <x v="1231"/>
    <x v="7"/>
  </r>
  <r>
    <x v="171"/>
    <x v="1"/>
    <x v="220"/>
    <x v="141"/>
    <x v="33"/>
    <x v="2"/>
    <x v="2"/>
    <x v="7"/>
    <x v="1"/>
    <x v="560"/>
    <x v="1"/>
    <x v="29"/>
    <x v="1"/>
    <x v="3"/>
    <x v="331"/>
    <x v="65"/>
    <x v="269"/>
    <x v="7"/>
  </r>
  <r>
    <x v="172"/>
    <x v="0"/>
    <x v="161"/>
    <x v="251"/>
    <x v="99"/>
    <x v="0"/>
    <x v="2"/>
    <x v="1"/>
    <x v="3"/>
    <x v="1880"/>
    <x v="0"/>
    <x v="80"/>
    <x v="1"/>
    <x v="0"/>
    <x v="2022"/>
    <x v="409"/>
    <x v="2093"/>
    <x v="7"/>
  </r>
  <r>
    <x v="173"/>
    <x v="0"/>
    <x v="211"/>
    <x v="51"/>
    <x v="67"/>
    <x v="3"/>
    <x v="0"/>
    <x v="7"/>
    <x v="4"/>
    <x v="997"/>
    <x v="0"/>
    <x v="43"/>
    <x v="1"/>
    <x v="0"/>
    <x v="1745"/>
    <x v="315"/>
    <x v="1905"/>
    <x v="7"/>
  </r>
  <r>
    <x v="173"/>
    <x v="1"/>
    <x v="211"/>
    <x v="51"/>
    <x v="84"/>
    <x v="3"/>
    <x v="0"/>
    <x v="7"/>
    <x v="1"/>
    <x v="1638"/>
    <x v="0"/>
    <x v="89"/>
    <x v="1"/>
    <x v="1"/>
    <x v="1147"/>
    <x v="235"/>
    <x v="895"/>
    <x v="7"/>
  </r>
  <r>
    <x v="173"/>
    <x v="2"/>
    <x v="211"/>
    <x v="51"/>
    <x v="35"/>
    <x v="3"/>
    <x v="0"/>
    <x v="7"/>
    <x v="1"/>
    <x v="233"/>
    <x v="0"/>
    <x v="11"/>
    <x v="1"/>
    <x v="1"/>
    <x v="131"/>
    <x v="20"/>
    <x v="281"/>
    <x v="7"/>
  </r>
  <r>
    <x v="174"/>
    <x v="0"/>
    <x v="115"/>
    <x v="75"/>
    <x v="11"/>
    <x v="3"/>
    <x v="1"/>
    <x v="6"/>
    <x v="1"/>
    <x v="2232"/>
    <x v="0"/>
    <x v="87"/>
    <x v="1"/>
    <x v="1"/>
    <x v="1492"/>
    <x v="229"/>
    <x v="1704"/>
    <x v="7"/>
  </r>
  <r>
    <x v="175"/>
    <x v="0"/>
    <x v="260"/>
    <x v="62"/>
    <x v="75"/>
    <x v="3"/>
    <x v="2"/>
    <x v="8"/>
    <x v="1"/>
    <x v="589"/>
    <x v="3"/>
    <x v="30"/>
    <x v="2"/>
    <x v="2"/>
    <x v="319"/>
    <x v="66"/>
    <x v="179"/>
    <x v="7"/>
  </r>
  <r>
    <x v="175"/>
    <x v="1"/>
    <x v="260"/>
    <x v="62"/>
    <x v="99"/>
    <x v="3"/>
    <x v="2"/>
    <x v="8"/>
    <x v="4"/>
    <x v="1968"/>
    <x v="4"/>
    <x v="80"/>
    <x v="1"/>
    <x v="1"/>
    <x v="2058"/>
    <x v="459"/>
    <x v="1970"/>
    <x v="7"/>
  </r>
  <r>
    <x v="176"/>
    <x v="0"/>
    <x v="29"/>
    <x v="87"/>
    <x v="32"/>
    <x v="1"/>
    <x v="0"/>
    <x v="6"/>
    <x v="1"/>
    <x v="1119"/>
    <x v="2"/>
    <x v="50"/>
    <x v="1"/>
    <x v="3"/>
    <x v="681"/>
    <x v="119"/>
    <x v="912"/>
    <x v="7"/>
  </r>
  <r>
    <x v="176"/>
    <x v="1"/>
    <x v="29"/>
    <x v="87"/>
    <x v="61"/>
    <x v="1"/>
    <x v="0"/>
    <x v="6"/>
    <x v="3"/>
    <x v="943"/>
    <x v="0"/>
    <x v="46"/>
    <x v="1"/>
    <x v="1"/>
    <x v="1549"/>
    <x v="275"/>
    <x v="1490"/>
    <x v="7"/>
  </r>
  <r>
    <x v="177"/>
    <x v="0"/>
    <x v="102"/>
    <x v="198"/>
    <x v="16"/>
    <x v="3"/>
    <x v="0"/>
    <x v="4"/>
    <x v="2"/>
    <x v="1263"/>
    <x v="3"/>
    <x v="51"/>
    <x v="1"/>
    <x v="3"/>
    <x v="1380"/>
    <x v="230"/>
    <x v="1501"/>
    <x v="7"/>
  </r>
  <r>
    <x v="177"/>
    <x v="1"/>
    <x v="102"/>
    <x v="198"/>
    <x v="57"/>
    <x v="3"/>
    <x v="0"/>
    <x v="4"/>
    <x v="7"/>
    <x v="631"/>
    <x v="0"/>
    <x v="25"/>
    <x v="1"/>
    <x v="1"/>
    <x v="2046"/>
    <x v="415"/>
    <x v="2126"/>
    <x v="7"/>
  </r>
  <r>
    <x v="178"/>
    <x v="0"/>
    <x v="26"/>
    <x v="252"/>
    <x v="35"/>
    <x v="2"/>
    <x v="0"/>
    <x v="8"/>
    <x v="1"/>
    <x v="279"/>
    <x v="0"/>
    <x v="11"/>
    <x v="2"/>
    <x v="0"/>
    <x v="163"/>
    <x v="20"/>
    <x v="424"/>
    <x v="7"/>
  </r>
  <r>
    <x v="178"/>
    <x v="1"/>
    <x v="26"/>
    <x v="252"/>
    <x v="27"/>
    <x v="2"/>
    <x v="0"/>
    <x v="8"/>
    <x v="4"/>
    <x v="1406"/>
    <x v="3"/>
    <x v="61"/>
    <x v="1"/>
    <x v="2"/>
    <x v="1925"/>
    <x v="405"/>
    <x v="1791"/>
    <x v="7"/>
  </r>
  <r>
    <x v="178"/>
    <x v="2"/>
    <x v="26"/>
    <x v="252"/>
    <x v="68"/>
    <x v="2"/>
    <x v="0"/>
    <x v="8"/>
    <x v="1"/>
    <x v="1535"/>
    <x v="0"/>
    <x v="83"/>
    <x v="1"/>
    <x v="2"/>
    <x v="1069"/>
    <x v="218"/>
    <x v="939"/>
    <x v="7"/>
  </r>
  <r>
    <x v="179"/>
    <x v="0"/>
    <x v="176"/>
    <x v="121"/>
    <x v="34"/>
    <x v="3"/>
    <x v="2"/>
    <x v="6"/>
    <x v="3"/>
    <x v="1132"/>
    <x v="0"/>
    <x v="58"/>
    <x v="2"/>
    <x v="1"/>
    <x v="1685"/>
    <x v="339"/>
    <x v="1423"/>
    <x v="7"/>
  </r>
  <r>
    <x v="180"/>
    <x v="0"/>
    <x v="49"/>
    <x v="214"/>
    <x v="51"/>
    <x v="0"/>
    <x v="1"/>
    <x v="8"/>
    <x v="1"/>
    <x v="1381"/>
    <x v="0"/>
    <x v="53"/>
    <x v="2"/>
    <x v="3"/>
    <x v="914"/>
    <x v="131"/>
    <x v="1394"/>
    <x v="7"/>
  </r>
  <r>
    <x v="180"/>
    <x v="1"/>
    <x v="49"/>
    <x v="214"/>
    <x v="77"/>
    <x v="0"/>
    <x v="1"/>
    <x v="8"/>
    <x v="1"/>
    <x v="207"/>
    <x v="0"/>
    <x v="9"/>
    <x v="1"/>
    <x v="2"/>
    <x v="112"/>
    <x v="16"/>
    <x v="278"/>
    <x v="7"/>
  </r>
  <r>
    <x v="180"/>
    <x v="2"/>
    <x v="49"/>
    <x v="214"/>
    <x v="68"/>
    <x v="0"/>
    <x v="1"/>
    <x v="8"/>
    <x v="2"/>
    <x v="1756"/>
    <x v="3"/>
    <x v="83"/>
    <x v="1"/>
    <x v="1"/>
    <x v="1671"/>
    <x v="336"/>
    <x v="1358"/>
    <x v="7"/>
  </r>
  <r>
    <x v="181"/>
    <x v="0"/>
    <x v="52"/>
    <x v="131"/>
    <x v="35"/>
    <x v="3"/>
    <x v="0"/>
    <x v="5"/>
    <x v="1"/>
    <x v="236"/>
    <x v="0"/>
    <x v="11"/>
    <x v="0"/>
    <x v="2"/>
    <x v="132"/>
    <x v="20"/>
    <x v="284"/>
    <x v="7"/>
  </r>
  <r>
    <x v="181"/>
    <x v="1"/>
    <x v="52"/>
    <x v="131"/>
    <x v="53"/>
    <x v="3"/>
    <x v="0"/>
    <x v="5"/>
    <x v="2"/>
    <x v="1295"/>
    <x v="1"/>
    <x v="47"/>
    <x v="1"/>
    <x v="2"/>
    <x v="1514"/>
    <x v="214"/>
    <x v="1814"/>
    <x v="7"/>
  </r>
  <r>
    <x v="181"/>
    <x v="2"/>
    <x v="52"/>
    <x v="131"/>
    <x v="62"/>
    <x v="3"/>
    <x v="0"/>
    <x v="5"/>
    <x v="3"/>
    <x v="1396"/>
    <x v="0"/>
    <x v="67"/>
    <x v="1"/>
    <x v="3"/>
    <x v="1858"/>
    <x v="375"/>
    <x v="1796"/>
    <x v="7"/>
  </r>
  <r>
    <x v="181"/>
    <x v="3"/>
    <x v="52"/>
    <x v="131"/>
    <x v="45"/>
    <x v="3"/>
    <x v="0"/>
    <x v="5"/>
    <x v="1"/>
    <x v="5"/>
    <x v="0"/>
    <x v="0"/>
    <x v="1"/>
    <x v="3"/>
    <x v="7"/>
    <x v="1"/>
    <x v="66"/>
    <x v="7"/>
  </r>
  <r>
    <x v="181"/>
    <x v="4"/>
    <x v="52"/>
    <x v="131"/>
    <x v="97"/>
    <x v="3"/>
    <x v="0"/>
    <x v="5"/>
    <x v="1"/>
    <x v="340"/>
    <x v="0"/>
    <x v="15"/>
    <x v="1"/>
    <x v="0"/>
    <x v="200"/>
    <x v="33"/>
    <x v="302"/>
    <x v="7"/>
  </r>
  <r>
    <x v="182"/>
    <x v="0"/>
    <x v="78"/>
    <x v="244"/>
    <x v="49"/>
    <x v="3"/>
    <x v="2"/>
    <x v="8"/>
    <x v="1"/>
    <x v="945"/>
    <x v="0"/>
    <x v="45"/>
    <x v="1"/>
    <x v="2"/>
    <x v="624"/>
    <x v="106"/>
    <x v="839"/>
    <x v="7"/>
  </r>
  <r>
    <x v="183"/>
    <x v="0"/>
    <x v="209"/>
    <x v="48"/>
    <x v="22"/>
    <x v="3"/>
    <x v="0"/>
    <x v="0"/>
    <x v="2"/>
    <x v="931"/>
    <x v="1"/>
    <x v="34"/>
    <x v="1"/>
    <x v="0"/>
    <x v="1062"/>
    <x v="154"/>
    <x v="1446"/>
    <x v="7"/>
  </r>
  <r>
    <x v="183"/>
    <x v="1"/>
    <x v="209"/>
    <x v="48"/>
    <x v="26"/>
    <x v="3"/>
    <x v="0"/>
    <x v="0"/>
    <x v="6"/>
    <x v="1966"/>
    <x v="0"/>
    <x v="74"/>
    <x v="1"/>
    <x v="3"/>
    <x v="2263"/>
    <x v="537"/>
    <x v="2276"/>
    <x v="7"/>
  </r>
  <r>
    <x v="184"/>
    <x v="0"/>
    <x v="21"/>
    <x v="191"/>
    <x v="37"/>
    <x v="0"/>
    <x v="0"/>
    <x v="7"/>
    <x v="1"/>
    <x v="1397"/>
    <x v="1"/>
    <x v="78"/>
    <x v="1"/>
    <x v="1"/>
    <x v="893"/>
    <x v="202"/>
    <x v="604"/>
    <x v="7"/>
  </r>
  <r>
    <x v="185"/>
    <x v="0"/>
    <x v="78"/>
    <x v="178"/>
    <x v="3"/>
    <x v="3"/>
    <x v="1"/>
    <x v="7"/>
    <x v="6"/>
    <x v="1660"/>
    <x v="1"/>
    <x v="73"/>
    <x v="1"/>
    <x v="1"/>
    <x v="2234"/>
    <x v="535"/>
    <x v="2244"/>
    <x v="7"/>
  </r>
  <r>
    <x v="186"/>
    <x v="0"/>
    <x v="19"/>
    <x v="202"/>
    <x v="62"/>
    <x v="0"/>
    <x v="0"/>
    <x v="8"/>
    <x v="1"/>
    <x v="1349"/>
    <x v="0"/>
    <x v="67"/>
    <x v="1"/>
    <x v="0"/>
    <x v="887"/>
    <x v="177"/>
    <x v="884"/>
    <x v="7"/>
  </r>
  <r>
    <x v="186"/>
    <x v="1"/>
    <x v="19"/>
    <x v="202"/>
    <x v="58"/>
    <x v="0"/>
    <x v="0"/>
    <x v="8"/>
    <x v="3"/>
    <x v="2079"/>
    <x v="1"/>
    <x v="99"/>
    <x v="1"/>
    <x v="2"/>
    <x v="2032"/>
    <x v="478"/>
    <x v="1563"/>
    <x v="7"/>
  </r>
  <r>
    <x v="186"/>
    <x v="2"/>
    <x v="19"/>
    <x v="202"/>
    <x v="49"/>
    <x v="0"/>
    <x v="0"/>
    <x v="8"/>
    <x v="1"/>
    <x v="939"/>
    <x v="0"/>
    <x v="45"/>
    <x v="1"/>
    <x v="3"/>
    <x v="621"/>
    <x v="106"/>
    <x v="823"/>
    <x v="7"/>
  </r>
  <r>
    <x v="187"/>
    <x v="0"/>
    <x v="77"/>
    <x v="233"/>
    <x v="63"/>
    <x v="3"/>
    <x v="1"/>
    <x v="0"/>
    <x v="6"/>
    <x v="2205"/>
    <x v="2"/>
    <x v="98"/>
    <x v="2"/>
    <x v="1"/>
    <x v="2264"/>
    <x v="559"/>
    <x v="2121"/>
    <x v="7"/>
  </r>
  <r>
    <x v="187"/>
    <x v="1"/>
    <x v="77"/>
    <x v="233"/>
    <x v="55"/>
    <x v="3"/>
    <x v="1"/>
    <x v="0"/>
    <x v="1"/>
    <x v="1111"/>
    <x v="0"/>
    <x v="54"/>
    <x v="1"/>
    <x v="2"/>
    <x v="749"/>
    <x v="132"/>
    <x v="906"/>
    <x v="7"/>
  </r>
  <r>
    <x v="187"/>
    <x v="2"/>
    <x v="77"/>
    <x v="233"/>
    <x v="40"/>
    <x v="3"/>
    <x v="1"/>
    <x v="0"/>
    <x v="1"/>
    <x v="1700"/>
    <x v="4"/>
    <x v="63"/>
    <x v="1"/>
    <x v="0"/>
    <x v="966"/>
    <x v="166"/>
    <x v="1181"/>
    <x v="7"/>
  </r>
  <r>
    <x v="187"/>
    <x v="3"/>
    <x v="77"/>
    <x v="233"/>
    <x v="1"/>
    <x v="3"/>
    <x v="1"/>
    <x v="0"/>
    <x v="4"/>
    <x v="750"/>
    <x v="4"/>
    <x v="42"/>
    <x v="2"/>
    <x v="1"/>
    <x v="1387"/>
    <x v="305"/>
    <x v="29"/>
    <x v="7"/>
  </r>
  <r>
    <x v="188"/>
    <x v="0"/>
    <x v="144"/>
    <x v="163"/>
    <x v="63"/>
    <x v="1"/>
    <x v="2"/>
    <x v="7"/>
    <x v="3"/>
    <x v="2197"/>
    <x v="0"/>
    <x v="98"/>
    <x v="1"/>
    <x v="2"/>
    <x v="2076"/>
    <x v="475"/>
    <x v="1971"/>
    <x v="7"/>
  </r>
  <r>
    <x v="188"/>
    <x v="1"/>
    <x v="144"/>
    <x v="163"/>
    <x v="83"/>
    <x v="1"/>
    <x v="2"/>
    <x v="7"/>
    <x v="1"/>
    <x v="112"/>
    <x v="1"/>
    <x v="8"/>
    <x v="1"/>
    <x v="0"/>
    <x v="54"/>
    <x v="12"/>
    <x v="104"/>
    <x v="7"/>
  </r>
  <r>
    <x v="189"/>
    <x v="0"/>
    <x v="115"/>
    <x v="220"/>
    <x v="7"/>
    <x v="3"/>
    <x v="0"/>
    <x v="5"/>
    <x v="1"/>
    <x v="66"/>
    <x v="1"/>
    <x v="4"/>
    <x v="1"/>
    <x v="0"/>
    <x v="33"/>
    <x v="6"/>
    <x v="111"/>
    <x v="7"/>
  </r>
  <r>
    <x v="189"/>
    <x v="1"/>
    <x v="115"/>
    <x v="220"/>
    <x v="48"/>
    <x v="3"/>
    <x v="0"/>
    <x v="5"/>
    <x v="4"/>
    <x v="437"/>
    <x v="0"/>
    <x v="17"/>
    <x v="1"/>
    <x v="0"/>
    <x v="956"/>
    <x v="159"/>
    <x v="1222"/>
    <x v="7"/>
  </r>
  <r>
    <x v="189"/>
    <x v="2"/>
    <x v="115"/>
    <x v="220"/>
    <x v="26"/>
    <x v="3"/>
    <x v="0"/>
    <x v="5"/>
    <x v="2"/>
    <x v="2164"/>
    <x v="0"/>
    <x v="74"/>
    <x v="1"/>
    <x v="3"/>
    <x v="1898"/>
    <x v="313"/>
    <x v="2094"/>
    <x v="7"/>
  </r>
  <r>
    <x v="189"/>
    <x v="3"/>
    <x v="115"/>
    <x v="220"/>
    <x v="63"/>
    <x v="3"/>
    <x v="0"/>
    <x v="5"/>
    <x v="3"/>
    <x v="2275"/>
    <x v="0"/>
    <x v="98"/>
    <x v="1"/>
    <x v="3"/>
    <x v="2107"/>
    <x v="475"/>
    <x v="2087"/>
    <x v="7"/>
  </r>
  <r>
    <x v="190"/>
    <x v="0"/>
    <x v="234"/>
    <x v="39"/>
    <x v="61"/>
    <x v="0"/>
    <x v="2"/>
    <x v="7"/>
    <x v="3"/>
    <x v="880"/>
    <x v="1"/>
    <x v="46"/>
    <x v="1"/>
    <x v="1"/>
    <x v="1436"/>
    <x v="275"/>
    <x v="1063"/>
    <x v="7"/>
  </r>
  <r>
    <x v="190"/>
    <x v="1"/>
    <x v="234"/>
    <x v="39"/>
    <x v="58"/>
    <x v="0"/>
    <x v="2"/>
    <x v="7"/>
    <x v="1"/>
    <x v="2145"/>
    <x v="3"/>
    <x v="99"/>
    <x v="1"/>
    <x v="0"/>
    <x v="1240"/>
    <x v="273"/>
    <x v="435"/>
    <x v="7"/>
  </r>
  <r>
    <x v="191"/>
    <x v="0"/>
    <x v="44"/>
    <x v="76"/>
    <x v="74"/>
    <x v="0"/>
    <x v="0"/>
    <x v="9"/>
    <x v="2"/>
    <x v="2037"/>
    <x v="1"/>
    <x v="90"/>
    <x v="1"/>
    <x v="0"/>
    <x v="1825"/>
    <x v="359"/>
    <x v="1775"/>
    <x v="7"/>
  </r>
  <r>
    <x v="191"/>
    <x v="1"/>
    <x v="44"/>
    <x v="76"/>
    <x v="84"/>
    <x v="0"/>
    <x v="0"/>
    <x v="9"/>
    <x v="3"/>
    <x v="1846"/>
    <x v="0"/>
    <x v="89"/>
    <x v="1"/>
    <x v="3"/>
    <x v="2017"/>
    <x v="437"/>
    <x v="1964"/>
    <x v="7"/>
  </r>
  <r>
    <x v="191"/>
    <x v="2"/>
    <x v="44"/>
    <x v="76"/>
    <x v="12"/>
    <x v="0"/>
    <x v="0"/>
    <x v="9"/>
    <x v="1"/>
    <x v="1633"/>
    <x v="0"/>
    <x v="75"/>
    <x v="1"/>
    <x v="3"/>
    <x v="1140"/>
    <x v="195"/>
    <x v="1354"/>
    <x v="7"/>
  </r>
  <r>
    <x v="191"/>
    <x v="3"/>
    <x v="44"/>
    <x v="76"/>
    <x v="52"/>
    <x v="0"/>
    <x v="0"/>
    <x v="9"/>
    <x v="3"/>
    <x v="1089"/>
    <x v="0"/>
    <x v="40"/>
    <x v="1"/>
    <x v="2"/>
    <x v="1651"/>
    <x v="252"/>
    <x v="1953"/>
    <x v="7"/>
  </r>
  <r>
    <x v="192"/>
    <x v="0"/>
    <x v="115"/>
    <x v="24"/>
    <x v="63"/>
    <x v="0"/>
    <x v="2"/>
    <x v="9"/>
    <x v="4"/>
    <x v="2289"/>
    <x v="0"/>
    <x v="98"/>
    <x v="1"/>
    <x v="0"/>
    <x v="2289"/>
    <x v="515"/>
    <x v="2285"/>
    <x v="4"/>
  </r>
  <r>
    <x v="192"/>
    <x v="1"/>
    <x v="115"/>
    <x v="24"/>
    <x v="41"/>
    <x v="0"/>
    <x v="2"/>
    <x v="9"/>
    <x v="1"/>
    <x v="835"/>
    <x v="0"/>
    <x v="35"/>
    <x v="1"/>
    <x v="3"/>
    <x v="565"/>
    <x v="87"/>
    <x v="835"/>
    <x v="7"/>
  </r>
  <r>
    <x v="192"/>
    <x v="2"/>
    <x v="115"/>
    <x v="24"/>
    <x v="43"/>
    <x v="0"/>
    <x v="2"/>
    <x v="9"/>
    <x v="1"/>
    <x v="22"/>
    <x v="3"/>
    <x v="1"/>
    <x v="1"/>
    <x v="3"/>
    <x v="13"/>
    <x v="2"/>
    <x v="74"/>
    <x v="7"/>
  </r>
  <r>
    <x v="193"/>
    <x v="0"/>
    <x v="179"/>
    <x v="8"/>
    <x v="41"/>
    <x v="3"/>
    <x v="0"/>
    <x v="0"/>
    <x v="3"/>
    <x v="871"/>
    <x v="4"/>
    <x v="35"/>
    <x v="1"/>
    <x v="0"/>
    <x v="1219"/>
    <x v="237"/>
    <x v="1084"/>
    <x v="7"/>
  </r>
  <r>
    <x v="193"/>
    <x v="1"/>
    <x v="179"/>
    <x v="8"/>
    <x v="53"/>
    <x v="3"/>
    <x v="0"/>
    <x v="0"/>
    <x v="4"/>
    <x v="1195"/>
    <x v="1"/>
    <x v="47"/>
    <x v="1"/>
    <x v="2"/>
    <x v="1882"/>
    <x v="333"/>
    <x v="2031"/>
    <x v="7"/>
  </r>
  <r>
    <x v="194"/>
    <x v="0"/>
    <x v="3"/>
    <x v="192"/>
    <x v="4"/>
    <x v="1"/>
    <x v="2"/>
    <x v="0"/>
    <x v="2"/>
    <x v="1934"/>
    <x v="4"/>
    <x v="94"/>
    <x v="1"/>
    <x v="2"/>
    <x v="1682"/>
    <x v="373"/>
    <x v="626"/>
    <x v="7"/>
  </r>
  <r>
    <x v="194"/>
    <x v="1"/>
    <x v="3"/>
    <x v="192"/>
    <x v="22"/>
    <x v="1"/>
    <x v="2"/>
    <x v="0"/>
    <x v="1"/>
    <x v="872"/>
    <x v="3"/>
    <x v="34"/>
    <x v="1"/>
    <x v="2"/>
    <x v="487"/>
    <x v="81"/>
    <x v="678"/>
    <x v="7"/>
  </r>
  <r>
    <x v="194"/>
    <x v="2"/>
    <x v="3"/>
    <x v="192"/>
    <x v="86"/>
    <x v="1"/>
    <x v="2"/>
    <x v="0"/>
    <x v="3"/>
    <x v="1654"/>
    <x v="0"/>
    <x v="79"/>
    <x v="1"/>
    <x v="2"/>
    <x v="1967"/>
    <x v="408"/>
    <x v="1958"/>
    <x v="7"/>
  </r>
  <r>
    <x v="194"/>
    <x v="3"/>
    <x v="3"/>
    <x v="192"/>
    <x v="10"/>
    <x v="1"/>
    <x v="2"/>
    <x v="0"/>
    <x v="2"/>
    <x v="364"/>
    <x v="2"/>
    <x v="14"/>
    <x v="1"/>
    <x v="1"/>
    <x v="399"/>
    <x v="67"/>
    <x v="567"/>
    <x v="7"/>
  </r>
  <r>
    <x v="195"/>
    <x v="0"/>
    <x v="142"/>
    <x v="194"/>
    <x v="11"/>
    <x v="3"/>
    <x v="1"/>
    <x v="7"/>
    <x v="1"/>
    <x v="2052"/>
    <x v="0"/>
    <x v="87"/>
    <x v="1"/>
    <x v="0"/>
    <x v="1383"/>
    <x v="229"/>
    <x v="1515"/>
    <x v="7"/>
  </r>
  <r>
    <x v="195"/>
    <x v="1"/>
    <x v="142"/>
    <x v="194"/>
    <x v="16"/>
    <x v="3"/>
    <x v="1"/>
    <x v="7"/>
    <x v="2"/>
    <x v="1408"/>
    <x v="2"/>
    <x v="51"/>
    <x v="1"/>
    <x v="2"/>
    <x v="1550"/>
    <x v="230"/>
    <x v="1821"/>
    <x v="7"/>
  </r>
  <r>
    <x v="195"/>
    <x v="2"/>
    <x v="142"/>
    <x v="194"/>
    <x v="40"/>
    <x v="3"/>
    <x v="1"/>
    <x v="7"/>
    <x v="4"/>
    <x v="1620"/>
    <x v="0"/>
    <x v="63"/>
    <x v="1"/>
    <x v="3"/>
    <x v="2077"/>
    <x v="417"/>
    <x v="2171"/>
    <x v="7"/>
  </r>
  <r>
    <x v="196"/>
    <x v="0"/>
    <x v="180"/>
    <x v="96"/>
    <x v="50"/>
    <x v="2"/>
    <x v="1"/>
    <x v="0"/>
    <x v="1"/>
    <x v="1957"/>
    <x v="0"/>
    <x v="77"/>
    <x v="1"/>
    <x v="1"/>
    <x v="1343"/>
    <x v="200"/>
    <x v="1637"/>
    <x v="7"/>
  </r>
  <r>
    <x v="197"/>
    <x v="0"/>
    <x v="212"/>
    <x v="49"/>
    <x v="5"/>
    <x v="0"/>
    <x v="0"/>
    <x v="5"/>
    <x v="1"/>
    <x v="691"/>
    <x v="0"/>
    <x v="31"/>
    <x v="1"/>
    <x v="3"/>
    <x v="447"/>
    <x v="70"/>
    <x v="707"/>
    <x v="7"/>
  </r>
  <r>
    <x v="198"/>
    <x v="0"/>
    <x v="39"/>
    <x v="143"/>
    <x v="90"/>
    <x v="3"/>
    <x v="2"/>
    <x v="8"/>
    <x v="3"/>
    <x v="770"/>
    <x v="3"/>
    <x v="37"/>
    <x v="1"/>
    <x v="3"/>
    <x v="1145"/>
    <x v="246"/>
    <x v="740"/>
    <x v="7"/>
  </r>
  <r>
    <x v="198"/>
    <x v="1"/>
    <x v="39"/>
    <x v="143"/>
    <x v="86"/>
    <x v="3"/>
    <x v="2"/>
    <x v="8"/>
    <x v="1"/>
    <x v="1958"/>
    <x v="4"/>
    <x v="79"/>
    <x v="1"/>
    <x v="2"/>
    <x v="1085"/>
    <x v="208"/>
    <x v="1045"/>
    <x v="7"/>
  </r>
  <r>
    <x v="198"/>
    <x v="2"/>
    <x v="39"/>
    <x v="143"/>
    <x v="32"/>
    <x v="3"/>
    <x v="2"/>
    <x v="8"/>
    <x v="6"/>
    <x v="1160"/>
    <x v="0"/>
    <x v="50"/>
    <x v="1"/>
    <x v="0"/>
    <x v="2164"/>
    <x v="470"/>
    <x v="2220"/>
    <x v="7"/>
  </r>
  <r>
    <x v="199"/>
    <x v="0"/>
    <x v="191"/>
    <x v="152"/>
    <x v="16"/>
    <x v="2"/>
    <x v="2"/>
    <x v="7"/>
    <x v="3"/>
    <x v="1351"/>
    <x v="0"/>
    <x v="51"/>
    <x v="1"/>
    <x v="3"/>
    <x v="1815"/>
    <x v="299"/>
    <x v="2037"/>
    <x v="7"/>
  </r>
  <r>
    <x v="199"/>
    <x v="1"/>
    <x v="191"/>
    <x v="152"/>
    <x v="98"/>
    <x v="2"/>
    <x v="2"/>
    <x v="7"/>
    <x v="1"/>
    <x v="1341"/>
    <x v="3"/>
    <x v="65"/>
    <x v="0"/>
    <x v="2"/>
    <x v="785"/>
    <x v="169"/>
    <x v="444"/>
    <x v="7"/>
  </r>
  <r>
    <x v="199"/>
    <x v="2"/>
    <x v="191"/>
    <x v="152"/>
    <x v="22"/>
    <x v="2"/>
    <x v="2"/>
    <x v="7"/>
    <x v="1"/>
    <x v="829"/>
    <x v="1"/>
    <x v="34"/>
    <x v="1"/>
    <x v="1"/>
    <x v="525"/>
    <x v="81"/>
    <x v="797"/>
    <x v="7"/>
  </r>
  <r>
    <x v="200"/>
    <x v="0"/>
    <x v="33"/>
    <x v="178"/>
    <x v="7"/>
    <x v="2"/>
    <x v="0"/>
    <x v="0"/>
    <x v="1"/>
    <x v="82"/>
    <x v="0"/>
    <x v="4"/>
    <x v="1"/>
    <x v="2"/>
    <x v="42"/>
    <x v="6"/>
    <x v="141"/>
    <x v="7"/>
  </r>
  <r>
    <x v="201"/>
    <x v="0"/>
    <x v="52"/>
    <x v="233"/>
    <x v="84"/>
    <x v="1"/>
    <x v="2"/>
    <x v="8"/>
    <x v="1"/>
    <x v="1707"/>
    <x v="0"/>
    <x v="89"/>
    <x v="1"/>
    <x v="1"/>
    <x v="1193"/>
    <x v="235"/>
    <x v="1029"/>
    <x v="7"/>
  </r>
  <r>
    <x v="201"/>
    <x v="1"/>
    <x v="52"/>
    <x v="233"/>
    <x v="71"/>
    <x v="1"/>
    <x v="2"/>
    <x v="8"/>
    <x v="3"/>
    <x v="196"/>
    <x v="1"/>
    <x v="6"/>
    <x v="1"/>
    <x v="3"/>
    <x v="371"/>
    <x v="46"/>
    <x v="758"/>
    <x v="7"/>
  </r>
  <r>
    <x v="202"/>
    <x v="0"/>
    <x v="194"/>
    <x v="159"/>
    <x v="17"/>
    <x v="2"/>
    <x v="1"/>
    <x v="7"/>
    <x v="1"/>
    <x v="2188"/>
    <x v="0"/>
    <x v="92"/>
    <x v="1"/>
    <x v="3"/>
    <x v="1454"/>
    <x v="245"/>
    <x v="1549"/>
    <x v="7"/>
  </r>
  <r>
    <x v="203"/>
    <x v="0"/>
    <x v="207"/>
    <x v="106"/>
    <x v="75"/>
    <x v="1"/>
    <x v="2"/>
    <x v="9"/>
    <x v="2"/>
    <x v="588"/>
    <x v="4"/>
    <x v="30"/>
    <x v="1"/>
    <x v="2"/>
    <x v="589"/>
    <x v="136"/>
    <x v="151"/>
    <x v="7"/>
  </r>
  <r>
    <x v="203"/>
    <x v="1"/>
    <x v="207"/>
    <x v="106"/>
    <x v="16"/>
    <x v="1"/>
    <x v="2"/>
    <x v="9"/>
    <x v="6"/>
    <x v="1389"/>
    <x v="0"/>
    <x v="51"/>
    <x v="1"/>
    <x v="2"/>
    <x v="2215"/>
    <x v="484"/>
    <x v="2262"/>
    <x v="7"/>
  </r>
  <r>
    <x v="203"/>
    <x v="2"/>
    <x v="207"/>
    <x v="106"/>
    <x v="86"/>
    <x v="1"/>
    <x v="2"/>
    <x v="9"/>
    <x v="1"/>
    <x v="1888"/>
    <x v="4"/>
    <x v="79"/>
    <x v="1"/>
    <x v="0"/>
    <x v="1055"/>
    <x v="208"/>
    <x v="974"/>
    <x v="7"/>
  </r>
  <r>
    <x v="204"/>
    <x v="0"/>
    <x v="178"/>
    <x v="137"/>
    <x v="62"/>
    <x v="2"/>
    <x v="2"/>
    <x v="8"/>
    <x v="3"/>
    <x v="1437"/>
    <x v="0"/>
    <x v="67"/>
    <x v="1"/>
    <x v="1"/>
    <x v="1888"/>
    <x v="375"/>
    <x v="1902"/>
    <x v="7"/>
  </r>
  <r>
    <x v="204"/>
    <x v="1"/>
    <x v="178"/>
    <x v="137"/>
    <x v="16"/>
    <x v="2"/>
    <x v="2"/>
    <x v="8"/>
    <x v="3"/>
    <x v="1402"/>
    <x v="4"/>
    <x v="51"/>
    <x v="1"/>
    <x v="1"/>
    <x v="1702"/>
    <x v="299"/>
    <x v="1884"/>
    <x v="7"/>
  </r>
  <r>
    <x v="205"/>
    <x v="0"/>
    <x v="145"/>
    <x v="1"/>
    <x v="40"/>
    <x v="2"/>
    <x v="2"/>
    <x v="2"/>
    <x v="3"/>
    <x v="1546"/>
    <x v="0"/>
    <x v="63"/>
    <x v="1"/>
    <x v="2"/>
    <x v="1933"/>
    <x v="360"/>
    <x v="2049"/>
    <x v="7"/>
  </r>
  <r>
    <x v="205"/>
    <x v="1"/>
    <x v="145"/>
    <x v="1"/>
    <x v="59"/>
    <x v="2"/>
    <x v="2"/>
    <x v="2"/>
    <x v="6"/>
    <x v="1142"/>
    <x v="4"/>
    <x v="60"/>
    <x v="1"/>
    <x v="3"/>
    <x v="2082"/>
    <x v="514"/>
    <x v="30"/>
    <x v="7"/>
  </r>
  <r>
    <x v="206"/>
    <x v="0"/>
    <x v="251"/>
    <x v="23"/>
    <x v="61"/>
    <x v="3"/>
    <x v="0"/>
    <x v="0"/>
    <x v="3"/>
    <x v="924"/>
    <x v="0"/>
    <x v="46"/>
    <x v="1"/>
    <x v="2"/>
    <x v="1538"/>
    <x v="275"/>
    <x v="1428"/>
    <x v="7"/>
  </r>
  <r>
    <x v="207"/>
    <x v="0"/>
    <x v="78"/>
    <x v="231"/>
    <x v="9"/>
    <x v="2"/>
    <x v="1"/>
    <x v="3"/>
    <x v="2"/>
    <x v="1317"/>
    <x v="0"/>
    <x v="49"/>
    <x v="1"/>
    <x v="1"/>
    <x v="1558"/>
    <x v="217"/>
    <x v="1890"/>
    <x v="7"/>
  </r>
  <r>
    <x v="208"/>
    <x v="0"/>
    <x v="78"/>
    <x v="62"/>
    <x v="10"/>
    <x v="1"/>
    <x v="1"/>
    <x v="7"/>
    <x v="2"/>
    <x v="349"/>
    <x v="0"/>
    <x v="14"/>
    <x v="1"/>
    <x v="2"/>
    <x v="423"/>
    <x v="67"/>
    <x v="624"/>
    <x v="7"/>
  </r>
  <r>
    <x v="208"/>
    <x v="1"/>
    <x v="78"/>
    <x v="62"/>
    <x v="92"/>
    <x v="1"/>
    <x v="1"/>
    <x v="7"/>
    <x v="2"/>
    <x v="1468"/>
    <x v="0"/>
    <x v="62"/>
    <x v="1"/>
    <x v="1"/>
    <x v="1642"/>
    <x v="279"/>
    <x v="1795"/>
    <x v="7"/>
  </r>
  <r>
    <x v="208"/>
    <x v="2"/>
    <x v="78"/>
    <x v="62"/>
    <x v="19"/>
    <x v="1"/>
    <x v="1"/>
    <x v="7"/>
    <x v="1"/>
    <x v="444"/>
    <x v="4"/>
    <x v="16"/>
    <x v="1"/>
    <x v="3"/>
    <x v="219"/>
    <x v="38"/>
    <x v="251"/>
    <x v="7"/>
  </r>
  <r>
    <x v="208"/>
    <x v="3"/>
    <x v="78"/>
    <x v="62"/>
    <x v="18"/>
    <x v="1"/>
    <x v="1"/>
    <x v="7"/>
    <x v="4"/>
    <x v="1607"/>
    <x v="3"/>
    <x v="59"/>
    <x v="1"/>
    <x v="3"/>
    <x v="2009"/>
    <x v="394"/>
    <x v="2110"/>
    <x v="7"/>
  </r>
  <r>
    <x v="209"/>
    <x v="0"/>
    <x v="169"/>
    <x v="0"/>
    <x v="84"/>
    <x v="3"/>
    <x v="0"/>
    <x v="0"/>
    <x v="2"/>
    <x v="1687"/>
    <x v="0"/>
    <x v="89"/>
    <x v="1"/>
    <x v="2"/>
    <x v="1738"/>
    <x v="356"/>
    <x v="1485"/>
    <x v="7"/>
  </r>
  <r>
    <x v="210"/>
    <x v="0"/>
    <x v="106"/>
    <x v="189"/>
    <x v="68"/>
    <x v="0"/>
    <x v="0"/>
    <x v="5"/>
    <x v="1"/>
    <x v="1566"/>
    <x v="3"/>
    <x v="83"/>
    <x v="1"/>
    <x v="3"/>
    <x v="934"/>
    <x v="218"/>
    <x v="482"/>
    <x v="7"/>
  </r>
  <r>
    <x v="210"/>
    <x v="1"/>
    <x v="106"/>
    <x v="189"/>
    <x v="7"/>
    <x v="0"/>
    <x v="0"/>
    <x v="5"/>
    <x v="2"/>
    <x v="71"/>
    <x v="0"/>
    <x v="4"/>
    <x v="1"/>
    <x v="1"/>
    <x v="109"/>
    <x v="19"/>
    <x v="233"/>
    <x v="7"/>
  </r>
  <r>
    <x v="210"/>
    <x v="2"/>
    <x v="106"/>
    <x v="189"/>
    <x v="11"/>
    <x v="0"/>
    <x v="0"/>
    <x v="5"/>
    <x v="1"/>
    <x v="2233"/>
    <x v="0"/>
    <x v="87"/>
    <x v="1"/>
    <x v="3"/>
    <x v="1494"/>
    <x v="229"/>
    <x v="1708"/>
    <x v="7"/>
  </r>
  <r>
    <x v="211"/>
    <x v="0"/>
    <x v="107"/>
    <x v="15"/>
    <x v="18"/>
    <x v="2"/>
    <x v="0"/>
    <x v="9"/>
    <x v="2"/>
    <x v="1503"/>
    <x v="4"/>
    <x v="59"/>
    <x v="1"/>
    <x v="2"/>
    <x v="1539"/>
    <x v="268"/>
    <x v="1560"/>
    <x v="7"/>
  </r>
  <r>
    <x v="211"/>
    <x v="1"/>
    <x v="107"/>
    <x v="15"/>
    <x v="73"/>
    <x v="2"/>
    <x v="0"/>
    <x v="9"/>
    <x v="3"/>
    <x v="2039"/>
    <x v="4"/>
    <x v="84"/>
    <x v="1"/>
    <x v="3"/>
    <x v="1955"/>
    <x v="419"/>
    <x v="1779"/>
    <x v="7"/>
  </r>
  <r>
    <x v="212"/>
    <x v="0"/>
    <x v="188"/>
    <x v="82"/>
    <x v="82"/>
    <x v="3"/>
    <x v="1"/>
    <x v="0"/>
    <x v="3"/>
    <x v="1884"/>
    <x v="0"/>
    <x v="96"/>
    <x v="1"/>
    <x v="0"/>
    <x v="2023"/>
    <x v="455"/>
    <x v="1805"/>
    <x v="7"/>
  </r>
  <r>
    <x v="212"/>
    <x v="1"/>
    <x v="188"/>
    <x v="82"/>
    <x v="76"/>
    <x v="3"/>
    <x v="1"/>
    <x v="0"/>
    <x v="3"/>
    <x v="877"/>
    <x v="0"/>
    <x v="36"/>
    <x v="1"/>
    <x v="1"/>
    <x v="1479"/>
    <x v="238"/>
    <x v="1647"/>
    <x v="7"/>
  </r>
  <r>
    <x v="212"/>
    <x v="2"/>
    <x v="188"/>
    <x v="82"/>
    <x v="50"/>
    <x v="3"/>
    <x v="1"/>
    <x v="0"/>
    <x v="2"/>
    <x v="2015"/>
    <x v="1"/>
    <x v="77"/>
    <x v="1"/>
    <x v="2"/>
    <x v="1813"/>
    <x v="319"/>
    <x v="1984"/>
    <x v="7"/>
  </r>
  <r>
    <x v="213"/>
    <x v="0"/>
    <x v="177"/>
    <x v="178"/>
    <x v="78"/>
    <x v="3"/>
    <x v="2"/>
    <x v="1"/>
    <x v="2"/>
    <x v="565"/>
    <x v="4"/>
    <x v="20"/>
    <x v="1"/>
    <x v="1"/>
    <x v="566"/>
    <x v="98"/>
    <x v="682"/>
    <x v="7"/>
  </r>
  <r>
    <x v="213"/>
    <x v="1"/>
    <x v="177"/>
    <x v="178"/>
    <x v="32"/>
    <x v="3"/>
    <x v="2"/>
    <x v="1"/>
    <x v="5"/>
    <x v="1199"/>
    <x v="0"/>
    <x v="50"/>
    <x v="1"/>
    <x v="0"/>
    <x v="2006"/>
    <x v="384"/>
    <x v="2131"/>
    <x v="7"/>
  </r>
  <r>
    <x v="213"/>
    <x v="2"/>
    <x v="177"/>
    <x v="178"/>
    <x v="41"/>
    <x v="3"/>
    <x v="2"/>
    <x v="1"/>
    <x v="1"/>
    <x v="836"/>
    <x v="3"/>
    <x v="35"/>
    <x v="1"/>
    <x v="0"/>
    <x v="468"/>
    <x v="87"/>
    <x v="574"/>
    <x v="7"/>
  </r>
  <r>
    <x v="213"/>
    <x v="3"/>
    <x v="177"/>
    <x v="178"/>
    <x v="96"/>
    <x v="3"/>
    <x v="2"/>
    <x v="1"/>
    <x v="2"/>
    <x v="417"/>
    <x v="0"/>
    <x v="22"/>
    <x v="1"/>
    <x v="2"/>
    <x v="523"/>
    <x v="110"/>
    <x v="396"/>
    <x v="7"/>
  </r>
  <r>
    <x v="214"/>
    <x v="0"/>
    <x v="221"/>
    <x v="114"/>
    <x v="1"/>
    <x v="2"/>
    <x v="1"/>
    <x v="5"/>
    <x v="3"/>
    <x v="766"/>
    <x v="1"/>
    <x v="42"/>
    <x v="1"/>
    <x v="1"/>
    <x v="1268"/>
    <x v="262"/>
    <x v="888"/>
    <x v="7"/>
  </r>
  <r>
    <x v="215"/>
    <x v="0"/>
    <x v="175"/>
    <x v="94"/>
    <x v="47"/>
    <x v="2"/>
    <x v="0"/>
    <x v="0"/>
    <x v="5"/>
    <x v="1530"/>
    <x v="0"/>
    <x v="82"/>
    <x v="1"/>
    <x v="2"/>
    <x v="2132"/>
    <x v="502"/>
    <x v="1986"/>
    <x v="7"/>
  </r>
  <r>
    <x v="215"/>
    <x v="1"/>
    <x v="175"/>
    <x v="94"/>
    <x v="29"/>
    <x v="2"/>
    <x v="0"/>
    <x v="0"/>
    <x v="1"/>
    <x v="2065"/>
    <x v="0"/>
    <x v="97"/>
    <x v="1"/>
    <x v="1"/>
    <x v="1391"/>
    <x v="269"/>
    <x v="1076"/>
    <x v="7"/>
  </r>
  <r>
    <x v="216"/>
    <x v="0"/>
    <x v="57"/>
    <x v="81"/>
    <x v="31"/>
    <x v="0"/>
    <x v="0"/>
    <x v="4"/>
    <x v="1"/>
    <x v="352"/>
    <x v="3"/>
    <x v="12"/>
    <x v="1"/>
    <x v="3"/>
    <x v="170"/>
    <x v="21"/>
    <x v="376"/>
    <x v="7"/>
  </r>
  <r>
    <x v="216"/>
    <x v="1"/>
    <x v="57"/>
    <x v="81"/>
    <x v="58"/>
    <x v="0"/>
    <x v="0"/>
    <x v="4"/>
    <x v="6"/>
    <x v="1854"/>
    <x v="0"/>
    <x v="99"/>
    <x v="1"/>
    <x v="3"/>
    <x v="2259"/>
    <x v="560"/>
    <x v="1929"/>
    <x v="7"/>
  </r>
  <r>
    <x v="216"/>
    <x v="2"/>
    <x v="57"/>
    <x v="81"/>
    <x v="89"/>
    <x v="0"/>
    <x v="0"/>
    <x v="4"/>
    <x v="6"/>
    <x v="654"/>
    <x v="3"/>
    <x v="26"/>
    <x v="1"/>
    <x v="0"/>
    <x v="1774"/>
    <x v="354"/>
    <x v="1665"/>
    <x v="7"/>
  </r>
  <r>
    <x v="217"/>
    <x v="0"/>
    <x v="60"/>
    <x v="198"/>
    <x v="52"/>
    <x v="3"/>
    <x v="0"/>
    <x v="9"/>
    <x v="2"/>
    <x v="1058"/>
    <x v="0"/>
    <x v="40"/>
    <x v="1"/>
    <x v="2"/>
    <x v="1294"/>
    <x v="176"/>
    <x v="1690"/>
    <x v="7"/>
  </r>
  <r>
    <x v="218"/>
    <x v="0"/>
    <x v="160"/>
    <x v="43"/>
    <x v="0"/>
    <x v="1"/>
    <x v="1"/>
    <x v="2"/>
    <x v="3"/>
    <x v="851"/>
    <x v="0"/>
    <x v="32"/>
    <x v="1"/>
    <x v="3"/>
    <x v="1450"/>
    <x v="210"/>
    <x v="1739"/>
    <x v="7"/>
  </r>
  <r>
    <x v="219"/>
    <x v="0"/>
    <x v="197"/>
    <x v="149"/>
    <x v="0"/>
    <x v="0"/>
    <x v="1"/>
    <x v="9"/>
    <x v="2"/>
    <x v="834"/>
    <x v="4"/>
    <x v="32"/>
    <x v="1"/>
    <x v="2"/>
    <x v="815"/>
    <x v="147"/>
    <x v="997"/>
    <x v="7"/>
  </r>
  <r>
    <x v="219"/>
    <x v="1"/>
    <x v="197"/>
    <x v="149"/>
    <x v="30"/>
    <x v="0"/>
    <x v="1"/>
    <x v="9"/>
    <x v="4"/>
    <x v="312"/>
    <x v="0"/>
    <x v="13"/>
    <x v="1"/>
    <x v="1"/>
    <x v="711"/>
    <x v="114"/>
    <x v="1010"/>
    <x v="7"/>
  </r>
  <r>
    <x v="220"/>
    <x v="0"/>
    <x v="206"/>
    <x v="72"/>
    <x v="73"/>
    <x v="3"/>
    <x v="2"/>
    <x v="1"/>
    <x v="2"/>
    <x v="2114"/>
    <x v="1"/>
    <x v="84"/>
    <x v="1"/>
    <x v="2"/>
    <x v="1846"/>
    <x v="343"/>
    <x v="1945"/>
    <x v="7"/>
  </r>
  <r>
    <x v="221"/>
    <x v="0"/>
    <x v="173"/>
    <x v="151"/>
    <x v="22"/>
    <x v="1"/>
    <x v="0"/>
    <x v="6"/>
    <x v="2"/>
    <x v="902"/>
    <x v="0"/>
    <x v="34"/>
    <x v="1"/>
    <x v="3"/>
    <x v="1074"/>
    <x v="154"/>
    <x v="1471"/>
    <x v="7"/>
  </r>
  <r>
    <x v="221"/>
    <x v="1"/>
    <x v="173"/>
    <x v="151"/>
    <x v="83"/>
    <x v="1"/>
    <x v="0"/>
    <x v="6"/>
    <x v="1"/>
    <x v="117"/>
    <x v="0"/>
    <x v="8"/>
    <x v="1"/>
    <x v="1"/>
    <x v="63"/>
    <x v="12"/>
    <x v="146"/>
    <x v="7"/>
  </r>
  <r>
    <x v="222"/>
    <x v="0"/>
    <x v="160"/>
    <x v="161"/>
    <x v="8"/>
    <x v="1"/>
    <x v="0"/>
    <x v="8"/>
    <x v="1"/>
    <x v="705"/>
    <x v="0"/>
    <x v="28"/>
    <x v="1"/>
    <x v="0"/>
    <x v="451"/>
    <x v="64"/>
    <x v="814"/>
    <x v="7"/>
  </r>
  <r>
    <x v="222"/>
    <x v="1"/>
    <x v="160"/>
    <x v="161"/>
    <x v="44"/>
    <x v="1"/>
    <x v="0"/>
    <x v="8"/>
    <x v="2"/>
    <x v="1470"/>
    <x v="2"/>
    <x v="57"/>
    <x v="1"/>
    <x v="1"/>
    <x v="1590"/>
    <x v="261"/>
    <x v="1789"/>
    <x v="7"/>
  </r>
  <r>
    <x v="222"/>
    <x v="2"/>
    <x v="160"/>
    <x v="161"/>
    <x v="73"/>
    <x v="1"/>
    <x v="0"/>
    <x v="8"/>
    <x v="2"/>
    <x v="2270"/>
    <x v="0"/>
    <x v="84"/>
    <x v="1"/>
    <x v="0"/>
    <x v="1938"/>
    <x v="343"/>
    <x v="2106"/>
    <x v="7"/>
  </r>
  <r>
    <x v="223"/>
    <x v="0"/>
    <x v="33"/>
    <x v="66"/>
    <x v="91"/>
    <x v="3"/>
    <x v="0"/>
    <x v="8"/>
    <x v="6"/>
    <x v="2030"/>
    <x v="1"/>
    <x v="81"/>
    <x v="0"/>
    <x v="3"/>
    <x v="2262"/>
    <x v="542"/>
    <x v="2271"/>
    <x v="7"/>
  </r>
  <r>
    <x v="223"/>
    <x v="1"/>
    <x v="33"/>
    <x v="66"/>
    <x v="56"/>
    <x v="3"/>
    <x v="0"/>
    <x v="8"/>
    <x v="1"/>
    <x v="817"/>
    <x v="0"/>
    <x v="44"/>
    <x v="2"/>
    <x v="3"/>
    <x v="557"/>
    <x v="104"/>
    <x v="594"/>
    <x v="7"/>
  </r>
  <r>
    <x v="223"/>
    <x v="2"/>
    <x v="33"/>
    <x v="66"/>
    <x v="5"/>
    <x v="3"/>
    <x v="0"/>
    <x v="8"/>
    <x v="3"/>
    <x v="663"/>
    <x v="0"/>
    <x v="31"/>
    <x v="1"/>
    <x v="0"/>
    <x v="1121"/>
    <x v="199"/>
    <x v="1282"/>
    <x v="7"/>
  </r>
  <r>
    <x v="223"/>
    <x v="3"/>
    <x v="33"/>
    <x v="66"/>
    <x v="33"/>
    <x v="3"/>
    <x v="0"/>
    <x v="8"/>
    <x v="6"/>
    <x v="572"/>
    <x v="0"/>
    <x v="29"/>
    <x v="1"/>
    <x v="0"/>
    <x v="1776"/>
    <x v="365"/>
    <x v="1580"/>
    <x v="7"/>
  </r>
  <r>
    <x v="224"/>
    <x v="0"/>
    <x v="4"/>
    <x v="41"/>
    <x v="86"/>
    <x v="2"/>
    <x v="1"/>
    <x v="9"/>
    <x v="4"/>
    <x v="1922"/>
    <x v="0"/>
    <x v="79"/>
    <x v="1"/>
    <x v="0"/>
    <x v="2134"/>
    <x v="458"/>
    <x v="2183"/>
    <x v="7"/>
  </r>
  <r>
    <x v="224"/>
    <x v="1"/>
    <x v="4"/>
    <x v="41"/>
    <x v="32"/>
    <x v="2"/>
    <x v="1"/>
    <x v="9"/>
    <x v="2"/>
    <x v="1212"/>
    <x v="0"/>
    <x v="50"/>
    <x v="1"/>
    <x v="1"/>
    <x v="1489"/>
    <x v="221"/>
    <x v="1761"/>
    <x v="7"/>
  </r>
  <r>
    <x v="224"/>
    <x v="2"/>
    <x v="4"/>
    <x v="41"/>
    <x v="95"/>
    <x v="2"/>
    <x v="1"/>
    <x v="9"/>
    <x v="2"/>
    <x v="965"/>
    <x v="3"/>
    <x v="52"/>
    <x v="1"/>
    <x v="1"/>
    <x v="990"/>
    <x v="232"/>
    <x v="304"/>
    <x v="7"/>
  </r>
  <r>
    <x v="224"/>
    <x v="3"/>
    <x v="4"/>
    <x v="41"/>
    <x v="74"/>
    <x v="2"/>
    <x v="1"/>
    <x v="9"/>
    <x v="4"/>
    <x v="2017"/>
    <x v="0"/>
    <x v="90"/>
    <x v="1"/>
    <x v="0"/>
    <x v="2146"/>
    <x v="491"/>
    <x v="2128"/>
    <x v="7"/>
  </r>
  <r>
    <x v="224"/>
    <x v="4"/>
    <x v="4"/>
    <x v="41"/>
    <x v="16"/>
    <x v="2"/>
    <x v="1"/>
    <x v="9"/>
    <x v="1"/>
    <x v="1359"/>
    <x v="0"/>
    <x v="51"/>
    <x v="1"/>
    <x v="1"/>
    <x v="892"/>
    <x v="123"/>
    <x v="1392"/>
    <x v="7"/>
  </r>
  <r>
    <x v="225"/>
    <x v="0"/>
    <x v="187"/>
    <x v="196"/>
    <x v="76"/>
    <x v="1"/>
    <x v="1"/>
    <x v="4"/>
    <x v="3"/>
    <x v="874"/>
    <x v="3"/>
    <x v="36"/>
    <x v="1"/>
    <x v="3"/>
    <x v="1298"/>
    <x v="238"/>
    <x v="1265"/>
    <x v="7"/>
  </r>
  <r>
    <x v="225"/>
    <x v="1"/>
    <x v="187"/>
    <x v="196"/>
    <x v="70"/>
    <x v="1"/>
    <x v="1"/>
    <x v="4"/>
    <x v="1"/>
    <x v="1508"/>
    <x v="0"/>
    <x v="68"/>
    <x v="1"/>
    <x v="3"/>
    <x v="1045"/>
    <x v="178"/>
    <x v="1284"/>
    <x v="7"/>
  </r>
  <r>
    <x v="225"/>
    <x v="2"/>
    <x v="187"/>
    <x v="196"/>
    <x v="44"/>
    <x v="1"/>
    <x v="1"/>
    <x v="4"/>
    <x v="2"/>
    <x v="1433"/>
    <x v="0"/>
    <x v="57"/>
    <x v="1"/>
    <x v="0"/>
    <x v="1622"/>
    <x v="261"/>
    <x v="1893"/>
    <x v="7"/>
  </r>
  <r>
    <x v="226"/>
    <x v="0"/>
    <x v="239"/>
    <x v="86"/>
    <x v="11"/>
    <x v="1"/>
    <x v="1"/>
    <x v="7"/>
    <x v="5"/>
    <x v="2133"/>
    <x v="3"/>
    <x v="87"/>
    <x v="1"/>
    <x v="2"/>
    <x v="2179"/>
    <x v="513"/>
    <x v="2117"/>
    <x v="7"/>
  </r>
  <r>
    <x v="226"/>
    <x v="1"/>
    <x v="239"/>
    <x v="86"/>
    <x v="67"/>
    <x v="1"/>
    <x v="1"/>
    <x v="7"/>
    <x v="2"/>
    <x v="1012"/>
    <x v="3"/>
    <x v="43"/>
    <x v="1"/>
    <x v="3"/>
    <x v="1047"/>
    <x v="196"/>
    <x v="1120"/>
    <x v="7"/>
  </r>
  <r>
    <x v="227"/>
    <x v="0"/>
    <x v="107"/>
    <x v="17"/>
    <x v="37"/>
    <x v="0"/>
    <x v="0"/>
    <x v="7"/>
    <x v="1"/>
    <x v="1441"/>
    <x v="0"/>
    <x v="78"/>
    <x v="1"/>
    <x v="0"/>
    <x v="987"/>
    <x v="202"/>
    <x v="902"/>
    <x v="7"/>
  </r>
  <r>
    <x v="227"/>
    <x v="1"/>
    <x v="107"/>
    <x v="17"/>
    <x v="62"/>
    <x v="0"/>
    <x v="0"/>
    <x v="7"/>
    <x v="1"/>
    <x v="1439"/>
    <x v="0"/>
    <x v="67"/>
    <x v="1"/>
    <x v="0"/>
    <x v="986"/>
    <x v="177"/>
    <x v="1136"/>
    <x v="7"/>
  </r>
  <r>
    <x v="228"/>
    <x v="0"/>
    <x v="224"/>
    <x v="247"/>
    <x v="26"/>
    <x v="0"/>
    <x v="0"/>
    <x v="9"/>
    <x v="2"/>
    <x v="2055"/>
    <x v="4"/>
    <x v="74"/>
    <x v="1"/>
    <x v="1"/>
    <x v="1703"/>
    <x v="313"/>
    <x v="1812"/>
    <x v="7"/>
  </r>
  <r>
    <x v="229"/>
    <x v="0"/>
    <x v="262"/>
    <x v="56"/>
    <x v="20"/>
    <x v="1"/>
    <x v="0"/>
    <x v="4"/>
    <x v="1"/>
    <x v="158"/>
    <x v="1"/>
    <x v="5"/>
    <x v="1"/>
    <x v="2"/>
    <x v="82"/>
    <x v="9"/>
    <x v="253"/>
    <x v="7"/>
  </r>
  <r>
    <x v="229"/>
    <x v="1"/>
    <x v="262"/>
    <x v="56"/>
    <x v="15"/>
    <x v="1"/>
    <x v="0"/>
    <x v="4"/>
    <x v="1"/>
    <x v="1051"/>
    <x v="3"/>
    <x v="38"/>
    <x v="1"/>
    <x v="0"/>
    <x v="612"/>
    <x v="93"/>
    <x v="928"/>
    <x v="7"/>
  </r>
  <r>
    <x v="230"/>
    <x v="0"/>
    <x v="3"/>
    <x v="44"/>
    <x v="35"/>
    <x v="0"/>
    <x v="0"/>
    <x v="6"/>
    <x v="6"/>
    <x v="231"/>
    <x v="0"/>
    <x v="11"/>
    <x v="1"/>
    <x v="1"/>
    <x v="1049"/>
    <x v="181"/>
    <x v="1271"/>
    <x v="7"/>
  </r>
  <r>
    <x v="230"/>
    <x v="1"/>
    <x v="3"/>
    <x v="44"/>
    <x v="31"/>
    <x v="0"/>
    <x v="0"/>
    <x v="6"/>
    <x v="1"/>
    <x v="351"/>
    <x v="4"/>
    <x v="12"/>
    <x v="1"/>
    <x v="3"/>
    <x v="152"/>
    <x v="21"/>
    <x v="297"/>
    <x v="7"/>
  </r>
  <r>
    <x v="230"/>
    <x v="2"/>
    <x v="3"/>
    <x v="44"/>
    <x v="2"/>
    <x v="0"/>
    <x v="0"/>
    <x v="6"/>
    <x v="1"/>
    <x v="793"/>
    <x v="0"/>
    <x v="48"/>
    <x v="2"/>
    <x v="2"/>
    <x v="531"/>
    <x v="116"/>
    <x v="299"/>
    <x v="7"/>
  </r>
  <r>
    <x v="231"/>
    <x v="0"/>
    <x v="11"/>
    <x v="201"/>
    <x v="3"/>
    <x v="0"/>
    <x v="2"/>
    <x v="5"/>
    <x v="2"/>
    <x v="1739"/>
    <x v="0"/>
    <x v="73"/>
    <x v="1"/>
    <x v="0"/>
    <x v="1760"/>
    <x v="309"/>
    <x v="1939"/>
    <x v="7"/>
  </r>
  <r>
    <x v="231"/>
    <x v="1"/>
    <x v="11"/>
    <x v="201"/>
    <x v="56"/>
    <x v="0"/>
    <x v="2"/>
    <x v="5"/>
    <x v="1"/>
    <x v="806"/>
    <x v="0"/>
    <x v="44"/>
    <x v="1"/>
    <x v="0"/>
    <x v="548"/>
    <x v="104"/>
    <x v="573"/>
    <x v="7"/>
  </r>
  <r>
    <x v="231"/>
    <x v="2"/>
    <x v="11"/>
    <x v="201"/>
    <x v="9"/>
    <x v="0"/>
    <x v="2"/>
    <x v="5"/>
    <x v="1"/>
    <x v="1342"/>
    <x v="0"/>
    <x v="49"/>
    <x v="1"/>
    <x v="0"/>
    <x v="883"/>
    <x v="117"/>
    <x v="1436"/>
    <x v="7"/>
  </r>
  <r>
    <x v="231"/>
    <x v="3"/>
    <x v="11"/>
    <x v="201"/>
    <x v="31"/>
    <x v="0"/>
    <x v="2"/>
    <x v="5"/>
    <x v="5"/>
    <x v="369"/>
    <x v="1"/>
    <x v="12"/>
    <x v="1"/>
    <x v="2"/>
    <x v="935"/>
    <x v="133"/>
    <x v="1422"/>
    <x v="7"/>
  </r>
  <r>
    <x v="232"/>
    <x v="0"/>
    <x v="55"/>
    <x v="67"/>
    <x v="50"/>
    <x v="0"/>
    <x v="0"/>
    <x v="6"/>
    <x v="1"/>
    <x v="1661"/>
    <x v="3"/>
    <x v="77"/>
    <x v="1"/>
    <x v="0"/>
    <x v="1000"/>
    <x v="200"/>
    <x v="964"/>
    <x v="7"/>
  </r>
  <r>
    <x v="233"/>
    <x v="0"/>
    <x v="177"/>
    <x v="181"/>
    <x v="90"/>
    <x v="3"/>
    <x v="0"/>
    <x v="2"/>
    <x v="4"/>
    <x v="724"/>
    <x v="0"/>
    <x v="37"/>
    <x v="1"/>
    <x v="2"/>
    <x v="1551"/>
    <x v="289"/>
    <x v="1270"/>
    <x v="7"/>
  </r>
  <r>
    <x v="233"/>
    <x v="1"/>
    <x v="177"/>
    <x v="181"/>
    <x v="13"/>
    <x v="3"/>
    <x v="0"/>
    <x v="2"/>
    <x v="1"/>
    <x v="1233"/>
    <x v="0"/>
    <x v="70"/>
    <x v="1"/>
    <x v="2"/>
    <x v="821"/>
    <x v="180"/>
    <x v="603"/>
    <x v="7"/>
  </r>
  <r>
    <x v="234"/>
    <x v="0"/>
    <x v="109"/>
    <x v="249"/>
    <x v="80"/>
    <x v="1"/>
    <x v="0"/>
    <x v="4"/>
    <x v="1"/>
    <x v="1175"/>
    <x v="3"/>
    <x v="56"/>
    <x v="1"/>
    <x v="0"/>
    <x v="687"/>
    <x v="142"/>
    <x v="623"/>
    <x v="7"/>
  </r>
  <r>
    <x v="234"/>
    <x v="1"/>
    <x v="109"/>
    <x v="249"/>
    <x v="59"/>
    <x v="1"/>
    <x v="0"/>
    <x v="4"/>
    <x v="1"/>
    <x v="1137"/>
    <x v="3"/>
    <x v="60"/>
    <x v="1"/>
    <x v="0"/>
    <x v="663"/>
    <x v="151"/>
    <x v="173"/>
    <x v="7"/>
  </r>
  <r>
    <x v="234"/>
    <x v="2"/>
    <x v="109"/>
    <x v="249"/>
    <x v="38"/>
    <x v="1"/>
    <x v="0"/>
    <x v="4"/>
    <x v="2"/>
    <x v="1046"/>
    <x v="0"/>
    <x v="39"/>
    <x v="1"/>
    <x v="3"/>
    <x v="1269"/>
    <x v="174"/>
    <x v="1666"/>
    <x v="7"/>
  </r>
  <r>
    <x v="235"/>
    <x v="0"/>
    <x v="25"/>
    <x v="159"/>
    <x v="82"/>
    <x v="0"/>
    <x v="0"/>
    <x v="9"/>
    <x v="1"/>
    <x v="1955"/>
    <x v="0"/>
    <x v="96"/>
    <x v="1"/>
    <x v="0"/>
    <x v="1341"/>
    <x v="259"/>
    <x v="1119"/>
    <x v="7"/>
  </r>
  <r>
    <x v="235"/>
    <x v="1"/>
    <x v="25"/>
    <x v="159"/>
    <x v="79"/>
    <x v="0"/>
    <x v="0"/>
    <x v="9"/>
    <x v="1"/>
    <x v="1626"/>
    <x v="4"/>
    <x v="64"/>
    <x v="2"/>
    <x v="0"/>
    <x v="921"/>
    <x v="168"/>
    <x v="1028"/>
    <x v="7"/>
  </r>
  <r>
    <x v="235"/>
    <x v="2"/>
    <x v="25"/>
    <x v="159"/>
    <x v="36"/>
    <x v="0"/>
    <x v="0"/>
    <x v="9"/>
    <x v="1"/>
    <x v="2225"/>
    <x v="0"/>
    <x v="91"/>
    <x v="1"/>
    <x v="1"/>
    <x v="1485"/>
    <x v="241"/>
    <x v="1640"/>
    <x v="7"/>
  </r>
  <r>
    <x v="235"/>
    <x v="3"/>
    <x v="25"/>
    <x v="159"/>
    <x v="61"/>
    <x v="0"/>
    <x v="0"/>
    <x v="9"/>
    <x v="2"/>
    <x v="910"/>
    <x v="0"/>
    <x v="46"/>
    <x v="1"/>
    <x v="1"/>
    <x v="1090"/>
    <x v="205"/>
    <x v="1095"/>
    <x v="7"/>
  </r>
  <r>
    <x v="236"/>
    <x v="0"/>
    <x v="188"/>
    <x v="79"/>
    <x v="41"/>
    <x v="1"/>
    <x v="2"/>
    <x v="8"/>
    <x v="1"/>
    <x v="867"/>
    <x v="0"/>
    <x v="35"/>
    <x v="1"/>
    <x v="0"/>
    <x v="582"/>
    <x v="87"/>
    <x v="880"/>
    <x v="7"/>
  </r>
  <r>
    <x v="237"/>
    <x v="0"/>
    <x v="77"/>
    <x v="88"/>
    <x v="31"/>
    <x v="1"/>
    <x v="1"/>
    <x v="9"/>
    <x v="3"/>
    <x v="366"/>
    <x v="3"/>
    <x v="12"/>
    <x v="1"/>
    <x v="3"/>
    <x v="567"/>
    <x v="76"/>
    <x v="903"/>
    <x v="7"/>
  </r>
  <r>
    <x v="237"/>
    <x v="1"/>
    <x v="77"/>
    <x v="88"/>
    <x v="42"/>
    <x v="1"/>
    <x v="1"/>
    <x v="9"/>
    <x v="7"/>
    <x v="507"/>
    <x v="0"/>
    <x v="23"/>
    <x v="1"/>
    <x v="3"/>
    <x v="1921"/>
    <x v="407"/>
    <x v="1766"/>
    <x v="7"/>
  </r>
  <r>
    <x v="238"/>
    <x v="0"/>
    <x v="50"/>
    <x v="71"/>
    <x v="64"/>
    <x v="3"/>
    <x v="0"/>
    <x v="6"/>
    <x v="2"/>
    <x v="1728"/>
    <x v="0"/>
    <x v="69"/>
    <x v="1"/>
    <x v="3"/>
    <x v="1757"/>
    <x v="296"/>
    <x v="1978"/>
    <x v="7"/>
  </r>
  <r>
    <x v="238"/>
    <x v="1"/>
    <x v="50"/>
    <x v="71"/>
    <x v="30"/>
    <x v="3"/>
    <x v="0"/>
    <x v="6"/>
    <x v="1"/>
    <x v="294"/>
    <x v="2"/>
    <x v="13"/>
    <x v="1"/>
    <x v="2"/>
    <x v="147"/>
    <x v="24"/>
    <x v="221"/>
    <x v="7"/>
  </r>
  <r>
    <x v="238"/>
    <x v="2"/>
    <x v="50"/>
    <x v="71"/>
    <x v="75"/>
    <x v="3"/>
    <x v="0"/>
    <x v="6"/>
    <x v="3"/>
    <x v="587"/>
    <x v="0"/>
    <x v="30"/>
    <x v="1"/>
    <x v="3"/>
    <x v="978"/>
    <x v="193"/>
    <x v="984"/>
    <x v="7"/>
  </r>
  <r>
    <x v="238"/>
    <x v="3"/>
    <x v="50"/>
    <x v="71"/>
    <x v="58"/>
    <x v="3"/>
    <x v="0"/>
    <x v="6"/>
    <x v="7"/>
    <x v="2200"/>
    <x v="3"/>
    <x v="99"/>
    <x v="2"/>
    <x v="0"/>
    <x v="2284"/>
    <x v="570"/>
    <x v="2058"/>
    <x v="7"/>
  </r>
  <r>
    <x v="239"/>
    <x v="0"/>
    <x v="37"/>
    <x v="43"/>
    <x v="95"/>
    <x v="0"/>
    <x v="1"/>
    <x v="3"/>
    <x v="1"/>
    <x v="998"/>
    <x v="0"/>
    <x v="52"/>
    <x v="1"/>
    <x v="2"/>
    <x v="654"/>
    <x v="125"/>
    <x v="687"/>
    <x v="7"/>
  </r>
  <r>
    <x v="239"/>
    <x v="1"/>
    <x v="37"/>
    <x v="43"/>
    <x v="5"/>
    <x v="0"/>
    <x v="1"/>
    <x v="3"/>
    <x v="1"/>
    <x v="659"/>
    <x v="1"/>
    <x v="31"/>
    <x v="1"/>
    <x v="1"/>
    <x v="413"/>
    <x v="70"/>
    <x v="571"/>
    <x v="7"/>
  </r>
  <r>
    <x v="239"/>
    <x v="2"/>
    <x v="37"/>
    <x v="43"/>
    <x v="72"/>
    <x v="0"/>
    <x v="1"/>
    <x v="3"/>
    <x v="4"/>
    <x v="1326"/>
    <x v="4"/>
    <x v="66"/>
    <x v="0"/>
    <x v="1"/>
    <x v="1845"/>
    <x v="425"/>
    <x v="390"/>
    <x v="7"/>
  </r>
  <r>
    <x v="239"/>
    <x v="3"/>
    <x v="37"/>
    <x v="43"/>
    <x v="82"/>
    <x v="0"/>
    <x v="1"/>
    <x v="3"/>
    <x v="2"/>
    <x v="1821"/>
    <x v="3"/>
    <x v="96"/>
    <x v="1"/>
    <x v="0"/>
    <x v="1693"/>
    <x v="383"/>
    <x v="360"/>
    <x v="7"/>
  </r>
  <r>
    <x v="240"/>
    <x v="0"/>
    <x v="115"/>
    <x v="186"/>
    <x v="22"/>
    <x v="0"/>
    <x v="1"/>
    <x v="5"/>
    <x v="3"/>
    <x v="932"/>
    <x v="0"/>
    <x v="34"/>
    <x v="1"/>
    <x v="1"/>
    <x v="1543"/>
    <x v="227"/>
    <x v="1809"/>
    <x v="7"/>
  </r>
  <r>
    <x v="240"/>
    <x v="1"/>
    <x v="115"/>
    <x v="186"/>
    <x v="56"/>
    <x v="0"/>
    <x v="1"/>
    <x v="5"/>
    <x v="1"/>
    <x v="798"/>
    <x v="0"/>
    <x v="44"/>
    <x v="1"/>
    <x v="0"/>
    <x v="535"/>
    <x v="104"/>
    <x v="535"/>
    <x v="7"/>
  </r>
  <r>
    <x v="241"/>
    <x v="0"/>
    <x v="91"/>
    <x v="34"/>
    <x v="61"/>
    <x v="1"/>
    <x v="0"/>
    <x v="4"/>
    <x v="2"/>
    <x v="955"/>
    <x v="4"/>
    <x v="46"/>
    <x v="1"/>
    <x v="3"/>
    <x v="917"/>
    <x v="205"/>
    <x v="588"/>
    <x v="7"/>
  </r>
  <r>
    <x v="241"/>
    <x v="1"/>
    <x v="91"/>
    <x v="34"/>
    <x v="54"/>
    <x v="1"/>
    <x v="0"/>
    <x v="4"/>
    <x v="6"/>
    <x v="1353"/>
    <x v="0"/>
    <x v="55"/>
    <x v="1"/>
    <x v="1"/>
    <x v="2209"/>
    <x v="495"/>
    <x v="2245"/>
    <x v="7"/>
  </r>
  <r>
    <x v="241"/>
    <x v="2"/>
    <x v="91"/>
    <x v="34"/>
    <x v="26"/>
    <x v="1"/>
    <x v="0"/>
    <x v="4"/>
    <x v="3"/>
    <x v="2110"/>
    <x v="0"/>
    <x v="74"/>
    <x v="1"/>
    <x v="1"/>
    <x v="2057"/>
    <x v="390"/>
    <x v="2192"/>
    <x v="7"/>
  </r>
  <r>
    <x v="241"/>
    <x v="3"/>
    <x v="91"/>
    <x v="34"/>
    <x v="98"/>
    <x v="1"/>
    <x v="0"/>
    <x v="4"/>
    <x v="4"/>
    <x v="1275"/>
    <x v="0"/>
    <x v="65"/>
    <x v="1"/>
    <x v="3"/>
    <x v="1950"/>
    <x v="422"/>
    <x v="1714"/>
    <x v="7"/>
  </r>
  <r>
    <x v="242"/>
    <x v="0"/>
    <x v="247"/>
    <x v="236"/>
    <x v="49"/>
    <x v="1"/>
    <x v="1"/>
    <x v="5"/>
    <x v="1"/>
    <x v="982"/>
    <x v="0"/>
    <x v="45"/>
    <x v="1"/>
    <x v="2"/>
    <x v="643"/>
    <x v="106"/>
    <x v="911"/>
    <x v="7"/>
  </r>
  <r>
    <x v="242"/>
    <x v="1"/>
    <x v="247"/>
    <x v="236"/>
    <x v="52"/>
    <x v="1"/>
    <x v="1"/>
    <x v="5"/>
    <x v="3"/>
    <x v="973"/>
    <x v="0"/>
    <x v="40"/>
    <x v="1"/>
    <x v="3"/>
    <x v="1575"/>
    <x v="252"/>
    <x v="1782"/>
    <x v="7"/>
  </r>
  <r>
    <x v="242"/>
    <x v="2"/>
    <x v="247"/>
    <x v="236"/>
    <x v="18"/>
    <x v="1"/>
    <x v="1"/>
    <x v="5"/>
    <x v="2"/>
    <x v="1448"/>
    <x v="0"/>
    <x v="59"/>
    <x v="1"/>
    <x v="1"/>
    <x v="1627"/>
    <x v="268"/>
    <x v="1860"/>
    <x v="7"/>
  </r>
  <r>
    <x v="242"/>
    <x v="3"/>
    <x v="247"/>
    <x v="236"/>
    <x v="50"/>
    <x v="1"/>
    <x v="1"/>
    <x v="5"/>
    <x v="4"/>
    <x v="1933"/>
    <x v="0"/>
    <x v="77"/>
    <x v="1"/>
    <x v="1"/>
    <x v="2136"/>
    <x v="450"/>
    <x v="2209"/>
    <x v="7"/>
  </r>
  <r>
    <x v="243"/>
    <x v="0"/>
    <x v="61"/>
    <x v="86"/>
    <x v="67"/>
    <x v="1"/>
    <x v="1"/>
    <x v="5"/>
    <x v="2"/>
    <x v="1009"/>
    <x v="3"/>
    <x v="43"/>
    <x v="2"/>
    <x v="0"/>
    <x v="1040"/>
    <x v="196"/>
    <x v="1110"/>
    <x v="7"/>
  </r>
  <r>
    <x v="244"/>
    <x v="0"/>
    <x v="242"/>
    <x v="210"/>
    <x v="52"/>
    <x v="1"/>
    <x v="0"/>
    <x v="5"/>
    <x v="6"/>
    <x v="1008"/>
    <x v="3"/>
    <x v="40"/>
    <x v="1"/>
    <x v="2"/>
    <x v="2043"/>
    <x v="428"/>
    <x v="2082"/>
    <x v="7"/>
  </r>
  <r>
    <x v="244"/>
    <x v="1"/>
    <x v="242"/>
    <x v="210"/>
    <x v="48"/>
    <x v="1"/>
    <x v="0"/>
    <x v="5"/>
    <x v="1"/>
    <x v="409"/>
    <x v="0"/>
    <x v="17"/>
    <x v="1"/>
    <x v="3"/>
    <x v="253"/>
    <x v="39"/>
    <x v="470"/>
    <x v="7"/>
  </r>
  <r>
    <x v="244"/>
    <x v="2"/>
    <x v="242"/>
    <x v="210"/>
    <x v="88"/>
    <x v="1"/>
    <x v="0"/>
    <x v="5"/>
    <x v="1"/>
    <x v="1801"/>
    <x v="3"/>
    <x v="86"/>
    <x v="1"/>
    <x v="3"/>
    <x v="1079"/>
    <x v="226"/>
    <x v="822"/>
    <x v="7"/>
  </r>
  <r>
    <x v="244"/>
    <x v="3"/>
    <x v="242"/>
    <x v="210"/>
    <x v="10"/>
    <x v="1"/>
    <x v="0"/>
    <x v="5"/>
    <x v="2"/>
    <x v="309"/>
    <x v="4"/>
    <x v="14"/>
    <x v="2"/>
    <x v="3"/>
    <x v="302"/>
    <x v="67"/>
    <x v="113"/>
    <x v="7"/>
  </r>
  <r>
    <x v="245"/>
    <x v="0"/>
    <x v="135"/>
    <x v="59"/>
    <x v="82"/>
    <x v="2"/>
    <x v="0"/>
    <x v="1"/>
    <x v="1"/>
    <x v="1812"/>
    <x v="0"/>
    <x v="96"/>
    <x v="1"/>
    <x v="1"/>
    <x v="1263"/>
    <x v="259"/>
    <x v="931"/>
    <x v="7"/>
  </r>
  <r>
    <x v="245"/>
    <x v="1"/>
    <x v="135"/>
    <x v="59"/>
    <x v="6"/>
    <x v="2"/>
    <x v="0"/>
    <x v="1"/>
    <x v="1"/>
    <x v="1474"/>
    <x v="0"/>
    <x v="76"/>
    <x v="1"/>
    <x v="3"/>
    <x v="1016"/>
    <x v="198"/>
    <x v="1013"/>
    <x v="7"/>
  </r>
  <r>
    <x v="245"/>
    <x v="2"/>
    <x v="135"/>
    <x v="59"/>
    <x v="76"/>
    <x v="2"/>
    <x v="0"/>
    <x v="1"/>
    <x v="3"/>
    <x v="828"/>
    <x v="3"/>
    <x v="36"/>
    <x v="1"/>
    <x v="1"/>
    <x v="1244"/>
    <x v="238"/>
    <x v="1132"/>
    <x v="7"/>
  </r>
  <r>
    <x v="246"/>
    <x v="0"/>
    <x v="21"/>
    <x v="144"/>
    <x v="48"/>
    <x v="2"/>
    <x v="1"/>
    <x v="3"/>
    <x v="5"/>
    <x v="374"/>
    <x v="2"/>
    <x v="17"/>
    <x v="1"/>
    <x v="1"/>
    <x v="939"/>
    <x v="201"/>
    <x v="776"/>
    <x v="7"/>
  </r>
  <r>
    <x v="246"/>
    <x v="1"/>
    <x v="21"/>
    <x v="144"/>
    <x v="88"/>
    <x v="2"/>
    <x v="1"/>
    <x v="3"/>
    <x v="1"/>
    <x v="1777"/>
    <x v="4"/>
    <x v="86"/>
    <x v="1"/>
    <x v="0"/>
    <x v="1005"/>
    <x v="226"/>
    <x v="555"/>
    <x v="7"/>
  </r>
  <r>
    <x v="246"/>
    <x v="2"/>
    <x v="21"/>
    <x v="144"/>
    <x v="9"/>
    <x v="2"/>
    <x v="1"/>
    <x v="3"/>
    <x v="3"/>
    <x v="1298"/>
    <x v="3"/>
    <x v="49"/>
    <x v="1"/>
    <x v="0"/>
    <x v="1689"/>
    <x v="282"/>
    <x v="1903"/>
    <x v="7"/>
  </r>
  <r>
    <x v="246"/>
    <x v="3"/>
    <x v="21"/>
    <x v="144"/>
    <x v="38"/>
    <x v="2"/>
    <x v="1"/>
    <x v="3"/>
    <x v="2"/>
    <x v="1080"/>
    <x v="1"/>
    <x v="39"/>
    <x v="1"/>
    <x v="2"/>
    <x v="1267"/>
    <x v="174"/>
    <x v="1664"/>
    <x v="7"/>
  </r>
  <r>
    <x v="247"/>
    <x v="0"/>
    <x v="211"/>
    <x v="13"/>
    <x v="58"/>
    <x v="1"/>
    <x v="2"/>
    <x v="8"/>
    <x v="1"/>
    <x v="1997"/>
    <x v="0"/>
    <x v="99"/>
    <x v="1"/>
    <x v="1"/>
    <x v="1364"/>
    <x v="273"/>
    <x v="877"/>
    <x v="7"/>
  </r>
  <r>
    <x v="248"/>
    <x v="0"/>
    <x v="112"/>
    <x v="229"/>
    <x v="61"/>
    <x v="0"/>
    <x v="1"/>
    <x v="2"/>
    <x v="6"/>
    <x v="941"/>
    <x v="0"/>
    <x v="46"/>
    <x v="1"/>
    <x v="2"/>
    <x v="2072"/>
    <x v="457"/>
    <x v="2039"/>
    <x v="7"/>
  </r>
  <r>
    <x v="248"/>
    <x v="1"/>
    <x v="112"/>
    <x v="229"/>
    <x v="87"/>
    <x v="0"/>
    <x v="1"/>
    <x v="2"/>
    <x v="1"/>
    <x v="660"/>
    <x v="3"/>
    <x v="33"/>
    <x v="1"/>
    <x v="3"/>
    <x v="355"/>
    <x v="75"/>
    <x v="218"/>
    <x v="7"/>
  </r>
  <r>
    <x v="249"/>
    <x v="0"/>
    <x v="121"/>
    <x v="181"/>
    <x v="73"/>
    <x v="1"/>
    <x v="1"/>
    <x v="0"/>
    <x v="7"/>
    <x v="2135"/>
    <x v="4"/>
    <x v="84"/>
    <x v="1"/>
    <x v="3"/>
    <x v="2282"/>
    <x v="564"/>
    <x v="2256"/>
    <x v="7"/>
  </r>
  <r>
    <x v="249"/>
    <x v="1"/>
    <x v="121"/>
    <x v="181"/>
    <x v="50"/>
    <x v="1"/>
    <x v="1"/>
    <x v="0"/>
    <x v="1"/>
    <x v="1960"/>
    <x v="4"/>
    <x v="77"/>
    <x v="1"/>
    <x v="3"/>
    <x v="1087"/>
    <x v="200"/>
    <x v="1176"/>
    <x v="7"/>
  </r>
  <r>
    <x v="249"/>
    <x v="2"/>
    <x v="121"/>
    <x v="181"/>
    <x v="92"/>
    <x v="1"/>
    <x v="1"/>
    <x v="0"/>
    <x v="2"/>
    <x v="1484"/>
    <x v="0"/>
    <x v="62"/>
    <x v="0"/>
    <x v="3"/>
    <x v="1653"/>
    <x v="279"/>
    <x v="1826"/>
    <x v="7"/>
  </r>
  <r>
    <x v="249"/>
    <x v="3"/>
    <x v="121"/>
    <x v="181"/>
    <x v="28"/>
    <x v="1"/>
    <x v="1"/>
    <x v="0"/>
    <x v="1"/>
    <x v="86"/>
    <x v="4"/>
    <x v="2"/>
    <x v="1"/>
    <x v="0"/>
    <x v="24"/>
    <x v="4"/>
    <x v="120"/>
    <x v="7"/>
  </r>
  <r>
    <x v="249"/>
    <x v="4"/>
    <x v="121"/>
    <x v="181"/>
    <x v="81"/>
    <x v="1"/>
    <x v="1"/>
    <x v="0"/>
    <x v="2"/>
    <x v="46"/>
    <x v="0"/>
    <x v="3"/>
    <x v="1"/>
    <x v="3"/>
    <x v="87"/>
    <x v="15"/>
    <x v="168"/>
    <x v="7"/>
  </r>
  <r>
    <x v="250"/>
    <x v="0"/>
    <x v="172"/>
    <x v="9"/>
    <x v="80"/>
    <x v="2"/>
    <x v="2"/>
    <x v="9"/>
    <x v="2"/>
    <x v="1135"/>
    <x v="0"/>
    <x v="56"/>
    <x v="1"/>
    <x v="2"/>
    <x v="1406"/>
    <x v="256"/>
    <x v="1335"/>
    <x v="7"/>
  </r>
  <r>
    <x v="250"/>
    <x v="1"/>
    <x v="172"/>
    <x v="9"/>
    <x v="51"/>
    <x v="2"/>
    <x v="2"/>
    <x v="9"/>
    <x v="2"/>
    <x v="1345"/>
    <x v="4"/>
    <x v="53"/>
    <x v="1"/>
    <x v="1"/>
    <x v="1372"/>
    <x v="240"/>
    <x v="1390"/>
    <x v="7"/>
  </r>
  <r>
    <x v="250"/>
    <x v="2"/>
    <x v="172"/>
    <x v="9"/>
    <x v="23"/>
    <x v="2"/>
    <x v="2"/>
    <x v="9"/>
    <x v="2"/>
    <x v="796"/>
    <x v="4"/>
    <x v="41"/>
    <x v="1"/>
    <x v="3"/>
    <x v="795"/>
    <x v="182"/>
    <x v="328"/>
    <x v="7"/>
  </r>
  <r>
    <x v="250"/>
    <x v="3"/>
    <x v="172"/>
    <x v="9"/>
    <x v="70"/>
    <x v="2"/>
    <x v="2"/>
    <x v="9"/>
    <x v="7"/>
    <x v="1536"/>
    <x v="0"/>
    <x v="68"/>
    <x v="1"/>
    <x v="1"/>
    <x v="2278"/>
    <x v="553"/>
    <x v="2274"/>
    <x v="7"/>
  </r>
  <r>
    <x v="251"/>
    <x v="0"/>
    <x v="71"/>
    <x v="30"/>
    <x v="30"/>
    <x v="2"/>
    <x v="2"/>
    <x v="8"/>
    <x v="5"/>
    <x v="280"/>
    <x v="4"/>
    <x v="13"/>
    <x v="1"/>
    <x v="2"/>
    <x v="661"/>
    <x v="143"/>
    <x v="519"/>
    <x v="7"/>
  </r>
  <r>
    <x v="251"/>
    <x v="1"/>
    <x v="71"/>
    <x v="30"/>
    <x v="36"/>
    <x v="2"/>
    <x v="2"/>
    <x v="8"/>
    <x v="2"/>
    <x v="2276"/>
    <x v="0"/>
    <x v="91"/>
    <x v="1"/>
    <x v="3"/>
    <x v="1945"/>
    <x v="363"/>
    <x v="2067"/>
    <x v="7"/>
  </r>
  <r>
    <x v="251"/>
    <x v="2"/>
    <x v="71"/>
    <x v="30"/>
    <x v="14"/>
    <x v="2"/>
    <x v="2"/>
    <x v="8"/>
    <x v="1"/>
    <x v="217"/>
    <x v="0"/>
    <x v="7"/>
    <x v="1"/>
    <x v="2"/>
    <x v="117"/>
    <x v="11"/>
    <x v="412"/>
    <x v="7"/>
  </r>
  <r>
    <x v="251"/>
    <x v="3"/>
    <x v="71"/>
    <x v="30"/>
    <x v="91"/>
    <x v="2"/>
    <x v="2"/>
    <x v="8"/>
    <x v="1"/>
    <x v="2129"/>
    <x v="0"/>
    <x v="81"/>
    <x v="1"/>
    <x v="0"/>
    <x v="1421"/>
    <x v="212"/>
    <x v="1692"/>
    <x v="7"/>
  </r>
  <r>
    <x v="252"/>
    <x v="0"/>
    <x v="131"/>
    <x v="63"/>
    <x v="15"/>
    <x v="3"/>
    <x v="1"/>
    <x v="6"/>
    <x v="3"/>
    <x v="1086"/>
    <x v="0"/>
    <x v="38"/>
    <x v="1"/>
    <x v="1"/>
    <x v="1650"/>
    <x v="248"/>
    <x v="1959"/>
    <x v="7"/>
  </r>
  <r>
    <x v="252"/>
    <x v="1"/>
    <x v="131"/>
    <x v="63"/>
    <x v="72"/>
    <x v="3"/>
    <x v="1"/>
    <x v="6"/>
    <x v="1"/>
    <x v="1224"/>
    <x v="4"/>
    <x v="66"/>
    <x v="1"/>
    <x v="1"/>
    <x v="680"/>
    <x v="172"/>
    <x v="22"/>
    <x v="7"/>
  </r>
  <r>
    <x v="252"/>
    <x v="2"/>
    <x v="131"/>
    <x v="63"/>
    <x v="70"/>
    <x v="3"/>
    <x v="1"/>
    <x v="6"/>
    <x v="3"/>
    <x v="1658"/>
    <x v="3"/>
    <x v="68"/>
    <x v="2"/>
    <x v="2"/>
    <x v="1901"/>
    <x v="376"/>
    <x v="1915"/>
    <x v="7"/>
  </r>
  <r>
    <x v="253"/>
    <x v="0"/>
    <x v="69"/>
    <x v="15"/>
    <x v="70"/>
    <x v="1"/>
    <x v="1"/>
    <x v="9"/>
    <x v="1"/>
    <x v="1556"/>
    <x v="0"/>
    <x v="68"/>
    <x v="1"/>
    <x v="2"/>
    <x v="1084"/>
    <x v="178"/>
    <x v="1344"/>
    <x v="7"/>
  </r>
  <r>
    <x v="254"/>
    <x v="0"/>
    <x v="125"/>
    <x v="30"/>
    <x v="16"/>
    <x v="0"/>
    <x v="2"/>
    <x v="4"/>
    <x v="2"/>
    <x v="1314"/>
    <x v="0"/>
    <x v="51"/>
    <x v="1"/>
    <x v="2"/>
    <x v="1556"/>
    <x v="230"/>
    <x v="1841"/>
    <x v="7"/>
  </r>
  <r>
    <x v="254"/>
    <x v="1"/>
    <x v="125"/>
    <x v="30"/>
    <x v="48"/>
    <x v="0"/>
    <x v="2"/>
    <x v="4"/>
    <x v="4"/>
    <x v="434"/>
    <x v="0"/>
    <x v="17"/>
    <x v="1"/>
    <x v="3"/>
    <x v="955"/>
    <x v="159"/>
    <x v="1214"/>
    <x v="7"/>
  </r>
  <r>
    <x v="255"/>
    <x v="0"/>
    <x v="246"/>
    <x v="32"/>
    <x v="28"/>
    <x v="1"/>
    <x v="1"/>
    <x v="9"/>
    <x v="1"/>
    <x v="73"/>
    <x v="0"/>
    <x v="2"/>
    <x v="1"/>
    <x v="2"/>
    <x v="39"/>
    <x v="4"/>
    <x v="166"/>
    <x v="7"/>
  </r>
  <r>
    <x v="255"/>
    <x v="1"/>
    <x v="246"/>
    <x v="32"/>
    <x v="33"/>
    <x v="1"/>
    <x v="1"/>
    <x v="9"/>
    <x v="1"/>
    <x v="641"/>
    <x v="0"/>
    <x v="29"/>
    <x v="1"/>
    <x v="1"/>
    <x v="420"/>
    <x v="65"/>
    <x v="614"/>
    <x v="7"/>
  </r>
  <r>
    <x v="255"/>
    <x v="2"/>
    <x v="246"/>
    <x v="32"/>
    <x v="13"/>
    <x v="1"/>
    <x v="1"/>
    <x v="9"/>
    <x v="2"/>
    <x v="1309"/>
    <x v="1"/>
    <x v="70"/>
    <x v="1"/>
    <x v="1"/>
    <x v="1520"/>
    <x v="298"/>
    <x v="979"/>
    <x v="7"/>
  </r>
  <r>
    <x v="255"/>
    <x v="3"/>
    <x v="246"/>
    <x v="32"/>
    <x v="60"/>
    <x v="1"/>
    <x v="1"/>
    <x v="9"/>
    <x v="1"/>
    <x v="536"/>
    <x v="0"/>
    <x v="27"/>
    <x v="1"/>
    <x v="2"/>
    <x v="323"/>
    <x v="63"/>
    <x v="276"/>
    <x v="7"/>
  </r>
  <r>
    <x v="256"/>
    <x v="0"/>
    <x v="16"/>
    <x v="183"/>
    <x v="46"/>
    <x v="1"/>
    <x v="1"/>
    <x v="3"/>
    <x v="1"/>
    <x v="1845"/>
    <x v="3"/>
    <x v="85"/>
    <x v="1"/>
    <x v="2"/>
    <x v="1107"/>
    <x v="223"/>
    <x v="951"/>
    <x v="7"/>
  </r>
  <r>
    <x v="256"/>
    <x v="1"/>
    <x v="16"/>
    <x v="183"/>
    <x v="73"/>
    <x v="1"/>
    <x v="1"/>
    <x v="3"/>
    <x v="1"/>
    <x v="2220"/>
    <x v="3"/>
    <x v="84"/>
    <x v="1"/>
    <x v="1"/>
    <x v="1305"/>
    <x v="222"/>
    <x v="1427"/>
    <x v="7"/>
  </r>
  <r>
    <x v="256"/>
    <x v="2"/>
    <x v="16"/>
    <x v="183"/>
    <x v="64"/>
    <x v="1"/>
    <x v="1"/>
    <x v="3"/>
    <x v="1"/>
    <x v="1612"/>
    <x v="2"/>
    <x v="69"/>
    <x v="1"/>
    <x v="3"/>
    <x v="1024"/>
    <x v="179"/>
    <x v="1217"/>
    <x v="7"/>
  </r>
  <r>
    <x v="257"/>
    <x v="0"/>
    <x v="160"/>
    <x v="51"/>
    <x v="37"/>
    <x v="1"/>
    <x v="1"/>
    <x v="7"/>
    <x v="1"/>
    <x v="1493"/>
    <x v="0"/>
    <x v="78"/>
    <x v="0"/>
    <x v="0"/>
    <x v="1033"/>
    <x v="202"/>
    <x v="1033"/>
    <x v="7"/>
  </r>
  <r>
    <x v="257"/>
    <x v="1"/>
    <x v="160"/>
    <x v="51"/>
    <x v="80"/>
    <x v="1"/>
    <x v="1"/>
    <x v="7"/>
    <x v="1"/>
    <x v="1042"/>
    <x v="0"/>
    <x v="56"/>
    <x v="1"/>
    <x v="3"/>
    <x v="686"/>
    <x v="142"/>
    <x v="620"/>
    <x v="7"/>
  </r>
  <r>
    <x v="257"/>
    <x v="2"/>
    <x v="160"/>
    <x v="51"/>
    <x v="22"/>
    <x v="1"/>
    <x v="1"/>
    <x v="7"/>
    <x v="2"/>
    <x v="905"/>
    <x v="0"/>
    <x v="34"/>
    <x v="1"/>
    <x v="3"/>
    <x v="1082"/>
    <x v="154"/>
    <x v="1487"/>
    <x v="7"/>
  </r>
  <r>
    <x v="257"/>
    <x v="3"/>
    <x v="160"/>
    <x v="51"/>
    <x v="88"/>
    <x v="1"/>
    <x v="1"/>
    <x v="7"/>
    <x v="3"/>
    <x v="2155"/>
    <x v="0"/>
    <x v="86"/>
    <x v="1"/>
    <x v="0"/>
    <x v="2069"/>
    <x v="426"/>
    <x v="2142"/>
    <x v="7"/>
  </r>
  <r>
    <x v="257"/>
    <x v="4"/>
    <x v="160"/>
    <x v="51"/>
    <x v="86"/>
    <x v="1"/>
    <x v="1"/>
    <x v="7"/>
    <x v="6"/>
    <x v="1751"/>
    <x v="0"/>
    <x v="79"/>
    <x v="0"/>
    <x v="0"/>
    <x v="2255"/>
    <x v="541"/>
    <x v="2248"/>
    <x v="7"/>
  </r>
  <r>
    <x v="258"/>
    <x v="0"/>
    <x v="226"/>
    <x v="48"/>
    <x v="46"/>
    <x v="0"/>
    <x v="0"/>
    <x v="8"/>
    <x v="3"/>
    <x v="1721"/>
    <x v="1"/>
    <x v="85"/>
    <x v="2"/>
    <x v="1"/>
    <x v="1966"/>
    <x v="420"/>
    <x v="1857"/>
    <x v="7"/>
  </r>
  <r>
    <x v="258"/>
    <x v="1"/>
    <x v="226"/>
    <x v="48"/>
    <x v="32"/>
    <x v="0"/>
    <x v="0"/>
    <x v="8"/>
    <x v="2"/>
    <x v="1291"/>
    <x v="3"/>
    <x v="50"/>
    <x v="1"/>
    <x v="0"/>
    <x v="1401"/>
    <x v="221"/>
    <x v="1633"/>
    <x v="7"/>
  </r>
  <r>
    <x v="258"/>
    <x v="2"/>
    <x v="226"/>
    <x v="48"/>
    <x v="100"/>
    <x v="0"/>
    <x v="0"/>
    <x v="8"/>
    <x v="2"/>
    <x v="1122"/>
    <x v="4"/>
    <x v="56"/>
    <x v="1"/>
    <x v="3"/>
    <x v="1128"/>
    <x v="256"/>
    <x v="526"/>
    <x v="5"/>
  </r>
  <r>
    <x v="259"/>
    <x v="0"/>
    <x v="111"/>
    <x v="30"/>
    <x v="66"/>
    <x v="0"/>
    <x v="0"/>
    <x v="3"/>
    <x v="6"/>
    <x v="454"/>
    <x v="0"/>
    <x v="21"/>
    <x v="2"/>
    <x v="1"/>
    <x v="1619"/>
    <x v="308"/>
    <x v="1474"/>
    <x v="7"/>
  </r>
  <r>
    <x v="259"/>
    <x v="1"/>
    <x v="111"/>
    <x v="30"/>
    <x v="71"/>
    <x v="0"/>
    <x v="0"/>
    <x v="3"/>
    <x v="1"/>
    <x v="190"/>
    <x v="3"/>
    <x v="6"/>
    <x v="1"/>
    <x v="0"/>
    <x v="78"/>
    <x v="10"/>
    <x v="222"/>
    <x v="7"/>
  </r>
  <r>
    <x v="260"/>
    <x v="0"/>
    <x v="65"/>
    <x v="66"/>
    <x v="70"/>
    <x v="0"/>
    <x v="2"/>
    <x v="3"/>
    <x v="2"/>
    <x v="1521"/>
    <x v="0"/>
    <x v="68"/>
    <x v="1"/>
    <x v="0"/>
    <x v="1673"/>
    <x v="295"/>
    <x v="1785"/>
    <x v="7"/>
  </r>
  <r>
    <x v="260"/>
    <x v="1"/>
    <x v="65"/>
    <x v="66"/>
    <x v="32"/>
    <x v="0"/>
    <x v="2"/>
    <x v="3"/>
    <x v="1"/>
    <x v="1166"/>
    <x v="0"/>
    <x v="50"/>
    <x v="2"/>
    <x v="3"/>
    <x v="791"/>
    <x v="119"/>
    <x v="1192"/>
    <x v="7"/>
  </r>
  <r>
    <x v="260"/>
    <x v="2"/>
    <x v="65"/>
    <x v="66"/>
    <x v="2"/>
    <x v="0"/>
    <x v="2"/>
    <x v="3"/>
    <x v="1"/>
    <x v="825"/>
    <x v="0"/>
    <x v="48"/>
    <x v="1"/>
    <x v="3"/>
    <x v="561"/>
    <x v="116"/>
    <x v="442"/>
    <x v="7"/>
  </r>
  <r>
    <x v="261"/>
    <x v="0"/>
    <x v="162"/>
    <x v="208"/>
    <x v="86"/>
    <x v="0"/>
    <x v="1"/>
    <x v="6"/>
    <x v="1"/>
    <x v="1775"/>
    <x v="0"/>
    <x v="79"/>
    <x v="1"/>
    <x v="1"/>
    <x v="1238"/>
    <x v="208"/>
    <x v="1385"/>
    <x v="7"/>
  </r>
  <r>
    <x v="261"/>
    <x v="1"/>
    <x v="162"/>
    <x v="208"/>
    <x v="28"/>
    <x v="0"/>
    <x v="1"/>
    <x v="6"/>
    <x v="2"/>
    <x v="92"/>
    <x v="0"/>
    <x v="2"/>
    <x v="1"/>
    <x v="3"/>
    <x v="128"/>
    <x v="13"/>
    <x v="413"/>
    <x v="7"/>
  </r>
  <r>
    <x v="262"/>
    <x v="0"/>
    <x v="177"/>
    <x v="194"/>
    <x v="4"/>
    <x v="2"/>
    <x v="2"/>
    <x v="2"/>
    <x v="1"/>
    <x v="2166"/>
    <x v="2"/>
    <x v="94"/>
    <x v="1"/>
    <x v="1"/>
    <x v="1333"/>
    <x v="249"/>
    <x v="1204"/>
    <x v="7"/>
  </r>
  <r>
    <x v="262"/>
    <x v="1"/>
    <x v="177"/>
    <x v="194"/>
    <x v="76"/>
    <x v="2"/>
    <x v="2"/>
    <x v="2"/>
    <x v="4"/>
    <x v="853"/>
    <x v="0"/>
    <x v="36"/>
    <x v="1"/>
    <x v="1"/>
    <x v="1643"/>
    <x v="285"/>
    <x v="1778"/>
    <x v="7"/>
  </r>
  <r>
    <x v="262"/>
    <x v="2"/>
    <x v="177"/>
    <x v="194"/>
    <x v="21"/>
    <x v="2"/>
    <x v="2"/>
    <x v="2"/>
    <x v="1"/>
    <x v="451"/>
    <x v="0"/>
    <x v="18"/>
    <x v="1"/>
    <x v="3"/>
    <x v="275"/>
    <x v="41"/>
    <x v="477"/>
    <x v="7"/>
  </r>
  <r>
    <x v="262"/>
    <x v="3"/>
    <x v="177"/>
    <x v="194"/>
    <x v="40"/>
    <x v="2"/>
    <x v="2"/>
    <x v="2"/>
    <x v="1"/>
    <x v="1608"/>
    <x v="0"/>
    <x v="63"/>
    <x v="1"/>
    <x v="0"/>
    <x v="1124"/>
    <x v="166"/>
    <x v="1502"/>
    <x v="7"/>
  </r>
  <r>
    <x v="263"/>
    <x v="0"/>
    <x v="1"/>
    <x v="55"/>
    <x v="50"/>
    <x v="1"/>
    <x v="2"/>
    <x v="4"/>
    <x v="5"/>
    <x v="1967"/>
    <x v="4"/>
    <x v="77"/>
    <x v="1"/>
    <x v="0"/>
    <x v="2142"/>
    <x v="490"/>
    <x v="2115"/>
    <x v="7"/>
  </r>
  <r>
    <x v="263"/>
    <x v="1"/>
    <x v="1"/>
    <x v="55"/>
    <x v="23"/>
    <x v="1"/>
    <x v="2"/>
    <x v="4"/>
    <x v="4"/>
    <x v="832"/>
    <x v="0"/>
    <x v="41"/>
    <x v="1"/>
    <x v="0"/>
    <x v="1630"/>
    <x v="301"/>
    <x v="1620"/>
    <x v="7"/>
  </r>
  <r>
    <x v="263"/>
    <x v="2"/>
    <x v="1"/>
    <x v="55"/>
    <x v="32"/>
    <x v="1"/>
    <x v="2"/>
    <x v="4"/>
    <x v="6"/>
    <x v="1187"/>
    <x v="0"/>
    <x v="50"/>
    <x v="1"/>
    <x v="2"/>
    <x v="2171"/>
    <x v="470"/>
    <x v="2226"/>
    <x v="7"/>
  </r>
  <r>
    <x v="264"/>
    <x v="0"/>
    <x v="1"/>
    <x v="147"/>
    <x v="40"/>
    <x v="0"/>
    <x v="0"/>
    <x v="5"/>
    <x v="1"/>
    <x v="1594"/>
    <x v="2"/>
    <x v="63"/>
    <x v="1"/>
    <x v="1"/>
    <x v="1009"/>
    <x v="166"/>
    <x v="1274"/>
    <x v="7"/>
  </r>
  <r>
    <x v="264"/>
    <x v="1"/>
    <x v="1"/>
    <x v="147"/>
    <x v="87"/>
    <x v="0"/>
    <x v="0"/>
    <x v="5"/>
    <x v="4"/>
    <x v="647"/>
    <x v="0"/>
    <x v="33"/>
    <x v="1"/>
    <x v="2"/>
    <x v="1415"/>
    <x v="264"/>
    <x v="1177"/>
    <x v="7"/>
  </r>
  <r>
    <x v="264"/>
    <x v="2"/>
    <x v="1"/>
    <x v="147"/>
    <x v="8"/>
    <x v="0"/>
    <x v="0"/>
    <x v="5"/>
    <x v="3"/>
    <x v="675"/>
    <x v="3"/>
    <x v="28"/>
    <x v="1"/>
    <x v="3"/>
    <x v="980"/>
    <x v="187"/>
    <x v="1041"/>
    <x v="7"/>
  </r>
  <r>
    <x v="264"/>
    <x v="3"/>
    <x v="1"/>
    <x v="147"/>
    <x v="50"/>
    <x v="0"/>
    <x v="0"/>
    <x v="5"/>
    <x v="1"/>
    <x v="1864"/>
    <x v="0"/>
    <x v="77"/>
    <x v="1"/>
    <x v="3"/>
    <x v="1295"/>
    <x v="200"/>
    <x v="1576"/>
    <x v="7"/>
  </r>
  <r>
    <x v="264"/>
    <x v="4"/>
    <x v="1"/>
    <x v="147"/>
    <x v="32"/>
    <x v="0"/>
    <x v="0"/>
    <x v="5"/>
    <x v="1"/>
    <x v="1134"/>
    <x v="0"/>
    <x v="50"/>
    <x v="1"/>
    <x v="2"/>
    <x v="765"/>
    <x v="119"/>
    <x v="1118"/>
    <x v="7"/>
  </r>
  <r>
    <x v="265"/>
    <x v="0"/>
    <x v="8"/>
    <x v="114"/>
    <x v="17"/>
    <x v="3"/>
    <x v="0"/>
    <x v="6"/>
    <x v="3"/>
    <x v="1902"/>
    <x v="0"/>
    <x v="92"/>
    <x v="1"/>
    <x v="1"/>
    <x v="2027"/>
    <x v="444"/>
    <x v="1938"/>
    <x v="7"/>
  </r>
  <r>
    <x v="265"/>
    <x v="1"/>
    <x v="8"/>
    <x v="114"/>
    <x v="81"/>
    <x v="3"/>
    <x v="0"/>
    <x v="6"/>
    <x v="5"/>
    <x v="64"/>
    <x v="3"/>
    <x v="3"/>
    <x v="1"/>
    <x v="2"/>
    <x v="288"/>
    <x v="50"/>
    <x v="415"/>
    <x v="7"/>
  </r>
  <r>
    <x v="265"/>
    <x v="2"/>
    <x v="8"/>
    <x v="114"/>
    <x v="96"/>
    <x v="3"/>
    <x v="0"/>
    <x v="6"/>
    <x v="2"/>
    <x v="513"/>
    <x v="0"/>
    <x v="22"/>
    <x v="1"/>
    <x v="0"/>
    <x v="604"/>
    <x v="110"/>
    <x v="669"/>
    <x v="7"/>
  </r>
  <r>
    <x v="266"/>
    <x v="0"/>
    <x v="17"/>
    <x v="235"/>
    <x v="30"/>
    <x v="0"/>
    <x v="2"/>
    <x v="1"/>
    <x v="2"/>
    <x v="330"/>
    <x v="0"/>
    <x v="13"/>
    <x v="1"/>
    <x v="0"/>
    <x v="393"/>
    <x v="57"/>
    <x v="690"/>
    <x v="7"/>
  </r>
  <r>
    <x v="267"/>
    <x v="0"/>
    <x v="150"/>
    <x v="11"/>
    <x v="92"/>
    <x v="3"/>
    <x v="1"/>
    <x v="1"/>
    <x v="1"/>
    <x v="1618"/>
    <x v="3"/>
    <x v="62"/>
    <x v="1"/>
    <x v="0"/>
    <x v="972"/>
    <x v="161"/>
    <x v="1237"/>
    <x v="7"/>
  </r>
  <r>
    <x v="267"/>
    <x v="1"/>
    <x v="150"/>
    <x v="11"/>
    <x v="3"/>
    <x v="3"/>
    <x v="1"/>
    <x v="1"/>
    <x v="3"/>
    <x v="1679"/>
    <x v="1"/>
    <x v="73"/>
    <x v="1"/>
    <x v="1"/>
    <x v="1958"/>
    <x v="388"/>
    <x v="2014"/>
    <x v="7"/>
  </r>
  <r>
    <x v="267"/>
    <x v="2"/>
    <x v="150"/>
    <x v="11"/>
    <x v="94"/>
    <x v="3"/>
    <x v="1"/>
    <x v="1"/>
    <x v="2"/>
    <x v="1882"/>
    <x v="0"/>
    <x v="71"/>
    <x v="1"/>
    <x v="1"/>
    <x v="1811"/>
    <x v="303"/>
    <x v="2024"/>
    <x v="7"/>
  </r>
  <r>
    <x v="267"/>
    <x v="3"/>
    <x v="150"/>
    <x v="11"/>
    <x v="34"/>
    <x v="3"/>
    <x v="1"/>
    <x v="1"/>
    <x v="2"/>
    <x v="1221"/>
    <x v="0"/>
    <x v="58"/>
    <x v="1"/>
    <x v="2"/>
    <x v="1500"/>
    <x v="266"/>
    <x v="1414"/>
    <x v="7"/>
  </r>
  <r>
    <x v="267"/>
    <x v="4"/>
    <x v="150"/>
    <x v="11"/>
    <x v="81"/>
    <x v="3"/>
    <x v="1"/>
    <x v="1"/>
    <x v="4"/>
    <x v="68"/>
    <x v="0"/>
    <x v="3"/>
    <x v="1"/>
    <x v="0"/>
    <x v="264"/>
    <x v="36"/>
    <x v="522"/>
    <x v="7"/>
  </r>
  <r>
    <x v="268"/>
    <x v="0"/>
    <x v="67"/>
    <x v="173"/>
    <x v="24"/>
    <x v="1"/>
    <x v="1"/>
    <x v="5"/>
    <x v="1"/>
    <x v="580"/>
    <x v="0"/>
    <x v="19"/>
    <x v="1"/>
    <x v="1"/>
    <x v="356"/>
    <x v="43"/>
    <x v="756"/>
    <x v="7"/>
  </r>
  <r>
    <x v="268"/>
    <x v="1"/>
    <x v="67"/>
    <x v="173"/>
    <x v="4"/>
    <x v="1"/>
    <x v="1"/>
    <x v="5"/>
    <x v="1"/>
    <x v="1916"/>
    <x v="2"/>
    <x v="94"/>
    <x v="2"/>
    <x v="0"/>
    <x v="1181"/>
    <x v="249"/>
    <x v="854"/>
    <x v="7"/>
  </r>
  <r>
    <x v="269"/>
    <x v="0"/>
    <x v="224"/>
    <x v="4"/>
    <x v="43"/>
    <x v="1"/>
    <x v="2"/>
    <x v="4"/>
    <x v="2"/>
    <x v="23"/>
    <x v="0"/>
    <x v="1"/>
    <x v="1"/>
    <x v="1"/>
    <x v="56"/>
    <x v="8"/>
    <x v="182"/>
    <x v="7"/>
  </r>
  <r>
    <x v="269"/>
    <x v="1"/>
    <x v="224"/>
    <x v="4"/>
    <x v="13"/>
    <x v="1"/>
    <x v="2"/>
    <x v="4"/>
    <x v="2"/>
    <x v="1363"/>
    <x v="0"/>
    <x v="70"/>
    <x v="1"/>
    <x v="0"/>
    <x v="1582"/>
    <x v="298"/>
    <x v="1349"/>
    <x v="7"/>
  </r>
  <r>
    <x v="270"/>
    <x v="0"/>
    <x v="221"/>
    <x v="139"/>
    <x v="10"/>
    <x v="3"/>
    <x v="0"/>
    <x v="4"/>
    <x v="2"/>
    <x v="327"/>
    <x v="0"/>
    <x v="14"/>
    <x v="1"/>
    <x v="1"/>
    <x v="389"/>
    <x v="67"/>
    <x v="553"/>
    <x v="7"/>
  </r>
  <r>
    <x v="270"/>
    <x v="1"/>
    <x v="221"/>
    <x v="139"/>
    <x v="85"/>
    <x v="3"/>
    <x v="0"/>
    <x v="4"/>
    <x v="1"/>
    <x v="1891"/>
    <x v="4"/>
    <x v="88"/>
    <x v="1"/>
    <x v="1"/>
    <x v="1058"/>
    <x v="231"/>
    <x v="649"/>
    <x v="7"/>
  </r>
  <r>
    <x v="271"/>
    <x v="0"/>
    <x v="205"/>
    <x v="74"/>
    <x v="64"/>
    <x v="3"/>
    <x v="0"/>
    <x v="9"/>
    <x v="2"/>
    <x v="1779"/>
    <x v="1"/>
    <x v="69"/>
    <x v="1"/>
    <x v="1"/>
    <x v="1735"/>
    <x v="296"/>
    <x v="1946"/>
    <x v="7"/>
  </r>
  <r>
    <x v="272"/>
    <x v="0"/>
    <x v="243"/>
    <x v="193"/>
    <x v="71"/>
    <x v="3"/>
    <x v="1"/>
    <x v="1"/>
    <x v="5"/>
    <x v="184"/>
    <x v="4"/>
    <x v="6"/>
    <x v="1"/>
    <x v="2"/>
    <x v="496"/>
    <x v="77"/>
    <x v="745"/>
    <x v="7"/>
  </r>
  <r>
    <x v="273"/>
    <x v="0"/>
    <x v="59"/>
    <x v="76"/>
    <x v="28"/>
    <x v="3"/>
    <x v="2"/>
    <x v="2"/>
    <x v="5"/>
    <x v="103"/>
    <x v="4"/>
    <x v="2"/>
    <x v="1"/>
    <x v="3"/>
    <x v="308"/>
    <x v="42"/>
    <x v="584"/>
    <x v="7"/>
  </r>
  <r>
    <x v="273"/>
    <x v="1"/>
    <x v="59"/>
    <x v="76"/>
    <x v="87"/>
    <x v="3"/>
    <x v="2"/>
    <x v="2"/>
    <x v="3"/>
    <x v="584"/>
    <x v="0"/>
    <x v="33"/>
    <x v="1"/>
    <x v="3"/>
    <x v="971"/>
    <x v="219"/>
    <x v="627"/>
    <x v="7"/>
  </r>
  <r>
    <x v="273"/>
    <x v="2"/>
    <x v="59"/>
    <x v="76"/>
    <x v="50"/>
    <x v="3"/>
    <x v="2"/>
    <x v="2"/>
    <x v="1"/>
    <x v="1907"/>
    <x v="0"/>
    <x v="77"/>
    <x v="1"/>
    <x v="3"/>
    <x v="1318"/>
    <x v="200"/>
    <x v="1604"/>
    <x v="7"/>
  </r>
  <r>
    <x v="274"/>
    <x v="0"/>
    <x v="209"/>
    <x v="60"/>
    <x v="10"/>
    <x v="3"/>
    <x v="1"/>
    <x v="9"/>
    <x v="3"/>
    <x v="362"/>
    <x v="0"/>
    <x v="14"/>
    <x v="1"/>
    <x v="3"/>
    <x v="634"/>
    <x v="101"/>
    <x v="913"/>
    <x v="7"/>
  </r>
  <r>
    <x v="274"/>
    <x v="1"/>
    <x v="209"/>
    <x v="60"/>
    <x v="54"/>
    <x v="3"/>
    <x v="1"/>
    <x v="9"/>
    <x v="1"/>
    <x v="1216"/>
    <x v="4"/>
    <x v="55"/>
    <x v="1"/>
    <x v="3"/>
    <x v="674"/>
    <x v="138"/>
    <x v="672"/>
    <x v="7"/>
  </r>
  <r>
    <x v="274"/>
    <x v="2"/>
    <x v="209"/>
    <x v="60"/>
    <x v="56"/>
    <x v="3"/>
    <x v="1"/>
    <x v="9"/>
    <x v="5"/>
    <x v="734"/>
    <x v="1"/>
    <x v="44"/>
    <x v="1"/>
    <x v="1"/>
    <x v="1652"/>
    <x v="355"/>
    <x v="668"/>
    <x v="7"/>
  </r>
  <r>
    <x v="275"/>
    <x v="0"/>
    <x v="51"/>
    <x v="141"/>
    <x v="86"/>
    <x v="1"/>
    <x v="2"/>
    <x v="0"/>
    <x v="1"/>
    <x v="1694"/>
    <x v="1"/>
    <x v="79"/>
    <x v="1"/>
    <x v="2"/>
    <x v="1130"/>
    <x v="208"/>
    <x v="1171"/>
    <x v="7"/>
  </r>
  <r>
    <x v="275"/>
    <x v="1"/>
    <x v="51"/>
    <x v="141"/>
    <x v="28"/>
    <x v="1"/>
    <x v="2"/>
    <x v="0"/>
    <x v="1"/>
    <x v="89"/>
    <x v="0"/>
    <x v="2"/>
    <x v="1"/>
    <x v="3"/>
    <x v="44"/>
    <x v="4"/>
    <x v="194"/>
    <x v="7"/>
  </r>
  <r>
    <x v="275"/>
    <x v="2"/>
    <x v="51"/>
    <x v="141"/>
    <x v="82"/>
    <x v="1"/>
    <x v="2"/>
    <x v="0"/>
    <x v="5"/>
    <x v="1895"/>
    <x v="0"/>
    <x v="96"/>
    <x v="1"/>
    <x v="2"/>
    <x v="2195"/>
    <x v="527"/>
    <x v="2052"/>
    <x v="7"/>
  </r>
  <r>
    <x v="275"/>
    <x v="3"/>
    <x v="51"/>
    <x v="141"/>
    <x v="55"/>
    <x v="1"/>
    <x v="2"/>
    <x v="0"/>
    <x v="1"/>
    <x v="1076"/>
    <x v="0"/>
    <x v="54"/>
    <x v="1"/>
    <x v="3"/>
    <x v="725"/>
    <x v="132"/>
    <x v="851"/>
    <x v="7"/>
  </r>
  <r>
    <x v="276"/>
    <x v="0"/>
    <x v="197"/>
    <x v="151"/>
    <x v="29"/>
    <x v="0"/>
    <x v="2"/>
    <x v="1"/>
    <x v="3"/>
    <x v="2194"/>
    <x v="0"/>
    <x v="97"/>
    <x v="1"/>
    <x v="1"/>
    <x v="2074"/>
    <x v="473"/>
    <x v="1985"/>
    <x v="7"/>
  </r>
  <r>
    <x v="276"/>
    <x v="1"/>
    <x v="197"/>
    <x v="151"/>
    <x v="64"/>
    <x v="0"/>
    <x v="2"/>
    <x v="1"/>
    <x v="1"/>
    <x v="1869"/>
    <x v="1"/>
    <x v="69"/>
    <x v="1"/>
    <x v="2"/>
    <x v="1229"/>
    <x v="179"/>
    <x v="1603"/>
    <x v="7"/>
  </r>
  <r>
    <x v="277"/>
    <x v="0"/>
    <x v="128"/>
    <x v="246"/>
    <x v="74"/>
    <x v="0"/>
    <x v="1"/>
    <x v="5"/>
    <x v="4"/>
    <x v="2162"/>
    <x v="3"/>
    <x v="90"/>
    <x v="1"/>
    <x v="1"/>
    <x v="2116"/>
    <x v="491"/>
    <x v="2010"/>
    <x v="7"/>
  </r>
  <r>
    <x v="277"/>
    <x v="1"/>
    <x v="128"/>
    <x v="246"/>
    <x v="63"/>
    <x v="0"/>
    <x v="1"/>
    <x v="5"/>
    <x v="2"/>
    <x v="2095"/>
    <x v="2"/>
    <x v="98"/>
    <x v="1"/>
    <x v="2"/>
    <x v="1799"/>
    <x v="400"/>
    <x v="1031"/>
    <x v="7"/>
  </r>
  <r>
    <x v="278"/>
    <x v="0"/>
    <x v="112"/>
    <x v="227"/>
    <x v="64"/>
    <x v="3"/>
    <x v="0"/>
    <x v="6"/>
    <x v="1"/>
    <x v="1774"/>
    <x v="0"/>
    <x v="69"/>
    <x v="1"/>
    <x v="3"/>
    <x v="1237"/>
    <x v="179"/>
    <x v="1612"/>
    <x v="7"/>
  </r>
  <r>
    <x v="278"/>
    <x v="1"/>
    <x v="112"/>
    <x v="227"/>
    <x v="37"/>
    <x v="3"/>
    <x v="0"/>
    <x v="6"/>
    <x v="6"/>
    <x v="1549"/>
    <x v="2"/>
    <x v="78"/>
    <x v="1"/>
    <x v="3"/>
    <x v="2222"/>
    <x v="540"/>
    <x v="2104"/>
    <x v="7"/>
  </r>
  <r>
    <x v="278"/>
    <x v="2"/>
    <x v="112"/>
    <x v="227"/>
    <x v="44"/>
    <x v="3"/>
    <x v="0"/>
    <x v="6"/>
    <x v="4"/>
    <x v="1415"/>
    <x v="0"/>
    <x v="57"/>
    <x v="1"/>
    <x v="3"/>
    <x v="2003"/>
    <x v="385"/>
    <x v="2127"/>
    <x v="7"/>
  </r>
  <r>
    <x v="279"/>
    <x v="0"/>
    <x v="79"/>
    <x v="103"/>
    <x v="92"/>
    <x v="1"/>
    <x v="1"/>
    <x v="2"/>
    <x v="1"/>
    <x v="1631"/>
    <x v="4"/>
    <x v="62"/>
    <x v="1"/>
    <x v="3"/>
    <x v="922"/>
    <x v="161"/>
    <x v="1115"/>
    <x v="7"/>
  </r>
  <r>
    <x v="280"/>
    <x v="0"/>
    <x v="171"/>
    <x v="102"/>
    <x v="34"/>
    <x v="3"/>
    <x v="0"/>
    <x v="7"/>
    <x v="1"/>
    <x v="1153"/>
    <x v="0"/>
    <x v="58"/>
    <x v="2"/>
    <x v="0"/>
    <x v="781"/>
    <x v="149"/>
    <x v="806"/>
    <x v="7"/>
  </r>
  <r>
    <x v="280"/>
    <x v="1"/>
    <x v="171"/>
    <x v="102"/>
    <x v="70"/>
    <x v="3"/>
    <x v="0"/>
    <x v="7"/>
    <x v="1"/>
    <x v="1587"/>
    <x v="0"/>
    <x v="68"/>
    <x v="1"/>
    <x v="3"/>
    <x v="1113"/>
    <x v="178"/>
    <x v="1383"/>
    <x v="7"/>
  </r>
  <r>
    <x v="280"/>
    <x v="2"/>
    <x v="171"/>
    <x v="102"/>
    <x v="66"/>
    <x v="3"/>
    <x v="0"/>
    <x v="7"/>
    <x v="1"/>
    <x v="468"/>
    <x v="1"/>
    <x v="21"/>
    <x v="1"/>
    <x v="3"/>
    <x v="258"/>
    <x v="49"/>
    <x v="319"/>
    <x v="7"/>
  </r>
  <r>
    <x v="281"/>
    <x v="0"/>
    <x v="26"/>
    <x v="53"/>
    <x v="33"/>
    <x v="1"/>
    <x v="0"/>
    <x v="3"/>
    <x v="2"/>
    <x v="629"/>
    <x v="0"/>
    <x v="29"/>
    <x v="1"/>
    <x v="0"/>
    <x v="750"/>
    <x v="135"/>
    <x v="905"/>
    <x v="7"/>
  </r>
  <r>
    <x v="281"/>
    <x v="1"/>
    <x v="26"/>
    <x v="53"/>
    <x v="49"/>
    <x v="1"/>
    <x v="0"/>
    <x v="3"/>
    <x v="3"/>
    <x v="911"/>
    <x v="3"/>
    <x v="45"/>
    <x v="1"/>
    <x v="3"/>
    <x v="1369"/>
    <x v="272"/>
    <x v="952"/>
    <x v="7"/>
  </r>
  <r>
    <x v="281"/>
    <x v="2"/>
    <x v="26"/>
    <x v="53"/>
    <x v="77"/>
    <x v="1"/>
    <x v="0"/>
    <x v="3"/>
    <x v="6"/>
    <x v="262"/>
    <x v="0"/>
    <x v="9"/>
    <x v="1"/>
    <x v="0"/>
    <x v="1143"/>
    <x v="152"/>
    <x v="1597"/>
    <x v="7"/>
  </r>
  <r>
    <x v="281"/>
    <x v="3"/>
    <x v="26"/>
    <x v="53"/>
    <x v="96"/>
    <x v="1"/>
    <x v="0"/>
    <x v="3"/>
    <x v="6"/>
    <x v="440"/>
    <x v="4"/>
    <x v="22"/>
    <x v="1"/>
    <x v="1"/>
    <x v="1470"/>
    <x v="326"/>
    <x v="8"/>
    <x v="7"/>
  </r>
  <r>
    <x v="282"/>
    <x v="0"/>
    <x v="42"/>
    <x v="37"/>
    <x v="75"/>
    <x v="3"/>
    <x v="1"/>
    <x v="2"/>
    <x v="1"/>
    <x v="581"/>
    <x v="0"/>
    <x v="30"/>
    <x v="1"/>
    <x v="3"/>
    <x v="358"/>
    <x v="66"/>
    <x v="463"/>
    <x v="7"/>
  </r>
  <r>
    <x v="282"/>
    <x v="1"/>
    <x v="42"/>
    <x v="37"/>
    <x v="66"/>
    <x v="3"/>
    <x v="1"/>
    <x v="2"/>
    <x v="2"/>
    <x v="479"/>
    <x v="2"/>
    <x v="21"/>
    <x v="1"/>
    <x v="1"/>
    <x v="499"/>
    <x v="100"/>
    <x v="485"/>
    <x v="7"/>
  </r>
  <r>
    <x v="283"/>
    <x v="0"/>
    <x v="218"/>
    <x v="229"/>
    <x v="9"/>
    <x v="2"/>
    <x v="2"/>
    <x v="2"/>
    <x v="1"/>
    <x v="1172"/>
    <x v="1"/>
    <x v="49"/>
    <x v="1"/>
    <x v="3"/>
    <x v="762"/>
    <x v="117"/>
    <x v="1114"/>
    <x v="7"/>
  </r>
  <r>
    <x v="283"/>
    <x v="1"/>
    <x v="218"/>
    <x v="229"/>
    <x v="76"/>
    <x v="2"/>
    <x v="2"/>
    <x v="2"/>
    <x v="1"/>
    <x v="790"/>
    <x v="0"/>
    <x v="36"/>
    <x v="1"/>
    <x v="3"/>
    <x v="524"/>
    <x v="88"/>
    <x v="734"/>
    <x v="7"/>
  </r>
  <r>
    <x v="283"/>
    <x v="2"/>
    <x v="218"/>
    <x v="229"/>
    <x v="51"/>
    <x v="2"/>
    <x v="2"/>
    <x v="2"/>
    <x v="2"/>
    <x v="1457"/>
    <x v="0"/>
    <x v="53"/>
    <x v="1"/>
    <x v="1"/>
    <x v="1635"/>
    <x v="240"/>
    <x v="1957"/>
    <x v="7"/>
  </r>
  <r>
    <x v="283"/>
    <x v="3"/>
    <x v="218"/>
    <x v="229"/>
    <x v="17"/>
    <x v="2"/>
    <x v="2"/>
    <x v="2"/>
    <x v="1"/>
    <x v="2066"/>
    <x v="0"/>
    <x v="92"/>
    <x v="1"/>
    <x v="3"/>
    <x v="1393"/>
    <x v="245"/>
    <x v="1398"/>
    <x v="7"/>
  </r>
  <r>
    <x v="283"/>
    <x v="4"/>
    <x v="218"/>
    <x v="229"/>
    <x v="6"/>
    <x v="2"/>
    <x v="2"/>
    <x v="2"/>
    <x v="1"/>
    <x v="1498"/>
    <x v="2"/>
    <x v="76"/>
    <x v="1"/>
    <x v="0"/>
    <x v="940"/>
    <x v="198"/>
    <x v="826"/>
    <x v="7"/>
  </r>
  <r>
    <x v="284"/>
    <x v="0"/>
    <x v="46"/>
    <x v="162"/>
    <x v="28"/>
    <x v="0"/>
    <x v="1"/>
    <x v="5"/>
    <x v="1"/>
    <x v="90"/>
    <x v="3"/>
    <x v="2"/>
    <x v="1"/>
    <x v="3"/>
    <x v="31"/>
    <x v="4"/>
    <x v="137"/>
    <x v="7"/>
  </r>
  <r>
    <x v="284"/>
    <x v="1"/>
    <x v="46"/>
    <x v="162"/>
    <x v="53"/>
    <x v="0"/>
    <x v="1"/>
    <x v="5"/>
    <x v="2"/>
    <x v="1194"/>
    <x v="0"/>
    <x v="47"/>
    <x v="1"/>
    <x v="3"/>
    <x v="1468"/>
    <x v="214"/>
    <x v="1740"/>
    <x v="7"/>
  </r>
  <r>
    <x v="284"/>
    <x v="2"/>
    <x v="46"/>
    <x v="162"/>
    <x v="7"/>
    <x v="0"/>
    <x v="1"/>
    <x v="5"/>
    <x v="1"/>
    <x v="91"/>
    <x v="3"/>
    <x v="4"/>
    <x v="1"/>
    <x v="3"/>
    <x v="32"/>
    <x v="6"/>
    <x v="103"/>
    <x v="7"/>
  </r>
  <r>
    <x v="284"/>
    <x v="3"/>
    <x v="46"/>
    <x v="162"/>
    <x v="60"/>
    <x v="0"/>
    <x v="1"/>
    <x v="5"/>
    <x v="7"/>
    <x v="534"/>
    <x v="4"/>
    <x v="27"/>
    <x v="1"/>
    <x v="2"/>
    <x v="1831"/>
    <x v="439"/>
    <x v="4"/>
    <x v="7"/>
  </r>
  <r>
    <x v="284"/>
    <x v="4"/>
    <x v="46"/>
    <x v="162"/>
    <x v="29"/>
    <x v="0"/>
    <x v="1"/>
    <x v="5"/>
    <x v="2"/>
    <x v="2028"/>
    <x v="0"/>
    <x v="97"/>
    <x v="1"/>
    <x v="0"/>
    <x v="1855"/>
    <x v="395"/>
    <x v="1505"/>
    <x v="7"/>
  </r>
  <r>
    <x v="285"/>
    <x v="0"/>
    <x v="87"/>
    <x v="174"/>
    <x v="70"/>
    <x v="1"/>
    <x v="2"/>
    <x v="8"/>
    <x v="5"/>
    <x v="1559"/>
    <x v="2"/>
    <x v="68"/>
    <x v="1"/>
    <x v="3"/>
    <x v="2104"/>
    <x v="471"/>
    <x v="2092"/>
    <x v="7"/>
  </r>
  <r>
    <x v="285"/>
    <x v="1"/>
    <x v="87"/>
    <x v="174"/>
    <x v="93"/>
    <x v="1"/>
    <x v="2"/>
    <x v="8"/>
    <x v="2"/>
    <x v="495"/>
    <x v="0"/>
    <x v="24"/>
    <x v="1"/>
    <x v="2"/>
    <x v="586"/>
    <x v="113"/>
    <x v="579"/>
    <x v="7"/>
  </r>
  <r>
    <x v="285"/>
    <x v="2"/>
    <x v="87"/>
    <x v="174"/>
    <x v="4"/>
    <x v="1"/>
    <x v="2"/>
    <x v="8"/>
    <x v="1"/>
    <x v="2077"/>
    <x v="0"/>
    <x v="94"/>
    <x v="1"/>
    <x v="1"/>
    <x v="1398"/>
    <x v="249"/>
    <x v="1373"/>
    <x v="7"/>
  </r>
  <r>
    <x v="285"/>
    <x v="3"/>
    <x v="87"/>
    <x v="174"/>
    <x v="45"/>
    <x v="1"/>
    <x v="2"/>
    <x v="8"/>
    <x v="1"/>
    <x v="2"/>
    <x v="1"/>
    <x v="0"/>
    <x v="1"/>
    <x v="2"/>
    <x v="3"/>
    <x v="1"/>
    <x v="62"/>
    <x v="7"/>
  </r>
  <r>
    <x v="285"/>
    <x v="4"/>
    <x v="87"/>
    <x v="174"/>
    <x v="36"/>
    <x v="1"/>
    <x v="2"/>
    <x v="8"/>
    <x v="3"/>
    <x v="2207"/>
    <x v="2"/>
    <x v="91"/>
    <x v="1"/>
    <x v="1"/>
    <x v="2036"/>
    <x v="442"/>
    <x v="2022"/>
    <x v="7"/>
  </r>
  <r>
    <x v="286"/>
    <x v="0"/>
    <x v="119"/>
    <x v="223"/>
    <x v="37"/>
    <x v="2"/>
    <x v="2"/>
    <x v="4"/>
    <x v="1"/>
    <x v="1564"/>
    <x v="4"/>
    <x v="78"/>
    <x v="1"/>
    <x v="2"/>
    <x v="885"/>
    <x v="202"/>
    <x v="549"/>
    <x v="7"/>
  </r>
  <r>
    <x v="286"/>
    <x v="1"/>
    <x v="119"/>
    <x v="223"/>
    <x v="83"/>
    <x v="2"/>
    <x v="2"/>
    <x v="4"/>
    <x v="2"/>
    <x v="116"/>
    <x v="4"/>
    <x v="8"/>
    <x v="1"/>
    <x v="1"/>
    <x v="136"/>
    <x v="32"/>
    <x v="88"/>
    <x v="7"/>
  </r>
  <r>
    <x v="286"/>
    <x v="2"/>
    <x v="119"/>
    <x v="223"/>
    <x v="90"/>
    <x v="2"/>
    <x v="2"/>
    <x v="4"/>
    <x v="2"/>
    <x v="830"/>
    <x v="4"/>
    <x v="37"/>
    <x v="1"/>
    <x v="0"/>
    <x v="814"/>
    <x v="170"/>
    <x v="631"/>
    <x v="7"/>
  </r>
  <r>
    <x v="287"/>
    <x v="0"/>
    <x v="89"/>
    <x v="89"/>
    <x v="70"/>
    <x v="3"/>
    <x v="2"/>
    <x v="4"/>
    <x v="5"/>
    <x v="1578"/>
    <x v="4"/>
    <x v="68"/>
    <x v="1"/>
    <x v="3"/>
    <x v="2063"/>
    <x v="471"/>
    <x v="1931"/>
    <x v="7"/>
  </r>
  <r>
    <x v="288"/>
    <x v="0"/>
    <x v="232"/>
    <x v="112"/>
    <x v="55"/>
    <x v="1"/>
    <x v="2"/>
    <x v="8"/>
    <x v="1"/>
    <x v="1114"/>
    <x v="4"/>
    <x v="54"/>
    <x v="1"/>
    <x v="3"/>
    <x v="619"/>
    <x v="132"/>
    <x v="437"/>
    <x v="7"/>
  </r>
  <r>
    <x v="288"/>
    <x v="1"/>
    <x v="232"/>
    <x v="112"/>
    <x v="12"/>
    <x v="1"/>
    <x v="2"/>
    <x v="8"/>
    <x v="5"/>
    <x v="1627"/>
    <x v="0"/>
    <x v="75"/>
    <x v="1"/>
    <x v="1"/>
    <x v="2157"/>
    <x v="487"/>
    <x v="2174"/>
    <x v="7"/>
  </r>
  <r>
    <x v="288"/>
    <x v="2"/>
    <x v="232"/>
    <x v="112"/>
    <x v="10"/>
    <x v="1"/>
    <x v="2"/>
    <x v="8"/>
    <x v="2"/>
    <x v="357"/>
    <x v="0"/>
    <x v="14"/>
    <x v="1"/>
    <x v="0"/>
    <x v="428"/>
    <x v="67"/>
    <x v="652"/>
    <x v="7"/>
  </r>
  <r>
    <x v="288"/>
    <x v="3"/>
    <x v="232"/>
    <x v="112"/>
    <x v="48"/>
    <x v="1"/>
    <x v="2"/>
    <x v="8"/>
    <x v="4"/>
    <x v="445"/>
    <x v="4"/>
    <x v="17"/>
    <x v="1"/>
    <x v="2"/>
    <x v="803"/>
    <x v="159"/>
    <x v="725"/>
    <x v="7"/>
  </r>
  <r>
    <x v="289"/>
    <x v="0"/>
    <x v="257"/>
    <x v="242"/>
    <x v="91"/>
    <x v="0"/>
    <x v="1"/>
    <x v="9"/>
    <x v="7"/>
    <x v="2008"/>
    <x v="1"/>
    <x v="81"/>
    <x v="1"/>
    <x v="3"/>
    <x v="2285"/>
    <x v="562"/>
    <x v="2279"/>
    <x v="7"/>
  </r>
  <r>
    <x v="289"/>
    <x v="1"/>
    <x v="257"/>
    <x v="242"/>
    <x v="15"/>
    <x v="0"/>
    <x v="1"/>
    <x v="9"/>
    <x v="1"/>
    <x v="1029"/>
    <x v="0"/>
    <x v="38"/>
    <x v="1"/>
    <x v="0"/>
    <x v="679"/>
    <x v="93"/>
    <x v="1130"/>
    <x v="7"/>
  </r>
  <r>
    <x v="289"/>
    <x v="2"/>
    <x v="257"/>
    <x v="242"/>
    <x v="57"/>
    <x v="0"/>
    <x v="1"/>
    <x v="9"/>
    <x v="4"/>
    <x v="706"/>
    <x v="2"/>
    <x v="25"/>
    <x v="1"/>
    <x v="1"/>
    <x v="1425"/>
    <x v="220"/>
    <x v="1676"/>
    <x v="7"/>
  </r>
  <r>
    <x v="289"/>
    <x v="3"/>
    <x v="257"/>
    <x v="242"/>
    <x v="71"/>
    <x v="0"/>
    <x v="1"/>
    <x v="9"/>
    <x v="2"/>
    <x v="168"/>
    <x v="3"/>
    <x v="6"/>
    <x v="1"/>
    <x v="0"/>
    <x v="210"/>
    <x v="27"/>
    <x v="422"/>
    <x v="7"/>
  </r>
  <r>
    <x v="290"/>
    <x v="0"/>
    <x v="113"/>
    <x v="238"/>
    <x v="86"/>
    <x v="0"/>
    <x v="1"/>
    <x v="2"/>
    <x v="3"/>
    <x v="1862"/>
    <x v="0"/>
    <x v="79"/>
    <x v="1"/>
    <x v="1"/>
    <x v="2020"/>
    <x v="408"/>
    <x v="2085"/>
    <x v="7"/>
  </r>
  <r>
    <x v="290"/>
    <x v="1"/>
    <x v="113"/>
    <x v="238"/>
    <x v="32"/>
    <x v="0"/>
    <x v="1"/>
    <x v="2"/>
    <x v="1"/>
    <x v="1243"/>
    <x v="2"/>
    <x v="50"/>
    <x v="1"/>
    <x v="2"/>
    <x v="774"/>
    <x v="119"/>
    <x v="1146"/>
    <x v="7"/>
  </r>
  <r>
    <x v="290"/>
    <x v="2"/>
    <x v="113"/>
    <x v="238"/>
    <x v="20"/>
    <x v="0"/>
    <x v="1"/>
    <x v="2"/>
    <x v="2"/>
    <x v="161"/>
    <x v="4"/>
    <x v="5"/>
    <x v="1"/>
    <x v="3"/>
    <x v="187"/>
    <x v="26"/>
    <x v="362"/>
    <x v="7"/>
  </r>
  <r>
    <x v="291"/>
    <x v="0"/>
    <x v="39"/>
    <x v="10"/>
    <x v="35"/>
    <x v="0"/>
    <x v="0"/>
    <x v="5"/>
    <x v="1"/>
    <x v="247"/>
    <x v="0"/>
    <x v="11"/>
    <x v="1"/>
    <x v="0"/>
    <x v="142"/>
    <x v="20"/>
    <x v="340"/>
    <x v="7"/>
  </r>
  <r>
    <x v="291"/>
    <x v="1"/>
    <x v="39"/>
    <x v="10"/>
    <x v="62"/>
    <x v="0"/>
    <x v="0"/>
    <x v="5"/>
    <x v="1"/>
    <x v="1370"/>
    <x v="0"/>
    <x v="67"/>
    <x v="1"/>
    <x v="3"/>
    <x v="906"/>
    <x v="177"/>
    <x v="947"/>
    <x v="7"/>
  </r>
  <r>
    <x v="292"/>
    <x v="0"/>
    <x v="209"/>
    <x v="23"/>
    <x v="48"/>
    <x v="2"/>
    <x v="2"/>
    <x v="0"/>
    <x v="1"/>
    <x v="376"/>
    <x v="0"/>
    <x v="17"/>
    <x v="1"/>
    <x v="2"/>
    <x v="234"/>
    <x v="39"/>
    <x v="352"/>
    <x v="7"/>
  </r>
  <r>
    <x v="293"/>
    <x v="0"/>
    <x v="143"/>
    <x v="45"/>
    <x v="60"/>
    <x v="3"/>
    <x v="1"/>
    <x v="8"/>
    <x v="1"/>
    <x v="557"/>
    <x v="2"/>
    <x v="27"/>
    <x v="1"/>
    <x v="0"/>
    <x v="314"/>
    <x v="63"/>
    <x v="212"/>
    <x v="7"/>
  </r>
  <r>
    <x v="293"/>
    <x v="1"/>
    <x v="143"/>
    <x v="45"/>
    <x v="52"/>
    <x v="3"/>
    <x v="1"/>
    <x v="8"/>
    <x v="3"/>
    <x v="1007"/>
    <x v="0"/>
    <x v="40"/>
    <x v="1"/>
    <x v="1"/>
    <x v="1596"/>
    <x v="252"/>
    <x v="1854"/>
    <x v="7"/>
  </r>
  <r>
    <x v="294"/>
    <x v="0"/>
    <x v="195"/>
    <x v="135"/>
    <x v="58"/>
    <x v="3"/>
    <x v="2"/>
    <x v="4"/>
    <x v="3"/>
    <x v="1866"/>
    <x v="1"/>
    <x v="99"/>
    <x v="1"/>
    <x v="2"/>
    <x v="1995"/>
    <x v="478"/>
    <x v="844"/>
    <x v="7"/>
  </r>
  <r>
    <x v="294"/>
    <x v="1"/>
    <x v="195"/>
    <x v="135"/>
    <x v="55"/>
    <x v="3"/>
    <x v="2"/>
    <x v="4"/>
    <x v="1"/>
    <x v="1091"/>
    <x v="2"/>
    <x v="54"/>
    <x v="1"/>
    <x v="0"/>
    <x v="662"/>
    <x v="132"/>
    <x v="638"/>
    <x v="7"/>
  </r>
  <r>
    <x v="295"/>
    <x v="0"/>
    <x v="56"/>
    <x v="71"/>
    <x v="6"/>
    <x v="2"/>
    <x v="1"/>
    <x v="6"/>
    <x v="5"/>
    <x v="1385"/>
    <x v="0"/>
    <x v="76"/>
    <x v="1"/>
    <x v="2"/>
    <x v="2080"/>
    <x v="488"/>
    <x v="1838"/>
    <x v="7"/>
  </r>
  <r>
    <x v="295"/>
    <x v="1"/>
    <x v="56"/>
    <x v="71"/>
    <x v="48"/>
    <x v="2"/>
    <x v="1"/>
    <x v="6"/>
    <x v="1"/>
    <x v="423"/>
    <x v="0"/>
    <x v="17"/>
    <x v="0"/>
    <x v="1"/>
    <x v="263"/>
    <x v="39"/>
    <x v="492"/>
    <x v="7"/>
  </r>
  <r>
    <x v="295"/>
    <x v="2"/>
    <x v="56"/>
    <x v="71"/>
    <x v="91"/>
    <x v="2"/>
    <x v="1"/>
    <x v="6"/>
    <x v="2"/>
    <x v="2213"/>
    <x v="2"/>
    <x v="81"/>
    <x v="1"/>
    <x v="3"/>
    <x v="1850"/>
    <x v="331"/>
    <x v="1993"/>
    <x v="7"/>
  </r>
  <r>
    <x v="295"/>
    <x v="3"/>
    <x v="56"/>
    <x v="71"/>
    <x v="51"/>
    <x v="2"/>
    <x v="1"/>
    <x v="6"/>
    <x v="3"/>
    <x v="1377"/>
    <x v="3"/>
    <x v="53"/>
    <x v="1"/>
    <x v="2"/>
    <x v="1718"/>
    <x v="307"/>
    <x v="1881"/>
    <x v="7"/>
  </r>
  <r>
    <x v="296"/>
    <x v="0"/>
    <x v="62"/>
    <x v="119"/>
    <x v="0"/>
    <x v="1"/>
    <x v="0"/>
    <x v="8"/>
    <x v="6"/>
    <x v="944"/>
    <x v="4"/>
    <x v="32"/>
    <x v="0"/>
    <x v="0"/>
    <x v="1979"/>
    <x v="389"/>
    <x v="2077"/>
    <x v="7"/>
  </r>
  <r>
    <x v="297"/>
    <x v="0"/>
    <x v="125"/>
    <x v="69"/>
    <x v="52"/>
    <x v="0"/>
    <x v="0"/>
    <x v="3"/>
    <x v="2"/>
    <x v="1103"/>
    <x v="2"/>
    <x v="40"/>
    <x v="1"/>
    <x v="2"/>
    <x v="1218"/>
    <x v="176"/>
    <x v="1595"/>
    <x v="7"/>
  </r>
  <r>
    <x v="297"/>
    <x v="1"/>
    <x v="125"/>
    <x v="69"/>
    <x v="48"/>
    <x v="0"/>
    <x v="0"/>
    <x v="3"/>
    <x v="1"/>
    <x v="393"/>
    <x v="0"/>
    <x v="17"/>
    <x v="1"/>
    <x v="3"/>
    <x v="245"/>
    <x v="39"/>
    <x v="443"/>
    <x v="7"/>
  </r>
  <r>
    <x v="297"/>
    <x v="2"/>
    <x v="125"/>
    <x v="69"/>
    <x v="35"/>
    <x v="0"/>
    <x v="0"/>
    <x v="3"/>
    <x v="6"/>
    <x v="263"/>
    <x v="2"/>
    <x v="11"/>
    <x v="2"/>
    <x v="1"/>
    <x v="1048"/>
    <x v="181"/>
    <x v="1267"/>
    <x v="7"/>
  </r>
  <r>
    <x v="298"/>
    <x v="0"/>
    <x v="22"/>
    <x v="194"/>
    <x v="1"/>
    <x v="1"/>
    <x v="0"/>
    <x v="1"/>
    <x v="1"/>
    <x v="716"/>
    <x v="2"/>
    <x v="42"/>
    <x v="1"/>
    <x v="0"/>
    <x v="432"/>
    <x v="99"/>
    <x v="99"/>
    <x v="7"/>
  </r>
  <r>
    <x v="298"/>
    <x v="1"/>
    <x v="22"/>
    <x v="194"/>
    <x v="42"/>
    <x v="1"/>
    <x v="0"/>
    <x v="1"/>
    <x v="2"/>
    <x v="430"/>
    <x v="0"/>
    <x v="23"/>
    <x v="1"/>
    <x v="2"/>
    <x v="537"/>
    <x v="112"/>
    <x v="404"/>
    <x v="7"/>
  </r>
  <r>
    <x v="298"/>
    <x v="2"/>
    <x v="22"/>
    <x v="194"/>
    <x v="16"/>
    <x v="1"/>
    <x v="0"/>
    <x v="1"/>
    <x v="2"/>
    <x v="1330"/>
    <x v="0"/>
    <x v="51"/>
    <x v="2"/>
    <x v="3"/>
    <x v="1561"/>
    <x v="230"/>
    <x v="1849"/>
    <x v="7"/>
  </r>
  <r>
    <x v="299"/>
    <x v="0"/>
    <x v="98"/>
    <x v="207"/>
    <x v="55"/>
    <x v="0"/>
    <x v="1"/>
    <x v="3"/>
    <x v="2"/>
    <x v="1065"/>
    <x v="0"/>
    <x v="54"/>
    <x v="1"/>
    <x v="0"/>
    <x v="1311"/>
    <x v="242"/>
    <x v="1248"/>
    <x v="7"/>
  </r>
  <r>
    <x v="300"/>
    <x v="0"/>
    <x v="261"/>
    <x v="118"/>
    <x v="11"/>
    <x v="2"/>
    <x v="0"/>
    <x v="2"/>
    <x v="4"/>
    <x v="2117"/>
    <x v="2"/>
    <x v="87"/>
    <x v="1"/>
    <x v="0"/>
    <x v="2127"/>
    <x v="483"/>
    <x v="2111"/>
    <x v="7"/>
  </r>
  <r>
    <x v="301"/>
    <x v="0"/>
    <x v="262"/>
    <x v="1"/>
    <x v="25"/>
    <x v="1"/>
    <x v="1"/>
    <x v="7"/>
    <x v="1"/>
    <x v="1870"/>
    <x v="1"/>
    <x v="72"/>
    <x v="0"/>
    <x v="2"/>
    <x v="1230"/>
    <x v="189"/>
    <x v="1553"/>
    <x v="7"/>
  </r>
  <r>
    <x v="301"/>
    <x v="1"/>
    <x v="262"/>
    <x v="1"/>
    <x v="49"/>
    <x v="1"/>
    <x v="1"/>
    <x v="7"/>
    <x v="1"/>
    <x v="990"/>
    <x v="0"/>
    <x v="45"/>
    <x v="1"/>
    <x v="1"/>
    <x v="651"/>
    <x v="106"/>
    <x v="929"/>
    <x v="7"/>
  </r>
  <r>
    <x v="302"/>
    <x v="0"/>
    <x v="157"/>
    <x v="44"/>
    <x v="98"/>
    <x v="1"/>
    <x v="2"/>
    <x v="1"/>
    <x v="5"/>
    <x v="1339"/>
    <x v="1"/>
    <x v="65"/>
    <x v="2"/>
    <x v="2"/>
    <x v="2038"/>
    <x v="463"/>
    <x v="1837"/>
    <x v="7"/>
  </r>
  <r>
    <x v="302"/>
    <x v="1"/>
    <x v="157"/>
    <x v="44"/>
    <x v="1"/>
    <x v="1"/>
    <x v="2"/>
    <x v="1"/>
    <x v="3"/>
    <x v="788"/>
    <x v="0"/>
    <x v="42"/>
    <x v="1"/>
    <x v="0"/>
    <x v="1371"/>
    <x v="262"/>
    <x v="1167"/>
    <x v="7"/>
  </r>
  <r>
    <x v="302"/>
    <x v="2"/>
    <x v="157"/>
    <x v="44"/>
    <x v="69"/>
    <x v="1"/>
    <x v="2"/>
    <x v="1"/>
    <x v="3"/>
    <x v="128"/>
    <x v="2"/>
    <x v="10"/>
    <x v="1"/>
    <x v="0"/>
    <x v="285"/>
    <x v="61"/>
    <x v="89"/>
    <x v="7"/>
  </r>
  <r>
    <x v="303"/>
    <x v="0"/>
    <x v="255"/>
    <x v="123"/>
    <x v="42"/>
    <x v="2"/>
    <x v="1"/>
    <x v="3"/>
    <x v="3"/>
    <x v="496"/>
    <x v="0"/>
    <x v="23"/>
    <x v="1"/>
    <x v="0"/>
    <x v="809"/>
    <x v="157"/>
    <x v="779"/>
    <x v="7"/>
  </r>
  <r>
    <x v="303"/>
    <x v="1"/>
    <x v="255"/>
    <x v="123"/>
    <x v="79"/>
    <x v="2"/>
    <x v="1"/>
    <x v="3"/>
    <x v="1"/>
    <x v="1529"/>
    <x v="0"/>
    <x v="64"/>
    <x v="2"/>
    <x v="2"/>
    <x v="1066"/>
    <x v="168"/>
    <x v="1345"/>
    <x v="7"/>
  </r>
  <r>
    <x v="303"/>
    <x v="2"/>
    <x v="255"/>
    <x v="123"/>
    <x v="11"/>
    <x v="2"/>
    <x v="1"/>
    <x v="3"/>
    <x v="1"/>
    <x v="2023"/>
    <x v="3"/>
    <x v="87"/>
    <x v="1"/>
    <x v="0"/>
    <x v="1170"/>
    <x v="229"/>
    <x v="1050"/>
    <x v="7"/>
  </r>
  <r>
    <x v="303"/>
    <x v="3"/>
    <x v="255"/>
    <x v="123"/>
    <x v="60"/>
    <x v="2"/>
    <x v="1"/>
    <x v="3"/>
    <x v="2"/>
    <x v="552"/>
    <x v="4"/>
    <x v="27"/>
    <x v="1"/>
    <x v="0"/>
    <x v="549"/>
    <x v="128"/>
    <x v="56"/>
    <x v="7"/>
  </r>
  <r>
    <x v="303"/>
    <x v="4"/>
    <x v="255"/>
    <x v="123"/>
    <x v="70"/>
    <x v="2"/>
    <x v="1"/>
    <x v="3"/>
    <x v="5"/>
    <x v="1630"/>
    <x v="3"/>
    <x v="68"/>
    <x v="1"/>
    <x v="1"/>
    <x v="2102"/>
    <x v="471"/>
    <x v="2084"/>
    <x v="7"/>
  </r>
  <r>
    <x v="304"/>
    <x v="0"/>
    <x v="142"/>
    <x v="79"/>
    <x v="29"/>
    <x v="1"/>
    <x v="2"/>
    <x v="5"/>
    <x v="3"/>
    <x v="2044"/>
    <x v="0"/>
    <x v="97"/>
    <x v="1"/>
    <x v="0"/>
    <x v="2047"/>
    <x v="473"/>
    <x v="1820"/>
    <x v="7"/>
  </r>
  <r>
    <x v="305"/>
    <x v="0"/>
    <x v="237"/>
    <x v="211"/>
    <x v="60"/>
    <x v="2"/>
    <x v="2"/>
    <x v="5"/>
    <x v="3"/>
    <x v="528"/>
    <x v="2"/>
    <x v="27"/>
    <x v="1"/>
    <x v="0"/>
    <x v="788"/>
    <x v="185"/>
    <x v="155"/>
    <x v="7"/>
  </r>
  <r>
    <x v="305"/>
    <x v="1"/>
    <x v="237"/>
    <x v="211"/>
    <x v="89"/>
    <x v="2"/>
    <x v="2"/>
    <x v="5"/>
    <x v="1"/>
    <x v="688"/>
    <x v="0"/>
    <x v="26"/>
    <x v="1"/>
    <x v="2"/>
    <x v="446"/>
    <x v="62"/>
    <x v="777"/>
    <x v="7"/>
  </r>
  <r>
    <x v="306"/>
    <x v="0"/>
    <x v="188"/>
    <x v="168"/>
    <x v="94"/>
    <x v="1"/>
    <x v="0"/>
    <x v="6"/>
    <x v="1"/>
    <x v="1726"/>
    <x v="0"/>
    <x v="71"/>
    <x v="1"/>
    <x v="0"/>
    <x v="1205"/>
    <x v="184"/>
    <x v="1534"/>
    <x v="7"/>
  </r>
  <r>
    <x v="307"/>
    <x v="0"/>
    <x v="105"/>
    <x v="204"/>
    <x v="84"/>
    <x v="2"/>
    <x v="0"/>
    <x v="7"/>
    <x v="2"/>
    <x v="1944"/>
    <x v="1"/>
    <x v="89"/>
    <x v="1"/>
    <x v="2"/>
    <x v="1789"/>
    <x v="356"/>
    <x v="1717"/>
    <x v="7"/>
  </r>
  <r>
    <x v="307"/>
    <x v="1"/>
    <x v="105"/>
    <x v="204"/>
    <x v="76"/>
    <x v="2"/>
    <x v="0"/>
    <x v="7"/>
    <x v="1"/>
    <x v="857"/>
    <x v="0"/>
    <x v="36"/>
    <x v="1"/>
    <x v="0"/>
    <x v="574"/>
    <x v="88"/>
    <x v="861"/>
    <x v="7"/>
  </r>
  <r>
    <x v="307"/>
    <x v="2"/>
    <x v="105"/>
    <x v="204"/>
    <x v="49"/>
    <x v="2"/>
    <x v="0"/>
    <x v="7"/>
    <x v="5"/>
    <x v="909"/>
    <x v="0"/>
    <x v="45"/>
    <x v="1"/>
    <x v="3"/>
    <x v="1837"/>
    <x v="362"/>
    <x v="1825"/>
    <x v="7"/>
  </r>
  <r>
    <x v="308"/>
    <x v="0"/>
    <x v="0"/>
    <x v="7"/>
    <x v="88"/>
    <x v="3"/>
    <x v="1"/>
    <x v="1"/>
    <x v="2"/>
    <x v="2053"/>
    <x v="2"/>
    <x v="86"/>
    <x v="1"/>
    <x v="3"/>
    <x v="1785"/>
    <x v="346"/>
    <x v="1783"/>
    <x v="7"/>
  </r>
  <r>
    <x v="308"/>
    <x v="1"/>
    <x v="0"/>
    <x v="7"/>
    <x v="75"/>
    <x v="3"/>
    <x v="1"/>
    <x v="1"/>
    <x v="2"/>
    <x v="622"/>
    <x v="0"/>
    <x v="30"/>
    <x v="1"/>
    <x v="0"/>
    <x v="744"/>
    <x v="136"/>
    <x v="876"/>
    <x v="7"/>
  </r>
  <r>
    <x v="309"/>
    <x v="0"/>
    <x v="169"/>
    <x v="131"/>
    <x v="13"/>
    <x v="3"/>
    <x v="1"/>
    <x v="7"/>
    <x v="2"/>
    <x v="1214"/>
    <x v="0"/>
    <x v="70"/>
    <x v="1"/>
    <x v="3"/>
    <x v="1491"/>
    <x v="298"/>
    <x v="840"/>
    <x v="7"/>
  </r>
  <r>
    <x v="310"/>
    <x v="0"/>
    <x v="243"/>
    <x v="216"/>
    <x v="12"/>
    <x v="1"/>
    <x v="0"/>
    <x v="3"/>
    <x v="3"/>
    <x v="1712"/>
    <x v="0"/>
    <x v="75"/>
    <x v="1"/>
    <x v="2"/>
    <x v="1980"/>
    <x v="391"/>
    <x v="2069"/>
    <x v="7"/>
  </r>
  <r>
    <x v="310"/>
    <x v="1"/>
    <x v="243"/>
    <x v="216"/>
    <x v="27"/>
    <x v="1"/>
    <x v="0"/>
    <x v="3"/>
    <x v="1"/>
    <x v="1475"/>
    <x v="3"/>
    <x v="61"/>
    <x v="1"/>
    <x v="1"/>
    <x v="876"/>
    <x v="156"/>
    <x v="1012"/>
    <x v="7"/>
  </r>
  <r>
    <x v="310"/>
    <x v="2"/>
    <x v="243"/>
    <x v="216"/>
    <x v="55"/>
    <x v="1"/>
    <x v="0"/>
    <x v="3"/>
    <x v="4"/>
    <x v="1131"/>
    <x v="4"/>
    <x v="54"/>
    <x v="1"/>
    <x v="0"/>
    <x v="1713"/>
    <x v="364"/>
    <x v="1200"/>
    <x v="7"/>
  </r>
  <r>
    <x v="311"/>
    <x v="0"/>
    <x v="24"/>
    <x v="99"/>
    <x v="26"/>
    <x v="3"/>
    <x v="1"/>
    <x v="0"/>
    <x v="3"/>
    <x v="2029"/>
    <x v="0"/>
    <x v="74"/>
    <x v="1"/>
    <x v="3"/>
    <x v="2044"/>
    <x v="390"/>
    <x v="2163"/>
    <x v="7"/>
  </r>
  <r>
    <x v="312"/>
    <x v="0"/>
    <x v="31"/>
    <x v="230"/>
    <x v="23"/>
    <x v="2"/>
    <x v="2"/>
    <x v="4"/>
    <x v="1"/>
    <x v="831"/>
    <x v="0"/>
    <x v="41"/>
    <x v="1"/>
    <x v="3"/>
    <x v="562"/>
    <x v="97"/>
    <x v="710"/>
    <x v="7"/>
  </r>
  <r>
    <x v="312"/>
    <x v="1"/>
    <x v="31"/>
    <x v="230"/>
    <x v="71"/>
    <x v="2"/>
    <x v="2"/>
    <x v="4"/>
    <x v="1"/>
    <x v="189"/>
    <x v="0"/>
    <x v="6"/>
    <x v="1"/>
    <x v="1"/>
    <x v="102"/>
    <x v="10"/>
    <x v="349"/>
    <x v="7"/>
  </r>
  <r>
    <x v="312"/>
    <x v="2"/>
    <x v="31"/>
    <x v="230"/>
    <x v="50"/>
    <x v="2"/>
    <x v="2"/>
    <x v="4"/>
    <x v="1"/>
    <x v="1800"/>
    <x v="0"/>
    <x v="77"/>
    <x v="1"/>
    <x v="1"/>
    <x v="1255"/>
    <x v="200"/>
    <x v="1524"/>
    <x v="7"/>
  </r>
  <r>
    <x v="313"/>
    <x v="0"/>
    <x v="162"/>
    <x v="65"/>
    <x v="97"/>
    <x v="3"/>
    <x v="0"/>
    <x v="0"/>
    <x v="1"/>
    <x v="304"/>
    <x v="0"/>
    <x v="15"/>
    <x v="1"/>
    <x v="0"/>
    <x v="180"/>
    <x v="33"/>
    <x v="217"/>
    <x v="7"/>
  </r>
  <r>
    <x v="313"/>
    <x v="1"/>
    <x v="162"/>
    <x v="65"/>
    <x v="89"/>
    <x v="3"/>
    <x v="0"/>
    <x v="0"/>
    <x v="1"/>
    <x v="694"/>
    <x v="0"/>
    <x v="26"/>
    <x v="0"/>
    <x v="1"/>
    <x v="448"/>
    <x v="62"/>
    <x v="796"/>
    <x v="7"/>
  </r>
  <r>
    <x v="313"/>
    <x v="2"/>
    <x v="162"/>
    <x v="65"/>
    <x v="68"/>
    <x v="3"/>
    <x v="0"/>
    <x v="0"/>
    <x v="2"/>
    <x v="1768"/>
    <x v="2"/>
    <x v="83"/>
    <x v="1"/>
    <x v="3"/>
    <x v="1701"/>
    <x v="336"/>
    <x v="1585"/>
    <x v="7"/>
  </r>
  <r>
    <x v="313"/>
    <x v="3"/>
    <x v="162"/>
    <x v="65"/>
    <x v="90"/>
    <x v="3"/>
    <x v="0"/>
    <x v="0"/>
    <x v="6"/>
    <x v="756"/>
    <x v="0"/>
    <x v="37"/>
    <x v="1"/>
    <x v="0"/>
    <x v="1976"/>
    <x v="424"/>
    <x v="1898"/>
    <x v="7"/>
  </r>
  <r>
    <x v="314"/>
    <x v="0"/>
    <x v="257"/>
    <x v="248"/>
    <x v="93"/>
    <x v="1"/>
    <x v="0"/>
    <x v="3"/>
    <x v="1"/>
    <x v="482"/>
    <x v="3"/>
    <x v="24"/>
    <x v="1"/>
    <x v="1"/>
    <x v="239"/>
    <x v="56"/>
    <x v="57"/>
    <x v="7"/>
  </r>
  <r>
    <x v="314"/>
    <x v="1"/>
    <x v="257"/>
    <x v="248"/>
    <x v="72"/>
    <x v="1"/>
    <x v="0"/>
    <x v="3"/>
    <x v="4"/>
    <x v="1336"/>
    <x v="1"/>
    <x v="66"/>
    <x v="1"/>
    <x v="0"/>
    <x v="1944"/>
    <x v="425"/>
    <x v="1668"/>
    <x v="7"/>
  </r>
  <r>
    <x v="314"/>
    <x v="2"/>
    <x v="257"/>
    <x v="248"/>
    <x v="85"/>
    <x v="1"/>
    <x v="0"/>
    <x v="3"/>
    <x v="1"/>
    <x v="1711"/>
    <x v="2"/>
    <x v="88"/>
    <x v="1"/>
    <x v="2"/>
    <x v="1089"/>
    <x v="231"/>
    <x v="766"/>
    <x v="7"/>
  </r>
  <r>
    <x v="315"/>
    <x v="0"/>
    <x v="134"/>
    <x v="239"/>
    <x v="35"/>
    <x v="0"/>
    <x v="2"/>
    <x v="3"/>
    <x v="1"/>
    <x v="289"/>
    <x v="0"/>
    <x v="11"/>
    <x v="1"/>
    <x v="1"/>
    <x v="168"/>
    <x v="20"/>
    <x v="434"/>
    <x v="7"/>
  </r>
  <r>
    <x v="316"/>
    <x v="0"/>
    <x v="73"/>
    <x v="194"/>
    <x v="95"/>
    <x v="2"/>
    <x v="0"/>
    <x v="0"/>
    <x v="2"/>
    <x v="981"/>
    <x v="2"/>
    <x v="52"/>
    <x v="1"/>
    <x v="0"/>
    <x v="1070"/>
    <x v="232"/>
    <x v="684"/>
    <x v="7"/>
  </r>
  <r>
    <x v="316"/>
    <x v="1"/>
    <x v="73"/>
    <x v="194"/>
    <x v="87"/>
    <x v="2"/>
    <x v="0"/>
    <x v="0"/>
    <x v="2"/>
    <x v="626"/>
    <x v="2"/>
    <x v="33"/>
    <x v="1"/>
    <x v="0"/>
    <x v="671"/>
    <x v="148"/>
    <x v="357"/>
    <x v="7"/>
  </r>
  <r>
    <x v="317"/>
    <x v="0"/>
    <x v="76"/>
    <x v="206"/>
    <x v="59"/>
    <x v="1"/>
    <x v="0"/>
    <x v="6"/>
    <x v="2"/>
    <x v="1162"/>
    <x v="3"/>
    <x v="60"/>
    <x v="1"/>
    <x v="3"/>
    <x v="1253"/>
    <x v="270"/>
    <x v="563"/>
    <x v="7"/>
  </r>
  <r>
    <x v="317"/>
    <x v="1"/>
    <x v="76"/>
    <x v="206"/>
    <x v="64"/>
    <x v="1"/>
    <x v="0"/>
    <x v="6"/>
    <x v="1"/>
    <x v="1861"/>
    <x v="4"/>
    <x v="69"/>
    <x v="1"/>
    <x v="0"/>
    <x v="1043"/>
    <x v="179"/>
    <x v="1279"/>
    <x v="7"/>
  </r>
  <r>
    <x v="317"/>
    <x v="2"/>
    <x v="76"/>
    <x v="206"/>
    <x v="19"/>
    <x v="1"/>
    <x v="0"/>
    <x v="6"/>
    <x v="3"/>
    <x v="452"/>
    <x v="2"/>
    <x v="16"/>
    <x v="1"/>
    <x v="3"/>
    <x v="703"/>
    <x v="121"/>
    <x v="904"/>
    <x v="7"/>
  </r>
  <r>
    <x v="318"/>
    <x v="0"/>
    <x v="255"/>
    <x v="209"/>
    <x v="57"/>
    <x v="0"/>
    <x v="1"/>
    <x v="6"/>
    <x v="2"/>
    <x v="676"/>
    <x v="1"/>
    <x v="25"/>
    <x v="1"/>
    <x v="3"/>
    <x v="773"/>
    <x v="118"/>
    <x v="1149"/>
    <x v="7"/>
  </r>
  <r>
    <x v="318"/>
    <x v="1"/>
    <x v="255"/>
    <x v="209"/>
    <x v="37"/>
    <x v="0"/>
    <x v="1"/>
    <x v="6"/>
    <x v="7"/>
    <x v="1432"/>
    <x v="2"/>
    <x v="78"/>
    <x v="1"/>
    <x v="0"/>
    <x v="2261"/>
    <x v="558"/>
    <x v="2005"/>
    <x v="7"/>
  </r>
  <r>
    <x v="318"/>
    <x v="2"/>
    <x v="255"/>
    <x v="209"/>
    <x v="67"/>
    <x v="0"/>
    <x v="1"/>
    <x v="6"/>
    <x v="2"/>
    <x v="1001"/>
    <x v="0"/>
    <x v="43"/>
    <x v="1"/>
    <x v="3"/>
    <x v="1200"/>
    <x v="196"/>
    <x v="1451"/>
    <x v="7"/>
  </r>
  <r>
    <x v="318"/>
    <x v="3"/>
    <x v="255"/>
    <x v="209"/>
    <x v="0"/>
    <x v="0"/>
    <x v="1"/>
    <x v="6"/>
    <x v="1"/>
    <x v="957"/>
    <x v="0"/>
    <x v="32"/>
    <x v="1"/>
    <x v="1"/>
    <x v="630"/>
    <x v="73"/>
    <x v="1139"/>
    <x v="7"/>
  </r>
  <r>
    <x v="319"/>
    <x v="0"/>
    <x v="221"/>
    <x v="76"/>
    <x v="72"/>
    <x v="3"/>
    <x v="0"/>
    <x v="8"/>
    <x v="2"/>
    <x v="1285"/>
    <x v="0"/>
    <x v="66"/>
    <x v="1"/>
    <x v="0"/>
    <x v="1544"/>
    <x v="290"/>
    <x v="1230"/>
    <x v="7"/>
  </r>
  <r>
    <x v="320"/>
    <x v="0"/>
    <x v="244"/>
    <x v="29"/>
    <x v="24"/>
    <x v="0"/>
    <x v="0"/>
    <x v="0"/>
    <x v="2"/>
    <x v="579"/>
    <x v="0"/>
    <x v="19"/>
    <x v="1"/>
    <x v="0"/>
    <x v="688"/>
    <x v="92"/>
    <x v="1157"/>
    <x v="7"/>
  </r>
  <r>
    <x v="320"/>
    <x v="1"/>
    <x v="244"/>
    <x v="29"/>
    <x v="75"/>
    <x v="0"/>
    <x v="0"/>
    <x v="0"/>
    <x v="6"/>
    <x v="634"/>
    <x v="0"/>
    <x v="30"/>
    <x v="1"/>
    <x v="0"/>
    <x v="1861"/>
    <x v="366"/>
    <x v="1875"/>
    <x v="7"/>
  </r>
  <r>
    <x v="321"/>
    <x v="0"/>
    <x v="204"/>
    <x v="75"/>
    <x v="40"/>
    <x v="1"/>
    <x v="2"/>
    <x v="6"/>
    <x v="1"/>
    <x v="1595"/>
    <x v="2"/>
    <x v="63"/>
    <x v="1"/>
    <x v="0"/>
    <x v="1010"/>
    <x v="166"/>
    <x v="1275"/>
    <x v="7"/>
  </r>
  <r>
    <x v="321"/>
    <x v="1"/>
    <x v="204"/>
    <x v="75"/>
    <x v="1"/>
    <x v="1"/>
    <x v="2"/>
    <x v="6"/>
    <x v="4"/>
    <x v="769"/>
    <x v="4"/>
    <x v="42"/>
    <x v="0"/>
    <x v="1"/>
    <x v="1413"/>
    <x v="305"/>
    <x v="50"/>
    <x v="7"/>
  </r>
  <r>
    <x v="322"/>
    <x v="0"/>
    <x v="234"/>
    <x v="217"/>
    <x v="57"/>
    <x v="2"/>
    <x v="2"/>
    <x v="3"/>
    <x v="3"/>
    <x v="642"/>
    <x v="3"/>
    <x v="25"/>
    <x v="1"/>
    <x v="2"/>
    <x v="918"/>
    <x v="164"/>
    <x v="1091"/>
    <x v="7"/>
  </r>
  <r>
    <x v="323"/>
    <x v="0"/>
    <x v="129"/>
    <x v="182"/>
    <x v="21"/>
    <x v="2"/>
    <x v="0"/>
    <x v="9"/>
    <x v="1"/>
    <x v="377"/>
    <x v="3"/>
    <x v="18"/>
    <x v="1"/>
    <x v="0"/>
    <x v="206"/>
    <x v="41"/>
    <x v="101"/>
    <x v="7"/>
  </r>
  <r>
    <x v="323"/>
    <x v="1"/>
    <x v="129"/>
    <x v="182"/>
    <x v="47"/>
    <x v="2"/>
    <x v="0"/>
    <x v="9"/>
    <x v="1"/>
    <x v="1526"/>
    <x v="3"/>
    <x v="82"/>
    <x v="1"/>
    <x v="1"/>
    <x v="905"/>
    <x v="215"/>
    <x v="371"/>
    <x v="7"/>
  </r>
  <r>
    <x v="323"/>
    <x v="2"/>
    <x v="129"/>
    <x v="182"/>
    <x v="34"/>
    <x v="2"/>
    <x v="0"/>
    <x v="9"/>
    <x v="1"/>
    <x v="1140"/>
    <x v="3"/>
    <x v="58"/>
    <x v="2"/>
    <x v="3"/>
    <x v="665"/>
    <x v="149"/>
    <x v="270"/>
    <x v="7"/>
  </r>
  <r>
    <x v="324"/>
    <x v="0"/>
    <x v="122"/>
    <x v="10"/>
    <x v="63"/>
    <x v="1"/>
    <x v="1"/>
    <x v="9"/>
    <x v="1"/>
    <x v="2287"/>
    <x v="0"/>
    <x v="98"/>
    <x v="1"/>
    <x v="1"/>
    <x v="1554"/>
    <x v="271"/>
    <x v="1569"/>
    <x v="7"/>
  </r>
  <r>
    <x v="324"/>
    <x v="1"/>
    <x v="122"/>
    <x v="10"/>
    <x v="34"/>
    <x v="1"/>
    <x v="1"/>
    <x v="9"/>
    <x v="2"/>
    <x v="1303"/>
    <x v="0"/>
    <x v="58"/>
    <x v="1"/>
    <x v="1"/>
    <x v="1553"/>
    <x v="266"/>
    <x v="1602"/>
    <x v="7"/>
  </r>
  <r>
    <x v="325"/>
    <x v="0"/>
    <x v="190"/>
    <x v="249"/>
    <x v="41"/>
    <x v="0"/>
    <x v="1"/>
    <x v="4"/>
    <x v="6"/>
    <x v="873"/>
    <x v="2"/>
    <x v="35"/>
    <x v="1"/>
    <x v="3"/>
    <x v="1993"/>
    <x v="414"/>
    <x v="2006"/>
    <x v="7"/>
  </r>
  <r>
    <x v="325"/>
    <x v="1"/>
    <x v="190"/>
    <x v="249"/>
    <x v="34"/>
    <x v="0"/>
    <x v="1"/>
    <x v="4"/>
    <x v="2"/>
    <x v="1313"/>
    <x v="2"/>
    <x v="58"/>
    <x v="1"/>
    <x v="0"/>
    <x v="1473"/>
    <x v="266"/>
    <x v="1343"/>
    <x v="7"/>
  </r>
  <r>
    <x v="326"/>
    <x v="0"/>
    <x v="91"/>
    <x v="87"/>
    <x v="5"/>
    <x v="3"/>
    <x v="0"/>
    <x v="4"/>
    <x v="1"/>
    <x v="726"/>
    <x v="3"/>
    <x v="31"/>
    <x v="1"/>
    <x v="2"/>
    <x v="421"/>
    <x v="70"/>
    <x v="592"/>
    <x v="7"/>
  </r>
  <r>
    <x v="327"/>
    <x v="0"/>
    <x v="161"/>
    <x v="16"/>
    <x v="75"/>
    <x v="3"/>
    <x v="1"/>
    <x v="2"/>
    <x v="2"/>
    <x v="624"/>
    <x v="3"/>
    <x v="30"/>
    <x v="1"/>
    <x v="1"/>
    <x v="639"/>
    <x v="136"/>
    <x v="532"/>
    <x v="7"/>
  </r>
  <r>
    <x v="327"/>
    <x v="1"/>
    <x v="161"/>
    <x v="16"/>
    <x v="85"/>
    <x v="3"/>
    <x v="1"/>
    <x v="2"/>
    <x v="2"/>
    <x v="1849"/>
    <x v="4"/>
    <x v="88"/>
    <x v="1"/>
    <x v="0"/>
    <x v="1666"/>
    <x v="351"/>
    <x v="943"/>
    <x v="7"/>
  </r>
  <r>
    <x v="328"/>
    <x v="0"/>
    <x v="264"/>
    <x v="121"/>
    <x v="90"/>
    <x v="1"/>
    <x v="1"/>
    <x v="7"/>
    <x v="1"/>
    <x v="751"/>
    <x v="0"/>
    <x v="37"/>
    <x v="1"/>
    <x v="1"/>
    <x v="495"/>
    <x v="91"/>
    <x v="599"/>
    <x v="7"/>
  </r>
  <r>
    <x v="328"/>
    <x v="1"/>
    <x v="264"/>
    <x v="121"/>
    <x v="19"/>
    <x v="1"/>
    <x v="1"/>
    <x v="7"/>
    <x v="3"/>
    <x v="421"/>
    <x v="0"/>
    <x v="16"/>
    <x v="1"/>
    <x v="0"/>
    <x v="757"/>
    <x v="121"/>
    <x v="1036"/>
    <x v="7"/>
  </r>
  <r>
    <x v="329"/>
    <x v="0"/>
    <x v="61"/>
    <x v="46"/>
    <x v="60"/>
    <x v="2"/>
    <x v="1"/>
    <x v="8"/>
    <x v="1"/>
    <x v="531"/>
    <x v="0"/>
    <x v="27"/>
    <x v="1"/>
    <x v="3"/>
    <x v="320"/>
    <x v="63"/>
    <x v="238"/>
    <x v="7"/>
  </r>
  <r>
    <x v="329"/>
    <x v="1"/>
    <x v="61"/>
    <x v="46"/>
    <x v="2"/>
    <x v="2"/>
    <x v="1"/>
    <x v="8"/>
    <x v="1"/>
    <x v="839"/>
    <x v="1"/>
    <x v="48"/>
    <x v="1"/>
    <x v="3"/>
    <x v="532"/>
    <x v="116"/>
    <x v="307"/>
    <x v="7"/>
  </r>
  <r>
    <x v="330"/>
    <x v="0"/>
    <x v="212"/>
    <x v="40"/>
    <x v="39"/>
    <x v="0"/>
    <x v="2"/>
    <x v="0"/>
    <x v="4"/>
    <x v="1946"/>
    <x v="0"/>
    <x v="93"/>
    <x v="1"/>
    <x v="1"/>
    <x v="2139"/>
    <x v="497"/>
    <x v="2068"/>
    <x v="7"/>
  </r>
  <r>
    <x v="331"/>
    <x v="0"/>
    <x v="257"/>
    <x v="234"/>
    <x v="47"/>
    <x v="0"/>
    <x v="1"/>
    <x v="7"/>
    <x v="1"/>
    <x v="1443"/>
    <x v="3"/>
    <x v="82"/>
    <x v="2"/>
    <x v="2"/>
    <x v="856"/>
    <x v="215"/>
    <x v="40"/>
    <x v="7"/>
  </r>
  <r>
    <x v="331"/>
    <x v="1"/>
    <x v="257"/>
    <x v="234"/>
    <x v="22"/>
    <x v="0"/>
    <x v="1"/>
    <x v="7"/>
    <x v="1"/>
    <x v="816"/>
    <x v="0"/>
    <x v="34"/>
    <x v="1"/>
    <x v="3"/>
    <x v="556"/>
    <x v="81"/>
    <x v="858"/>
    <x v="7"/>
  </r>
  <r>
    <x v="332"/>
    <x v="0"/>
    <x v="259"/>
    <x v="8"/>
    <x v="88"/>
    <x v="1"/>
    <x v="2"/>
    <x v="3"/>
    <x v="2"/>
    <x v="1783"/>
    <x v="4"/>
    <x v="86"/>
    <x v="1"/>
    <x v="3"/>
    <x v="1644"/>
    <x v="346"/>
    <x v="907"/>
    <x v="7"/>
  </r>
  <r>
    <x v="333"/>
    <x v="0"/>
    <x v="123"/>
    <x v="92"/>
    <x v="60"/>
    <x v="1"/>
    <x v="2"/>
    <x v="7"/>
    <x v="1"/>
    <x v="554"/>
    <x v="0"/>
    <x v="27"/>
    <x v="1"/>
    <x v="2"/>
    <x v="341"/>
    <x v="63"/>
    <x v="411"/>
    <x v="7"/>
  </r>
  <r>
    <x v="333"/>
    <x v="1"/>
    <x v="123"/>
    <x v="92"/>
    <x v="96"/>
    <x v="1"/>
    <x v="2"/>
    <x v="7"/>
    <x v="7"/>
    <x v="512"/>
    <x v="0"/>
    <x v="22"/>
    <x v="0"/>
    <x v="3"/>
    <x v="1929"/>
    <x v="404"/>
    <x v="1818"/>
    <x v="7"/>
  </r>
  <r>
    <x v="334"/>
    <x v="0"/>
    <x v="104"/>
    <x v="214"/>
    <x v="57"/>
    <x v="0"/>
    <x v="1"/>
    <x v="1"/>
    <x v="4"/>
    <x v="710"/>
    <x v="0"/>
    <x v="25"/>
    <x v="1"/>
    <x v="2"/>
    <x v="1534"/>
    <x v="220"/>
    <x v="1850"/>
    <x v="7"/>
  </r>
  <r>
    <x v="334"/>
    <x v="1"/>
    <x v="104"/>
    <x v="214"/>
    <x v="67"/>
    <x v="0"/>
    <x v="1"/>
    <x v="1"/>
    <x v="4"/>
    <x v="1077"/>
    <x v="2"/>
    <x v="43"/>
    <x v="1"/>
    <x v="2"/>
    <x v="1749"/>
    <x v="315"/>
    <x v="1908"/>
    <x v="7"/>
  </r>
  <r>
    <x v="334"/>
    <x v="2"/>
    <x v="104"/>
    <x v="214"/>
    <x v="34"/>
    <x v="0"/>
    <x v="1"/>
    <x v="1"/>
    <x v="2"/>
    <x v="1177"/>
    <x v="0"/>
    <x v="58"/>
    <x v="1"/>
    <x v="0"/>
    <x v="1449"/>
    <x v="266"/>
    <x v="1294"/>
    <x v="7"/>
  </r>
  <r>
    <x v="335"/>
    <x v="0"/>
    <x v="218"/>
    <x v="35"/>
    <x v="11"/>
    <x v="3"/>
    <x v="1"/>
    <x v="4"/>
    <x v="3"/>
    <x v="2126"/>
    <x v="0"/>
    <x v="87"/>
    <x v="1"/>
    <x v="3"/>
    <x v="2061"/>
    <x v="433"/>
    <x v="2118"/>
    <x v="7"/>
  </r>
  <r>
    <x v="335"/>
    <x v="1"/>
    <x v="218"/>
    <x v="35"/>
    <x v="10"/>
    <x v="3"/>
    <x v="1"/>
    <x v="4"/>
    <x v="4"/>
    <x v="359"/>
    <x v="0"/>
    <x v="14"/>
    <x v="1"/>
    <x v="2"/>
    <x v="794"/>
    <x v="137"/>
    <x v="1057"/>
    <x v="7"/>
  </r>
  <r>
    <x v="335"/>
    <x v="2"/>
    <x v="218"/>
    <x v="35"/>
    <x v="48"/>
    <x v="3"/>
    <x v="1"/>
    <x v="4"/>
    <x v="2"/>
    <x v="403"/>
    <x v="0"/>
    <x v="17"/>
    <x v="1"/>
    <x v="1"/>
    <x v="515"/>
    <x v="83"/>
    <x v="749"/>
    <x v="7"/>
  </r>
  <r>
    <x v="335"/>
    <x v="3"/>
    <x v="218"/>
    <x v="35"/>
    <x v="40"/>
    <x v="3"/>
    <x v="1"/>
    <x v="4"/>
    <x v="3"/>
    <x v="1714"/>
    <x v="0"/>
    <x v="63"/>
    <x v="1"/>
    <x v="1"/>
    <x v="1981"/>
    <x v="360"/>
    <x v="2136"/>
    <x v="7"/>
  </r>
  <r>
    <x v="336"/>
    <x v="0"/>
    <x v="247"/>
    <x v="207"/>
    <x v="3"/>
    <x v="1"/>
    <x v="2"/>
    <x v="9"/>
    <x v="5"/>
    <x v="1858"/>
    <x v="0"/>
    <x v="73"/>
    <x v="1"/>
    <x v="0"/>
    <x v="2191"/>
    <x v="482"/>
    <x v="2238"/>
    <x v="7"/>
  </r>
  <r>
    <x v="336"/>
    <x v="1"/>
    <x v="247"/>
    <x v="207"/>
    <x v="32"/>
    <x v="1"/>
    <x v="2"/>
    <x v="9"/>
    <x v="4"/>
    <x v="1152"/>
    <x v="0"/>
    <x v="50"/>
    <x v="1"/>
    <x v="3"/>
    <x v="1891"/>
    <x v="340"/>
    <x v="2034"/>
    <x v="7"/>
  </r>
  <r>
    <x v="336"/>
    <x v="2"/>
    <x v="247"/>
    <x v="207"/>
    <x v="13"/>
    <x v="1"/>
    <x v="2"/>
    <x v="9"/>
    <x v="7"/>
    <x v="1181"/>
    <x v="0"/>
    <x v="70"/>
    <x v="1"/>
    <x v="0"/>
    <x v="2237"/>
    <x v="554"/>
    <x v="1803"/>
    <x v="7"/>
  </r>
  <r>
    <x v="337"/>
    <x v="0"/>
    <x v="209"/>
    <x v="178"/>
    <x v="45"/>
    <x v="1"/>
    <x v="0"/>
    <x v="9"/>
    <x v="6"/>
    <x v="6"/>
    <x v="0"/>
    <x v="0"/>
    <x v="1"/>
    <x v="0"/>
    <x v="201"/>
    <x v="28"/>
    <x v="380"/>
    <x v="7"/>
  </r>
  <r>
    <x v="337"/>
    <x v="1"/>
    <x v="209"/>
    <x v="178"/>
    <x v="41"/>
    <x v="1"/>
    <x v="0"/>
    <x v="9"/>
    <x v="1"/>
    <x v="956"/>
    <x v="4"/>
    <x v="35"/>
    <x v="1"/>
    <x v="2"/>
    <x v="511"/>
    <x v="87"/>
    <x v="697"/>
    <x v="7"/>
  </r>
  <r>
    <x v="338"/>
    <x v="0"/>
    <x v="149"/>
    <x v="82"/>
    <x v="66"/>
    <x v="0"/>
    <x v="1"/>
    <x v="8"/>
    <x v="2"/>
    <x v="505"/>
    <x v="4"/>
    <x v="21"/>
    <x v="1"/>
    <x v="0"/>
    <x v="469"/>
    <x v="100"/>
    <x v="356"/>
    <x v="7"/>
  </r>
  <r>
    <x v="339"/>
    <x v="0"/>
    <x v="70"/>
    <x v="169"/>
    <x v="23"/>
    <x v="1"/>
    <x v="0"/>
    <x v="5"/>
    <x v="2"/>
    <x v="758"/>
    <x v="0"/>
    <x v="41"/>
    <x v="1"/>
    <x v="3"/>
    <x v="900"/>
    <x v="182"/>
    <x v="869"/>
    <x v="7"/>
  </r>
  <r>
    <x v="339"/>
    <x v="1"/>
    <x v="70"/>
    <x v="169"/>
    <x v="92"/>
    <x v="1"/>
    <x v="0"/>
    <x v="5"/>
    <x v="5"/>
    <x v="1449"/>
    <x v="2"/>
    <x v="62"/>
    <x v="1"/>
    <x v="0"/>
    <x v="2068"/>
    <x v="453"/>
    <x v="2047"/>
    <x v="7"/>
  </r>
  <r>
    <x v="339"/>
    <x v="2"/>
    <x v="70"/>
    <x v="169"/>
    <x v="60"/>
    <x v="1"/>
    <x v="0"/>
    <x v="5"/>
    <x v="1"/>
    <x v="542"/>
    <x v="0"/>
    <x v="27"/>
    <x v="1"/>
    <x v="3"/>
    <x v="330"/>
    <x v="63"/>
    <x v="327"/>
    <x v="7"/>
  </r>
  <r>
    <x v="339"/>
    <x v="3"/>
    <x v="70"/>
    <x v="169"/>
    <x v="63"/>
    <x v="1"/>
    <x v="0"/>
    <x v="5"/>
    <x v="1"/>
    <x v="2091"/>
    <x v="0"/>
    <x v="98"/>
    <x v="1"/>
    <x v="1"/>
    <x v="1405"/>
    <x v="271"/>
    <x v="1075"/>
    <x v="7"/>
  </r>
  <r>
    <x v="340"/>
    <x v="0"/>
    <x v="97"/>
    <x v="114"/>
    <x v="95"/>
    <x v="2"/>
    <x v="0"/>
    <x v="8"/>
    <x v="5"/>
    <x v="1039"/>
    <x v="4"/>
    <x v="52"/>
    <x v="1"/>
    <x v="1"/>
    <x v="1786"/>
    <x v="398"/>
    <x v="920"/>
    <x v="7"/>
  </r>
  <r>
    <x v="340"/>
    <x v="1"/>
    <x v="97"/>
    <x v="114"/>
    <x v="20"/>
    <x v="2"/>
    <x v="0"/>
    <x v="8"/>
    <x v="5"/>
    <x v="175"/>
    <x v="1"/>
    <x v="5"/>
    <x v="1"/>
    <x v="2"/>
    <x v="588"/>
    <x v="74"/>
    <x v="988"/>
    <x v="7"/>
  </r>
  <r>
    <x v="341"/>
    <x v="0"/>
    <x v="151"/>
    <x v="202"/>
    <x v="78"/>
    <x v="3"/>
    <x v="1"/>
    <x v="9"/>
    <x v="5"/>
    <x v="559"/>
    <x v="3"/>
    <x v="20"/>
    <x v="1"/>
    <x v="3"/>
    <x v="1288"/>
    <x v="224"/>
    <x v="1350"/>
    <x v="7"/>
  </r>
  <r>
    <x v="341"/>
    <x v="1"/>
    <x v="151"/>
    <x v="202"/>
    <x v="58"/>
    <x v="3"/>
    <x v="1"/>
    <x v="9"/>
    <x v="1"/>
    <x v="2121"/>
    <x v="1"/>
    <x v="99"/>
    <x v="1"/>
    <x v="3"/>
    <x v="1367"/>
    <x v="273"/>
    <x v="900"/>
    <x v="7"/>
  </r>
  <r>
    <x v="341"/>
    <x v="2"/>
    <x v="151"/>
    <x v="202"/>
    <x v="80"/>
    <x v="3"/>
    <x v="1"/>
    <x v="9"/>
    <x v="4"/>
    <x v="1151"/>
    <x v="0"/>
    <x v="56"/>
    <x v="1"/>
    <x v="1"/>
    <x v="1890"/>
    <x v="379"/>
    <x v="1879"/>
    <x v="7"/>
  </r>
  <r>
    <x v="342"/>
    <x v="0"/>
    <x v="244"/>
    <x v="45"/>
    <x v="52"/>
    <x v="3"/>
    <x v="1"/>
    <x v="7"/>
    <x v="2"/>
    <x v="1013"/>
    <x v="3"/>
    <x v="40"/>
    <x v="1"/>
    <x v="3"/>
    <x v="1057"/>
    <x v="176"/>
    <x v="1310"/>
    <x v="7"/>
  </r>
  <r>
    <x v="342"/>
    <x v="1"/>
    <x v="244"/>
    <x v="45"/>
    <x v="54"/>
    <x v="3"/>
    <x v="1"/>
    <x v="7"/>
    <x v="1"/>
    <x v="1222"/>
    <x v="3"/>
    <x v="55"/>
    <x v="1"/>
    <x v="0"/>
    <x v="718"/>
    <x v="138"/>
    <x v="833"/>
    <x v="7"/>
  </r>
  <r>
    <x v="342"/>
    <x v="2"/>
    <x v="244"/>
    <x v="45"/>
    <x v="9"/>
    <x v="3"/>
    <x v="1"/>
    <x v="7"/>
    <x v="6"/>
    <x v="1155"/>
    <x v="3"/>
    <x v="49"/>
    <x v="1"/>
    <x v="2"/>
    <x v="2113"/>
    <x v="466"/>
    <x v="2120"/>
    <x v="7"/>
  </r>
  <r>
    <x v="343"/>
    <x v="0"/>
    <x v="84"/>
    <x v="185"/>
    <x v="61"/>
    <x v="3"/>
    <x v="0"/>
    <x v="2"/>
    <x v="1"/>
    <x v="954"/>
    <x v="0"/>
    <x v="46"/>
    <x v="1"/>
    <x v="2"/>
    <x v="627"/>
    <x v="111"/>
    <x v="802"/>
    <x v="7"/>
  </r>
  <r>
    <x v="343"/>
    <x v="1"/>
    <x v="84"/>
    <x v="185"/>
    <x v="38"/>
    <x v="3"/>
    <x v="0"/>
    <x v="2"/>
    <x v="1"/>
    <x v="983"/>
    <x v="4"/>
    <x v="39"/>
    <x v="0"/>
    <x v="0"/>
    <x v="542"/>
    <x v="94"/>
    <x v="693"/>
    <x v="7"/>
  </r>
  <r>
    <x v="343"/>
    <x v="2"/>
    <x v="84"/>
    <x v="185"/>
    <x v="83"/>
    <x v="3"/>
    <x v="0"/>
    <x v="2"/>
    <x v="3"/>
    <x v="126"/>
    <x v="0"/>
    <x v="8"/>
    <x v="1"/>
    <x v="1"/>
    <x v="312"/>
    <x v="51"/>
    <x v="497"/>
    <x v="7"/>
  </r>
  <r>
    <x v="343"/>
    <x v="3"/>
    <x v="84"/>
    <x v="185"/>
    <x v="28"/>
    <x v="3"/>
    <x v="0"/>
    <x v="2"/>
    <x v="4"/>
    <x v="65"/>
    <x v="0"/>
    <x v="2"/>
    <x v="1"/>
    <x v="0"/>
    <x v="260"/>
    <x v="35"/>
    <x v="583"/>
    <x v="7"/>
  </r>
  <r>
    <x v="344"/>
    <x v="0"/>
    <x v="32"/>
    <x v="177"/>
    <x v="70"/>
    <x v="0"/>
    <x v="2"/>
    <x v="3"/>
    <x v="4"/>
    <x v="1533"/>
    <x v="0"/>
    <x v="68"/>
    <x v="1"/>
    <x v="2"/>
    <x v="2052"/>
    <x v="430"/>
    <x v="2103"/>
    <x v="7"/>
  </r>
  <r>
    <x v="344"/>
    <x v="1"/>
    <x v="32"/>
    <x v="177"/>
    <x v="66"/>
    <x v="0"/>
    <x v="2"/>
    <x v="3"/>
    <x v="2"/>
    <x v="448"/>
    <x v="0"/>
    <x v="21"/>
    <x v="1"/>
    <x v="2"/>
    <x v="546"/>
    <x v="100"/>
    <x v="618"/>
    <x v="7"/>
  </r>
  <r>
    <x v="344"/>
    <x v="2"/>
    <x v="32"/>
    <x v="177"/>
    <x v="89"/>
    <x v="0"/>
    <x v="2"/>
    <x v="3"/>
    <x v="3"/>
    <x v="712"/>
    <x v="2"/>
    <x v="26"/>
    <x v="1"/>
    <x v="2"/>
    <x v="1118"/>
    <x v="183"/>
    <x v="1366"/>
    <x v="7"/>
  </r>
  <r>
    <x v="344"/>
    <x v="3"/>
    <x v="32"/>
    <x v="177"/>
    <x v="48"/>
    <x v="0"/>
    <x v="2"/>
    <x v="3"/>
    <x v="4"/>
    <x v="391"/>
    <x v="1"/>
    <x v="17"/>
    <x v="1"/>
    <x v="0"/>
    <x v="864"/>
    <x v="159"/>
    <x v="968"/>
    <x v="7"/>
  </r>
  <r>
    <x v="345"/>
    <x v="0"/>
    <x v="229"/>
    <x v="74"/>
    <x v="70"/>
    <x v="0"/>
    <x v="1"/>
    <x v="6"/>
    <x v="2"/>
    <x v="1621"/>
    <x v="4"/>
    <x v="68"/>
    <x v="1"/>
    <x v="3"/>
    <x v="1593"/>
    <x v="295"/>
    <x v="1453"/>
    <x v="7"/>
  </r>
  <r>
    <x v="345"/>
    <x v="1"/>
    <x v="229"/>
    <x v="74"/>
    <x v="42"/>
    <x v="0"/>
    <x v="1"/>
    <x v="6"/>
    <x v="2"/>
    <x v="476"/>
    <x v="1"/>
    <x v="23"/>
    <x v="1"/>
    <x v="3"/>
    <x v="530"/>
    <x v="112"/>
    <x v="384"/>
    <x v="7"/>
  </r>
  <r>
    <x v="346"/>
    <x v="0"/>
    <x v="261"/>
    <x v="40"/>
    <x v="62"/>
    <x v="1"/>
    <x v="2"/>
    <x v="1"/>
    <x v="1"/>
    <x v="1375"/>
    <x v="4"/>
    <x v="67"/>
    <x v="1"/>
    <x v="2"/>
    <x v="772"/>
    <x v="177"/>
    <x v="248"/>
    <x v="7"/>
  </r>
  <r>
    <x v="346"/>
    <x v="1"/>
    <x v="261"/>
    <x v="40"/>
    <x v="43"/>
    <x v="1"/>
    <x v="2"/>
    <x v="1"/>
    <x v="1"/>
    <x v="25"/>
    <x v="0"/>
    <x v="1"/>
    <x v="1"/>
    <x v="2"/>
    <x v="18"/>
    <x v="2"/>
    <x v="110"/>
    <x v="7"/>
  </r>
  <r>
    <x v="346"/>
    <x v="2"/>
    <x v="261"/>
    <x v="40"/>
    <x v="46"/>
    <x v="1"/>
    <x v="2"/>
    <x v="1"/>
    <x v="2"/>
    <x v="1842"/>
    <x v="0"/>
    <x v="85"/>
    <x v="1"/>
    <x v="1"/>
    <x v="1800"/>
    <x v="345"/>
    <x v="1867"/>
    <x v="7"/>
  </r>
  <r>
    <x v="347"/>
    <x v="0"/>
    <x v="178"/>
    <x v="55"/>
    <x v="49"/>
    <x v="0"/>
    <x v="2"/>
    <x v="9"/>
    <x v="3"/>
    <x v="999"/>
    <x v="0"/>
    <x v="45"/>
    <x v="1"/>
    <x v="2"/>
    <x v="1589"/>
    <x v="272"/>
    <x v="1702"/>
    <x v="7"/>
  </r>
  <r>
    <x v="347"/>
    <x v="1"/>
    <x v="178"/>
    <x v="55"/>
    <x v="28"/>
    <x v="0"/>
    <x v="2"/>
    <x v="9"/>
    <x v="2"/>
    <x v="101"/>
    <x v="2"/>
    <x v="2"/>
    <x v="1"/>
    <x v="3"/>
    <x v="110"/>
    <x v="13"/>
    <x v="347"/>
    <x v="7"/>
  </r>
  <r>
    <x v="348"/>
    <x v="0"/>
    <x v="92"/>
    <x v="218"/>
    <x v="3"/>
    <x v="1"/>
    <x v="2"/>
    <x v="8"/>
    <x v="5"/>
    <x v="1798"/>
    <x v="2"/>
    <x v="73"/>
    <x v="1"/>
    <x v="1"/>
    <x v="2153"/>
    <x v="482"/>
    <x v="2177"/>
    <x v="7"/>
  </r>
  <r>
    <x v="348"/>
    <x v="1"/>
    <x v="92"/>
    <x v="218"/>
    <x v="24"/>
    <x v="1"/>
    <x v="2"/>
    <x v="8"/>
    <x v="3"/>
    <x v="578"/>
    <x v="3"/>
    <x v="19"/>
    <x v="1"/>
    <x v="1"/>
    <x v="831"/>
    <x v="139"/>
    <x v="1162"/>
    <x v="7"/>
  </r>
  <r>
    <x v="348"/>
    <x v="2"/>
    <x v="92"/>
    <x v="218"/>
    <x v="46"/>
    <x v="1"/>
    <x v="2"/>
    <x v="8"/>
    <x v="1"/>
    <x v="1702"/>
    <x v="0"/>
    <x v="85"/>
    <x v="1"/>
    <x v="3"/>
    <x v="1189"/>
    <x v="223"/>
    <x v="1194"/>
    <x v="7"/>
  </r>
  <r>
    <x v="349"/>
    <x v="0"/>
    <x v="106"/>
    <x v="229"/>
    <x v="65"/>
    <x v="3"/>
    <x v="1"/>
    <x v="3"/>
    <x v="6"/>
    <x v="2229"/>
    <x v="1"/>
    <x v="95"/>
    <x v="1"/>
    <x v="0"/>
    <x v="2274"/>
    <x v="555"/>
    <x v="2251"/>
    <x v="7"/>
  </r>
  <r>
    <x v="349"/>
    <x v="1"/>
    <x v="106"/>
    <x v="229"/>
    <x v="62"/>
    <x v="3"/>
    <x v="1"/>
    <x v="3"/>
    <x v="1"/>
    <x v="1273"/>
    <x v="0"/>
    <x v="67"/>
    <x v="1"/>
    <x v="3"/>
    <x v="854"/>
    <x v="177"/>
    <x v="735"/>
    <x v="7"/>
  </r>
  <r>
    <x v="349"/>
    <x v="2"/>
    <x v="106"/>
    <x v="229"/>
    <x v="30"/>
    <x v="3"/>
    <x v="1"/>
    <x v="3"/>
    <x v="2"/>
    <x v="299"/>
    <x v="1"/>
    <x v="13"/>
    <x v="1"/>
    <x v="3"/>
    <x v="339"/>
    <x v="57"/>
    <x v="538"/>
    <x v="7"/>
  </r>
  <r>
    <x v="350"/>
    <x v="0"/>
    <x v="26"/>
    <x v="20"/>
    <x v="0"/>
    <x v="2"/>
    <x v="1"/>
    <x v="9"/>
    <x v="5"/>
    <x v="856"/>
    <x v="3"/>
    <x v="32"/>
    <x v="1"/>
    <x v="0"/>
    <x v="1679"/>
    <x v="297"/>
    <x v="1813"/>
    <x v="7"/>
  </r>
  <r>
    <x v="350"/>
    <x v="1"/>
    <x v="26"/>
    <x v="20"/>
    <x v="29"/>
    <x v="2"/>
    <x v="1"/>
    <x v="9"/>
    <x v="1"/>
    <x v="2272"/>
    <x v="0"/>
    <x v="97"/>
    <x v="1"/>
    <x v="1"/>
    <x v="1533"/>
    <x v="269"/>
    <x v="1516"/>
    <x v="7"/>
  </r>
  <r>
    <x v="351"/>
    <x v="0"/>
    <x v="19"/>
    <x v="135"/>
    <x v="97"/>
    <x v="2"/>
    <x v="2"/>
    <x v="9"/>
    <x v="5"/>
    <x v="343"/>
    <x v="1"/>
    <x v="15"/>
    <x v="1"/>
    <x v="0"/>
    <x v="863"/>
    <x v="162"/>
    <x v="897"/>
    <x v="7"/>
  </r>
  <r>
    <x v="352"/>
    <x v="0"/>
    <x v="220"/>
    <x v="143"/>
    <x v="56"/>
    <x v="3"/>
    <x v="0"/>
    <x v="4"/>
    <x v="2"/>
    <x v="786"/>
    <x v="0"/>
    <x v="44"/>
    <x v="1"/>
    <x v="0"/>
    <x v="927"/>
    <x v="197"/>
    <x v="784"/>
    <x v="7"/>
  </r>
  <r>
    <x v="353"/>
    <x v="0"/>
    <x v="212"/>
    <x v="8"/>
    <x v="11"/>
    <x v="2"/>
    <x v="2"/>
    <x v="1"/>
    <x v="1"/>
    <x v="2178"/>
    <x v="0"/>
    <x v="87"/>
    <x v="1"/>
    <x v="0"/>
    <x v="1443"/>
    <x v="229"/>
    <x v="1631"/>
    <x v="7"/>
  </r>
  <r>
    <x v="353"/>
    <x v="1"/>
    <x v="212"/>
    <x v="8"/>
    <x v="67"/>
    <x v="2"/>
    <x v="2"/>
    <x v="1"/>
    <x v="7"/>
    <x v="1095"/>
    <x v="0"/>
    <x v="43"/>
    <x v="1"/>
    <x v="0"/>
    <x v="2226"/>
    <x v="509"/>
    <x v="2260"/>
    <x v="7"/>
  </r>
  <r>
    <x v="353"/>
    <x v="2"/>
    <x v="212"/>
    <x v="8"/>
    <x v="99"/>
    <x v="2"/>
    <x v="2"/>
    <x v="1"/>
    <x v="5"/>
    <x v="1919"/>
    <x v="1"/>
    <x v="80"/>
    <x v="1"/>
    <x v="3"/>
    <x v="2186"/>
    <x v="500"/>
    <x v="2200"/>
    <x v="7"/>
  </r>
  <r>
    <x v="353"/>
    <x v="3"/>
    <x v="212"/>
    <x v="8"/>
    <x v="55"/>
    <x v="2"/>
    <x v="2"/>
    <x v="1"/>
    <x v="3"/>
    <x v="1105"/>
    <x v="2"/>
    <x v="54"/>
    <x v="1"/>
    <x v="2"/>
    <x v="1598"/>
    <x v="310"/>
    <x v="1317"/>
    <x v="7"/>
  </r>
  <r>
    <x v="354"/>
    <x v="0"/>
    <x v="148"/>
    <x v="73"/>
    <x v="10"/>
    <x v="1"/>
    <x v="0"/>
    <x v="8"/>
    <x v="3"/>
    <x v="356"/>
    <x v="0"/>
    <x v="14"/>
    <x v="1"/>
    <x v="2"/>
    <x v="616"/>
    <x v="101"/>
    <x v="853"/>
    <x v="7"/>
  </r>
  <r>
    <x v="354"/>
    <x v="1"/>
    <x v="148"/>
    <x v="73"/>
    <x v="55"/>
    <x v="1"/>
    <x v="0"/>
    <x v="8"/>
    <x v="1"/>
    <x v="1011"/>
    <x v="3"/>
    <x v="54"/>
    <x v="1"/>
    <x v="1"/>
    <x v="594"/>
    <x v="132"/>
    <x v="198"/>
    <x v="7"/>
  </r>
  <r>
    <x v="355"/>
    <x v="0"/>
    <x v="207"/>
    <x v="7"/>
    <x v="56"/>
    <x v="2"/>
    <x v="0"/>
    <x v="1"/>
    <x v="1"/>
    <x v="763"/>
    <x v="3"/>
    <x v="44"/>
    <x v="1"/>
    <x v="3"/>
    <x v="439"/>
    <x v="104"/>
    <x v="49"/>
    <x v="7"/>
  </r>
  <r>
    <x v="355"/>
    <x v="1"/>
    <x v="207"/>
    <x v="7"/>
    <x v="4"/>
    <x v="2"/>
    <x v="0"/>
    <x v="1"/>
    <x v="1"/>
    <x v="1975"/>
    <x v="2"/>
    <x v="94"/>
    <x v="1"/>
    <x v="0"/>
    <x v="1215"/>
    <x v="249"/>
    <x v="936"/>
    <x v="7"/>
  </r>
  <r>
    <x v="355"/>
    <x v="2"/>
    <x v="207"/>
    <x v="7"/>
    <x v="3"/>
    <x v="2"/>
    <x v="0"/>
    <x v="1"/>
    <x v="1"/>
    <x v="1820"/>
    <x v="3"/>
    <x v="73"/>
    <x v="1"/>
    <x v="3"/>
    <x v="1092"/>
    <x v="191"/>
    <x v="1277"/>
    <x v="7"/>
  </r>
  <r>
    <x v="356"/>
    <x v="0"/>
    <x v="137"/>
    <x v="237"/>
    <x v="18"/>
    <x v="1"/>
    <x v="0"/>
    <x v="7"/>
    <x v="3"/>
    <x v="1611"/>
    <x v="0"/>
    <x v="59"/>
    <x v="1"/>
    <x v="1"/>
    <x v="1960"/>
    <x v="341"/>
    <x v="2132"/>
    <x v="7"/>
  </r>
  <r>
    <x v="356"/>
    <x v="1"/>
    <x v="137"/>
    <x v="237"/>
    <x v="0"/>
    <x v="1"/>
    <x v="0"/>
    <x v="7"/>
    <x v="1"/>
    <x v="906"/>
    <x v="2"/>
    <x v="32"/>
    <x v="0"/>
    <x v="3"/>
    <x v="555"/>
    <x v="73"/>
    <x v="932"/>
    <x v="7"/>
  </r>
  <r>
    <x v="356"/>
    <x v="2"/>
    <x v="137"/>
    <x v="237"/>
    <x v="61"/>
    <x v="1"/>
    <x v="0"/>
    <x v="7"/>
    <x v="7"/>
    <x v="970"/>
    <x v="2"/>
    <x v="46"/>
    <x v="0"/>
    <x v="0"/>
    <x v="2184"/>
    <x v="519"/>
    <x v="2081"/>
    <x v="7"/>
  </r>
  <r>
    <x v="357"/>
    <x v="0"/>
    <x v="76"/>
    <x v="173"/>
    <x v="52"/>
    <x v="3"/>
    <x v="2"/>
    <x v="0"/>
    <x v="2"/>
    <x v="1049"/>
    <x v="0"/>
    <x v="40"/>
    <x v="1"/>
    <x v="1"/>
    <x v="1274"/>
    <x v="176"/>
    <x v="1667"/>
    <x v="7"/>
  </r>
  <r>
    <x v="357"/>
    <x v="1"/>
    <x v="76"/>
    <x v="173"/>
    <x v="77"/>
    <x v="3"/>
    <x v="2"/>
    <x v="0"/>
    <x v="3"/>
    <x v="228"/>
    <x v="0"/>
    <x v="9"/>
    <x v="0"/>
    <x v="2"/>
    <x v="442"/>
    <x v="59"/>
    <x v="774"/>
    <x v="7"/>
  </r>
  <r>
    <x v="357"/>
    <x v="2"/>
    <x v="76"/>
    <x v="173"/>
    <x v="74"/>
    <x v="3"/>
    <x v="2"/>
    <x v="0"/>
    <x v="2"/>
    <x v="1807"/>
    <x v="1"/>
    <x v="90"/>
    <x v="1"/>
    <x v="1"/>
    <x v="1747"/>
    <x v="359"/>
    <x v="1483"/>
    <x v="7"/>
  </r>
  <r>
    <x v="358"/>
    <x v="0"/>
    <x v="213"/>
    <x v="12"/>
    <x v="29"/>
    <x v="1"/>
    <x v="1"/>
    <x v="9"/>
    <x v="1"/>
    <x v="2268"/>
    <x v="0"/>
    <x v="97"/>
    <x v="1"/>
    <x v="1"/>
    <x v="1529"/>
    <x v="269"/>
    <x v="1503"/>
    <x v="7"/>
  </r>
  <r>
    <x v="358"/>
    <x v="1"/>
    <x v="213"/>
    <x v="12"/>
    <x v="33"/>
    <x v="1"/>
    <x v="1"/>
    <x v="9"/>
    <x v="5"/>
    <x v="604"/>
    <x v="4"/>
    <x v="29"/>
    <x v="0"/>
    <x v="3"/>
    <x v="1322"/>
    <x v="277"/>
    <x v="560"/>
    <x v="7"/>
  </r>
  <r>
    <x v="359"/>
    <x v="0"/>
    <x v="238"/>
    <x v="65"/>
    <x v="98"/>
    <x v="0"/>
    <x v="2"/>
    <x v="9"/>
    <x v="2"/>
    <x v="1360"/>
    <x v="1"/>
    <x v="65"/>
    <x v="1"/>
    <x v="0"/>
    <x v="1548"/>
    <x v="288"/>
    <x v="1266"/>
    <x v="7"/>
  </r>
  <r>
    <x v="359"/>
    <x v="1"/>
    <x v="238"/>
    <x v="65"/>
    <x v="25"/>
    <x v="0"/>
    <x v="2"/>
    <x v="9"/>
    <x v="1"/>
    <x v="2137"/>
    <x v="0"/>
    <x v="72"/>
    <x v="1"/>
    <x v="2"/>
    <x v="1426"/>
    <x v="189"/>
    <x v="1788"/>
    <x v="7"/>
  </r>
  <r>
    <x v="359"/>
    <x v="2"/>
    <x v="238"/>
    <x v="65"/>
    <x v="97"/>
    <x v="0"/>
    <x v="2"/>
    <x v="9"/>
    <x v="4"/>
    <x v="277"/>
    <x v="0"/>
    <x v="15"/>
    <x v="1"/>
    <x v="2"/>
    <x v="657"/>
    <x v="140"/>
    <x v="554"/>
    <x v="7"/>
  </r>
  <r>
    <x v="359"/>
    <x v="3"/>
    <x v="238"/>
    <x v="65"/>
    <x v="41"/>
    <x v="0"/>
    <x v="2"/>
    <x v="9"/>
    <x v="1"/>
    <x v="962"/>
    <x v="0"/>
    <x v="35"/>
    <x v="1"/>
    <x v="2"/>
    <x v="632"/>
    <x v="87"/>
    <x v="1038"/>
    <x v="7"/>
  </r>
  <r>
    <x v="359"/>
    <x v="4"/>
    <x v="238"/>
    <x v="65"/>
    <x v="90"/>
    <x v="0"/>
    <x v="2"/>
    <x v="9"/>
    <x v="2"/>
    <x v="797"/>
    <x v="0"/>
    <x v="37"/>
    <x v="2"/>
    <x v="1"/>
    <x v="951"/>
    <x v="170"/>
    <x v="1090"/>
    <x v="7"/>
  </r>
  <r>
    <x v="360"/>
    <x v="0"/>
    <x v="4"/>
    <x v="232"/>
    <x v="25"/>
    <x v="1"/>
    <x v="1"/>
    <x v="3"/>
    <x v="1"/>
    <x v="1976"/>
    <x v="3"/>
    <x v="72"/>
    <x v="0"/>
    <x v="2"/>
    <x v="1151"/>
    <x v="189"/>
    <x v="1409"/>
    <x v="7"/>
  </r>
  <r>
    <x v="360"/>
    <x v="1"/>
    <x v="4"/>
    <x v="232"/>
    <x v="32"/>
    <x v="1"/>
    <x v="1"/>
    <x v="3"/>
    <x v="2"/>
    <x v="1183"/>
    <x v="0"/>
    <x v="50"/>
    <x v="1"/>
    <x v="1"/>
    <x v="1456"/>
    <x v="221"/>
    <x v="1722"/>
    <x v="7"/>
  </r>
  <r>
    <x v="360"/>
    <x v="2"/>
    <x v="4"/>
    <x v="232"/>
    <x v="43"/>
    <x v="1"/>
    <x v="1"/>
    <x v="3"/>
    <x v="3"/>
    <x v="33"/>
    <x v="0"/>
    <x v="1"/>
    <x v="1"/>
    <x v="0"/>
    <x v="126"/>
    <x v="17"/>
    <x v="320"/>
    <x v="7"/>
  </r>
  <r>
    <x v="360"/>
    <x v="3"/>
    <x v="4"/>
    <x v="232"/>
    <x v="30"/>
    <x v="1"/>
    <x v="1"/>
    <x v="3"/>
    <x v="3"/>
    <x v="325"/>
    <x v="4"/>
    <x v="13"/>
    <x v="1"/>
    <x v="0"/>
    <x v="453"/>
    <x v="85"/>
    <x v="550"/>
    <x v="7"/>
  </r>
  <r>
    <x v="361"/>
    <x v="0"/>
    <x v="165"/>
    <x v="37"/>
    <x v="18"/>
    <x v="3"/>
    <x v="0"/>
    <x v="9"/>
    <x v="1"/>
    <x v="1599"/>
    <x v="3"/>
    <x v="59"/>
    <x v="1"/>
    <x v="1"/>
    <x v="953"/>
    <x v="150"/>
    <x v="1316"/>
    <x v="7"/>
  </r>
  <r>
    <x v="361"/>
    <x v="1"/>
    <x v="165"/>
    <x v="37"/>
    <x v="74"/>
    <x v="3"/>
    <x v="0"/>
    <x v="9"/>
    <x v="2"/>
    <x v="2193"/>
    <x v="0"/>
    <x v="90"/>
    <x v="1"/>
    <x v="2"/>
    <x v="1909"/>
    <x v="359"/>
    <x v="1983"/>
    <x v="7"/>
  </r>
  <r>
    <x v="361"/>
    <x v="2"/>
    <x v="165"/>
    <x v="37"/>
    <x v="45"/>
    <x v="3"/>
    <x v="0"/>
    <x v="9"/>
    <x v="1"/>
    <x v="10"/>
    <x v="0"/>
    <x v="0"/>
    <x v="1"/>
    <x v="0"/>
    <x v="10"/>
    <x v="1"/>
    <x v="71"/>
    <x v="7"/>
  </r>
  <r>
    <x v="362"/>
    <x v="0"/>
    <x v="60"/>
    <x v="13"/>
    <x v="10"/>
    <x v="2"/>
    <x v="2"/>
    <x v="9"/>
    <x v="2"/>
    <x v="323"/>
    <x v="0"/>
    <x v="14"/>
    <x v="1"/>
    <x v="1"/>
    <x v="385"/>
    <x v="67"/>
    <x v="542"/>
    <x v="7"/>
  </r>
  <r>
    <x v="362"/>
    <x v="1"/>
    <x v="60"/>
    <x v="13"/>
    <x v="30"/>
    <x v="2"/>
    <x v="2"/>
    <x v="9"/>
    <x v="2"/>
    <x v="300"/>
    <x v="2"/>
    <x v="13"/>
    <x v="1"/>
    <x v="3"/>
    <x v="326"/>
    <x v="57"/>
    <x v="472"/>
    <x v="7"/>
  </r>
  <r>
    <x v="363"/>
    <x v="0"/>
    <x v="3"/>
    <x v="112"/>
    <x v="91"/>
    <x v="3"/>
    <x v="1"/>
    <x v="9"/>
    <x v="1"/>
    <x v="2088"/>
    <x v="2"/>
    <x v="81"/>
    <x v="1"/>
    <x v="1"/>
    <x v="1281"/>
    <x v="212"/>
    <x v="1460"/>
    <x v="7"/>
  </r>
  <r>
    <x v="364"/>
    <x v="0"/>
    <x v="217"/>
    <x v="66"/>
    <x v="77"/>
    <x v="3"/>
    <x v="0"/>
    <x v="1"/>
    <x v="1"/>
    <x v="252"/>
    <x v="0"/>
    <x v="9"/>
    <x v="1"/>
    <x v="2"/>
    <x v="148"/>
    <x v="16"/>
    <x v="430"/>
    <x v="7"/>
  </r>
  <r>
    <x v="364"/>
    <x v="1"/>
    <x v="217"/>
    <x v="66"/>
    <x v="88"/>
    <x v="3"/>
    <x v="0"/>
    <x v="1"/>
    <x v="1"/>
    <x v="2067"/>
    <x v="3"/>
    <x v="86"/>
    <x v="1"/>
    <x v="2"/>
    <x v="1197"/>
    <x v="226"/>
    <x v="1158"/>
    <x v="7"/>
  </r>
  <r>
    <x v="365"/>
    <x v="0"/>
    <x v="74"/>
    <x v="53"/>
    <x v="74"/>
    <x v="0"/>
    <x v="2"/>
    <x v="0"/>
    <x v="2"/>
    <x v="1931"/>
    <x v="3"/>
    <x v="100"/>
    <x v="1"/>
    <x v="2"/>
    <x v="1710"/>
    <x v="571"/>
    <x v="2285"/>
    <x v="1"/>
  </r>
  <r>
    <x v="365"/>
    <x v="1"/>
    <x v="74"/>
    <x v="53"/>
    <x v="9"/>
    <x v="0"/>
    <x v="2"/>
    <x v="0"/>
    <x v="2"/>
    <x v="1180"/>
    <x v="3"/>
    <x v="49"/>
    <x v="1"/>
    <x v="3"/>
    <x v="1271"/>
    <x v="217"/>
    <x v="1410"/>
    <x v="7"/>
  </r>
  <r>
    <x v="365"/>
    <x v="2"/>
    <x v="74"/>
    <x v="53"/>
    <x v="8"/>
    <x v="0"/>
    <x v="2"/>
    <x v="0"/>
    <x v="4"/>
    <x v="695"/>
    <x v="1"/>
    <x v="28"/>
    <x v="1"/>
    <x v="3"/>
    <x v="1467"/>
    <x v="236"/>
    <x v="1617"/>
    <x v="7"/>
  </r>
  <r>
    <x v="366"/>
    <x v="0"/>
    <x v="47"/>
    <x v="232"/>
    <x v="4"/>
    <x v="2"/>
    <x v="2"/>
    <x v="0"/>
    <x v="1"/>
    <x v="2167"/>
    <x v="0"/>
    <x v="94"/>
    <x v="1"/>
    <x v="1"/>
    <x v="1439"/>
    <x v="249"/>
    <x v="1494"/>
    <x v="7"/>
  </r>
  <r>
    <x v="367"/>
    <x v="0"/>
    <x v="198"/>
    <x v="94"/>
    <x v="33"/>
    <x v="1"/>
    <x v="2"/>
    <x v="9"/>
    <x v="3"/>
    <x v="627"/>
    <x v="0"/>
    <x v="29"/>
    <x v="1"/>
    <x v="0"/>
    <x v="1037"/>
    <x v="192"/>
    <x v="1148"/>
    <x v="7"/>
  </r>
  <r>
    <x v="367"/>
    <x v="1"/>
    <x v="198"/>
    <x v="94"/>
    <x v="64"/>
    <x v="1"/>
    <x v="2"/>
    <x v="9"/>
    <x v="4"/>
    <x v="1755"/>
    <x v="4"/>
    <x v="69"/>
    <x v="1"/>
    <x v="3"/>
    <x v="2025"/>
    <x v="431"/>
    <x v="2030"/>
    <x v="7"/>
  </r>
  <r>
    <x v="367"/>
    <x v="2"/>
    <x v="198"/>
    <x v="94"/>
    <x v="68"/>
    <x v="1"/>
    <x v="2"/>
    <x v="9"/>
    <x v="1"/>
    <x v="1596"/>
    <x v="0"/>
    <x v="83"/>
    <x v="1"/>
    <x v="2"/>
    <x v="1115"/>
    <x v="218"/>
    <x v="1065"/>
    <x v="7"/>
  </r>
  <r>
    <x v="367"/>
    <x v="3"/>
    <x v="198"/>
    <x v="94"/>
    <x v="52"/>
    <x v="1"/>
    <x v="2"/>
    <x v="9"/>
    <x v="3"/>
    <x v="1067"/>
    <x v="4"/>
    <x v="40"/>
    <x v="1"/>
    <x v="1"/>
    <x v="1512"/>
    <x v="252"/>
    <x v="1628"/>
    <x v="7"/>
  </r>
  <r>
    <x v="368"/>
    <x v="0"/>
    <x v="147"/>
    <x v="102"/>
    <x v="42"/>
    <x v="3"/>
    <x v="2"/>
    <x v="8"/>
    <x v="1"/>
    <x v="400"/>
    <x v="0"/>
    <x v="23"/>
    <x v="1"/>
    <x v="3"/>
    <x v="252"/>
    <x v="54"/>
    <x v="148"/>
    <x v="7"/>
  </r>
  <r>
    <x v="368"/>
    <x v="1"/>
    <x v="147"/>
    <x v="102"/>
    <x v="54"/>
    <x v="3"/>
    <x v="2"/>
    <x v="8"/>
    <x v="2"/>
    <x v="1312"/>
    <x v="4"/>
    <x v="55"/>
    <x v="1"/>
    <x v="2"/>
    <x v="1351"/>
    <x v="244"/>
    <x v="1306"/>
    <x v="7"/>
  </r>
  <r>
    <x v="368"/>
    <x v="2"/>
    <x v="147"/>
    <x v="102"/>
    <x v="87"/>
    <x v="3"/>
    <x v="2"/>
    <x v="8"/>
    <x v="1"/>
    <x v="652"/>
    <x v="1"/>
    <x v="33"/>
    <x v="0"/>
    <x v="2"/>
    <x v="400"/>
    <x v="75"/>
    <x v="416"/>
    <x v="7"/>
  </r>
  <r>
    <x v="368"/>
    <x v="3"/>
    <x v="147"/>
    <x v="102"/>
    <x v="85"/>
    <x v="3"/>
    <x v="2"/>
    <x v="8"/>
    <x v="6"/>
    <x v="1890"/>
    <x v="2"/>
    <x v="88"/>
    <x v="1"/>
    <x v="1"/>
    <x v="2246"/>
    <x v="547"/>
    <x v="2179"/>
    <x v="7"/>
  </r>
  <r>
    <x v="369"/>
    <x v="0"/>
    <x v="66"/>
    <x v="244"/>
    <x v="27"/>
    <x v="3"/>
    <x v="2"/>
    <x v="2"/>
    <x v="6"/>
    <x v="1352"/>
    <x v="0"/>
    <x v="61"/>
    <x v="1"/>
    <x v="0"/>
    <x v="2208"/>
    <x v="521"/>
    <x v="2194"/>
    <x v="7"/>
  </r>
  <r>
    <x v="369"/>
    <x v="1"/>
    <x v="66"/>
    <x v="244"/>
    <x v="14"/>
    <x v="3"/>
    <x v="2"/>
    <x v="2"/>
    <x v="3"/>
    <x v="216"/>
    <x v="2"/>
    <x v="7"/>
    <x v="1"/>
    <x v="3"/>
    <x v="376"/>
    <x v="47"/>
    <x v="757"/>
    <x v="7"/>
  </r>
  <r>
    <x v="369"/>
    <x v="2"/>
    <x v="66"/>
    <x v="244"/>
    <x v="70"/>
    <x v="3"/>
    <x v="2"/>
    <x v="2"/>
    <x v="1"/>
    <x v="1514"/>
    <x v="3"/>
    <x v="68"/>
    <x v="1"/>
    <x v="3"/>
    <x v="902"/>
    <x v="178"/>
    <x v="915"/>
    <x v="7"/>
  </r>
  <r>
    <x v="370"/>
    <x v="0"/>
    <x v="196"/>
    <x v="246"/>
    <x v="75"/>
    <x v="0"/>
    <x v="2"/>
    <x v="4"/>
    <x v="4"/>
    <x v="610"/>
    <x v="0"/>
    <x v="30"/>
    <x v="1"/>
    <x v="0"/>
    <x v="1332"/>
    <x v="243"/>
    <x v="1269"/>
    <x v="7"/>
  </r>
  <r>
    <x v="370"/>
    <x v="1"/>
    <x v="196"/>
    <x v="246"/>
    <x v="42"/>
    <x v="0"/>
    <x v="2"/>
    <x v="4"/>
    <x v="3"/>
    <x v="494"/>
    <x v="2"/>
    <x v="23"/>
    <x v="2"/>
    <x v="2"/>
    <x v="754"/>
    <x v="157"/>
    <x v="490"/>
    <x v="7"/>
  </r>
  <r>
    <x v="371"/>
    <x v="0"/>
    <x v="151"/>
    <x v="152"/>
    <x v="4"/>
    <x v="3"/>
    <x v="2"/>
    <x v="3"/>
    <x v="1"/>
    <x v="2073"/>
    <x v="3"/>
    <x v="94"/>
    <x v="1"/>
    <x v="3"/>
    <x v="1201"/>
    <x v="249"/>
    <x v="889"/>
    <x v="7"/>
  </r>
  <r>
    <x v="372"/>
    <x v="0"/>
    <x v="164"/>
    <x v="224"/>
    <x v="68"/>
    <x v="3"/>
    <x v="2"/>
    <x v="2"/>
    <x v="1"/>
    <x v="1815"/>
    <x v="0"/>
    <x v="83"/>
    <x v="1"/>
    <x v="3"/>
    <x v="1266"/>
    <x v="218"/>
    <x v="1393"/>
    <x v="7"/>
  </r>
  <r>
    <x v="372"/>
    <x v="1"/>
    <x v="164"/>
    <x v="224"/>
    <x v="3"/>
    <x v="3"/>
    <x v="2"/>
    <x v="2"/>
    <x v="4"/>
    <x v="1793"/>
    <x v="0"/>
    <x v="73"/>
    <x v="1"/>
    <x v="1"/>
    <x v="2117"/>
    <x v="443"/>
    <x v="2193"/>
    <x v="7"/>
  </r>
  <r>
    <x v="372"/>
    <x v="2"/>
    <x v="164"/>
    <x v="224"/>
    <x v="16"/>
    <x v="3"/>
    <x v="2"/>
    <x v="2"/>
    <x v="2"/>
    <x v="1367"/>
    <x v="0"/>
    <x v="51"/>
    <x v="1"/>
    <x v="2"/>
    <x v="1584"/>
    <x v="230"/>
    <x v="1891"/>
    <x v="7"/>
  </r>
  <r>
    <x v="373"/>
    <x v="0"/>
    <x v="101"/>
    <x v="189"/>
    <x v="5"/>
    <x v="2"/>
    <x v="0"/>
    <x v="4"/>
    <x v="3"/>
    <x v="711"/>
    <x v="1"/>
    <x v="31"/>
    <x v="2"/>
    <x v="1"/>
    <x v="1169"/>
    <x v="199"/>
    <x v="1368"/>
    <x v="7"/>
  </r>
  <r>
    <x v="373"/>
    <x v="1"/>
    <x v="101"/>
    <x v="189"/>
    <x v="33"/>
    <x v="2"/>
    <x v="0"/>
    <x v="4"/>
    <x v="5"/>
    <x v="608"/>
    <x v="0"/>
    <x v="29"/>
    <x v="1"/>
    <x v="0"/>
    <x v="1542"/>
    <x v="277"/>
    <x v="1420"/>
    <x v="7"/>
  </r>
  <r>
    <x v="373"/>
    <x v="2"/>
    <x v="101"/>
    <x v="189"/>
    <x v="68"/>
    <x v="2"/>
    <x v="0"/>
    <x v="4"/>
    <x v="4"/>
    <x v="1609"/>
    <x v="0"/>
    <x v="83"/>
    <x v="1"/>
    <x v="1"/>
    <x v="2073"/>
    <x v="467"/>
    <x v="2000"/>
    <x v="7"/>
  </r>
  <r>
    <x v="374"/>
    <x v="0"/>
    <x v="191"/>
    <x v="167"/>
    <x v="94"/>
    <x v="1"/>
    <x v="2"/>
    <x v="4"/>
    <x v="1"/>
    <x v="1896"/>
    <x v="2"/>
    <x v="71"/>
    <x v="1"/>
    <x v="0"/>
    <x v="1177"/>
    <x v="184"/>
    <x v="1491"/>
    <x v="7"/>
  </r>
  <r>
    <x v="374"/>
    <x v="1"/>
    <x v="191"/>
    <x v="167"/>
    <x v="23"/>
    <x v="1"/>
    <x v="2"/>
    <x v="4"/>
    <x v="3"/>
    <x v="722"/>
    <x v="4"/>
    <x v="41"/>
    <x v="2"/>
    <x v="2"/>
    <x v="1020"/>
    <x v="257"/>
    <x v="23"/>
    <x v="7"/>
  </r>
  <r>
    <x v="375"/>
    <x v="0"/>
    <x v="74"/>
    <x v="134"/>
    <x v="41"/>
    <x v="1"/>
    <x v="2"/>
    <x v="8"/>
    <x v="2"/>
    <x v="843"/>
    <x v="0"/>
    <x v="35"/>
    <x v="1"/>
    <x v="1"/>
    <x v="998"/>
    <x v="163"/>
    <x v="1276"/>
    <x v="7"/>
  </r>
  <r>
    <x v="375"/>
    <x v="1"/>
    <x v="74"/>
    <x v="134"/>
    <x v="36"/>
    <x v="1"/>
    <x v="2"/>
    <x v="8"/>
    <x v="2"/>
    <x v="2139"/>
    <x v="2"/>
    <x v="91"/>
    <x v="1"/>
    <x v="1"/>
    <x v="1817"/>
    <x v="363"/>
    <x v="1750"/>
    <x v="7"/>
  </r>
  <r>
    <x v="375"/>
    <x v="2"/>
    <x v="74"/>
    <x v="134"/>
    <x v="51"/>
    <x v="1"/>
    <x v="2"/>
    <x v="8"/>
    <x v="3"/>
    <x v="1384"/>
    <x v="0"/>
    <x v="53"/>
    <x v="1"/>
    <x v="0"/>
    <x v="1844"/>
    <x v="307"/>
    <x v="2056"/>
    <x v="7"/>
  </r>
  <r>
    <x v="375"/>
    <x v="3"/>
    <x v="74"/>
    <x v="134"/>
    <x v="46"/>
    <x v="1"/>
    <x v="2"/>
    <x v="8"/>
    <x v="1"/>
    <x v="1722"/>
    <x v="3"/>
    <x v="85"/>
    <x v="1"/>
    <x v="1"/>
    <x v="1034"/>
    <x v="223"/>
    <x v="754"/>
    <x v="7"/>
  </r>
  <r>
    <x v="376"/>
    <x v="0"/>
    <x v="131"/>
    <x v="191"/>
    <x v="50"/>
    <x v="0"/>
    <x v="2"/>
    <x v="3"/>
    <x v="5"/>
    <x v="1950"/>
    <x v="0"/>
    <x v="77"/>
    <x v="1"/>
    <x v="1"/>
    <x v="2202"/>
    <x v="490"/>
    <x v="2241"/>
    <x v="7"/>
  </r>
  <r>
    <x v="376"/>
    <x v="1"/>
    <x v="131"/>
    <x v="191"/>
    <x v="91"/>
    <x v="0"/>
    <x v="2"/>
    <x v="3"/>
    <x v="2"/>
    <x v="2061"/>
    <x v="0"/>
    <x v="81"/>
    <x v="1"/>
    <x v="3"/>
    <x v="1866"/>
    <x v="331"/>
    <x v="2013"/>
    <x v="7"/>
  </r>
  <r>
    <x v="376"/>
    <x v="2"/>
    <x v="131"/>
    <x v="191"/>
    <x v="14"/>
    <x v="0"/>
    <x v="2"/>
    <x v="3"/>
    <x v="1"/>
    <x v="185"/>
    <x v="1"/>
    <x v="7"/>
    <x v="1"/>
    <x v="0"/>
    <x v="94"/>
    <x v="11"/>
    <x v="282"/>
    <x v="7"/>
  </r>
  <r>
    <x v="376"/>
    <x v="3"/>
    <x v="131"/>
    <x v="191"/>
    <x v="54"/>
    <x v="0"/>
    <x v="2"/>
    <x v="3"/>
    <x v="2"/>
    <x v="1358"/>
    <x v="0"/>
    <x v="55"/>
    <x v="1"/>
    <x v="3"/>
    <x v="1579"/>
    <x v="244"/>
    <x v="1835"/>
    <x v="7"/>
  </r>
  <r>
    <x v="377"/>
    <x v="0"/>
    <x v="142"/>
    <x v="54"/>
    <x v="94"/>
    <x v="1"/>
    <x v="1"/>
    <x v="5"/>
    <x v="5"/>
    <x v="1789"/>
    <x v="0"/>
    <x v="71"/>
    <x v="1"/>
    <x v="1"/>
    <x v="2183"/>
    <x v="479"/>
    <x v="2229"/>
    <x v="7"/>
  </r>
  <r>
    <x v="377"/>
    <x v="1"/>
    <x v="142"/>
    <x v="54"/>
    <x v="74"/>
    <x v="1"/>
    <x v="1"/>
    <x v="5"/>
    <x v="1"/>
    <x v="2109"/>
    <x v="2"/>
    <x v="90"/>
    <x v="1"/>
    <x v="3"/>
    <x v="1292"/>
    <x v="239"/>
    <x v="1225"/>
    <x v="7"/>
  </r>
  <r>
    <x v="377"/>
    <x v="2"/>
    <x v="142"/>
    <x v="54"/>
    <x v="52"/>
    <x v="1"/>
    <x v="1"/>
    <x v="5"/>
    <x v="5"/>
    <x v="1070"/>
    <x v="1"/>
    <x v="40"/>
    <x v="1"/>
    <x v="1"/>
    <x v="1922"/>
    <x v="337"/>
    <x v="2096"/>
    <x v="7"/>
  </r>
  <r>
    <x v="377"/>
    <x v="3"/>
    <x v="142"/>
    <x v="54"/>
    <x v="64"/>
    <x v="1"/>
    <x v="1"/>
    <x v="5"/>
    <x v="2"/>
    <x v="1782"/>
    <x v="3"/>
    <x v="69"/>
    <x v="1"/>
    <x v="3"/>
    <x v="1678"/>
    <x v="296"/>
    <x v="1810"/>
    <x v="7"/>
  </r>
  <r>
    <x v="378"/>
    <x v="0"/>
    <x v="121"/>
    <x v="177"/>
    <x v="58"/>
    <x v="1"/>
    <x v="2"/>
    <x v="7"/>
    <x v="2"/>
    <x v="2112"/>
    <x v="2"/>
    <x v="99"/>
    <x v="2"/>
    <x v="1"/>
    <x v="1805"/>
    <x v="401"/>
    <x v="1004"/>
    <x v="7"/>
  </r>
  <r>
    <x v="378"/>
    <x v="1"/>
    <x v="121"/>
    <x v="177"/>
    <x v="78"/>
    <x v="1"/>
    <x v="2"/>
    <x v="7"/>
    <x v="2"/>
    <x v="571"/>
    <x v="0"/>
    <x v="20"/>
    <x v="1"/>
    <x v="0"/>
    <x v="676"/>
    <x v="98"/>
    <x v="1074"/>
    <x v="7"/>
  </r>
  <r>
    <x v="379"/>
    <x v="0"/>
    <x v="6"/>
    <x v="0"/>
    <x v="30"/>
    <x v="3"/>
    <x v="0"/>
    <x v="0"/>
    <x v="1"/>
    <x v="316"/>
    <x v="4"/>
    <x v="13"/>
    <x v="1"/>
    <x v="1"/>
    <x v="133"/>
    <x v="24"/>
    <x v="184"/>
    <x v="7"/>
  </r>
  <r>
    <x v="379"/>
    <x v="1"/>
    <x v="6"/>
    <x v="0"/>
    <x v="97"/>
    <x v="3"/>
    <x v="0"/>
    <x v="0"/>
    <x v="2"/>
    <x v="298"/>
    <x v="4"/>
    <x v="15"/>
    <x v="1"/>
    <x v="1"/>
    <x v="292"/>
    <x v="69"/>
    <x v="46"/>
    <x v="7"/>
  </r>
  <r>
    <x v="380"/>
    <x v="0"/>
    <x v="5"/>
    <x v="33"/>
    <x v="36"/>
    <x v="0"/>
    <x v="1"/>
    <x v="2"/>
    <x v="1"/>
    <x v="2271"/>
    <x v="4"/>
    <x v="91"/>
    <x v="1"/>
    <x v="2"/>
    <x v="1299"/>
    <x v="241"/>
    <x v="1235"/>
    <x v="7"/>
  </r>
  <r>
    <x v="381"/>
    <x v="0"/>
    <x v="24"/>
    <x v="233"/>
    <x v="91"/>
    <x v="1"/>
    <x v="0"/>
    <x v="2"/>
    <x v="1"/>
    <x v="2006"/>
    <x v="3"/>
    <x v="81"/>
    <x v="1"/>
    <x v="0"/>
    <x v="1164"/>
    <x v="212"/>
    <x v="1243"/>
    <x v="7"/>
  </r>
  <r>
    <x v="382"/>
    <x v="0"/>
    <x v="96"/>
    <x v="44"/>
    <x v="55"/>
    <x v="0"/>
    <x v="1"/>
    <x v="8"/>
    <x v="1"/>
    <x v="1109"/>
    <x v="1"/>
    <x v="54"/>
    <x v="1"/>
    <x v="2"/>
    <x v="705"/>
    <x v="132"/>
    <x v="810"/>
    <x v="7"/>
  </r>
  <r>
    <x v="382"/>
    <x v="1"/>
    <x v="96"/>
    <x v="44"/>
    <x v="76"/>
    <x v="0"/>
    <x v="1"/>
    <x v="8"/>
    <x v="4"/>
    <x v="787"/>
    <x v="1"/>
    <x v="36"/>
    <x v="2"/>
    <x v="1"/>
    <x v="1574"/>
    <x v="285"/>
    <x v="1486"/>
    <x v="7"/>
  </r>
  <r>
    <x v="382"/>
    <x v="2"/>
    <x v="96"/>
    <x v="44"/>
    <x v="91"/>
    <x v="0"/>
    <x v="1"/>
    <x v="8"/>
    <x v="5"/>
    <x v="2201"/>
    <x v="0"/>
    <x v="81"/>
    <x v="1"/>
    <x v="0"/>
    <x v="2220"/>
    <x v="501"/>
    <x v="2254"/>
    <x v="7"/>
  </r>
  <r>
    <x v="382"/>
    <x v="3"/>
    <x v="96"/>
    <x v="44"/>
    <x v="56"/>
    <x v="0"/>
    <x v="1"/>
    <x v="8"/>
    <x v="1"/>
    <x v="757"/>
    <x v="3"/>
    <x v="44"/>
    <x v="1"/>
    <x v="1"/>
    <x v="437"/>
    <x v="104"/>
    <x v="47"/>
    <x v="7"/>
  </r>
  <r>
    <x v="383"/>
    <x v="0"/>
    <x v="209"/>
    <x v="120"/>
    <x v="65"/>
    <x v="3"/>
    <x v="0"/>
    <x v="9"/>
    <x v="6"/>
    <x v="1984"/>
    <x v="2"/>
    <x v="95"/>
    <x v="1"/>
    <x v="1"/>
    <x v="2253"/>
    <x v="555"/>
    <x v="2071"/>
    <x v="7"/>
  </r>
  <r>
    <x v="383"/>
    <x v="1"/>
    <x v="209"/>
    <x v="120"/>
    <x v="23"/>
    <x v="3"/>
    <x v="0"/>
    <x v="9"/>
    <x v="2"/>
    <x v="791"/>
    <x v="0"/>
    <x v="41"/>
    <x v="2"/>
    <x v="3"/>
    <x v="942"/>
    <x v="182"/>
    <x v="985"/>
    <x v="7"/>
  </r>
  <r>
    <x v="383"/>
    <x v="2"/>
    <x v="209"/>
    <x v="120"/>
    <x v="12"/>
    <x v="3"/>
    <x v="0"/>
    <x v="9"/>
    <x v="2"/>
    <x v="1761"/>
    <x v="1"/>
    <x v="75"/>
    <x v="1"/>
    <x v="2"/>
    <x v="1731"/>
    <x v="314"/>
    <x v="1882"/>
    <x v="7"/>
  </r>
  <r>
    <x v="384"/>
    <x v="0"/>
    <x v="37"/>
    <x v="30"/>
    <x v="38"/>
    <x v="1"/>
    <x v="2"/>
    <x v="8"/>
    <x v="2"/>
    <x v="1056"/>
    <x v="4"/>
    <x v="39"/>
    <x v="1"/>
    <x v="0"/>
    <x v="1041"/>
    <x v="174"/>
    <x v="1295"/>
    <x v="7"/>
  </r>
  <r>
    <x v="384"/>
    <x v="1"/>
    <x v="37"/>
    <x v="30"/>
    <x v="43"/>
    <x v="1"/>
    <x v="2"/>
    <x v="8"/>
    <x v="4"/>
    <x v="24"/>
    <x v="0"/>
    <x v="1"/>
    <x v="1"/>
    <x v="0"/>
    <x v="179"/>
    <x v="23"/>
    <x v="389"/>
    <x v="7"/>
  </r>
  <r>
    <x v="384"/>
    <x v="2"/>
    <x v="37"/>
    <x v="30"/>
    <x v="41"/>
    <x v="1"/>
    <x v="2"/>
    <x v="8"/>
    <x v="4"/>
    <x v="824"/>
    <x v="1"/>
    <x v="35"/>
    <x v="1"/>
    <x v="3"/>
    <x v="1603"/>
    <x v="283"/>
    <x v="1646"/>
    <x v="7"/>
  </r>
  <r>
    <x v="385"/>
    <x v="0"/>
    <x v="248"/>
    <x v="90"/>
    <x v="15"/>
    <x v="3"/>
    <x v="0"/>
    <x v="4"/>
    <x v="5"/>
    <x v="1047"/>
    <x v="0"/>
    <x v="38"/>
    <x v="1"/>
    <x v="2"/>
    <x v="1930"/>
    <x v="335"/>
    <x v="2105"/>
    <x v="7"/>
  </r>
  <r>
    <x v="385"/>
    <x v="1"/>
    <x v="248"/>
    <x v="90"/>
    <x v="75"/>
    <x v="3"/>
    <x v="0"/>
    <x v="4"/>
    <x v="4"/>
    <x v="616"/>
    <x v="0"/>
    <x v="30"/>
    <x v="1"/>
    <x v="3"/>
    <x v="1339"/>
    <x v="243"/>
    <x v="1285"/>
    <x v="7"/>
  </r>
  <r>
    <x v="386"/>
    <x v="0"/>
    <x v="75"/>
    <x v="117"/>
    <x v="93"/>
    <x v="3"/>
    <x v="0"/>
    <x v="2"/>
    <x v="1"/>
    <x v="515"/>
    <x v="2"/>
    <x v="24"/>
    <x v="1"/>
    <x v="2"/>
    <x v="277"/>
    <x v="56"/>
    <x v="208"/>
    <x v="7"/>
  </r>
  <r>
    <x v="386"/>
    <x v="1"/>
    <x v="75"/>
    <x v="117"/>
    <x v="51"/>
    <x v="3"/>
    <x v="0"/>
    <x v="2"/>
    <x v="1"/>
    <x v="1382"/>
    <x v="4"/>
    <x v="53"/>
    <x v="1"/>
    <x v="1"/>
    <x v="775"/>
    <x v="131"/>
    <x v="1011"/>
    <x v="7"/>
  </r>
  <r>
    <x v="386"/>
    <x v="2"/>
    <x v="75"/>
    <x v="117"/>
    <x v="61"/>
    <x v="3"/>
    <x v="0"/>
    <x v="2"/>
    <x v="5"/>
    <x v="976"/>
    <x v="0"/>
    <x v="46"/>
    <x v="1"/>
    <x v="0"/>
    <x v="1892"/>
    <x v="374"/>
    <x v="1911"/>
    <x v="7"/>
  </r>
  <r>
    <x v="387"/>
    <x v="0"/>
    <x v="61"/>
    <x v="227"/>
    <x v="53"/>
    <x v="1"/>
    <x v="1"/>
    <x v="1"/>
    <x v="2"/>
    <x v="1211"/>
    <x v="2"/>
    <x v="47"/>
    <x v="1"/>
    <x v="0"/>
    <x v="1378"/>
    <x v="214"/>
    <x v="1615"/>
    <x v="7"/>
  </r>
  <r>
    <x v="388"/>
    <x v="0"/>
    <x v="78"/>
    <x v="121"/>
    <x v="62"/>
    <x v="3"/>
    <x v="1"/>
    <x v="2"/>
    <x v="4"/>
    <x v="1310"/>
    <x v="0"/>
    <x v="67"/>
    <x v="1"/>
    <x v="1"/>
    <x v="1961"/>
    <x v="429"/>
    <x v="1733"/>
    <x v="7"/>
  </r>
  <r>
    <x v="389"/>
    <x v="0"/>
    <x v="182"/>
    <x v="117"/>
    <x v="69"/>
    <x v="2"/>
    <x v="1"/>
    <x v="8"/>
    <x v="3"/>
    <x v="157"/>
    <x v="3"/>
    <x v="10"/>
    <x v="1"/>
    <x v="2"/>
    <x v="296"/>
    <x v="61"/>
    <x v="164"/>
    <x v="7"/>
  </r>
  <r>
    <x v="389"/>
    <x v="1"/>
    <x v="182"/>
    <x v="117"/>
    <x v="88"/>
    <x v="2"/>
    <x v="1"/>
    <x v="8"/>
    <x v="1"/>
    <x v="2070"/>
    <x v="0"/>
    <x v="86"/>
    <x v="1"/>
    <x v="0"/>
    <x v="1394"/>
    <x v="226"/>
    <x v="1555"/>
    <x v="7"/>
  </r>
  <r>
    <x v="390"/>
    <x v="0"/>
    <x v="215"/>
    <x v="68"/>
    <x v="9"/>
    <x v="1"/>
    <x v="1"/>
    <x v="1"/>
    <x v="1"/>
    <x v="1327"/>
    <x v="0"/>
    <x v="49"/>
    <x v="1"/>
    <x v="0"/>
    <x v="878"/>
    <x v="117"/>
    <x v="1417"/>
    <x v="7"/>
  </r>
  <r>
    <x v="391"/>
    <x v="0"/>
    <x v="13"/>
    <x v="172"/>
    <x v="33"/>
    <x v="0"/>
    <x v="0"/>
    <x v="4"/>
    <x v="3"/>
    <x v="601"/>
    <x v="0"/>
    <x v="29"/>
    <x v="0"/>
    <x v="2"/>
    <x v="999"/>
    <x v="192"/>
    <x v="1039"/>
    <x v="7"/>
  </r>
  <r>
    <x v="392"/>
    <x v="0"/>
    <x v="234"/>
    <x v="80"/>
    <x v="90"/>
    <x v="0"/>
    <x v="1"/>
    <x v="6"/>
    <x v="3"/>
    <x v="731"/>
    <x v="0"/>
    <x v="37"/>
    <x v="1"/>
    <x v="1"/>
    <x v="1270"/>
    <x v="246"/>
    <x v="1092"/>
    <x v="7"/>
  </r>
  <r>
    <x v="393"/>
    <x v="0"/>
    <x v="229"/>
    <x v="179"/>
    <x v="50"/>
    <x v="3"/>
    <x v="1"/>
    <x v="7"/>
    <x v="2"/>
    <x v="1729"/>
    <x v="1"/>
    <x v="77"/>
    <x v="1"/>
    <x v="2"/>
    <x v="1723"/>
    <x v="319"/>
    <x v="1831"/>
    <x v="7"/>
  </r>
  <r>
    <x v="394"/>
    <x v="0"/>
    <x v="128"/>
    <x v="20"/>
    <x v="26"/>
    <x v="3"/>
    <x v="0"/>
    <x v="4"/>
    <x v="2"/>
    <x v="1912"/>
    <x v="0"/>
    <x v="74"/>
    <x v="1"/>
    <x v="1"/>
    <x v="1824"/>
    <x v="313"/>
    <x v="2012"/>
    <x v="7"/>
  </r>
  <r>
    <x v="394"/>
    <x v="1"/>
    <x v="128"/>
    <x v="20"/>
    <x v="12"/>
    <x v="3"/>
    <x v="0"/>
    <x v="4"/>
    <x v="1"/>
    <x v="1655"/>
    <x v="0"/>
    <x v="75"/>
    <x v="1"/>
    <x v="3"/>
    <x v="1159"/>
    <x v="195"/>
    <x v="1378"/>
    <x v="7"/>
  </r>
  <r>
    <x v="395"/>
    <x v="0"/>
    <x v="122"/>
    <x v="187"/>
    <x v="6"/>
    <x v="0"/>
    <x v="1"/>
    <x v="8"/>
    <x v="7"/>
    <x v="1394"/>
    <x v="0"/>
    <x v="76"/>
    <x v="1"/>
    <x v="0"/>
    <x v="2265"/>
    <x v="556"/>
    <x v="2181"/>
    <x v="7"/>
  </r>
  <r>
    <x v="395"/>
    <x v="1"/>
    <x v="122"/>
    <x v="187"/>
    <x v="74"/>
    <x v="0"/>
    <x v="1"/>
    <x v="8"/>
    <x v="3"/>
    <x v="1847"/>
    <x v="4"/>
    <x v="90"/>
    <x v="1"/>
    <x v="2"/>
    <x v="1915"/>
    <x v="441"/>
    <x v="916"/>
    <x v="7"/>
  </r>
  <r>
    <x v="395"/>
    <x v="2"/>
    <x v="122"/>
    <x v="187"/>
    <x v="86"/>
    <x v="0"/>
    <x v="1"/>
    <x v="8"/>
    <x v="2"/>
    <x v="1760"/>
    <x v="0"/>
    <x v="79"/>
    <x v="1"/>
    <x v="1"/>
    <x v="1769"/>
    <x v="328"/>
    <x v="1870"/>
    <x v="7"/>
  </r>
  <r>
    <x v="396"/>
    <x v="0"/>
    <x v="229"/>
    <x v="82"/>
    <x v="53"/>
    <x v="1"/>
    <x v="1"/>
    <x v="6"/>
    <x v="1"/>
    <x v="1184"/>
    <x v="3"/>
    <x v="47"/>
    <x v="1"/>
    <x v="3"/>
    <x v="692"/>
    <x v="115"/>
    <x v="958"/>
    <x v="7"/>
  </r>
  <r>
    <x v="396"/>
    <x v="1"/>
    <x v="229"/>
    <x v="82"/>
    <x v="73"/>
    <x v="1"/>
    <x v="1"/>
    <x v="6"/>
    <x v="1"/>
    <x v="2204"/>
    <x v="0"/>
    <x v="84"/>
    <x v="1"/>
    <x v="2"/>
    <x v="1469"/>
    <x v="222"/>
    <x v="1713"/>
    <x v="7"/>
  </r>
  <r>
    <x v="396"/>
    <x v="2"/>
    <x v="229"/>
    <x v="82"/>
    <x v="47"/>
    <x v="1"/>
    <x v="1"/>
    <x v="6"/>
    <x v="1"/>
    <x v="1516"/>
    <x v="0"/>
    <x v="82"/>
    <x v="2"/>
    <x v="3"/>
    <x v="1051"/>
    <x v="215"/>
    <x v="925"/>
    <x v="7"/>
  </r>
  <r>
    <x v="397"/>
    <x v="0"/>
    <x v="93"/>
    <x v="253"/>
    <x v="62"/>
    <x v="0"/>
    <x v="2"/>
    <x v="9"/>
    <x v="1"/>
    <x v="1333"/>
    <x v="1"/>
    <x v="67"/>
    <x v="1"/>
    <x v="2"/>
    <x v="845"/>
    <x v="177"/>
    <x v="702"/>
    <x v="7"/>
  </r>
  <r>
    <x v="397"/>
    <x v="1"/>
    <x v="93"/>
    <x v="253"/>
    <x v="13"/>
    <x v="0"/>
    <x v="2"/>
    <x v="9"/>
    <x v="1"/>
    <x v="1274"/>
    <x v="0"/>
    <x v="70"/>
    <x v="1"/>
    <x v="3"/>
    <x v="855"/>
    <x v="180"/>
    <x v="699"/>
    <x v="7"/>
  </r>
  <r>
    <x v="398"/>
    <x v="0"/>
    <x v="162"/>
    <x v="240"/>
    <x v="12"/>
    <x v="0"/>
    <x v="1"/>
    <x v="5"/>
    <x v="2"/>
    <x v="1580"/>
    <x v="0"/>
    <x v="75"/>
    <x v="1"/>
    <x v="2"/>
    <x v="1697"/>
    <x v="314"/>
    <x v="1759"/>
    <x v="7"/>
  </r>
  <r>
    <x v="398"/>
    <x v="1"/>
    <x v="162"/>
    <x v="240"/>
    <x v="97"/>
    <x v="0"/>
    <x v="1"/>
    <x v="5"/>
    <x v="1"/>
    <x v="310"/>
    <x v="0"/>
    <x v="15"/>
    <x v="1"/>
    <x v="1"/>
    <x v="182"/>
    <x v="33"/>
    <x v="224"/>
    <x v="7"/>
  </r>
  <r>
    <x v="399"/>
    <x v="0"/>
    <x v="214"/>
    <x v="8"/>
    <x v="65"/>
    <x v="1"/>
    <x v="2"/>
    <x v="4"/>
    <x v="6"/>
    <x v="1956"/>
    <x v="3"/>
    <x v="95"/>
    <x v="1"/>
    <x v="0"/>
    <x v="2240"/>
    <x v="555"/>
    <x v="1774"/>
    <x v="7"/>
  </r>
  <r>
    <x v="399"/>
    <x v="1"/>
    <x v="214"/>
    <x v="8"/>
    <x v="0"/>
    <x v="1"/>
    <x v="2"/>
    <x v="4"/>
    <x v="7"/>
    <x v="930"/>
    <x v="0"/>
    <x v="32"/>
    <x v="1"/>
    <x v="3"/>
    <x v="2199"/>
    <x v="460"/>
    <x v="2252"/>
    <x v="7"/>
  </r>
  <r>
    <x v="400"/>
    <x v="0"/>
    <x v="8"/>
    <x v="77"/>
    <x v="35"/>
    <x v="3"/>
    <x v="0"/>
    <x v="3"/>
    <x v="1"/>
    <x v="265"/>
    <x v="0"/>
    <x v="11"/>
    <x v="1"/>
    <x v="3"/>
    <x v="154"/>
    <x v="20"/>
    <x v="387"/>
    <x v="7"/>
  </r>
  <r>
    <x v="400"/>
    <x v="1"/>
    <x v="8"/>
    <x v="77"/>
    <x v="59"/>
    <x v="3"/>
    <x v="0"/>
    <x v="3"/>
    <x v="1"/>
    <x v="1176"/>
    <x v="1"/>
    <x v="60"/>
    <x v="2"/>
    <x v="2"/>
    <x v="763"/>
    <x v="151"/>
    <x v="671"/>
    <x v="7"/>
  </r>
  <r>
    <x v="400"/>
    <x v="2"/>
    <x v="8"/>
    <x v="77"/>
    <x v="20"/>
    <x v="3"/>
    <x v="0"/>
    <x v="3"/>
    <x v="1"/>
    <x v="164"/>
    <x v="2"/>
    <x v="5"/>
    <x v="1"/>
    <x v="1"/>
    <x v="81"/>
    <x v="9"/>
    <x v="241"/>
    <x v="7"/>
  </r>
  <r>
    <x v="401"/>
    <x v="0"/>
    <x v="69"/>
    <x v="199"/>
    <x v="65"/>
    <x v="2"/>
    <x v="1"/>
    <x v="3"/>
    <x v="1"/>
    <x v="2086"/>
    <x v="4"/>
    <x v="95"/>
    <x v="0"/>
    <x v="1"/>
    <x v="1139"/>
    <x v="258"/>
    <x v="523"/>
    <x v="7"/>
  </r>
  <r>
    <x v="401"/>
    <x v="1"/>
    <x v="69"/>
    <x v="199"/>
    <x v="35"/>
    <x v="2"/>
    <x v="1"/>
    <x v="3"/>
    <x v="3"/>
    <x v="254"/>
    <x v="0"/>
    <x v="11"/>
    <x v="1"/>
    <x v="1"/>
    <x v="472"/>
    <x v="71"/>
    <x v="792"/>
    <x v="7"/>
  </r>
  <r>
    <x v="401"/>
    <x v="2"/>
    <x v="69"/>
    <x v="199"/>
    <x v="96"/>
    <x v="2"/>
    <x v="1"/>
    <x v="3"/>
    <x v="1"/>
    <x v="518"/>
    <x v="0"/>
    <x v="22"/>
    <x v="1"/>
    <x v="3"/>
    <x v="309"/>
    <x v="53"/>
    <x v="432"/>
    <x v="7"/>
  </r>
  <r>
    <x v="402"/>
    <x v="0"/>
    <x v="100"/>
    <x v="246"/>
    <x v="15"/>
    <x v="0"/>
    <x v="2"/>
    <x v="6"/>
    <x v="4"/>
    <x v="974"/>
    <x v="2"/>
    <x v="38"/>
    <x v="1"/>
    <x v="0"/>
    <x v="1672"/>
    <x v="291"/>
    <x v="1802"/>
    <x v="7"/>
  </r>
  <r>
    <x v="402"/>
    <x v="1"/>
    <x v="100"/>
    <x v="246"/>
    <x v="37"/>
    <x v="0"/>
    <x v="2"/>
    <x v="6"/>
    <x v="1"/>
    <x v="1435"/>
    <x v="4"/>
    <x v="78"/>
    <x v="1"/>
    <x v="2"/>
    <x v="810"/>
    <x v="202"/>
    <x v="52"/>
    <x v="7"/>
  </r>
  <r>
    <x v="403"/>
    <x v="0"/>
    <x v="248"/>
    <x v="249"/>
    <x v="7"/>
    <x v="0"/>
    <x v="1"/>
    <x v="5"/>
    <x v="1"/>
    <x v="98"/>
    <x v="0"/>
    <x v="4"/>
    <x v="1"/>
    <x v="3"/>
    <x v="46"/>
    <x v="6"/>
    <x v="152"/>
    <x v="7"/>
  </r>
  <r>
    <x v="403"/>
    <x v="1"/>
    <x v="248"/>
    <x v="249"/>
    <x v="66"/>
    <x v="0"/>
    <x v="1"/>
    <x v="5"/>
    <x v="1"/>
    <x v="422"/>
    <x v="3"/>
    <x v="21"/>
    <x v="1"/>
    <x v="2"/>
    <x v="228"/>
    <x v="49"/>
    <x v="117"/>
    <x v="7"/>
  </r>
  <r>
    <x v="404"/>
    <x v="0"/>
    <x v="188"/>
    <x v="48"/>
    <x v="50"/>
    <x v="3"/>
    <x v="2"/>
    <x v="0"/>
    <x v="4"/>
    <x v="1920"/>
    <x v="2"/>
    <x v="77"/>
    <x v="2"/>
    <x v="1"/>
    <x v="2096"/>
    <x v="450"/>
    <x v="2139"/>
    <x v="7"/>
  </r>
  <r>
    <x v="404"/>
    <x v="1"/>
    <x v="188"/>
    <x v="48"/>
    <x v="88"/>
    <x v="3"/>
    <x v="2"/>
    <x v="0"/>
    <x v="1"/>
    <x v="2101"/>
    <x v="1"/>
    <x v="86"/>
    <x v="1"/>
    <x v="1"/>
    <x v="1358"/>
    <x v="226"/>
    <x v="1468"/>
    <x v="7"/>
  </r>
  <r>
    <x v="404"/>
    <x v="2"/>
    <x v="188"/>
    <x v="48"/>
    <x v="77"/>
    <x v="3"/>
    <x v="2"/>
    <x v="0"/>
    <x v="1"/>
    <x v="214"/>
    <x v="0"/>
    <x v="9"/>
    <x v="1"/>
    <x v="1"/>
    <x v="116"/>
    <x v="16"/>
    <x v="290"/>
    <x v="7"/>
  </r>
  <r>
    <x v="404"/>
    <x v="3"/>
    <x v="188"/>
    <x v="48"/>
    <x v="63"/>
    <x v="3"/>
    <x v="2"/>
    <x v="0"/>
    <x v="2"/>
    <x v="2214"/>
    <x v="1"/>
    <x v="98"/>
    <x v="1"/>
    <x v="2"/>
    <x v="1887"/>
    <x v="400"/>
    <x v="1655"/>
    <x v="7"/>
  </r>
  <r>
    <x v="405"/>
    <x v="0"/>
    <x v="68"/>
    <x v="52"/>
    <x v="20"/>
    <x v="3"/>
    <x v="1"/>
    <x v="1"/>
    <x v="4"/>
    <x v="192"/>
    <x v="1"/>
    <x v="5"/>
    <x v="2"/>
    <x v="0"/>
    <x v="478"/>
    <x v="60"/>
    <x v="910"/>
    <x v="7"/>
  </r>
  <r>
    <x v="405"/>
    <x v="1"/>
    <x v="68"/>
    <x v="52"/>
    <x v="64"/>
    <x v="3"/>
    <x v="1"/>
    <x v="1"/>
    <x v="3"/>
    <x v="1817"/>
    <x v="0"/>
    <x v="69"/>
    <x v="1"/>
    <x v="2"/>
    <x v="2007"/>
    <x v="377"/>
    <x v="2150"/>
    <x v="7"/>
  </r>
  <r>
    <x v="406"/>
    <x v="0"/>
    <x v="114"/>
    <x v="125"/>
    <x v="75"/>
    <x v="2"/>
    <x v="1"/>
    <x v="2"/>
    <x v="1"/>
    <x v="636"/>
    <x v="0"/>
    <x v="30"/>
    <x v="1"/>
    <x v="3"/>
    <x v="409"/>
    <x v="66"/>
    <x v="596"/>
    <x v="7"/>
  </r>
  <r>
    <x v="406"/>
    <x v="1"/>
    <x v="114"/>
    <x v="125"/>
    <x v="97"/>
    <x v="2"/>
    <x v="1"/>
    <x v="2"/>
    <x v="5"/>
    <x v="337"/>
    <x v="0"/>
    <x v="15"/>
    <x v="1"/>
    <x v="2"/>
    <x v="880"/>
    <x v="162"/>
    <x v="976"/>
    <x v="7"/>
  </r>
  <r>
    <x v="406"/>
    <x v="2"/>
    <x v="114"/>
    <x v="125"/>
    <x v="88"/>
    <x v="2"/>
    <x v="1"/>
    <x v="2"/>
    <x v="2"/>
    <x v="1894"/>
    <x v="0"/>
    <x v="86"/>
    <x v="1"/>
    <x v="3"/>
    <x v="1819"/>
    <x v="346"/>
    <x v="1873"/>
    <x v="7"/>
  </r>
  <r>
    <x v="407"/>
    <x v="0"/>
    <x v="198"/>
    <x v="17"/>
    <x v="73"/>
    <x v="1"/>
    <x v="1"/>
    <x v="7"/>
    <x v="1"/>
    <x v="2221"/>
    <x v="3"/>
    <x v="84"/>
    <x v="1"/>
    <x v="0"/>
    <x v="1307"/>
    <x v="222"/>
    <x v="1429"/>
    <x v="7"/>
  </r>
  <r>
    <x v="407"/>
    <x v="1"/>
    <x v="198"/>
    <x v="17"/>
    <x v="46"/>
    <x v="1"/>
    <x v="1"/>
    <x v="7"/>
    <x v="1"/>
    <x v="1927"/>
    <x v="1"/>
    <x v="85"/>
    <x v="1"/>
    <x v="3"/>
    <x v="1260"/>
    <x v="223"/>
    <x v="1330"/>
    <x v="7"/>
  </r>
  <r>
    <x v="407"/>
    <x v="2"/>
    <x v="198"/>
    <x v="17"/>
    <x v="35"/>
    <x v="1"/>
    <x v="1"/>
    <x v="7"/>
    <x v="1"/>
    <x v="257"/>
    <x v="0"/>
    <x v="11"/>
    <x v="1"/>
    <x v="1"/>
    <x v="150"/>
    <x v="20"/>
    <x v="359"/>
    <x v="7"/>
  </r>
  <r>
    <x v="407"/>
    <x v="3"/>
    <x v="198"/>
    <x v="17"/>
    <x v="7"/>
    <x v="1"/>
    <x v="1"/>
    <x v="7"/>
    <x v="3"/>
    <x v="105"/>
    <x v="2"/>
    <x v="4"/>
    <x v="1"/>
    <x v="3"/>
    <x v="212"/>
    <x v="30"/>
    <x v="400"/>
    <x v="7"/>
  </r>
  <r>
    <x v="408"/>
    <x v="0"/>
    <x v="158"/>
    <x v="153"/>
    <x v="21"/>
    <x v="2"/>
    <x v="0"/>
    <x v="3"/>
    <x v="3"/>
    <x v="375"/>
    <x v="0"/>
    <x v="18"/>
    <x v="1"/>
    <x v="0"/>
    <x v="670"/>
    <x v="134"/>
    <x v="675"/>
    <x v="7"/>
  </r>
  <r>
    <x v="408"/>
    <x v="1"/>
    <x v="158"/>
    <x v="153"/>
    <x v="4"/>
    <x v="2"/>
    <x v="0"/>
    <x v="3"/>
    <x v="4"/>
    <x v="1822"/>
    <x v="0"/>
    <x v="94"/>
    <x v="1"/>
    <x v="2"/>
    <x v="2121"/>
    <x v="498"/>
    <x v="1981"/>
    <x v="7"/>
  </r>
  <r>
    <x v="409"/>
    <x v="0"/>
    <x v="109"/>
    <x v="181"/>
    <x v="20"/>
    <x v="0"/>
    <x v="1"/>
    <x v="1"/>
    <x v="3"/>
    <x v="191"/>
    <x v="1"/>
    <x v="5"/>
    <x v="1"/>
    <x v="1"/>
    <x v="360"/>
    <x v="44"/>
    <x v="761"/>
    <x v="7"/>
  </r>
  <r>
    <x v="410"/>
    <x v="0"/>
    <x v="252"/>
    <x v="7"/>
    <x v="95"/>
    <x v="2"/>
    <x v="1"/>
    <x v="7"/>
    <x v="3"/>
    <x v="926"/>
    <x v="3"/>
    <x v="52"/>
    <x v="2"/>
    <x v="3"/>
    <x v="1384"/>
    <x v="300"/>
    <x v="86"/>
    <x v="7"/>
  </r>
  <r>
    <x v="410"/>
    <x v="1"/>
    <x v="252"/>
    <x v="7"/>
    <x v="92"/>
    <x v="2"/>
    <x v="1"/>
    <x v="7"/>
    <x v="6"/>
    <x v="1483"/>
    <x v="4"/>
    <x v="62"/>
    <x v="1"/>
    <x v="2"/>
    <x v="2189"/>
    <x v="524"/>
    <x v="2088"/>
    <x v="7"/>
  </r>
  <r>
    <x v="410"/>
    <x v="2"/>
    <x v="252"/>
    <x v="7"/>
    <x v="58"/>
    <x v="2"/>
    <x v="1"/>
    <x v="7"/>
    <x v="1"/>
    <x v="1910"/>
    <x v="3"/>
    <x v="99"/>
    <x v="1"/>
    <x v="3"/>
    <x v="1122"/>
    <x v="273"/>
    <x v="16"/>
    <x v="7"/>
  </r>
  <r>
    <x v="411"/>
    <x v="0"/>
    <x v="80"/>
    <x v="159"/>
    <x v="21"/>
    <x v="2"/>
    <x v="1"/>
    <x v="9"/>
    <x v="2"/>
    <x v="389"/>
    <x v="0"/>
    <x v="18"/>
    <x v="1"/>
    <x v="0"/>
    <x v="494"/>
    <x v="90"/>
    <x v="622"/>
    <x v="7"/>
  </r>
  <r>
    <x v="412"/>
    <x v="0"/>
    <x v="99"/>
    <x v="82"/>
    <x v="88"/>
    <x v="0"/>
    <x v="1"/>
    <x v="0"/>
    <x v="2"/>
    <x v="2160"/>
    <x v="1"/>
    <x v="86"/>
    <x v="1"/>
    <x v="3"/>
    <x v="1862"/>
    <x v="346"/>
    <x v="1950"/>
    <x v="7"/>
  </r>
  <r>
    <x v="412"/>
    <x v="1"/>
    <x v="99"/>
    <x v="82"/>
    <x v="8"/>
    <x v="0"/>
    <x v="1"/>
    <x v="0"/>
    <x v="1"/>
    <x v="658"/>
    <x v="0"/>
    <x v="28"/>
    <x v="1"/>
    <x v="1"/>
    <x v="431"/>
    <x v="64"/>
    <x v="683"/>
    <x v="7"/>
  </r>
  <r>
    <x v="413"/>
    <x v="0"/>
    <x v="224"/>
    <x v="209"/>
    <x v="84"/>
    <x v="3"/>
    <x v="2"/>
    <x v="2"/>
    <x v="2"/>
    <x v="1951"/>
    <x v="3"/>
    <x v="89"/>
    <x v="0"/>
    <x v="1"/>
    <x v="1715"/>
    <x v="356"/>
    <x v="1329"/>
    <x v="7"/>
  </r>
  <r>
    <x v="413"/>
    <x v="1"/>
    <x v="224"/>
    <x v="209"/>
    <x v="39"/>
    <x v="3"/>
    <x v="2"/>
    <x v="2"/>
    <x v="3"/>
    <x v="1772"/>
    <x v="2"/>
    <x v="93"/>
    <x v="1"/>
    <x v="1"/>
    <x v="1956"/>
    <x v="447"/>
    <x v="1249"/>
    <x v="7"/>
  </r>
  <r>
    <x v="413"/>
    <x v="2"/>
    <x v="224"/>
    <x v="209"/>
    <x v="88"/>
    <x v="3"/>
    <x v="2"/>
    <x v="2"/>
    <x v="1"/>
    <x v="2090"/>
    <x v="0"/>
    <x v="86"/>
    <x v="1"/>
    <x v="2"/>
    <x v="1404"/>
    <x v="226"/>
    <x v="1574"/>
    <x v="7"/>
  </r>
  <r>
    <x v="414"/>
    <x v="0"/>
    <x v="160"/>
    <x v="238"/>
    <x v="29"/>
    <x v="1"/>
    <x v="1"/>
    <x v="1"/>
    <x v="1"/>
    <x v="2241"/>
    <x v="0"/>
    <x v="97"/>
    <x v="1"/>
    <x v="3"/>
    <x v="1502"/>
    <x v="269"/>
    <x v="1397"/>
    <x v="7"/>
  </r>
  <r>
    <x v="414"/>
    <x v="1"/>
    <x v="160"/>
    <x v="238"/>
    <x v="27"/>
    <x v="1"/>
    <x v="1"/>
    <x v="1"/>
    <x v="1"/>
    <x v="1471"/>
    <x v="0"/>
    <x v="61"/>
    <x v="2"/>
    <x v="1"/>
    <x v="1013"/>
    <x v="156"/>
    <x v="1339"/>
    <x v="7"/>
  </r>
  <r>
    <x v="415"/>
    <x v="0"/>
    <x v="66"/>
    <x v="190"/>
    <x v="39"/>
    <x v="0"/>
    <x v="0"/>
    <x v="8"/>
    <x v="2"/>
    <x v="1952"/>
    <x v="0"/>
    <x v="93"/>
    <x v="1"/>
    <x v="0"/>
    <x v="1833"/>
    <x v="371"/>
    <x v="1742"/>
    <x v="7"/>
  </r>
  <r>
    <x v="416"/>
    <x v="0"/>
    <x v="245"/>
    <x v="70"/>
    <x v="95"/>
    <x v="3"/>
    <x v="0"/>
    <x v="2"/>
    <x v="3"/>
    <x v="928"/>
    <x v="3"/>
    <x v="52"/>
    <x v="1"/>
    <x v="2"/>
    <x v="1389"/>
    <x v="300"/>
    <x v="115"/>
    <x v="7"/>
  </r>
  <r>
    <x v="416"/>
    <x v="1"/>
    <x v="245"/>
    <x v="70"/>
    <x v="73"/>
    <x v="3"/>
    <x v="0"/>
    <x v="2"/>
    <x v="2"/>
    <x v="2195"/>
    <x v="0"/>
    <x v="84"/>
    <x v="1"/>
    <x v="3"/>
    <x v="1910"/>
    <x v="343"/>
    <x v="2045"/>
    <x v="7"/>
  </r>
  <r>
    <x v="416"/>
    <x v="2"/>
    <x v="245"/>
    <x v="70"/>
    <x v="83"/>
    <x v="3"/>
    <x v="0"/>
    <x v="2"/>
    <x v="5"/>
    <x v="143"/>
    <x v="2"/>
    <x v="8"/>
    <x v="1"/>
    <x v="1"/>
    <x v="488"/>
    <x v="86"/>
    <x v="636"/>
    <x v="7"/>
  </r>
  <r>
    <x v="416"/>
    <x v="3"/>
    <x v="245"/>
    <x v="70"/>
    <x v="78"/>
    <x v="3"/>
    <x v="0"/>
    <x v="2"/>
    <x v="2"/>
    <x v="553"/>
    <x v="3"/>
    <x v="20"/>
    <x v="1"/>
    <x v="2"/>
    <x v="583"/>
    <x v="98"/>
    <x v="759"/>
    <x v="7"/>
  </r>
  <r>
    <x v="416"/>
    <x v="4"/>
    <x v="245"/>
    <x v="70"/>
    <x v="49"/>
    <x v="3"/>
    <x v="0"/>
    <x v="2"/>
    <x v="4"/>
    <x v="979"/>
    <x v="0"/>
    <x v="45"/>
    <x v="1"/>
    <x v="2"/>
    <x v="1732"/>
    <x v="321"/>
    <x v="1848"/>
    <x v="7"/>
  </r>
  <r>
    <x v="417"/>
    <x v="0"/>
    <x v="11"/>
    <x v="167"/>
    <x v="42"/>
    <x v="3"/>
    <x v="0"/>
    <x v="3"/>
    <x v="1"/>
    <x v="399"/>
    <x v="2"/>
    <x v="23"/>
    <x v="2"/>
    <x v="0"/>
    <x v="231"/>
    <x v="54"/>
    <x v="51"/>
    <x v="7"/>
  </r>
  <r>
    <x v="417"/>
    <x v="1"/>
    <x v="11"/>
    <x v="167"/>
    <x v="31"/>
    <x v="3"/>
    <x v="0"/>
    <x v="3"/>
    <x v="1"/>
    <x v="371"/>
    <x v="4"/>
    <x v="12"/>
    <x v="1"/>
    <x v="0"/>
    <x v="177"/>
    <x v="21"/>
    <x v="420"/>
    <x v="7"/>
  </r>
  <r>
    <x v="417"/>
    <x v="2"/>
    <x v="11"/>
    <x v="167"/>
    <x v="71"/>
    <x v="3"/>
    <x v="0"/>
    <x v="3"/>
    <x v="3"/>
    <x v="186"/>
    <x v="4"/>
    <x v="6"/>
    <x v="1"/>
    <x v="3"/>
    <x v="306"/>
    <x v="46"/>
    <x v="533"/>
    <x v="7"/>
  </r>
  <r>
    <x v="418"/>
    <x v="0"/>
    <x v="237"/>
    <x v="181"/>
    <x v="72"/>
    <x v="3"/>
    <x v="0"/>
    <x v="6"/>
    <x v="1"/>
    <x v="1337"/>
    <x v="4"/>
    <x v="66"/>
    <x v="1"/>
    <x v="2"/>
    <x v="751"/>
    <x v="172"/>
    <x v="135"/>
    <x v="7"/>
  </r>
  <r>
    <x v="419"/>
    <x v="0"/>
    <x v="259"/>
    <x v="109"/>
    <x v="74"/>
    <x v="1"/>
    <x v="0"/>
    <x v="3"/>
    <x v="4"/>
    <x v="2108"/>
    <x v="0"/>
    <x v="90"/>
    <x v="1"/>
    <x v="3"/>
    <x v="2159"/>
    <x v="491"/>
    <x v="2160"/>
    <x v="7"/>
  </r>
  <r>
    <x v="419"/>
    <x v="1"/>
    <x v="259"/>
    <x v="109"/>
    <x v="32"/>
    <x v="1"/>
    <x v="0"/>
    <x v="3"/>
    <x v="1"/>
    <x v="1157"/>
    <x v="4"/>
    <x v="50"/>
    <x v="1"/>
    <x v="2"/>
    <x v="642"/>
    <x v="119"/>
    <x v="800"/>
    <x v="7"/>
  </r>
  <r>
    <x v="420"/>
    <x v="0"/>
    <x v="1"/>
    <x v="139"/>
    <x v="63"/>
    <x v="2"/>
    <x v="0"/>
    <x v="6"/>
    <x v="1"/>
    <x v="2105"/>
    <x v="0"/>
    <x v="98"/>
    <x v="1"/>
    <x v="2"/>
    <x v="1412"/>
    <x v="271"/>
    <x v="1094"/>
    <x v="7"/>
  </r>
  <r>
    <x v="421"/>
    <x v="0"/>
    <x v="105"/>
    <x v="56"/>
    <x v="53"/>
    <x v="2"/>
    <x v="2"/>
    <x v="9"/>
    <x v="2"/>
    <x v="1193"/>
    <x v="3"/>
    <x v="47"/>
    <x v="1"/>
    <x v="3"/>
    <x v="1284"/>
    <x v="214"/>
    <x v="1452"/>
    <x v="7"/>
  </r>
  <r>
    <x v="421"/>
    <x v="1"/>
    <x v="105"/>
    <x v="56"/>
    <x v="50"/>
    <x v="2"/>
    <x v="2"/>
    <x v="9"/>
    <x v="3"/>
    <x v="1746"/>
    <x v="1"/>
    <x v="77"/>
    <x v="1"/>
    <x v="3"/>
    <x v="1968"/>
    <x v="396"/>
    <x v="2026"/>
    <x v="7"/>
  </r>
  <r>
    <x v="422"/>
    <x v="0"/>
    <x v="106"/>
    <x v="212"/>
    <x v="25"/>
    <x v="2"/>
    <x v="0"/>
    <x v="1"/>
    <x v="2"/>
    <x v="2170"/>
    <x v="4"/>
    <x v="72"/>
    <x v="1"/>
    <x v="1"/>
    <x v="1739"/>
    <x v="306"/>
    <x v="1919"/>
    <x v="7"/>
  </r>
  <r>
    <x v="422"/>
    <x v="1"/>
    <x v="106"/>
    <x v="212"/>
    <x v="34"/>
    <x v="2"/>
    <x v="0"/>
    <x v="1"/>
    <x v="5"/>
    <x v="1127"/>
    <x v="3"/>
    <x v="58"/>
    <x v="1"/>
    <x v="2"/>
    <x v="1911"/>
    <x v="436"/>
    <x v="856"/>
    <x v="7"/>
  </r>
  <r>
    <x v="422"/>
    <x v="2"/>
    <x v="106"/>
    <x v="212"/>
    <x v="48"/>
    <x v="2"/>
    <x v="0"/>
    <x v="1"/>
    <x v="1"/>
    <x v="396"/>
    <x v="0"/>
    <x v="17"/>
    <x v="1"/>
    <x v="2"/>
    <x v="250"/>
    <x v="39"/>
    <x v="457"/>
    <x v="7"/>
  </r>
  <r>
    <x v="422"/>
    <x v="3"/>
    <x v="106"/>
    <x v="212"/>
    <x v="10"/>
    <x v="2"/>
    <x v="0"/>
    <x v="1"/>
    <x v="2"/>
    <x v="363"/>
    <x v="0"/>
    <x v="14"/>
    <x v="1"/>
    <x v="1"/>
    <x v="443"/>
    <x v="67"/>
    <x v="695"/>
    <x v="7"/>
  </r>
  <r>
    <x v="423"/>
    <x v="0"/>
    <x v="114"/>
    <x v="102"/>
    <x v="77"/>
    <x v="1"/>
    <x v="1"/>
    <x v="4"/>
    <x v="1"/>
    <x v="218"/>
    <x v="3"/>
    <x v="9"/>
    <x v="1"/>
    <x v="3"/>
    <x v="91"/>
    <x v="16"/>
    <x v="181"/>
    <x v="7"/>
  </r>
  <r>
    <x v="423"/>
    <x v="1"/>
    <x v="114"/>
    <x v="102"/>
    <x v="25"/>
    <x v="1"/>
    <x v="1"/>
    <x v="4"/>
    <x v="2"/>
    <x v="2190"/>
    <x v="3"/>
    <x v="72"/>
    <x v="0"/>
    <x v="2"/>
    <x v="1790"/>
    <x v="306"/>
    <x v="1995"/>
    <x v="7"/>
  </r>
  <r>
    <x v="423"/>
    <x v="2"/>
    <x v="114"/>
    <x v="102"/>
    <x v="30"/>
    <x v="1"/>
    <x v="1"/>
    <x v="4"/>
    <x v="2"/>
    <x v="267"/>
    <x v="2"/>
    <x v="13"/>
    <x v="1"/>
    <x v="2"/>
    <x v="303"/>
    <x v="57"/>
    <x v="354"/>
    <x v="7"/>
  </r>
  <r>
    <x v="424"/>
    <x v="0"/>
    <x v="212"/>
    <x v="135"/>
    <x v="57"/>
    <x v="0"/>
    <x v="0"/>
    <x v="8"/>
    <x v="1"/>
    <x v="686"/>
    <x v="2"/>
    <x v="25"/>
    <x v="1"/>
    <x v="3"/>
    <x v="411"/>
    <x v="58"/>
    <x v="713"/>
    <x v="7"/>
  </r>
  <r>
    <x v="424"/>
    <x v="1"/>
    <x v="212"/>
    <x v="135"/>
    <x v="62"/>
    <x v="0"/>
    <x v="0"/>
    <x v="8"/>
    <x v="3"/>
    <x v="1299"/>
    <x v="0"/>
    <x v="67"/>
    <x v="1"/>
    <x v="0"/>
    <x v="1784"/>
    <x v="375"/>
    <x v="1513"/>
    <x v="7"/>
  </r>
  <r>
    <x v="425"/>
    <x v="0"/>
    <x v="218"/>
    <x v="197"/>
    <x v="79"/>
    <x v="0"/>
    <x v="0"/>
    <x v="8"/>
    <x v="2"/>
    <x v="1622"/>
    <x v="4"/>
    <x v="64"/>
    <x v="1"/>
    <x v="0"/>
    <x v="1594"/>
    <x v="287"/>
    <x v="1527"/>
    <x v="7"/>
  </r>
  <r>
    <x v="425"/>
    <x v="1"/>
    <x v="218"/>
    <x v="197"/>
    <x v="43"/>
    <x v="0"/>
    <x v="0"/>
    <x v="8"/>
    <x v="4"/>
    <x v="29"/>
    <x v="3"/>
    <x v="1"/>
    <x v="1"/>
    <x v="3"/>
    <x v="146"/>
    <x v="23"/>
    <x v="236"/>
    <x v="7"/>
  </r>
  <r>
    <x v="425"/>
    <x v="2"/>
    <x v="218"/>
    <x v="197"/>
    <x v="86"/>
    <x v="0"/>
    <x v="0"/>
    <x v="8"/>
    <x v="4"/>
    <x v="1876"/>
    <x v="1"/>
    <x v="79"/>
    <x v="1"/>
    <x v="3"/>
    <x v="2110"/>
    <x v="458"/>
    <x v="2135"/>
    <x v="7"/>
  </r>
  <r>
    <x v="426"/>
    <x v="0"/>
    <x v="156"/>
    <x v="25"/>
    <x v="52"/>
    <x v="0"/>
    <x v="0"/>
    <x v="3"/>
    <x v="1"/>
    <x v="1104"/>
    <x v="0"/>
    <x v="40"/>
    <x v="1"/>
    <x v="3"/>
    <x v="742"/>
    <x v="95"/>
    <x v="1252"/>
    <x v="7"/>
  </r>
  <r>
    <x v="426"/>
    <x v="1"/>
    <x v="156"/>
    <x v="25"/>
    <x v="45"/>
    <x v="0"/>
    <x v="0"/>
    <x v="3"/>
    <x v="1"/>
    <x v="12"/>
    <x v="0"/>
    <x v="0"/>
    <x v="1"/>
    <x v="0"/>
    <x v="11"/>
    <x v="1"/>
    <x v="72"/>
    <x v="7"/>
  </r>
  <r>
    <x v="426"/>
    <x v="2"/>
    <x v="156"/>
    <x v="25"/>
    <x v="55"/>
    <x v="0"/>
    <x v="0"/>
    <x v="3"/>
    <x v="7"/>
    <x v="1081"/>
    <x v="0"/>
    <x v="54"/>
    <x v="1"/>
    <x v="0"/>
    <x v="2224"/>
    <x v="536"/>
    <x v="2196"/>
    <x v="7"/>
  </r>
  <r>
    <x v="426"/>
    <x v="3"/>
    <x v="156"/>
    <x v="25"/>
    <x v="30"/>
    <x v="0"/>
    <x v="0"/>
    <x v="3"/>
    <x v="4"/>
    <x v="270"/>
    <x v="3"/>
    <x v="13"/>
    <x v="1"/>
    <x v="0"/>
    <x v="575"/>
    <x v="114"/>
    <x v="520"/>
    <x v="7"/>
  </r>
  <r>
    <x v="426"/>
    <x v="4"/>
    <x v="156"/>
    <x v="25"/>
    <x v="13"/>
    <x v="0"/>
    <x v="0"/>
    <x v="3"/>
    <x v="2"/>
    <x v="1219"/>
    <x v="3"/>
    <x v="70"/>
    <x v="1"/>
    <x v="3"/>
    <x v="1323"/>
    <x v="298"/>
    <x v="18"/>
    <x v="7"/>
  </r>
  <r>
    <x v="427"/>
    <x v="0"/>
    <x v="239"/>
    <x v="81"/>
    <x v="46"/>
    <x v="0"/>
    <x v="2"/>
    <x v="3"/>
    <x v="1"/>
    <x v="1911"/>
    <x v="2"/>
    <x v="85"/>
    <x v="2"/>
    <x v="2"/>
    <x v="1180"/>
    <x v="223"/>
    <x v="1173"/>
    <x v="7"/>
  </r>
  <r>
    <x v="427"/>
    <x v="1"/>
    <x v="239"/>
    <x v="81"/>
    <x v="55"/>
    <x v="0"/>
    <x v="2"/>
    <x v="3"/>
    <x v="2"/>
    <x v="1027"/>
    <x v="0"/>
    <x v="54"/>
    <x v="1"/>
    <x v="0"/>
    <x v="1246"/>
    <x v="242"/>
    <x v="1096"/>
    <x v="7"/>
  </r>
  <r>
    <x v="427"/>
    <x v="2"/>
    <x v="239"/>
    <x v="81"/>
    <x v="88"/>
    <x v="0"/>
    <x v="2"/>
    <x v="3"/>
    <x v="2"/>
    <x v="2115"/>
    <x v="1"/>
    <x v="86"/>
    <x v="1"/>
    <x v="2"/>
    <x v="1847"/>
    <x v="346"/>
    <x v="1925"/>
    <x v="7"/>
  </r>
  <r>
    <x v="428"/>
    <x v="0"/>
    <x v="79"/>
    <x v="7"/>
    <x v="21"/>
    <x v="3"/>
    <x v="1"/>
    <x v="7"/>
    <x v="5"/>
    <x v="402"/>
    <x v="4"/>
    <x v="18"/>
    <x v="1"/>
    <x v="0"/>
    <x v="923"/>
    <x v="206"/>
    <x v="570"/>
    <x v="7"/>
  </r>
  <r>
    <x v="429"/>
    <x v="0"/>
    <x v="133"/>
    <x v="131"/>
    <x v="39"/>
    <x v="3"/>
    <x v="2"/>
    <x v="3"/>
    <x v="4"/>
    <x v="1859"/>
    <x v="2"/>
    <x v="93"/>
    <x v="1"/>
    <x v="2"/>
    <x v="2087"/>
    <x v="497"/>
    <x v="1730"/>
    <x v="7"/>
  </r>
  <r>
    <x v="429"/>
    <x v="1"/>
    <x v="133"/>
    <x v="131"/>
    <x v="57"/>
    <x v="3"/>
    <x v="2"/>
    <x v="3"/>
    <x v="3"/>
    <x v="709"/>
    <x v="2"/>
    <x v="25"/>
    <x v="1"/>
    <x v="3"/>
    <x v="1114"/>
    <x v="164"/>
    <x v="1480"/>
    <x v="7"/>
  </r>
  <r>
    <x v="429"/>
    <x v="2"/>
    <x v="133"/>
    <x v="131"/>
    <x v="92"/>
    <x v="3"/>
    <x v="2"/>
    <x v="3"/>
    <x v="2"/>
    <x v="1543"/>
    <x v="0"/>
    <x v="62"/>
    <x v="0"/>
    <x v="0"/>
    <x v="1681"/>
    <x v="279"/>
    <x v="1899"/>
    <x v="7"/>
  </r>
  <r>
    <x v="430"/>
    <x v="0"/>
    <x v="163"/>
    <x v="0"/>
    <x v="45"/>
    <x v="0"/>
    <x v="2"/>
    <x v="1"/>
    <x v="3"/>
    <x v="4"/>
    <x v="1"/>
    <x v="0"/>
    <x v="2"/>
    <x v="2"/>
    <x v="40"/>
    <x v="7"/>
    <x v="118"/>
    <x v="7"/>
  </r>
  <r>
    <x v="430"/>
    <x v="1"/>
    <x v="163"/>
    <x v="0"/>
    <x v="43"/>
    <x v="0"/>
    <x v="2"/>
    <x v="1"/>
    <x v="1"/>
    <x v="21"/>
    <x v="0"/>
    <x v="1"/>
    <x v="0"/>
    <x v="3"/>
    <x v="16"/>
    <x v="2"/>
    <x v="102"/>
    <x v="7"/>
  </r>
  <r>
    <x v="431"/>
    <x v="0"/>
    <x v="60"/>
    <x v="144"/>
    <x v="1"/>
    <x v="1"/>
    <x v="0"/>
    <x v="8"/>
    <x v="1"/>
    <x v="745"/>
    <x v="1"/>
    <x v="42"/>
    <x v="1"/>
    <x v="3"/>
    <x v="460"/>
    <x v="99"/>
    <x v="336"/>
    <x v="7"/>
  </r>
  <r>
    <x v="432"/>
    <x v="0"/>
    <x v="39"/>
    <x v="3"/>
    <x v="18"/>
    <x v="0"/>
    <x v="1"/>
    <x v="6"/>
    <x v="1"/>
    <x v="1505"/>
    <x v="4"/>
    <x v="59"/>
    <x v="1"/>
    <x v="2"/>
    <x v="858"/>
    <x v="150"/>
    <x v="1059"/>
    <x v="7"/>
  </r>
  <r>
    <x v="432"/>
    <x v="1"/>
    <x v="39"/>
    <x v="3"/>
    <x v="99"/>
    <x v="0"/>
    <x v="1"/>
    <x v="6"/>
    <x v="2"/>
    <x v="2064"/>
    <x v="0"/>
    <x v="80"/>
    <x v="1"/>
    <x v="1"/>
    <x v="1870"/>
    <x v="329"/>
    <x v="2019"/>
    <x v="7"/>
  </r>
  <r>
    <x v="432"/>
    <x v="2"/>
    <x v="39"/>
    <x v="3"/>
    <x v="49"/>
    <x v="0"/>
    <x v="1"/>
    <x v="6"/>
    <x v="2"/>
    <x v="940"/>
    <x v="1"/>
    <x v="45"/>
    <x v="1"/>
    <x v="2"/>
    <x v="1071"/>
    <x v="203"/>
    <x v="1117"/>
    <x v="7"/>
  </r>
  <r>
    <x v="432"/>
    <x v="3"/>
    <x v="39"/>
    <x v="3"/>
    <x v="68"/>
    <x v="0"/>
    <x v="1"/>
    <x v="6"/>
    <x v="1"/>
    <x v="1669"/>
    <x v="0"/>
    <x v="83"/>
    <x v="1"/>
    <x v="2"/>
    <x v="1167"/>
    <x v="218"/>
    <x v="1208"/>
    <x v="7"/>
  </r>
  <r>
    <x v="433"/>
    <x v="0"/>
    <x v="258"/>
    <x v="191"/>
    <x v="97"/>
    <x v="3"/>
    <x v="0"/>
    <x v="6"/>
    <x v="3"/>
    <x v="284"/>
    <x v="2"/>
    <x v="15"/>
    <x v="1"/>
    <x v="3"/>
    <x v="461"/>
    <x v="105"/>
    <x v="188"/>
    <x v="7"/>
  </r>
  <r>
    <x v="433"/>
    <x v="1"/>
    <x v="258"/>
    <x v="191"/>
    <x v="56"/>
    <x v="3"/>
    <x v="0"/>
    <x v="6"/>
    <x v="4"/>
    <x v="747"/>
    <x v="0"/>
    <x v="44"/>
    <x v="1"/>
    <x v="0"/>
    <x v="1577"/>
    <x v="317"/>
    <x v="990"/>
    <x v="7"/>
  </r>
  <r>
    <x v="433"/>
    <x v="2"/>
    <x v="258"/>
    <x v="191"/>
    <x v="4"/>
    <x v="3"/>
    <x v="0"/>
    <x v="6"/>
    <x v="3"/>
    <x v="1818"/>
    <x v="0"/>
    <x v="94"/>
    <x v="1"/>
    <x v="2"/>
    <x v="2008"/>
    <x v="448"/>
    <x v="1843"/>
    <x v="7"/>
  </r>
  <r>
    <x v="434"/>
    <x v="0"/>
    <x v="138"/>
    <x v="219"/>
    <x v="26"/>
    <x v="0"/>
    <x v="0"/>
    <x v="2"/>
    <x v="2"/>
    <x v="2183"/>
    <x v="0"/>
    <x v="74"/>
    <x v="1"/>
    <x v="0"/>
    <x v="1905"/>
    <x v="313"/>
    <x v="2102"/>
    <x v="7"/>
  </r>
  <r>
    <x v="435"/>
    <x v="0"/>
    <x v="27"/>
    <x v="27"/>
    <x v="38"/>
    <x v="1"/>
    <x v="2"/>
    <x v="4"/>
    <x v="1"/>
    <x v="1028"/>
    <x v="0"/>
    <x v="39"/>
    <x v="1"/>
    <x v="3"/>
    <x v="678"/>
    <x v="94"/>
    <x v="1125"/>
    <x v="7"/>
  </r>
  <r>
    <x v="436"/>
    <x v="0"/>
    <x v="198"/>
    <x v="176"/>
    <x v="8"/>
    <x v="3"/>
    <x v="1"/>
    <x v="2"/>
    <x v="2"/>
    <x v="737"/>
    <x v="2"/>
    <x v="28"/>
    <x v="1"/>
    <x v="1"/>
    <x v="808"/>
    <x v="130"/>
    <x v="1134"/>
    <x v="7"/>
  </r>
  <r>
    <x v="436"/>
    <x v="1"/>
    <x v="198"/>
    <x v="176"/>
    <x v="49"/>
    <x v="3"/>
    <x v="1"/>
    <x v="2"/>
    <x v="2"/>
    <x v="929"/>
    <x v="4"/>
    <x v="45"/>
    <x v="1"/>
    <x v="1"/>
    <x v="898"/>
    <x v="203"/>
    <x v="608"/>
    <x v="7"/>
  </r>
  <r>
    <x v="437"/>
    <x v="0"/>
    <x v="124"/>
    <x v="96"/>
    <x v="91"/>
    <x v="0"/>
    <x v="1"/>
    <x v="6"/>
    <x v="1"/>
    <x v="2149"/>
    <x v="3"/>
    <x v="81"/>
    <x v="1"/>
    <x v="0"/>
    <x v="1242"/>
    <x v="212"/>
    <x v="1380"/>
    <x v="7"/>
  </r>
  <r>
    <x v="437"/>
    <x v="1"/>
    <x v="124"/>
    <x v="96"/>
    <x v="66"/>
    <x v="0"/>
    <x v="1"/>
    <x v="6"/>
    <x v="2"/>
    <x v="520"/>
    <x v="0"/>
    <x v="21"/>
    <x v="1"/>
    <x v="0"/>
    <x v="608"/>
    <x v="100"/>
    <x v="836"/>
    <x v="7"/>
  </r>
  <r>
    <x v="438"/>
    <x v="0"/>
    <x v="196"/>
    <x v="6"/>
    <x v="46"/>
    <x v="2"/>
    <x v="1"/>
    <x v="0"/>
    <x v="5"/>
    <x v="1881"/>
    <x v="0"/>
    <x v="85"/>
    <x v="0"/>
    <x v="2"/>
    <x v="2193"/>
    <x v="507"/>
    <x v="2195"/>
    <x v="7"/>
  </r>
  <r>
    <x v="438"/>
    <x v="1"/>
    <x v="196"/>
    <x v="6"/>
    <x v="7"/>
    <x v="2"/>
    <x v="1"/>
    <x v="0"/>
    <x v="2"/>
    <x v="61"/>
    <x v="2"/>
    <x v="4"/>
    <x v="1"/>
    <x v="0"/>
    <x v="89"/>
    <x v="19"/>
    <x v="143"/>
    <x v="7"/>
  </r>
  <r>
    <x v="438"/>
    <x v="2"/>
    <x v="196"/>
    <x v="6"/>
    <x v="18"/>
    <x v="2"/>
    <x v="1"/>
    <x v="0"/>
    <x v="1"/>
    <x v="1568"/>
    <x v="3"/>
    <x v="59"/>
    <x v="1"/>
    <x v="3"/>
    <x v="936"/>
    <x v="150"/>
    <x v="1281"/>
    <x v="7"/>
  </r>
  <r>
    <x v="439"/>
    <x v="0"/>
    <x v="175"/>
    <x v="249"/>
    <x v="77"/>
    <x v="0"/>
    <x v="1"/>
    <x v="0"/>
    <x v="2"/>
    <x v="221"/>
    <x v="0"/>
    <x v="9"/>
    <x v="1"/>
    <x v="1"/>
    <x v="286"/>
    <x v="37"/>
    <x v="561"/>
    <x v="7"/>
  </r>
  <r>
    <x v="439"/>
    <x v="1"/>
    <x v="175"/>
    <x v="249"/>
    <x v="58"/>
    <x v="0"/>
    <x v="1"/>
    <x v="0"/>
    <x v="1"/>
    <x v="1901"/>
    <x v="4"/>
    <x v="99"/>
    <x v="1"/>
    <x v="0"/>
    <x v="1063"/>
    <x v="273"/>
    <x v="5"/>
    <x v="7"/>
  </r>
  <r>
    <x v="439"/>
    <x v="2"/>
    <x v="175"/>
    <x v="249"/>
    <x v="22"/>
    <x v="0"/>
    <x v="1"/>
    <x v="0"/>
    <x v="1"/>
    <x v="959"/>
    <x v="0"/>
    <x v="34"/>
    <x v="1"/>
    <x v="1"/>
    <x v="631"/>
    <x v="81"/>
    <x v="1077"/>
    <x v="7"/>
  </r>
  <r>
    <x v="440"/>
    <x v="0"/>
    <x v="233"/>
    <x v="90"/>
    <x v="57"/>
    <x v="2"/>
    <x v="1"/>
    <x v="7"/>
    <x v="7"/>
    <x v="674"/>
    <x v="0"/>
    <x v="25"/>
    <x v="1"/>
    <x v="2"/>
    <x v="2078"/>
    <x v="415"/>
    <x v="2178"/>
    <x v="7"/>
  </r>
  <r>
    <x v="440"/>
    <x v="1"/>
    <x v="233"/>
    <x v="90"/>
    <x v="3"/>
    <x v="2"/>
    <x v="1"/>
    <x v="7"/>
    <x v="1"/>
    <x v="1708"/>
    <x v="3"/>
    <x v="73"/>
    <x v="1"/>
    <x v="1"/>
    <x v="1031"/>
    <x v="191"/>
    <x v="1126"/>
    <x v="7"/>
  </r>
  <r>
    <x v="440"/>
    <x v="2"/>
    <x v="233"/>
    <x v="90"/>
    <x v="81"/>
    <x v="2"/>
    <x v="1"/>
    <x v="7"/>
    <x v="6"/>
    <x v="62"/>
    <x v="3"/>
    <x v="3"/>
    <x v="1"/>
    <x v="2"/>
    <x v="445"/>
    <x v="78"/>
    <x v="559"/>
    <x v="7"/>
  </r>
  <r>
    <x v="441"/>
    <x v="0"/>
    <x v="57"/>
    <x v="27"/>
    <x v="98"/>
    <x v="0"/>
    <x v="1"/>
    <x v="1"/>
    <x v="3"/>
    <x v="1338"/>
    <x v="0"/>
    <x v="65"/>
    <x v="1"/>
    <x v="1"/>
    <x v="1803"/>
    <x v="370"/>
    <x v="1663"/>
    <x v="7"/>
  </r>
  <r>
    <x v="441"/>
    <x v="1"/>
    <x v="57"/>
    <x v="27"/>
    <x v="71"/>
    <x v="0"/>
    <x v="1"/>
    <x v="1"/>
    <x v="3"/>
    <x v="174"/>
    <x v="0"/>
    <x v="6"/>
    <x v="1"/>
    <x v="3"/>
    <x v="366"/>
    <x v="46"/>
    <x v="752"/>
    <x v="7"/>
  </r>
  <r>
    <x v="441"/>
    <x v="2"/>
    <x v="57"/>
    <x v="27"/>
    <x v="18"/>
    <x v="0"/>
    <x v="1"/>
    <x v="1"/>
    <x v="1"/>
    <x v="1462"/>
    <x v="0"/>
    <x v="59"/>
    <x v="1"/>
    <x v="3"/>
    <x v="1003"/>
    <x v="150"/>
    <x v="1391"/>
    <x v="7"/>
  </r>
  <r>
    <x v="442"/>
    <x v="0"/>
    <x v="91"/>
    <x v="153"/>
    <x v="46"/>
    <x v="1"/>
    <x v="0"/>
    <x v="6"/>
    <x v="2"/>
    <x v="1942"/>
    <x v="2"/>
    <x v="85"/>
    <x v="1"/>
    <x v="3"/>
    <x v="1750"/>
    <x v="345"/>
    <x v="1724"/>
    <x v="7"/>
  </r>
  <r>
    <x v="442"/>
    <x v="1"/>
    <x v="91"/>
    <x v="153"/>
    <x v="32"/>
    <x v="1"/>
    <x v="0"/>
    <x v="6"/>
    <x v="1"/>
    <x v="1133"/>
    <x v="2"/>
    <x v="50"/>
    <x v="1"/>
    <x v="0"/>
    <x v="694"/>
    <x v="119"/>
    <x v="944"/>
    <x v="7"/>
  </r>
  <r>
    <x v="442"/>
    <x v="2"/>
    <x v="91"/>
    <x v="153"/>
    <x v="1"/>
    <x v="1"/>
    <x v="0"/>
    <x v="6"/>
    <x v="3"/>
    <x v="698"/>
    <x v="0"/>
    <x v="42"/>
    <x v="1"/>
    <x v="3"/>
    <x v="1192"/>
    <x v="262"/>
    <x v="644"/>
    <x v="7"/>
  </r>
  <r>
    <x v="443"/>
    <x v="0"/>
    <x v="44"/>
    <x v="245"/>
    <x v="13"/>
    <x v="2"/>
    <x v="1"/>
    <x v="9"/>
    <x v="2"/>
    <x v="1186"/>
    <x v="0"/>
    <x v="70"/>
    <x v="1"/>
    <x v="2"/>
    <x v="1460"/>
    <x v="298"/>
    <x v="677"/>
    <x v="7"/>
  </r>
  <r>
    <x v="443"/>
    <x v="1"/>
    <x v="44"/>
    <x v="245"/>
    <x v="22"/>
    <x v="2"/>
    <x v="1"/>
    <x v="9"/>
    <x v="2"/>
    <x v="951"/>
    <x v="0"/>
    <x v="34"/>
    <x v="1"/>
    <x v="2"/>
    <x v="1129"/>
    <x v="154"/>
    <x v="1570"/>
    <x v="7"/>
  </r>
  <r>
    <x v="444"/>
    <x v="0"/>
    <x v="62"/>
    <x v="77"/>
    <x v="74"/>
    <x v="3"/>
    <x v="0"/>
    <x v="1"/>
    <x v="6"/>
    <x v="2097"/>
    <x v="0"/>
    <x v="90"/>
    <x v="1"/>
    <x v="3"/>
    <x v="2270"/>
    <x v="549"/>
    <x v="2264"/>
    <x v="7"/>
  </r>
  <r>
    <x v="444"/>
    <x v="1"/>
    <x v="62"/>
    <x v="77"/>
    <x v="15"/>
    <x v="3"/>
    <x v="0"/>
    <x v="1"/>
    <x v="4"/>
    <x v="1021"/>
    <x v="3"/>
    <x v="38"/>
    <x v="1"/>
    <x v="2"/>
    <x v="1676"/>
    <x v="291"/>
    <x v="1829"/>
    <x v="7"/>
  </r>
  <r>
    <x v="444"/>
    <x v="2"/>
    <x v="62"/>
    <x v="77"/>
    <x v="20"/>
    <x v="3"/>
    <x v="0"/>
    <x v="1"/>
    <x v="3"/>
    <x v="177"/>
    <x v="0"/>
    <x v="5"/>
    <x v="1"/>
    <x v="3"/>
    <x v="374"/>
    <x v="44"/>
    <x v="780"/>
    <x v="7"/>
  </r>
  <r>
    <x v="444"/>
    <x v="3"/>
    <x v="62"/>
    <x v="77"/>
    <x v="8"/>
    <x v="3"/>
    <x v="0"/>
    <x v="1"/>
    <x v="1"/>
    <x v="759"/>
    <x v="3"/>
    <x v="28"/>
    <x v="1"/>
    <x v="1"/>
    <x v="438"/>
    <x v="64"/>
    <x v="703"/>
    <x v="7"/>
  </r>
  <r>
    <x v="445"/>
    <x v="0"/>
    <x v="138"/>
    <x v="208"/>
    <x v="4"/>
    <x v="2"/>
    <x v="1"/>
    <x v="1"/>
    <x v="1"/>
    <x v="1932"/>
    <x v="3"/>
    <x v="94"/>
    <x v="1"/>
    <x v="2"/>
    <x v="1131"/>
    <x v="249"/>
    <x v="658"/>
    <x v="7"/>
  </r>
  <r>
    <x v="445"/>
    <x v="1"/>
    <x v="138"/>
    <x v="208"/>
    <x v="11"/>
    <x v="2"/>
    <x v="1"/>
    <x v="1"/>
    <x v="2"/>
    <x v="2161"/>
    <x v="0"/>
    <x v="87"/>
    <x v="1"/>
    <x v="1"/>
    <x v="1897"/>
    <x v="348"/>
    <x v="1999"/>
    <x v="7"/>
  </r>
  <r>
    <x v="446"/>
    <x v="0"/>
    <x v="157"/>
    <x v="122"/>
    <x v="17"/>
    <x v="0"/>
    <x v="0"/>
    <x v="0"/>
    <x v="1"/>
    <x v="1963"/>
    <x v="4"/>
    <x v="92"/>
    <x v="1"/>
    <x v="2"/>
    <x v="1088"/>
    <x v="245"/>
    <x v="536"/>
    <x v="7"/>
  </r>
  <r>
    <x v="446"/>
    <x v="1"/>
    <x v="157"/>
    <x v="122"/>
    <x v="66"/>
    <x v="0"/>
    <x v="0"/>
    <x v="0"/>
    <x v="4"/>
    <x v="466"/>
    <x v="3"/>
    <x v="21"/>
    <x v="1"/>
    <x v="3"/>
    <x v="859"/>
    <x v="190"/>
    <x v="568"/>
    <x v="7"/>
  </r>
  <r>
    <x v="446"/>
    <x v="2"/>
    <x v="157"/>
    <x v="122"/>
    <x v="50"/>
    <x v="0"/>
    <x v="0"/>
    <x v="0"/>
    <x v="1"/>
    <x v="2040"/>
    <x v="0"/>
    <x v="77"/>
    <x v="1"/>
    <x v="2"/>
    <x v="1377"/>
    <x v="200"/>
    <x v="1694"/>
    <x v="7"/>
  </r>
  <r>
    <x v="447"/>
    <x v="0"/>
    <x v="226"/>
    <x v="10"/>
    <x v="13"/>
    <x v="3"/>
    <x v="0"/>
    <x v="2"/>
    <x v="1"/>
    <x v="1355"/>
    <x v="0"/>
    <x v="70"/>
    <x v="1"/>
    <x v="2"/>
    <x v="889"/>
    <x v="180"/>
    <x v="872"/>
    <x v="7"/>
  </r>
  <r>
    <x v="447"/>
    <x v="1"/>
    <x v="226"/>
    <x v="10"/>
    <x v="79"/>
    <x v="3"/>
    <x v="0"/>
    <x v="2"/>
    <x v="4"/>
    <x v="1509"/>
    <x v="2"/>
    <x v="64"/>
    <x v="1"/>
    <x v="0"/>
    <x v="2000"/>
    <x v="421"/>
    <x v="1992"/>
    <x v="7"/>
  </r>
  <r>
    <x v="447"/>
    <x v="2"/>
    <x v="226"/>
    <x v="10"/>
    <x v="60"/>
    <x v="3"/>
    <x v="0"/>
    <x v="2"/>
    <x v="2"/>
    <x v="540"/>
    <x v="3"/>
    <x v="27"/>
    <x v="1"/>
    <x v="2"/>
    <x v="563"/>
    <x v="128"/>
    <x v="97"/>
    <x v="7"/>
  </r>
  <r>
    <x v="448"/>
    <x v="0"/>
    <x v="207"/>
    <x v="232"/>
    <x v="20"/>
    <x v="2"/>
    <x v="1"/>
    <x v="3"/>
    <x v="2"/>
    <x v="170"/>
    <x v="0"/>
    <x v="5"/>
    <x v="1"/>
    <x v="3"/>
    <x v="241"/>
    <x v="26"/>
    <x v="580"/>
    <x v="7"/>
  </r>
  <r>
    <x v="448"/>
    <x v="1"/>
    <x v="207"/>
    <x v="232"/>
    <x v="67"/>
    <x v="2"/>
    <x v="1"/>
    <x v="3"/>
    <x v="1"/>
    <x v="1023"/>
    <x v="0"/>
    <x v="43"/>
    <x v="1"/>
    <x v="2"/>
    <x v="675"/>
    <x v="103"/>
    <x v="1021"/>
    <x v="7"/>
  </r>
  <r>
    <x v="448"/>
    <x v="2"/>
    <x v="207"/>
    <x v="232"/>
    <x v="2"/>
    <x v="2"/>
    <x v="1"/>
    <x v="3"/>
    <x v="2"/>
    <x v="870"/>
    <x v="0"/>
    <x v="48"/>
    <x v="1"/>
    <x v="1"/>
    <x v="1030"/>
    <x v="216"/>
    <x v="852"/>
    <x v="7"/>
  </r>
  <r>
    <x v="448"/>
    <x v="3"/>
    <x v="207"/>
    <x v="232"/>
    <x v="35"/>
    <x v="2"/>
    <x v="1"/>
    <x v="3"/>
    <x v="5"/>
    <x v="260"/>
    <x v="0"/>
    <x v="11"/>
    <x v="1"/>
    <x v="0"/>
    <x v="766"/>
    <x v="120"/>
    <x v="1106"/>
    <x v="7"/>
  </r>
  <r>
    <x v="449"/>
    <x v="0"/>
    <x v="183"/>
    <x v="162"/>
    <x v="30"/>
    <x v="2"/>
    <x v="0"/>
    <x v="6"/>
    <x v="1"/>
    <x v="281"/>
    <x v="0"/>
    <x v="13"/>
    <x v="1"/>
    <x v="1"/>
    <x v="164"/>
    <x v="24"/>
    <x v="305"/>
    <x v="7"/>
  </r>
  <r>
    <x v="449"/>
    <x v="1"/>
    <x v="183"/>
    <x v="162"/>
    <x v="32"/>
    <x v="2"/>
    <x v="0"/>
    <x v="6"/>
    <x v="1"/>
    <x v="1146"/>
    <x v="0"/>
    <x v="50"/>
    <x v="2"/>
    <x v="1"/>
    <x v="776"/>
    <x v="119"/>
    <x v="1154"/>
    <x v="7"/>
  </r>
  <r>
    <x v="449"/>
    <x v="2"/>
    <x v="183"/>
    <x v="162"/>
    <x v="15"/>
    <x v="2"/>
    <x v="0"/>
    <x v="6"/>
    <x v="1"/>
    <x v="1036"/>
    <x v="4"/>
    <x v="38"/>
    <x v="1"/>
    <x v="1"/>
    <x v="578"/>
    <x v="93"/>
    <x v="819"/>
    <x v="7"/>
  </r>
  <r>
    <x v="450"/>
    <x v="0"/>
    <x v="89"/>
    <x v="126"/>
    <x v="98"/>
    <x v="3"/>
    <x v="1"/>
    <x v="8"/>
    <x v="1"/>
    <x v="1279"/>
    <x v="1"/>
    <x v="65"/>
    <x v="1"/>
    <x v="2"/>
    <x v="818"/>
    <x v="169"/>
    <x v="660"/>
    <x v="7"/>
  </r>
  <r>
    <x v="451"/>
    <x v="0"/>
    <x v="261"/>
    <x v="254"/>
    <x v="17"/>
    <x v="1"/>
    <x v="1"/>
    <x v="7"/>
    <x v="4"/>
    <x v="1935"/>
    <x v="0"/>
    <x v="92"/>
    <x v="1"/>
    <x v="0"/>
    <x v="2137"/>
    <x v="496"/>
    <x v="2070"/>
    <x v="7"/>
  </r>
  <r>
    <x v="451"/>
    <x v="1"/>
    <x v="261"/>
    <x v="254"/>
    <x v="0"/>
    <x v="1"/>
    <x v="1"/>
    <x v="7"/>
    <x v="7"/>
    <x v="841"/>
    <x v="1"/>
    <x v="32"/>
    <x v="1"/>
    <x v="1"/>
    <x v="2149"/>
    <x v="460"/>
    <x v="2212"/>
    <x v="7"/>
  </r>
  <r>
    <x v="451"/>
    <x v="2"/>
    <x v="261"/>
    <x v="254"/>
    <x v="68"/>
    <x v="1"/>
    <x v="1"/>
    <x v="7"/>
    <x v="1"/>
    <x v="2289"/>
    <x v="4"/>
    <x v="83"/>
    <x v="1"/>
    <x v="3"/>
    <x v="2289"/>
    <x v="218"/>
    <x v="2285"/>
    <x v="4"/>
  </r>
  <r>
    <x v="452"/>
    <x v="0"/>
    <x v="17"/>
    <x v="81"/>
    <x v="74"/>
    <x v="2"/>
    <x v="1"/>
    <x v="1"/>
    <x v="2"/>
    <x v="1875"/>
    <x v="0"/>
    <x v="90"/>
    <x v="1"/>
    <x v="1"/>
    <x v="1809"/>
    <x v="359"/>
    <x v="1741"/>
    <x v="7"/>
  </r>
  <r>
    <x v="452"/>
    <x v="1"/>
    <x v="17"/>
    <x v="81"/>
    <x v="43"/>
    <x v="2"/>
    <x v="1"/>
    <x v="1"/>
    <x v="2"/>
    <x v="38"/>
    <x v="0"/>
    <x v="1"/>
    <x v="1"/>
    <x v="2"/>
    <x v="67"/>
    <x v="8"/>
    <x v="229"/>
    <x v="7"/>
  </r>
  <r>
    <x v="452"/>
    <x v="2"/>
    <x v="17"/>
    <x v="81"/>
    <x v="71"/>
    <x v="2"/>
    <x v="1"/>
    <x v="1"/>
    <x v="1"/>
    <x v="169"/>
    <x v="3"/>
    <x v="6"/>
    <x v="1"/>
    <x v="0"/>
    <x v="70"/>
    <x v="10"/>
    <x v="202"/>
    <x v="7"/>
  </r>
  <r>
    <x v="452"/>
    <x v="3"/>
    <x v="17"/>
    <x v="81"/>
    <x v="91"/>
    <x v="2"/>
    <x v="1"/>
    <x v="1"/>
    <x v="2"/>
    <x v="2013"/>
    <x v="0"/>
    <x v="81"/>
    <x v="1"/>
    <x v="0"/>
    <x v="1849"/>
    <x v="331"/>
    <x v="1990"/>
    <x v="7"/>
  </r>
  <r>
    <x v="453"/>
    <x v="0"/>
    <x v="196"/>
    <x v="137"/>
    <x v="6"/>
    <x v="3"/>
    <x v="0"/>
    <x v="2"/>
    <x v="2"/>
    <x v="1485"/>
    <x v="0"/>
    <x v="76"/>
    <x v="0"/>
    <x v="0"/>
    <x v="1654"/>
    <x v="318"/>
    <x v="1544"/>
    <x v="7"/>
  </r>
  <r>
    <x v="453"/>
    <x v="1"/>
    <x v="196"/>
    <x v="137"/>
    <x v="44"/>
    <x v="3"/>
    <x v="0"/>
    <x v="2"/>
    <x v="1"/>
    <x v="1413"/>
    <x v="4"/>
    <x v="57"/>
    <x v="1"/>
    <x v="3"/>
    <x v="797"/>
    <x v="144"/>
    <x v="954"/>
    <x v="7"/>
  </r>
  <r>
    <x v="453"/>
    <x v="2"/>
    <x v="196"/>
    <x v="137"/>
    <x v="23"/>
    <x v="3"/>
    <x v="0"/>
    <x v="2"/>
    <x v="4"/>
    <x v="762"/>
    <x v="0"/>
    <x v="41"/>
    <x v="0"/>
    <x v="2"/>
    <x v="1583"/>
    <x v="301"/>
    <x v="1322"/>
    <x v="7"/>
  </r>
  <r>
    <x v="454"/>
    <x v="0"/>
    <x v="74"/>
    <x v="152"/>
    <x v="83"/>
    <x v="0"/>
    <x v="0"/>
    <x v="3"/>
    <x v="1"/>
    <x v="140"/>
    <x v="0"/>
    <x v="8"/>
    <x v="1"/>
    <x v="3"/>
    <x v="80"/>
    <x v="12"/>
    <x v="204"/>
    <x v="7"/>
  </r>
  <r>
    <x v="454"/>
    <x v="1"/>
    <x v="74"/>
    <x v="152"/>
    <x v="27"/>
    <x v="0"/>
    <x v="0"/>
    <x v="3"/>
    <x v="2"/>
    <x v="1472"/>
    <x v="0"/>
    <x v="61"/>
    <x v="1"/>
    <x v="3"/>
    <x v="1645"/>
    <x v="276"/>
    <x v="1845"/>
    <x v="7"/>
  </r>
  <r>
    <x v="454"/>
    <x v="2"/>
    <x v="74"/>
    <x v="152"/>
    <x v="30"/>
    <x v="0"/>
    <x v="0"/>
    <x v="3"/>
    <x v="2"/>
    <x v="333"/>
    <x v="2"/>
    <x v="13"/>
    <x v="1"/>
    <x v="2"/>
    <x v="347"/>
    <x v="57"/>
    <x v="582"/>
    <x v="7"/>
  </r>
  <r>
    <x v="455"/>
    <x v="0"/>
    <x v="205"/>
    <x v="222"/>
    <x v="93"/>
    <x v="2"/>
    <x v="2"/>
    <x v="9"/>
    <x v="1"/>
    <x v="414"/>
    <x v="0"/>
    <x v="24"/>
    <x v="1"/>
    <x v="2"/>
    <x v="256"/>
    <x v="56"/>
    <x v="150"/>
    <x v="7"/>
  </r>
  <r>
    <x v="455"/>
    <x v="1"/>
    <x v="205"/>
    <x v="222"/>
    <x v="46"/>
    <x v="2"/>
    <x v="2"/>
    <x v="9"/>
    <x v="2"/>
    <x v="1974"/>
    <x v="3"/>
    <x v="85"/>
    <x v="1"/>
    <x v="2"/>
    <x v="1720"/>
    <x v="345"/>
    <x v="1596"/>
    <x v="7"/>
  </r>
  <r>
    <x v="455"/>
    <x v="2"/>
    <x v="205"/>
    <x v="222"/>
    <x v="77"/>
    <x v="2"/>
    <x v="2"/>
    <x v="9"/>
    <x v="1"/>
    <x v="222"/>
    <x v="3"/>
    <x v="9"/>
    <x v="1"/>
    <x v="2"/>
    <x v="93"/>
    <x v="16"/>
    <x v="190"/>
    <x v="7"/>
  </r>
  <r>
    <x v="456"/>
    <x v="0"/>
    <x v="242"/>
    <x v="42"/>
    <x v="94"/>
    <x v="3"/>
    <x v="0"/>
    <x v="3"/>
    <x v="4"/>
    <x v="1706"/>
    <x v="4"/>
    <x v="71"/>
    <x v="2"/>
    <x v="1"/>
    <x v="2012"/>
    <x v="438"/>
    <x v="1941"/>
    <x v="7"/>
  </r>
  <r>
    <x v="456"/>
    <x v="1"/>
    <x v="242"/>
    <x v="42"/>
    <x v="5"/>
    <x v="3"/>
    <x v="0"/>
    <x v="3"/>
    <x v="1"/>
    <x v="701"/>
    <x v="2"/>
    <x v="31"/>
    <x v="1"/>
    <x v="3"/>
    <x v="424"/>
    <x v="70"/>
    <x v="597"/>
    <x v="7"/>
  </r>
  <r>
    <x v="456"/>
    <x v="2"/>
    <x v="242"/>
    <x v="42"/>
    <x v="96"/>
    <x v="3"/>
    <x v="0"/>
    <x v="3"/>
    <x v="1"/>
    <x v="529"/>
    <x v="0"/>
    <x v="22"/>
    <x v="1"/>
    <x v="0"/>
    <x v="318"/>
    <x v="53"/>
    <x v="453"/>
    <x v="7"/>
  </r>
  <r>
    <x v="457"/>
    <x v="0"/>
    <x v="183"/>
    <x v="134"/>
    <x v="27"/>
    <x v="3"/>
    <x v="1"/>
    <x v="5"/>
    <x v="6"/>
    <x v="1490"/>
    <x v="0"/>
    <x v="61"/>
    <x v="1"/>
    <x v="2"/>
    <x v="2227"/>
    <x v="521"/>
    <x v="2250"/>
    <x v="7"/>
  </r>
  <r>
    <x v="457"/>
    <x v="1"/>
    <x v="183"/>
    <x v="134"/>
    <x v="47"/>
    <x v="3"/>
    <x v="1"/>
    <x v="5"/>
    <x v="6"/>
    <x v="1438"/>
    <x v="3"/>
    <x v="82"/>
    <x v="1"/>
    <x v="3"/>
    <x v="2197"/>
    <x v="543"/>
    <x v="6"/>
    <x v="7"/>
  </r>
  <r>
    <x v="457"/>
    <x v="2"/>
    <x v="183"/>
    <x v="134"/>
    <x v="35"/>
    <x v="3"/>
    <x v="1"/>
    <x v="5"/>
    <x v="3"/>
    <x v="240"/>
    <x v="0"/>
    <x v="11"/>
    <x v="1"/>
    <x v="1"/>
    <x v="455"/>
    <x v="71"/>
    <x v="733"/>
    <x v="7"/>
  </r>
  <r>
    <x v="457"/>
    <x v="3"/>
    <x v="183"/>
    <x v="134"/>
    <x v="5"/>
    <x v="3"/>
    <x v="1"/>
    <x v="5"/>
    <x v="1"/>
    <x v="708"/>
    <x v="0"/>
    <x v="31"/>
    <x v="0"/>
    <x v="2"/>
    <x v="457"/>
    <x v="70"/>
    <x v="762"/>
    <x v="7"/>
  </r>
  <r>
    <x v="458"/>
    <x v="0"/>
    <x v="11"/>
    <x v="56"/>
    <x v="69"/>
    <x v="0"/>
    <x v="1"/>
    <x v="4"/>
    <x v="3"/>
    <x v="124"/>
    <x v="2"/>
    <x v="10"/>
    <x v="1"/>
    <x v="1"/>
    <x v="279"/>
    <x v="61"/>
    <x v="73"/>
    <x v="7"/>
  </r>
  <r>
    <x v="459"/>
    <x v="0"/>
    <x v="71"/>
    <x v="236"/>
    <x v="59"/>
    <x v="2"/>
    <x v="0"/>
    <x v="1"/>
    <x v="2"/>
    <x v="1117"/>
    <x v="1"/>
    <x v="60"/>
    <x v="1"/>
    <x v="1"/>
    <x v="1327"/>
    <x v="270"/>
    <x v="815"/>
    <x v="7"/>
  </r>
  <r>
    <x v="460"/>
    <x v="0"/>
    <x v="253"/>
    <x v="70"/>
    <x v="6"/>
    <x v="2"/>
    <x v="1"/>
    <x v="9"/>
    <x v="2"/>
    <x v="1447"/>
    <x v="3"/>
    <x v="76"/>
    <x v="2"/>
    <x v="3"/>
    <x v="1541"/>
    <x v="318"/>
    <x v="728"/>
    <x v="7"/>
  </r>
  <r>
    <x v="461"/>
    <x v="0"/>
    <x v="237"/>
    <x v="181"/>
    <x v="99"/>
    <x v="1"/>
    <x v="0"/>
    <x v="1"/>
    <x v="1"/>
    <x v="2171"/>
    <x v="0"/>
    <x v="80"/>
    <x v="1"/>
    <x v="2"/>
    <x v="1441"/>
    <x v="209"/>
    <x v="1732"/>
    <x v="7"/>
  </r>
  <r>
    <x v="461"/>
    <x v="1"/>
    <x v="237"/>
    <x v="181"/>
    <x v="96"/>
    <x v="1"/>
    <x v="0"/>
    <x v="1"/>
    <x v="1"/>
    <x v="508"/>
    <x v="1"/>
    <x v="22"/>
    <x v="1"/>
    <x v="3"/>
    <x v="291"/>
    <x v="53"/>
    <x v="311"/>
    <x v="7"/>
  </r>
  <r>
    <x v="461"/>
    <x v="2"/>
    <x v="237"/>
    <x v="181"/>
    <x v="30"/>
    <x v="1"/>
    <x v="0"/>
    <x v="1"/>
    <x v="4"/>
    <x v="264"/>
    <x v="4"/>
    <x v="13"/>
    <x v="1"/>
    <x v="3"/>
    <x v="528"/>
    <x v="114"/>
    <x v="314"/>
    <x v="7"/>
  </r>
  <r>
    <x v="462"/>
    <x v="0"/>
    <x v="36"/>
    <x v="68"/>
    <x v="59"/>
    <x v="1"/>
    <x v="2"/>
    <x v="0"/>
    <x v="3"/>
    <x v="1188"/>
    <x v="0"/>
    <x v="60"/>
    <x v="2"/>
    <x v="2"/>
    <x v="1709"/>
    <x v="342"/>
    <x v="1567"/>
    <x v="7"/>
  </r>
  <r>
    <x v="462"/>
    <x v="1"/>
    <x v="36"/>
    <x v="68"/>
    <x v="78"/>
    <x v="1"/>
    <x v="2"/>
    <x v="0"/>
    <x v="1"/>
    <x v="593"/>
    <x v="0"/>
    <x v="20"/>
    <x v="1"/>
    <x v="2"/>
    <x v="367"/>
    <x v="48"/>
    <x v="736"/>
    <x v="7"/>
  </r>
  <r>
    <x v="463"/>
    <x v="0"/>
    <x v="254"/>
    <x v="244"/>
    <x v="57"/>
    <x v="3"/>
    <x v="2"/>
    <x v="1"/>
    <x v="1"/>
    <x v="639"/>
    <x v="0"/>
    <x v="25"/>
    <x v="1"/>
    <x v="2"/>
    <x v="414"/>
    <x v="58"/>
    <x v="715"/>
    <x v="7"/>
  </r>
  <r>
    <x v="463"/>
    <x v="1"/>
    <x v="254"/>
    <x v="244"/>
    <x v="10"/>
    <x v="3"/>
    <x v="2"/>
    <x v="1"/>
    <x v="1"/>
    <x v="315"/>
    <x v="0"/>
    <x v="14"/>
    <x v="1"/>
    <x v="0"/>
    <x v="185"/>
    <x v="31"/>
    <x v="271"/>
    <x v="7"/>
  </r>
  <r>
    <x v="464"/>
    <x v="0"/>
    <x v="262"/>
    <x v="246"/>
    <x v="98"/>
    <x v="3"/>
    <x v="0"/>
    <x v="5"/>
    <x v="1"/>
    <x v="1198"/>
    <x v="4"/>
    <x v="65"/>
    <x v="1"/>
    <x v="0"/>
    <x v="660"/>
    <x v="169"/>
    <x v="14"/>
    <x v="7"/>
  </r>
  <r>
    <x v="465"/>
    <x v="0"/>
    <x v="35"/>
    <x v="178"/>
    <x v="46"/>
    <x v="3"/>
    <x v="2"/>
    <x v="6"/>
    <x v="5"/>
    <x v="1724"/>
    <x v="0"/>
    <x v="85"/>
    <x v="1"/>
    <x v="1"/>
    <x v="2174"/>
    <x v="507"/>
    <x v="2130"/>
    <x v="7"/>
  </r>
  <r>
    <x v="465"/>
    <x v="1"/>
    <x v="35"/>
    <x v="178"/>
    <x v="80"/>
    <x v="3"/>
    <x v="2"/>
    <x v="6"/>
    <x v="5"/>
    <x v="1144"/>
    <x v="4"/>
    <x v="56"/>
    <x v="1"/>
    <x v="1"/>
    <x v="1885"/>
    <x v="418"/>
    <x v="1144"/>
    <x v="7"/>
  </r>
  <r>
    <x v="465"/>
    <x v="2"/>
    <x v="35"/>
    <x v="178"/>
    <x v="93"/>
    <x v="3"/>
    <x v="2"/>
    <x v="6"/>
    <x v="3"/>
    <x v="477"/>
    <x v="1"/>
    <x v="24"/>
    <x v="1"/>
    <x v="1"/>
    <x v="758"/>
    <x v="160"/>
    <x v="499"/>
    <x v="7"/>
  </r>
  <r>
    <x v="466"/>
    <x v="0"/>
    <x v="246"/>
    <x v="129"/>
    <x v="25"/>
    <x v="1"/>
    <x v="1"/>
    <x v="6"/>
    <x v="2"/>
    <x v="2122"/>
    <x v="0"/>
    <x v="72"/>
    <x v="1"/>
    <x v="1"/>
    <x v="1884"/>
    <x v="306"/>
    <x v="2091"/>
    <x v="7"/>
  </r>
  <r>
    <x v="467"/>
    <x v="0"/>
    <x v="180"/>
    <x v="228"/>
    <x v="72"/>
    <x v="1"/>
    <x v="2"/>
    <x v="3"/>
    <x v="2"/>
    <x v="1247"/>
    <x v="0"/>
    <x v="66"/>
    <x v="1"/>
    <x v="0"/>
    <x v="1523"/>
    <x v="290"/>
    <x v="1078"/>
    <x v="7"/>
  </r>
  <r>
    <x v="468"/>
    <x v="0"/>
    <x v="39"/>
    <x v="118"/>
    <x v="52"/>
    <x v="0"/>
    <x v="1"/>
    <x v="8"/>
    <x v="2"/>
    <x v="1050"/>
    <x v="0"/>
    <x v="40"/>
    <x v="1"/>
    <x v="2"/>
    <x v="1276"/>
    <x v="176"/>
    <x v="1670"/>
    <x v="7"/>
  </r>
  <r>
    <x v="468"/>
    <x v="1"/>
    <x v="39"/>
    <x v="118"/>
    <x v="67"/>
    <x v="0"/>
    <x v="1"/>
    <x v="8"/>
    <x v="3"/>
    <x v="1069"/>
    <x v="0"/>
    <x v="43"/>
    <x v="1"/>
    <x v="3"/>
    <x v="1639"/>
    <x v="265"/>
    <x v="1889"/>
    <x v="7"/>
  </r>
  <r>
    <x v="468"/>
    <x v="2"/>
    <x v="39"/>
    <x v="118"/>
    <x v="16"/>
    <x v="0"/>
    <x v="1"/>
    <x v="8"/>
    <x v="1"/>
    <x v="1261"/>
    <x v="0"/>
    <x v="51"/>
    <x v="1"/>
    <x v="1"/>
    <x v="846"/>
    <x v="123"/>
    <x v="1287"/>
    <x v="7"/>
  </r>
  <r>
    <x v="468"/>
    <x v="3"/>
    <x v="39"/>
    <x v="118"/>
    <x v="26"/>
    <x v="0"/>
    <x v="1"/>
    <x v="8"/>
    <x v="2"/>
    <x v="2150"/>
    <x v="0"/>
    <x v="74"/>
    <x v="1"/>
    <x v="1"/>
    <x v="1893"/>
    <x v="313"/>
    <x v="2089"/>
    <x v="7"/>
  </r>
  <r>
    <x v="468"/>
    <x v="4"/>
    <x v="39"/>
    <x v="118"/>
    <x v="55"/>
    <x v="0"/>
    <x v="1"/>
    <x v="8"/>
    <x v="2"/>
    <x v="1035"/>
    <x v="1"/>
    <x v="54"/>
    <x v="2"/>
    <x v="0"/>
    <x v="1187"/>
    <x v="242"/>
    <x v="960"/>
    <x v="7"/>
  </r>
  <r>
    <x v="469"/>
    <x v="0"/>
    <x v="239"/>
    <x v="255"/>
    <x v="19"/>
    <x v="0"/>
    <x v="0"/>
    <x v="3"/>
    <x v="1"/>
    <x v="478"/>
    <x v="1"/>
    <x v="16"/>
    <x v="1"/>
    <x v="1"/>
    <x v="262"/>
    <x v="38"/>
    <x v="514"/>
    <x v="7"/>
  </r>
  <r>
    <x v="470"/>
    <x v="0"/>
    <x v="189"/>
    <x v="108"/>
    <x v="79"/>
    <x v="1"/>
    <x v="0"/>
    <x v="5"/>
    <x v="1"/>
    <x v="1601"/>
    <x v="1"/>
    <x v="64"/>
    <x v="2"/>
    <x v="2"/>
    <x v="1067"/>
    <x v="168"/>
    <x v="1348"/>
    <x v="7"/>
  </r>
  <r>
    <x v="470"/>
    <x v="1"/>
    <x v="189"/>
    <x v="108"/>
    <x v="16"/>
    <x v="1"/>
    <x v="0"/>
    <x v="5"/>
    <x v="6"/>
    <x v="1407"/>
    <x v="0"/>
    <x v="51"/>
    <x v="0"/>
    <x v="1"/>
    <x v="2216"/>
    <x v="484"/>
    <x v="2266"/>
    <x v="7"/>
  </r>
  <r>
    <x v="470"/>
    <x v="2"/>
    <x v="189"/>
    <x v="108"/>
    <x v="91"/>
    <x v="1"/>
    <x v="0"/>
    <x v="5"/>
    <x v="5"/>
    <x v="2217"/>
    <x v="0"/>
    <x v="81"/>
    <x v="1"/>
    <x v="2"/>
    <x v="2223"/>
    <x v="501"/>
    <x v="2258"/>
    <x v="7"/>
  </r>
  <r>
    <x v="471"/>
    <x v="0"/>
    <x v="98"/>
    <x v="174"/>
    <x v="72"/>
    <x v="3"/>
    <x v="1"/>
    <x v="0"/>
    <x v="4"/>
    <x v="1296"/>
    <x v="4"/>
    <x v="66"/>
    <x v="1"/>
    <x v="3"/>
    <x v="1834"/>
    <x v="425"/>
    <x v="70"/>
    <x v="7"/>
  </r>
  <r>
    <x v="472"/>
    <x v="0"/>
    <x v="138"/>
    <x v="115"/>
    <x v="83"/>
    <x v="3"/>
    <x v="2"/>
    <x v="4"/>
    <x v="5"/>
    <x v="120"/>
    <x v="4"/>
    <x v="8"/>
    <x v="1"/>
    <x v="1"/>
    <x v="404"/>
    <x v="86"/>
    <x v="211"/>
    <x v="7"/>
  </r>
  <r>
    <x v="472"/>
    <x v="1"/>
    <x v="138"/>
    <x v="115"/>
    <x v="24"/>
    <x v="3"/>
    <x v="2"/>
    <x v="4"/>
    <x v="1"/>
    <x v="567"/>
    <x v="0"/>
    <x v="19"/>
    <x v="1"/>
    <x v="1"/>
    <x v="348"/>
    <x v="43"/>
    <x v="720"/>
    <x v="7"/>
  </r>
  <r>
    <x v="472"/>
    <x v="2"/>
    <x v="138"/>
    <x v="115"/>
    <x v="71"/>
    <x v="3"/>
    <x v="2"/>
    <x v="4"/>
    <x v="2"/>
    <x v="176"/>
    <x v="2"/>
    <x v="6"/>
    <x v="1"/>
    <x v="1"/>
    <x v="224"/>
    <x v="27"/>
    <x v="484"/>
    <x v="7"/>
  </r>
  <r>
    <x v="472"/>
    <x v="3"/>
    <x v="138"/>
    <x v="115"/>
    <x v="58"/>
    <x v="3"/>
    <x v="2"/>
    <x v="4"/>
    <x v="4"/>
    <x v="2027"/>
    <x v="2"/>
    <x v="99"/>
    <x v="1"/>
    <x v="3"/>
    <x v="2112"/>
    <x v="516"/>
    <x v="1080"/>
    <x v="7"/>
  </r>
  <r>
    <x v="472"/>
    <x v="4"/>
    <x v="138"/>
    <x v="115"/>
    <x v="45"/>
    <x v="3"/>
    <x v="2"/>
    <x v="4"/>
    <x v="1"/>
    <x v="8"/>
    <x v="0"/>
    <x v="0"/>
    <x v="1"/>
    <x v="2"/>
    <x v="9"/>
    <x v="1"/>
    <x v="69"/>
    <x v="7"/>
  </r>
  <r>
    <x v="473"/>
    <x v="0"/>
    <x v="81"/>
    <x v="15"/>
    <x v="82"/>
    <x v="2"/>
    <x v="0"/>
    <x v="7"/>
    <x v="1"/>
    <x v="2083"/>
    <x v="0"/>
    <x v="96"/>
    <x v="0"/>
    <x v="3"/>
    <x v="1400"/>
    <x v="259"/>
    <x v="1303"/>
    <x v="7"/>
  </r>
  <r>
    <x v="473"/>
    <x v="1"/>
    <x v="81"/>
    <x v="15"/>
    <x v="62"/>
    <x v="2"/>
    <x v="0"/>
    <x v="7"/>
    <x v="1"/>
    <x v="1361"/>
    <x v="0"/>
    <x v="67"/>
    <x v="1"/>
    <x v="1"/>
    <x v="897"/>
    <x v="177"/>
    <x v="921"/>
    <x v="7"/>
  </r>
  <r>
    <x v="474"/>
    <x v="0"/>
    <x v="81"/>
    <x v="27"/>
    <x v="42"/>
    <x v="2"/>
    <x v="2"/>
    <x v="6"/>
    <x v="5"/>
    <x v="523"/>
    <x v="0"/>
    <x v="23"/>
    <x v="1"/>
    <x v="3"/>
    <x v="1352"/>
    <x v="254"/>
    <x v="1232"/>
    <x v="7"/>
  </r>
  <r>
    <x v="475"/>
    <x v="0"/>
    <x v="63"/>
    <x v="169"/>
    <x v="57"/>
    <x v="2"/>
    <x v="0"/>
    <x v="6"/>
    <x v="4"/>
    <x v="670"/>
    <x v="0"/>
    <x v="25"/>
    <x v="1"/>
    <x v="0"/>
    <x v="1463"/>
    <x v="220"/>
    <x v="1731"/>
    <x v="7"/>
  </r>
  <r>
    <x v="475"/>
    <x v="1"/>
    <x v="63"/>
    <x v="169"/>
    <x v="71"/>
    <x v="2"/>
    <x v="0"/>
    <x v="6"/>
    <x v="1"/>
    <x v="183"/>
    <x v="4"/>
    <x v="6"/>
    <x v="1"/>
    <x v="2"/>
    <x v="66"/>
    <x v="10"/>
    <x v="187"/>
    <x v="7"/>
  </r>
  <r>
    <x v="475"/>
    <x v="2"/>
    <x v="63"/>
    <x v="169"/>
    <x v="14"/>
    <x v="2"/>
    <x v="0"/>
    <x v="6"/>
    <x v="3"/>
    <x v="201"/>
    <x v="0"/>
    <x v="7"/>
    <x v="1"/>
    <x v="3"/>
    <x v="405"/>
    <x v="47"/>
    <x v="824"/>
    <x v="7"/>
  </r>
  <r>
    <x v="476"/>
    <x v="0"/>
    <x v="76"/>
    <x v="242"/>
    <x v="25"/>
    <x v="2"/>
    <x v="0"/>
    <x v="7"/>
    <x v="1"/>
    <x v="1900"/>
    <x v="2"/>
    <x v="72"/>
    <x v="1"/>
    <x v="2"/>
    <x v="1178"/>
    <x v="189"/>
    <x v="1469"/>
    <x v="7"/>
  </r>
  <r>
    <x v="476"/>
    <x v="1"/>
    <x v="76"/>
    <x v="242"/>
    <x v="22"/>
    <x v="2"/>
    <x v="0"/>
    <x v="7"/>
    <x v="3"/>
    <x v="961"/>
    <x v="0"/>
    <x v="34"/>
    <x v="1"/>
    <x v="2"/>
    <x v="1560"/>
    <x v="227"/>
    <x v="1853"/>
    <x v="7"/>
  </r>
  <r>
    <x v="477"/>
    <x v="0"/>
    <x v="48"/>
    <x v="37"/>
    <x v="85"/>
    <x v="0"/>
    <x v="2"/>
    <x v="6"/>
    <x v="2"/>
    <x v="1828"/>
    <x v="0"/>
    <x v="88"/>
    <x v="1"/>
    <x v="1"/>
    <x v="1792"/>
    <x v="351"/>
    <x v="1771"/>
    <x v="7"/>
  </r>
  <r>
    <x v="477"/>
    <x v="1"/>
    <x v="48"/>
    <x v="37"/>
    <x v="16"/>
    <x v="0"/>
    <x v="2"/>
    <x v="6"/>
    <x v="1"/>
    <x v="1380"/>
    <x v="2"/>
    <x v="51"/>
    <x v="1"/>
    <x v="2"/>
    <x v="842"/>
    <x v="123"/>
    <x v="1278"/>
    <x v="7"/>
  </r>
  <r>
    <x v="477"/>
    <x v="2"/>
    <x v="48"/>
    <x v="37"/>
    <x v="74"/>
    <x v="0"/>
    <x v="2"/>
    <x v="6"/>
    <x v="3"/>
    <x v="2035"/>
    <x v="3"/>
    <x v="90"/>
    <x v="1"/>
    <x v="0"/>
    <x v="1977"/>
    <x v="441"/>
    <x v="1720"/>
    <x v="7"/>
  </r>
  <r>
    <x v="478"/>
    <x v="0"/>
    <x v="160"/>
    <x v="215"/>
    <x v="96"/>
    <x v="2"/>
    <x v="1"/>
    <x v="8"/>
    <x v="1"/>
    <x v="530"/>
    <x v="1"/>
    <x v="22"/>
    <x v="1"/>
    <x v="1"/>
    <x v="297"/>
    <x v="53"/>
    <x v="386"/>
    <x v="7"/>
  </r>
  <r>
    <x v="478"/>
    <x v="1"/>
    <x v="160"/>
    <x v="215"/>
    <x v="76"/>
    <x v="2"/>
    <x v="1"/>
    <x v="8"/>
    <x v="3"/>
    <x v="886"/>
    <x v="4"/>
    <x v="36"/>
    <x v="1"/>
    <x v="2"/>
    <x v="1249"/>
    <x v="238"/>
    <x v="1152"/>
    <x v="7"/>
  </r>
  <r>
    <x v="478"/>
    <x v="2"/>
    <x v="160"/>
    <x v="215"/>
    <x v="35"/>
    <x v="2"/>
    <x v="1"/>
    <x v="8"/>
    <x v="1"/>
    <x v="268"/>
    <x v="0"/>
    <x v="11"/>
    <x v="2"/>
    <x v="0"/>
    <x v="155"/>
    <x v="20"/>
    <x v="391"/>
    <x v="7"/>
  </r>
  <r>
    <x v="479"/>
    <x v="0"/>
    <x v="190"/>
    <x v="112"/>
    <x v="4"/>
    <x v="1"/>
    <x v="0"/>
    <x v="6"/>
    <x v="3"/>
    <x v="1868"/>
    <x v="0"/>
    <x v="94"/>
    <x v="1"/>
    <x v="2"/>
    <x v="2021"/>
    <x v="448"/>
    <x v="1901"/>
    <x v="7"/>
  </r>
  <r>
    <x v="479"/>
    <x v="1"/>
    <x v="190"/>
    <x v="112"/>
    <x v="54"/>
    <x v="1"/>
    <x v="0"/>
    <x v="6"/>
    <x v="1"/>
    <x v="1284"/>
    <x v="4"/>
    <x v="55"/>
    <x v="1"/>
    <x v="1"/>
    <x v="726"/>
    <x v="138"/>
    <x v="841"/>
    <x v="7"/>
  </r>
  <r>
    <x v="480"/>
    <x v="0"/>
    <x v="77"/>
    <x v="19"/>
    <x v="26"/>
    <x v="0"/>
    <x v="0"/>
    <x v="4"/>
    <x v="3"/>
    <x v="1786"/>
    <x v="3"/>
    <x v="74"/>
    <x v="2"/>
    <x v="0"/>
    <x v="1931"/>
    <x v="390"/>
    <x v="1930"/>
    <x v="7"/>
  </r>
  <r>
    <x v="481"/>
    <x v="0"/>
    <x v="183"/>
    <x v="151"/>
    <x v="15"/>
    <x v="0"/>
    <x v="0"/>
    <x v="3"/>
    <x v="2"/>
    <x v="1037"/>
    <x v="0"/>
    <x v="38"/>
    <x v="1"/>
    <x v="1"/>
    <x v="1258"/>
    <x v="173"/>
    <x v="1656"/>
    <x v="7"/>
  </r>
  <r>
    <x v="482"/>
    <x v="0"/>
    <x v="190"/>
    <x v="22"/>
    <x v="33"/>
    <x v="1"/>
    <x v="2"/>
    <x v="7"/>
    <x v="1"/>
    <x v="568"/>
    <x v="1"/>
    <x v="29"/>
    <x v="1"/>
    <x v="0"/>
    <x v="336"/>
    <x v="65"/>
    <x v="316"/>
    <x v="7"/>
  </r>
  <r>
    <x v="482"/>
    <x v="1"/>
    <x v="190"/>
    <x v="22"/>
    <x v="37"/>
    <x v="1"/>
    <x v="2"/>
    <x v="7"/>
    <x v="3"/>
    <x v="1520"/>
    <x v="0"/>
    <x v="78"/>
    <x v="1"/>
    <x v="1"/>
    <x v="1920"/>
    <x v="399"/>
    <x v="1869"/>
    <x v="7"/>
  </r>
  <r>
    <x v="482"/>
    <x v="2"/>
    <x v="190"/>
    <x v="22"/>
    <x v="6"/>
    <x v="1"/>
    <x v="2"/>
    <x v="7"/>
    <x v="5"/>
    <x v="1562"/>
    <x v="2"/>
    <x v="76"/>
    <x v="1"/>
    <x v="1"/>
    <x v="2105"/>
    <x v="488"/>
    <x v="1987"/>
    <x v="7"/>
  </r>
  <r>
    <x v="482"/>
    <x v="3"/>
    <x v="190"/>
    <x v="22"/>
    <x v="92"/>
    <x v="1"/>
    <x v="2"/>
    <x v="7"/>
    <x v="1"/>
    <x v="1576"/>
    <x v="0"/>
    <x v="62"/>
    <x v="1"/>
    <x v="3"/>
    <x v="1102"/>
    <x v="161"/>
    <x v="1479"/>
    <x v="7"/>
  </r>
  <r>
    <x v="483"/>
    <x v="0"/>
    <x v="82"/>
    <x v="100"/>
    <x v="18"/>
    <x v="1"/>
    <x v="2"/>
    <x v="2"/>
    <x v="2"/>
    <x v="1519"/>
    <x v="1"/>
    <x v="59"/>
    <x v="1"/>
    <x v="0"/>
    <x v="1641"/>
    <x v="268"/>
    <x v="1883"/>
    <x v="7"/>
  </r>
  <r>
    <x v="483"/>
    <x v="1"/>
    <x v="82"/>
    <x v="100"/>
    <x v="3"/>
    <x v="1"/>
    <x v="2"/>
    <x v="2"/>
    <x v="6"/>
    <x v="1704"/>
    <x v="1"/>
    <x v="73"/>
    <x v="1"/>
    <x v="0"/>
    <x v="2239"/>
    <x v="535"/>
    <x v="2249"/>
    <x v="7"/>
  </r>
  <r>
    <x v="483"/>
    <x v="2"/>
    <x v="82"/>
    <x v="100"/>
    <x v="23"/>
    <x v="1"/>
    <x v="2"/>
    <x v="2"/>
    <x v="5"/>
    <x v="714"/>
    <x v="1"/>
    <x v="41"/>
    <x v="1"/>
    <x v="3"/>
    <x v="1634"/>
    <x v="344"/>
    <x v="959"/>
    <x v="7"/>
  </r>
  <r>
    <x v="483"/>
    <x v="3"/>
    <x v="82"/>
    <x v="100"/>
    <x v="32"/>
    <x v="1"/>
    <x v="2"/>
    <x v="2"/>
    <x v="1"/>
    <x v="1259"/>
    <x v="2"/>
    <x v="50"/>
    <x v="1"/>
    <x v="0"/>
    <x v="784"/>
    <x v="119"/>
    <x v="1164"/>
    <x v="7"/>
  </r>
  <r>
    <x v="484"/>
    <x v="0"/>
    <x v="223"/>
    <x v="186"/>
    <x v="77"/>
    <x v="3"/>
    <x v="2"/>
    <x v="7"/>
    <x v="1"/>
    <x v="246"/>
    <x v="0"/>
    <x v="9"/>
    <x v="1"/>
    <x v="2"/>
    <x v="141"/>
    <x v="16"/>
    <x v="421"/>
    <x v="7"/>
  </r>
  <r>
    <x v="484"/>
    <x v="1"/>
    <x v="223"/>
    <x v="186"/>
    <x v="95"/>
    <x v="3"/>
    <x v="2"/>
    <x v="7"/>
    <x v="4"/>
    <x v="936"/>
    <x v="3"/>
    <x v="52"/>
    <x v="1"/>
    <x v="3"/>
    <x v="1617"/>
    <x v="352"/>
    <x v="232"/>
    <x v="7"/>
  </r>
  <r>
    <x v="484"/>
    <x v="2"/>
    <x v="223"/>
    <x v="186"/>
    <x v="32"/>
    <x v="3"/>
    <x v="2"/>
    <x v="7"/>
    <x v="1"/>
    <x v="1126"/>
    <x v="4"/>
    <x v="50"/>
    <x v="1"/>
    <x v="1"/>
    <x v="626"/>
    <x v="119"/>
    <x v="712"/>
    <x v="7"/>
  </r>
  <r>
    <x v="484"/>
    <x v="3"/>
    <x v="223"/>
    <x v="186"/>
    <x v="10"/>
    <x v="3"/>
    <x v="2"/>
    <x v="7"/>
    <x v="7"/>
    <x v="306"/>
    <x v="4"/>
    <x v="14"/>
    <x v="1"/>
    <x v="0"/>
    <x v="1497"/>
    <x v="311"/>
    <x v="510"/>
    <x v="7"/>
  </r>
  <r>
    <x v="484"/>
    <x v="4"/>
    <x v="223"/>
    <x v="186"/>
    <x v="42"/>
    <x v="3"/>
    <x v="2"/>
    <x v="7"/>
    <x v="3"/>
    <x v="456"/>
    <x v="3"/>
    <x v="23"/>
    <x v="1"/>
    <x v="1"/>
    <x v="669"/>
    <x v="157"/>
    <x v="53"/>
    <x v="7"/>
  </r>
  <r>
    <x v="485"/>
    <x v="0"/>
    <x v="230"/>
    <x v="73"/>
    <x v="61"/>
    <x v="2"/>
    <x v="1"/>
    <x v="9"/>
    <x v="4"/>
    <x v="988"/>
    <x v="0"/>
    <x v="46"/>
    <x v="1"/>
    <x v="0"/>
    <x v="1742"/>
    <x v="327"/>
    <x v="1827"/>
    <x v="7"/>
  </r>
  <r>
    <x v="485"/>
    <x v="1"/>
    <x v="230"/>
    <x v="73"/>
    <x v="63"/>
    <x v="2"/>
    <x v="1"/>
    <x v="9"/>
    <x v="1"/>
    <x v="2273"/>
    <x v="2"/>
    <x v="98"/>
    <x v="1"/>
    <x v="2"/>
    <x v="1435"/>
    <x v="271"/>
    <x v="1169"/>
    <x v="7"/>
  </r>
  <r>
    <x v="485"/>
    <x v="2"/>
    <x v="230"/>
    <x v="73"/>
    <x v="5"/>
    <x v="2"/>
    <x v="1"/>
    <x v="9"/>
    <x v="1"/>
    <x v="740"/>
    <x v="4"/>
    <x v="31"/>
    <x v="1"/>
    <x v="2"/>
    <x v="396"/>
    <x v="70"/>
    <x v="528"/>
    <x v="7"/>
  </r>
  <r>
    <x v="485"/>
    <x v="3"/>
    <x v="230"/>
    <x v="73"/>
    <x v="4"/>
    <x v="2"/>
    <x v="1"/>
    <x v="9"/>
    <x v="1"/>
    <x v="2128"/>
    <x v="0"/>
    <x v="94"/>
    <x v="1"/>
    <x v="3"/>
    <x v="1420"/>
    <x v="249"/>
    <x v="1435"/>
    <x v="7"/>
  </r>
  <r>
    <x v="486"/>
    <x v="0"/>
    <x v="159"/>
    <x v="40"/>
    <x v="36"/>
    <x v="1"/>
    <x v="1"/>
    <x v="9"/>
    <x v="2"/>
    <x v="2286"/>
    <x v="2"/>
    <x v="91"/>
    <x v="1"/>
    <x v="1"/>
    <x v="1914"/>
    <x v="363"/>
    <x v="1991"/>
    <x v="7"/>
  </r>
  <r>
    <x v="486"/>
    <x v="1"/>
    <x v="159"/>
    <x v="40"/>
    <x v="58"/>
    <x v="1"/>
    <x v="1"/>
    <x v="9"/>
    <x v="2"/>
    <x v="1988"/>
    <x v="0"/>
    <x v="99"/>
    <x v="2"/>
    <x v="0"/>
    <x v="1842"/>
    <x v="401"/>
    <x v="1318"/>
    <x v="7"/>
  </r>
  <r>
    <x v="486"/>
    <x v="2"/>
    <x v="159"/>
    <x v="40"/>
    <x v="28"/>
    <x v="1"/>
    <x v="1"/>
    <x v="9"/>
    <x v="1"/>
    <x v="106"/>
    <x v="0"/>
    <x v="2"/>
    <x v="1"/>
    <x v="0"/>
    <x v="48"/>
    <x v="4"/>
    <x v="216"/>
    <x v="7"/>
  </r>
  <r>
    <x v="486"/>
    <x v="3"/>
    <x v="159"/>
    <x v="40"/>
    <x v="59"/>
    <x v="1"/>
    <x v="1"/>
    <x v="9"/>
    <x v="2"/>
    <x v="1147"/>
    <x v="0"/>
    <x v="60"/>
    <x v="1"/>
    <x v="2"/>
    <x v="1423"/>
    <x v="270"/>
    <x v="1138"/>
    <x v="7"/>
  </r>
  <r>
    <x v="487"/>
    <x v="0"/>
    <x v="25"/>
    <x v="210"/>
    <x v="26"/>
    <x v="1"/>
    <x v="2"/>
    <x v="2"/>
    <x v="5"/>
    <x v="1874"/>
    <x v="0"/>
    <x v="74"/>
    <x v="1"/>
    <x v="3"/>
    <x v="2192"/>
    <x v="486"/>
    <x v="2234"/>
    <x v="7"/>
  </r>
  <r>
    <x v="488"/>
    <x v="0"/>
    <x v="81"/>
    <x v="6"/>
    <x v="57"/>
    <x v="0"/>
    <x v="1"/>
    <x v="8"/>
    <x v="2"/>
    <x v="672"/>
    <x v="1"/>
    <x v="25"/>
    <x v="1"/>
    <x v="2"/>
    <x v="771"/>
    <x v="118"/>
    <x v="1141"/>
    <x v="7"/>
  </r>
  <r>
    <x v="488"/>
    <x v="1"/>
    <x v="81"/>
    <x v="6"/>
    <x v="72"/>
    <x v="0"/>
    <x v="1"/>
    <x v="8"/>
    <x v="3"/>
    <x v="1241"/>
    <x v="0"/>
    <x v="66"/>
    <x v="1"/>
    <x v="1"/>
    <x v="1753"/>
    <x v="372"/>
    <x v="1355"/>
    <x v="7"/>
  </r>
  <r>
    <x v="488"/>
    <x v="2"/>
    <x v="81"/>
    <x v="6"/>
    <x v="91"/>
    <x v="0"/>
    <x v="1"/>
    <x v="8"/>
    <x v="6"/>
    <x v="2045"/>
    <x v="0"/>
    <x v="81"/>
    <x v="1"/>
    <x v="0"/>
    <x v="2267"/>
    <x v="542"/>
    <x v="2275"/>
    <x v="7"/>
  </r>
  <r>
    <x v="489"/>
    <x v="0"/>
    <x v="107"/>
    <x v="82"/>
    <x v="28"/>
    <x v="3"/>
    <x v="2"/>
    <x v="1"/>
    <x v="6"/>
    <x v="81"/>
    <x v="0"/>
    <x v="2"/>
    <x v="1"/>
    <x v="2"/>
    <x v="569"/>
    <x v="72"/>
    <x v="986"/>
    <x v="7"/>
  </r>
  <r>
    <x v="490"/>
    <x v="0"/>
    <x v="52"/>
    <x v="200"/>
    <x v="53"/>
    <x v="3"/>
    <x v="2"/>
    <x v="9"/>
    <x v="1"/>
    <x v="1290"/>
    <x v="4"/>
    <x v="47"/>
    <x v="1"/>
    <x v="3"/>
    <x v="729"/>
    <x v="115"/>
    <x v="1037"/>
    <x v="7"/>
  </r>
  <r>
    <x v="490"/>
    <x v="1"/>
    <x v="52"/>
    <x v="200"/>
    <x v="11"/>
    <x v="3"/>
    <x v="2"/>
    <x v="9"/>
    <x v="6"/>
    <x v="2051"/>
    <x v="0"/>
    <x v="87"/>
    <x v="1"/>
    <x v="3"/>
    <x v="2268"/>
    <x v="546"/>
    <x v="2269"/>
    <x v="7"/>
  </r>
  <r>
    <x v="490"/>
    <x v="2"/>
    <x v="52"/>
    <x v="200"/>
    <x v="75"/>
    <x v="3"/>
    <x v="2"/>
    <x v="9"/>
    <x v="2"/>
    <x v="646"/>
    <x v="3"/>
    <x v="30"/>
    <x v="1"/>
    <x v="3"/>
    <x v="666"/>
    <x v="136"/>
    <x v="648"/>
    <x v="7"/>
  </r>
  <r>
    <x v="491"/>
    <x v="0"/>
    <x v="192"/>
    <x v="160"/>
    <x v="8"/>
    <x v="1"/>
    <x v="1"/>
    <x v="7"/>
    <x v="3"/>
    <x v="666"/>
    <x v="0"/>
    <x v="28"/>
    <x v="1"/>
    <x v="3"/>
    <x v="1123"/>
    <x v="187"/>
    <x v="1364"/>
    <x v="7"/>
  </r>
  <r>
    <x v="491"/>
    <x v="1"/>
    <x v="192"/>
    <x v="160"/>
    <x v="91"/>
    <x v="1"/>
    <x v="1"/>
    <x v="7"/>
    <x v="1"/>
    <x v="2147"/>
    <x v="4"/>
    <x v="81"/>
    <x v="1"/>
    <x v="1"/>
    <x v="1168"/>
    <x v="212"/>
    <x v="1256"/>
    <x v="7"/>
  </r>
  <r>
    <x v="491"/>
    <x v="2"/>
    <x v="192"/>
    <x v="160"/>
    <x v="70"/>
    <x v="1"/>
    <x v="1"/>
    <x v="7"/>
    <x v="4"/>
    <x v="1591"/>
    <x v="0"/>
    <x v="68"/>
    <x v="1"/>
    <x v="2"/>
    <x v="2070"/>
    <x v="430"/>
    <x v="2137"/>
    <x v="7"/>
  </r>
  <r>
    <x v="491"/>
    <x v="3"/>
    <x v="192"/>
    <x v="160"/>
    <x v="43"/>
    <x v="1"/>
    <x v="1"/>
    <x v="7"/>
    <x v="4"/>
    <x v="39"/>
    <x v="0"/>
    <x v="1"/>
    <x v="1"/>
    <x v="2"/>
    <x v="208"/>
    <x v="23"/>
    <x v="474"/>
    <x v="7"/>
  </r>
  <r>
    <x v="491"/>
    <x v="4"/>
    <x v="192"/>
    <x v="160"/>
    <x v="51"/>
    <x v="1"/>
    <x v="1"/>
    <x v="7"/>
    <x v="1"/>
    <x v="1436"/>
    <x v="0"/>
    <x v="53"/>
    <x v="1"/>
    <x v="0"/>
    <x v="982"/>
    <x v="131"/>
    <x v="1517"/>
    <x v="7"/>
  </r>
  <r>
    <x v="492"/>
    <x v="0"/>
    <x v="168"/>
    <x v="107"/>
    <x v="54"/>
    <x v="2"/>
    <x v="1"/>
    <x v="2"/>
    <x v="4"/>
    <x v="1369"/>
    <x v="0"/>
    <x v="55"/>
    <x v="1"/>
    <x v="1"/>
    <x v="1978"/>
    <x v="367"/>
    <x v="2119"/>
    <x v="7"/>
  </r>
  <r>
    <x v="492"/>
    <x v="1"/>
    <x v="168"/>
    <x v="107"/>
    <x v="67"/>
    <x v="2"/>
    <x v="1"/>
    <x v="2"/>
    <x v="1"/>
    <x v="1093"/>
    <x v="0"/>
    <x v="43"/>
    <x v="1"/>
    <x v="3"/>
    <x v="738"/>
    <x v="103"/>
    <x v="1153"/>
    <x v="7"/>
  </r>
  <r>
    <x v="492"/>
    <x v="2"/>
    <x v="168"/>
    <x v="107"/>
    <x v="93"/>
    <x v="2"/>
    <x v="1"/>
    <x v="2"/>
    <x v="4"/>
    <x v="483"/>
    <x v="0"/>
    <x v="24"/>
    <x v="1"/>
    <x v="3"/>
    <x v="1002"/>
    <x v="211"/>
    <x v="804"/>
    <x v="7"/>
  </r>
  <r>
    <x v="493"/>
    <x v="0"/>
    <x v="43"/>
    <x v="151"/>
    <x v="76"/>
    <x v="1"/>
    <x v="0"/>
    <x v="2"/>
    <x v="1"/>
    <x v="768"/>
    <x v="4"/>
    <x v="36"/>
    <x v="1"/>
    <x v="3"/>
    <x v="422"/>
    <x v="88"/>
    <x v="249"/>
    <x v="7"/>
  </r>
  <r>
    <x v="493"/>
    <x v="1"/>
    <x v="43"/>
    <x v="151"/>
    <x v="52"/>
    <x v="1"/>
    <x v="0"/>
    <x v="2"/>
    <x v="4"/>
    <x v="994"/>
    <x v="0"/>
    <x v="40"/>
    <x v="1"/>
    <x v="0"/>
    <x v="1743"/>
    <x v="293"/>
    <x v="1968"/>
    <x v="7"/>
  </r>
  <r>
    <x v="494"/>
    <x v="0"/>
    <x v="73"/>
    <x v="23"/>
    <x v="1"/>
    <x v="2"/>
    <x v="0"/>
    <x v="5"/>
    <x v="1"/>
    <x v="692"/>
    <x v="2"/>
    <x v="42"/>
    <x v="1"/>
    <x v="2"/>
    <x v="418"/>
    <x v="99"/>
    <x v="45"/>
    <x v="7"/>
  </r>
  <r>
    <x v="494"/>
    <x v="1"/>
    <x v="73"/>
    <x v="23"/>
    <x v="73"/>
    <x v="2"/>
    <x v="0"/>
    <x v="5"/>
    <x v="1"/>
    <x v="2144"/>
    <x v="0"/>
    <x v="84"/>
    <x v="1"/>
    <x v="1"/>
    <x v="1431"/>
    <x v="222"/>
    <x v="1654"/>
    <x v="7"/>
  </r>
  <r>
    <x v="494"/>
    <x v="2"/>
    <x v="73"/>
    <x v="23"/>
    <x v="34"/>
    <x v="2"/>
    <x v="0"/>
    <x v="5"/>
    <x v="4"/>
    <x v="1154"/>
    <x v="1"/>
    <x v="58"/>
    <x v="1"/>
    <x v="2"/>
    <x v="1859"/>
    <x v="393"/>
    <x v="1556"/>
    <x v="7"/>
  </r>
  <r>
    <x v="494"/>
    <x v="3"/>
    <x v="73"/>
    <x v="23"/>
    <x v="2"/>
    <x v="2"/>
    <x v="0"/>
    <x v="5"/>
    <x v="2"/>
    <x v="895"/>
    <x v="1"/>
    <x v="48"/>
    <x v="1"/>
    <x v="1"/>
    <x v="1017"/>
    <x v="216"/>
    <x v="803"/>
    <x v="7"/>
  </r>
  <r>
    <x v="494"/>
    <x v="4"/>
    <x v="73"/>
    <x v="23"/>
    <x v="4"/>
    <x v="2"/>
    <x v="0"/>
    <x v="5"/>
    <x v="1"/>
    <x v="2187"/>
    <x v="0"/>
    <x v="94"/>
    <x v="1"/>
    <x v="1"/>
    <x v="1453"/>
    <x v="249"/>
    <x v="1521"/>
    <x v="7"/>
  </r>
  <r>
    <x v="495"/>
    <x v="0"/>
    <x v="50"/>
    <x v="118"/>
    <x v="52"/>
    <x v="0"/>
    <x v="1"/>
    <x v="0"/>
    <x v="1"/>
    <x v="995"/>
    <x v="1"/>
    <x v="40"/>
    <x v="1"/>
    <x v="3"/>
    <x v="628"/>
    <x v="95"/>
    <x v="980"/>
    <x v="7"/>
  </r>
  <r>
    <x v="495"/>
    <x v="1"/>
    <x v="50"/>
    <x v="118"/>
    <x v="5"/>
    <x v="0"/>
    <x v="1"/>
    <x v="0"/>
    <x v="1"/>
    <x v="661"/>
    <x v="0"/>
    <x v="31"/>
    <x v="1"/>
    <x v="0"/>
    <x v="433"/>
    <x v="70"/>
    <x v="635"/>
    <x v="7"/>
  </r>
  <r>
    <x v="495"/>
    <x v="2"/>
    <x v="50"/>
    <x v="118"/>
    <x v="76"/>
    <x v="0"/>
    <x v="1"/>
    <x v="0"/>
    <x v="2"/>
    <x v="879"/>
    <x v="0"/>
    <x v="36"/>
    <x v="1"/>
    <x v="3"/>
    <x v="1036"/>
    <x v="165"/>
    <x v="1346"/>
    <x v="7"/>
  </r>
  <r>
    <x v="496"/>
    <x v="0"/>
    <x v="157"/>
    <x v="113"/>
    <x v="19"/>
    <x v="1"/>
    <x v="2"/>
    <x v="5"/>
    <x v="1"/>
    <x v="463"/>
    <x v="0"/>
    <x v="16"/>
    <x v="1"/>
    <x v="1"/>
    <x v="280"/>
    <x v="38"/>
    <x v="548"/>
    <x v="7"/>
  </r>
  <r>
    <x v="496"/>
    <x v="1"/>
    <x v="157"/>
    <x v="113"/>
    <x v="93"/>
    <x v="1"/>
    <x v="2"/>
    <x v="5"/>
    <x v="4"/>
    <x v="397"/>
    <x v="0"/>
    <x v="24"/>
    <x v="1"/>
    <x v="2"/>
    <x v="920"/>
    <x v="211"/>
    <x v="513"/>
    <x v="7"/>
  </r>
  <r>
    <x v="497"/>
    <x v="0"/>
    <x v="99"/>
    <x v="36"/>
    <x v="94"/>
    <x v="2"/>
    <x v="1"/>
    <x v="1"/>
    <x v="1"/>
    <x v="1646"/>
    <x v="3"/>
    <x v="71"/>
    <x v="1"/>
    <x v="2"/>
    <x v="993"/>
    <x v="184"/>
    <x v="1081"/>
    <x v="7"/>
  </r>
  <r>
    <x v="497"/>
    <x v="1"/>
    <x v="99"/>
    <x v="36"/>
    <x v="18"/>
    <x v="2"/>
    <x v="1"/>
    <x v="1"/>
    <x v="2"/>
    <x v="1524"/>
    <x v="2"/>
    <x v="59"/>
    <x v="1"/>
    <x v="0"/>
    <x v="1616"/>
    <x v="268"/>
    <x v="1807"/>
    <x v="7"/>
  </r>
  <r>
    <x v="498"/>
    <x v="0"/>
    <x v="254"/>
    <x v="113"/>
    <x v="88"/>
    <x v="0"/>
    <x v="0"/>
    <x v="1"/>
    <x v="1"/>
    <x v="1802"/>
    <x v="1"/>
    <x v="86"/>
    <x v="1"/>
    <x v="0"/>
    <x v="1186"/>
    <x v="226"/>
    <x v="1142"/>
    <x v="7"/>
  </r>
  <r>
    <x v="498"/>
    <x v="1"/>
    <x v="254"/>
    <x v="113"/>
    <x v="64"/>
    <x v="0"/>
    <x v="0"/>
    <x v="1"/>
    <x v="4"/>
    <x v="1715"/>
    <x v="0"/>
    <x v="69"/>
    <x v="1"/>
    <x v="1"/>
    <x v="2099"/>
    <x v="431"/>
    <x v="2189"/>
    <x v="7"/>
  </r>
  <r>
    <x v="498"/>
    <x v="2"/>
    <x v="254"/>
    <x v="113"/>
    <x v="27"/>
    <x v="0"/>
    <x v="0"/>
    <x v="1"/>
    <x v="2"/>
    <x v="1404"/>
    <x v="1"/>
    <x v="61"/>
    <x v="1"/>
    <x v="0"/>
    <x v="1580"/>
    <x v="276"/>
    <x v="1601"/>
    <x v="7"/>
  </r>
  <r>
    <x v="498"/>
    <x v="3"/>
    <x v="254"/>
    <x v="113"/>
    <x v="28"/>
    <x v="0"/>
    <x v="0"/>
    <x v="1"/>
    <x v="2"/>
    <x v="100"/>
    <x v="0"/>
    <x v="2"/>
    <x v="1"/>
    <x v="0"/>
    <x v="129"/>
    <x v="13"/>
    <x v="427"/>
    <x v="7"/>
  </r>
  <r>
    <x v="498"/>
    <x v="4"/>
    <x v="254"/>
    <x v="113"/>
    <x v="67"/>
    <x v="0"/>
    <x v="0"/>
    <x v="1"/>
    <x v="1"/>
    <x v="1116"/>
    <x v="3"/>
    <x v="43"/>
    <x v="1"/>
    <x v="0"/>
    <x v="645"/>
    <x v="103"/>
    <x v="946"/>
    <x v="7"/>
  </r>
  <r>
    <x v="499"/>
    <x v="0"/>
    <x v="116"/>
    <x v="12"/>
    <x v="61"/>
    <x v="2"/>
    <x v="0"/>
    <x v="2"/>
    <x v="1"/>
    <x v="904"/>
    <x v="2"/>
    <x v="46"/>
    <x v="1"/>
    <x v="0"/>
    <x v="551"/>
    <x v="111"/>
    <x v="480"/>
    <x v="7"/>
  </r>
  <r>
    <x v="500"/>
    <x v="0"/>
    <x v="242"/>
    <x v="139"/>
    <x v="32"/>
    <x v="0"/>
    <x v="1"/>
    <x v="6"/>
    <x v="5"/>
    <x v="1280"/>
    <x v="3"/>
    <x v="50"/>
    <x v="1"/>
    <x v="2"/>
    <x v="1975"/>
    <x v="384"/>
    <x v="2076"/>
    <x v="7"/>
  </r>
  <r>
    <x v="500"/>
    <x v="1"/>
    <x v="242"/>
    <x v="139"/>
    <x v="26"/>
    <x v="0"/>
    <x v="1"/>
    <x v="6"/>
    <x v="6"/>
    <x v="2159"/>
    <x v="0"/>
    <x v="74"/>
    <x v="1"/>
    <x v="0"/>
    <x v="2273"/>
    <x v="537"/>
    <x v="2280"/>
    <x v="7"/>
  </r>
  <r>
    <x v="500"/>
    <x v="2"/>
    <x v="242"/>
    <x v="139"/>
    <x v="62"/>
    <x v="0"/>
    <x v="1"/>
    <x v="6"/>
    <x v="4"/>
    <x v="1328"/>
    <x v="0"/>
    <x v="67"/>
    <x v="1"/>
    <x v="0"/>
    <x v="1964"/>
    <x v="429"/>
    <x v="1773"/>
    <x v="7"/>
  </r>
  <r>
    <x v="501"/>
    <x v="0"/>
    <x v="195"/>
    <x v="45"/>
    <x v="16"/>
    <x v="3"/>
    <x v="1"/>
    <x v="7"/>
    <x v="1"/>
    <x v="1315"/>
    <x v="0"/>
    <x v="51"/>
    <x v="1"/>
    <x v="1"/>
    <x v="874"/>
    <x v="123"/>
    <x v="1337"/>
    <x v="7"/>
  </r>
  <r>
    <x v="501"/>
    <x v="1"/>
    <x v="195"/>
    <x v="45"/>
    <x v="21"/>
    <x v="3"/>
    <x v="1"/>
    <x v="7"/>
    <x v="2"/>
    <x v="416"/>
    <x v="4"/>
    <x v="18"/>
    <x v="2"/>
    <x v="2"/>
    <x v="430"/>
    <x v="90"/>
    <x v="275"/>
    <x v="7"/>
  </r>
  <r>
    <x v="501"/>
    <x v="2"/>
    <x v="195"/>
    <x v="45"/>
    <x v="78"/>
    <x v="3"/>
    <x v="1"/>
    <x v="7"/>
    <x v="1"/>
    <x v="577"/>
    <x v="0"/>
    <x v="20"/>
    <x v="2"/>
    <x v="0"/>
    <x v="354"/>
    <x v="48"/>
    <x v="698"/>
    <x v="7"/>
  </r>
  <r>
    <x v="502"/>
    <x v="0"/>
    <x v="220"/>
    <x v="151"/>
    <x v="29"/>
    <x v="3"/>
    <x v="2"/>
    <x v="3"/>
    <x v="6"/>
    <x v="2185"/>
    <x v="4"/>
    <x v="97"/>
    <x v="1"/>
    <x v="3"/>
    <x v="2251"/>
    <x v="557"/>
    <x v="1382"/>
    <x v="7"/>
  </r>
  <r>
    <x v="502"/>
    <x v="1"/>
    <x v="220"/>
    <x v="151"/>
    <x v="97"/>
    <x v="3"/>
    <x v="2"/>
    <x v="3"/>
    <x v="2"/>
    <x v="308"/>
    <x v="0"/>
    <x v="15"/>
    <x v="1"/>
    <x v="3"/>
    <x v="372"/>
    <x v="69"/>
    <x v="455"/>
    <x v="7"/>
  </r>
  <r>
    <x v="503"/>
    <x v="0"/>
    <x v="40"/>
    <x v="181"/>
    <x v="3"/>
    <x v="0"/>
    <x v="1"/>
    <x v="1"/>
    <x v="3"/>
    <x v="1982"/>
    <x v="0"/>
    <x v="73"/>
    <x v="1"/>
    <x v="0"/>
    <x v="2034"/>
    <x v="388"/>
    <x v="2161"/>
    <x v="7"/>
  </r>
  <r>
    <x v="504"/>
    <x v="0"/>
    <x v="91"/>
    <x v="53"/>
    <x v="9"/>
    <x v="0"/>
    <x v="2"/>
    <x v="3"/>
    <x v="2"/>
    <x v="1246"/>
    <x v="0"/>
    <x v="49"/>
    <x v="1"/>
    <x v="2"/>
    <x v="1522"/>
    <x v="217"/>
    <x v="1823"/>
    <x v="7"/>
  </r>
  <r>
    <x v="505"/>
    <x v="0"/>
    <x v="131"/>
    <x v="184"/>
    <x v="6"/>
    <x v="3"/>
    <x v="0"/>
    <x v="4"/>
    <x v="1"/>
    <x v="1453"/>
    <x v="2"/>
    <x v="76"/>
    <x v="1"/>
    <x v="2"/>
    <x v="894"/>
    <x v="198"/>
    <x v="662"/>
    <x v="7"/>
  </r>
  <r>
    <x v="506"/>
    <x v="0"/>
    <x v="203"/>
    <x v="103"/>
    <x v="10"/>
    <x v="3"/>
    <x v="0"/>
    <x v="3"/>
    <x v="3"/>
    <x v="313"/>
    <x v="4"/>
    <x v="14"/>
    <x v="1"/>
    <x v="2"/>
    <x v="450"/>
    <x v="101"/>
    <x v="193"/>
    <x v="7"/>
  </r>
  <r>
    <x v="506"/>
    <x v="1"/>
    <x v="203"/>
    <x v="103"/>
    <x v="79"/>
    <x v="3"/>
    <x v="0"/>
    <x v="3"/>
    <x v="1"/>
    <x v="1668"/>
    <x v="3"/>
    <x v="64"/>
    <x v="1"/>
    <x v="0"/>
    <x v="1006"/>
    <x v="168"/>
    <x v="1228"/>
    <x v="7"/>
  </r>
  <r>
    <x v="506"/>
    <x v="2"/>
    <x v="203"/>
    <x v="103"/>
    <x v="28"/>
    <x v="3"/>
    <x v="0"/>
    <x v="3"/>
    <x v="6"/>
    <x v="74"/>
    <x v="1"/>
    <x v="2"/>
    <x v="1"/>
    <x v="3"/>
    <x v="513"/>
    <x v="72"/>
    <x v="886"/>
    <x v="7"/>
  </r>
  <r>
    <x v="507"/>
    <x v="0"/>
    <x v="102"/>
    <x v="245"/>
    <x v="30"/>
    <x v="1"/>
    <x v="0"/>
    <x v="3"/>
    <x v="6"/>
    <x v="307"/>
    <x v="0"/>
    <x v="13"/>
    <x v="0"/>
    <x v="0"/>
    <x v="1297"/>
    <x v="213"/>
    <x v="1488"/>
    <x v="7"/>
  </r>
  <r>
    <x v="507"/>
    <x v="1"/>
    <x v="102"/>
    <x v="245"/>
    <x v="66"/>
    <x v="1"/>
    <x v="0"/>
    <x v="3"/>
    <x v="3"/>
    <x v="475"/>
    <x v="0"/>
    <x v="21"/>
    <x v="1"/>
    <x v="1"/>
    <x v="787"/>
    <x v="146"/>
    <x v="875"/>
    <x v="7"/>
  </r>
  <r>
    <x v="508"/>
    <x v="0"/>
    <x v="75"/>
    <x v="62"/>
    <x v="8"/>
    <x v="2"/>
    <x v="1"/>
    <x v="7"/>
    <x v="1"/>
    <x v="760"/>
    <x v="4"/>
    <x v="28"/>
    <x v="2"/>
    <x v="3"/>
    <x v="416"/>
    <x v="64"/>
    <x v="632"/>
    <x v="7"/>
  </r>
  <r>
    <x v="508"/>
    <x v="1"/>
    <x v="75"/>
    <x v="62"/>
    <x v="91"/>
    <x v="2"/>
    <x v="1"/>
    <x v="7"/>
    <x v="1"/>
    <x v="2242"/>
    <x v="2"/>
    <x v="81"/>
    <x v="1"/>
    <x v="0"/>
    <x v="1390"/>
    <x v="212"/>
    <x v="1644"/>
    <x v="7"/>
  </r>
  <r>
    <x v="508"/>
    <x v="2"/>
    <x v="75"/>
    <x v="62"/>
    <x v="2"/>
    <x v="2"/>
    <x v="1"/>
    <x v="7"/>
    <x v="3"/>
    <x v="809"/>
    <x v="3"/>
    <x v="48"/>
    <x v="1"/>
    <x v="1"/>
    <x v="1217"/>
    <x v="281"/>
    <x v="26"/>
    <x v="7"/>
  </r>
  <r>
    <x v="509"/>
    <x v="0"/>
    <x v="137"/>
    <x v="250"/>
    <x v="16"/>
    <x v="0"/>
    <x v="1"/>
    <x v="8"/>
    <x v="4"/>
    <x v="1237"/>
    <x v="4"/>
    <x v="51"/>
    <x v="1"/>
    <x v="3"/>
    <x v="1794"/>
    <x v="349"/>
    <x v="1781"/>
    <x v="7"/>
  </r>
  <r>
    <x v="509"/>
    <x v="1"/>
    <x v="137"/>
    <x v="250"/>
    <x v="51"/>
    <x v="0"/>
    <x v="1"/>
    <x v="8"/>
    <x v="1"/>
    <x v="1364"/>
    <x v="0"/>
    <x v="53"/>
    <x v="1"/>
    <x v="1"/>
    <x v="899"/>
    <x v="131"/>
    <x v="1360"/>
    <x v="7"/>
  </r>
  <r>
    <x v="510"/>
    <x v="0"/>
    <x v="244"/>
    <x v="10"/>
    <x v="41"/>
    <x v="1"/>
    <x v="2"/>
    <x v="2"/>
    <x v="2"/>
    <x v="854"/>
    <x v="0"/>
    <x v="35"/>
    <x v="1"/>
    <x v="0"/>
    <x v="1014"/>
    <x v="163"/>
    <x v="1297"/>
    <x v="7"/>
  </r>
  <r>
    <x v="510"/>
    <x v="1"/>
    <x v="244"/>
    <x v="10"/>
    <x v="84"/>
    <x v="1"/>
    <x v="2"/>
    <x v="2"/>
    <x v="5"/>
    <x v="1688"/>
    <x v="0"/>
    <x v="89"/>
    <x v="1"/>
    <x v="3"/>
    <x v="2167"/>
    <x v="517"/>
    <x v="2018"/>
    <x v="7"/>
  </r>
  <r>
    <x v="510"/>
    <x v="2"/>
    <x v="244"/>
    <x v="10"/>
    <x v="74"/>
    <x v="1"/>
    <x v="2"/>
    <x v="2"/>
    <x v="2"/>
    <x v="2021"/>
    <x v="2"/>
    <x v="90"/>
    <x v="1"/>
    <x v="1"/>
    <x v="1775"/>
    <x v="359"/>
    <x v="1608"/>
    <x v="7"/>
  </r>
  <r>
    <x v="511"/>
    <x v="0"/>
    <x v="188"/>
    <x v="233"/>
    <x v="74"/>
    <x v="0"/>
    <x v="0"/>
    <x v="5"/>
    <x v="6"/>
    <x v="2116"/>
    <x v="0"/>
    <x v="90"/>
    <x v="1"/>
    <x v="2"/>
    <x v="2271"/>
    <x v="549"/>
    <x v="2268"/>
    <x v="7"/>
  </r>
  <r>
    <x v="511"/>
    <x v="1"/>
    <x v="188"/>
    <x v="233"/>
    <x v="96"/>
    <x v="0"/>
    <x v="0"/>
    <x v="5"/>
    <x v="3"/>
    <x v="431"/>
    <x v="0"/>
    <x v="22"/>
    <x v="1"/>
    <x v="3"/>
    <x v="760"/>
    <x v="155"/>
    <x v="576"/>
    <x v="7"/>
  </r>
  <r>
    <x v="512"/>
    <x v="0"/>
    <x v="238"/>
    <x v="109"/>
    <x v="22"/>
    <x v="0"/>
    <x v="0"/>
    <x v="1"/>
    <x v="4"/>
    <x v="903"/>
    <x v="0"/>
    <x v="34"/>
    <x v="1"/>
    <x v="2"/>
    <x v="1686"/>
    <x v="274"/>
    <x v="1918"/>
    <x v="7"/>
  </r>
  <r>
    <x v="512"/>
    <x v="1"/>
    <x v="238"/>
    <x v="109"/>
    <x v="96"/>
    <x v="0"/>
    <x v="0"/>
    <x v="1"/>
    <x v="1"/>
    <x v="501"/>
    <x v="0"/>
    <x v="22"/>
    <x v="1"/>
    <x v="2"/>
    <x v="299"/>
    <x v="53"/>
    <x v="388"/>
    <x v="7"/>
  </r>
  <r>
    <x v="513"/>
    <x v="0"/>
    <x v="19"/>
    <x v="241"/>
    <x v="68"/>
    <x v="3"/>
    <x v="1"/>
    <x v="3"/>
    <x v="3"/>
    <x v="1762"/>
    <x v="1"/>
    <x v="83"/>
    <x v="1"/>
    <x v="0"/>
    <x v="1972"/>
    <x v="413"/>
    <x v="1940"/>
    <x v="7"/>
  </r>
  <r>
    <x v="513"/>
    <x v="1"/>
    <x v="19"/>
    <x v="241"/>
    <x v="10"/>
    <x v="3"/>
    <x v="1"/>
    <x v="3"/>
    <x v="1"/>
    <x v="324"/>
    <x v="0"/>
    <x v="14"/>
    <x v="0"/>
    <x v="3"/>
    <x v="190"/>
    <x v="31"/>
    <x v="285"/>
    <x v="7"/>
  </r>
  <r>
    <x v="513"/>
    <x v="2"/>
    <x v="19"/>
    <x v="241"/>
    <x v="78"/>
    <x v="3"/>
    <x v="1"/>
    <x v="3"/>
    <x v="1"/>
    <x v="569"/>
    <x v="1"/>
    <x v="20"/>
    <x v="2"/>
    <x v="1"/>
    <x v="338"/>
    <x v="48"/>
    <x v="629"/>
    <x v="7"/>
  </r>
  <r>
    <x v="513"/>
    <x v="3"/>
    <x v="19"/>
    <x v="241"/>
    <x v="86"/>
    <x v="3"/>
    <x v="1"/>
    <x v="3"/>
    <x v="3"/>
    <x v="1730"/>
    <x v="0"/>
    <x v="79"/>
    <x v="1"/>
    <x v="2"/>
    <x v="1986"/>
    <x v="408"/>
    <x v="2021"/>
    <x v="7"/>
  </r>
  <r>
    <x v="513"/>
    <x v="4"/>
    <x v="19"/>
    <x v="241"/>
    <x v="18"/>
    <x v="3"/>
    <x v="1"/>
    <x v="3"/>
    <x v="1"/>
    <x v="1504"/>
    <x v="0"/>
    <x v="59"/>
    <x v="1"/>
    <x v="0"/>
    <x v="1039"/>
    <x v="150"/>
    <x v="1481"/>
    <x v="7"/>
  </r>
  <r>
    <x v="514"/>
    <x v="0"/>
    <x v="67"/>
    <x v="56"/>
    <x v="74"/>
    <x v="1"/>
    <x v="0"/>
    <x v="0"/>
    <x v="1"/>
    <x v="2081"/>
    <x v="2"/>
    <x v="90"/>
    <x v="1"/>
    <x v="1"/>
    <x v="1277"/>
    <x v="239"/>
    <x v="1184"/>
    <x v="7"/>
  </r>
  <r>
    <x v="514"/>
    <x v="1"/>
    <x v="67"/>
    <x v="56"/>
    <x v="39"/>
    <x v="1"/>
    <x v="0"/>
    <x v="0"/>
    <x v="1"/>
    <x v="1962"/>
    <x v="2"/>
    <x v="93"/>
    <x v="1"/>
    <x v="2"/>
    <x v="1207"/>
    <x v="247"/>
    <x v="938"/>
    <x v="7"/>
  </r>
  <r>
    <x v="514"/>
    <x v="2"/>
    <x v="67"/>
    <x v="56"/>
    <x v="55"/>
    <x v="1"/>
    <x v="0"/>
    <x v="0"/>
    <x v="5"/>
    <x v="1063"/>
    <x v="1"/>
    <x v="54"/>
    <x v="1"/>
    <x v="2"/>
    <x v="1916"/>
    <x v="406"/>
    <x v="1734"/>
    <x v="7"/>
  </r>
  <r>
    <x v="515"/>
    <x v="0"/>
    <x v="206"/>
    <x v="136"/>
    <x v="67"/>
    <x v="1"/>
    <x v="0"/>
    <x v="4"/>
    <x v="1"/>
    <x v="1085"/>
    <x v="2"/>
    <x v="43"/>
    <x v="1"/>
    <x v="2"/>
    <x v="659"/>
    <x v="103"/>
    <x v="978"/>
    <x v="7"/>
  </r>
  <r>
    <x v="515"/>
    <x v="1"/>
    <x v="206"/>
    <x v="136"/>
    <x v="61"/>
    <x v="1"/>
    <x v="0"/>
    <x v="4"/>
    <x v="3"/>
    <x v="860"/>
    <x v="0"/>
    <x v="46"/>
    <x v="1"/>
    <x v="2"/>
    <x v="1465"/>
    <x v="275"/>
    <x v="1155"/>
    <x v="7"/>
  </r>
  <r>
    <x v="515"/>
    <x v="2"/>
    <x v="206"/>
    <x v="136"/>
    <x v="5"/>
    <x v="1"/>
    <x v="0"/>
    <x v="4"/>
    <x v="1"/>
    <x v="696"/>
    <x v="1"/>
    <x v="31"/>
    <x v="1"/>
    <x v="2"/>
    <x v="440"/>
    <x v="70"/>
    <x v="659"/>
    <x v="7"/>
  </r>
  <r>
    <x v="516"/>
    <x v="0"/>
    <x v="3"/>
    <x v="211"/>
    <x v="73"/>
    <x v="3"/>
    <x v="0"/>
    <x v="9"/>
    <x v="2"/>
    <x v="2253"/>
    <x v="0"/>
    <x v="84"/>
    <x v="2"/>
    <x v="2"/>
    <x v="1928"/>
    <x v="343"/>
    <x v="2086"/>
    <x v="7"/>
  </r>
  <r>
    <x v="517"/>
    <x v="0"/>
    <x v="262"/>
    <x v="242"/>
    <x v="19"/>
    <x v="0"/>
    <x v="2"/>
    <x v="6"/>
    <x v="4"/>
    <x v="406"/>
    <x v="0"/>
    <x v="16"/>
    <x v="1"/>
    <x v="2"/>
    <x v="925"/>
    <x v="153"/>
    <x v="1193"/>
    <x v="7"/>
  </r>
  <r>
    <x v="517"/>
    <x v="1"/>
    <x v="262"/>
    <x v="242"/>
    <x v="0"/>
    <x v="0"/>
    <x v="2"/>
    <x v="6"/>
    <x v="1"/>
    <x v="907"/>
    <x v="2"/>
    <x v="32"/>
    <x v="1"/>
    <x v="2"/>
    <x v="558"/>
    <x v="73"/>
    <x v="933"/>
    <x v="7"/>
  </r>
  <r>
    <x v="517"/>
    <x v="2"/>
    <x v="262"/>
    <x v="242"/>
    <x v="11"/>
    <x v="0"/>
    <x v="2"/>
    <x v="6"/>
    <x v="2"/>
    <x v="2124"/>
    <x v="0"/>
    <x v="87"/>
    <x v="0"/>
    <x v="1"/>
    <x v="1886"/>
    <x v="348"/>
    <x v="1979"/>
    <x v="7"/>
  </r>
  <r>
    <x v="518"/>
    <x v="0"/>
    <x v="120"/>
    <x v="208"/>
    <x v="57"/>
    <x v="3"/>
    <x v="0"/>
    <x v="9"/>
    <x v="2"/>
    <x v="664"/>
    <x v="2"/>
    <x v="25"/>
    <x v="2"/>
    <x v="1"/>
    <x v="732"/>
    <x v="118"/>
    <x v="1024"/>
    <x v="7"/>
  </r>
  <r>
    <x v="519"/>
    <x v="0"/>
    <x v="234"/>
    <x v="201"/>
    <x v="66"/>
    <x v="0"/>
    <x v="2"/>
    <x v="2"/>
    <x v="1"/>
    <x v="438"/>
    <x v="1"/>
    <x v="21"/>
    <x v="1"/>
    <x v="2"/>
    <x v="247"/>
    <x v="49"/>
    <x v="265"/>
    <x v="7"/>
  </r>
  <r>
    <x v="519"/>
    <x v="1"/>
    <x v="234"/>
    <x v="201"/>
    <x v="58"/>
    <x v="0"/>
    <x v="2"/>
    <x v="2"/>
    <x v="1"/>
    <x v="2186"/>
    <x v="0"/>
    <x v="99"/>
    <x v="1"/>
    <x v="2"/>
    <x v="1451"/>
    <x v="273"/>
    <x v="1198"/>
    <x v="7"/>
  </r>
  <r>
    <x v="519"/>
    <x v="2"/>
    <x v="234"/>
    <x v="201"/>
    <x v="83"/>
    <x v="0"/>
    <x v="2"/>
    <x v="2"/>
    <x v="3"/>
    <x v="121"/>
    <x v="2"/>
    <x v="8"/>
    <x v="1"/>
    <x v="2"/>
    <x v="273"/>
    <x v="51"/>
    <x v="315"/>
    <x v="7"/>
  </r>
  <r>
    <x v="519"/>
    <x v="3"/>
    <x v="234"/>
    <x v="201"/>
    <x v="55"/>
    <x v="0"/>
    <x v="2"/>
    <x v="2"/>
    <x v="5"/>
    <x v="1038"/>
    <x v="2"/>
    <x v="54"/>
    <x v="1"/>
    <x v="1"/>
    <x v="1874"/>
    <x v="406"/>
    <x v="1357"/>
    <x v="7"/>
  </r>
  <r>
    <x v="519"/>
    <x v="4"/>
    <x v="234"/>
    <x v="201"/>
    <x v="51"/>
    <x v="0"/>
    <x v="2"/>
    <x v="2"/>
    <x v="1"/>
    <x v="1278"/>
    <x v="0"/>
    <x v="53"/>
    <x v="1"/>
    <x v="2"/>
    <x v="860"/>
    <x v="131"/>
    <x v="1268"/>
    <x v="7"/>
  </r>
  <r>
    <x v="520"/>
    <x v="0"/>
    <x v="261"/>
    <x v="113"/>
    <x v="61"/>
    <x v="3"/>
    <x v="0"/>
    <x v="5"/>
    <x v="1"/>
    <x v="975"/>
    <x v="2"/>
    <x v="46"/>
    <x v="1"/>
    <x v="0"/>
    <x v="601"/>
    <x v="111"/>
    <x v="654"/>
    <x v="7"/>
  </r>
  <r>
    <x v="520"/>
    <x v="1"/>
    <x v="261"/>
    <x v="113"/>
    <x v="94"/>
    <x v="3"/>
    <x v="0"/>
    <x v="5"/>
    <x v="4"/>
    <x v="1806"/>
    <x v="1"/>
    <x v="71"/>
    <x v="2"/>
    <x v="1"/>
    <x v="2098"/>
    <x v="438"/>
    <x v="2167"/>
    <x v="7"/>
  </r>
  <r>
    <x v="520"/>
    <x v="2"/>
    <x v="261"/>
    <x v="113"/>
    <x v="25"/>
    <x v="3"/>
    <x v="0"/>
    <x v="5"/>
    <x v="3"/>
    <x v="2209"/>
    <x v="3"/>
    <x v="72"/>
    <x v="1"/>
    <x v="1"/>
    <x v="2019"/>
    <x v="387"/>
    <x v="2143"/>
    <x v="7"/>
  </r>
  <r>
    <x v="520"/>
    <x v="3"/>
    <x v="261"/>
    <x v="113"/>
    <x v="89"/>
    <x v="3"/>
    <x v="0"/>
    <x v="5"/>
    <x v="1"/>
    <x v="693"/>
    <x v="3"/>
    <x v="26"/>
    <x v="1"/>
    <x v="2"/>
    <x v="384"/>
    <x v="62"/>
    <x v="585"/>
    <x v="7"/>
  </r>
  <r>
    <x v="520"/>
    <x v="4"/>
    <x v="261"/>
    <x v="113"/>
    <x v="72"/>
    <x v="3"/>
    <x v="0"/>
    <x v="5"/>
    <x v="6"/>
    <x v="1174"/>
    <x v="2"/>
    <x v="66"/>
    <x v="1"/>
    <x v="0"/>
    <x v="2141"/>
    <x v="530"/>
    <x v="78"/>
    <x v="7"/>
  </r>
  <r>
    <x v="521"/>
    <x v="0"/>
    <x v="71"/>
    <x v="206"/>
    <x v="15"/>
    <x v="1"/>
    <x v="0"/>
    <x v="2"/>
    <x v="4"/>
    <x v="1066"/>
    <x v="0"/>
    <x v="38"/>
    <x v="1"/>
    <x v="0"/>
    <x v="1823"/>
    <x v="291"/>
    <x v="2059"/>
    <x v="7"/>
  </r>
  <r>
    <x v="522"/>
    <x v="0"/>
    <x v="61"/>
    <x v="124"/>
    <x v="30"/>
    <x v="0"/>
    <x v="2"/>
    <x v="5"/>
    <x v="1"/>
    <x v="303"/>
    <x v="0"/>
    <x v="13"/>
    <x v="1"/>
    <x v="1"/>
    <x v="176"/>
    <x v="24"/>
    <x v="374"/>
    <x v="7"/>
  </r>
  <r>
    <x v="523"/>
    <x v="0"/>
    <x v="66"/>
    <x v="99"/>
    <x v="56"/>
    <x v="3"/>
    <x v="1"/>
    <x v="5"/>
    <x v="5"/>
    <x v="794"/>
    <x v="0"/>
    <x v="44"/>
    <x v="1"/>
    <x v="3"/>
    <x v="1730"/>
    <x v="355"/>
    <x v="1442"/>
    <x v="7"/>
  </r>
  <r>
    <x v="523"/>
    <x v="1"/>
    <x v="66"/>
    <x v="99"/>
    <x v="74"/>
    <x v="3"/>
    <x v="1"/>
    <x v="5"/>
    <x v="4"/>
    <x v="2203"/>
    <x v="0"/>
    <x v="90"/>
    <x v="1"/>
    <x v="0"/>
    <x v="2173"/>
    <x v="491"/>
    <x v="2201"/>
    <x v="7"/>
  </r>
  <r>
    <x v="523"/>
    <x v="2"/>
    <x v="66"/>
    <x v="99"/>
    <x v="6"/>
    <x v="3"/>
    <x v="1"/>
    <x v="5"/>
    <x v="1"/>
    <x v="1544"/>
    <x v="0"/>
    <x v="76"/>
    <x v="1"/>
    <x v="2"/>
    <x v="1075"/>
    <x v="198"/>
    <x v="1168"/>
    <x v="7"/>
  </r>
  <r>
    <x v="523"/>
    <x v="3"/>
    <x v="66"/>
    <x v="99"/>
    <x v="40"/>
    <x v="3"/>
    <x v="1"/>
    <x v="5"/>
    <x v="1"/>
    <x v="1551"/>
    <x v="0"/>
    <x v="63"/>
    <x v="2"/>
    <x v="1"/>
    <x v="1078"/>
    <x v="166"/>
    <x v="1405"/>
    <x v="7"/>
  </r>
  <r>
    <x v="523"/>
    <x v="4"/>
    <x v="66"/>
    <x v="99"/>
    <x v="99"/>
    <x v="3"/>
    <x v="1"/>
    <x v="5"/>
    <x v="2"/>
    <x v="1883"/>
    <x v="0"/>
    <x v="80"/>
    <x v="1"/>
    <x v="0"/>
    <x v="1816"/>
    <x v="329"/>
    <x v="1937"/>
    <x v="7"/>
  </r>
  <r>
    <x v="524"/>
    <x v="0"/>
    <x v="6"/>
    <x v="197"/>
    <x v="4"/>
    <x v="2"/>
    <x v="0"/>
    <x v="6"/>
    <x v="1"/>
    <x v="2046"/>
    <x v="0"/>
    <x v="94"/>
    <x v="1"/>
    <x v="2"/>
    <x v="1381"/>
    <x v="249"/>
    <x v="1341"/>
    <x v="7"/>
  </r>
  <r>
    <x v="525"/>
    <x v="0"/>
    <x v="4"/>
    <x v="29"/>
    <x v="36"/>
    <x v="1"/>
    <x v="2"/>
    <x v="8"/>
    <x v="4"/>
    <x v="2234"/>
    <x v="1"/>
    <x v="91"/>
    <x v="1"/>
    <x v="3"/>
    <x v="2166"/>
    <x v="493"/>
    <x v="2186"/>
    <x v="7"/>
  </r>
  <r>
    <x v="526"/>
    <x v="0"/>
    <x v="17"/>
    <x v="231"/>
    <x v="4"/>
    <x v="1"/>
    <x v="0"/>
    <x v="8"/>
    <x v="2"/>
    <x v="2068"/>
    <x v="4"/>
    <x v="94"/>
    <x v="1"/>
    <x v="3"/>
    <x v="1708"/>
    <x v="373"/>
    <x v="1014"/>
    <x v="7"/>
  </r>
  <r>
    <x v="526"/>
    <x v="1"/>
    <x v="17"/>
    <x v="231"/>
    <x v="1"/>
    <x v="1"/>
    <x v="0"/>
    <x v="8"/>
    <x v="1"/>
    <x v="718"/>
    <x v="0"/>
    <x v="42"/>
    <x v="1"/>
    <x v="1"/>
    <x v="466"/>
    <x v="99"/>
    <x v="363"/>
    <x v="7"/>
  </r>
  <r>
    <x v="526"/>
    <x v="2"/>
    <x v="17"/>
    <x v="231"/>
    <x v="29"/>
    <x v="1"/>
    <x v="0"/>
    <x v="8"/>
    <x v="1"/>
    <x v="2243"/>
    <x v="0"/>
    <x v="97"/>
    <x v="1"/>
    <x v="1"/>
    <x v="1503"/>
    <x v="269"/>
    <x v="1400"/>
    <x v="7"/>
  </r>
  <r>
    <x v="527"/>
    <x v="0"/>
    <x v="157"/>
    <x v="215"/>
    <x v="69"/>
    <x v="0"/>
    <x v="2"/>
    <x v="6"/>
    <x v="2"/>
    <x v="133"/>
    <x v="0"/>
    <x v="10"/>
    <x v="1"/>
    <x v="3"/>
    <x v="214"/>
    <x v="40"/>
    <x v="186"/>
    <x v="7"/>
  </r>
  <r>
    <x v="527"/>
    <x v="1"/>
    <x v="157"/>
    <x v="215"/>
    <x v="55"/>
    <x v="0"/>
    <x v="2"/>
    <x v="6"/>
    <x v="1"/>
    <x v="1139"/>
    <x v="0"/>
    <x v="54"/>
    <x v="1"/>
    <x v="3"/>
    <x v="768"/>
    <x v="132"/>
    <x v="982"/>
    <x v="7"/>
  </r>
  <r>
    <x v="528"/>
    <x v="0"/>
    <x v="189"/>
    <x v="186"/>
    <x v="45"/>
    <x v="0"/>
    <x v="0"/>
    <x v="8"/>
    <x v="3"/>
    <x v="18"/>
    <x v="0"/>
    <x v="0"/>
    <x v="1"/>
    <x v="2"/>
    <x v="49"/>
    <x v="7"/>
    <x v="172"/>
    <x v="7"/>
  </r>
  <r>
    <x v="528"/>
    <x v="1"/>
    <x v="189"/>
    <x v="186"/>
    <x v="13"/>
    <x v="0"/>
    <x v="0"/>
    <x v="8"/>
    <x v="2"/>
    <x v="1348"/>
    <x v="0"/>
    <x v="70"/>
    <x v="1"/>
    <x v="3"/>
    <x v="1573"/>
    <x v="298"/>
    <x v="1299"/>
    <x v="7"/>
  </r>
  <r>
    <x v="528"/>
    <x v="2"/>
    <x v="189"/>
    <x v="186"/>
    <x v="52"/>
    <x v="0"/>
    <x v="0"/>
    <x v="8"/>
    <x v="4"/>
    <x v="1016"/>
    <x v="0"/>
    <x v="40"/>
    <x v="1"/>
    <x v="3"/>
    <x v="1772"/>
    <x v="293"/>
    <x v="2001"/>
    <x v="7"/>
  </r>
  <r>
    <x v="529"/>
    <x v="0"/>
    <x v="256"/>
    <x v="227"/>
    <x v="3"/>
    <x v="2"/>
    <x v="1"/>
    <x v="1"/>
    <x v="1"/>
    <x v="1641"/>
    <x v="0"/>
    <x v="73"/>
    <x v="1"/>
    <x v="0"/>
    <x v="1149"/>
    <x v="191"/>
    <x v="1389"/>
    <x v="7"/>
  </r>
  <r>
    <x v="529"/>
    <x v="1"/>
    <x v="256"/>
    <x v="227"/>
    <x v="93"/>
    <x v="2"/>
    <x v="1"/>
    <x v="1"/>
    <x v="2"/>
    <x v="470"/>
    <x v="1"/>
    <x v="24"/>
    <x v="1"/>
    <x v="3"/>
    <x v="526"/>
    <x v="113"/>
    <x v="335"/>
    <x v="7"/>
  </r>
  <r>
    <x v="530"/>
    <x v="0"/>
    <x v="131"/>
    <x v="82"/>
    <x v="32"/>
    <x v="0"/>
    <x v="1"/>
    <x v="3"/>
    <x v="2"/>
    <x v="1156"/>
    <x v="1"/>
    <x v="50"/>
    <x v="1"/>
    <x v="1"/>
    <x v="1376"/>
    <x v="221"/>
    <x v="1591"/>
    <x v="7"/>
  </r>
  <r>
    <x v="531"/>
    <x v="0"/>
    <x v="53"/>
    <x v="198"/>
    <x v="17"/>
    <x v="3"/>
    <x v="1"/>
    <x v="2"/>
    <x v="2"/>
    <x v="2011"/>
    <x v="0"/>
    <x v="92"/>
    <x v="1"/>
    <x v="1"/>
    <x v="1848"/>
    <x v="368"/>
    <x v="1828"/>
    <x v="7"/>
  </r>
  <r>
    <x v="531"/>
    <x v="1"/>
    <x v="53"/>
    <x v="198"/>
    <x v="93"/>
    <x v="3"/>
    <x v="1"/>
    <x v="2"/>
    <x v="1"/>
    <x v="472"/>
    <x v="4"/>
    <x v="24"/>
    <x v="1"/>
    <x v="0"/>
    <x v="225"/>
    <x v="56"/>
    <x v="41"/>
    <x v="7"/>
  </r>
  <r>
    <x v="532"/>
    <x v="0"/>
    <x v="242"/>
    <x v="75"/>
    <x v="23"/>
    <x v="1"/>
    <x v="0"/>
    <x v="1"/>
    <x v="2"/>
    <x v="783"/>
    <x v="1"/>
    <x v="41"/>
    <x v="1"/>
    <x v="2"/>
    <x v="881"/>
    <x v="182"/>
    <x v="811"/>
    <x v="7"/>
  </r>
  <r>
    <x v="532"/>
    <x v="1"/>
    <x v="242"/>
    <x v="75"/>
    <x v="63"/>
    <x v="1"/>
    <x v="0"/>
    <x v="1"/>
    <x v="4"/>
    <x v="2278"/>
    <x v="0"/>
    <x v="98"/>
    <x v="2"/>
    <x v="1"/>
    <x v="2196"/>
    <x v="515"/>
    <x v="2169"/>
    <x v="7"/>
  </r>
  <r>
    <x v="533"/>
    <x v="0"/>
    <x v="223"/>
    <x v="8"/>
    <x v="13"/>
    <x v="1"/>
    <x v="2"/>
    <x v="4"/>
    <x v="5"/>
    <x v="1271"/>
    <x v="0"/>
    <x v="70"/>
    <x v="1"/>
    <x v="3"/>
    <x v="2040"/>
    <x v="474"/>
    <x v="1744"/>
    <x v="7"/>
  </r>
  <r>
    <x v="533"/>
    <x v="1"/>
    <x v="223"/>
    <x v="8"/>
    <x v="41"/>
    <x v="1"/>
    <x v="2"/>
    <x v="4"/>
    <x v="2"/>
    <x v="887"/>
    <x v="1"/>
    <x v="35"/>
    <x v="0"/>
    <x v="0"/>
    <x v="1004"/>
    <x v="163"/>
    <x v="1286"/>
    <x v="7"/>
  </r>
  <r>
    <x v="534"/>
    <x v="0"/>
    <x v="228"/>
    <x v="222"/>
    <x v="82"/>
    <x v="2"/>
    <x v="2"/>
    <x v="3"/>
    <x v="1"/>
    <x v="1813"/>
    <x v="2"/>
    <x v="96"/>
    <x v="1"/>
    <x v="0"/>
    <x v="1138"/>
    <x v="259"/>
    <x v="505"/>
    <x v="7"/>
  </r>
  <r>
    <x v="534"/>
    <x v="1"/>
    <x v="228"/>
    <x v="222"/>
    <x v="6"/>
    <x v="2"/>
    <x v="2"/>
    <x v="3"/>
    <x v="1"/>
    <x v="1426"/>
    <x v="1"/>
    <x v="76"/>
    <x v="0"/>
    <x v="3"/>
    <x v="919"/>
    <x v="198"/>
    <x v="763"/>
    <x v="7"/>
  </r>
  <r>
    <x v="535"/>
    <x v="0"/>
    <x v="29"/>
    <x v="155"/>
    <x v="9"/>
    <x v="2"/>
    <x v="2"/>
    <x v="2"/>
    <x v="3"/>
    <x v="1260"/>
    <x v="4"/>
    <x v="49"/>
    <x v="1"/>
    <x v="1"/>
    <x v="1632"/>
    <x v="282"/>
    <x v="1757"/>
    <x v="7"/>
  </r>
  <r>
    <x v="536"/>
    <x v="0"/>
    <x v="67"/>
    <x v="174"/>
    <x v="83"/>
    <x v="2"/>
    <x v="1"/>
    <x v="3"/>
    <x v="1"/>
    <x v="139"/>
    <x v="0"/>
    <x v="8"/>
    <x v="1"/>
    <x v="3"/>
    <x v="79"/>
    <x v="12"/>
    <x v="203"/>
    <x v="7"/>
  </r>
  <r>
    <x v="537"/>
    <x v="0"/>
    <x v="258"/>
    <x v="82"/>
    <x v="48"/>
    <x v="2"/>
    <x v="1"/>
    <x v="2"/>
    <x v="1"/>
    <x v="439"/>
    <x v="0"/>
    <x v="17"/>
    <x v="1"/>
    <x v="1"/>
    <x v="271"/>
    <x v="39"/>
    <x v="508"/>
    <x v="7"/>
  </r>
  <r>
    <x v="537"/>
    <x v="1"/>
    <x v="258"/>
    <x v="82"/>
    <x v="12"/>
    <x v="2"/>
    <x v="1"/>
    <x v="2"/>
    <x v="5"/>
    <x v="1565"/>
    <x v="0"/>
    <x v="75"/>
    <x v="1"/>
    <x v="2"/>
    <x v="2144"/>
    <x v="487"/>
    <x v="2140"/>
    <x v="7"/>
  </r>
  <r>
    <x v="537"/>
    <x v="2"/>
    <x v="258"/>
    <x v="82"/>
    <x v="24"/>
    <x v="2"/>
    <x v="1"/>
    <x v="2"/>
    <x v="1"/>
    <x v="605"/>
    <x v="0"/>
    <x v="19"/>
    <x v="1"/>
    <x v="1"/>
    <x v="377"/>
    <x v="43"/>
    <x v="807"/>
    <x v="7"/>
  </r>
  <r>
    <x v="538"/>
    <x v="0"/>
    <x v="215"/>
    <x v="53"/>
    <x v="43"/>
    <x v="2"/>
    <x v="2"/>
    <x v="4"/>
    <x v="3"/>
    <x v="42"/>
    <x v="0"/>
    <x v="1"/>
    <x v="1"/>
    <x v="3"/>
    <x v="144"/>
    <x v="17"/>
    <x v="410"/>
    <x v="7"/>
  </r>
  <r>
    <x v="538"/>
    <x v="1"/>
    <x v="215"/>
    <x v="53"/>
    <x v="11"/>
    <x v="2"/>
    <x v="2"/>
    <x v="4"/>
    <x v="3"/>
    <x v="2257"/>
    <x v="0"/>
    <x v="87"/>
    <x v="1"/>
    <x v="0"/>
    <x v="2100"/>
    <x v="433"/>
    <x v="2190"/>
    <x v="7"/>
  </r>
  <r>
    <x v="539"/>
    <x v="0"/>
    <x v="40"/>
    <x v="234"/>
    <x v="88"/>
    <x v="2"/>
    <x v="1"/>
    <x v="1"/>
    <x v="2"/>
    <x v="2140"/>
    <x v="2"/>
    <x v="86"/>
    <x v="1"/>
    <x v="1"/>
    <x v="1818"/>
    <x v="346"/>
    <x v="1872"/>
    <x v="7"/>
  </r>
  <r>
    <x v="539"/>
    <x v="1"/>
    <x v="40"/>
    <x v="234"/>
    <x v="39"/>
    <x v="2"/>
    <x v="1"/>
    <x v="1"/>
    <x v="1"/>
    <x v="2014"/>
    <x v="0"/>
    <x v="93"/>
    <x v="1"/>
    <x v="1"/>
    <x v="1366"/>
    <x v="247"/>
    <x v="1314"/>
    <x v="7"/>
  </r>
  <r>
    <x v="539"/>
    <x v="2"/>
    <x v="40"/>
    <x v="234"/>
    <x v="82"/>
    <x v="2"/>
    <x v="1"/>
    <x v="1"/>
    <x v="1"/>
    <x v="2054"/>
    <x v="4"/>
    <x v="96"/>
    <x v="1"/>
    <x v="2"/>
    <x v="1125"/>
    <x v="259"/>
    <x v="429"/>
    <x v="7"/>
  </r>
  <r>
    <x v="540"/>
    <x v="0"/>
    <x v="129"/>
    <x v="44"/>
    <x v="5"/>
    <x v="0"/>
    <x v="2"/>
    <x v="7"/>
    <x v="2"/>
    <x v="685"/>
    <x v="3"/>
    <x v="31"/>
    <x v="1"/>
    <x v="1"/>
    <x v="715"/>
    <x v="141"/>
    <x v="771"/>
    <x v="7"/>
  </r>
  <r>
    <x v="541"/>
    <x v="0"/>
    <x v="217"/>
    <x v="141"/>
    <x v="26"/>
    <x v="2"/>
    <x v="1"/>
    <x v="9"/>
    <x v="1"/>
    <x v="1937"/>
    <x v="0"/>
    <x v="74"/>
    <x v="1"/>
    <x v="2"/>
    <x v="1334"/>
    <x v="194"/>
    <x v="1657"/>
    <x v="7"/>
  </r>
  <r>
    <x v="542"/>
    <x v="0"/>
    <x v="198"/>
    <x v="216"/>
    <x v="92"/>
    <x v="3"/>
    <x v="2"/>
    <x v="9"/>
    <x v="6"/>
    <x v="1510"/>
    <x v="2"/>
    <x v="62"/>
    <x v="1"/>
    <x v="0"/>
    <x v="2217"/>
    <x v="524"/>
    <x v="2218"/>
    <x v="7"/>
  </r>
  <r>
    <x v="542"/>
    <x v="1"/>
    <x v="198"/>
    <x v="216"/>
    <x v="47"/>
    <x v="3"/>
    <x v="2"/>
    <x v="9"/>
    <x v="2"/>
    <x v="1577"/>
    <x v="1"/>
    <x v="82"/>
    <x v="2"/>
    <x v="1"/>
    <x v="1667"/>
    <x v="334"/>
    <x v="1356"/>
    <x v="7"/>
  </r>
  <r>
    <x v="543"/>
    <x v="0"/>
    <x v="112"/>
    <x v="182"/>
    <x v="49"/>
    <x v="1"/>
    <x v="2"/>
    <x v="3"/>
    <x v="3"/>
    <x v="916"/>
    <x v="4"/>
    <x v="45"/>
    <x v="1"/>
    <x v="0"/>
    <x v="1303"/>
    <x v="272"/>
    <x v="724"/>
    <x v="7"/>
  </r>
  <r>
    <x v="543"/>
    <x v="1"/>
    <x v="112"/>
    <x v="182"/>
    <x v="43"/>
    <x v="1"/>
    <x v="2"/>
    <x v="3"/>
    <x v="5"/>
    <x v="20"/>
    <x v="0"/>
    <x v="1"/>
    <x v="1"/>
    <x v="0"/>
    <x v="227"/>
    <x v="34"/>
    <x v="445"/>
    <x v="7"/>
  </r>
  <r>
    <x v="543"/>
    <x v="2"/>
    <x v="112"/>
    <x v="182"/>
    <x v="25"/>
    <x v="1"/>
    <x v="2"/>
    <x v="3"/>
    <x v="1"/>
    <x v="2049"/>
    <x v="2"/>
    <x v="72"/>
    <x v="1"/>
    <x v="0"/>
    <x v="1257"/>
    <x v="189"/>
    <x v="1584"/>
    <x v="7"/>
  </r>
  <r>
    <x v="544"/>
    <x v="0"/>
    <x v="127"/>
    <x v="171"/>
    <x v="81"/>
    <x v="3"/>
    <x v="2"/>
    <x v="0"/>
    <x v="1"/>
    <x v="52"/>
    <x v="0"/>
    <x v="3"/>
    <x v="1"/>
    <x v="3"/>
    <x v="30"/>
    <x v="5"/>
    <x v="116"/>
    <x v="7"/>
  </r>
  <r>
    <x v="545"/>
    <x v="0"/>
    <x v="95"/>
    <x v="134"/>
    <x v="55"/>
    <x v="3"/>
    <x v="1"/>
    <x v="3"/>
    <x v="2"/>
    <x v="1097"/>
    <x v="0"/>
    <x v="54"/>
    <x v="1"/>
    <x v="2"/>
    <x v="1353"/>
    <x v="242"/>
    <x v="1323"/>
    <x v="7"/>
  </r>
  <r>
    <x v="546"/>
    <x v="0"/>
    <x v="28"/>
    <x v="86"/>
    <x v="14"/>
    <x v="1"/>
    <x v="0"/>
    <x v="5"/>
    <x v="2"/>
    <x v="167"/>
    <x v="0"/>
    <x v="7"/>
    <x v="1"/>
    <x v="1"/>
    <x v="240"/>
    <x v="29"/>
    <x v="552"/>
    <x v="6"/>
  </r>
  <r>
    <x v="547"/>
    <x v="0"/>
    <x v="174"/>
    <x v="24"/>
    <x v="95"/>
    <x v="0"/>
    <x v="0"/>
    <x v="4"/>
    <x v="2"/>
    <x v="987"/>
    <x v="2"/>
    <x v="52"/>
    <x v="1"/>
    <x v="0"/>
    <x v="1080"/>
    <x v="232"/>
    <x v="719"/>
    <x v="7"/>
  </r>
  <r>
    <x v="547"/>
    <x v="1"/>
    <x v="174"/>
    <x v="24"/>
    <x v="84"/>
    <x v="0"/>
    <x v="0"/>
    <x v="4"/>
    <x v="2"/>
    <x v="2003"/>
    <x v="2"/>
    <x v="89"/>
    <x v="1"/>
    <x v="0"/>
    <x v="1770"/>
    <x v="356"/>
    <x v="1627"/>
    <x v="7"/>
  </r>
  <r>
    <x v="547"/>
    <x v="2"/>
    <x v="174"/>
    <x v="24"/>
    <x v="27"/>
    <x v="0"/>
    <x v="0"/>
    <x v="4"/>
    <x v="2"/>
    <x v="1464"/>
    <x v="2"/>
    <x v="61"/>
    <x v="1"/>
    <x v="0"/>
    <x v="1587"/>
    <x v="276"/>
    <x v="1629"/>
    <x v="7"/>
  </r>
  <r>
    <x v="548"/>
    <x v="0"/>
    <x v="195"/>
    <x v="200"/>
    <x v="56"/>
    <x v="2"/>
    <x v="2"/>
    <x v="5"/>
    <x v="1"/>
    <x v="742"/>
    <x v="0"/>
    <x v="44"/>
    <x v="1"/>
    <x v="1"/>
    <x v="480"/>
    <x v="104"/>
    <x v="337"/>
    <x v="7"/>
  </r>
  <r>
    <x v="548"/>
    <x v="1"/>
    <x v="195"/>
    <x v="200"/>
    <x v="81"/>
    <x v="2"/>
    <x v="2"/>
    <x v="5"/>
    <x v="4"/>
    <x v="45"/>
    <x v="2"/>
    <x v="3"/>
    <x v="1"/>
    <x v="0"/>
    <x v="211"/>
    <x v="36"/>
    <x v="214"/>
    <x v="7"/>
  </r>
  <r>
    <x v="549"/>
    <x v="0"/>
    <x v="237"/>
    <x v="49"/>
    <x v="1"/>
    <x v="0"/>
    <x v="0"/>
    <x v="1"/>
    <x v="2"/>
    <x v="723"/>
    <x v="1"/>
    <x v="42"/>
    <x v="1"/>
    <x v="0"/>
    <x v="825"/>
    <x v="188"/>
    <x v="494"/>
    <x v="7"/>
  </r>
  <r>
    <x v="550"/>
    <x v="0"/>
    <x v="154"/>
    <x v="227"/>
    <x v="43"/>
    <x v="2"/>
    <x v="0"/>
    <x v="9"/>
    <x v="2"/>
    <x v="35"/>
    <x v="2"/>
    <x v="1"/>
    <x v="1"/>
    <x v="2"/>
    <x v="55"/>
    <x v="8"/>
    <x v="167"/>
    <x v="7"/>
  </r>
  <r>
    <x v="550"/>
    <x v="1"/>
    <x v="154"/>
    <x v="227"/>
    <x v="55"/>
    <x v="2"/>
    <x v="0"/>
    <x v="9"/>
    <x v="6"/>
    <x v="1136"/>
    <x v="0"/>
    <x v="54"/>
    <x v="1"/>
    <x v="3"/>
    <x v="2158"/>
    <x v="494"/>
    <x v="2153"/>
    <x v="7"/>
  </r>
  <r>
    <x v="551"/>
    <x v="0"/>
    <x v="74"/>
    <x v="213"/>
    <x v="46"/>
    <x v="0"/>
    <x v="1"/>
    <x v="8"/>
    <x v="1"/>
    <x v="1784"/>
    <x v="2"/>
    <x v="85"/>
    <x v="1"/>
    <x v="2"/>
    <x v="1126"/>
    <x v="223"/>
    <x v="1022"/>
    <x v="7"/>
  </r>
  <r>
    <x v="551"/>
    <x v="1"/>
    <x v="74"/>
    <x v="213"/>
    <x v="76"/>
    <x v="0"/>
    <x v="1"/>
    <x v="8"/>
    <x v="3"/>
    <x v="883"/>
    <x v="4"/>
    <x v="36"/>
    <x v="1"/>
    <x v="0"/>
    <x v="1243"/>
    <x v="238"/>
    <x v="1129"/>
    <x v="7"/>
  </r>
  <r>
    <x v="552"/>
    <x v="0"/>
    <x v="243"/>
    <x v="242"/>
    <x v="62"/>
    <x v="0"/>
    <x v="1"/>
    <x v="5"/>
    <x v="2"/>
    <x v="1388"/>
    <x v="1"/>
    <x v="67"/>
    <x v="1"/>
    <x v="3"/>
    <x v="1572"/>
    <x v="294"/>
    <x v="1326"/>
    <x v="7"/>
  </r>
  <r>
    <x v="553"/>
    <x v="0"/>
    <x v="146"/>
    <x v="255"/>
    <x v="27"/>
    <x v="0"/>
    <x v="2"/>
    <x v="1"/>
    <x v="3"/>
    <x v="1386"/>
    <x v="4"/>
    <x v="61"/>
    <x v="1"/>
    <x v="0"/>
    <x v="1698"/>
    <x v="347"/>
    <x v="1307"/>
    <x v="7"/>
  </r>
  <r>
    <x v="554"/>
    <x v="0"/>
    <x v="112"/>
    <x v="192"/>
    <x v="94"/>
    <x v="0"/>
    <x v="1"/>
    <x v="2"/>
    <x v="4"/>
    <x v="1972"/>
    <x v="3"/>
    <x v="71"/>
    <x v="1"/>
    <x v="2"/>
    <x v="2081"/>
    <x v="438"/>
    <x v="2149"/>
    <x v="7"/>
  </r>
  <r>
    <x v="554"/>
    <x v="1"/>
    <x v="112"/>
    <x v="192"/>
    <x v="58"/>
    <x v="0"/>
    <x v="1"/>
    <x v="2"/>
    <x v="6"/>
    <x v="2005"/>
    <x v="3"/>
    <x v="99"/>
    <x v="1"/>
    <x v="2"/>
    <x v="2243"/>
    <x v="560"/>
    <x v="9"/>
    <x v="7"/>
  </r>
  <r>
    <x v="554"/>
    <x v="2"/>
    <x v="112"/>
    <x v="192"/>
    <x v="60"/>
    <x v="0"/>
    <x v="1"/>
    <x v="2"/>
    <x v="1"/>
    <x v="550"/>
    <x v="2"/>
    <x v="27"/>
    <x v="1"/>
    <x v="2"/>
    <x v="310"/>
    <x v="63"/>
    <x v="191"/>
    <x v="7"/>
  </r>
  <r>
    <x v="554"/>
    <x v="3"/>
    <x v="112"/>
    <x v="192"/>
    <x v="21"/>
    <x v="0"/>
    <x v="1"/>
    <x v="2"/>
    <x v="4"/>
    <x v="383"/>
    <x v="0"/>
    <x v="18"/>
    <x v="2"/>
    <x v="3"/>
    <x v="870"/>
    <x v="167"/>
    <x v="882"/>
    <x v="7"/>
  </r>
  <r>
    <x v="555"/>
    <x v="0"/>
    <x v="244"/>
    <x v="29"/>
    <x v="32"/>
    <x v="3"/>
    <x v="1"/>
    <x v="2"/>
    <x v="2"/>
    <x v="1206"/>
    <x v="0"/>
    <x v="50"/>
    <x v="2"/>
    <x v="0"/>
    <x v="1477"/>
    <x v="221"/>
    <x v="1743"/>
    <x v="7"/>
  </r>
  <r>
    <x v="555"/>
    <x v="1"/>
    <x v="244"/>
    <x v="29"/>
    <x v="91"/>
    <x v="3"/>
    <x v="1"/>
    <x v="2"/>
    <x v="1"/>
    <x v="2092"/>
    <x v="1"/>
    <x v="81"/>
    <x v="1"/>
    <x v="0"/>
    <x v="1354"/>
    <x v="212"/>
    <x v="1575"/>
    <x v="7"/>
  </r>
  <r>
    <x v="556"/>
    <x v="0"/>
    <x v="44"/>
    <x v="7"/>
    <x v="78"/>
    <x v="1"/>
    <x v="0"/>
    <x v="3"/>
    <x v="1"/>
    <x v="548"/>
    <x v="2"/>
    <x v="20"/>
    <x v="0"/>
    <x v="2"/>
    <x v="305"/>
    <x v="48"/>
    <x v="521"/>
    <x v="7"/>
  </r>
  <r>
    <x v="557"/>
    <x v="0"/>
    <x v="251"/>
    <x v="183"/>
    <x v="94"/>
    <x v="2"/>
    <x v="2"/>
    <x v="4"/>
    <x v="1"/>
    <x v="1832"/>
    <x v="0"/>
    <x v="71"/>
    <x v="1"/>
    <x v="2"/>
    <x v="1280"/>
    <x v="184"/>
    <x v="1626"/>
    <x v="7"/>
  </r>
  <r>
    <x v="557"/>
    <x v="1"/>
    <x v="251"/>
    <x v="183"/>
    <x v="31"/>
    <x v="2"/>
    <x v="2"/>
    <x v="4"/>
    <x v="3"/>
    <x v="370"/>
    <x v="0"/>
    <x v="12"/>
    <x v="1"/>
    <x v="0"/>
    <x v="656"/>
    <x v="76"/>
    <x v="1165"/>
    <x v="7"/>
  </r>
  <r>
    <x v="558"/>
    <x v="0"/>
    <x v="207"/>
    <x v="247"/>
    <x v="65"/>
    <x v="1"/>
    <x v="2"/>
    <x v="8"/>
    <x v="1"/>
    <x v="2099"/>
    <x v="1"/>
    <x v="95"/>
    <x v="1"/>
    <x v="2"/>
    <x v="1356"/>
    <x v="258"/>
    <x v="1161"/>
    <x v="7"/>
  </r>
  <r>
    <x v="558"/>
    <x v="1"/>
    <x v="207"/>
    <x v="247"/>
    <x v="39"/>
    <x v="1"/>
    <x v="2"/>
    <x v="8"/>
    <x v="1"/>
    <x v="1844"/>
    <x v="0"/>
    <x v="93"/>
    <x v="1"/>
    <x v="2"/>
    <x v="1287"/>
    <x v="247"/>
    <x v="1123"/>
    <x v="7"/>
  </r>
  <r>
    <x v="559"/>
    <x v="0"/>
    <x v="85"/>
    <x v="164"/>
    <x v="57"/>
    <x v="3"/>
    <x v="1"/>
    <x v="0"/>
    <x v="5"/>
    <x v="630"/>
    <x v="4"/>
    <x v="25"/>
    <x v="1"/>
    <x v="1"/>
    <x v="1375"/>
    <x v="260"/>
    <x v="1220"/>
    <x v="7"/>
  </r>
  <r>
    <x v="559"/>
    <x v="1"/>
    <x v="85"/>
    <x v="164"/>
    <x v="23"/>
    <x v="3"/>
    <x v="1"/>
    <x v="0"/>
    <x v="6"/>
    <x v="752"/>
    <x v="1"/>
    <x v="41"/>
    <x v="2"/>
    <x v="2"/>
    <x v="1957"/>
    <x v="435"/>
    <x v="1607"/>
    <x v="7"/>
  </r>
  <r>
    <x v="560"/>
    <x v="0"/>
    <x v="58"/>
    <x v="188"/>
    <x v="88"/>
    <x v="0"/>
    <x v="2"/>
    <x v="8"/>
    <x v="2"/>
    <x v="1917"/>
    <x v="4"/>
    <x v="86"/>
    <x v="1"/>
    <x v="0"/>
    <x v="1677"/>
    <x v="346"/>
    <x v="1191"/>
    <x v="7"/>
  </r>
  <r>
    <x v="560"/>
    <x v="1"/>
    <x v="58"/>
    <x v="188"/>
    <x v="41"/>
    <x v="0"/>
    <x v="2"/>
    <x v="8"/>
    <x v="3"/>
    <x v="898"/>
    <x v="0"/>
    <x v="35"/>
    <x v="1"/>
    <x v="2"/>
    <x v="1513"/>
    <x v="237"/>
    <x v="1707"/>
    <x v="7"/>
  </r>
  <r>
    <x v="560"/>
    <x v="2"/>
    <x v="58"/>
    <x v="188"/>
    <x v="74"/>
    <x v="0"/>
    <x v="2"/>
    <x v="8"/>
    <x v="1"/>
    <x v="2134"/>
    <x v="0"/>
    <x v="90"/>
    <x v="1"/>
    <x v="3"/>
    <x v="1422"/>
    <x v="239"/>
    <x v="1519"/>
    <x v="7"/>
  </r>
  <r>
    <x v="560"/>
    <x v="3"/>
    <x v="58"/>
    <x v="188"/>
    <x v="68"/>
    <x v="0"/>
    <x v="2"/>
    <x v="8"/>
    <x v="3"/>
    <x v="1558"/>
    <x v="0"/>
    <x v="83"/>
    <x v="1"/>
    <x v="1"/>
    <x v="1937"/>
    <x v="413"/>
    <x v="1770"/>
    <x v="7"/>
  </r>
  <r>
    <x v="561"/>
    <x v="0"/>
    <x v="155"/>
    <x v="43"/>
    <x v="59"/>
    <x v="3"/>
    <x v="1"/>
    <x v="4"/>
    <x v="2"/>
    <x v="1130"/>
    <x v="3"/>
    <x v="60"/>
    <x v="1"/>
    <x v="3"/>
    <x v="1202"/>
    <x v="270"/>
    <x v="291"/>
    <x v="7"/>
  </r>
  <r>
    <x v="561"/>
    <x v="1"/>
    <x v="155"/>
    <x v="43"/>
    <x v="97"/>
    <x v="3"/>
    <x v="1"/>
    <x v="4"/>
    <x v="3"/>
    <x v="278"/>
    <x v="4"/>
    <x v="15"/>
    <x v="1"/>
    <x v="3"/>
    <x v="426"/>
    <x v="105"/>
    <x v="36"/>
    <x v="7"/>
  </r>
  <r>
    <x v="561"/>
    <x v="2"/>
    <x v="155"/>
    <x v="43"/>
    <x v="11"/>
    <x v="3"/>
    <x v="1"/>
    <x v="4"/>
    <x v="6"/>
    <x v="2281"/>
    <x v="0"/>
    <x v="87"/>
    <x v="1"/>
    <x v="3"/>
    <x v="2280"/>
    <x v="546"/>
    <x v="2281"/>
    <x v="7"/>
  </r>
  <r>
    <x v="561"/>
    <x v="3"/>
    <x v="155"/>
    <x v="43"/>
    <x v="4"/>
    <x v="3"/>
    <x v="1"/>
    <x v="4"/>
    <x v="2"/>
    <x v="1824"/>
    <x v="4"/>
    <x v="94"/>
    <x v="2"/>
    <x v="3"/>
    <x v="1662"/>
    <x v="373"/>
    <x v="162"/>
    <x v="7"/>
  </r>
  <r>
    <x v="562"/>
    <x v="0"/>
    <x v="103"/>
    <x v="80"/>
    <x v="81"/>
    <x v="2"/>
    <x v="1"/>
    <x v="0"/>
    <x v="3"/>
    <x v="47"/>
    <x v="0"/>
    <x v="3"/>
    <x v="1"/>
    <x v="3"/>
    <x v="166"/>
    <x v="25"/>
    <x v="255"/>
    <x v="7"/>
  </r>
  <r>
    <x v="563"/>
    <x v="0"/>
    <x v="155"/>
    <x v="226"/>
    <x v="28"/>
    <x v="2"/>
    <x v="0"/>
    <x v="8"/>
    <x v="3"/>
    <x v="102"/>
    <x v="4"/>
    <x v="2"/>
    <x v="1"/>
    <x v="2"/>
    <x v="174"/>
    <x v="22"/>
    <x v="393"/>
    <x v="7"/>
  </r>
  <r>
    <x v="564"/>
    <x v="0"/>
    <x v="246"/>
    <x v="86"/>
    <x v="43"/>
    <x v="2"/>
    <x v="2"/>
    <x v="6"/>
    <x v="6"/>
    <x v="31"/>
    <x v="1"/>
    <x v="1"/>
    <x v="1"/>
    <x v="1"/>
    <x v="353"/>
    <x v="55"/>
    <x v="611"/>
    <x v="7"/>
  </r>
  <r>
    <x v="564"/>
    <x v="1"/>
    <x v="246"/>
    <x v="86"/>
    <x v="78"/>
    <x v="2"/>
    <x v="2"/>
    <x v="6"/>
    <x v="3"/>
    <x v="586"/>
    <x v="1"/>
    <x v="20"/>
    <x v="1"/>
    <x v="0"/>
    <x v="928"/>
    <x v="145"/>
    <x v="1324"/>
    <x v="7"/>
  </r>
  <r>
    <x v="564"/>
    <x v="2"/>
    <x v="246"/>
    <x v="86"/>
    <x v="57"/>
    <x v="2"/>
    <x v="2"/>
    <x v="6"/>
    <x v="3"/>
    <x v="704"/>
    <x v="0"/>
    <x v="25"/>
    <x v="1"/>
    <x v="1"/>
    <x v="1204"/>
    <x v="164"/>
    <x v="1632"/>
    <x v="7"/>
  </r>
  <r>
    <x v="564"/>
    <x v="3"/>
    <x v="246"/>
    <x v="86"/>
    <x v="35"/>
    <x v="2"/>
    <x v="2"/>
    <x v="6"/>
    <x v="1"/>
    <x v="272"/>
    <x v="0"/>
    <x v="11"/>
    <x v="1"/>
    <x v="0"/>
    <x v="157"/>
    <x v="20"/>
    <x v="401"/>
    <x v="7"/>
  </r>
  <r>
    <x v="565"/>
    <x v="0"/>
    <x v="86"/>
    <x v="238"/>
    <x v="29"/>
    <x v="1"/>
    <x v="0"/>
    <x v="7"/>
    <x v="1"/>
    <x v="2250"/>
    <x v="2"/>
    <x v="97"/>
    <x v="1"/>
    <x v="1"/>
    <x v="1399"/>
    <x v="269"/>
    <x v="1105"/>
    <x v="7"/>
  </r>
  <r>
    <x v="565"/>
    <x v="1"/>
    <x v="86"/>
    <x v="238"/>
    <x v="8"/>
    <x v="1"/>
    <x v="0"/>
    <x v="7"/>
    <x v="3"/>
    <x v="683"/>
    <x v="0"/>
    <x v="28"/>
    <x v="1"/>
    <x v="0"/>
    <x v="1166"/>
    <x v="187"/>
    <x v="1463"/>
    <x v="7"/>
  </r>
  <r>
    <x v="565"/>
    <x v="2"/>
    <x v="86"/>
    <x v="238"/>
    <x v="94"/>
    <x v="1"/>
    <x v="0"/>
    <x v="7"/>
    <x v="1"/>
    <x v="1797"/>
    <x v="0"/>
    <x v="71"/>
    <x v="1"/>
    <x v="2"/>
    <x v="1252"/>
    <x v="184"/>
    <x v="1594"/>
    <x v="7"/>
  </r>
  <r>
    <x v="566"/>
    <x v="0"/>
    <x v="200"/>
    <x v="96"/>
    <x v="98"/>
    <x v="3"/>
    <x v="0"/>
    <x v="3"/>
    <x v="1"/>
    <x v="1281"/>
    <x v="0"/>
    <x v="65"/>
    <x v="1"/>
    <x v="3"/>
    <x v="861"/>
    <x v="169"/>
    <x v="817"/>
    <x v="7"/>
  </r>
  <r>
    <x v="566"/>
    <x v="1"/>
    <x v="200"/>
    <x v="96"/>
    <x v="39"/>
    <x v="3"/>
    <x v="0"/>
    <x v="3"/>
    <x v="2"/>
    <x v="2050"/>
    <x v="0"/>
    <x v="93"/>
    <x v="1"/>
    <x v="1"/>
    <x v="1864"/>
    <x v="371"/>
    <x v="1851"/>
    <x v="7"/>
  </r>
  <r>
    <x v="566"/>
    <x v="2"/>
    <x v="200"/>
    <x v="96"/>
    <x v="31"/>
    <x v="3"/>
    <x v="0"/>
    <x v="3"/>
    <x v="1"/>
    <x v="344"/>
    <x v="0"/>
    <x v="12"/>
    <x v="1"/>
    <x v="1"/>
    <x v="203"/>
    <x v="21"/>
    <x v="483"/>
    <x v="7"/>
  </r>
  <r>
    <x v="567"/>
    <x v="0"/>
    <x v="247"/>
    <x v="226"/>
    <x v="87"/>
    <x v="3"/>
    <x v="2"/>
    <x v="9"/>
    <x v="5"/>
    <x v="617"/>
    <x v="0"/>
    <x v="33"/>
    <x v="2"/>
    <x v="2"/>
    <x v="1546"/>
    <x v="302"/>
    <x v="1068"/>
    <x v="7"/>
  </r>
  <r>
    <x v="567"/>
    <x v="1"/>
    <x v="247"/>
    <x v="226"/>
    <x v="59"/>
    <x v="3"/>
    <x v="2"/>
    <x v="9"/>
    <x v="1"/>
    <x v="1234"/>
    <x v="0"/>
    <x v="60"/>
    <x v="1"/>
    <x v="3"/>
    <x v="824"/>
    <x v="151"/>
    <x v="950"/>
    <x v="7"/>
  </r>
  <r>
    <x v="567"/>
    <x v="2"/>
    <x v="247"/>
    <x v="226"/>
    <x v="60"/>
    <x v="3"/>
    <x v="2"/>
    <x v="9"/>
    <x v="6"/>
    <x v="575"/>
    <x v="0"/>
    <x v="27"/>
    <x v="1"/>
    <x v="2"/>
    <x v="1781"/>
    <x v="357"/>
    <x v="1672"/>
    <x v="7"/>
  </r>
  <r>
    <x v="568"/>
    <x v="0"/>
    <x v="149"/>
    <x v="57"/>
    <x v="78"/>
    <x v="2"/>
    <x v="2"/>
    <x v="9"/>
    <x v="1"/>
    <x v="537"/>
    <x v="4"/>
    <x v="20"/>
    <x v="1"/>
    <x v="3"/>
    <x v="249"/>
    <x v="48"/>
    <x v="294"/>
    <x v="7"/>
  </r>
  <r>
    <x v="568"/>
    <x v="1"/>
    <x v="149"/>
    <x v="57"/>
    <x v="81"/>
    <x v="2"/>
    <x v="2"/>
    <x v="9"/>
    <x v="1"/>
    <x v="49"/>
    <x v="2"/>
    <x v="3"/>
    <x v="2"/>
    <x v="1"/>
    <x v="22"/>
    <x v="5"/>
    <x v="81"/>
    <x v="7"/>
  </r>
  <r>
    <x v="569"/>
    <x v="0"/>
    <x v="68"/>
    <x v="251"/>
    <x v="7"/>
    <x v="0"/>
    <x v="1"/>
    <x v="8"/>
    <x v="1"/>
    <x v="97"/>
    <x v="0"/>
    <x v="4"/>
    <x v="1"/>
    <x v="2"/>
    <x v="45"/>
    <x v="6"/>
    <x v="149"/>
    <x v="7"/>
  </r>
  <r>
    <x v="569"/>
    <x v="1"/>
    <x v="68"/>
    <x v="251"/>
    <x v="21"/>
    <x v="0"/>
    <x v="1"/>
    <x v="8"/>
    <x v="2"/>
    <x v="424"/>
    <x v="0"/>
    <x v="18"/>
    <x v="1"/>
    <x v="3"/>
    <x v="533"/>
    <x v="90"/>
    <x v="716"/>
    <x v="7"/>
  </r>
  <r>
    <x v="570"/>
    <x v="0"/>
    <x v="220"/>
    <x v="209"/>
    <x v="0"/>
    <x v="2"/>
    <x v="0"/>
    <x v="2"/>
    <x v="3"/>
    <x v="846"/>
    <x v="2"/>
    <x v="32"/>
    <x v="1"/>
    <x v="2"/>
    <x v="1336"/>
    <x v="210"/>
    <x v="1559"/>
    <x v="7"/>
  </r>
  <r>
    <x v="570"/>
    <x v="1"/>
    <x v="220"/>
    <x v="209"/>
    <x v="91"/>
    <x v="2"/>
    <x v="0"/>
    <x v="2"/>
    <x v="4"/>
    <x v="2212"/>
    <x v="3"/>
    <x v="81"/>
    <x v="1"/>
    <x v="1"/>
    <x v="2126"/>
    <x v="462"/>
    <x v="2158"/>
    <x v="7"/>
  </r>
  <r>
    <x v="570"/>
    <x v="2"/>
    <x v="220"/>
    <x v="209"/>
    <x v="33"/>
    <x v="2"/>
    <x v="0"/>
    <x v="2"/>
    <x v="2"/>
    <x v="556"/>
    <x v="1"/>
    <x v="29"/>
    <x v="1"/>
    <x v="2"/>
    <x v="635"/>
    <x v="135"/>
    <x v="512"/>
    <x v="7"/>
  </r>
  <r>
    <x v="571"/>
    <x v="0"/>
    <x v="205"/>
    <x v="183"/>
    <x v="29"/>
    <x v="1"/>
    <x v="2"/>
    <x v="8"/>
    <x v="2"/>
    <x v="2093"/>
    <x v="0"/>
    <x v="97"/>
    <x v="1"/>
    <x v="0"/>
    <x v="1879"/>
    <x v="395"/>
    <x v="1630"/>
    <x v="7"/>
  </r>
  <r>
    <x v="572"/>
    <x v="0"/>
    <x v="182"/>
    <x v="236"/>
    <x v="94"/>
    <x v="0"/>
    <x v="2"/>
    <x v="8"/>
    <x v="6"/>
    <x v="1681"/>
    <x v="4"/>
    <x v="71"/>
    <x v="1"/>
    <x v="1"/>
    <x v="2219"/>
    <x v="534"/>
    <x v="2155"/>
    <x v="7"/>
  </r>
  <r>
    <x v="572"/>
    <x v="1"/>
    <x v="182"/>
    <x v="236"/>
    <x v="5"/>
    <x v="0"/>
    <x v="2"/>
    <x v="8"/>
    <x v="1"/>
    <x v="717"/>
    <x v="0"/>
    <x v="31"/>
    <x v="1"/>
    <x v="0"/>
    <x v="465"/>
    <x v="70"/>
    <x v="787"/>
    <x v="7"/>
  </r>
  <r>
    <x v="573"/>
    <x v="0"/>
    <x v="97"/>
    <x v="152"/>
    <x v="14"/>
    <x v="0"/>
    <x v="1"/>
    <x v="1"/>
    <x v="5"/>
    <x v="224"/>
    <x v="0"/>
    <x v="7"/>
    <x v="2"/>
    <x v="3"/>
    <x v="673"/>
    <x v="79"/>
    <x v="1206"/>
    <x v="7"/>
  </r>
  <r>
    <x v="573"/>
    <x v="1"/>
    <x v="97"/>
    <x v="152"/>
    <x v="36"/>
    <x v="0"/>
    <x v="1"/>
    <x v="1"/>
    <x v="2"/>
    <x v="2157"/>
    <x v="1"/>
    <x v="91"/>
    <x v="0"/>
    <x v="3"/>
    <x v="1860"/>
    <x v="363"/>
    <x v="1888"/>
    <x v="7"/>
  </r>
  <r>
    <x v="574"/>
    <x v="0"/>
    <x v="177"/>
    <x v="157"/>
    <x v="94"/>
    <x v="3"/>
    <x v="1"/>
    <x v="6"/>
    <x v="1"/>
    <x v="1909"/>
    <x v="0"/>
    <x v="71"/>
    <x v="1"/>
    <x v="1"/>
    <x v="1319"/>
    <x v="184"/>
    <x v="1677"/>
    <x v="7"/>
  </r>
  <r>
    <x v="574"/>
    <x v="1"/>
    <x v="177"/>
    <x v="157"/>
    <x v="81"/>
    <x v="3"/>
    <x v="1"/>
    <x v="6"/>
    <x v="1"/>
    <x v="69"/>
    <x v="1"/>
    <x v="3"/>
    <x v="1"/>
    <x v="3"/>
    <x v="34"/>
    <x v="5"/>
    <x v="132"/>
    <x v="7"/>
  </r>
  <r>
    <x v="574"/>
    <x v="2"/>
    <x v="177"/>
    <x v="157"/>
    <x v="54"/>
    <x v="3"/>
    <x v="1"/>
    <x v="6"/>
    <x v="1"/>
    <x v="1344"/>
    <x v="0"/>
    <x v="55"/>
    <x v="1"/>
    <x v="0"/>
    <x v="884"/>
    <x v="138"/>
    <x v="1313"/>
    <x v="7"/>
  </r>
  <r>
    <x v="574"/>
    <x v="3"/>
    <x v="177"/>
    <x v="157"/>
    <x v="43"/>
    <x v="3"/>
    <x v="1"/>
    <x v="6"/>
    <x v="3"/>
    <x v="37"/>
    <x v="1"/>
    <x v="1"/>
    <x v="1"/>
    <x v="3"/>
    <x v="123"/>
    <x v="17"/>
    <x v="306"/>
    <x v="7"/>
  </r>
  <r>
    <x v="575"/>
    <x v="0"/>
    <x v="51"/>
    <x v="21"/>
    <x v="42"/>
    <x v="0"/>
    <x v="2"/>
    <x v="3"/>
    <x v="3"/>
    <x v="407"/>
    <x v="0"/>
    <x v="23"/>
    <x v="1"/>
    <x v="1"/>
    <x v="748"/>
    <x v="157"/>
    <x v="464"/>
    <x v="7"/>
  </r>
  <r>
    <x v="576"/>
    <x v="0"/>
    <x v="193"/>
    <x v="108"/>
    <x v="24"/>
    <x v="1"/>
    <x v="1"/>
    <x v="3"/>
    <x v="2"/>
    <x v="590"/>
    <x v="0"/>
    <x v="19"/>
    <x v="1"/>
    <x v="0"/>
    <x v="702"/>
    <x v="92"/>
    <x v="1180"/>
    <x v="7"/>
  </r>
  <r>
    <x v="576"/>
    <x v="1"/>
    <x v="193"/>
    <x v="108"/>
    <x v="37"/>
    <x v="1"/>
    <x v="1"/>
    <x v="3"/>
    <x v="1"/>
    <x v="1440"/>
    <x v="2"/>
    <x v="78"/>
    <x v="1"/>
    <x v="1"/>
    <x v="888"/>
    <x v="202"/>
    <x v="586"/>
    <x v="7"/>
  </r>
  <r>
    <x v="576"/>
    <x v="2"/>
    <x v="193"/>
    <x v="108"/>
    <x v="94"/>
    <x v="1"/>
    <x v="1"/>
    <x v="3"/>
    <x v="5"/>
    <x v="1656"/>
    <x v="0"/>
    <x v="71"/>
    <x v="1"/>
    <x v="2"/>
    <x v="2160"/>
    <x v="479"/>
    <x v="2205"/>
    <x v="7"/>
  </r>
  <r>
    <x v="576"/>
    <x v="3"/>
    <x v="193"/>
    <x v="108"/>
    <x v="38"/>
    <x v="1"/>
    <x v="1"/>
    <x v="3"/>
    <x v="6"/>
    <x v="1090"/>
    <x v="1"/>
    <x v="39"/>
    <x v="1"/>
    <x v="0"/>
    <x v="2123"/>
    <x v="427"/>
    <x v="2216"/>
    <x v="7"/>
  </r>
  <r>
    <x v="577"/>
    <x v="0"/>
    <x v="103"/>
    <x v="197"/>
    <x v="78"/>
    <x v="0"/>
    <x v="0"/>
    <x v="1"/>
    <x v="3"/>
    <x v="602"/>
    <x v="0"/>
    <x v="20"/>
    <x v="1"/>
    <x v="1"/>
    <x v="1001"/>
    <x v="145"/>
    <x v="1456"/>
    <x v="7"/>
  </r>
  <r>
    <x v="577"/>
    <x v="1"/>
    <x v="103"/>
    <x v="197"/>
    <x v="18"/>
    <x v="0"/>
    <x v="0"/>
    <x v="1"/>
    <x v="3"/>
    <x v="1583"/>
    <x v="2"/>
    <x v="59"/>
    <x v="1"/>
    <x v="1"/>
    <x v="1900"/>
    <x v="341"/>
    <x v="2042"/>
    <x v="7"/>
  </r>
  <r>
    <x v="577"/>
    <x v="2"/>
    <x v="103"/>
    <x v="197"/>
    <x v="22"/>
    <x v="0"/>
    <x v="0"/>
    <x v="1"/>
    <x v="4"/>
    <x v="878"/>
    <x v="4"/>
    <x v="34"/>
    <x v="1"/>
    <x v="0"/>
    <x v="1536"/>
    <x v="274"/>
    <x v="1424"/>
    <x v="7"/>
  </r>
  <r>
    <x v="577"/>
    <x v="3"/>
    <x v="103"/>
    <x v="197"/>
    <x v="64"/>
    <x v="0"/>
    <x v="0"/>
    <x v="1"/>
    <x v="1"/>
    <x v="1680"/>
    <x v="3"/>
    <x v="69"/>
    <x v="1"/>
    <x v="2"/>
    <x v="1015"/>
    <x v="179"/>
    <x v="1187"/>
    <x v="7"/>
  </r>
  <r>
    <x v="578"/>
    <x v="0"/>
    <x v="41"/>
    <x v="49"/>
    <x v="94"/>
    <x v="2"/>
    <x v="1"/>
    <x v="4"/>
    <x v="2"/>
    <x v="1853"/>
    <x v="0"/>
    <x v="71"/>
    <x v="1"/>
    <x v="2"/>
    <x v="1804"/>
    <x v="303"/>
    <x v="2017"/>
    <x v="7"/>
  </r>
  <r>
    <x v="578"/>
    <x v="1"/>
    <x v="41"/>
    <x v="49"/>
    <x v="96"/>
    <x v="2"/>
    <x v="1"/>
    <x v="4"/>
    <x v="2"/>
    <x v="457"/>
    <x v="1"/>
    <x v="22"/>
    <x v="1"/>
    <x v="3"/>
    <x v="520"/>
    <x v="110"/>
    <x v="375"/>
    <x v="7"/>
  </r>
  <r>
    <x v="578"/>
    <x v="2"/>
    <x v="41"/>
    <x v="49"/>
    <x v="27"/>
    <x v="2"/>
    <x v="1"/>
    <x v="4"/>
    <x v="1"/>
    <x v="1491"/>
    <x v="2"/>
    <x v="61"/>
    <x v="1"/>
    <x v="1"/>
    <x v="931"/>
    <x v="156"/>
    <x v="1174"/>
    <x v="7"/>
  </r>
  <r>
    <x v="579"/>
    <x v="0"/>
    <x v="143"/>
    <x v="153"/>
    <x v="16"/>
    <x v="2"/>
    <x v="2"/>
    <x v="2"/>
    <x v="1"/>
    <x v="1250"/>
    <x v="4"/>
    <x v="51"/>
    <x v="2"/>
    <x v="3"/>
    <x v="701"/>
    <x v="123"/>
    <x v="868"/>
    <x v="7"/>
  </r>
  <r>
    <x v="579"/>
    <x v="1"/>
    <x v="143"/>
    <x v="153"/>
    <x v="24"/>
    <x v="2"/>
    <x v="2"/>
    <x v="2"/>
    <x v="1"/>
    <x v="544"/>
    <x v="4"/>
    <x v="19"/>
    <x v="1"/>
    <x v="1"/>
    <x v="257"/>
    <x v="43"/>
    <x v="428"/>
    <x v="7"/>
  </r>
  <r>
    <x v="580"/>
    <x v="0"/>
    <x v="39"/>
    <x v="51"/>
    <x v="13"/>
    <x v="3"/>
    <x v="1"/>
    <x v="8"/>
    <x v="2"/>
    <x v="1223"/>
    <x v="1"/>
    <x v="70"/>
    <x v="1"/>
    <x v="0"/>
    <x v="1446"/>
    <x v="298"/>
    <x v="628"/>
    <x v="7"/>
  </r>
  <r>
    <x v="581"/>
    <x v="0"/>
    <x v="107"/>
    <x v="76"/>
    <x v="64"/>
    <x v="2"/>
    <x v="1"/>
    <x v="2"/>
    <x v="2"/>
    <x v="1750"/>
    <x v="1"/>
    <x v="69"/>
    <x v="1"/>
    <x v="1"/>
    <x v="1729"/>
    <x v="296"/>
    <x v="1932"/>
    <x v="7"/>
  </r>
  <r>
    <x v="581"/>
    <x v="1"/>
    <x v="107"/>
    <x v="76"/>
    <x v="47"/>
    <x v="2"/>
    <x v="1"/>
    <x v="2"/>
    <x v="4"/>
    <x v="1647"/>
    <x v="1"/>
    <x v="82"/>
    <x v="1"/>
    <x v="1"/>
    <x v="2065"/>
    <x v="465"/>
    <x v="1967"/>
    <x v="7"/>
  </r>
  <r>
    <x v="581"/>
    <x v="2"/>
    <x v="107"/>
    <x v="76"/>
    <x v="70"/>
    <x v="2"/>
    <x v="1"/>
    <x v="2"/>
    <x v="4"/>
    <x v="1675"/>
    <x v="4"/>
    <x v="68"/>
    <x v="1"/>
    <x v="0"/>
    <x v="2002"/>
    <x v="430"/>
    <x v="1963"/>
    <x v="7"/>
  </r>
  <r>
    <x v="582"/>
    <x v="0"/>
    <x v="56"/>
    <x v="157"/>
    <x v="88"/>
    <x v="2"/>
    <x v="0"/>
    <x v="1"/>
    <x v="3"/>
    <x v="1810"/>
    <x v="4"/>
    <x v="86"/>
    <x v="1"/>
    <x v="0"/>
    <x v="1913"/>
    <x v="426"/>
    <x v="1221"/>
    <x v="7"/>
  </r>
  <r>
    <x v="583"/>
    <x v="0"/>
    <x v="258"/>
    <x v="128"/>
    <x v="74"/>
    <x v="3"/>
    <x v="1"/>
    <x v="8"/>
    <x v="4"/>
    <x v="1941"/>
    <x v="0"/>
    <x v="90"/>
    <x v="1"/>
    <x v="0"/>
    <x v="2138"/>
    <x v="491"/>
    <x v="2101"/>
    <x v="7"/>
  </r>
  <r>
    <x v="583"/>
    <x v="1"/>
    <x v="258"/>
    <x v="128"/>
    <x v="44"/>
    <x v="3"/>
    <x v="1"/>
    <x v="8"/>
    <x v="1"/>
    <x v="1499"/>
    <x v="3"/>
    <x v="57"/>
    <x v="1"/>
    <x v="3"/>
    <x v="890"/>
    <x v="144"/>
    <x v="1263"/>
    <x v="7"/>
  </r>
  <r>
    <x v="584"/>
    <x v="0"/>
    <x v="28"/>
    <x v="203"/>
    <x v="76"/>
    <x v="0"/>
    <x v="1"/>
    <x v="2"/>
    <x v="3"/>
    <x v="771"/>
    <x v="3"/>
    <x v="36"/>
    <x v="1"/>
    <x v="2"/>
    <x v="1146"/>
    <x v="238"/>
    <x v="881"/>
    <x v="7"/>
  </r>
  <r>
    <x v="584"/>
    <x v="1"/>
    <x v="28"/>
    <x v="203"/>
    <x v="40"/>
    <x v="0"/>
    <x v="1"/>
    <x v="2"/>
    <x v="1"/>
    <x v="1550"/>
    <x v="0"/>
    <x v="63"/>
    <x v="1"/>
    <x v="1"/>
    <x v="1077"/>
    <x v="166"/>
    <x v="1403"/>
    <x v="7"/>
  </r>
  <r>
    <x v="585"/>
    <x v="0"/>
    <x v="38"/>
    <x v="138"/>
    <x v="21"/>
    <x v="3"/>
    <x v="1"/>
    <x v="8"/>
    <x v="3"/>
    <x v="388"/>
    <x v="0"/>
    <x v="18"/>
    <x v="1"/>
    <x v="2"/>
    <x v="707"/>
    <x v="134"/>
    <x v="805"/>
    <x v="7"/>
  </r>
  <r>
    <x v="585"/>
    <x v="1"/>
    <x v="38"/>
    <x v="138"/>
    <x v="29"/>
    <x v="3"/>
    <x v="1"/>
    <x v="8"/>
    <x v="3"/>
    <x v="2173"/>
    <x v="2"/>
    <x v="97"/>
    <x v="1"/>
    <x v="0"/>
    <x v="2029"/>
    <x v="473"/>
    <x v="1645"/>
    <x v="7"/>
  </r>
  <r>
    <x v="586"/>
    <x v="0"/>
    <x v="186"/>
    <x v="114"/>
    <x v="10"/>
    <x v="3"/>
    <x v="1"/>
    <x v="0"/>
    <x v="1"/>
    <x v="355"/>
    <x v="1"/>
    <x v="14"/>
    <x v="1"/>
    <x v="3"/>
    <x v="195"/>
    <x v="31"/>
    <x v="326"/>
    <x v="7"/>
  </r>
  <r>
    <x v="586"/>
    <x v="1"/>
    <x v="186"/>
    <x v="114"/>
    <x v="84"/>
    <x v="3"/>
    <x v="1"/>
    <x v="0"/>
    <x v="2"/>
    <x v="1677"/>
    <x v="0"/>
    <x v="89"/>
    <x v="1"/>
    <x v="1"/>
    <x v="1733"/>
    <x v="356"/>
    <x v="1457"/>
    <x v="7"/>
  </r>
  <r>
    <x v="587"/>
    <x v="0"/>
    <x v="175"/>
    <x v="173"/>
    <x v="6"/>
    <x v="2"/>
    <x v="1"/>
    <x v="2"/>
    <x v="4"/>
    <x v="1574"/>
    <x v="4"/>
    <x v="76"/>
    <x v="1"/>
    <x v="0"/>
    <x v="1969"/>
    <x v="449"/>
    <x v="1475"/>
    <x v="7"/>
  </r>
  <r>
    <x v="588"/>
    <x v="0"/>
    <x v="54"/>
    <x v="148"/>
    <x v="18"/>
    <x v="2"/>
    <x v="1"/>
    <x v="0"/>
    <x v="1"/>
    <x v="1477"/>
    <x v="2"/>
    <x v="59"/>
    <x v="1"/>
    <x v="0"/>
    <x v="912"/>
    <x v="150"/>
    <x v="1234"/>
    <x v="7"/>
  </r>
  <r>
    <x v="589"/>
    <x v="0"/>
    <x v="227"/>
    <x v="174"/>
    <x v="5"/>
    <x v="1"/>
    <x v="1"/>
    <x v="7"/>
    <x v="3"/>
    <x v="733"/>
    <x v="0"/>
    <x v="31"/>
    <x v="1"/>
    <x v="1"/>
    <x v="1273"/>
    <x v="199"/>
    <x v="1550"/>
    <x v="7"/>
  </r>
  <r>
    <x v="589"/>
    <x v="1"/>
    <x v="227"/>
    <x v="174"/>
    <x v="71"/>
    <x v="1"/>
    <x v="1"/>
    <x v="7"/>
    <x v="2"/>
    <x v="210"/>
    <x v="3"/>
    <x v="6"/>
    <x v="1"/>
    <x v="2"/>
    <x v="230"/>
    <x v="27"/>
    <x v="524"/>
    <x v="7"/>
  </r>
  <r>
    <x v="590"/>
    <x v="0"/>
    <x v="147"/>
    <x v="222"/>
    <x v="17"/>
    <x v="3"/>
    <x v="1"/>
    <x v="5"/>
    <x v="1"/>
    <x v="2218"/>
    <x v="0"/>
    <x v="92"/>
    <x v="1"/>
    <x v="2"/>
    <x v="1480"/>
    <x v="245"/>
    <x v="1605"/>
    <x v="7"/>
  </r>
  <r>
    <x v="590"/>
    <x v="1"/>
    <x v="147"/>
    <x v="222"/>
    <x v="51"/>
    <x v="3"/>
    <x v="1"/>
    <x v="5"/>
    <x v="1"/>
    <x v="1379"/>
    <x v="0"/>
    <x v="53"/>
    <x v="0"/>
    <x v="1"/>
    <x v="910"/>
    <x v="131"/>
    <x v="1387"/>
    <x v="7"/>
  </r>
  <r>
    <x v="590"/>
    <x v="2"/>
    <x v="147"/>
    <x v="222"/>
    <x v="55"/>
    <x v="3"/>
    <x v="1"/>
    <x v="5"/>
    <x v="5"/>
    <x v="1015"/>
    <x v="1"/>
    <x v="54"/>
    <x v="1"/>
    <x v="0"/>
    <x v="1895"/>
    <x v="406"/>
    <x v="1530"/>
    <x v="7"/>
  </r>
  <r>
    <x v="591"/>
    <x v="0"/>
    <x v="180"/>
    <x v="191"/>
    <x v="16"/>
    <x v="3"/>
    <x v="1"/>
    <x v="8"/>
    <x v="2"/>
    <x v="1245"/>
    <x v="0"/>
    <x v="51"/>
    <x v="2"/>
    <x v="2"/>
    <x v="1521"/>
    <x v="230"/>
    <x v="1751"/>
    <x v="7"/>
  </r>
  <r>
    <x v="591"/>
    <x v="1"/>
    <x v="180"/>
    <x v="191"/>
    <x v="71"/>
    <x v="3"/>
    <x v="1"/>
    <x v="8"/>
    <x v="6"/>
    <x v="187"/>
    <x v="0"/>
    <x v="6"/>
    <x v="1"/>
    <x v="3"/>
    <x v="901"/>
    <x v="126"/>
    <x v="1381"/>
    <x v="7"/>
  </r>
  <r>
    <x v="592"/>
    <x v="0"/>
    <x v="1"/>
    <x v="26"/>
    <x v="86"/>
    <x v="1"/>
    <x v="1"/>
    <x v="5"/>
    <x v="2"/>
    <x v="1831"/>
    <x v="0"/>
    <x v="79"/>
    <x v="1"/>
    <x v="1"/>
    <x v="1793"/>
    <x v="328"/>
    <x v="1916"/>
    <x v="7"/>
  </r>
  <r>
    <x v="592"/>
    <x v="1"/>
    <x v="1"/>
    <x v="26"/>
    <x v="72"/>
    <x v="1"/>
    <x v="1"/>
    <x v="5"/>
    <x v="2"/>
    <x v="1225"/>
    <x v="2"/>
    <x v="66"/>
    <x v="1"/>
    <x v="3"/>
    <x v="1396"/>
    <x v="290"/>
    <x v="479"/>
    <x v="7"/>
  </r>
  <r>
    <x v="593"/>
    <x v="0"/>
    <x v="219"/>
    <x v="17"/>
    <x v="55"/>
    <x v="3"/>
    <x v="1"/>
    <x v="3"/>
    <x v="2"/>
    <x v="1006"/>
    <x v="0"/>
    <x v="54"/>
    <x v="1"/>
    <x v="0"/>
    <x v="1206"/>
    <x v="242"/>
    <x v="996"/>
    <x v="7"/>
  </r>
  <r>
    <x v="594"/>
    <x v="0"/>
    <x v="64"/>
    <x v="103"/>
    <x v="44"/>
    <x v="1"/>
    <x v="1"/>
    <x v="0"/>
    <x v="1"/>
    <x v="1450"/>
    <x v="0"/>
    <x v="57"/>
    <x v="1"/>
    <x v="2"/>
    <x v="992"/>
    <x v="144"/>
    <x v="1444"/>
    <x v="7"/>
  </r>
  <r>
    <x v="594"/>
    <x v="1"/>
    <x v="64"/>
    <x v="103"/>
    <x v="1"/>
    <x v="1"/>
    <x v="1"/>
    <x v="0"/>
    <x v="7"/>
    <x v="761"/>
    <x v="1"/>
    <x v="42"/>
    <x v="1"/>
    <x v="0"/>
    <x v="2120"/>
    <x v="506"/>
    <x v="1801"/>
    <x v="7"/>
  </r>
  <r>
    <x v="594"/>
    <x v="2"/>
    <x v="64"/>
    <x v="103"/>
    <x v="55"/>
    <x v="1"/>
    <x v="1"/>
    <x v="0"/>
    <x v="1"/>
    <x v="1041"/>
    <x v="0"/>
    <x v="54"/>
    <x v="1"/>
    <x v="2"/>
    <x v="685"/>
    <x v="132"/>
    <x v="729"/>
    <x v="7"/>
  </r>
  <r>
    <x v="594"/>
    <x v="3"/>
    <x v="64"/>
    <x v="103"/>
    <x v="93"/>
    <x v="1"/>
    <x v="1"/>
    <x v="0"/>
    <x v="2"/>
    <x v="514"/>
    <x v="1"/>
    <x v="24"/>
    <x v="1"/>
    <x v="1"/>
    <x v="579"/>
    <x v="113"/>
    <x v="544"/>
    <x v="7"/>
  </r>
  <r>
    <x v="595"/>
    <x v="0"/>
    <x v="217"/>
    <x v="128"/>
    <x v="17"/>
    <x v="3"/>
    <x v="0"/>
    <x v="6"/>
    <x v="3"/>
    <x v="2047"/>
    <x v="0"/>
    <x v="92"/>
    <x v="1"/>
    <x v="2"/>
    <x v="2048"/>
    <x v="444"/>
    <x v="2036"/>
    <x v="7"/>
  </r>
  <r>
    <x v="595"/>
    <x v="1"/>
    <x v="217"/>
    <x v="128"/>
    <x v="51"/>
    <x v="3"/>
    <x v="0"/>
    <x v="6"/>
    <x v="1"/>
    <x v="1446"/>
    <x v="1"/>
    <x v="53"/>
    <x v="1"/>
    <x v="0"/>
    <x v="937"/>
    <x v="131"/>
    <x v="1439"/>
    <x v="7"/>
  </r>
  <r>
    <x v="596"/>
    <x v="0"/>
    <x v="125"/>
    <x v="36"/>
    <x v="24"/>
    <x v="3"/>
    <x v="2"/>
    <x v="6"/>
    <x v="3"/>
    <x v="549"/>
    <x v="3"/>
    <x v="19"/>
    <x v="2"/>
    <x v="2"/>
    <x v="796"/>
    <x v="139"/>
    <x v="1034"/>
    <x v="7"/>
  </r>
  <r>
    <x v="597"/>
    <x v="0"/>
    <x v="221"/>
    <x v="153"/>
    <x v="91"/>
    <x v="3"/>
    <x v="0"/>
    <x v="8"/>
    <x v="1"/>
    <x v="2136"/>
    <x v="2"/>
    <x v="81"/>
    <x v="1"/>
    <x v="1"/>
    <x v="1304"/>
    <x v="212"/>
    <x v="1507"/>
    <x v="7"/>
  </r>
  <r>
    <x v="597"/>
    <x v="1"/>
    <x v="221"/>
    <x v="153"/>
    <x v="50"/>
    <x v="3"/>
    <x v="0"/>
    <x v="8"/>
    <x v="2"/>
    <x v="1843"/>
    <x v="0"/>
    <x v="77"/>
    <x v="1"/>
    <x v="3"/>
    <x v="1801"/>
    <x v="319"/>
    <x v="1973"/>
    <x v="7"/>
  </r>
  <r>
    <x v="598"/>
    <x v="0"/>
    <x v="120"/>
    <x v="0"/>
    <x v="0"/>
    <x v="0"/>
    <x v="0"/>
    <x v="3"/>
    <x v="4"/>
    <x v="891"/>
    <x v="0"/>
    <x v="32"/>
    <x v="1"/>
    <x v="0"/>
    <x v="1675"/>
    <x v="263"/>
    <x v="1955"/>
    <x v="7"/>
  </r>
  <r>
    <x v="598"/>
    <x v="1"/>
    <x v="120"/>
    <x v="0"/>
    <x v="7"/>
    <x v="0"/>
    <x v="0"/>
    <x v="3"/>
    <x v="3"/>
    <x v="76"/>
    <x v="3"/>
    <x v="4"/>
    <x v="1"/>
    <x v="2"/>
    <x v="171"/>
    <x v="30"/>
    <x v="207"/>
    <x v="7"/>
  </r>
  <r>
    <x v="599"/>
    <x v="0"/>
    <x v="195"/>
    <x v="0"/>
    <x v="59"/>
    <x v="0"/>
    <x v="2"/>
    <x v="2"/>
    <x v="1"/>
    <x v="1118"/>
    <x v="1"/>
    <x v="60"/>
    <x v="1"/>
    <x v="0"/>
    <x v="714"/>
    <x v="151"/>
    <x v="509"/>
    <x v="7"/>
  </r>
  <r>
    <x v="599"/>
    <x v="1"/>
    <x v="195"/>
    <x v="0"/>
    <x v="9"/>
    <x v="0"/>
    <x v="2"/>
    <x v="2"/>
    <x v="3"/>
    <x v="1190"/>
    <x v="2"/>
    <x v="49"/>
    <x v="1"/>
    <x v="0"/>
    <x v="1661"/>
    <x v="282"/>
    <x v="1833"/>
    <x v="7"/>
  </r>
  <r>
    <x v="600"/>
    <x v="0"/>
    <x v="220"/>
    <x v="170"/>
    <x v="47"/>
    <x v="0"/>
    <x v="1"/>
    <x v="1"/>
    <x v="3"/>
    <x v="1495"/>
    <x v="4"/>
    <x v="82"/>
    <x v="2"/>
    <x v="2"/>
    <x v="1773"/>
    <x v="412"/>
    <x v="25"/>
    <x v="7"/>
  </r>
  <r>
    <x v="601"/>
    <x v="0"/>
    <x v="243"/>
    <x v="58"/>
    <x v="31"/>
    <x v="3"/>
    <x v="1"/>
    <x v="4"/>
    <x v="2"/>
    <x v="346"/>
    <x v="3"/>
    <x v="12"/>
    <x v="1"/>
    <x v="3"/>
    <x v="342"/>
    <x v="52"/>
    <x v="600"/>
    <x v="7"/>
  </r>
  <r>
    <x v="602"/>
    <x v="0"/>
    <x v="259"/>
    <x v="126"/>
    <x v="26"/>
    <x v="2"/>
    <x v="2"/>
    <x v="3"/>
    <x v="1"/>
    <x v="2104"/>
    <x v="3"/>
    <x v="74"/>
    <x v="1"/>
    <x v="1"/>
    <x v="1212"/>
    <x v="194"/>
    <x v="1497"/>
    <x v="7"/>
  </r>
  <r>
    <x v="602"/>
    <x v="1"/>
    <x v="259"/>
    <x v="126"/>
    <x v="17"/>
    <x v="2"/>
    <x v="2"/>
    <x v="3"/>
    <x v="1"/>
    <x v="2176"/>
    <x v="0"/>
    <x v="92"/>
    <x v="1"/>
    <x v="3"/>
    <x v="1442"/>
    <x v="245"/>
    <x v="1533"/>
    <x v="7"/>
  </r>
  <r>
    <x v="603"/>
    <x v="0"/>
    <x v="14"/>
    <x v="194"/>
    <x v="43"/>
    <x v="3"/>
    <x v="2"/>
    <x v="4"/>
    <x v="1"/>
    <x v="40"/>
    <x v="2"/>
    <x v="1"/>
    <x v="1"/>
    <x v="3"/>
    <x v="17"/>
    <x v="2"/>
    <x v="109"/>
    <x v="7"/>
  </r>
  <r>
    <x v="603"/>
    <x v="1"/>
    <x v="14"/>
    <x v="194"/>
    <x v="44"/>
    <x v="3"/>
    <x v="2"/>
    <x v="4"/>
    <x v="1"/>
    <x v="1507"/>
    <x v="1"/>
    <x v="57"/>
    <x v="1"/>
    <x v="2"/>
    <x v="996"/>
    <x v="144"/>
    <x v="1459"/>
    <x v="7"/>
  </r>
  <r>
    <x v="604"/>
    <x v="0"/>
    <x v="177"/>
    <x v="225"/>
    <x v="87"/>
    <x v="3"/>
    <x v="1"/>
    <x v="5"/>
    <x v="2"/>
    <x v="600"/>
    <x v="0"/>
    <x v="33"/>
    <x v="1"/>
    <x v="2"/>
    <x v="710"/>
    <x v="148"/>
    <x v="546"/>
    <x v="7"/>
  </r>
  <r>
    <x v="604"/>
    <x v="1"/>
    <x v="177"/>
    <x v="225"/>
    <x v="45"/>
    <x v="3"/>
    <x v="1"/>
    <x v="5"/>
    <x v="2"/>
    <x v="16"/>
    <x v="2"/>
    <x v="0"/>
    <x v="1"/>
    <x v="0"/>
    <x v="19"/>
    <x v="3"/>
    <x v="91"/>
    <x v="7"/>
  </r>
  <r>
    <x v="604"/>
    <x v="2"/>
    <x v="177"/>
    <x v="225"/>
    <x v="68"/>
    <x v="3"/>
    <x v="1"/>
    <x v="5"/>
    <x v="1"/>
    <x v="1598"/>
    <x v="0"/>
    <x v="83"/>
    <x v="1"/>
    <x v="2"/>
    <x v="1117"/>
    <x v="218"/>
    <x v="1069"/>
    <x v="7"/>
  </r>
  <r>
    <x v="605"/>
    <x v="0"/>
    <x v="97"/>
    <x v="192"/>
    <x v="59"/>
    <x v="3"/>
    <x v="0"/>
    <x v="3"/>
    <x v="4"/>
    <x v="1143"/>
    <x v="4"/>
    <x v="60"/>
    <x v="1"/>
    <x v="3"/>
    <x v="1725"/>
    <x v="397"/>
    <x v="42"/>
    <x v="7"/>
  </r>
  <r>
    <x v="605"/>
    <x v="1"/>
    <x v="97"/>
    <x v="192"/>
    <x v="32"/>
    <x v="3"/>
    <x v="0"/>
    <x v="3"/>
    <x v="5"/>
    <x v="1226"/>
    <x v="1"/>
    <x v="50"/>
    <x v="1"/>
    <x v="0"/>
    <x v="2001"/>
    <x v="384"/>
    <x v="2124"/>
    <x v="7"/>
  </r>
  <r>
    <x v="606"/>
    <x v="0"/>
    <x v="131"/>
    <x v="185"/>
    <x v="21"/>
    <x v="3"/>
    <x v="0"/>
    <x v="2"/>
    <x v="1"/>
    <x v="436"/>
    <x v="0"/>
    <x v="18"/>
    <x v="1"/>
    <x v="3"/>
    <x v="268"/>
    <x v="41"/>
    <x v="458"/>
    <x v="7"/>
  </r>
  <r>
    <x v="606"/>
    <x v="1"/>
    <x v="131"/>
    <x v="185"/>
    <x v="72"/>
    <x v="3"/>
    <x v="0"/>
    <x v="2"/>
    <x v="4"/>
    <x v="1253"/>
    <x v="2"/>
    <x v="66"/>
    <x v="1"/>
    <x v="2"/>
    <x v="1889"/>
    <x v="425"/>
    <x v="1006"/>
    <x v="7"/>
  </r>
  <r>
    <x v="606"/>
    <x v="2"/>
    <x v="131"/>
    <x v="185"/>
    <x v="92"/>
    <x v="3"/>
    <x v="0"/>
    <x v="2"/>
    <x v="1"/>
    <x v="1597"/>
    <x v="0"/>
    <x v="62"/>
    <x v="1"/>
    <x v="3"/>
    <x v="1116"/>
    <x v="161"/>
    <x v="1509"/>
    <x v="7"/>
  </r>
  <r>
    <x v="607"/>
    <x v="0"/>
    <x v="241"/>
    <x v="115"/>
    <x v="43"/>
    <x v="3"/>
    <x v="1"/>
    <x v="6"/>
    <x v="7"/>
    <x v="30"/>
    <x v="2"/>
    <x v="1"/>
    <x v="1"/>
    <x v="2"/>
    <x v="500"/>
    <x v="82"/>
    <x v="704"/>
    <x v="7"/>
  </r>
  <r>
    <x v="607"/>
    <x v="1"/>
    <x v="241"/>
    <x v="115"/>
    <x v="10"/>
    <x v="3"/>
    <x v="1"/>
    <x v="6"/>
    <x v="1"/>
    <x v="361"/>
    <x v="0"/>
    <x v="14"/>
    <x v="1"/>
    <x v="1"/>
    <x v="218"/>
    <x v="31"/>
    <x v="438"/>
    <x v="7"/>
  </r>
  <r>
    <x v="607"/>
    <x v="2"/>
    <x v="241"/>
    <x v="115"/>
    <x v="96"/>
    <x v="3"/>
    <x v="1"/>
    <x v="6"/>
    <x v="3"/>
    <x v="412"/>
    <x v="3"/>
    <x v="22"/>
    <x v="1"/>
    <x v="3"/>
    <x v="641"/>
    <x v="155"/>
    <x v="38"/>
    <x v="7"/>
  </r>
  <r>
    <x v="607"/>
    <x v="3"/>
    <x v="241"/>
    <x v="115"/>
    <x v="79"/>
    <x v="3"/>
    <x v="1"/>
    <x v="6"/>
    <x v="1"/>
    <x v="1639"/>
    <x v="4"/>
    <x v="64"/>
    <x v="1"/>
    <x v="1"/>
    <x v="929"/>
    <x v="168"/>
    <x v="1048"/>
    <x v="7"/>
  </r>
  <r>
    <x v="608"/>
    <x v="0"/>
    <x v="150"/>
    <x v="233"/>
    <x v="47"/>
    <x v="3"/>
    <x v="0"/>
    <x v="7"/>
    <x v="3"/>
    <x v="1573"/>
    <x v="2"/>
    <x v="82"/>
    <x v="1"/>
    <x v="1"/>
    <x v="1899"/>
    <x v="412"/>
    <x v="1411"/>
    <x v="7"/>
  </r>
  <r>
    <x v="609"/>
    <x v="0"/>
    <x v="139"/>
    <x v="128"/>
    <x v="80"/>
    <x v="2"/>
    <x v="0"/>
    <x v="4"/>
    <x v="1"/>
    <x v="1161"/>
    <x v="1"/>
    <x v="56"/>
    <x v="1"/>
    <x v="1"/>
    <x v="759"/>
    <x v="142"/>
    <x v="857"/>
    <x v="7"/>
  </r>
  <r>
    <x v="609"/>
    <x v="1"/>
    <x v="139"/>
    <x v="128"/>
    <x v="86"/>
    <x v="2"/>
    <x v="0"/>
    <x v="4"/>
    <x v="3"/>
    <x v="1877"/>
    <x v="3"/>
    <x v="79"/>
    <x v="1"/>
    <x v="1"/>
    <x v="1952"/>
    <x v="408"/>
    <x v="1892"/>
    <x v="7"/>
  </r>
  <r>
    <x v="609"/>
    <x v="2"/>
    <x v="139"/>
    <x v="128"/>
    <x v="83"/>
    <x v="2"/>
    <x v="0"/>
    <x v="4"/>
    <x v="1"/>
    <x v="135"/>
    <x v="0"/>
    <x v="8"/>
    <x v="1"/>
    <x v="3"/>
    <x v="76"/>
    <x v="12"/>
    <x v="192"/>
    <x v="7"/>
  </r>
  <r>
    <x v="609"/>
    <x v="3"/>
    <x v="139"/>
    <x v="128"/>
    <x v="72"/>
    <x v="2"/>
    <x v="0"/>
    <x v="4"/>
    <x v="2"/>
    <x v="1332"/>
    <x v="0"/>
    <x v="66"/>
    <x v="1"/>
    <x v="0"/>
    <x v="1563"/>
    <x v="290"/>
    <x v="1327"/>
    <x v="7"/>
  </r>
  <r>
    <x v="610"/>
    <x v="0"/>
    <x v="15"/>
    <x v="224"/>
    <x v="1"/>
    <x v="2"/>
    <x v="0"/>
    <x v="9"/>
    <x v="2"/>
    <x v="743"/>
    <x v="1"/>
    <x v="42"/>
    <x v="1"/>
    <x v="2"/>
    <x v="849"/>
    <x v="188"/>
    <x v="578"/>
    <x v="7"/>
  </r>
  <r>
    <x v="610"/>
    <x v="1"/>
    <x v="15"/>
    <x v="224"/>
    <x v="69"/>
    <x v="2"/>
    <x v="0"/>
    <x v="9"/>
    <x v="4"/>
    <x v="160"/>
    <x v="3"/>
    <x v="10"/>
    <x v="1"/>
    <x v="0"/>
    <x v="412"/>
    <x v="84"/>
    <x v="256"/>
    <x v="7"/>
  </r>
  <r>
    <x v="610"/>
    <x v="2"/>
    <x v="15"/>
    <x v="224"/>
    <x v="80"/>
    <x v="2"/>
    <x v="0"/>
    <x v="9"/>
    <x v="2"/>
    <x v="1054"/>
    <x v="0"/>
    <x v="56"/>
    <x v="1"/>
    <x v="1"/>
    <x v="1290"/>
    <x v="256"/>
    <x v="1044"/>
    <x v="7"/>
  </r>
  <r>
    <x v="611"/>
    <x v="0"/>
    <x v="251"/>
    <x v="73"/>
    <x v="76"/>
    <x v="2"/>
    <x v="0"/>
    <x v="7"/>
    <x v="1"/>
    <x v="799"/>
    <x v="0"/>
    <x v="36"/>
    <x v="1"/>
    <x v="0"/>
    <x v="538"/>
    <x v="88"/>
    <x v="764"/>
    <x v="7"/>
  </r>
  <r>
    <x v="611"/>
    <x v="1"/>
    <x v="251"/>
    <x v="73"/>
    <x v="63"/>
    <x v="2"/>
    <x v="0"/>
    <x v="7"/>
    <x v="1"/>
    <x v="2283"/>
    <x v="2"/>
    <x v="98"/>
    <x v="1"/>
    <x v="2"/>
    <x v="1458"/>
    <x v="271"/>
    <x v="1258"/>
    <x v="7"/>
  </r>
  <r>
    <x v="612"/>
    <x v="0"/>
    <x v="115"/>
    <x v="107"/>
    <x v="86"/>
    <x v="2"/>
    <x v="2"/>
    <x v="5"/>
    <x v="1"/>
    <x v="1905"/>
    <x v="0"/>
    <x v="79"/>
    <x v="1"/>
    <x v="0"/>
    <x v="1315"/>
    <x v="208"/>
    <x v="1532"/>
    <x v="7"/>
  </r>
  <r>
    <x v="613"/>
    <x v="0"/>
    <x v="247"/>
    <x v="186"/>
    <x v="10"/>
    <x v="1"/>
    <x v="2"/>
    <x v="4"/>
    <x v="1"/>
    <x v="353"/>
    <x v="1"/>
    <x v="14"/>
    <x v="1"/>
    <x v="0"/>
    <x v="194"/>
    <x v="31"/>
    <x v="321"/>
    <x v="7"/>
  </r>
  <r>
    <x v="613"/>
    <x v="1"/>
    <x v="247"/>
    <x v="186"/>
    <x v="19"/>
    <x v="1"/>
    <x v="2"/>
    <x v="4"/>
    <x v="2"/>
    <x v="499"/>
    <x v="0"/>
    <x v="16"/>
    <x v="1"/>
    <x v="2"/>
    <x v="593"/>
    <x v="80"/>
    <x v="956"/>
    <x v="7"/>
  </r>
  <r>
    <x v="613"/>
    <x v="2"/>
    <x v="247"/>
    <x v="186"/>
    <x v="84"/>
    <x v="1"/>
    <x v="2"/>
    <x v="4"/>
    <x v="1"/>
    <x v="1752"/>
    <x v="1"/>
    <x v="89"/>
    <x v="1"/>
    <x v="2"/>
    <x v="1165"/>
    <x v="235"/>
    <x v="948"/>
    <x v="7"/>
  </r>
  <r>
    <x v="614"/>
    <x v="0"/>
    <x v="100"/>
    <x v="6"/>
    <x v="24"/>
    <x v="2"/>
    <x v="0"/>
    <x v="9"/>
    <x v="2"/>
    <x v="613"/>
    <x v="0"/>
    <x v="19"/>
    <x v="1"/>
    <x v="2"/>
    <x v="727"/>
    <x v="92"/>
    <x v="1236"/>
    <x v="7"/>
  </r>
  <r>
    <x v="614"/>
    <x v="1"/>
    <x v="100"/>
    <x v="6"/>
    <x v="48"/>
    <x v="2"/>
    <x v="0"/>
    <x v="9"/>
    <x v="4"/>
    <x v="401"/>
    <x v="2"/>
    <x v="17"/>
    <x v="1"/>
    <x v="3"/>
    <x v="851"/>
    <x v="159"/>
    <x v="919"/>
    <x v="7"/>
  </r>
  <r>
    <x v="614"/>
    <x v="2"/>
    <x v="100"/>
    <x v="6"/>
    <x v="5"/>
    <x v="2"/>
    <x v="0"/>
    <x v="9"/>
    <x v="1"/>
    <x v="703"/>
    <x v="2"/>
    <x v="31"/>
    <x v="1"/>
    <x v="2"/>
    <x v="425"/>
    <x v="70"/>
    <x v="601"/>
    <x v="7"/>
  </r>
  <r>
    <x v="614"/>
    <x v="3"/>
    <x v="100"/>
    <x v="6"/>
    <x v="58"/>
    <x v="2"/>
    <x v="0"/>
    <x v="9"/>
    <x v="2"/>
    <x v="2063"/>
    <x v="0"/>
    <x v="99"/>
    <x v="1"/>
    <x v="3"/>
    <x v="1869"/>
    <x v="401"/>
    <x v="1478"/>
    <x v="7"/>
  </r>
  <r>
    <x v="615"/>
    <x v="0"/>
    <x v="204"/>
    <x v="35"/>
    <x v="61"/>
    <x v="0"/>
    <x v="1"/>
    <x v="0"/>
    <x v="5"/>
    <x v="949"/>
    <x v="4"/>
    <x v="46"/>
    <x v="1"/>
    <x v="0"/>
    <x v="1707"/>
    <x v="374"/>
    <x v="994"/>
    <x v="7"/>
  </r>
  <r>
    <x v="615"/>
    <x v="1"/>
    <x v="204"/>
    <x v="35"/>
    <x v="50"/>
    <x v="0"/>
    <x v="1"/>
    <x v="0"/>
    <x v="2"/>
    <x v="1671"/>
    <x v="4"/>
    <x v="77"/>
    <x v="1"/>
    <x v="2"/>
    <x v="1610"/>
    <x v="319"/>
    <x v="1246"/>
    <x v="7"/>
  </r>
  <r>
    <x v="615"/>
    <x v="2"/>
    <x v="204"/>
    <x v="35"/>
    <x v="59"/>
    <x v="0"/>
    <x v="1"/>
    <x v="0"/>
    <x v="1"/>
    <x v="1121"/>
    <x v="1"/>
    <x v="60"/>
    <x v="1"/>
    <x v="2"/>
    <x v="728"/>
    <x v="151"/>
    <x v="530"/>
    <x v="7"/>
  </r>
  <r>
    <x v="616"/>
    <x v="0"/>
    <x v="58"/>
    <x v="21"/>
    <x v="30"/>
    <x v="2"/>
    <x v="0"/>
    <x v="7"/>
    <x v="4"/>
    <x v="291"/>
    <x v="1"/>
    <x v="13"/>
    <x v="1"/>
    <x v="1"/>
    <x v="640"/>
    <x v="114"/>
    <x v="818"/>
    <x v="7"/>
  </r>
  <r>
    <x v="617"/>
    <x v="0"/>
    <x v="9"/>
    <x v="254"/>
    <x v="74"/>
    <x v="0"/>
    <x v="1"/>
    <x v="8"/>
    <x v="2"/>
    <x v="2022"/>
    <x v="0"/>
    <x v="90"/>
    <x v="1"/>
    <x v="2"/>
    <x v="1853"/>
    <x v="359"/>
    <x v="1876"/>
    <x v="7"/>
  </r>
  <r>
    <x v="617"/>
    <x v="1"/>
    <x v="9"/>
    <x v="254"/>
    <x v="98"/>
    <x v="0"/>
    <x v="1"/>
    <x v="8"/>
    <x v="1"/>
    <x v="1321"/>
    <x v="1"/>
    <x v="65"/>
    <x v="1"/>
    <x v="3"/>
    <x v="841"/>
    <x v="169"/>
    <x v="743"/>
    <x v="7"/>
  </r>
  <r>
    <x v="618"/>
    <x v="0"/>
    <x v="91"/>
    <x v="94"/>
    <x v="50"/>
    <x v="1"/>
    <x v="1"/>
    <x v="3"/>
    <x v="1"/>
    <x v="2041"/>
    <x v="1"/>
    <x v="77"/>
    <x v="1"/>
    <x v="3"/>
    <x v="1324"/>
    <x v="200"/>
    <x v="1614"/>
    <x v="7"/>
  </r>
  <r>
    <x v="618"/>
    <x v="1"/>
    <x v="91"/>
    <x v="94"/>
    <x v="52"/>
    <x v="1"/>
    <x v="1"/>
    <x v="3"/>
    <x v="2"/>
    <x v="1005"/>
    <x v="2"/>
    <x v="40"/>
    <x v="1"/>
    <x v="2"/>
    <x v="1099"/>
    <x v="176"/>
    <x v="1374"/>
    <x v="7"/>
  </r>
  <r>
    <x v="618"/>
    <x v="2"/>
    <x v="91"/>
    <x v="94"/>
    <x v="9"/>
    <x v="1"/>
    <x v="1"/>
    <x v="3"/>
    <x v="2"/>
    <x v="1343"/>
    <x v="0"/>
    <x v="49"/>
    <x v="1"/>
    <x v="0"/>
    <x v="1567"/>
    <x v="217"/>
    <x v="1906"/>
    <x v="7"/>
  </r>
  <r>
    <x v="618"/>
    <x v="3"/>
    <x v="91"/>
    <x v="94"/>
    <x v="77"/>
    <x v="1"/>
    <x v="1"/>
    <x v="3"/>
    <x v="2"/>
    <x v="255"/>
    <x v="3"/>
    <x v="9"/>
    <x v="1"/>
    <x v="0"/>
    <x v="274"/>
    <x v="37"/>
    <x v="531"/>
    <x v="7"/>
  </r>
  <r>
    <x v="618"/>
    <x v="4"/>
    <x v="91"/>
    <x v="94"/>
    <x v="87"/>
    <x v="1"/>
    <x v="1"/>
    <x v="3"/>
    <x v="3"/>
    <x v="598"/>
    <x v="0"/>
    <x v="33"/>
    <x v="0"/>
    <x v="3"/>
    <x v="994"/>
    <x v="219"/>
    <x v="688"/>
    <x v="7"/>
  </r>
  <r>
    <x v="619"/>
    <x v="0"/>
    <x v="198"/>
    <x v="93"/>
    <x v="27"/>
    <x v="3"/>
    <x v="0"/>
    <x v="4"/>
    <x v="3"/>
    <x v="1476"/>
    <x v="4"/>
    <x v="61"/>
    <x v="1"/>
    <x v="2"/>
    <x v="1752"/>
    <x v="347"/>
    <x v="1643"/>
    <x v="7"/>
  </r>
  <r>
    <x v="619"/>
    <x v="1"/>
    <x v="198"/>
    <x v="93"/>
    <x v="92"/>
    <x v="3"/>
    <x v="0"/>
    <x v="4"/>
    <x v="1"/>
    <x v="1537"/>
    <x v="3"/>
    <x v="62"/>
    <x v="1"/>
    <x v="0"/>
    <x v="909"/>
    <x v="161"/>
    <x v="1098"/>
    <x v="7"/>
  </r>
  <r>
    <x v="620"/>
    <x v="0"/>
    <x v="149"/>
    <x v="111"/>
    <x v="91"/>
    <x v="3"/>
    <x v="0"/>
    <x v="7"/>
    <x v="2"/>
    <x v="2026"/>
    <x v="0"/>
    <x v="81"/>
    <x v="1"/>
    <x v="3"/>
    <x v="1854"/>
    <x v="331"/>
    <x v="1998"/>
    <x v="7"/>
  </r>
  <r>
    <x v="620"/>
    <x v="1"/>
    <x v="149"/>
    <x v="111"/>
    <x v="15"/>
    <x v="3"/>
    <x v="0"/>
    <x v="7"/>
    <x v="1"/>
    <x v="1088"/>
    <x v="0"/>
    <x v="38"/>
    <x v="1"/>
    <x v="2"/>
    <x v="734"/>
    <x v="93"/>
    <x v="1242"/>
    <x v="7"/>
  </r>
  <r>
    <x v="620"/>
    <x v="2"/>
    <x v="149"/>
    <x v="111"/>
    <x v="23"/>
    <x v="3"/>
    <x v="0"/>
    <x v="7"/>
    <x v="1"/>
    <x v="754"/>
    <x v="0"/>
    <x v="41"/>
    <x v="1"/>
    <x v="0"/>
    <x v="497"/>
    <x v="97"/>
    <x v="540"/>
    <x v="7"/>
  </r>
  <r>
    <x v="620"/>
    <x v="3"/>
    <x v="149"/>
    <x v="111"/>
    <x v="11"/>
    <x v="3"/>
    <x v="0"/>
    <x v="7"/>
    <x v="1"/>
    <x v="2224"/>
    <x v="0"/>
    <x v="87"/>
    <x v="1"/>
    <x v="3"/>
    <x v="1484"/>
    <x v="229"/>
    <x v="1699"/>
    <x v="7"/>
  </r>
  <r>
    <x v="621"/>
    <x v="0"/>
    <x v="40"/>
    <x v="78"/>
    <x v="8"/>
    <x v="2"/>
    <x v="0"/>
    <x v="9"/>
    <x v="4"/>
    <x v="697"/>
    <x v="2"/>
    <x v="28"/>
    <x v="1"/>
    <x v="0"/>
    <x v="1411"/>
    <x v="236"/>
    <x v="1511"/>
    <x v="7"/>
  </r>
  <r>
    <x v="621"/>
    <x v="1"/>
    <x v="40"/>
    <x v="78"/>
    <x v="22"/>
    <x v="2"/>
    <x v="0"/>
    <x v="9"/>
    <x v="1"/>
    <x v="942"/>
    <x v="0"/>
    <x v="34"/>
    <x v="1"/>
    <x v="3"/>
    <x v="622"/>
    <x v="81"/>
    <x v="1052"/>
    <x v="7"/>
  </r>
  <r>
    <x v="621"/>
    <x v="2"/>
    <x v="40"/>
    <x v="78"/>
    <x v="85"/>
    <x v="2"/>
    <x v="0"/>
    <x v="9"/>
    <x v="1"/>
    <x v="1757"/>
    <x v="3"/>
    <x v="88"/>
    <x v="1"/>
    <x v="0"/>
    <x v="1052"/>
    <x v="231"/>
    <x v="639"/>
    <x v="7"/>
  </r>
  <r>
    <x v="622"/>
    <x v="0"/>
    <x v="213"/>
    <x v="49"/>
    <x v="12"/>
    <x v="2"/>
    <x v="1"/>
    <x v="0"/>
    <x v="2"/>
    <x v="1742"/>
    <x v="3"/>
    <x v="75"/>
    <x v="1"/>
    <x v="1"/>
    <x v="1668"/>
    <x v="314"/>
    <x v="1652"/>
    <x v="7"/>
  </r>
  <r>
    <x v="622"/>
    <x v="1"/>
    <x v="213"/>
    <x v="49"/>
    <x v="90"/>
    <x v="2"/>
    <x v="1"/>
    <x v="0"/>
    <x v="1"/>
    <x v="739"/>
    <x v="4"/>
    <x v="37"/>
    <x v="1"/>
    <x v="3"/>
    <x v="395"/>
    <x v="91"/>
    <x v="84"/>
    <x v="7"/>
  </r>
  <r>
    <x v="622"/>
    <x v="2"/>
    <x v="213"/>
    <x v="49"/>
    <x v="81"/>
    <x v="2"/>
    <x v="1"/>
    <x v="0"/>
    <x v="1"/>
    <x v="51"/>
    <x v="1"/>
    <x v="3"/>
    <x v="1"/>
    <x v="1"/>
    <x v="23"/>
    <x v="5"/>
    <x v="96"/>
    <x v="7"/>
  </r>
  <r>
    <x v="623"/>
    <x v="0"/>
    <x v="113"/>
    <x v="235"/>
    <x v="66"/>
    <x v="2"/>
    <x v="1"/>
    <x v="6"/>
    <x v="2"/>
    <x v="489"/>
    <x v="4"/>
    <x v="21"/>
    <x v="1"/>
    <x v="1"/>
    <x v="452"/>
    <x v="100"/>
    <x v="244"/>
    <x v="7"/>
  </r>
  <r>
    <x v="623"/>
    <x v="1"/>
    <x v="113"/>
    <x v="235"/>
    <x v="71"/>
    <x v="2"/>
    <x v="1"/>
    <x v="6"/>
    <x v="1"/>
    <x v="165"/>
    <x v="0"/>
    <x v="6"/>
    <x v="1"/>
    <x v="0"/>
    <x v="97"/>
    <x v="10"/>
    <x v="301"/>
    <x v="7"/>
  </r>
  <r>
    <x v="623"/>
    <x v="2"/>
    <x v="113"/>
    <x v="235"/>
    <x v="23"/>
    <x v="2"/>
    <x v="1"/>
    <x v="6"/>
    <x v="1"/>
    <x v="721"/>
    <x v="1"/>
    <x v="41"/>
    <x v="1"/>
    <x v="2"/>
    <x v="449"/>
    <x v="97"/>
    <x v="313"/>
    <x v="7"/>
  </r>
  <r>
    <x v="623"/>
    <x v="3"/>
    <x v="113"/>
    <x v="235"/>
    <x v="84"/>
    <x v="2"/>
    <x v="1"/>
    <x v="6"/>
    <x v="1"/>
    <x v="1913"/>
    <x v="0"/>
    <x v="89"/>
    <x v="1"/>
    <x v="1"/>
    <x v="1320"/>
    <x v="235"/>
    <x v="1312"/>
    <x v="7"/>
  </r>
  <r>
    <x v="623"/>
    <x v="4"/>
    <x v="113"/>
    <x v="235"/>
    <x v="90"/>
    <x v="2"/>
    <x v="1"/>
    <x v="6"/>
    <x v="2"/>
    <x v="808"/>
    <x v="3"/>
    <x v="37"/>
    <x v="1"/>
    <x v="0"/>
    <x v="843"/>
    <x v="170"/>
    <x v="748"/>
    <x v="7"/>
  </r>
  <r>
    <x v="624"/>
    <x v="0"/>
    <x v="94"/>
    <x v="60"/>
    <x v="47"/>
    <x v="3"/>
    <x v="0"/>
    <x v="0"/>
    <x v="1"/>
    <x v="1642"/>
    <x v="0"/>
    <x v="82"/>
    <x v="0"/>
    <x v="3"/>
    <x v="1150"/>
    <x v="215"/>
    <x v="1179"/>
    <x v="7"/>
  </r>
  <r>
    <x v="625"/>
    <x v="0"/>
    <x v="126"/>
    <x v="39"/>
    <x v="79"/>
    <x v="2"/>
    <x v="2"/>
    <x v="4"/>
    <x v="1"/>
    <x v="1482"/>
    <x v="0"/>
    <x v="64"/>
    <x v="1"/>
    <x v="0"/>
    <x v="1019"/>
    <x v="168"/>
    <x v="1259"/>
    <x v="7"/>
  </r>
  <r>
    <x v="626"/>
    <x v="0"/>
    <x v="152"/>
    <x v="120"/>
    <x v="87"/>
    <x v="3"/>
    <x v="1"/>
    <x v="4"/>
    <x v="2"/>
    <x v="632"/>
    <x v="0"/>
    <x v="33"/>
    <x v="1"/>
    <x v="3"/>
    <x v="756"/>
    <x v="148"/>
    <x v="679"/>
    <x v="7"/>
  </r>
  <r>
    <x v="626"/>
    <x v="1"/>
    <x v="152"/>
    <x v="120"/>
    <x v="30"/>
    <x v="3"/>
    <x v="1"/>
    <x v="4"/>
    <x v="5"/>
    <x v="314"/>
    <x v="4"/>
    <x v="13"/>
    <x v="0"/>
    <x v="1"/>
    <x v="719"/>
    <x v="143"/>
    <x v="731"/>
    <x v="7"/>
  </r>
  <r>
    <x v="627"/>
    <x v="0"/>
    <x v="43"/>
    <x v="120"/>
    <x v="46"/>
    <x v="0"/>
    <x v="1"/>
    <x v="2"/>
    <x v="1"/>
    <x v="1978"/>
    <x v="0"/>
    <x v="85"/>
    <x v="1"/>
    <x v="0"/>
    <x v="1355"/>
    <x v="223"/>
    <x v="1504"/>
    <x v="7"/>
  </r>
  <r>
    <x v="627"/>
    <x v="1"/>
    <x v="43"/>
    <x v="120"/>
    <x v="41"/>
    <x v="0"/>
    <x v="1"/>
    <x v="2"/>
    <x v="5"/>
    <x v="934"/>
    <x v="0"/>
    <x v="35"/>
    <x v="1"/>
    <x v="3"/>
    <x v="1857"/>
    <x v="323"/>
    <x v="2027"/>
    <x v="7"/>
  </r>
  <r>
    <x v="628"/>
    <x v="0"/>
    <x v="246"/>
    <x v="75"/>
    <x v="30"/>
    <x v="2"/>
    <x v="0"/>
    <x v="4"/>
    <x v="3"/>
    <x v="326"/>
    <x v="3"/>
    <x v="13"/>
    <x v="1"/>
    <x v="1"/>
    <x v="481"/>
    <x v="85"/>
    <x v="642"/>
    <x v="7"/>
  </r>
  <r>
    <x v="629"/>
    <x v="0"/>
    <x v="191"/>
    <x v="174"/>
    <x v="39"/>
    <x v="3"/>
    <x v="0"/>
    <x v="9"/>
    <x v="1"/>
    <x v="1925"/>
    <x v="0"/>
    <x v="93"/>
    <x v="1"/>
    <x v="0"/>
    <x v="1330"/>
    <x v="247"/>
    <x v="1211"/>
    <x v="7"/>
  </r>
  <r>
    <x v="629"/>
    <x v="1"/>
    <x v="191"/>
    <x v="174"/>
    <x v="96"/>
    <x v="3"/>
    <x v="0"/>
    <x v="9"/>
    <x v="1"/>
    <x v="415"/>
    <x v="3"/>
    <x v="22"/>
    <x v="1"/>
    <x v="2"/>
    <x v="226"/>
    <x v="53"/>
    <x v="44"/>
    <x v="7"/>
  </r>
  <r>
    <x v="629"/>
    <x v="2"/>
    <x v="191"/>
    <x v="174"/>
    <x v="13"/>
    <x v="3"/>
    <x v="0"/>
    <x v="9"/>
    <x v="1"/>
    <x v="1282"/>
    <x v="4"/>
    <x v="70"/>
    <x v="1"/>
    <x v="3"/>
    <x v="724"/>
    <x v="180"/>
    <x v="34"/>
    <x v="7"/>
  </r>
  <r>
    <x v="630"/>
    <x v="0"/>
    <x v="233"/>
    <x v="225"/>
    <x v="33"/>
    <x v="3"/>
    <x v="2"/>
    <x v="5"/>
    <x v="1"/>
    <x v="583"/>
    <x v="0"/>
    <x v="29"/>
    <x v="1"/>
    <x v="0"/>
    <x v="361"/>
    <x v="65"/>
    <x v="471"/>
    <x v="7"/>
  </r>
  <r>
    <x v="630"/>
    <x v="1"/>
    <x v="233"/>
    <x v="225"/>
    <x v="97"/>
    <x v="3"/>
    <x v="2"/>
    <x v="5"/>
    <x v="1"/>
    <x v="269"/>
    <x v="0"/>
    <x v="15"/>
    <x v="1"/>
    <x v="2"/>
    <x v="156"/>
    <x v="33"/>
    <x v="134"/>
    <x v="7"/>
  </r>
  <r>
    <x v="630"/>
    <x v="2"/>
    <x v="233"/>
    <x v="225"/>
    <x v="59"/>
    <x v="3"/>
    <x v="2"/>
    <x v="5"/>
    <x v="1"/>
    <x v="1124"/>
    <x v="2"/>
    <x v="60"/>
    <x v="1"/>
    <x v="0"/>
    <x v="689"/>
    <x v="151"/>
    <x v="361"/>
    <x v="7"/>
  </r>
  <r>
    <x v="630"/>
    <x v="3"/>
    <x v="233"/>
    <x v="225"/>
    <x v="73"/>
    <x v="3"/>
    <x v="2"/>
    <x v="5"/>
    <x v="3"/>
    <x v="1973"/>
    <x v="1"/>
    <x v="84"/>
    <x v="1"/>
    <x v="3"/>
    <x v="2015"/>
    <x v="419"/>
    <x v="2038"/>
    <x v="7"/>
  </r>
  <r>
    <x v="630"/>
    <x v="4"/>
    <x v="233"/>
    <x v="225"/>
    <x v="81"/>
    <x v="3"/>
    <x v="2"/>
    <x v="5"/>
    <x v="2"/>
    <x v="56"/>
    <x v="2"/>
    <x v="3"/>
    <x v="1"/>
    <x v="1"/>
    <x v="86"/>
    <x v="15"/>
    <x v="165"/>
    <x v="7"/>
  </r>
  <r>
    <x v="631"/>
    <x v="0"/>
    <x v="24"/>
    <x v="23"/>
    <x v="28"/>
    <x v="1"/>
    <x v="2"/>
    <x v="6"/>
    <x v="2"/>
    <x v="96"/>
    <x v="4"/>
    <x v="2"/>
    <x v="1"/>
    <x v="0"/>
    <x v="90"/>
    <x v="13"/>
    <x v="237"/>
    <x v="7"/>
  </r>
  <r>
    <x v="631"/>
    <x v="1"/>
    <x v="24"/>
    <x v="23"/>
    <x v="68"/>
    <x v="1"/>
    <x v="2"/>
    <x v="6"/>
    <x v="6"/>
    <x v="1792"/>
    <x v="1"/>
    <x v="83"/>
    <x v="1"/>
    <x v="0"/>
    <x v="2249"/>
    <x v="544"/>
    <x v="2233"/>
    <x v="7"/>
  </r>
  <r>
    <x v="632"/>
    <x v="0"/>
    <x v="207"/>
    <x v="31"/>
    <x v="69"/>
    <x v="0"/>
    <x v="0"/>
    <x v="0"/>
    <x v="1"/>
    <x v="129"/>
    <x v="0"/>
    <x v="10"/>
    <x v="1"/>
    <x v="0"/>
    <x v="73"/>
    <x v="18"/>
    <x v="100"/>
    <x v="7"/>
  </r>
  <r>
    <x v="632"/>
    <x v="1"/>
    <x v="207"/>
    <x v="31"/>
    <x v="85"/>
    <x v="0"/>
    <x v="0"/>
    <x v="0"/>
    <x v="1"/>
    <x v="1948"/>
    <x v="0"/>
    <x v="88"/>
    <x v="1"/>
    <x v="3"/>
    <x v="1340"/>
    <x v="231"/>
    <x v="1376"/>
    <x v="7"/>
  </r>
  <r>
    <x v="632"/>
    <x v="2"/>
    <x v="207"/>
    <x v="31"/>
    <x v="16"/>
    <x v="0"/>
    <x v="0"/>
    <x v="0"/>
    <x v="2"/>
    <x v="1254"/>
    <x v="0"/>
    <x v="51"/>
    <x v="1"/>
    <x v="3"/>
    <x v="1528"/>
    <x v="230"/>
    <x v="1764"/>
    <x v="7"/>
  </r>
  <r>
    <x v="633"/>
    <x v="0"/>
    <x v="201"/>
    <x v="191"/>
    <x v="15"/>
    <x v="1"/>
    <x v="0"/>
    <x v="5"/>
    <x v="2"/>
    <x v="991"/>
    <x v="0"/>
    <x v="38"/>
    <x v="1"/>
    <x v="3"/>
    <x v="1184"/>
    <x v="173"/>
    <x v="1566"/>
    <x v="7"/>
  </r>
  <r>
    <x v="633"/>
    <x v="1"/>
    <x v="201"/>
    <x v="191"/>
    <x v="75"/>
    <x v="1"/>
    <x v="0"/>
    <x v="5"/>
    <x v="1"/>
    <x v="558"/>
    <x v="2"/>
    <x v="30"/>
    <x v="1"/>
    <x v="0"/>
    <x v="315"/>
    <x v="66"/>
    <x v="163"/>
    <x v="7"/>
  </r>
  <r>
    <x v="634"/>
    <x v="0"/>
    <x v="6"/>
    <x v="56"/>
    <x v="24"/>
    <x v="1"/>
    <x v="2"/>
    <x v="0"/>
    <x v="3"/>
    <x v="564"/>
    <x v="2"/>
    <x v="19"/>
    <x v="1"/>
    <x v="3"/>
    <x v="857"/>
    <x v="139"/>
    <x v="1213"/>
    <x v="7"/>
  </r>
  <r>
    <x v="634"/>
    <x v="1"/>
    <x v="6"/>
    <x v="56"/>
    <x v="21"/>
    <x v="1"/>
    <x v="2"/>
    <x v="0"/>
    <x v="4"/>
    <x v="458"/>
    <x v="0"/>
    <x v="18"/>
    <x v="1"/>
    <x v="0"/>
    <x v="981"/>
    <x v="167"/>
    <x v="1190"/>
    <x v="7"/>
  </r>
  <r>
    <x v="634"/>
    <x v="2"/>
    <x v="6"/>
    <x v="56"/>
    <x v="54"/>
    <x v="1"/>
    <x v="2"/>
    <x v="0"/>
    <x v="1"/>
    <x v="1368"/>
    <x v="4"/>
    <x v="55"/>
    <x v="1"/>
    <x v="3"/>
    <x v="767"/>
    <x v="138"/>
    <x v="962"/>
    <x v="7"/>
  </r>
  <r>
    <x v="635"/>
    <x v="0"/>
    <x v="130"/>
    <x v="64"/>
    <x v="15"/>
    <x v="3"/>
    <x v="0"/>
    <x v="2"/>
    <x v="1"/>
    <x v="1024"/>
    <x v="1"/>
    <x v="38"/>
    <x v="1"/>
    <x v="1"/>
    <x v="646"/>
    <x v="93"/>
    <x v="1049"/>
    <x v="7"/>
  </r>
  <r>
    <x v="635"/>
    <x v="1"/>
    <x v="130"/>
    <x v="64"/>
    <x v="14"/>
    <x v="3"/>
    <x v="0"/>
    <x v="2"/>
    <x v="2"/>
    <x v="219"/>
    <x v="0"/>
    <x v="7"/>
    <x v="1"/>
    <x v="1"/>
    <x v="284"/>
    <x v="29"/>
    <x v="667"/>
    <x v="7"/>
  </r>
  <r>
    <x v="635"/>
    <x v="2"/>
    <x v="130"/>
    <x v="64"/>
    <x v="65"/>
    <x v="3"/>
    <x v="0"/>
    <x v="2"/>
    <x v="2"/>
    <x v="1943"/>
    <x v="4"/>
    <x v="95"/>
    <x v="1"/>
    <x v="2"/>
    <x v="1687"/>
    <x v="381"/>
    <x v="209"/>
    <x v="7"/>
  </r>
  <r>
    <x v="635"/>
    <x v="3"/>
    <x v="130"/>
    <x v="64"/>
    <x v="7"/>
    <x v="3"/>
    <x v="0"/>
    <x v="2"/>
    <x v="2"/>
    <x v="83"/>
    <x v="0"/>
    <x v="4"/>
    <x v="1"/>
    <x v="1"/>
    <x v="124"/>
    <x v="19"/>
    <x v="272"/>
    <x v="7"/>
  </r>
  <r>
    <x v="635"/>
    <x v="4"/>
    <x v="130"/>
    <x v="64"/>
    <x v="92"/>
    <x v="3"/>
    <x v="0"/>
    <x v="2"/>
    <x v="4"/>
    <x v="2289"/>
    <x v="0"/>
    <x v="62"/>
    <x v="1"/>
    <x v="3"/>
    <x v="2289"/>
    <x v="411"/>
    <x v="2285"/>
    <x v="4"/>
  </r>
  <r>
    <x v="636"/>
    <x v="0"/>
    <x v="83"/>
    <x v="124"/>
    <x v="2"/>
    <x v="2"/>
    <x v="1"/>
    <x v="6"/>
    <x v="3"/>
    <x v="837"/>
    <x v="0"/>
    <x v="48"/>
    <x v="1"/>
    <x v="2"/>
    <x v="1437"/>
    <x v="281"/>
    <x v="945"/>
    <x v="7"/>
  </r>
  <r>
    <x v="636"/>
    <x v="1"/>
    <x v="83"/>
    <x v="124"/>
    <x v="93"/>
    <x v="2"/>
    <x v="1"/>
    <x v="6"/>
    <x v="3"/>
    <x v="447"/>
    <x v="1"/>
    <x v="24"/>
    <x v="1"/>
    <x v="0"/>
    <x v="741"/>
    <x v="160"/>
    <x v="392"/>
    <x v="7"/>
  </r>
  <r>
    <x v="637"/>
    <x v="0"/>
    <x v="75"/>
    <x v="170"/>
    <x v="34"/>
    <x v="1"/>
    <x v="1"/>
    <x v="2"/>
    <x v="3"/>
    <x v="1202"/>
    <x v="0"/>
    <x v="58"/>
    <x v="2"/>
    <x v="0"/>
    <x v="1717"/>
    <x v="339"/>
    <x v="1660"/>
    <x v="7"/>
  </r>
  <r>
    <x v="637"/>
    <x v="1"/>
    <x v="75"/>
    <x v="170"/>
    <x v="9"/>
    <x v="1"/>
    <x v="1"/>
    <x v="2"/>
    <x v="2"/>
    <x v="1252"/>
    <x v="1"/>
    <x v="49"/>
    <x v="1"/>
    <x v="0"/>
    <x v="1478"/>
    <x v="217"/>
    <x v="1756"/>
    <x v="7"/>
  </r>
  <r>
    <x v="637"/>
    <x v="2"/>
    <x v="75"/>
    <x v="170"/>
    <x v="95"/>
    <x v="1"/>
    <x v="1"/>
    <x v="2"/>
    <x v="3"/>
    <x v="977"/>
    <x v="0"/>
    <x v="52"/>
    <x v="1"/>
    <x v="1"/>
    <x v="1578"/>
    <x v="300"/>
    <x v="1301"/>
    <x v="7"/>
  </r>
  <r>
    <x v="637"/>
    <x v="3"/>
    <x v="75"/>
    <x v="170"/>
    <x v="89"/>
    <x v="1"/>
    <x v="1"/>
    <x v="2"/>
    <x v="2"/>
    <x v="680"/>
    <x v="2"/>
    <x v="26"/>
    <x v="1"/>
    <x v="3"/>
    <x v="753"/>
    <x v="127"/>
    <x v="961"/>
    <x v="7"/>
  </r>
  <r>
    <x v="637"/>
    <x v="4"/>
    <x v="75"/>
    <x v="170"/>
    <x v="39"/>
    <x v="1"/>
    <x v="1"/>
    <x v="2"/>
    <x v="7"/>
    <x v="2031"/>
    <x v="1"/>
    <x v="93"/>
    <x v="1"/>
    <x v="3"/>
    <x v="2286"/>
    <x v="569"/>
    <x v="2267"/>
    <x v="7"/>
  </r>
  <r>
    <x v="638"/>
    <x v="0"/>
    <x v="83"/>
    <x v="19"/>
    <x v="55"/>
    <x v="3"/>
    <x v="0"/>
    <x v="5"/>
    <x v="1"/>
    <x v="1004"/>
    <x v="3"/>
    <x v="54"/>
    <x v="0"/>
    <x v="3"/>
    <x v="585"/>
    <x v="132"/>
    <x v="156"/>
    <x v="7"/>
  </r>
  <r>
    <x v="638"/>
    <x v="1"/>
    <x v="83"/>
    <x v="19"/>
    <x v="29"/>
    <x v="3"/>
    <x v="0"/>
    <x v="5"/>
    <x v="3"/>
    <x v="2018"/>
    <x v="3"/>
    <x v="97"/>
    <x v="1"/>
    <x v="0"/>
    <x v="1971"/>
    <x v="473"/>
    <x v="504"/>
    <x v="7"/>
  </r>
  <r>
    <x v="638"/>
    <x v="2"/>
    <x v="83"/>
    <x v="19"/>
    <x v="23"/>
    <x v="3"/>
    <x v="0"/>
    <x v="5"/>
    <x v="1"/>
    <x v="732"/>
    <x v="0"/>
    <x v="41"/>
    <x v="1"/>
    <x v="0"/>
    <x v="474"/>
    <x v="97"/>
    <x v="469"/>
    <x v="7"/>
  </r>
  <r>
    <x v="638"/>
    <x v="3"/>
    <x v="83"/>
    <x v="19"/>
    <x v="71"/>
    <x v="3"/>
    <x v="0"/>
    <x v="5"/>
    <x v="1"/>
    <x v="166"/>
    <x v="0"/>
    <x v="6"/>
    <x v="1"/>
    <x v="3"/>
    <x v="98"/>
    <x v="10"/>
    <x v="303"/>
    <x v="7"/>
  </r>
  <r>
    <x v="639"/>
    <x v="0"/>
    <x v="241"/>
    <x v="211"/>
    <x v="9"/>
    <x v="3"/>
    <x v="2"/>
    <x v="0"/>
    <x v="2"/>
    <x v="1149"/>
    <x v="0"/>
    <x v="49"/>
    <x v="1"/>
    <x v="1"/>
    <x v="1424"/>
    <x v="217"/>
    <x v="1681"/>
    <x v="7"/>
  </r>
  <r>
    <x v="639"/>
    <x v="1"/>
    <x v="241"/>
    <x v="211"/>
    <x v="39"/>
    <x v="3"/>
    <x v="2"/>
    <x v="0"/>
    <x v="2"/>
    <x v="1733"/>
    <x v="1"/>
    <x v="93"/>
    <x v="1"/>
    <x v="2"/>
    <x v="1726"/>
    <x v="371"/>
    <x v="1172"/>
    <x v="7"/>
  </r>
  <r>
    <x v="639"/>
    <x v="2"/>
    <x v="241"/>
    <x v="211"/>
    <x v="64"/>
    <x v="3"/>
    <x v="2"/>
    <x v="0"/>
    <x v="6"/>
    <x v="1650"/>
    <x v="0"/>
    <x v="69"/>
    <x v="1"/>
    <x v="0"/>
    <x v="2241"/>
    <x v="532"/>
    <x v="2265"/>
    <x v="7"/>
  </r>
  <r>
    <x v="640"/>
    <x v="0"/>
    <x v="3"/>
    <x v="216"/>
    <x v="40"/>
    <x v="2"/>
    <x v="0"/>
    <x v="1"/>
    <x v="4"/>
    <x v="1548"/>
    <x v="1"/>
    <x v="63"/>
    <x v="1"/>
    <x v="1"/>
    <x v="2033"/>
    <x v="417"/>
    <x v="2099"/>
    <x v="7"/>
  </r>
  <r>
    <x v="641"/>
    <x v="0"/>
    <x v="149"/>
    <x v="99"/>
    <x v="39"/>
    <x v="1"/>
    <x v="1"/>
    <x v="7"/>
    <x v="6"/>
    <x v="2012"/>
    <x v="3"/>
    <x v="93"/>
    <x v="1"/>
    <x v="0"/>
    <x v="2244"/>
    <x v="551"/>
    <x v="2063"/>
    <x v="7"/>
  </r>
  <r>
    <x v="641"/>
    <x v="1"/>
    <x v="149"/>
    <x v="99"/>
    <x v="35"/>
    <x v="1"/>
    <x v="1"/>
    <x v="7"/>
    <x v="1"/>
    <x v="292"/>
    <x v="0"/>
    <x v="11"/>
    <x v="0"/>
    <x v="1"/>
    <x v="169"/>
    <x v="20"/>
    <x v="439"/>
    <x v="7"/>
  </r>
  <r>
    <x v="642"/>
    <x v="0"/>
    <x v="241"/>
    <x v="17"/>
    <x v="10"/>
    <x v="2"/>
    <x v="2"/>
    <x v="8"/>
    <x v="2"/>
    <x v="335"/>
    <x v="0"/>
    <x v="14"/>
    <x v="1"/>
    <x v="0"/>
    <x v="398"/>
    <x v="67"/>
    <x v="565"/>
    <x v="7"/>
  </r>
  <r>
    <x v="643"/>
    <x v="0"/>
    <x v="57"/>
    <x v="169"/>
    <x v="95"/>
    <x v="0"/>
    <x v="1"/>
    <x v="9"/>
    <x v="6"/>
    <x v="925"/>
    <x v="4"/>
    <x v="52"/>
    <x v="1"/>
    <x v="1"/>
    <x v="1973"/>
    <x v="485"/>
    <x v="3"/>
    <x v="7"/>
  </r>
  <r>
    <x v="643"/>
    <x v="1"/>
    <x v="57"/>
    <x v="169"/>
    <x v="96"/>
    <x v="0"/>
    <x v="1"/>
    <x v="9"/>
    <x v="2"/>
    <x v="500"/>
    <x v="4"/>
    <x v="22"/>
    <x v="1"/>
    <x v="3"/>
    <x v="467"/>
    <x v="110"/>
    <x v="93"/>
    <x v="7"/>
  </r>
  <r>
    <x v="643"/>
    <x v="2"/>
    <x v="57"/>
    <x v="169"/>
    <x v="58"/>
    <x v="0"/>
    <x v="1"/>
    <x v="9"/>
    <x v="2"/>
    <x v="2153"/>
    <x v="0"/>
    <x v="99"/>
    <x v="1"/>
    <x v="0"/>
    <x v="1894"/>
    <x v="401"/>
    <x v="1642"/>
    <x v="7"/>
  </r>
  <r>
    <x v="644"/>
    <x v="0"/>
    <x v="175"/>
    <x v="85"/>
    <x v="96"/>
    <x v="2"/>
    <x v="0"/>
    <x v="3"/>
    <x v="1"/>
    <x v="469"/>
    <x v="0"/>
    <x v="22"/>
    <x v="1"/>
    <x v="0"/>
    <x v="282"/>
    <x v="53"/>
    <x v="264"/>
    <x v="7"/>
  </r>
  <r>
    <x v="644"/>
    <x v="1"/>
    <x v="175"/>
    <x v="85"/>
    <x v="88"/>
    <x v="2"/>
    <x v="0"/>
    <x v="3"/>
    <x v="1"/>
    <x v="2096"/>
    <x v="2"/>
    <x v="86"/>
    <x v="1"/>
    <x v="2"/>
    <x v="1285"/>
    <x v="226"/>
    <x v="1332"/>
    <x v="7"/>
  </r>
  <r>
    <x v="645"/>
    <x v="0"/>
    <x v="121"/>
    <x v="49"/>
    <x v="25"/>
    <x v="3"/>
    <x v="1"/>
    <x v="4"/>
    <x v="1"/>
    <x v="1939"/>
    <x v="3"/>
    <x v="72"/>
    <x v="1"/>
    <x v="3"/>
    <x v="1133"/>
    <x v="189"/>
    <x v="1375"/>
    <x v="7"/>
  </r>
  <r>
    <x v="645"/>
    <x v="1"/>
    <x v="121"/>
    <x v="49"/>
    <x v="94"/>
    <x v="3"/>
    <x v="1"/>
    <x v="4"/>
    <x v="1"/>
    <x v="2000"/>
    <x v="2"/>
    <x v="71"/>
    <x v="0"/>
    <x v="3"/>
    <x v="1227"/>
    <x v="184"/>
    <x v="1562"/>
    <x v="7"/>
  </r>
  <r>
    <x v="646"/>
    <x v="0"/>
    <x v="106"/>
    <x v="26"/>
    <x v="31"/>
    <x v="3"/>
    <x v="1"/>
    <x v="9"/>
    <x v="4"/>
    <x v="350"/>
    <x v="3"/>
    <x v="12"/>
    <x v="1"/>
    <x v="1"/>
    <x v="668"/>
    <x v="108"/>
    <x v="970"/>
    <x v="7"/>
  </r>
  <r>
    <x v="647"/>
    <x v="0"/>
    <x v="122"/>
    <x v="208"/>
    <x v="84"/>
    <x v="1"/>
    <x v="1"/>
    <x v="6"/>
    <x v="1"/>
    <x v="1827"/>
    <x v="0"/>
    <x v="89"/>
    <x v="1"/>
    <x v="3"/>
    <x v="1279"/>
    <x v="235"/>
    <x v="1227"/>
    <x v="7"/>
  </r>
  <r>
    <x v="648"/>
    <x v="0"/>
    <x v="231"/>
    <x v="244"/>
    <x v="13"/>
    <x v="3"/>
    <x v="1"/>
    <x v="0"/>
    <x v="1"/>
    <x v="1292"/>
    <x v="4"/>
    <x v="70"/>
    <x v="1"/>
    <x v="1"/>
    <x v="730"/>
    <x v="180"/>
    <x v="37"/>
    <x v="7"/>
  </r>
  <r>
    <x v="649"/>
    <x v="0"/>
    <x v="41"/>
    <x v="67"/>
    <x v="43"/>
    <x v="1"/>
    <x v="1"/>
    <x v="8"/>
    <x v="1"/>
    <x v="28"/>
    <x v="3"/>
    <x v="1"/>
    <x v="1"/>
    <x v="0"/>
    <x v="14"/>
    <x v="2"/>
    <x v="82"/>
    <x v="7"/>
  </r>
  <r>
    <x v="650"/>
    <x v="0"/>
    <x v="125"/>
    <x v="41"/>
    <x v="20"/>
    <x v="0"/>
    <x v="1"/>
    <x v="1"/>
    <x v="3"/>
    <x v="144"/>
    <x v="0"/>
    <x v="5"/>
    <x v="1"/>
    <x v="3"/>
    <x v="332"/>
    <x v="44"/>
    <x v="651"/>
    <x v="7"/>
  </r>
  <r>
    <x v="650"/>
    <x v="1"/>
    <x v="125"/>
    <x v="41"/>
    <x v="94"/>
    <x v="0"/>
    <x v="1"/>
    <x v="1"/>
    <x v="1"/>
    <x v="1886"/>
    <x v="2"/>
    <x v="71"/>
    <x v="1"/>
    <x v="0"/>
    <x v="1173"/>
    <x v="184"/>
    <x v="1477"/>
    <x v="7"/>
  </r>
  <r>
    <x v="650"/>
    <x v="2"/>
    <x v="125"/>
    <x v="41"/>
    <x v="80"/>
    <x v="0"/>
    <x v="1"/>
    <x v="1"/>
    <x v="1"/>
    <x v="1055"/>
    <x v="4"/>
    <x v="56"/>
    <x v="1"/>
    <x v="1"/>
    <x v="592"/>
    <x v="142"/>
    <x v="48"/>
    <x v="7"/>
  </r>
  <r>
    <x v="651"/>
    <x v="0"/>
    <x v="264"/>
    <x v="7"/>
    <x v="24"/>
    <x v="1"/>
    <x v="2"/>
    <x v="0"/>
    <x v="4"/>
    <x v="555"/>
    <x v="0"/>
    <x v="19"/>
    <x v="1"/>
    <x v="2"/>
    <x v="1203"/>
    <x v="171"/>
    <x v="1589"/>
    <x v="7"/>
  </r>
  <r>
    <x v="652"/>
    <x v="0"/>
    <x v="244"/>
    <x v="77"/>
    <x v="50"/>
    <x v="2"/>
    <x v="2"/>
    <x v="9"/>
    <x v="3"/>
    <x v="2043"/>
    <x v="2"/>
    <x v="77"/>
    <x v="1"/>
    <x v="2"/>
    <x v="2004"/>
    <x v="396"/>
    <x v="2097"/>
    <x v="7"/>
  </r>
  <r>
    <x v="652"/>
    <x v="1"/>
    <x v="244"/>
    <x v="77"/>
    <x v="95"/>
    <x v="2"/>
    <x v="2"/>
    <x v="9"/>
    <x v="5"/>
    <x v="1064"/>
    <x v="0"/>
    <x v="52"/>
    <x v="1"/>
    <x v="3"/>
    <x v="1946"/>
    <x v="398"/>
    <x v="1933"/>
    <x v="7"/>
  </r>
  <r>
    <x v="653"/>
    <x v="0"/>
    <x v="158"/>
    <x v="181"/>
    <x v="74"/>
    <x v="1"/>
    <x v="1"/>
    <x v="4"/>
    <x v="1"/>
    <x v="2084"/>
    <x v="0"/>
    <x v="90"/>
    <x v="1"/>
    <x v="1"/>
    <x v="1402"/>
    <x v="239"/>
    <x v="1466"/>
    <x v="7"/>
  </r>
  <r>
    <x v="654"/>
    <x v="0"/>
    <x v="152"/>
    <x v="245"/>
    <x v="12"/>
    <x v="0"/>
    <x v="0"/>
    <x v="2"/>
    <x v="4"/>
    <x v="1665"/>
    <x v="0"/>
    <x v="75"/>
    <x v="1"/>
    <x v="0"/>
    <x v="2086"/>
    <x v="446"/>
    <x v="2138"/>
    <x v="7"/>
  </r>
  <r>
    <x v="655"/>
    <x v="0"/>
    <x v="93"/>
    <x v="44"/>
    <x v="57"/>
    <x v="0"/>
    <x v="2"/>
    <x v="4"/>
    <x v="6"/>
    <x v="690"/>
    <x v="2"/>
    <x v="25"/>
    <x v="1"/>
    <x v="0"/>
    <x v="1873"/>
    <x v="338"/>
    <x v="2008"/>
    <x v="7"/>
  </r>
  <r>
    <x v="656"/>
    <x v="0"/>
    <x v="144"/>
    <x v="116"/>
    <x v="50"/>
    <x v="0"/>
    <x v="0"/>
    <x v="8"/>
    <x v="3"/>
    <x v="2034"/>
    <x v="0"/>
    <x v="77"/>
    <x v="1"/>
    <x v="1"/>
    <x v="2045"/>
    <x v="396"/>
    <x v="2157"/>
    <x v="7"/>
  </r>
  <r>
    <x v="656"/>
    <x v="1"/>
    <x v="144"/>
    <x v="116"/>
    <x v="88"/>
    <x v="0"/>
    <x v="0"/>
    <x v="8"/>
    <x v="2"/>
    <x v="1839"/>
    <x v="1"/>
    <x v="86"/>
    <x v="1"/>
    <x v="2"/>
    <x v="1762"/>
    <x v="346"/>
    <x v="1716"/>
    <x v="7"/>
  </r>
  <r>
    <x v="656"/>
    <x v="2"/>
    <x v="144"/>
    <x v="116"/>
    <x v="90"/>
    <x v="0"/>
    <x v="0"/>
    <x v="8"/>
    <x v="1"/>
    <x v="744"/>
    <x v="0"/>
    <x v="37"/>
    <x v="1"/>
    <x v="3"/>
    <x v="485"/>
    <x v="91"/>
    <x v="569"/>
    <x v="7"/>
  </r>
  <r>
    <x v="657"/>
    <x v="0"/>
    <x v="105"/>
    <x v="124"/>
    <x v="54"/>
    <x v="3"/>
    <x v="2"/>
    <x v="1"/>
    <x v="1"/>
    <x v="1248"/>
    <x v="0"/>
    <x v="55"/>
    <x v="1"/>
    <x v="0"/>
    <x v="832"/>
    <x v="138"/>
    <x v="1183"/>
    <x v="7"/>
  </r>
  <r>
    <x v="657"/>
    <x v="1"/>
    <x v="105"/>
    <x v="124"/>
    <x v="42"/>
    <x v="3"/>
    <x v="2"/>
    <x v="1"/>
    <x v="2"/>
    <x v="491"/>
    <x v="3"/>
    <x v="23"/>
    <x v="1"/>
    <x v="1"/>
    <x v="484"/>
    <x v="112"/>
    <x v="144"/>
    <x v="7"/>
  </r>
  <r>
    <x v="657"/>
    <x v="2"/>
    <x v="105"/>
    <x v="124"/>
    <x v="21"/>
    <x v="3"/>
    <x v="2"/>
    <x v="1"/>
    <x v="2"/>
    <x v="441"/>
    <x v="1"/>
    <x v="18"/>
    <x v="1"/>
    <x v="3"/>
    <x v="506"/>
    <x v="90"/>
    <x v="663"/>
    <x v="7"/>
  </r>
  <r>
    <x v="658"/>
    <x v="0"/>
    <x v="32"/>
    <x v="223"/>
    <x v="86"/>
    <x v="0"/>
    <x v="0"/>
    <x v="7"/>
    <x v="4"/>
    <x v="1794"/>
    <x v="0"/>
    <x v="79"/>
    <x v="1"/>
    <x v="1"/>
    <x v="2118"/>
    <x v="458"/>
    <x v="2147"/>
    <x v="7"/>
  </r>
  <r>
    <x v="658"/>
    <x v="1"/>
    <x v="32"/>
    <x v="223"/>
    <x v="46"/>
    <x v="0"/>
    <x v="0"/>
    <x v="7"/>
    <x v="1"/>
    <x v="1879"/>
    <x v="1"/>
    <x v="85"/>
    <x v="1"/>
    <x v="1"/>
    <x v="1235"/>
    <x v="223"/>
    <x v="1291"/>
    <x v="7"/>
  </r>
  <r>
    <x v="658"/>
    <x v="2"/>
    <x v="32"/>
    <x v="223"/>
    <x v="56"/>
    <x v="0"/>
    <x v="0"/>
    <x v="7"/>
    <x v="1"/>
    <x v="774"/>
    <x v="0"/>
    <x v="44"/>
    <x v="2"/>
    <x v="1"/>
    <x v="505"/>
    <x v="104"/>
    <x v="452"/>
    <x v="7"/>
  </r>
  <r>
    <x v="659"/>
    <x v="0"/>
    <x v="21"/>
    <x v="72"/>
    <x v="29"/>
    <x v="3"/>
    <x v="1"/>
    <x v="7"/>
    <x v="1"/>
    <x v="2180"/>
    <x v="0"/>
    <x v="97"/>
    <x v="1"/>
    <x v="0"/>
    <x v="1445"/>
    <x v="269"/>
    <x v="1264"/>
    <x v="7"/>
  </r>
  <r>
    <x v="659"/>
    <x v="1"/>
    <x v="21"/>
    <x v="72"/>
    <x v="72"/>
    <x v="3"/>
    <x v="1"/>
    <x v="7"/>
    <x v="5"/>
    <x v="1334"/>
    <x v="1"/>
    <x v="66"/>
    <x v="1"/>
    <x v="1"/>
    <x v="2035"/>
    <x v="464"/>
    <x v="1793"/>
    <x v="7"/>
  </r>
  <r>
    <x v="660"/>
    <x v="0"/>
    <x v="135"/>
    <x v="70"/>
    <x v="59"/>
    <x v="1"/>
    <x v="0"/>
    <x v="9"/>
    <x v="2"/>
    <x v="1231"/>
    <x v="0"/>
    <x v="60"/>
    <x v="1"/>
    <x v="3"/>
    <x v="1508"/>
    <x v="270"/>
    <x v="1407"/>
    <x v="7"/>
  </r>
  <r>
    <x v="660"/>
    <x v="1"/>
    <x v="135"/>
    <x v="70"/>
    <x v="88"/>
    <x v="1"/>
    <x v="0"/>
    <x v="9"/>
    <x v="1"/>
    <x v="1980"/>
    <x v="0"/>
    <x v="86"/>
    <x v="2"/>
    <x v="2"/>
    <x v="1357"/>
    <x v="226"/>
    <x v="1465"/>
    <x v="7"/>
  </r>
  <r>
    <x v="660"/>
    <x v="2"/>
    <x v="135"/>
    <x v="70"/>
    <x v="97"/>
    <x v="1"/>
    <x v="0"/>
    <x v="9"/>
    <x v="1"/>
    <x v="273"/>
    <x v="0"/>
    <x v="15"/>
    <x v="1"/>
    <x v="2"/>
    <x v="158"/>
    <x v="33"/>
    <x v="139"/>
    <x v="7"/>
  </r>
  <r>
    <x v="661"/>
    <x v="0"/>
    <x v="138"/>
    <x v="158"/>
    <x v="36"/>
    <x v="2"/>
    <x v="2"/>
    <x v="2"/>
    <x v="5"/>
    <x v="2189"/>
    <x v="0"/>
    <x v="91"/>
    <x v="1"/>
    <x v="3"/>
    <x v="2218"/>
    <x v="520"/>
    <x v="2227"/>
    <x v="7"/>
  </r>
  <r>
    <x v="661"/>
    <x v="1"/>
    <x v="138"/>
    <x v="158"/>
    <x v="97"/>
    <x v="2"/>
    <x v="2"/>
    <x v="2"/>
    <x v="1"/>
    <x v="320"/>
    <x v="0"/>
    <x v="15"/>
    <x v="1"/>
    <x v="3"/>
    <x v="188"/>
    <x v="33"/>
    <x v="252"/>
    <x v="7"/>
  </r>
  <r>
    <x v="661"/>
    <x v="2"/>
    <x v="138"/>
    <x v="158"/>
    <x v="34"/>
    <x v="2"/>
    <x v="2"/>
    <x v="2"/>
    <x v="1"/>
    <x v="1125"/>
    <x v="2"/>
    <x v="58"/>
    <x v="1"/>
    <x v="2"/>
    <x v="691"/>
    <x v="149"/>
    <x v="447"/>
    <x v="7"/>
  </r>
  <r>
    <x v="662"/>
    <x v="0"/>
    <x v="54"/>
    <x v="82"/>
    <x v="14"/>
    <x v="0"/>
    <x v="0"/>
    <x v="6"/>
    <x v="1"/>
    <x v="172"/>
    <x v="0"/>
    <x v="7"/>
    <x v="1"/>
    <x v="3"/>
    <x v="99"/>
    <x v="11"/>
    <x v="310"/>
    <x v="7"/>
  </r>
  <r>
    <x v="663"/>
    <x v="0"/>
    <x v="146"/>
    <x v="150"/>
    <x v="94"/>
    <x v="2"/>
    <x v="1"/>
    <x v="7"/>
    <x v="1"/>
    <x v="1703"/>
    <x v="4"/>
    <x v="71"/>
    <x v="1"/>
    <x v="3"/>
    <x v="967"/>
    <x v="184"/>
    <x v="1018"/>
    <x v="7"/>
  </r>
  <r>
    <x v="663"/>
    <x v="1"/>
    <x v="146"/>
    <x v="150"/>
    <x v="43"/>
    <x v="2"/>
    <x v="1"/>
    <x v="7"/>
    <x v="3"/>
    <x v="36"/>
    <x v="0"/>
    <x v="1"/>
    <x v="1"/>
    <x v="3"/>
    <x v="130"/>
    <x v="17"/>
    <x v="353"/>
    <x v="7"/>
  </r>
  <r>
    <x v="664"/>
    <x v="0"/>
    <x v="241"/>
    <x v="167"/>
    <x v="65"/>
    <x v="2"/>
    <x v="0"/>
    <x v="4"/>
    <x v="1"/>
    <x v="2033"/>
    <x v="2"/>
    <x v="95"/>
    <x v="1"/>
    <x v="2"/>
    <x v="1247"/>
    <x v="258"/>
    <x v="894"/>
    <x v="7"/>
  </r>
  <r>
    <x v="665"/>
    <x v="0"/>
    <x v="160"/>
    <x v="78"/>
    <x v="10"/>
    <x v="3"/>
    <x v="2"/>
    <x v="9"/>
    <x v="3"/>
    <x v="365"/>
    <x v="3"/>
    <x v="14"/>
    <x v="0"/>
    <x v="3"/>
    <x v="560"/>
    <x v="101"/>
    <x v="641"/>
    <x v="7"/>
  </r>
  <r>
    <x v="665"/>
    <x v="1"/>
    <x v="160"/>
    <x v="78"/>
    <x v="88"/>
    <x v="3"/>
    <x v="2"/>
    <x v="9"/>
    <x v="1"/>
    <x v="1770"/>
    <x v="3"/>
    <x v="86"/>
    <x v="1"/>
    <x v="2"/>
    <x v="1064"/>
    <x v="226"/>
    <x v="768"/>
    <x v="7"/>
  </r>
  <r>
    <x v="665"/>
    <x v="2"/>
    <x v="160"/>
    <x v="78"/>
    <x v="57"/>
    <x v="3"/>
    <x v="2"/>
    <x v="9"/>
    <x v="3"/>
    <x v="649"/>
    <x v="0"/>
    <x v="25"/>
    <x v="1"/>
    <x v="3"/>
    <x v="1093"/>
    <x v="164"/>
    <x v="1447"/>
    <x v="7"/>
  </r>
  <r>
    <x v="666"/>
    <x v="0"/>
    <x v="192"/>
    <x v="121"/>
    <x v="80"/>
    <x v="0"/>
    <x v="1"/>
    <x v="7"/>
    <x v="2"/>
    <x v="1173"/>
    <x v="3"/>
    <x v="56"/>
    <x v="1"/>
    <x v="2"/>
    <x v="1265"/>
    <x v="256"/>
    <x v="977"/>
    <x v="7"/>
  </r>
  <r>
    <x v="666"/>
    <x v="1"/>
    <x v="192"/>
    <x v="121"/>
    <x v="72"/>
    <x v="0"/>
    <x v="1"/>
    <x v="7"/>
    <x v="5"/>
    <x v="1215"/>
    <x v="3"/>
    <x v="66"/>
    <x v="1"/>
    <x v="3"/>
    <x v="1949"/>
    <x v="464"/>
    <x v="19"/>
    <x v="7"/>
  </r>
  <r>
    <x v="666"/>
    <x v="2"/>
    <x v="192"/>
    <x v="121"/>
    <x v="30"/>
    <x v="0"/>
    <x v="1"/>
    <x v="7"/>
    <x v="1"/>
    <x v="297"/>
    <x v="0"/>
    <x v="13"/>
    <x v="1"/>
    <x v="3"/>
    <x v="172"/>
    <x v="24"/>
    <x v="346"/>
    <x v="7"/>
  </r>
  <r>
    <x v="667"/>
    <x v="0"/>
    <x v="19"/>
    <x v="163"/>
    <x v="17"/>
    <x v="0"/>
    <x v="0"/>
    <x v="8"/>
    <x v="5"/>
    <x v="1929"/>
    <x v="2"/>
    <x v="92"/>
    <x v="1"/>
    <x v="0"/>
    <x v="2170"/>
    <x v="522"/>
    <x v="1975"/>
    <x v="7"/>
  </r>
  <r>
    <x v="667"/>
    <x v="1"/>
    <x v="19"/>
    <x v="163"/>
    <x v="11"/>
    <x v="0"/>
    <x v="0"/>
    <x v="8"/>
    <x v="2"/>
    <x v="2089"/>
    <x v="0"/>
    <x v="87"/>
    <x v="1"/>
    <x v="3"/>
    <x v="1878"/>
    <x v="348"/>
    <x v="1961"/>
    <x v="7"/>
  </r>
  <r>
    <x v="668"/>
    <x v="0"/>
    <x v="154"/>
    <x v="216"/>
    <x v="20"/>
    <x v="1"/>
    <x v="2"/>
    <x v="7"/>
    <x v="2"/>
    <x v="146"/>
    <x v="3"/>
    <x v="5"/>
    <x v="1"/>
    <x v="2"/>
    <x v="183"/>
    <x v="26"/>
    <x v="344"/>
    <x v="7"/>
  </r>
  <r>
    <x v="668"/>
    <x v="1"/>
    <x v="154"/>
    <x v="216"/>
    <x v="83"/>
    <x v="1"/>
    <x v="2"/>
    <x v="7"/>
    <x v="4"/>
    <x v="113"/>
    <x v="4"/>
    <x v="8"/>
    <x v="1"/>
    <x v="1"/>
    <x v="298"/>
    <x v="68"/>
    <x v="76"/>
    <x v="7"/>
  </r>
  <r>
    <x v="669"/>
    <x v="0"/>
    <x v="116"/>
    <x v="137"/>
    <x v="9"/>
    <x v="2"/>
    <x v="1"/>
    <x v="4"/>
    <x v="1"/>
    <x v="1307"/>
    <x v="0"/>
    <x v="49"/>
    <x v="1"/>
    <x v="2"/>
    <x v="868"/>
    <x v="117"/>
    <x v="1388"/>
    <x v="7"/>
  </r>
  <r>
    <x v="669"/>
    <x v="1"/>
    <x v="116"/>
    <x v="137"/>
    <x v="5"/>
    <x v="2"/>
    <x v="1"/>
    <x v="4"/>
    <x v="1"/>
    <x v="725"/>
    <x v="4"/>
    <x v="31"/>
    <x v="1"/>
    <x v="1"/>
    <x v="383"/>
    <x v="70"/>
    <x v="503"/>
    <x v="7"/>
  </r>
  <r>
    <x v="669"/>
    <x v="2"/>
    <x v="116"/>
    <x v="137"/>
    <x v="28"/>
    <x v="2"/>
    <x v="1"/>
    <x v="4"/>
    <x v="5"/>
    <x v="99"/>
    <x v="0"/>
    <x v="2"/>
    <x v="1"/>
    <x v="3"/>
    <x v="370"/>
    <x v="42"/>
    <x v="794"/>
    <x v="7"/>
  </r>
  <r>
    <x v="670"/>
    <x v="0"/>
    <x v="118"/>
    <x v="224"/>
    <x v="16"/>
    <x v="2"/>
    <x v="1"/>
    <x v="4"/>
    <x v="2"/>
    <x v="1258"/>
    <x v="1"/>
    <x v="51"/>
    <x v="2"/>
    <x v="1"/>
    <x v="1487"/>
    <x v="230"/>
    <x v="1697"/>
    <x v="7"/>
  </r>
  <r>
    <x v="670"/>
    <x v="1"/>
    <x v="118"/>
    <x v="224"/>
    <x v="90"/>
    <x v="2"/>
    <x v="1"/>
    <x v="4"/>
    <x v="2"/>
    <x v="728"/>
    <x v="4"/>
    <x v="37"/>
    <x v="1"/>
    <x v="3"/>
    <x v="737"/>
    <x v="170"/>
    <x v="77"/>
    <x v="7"/>
  </r>
  <r>
    <x v="670"/>
    <x v="2"/>
    <x v="118"/>
    <x v="224"/>
    <x v="50"/>
    <x v="2"/>
    <x v="1"/>
    <x v="4"/>
    <x v="1"/>
    <x v="1835"/>
    <x v="0"/>
    <x v="77"/>
    <x v="1"/>
    <x v="1"/>
    <x v="1282"/>
    <x v="200"/>
    <x v="1561"/>
    <x v="7"/>
  </r>
  <r>
    <x v="670"/>
    <x v="3"/>
    <x v="118"/>
    <x v="224"/>
    <x v="44"/>
    <x v="2"/>
    <x v="1"/>
    <x v="4"/>
    <x v="1"/>
    <x v="1423"/>
    <x v="1"/>
    <x v="57"/>
    <x v="1"/>
    <x v="2"/>
    <x v="911"/>
    <x v="144"/>
    <x v="1311"/>
    <x v="7"/>
  </r>
  <r>
    <x v="670"/>
    <x v="4"/>
    <x v="118"/>
    <x v="224"/>
    <x v="96"/>
    <x v="2"/>
    <x v="1"/>
    <x v="4"/>
    <x v="2"/>
    <x v="433"/>
    <x v="0"/>
    <x v="22"/>
    <x v="1"/>
    <x v="2"/>
    <x v="539"/>
    <x v="110"/>
    <x v="440"/>
    <x v="7"/>
  </r>
  <r>
    <x v="671"/>
    <x v="0"/>
    <x v="121"/>
    <x v="126"/>
    <x v="64"/>
    <x v="0"/>
    <x v="1"/>
    <x v="0"/>
    <x v="1"/>
    <x v="1771"/>
    <x v="0"/>
    <x v="69"/>
    <x v="1"/>
    <x v="3"/>
    <x v="1233"/>
    <x v="179"/>
    <x v="1609"/>
    <x v="7"/>
  </r>
  <r>
    <x v="671"/>
    <x v="1"/>
    <x v="121"/>
    <x v="126"/>
    <x v="4"/>
    <x v="0"/>
    <x v="1"/>
    <x v="0"/>
    <x v="2"/>
    <x v="1906"/>
    <x v="0"/>
    <x v="94"/>
    <x v="1"/>
    <x v="1"/>
    <x v="1822"/>
    <x v="373"/>
    <x v="1689"/>
    <x v="7"/>
  </r>
  <r>
    <x v="672"/>
    <x v="0"/>
    <x v="62"/>
    <x v="148"/>
    <x v="28"/>
    <x v="0"/>
    <x v="0"/>
    <x v="6"/>
    <x v="3"/>
    <x v="107"/>
    <x v="4"/>
    <x v="2"/>
    <x v="1"/>
    <x v="2"/>
    <x v="181"/>
    <x v="22"/>
    <x v="419"/>
    <x v="7"/>
  </r>
  <r>
    <x v="673"/>
    <x v="0"/>
    <x v="5"/>
    <x v="137"/>
    <x v="94"/>
    <x v="2"/>
    <x v="0"/>
    <x v="8"/>
    <x v="1"/>
    <x v="1855"/>
    <x v="3"/>
    <x v="71"/>
    <x v="1"/>
    <x v="3"/>
    <x v="1112"/>
    <x v="184"/>
    <x v="1336"/>
    <x v="7"/>
  </r>
  <r>
    <x v="673"/>
    <x v="1"/>
    <x v="5"/>
    <x v="137"/>
    <x v="70"/>
    <x v="2"/>
    <x v="0"/>
    <x v="8"/>
    <x v="1"/>
    <x v="1534"/>
    <x v="0"/>
    <x v="68"/>
    <x v="1"/>
    <x v="0"/>
    <x v="1068"/>
    <x v="178"/>
    <x v="1319"/>
    <x v="7"/>
  </r>
  <r>
    <x v="673"/>
    <x v="2"/>
    <x v="5"/>
    <x v="137"/>
    <x v="6"/>
    <x v="2"/>
    <x v="0"/>
    <x v="8"/>
    <x v="1"/>
    <x v="1434"/>
    <x v="0"/>
    <x v="76"/>
    <x v="1"/>
    <x v="3"/>
    <x v="977"/>
    <x v="198"/>
    <x v="930"/>
    <x v="7"/>
  </r>
  <r>
    <x v="674"/>
    <x v="0"/>
    <x v="20"/>
    <x v="7"/>
    <x v="92"/>
    <x v="0"/>
    <x v="2"/>
    <x v="4"/>
    <x v="3"/>
    <x v="1480"/>
    <x v="3"/>
    <x v="62"/>
    <x v="1"/>
    <x v="3"/>
    <x v="1797"/>
    <x v="353"/>
    <x v="1749"/>
    <x v="7"/>
  </r>
  <r>
    <x v="674"/>
    <x v="1"/>
    <x v="20"/>
    <x v="7"/>
    <x v="30"/>
    <x v="0"/>
    <x v="2"/>
    <x v="4"/>
    <x v="1"/>
    <x v="274"/>
    <x v="0"/>
    <x v="13"/>
    <x v="1"/>
    <x v="3"/>
    <x v="159"/>
    <x v="24"/>
    <x v="273"/>
    <x v="7"/>
  </r>
  <r>
    <x v="675"/>
    <x v="0"/>
    <x v="6"/>
    <x v="163"/>
    <x v="26"/>
    <x v="1"/>
    <x v="1"/>
    <x v="6"/>
    <x v="2"/>
    <x v="1964"/>
    <x v="0"/>
    <x v="74"/>
    <x v="1"/>
    <x v="1"/>
    <x v="1836"/>
    <x v="313"/>
    <x v="2033"/>
    <x v="7"/>
  </r>
  <r>
    <x v="676"/>
    <x v="0"/>
    <x v="243"/>
    <x v="19"/>
    <x v="70"/>
    <x v="3"/>
    <x v="1"/>
    <x v="6"/>
    <x v="5"/>
    <x v="1697"/>
    <x v="0"/>
    <x v="68"/>
    <x v="2"/>
    <x v="2"/>
    <x v="2169"/>
    <x v="471"/>
    <x v="2223"/>
    <x v="7"/>
  </r>
  <r>
    <x v="676"/>
    <x v="1"/>
    <x v="243"/>
    <x v="19"/>
    <x v="95"/>
    <x v="3"/>
    <x v="1"/>
    <x v="6"/>
    <x v="3"/>
    <x v="1031"/>
    <x v="0"/>
    <x v="52"/>
    <x v="1"/>
    <x v="1"/>
    <x v="1612"/>
    <x v="300"/>
    <x v="1523"/>
    <x v="7"/>
  </r>
  <r>
    <x v="677"/>
    <x v="0"/>
    <x v="95"/>
    <x v="91"/>
    <x v="56"/>
    <x v="1"/>
    <x v="0"/>
    <x v="3"/>
    <x v="1"/>
    <x v="735"/>
    <x v="0"/>
    <x v="44"/>
    <x v="0"/>
    <x v="2"/>
    <x v="475"/>
    <x v="104"/>
    <x v="295"/>
    <x v="7"/>
  </r>
  <r>
    <x v="677"/>
    <x v="1"/>
    <x v="95"/>
    <x v="91"/>
    <x v="4"/>
    <x v="1"/>
    <x v="0"/>
    <x v="3"/>
    <x v="1"/>
    <x v="2071"/>
    <x v="3"/>
    <x v="94"/>
    <x v="1"/>
    <x v="3"/>
    <x v="1198"/>
    <x v="249"/>
    <x v="887"/>
    <x v="7"/>
  </r>
  <r>
    <x v="677"/>
    <x v="2"/>
    <x v="95"/>
    <x v="91"/>
    <x v="17"/>
    <x v="1"/>
    <x v="0"/>
    <x v="3"/>
    <x v="6"/>
    <x v="1863"/>
    <x v="0"/>
    <x v="92"/>
    <x v="1"/>
    <x v="1"/>
    <x v="2260"/>
    <x v="550"/>
    <x v="2219"/>
    <x v="7"/>
  </r>
  <r>
    <x v="677"/>
    <x v="3"/>
    <x v="95"/>
    <x v="91"/>
    <x v="58"/>
    <x v="1"/>
    <x v="0"/>
    <x v="3"/>
    <x v="6"/>
    <x v="1908"/>
    <x v="2"/>
    <x v="99"/>
    <x v="1"/>
    <x v="0"/>
    <x v="2247"/>
    <x v="560"/>
    <x v="525"/>
    <x v="7"/>
  </r>
  <r>
    <x v="678"/>
    <x v="0"/>
    <x v="159"/>
    <x v="237"/>
    <x v="81"/>
    <x v="1"/>
    <x v="1"/>
    <x v="6"/>
    <x v="5"/>
    <x v="50"/>
    <x v="2"/>
    <x v="3"/>
    <x v="1"/>
    <x v="1"/>
    <x v="267"/>
    <x v="50"/>
    <x v="329"/>
    <x v="7"/>
  </r>
  <r>
    <x v="678"/>
    <x v="1"/>
    <x v="159"/>
    <x v="237"/>
    <x v="92"/>
    <x v="1"/>
    <x v="1"/>
    <x v="6"/>
    <x v="1"/>
    <x v="1528"/>
    <x v="2"/>
    <x v="62"/>
    <x v="1"/>
    <x v="1"/>
    <x v="959"/>
    <x v="161"/>
    <x v="1202"/>
    <x v="7"/>
  </r>
  <r>
    <x v="678"/>
    <x v="2"/>
    <x v="159"/>
    <x v="237"/>
    <x v="35"/>
    <x v="1"/>
    <x v="1"/>
    <x v="6"/>
    <x v="6"/>
    <x v="286"/>
    <x v="0"/>
    <x v="11"/>
    <x v="1"/>
    <x v="3"/>
    <x v="1211"/>
    <x v="181"/>
    <x v="1571"/>
    <x v="7"/>
  </r>
  <r>
    <x v="679"/>
    <x v="0"/>
    <x v="88"/>
    <x v="36"/>
    <x v="79"/>
    <x v="2"/>
    <x v="2"/>
    <x v="0"/>
    <x v="1"/>
    <x v="1584"/>
    <x v="0"/>
    <x v="64"/>
    <x v="1"/>
    <x v="3"/>
    <x v="1110"/>
    <x v="168"/>
    <x v="1421"/>
    <x v="7"/>
  </r>
  <r>
    <x v="680"/>
    <x v="0"/>
    <x v="99"/>
    <x v="63"/>
    <x v="28"/>
    <x v="2"/>
    <x v="1"/>
    <x v="5"/>
    <x v="3"/>
    <x v="80"/>
    <x v="0"/>
    <x v="2"/>
    <x v="1"/>
    <x v="2"/>
    <x v="213"/>
    <x v="22"/>
    <x v="517"/>
    <x v="7"/>
  </r>
  <r>
    <x v="681"/>
    <x v="0"/>
    <x v="154"/>
    <x v="85"/>
    <x v="74"/>
    <x v="1"/>
    <x v="1"/>
    <x v="6"/>
    <x v="4"/>
    <x v="1829"/>
    <x v="0"/>
    <x v="90"/>
    <x v="1"/>
    <x v="2"/>
    <x v="2124"/>
    <x v="491"/>
    <x v="2044"/>
    <x v="7"/>
  </r>
  <r>
    <x v="681"/>
    <x v="1"/>
    <x v="154"/>
    <x v="85"/>
    <x v="0"/>
    <x v="1"/>
    <x v="1"/>
    <x v="6"/>
    <x v="1"/>
    <x v="812"/>
    <x v="0"/>
    <x v="32"/>
    <x v="1"/>
    <x v="3"/>
    <x v="553"/>
    <x v="73"/>
    <x v="927"/>
    <x v="7"/>
  </r>
  <r>
    <x v="682"/>
    <x v="0"/>
    <x v="119"/>
    <x v="52"/>
    <x v="19"/>
    <x v="0"/>
    <x v="1"/>
    <x v="3"/>
    <x v="2"/>
    <x v="464"/>
    <x v="1"/>
    <x v="16"/>
    <x v="1"/>
    <x v="1"/>
    <x v="522"/>
    <x v="80"/>
    <x v="798"/>
    <x v="7"/>
  </r>
  <r>
    <x v="683"/>
    <x v="0"/>
    <x v="237"/>
    <x v="214"/>
    <x v="0"/>
    <x v="2"/>
    <x v="0"/>
    <x v="1"/>
    <x v="1"/>
    <x v="890"/>
    <x v="2"/>
    <x v="32"/>
    <x v="1"/>
    <x v="3"/>
    <x v="540"/>
    <x v="73"/>
    <x v="898"/>
    <x v="7"/>
  </r>
  <r>
    <x v="683"/>
    <x v="1"/>
    <x v="237"/>
    <x v="214"/>
    <x v="85"/>
    <x v="2"/>
    <x v="0"/>
    <x v="1"/>
    <x v="1"/>
    <x v="1735"/>
    <x v="4"/>
    <x v="88"/>
    <x v="2"/>
    <x v="2"/>
    <x v="988"/>
    <x v="231"/>
    <x v="298"/>
    <x v="7"/>
  </r>
  <r>
    <x v="684"/>
    <x v="0"/>
    <x v="138"/>
    <x v="245"/>
    <x v="50"/>
    <x v="0"/>
    <x v="2"/>
    <x v="2"/>
    <x v="1"/>
    <x v="1811"/>
    <x v="0"/>
    <x v="77"/>
    <x v="1"/>
    <x v="2"/>
    <x v="1262"/>
    <x v="200"/>
    <x v="1531"/>
    <x v="7"/>
  </r>
  <r>
    <x v="684"/>
    <x v="1"/>
    <x v="138"/>
    <x v="245"/>
    <x v="40"/>
    <x v="0"/>
    <x v="2"/>
    <x v="2"/>
    <x v="4"/>
    <x v="1586"/>
    <x v="0"/>
    <x v="63"/>
    <x v="1"/>
    <x v="2"/>
    <x v="2067"/>
    <x v="417"/>
    <x v="2154"/>
    <x v="7"/>
  </r>
  <r>
    <x v="685"/>
    <x v="0"/>
    <x v="29"/>
    <x v="77"/>
    <x v="12"/>
    <x v="0"/>
    <x v="2"/>
    <x v="5"/>
    <x v="3"/>
    <x v="1569"/>
    <x v="0"/>
    <x v="75"/>
    <x v="1"/>
    <x v="3"/>
    <x v="1941"/>
    <x v="391"/>
    <x v="1966"/>
    <x v="7"/>
  </r>
  <r>
    <x v="685"/>
    <x v="1"/>
    <x v="29"/>
    <x v="77"/>
    <x v="88"/>
    <x v="0"/>
    <x v="2"/>
    <x v="5"/>
    <x v="4"/>
    <x v="2032"/>
    <x v="3"/>
    <x v="86"/>
    <x v="1"/>
    <x v="1"/>
    <x v="2090"/>
    <x v="480"/>
    <x v="2004"/>
    <x v="7"/>
  </r>
  <r>
    <x v="685"/>
    <x v="2"/>
    <x v="29"/>
    <x v="77"/>
    <x v="9"/>
    <x v="0"/>
    <x v="2"/>
    <x v="5"/>
    <x v="1"/>
    <x v="1167"/>
    <x v="4"/>
    <x v="49"/>
    <x v="1"/>
    <x v="1"/>
    <x v="648"/>
    <x v="117"/>
    <x v="829"/>
    <x v="7"/>
  </r>
  <r>
    <x v="686"/>
    <x v="0"/>
    <x v="65"/>
    <x v="126"/>
    <x v="21"/>
    <x v="2"/>
    <x v="1"/>
    <x v="5"/>
    <x v="1"/>
    <x v="442"/>
    <x v="1"/>
    <x v="18"/>
    <x v="1"/>
    <x v="1"/>
    <x v="248"/>
    <x v="41"/>
    <x v="414"/>
    <x v="7"/>
  </r>
  <r>
    <x v="686"/>
    <x v="1"/>
    <x v="65"/>
    <x v="126"/>
    <x v="19"/>
    <x v="2"/>
    <x v="1"/>
    <x v="5"/>
    <x v="1"/>
    <x v="390"/>
    <x v="4"/>
    <x v="16"/>
    <x v="1"/>
    <x v="3"/>
    <x v="205"/>
    <x v="38"/>
    <x v="161"/>
    <x v="7"/>
  </r>
  <r>
    <x v="687"/>
    <x v="0"/>
    <x v="97"/>
    <x v="179"/>
    <x v="57"/>
    <x v="0"/>
    <x v="1"/>
    <x v="8"/>
    <x v="2"/>
    <x v="650"/>
    <x v="4"/>
    <x v="25"/>
    <x v="1"/>
    <x v="2"/>
    <x v="638"/>
    <x v="118"/>
    <x v="770"/>
    <x v="7"/>
  </r>
  <r>
    <x v="688"/>
    <x v="0"/>
    <x v="92"/>
    <x v="37"/>
    <x v="60"/>
    <x v="2"/>
    <x v="0"/>
    <x v="7"/>
    <x v="1"/>
    <x v="573"/>
    <x v="0"/>
    <x v="27"/>
    <x v="2"/>
    <x v="3"/>
    <x v="352"/>
    <x v="63"/>
    <x v="467"/>
    <x v="7"/>
  </r>
  <r>
    <x v="689"/>
    <x v="0"/>
    <x v="102"/>
    <x v="241"/>
    <x v="52"/>
    <x v="3"/>
    <x v="0"/>
    <x v="5"/>
    <x v="3"/>
    <x v="1002"/>
    <x v="0"/>
    <x v="40"/>
    <x v="1"/>
    <x v="1"/>
    <x v="1591"/>
    <x v="252"/>
    <x v="1846"/>
    <x v="7"/>
  </r>
  <r>
    <x v="689"/>
    <x v="1"/>
    <x v="102"/>
    <x v="241"/>
    <x v="66"/>
    <x v="3"/>
    <x v="0"/>
    <x v="5"/>
    <x v="1"/>
    <x v="517"/>
    <x v="2"/>
    <x v="21"/>
    <x v="1"/>
    <x v="0"/>
    <x v="278"/>
    <x v="49"/>
    <x v="383"/>
    <x v="7"/>
  </r>
  <r>
    <x v="690"/>
    <x v="0"/>
    <x v="140"/>
    <x v="99"/>
    <x v="53"/>
    <x v="2"/>
    <x v="2"/>
    <x v="4"/>
    <x v="3"/>
    <x v="1182"/>
    <x v="0"/>
    <x v="47"/>
    <x v="1"/>
    <x v="3"/>
    <x v="1704"/>
    <x v="280"/>
    <x v="1951"/>
    <x v="7"/>
  </r>
  <r>
    <x v="690"/>
    <x v="1"/>
    <x v="140"/>
    <x v="99"/>
    <x v="15"/>
    <x v="2"/>
    <x v="2"/>
    <x v="4"/>
    <x v="3"/>
    <x v="1019"/>
    <x v="0"/>
    <x v="38"/>
    <x v="1"/>
    <x v="2"/>
    <x v="1607"/>
    <x v="248"/>
    <x v="1886"/>
    <x v="7"/>
  </r>
  <r>
    <x v="690"/>
    <x v="2"/>
    <x v="140"/>
    <x v="99"/>
    <x v="38"/>
    <x v="2"/>
    <x v="2"/>
    <x v="4"/>
    <x v="1"/>
    <x v="1032"/>
    <x v="4"/>
    <x v="39"/>
    <x v="1"/>
    <x v="0"/>
    <x v="576"/>
    <x v="94"/>
    <x v="813"/>
    <x v="7"/>
  </r>
  <r>
    <x v="691"/>
    <x v="0"/>
    <x v="85"/>
    <x v="127"/>
    <x v="25"/>
    <x v="0"/>
    <x v="2"/>
    <x v="7"/>
    <x v="5"/>
    <x v="2130"/>
    <x v="0"/>
    <x v="72"/>
    <x v="1"/>
    <x v="0"/>
    <x v="2214"/>
    <x v="481"/>
    <x v="2261"/>
    <x v="7"/>
  </r>
  <r>
    <x v="692"/>
    <x v="0"/>
    <x v="190"/>
    <x v="23"/>
    <x v="90"/>
    <x v="0"/>
    <x v="2"/>
    <x v="3"/>
    <x v="1"/>
    <x v="755"/>
    <x v="0"/>
    <x v="37"/>
    <x v="2"/>
    <x v="1"/>
    <x v="498"/>
    <x v="91"/>
    <x v="606"/>
    <x v="7"/>
  </r>
  <r>
    <x v="692"/>
    <x v="1"/>
    <x v="190"/>
    <x v="23"/>
    <x v="36"/>
    <x v="0"/>
    <x v="2"/>
    <x v="3"/>
    <x v="4"/>
    <x v="2280"/>
    <x v="0"/>
    <x v="91"/>
    <x v="1"/>
    <x v="1"/>
    <x v="2198"/>
    <x v="493"/>
    <x v="2230"/>
    <x v="7"/>
  </r>
  <r>
    <x v="692"/>
    <x v="2"/>
    <x v="190"/>
    <x v="23"/>
    <x v="34"/>
    <x v="0"/>
    <x v="2"/>
    <x v="3"/>
    <x v="3"/>
    <x v="1159"/>
    <x v="3"/>
    <x v="58"/>
    <x v="1"/>
    <x v="0"/>
    <x v="1611"/>
    <x v="339"/>
    <x v="860"/>
    <x v="7"/>
  </r>
  <r>
    <x v="692"/>
    <x v="3"/>
    <x v="190"/>
    <x v="23"/>
    <x v="51"/>
    <x v="0"/>
    <x v="2"/>
    <x v="3"/>
    <x v="1"/>
    <x v="1467"/>
    <x v="4"/>
    <x v="53"/>
    <x v="1"/>
    <x v="2"/>
    <x v="823"/>
    <x v="131"/>
    <x v="1182"/>
    <x v="7"/>
  </r>
  <r>
    <x v="693"/>
    <x v="0"/>
    <x v="34"/>
    <x v="104"/>
    <x v="9"/>
    <x v="3"/>
    <x v="0"/>
    <x v="2"/>
    <x v="1"/>
    <x v="1262"/>
    <x v="0"/>
    <x v="49"/>
    <x v="1"/>
    <x v="3"/>
    <x v="848"/>
    <x v="117"/>
    <x v="1353"/>
    <x v="7"/>
  </r>
  <r>
    <x v="694"/>
    <x v="0"/>
    <x v="89"/>
    <x v="214"/>
    <x v="26"/>
    <x v="3"/>
    <x v="2"/>
    <x v="7"/>
    <x v="2"/>
    <x v="2113"/>
    <x v="2"/>
    <x v="74"/>
    <x v="1"/>
    <x v="1"/>
    <x v="1806"/>
    <x v="313"/>
    <x v="1996"/>
    <x v="7"/>
  </r>
  <r>
    <x v="694"/>
    <x v="1"/>
    <x v="89"/>
    <x v="214"/>
    <x v="40"/>
    <x v="3"/>
    <x v="2"/>
    <x v="7"/>
    <x v="2"/>
    <x v="1759"/>
    <x v="2"/>
    <x v="63"/>
    <x v="1"/>
    <x v="1"/>
    <x v="1700"/>
    <x v="286"/>
    <x v="1920"/>
    <x v="7"/>
  </r>
  <r>
    <x v="694"/>
    <x v="2"/>
    <x v="89"/>
    <x v="214"/>
    <x v="64"/>
    <x v="3"/>
    <x v="2"/>
    <x v="7"/>
    <x v="5"/>
    <x v="1689"/>
    <x v="3"/>
    <x v="69"/>
    <x v="1"/>
    <x v="3"/>
    <x v="2119"/>
    <x v="472"/>
    <x v="2125"/>
    <x v="7"/>
  </r>
  <r>
    <x v="694"/>
    <x v="3"/>
    <x v="89"/>
    <x v="214"/>
    <x v="80"/>
    <x v="3"/>
    <x v="2"/>
    <x v="7"/>
    <x v="3"/>
    <x v="1098"/>
    <x v="0"/>
    <x v="56"/>
    <x v="2"/>
    <x v="0"/>
    <x v="1658"/>
    <x v="322"/>
    <x v="1500"/>
    <x v="7"/>
  </r>
  <r>
    <x v="695"/>
    <x v="0"/>
    <x v="177"/>
    <x v="77"/>
    <x v="67"/>
    <x v="3"/>
    <x v="1"/>
    <x v="2"/>
    <x v="7"/>
    <x v="978"/>
    <x v="4"/>
    <x v="43"/>
    <x v="1"/>
    <x v="2"/>
    <x v="2151"/>
    <x v="509"/>
    <x v="1997"/>
    <x v="7"/>
  </r>
  <r>
    <x v="695"/>
    <x v="1"/>
    <x v="177"/>
    <x v="77"/>
    <x v="96"/>
    <x v="3"/>
    <x v="1"/>
    <x v="2"/>
    <x v="1"/>
    <x v="471"/>
    <x v="0"/>
    <x v="22"/>
    <x v="1"/>
    <x v="0"/>
    <x v="283"/>
    <x v="53"/>
    <x v="266"/>
    <x v="7"/>
  </r>
  <r>
    <x v="695"/>
    <x v="2"/>
    <x v="177"/>
    <x v="77"/>
    <x v="28"/>
    <x v="3"/>
    <x v="1"/>
    <x v="2"/>
    <x v="2"/>
    <x v="75"/>
    <x v="0"/>
    <x v="2"/>
    <x v="1"/>
    <x v="3"/>
    <x v="113"/>
    <x v="13"/>
    <x v="355"/>
    <x v="7"/>
  </r>
  <r>
    <x v="695"/>
    <x v="3"/>
    <x v="177"/>
    <x v="77"/>
    <x v="79"/>
    <x v="3"/>
    <x v="1"/>
    <x v="2"/>
    <x v="6"/>
    <x v="1572"/>
    <x v="1"/>
    <x v="64"/>
    <x v="1"/>
    <x v="1"/>
    <x v="2229"/>
    <x v="528"/>
    <x v="2243"/>
    <x v="7"/>
  </r>
  <r>
    <x v="695"/>
    <x v="4"/>
    <x v="177"/>
    <x v="77"/>
    <x v="0"/>
    <x v="3"/>
    <x v="1"/>
    <x v="2"/>
    <x v="2"/>
    <x v="953"/>
    <x v="0"/>
    <x v="32"/>
    <x v="1"/>
    <x v="3"/>
    <x v="1132"/>
    <x v="147"/>
    <x v="1653"/>
    <x v="7"/>
  </r>
  <r>
    <x v="696"/>
    <x v="0"/>
    <x v="150"/>
    <x v="34"/>
    <x v="5"/>
    <x v="3"/>
    <x v="1"/>
    <x v="1"/>
    <x v="2"/>
    <x v="729"/>
    <x v="0"/>
    <x v="31"/>
    <x v="1"/>
    <x v="1"/>
    <x v="872"/>
    <x v="141"/>
    <x v="1239"/>
    <x v="7"/>
  </r>
  <r>
    <x v="696"/>
    <x v="1"/>
    <x v="150"/>
    <x v="34"/>
    <x v="75"/>
    <x v="3"/>
    <x v="1"/>
    <x v="1"/>
    <x v="2"/>
    <x v="614"/>
    <x v="4"/>
    <x v="30"/>
    <x v="1"/>
    <x v="3"/>
    <x v="607"/>
    <x v="136"/>
    <x v="268"/>
    <x v="7"/>
  </r>
  <r>
    <x v="696"/>
    <x v="2"/>
    <x v="150"/>
    <x v="34"/>
    <x v="24"/>
    <x v="3"/>
    <x v="1"/>
    <x v="1"/>
    <x v="2"/>
    <x v="603"/>
    <x v="2"/>
    <x v="19"/>
    <x v="1"/>
    <x v="0"/>
    <x v="649"/>
    <x v="92"/>
    <x v="1062"/>
    <x v="7"/>
  </r>
  <r>
    <x v="696"/>
    <x v="3"/>
    <x v="150"/>
    <x v="34"/>
    <x v="21"/>
    <x v="3"/>
    <x v="1"/>
    <x v="1"/>
    <x v="1"/>
    <x v="459"/>
    <x v="4"/>
    <x v="18"/>
    <x v="1"/>
    <x v="0"/>
    <x v="222"/>
    <x v="41"/>
    <x v="196"/>
    <x v="7"/>
  </r>
  <r>
    <x v="697"/>
    <x v="0"/>
    <x v="212"/>
    <x v="3"/>
    <x v="37"/>
    <x v="3"/>
    <x v="2"/>
    <x v="4"/>
    <x v="1"/>
    <x v="1525"/>
    <x v="0"/>
    <x v="78"/>
    <x v="1"/>
    <x v="0"/>
    <x v="1061"/>
    <x v="202"/>
    <x v="1102"/>
    <x v="7"/>
  </r>
  <r>
    <x v="697"/>
    <x v="1"/>
    <x v="212"/>
    <x v="3"/>
    <x v="47"/>
    <x v="3"/>
    <x v="2"/>
    <x v="4"/>
    <x v="6"/>
    <x v="1653"/>
    <x v="1"/>
    <x v="82"/>
    <x v="1"/>
    <x v="3"/>
    <x v="2233"/>
    <x v="543"/>
    <x v="2191"/>
    <x v="7"/>
  </r>
  <r>
    <x v="698"/>
    <x v="0"/>
    <x v="120"/>
    <x v="216"/>
    <x v="98"/>
    <x v="0"/>
    <x v="0"/>
    <x v="2"/>
    <x v="3"/>
    <x v="1255"/>
    <x v="0"/>
    <x v="65"/>
    <x v="1"/>
    <x v="0"/>
    <x v="1758"/>
    <x v="370"/>
    <x v="1438"/>
    <x v="7"/>
  </r>
  <r>
    <x v="698"/>
    <x v="1"/>
    <x v="120"/>
    <x v="216"/>
    <x v="0"/>
    <x v="0"/>
    <x v="0"/>
    <x v="2"/>
    <x v="3"/>
    <x v="923"/>
    <x v="1"/>
    <x v="32"/>
    <x v="1"/>
    <x v="1"/>
    <x v="1501"/>
    <x v="210"/>
    <x v="1798"/>
    <x v="7"/>
  </r>
  <r>
    <x v="698"/>
    <x v="2"/>
    <x v="120"/>
    <x v="216"/>
    <x v="22"/>
    <x v="0"/>
    <x v="0"/>
    <x v="2"/>
    <x v="4"/>
    <x v="948"/>
    <x v="2"/>
    <x v="34"/>
    <x v="1"/>
    <x v="3"/>
    <x v="1655"/>
    <x v="274"/>
    <x v="1863"/>
    <x v="7"/>
  </r>
  <r>
    <x v="699"/>
    <x v="0"/>
    <x v="120"/>
    <x v="113"/>
    <x v="31"/>
    <x v="2"/>
    <x v="0"/>
    <x v="3"/>
    <x v="3"/>
    <x v="332"/>
    <x v="0"/>
    <x v="12"/>
    <x v="1"/>
    <x v="2"/>
    <x v="587"/>
    <x v="76"/>
    <x v="965"/>
    <x v="7"/>
  </r>
  <r>
    <x v="699"/>
    <x v="1"/>
    <x v="120"/>
    <x v="113"/>
    <x v="71"/>
    <x v="2"/>
    <x v="0"/>
    <x v="3"/>
    <x v="6"/>
    <x v="200"/>
    <x v="0"/>
    <x v="6"/>
    <x v="1"/>
    <x v="1"/>
    <x v="943"/>
    <x v="126"/>
    <x v="1470"/>
    <x v="7"/>
  </r>
  <r>
    <x v="700"/>
    <x v="0"/>
    <x v="142"/>
    <x v="43"/>
    <x v="46"/>
    <x v="0"/>
    <x v="1"/>
    <x v="5"/>
    <x v="1"/>
    <x v="2025"/>
    <x v="1"/>
    <x v="85"/>
    <x v="1"/>
    <x v="1"/>
    <x v="1306"/>
    <x v="223"/>
    <x v="1416"/>
    <x v="7"/>
  </r>
  <r>
    <x v="700"/>
    <x v="1"/>
    <x v="142"/>
    <x v="43"/>
    <x v="35"/>
    <x v="0"/>
    <x v="1"/>
    <x v="5"/>
    <x v="1"/>
    <x v="244"/>
    <x v="2"/>
    <x v="11"/>
    <x v="1"/>
    <x v="0"/>
    <x v="122"/>
    <x v="20"/>
    <x v="231"/>
    <x v="7"/>
  </r>
  <r>
    <x v="700"/>
    <x v="2"/>
    <x v="142"/>
    <x v="43"/>
    <x v="56"/>
    <x v="0"/>
    <x v="1"/>
    <x v="5"/>
    <x v="4"/>
    <x v="821"/>
    <x v="0"/>
    <x v="44"/>
    <x v="1"/>
    <x v="0"/>
    <x v="1625"/>
    <x v="317"/>
    <x v="1418"/>
    <x v="7"/>
  </r>
  <r>
    <x v="701"/>
    <x v="0"/>
    <x v="52"/>
    <x v="205"/>
    <x v="85"/>
    <x v="1"/>
    <x v="0"/>
    <x v="4"/>
    <x v="2"/>
    <x v="1825"/>
    <x v="2"/>
    <x v="88"/>
    <x v="1"/>
    <x v="3"/>
    <x v="1719"/>
    <x v="351"/>
    <x v="1443"/>
    <x v="7"/>
  </r>
  <r>
    <x v="701"/>
    <x v="1"/>
    <x v="52"/>
    <x v="205"/>
    <x v="96"/>
    <x v="1"/>
    <x v="0"/>
    <x v="4"/>
    <x v="1"/>
    <x v="484"/>
    <x v="0"/>
    <x v="22"/>
    <x v="1"/>
    <x v="3"/>
    <x v="289"/>
    <x v="53"/>
    <x v="292"/>
    <x v="7"/>
  </r>
  <r>
    <x v="701"/>
    <x v="2"/>
    <x v="52"/>
    <x v="205"/>
    <x v="14"/>
    <x v="1"/>
    <x v="0"/>
    <x v="4"/>
    <x v="3"/>
    <x v="193"/>
    <x v="0"/>
    <x v="7"/>
    <x v="1"/>
    <x v="2"/>
    <x v="386"/>
    <x v="47"/>
    <x v="789"/>
    <x v="7"/>
  </r>
  <r>
    <x v="702"/>
    <x v="0"/>
    <x v="255"/>
    <x v="212"/>
    <x v="99"/>
    <x v="2"/>
    <x v="2"/>
    <x v="2"/>
    <x v="1"/>
    <x v="1989"/>
    <x v="0"/>
    <x v="80"/>
    <x v="2"/>
    <x v="0"/>
    <x v="1360"/>
    <x v="209"/>
    <x v="1593"/>
    <x v="7"/>
  </r>
  <r>
    <x v="702"/>
    <x v="1"/>
    <x v="255"/>
    <x v="212"/>
    <x v="49"/>
    <x v="2"/>
    <x v="2"/>
    <x v="2"/>
    <x v="1"/>
    <x v="869"/>
    <x v="2"/>
    <x v="45"/>
    <x v="1"/>
    <x v="0"/>
    <x v="517"/>
    <x v="106"/>
    <x v="448"/>
    <x v="7"/>
  </r>
  <r>
    <x v="702"/>
    <x v="2"/>
    <x v="255"/>
    <x v="212"/>
    <x v="92"/>
    <x v="2"/>
    <x v="2"/>
    <x v="2"/>
    <x v="1"/>
    <x v="1461"/>
    <x v="2"/>
    <x v="62"/>
    <x v="1"/>
    <x v="1"/>
    <x v="904"/>
    <x v="161"/>
    <x v="1071"/>
    <x v="7"/>
  </r>
  <r>
    <x v="703"/>
    <x v="0"/>
    <x v="241"/>
    <x v="207"/>
    <x v="87"/>
    <x v="2"/>
    <x v="1"/>
    <x v="6"/>
    <x v="2"/>
    <x v="609"/>
    <x v="0"/>
    <x v="33"/>
    <x v="1"/>
    <x v="2"/>
    <x v="717"/>
    <x v="148"/>
    <x v="575"/>
    <x v="7"/>
  </r>
  <r>
    <x v="703"/>
    <x v="1"/>
    <x v="241"/>
    <x v="207"/>
    <x v="19"/>
    <x v="2"/>
    <x v="1"/>
    <x v="6"/>
    <x v="1"/>
    <x v="392"/>
    <x v="3"/>
    <x v="16"/>
    <x v="1"/>
    <x v="2"/>
    <x v="215"/>
    <x v="38"/>
    <x v="239"/>
    <x v="7"/>
  </r>
  <r>
    <x v="703"/>
    <x v="2"/>
    <x v="241"/>
    <x v="207"/>
    <x v="12"/>
    <x v="2"/>
    <x v="1"/>
    <x v="6"/>
    <x v="2"/>
    <x v="1616"/>
    <x v="1"/>
    <x v="75"/>
    <x v="1"/>
    <x v="3"/>
    <x v="1688"/>
    <x v="314"/>
    <x v="1723"/>
    <x v="7"/>
  </r>
  <r>
    <x v="704"/>
    <x v="0"/>
    <x v="242"/>
    <x v="163"/>
    <x v="95"/>
    <x v="0"/>
    <x v="0"/>
    <x v="9"/>
    <x v="2"/>
    <x v="952"/>
    <x v="4"/>
    <x v="52"/>
    <x v="1"/>
    <x v="0"/>
    <x v="916"/>
    <x v="232"/>
    <x v="33"/>
    <x v="7"/>
  </r>
  <r>
    <x v="705"/>
    <x v="0"/>
    <x v="30"/>
    <x v="242"/>
    <x v="10"/>
    <x v="1"/>
    <x v="1"/>
    <x v="8"/>
    <x v="1"/>
    <x v="367"/>
    <x v="2"/>
    <x v="14"/>
    <x v="1"/>
    <x v="3"/>
    <x v="196"/>
    <x v="31"/>
    <x v="332"/>
    <x v="7"/>
  </r>
  <r>
    <x v="706"/>
    <x v="0"/>
    <x v="72"/>
    <x v="158"/>
    <x v="0"/>
    <x v="0"/>
    <x v="1"/>
    <x v="7"/>
    <x v="1"/>
    <x v="935"/>
    <x v="3"/>
    <x v="32"/>
    <x v="1"/>
    <x v="3"/>
    <x v="541"/>
    <x v="73"/>
    <x v="901"/>
    <x v="7"/>
  </r>
  <r>
    <x v="706"/>
    <x v="1"/>
    <x v="72"/>
    <x v="158"/>
    <x v="95"/>
    <x v="0"/>
    <x v="1"/>
    <x v="7"/>
    <x v="4"/>
    <x v="1045"/>
    <x v="0"/>
    <x v="52"/>
    <x v="1"/>
    <x v="0"/>
    <x v="1788"/>
    <x v="352"/>
    <x v="1746"/>
    <x v="7"/>
  </r>
  <r>
    <x v="706"/>
    <x v="2"/>
    <x v="72"/>
    <x v="158"/>
    <x v="5"/>
    <x v="0"/>
    <x v="1"/>
    <x v="7"/>
    <x v="3"/>
    <x v="727"/>
    <x v="0"/>
    <x v="31"/>
    <x v="2"/>
    <x v="1"/>
    <x v="1259"/>
    <x v="199"/>
    <x v="1535"/>
    <x v="7"/>
  </r>
  <r>
    <x v="706"/>
    <x v="3"/>
    <x v="72"/>
    <x v="158"/>
    <x v="27"/>
    <x v="0"/>
    <x v="1"/>
    <x v="7"/>
    <x v="2"/>
    <x v="1416"/>
    <x v="5"/>
    <x v="61"/>
    <x v="1"/>
    <x v="0"/>
    <x v="324"/>
    <x v="276"/>
    <x v="1"/>
    <x v="2"/>
  </r>
  <r>
    <x v="707"/>
    <x v="0"/>
    <x v="77"/>
    <x v="14"/>
    <x v="54"/>
    <x v="0"/>
    <x v="0"/>
    <x v="7"/>
    <x v="2"/>
    <x v="1256"/>
    <x v="0"/>
    <x v="55"/>
    <x v="1"/>
    <x v="1"/>
    <x v="1530"/>
    <x v="244"/>
    <x v="1712"/>
    <x v="7"/>
  </r>
  <r>
    <x v="707"/>
    <x v="1"/>
    <x v="77"/>
    <x v="14"/>
    <x v="25"/>
    <x v="0"/>
    <x v="0"/>
    <x v="7"/>
    <x v="1"/>
    <x v="2191"/>
    <x v="3"/>
    <x v="72"/>
    <x v="1"/>
    <x v="2"/>
    <x v="1275"/>
    <x v="189"/>
    <x v="1606"/>
    <x v="7"/>
  </r>
  <r>
    <x v="707"/>
    <x v="2"/>
    <x v="77"/>
    <x v="14"/>
    <x v="95"/>
    <x v="0"/>
    <x v="0"/>
    <x v="7"/>
    <x v="6"/>
    <x v="958"/>
    <x v="0"/>
    <x v="52"/>
    <x v="1"/>
    <x v="2"/>
    <x v="2079"/>
    <x v="485"/>
    <x v="1878"/>
    <x v="7"/>
  </r>
  <r>
    <x v="707"/>
    <x v="3"/>
    <x v="77"/>
    <x v="14"/>
    <x v="41"/>
    <x v="0"/>
    <x v="0"/>
    <x v="7"/>
    <x v="2"/>
    <x v="850"/>
    <x v="3"/>
    <x v="35"/>
    <x v="1"/>
    <x v="2"/>
    <x v="873"/>
    <x v="163"/>
    <x v="937"/>
    <x v="7"/>
  </r>
  <r>
    <x v="708"/>
    <x v="0"/>
    <x v="136"/>
    <x v="177"/>
    <x v="69"/>
    <x v="1"/>
    <x v="2"/>
    <x v="1"/>
    <x v="1"/>
    <x v="145"/>
    <x v="3"/>
    <x v="10"/>
    <x v="1"/>
    <x v="3"/>
    <x v="59"/>
    <x v="18"/>
    <x v="61"/>
    <x v="7"/>
  </r>
  <r>
    <x v="708"/>
    <x v="1"/>
    <x v="136"/>
    <x v="177"/>
    <x v="29"/>
    <x v="1"/>
    <x v="2"/>
    <x v="1"/>
    <x v="1"/>
    <x v="2222"/>
    <x v="0"/>
    <x v="97"/>
    <x v="1"/>
    <x v="3"/>
    <x v="1482"/>
    <x v="269"/>
    <x v="1359"/>
    <x v="7"/>
  </r>
  <r>
    <x v="708"/>
    <x v="2"/>
    <x v="136"/>
    <x v="177"/>
    <x v="32"/>
    <x v="1"/>
    <x v="2"/>
    <x v="1"/>
    <x v="2"/>
    <x v="1123"/>
    <x v="0"/>
    <x v="50"/>
    <x v="1"/>
    <x v="0"/>
    <x v="1392"/>
    <x v="221"/>
    <x v="1616"/>
    <x v="7"/>
  </r>
  <r>
    <x v="709"/>
    <x v="0"/>
    <x v="208"/>
    <x v="8"/>
    <x v="17"/>
    <x v="0"/>
    <x v="2"/>
    <x v="1"/>
    <x v="2"/>
    <x v="2215"/>
    <x v="3"/>
    <x v="92"/>
    <x v="1"/>
    <x v="2"/>
    <x v="1810"/>
    <x v="368"/>
    <x v="1700"/>
    <x v="7"/>
  </r>
  <r>
    <x v="709"/>
    <x v="1"/>
    <x v="208"/>
    <x v="8"/>
    <x v="25"/>
    <x v="0"/>
    <x v="2"/>
    <x v="1"/>
    <x v="2"/>
    <x v="2082"/>
    <x v="0"/>
    <x v="72"/>
    <x v="1"/>
    <x v="0"/>
    <x v="1875"/>
    <x v="306"/>
    <x v="2075"/>
    <x v="7"/>
  </r>
  <r>
    <x v="710"/>
    <x v="0"/>
    <x v="40"/>
    <x v="229"/>
    <x v="38"/>
    <x v="3"/>
    <x v="1"/>
    <x v="4"/>
    <x v="1"/>
    <x v="1060"/>
    <x v="4"/>
    <x v="39"/>
    <x v="1"/>
    <x v="0"/>
    <x v="595"/>
    <x v="94"/>
    <x v="864"/>
    <x v="7"/>
  </r>
  <r>
    <x v="710"/>
    <x v="1"/>
    <x v="40"/>
    <x v="229"/>
    <x v="52"/>
    <x v="3"/>
    <x v="1"/>
    <x v="4"/>
    <x v="1"/>
    <x v="1003"/>
    <x v="2"/>
    <x v="40"/>
    <x v="1"/>
    <x v="2"/>
    <x v="611"/>
    <x v="95"/>
    <x v="918"/>
    <x v="7"/>
  </r>
  <r>
    <x v="710"/>
    <x v="2"/>
    <x v="40"/>
    <x v="229"/>
    <x v="78"/>
    <x v="3"/>
    <x v="1"/>
    <x v="4"/>
    <x v="1"/>
    <x v="551"/>
    <x v="4"/>
    <x v="20"/>
    <x v="1"/>
    <x v="2"/>
    <x v="276"/>
    <x v="48"/>
    <x v="397"/>
    <x v="7"/>
  </r>
  <r>
    <x v="711"/>
    <x v="0"/>
    <x v="231"/>
    <x v="146"/>
    <x v="13"/>
    <x v="1"/>
    <x v="0"/>
    <x v="1"/>
    <x v="4"/>
    <x v="1286"/>
    <x v="1"/>
    <x v="70"/>
    <x v="1"/>
    <x v="0"/>
    <x v="1927"/>
    <x v="432"/>
    <x v="1406"/>
    <x v="7"/>
  </r>
  <r>
    <x v="711"/>
    <x v="1"/>
    <x v="231"/>
    <x v="146"/>
    <x v="98"/>
    <x v="1"/>
    <x v="0"/>
    <x v="1"/>
    <x v="1"/>
    <x v="1196"/>
    <x v="0"/>
    <x v="65"/>
    <x v="1"/>
    <x v="1"/>
    <x v="801"/>
    <x v="169"/>
    <x v="543"/>
    <x v="7"/>
  </r>
  <r>
    <x v="712"/>
    <x v="0"/>
    <x v="90"/>
    <x v="164"/>
    <x v="54"/>
    <x v="3"/>
    <x v="0"/>
    <x v="2"/>
    <x v="2"/>
    <x v="1266"/>
    <x v="0"/>
    <x v="55"/>
    <x v="2"/>
    <x v="3"/>
    <x v="1535"/>
    <x v="244"/>
    <x v="1729"/>
    <x v="7"/>
  </r>
  <r>
    <x v="712"/>
    <x v="1"/>
    <x v="90"/>
    <x v="164"/>
    <x v="93"/>
    <x v="3"/>
    <x v="0"/>
    <x v="2"/>
    <x v="6"/>
    <x v="408"/>
    <x v="0"/>
    <x v="24"/>
    <x v="1"/>
    <x v="3"/>
    <x v="1597"/>
    <x v="330"/>
    <x v="855"/>
    <x v="7"/>
  </r>
  <r>
    <x v="712"/>
    <x v="2"/>
    <x v="90"/>
    <x v="164"/>
    <x v="66"/>
    <x v="3"/>
    <x v="0"/>
    <x v="2"/>
    <x v="1"/>
    <x v="465"/>
    <x v="0"/>
    <x v="21"/>
    <x v="1"/>
    <x v="1"/>
    <x v="281"/>
    <x v="49"/>
    <x v="399"/>
    <x v="7"/>
  </r>
  <r>
    <x v="713"/>
    <x v="0"/>
    <x v="99"/>
    <x v="56"/>
    <x v="16"/>
    <x v="2"/>
    <x v="1"/>
    <x v="8"/>
    <x v="2"/>
    <x v="1362"/>
    <x v="0"/>
    <x v="51"/>
    <x v="1"/>
    <x v="1"/>
    <x v="1581"/>
    <x v="230"/>
    <x v="1880"/>
    <x v="7"/>
  </r>
  <r>
    <x v="714"/>
    <x v="0"/>
    <x v="41"/>
    <x v="10"/>
    <x v="49"/>
    <x v="0"/>
    <x v="1"/>
    <x v="8"/>
    <x v="6"/>
    <x v="915"/>
    <x v="0"/>
    <x v="45"/>
    <x v="1"/>
    <x v="0"/>
    <x v="2060"/>
    <x v="452"/>
    <x v="2041"/>
    <x v="7"/>
  </r>
  <r>
    <x v="715"/>
    <x v="0"/>
    <x v="113"/>
    <x v="138"/>
    <x v="85"/>
    <x v="2"/>
    <x v="0"/>
    <x v="5"/>
    <x v="2"/>
    <x v="1796"/>
    <x v="0"/>
    <x v="88"/>
    <x v="1"/>
    <x v="2"/>
    <x v="1782"/>
    <x v="351"/>
    <x v="1726"/>
    <x v="7"/>
  </r>
  <r>
    <x v="715"/>
    <x v="1"/>
    <x v="113"/>
    <x v="138"/>
    <x v="14"/>
    <x v="2"/>
    <x v="0"/>
    <x v="5"/>
    <x v="1"/>
    <x v="180"/>
    <x v="4"/>
    <x v="7"/>
    <x v="1"/>
    <x v="3"/>
    <x v="65"/>
    <x v="11"/>
    <x v="174"/>
    <x v="7"/>
  </r>
  <r>
    <x v="716"/>
    <x v="0"/>
    <x v="129"/>
    <x v="78"/>
    <x v="30"/>
    <x v="0"/>
    <x v="0"/>
    <x v="9"/>
    <x v="1"/>
    <x v="276"/>
    <x v="1"/>
    <x v="13"/>
    <x v="1"/>
    <x v="1"/>
    <x v="151"/>
    <x v="24"/>
    <x v="242"/>
    <x v="7"/>
  </r>
  <r>
    <x v="717"/>
    <x v="0"/>
    <x v="180"/>
    <x v="137"/>
    <x v="83"/>
    <x v="3"/>
    <x v="1"/>
    <x v="0"/>
    <x v="1"/>
    <x v="115"/>
    <x v="3"/>
    <x v="8"/>
    <x v="1"/>
    <x v="3"/>
    <x v="50"/>
    <x v="12"/>
    <x v="80"/>
    <x v="7"/>
  </r>
  <r>
    <x v="717"/>
    <x v="1"/>
    <x v="180"/>
    <x v="137"/>
    <x v="56"/>
    <x v="3"/>
    <x v="1"/>
    <x v="0"/>
    <x v="3"/>
    <x v="781"/>
    <x v="4"/>
    <x v="44"/>
    <x v="1"/>
    <x v="2"/>
    <x v="1095"/>
    <x v="267"/>
    <x v="20"/>
    <x v="7"/>
  </r>
  <r>
    <x v="717"/>
    <x v="2"/>
    <x v="180"/>
    <x v="137"/>
    <x v="51"/>
    <x v="3"/>
    <x v="1"/>
    <x v="0"/>
    <x v="4"/>
    <x v="1293"/>
    <x v="4"/>
    <x v="53"/>
    <x v="1"/>
    <x v="1"/>
    <x v="1830"/>
    <x v="361"/>
    <x v="1800"/>
    <x v="7"/>
  </r>
  <r>
    <x v="717"/>
    <x v="3"/>
    <x v="180"/>
    <x v="137"/>
    <x v="19"/>
    <x v="3"/>
    <x v="1"/>
    <x v="0"/>
    <x v="2"/>
    <x v="492"/>
    <x v="2"/>
    <x v="16"/>
    <x v="1"/>
    <x v="2"/>
    <x v="518"/>
    <x v="80"/>
    <x v="782"/>
    <x v="7"/>
  </r>
  <r>
    <x v="717"/>
    <x v="4"/>
    <x v="180"/>
    <x v="137"/>
    <x v="34"/>
    <x v="3"/>
    <x v="1"/>
    <x v="0"/>
    <x v="4"/>
    <x v="1308"/>
    <x v="1"/>
    <x v="58"/>
    <x v="1"/>
    <x v="0"/>
    <x v="1934"/>
    <x v="393"/>
    <x v="1926"/>
    <x v="7"/>
  </r>
  <r>
    <x v="718"/>
    <x v="0"/>
    <x v="212"/>
    <x v="31"/>
    <x v="63"/>
    <x v="0"/>
    <x v="0"/>
    <x v="0"/>
    <x v="2"/>
    <x v="2277"/>
    <x v="0"/>
    <x v="98"/>
    <x v="1"/>
    <x v="0"/>
    <x v="1947"/>
    <x v="400"/>
    <x v="1934"/>
    <x v="7"/>
  </r>
  <r>
    <x v="718"/>
    <x v="1"/>
    <x v="212"/>
    <x v="31"/>
    <x v="45"/>
    <x v="0"/>
    <x v="0"/>
    <x v="0"/>
    <x v="1"/>
    <x v="9"/>
    <x v="1"/>
    <x v="0"/>
    <x v="1"/>
    <x v="1"/>
    <x v="6"/>
    <x v="1"/>
    <x v="65"/>
    <x v="7"/>
  </r>
  <r>
    <x v="719"/>
    <x v="0"/>
    <x v="64"/>
    <x v="154"/>
    <x v="27"/>
    <x v="0"/>
    <x v="0"/>
    <x v="2"/>
    <x v="3"/>
    <x v="1479"/>
    <x v="4"/>
    <x v="61"/>
    <x v="1"/>
    <x v="0"/>
    <x v="1756"/>
    <x v="347"/>
    <x v="1649"/>
    <x v="7"/>
  </r>
  <r>
    <x v="719"/>
    <x v="1"/>
    <x v="64"/>
    <x v="154"/>
    <x v="74"/>
    <x v="0"/>
    <x v="0"/>
    <x v="2"/>
    <x v="6"/>
    <x v="1873"/>
    <x v="1"/>
    <x v="90"/>
    <x v="1"/>
    <x v="2"/>
    <x v="2256"/>
    <x v="549"/>
    <x v="2198"/>
    <x v="7"/>
  </r>
  <r>
    <x v="719"/>
    <x v="2"/>
    <x v="64"/>
    <x v="154"/>
    <x v="24"/>
    <x v="0"/>
    <x v="0"/>
    <x v="2"/>
    <x v="1"/>
    <x v="615"/>
    <x v="1"/>
    <x v="19"/>
    <x v="1"/>
    <x v="1"/>
    <x v="357"/>
    <x v="43"/>
    <x v="760"/>
    <x v="7"/>
  </r>
  <r>
    <x v="720"/>
    <x v="0"/>
    <x v="166"/>
    <x v="55"/>
    <x v="22"/>
    <x v="0"/>
    <x v="0"/>
    <x v="7"/>
    <x v="6"/>
    <x v="814"/>
    <x v="0"/>
    <x v="34"/>
    <x v="1"/>
    <x v="2"/>
    <x v="2016"/>
    <x v="403"/>
    <x v="2090"/>
    <x v="7"/>
  </r>
  <r>
    <x v="720"/>
    <x v="1"/>
    <x v="166"/>
    <x v="55"/>
    <x v="28"/>
    <x v="0"/>
    <x v="0"/>
    <x v="7"/>
    <x v="5"/>
    <x v="95"/>
    <x v="0"/>
    <x v="2"/>
    <x v="0"/>
    <x v="2"/>
    <x v="364"/>
    <x v="42"/>
    <x v="778"/>
    <x v="7"/>
  </r>
  <r>
    <x v="720"/>
    <x v="2"/>
    <x v="166"/>
    <x v="55"/>
    <x v="79"/>
    <x v="0"/>
    <x v="0"/>
    <x v="7"/>
    <x v="1"/>
    <x v="1532"/>
    <x v="4"/>
    <x v="64"/>
    <x v="1"/>
    <x v="2"/>
    <x v="871"/>
    <x v="168"/>
    <x v="862"/>
    <x v="7"/>
  </r>
  <r>
    <x v="720"/>
    <x v="3"/>
    <x v="166"/>
    <x v="55"/>
    <x v="44"/>
    <x v="0"/>
    <x v="0"/>
    <x v="7"/>
    <x v="6"/>
    <x v="1403"/>
    <x v="1"/>
    <x v="57"/>
    <x v="1"/>
    <x v="3"/>
    <x v="2213"/>
    <x v="505"/>
    <x v="2237"/>
    <x v="7"/>
  </r>
  <r>
    <x v="720"/>
    <x v="4"/>
    <x v="166"/>
    <x v="55"/>
    <x v="82"/>
    <x v="0"/>
    <x v="0"/>
    <x v="7"/>
    <x v="1"/>
    <x v="1745"/>
    <x v="0"/>
    <x v="96"/>
    <x v="1"/>
    <x v="2"/>
    <x v="1220"/>
    <x v="259"/>
    <x v="816"/>
    <x v="7"/>
  </r>
  <r>
    <x v="721"/>
    <x v="0"/>
    <x v="163"/>
    <x v="62"/>
    <x v="4"/>
    <x v="2"/>
    <x v="1"/>
    <x v="9"/>
    <x v="2"/>
    <x v="2168"/>
    <x v="1"/>
    <x v="94"/>
    <x v="1"/>
    <x v="1"/>
    <x v="1867"/>
    <x v="373"/>
    <x v="1852"/>
    <x v="7"/>
  </r>
  <r>
    <x v="721"/>
    <x v="1"/>
    <x v="163"/>
    <x v="62"/>
    <x v="34"/>
    <x v="2"/>
    <x v="1"/>
    <x v="9"/>
    <x v="2"/>
    <x v="1238"/>
    <x v="1"/>
    <x v="58"/>
    <x v="1"/>
    <x v="1"/>
    <x v="1471"/>
    <x v="266"/>
    <x v="1340"/>
    <x v="7"/>
  </r>
  <r>
    <x v="721"/>
    <x v="2"/>
    <x v="163"/>
    <x v="62"/>
    <x v="62"/>
    <x v="2"/>
    <x v="1"/>
    <x v="9"/>
    <x v="2"/>
    <x v="1452"/>
    <x v="0"/>
    <x v="67"/>
    <x v="2"/>
    <x v="1"/>
    <x v="1631"/>
    <x v="294"/>
    <x v="1671"/>
    <x v="7"/>
  </r>
  <r>
    <x v="721"/>
    <x v="3"/>
    <x v="163"/>
    <x v="62"/>
    <x v="58"/>
    <x v="2"/>
    <x v="1"/>
    <x v="9"/>
    <x v="3"/>
    <x v="2106"/>
    <x v="0"/>
    <x v="99"/>
    <x v="1"/>
    <x v="1"/>
    <x v="2056"/>
    <x v="478"/>
    <x v="1842"/>
    <x v="7"/>
  </r>
  <r>
    <x v="722"/>
    <x v="0"/>
    <x v="135"/>
    <x v="216"/>
    <x v="39"/>
    <x v="1"/>
    <x v="2"/>
    <x v="1"/>
    <x v="3"/>
    <x v="1787"/>
    <x v="4"/>
    <x v="93"/>
    <x v="1"/>
    <x v="1"/>
    <x v="1908"/>
    <x v="447"/>
    <x v="43"/>
    <x v="7"/>
  </r>
  <r>
    <x v="722"/>
    <x v="1"/>
    <x v="135"/>
    <x v="216"/>
    <x v="91"/>
    <x v="1"/>
    <x v="2"/>
    <x v="1"/>
    <x v="2"/>
    <x v="2246"/>
    <x v="0"/>
    <x v="81"/>
    <x v="2"/>
    <x v="0"/>
    <x v="1919"/>
    <x v="331"/>
    <x v="2100"/>
    <x v="7"/>
  </r>
  <r>
    <x v="722"/>
    <x v="2"/>
    <x v="135"/>
    <x v="216"/>
    <x v="86"/>
    <x v="1"/>
    <x v="2"/>
    <x v="1"/>
    <x v="3"/>
    <x v="1766"/>
    <x v="0"/>
    <x v="79"/>
    <x v="1"/>
    <x v="1"/>
    <x v="1994"/>
    <x v="408"/>
    <x v="2040"/>
    <x v="7"/>
  </r>
  <r>
    <x v="723"/>
    <x v="0"/>
    <x v="87"/>
    <x v="165"/>
    <x v="83"/>
    <x v="0"/>
    <x v="2"/>
    <x v="2"/>
    <x v="2"/>
    <x v="134"/>
    <x v="1"/>
    <x v="8"/>
    <x v="1"/>
    <x v="2"/>
    <x v="204"/>
    <x v="32"/>
    <x v="323"/>
    <x v="7"/>
  </r>
  <r>
    <x v="723"/>
    <x v="1"/>
    <x v="87"/>
    <x v="165"/>
    <x v="67"/>
    <x v="0"/>
    <x v="2"/>
    <x v="2"/>
    <x v="1"/>
    <x v="1072"/>
    <x v="0"/>
    <x v="43"/>
    <x v="1"/>
    <x v="1"/>
    <x v="721"/>
    <x v="103"/>
    <x v="1127"/>
    <x v="7"/>
  </r>
  <r>
    <x v="724"/>
    <x v="0"/>
    <x v="123"/>
    <x v="221"/>
    <x v="96"/>
    <x v="0"/>
    <x v="1"/>
    <x v="2"/>
    <x v="2"/>
    <x v="446"/>
    <x v="1"/>
    <x v="22"/>
    <x v="1"/>
    <x v="1"/>
    <x v="509"/>
    <x v="110"/>
    <x v="317"/>
    <x v="7"/>
  </r>
  <r>
    <x v="724"/>
    <x v="1"/>
    <x v="123"/>
    <x v="221"/>
    <x v="41"/>
    <x v="0"/>
    <x v="1"/>
    <x v="2"/>
    <x v="3"/>
    <x v="855"/>
    <x v="0"/>
    <x v="35"/>
    <x v="1"/>
    <x v="3"/>
    <x v="1455"/>
    <x v="237"/>
    <x v="1598"/>
    <x v="7"/>
  </r>
  <r>
    <x v="724"/>
    <x v="2"/>
    <x v="123"/>
    <x v="221"/>
    <x v="63"/>
    <x v="0"/>
    <x v="1"/>
    <x v="2"/>
    <x v="4"/>
    <x v="2231"/>
    <x v="3"/>
    <x v="98"/>
    <x v="1"/>
    <x v="2"/>
    <x v="2131"/>
    <x v="515"/>
    <x v="1693"/>
    <x v="7"/>
  </r>
  <r>
    <x v="725"/>
    <x v="0"/>
    <x v="61"/>
    <x v="232"/>
    <x v="40"/>
    <x v="2"/>
    <x v="0"/>
    <x v="8"/>
    <x v="3"/>
    <x v="1664"/>
    <x v="0"/>
    <x v="63"/>
    <x v="1"/>
    <x v="0"/>
    <x v="1970"/>
    <x v="360"/>
    <x v="2116"/>
    <x v="7"/>
  </r>
  <r>
    <x v="726"/>
    <x v="0"/>
    <x v="201"/>
    <x v="29"/>
    <x v="91"/>
    <x v="0"/>
    <x v="1"/>
    <x v="2"/>
    <x v="3"/>
    <x v="2208"/>
    <x v="3"/>
    <x v="81"/>
    <x v="1"/>
    <x v="1"/>
    <x v="2018"/>
    <x v="410"/>
    <x v="2072"/>
    <x v="7"/>
  </r>
  <r>
    <x v="726"/>
    <x v="1"/>
    <x v="201"/>
    <x v="29"/>
    <x v="93"/>
    <x v="0"/>
    <x v="1"/>
    <x v="2"/>
    <x v="2"/>
    <x v="486"/>
    <x v="3"/>
    <x v="24"/>
    <x v="1"/>
    <x v="3"/>
    <x v="477"/>
    <x v="113"/>
    <x v="108"/>
    <x v="7"/>
  </r>
  <r>
    <x v="727"/>
    <x v="0"/>
    <x v="165"/>
    <x v="76"/>
    <x v="19"/>
    <x v="1"/>
    <x v="0"/>
    <x v="2"/>
    <x v="1"/>
    <x v="404"/>
    <x v="2"/>
    <x v="16"/>
    <x v="1"/>
    <x v="0"/>
    <x v="232"/>
    <x v="38"/>
    <x v="372"/>
    <x v="7"/>
  </r>
  <r>
    <x v="727"/>
    <x v="1"/>
    <x v="165"/>
    <x v="76"/>
    <x v="18"/>
    <x v="1"/>
    <x v="0"/>
    <x v="2"/>
    <x v="2"/>
    <x v="1545"/>
    <x v="0"/>
    <x v="59"/>
    <x v="1"/>
    <x v="1"/>
    <x v="1683"/>
    <x v="268"/>
    <x v="1947"/>
    <x v="7"/>
  </r>
  <r>
    <x v="728"/>
    <x v="0"/>
    <x v="256"/>
    <x v="50"/>
    <x v="32"/>
    <x v="0"/>
    <x v="0"/>
    <x v="6"/>
    <x v="2"/>
    <x v="1294"/>
    <x v="0"/>
    <x v="50"/>
    <x v="0"/>
    <x v="1"/>
    <x v="1547"/>
    <x v="221"/>
    <x v="1871"/>
    <x v="7"/>
  </r>
  <r>
    <x v="729"/>
    <x v="0"/>
    <x v="32"/>
    <x v="167"/>
    <x v="80"/>
    <x v="0"/>
    <x v="1"/>
    <x v="3"/>
    <x v="2"/>
    <x v="1079"/>
    <x v="2"/>
    <x v="56"/>
    <x v="1"/>
    <x v="1"/>
    <x v="1199"/>
    <x v="256"/>
    <x v="799"/>
    <x v="7"/>
  </r>
  <r>
    <x v="730"/>
    <x v="0"/>
    <x v="128"/>
    <x v="145"/>
    <x v="8"/>
    <x v="3"/>
    <x v="0"/>
    <x v="6"/>
    <x v="1"/>
    <x v="671"/>
    <x v="2"/>
    <x v="28"/>
    <x v="1"/>
    <x v="3"/>
    <x v="390"/>
    <x v="64"/>
    <x v="589"/>
    <x v="7"/>
  </r>
  <r>
    <x v="730"/>
    <x v="1"/>
    <x v="128"/>
    <x v="145"/>
    <x v="40"/>
    <x v="3"/>
    <x v="0"/>
    <x v="6"/>
    <x v="4"/>
    <x v="1637"/>
    <x v="4"/>
    <x v="63"/>
    <x v="2"/>
    <x v="2"/>
    <x v="1991"/>
    <x v="417"/>
    <x v="1989"/>
    <x v="7"/>
  </r>
  <r>
    <x v="731"/>
    <x v="0"/>
    <x v="203"/>
    <x v="107"/>
    <x v="92"/>
    <x v="2"/>
    <x v="2"/>
    <x v="8"/>
    <x v="2"/>
    <x v="1624"/>
    <x v="0"/>
    <x v="62"/>
    <x v="1"/>
    <x v="2"/>
    <x v="1714"/>
    <x v="279"/>
    <x v="1962"/>
    <x v="7"/>
  </r>
  <r>
    <x v="731"/>
    <x v="1"/>
    <x v="203"/>
    <x v="107"/>
    <x v="35"/>
    <x v="2"/>
    <x v="2"/>
    <x v="8"/>
    <x v="4"/>
    <x v="235"/>
    <x v="0"/>
    <x v="11"/>
    <x v="1"/>
    <x v="0"/>
    <x v="602"/>
    <x v="96"/>
    <x v="859"/>
    <x v="7"/>
  </r>
  <r>
    <x v="732"/>
    <x v="0"/>
    <x v="188"/>
    <x v="149"/>
    <x v="33"/>
    <x v="2"/>
    <x v="1"/>
    <x v="1"/>
    <x v="2"/>
    <x v="607"/>
    <x v="0"/>
    <x v="29"/>
    <x v="1"/>
    <x v="3"/>
    <x v="716"/>
    <x v="135"/>
    <x v="837"/>
    <x v="7"/>
  </r>
  <r>
    <x v="733"/>
    <x v="0"/>
    <x v="245"/>
    <x v="142"/>
    <x v="49"/>
    <x v="2"/>
    <x v="2"/>
    <x v="6"/>
    <x v="5"/>
    <x v="927"/>
    <x v="0"/>
    <x v="45"/>
    <x v="1"/>
    <x v="3"/>
    <x v="1851"/>
    <x v="362"/>
    <x v="1864"/>
    <x v="7"/>
  </r>
  <r>
    <x v="733"/>
    <x v="1"/>
    <x v="245"/>
    <x v="142"/>
    <x v="32"/>
    <x v="2"/>
    <x v="2"/>
    <x v="6"/>
    <x v="1"/>
    <x v="1217"/>
    <x v="0"/>
    <x v="50"/>
    <x v="1"/>
    <x v="0"/>
    <x v="811"/>
    <x v="119"/>
    <x v="1272"/>
    <x v="7"/>
  </r>
  <r>
    <x v="734"/>
    <x v="0"/>
    <x v="97"/>
    <x v="120"/>
    <x v="76"/>
    <x v="1"/>
    <x v="0"/>
    <x v="2"/>
    <x v="4"/>
    <x v="865"/>
    <x v="0"/>
    <x v="36"/>
    <x v="1"/>
    <x v="1"/>
    <x v="1657"/>
    <x v="285"/>
    <x v="1817"/>
    <x v="7"/>
  </r>
  <r>
    <x v="735"/>
    <x v="0"/>
    <x v="79"/>
    <x v="202"/>
    <x v="72"/>
    <x v="3"/>
    <x v="2"/>
    <x v="3"/>
    <x v="2"/>
    <x v="1165"/>
    <x v="0"/>
    <x v="66"/>
    <x v="2"/>
    <x v="3"/>
    <x v="1440"/>
    <x v="290"/>
    <x v="723"/>
    <x v="7"/>
  </r>
  <r>
    <x v="735"/>
    <x v="1"/>
    <x v="79"/>
    <x v="202"/>
    <x v="94"/>
    <x v="3"/>
    <x v="2"/>
    <x v="3"/>
    <x v="3"/>
    <x v="1716"/>
    <x v="0"/>
    <x v="71"/>
    <x v="1"/>
    <x v="2"/>
    <x v="1982"/>
    <x v="386"/>
    <x v="2098"/>
    <x v="7"/>
  </r>
  <r>
    <x v="735"/>
    <x v="2"/>
    <x v="79"/>
    <x v="202"/>
    <x v="19"/>
    <x v="3"/>
    <x v="2"/>
    <x v="3"/>
    <x v="1"/>
    <x v="443"/>
    <x v="0"/>
    <x v="16"/>
    <x v="1"/>
    <x v="1"/>
    <x v="272"/>
    <x v="38"/>
    <x v="527"/>
    <x v="7"/>
  </r>
  <r>
    <x v="735"/>
    <x v="3"/>
    <x v="79"/>
    <x v="202"/>
    <x v="86"/>
    <x v="3"/>
    <x v="2"/>
    <x v="3"/>
    <x v="2"/>
    <x v="1903"/>
    <x v="0"/>
    <x v="79"/>
    <x v="1"/>
    <x v="2"/>
    <x v="1821"/>
    <x v="328"/>
    <x v="1948"/>
    <x v="7"/>
  </r>
  <r>
    <x v="735"/>
    <x v="4"/>
    <x v="79"/>
    <x v="202"/>
    <x v="4"/>
    <x v="3"/>
    <x v="2"/>
    <x v="3"/>
    <x v="3"/>
    <x v="1805"/>
    <x v="0"/>
    <x v="94"/>
    <x v="1"/>
    <x v="1"/>
    <x v="2005"/>
    <x v="448"/>
    <x v="1808"/>
    <x v="7"/>
  </r>
  <r>
    <x v="736"/>
    <x v="0"/>
    <x v="158"/>
    <x v="130"/>
    <x v="86"/>
    <x v="0"/>
    <x v="0"/>
    <x v="8"/>
    <x v="1"/>
    <x v="1640"/>
    <x v="1"/>
    <x v="79"/>
    <x v="1"/>
    <x v="0"/>
    <x v="1101"/>
    <x v="208"/>
    <x v="1085"/>
    <x v="7"/>
  </r>
  <r>
    <x v="736"/>
    <x v="1"/>
    <x v="158"/>
    <x v="130"/>
    <x v="16"/>
    <x v="0"/>
    <x v="0"/>
    <x v="8"/>
    <x v="2"/>
    <x v="1391"/>
    <x v="0"/>
    <x v="51"/>
    <x v="1"/>
    <x v="2"/>
    <x v="1600"/>
    <x v="230"/>
    <x v="1917"/>
    <x v="7"/>
  </r>
  <r>
    <x v="737"/>
    <x v="0"/>
    <x v="193"/>
    <x v="251"/>
    <x v="57"/>
    <x v="0"/>
    <x v="2"/>
    <x v="0"/>
    <x v="1"/>
    <x v="638"/>
    <x v="0"/>
    <x v="25"/>
    <x v="1"/>
    <x v="0"/>
    <x v="410"/>
    <x v="58"/>
    <x v="711"/>
    <x v="7"/>
  </r>
  <r>
    <x v="737"/>
    <x v="1"/>
    <x v="193"/>
    <x v="251"/>
    <x v="43"/>
    <x v="0"/>
    <x v="2"/>
    <x v="0"/>
    <x v="2"/>
    <x v="44"/>
    <x v="2"/>
    <x v="1"/>
    <x v="1"/>
    <x v="0"/>
    <x v="62"/>
    <x v="8"/>
    <x v="213"/>
    <x v="7"/>
  </r>
  <r>
    <x v="737"/>
    <x v="2"/>
    <x v="193"/>
    <x v="251"/>
    <x v="64"/>
    <x v="0"/>
    <x v="2"/>
    <x v="0"/>
    <x v="1"/>
    <x v="1579"/>
    <x v="0"/>
    <x v="69"/>
    <x v="1"/>
    <x v="2"/>
    <x v="1105"/>
    <x v="179"/>
    <x v="1370"/>
    <x v="7"/>
  </r>
  <r>
    <x v="738"/>
    <x v="0"/>
    <x v="229"/>
    <x v="185"/>
    <x v="27"/>
    <x v="3"/>
    <x v="2"/>
    <x v="8"/>
    <x v="1"/>
    <x v="1421"/>
    <x v="4"/>
    <x v="61"/>
    <x v="2"/>
    <x v="3"/>
    <x v="802"/>
    <x v="156"/>
    <x v="755"/>
    <x v="7"/>
  </r>
  <r>
    <x v="738"/>
    <x v="1"/>
    <x v="229"/>
    <x v="185"/>
    <x v="32"/>
    <x v="3"/>
    <x v="2"/>
    <x v="8"/>
    <x v="2"/>
    <x v="1257"/>
    <x v="0"/>
    <x v="50"/>
    <x v="2"/>
    <x v="3"/>
    <x v="1532"/>
    <x v="221"/>
    <x v="1839"/>
    <x v="7"/>
  </r>
  <r>
    <x v="738"/>
    <x v="2"/>
    <x v="229"/>
    <x v="185"/>
    <x v="8"/>
    <x v="3"/>
    <x v="2"/>
    <x v="8"/>
    <x v="7"/>
    <x v="736"/>
    <x v="0"/>
    <x v="28"/>
    <x v="1"/>
    <x v="1"/>
    <x v="2122"/>
    <x v="440"/>
    <x v="2207"/>
    <x v="7"/>
  </r>
  <r>
    <x v="739"/>
    <x v="0"/>
    <x v="216"/>
    <x v="2"/>
    <x v="17"/>
    <x v="1"/>
    <x v="1"/>
    <x v="1"/>
    <x v="2"/>
    <x v="2175"/>
    <x v="2"/>
    <x v="92"/>
    <x v="1"/>
    <x v="1"/>
    <x v="1828"/>
    <x v="368"/>
    <x v="1760"/>
    <x v="7"/>
  </r>
  <r>
    <x v="739"/>
    <x v="1"/>
    <x v="216"/>
    <x v="2"/>
    <x v="2"/>
    <x v="1"/>
    <x v="1"/>
    <x v="1"/>
    <x v="2"/>
    <x v="804"/>
    <x v="0"/>
    <x v="48"/>
    <x v="1"/>
    <x v="2"/>
    <x v="961"/>
    <x v="216"/>
    <x v="625"/>
    <x v="7"/>
  </r>
  <r>
    <x v="739"/>
    <x v="2"/>
    <x v="216"/>
    <x v="2"/>
    <x v="69"/>
    <x v="1"/>
    <x v="1"/>
    <x v="1"/>
    <x v="5"/>
    <x v="138"/>
    <x v="0"/>
    <x v="10"/>
    <x v="1"/>
    <x v="3"/>
    <x v="544"/>
    <x v="107"/>
    <x v="518"/>
    <x v="7"/>
  </r>
  <r>
    <x v="740"/>
    <x v="0"/>
    <x v="140"/>
    <x v="216"/>
    <x v="4"/>
    <x v="1"/>
    <x v="2"/>
    <x v="1"/>
    <x v="1"/>
    <x v="1992"/>
    <x v="2"/>
    <x v="94"/>
    <x v="1"/>
    <x v="3"/>
    <x v="1224"/>
    <x v="249"/>
    <x v="953"/>
    <x v="7"/>
  </r>
  <r>
    <x v="740"/>
    <x v="1"/>
    <x v="140"/>
    <x v="216"/>
    <x v="36"/>
    <x v="1"/>
    <x v="2"/>
    <x v="1"/>
    <x v="1"/>
    <x v="2196"/>
    <x v="0"/>
    <x v="91"/>
    <x v="1"/>
    <x v="1"/>
    <x v="1461"/>
    <x v="241"/>
    <x v="1586"/>
    <x v="7"/>
  </r>
  <r>
    <x v="741"/>
    <x v="0"/>
    <x v="207"/>
    <x v="208"/>
    <x v="79"/>
    <x v="3"/>
    <x v="0"/>
    <x v="8"/>
    <x v="6"/>
    <x v="1606"/>
    <x v="0"/>
    <x v="64"/>
    <x v="1"/>
    <x v="3"/>
    <x v="2236"/>
    <x v="528"/>
    <x v="2263"/>
    <x v="7"/>
  </r>
  <r>
    <x v="741"/>
    <x v="1"/>
    <x v="207"/>
    <x v="208"/>
    <x v="36"/>
    <x v="3"/>
    <x v="0"/>
    <x v="8"/>
    <x v="3"/>
    <x v="2236"/>
    <x v="0"/>
    <x v="91"/>
    <x v="1"/>
    <x v="3"/>
    <x v="2088"/>
    <x v="442"/>
    <x v="2151"/>
    <x v="7"/>
  </r>
  <r>
    <x v="741"/>
    <x v="2"/>
    <x v="207"/>
    <x v="208"/>
    <x v="25"/>
    <x v="3"/>
    <x v="0"/>
    <x v="8"/>
    <x v="3"/>
    <x v="2172"/>
    <x v="0"/>
    <x v="72"/>
    <x v="1"/>
    <x v="2"/>
    <x v="2071"/>
    <x v="387"/>
    <x v="2210"/>
    <x v="7"/>
  </r>
  <r>
    <x v="741"/>
    <x v="3"/>
    <x v="207"/>
    <x v="208"/>
    <x v="40"/>
    <x v="3"/>
    <x v="0"/>
    <x v="8"/>
    <x v="3"/>
    <x v="1734"/>
    <x v="0"/>
    <x v="63"/>
    <x v="1"/>
    <x v="0"/>
    <x v="1989"/>
    <x v="360"/>
    <x v="2146"/>
    <x v="7"/>
  </r>
  <r>
    <x v="742"/>
    <x v="0"/>
    <x v="1"/>
    <x v="8"/>
    <x v="29"/>
    <x v="2"/>
    <x v="2"/>
    <x v="6"/>
    <x v="1"/>
    <x v="2151"/>
    <x v="2"/>
    <x v="97"/>
    <x v="1"/>
    <x v="2"/>
    <x v="1316"/>
    <x v="269"/>
    <x v="842"/>
    <x v="7"/>
  </r>
  <r>
    <x v="742"/>
    <x v="1"/>
    <x v="1"/>
    <x v="8"/>
    <x v="89"/>
    <x v="2"/>
    <x v="2"/>
    <x v="6"/>
    <x v="4"/>
    <x v="633"/>
    <x v="3"/>
    <x v="26"/>
    <x v="1"/>
    <x v="3"/>
    <x v="1179"/>
    <x v="234"/>
    <x v="1017"/>
    <x v="7"/>
  </r>
  <r>
    <x v="743"/>
    <x v="0"/>
    <x v="81"/>
    <x v="25"/>
    <x v="3"/>
    <x v="1"/>
    <x v="2"/>
    <x v="8"/>
    <x v="1"/>
    <x v="1969"/>
    <x v="0"/>
    <x v="73"/>
    <x v="1"/>
    <x v="0"/>
    <x v="1349"/>
    <x v="191"/>
    <x v="1691"/>
    <x v="7"/>
  </r>
  <r>
    <x v="743"/>
    <x v="1"/>
    <x v="81"/>
    <x v="25"/>
    <x v="13"/>
    <x v="1"/>
    <x v="2"/>
    <x v="8"/>
    <x v="2"/>
    <x v="1350"/>
    <x v="4"/>
    <x v="70"/>
    <x v="0"/>
    <x v="1"/>
    <x v="1379"/>
    <x v="298"/>
    <x v="133"/>
    <x v="7"/>
  </r>
  <r>
    <x v="744"/>
    <x v="0"/>
    <x v="27"/>
    <x v="23"/>
    <x v="85"/>
    <x v="3"/>
    <x v="0"/>
    <x v="8"/>
    <x v="1"/>
    <x v="1765"/>
    <x v="0"/>
    <x v="88"/>
    <x v="1"/>
    <x v="0"/>
    <x v="1228"/>
    <x v="231"/>
    <x v="1163"/>
    <x v="7"/>
  </r>
  <r>
    <x v="744"/>
    <x v="1"/>
    <x v="27"/>
    <x v="23"/>
    <x v="71"/>
    <x v="3"/>
    <x v="0"/>
    <x v="8"/>
    <x v="2"/>
    <x v="204"/>
    <x v="1"/>
    <x v="6"/>
    <x v="1"/>
    <x v="1"/>
    <x v="246"/>
    <x v="27"/>
    <x v="598"/>
    <x v="7"/>
  </r>
  <r>
    <x v="745"/>
    <x v="0"/>
    <x v="249"/>
    <x v="232"/>
    <x v="48"/>
    <x v="1"/>
    <x v="2"/>
    <x v="0"/>
    <x v="1"/>
    <x v="380"/>
    <x v="0"/>
    <x v="17"/>
    <x v="1"/>
    <x v="0"/>
    <x v="238"/>
    <x v="39"/>
    <x v="366"/>
    <x v="7"/>
  </r>
  <r>
    <x v="745"/>
    <x v="1"/>
    <x v="249"/>
    <x v="232"/>
    <x v="91"/>
    <x v="1"/>
    <x v="2"/>
    <x v="0"/>
    <x v="3"/>
    <x v="2252"/>
    <x v="0"/>
    <x v="81"/>
    <x v="1"/>
    <x v="2"/>
    <x v="2093"/>
    <x v="410"/>
    <x v="2208"/>
    <x v="7"/>
  </r>
  <r>
    <x v="745"/>
    <x v="2"/>
    <x v="249"/>
    <x v="232"/>
    <x v="60"/>
    <x v="1"/>
    <x v="2"/>
    <x v="0"/>
    <x v="3"/>
    <x v="547"/>
    <x v="2"/>
    <x v="27"/>
    <x v="1"/>
    <x v="1"/>
    <x v="820"/>
    <x v="185"/>
    <x v="500"/>
    <x v="7"/>
  </r>
  <r>
    <x v="746"/>
    <x v="0"/>
    <x v="222"/>
    <x v="53"/>
    <x v="84"/>
    <x v="0"/>
    <x v="2"/>
    <x v="6"/>
    <x v="1"/>
    <x v="1676"/>
    <x v="3"/>
    <x v="89"/>
    <x v="1"/>
    <x v="3"/>
    <x v="1012"/>
    <x v="235"/>
    <x v="322"/>
    <x v="7"/>
  </r>
  <r>
    <x v="746"/>
    <x v="1"/>
    <x v="222"/>
    <x v="53"/>
    <x v="58"/>
    <x v="0"/>
    <x v="2"/>
    <x v="6"/>
    <x v="1"/>
    <x v="2141"/>
    <x v="1"/>
    <x v="99"/>
    <x v="1"/>
    <x v="0"/>
    <x v="1373"/>
    <x v="273"/>
    <x v="934"/>
    <x v="7"/>
  </r>
  <r>
    <x v="746"/>
    <x v="2"/>
    <x v="222"/>
    <x v="53"/>
    <x v="35"/>
    <x v="0"/>
    <x v="2"/>
    <x v="6"/>
    <x v="4"/>
    <x v="242"/>
    <x v="4"/>
    <x v="11"/>
    <x v="1"/>
    <x v="1"/>
    <x v="491"/>
    <x v="96"/>
    <x v="534"/>
    <x v="7"/>
  </r>
  <r>
    <x v="746"/>
    <x v="3"/>
    <x v="222"/>
    <x v="53"/>
    <x v="38"/>
    <x v="0"/>
    <x v="2"/>
    <x v="6"/>
    <x v="1"/>
    <x v="1026"/>
    <x v="2"/>
    <x v="39"/>
    <x v="0"/>
    <x v="1"/>
    <x v="623"/>
    <x v="94"/>
    <x v="971"/>
    <x v="7"/>
  </r>
  <r>
    <x v="746"/>
    <x v="4"/>
    <x v="222"/>
    <x v="53"/>
    <x v="12"/>
    <x v="0"/>
    <x v="2"/>
    <x v="6"/>
    <x v="5"/>
    <x v="1727"/>
    <x v="0"/>
    <x v="75"/>
    <x v="1"/>
    <x v="2"/>
    <x v="2175"/>
    <x v="487"/>
    <x v="2213"/>
    <x v="7"/>
  </r>
  <r>
    <x v="747"/>
    <x v="0"/>
    <x v="2"/>
    <x v="26"/>
    <x v="4"/>
    <x v="3"/>
    <x v="2"/>
    <x v="5"/>
    <x v="5"/>
    <x v="2069"/>
    <x v="1"/>
    <x v="94"/>
    <x v="1"/>
    <x v="0"/>
    <x v="2203"/>
    <x v="525"/>
    <x v="2133"/>
    <x v="7"/>
  </r>
  <r>
    <x v="747"/>
    <x v="1"/>
    <x v="2"/>
    <x v="26"/>
    <x v="83"/>
    <x v="3"/>
    <x v="2"/>
    <x v="5"/>
    <x v="2"/>
    <x v="119"/>
    <x v="0"/>
    <x v="8"/>
    <x v="0"/>
    <x v="0"/>
    <x v="199"/>
    <x v="32"/>
    <x v="312"/>
    <x v="7"/>
  </r>
  <r>
    <x v="747"/>
    <x v="2"/>
    <x v="2"/>
    <x v="26"/>
    <x v="35"/>
    <x v="3"/>
    <x v="2"/>
    <x v="5"/>
    <x v="1"/>
    <x v="287"/>
    <x v="2"/>
    <x v="11"/>
    <x v="1"/>
    <x v="1"/>
    <x v="139"/>
    <x v="20"/>
    <x v="325"/>
    <x v="7"/>
  </r>
  <r>
    <x v="748"/>
    <x v="0"/>
    <x v="115"/>
    <x v="169"/>
    <x v="20"/>
    <x v="2"/>
    <x v="0"/>
    <x v="7"/>
    <x v="1"/>
    <x v="195"/>
    <x v="2"/>
    <x v="5"/>
    <x v="1"/>
    <x v="2"/>
    <x v="88"/>
    <x v="9"/>
    <x v="286"/>
    <x v="7"/>
  </r>
  <r>
    <x v="748"/>
    <x v="1"/>
    <x v="115"/>
    <x v="169"/>
    <x v="34"/>
    <x v="2"/>
    <x v="0"/>
    <x v="7"/>
    <x v="6"/>
    <x v="1207"/>
    <x v="3"/>
    <x v="58"/>
    <x v="1"/>
    <x v="3"/>
    <x v="2130"/>
    <x v="510"/>
    <x v="1755"/>
    <x v="7"/>
  </r>
  <r>
    <x v="748"/>
    <x v="2"/>
    <x v="115"/>
    <x v="169"/>
    <x v="76"/>
    <x v="2"/>
    <x v="0"/>
    <x v="7"/>
    <x v="4"/>
    <x v="778"/>
    <x v="0"/>
    <x v="36"/>
    <x v="1"/>
    <x v="1"/>
    <x v="1592"/>
    <x v="285"/>
    <x v="1577"/>
    <x v="7"/>
  </r>
  <r>
    <x v="748"/>
    <x v="3"/>
    <x v="115"/>
    <x v="169"/>
    <x v="41"/>
    <x v="2"/>
    <x v="0"/>
    <x v="7"/>
    <x v="1"/>
    <x v="844"/>
    <x v="0"/>
    <x v="35"/>
    <x v="0"/>
    <x v="0"/>
    <x v="568"/>
    <x v="87"/>
    <x v="847"/>
    <x v="7"/>
  </r>
  <r>
    <x v="749"/>
    <x v="0"/>
    <x v="257"/>
    <x v="73"/>
    <x v="70"/>
    <x v="1"/>
    <x v="1"/>
    <x v="1"/>
    <x v="5"/>
    <x v="1614"/>
    <x v="0"/>
    <x v="68"/>
    <x v="1"/>
    <x v="2"/>
    <x v="2152"/>
    <x v="471"/>
    <x v="2203"/>
    <x v="7"/>
  </r>
  <r>
    <x v="749"/>
    <x v="1"/>
    <x v="257"/>
    <x v="73"/>
    <x v="37"/>
    <x v="1"/>
    <x v="1"/>
    <x v="1"/>
    <x v="4"/>
    <x v="1561"/>
    <x v="0"/>
    <x v="78"/>
    <x v="1"/>
    <x v="0"/>
    <x v="2059"/>
    <x v="451"/>
    <x v="2035"/>
    <x v="7"/>
  </r>
  <r>
    <x v="749"/>
    <x v="2"/>
    <x v="257"/>
    <x v="73"/>
    <x v="98"/>
    <x v="1"/>
    <x v="1"/>
    <x v="1"/>
    <x v="1"/>
    <x v="1170"/>
    <x v="3"/>
    <x v="65"/>
    <x v="1"/>
    <x v="0"/>
    <x v="684"/>
    <x v="169"/>
    <x v="28"/>
    <x v="7"/>
  </r>
  <r>
    <x v="749"/>
    <x v="3"/>
    <x v="257"/>
    <x v="73"/>
    <x v="36"/>
    <x v="1"/>
    <x v="1"/>
    <x v="1"/>
    <x v="2"/>
    <x v="2260"/>
    <x v="0"/>
    <x v="91"/>
    <x v="2"/>
    <x v="0"/>
    <x v="1935"/>
    <x v="363"/>
    <x v="2055"/>
    <x v="7"/>
  </r>
  <r>
    <x v="750"/>
    <x v="0"/>
    <x v="192"/>
    <x v="12"/>
    <x v="68"/>
    <x v="1"/>
    <x v="2"/>
    <x v="1"/>
    <x v="2"/>
    <x v="1651"/>
    <x v="3"/>
    <x v="83"/>
    <x v="1"/>
    <x v="3"/>
    <x v="1633"/>
    <x v="336"/>
    <x v="1099"/>
    <x v="7"/>
  </r>
  <r>
    <x v="751"/>
    <x v="0"/>
    <x v="41"/>
    <x v="185"/>
    <x v="50"/>
    <x v="2"/>
    <x v="2"/>
    <x v="9"/>
    <x v="1"/>
    <x v="1904"/>
    <x v="0"/>
    <x v="77"/>
    <x v="1"/>
    <x v="3"/>
    <x v="1314"/>
    <x v="200"/>
    <x v="1600"/>
    <x v="7"/>
  </r>
  <r>
    <x v="751"/>
    <x v="1"/>
    <x v="41"/>
    <x v="185"/>
    <x v="79"/>
    <x v="2"/>
    <x v="2"/>
    <x v="9"/>
    <x v="3"/>
    <x v="1531"/>
    <x v="0"/>
    <x v="64"/>
    <x v="1"/>
    <x v="2"/>
    <x v="1924"/>
    <x v="369"/>
    <x v="2020"/>
    <x v="7"/>
  </r>
  <r>
    <x v="752"/>
    <x v="0"/>
    <x v="36"/>
    <x v="38"/>
    <x v="78"/>
    <x v="2"/>
    <x v="1"/>
    <x v="1"/>
    <x v="2"/>
    <x v="599"/>
    <x v="0"/>
    <x v="20"/>
    <x v="1"/>
    <x v="1"/>
    <x v="708"/>
    <x v="98"/>
    <x v="1147"/>
    <x v="7"/>
  </r>
  <r>
    <x v="752"/>
    <x v="1"/>
    <x v="36"/>
    <x v="38"/>
    <x v="17"/>
    <x v="2"/>
    <x v="1"/>
    <x v="1"/>
    <x v="3"/>
    <x v="1892"/>
    <x v="0"/>
    <x v="92"/>
    <x v="1"/>
    <x v="1"/>
    <x v="2024"/>
    <x v="444"/>
    <x v="1936"/>
    <x v="7"/>
  </r>
  <r>
    <x v="752"/>
    <x v="2"/>
    <x v="36"/>
    <x v="38"/>
    <x v="92"/>
    <x v="2"/>
    <x v="1"/>
    <x v="1"/>
    <x v="3"/>
    <x v="1486"/>
    <x v="1"/>
    <x v="62"/>
    <x v="1"/>
    <x v="3"/>
    <x v="1883"/>
    <x v="353"/>
    <x v="1956"/>
    <x v="7"/>
  </r>
  <r>
    <x v="752"/>
    <x v="3"/>
    <x v="36"/>
    <x v="38"/>
    <x v="14"/>
    <x v="2"/>
    <x v="1"/>
    <x v="1"/>
    <x v="1"/>
    <x v="203"/>
    <x v="0"/>
    <x v="7"/>
    <x v="1"/>
    <x v="2"/>
    <x v="108"/>
    <x v="11"/>
    <x v="382"/>
    <x v="7"/>
  </r>
  <r>
    <x v="753"/>
    <x v="0"/>
    <x v="218"/>
    <x v="28"/>
    <x v="46"/>
    <x v="1"/>
    <x v="2"/>
    <x v="8"/>
    <x v="4"/>
    <x v="1764"/>
    <x v="0"/>
    <x v="85"/>
    <x v="1"/>
    <x v="2"/>
    <x v="2108"/>
    <x v="477"/>
    <x v="2083"/>
    <x v="7"/>
  </r>
  <r>
    <x v="754"/>
    <x v="0"/>
    <x v="210"/>
    <x v="39"/>
    <x v="99"/>
    <x v="1"/>
    <x v="0"/>
    <x v="4"/>
    <x v="1"/>
    <x v="2087"/>
    <x v="0"/>
    <x v="80"/>
    <x v="1"/>
    <x v="3"/>
    <x v="1403"/>
    <x v="209"/>
    <x v="1675"/>
    <x v="7"/>
  </r>
  <r>
    <x v="754"/>
    <x v="1"/>
    <x v="210"/>
    <x v="39"/>
    <x v="65"/>
    <x v="1"/>
    <x v="0"/>
    <x v="4"/>
    <x v="5"/>
    <x v="2244"/>
    <x v="3"/>
    <x v="95"/>
    <x v="1"/>
    <x v="1"/>
    <x v="2200"/>
    <x v="526"/>
    <x v="2078"/>
    <x v="7"/>
  </r>
  <r>
    <x v="754"/>
    <x v="2"/>
    <x v="210"/>
    <x v="39"/>
    <x v="90"/>
    <x v="1"/>
    <x v="0"/>
    <x v="4"/>
    <x v="2"/>
    <x v="802"/>
    <x v="0"/>
    <x v="37"/>
    <x v="1"/>
    <x v="0"/>
    <x v="958"/>
    <x v="170"/>
    <x v="1107"/>
    <x v="7"/>
  </r>
  <r>
    <x v="755"/>
    <x v="0"/>
    <x v="161"/>
    <x v="1"/>
    <x v="76"/>
    <x v="2"/>
    <x v="2"/>
    <x v="8"/>
    <x v="6"/>
    <x v="777"/>
    <x v="0"/>
    <x v="36"/>
    <x v="1"/>
    <x v="2"/>
    <x v="1983"/>
    <x v="416"/>
    <x v="1980"/>
    <x v="7"/>
  </r>
  <r>
    <x v="755"/>
    <x v="1"/>
    <x v="161"/>
    <x v="1"/>
    <x v="41"/>
    <x v="2"/>
    <x v="2"/>
    <x v="8"/>
    <x v="3"/>
    <x v="960"/>
    <x v="0"/>
    <x v="35"/>
    <x v="1"/>
    <x v="0"/>
    <x v="1559"/>
    <x v="237"/>
    <x v="1811"/>
    <x v="7"/>
  </r>
  <r>
    <x v="755"/>
    <x v="2"/>
    <x v="161"/>
    <x v="1"/>
    <x v="72"/>
    <x v="2"/>
    <x v="2"/>
    <x v="8"/>
    <x v="1"/>
    <x v="1201"/>
    <x v="4"/>
    <x v="66"/>
    <x v="1"/>
    <x v="0"/>
    <x v="664"/>
    <x v="172"/>
    <x v="13"/>
    <x v="7"/>
  </r>
  <r>
    <x v="755"/>
    <x v="3"/>
    <x v="161"/>
    <x v="1"/>
    <x v="16"/>
    <x v="2"/>
    <x v="2"/>
    <x v="8"/>
    <x v="2"/>
    <x v="1417"/>
    <x v="0"/>
    <x v="51"/>
    <x v="1"/>
    <x v="3"/>
    <x v="1614"/>
    <x v="230"/>
    <x v="1935"/>
    <x v="7"/>
  </r>
  <r>
    <x v="756"/>
    <x v="0"/>
    <x v="214"/>
    <x v="214"/>
    <x v="73"/>
    <x v="3"/>
    <x v="0"/>
    <x v="1"/>
    <x v="1"/>
    <x v="2024"/>
    <x v="0"/>
    <x v="84"/>
    <x v="1"/>
    <x v="1"/>
    <x v="1368"/>
    <x v="222"/>
    <x v="1545"/>
    <x v="7"/>
  </r>
  <r>
    <x v="757"/>
    <x v="0"/>
    <x v="36"/>
    <x v="170"/>
    <x v="91"/>
    <x v="2"/>
    <x v="1"/>
    <x v="6"/>
    <x v="1"/>
    <x v="2247"/>
    <x v="3"/>
    <x v="81"/>
    <x v="1"/>
    <x v="3"/>
    <x v="1337"/>
    <x v="212"/>
    <x v="1547"/>
    <x v="7"/>
  </r>
  <r>
    <x v="757"/>
    <x v="1"/>
    <x v="36"/>
    <x v="170"/>
    <x v="98"/>
    <x v="2"/>
    <x v="1"/>
    <x v="6"/>
    <x v="6"/>
    <x v="1209"/>
    <x v="0"/>
    <x v="65"/>
    <x v="1"/>
    <x v="1"/>
    <x v="2176"/>
    <x v="529"/>
    <x v="1874"/>
    <x v="7"/>
  </r>
  <r>
    <x v="757"/>
    <x v="2"/>
    <x v="36"/>
    <x v="170"/>
    <x v="83"/>
    <x v="2"/>
    <x v="1"/>
    <x v="6"/>
    <x v="3"/>
    <x v="125"/>
    <x v="0"/>
    <x v="8"/>
    <x v="1"/>
    <x v="2"/>
    <x v="311"/>
    <x v="51"/>
    <x v="491"/>
    <x v="7"/>
  </r>
  <r>
    <x v="758"/>
    <x v="0"/>
    <x v="213"/>
    <x v="44"/>
    <x v="53"/>
    <x v="1"/>
    <x v="2"/>
    <x v="2"/>
    <x v="1"/>
    <x v="1228"/>
    <x v="0"/>
    <x v="47"/>
    <x v="1"/>
    <x v="2"/>
    <x v="819"/>
    <x v="115"/>
    <x v="1315"/>
    <x v="7"/>
  </r>
  <r>
    <x v="759"/>
    <x v="0"/>
    <x v="108"/>
    <x v="169"/>
    <x v="44"/>
    <x v="1"/>
    <x v="2"/>
    <x v="2"/>
    <x v="1"/>
    <x v="1494"/>
    <x v="4"/>
    <x v="57"/>
    <x v="1"/>
    <x v="1"/>
    <x v="852"/>
    <x v="144"/>
    <x v="1131"/>
    <x v="7"/>
  </r>
  <r>
    <x v="760"/>
    <x v="0"/>
    <x v="164"/>
    <x v="86"/>
    <x v="79"/>
    <x v="1"/>
    <x v="0"/>
    <x v="6"/>
    <x v="1"/>
    <x v="1488"/>
    <x v="0"/>
    <x v="64"/>
    <x v="1"/>
    <x v="2"/>
    <x v="1029"/>
    <x v="168"/>
    <x v="1280"/>
    <x v="7"/>
  </r>
  <r>
    <x v="761"/>
    <x v="0"/>
    <x v="159"/>
    <x v="167"/>
    <x v="85"/>
    <x v="0"/>
    <x v="2"/>
    <x v="2"/>
    <x v="1"/>
    <x v="1804"/>
    <x v="4"/>
    <x v="88"/>
    <x v="1"/>
    <x v="2"/>
    <x v="1021"/>
    <x v="231"/>
    <x v="496"/>
    <x v="7"/>
  </r>
  <r>
    <x v="761"/>
    <x v="1"/>
    <x v="159"/>
    <x v="167"/>
    <x v="92"/>
    <x v="0"/>
    <x v="2"/>
    <x v="2"/>
    <x v="4"/>
    <x v="1547"/>
    <x v="3"/>
    <x v="62"/>
    <x v="1"/>
    <x v="2"/>
    <x v="1984"/>
    <x v="411"/>
    <x v="2003"/>
    <x v="7"/>
  </r>
  <r>
    <x v="762"/>
    <x v="0"/>
    <x v="209"/>
    <x v="155"/>
    <x v="92"/>
    <x v="0"/>
    <x v="1"/>
    <x v="0"/>
    <x v="6"/>
    <x v="1575"/>
    <x v="4"/>
    <x v="62"/>
    <x v="1"/>
    <x v="1"/>
    <x v="2210"/>
    <x v="524"/>
    <x v="2175"/>
    <x v="7"/>
  </r>
  <r>
    <x v="762"/>
    <x v="1"/>
    <x v="209"/>
    <x v="155"/>
    <x v="11"/>
    <x v="0"/>
    <x v="1"/>
    <x v="0"/>
    <x v="2"/>
    <x v="2062"/>
    <x v="0"/>
    <x v="87"/>
    <x v="2"/>
    <x v="2"/>
    <x v="1868"/>
    <x v="348"/>
    <x v="1942"/>
    <x v="7"/>
  </r>
  <r>
    <x v="762"/>
    <x v="2"/>
    <x v="209"/>
    <x v="155"/>
    <x v="14"/>
    <x v="0"/>
    <x v="1"/>
    <x v="0"/>
    <x v="3"/>
    <x v="198"/>
    <x v="1"/>
    <x v="7"/>
    <x v="1"/>
    <x v="0"/>
    <x v="373"/>
    <x v="47"/>
    <x v="750"/>
    <x v="7"/>
  </r>
  <r>
    <x v="763"/>
    <x v="0"/>
    <x v="151"/>
    <x v="90"/>
    <x v="59"/>
    <x v="2"/>
    <x v="0"/>
    <x v="6"/>
    <x v="3"/>
    <x v="1110"/>
    <x v="0"/>
    <x v="60"/>
    <x v="1"/>
    <x v="2"/>
    <x v="1664"/>
    <x v="342"/>
    <x v="1201"/>
    <x v="7"/>
  </r>
  <r>
    <x v="763"/>
    <x v="1"/>
    <x v="151"/>
    <x v="90"/>
    <x v="52"/>
    <x v="2"/>
    <x v="0"/>
    <x v="6"/>
    <x v="4"/>
    <x v="1018"/>
    <x v="4"/>
    <x v="40"/>
    <x v="1"/>
    <x v="1"/>
    <x v="1636"/>
    <x v="293"/>
    <x v="1695"/>
    <x v="7"/>
  </r>
  <r>
    <x v="763"/>
    <x v="2"/>
    <x v="151"/>
    <x v="90"/>
    <x v="98"/>
    <x v="2"/>
    <x v="0"/>
    <x v="6"/>
    <x v="3"/>
    <x v="1185"/>
    <x v="0"/>
    <x v="65"/>
    <x v="1"/>
    <x v="0"/>
    <x v="1705"/>
    <x v="370"/>
    <x v="1058"/>
    <x v="7"/>
  </r>
  <r>
    <x v="763"/>
    <x v="3"/>
    <x v="151"/>
    <x v="90"/>
    <x v="56"/>
    <x v="2"/>
    <x v="0"/>
    <x v="6"/>
    <x v="1"/>
    <x v="805"/>
    <x v="3"/>
    <x v="44"/>
    <x v="1"/>
    <x v="3"/>
    <x v="456"/>
    <x v="104"/>
    <x v="170"/>
    <x v="7"/>
  </r>
  <r>
    <x v="763"/>
    <x v="4"/>
    <x v="151"/>
    <x v="90"/>
    <x v="60"/>
    <x v="2"/>
    <x v="0"/>
    <x v="6"/>
    <x v="2"/>
    <x v="543"/>
    <x v="0"/>
    <x v="27"/>
    <x v="1"/>
    <x v="0"/>
    <x v="637"/>
    <x v="128"/>
    <x v="590"/>
    <x v="7"/>
  </r>
  <r>
    <x v="764"/>
    <x v="0"/>
    <x v="263"/>
    <x v="153"/>
    <x v="90"/>
    <x v="3"/>
    <x v="2"/>
    <x v="8"/>
    <x v="1"/>
    <x v="807"/>
    <x v="3"/>
    <x v="37"/>
    <x v="1"/>
    <x v="3"/>
    <x v="458"/>
    <x v="91"/>
    <x v="459"/>
    <x v="7"/>
  </r>
  <r>
    <x v="764"/>
    <x v="1"/>
    <x v="263"/>
    <x v="153"/>
    <x v="59"/>
    <x v="3"/>
    <x v="2"/>
    <x v="8"/>
    <x v="1"/>
    <x v="1083"/>
    <x v="2"/>
    <x v="60"/>
    <x v="1"/>
    <x v="3"/>
    <x v="658"/>
    <x v="151"/>
    <x v="147"/>
    <x v="7"/>
  </r>
  <r>
    <x v="765"/>
    <x v="0"/>
    <x v="254"/>
    <x v="217"/>
    <x v="35"/>
    <x v="3"/>
    <x v="2"/>
    <x v="6"/>
    <x v="2"/>
    <x v="237"/>
    <x v="0"/>
    <x v="11"/>
    <x v="1"/>
    <x v="3"/>
    <x v="307"/>
    <x v="45"/>
    <x v="547"/>
    <x v="7"/>
  </r>
  <r>
    <x v="765"/>
    <x v="1"/>
    <x v="254"/>
    <x v="217"/>
    <x v="38"/>
    <x v="3"/>
    <x v="2"/>
    <x v="6"/>
    <x v="2"/>
    <x v="1062"/>
    <x v="0"/>
    <x v="39"/>
    <x v="2"/>
    <x v="0"/>
    <x v="1302"/>
    <x v="174"/>
    <x v="1701"/>
    <x v="7"/>
  </r>
  <r>
    <x v="765"/>
    <x v="2"/>
    <x v="254"/>
    <x v="217"/>
    <x v="24"/>
    <x v="3"/>
    <x v="2"/>
    <x v="6"/>
    <x v="1"/>
    <x v="621"/>
    <x v="0"/>
    <x v="19"/>
    <x v="1"/>
    <x v="1"/>
    <x v="387"/>
    <x v="43"/>
    <x v="830"/>
    <x v="7"/>
  </r>
  <r>
    <x v="766"/>
    <x v="0"/>
    <x v="45"/>
    <x v="249"/>
    <x v="92"/>
    <x v="3"/>
    <x v="1"/>
    <x v="9"/>
    <x v="3"/>
    <x v="1603"/>
    <x v="0"/>
    <x v="62"/>
    <x v="1"/>
    <x v="1"/>
    <x v="1954"/>
    <x v="353"/>
    <x v="2095"/>
    <x v="7"/>
  </r>
  <r>
    <x v="766"/>
    <x v="1"/>
    <x v="45"/>
    <x v="249"/>
    <x v="45"/>
    <x v="3"/>
    <x v="1"/>
    <x v="9"/>
    <x v="1"/>
    <x v="13"/>
    <x v="3"/>
    <x v="0"/>
    <x v="1"/>
    <x v="2"/>
    <x v="2"/>
    <x v="1"/>
    <x v="59"/>
    <x v="7"/>
  </r>
  <r>
    <x v="766"/>
    <x v="2"/>
    <x v="45"/>
    <x v="249"/>
    <x v="11"/>
    <x v="3"/>
    <x v="1"/>
    <x v="9"/>
    <x v="1"/>
    <x v="2261"/>
    <x v="0"/>
    <x v="87"/>
    <x v="1"/>
    <x v="3"/>
    <x v="1525"/>
    <x v="229"/>
    <x v="1758"/>
    <x v="7"/>
  </r>
  <r>
    <x v="767"/>
    <x v="0"/>
    <x v="205"/>
    <x v="129"/>
    <x v="49"/>
    <x v="0"/>
    <x v="1"/>
    <x v="2"/>
    <x v="2"/>
    <x v="858"/>
    <x v="3"/>
    <x v="45"/>
    <x v="2"/>
    <x v="3"/>
    <x v="877"/>
    <x v="203"/>
    <x v="489"/>
    <x v="7"/>
  </r>
  <r>
    <x v="767"/>
    <x v="1"/>
    <x v="205"/>
    <x v="129"/>
    <x v="31"/>
    <x v="0"/>
    <x v="1"/>
    <x v="2"/>
    <x v="2"/>
    <x v="328"/>
    <x v="4"/>
    <x v="12"/>
    <x v="1"/>
    <x v="1"/>
    <x v="316"/>
    <x v="52"/>
    <x v="481"/>
    <x v="7"/>
  </r>
  <r>
    <x v="767"/>
    <x v="2"/>
    <x v="205"/>
    <x v="129"/>
    <x v="4"/>
    <x v="0"/>
    <x v="1"/>
    <x v="2"/>
    <x v="3"/>
    <x v="1979"/>
    <x v="2"/>
    <x v="94"/>
    <x v="1"/>
    <x v="2"/>
    <x v="1990"/>
    <x v="448"/>
    <x v="1709"/>
    <x v="7"/>
  </r>
  <r>
    <x v="768"/>
    <x v="0"/>
    <x v="224"/>
    <x v="248"/>
    <x v="17"/>
    <x v="3"/>
    <x v="2"/>
    <x v="9"/>
    <x v="3"/>
    <x v="1928"/>
    <x v="0"/>
    <x v="92"/>
    <x v="1"/>
    <x v="1"/>
    <x v="2028"/>
    <x v="444"/>
    <x v="1965"/>
    <x v="7"/>
  </r>
  <r>
    <x v="768"/>
    <x v="1"/>
    <x v="224"/>
    <x v="248"/>
    <x v="46"/>
    <x v="3"/>
    <x v="2"/>
    <x v="9"/>
    <x v="1"/>
    <x v="1710"/>
    <x v="0"/>
    <x v="85"/>
    <x v="1"/>
    <x v="2"/>
    <x v="1195"/>
    <x v="223"/>
    <x v="1199"/>
    <x v="7"/>
  </r>
  <r>
    <x v="769"/>
    <x v="0"/>
    <x v="155"/>
    <x v="192"/>
    <x v="76"/>
    <x v="1"/>
    <x v="1"/>
    <x v="2"/>
    <x v="4"/>
    <x v="782"/>
    <x v="1"/>
    <x v="36"/>
    <x v="1"/>
    <x v="1"/>
    <x v="1565"/>
    <x v="285"/>
    <x v="1448"/>
    <x v="7"/>
  </r>
  <r>
    <x v="770"/>
    <x v="0"/>
    <x v="14"/>
    <x v="53"/>
    <x v="41"/>
    <x v="0"/>
    <x v="2"/>
    <x v="0"/>
    <x v="2"/>
    <x v="964"/>
    <x v="1"/>
    <x v="35"/>
    <x v="2"/>
    <x v="1"/>
    <x v="1098"/>
    <x v="163"/>
    <x v="1458"/>
    <x v="7"/>
  </r>
  <r>
    <x v="771"/>
    <x v="0"/>
    <x v="41"/>
    <x v="112"/>
    <x v="44"/>
    <x v="3"/>
    <x v="0"/>
    <x v="3"/>
    <x v="3"/>
    <x v="1469"/>
    <x v="0"/>
    <x v="57"/>
    <x v="1"/>
    <x v="2"/>
    <x v="1907"/>
    <x v="325"/>
    <x v="2074"/>
    <x v="7"/>
  </r>
  <r>
    <x v="771"/>
    <x v="1"/>
    <x v="41"/>
    <x v="112"/>
    <x v="37"/>
    <x v="3"/>
    <x v="0"/>
    <x v="3"/>
    <x v="2"/>
    <x v="1414"/>
    <x v="1"/>
    <x v="78"/>
    <x v="1"/>
    <x v="3"/>
    <x v="1586"/>
    <x v="320"/>
    <x v="1005"/>
    <x v="7"/>
  </r>
  <r>
    <x v="772"/>
    <x v="0"/>
    <x v="152"/>
    <x v="82"/>
    <x v="78"/>
    <x v="3"/>
    <x v="2"/>
    <x v="9"/>
    <x v="3"/>
    <x v="562"/>
    <x v="0"/>
    <x v="20"/>
    <x v="1"/>
    <x v="0"/>
    <x v="924"/>
    <x v="145"/>
    <x v="1321"/>
    <x v="7"/>
  </r>
  <r>
    <x v="772"/>
    <x v="1"/>
    <x v="152"/>
    <x v="82"/>
    <x v="49"/>
    <x v="3"/>
    <x v="2"/>
    <x v="9"/>
    <x v="1"/>
    <x v="897"/>
    <x v="0"/>
    <x v="45"/>
    <x v="1"/>
    <x v="1"/>
    <x v="603"/>
    <x v="106"/>
    <x v="718"/>
    <x v="7"/>
  </r>
  <r>
    <x v="772"/>
    <x v="2"/>
    <x v="152"/>
    <x v="82"/>
    <x v="64"/>
    <x v="3"/>
    <x v="2"/>
    <x v="9"/>
    <x v="1"/>
    <x v="1808"/>
    <x v="2"/>
    <x v="69"/>
    <x v="1"/>
    <x v="2"/>
    <x v="1134"/>
    <x v="179"/>
    <x v="1454"/>
    <x v="7"/>
  </r>
  <r>
    <x v="772"/>
    <x v="3"/>
    <x v="152"/>
    <x v="82"/>
    <x v="62"/>
    <x v="3"/>
    <x v="2"/>
    <x v="9"/>
    <x v="2"/>
    <x v="1390"/>
    <x v="2"/>
    <x v="67"/>
    <x v="1"/>
    <x v="0"/>
    <x v="1537"/>
    <x v="294"/>
    <x v="1128"/>
    <x v="7"/>
  </r>
  <r>
    <x v="773"/>
    <x v="0"/>
    <x v="225"/>
    <x v="90"/>
    <x v="66"/>
    <x v="3"/>
    <x v="1"/>
    <x v="9"/>
    <x v="1"/>
    <x v="527"/>
    <x v="0"/>
    <x v="21"/>
    <x v="1"/>
    <x v="3"/>
    <x v="317"/>
    <x v="49"/>
    <x v="539"/>
    <x v="7"/>
  </r>
  <r>
    <x v="773"/>
    <x v="1"/>
    <x v="225"/>
    <x v="90"/>
    <x v="52"/>
    <x v="3"/>
    <x v="1"/>
    <x v="9"/>
    <x v="2"/>
    <x v="1092"/>
    <x v="0"/>
    <x v="40"/>
    <x v="1"/>
    <x v="2"/>
    <x v="1345"/>
    <x v="176"/>
    <x v="1737"/>
    <x v="7"/>
  </r>
  <r>
    <x v="774"/>
    <x v="0"/>
    <x v="16"/>
    <x v="116"/>
    <x v="66"/>
    <x v="1"/>
    <x v="2"/>
    <x v="9"/>
    <x v="6"/>
    <x v="432"/>
    <x v="3"/>
    <x v="21"/>
    <x v="0"/>
    <x v="2"/>
    <x v="1519"/>
    <x v="308"/>
    <x v="722"/>
    <x v="7"/>
  </r>
  <r>
    <x v="774"/>
    <x v="1"/>
    <x v="16"/>
    <x v="116"/>
    <x v="93"/>
    <x v="1"/>
    <x v="2"/>
    <x v="9"/>
    <x v="2"/>
    <x v="418"/>
    <x v="0"/>
    <x v="24"/>
    <x v="1"/>
    <x v="3"/>
    <x v="527"/>
    <x v="113"/>
    <x v="339"/>
    <x v="7"/>
  </r>
  <r>
    <x v="775"/>
    <x v="0"/>
    <x v="6"/>
    <x v="116"/>
    <x v="70"/>
    <x v="3"/>
    <x v="1"/>
    <x v="4"/>
    <x v="6"/>
    <x v="1522"/>
    <x v="0"/>
    <x v="68"/>
    <x v="1"/>
    <x v="3"/>
    <x v="2230"/>
    <x v="531"/>
    <x v="2242"/>
    <x v="7"/>
  </r>
  <r>
    <x v="776"/>
    <x v="0"/>
    <x v="220"/>
    <x v="92"/>
    <x v="19"/>
    <x v="1"/>
    <x v="2"/>
    <x v="0"/>
    <x v="4"/>
    <x v="488"/>
    <x v="0"/>
    <x v="16"/>
    <x v="2"/>
    <x v="2"/>
    <x v="1022"/>
    <x v="153"/>
    <x v="1372"/>
    <x v="7"/>
  </r>
  <r>
    <x v="777"/>
    <x v="0"/>
    <x v="258"/>
    <x v="105"/>
    <x v="38"/>
    <x v="2"/>
    <x v="2"/>
    <x v="7"/>
    <x v="3"/>
    <x v="1115"/>
    <x v="0"/>
    <x v="39"/>
    <x v="1"/>
    <x v="2"/>
    <x v="1670"/>
    <x v="250"/>
    <x v="1982"/>
    <x v="7"/>
  </r>
  <r>
    <x v="777"/>
    <x v="1"/>
    <x v="258"/>
    <x v="105"/>
    <x v="18"/>
    <x v="2"/>
    <x v="2"/>
    <x v="7"/>
    <x v="1"/>
    <x v="1501"/>
    <x v="2"/>
    <x v="59"/>
    <x v="1"/>
    <x v="1"/>
    <x v="944"/>
    <x v="150"/>
    <x v="1292"/>
    <x v="7"/>
  </r>
  <r>
    <x v="778"/>
    <x v="0"/>
    <x v="210"/>
    <x v="51"/>
    <x v="81"/>
    <x v="1"/>
    <x v="2"/>
    <x v="2"/>
    <x v="1"/>
    <x v="54"/>
    <x v="1"/>
    <x v="3"/>
    <x v="1"/>
    <x v="3"/>
    <x v="29"/>
    <x v="5"/>
    <x v="112"/>
    <x v="7"/>
  </r>
  <r>
    <x v="779"/>
    <x v="0"/>
    <x v="185"/>
    <x v="162"/>
    <x v="10"/>
    <x v="2"/>
    <x v="1"/>
    <x v="3"/>
    <x v="4"/>
    <x v="322"/>
    <x v="0"/>
    <x v="14"/>
    <x v="1"/>
    <x v="3"/>
    <x v="736"/>
    <x v="137"/>
    <x v="863"/>
    <x v="7"/>
  </r>
  <r>
    <x v="780"/>
    <x v="0"/>
    <x v="92"/>
    <x v="95"/>
    <x v="10"/>
    <x v="1"/>
    <x v="1"/>
    <x v="0"/>
    <x v="5"/>
    <x v="305"/>
    <x v="0"/>
    <x v="14"/>
    <x v="1"/>
    <x v="0"/>
    <x v="836"/>
    <x v="158"/>
    <x v="890"/>
    <x v="7"/>
  </r>
  <r>
    <x v="781"/>
    <x v="0"/>
    <x v="86"/>
    <x v="236"/>
    <x v="36"/>
    <x v="0"/>
    <x v="2"/>
    <x v="8"/>
    <x v="4"/>
    <x v="2119"/>
    <x v="1"/>
    <x v="91"/>
    <x v="2"/>
    <x v="0"/>
    <x v="2145"/>
    <x v="493"/>
    <x v="2123"/>
    <x v="7"/>
  </r>
  <r>
    <x v="781"/>
    <x v="1"/>
    <x v="86"/>
    <x v="236"/>
    <x v="47"/>
    <x v="0"/>
    <x v="2"/>
    <x v="8"/>
    <x v="1"/>
    <x v="1605"/>
    <x v="0"/>
    <x v="82"/>
    <x v="1"/>
    <x v="3"/>
    <x v="1120"/>
    <x v="215"/>
    <x v="1108"/>
    <x v="7"/>
  </r>
  <r>
    <x v="781"/>
    <x v="2"/>
    <x v="86"/>
    <x v="236"/>
    <x v="86"/>
    <x v="0"/>
    <x v="2"/>
    <x v="8"/>
    <x v="1"/>
    <x v="1740"/>
    <x v="1"/>
    <x v="79"/>
    <x v="1"/>
    <x v="2"/>
    <x v="1162"/>
    <x v="208"/>
    <x v="1250"/>
    <x v="7"/>
  </r>
  <r>
    <x v="782"/>
    <x v="0"/>
    <x v="56"/>
    <x v="42"/>
    <x v="54"/>
    <x v="1"/>
    <x v="1"/>
    <x v="1"/>
    <x v="1"/>
    <x v="1289"/>
    <x v="1"/>
    <x v="55"/>
    <x v="1"/>
    <x v="1"/>
    <x v="822"/>
    <x v="138"/>
    <x v="1160"/>
    <x v="7"/>
  </r>
  <r>
    <x v="782"/>
    <x v="1"/>
    <x v="56"/>
    <x v="42"/>
    <x v="50"/>
    <x v="1"/>
    <x v="1"/>
    <x v="1"/>
    <x v="2"/>
    <x v="1816"/>
    <x v="4"/>
    <x v="77"/>
    <x v="1"/>
    <x v="2"/>
    <x v="1656"/>
    <x v="319"/>
    <x v="1528"/>
    <x v="7"/>
  </r>
  <r>
    <x v="782"/>
    <x v="2"/>
    <x v="56"/>
    <x v="42"/>
    <x v="77"/>
    <x v="1"/>
    <x v="1"/>
    <x v="1"/>
    <x v="1"/>
    <x v="238"/>
    <x v="0"/>
    <x v="9"/>
    <x v="0"/>
    <x v="0"/>
    <x v="134"/>
    <x v="16"/>
    <x v="394"/>
    <x v="7"/>
  </r>
  <r>
    <x v="783"/>
    <x v="0"/>
    <x v="248"/>
    <x v="245"/>
    <x v="21"/>
    <x v="1"/>
    <x v="2"/>
    <x v="8"/>
    <x v="3"/>
    <x v="387"/>
    <x v="0"/>
    <x v="18"/>
    <x v="1"/>
    <x v="0"/>
    <x v="704"/>
    <x v="134"/>
    <x v="795"/>
    <x v="7"/>
  </r>
  <r>
    <x v="783"/>
    <x v="1"/>
    <x v="248"/>
    <x v="245"/>
    <x v="17"/>
    <x v="1"/>
    <x v="2"/>
    <x v="8"/>
    <x v="2"/>
    <x v="1977"/>
    <x v="0"/>
    <x v="92"/>
    <x v="1"/>
    <x v="0"/>
    <x v="1839"/>
    <x v="368"/>
    <x v="1792"/>
    <x v="7"/>
  </r>
  <r>
    <x v="784"/>
    <x v="0"/>
    <x v="236"/>
    <x v="34"/>
    <x v="12"/>
    <x v="1"/>
    <x v="2"/>
    <x v="7"/>
    <x v="4"/>
    <x v="1723"/>
    <x v="0"/>
    <x v="75"/>
    <x v="1"/>
    <x v="0"/>
    <x v="2101"/>
    <x v="446"/>
    <x v="2156"/>
    <x v="7"/>
  </r>
  <r>
    <x v="784"/>
    <x v="1"/>
    <x v="236"/>
    <x v="34"/>
    <x v="63"/>
    <x v="1"/>
    <x v="2"/>
    <x v="7"/>
    <x v="6"/>
    <x v="2131"/>
    <x v="4"/>
    <x v="98"/>
    <x v="1"/>
    <x v="1"/>
    <x v="2242"/>
    <x v="559"/>
    <x v="54"/>
    <x v="7"/>
  </r>
  <r>
    <x v="785"/>
    <x v="0"/>
    <x v="173"/>
    <x v="45"/>
    <x v="33"/>
    <x v="3"/>
    <x v="2"/>
    <x v="8"/>
    <x v="1"/>
    <x v="595"/>
    <x v="0"/>
    <x v="29"/>
    <x v="0"/>
    <x v="1"/>
    <x v="368"/>
    <x v="65"/>
    <x v="498"/>
    <x v="7"/>
  </r>
  <r>
    <x v="786"/>
    <x v="0"/>
    <x v="126"/>
    <x v="227"/>
    <x v="77"/>
    <x v="3"/>
    <x v="0"/>
    <x v="2"/>
    <x v="1"/>
    <x v="241"/>
    <x v="0"/>
    <x v="9"/>
    <x v="1"/>
    <x v="1"/>
    <x v="135"/>
    <x v="16"/>
    <x v="403"/>
    <x v="7"/>
  </r>
  <r>
    <x v="786"/>
    <x v="1"/>
    <x v="126"/>
    <x v="227"/>
    <x v="81"/>
    <x v="3"/>
    <x v="0"/>
    <x v="2"/>
    <x v="1"/>
    <x v="60"/>
    <x v="0"/>
    <x v="3"/>
    <x v="1"/>
    <x v="2"/>
    <x v="35"/>
    <x v="5"/>
    <x v="136"/>
    <x v="7"/>
  </r>
  <r>
    <x v="786"/>
    <x v="2"/>
    <x v="126"/>
    <x v="227"/>
    <x v="0"/>
    <x v="3"/>
    <x v="0"/>
    <x v="2"/>
    <x v="1"/>
    <x v="888"/>
    <x v="0"/>
    <x v="32"/>
    <x v="1"/>
    <x v="0"/>
    <x v="599"/>
    <x v="73"/>
    <x v="1030"/>
    <x v="7"/>
  </r>
  <r>
    <x v="786"/>
    <x v="3"/>
    <x v="126"/>
    <x v="227"/>
    <x v="92"/>
    <x v="3"/>
    <x v="0"/>
    <x v="2"/>
    <x v="1"/>
    <x v="1617"/>
    <x v="4"/>
    <x v="62"/>
    <x v="1"/>
    <x v="0"/>
    <x v="913"/>
    <x v="161"/>
    <x v="1103"/>
    <x v="7"/>
  </r>
  <r>
    <x v="787"/>
    <x v="0"/>
    <x v="27"/>
    <x v="200"/>
    <x v="26"/>
    <x v="0"/>
    <x v="0"/>
    <x v="8"/>
    <x v="2"/>
    <x v="1936"/>
    <x v="4"/>
    <x v="74"/>
    <x v="1"/>
    <x v="2"/>
    <x v="1684"/>
    <x v="313"/>
    <x v="1718"/>
    <x v="7"/>
  </r>
  <r>
    <x v="787"/>
    <x v="1"/>
    <x v="27"/>
    <x v="200"/>
    <x v="95"/>
    <x v="0"/>
    <x v="0"/>
    <x v="8"/>
    <x v="4"/>
    <x v="1034"/>
    <x v="1"/>
    <x v="52"/>
    <x v="1"/>
    <x v="1"/>
    <x v="1746"/>
    <x v="352"/>
    <x v="1578"/>
    <x v="7"/>
  </r>
  <r>
    <x v="787"/>
    <x v="2"/>
    <x v="27"/>
    <x v="200"/>
    <x v="97"/>
    <x v="0"/>
    <x v="0"/>
    <x v="8"/>
    <x v="6"/>
    <x v="318"/>
    <x v="3"/>
    <x v="15"/>
    <x v="1"/>
    <x v="3"/>
    <x v="1136"/>
    <x v="251"/>
    <x v="650"/>
    <x v="7"/>
  </r>
  <r>
    <x v="787"/>
    <x v="3"/>
    <x v="27"/>
    <x v="200"/>
    <x v="88"/>
    <x v="0"/>
    <x v="0"/>
    <x v="8"/>
    <x v="1"/>
    <x v="1921"/>
    <x v="0"/>
    <x v="86"/>
    <x v="1"/>
    <x v="1"/>
    <x v="1325"/>
    <x v="226"/>
    <x v="1404"/>
    <x v="7"/>
  </r>
  <r>
    <x v="787"/>
    <x v="4"/>
    <x v="27"/>
    <x v="200"/>
    <x v="1"/>
    <x v="0"/>
    <x v="0"/>
    <x v="8"/>
    <x v="1"/>
    <x v="785"/>
    <x v="1"/>
    <x v="42"/>
    <x v="1"/>
    <x v="0"/>
    <x v="489"/>
    <x v="99"/>
    <x v="466"/>
    <x v="7"/>
  </r>
  <r>
    <x v="788"/>
    <x v="0"/>
    <x v="203"/>
    <x v="232"/>
    <x v="22"/>
    <x v="3"/>
    <x v="0"/>
    <x v="1"/>
    <x v="1"/>
    <x v="908"/>
    <x v="4"/>
    <x v="34"/>
    <x v="1"/>
    <x v="2"/>
    <x v="483"/>
    <x v="81"/>
    <x v="673"/>
    <x v="7"/>
  </r>
  <r>
    <x v="788"/>
    <x v="1"/>
    <x v="203"/>
    <x v="232"/>
    <x v="76"/>
    <x v="3"/>
    <x v="0"/>
    <x v="1"/>
    <x v="2"/>
    <x v="818"/>
    <x v="1"/>
    <x v="36"/>
    <x v="1"/>
    <x v="2"/>
    <x v="932"/>
    <x v="165"/>
    <x v="1111"/>
    <x v="7"/>
  </r>
  <r>
    <x v="788"/>
    <x v="2"/>
    <x v="203"/>
    <x v="232"/>
    <x v="98"/>
    <x v="3"/>
    <x v="0"/>
    <x v="1"/>
    <x v="1"/>
    <x v="1179"/>
    <x v="1"/>
    <x v="65"/>
    <x v="1"/>
    <x v="3"/>
    <x v="764"/>
    <x v="169"/>
    <x v="293"/>
    <x v="7"/>
  </r>
  <r>
    <x v="789"/>
    <x v="0"/>
    <x v="64"/>
    <x v="35"/>
    <x v="96"/>
    <x v="3"/>
    <x v="1"/>
    <x v="7"/>
    <x v="1"/>
    <x v="516"/>
    <x v="1"/>
    <x v="22"/>
    <x v="1"/>
    <x v="3"/>
    <x v="293"/>
    <x v="53"/>
    <x v="338"/>
    <x v="7"/>
  </r>
  <r>
    <x v="790"/>
    <x v="0"/>
    <x v="32"/>
    <x v="127"/>
    <x v="99"/>
    <x v="0"/>
    <x v="2"/>
    <x v="3"/>
    <x v="1"/>
    <x v="2206"/>
    <x v="1"/>
    <x v="80"/>
    <x v="1"/>
    <x v="0"/>
    <x v="1414"/>
    <x v="209"/>
    <x v="1687"/>
    <x v="7"/>
  </r>
  <r>
    <x v="790"/>
    <x v="1"/>
    <x v="32"/>
    <x v="127"/>
    <x v="49"/>
    <x v="0"/>
    <x v="2"/>
    <x v="3"/>
    <x v="3"/>
    <x v="882"/>
    <x v="4"/>
    <x v="45"/>
    <x v="1"/>
    <x v="1"/>
    <x v="1241"/>
    <x v="272"/>
    <x v="502"/>
    <x v="7"/>
  </r>
  <r>
    <x v="790"/>
    <x v="2"/>
    <x v="32"/>
    <x v="127"/>
    <x v="42"/>
    <x v="0"/>
    <x v="2"/>
    <x v="3"/>
    <x v="3"/>
    <x v="519"/>
    <x v="4"/>
    <x v="23"/>
    <x v="1"/>
    <x v="3"/>
    <x v="699"/>
    <x v="157"/>
    <x v="200"/>
    <x v="7"/>
  </r>
  <r>
    <x v="790"/>
    <x v="3"/>
    <x v="32"/>
    <x v="127"/>
    <x v="0"/>
    <x v="0"/>
    <x v="2"/>
    <x v="3"/>
    <x v="1"/>
    <x v="913"/>
    <x v="3"/>
    <x v="32"/>
    <x v="1"/>
    <x v="1"/>
    <x v="521"/>
    <x v="73"/>
    <x v="871"/>
    <x v="7"/>
  </r>
  <r>
    <x v="791"/>
    <x v="0"/>
    <x v="67"/>
    <x v="206"/>
    <x v="85"/>
    <x v="1"/>
    <x v="2"/>
    <x v="3"/>
    <x v="1"/>
    <x v="1738"/>
    <x v="0"/>
    <x v="88"/>
    <x v="1"/>
    <x v="2"/>
    <x v="1214"/>
    <x v="231"/>
    <x v="1135"/>
    <x v="7"/>
  </r>
  <r>
    <x v="791"/>
    <x v="1"/>
    <x v="67"/>
    <x v="206"/>
    <x v="61"/>
    <x v="1"/>
    <x v="2"/>
    <x v="3"/>
    <x v="1"/>
    <x v="885"/>
    <x v="0"/>
    <x v="46"/>
    <x v="1"/>
    <x v="0"/>
    <x v="597"/>
    <x v="111"/>
    <x v="637"/>
    <x v="7"/>
  </r>
  <r>
    <x v="791"/>
    <x v="2"/>
    <x v="67"/>
    <x v="206"/>
    <x v="52"/>
    <x v="1"/>
    <x v="2"/>
    <x v="3"/>
    <x v="6"/>
    <x v="1102"/>
    <x v="2"/>
    <x v="40"/>
    <x v="1"/>
    <x v="2"/>
    <x v="2106"/>
    <x v="428"/>
    <x v="2199"/>
    <x v="7"/>
  </r>
  <r>
    <x v="792"/>
    <x v="0"/>
    <x v="230"/>
    <x v="205"/>
    <x v="87"/>
    <x v="2"/>
    <x v="0"/>
    <x v="6"/>
    <x v="6"/>
    <x v="640"/>
    <x v="3"/>
    <x v="33"/>
    <x v="1"/>
    <x v="3"/>
    <x v="1751"/>
    <x v="392"/>
    <x v="747"/>
    <x v="7"/>
  </r>
  <r>
    <x v="792"/>
    <x v="1"/>
    <x v="230"/>
    <x v="205"/>
    <x v="95"/>
    <x v="2"/>
    <x v="0"/>
    <x v="6"/>
    <x v="5"/>
    <x v="946"/>
    <x v="0"/>
    <x v="52"/>
    <x v="1"/>
    <x v="1"/>
    <x v="1865"/>
    <x v="398"/>
    <x v="1525"/>
    <x v="7"/>
  </r>
  <r>
    <x v="793"/>
    <x v="0"/>
    <x v="206"/>
    <x v="25"/>
    <x v="16"/>
    <x v="0"/>
    <x v="2"/>
    <x v="3"/>
    <x v="2"/>
    <x v="1346"/>
    <x v="0"/>
    <x v="51"/>
    <x v="1"/>
    <x v="1"/>
    <x v="1568"/>
    <x v="230"/>
    <x v="1859"/>
    <x v="7"/>
  </r>
  <r>
    <x v="793"/>
    <x v="1"/>
    <x v="206"/>
    <x v="25"/>
    <x v="57"/>
    <x v="0"/>
    <x v="2"/>
    <x v="3"/>
    <x v="1"/>
    <x v="719"/>
    <x v="3"/>
    <x v="25"/>
    <x v="1"/>
    <x v="2"/>
    <x v="415"/>
    <x v="58"/>
    <x v="717"/>
    <x v="7"/>
  </r>
  <r>
    <x v="794"/>
    <x v="0"/>
    <x v="262"/>
    <x v="35"/>
    <x v="6"/>
    <x v="1"/>
    <x v="1"/>
    <x v="0"/>
    <x v="2"/>
    <x v="1428"/>
    <x v="0"/>
    <x v="76"/>
    <x v="0"/>
    <x v="0"/>
    <x v="1621"/>
    <x v="318"/>
    <x v="1365"/>
    <x v="7"/>
  </r>
  <r>
    <x v="795"/>
    <x v="0"/>
    <x v="61"/>
    <x v="217"/>
    <x v="7"/>
    <x v="0"/>
    <x v="2"/>
    <x v="7"/>
    <x v="1"/>
    <x v="85"/>
    <x v="0"/>
    <x v="4"/>
    <x v="2"/>
    <x v="0"/>
    <x v="43"/>
    <x v="6"/>
    <x v="142"/>
    <x v="7"/>
  </r>
  <r>
    <x v="796"/>
    <x v="0"/>
    <x v="257"/>
    <x v="129"/>
    <x v="44"/>
    <x v="0"/>
    <x v="1"/>
    <x v="7"/>
    <x v="1"/>
    <x v="1399"/>
    <x v="0"/>
    <x v="57"/>
    <x v="1"/>
    <x v="2"/>
    <x v="941"/>
    <x v="144"/>
    <x v="1352"/>
    <x v="7"/>
  </r>
  <r>
    <x v="796"/>
    <x v="1"/>
    <x v="257"/>
    <x v="129"/>
    <x v="11"/>
    <x v="0"/>
    <x v="1"/>
    <x v="7"/>
    <x v="4"/>
    <x v="2258"/>
    <x v="0"/>
    <x v="87"/>
    <x v="2"/>
    <x v="2"/>
    <x v="2188"/>
    <x v="483"/>
    <x v="2232"/>
    <x v="7"/>
  </r>
  <r>
    <x v="796"/>
    <x v="2"/>
    <x v="257"/>
    <x v="129"/>
    <x v="84"/>
    <x v="0"/>
    <x v="1"/>
    <x v="7"/>
    <x v="3"/>
    <x v="1749"/>
    <x v="3"/>
    <x v="89"/>
    <x v="1"/>
    <x v="1"/>
    <x v="1917"/>
    <x v="437"/>
    <x v="1109"/>
    <x v="7"/>
  </r>
  <r>
    <x v="796"/>
    <x v="3"/>
    <x v="257"/>
    <x v="129"/>
    <x v="87"/>
    <x v="0"/>
    <x v="1"/>
    <x v="7"/>
    <x v="2"/>
    <x v="628"/>
    <x v="2"/>
    <x v="33"/>
    <x v="1"/>
    <x v="0"/>
    <x v="672"/>
    <x v="148"/>
    <x v="368"/>
    <x v="7"/>
  </r>
  <r>
    <x v="797"/>
    <x v="0"/>
    <x v="233"/>
    <x v="70"/>
    <x v="29"/>
    <x v="0"/>
    <x v="0"/>
    <x v="7"/>
    <x v="3"/>
    <x v="2111"/>
    <x v="3"/>
    <x v="97"/>
    <x v="1"/>
    <x v="0"/>
    <x v="1992"/>
    <x v="473"/>
    <x v="1007"/>
    <x v="7"/>
  </r>
  <r>
    <x v="798"/>
    <x v="0"/>
    <x v="249"/>
    <x v="60"/>
    <x v="98"/>
    <x v="1"/>
    <x v="2"/>
    <x v="0"/>
    <x v="1"/>
    <x v="1318"/>
    <x v="4"/>
    <x v="65"/>
    <x v="1"/>
    <x v="3"/>
    <x v="746"/>
    <x v="169"/>
    <x v="129"/>
    <x v="7"/>
  </r>
  <r>
    <x v="798"/>
    <x v="1"/>
    <x v="249"/>
    <x v="60"/>
    <x v="51"/>
    <x v="1"/>
    <x v="2"/>
    <x v="0"/>
    <x v="1"/>
    <x v="1373"/>
    <x v="4"/>
    <x v="53"/>
    <x v="1"/>
    <x v="2"/>
    <x v="769"/>
    <x v="131"/>
    <x v="992"/>
    <x v="7"/>
  </r>
  <r>
    <x v="798"/>
    <x v="2"/>
    <x v="249"/>
    <x v="60"/>
    <x v="83"/>
    <x v="1"/>
    <x v="2"/>
    <x v="0"/>
    <x v="2"/>
    <x v="123"/>
    <x v="0"/>
    <x v="8"/>
    <x v="1"/>
    <x v="0"/>
    <x v="209"/>
    <x v="32"/>
    <x v="348"/>
    <x v="7"/>
  </r>
  <r>
    <x v="798"/>
    <x v="3"/>
    <x v="249"/>
    <x v="60"/>
    <x v="63"/>
    <x v="1"/>
    <x v="2"/>
    <x v="0"/>
    <x v="1"/>
    <x v="2102"/>
    <x v="0"/>
    <x v="98"/>
    <x v="2"/>
    <x v="0"/>
    <x v="1409"/>
    <x v="271"/>
    <x v="1086"/>
    <x v="7"/>
  </r>
  <r>
    <x v="798"/>
    <x v="4"/>
    <x v="249"/>
    <x v="60"/>
    <x v="80"/>
    <x v="1"/>
    <x v="2"/>
    <x v="0"/>
    <x v="4"/>
    <x v="1106"/>
    <x v="3"/>
    <x v="56"/>
    <x v="1"/>
    <x v="2"/>
    <x v="1727"/>
    <x v="379"/>
    <x v="995"/>
    <x v="7"/>
  </r>
  <r>
    <x v="799"/>
    <x v="0"/>
    <x v="181"/>
    <x v="58"/>
    <x v="87"/>
    <x v="2"/>
    <x v="0"/>
    <x v="5"/>
    <x v="3"/>
    <x v="644"/>
    <x v="2"/>
    <x v="33"/>
    <x v="1"/>
    <x v="0"/>
    <x v="976"/>
    <x v="219"/>
    <x v="630"/>
    <x v="7"/>
  </r>
  <r>
    <x v="800"/>
    <x v="0"/>
    <x v="181"/>
    <x v="47"/>
    <x v="88"/>
    <x v="3"/>
    <x v="0"/>
    <x v="8"/>
    <x v="1"/>
    <x v="2146"/>
    <x v="0"/>
    <x v="86"/>
    <x v="0"/>
    <x v="0"/>
    <x v="1433"/>
    <x v="226"/>
    <x v="1623"/>
    <x v="7"/>
  </r>
  <r>
    <x v="800"/>
    <x v="1"/>
    <x v="181"/>
    <x v="47"/>
    <x v="10"/>
    <x v="3"/>
    <x v="0"/>
    <x v="8"/>
    <x v="1"/>
    <x v="342"/>
    <x v="4"/>
    <x v="14"/>
    <x v="2"/>
    <x v="1"/>
    <x v="149"/>
    <x v="31"/>
    <x v="121"/>
    <x v="7"/>
  </r>
  <r>
    <x v="800"/>
    <x v="2"/>
    <x v="181"/>
    <x v="47"/>
    <x v="36"/>
    <x v="3"/>
    <x v="0"/>
    <x v="8"/>
    <x v="1"/>
    <x v="2103"/>
    <x v="0"/>
    <x v="91"/>
    <x v="1"/>
    <x v="1"/>
    <x v="1410"/>
    <x v="241"/>
    <x v="1476"/>
    <x v="7"/>
  </r>
  <r>
    <x v="801"/>
    <x v="0"/>
    <x v="196"/>
    <x v="113"/>
    <x v="68"/>
    <x v="2"/>
    <x v="2"/>
    <x v="6"/>
    <x v="6"/>
    <x v="1754"/>
    <x v="1"/>
    <x v="83"/>
    <x v="1"/>
    <x v="3"/>
    <x v="2245"/>
    <x v="544"/>
    <x v="2224"/>
    <x v="7"/>
  </r>
  <r>
    <x v="801"/>
    <x v="1"/>
    <x v="196"/>
    <x v="113"/>
    <x v="35"/>
    <x v="2"/>
    <x v="2"/>
    <x v="6"/>
    <x v="3"/>
    <x v="288"/>
    <x v="0"/>
    <x v="11"/>
    <x v="1"/>
    <x v="0"/>
    <x v="516"/>
    <x v="71"/>
    <x v="896"/>
    <x v="7"/>
  </r>
  <r>
    <x v="801"/>
    <x v="2"/>
    <x v="196"/>
    <x v="113"/>
    <x v="72"/>
    <x v="2"/>
    <x v="2"/>
    <x v="6"/>
    <x v="2"/>
    <x v="1232"/>
    <x v="0"/>
    <x v="66"/>
    <x v="1"/>
    <x v="0"/>
    <x v="1511"/>
    <x v="290"/>
    <x v="1026"/>
    <x v="7"/>
  </r>
  <r>
    <x v="801"/>
    <x v="3"/>
    <x v="196"/>
    <x v="113"/>
    <x v="46"/>
    <x v="2"/>
    <x v="2"/>
    <x v="6"/>
    <x v="6"/>
    <x v="1692"/>
    <x v="1"/>
    <x v="85"/>
    <x v="1"/>
    <x v="0"/>
    <x v="2238"/>
    <x v="545"/>
    <x v="2180"/>
    <x v="7"/>
  </r>
  <r>
    <x v="802"/>
    <x v="0"/>
    <x v="68"/>
    <x v="243"/>
    <x v="89"/>
    <x v="1"/>
    <x v="0"/>
    <x v="7"/>
    <x v="2"/>
    <x v="707"/>
    <x v="0"/>
    <x v="26"/>
    <x v="1"/>
    <x v="0"/>
    <x v="834"/>
    <x v="127"/>
    <x v="1245"/>
    <x v="7"/>
  </r>
  <r>
    <x v="802"/>
    <x v="1"/>
    <x v="68"/>
    <x v="243"/>
    <x v="34"/>
    <x v="1"/>
    <x v="0"/>
    <x v="7"/>
    <x v="1"/>
    <x v="1169"/>
    <x v="4"/>
    <x v="58"/>
    <x v="1"/>
    <x v="1"/>
    <x v="650"/>
    <x v="149"/>
    <x v="178"/>
    <x v="7"/>
  </r>
  <r>
    <x v="802"/>
    <x v="2"/>
    <x v="68"/>
    <x v="243"/>
    <x v="46"/>
    <x v="1"/>
    <x v="0"/>
    <x v="7"/>
    <x v="2"/>
    <x v="1851"/>
    <x v="1"/>
    <x v="85"/>
    <x v="1"/>
    <x v="2"/>
    <x v="1765"/>
    <x v="345"/>
    <x v="1765"/>
    <x v="7"/>
  </r>
  <r>
    <x v="803"/>
    <x v="0"/>
    <x v="134"/>
    <x v="244"/>
    <x v="71"/>
    <x v="1"/>
    <x v="0"/>
    <x v="0"/>
    <x v="1"/>
    <x v="202"/>
    <x v="2"/>
    <x v="6"/>
    <x v="1"/>
    <x v="1"/>
    <x v="95"/>
    <x v="10"/>
    <x v="288"/>
    <x v="7"/>
  </r>
  <r>
    <x v="803"/>
    <x v="1"/>
    <x v="134"/>
    <x v="244"/>
    <x v="31"/>
    <x v="1"/>
    <x v="0"/>
    <x v="0"/>
    <x v="2"/>
    <x v="348"/>
    <x v="0"/>
    <x v="12"/>
    <x v="1"/>
    <x v="3"/>
    <x v="419"/>
    <x v="52"/>
    <x v="793"/>
    <x v="7"/>
  </r>
  <r>
    <x v="803"/>
    <x v="2"/>
    <x v="134"/>
    <x v="244"/>
    <x v="76"/>
    <x v="1"/>
    <x v="0"/>
    <x v="0"/>
    <x v="2"/>
    <x v="780"/>
    <x v="0"/>
    <x v="36"/>
    <x v="1"/>
    <x v="0"/>
    <x v="915"/>
    <x v="165"/>
    <x v="1079"/>
    <x v="7"/>
  </r>
  <r>
    <x v="803"/>
    <x v="3"/>
    <x v="134"/>
    <x v="244"/>
    <x v="98"/>
    <x v="1"/>
    <x v="0"/>
    <x v="0"/>
    <x v="1"/>
    <x v="1319"/>
    <x v="3"/>
    <x v="65"/>
    <x v="1"/>
    <x v="1"/>
    <x v="777"/>
    <x v="169"/>
    <x v="402"/>
    <x v="7"/>
  </r>
  <r>
    <x v="804"/>
    <x v="0"/>
    <x v="14"/>
    <x v="94"/>
    <x v="83"/>
    <x v="2"/>
    <x v="0"/>
    <x v="4"/>
    <x v="1"/>
    <x v="114"/>
    <x v="0"/>
    <x v="8"/>
    <x v="1"/>
    <x v="1"/>
    <x v="60"/>
    <x v="12"/>
    <x v="138"/>
    <x v="7"/>
  </r>
  <r>
    <x v="804"/>
    <x v="1"/>
    <x v="14"/>
    <x v="94"/>
    <x v="62"/>
    <x v="2"/>
    <x v="0"/>
    <x v="4"/>
    <x v="1"/>
    <x v="1264"/>
    <x v="0"/>
    <x v="67"/>
    <x v="1"/>
    <x v="2"/>
    <x v="850"/>
    <x v="177"/>
    <x v="721"/>
    <x v="7"/>
  </r>
  <r>
    <x v="804"/>
    <x v="2"/>
    <x v="14"/>
    <x v="94"/>
    <x v="48"/>
    <x v="2"/>
    <x v="0"/>
    <x v="4"/>
    <x v="1"/>
    <x v="398"/>
    <x v="0"/>
    <x v="17"/>
    <x v="1"/>
    <x v="0"/>
    <x v="251"/>
    <x v="39"/>
    <x v="460"/>
    <x v="7"/>
  </r>
  <r>
    <x v="805"/>
    <x v="0"/>
    <x v="242"/>
    <x v="110"/>
    <x v="16"/>
    <x v="1"/>
    <x v="0"/>
    <x v="7"/>
    <x v="2"/>
    <x v="1366"/>
    <x v="3"/>
    <x v="51"/>
    <x v="1"/>
    <x v="0"/>
    <x v="1462"/>
    <x v="230"/>
    <x v="1659"/>
    <x v="7"/>
  </r>
  <r>
    <x v="805"/>
    <x v="1"/>
    <x v="242"/>
    <x v="110"/>
    <x v="42"/>
    <x v="1"/>
    <x v="0"/>
    <x v="7"/>
    <x v="3"/>
    <x v="525"/>
    <x v="0"/>
    <x v="23"/>
    <x v="1"/>
    <x v="3"/>
    <x v="844"/>
    <x v="157"/>
    <x v="917"/>
    <x v="7"/>
  </r>
  <r>
    <x v="806"/>
    <x v="0"/>
    <x v="56"/>
    <x v="156"/>
    <x v="79"/>
    <x v="2"/>
    <x v="0"/>
    <x v="1"/>
    <x v="1"/>
    <x v="1560"/>
    <x v="0"/>
    <x v="64"/>
    <x v="1"/>
    <x v="0"/>
    <x v="1091"/>
    <x v="168"/>
    <x v="1384"/>
    <x v="7"/>
  </r>
  <r>
    <x v="806"/>
    <x v="1"/>
    <x v="56"/>
    <x v="156"/>
    <x v="26"/>
    <x v="2"/>
    <x v="0"/>
    <x v="1"/>
    <x v="1"/>
    <x v="2156"/>
    <x v="4"/>
    <x v="74"/>
    <x v="1"/>
    <x v="1"/>
    <x v="1171"/>
    <x v="194"/>
    <x v="1413"/>
    <x v="7"/>
  </r>
  <r>
    <x v="807"/>
    <x v="0"/>
    <x v="242"/>
    <x v="114"/>
    <x v="97"/>
    <x v="2"/>
    <x v="1"/>
    <x v="7"/>
    <x v="1"/>
    <x v="285"/>
    <x v="2"/>
    <x v="15"/>
    <x v="1"/>
    <x v="3"/>
    <x v="137"/>
    <x v="33"/>
    <x v="85"/>
    <x v="7"/>
  </r>
  <r>
    <x v="807"/>
    <x v="1"/>
    <x v="242"/>
    <x v="114"/>
    <x v="38"/>
    <x v="2"/>
    <x v="1"/>
    <x v="7"/>
    <x v="2"/>
    <x v="1108"/>
    <x v="4"/>
    <x v="39"/>
    <x v="1"/>
    <x v="3"/>
    <x v="1109"/>
    <x v="174"/>
    <x v="1396"/>
    <x v="7"/>
  </r>
  <r>
    <x v="807"/>
    <x v="2"/>
    <x v="242"/>
    <x v="114"/>
    <x v="32"/>
    <x v="2"/>
    <x v="1"/>
    <x v="7"/>
    <x v="1"/>
    <x v="1197"/>
    <x v="3"/>
    <x v="50"/>
    <x v="1"/>
    <x v="3"/>
    <x v="697"/>
    <x v="119"/>
    <x v="949"/>
    <x v="7"/>
  </r>
  <r>
    <x v="807"/>
    <x v="3"/>
    <x v="242"/>
    <x v="114"/>
    <x v="15"/>
    <x v="2"/>
    <x v="1"/>
    <x v="7"/>
    <x v="1"/>
    <x v="1073"/>
    <x v="0"/>
    <x v="38"/>
    <x v="1"/>
    <x v="3"/>
    <x v="722"/>
    <x v="93"/>
    <x v="1226"/>
    <x v="7"/>
  </r>
  <r>
    <x v="807"/>
    <x v="4"/>
    <x v="242"/>
    <x v="114"/>
    <x v="50"/>
    <x v="2"/>
    <x v="1"/>
    <x v="7"/>
    <x v="2"/>
    <x v="2004"/>
    <x v="2"/>
    <x v="77"/>
    <x v="1"/>
    <x v="3"/>
    <x v="1771"/>
    <x v="319"/>
    <x v="1921"/>
    <x v="7"/>
  </r>
  <r>
    <x v="808"/>
    <x v="0"/>
    <x v="41"/>
    <x v="85"/>
    <x v="79"/>
    <x v="2"/>
    <x v="1"/>
    <x v="4"/>
    <x v="1"/>
    <x v="1623"/>
    <x v="0"/>
    <x v="64"/>
    <x v="1"/>
    <x v="0"/>
    <x v="1135"/>
    <x v="168"/>
    <x v="1498"/>
    <x v="7"/>
  </r>
  <r>
    <x v="809"/>
    <x v="0"/>
    <x v="132"/>
    <x v="11"/>
    <x v="15"/>
    <x v="1"/>
    <x v="1"/>
    <x v="9"/>
    <x v="5"/>
    <x v="971"/>
    <x v="2"/>
    <x v="38"/>
    <x v="1"/>
    <x v="2"/>
    <x v="1812"/>
    <x v="335"/>
    <x v="1922"/>
    <x v="7"/>
  </r>
  <r>
    <x v="809"/>
    <x v="1"/>
    <x v="132"/>
    <x v="11"/>
    <x v="78"/>
    <x v="1"/>
    <x v="1"/>
    <x v="9"/>
    <x v="2"/>
    <x v="561"/>
    <x v="3"/>
    <x v="20"/>
    <x v="1"/>
    <x v="0"/>
    <x v="591"/>
    <x v="98"/>
    <x v="781"/>
    <x v="7"/>
  </r>
  <r>
    <x v="809"/>
    <x v="2"/>
    <x v="132"/>
    <x v="11"/>
    <x v="12"/>
    <x v="1"/>
    <x v="1"/>
    <x v="9"/>
    <x v="6"/>
    <x v="1696"/>
    <x v="0"/>
    <x v="75"/>
    <x v="1"/>
    <x v="0"/>
    <x v="2250"/>
    <x v="538"/>
    <x v="2259"/>
    <x v="7"/>
  </r>
  <r>
    <x v="809"/>
    <x v="3"/>
    <x v="132"/>
    <x v="11"/>
    <x v="48"/>
    <x v="1"/>
    <x v="1"/>
    <x v="9"/>
    <x v="1"/>
    <x v="386"/>
    <x v="4"/>
    <x v="17"/>
    <x v="1"/>
    <x v="2"/>
    <x v="193"/>
    <x v="39"/>
    <x v="123"/>
    <x v="7"/>
  </r>
  <r>
    <x v="810"/>
    <x v="0"/>
    <x v="155"/>
    <x v="92"/>
    <x v="64"/>
    <x v="2"/>
    <x v="0"/>
    <x v="8"/>
    <x v="2"/>
    <x v="1635"/>
    <x v="3"/>
    <x v="69"/>
    <x v="1"/>
    <x v="0"/>
    <x v="1624"/>
    <x v="296"/>
    <x v="1636"/>
    <x v="7"/>
  </r>
  <r>
    <x v="810"/>
    <x v="1"/>
    <x v="155"/>
    <x v="92"/>
    <x v="42"/>
    <x v="2"/>
    <x v="0"/>
    <x v="8"/>
    <x v="1"/>
    <x v="485"/>
    <x v="1"/>
    <x v="23"/>
    <x v="1"/>
    <x v="1"/>
    <x v="269"/>
    <x v="54"/>
    <x v="205"/>
    <x v="7"/>
  </r>
  <r>
    <x v="811"/>
    <x v="0"/>
    <x v="230"/>
    <x v="187"/>
    <x v="72"/>
    <x v="0"/>
    <x v="0"/>
    <x v="0"/>
    <x v="3"/>
    <x v="1320"/>
    <x v="2"/>
    <x v="66"/>
    <x v="1"/>
    <x v="2"/>
    <x v="1724"/>
    <x v="372"/>
    <x v="1151"/>
    <x v="7"/>
  </r>
  <r>
    <x v="811"/>
    <x v="1"/>
    <x v="230"/>
    <x v="187"/>
    <x v="3"/>
    <x v="0"/>
    <x v="0"/>
    <x v="0"/>
    <x v="5"/>
    <x v="1683"/>
    <x v="0"/>
    <x v="73"/>
    <x v="1"/>
    <x v="0"/>
    <x v="2165"/>
    <x v="482"/>
    <x v="2206"/>
    <x v="7"/>
  </r>
  <r>
    <x v="811"/>
    <x v="2"/>
    <x v="230"/>
    <x v="187"/>
    <x v="38"/>
    <x v="0"/>
    <x v="0"/>
    <x v="0"/>
    <x v="1"/>
    <x v="1033"/>
    <x v="0"/>
    <x v="39"/>
    <x v="1"/>
    <x v="3"/>
    <x v="682"/>
    <x v="94"/>
    <x v="1133"/>
    <x v="7"/>
  </r>
  <r>
    <x v="811"/>
    <x v="3"/>
    <x v="230"/>
    <x v="187"/>
    <x v="42"/>
    <x v="0"/>
    <x v="0"/>
    <x v="0"/>
    <x v="1"/>
    <x v="498"/>
    <x v="1"/>
    <x v="23"/>
    <x v="1"/>
    <x v="0"/>
    <x v="287"/>
    <x v="54"/>
    <x v="260"/>
    <x v="7"/>
  </r>
  <r>
    <x v="812"/>
    <x v="0"/>
    <x v="205"/>
    <x v="30"/>
    <x v="79"/>
    <x v="3"/>
    <x v="2"/>
    <x v="3"/>
    <x v="1"/>
    <x v="1487"/>
    <x v="1"/>
    <x v="64"/>
    <x v="1"/>
    <x v="2"/>
    <x v="974"/>
    <x v="168"/>
    <x v="1156"/>
    <x v="7"/>
  </r>
  <r>
    <x v="812"/>
    <x v="1"/>
    <x v="205"/>
    <x v="30"/>
    <x v="56"/>
    <x v="3"/>
    <x v="2"/>
    <x v="3"/>
    <x v="2"/>
    <x v="800"/>
    <x v="0"/>
    <x v="44"/>
    <x v="1"/>
    <x v="3"/>
    <x v="954"/>
    <x v="197"/>
    <x v="867"/>
    <x v="7"/>
  </r>
  <r>
    <x v="812"/>
    <x v="2"/>
    <x v="205"/>
    <x v="30"/>
    <x v="65"/>
    <x v="3"/>
    <x v="2"/>
    <x v="3"/>
    <x v="4"/>
    <x v="2239"/>
    <x v="0"/>
    <x v="95"/>
    <x v="1"/>
    <x v="0"/>
    <x v="2181"/>
    <x v="503"/>
    <x v="2185"/>
    <x v="7"/>
  </r>
  <r>
    <x v="813"/>
    <x v="0"/>
    <x v="39"/>
    <x v="45"/>
    <x v="83"/>
    <x v="1"/>
    <x v="2"/>
    <x v="2"/>
    <x v="1"/>
    <x v="127"/>
    <x v="0"/>
    <x v="8"/>
    <x v="1"/>
    <x v="2"/>
    <x v="71"/>
    <x v="12"/>
    <x v="169"/>
    <x v="7"/>
  </r>
  <r>
    <x v="814"/>
    <x v="0"/>
    <x v="218"/>
    <x v="19"/>
    <x v="95"/>
    <x v="3"/>
    <x v="1"/>
    <x v="8"/>
    <x v="2"/>
    <x v="937"/>
    <x v="0"/>
    <x v="52"/>
    <x v="1"/>
    <x v="1"/>
    <x v="1119"/>
    <x v="232"/>
    <x v="870"/>
    <x v="7"/>
  </r>
  <r>
    <x v="814"/>
    <x v="1"/>
    <x v="218"/>
    <x v="19"/>
    <x v="88"/>
    <x v="3"/>
    <x v="1"/>
    <x v="8"/>
    <x v="5"/>
    <x v="1780"/>
    <x v="4"/>
    <x v="86"/>
    <x v="1"/>
    <x v="0"/>
    <x v="2114"/>
    <x v="508"/>
    <x v="1514"/>
    <x v="7"/>
  </r>
  <r>
    <x v="814"/>
    <x v="2"/>
    <x v="218"/>
    <x v="19"/>
    <x v="24"/>
    <x v="3"/>
    <x v="1"/>
    <x v="8"/>
    <x v="2"/>
    <x v="594"/>
    <x v="3"/>
    <x v="19"/>
    <x v="1"/>
    <x v="3"/>
    <x v="618"/>
    <x v="92"/>
    <x v="955"/>
    <x v="7"/>
  </r>
  <r>
    <x v="815"/>
    <x v="0"/>
    <x v="148"/>
    <x v="61"/>
    <x v="76"/>
    <x v="3"/>
    <x v="1"/>
    <x v="2"/>
    <x v="2"/>
    <x v="801"/>
    <x v="4"/>
    <x v="36"/>
    <x v="1"/>
    <x v="2"/>
    <x v="800"/>
    <x v="165"/>
    <x v="646"/>
    <x v="7"/>
  </r>
  <r>
    <x v="816"/>
    <x v="0"/>
    <x v="230"/>
    <x v="207"/>
    <x v="43"/>
    <x v="2"/>
    <x v="2"/>
    <x v="6"/>
    <x v="2"/>
    <x v="26"/>
    <x v="0"/>
    <x v="1"/>
    <x v="1"/>
    <x v="3"/>
    <x v="57"/>
    <x v="8"/>
    <x v="189"/>
    <x v="7"/>
  </r>
  <r>
    <x v="816"/>
    <x v="1"/>
    <x v="230"/>
    <x v="207"/>
    <x v="51"/>
    <x v="2"/>
    <x v="2"/>
    <x v="6"/>
    <x v="5"/>
    <x v="1357"/>
    <x v="3"/>
    <x v="53"/>
    <x v="1"/>
    <x v="1"/>
    <x v="1999"/>
    <x v="402"/>
    <x v="2064"/>
    <x v="7"/>
  </r>
  <r>
    <x v="817"/>
    <x v="0"/>
    <x v="203"/>
    <x v="252"/>
    <x v="17"/>
    <x v="2"/>
    <x v="0"/>
    <x v="7"/>
    <x v="1"/>
    <x v="1878"/>
    <x v="0"/>
    <x v="92"/>
    <x v="1"/>
    <x v="0"/>
    <x v="1300"/>
    <x v="245"/>
    <x v="1188"/>
    <x v="7"/>
  </r>
  <r>
    <x v="817"/>
    <x v="1"/>
    <x v="203"/>
    <x v="252"/>
    <x v="41"/>
    <x v="2"/>
    <x v="0"/>
    <x v="7"/>
    <x v="1"/>
    <x v="889"/>
    <x v="0"/>
    <x v="35"/>
    <x v="1"/>
    <x v="2"/>
    <x v="600"/>
    <x v="87"/>
    <x v="923"/>
    <x v="7"/>
  </r>
  <r>
    <x v="818"/>
    <x v="0"/>
    <x v="140"/>
    <x v="218"/>
    <x v="46"/>
    <x v="3"/>
    <x v="2"/>
    <x v="4"/>
    <x v="4"/>
    <x v="1795"/>
    <x v="3"/>
    <x v="85"/>
    <x v="1"/>
    <x v="0"/>
    <x v="2053"/>
    <x v="477"/>
    <x v="1804"/>
    <x v="7"/>
  </r>
  <r>
    <x v="818"/>
    <x v="1"/>
    <x v="140"/>
    <x v="218"/>
    <x v="50"/>
    <x v="3"/>
    <x v="2"/>
    <x v="4"/>
    <x v="1"/>
    <x v="1736"/>
    <x v="0"/>
    <x v="77"/>
    <x v="1"/>
    <x v="2"/>
    <x v="1213"/>
    <x v="200"/>
    <x v="1455"/>
    <x v="7"/>
  </r>
  <r>
    <x v="818"/>
    <x v="2"/>
    <x v="140"/>
    <x v="218"/>
    <x v="22"/>
    <x v="3"/>
    <x v="2"/>
    <x v="4"/>
    <x v="1"/>
    <x v="901"/>
    <x v="0"/>
    <x v="34"/>
    <x v="1"/>
    <x v="3"/>
    <x v="605"/>
    <x v="81"/>
    <x v="983"/>
    <x v="7"/>
  </r>
  <r>
    <x v="819"/>
    <x v="0"/>
    <x v="231"/>
    <x v="10"/>
    <x v="45"/>
    <x v="2"/>
    <x v="2"/>
    <x v="2"/>
    <x v="5"/>
    <x v="15"/>
    <x v="4"/>
    <x v="0"/>
    <x v="1"/>
    <x v="3"/>
    <x v="72"/>
    <x v="14"/>
    <x v="128"/>
    <x v="7"/>
  </r>
  <r>
    <x v="820"/>
    <x v="0"/>
    <x v="191"/>
    <x v="18"/>
    <x v="20"/>
    <x v="0"/>
    <x v="0"/>
    <x v="1"/>
    <x v="3"/>
    <x v="148"/>
    <x v="0"/>
    <x v="5"/>
    <x v="1"/>
    <x v="3"/>
    <x v="337"/>
    <x v="44"/>
    <x v="665"/>
    <x v="7"/>
  </r>
  <r>
    <x v="821"/>
    <x v="0"/>
    <x v="86"/>
    <x v="113"/>
    <x v="10"/>
    <x v="0"/>
    <x v="2"/>
    <x v="7"/>
    <x v="1"/>
    <x v="368"/>
    <x v="0"/>
    <x v="14"/>
    <x v="1"/>
    <x v="3"/>
    <x v="223"/>
    <x v="31"/>
    <x v="450"/>
    <x v="7"/>
  </r>
  <r>
    <x v="822"/>
    <x v="0"/>
    <x v="9"/>
    <x v="73"/>
    <x v="75"/>
    <x v="1"/>
    <x v="1"/>
    <x v="8"/>
    <x v="1"/>
    <x v="606"/>
    <x v="0"/>
    <x v="30"/>
    <x v="1"/>
    <x v="3"/>
    <x v="378"/>
    <x v="66"/>
    <x v="516"/>
    <x v="7"/>
  </r>
  <r>
    <x v="822"/>
    <x v="1"/>
    <x v="9"/>
    <x v="73"/>
    <x v="6"/>
    <x v="1"/>
    <x v="1"/>
    <x v="8"/>
    <x v="4"/>
    <x v="1478"/>
    <x v="0"/>
    <x v="76"/>
    <x v="1"/>
    <x v="1"/>
    <x v="2030"/>
    <x v="449"/>
    <x v="1943"/>
    <x v="7"/>
  </r>
  <r>
    <x v="823"/>
    <x v="0"/>
    <x v="36"/>
    <x v="232"/>
    <x v="36"/>
    <x v="3"/>
    <x v="1"/>
    <x v="0"/>
    <x v="2"/>
    <x v="2251"/>
    <x v="2"/>
    <x v="91"/>
    <x v="1"/>
    <x v="3"/>
    <x v="1877"/>
    <x v="363"/>
    <x v="1912"/>
    <x v="7"/>
  </r>
  <r>
    <x v="823"/>
    <x v="1"/>
    <x v="36"/>
    <x v="232"/>
    <x v="61"/>
    <x v="3"/>
    <x v="1"/>
    <x v="0"/>
    <x v="2"/>
    <x v="876"/>
    <x v="2"/>
    <x v="46"/>
    <x v="1"/>
    <x v="2"/>
    <x v="930"/>
    <x v="205"/>
    <x v="615"/>
    <x v="7"/>
  </r>
  <r>
    <x v="823"/>
    <x v="2"/>
    <x v="36"/>
    <x v="232"/>
    <x v="49"/>
    <x v="3"/>
    <x v="1"/>
    <x v="0"/>
    <x v="1"/>
    <x v="917"/>
    <x v="4"/>
    <x v="45"/>
    <x v="1"/>
    <x v="0"/>
    <x v="490"/>
    <x v="106"/>
    <x v="310"/>
    <x v="7"/>
  </r>
  <r>
    <x v="824"/>
    <x v="0"/>
    <x v="46"/>
    <x v="95"/>
    <x v="87"/>
    <x v="1"/>
    <x v="0"/>
    <x v="8"/>
    <x v="1"/>
    <x v="673"/>
    <x v="0"/>
    <x v="33"/>
    <x v="1"/>
    <x v="1"/>
    <x v="441"/>
    <x v="75"/>
    <x v="558"/>
    <x v="7"/>
  </r>
  <r>
    <x v="824"/>
    <x v="1"/>
    <x v="46"/>
    <x v="95"/>
    <x v="70"/>
    <x v="1"/>
    <x v="0"/>
    <x v="8"/>
    <x v="2"/>
    <x v="1717"/>
    <x v="0"/>
    <x v="68"/>
    <x v="1"/>
    <x v="3"/>
    <x v="1754"/>
    <x v="295"/>
    <x v="1972"/>
    <x v="7"/>
  </r>
  <r>
    <x v="824"/>
    <x v="2"/>
    <x v="46"/>
    <x v="95"/>
    <x v="75"/>
    <x v="1"/>
    <x v="0"/>
    <x v="8"/>
    <x v="1"/>
    <x v="625"/>
    <x v="0"/>
    <x v="30"/>
    <x v="1"/>
    <x v="1"/>
    <x v="397"/>
    <x v="66"/>
    <x v="564"/>
    <x v="7"/>
  </r>
  <r>
    <x v="825"/>
    <x v="0"/>
    <x v="216"/>
    <x v="242"/>
    <x v="11"/>
    <x v="1"/>
    <x v="0"/>
    <x v="9"/>
    <x v="7"/>
    <x v="2202"/>
    <x v="4"/>
    <x v="87"/>
    <x v="1"/>
    <x v="3"/>
    <x v="2283"/>
    <x v="566"/>
    <x v="2257"/>
    <x v="7"/>
  </r>
  <r>
    <x v="826"/>
    <x v="0"/>
    <x v="138"/>
    <x v="15"/>
    <x v="0"/>
    <x v="0"/>
    <x v="1"/>
    <x v="5"/>
    <x v="3"/>
    <x v="823"/>
    <x v="0"/>
    <x v="32"/>
    <x v="1"/>
    <x v="3"/>
    <x v="1432"/>
    <x v="210"/>
    <x v="1711"/>
    <x v="7"/>
  </r>
  <r>
    <x v="827"/>
    <x v="0"/>
    <x v="78"/>
    <x v="108"/>
    <x v="40"/>
    <x v="2"/>
    <x v="0"/>
    <x v="8"/>
    <x v="1"/>
    <x v="1523"/>
    <x v="0"/>
    <x v="63"/>
    <x v="1"/>
    <x v="1"/>
    <x v="1060"/>
    <x v="166"/>
    <x v="1363"/>
    <x v="7"/>
  </r>
  <r>
    <x v="827"/>
    <x v="1"/>
    <x v="78"/>
    <x v="108"/>
    <x v="94"/>
    <x v="2"/>
    <x v="0"/>
    <x v="8"/>
    <x v="1"/>
    <x v="1914"/>
    <x v="0"/>
    <x v="71"/>
    <x v="2"/>
    <x v="2"/>
    <x v="1321"/>
    <x v="184"/>
    <x v="1679"/>
    <x v="7"/>
  </r>
  <r>
    <x v="827"/>
    <x v="2"/>
    <x v="78"/>
    <x v="108"/>
    <x v="98"/>
    <x v="2"/>
    <x v="0"/>
    <x v="8"/>
    <x v="6"/>
    <x v="1171"/>
    <x v="2"/>
    <x v="65"/>
    <x v="1"/>
    <x v="1"/>
    <x v="2140"/>
    <x v="529"/>
    <x v="247"/>
    <x v="7"/>
  </r>
  <r>
    <x v="828"/>
    <x v="0"/>
    <x v="79"/>
    <x v="195"/>
    <x v="16"/>
    <x v="1"/>
    <x v="2"/>
    <x v="5"/>
    <x v="1"/>
    <x v="1276"/>
    <x v="4"/>
    <x v="51"/>
    <x v="1"/>
    <x v="0"/>
    <x v="713"/>
    <x v="123"/>
    <x v="908"/>
    <x v="7"/>
  </r>
  <r>
    <x v="828"/>
    <x v="1"/>
    <x v="79"/>
    <x v="195"/>
    <x v="97"/>
    <x v="1"/>
    <x v="2"/>
    <x v="5"/>
    <x v="2"/>
    <x v="296"/>
    <x v="0"/>
    <x v="15"/>
    <x v="1"/>
    <x v="3"/>
    <x v="350"/>
    <x v="69"/>
    <x v="381"/>
    <x v="7"/>
  </r>
  <r>
    <x v="829"/>
    <x v="0"/>
    <x v="106"/>
    <x v="68"/>
    <x v="72"/>
    <x v="1"/>
    <x v="0"/>
    <x v="0"/>
    <x v="1"/>
    <x v="1200"/>
    <x v="3"/>
    <x v="66"/>
    <x v="1"/>
    <x v="3"/>
    <x v="700"/>
    <x v="172"/>
    <x v="31"/>
    <x v="7"/>
  </r>
  <r>
    <x v="829"/>
    <x v="1"/>
    <x v="106"/>
    <x v="68"/>
    <x v="14"/>
    <x v="1"/>
    <x v="0"/>
    <x v="0"/>
    <x v="7"/>
    <x v="206"/>
    <x v="0"/>
    <x v="7"/>
    <x v="1"/>
    <x v="0"/>
    <x v="1407"/>
    <x v="186"/>
    <x v="1776"/>
    <x v="7"/>
  </r>
  <r>
    <x v="830"/>
    <x v="0"/>
    <x v="234"/>
    <x v="1"/>
    <x v="55"/>
    <x v="2"/>
    <x v="0"/>
    <x v="3"/>
    <x v="2"/>
    <x v="1014"/>
    <x v="3"/>
    <x v="54"/>
    <x v="1"/>
    <x v="1"/>
    <x v="1059"/>
    <x v="242"/>
    <x v="462"/>
    <x v="7"/>
  </r>
  <r>
    <x v="831"/>
    <x v="0"/>
    <x v="219"/>
    <x v="208"/>
    <x v="15"/>
    <x v="0"/>
    <x v="2"/>
    <x v="2"/>
    <x v="3"/>
    <x v="1059"/>
    <x v="0"/>
    <x v="38"/>
    <x v="1"/>
    <x v="1"/>
    <x v="1628"/>
    <x v="248"/>
    <x v="1928"/>
    <x v="7"/>
  </r>
  <r>
    <x v="831"/>
    <x v="1"/>
    <x v="219"/>
    <x v="208"/>
    <x v="62"/>
    <x v="0"/>
    <x v="2"/>
    <x v="2"/>
    <x v="3"/>
    <x v="1340"/>
    <x v="1"/>
    <x v="67"/>
    <x v="1"/>
    <x v="3"/>
    <x v="1766"/>
    <x v="375"/>
    <x v="1395"/>
    <x v="7"/>
  </r>
  <r>
    <x v="832"/>
    <x v="0"/>
    <x v="139"/>
    <x v="118"/>
    <x v="7"/>
    <x v="0"/>
    <x v="0"/>
    <x v="1"/>
    <x v="2"/>
    <x v="109"/>
    <x v="0"/>
    <x v="4"/>
    <x v="1"/>
    <x v="3"/>
    <x v="140"/>
    <x v="19"/>
    <x v="378"/>
    <x v="7"/>
  </r>
  <r>
    <x v="832"/>
    <x v="1"/>
    <x v="139"/>
    <x v="118"/>
    <x v="71"/>
    <x v="0"/>
    <x v="0"/>
    <x v="1"/>
    <x v="2"/>
    <x v="209"/>
    <x v="4"/>
    <x v="6"/>
    <x v="1"/>
    <x v="0"/>
    <x v="220"/>
    <x v="27"/>
    <x v="465"/>
    <x v="7"/>
  </r>
  <r>
    <x v="833"/>
    <x v="0"/>
    <x v="256"/>
    <x v="206"/>
    <x v="76"/>
    <x v="2"/>
    <x v="2"/>
    <x v="1"/>
    <x v="1"/>
    <x v="892"/>
    <x v="3"/>
    <x v="36"/>
    <x v="1"/>
    <x v="1"/>
    <x v="503"/>
    <x v="88"/>
    <x v="670"/>
    <x v="7"/>
  </r>
  <r>
    <x v="833"/>
    <x v="1"/>
    <x v="256"/>
    <x v="206"/>
    <x v="17"/>
    <x v="2"/>
    <x v="2"/>
    <x v="1"/>
    <x v="1"/>
    <x v="2216"/>
    <x v="2"/>
    <x v="92"/>
    <x v="1"/>
    <x v="0"/>
    <x v="1370"/>
    <x v="245"/>
    <x v="1351"/>
    <x v="7"/>
  </r>
  <r>
    <x v="833"/>
    <x v="2"/>
    <x v="256"/>
    <x v="206"/>
    <x v="1"/>
    <x v="2"/>
    <x v="2"/>
    <x v="1"/>
    <x v="4"/>
    <x v="765"/>
    <x v="0"/>
    <x v="42"/>
    <x v="1"/>
    <x v="1"/>
    <x v="1585"/>
    <x v="305"/>
    <x v="1260"/>
    <x v="7"/>
  </r>
  <r>
    <x v="833"/>
    <x v="3"/>
    <x v="256"/>
    <x v="206"/>
    <x v="86"/>
    <x v="2"/>
    <x v="2"/>
    <x v="1"/>
    <x v="7"/>
    <x v="1959"/>
    <x v="0"/>
    <x v="79"/>
    <x v="1"/>
    <x v="1"/>
    <x v="2287"/>
    <x v="561"/>
    <x v="2284"/>
    <x v="7"/>
  </r>
  <r>
    <x v="834"/>
    <x v="0"/>
    <x v="247"/>
    <x v="177"/>
    <x v="91"/>
    <x v="1"/>
    <x v="0"/>
    <x v="8"/>
    <x v="1"/>
    <x v="2259"/>
    <x v="0"/>
    <x v="81"/>
    <x v="1"/>
    <x v="1"/>
    <x v="1524"/>
    <x v="212"/>
    <x v="1844"/>
    <x v="7"/>
  </r>
  <r>
    <x v="834"/>
    <x v="1"/>
    <x v="247"/>
    <x v="177"/>
    <x v="33"/>
    <x v="1"/>
    <x v="0"/>
    <x v="8"/>
    <x v="1"/>
    <x v="611"/>
    <x v="0"/>
    <x v="29"/>
    <x v="1"/>
    <x v="0"/>
    <x v="381"/>
    <x v="65"/>
    <x v="529"/>
    <x v="7"/>
  </r>
  <r>
    <x v="834"/>
    <x v="2"/>
    <x v="247"/>
    <x v="177"/>
    <x v="39"/>
    <x v="1"/>
    <x v="0"/>
    <x v="8"/>
    <x v="1"/>
    <x v="1930"/>
    <x v="1"/>
    <x v="93"/>
    <x v="1"/>
    <x v="3"/>
    <x v="1261"/>
    <x v="247"/>
    <x v="1066"/>
    <x v="7"/>
  </r>
  <r>
    <x v="834"/>
    <x v="3"/>
    <x v="247"/>
    <x v="177"/>
    <x v="78"/>
    <x v="1"/>
    <x v="0"/>
    <x v="8"/>
    <x v="1"/>
    <x v="539"/>
    <x v="4"/>
    <x v="20"/>
    <x v="1"/>
    <x v="2"/>
    <x v="254"/>
    <x v="48"/>
    <x v="330"/>
    <x v="7"/>
  </r>
  <r>
    <x v="835"/>
    <x v="0"/>
    <x v="170"/>
    <x v="74"/>
    <x v="12"/>
    <x v="0"/>
    <x v="2"/>
    <x v="2"/>
    <x v="4"/>
    <x v="1684"/>
    <x v="0"/>
    <x v="75"/>
    <x v="1"/>
    <x v="3"/>
    <x v="2091"/>
    <x v="446"/>
    <x v="2148"/>
    <x v="7"/>
  </r>
  <r>
    <x v="835"/>
    <x v="1"/>
    <x v="170"/>
    <x v="74"/>
    <x v="52"/>
    <x v="0"/>
    <x v="2"/>
    <x v="2"/>
    <x v="2"/>
    <x v="1017"/>
    <x v="0"/>
    <x v="40"/>
    <x v="0"/>
    <x v="2"/>
    <x v="1232"/>
    <x v="176"/>
    <x v="1619"/>
    <x v="7"/>
  </r>
  <r>
    <x v="836"/>
    <x v="0"/>
    <x v="204"/>
    <x v="253"/>
    <x v="11"/>
    <x v="2"/>
    <x v="2"/>
    <x v="5"/>
    <x v="4"/>
    <x v="2237"/>
    <x v="4"/>
    <x v="87"/>
    <x v="1"/>
    <x v="1"/>
    <x v="2115"/>
    <x v="483"/>
    <x v="2062"/>
    <x v="7"/>
  </r>
  <r>
    <x v="836"/>
    <x v="1"/>
    <x v="204"/>
    <x v="253"/>
    <x v="14"/>
    <x v="2"/>
    <x v="2"/>
    <x v="5"/>
    <x v="1"/>
    <x v="215"/>
    <x v="1"/>
    <x v="7"/>
    <x v="1"/>
    <x v="1"/>
    <x v="107"/>
    <x v="11"/>
    <x v="370"/>
    <x v="7"/>
  </r>
  <r>
    <x v="836"/>
    <x v="2"/>
    <x v="204"/>
    <x v="253"/>
    <x v="97"/>
    <x v="2"/>
    <x v="2"/>
    <x v="5"/>
    <x v="1"/>
    <x v="302"/>
    <x v="0"/>
    <x v="15"/>
    <x v="1"/>
    <x v="3"/>
    <x v="175"/>
    <x v="33"/>
    <x v="201"/>
    <x v="7"/>
  </r>
  <r>
    <x v="836"/>
    <x v="3"/>
    <x v="204"/>
    <x v="253"/>
    <x v="87"/>
    <x v="2"/>
    <x v="2"/>
    <x v="5"/>
    <x v="3"/>
    <x v="618"/>
    <x v="1"/>
    <x v="33"/>
    <x v="1"/>
    <x v="1"/>
    <x v="970"/>
    <x v="219"/>
    <x v="616"/>
    <x v="7"/>
  </r>
  <r>
    <x v="837"/>
    <x v="0"/>
    <x v="70"/>
    <x v="229"/>
    <x v="81"/>
    <x v="0"/>
    <x v="0"/>
    <x v="3"/>
    <x v="1"/>
    <x v="48"/>
    <x v="0"/>
    <x v="3"/>
    <x v="1"/>
    <x v="3"/>
    <x v="26"/>
    <x v="5"/>
    <x v="105"/>
    <x v="7"/>
  </r>
  <r>
    <x v="838"/>
    <x v="0"/>
    <x v="240"/>
    <x v="183"/>
    <x v="20"/>
    <x v="1"/>
    <x v="1"/>
    <x v="6"/>
    <x v="6"/>
    <x v="154"/>
    <x v="0"/>
    <x v="5"/>
    <x v="1"/>
    <x v="2"/>
    <x v="838"/>
    <x v="122"/>
    <x v="1289"/>
    <x v="7"/>
  </r>
  <r>
    <x v="839"/>
    <x v="0"/>
    <x v="146"/>
    <x v="196"/>
    <x v="83"/>
    <x v="1"/>
    <x v="1"/>
    <x v="6"/>
    <x v="1"/>
    <x v="122"/>
    <x v="3"/>
    <x v="8"/>
    <x v="1"/>
    <x v="3"/>
    <x v="53"/>
    <x v="12"/>
    <x v="90"/>
    <x v="7"/>
  </r>
  <r>
    <x v="839"/>
    <x v="1"/>
    <x v="146"/>
    <x v="196"/>
    <x v="40"/>
    <x v="1"/>
    <x v="1"/>
    <x v="6"/>
    <x v="2"/>
    <x v="1497"/>
    <x v="0"/>
    <x v="63"/>
    <x v="1"/>
    <x v="1"/>
    <x v="1665"/>
    <x v="286"/>
    <x v="1840"/>
    <x v="7"/>
  </r>
  <r>
    <x v="839"/>
    <x v="2"/>
    <x v="146"/>
    <x v="196"/>
    <x v="27"/>
    <x v="1"/>
    <x v="1"/>
    <x v="6"/>
    <x v="1"/>
    <x v="1424"/>
    <x v="4"/>
    <x v="61"/>
    <x v="1"/>
    <x v="2"/>
    <x v="804"/>
    <x v="156"/>
    <x v="767"/>
    <x v="7"/>
  </r>
  <r>
    <x v="840"/>
    <x v="0"/>
    <x v="85"/>
    <x v="74"/>
    <x v="65"/>
    <x v="0"/>
    <x v="2"/>
    <x v="2"/>
    <x v="1"/>
    <x v="2080"/>
    <x v="1"/>
    <x v="95"/>
    <x v="2"/>
    <x v="1"/>
    <x v="1347"/>
    <x v="258"/>
    <x v="1143"/>
    <x v="7"/>
  </r>
  <r>
    <x v="841"/>
    <x v="0"/>
    <x v="10"/>
    <x v="52"/>
    <x v="75"/>
    <x v="2"/>
    <x v="2"/>
    <x v="2"/>
    <x v="2"/>
    <x v="623"/>
    <x v="0"/>
    <x v="30"/>
    <x v="1"/>
    <x v="0"/>
    <x v="745"/>
    <x v="136"/>
    <x v="878"/>
    <x v="7"/>
  </r>
  <r>
    <x v="841"/>
    <x v="1"/>
    <x v="10"/>
    <x v="52"/>
    <x v="88"/>
    <x v="2"/>
    <x v="2"/>
    <x v="2"/>
    <x v="1"/>
    <x v="2169"/>
    <x v="1"/>
    <x v="86"/>
    <x v="1"/>
    <x v="3"/>
    <x v="1388"/>
    <x v="226"/>
    <x v="1546"/>
    <x v="7"/>
  </r>
  <r>
    <x v="842"/>
    <x v="0"/>
    <x v="188"/>
    <x v="143"/>
    <x v="47"/>
    <x v="1"/>
    <x v="1"/>
    <x v="0"/>
    <x v="1"/>
    <x v="1582"/>
    <x v="0"/>
    <x v="82"/>
    <x v="1"/>
    <x v="1"/>
    <x v="1106"/>
    <x v="215"/>
    <x v="1056"/>
    <x v="7"/>
  </r>
  <r>
    <x v="842"/>
    <x v="1"/>
    <x v="188"/>
    <x v="143"/>
    <x v="68"/>
    <x v="1"/>
    <x v="1"/>
    <x v="0"/>
    <x v="1"/>
    <x v="1613"/>
    <x v="3"/>
    <x v="83"/>
    <x v="1"/>
    <x v="3"/>
    <x v="965"/>
    <x v="218"/>
    <x v="617"/>
    <x v="7"/>
  </r>
  <r>
    <x v="842"/>
    <x v="2"/>
    <x v="188"/>
    <x v="143"/>
    <x v="20"/>
    <x v="1"/>
    <x v="1"/>
    <x v="0"/>
    <x v="1"/>
    <x v="150"/>
    <x v="3"/>
    <x v="5"/>
    <x v="1"/>
    <x v="2"/>
    <x v="61"/>
    <x v="9"/>
    <x v="177"/>
    <x v="7"/>
  </r>
  <r>
    <x v="843"/>
    <x v="0"/>
    <x v="75"/>
    <x v="80"/>
    <x v="73"/>
    <x v="3"/>
    <x v="2"/>
    <x v="7"/>
    <x v="1"/>
    <x v="2211"/>
    <x v="0"/>
    <x v="84"/>
    <x v="1"/>
    <x v="3"/>
    <x v="1474"/>
    <x v="222"/>
    <x v="1725"/>
    <x v="7"/>
  </r>
  <r>
    <x v="843"/>
    <x v="1"/>
    <x v="75"/>
    <x v="80"/>
    <x v="48"/>
    <x v="3"/>
    <x v="2"/>
    <x v="7"/>
    <x v="2"/>
    <x v="455"/>
    <x v="0"/>
    <x v="17"/>
    <x v="1"/>
    <x v="3"/>
    <x v="552"/>
    <x v="83"/>
    <x v="832"/>
    <x v="7"/>
  </r>
  <r>
    <x v="843"/>
    <x v="2"/>
    <x v="75"/>
    <x v="80"/>
    <x v="14"/>
    <x v="3"/>
    <x v="2"/>
    <x v="7"/>
    <x v="6"/>
    <x v="223"/>
    <x v="1"/>
    <x v="7"/>
    <x v="1"/>
    <x v="3"/>
    <x v="950"/>
    <x v="129"/>
    <x v="1472"/>
    <x v="7"/>
  </r>
  <r>
    <x v="844"/>
    <x v="0"/>
    <x v="171"/>
    <x v="19"/>
    <x v="23"/>
    <x v="2"/>
    <x v="1"/>
    <x v="4"/>
    <x v="2"/>
    <x v="776"/>
    <x v="2"/>
    <x v="41"/>
    <x v="1"/>
    <x v="3"/>
    <x v="840"/>
    <x v="182"/>
    <x v="621"/>
    <x v="7"/>
  </r>
  <r>
    <x v="844"/>
    <x v="1"/>
    <x v="171"/>
    <x v="19"/>
    <x v="74"/>
    <x v="2"/>
    <x v="1"/>
    <x v="4"/>
    <x v="1"/>
    <x v="1981"/>
    <x v="4"/>
    <x v="90"/>
    <x v="1"/>
    <x v="2"/>
    <x v="1097"/>
    <x v="239"/>
    <x v="655"/>
    <x v="7"/>
  </r>
  <r>
    <x v="844"/>
    <x v="2"/>
    <x v="171"/>
    <x v="19"/>
    <x v="79"/>
    <x v="2"/>
    <x v="1"/>
    <x v="4"/>
    <x v="3"/>
    <x v="1588"/>
    <x v="0"/>
    <x v="64"/>
    <x v="1"/>
    <x v="0"/>
    <x v="1951"/>
    <x v="369"/>
    <x v="2061"/>
    <x v="7"/>
  </r>
  <r>
    <x v="845"/>
    <x v="0"/>
    <x v="18"/>
    <x v="3"/>
    <x v="87"/>
    <x v="2"/>
    <x v="0"/>
    <x v="6"/>
    <x v="7"/>
    <x v="643"/>
    <x v="3"/>
    <x v="33"/>
    <x v="1"/>
    <x v="1"/>
    <x v="1985"/>
    <x v="468"/>
    <x v="1032"/>
    <x v="7"/>
  </r>
  <r>
    <x v="845"/>
    <x v="1"/>
    <x v="18"/>
    <x v="3"/>
    <x v="44"/>
    <x v="2"/>
    <x v="0"/>
    <x v="6"/>
    <x v="6"/>
    <x v="1429"/>
    <x v="4"/>
    <x v="57"/>
    <x v="1"/>
    <x v="2"/>
    <x v="2178"/>
    <x v="505"/>
    <x v="2162"/>
    <x v="7"/>
  </r>
  <r>
    <x v="845"/>
    <x v="2"/>
    <x v="18"/>
    <x v="3"/>
    <x v="3"/>
    <x v="2"/>
    <x v="0"/>
    <x v="6"/>
    <x v="1"/>
    <x v="1644"/>
    <x v="0"/>
    <x v="73"/>
    <x v="1"/>
    <x v="0"/>
    <x v="1152"/>
    <x v="191"/>
    <x v="1399"/>
    <x v="7"/>
  </r>
  <r>
    <x v="845"/>
    <x v="3"/>
    <x v="18"/>
    <x v="3"/>
    <x v="16"/>
    <x v="2"/>
    <x v="0"/>
    <x v="6"/>
    <x v="2"/>
    <x v="1347"/>
    <x v="0"/>
    <x v="51"/>
    <x v="1"/>
    <x v="2"/>
    <x v="1570"/>
    <x v="230"/>
    <x v="1862"/>
    <x v="7"/>
  </r>
  <r>
    <x v="846"/>
    <x v="0"/>
    <x v="7"/>
    <x v="108"/>
    <x v="6"/>
    <x v="2"/>
    <x v="1"/>
    <x v="6"/>
    <x v="1"/>
    <x v="1425"/>
    <x v="0"/>
    <x v="76"/>
    <x v="1"/>
    <x v="2"/>
    <x v="963"/>
    <x v="198"/>
    <x v="899"/>
    <x v="7"/>
  </r>
  <r>
    <x v="846"/>
    <x v="1"/>
    <x v="7"/>
    <x v="108"/>
    <x v="72"/>
    <x v="2"/>
    <x v="1"/>
    <x v="6"/>
    <x v="2"/>
    <x v="1150"/>
    <x v="3"/>
    <x v="66"/>
    <x v="1"/>
    <x v="0"/>
    <x v="1234"/>
    <x v="290"/>
    <x v="7"/>
    <x v="7"/>
  </r>
  <r>
    <x v="846"/>
    <x v="2"/>
    <x v="7"/>
    <x v="108"/>
    <x v="0"/>
    <x v="2"/>
    <x v="1"/>
    <x v="6"/>
    <x v="1"/>
    <x v="881"/>
    <x v="2"/>
    <x v="32"/>
    <x v="1"/>
    <x v="2"/>
    <x v="529"/>
    <x v="73"/>
    <x v="885"/>
    <x v="7"/>
  </r>
  <r>
    <x v="846"/>
    <x v="3"/>
    <x v="7"/>
    <x v="108"/>
    <x v="57"/>
    <x v="2"/>
    <x v="1"/>
    <x v="6"/>
    <x v="2"/>
    <x v="681"/>
    <x v="1"/>
    <x v="25"/>
    <x v="1"/>
    <x v="2"/>
    <x v="783"/>
    <x v="118"/>
    <x v="1170"/>
    <x v="7"/>
  </r>
  <r>
    <x v="847"/>
    <x v="0"/>
    <x v="236"/>
    <x v="105"/>
    <x v="88"/>
    <x v="3"/>
    <x v="1"/>
    <x v="3"/>
    <x v="2"/>
    <x v="1885"/>
    <x v="2"/>
    <x v="86"/>
    <x v="1"/>
    <x v="1"/>
    <x v="1734"/>
    <x v="346"/>
    <x v="1611"/>
    <x v="7"/>
  </r>
  <r>
    <x v="848"/>
    <x v="0"/>
    <x v="86"/>
    <x v="209"/>
    <x v="47"/>
    <x v="2"/>
    <x v="1"/>
    <x v="5"/>
    <x v="1"/>
    <x v="1593"/>
    <x v="2"/>
    <x v="82"/>
    <x v="1"/>
    <x v="2"/>
    <x v="1007"/>
    <x v="215"/>
    <x v="773"/>
    <x v="7"/>
  </r>
  <r>
    <x v="848"/>
    <x v="1"/>
    <x v="86"/>
    <x v="209"/>
    <x v="91"/>
    <x v="2"/>
    <x v="1"/>
    <x v="5"/>
    <x v="1"/>
    <x v="1991"/>
    <x v="0"/>
    <x v="81"/>
    <x v="1"/>
    <x v="0"/>
    <x v="1362"/>
    <x v="212"/>
    <x v="1579"/>
    <x v="7"/>
  </r>
  <r>
    <x v="848"/>
    <x v="2"/>
    <x v="86"/>
    <x v="209"/>
    <x v="88"/>
    <x v="2"/>
    <x v="1"/>
    <x v="5"/>
    <x v="2"/>
    <x v="1809"/>
    <x v="3"/>
    <x v="86"/>
    <x v="1"/>
    <x v="0"/>
    <x v="1691"/>
    <x v="346"/>
    <x v="1261"/>
    <x v="7"/>
  </r>
  <r>
    <x v="848"/>
    <x v="3"/>
    <x v="86"/>
    <x v="209"/>
    <x v="9"/>
    <x v="2"/>
    <x v="1"/>
    <x v="5"/>
    <x v="3"/>
    <x v="1168"/>
    <x v="2"/>
    <x v="49"/>
    <x v="1"/>
    <x v="0"/>
    <x v="1648"/>
    <x v="282"/>
    <x v="1797"/>
    <x v="7"/>
  </r>
  <r>
    <x v="849"/>
    <x v="0"/>
    <x v="165"/>
    <x v="37"/>
    <x v="38"/>
    <x v="0"/>
    <x v="1"/>
    <x v="0"/>
    <x v="6"/>
    <x v="1107"/>
    <x v="3"/>
    <x v="39"/>
    <x v="1"/>
    <x v="3"/>
    <x v="2084"/>
    <x v="427"/>
    <x v="2166"/>
    <x v="7"/>
  </r>
  <r>
    <x v="849"/>
    <x v="1"/>
    <x v="165"/>
    <x v="37"/>
    <x v="46"/>
    <x v="0"/>
    <x v="1"/>
    <x v="0"/>
    <x v="1"/>
    <x v="1887"/>
    <x v="1"/>
    <x v="85"/>
    <x v="1"/>
    <x v="1"/>
    <x v="1239"/>
    <x v="223"/>
    <x v="1300"/>
    <x v="7"/>
  </r>
  <r>
    <x v="850"/>
    <x v="0"/>
    <x v="67"/>
    <x v="57"/>
    <x v="39"/>
    <x v="0"/>
    <x v="2"/>
    <x v="1"/>
    <x v="2"/>
    <x v="1790"/>
    <x v="0"/>
    <x v="93"/>
    <x v="1"/>
    <x v="2"/>
    <x v="1780"/>
    <x v="371"/>
    <x v="1536"/>
    <x v="7"/>
  </r>
  <r>
    <x v="850"/>
    <x v="1"/>
    <x v="67"/>
    <x v="57"/>
    <x v="46"/>
    <x v="0"/>
    <x v="2"/>
    <x v="1"/>
    <x v="2"/>
    <x v="1837"/>
    <x v="1"/>
    <x v="85"/>
    <x v="1"/>
    <x v="3"/>
    <x v="1761"/>
    <x v="345"/>
    <x v="1748"/>
    <x v="7"/>
  </r>
  <r>
    <x v="850"/>
    <x v="2"/>
    <x v="67"/>
    <x v="57"/>
    <x v="41"/>
    <x v="0"/>
    <x v="2"/>
    <x v="1"/>
    <x v="5"/>
    <x v="833"/>
    <x v="2"/>
    <x v="35"/>
    <x v="1"/>
    <x v="1"/>
    <x v="1699"/>
    <x v="323"/>
    <x v="1684"/>
    <x v="7"/>
  </r>
  <r>
    <x v="850"/>
    <x v="3"/>
    <x v="67"/>
    <x v="57"/>
    <x v="73"/>
    <x v="0"/>
    <x v="2"/>
    <x v="1"/>
    <x v="4"/>
    <x v="2074"/>
    <x v="0"/>
    <x v="84"/>
    <x v="1"/>
    <x v="1"/>
    <x v="2154"/>
    <x v="476"/>
    <x v="2197"/>
    <x v="7"/>
  </r>
  <r>
    <x v="851"/>
    <x v="0"/>
    <x v="253"/>
    <x v="160"/>
    <x v="14"/>
    <x v="3"/>
    <x v="2"/>
    <x v="1"/>
    <x v="2"/>
    <x v="182"/>
    <x v="0"/>
    <x v="7"/>
    <x v="1"/>
    <x v="2"/>
    <x v="243"/>
    <x v="29"/>
    <x v="581"/>
    <x v="7"/>
  </r>
  <r>
    <x v="852"/>
    <x v="0"/>
    <x v="246"/>
    <x v="92"/>
    <x v="19"/>
    <x v="2"/>
    <x v="0"/>
    <x v="4"/>
    <x v="2"/>
    <x v="474"/>
    <x v="0"/>
    <x v="16"/>
    <x v="1"/>
    <x v="0"/>
    <x v="564"/>
    <x v="80"/>
    <x v="883"/>
    <x v="7"/>
  </r>
  <r>
    <x v="852"/>
    <x v="1"/>
    <x v="246"/>
    <x v="92"/>
    <x v="79"/>
    <x v="2"/>
    <x v="0"/>
    <x v="4"/>
    <x v="3"/>
    <x v="1570"/>
    <x v="0"/>
    <x v="64"/>
    <x v="1"/>
    <x v="1"/>
    <x v="1942"/>
    <x v="369"/>
    <x v="2051"/>
    <x v="7"/>
  </r>
  <r>
    <x v="853"/>
    <x v="0"/>
    <x v="245"/>
    <x v="218"/>
    <x v="4"/>
    <x v="1"/>
    <x v="0"/>
    <x v="7"/>
    <x v="1"/>
    <x v="2192"/>
    <x v="0"/>
    <x v="94"/>
    <x v="2"/>
    <x v="3"/>
    <x v="1457"/>
    <x v="249"/>
    <x v="1529"/>
    <x v="7"/>
  </r>
  <r>
    <x v="854"/>
    <x v="0"/>
    <x v="13"/>
    <x v="224"/>
    <x v="52"/>
    <x v="3"/>
    <x v="2"/>
    <x v="4"/>
    <x v="5"/>
    <x v="1071"/>
    <x v="3"/>
    <x v="40"/>
    <x v="1"/>
    <x v="1"/>
    <x v="1872"/>
    <x v="337"/>
    <x v="2007"/>
    <x v="7"/>
  </r>
  <r>
    <x v="854"/>
    <x v="1"/>
    <x v="13"/>
    <x v="224"/>
    <x v="72"/>
    <x v="3"/>
    <x v="2"/>
    <x v="4"/>
    <x v="1"/>
    <x v="1244"/>
    <x v="0"/>
    <x v="66"/>
    <x v="1"/>
    <x v="2"/>
    <x v="830"/>
    <x v="172"/>
    <x v="686"/>
    <x v="7"/>
  </r>
  <r>
    <x v="855"/>
    <x v="0"/>
    <x v="126"/>
    <x v="83"/>
    <x v="58"/>
    <x v="2"/>
    <x v="1"/>
    <x v="6"/>
    <x v="1"/>
    <x v="1987"/>
    <x v="4"/>
    <x v="99"/>
    <x v="1"/>
    <x v="0"/>
    <x v="1100"/>
    <x v="273"/>
    <x v="11"/>
    <x v="7"/>
  </r>
  <r>
    <x v="855"/>
    <x v="1"/>
    <x v="126"/>
    <x v="83"/>
    <x v="3"/>
    <x v="2"/>
    <x v="1"/>
    <x v="6"/>
    <x v="1"/>
    <x v="1850"/>
    <x v="0"/>
    <x v="73"/>
    <x v="2"/>
    <x v="0"/>
    <x v="1291"/>
    <x v="191"/>
    <x v="1624"/>
    <x v="7"/>
  </r>
  <r>
    <x v="855"/>
    <x v="2"/>
    <x v="126"/>
    <x v="83"/>
    <x v="85"/>
    <x v="2"/>
    <x v="1"/>
    <x v="6"/>
    <x v="1"/>
    <x v="1889"/>
    <x v="4"/>
    <x v="88"/>
    <x v="1"/>
    <x v="0"/>
    <x v="1056"/>
    <x v="231"/>
    <x v="643"/>
    <x v="7"/>
  </r>
  <r>
    <x v="855"/>
    <x v="3"/>
    <x v="126"/>
    <x v="83"/>
    <x v="74"/>
    <x v="2"/>
    <x v="1"/>
    <x v="6"/>
    <x v="6"/>
    <x v="2038"/>
    <x v="4"/>
    <x v="90"/>
    <x v="1"/>
    <x v="0"/>
    <x v="2235"/>
    <x v="549"/>
    <x v="2028"/>
    <x v="7"/>
  </r>
  <r>
    <x v="856"/>
    <x v="0"/>
    <x v="135"/>
    <x v="198"/>
    <x v="52"/>
    <x v="1"/>
    <x v="0"/>
    <x v="4"/>
    <x v="7"/>
    <x v="984"/>
    <x v="1"/>
    <x v="40"/>
    <x v="1"/>
    <x v="2"/>
    <x v="2204"/>
    <x v="499"/>
    <x v="2228"/>
    <x v="7"/>
  </r>
  <r>
    <x v="856"/>
    <x v="1"/>
    <x v="135"/>
    <x v="198"/>
    <x v="71"/>
    <x v="1"/>
    <x v="0"/>
    <x v="4"/>
    <x v="5"/>
    <x v="153"/>
    <x v="3"/>
    <x v="6"/>
    <x v="1"/>
    <x v="1"/>
    <x v="482"/>
    <x v="77"/>
    <x v="701"/>
    <x v="7"/>
  </r>
  <r>
    <x v="857"/>
    <x v="0"/>
    <x v="87"/>
    <x v="57"/>
    <x v="41"/>
    <x v="2"/>
    <x v="2"/>
    <x v="4"/>
    <x v="2"/>
    <x v="826"/>
    <x v="0"/>
    <x v="35"/>
    <x v="1"/>
    <x v="3"/>
    <x v="991"/>
    <x v="163"/>
    <x v="1253"/>
    <x v="7"/>
  </r>
  <r>
    <x v="857"/>
    <x v="1"/>
    <x v="87"/>
    <x v="57"/>
    <x v="97"/>
    <x v="2"/>
    <x v="2"/>
    <x v="4"/>
    <x v="2"/>
    <x v="311"/>
    <x v="0"/>
    <x v="15"/>
    <x v="1"/>
    <x v="3"/>
    <x v="375"/>
    <x v="69"/>
    <x v="461"/>
    <x v="7"/>
  </r>
  <r>
    <x v="857"/>
    <x v="2"/>
    <x v="87"/>
    <x v="57"/>
    <x v="93"/>
    <x v="2"/>
    <x v="2"/>
    <x v="4"/>
    <x v="3"/>
    <x v="504"/>
    <x v="4"/>
    <x v="24"/>
    <x v="1"/>
    <x v="1"/>
    <x v="683"/>
    <x v="160"/>
    <x v="79"/>
    <x v="7"/>
  </r>
  <r>
    <x v="857"/>
    <x v="3"/>
    <x v="87"/>
    <x v="57"/>
    <x v="5"/>
    <x v="2"/>
    <x v="2"/>
    <x v="4"/>
    <x v="1"/>
    <x v="648"/>
    <x v="3"/>
    <x v="31"/>
    <x v="1"/>
    <x v="3"/>
    <x v="344"/>
    <x v="70"/>
    <x v="343"/>
    <x v="7"/>
  </r>
  <r>
    <x v="858"/>
    <x v="0"/>
    <x v="8"/>
    <x v="132"/>
    <x v="13"/>
    <x v="2"/>
    <x v="0"/>
    <x v="1"/>
    <x v="3"/>
    <x v="1311"/>
    <x v="1"/>
    <x v="70"/>
    <x v="1"/>
    <x v="0"/>
    <x v="1755"/>
    <x v="378"/>
    <x v="1262"/>
    <x v="7"/>
  </r>
  <r>
    <x v="858"/>
    <x v="1"/>
    <x v="8"/>
    <x v="132"/>
    <x v="51"/>
    <x v="2"/>
    <x v="0"/>
    <x v="1"/>
    <x v="1"/>
    <x v="1458"/>
    <x v="1"/>
    <x v="53"/>
    <x v="1"/>
    <x v="0"/>
    <x v="949"/>
    <x v="131"/>
    <x v="1461"/>
    <x v="7"/>
  </r>
  <r>
    <x v="859"/>
    <x v="0"/>
    <x v="144"/>
    <x v="176"/>
    <x v="51"/>
    <x v="0"/>
    <x v="1"/>
    <x v="5"/>
    <x v="2"/>
    <x v="1387"/>
    <x v="3"/>
    <x v="53"/>
    <x v="1"/>
    <x v="1"/>
    <x v="1495"/>
    <x v="240"/>
    <x v="1658"/>
    <x v="7"/>
  </r>
  <r>
    <x v="860"/>
    <x v="0"/>
    <x v="202"/>
    <x v="204"/>
    <x v="21"/>
    <x v="2"/>
    <x v="2"/>
    <x v="0"/>
    <x v="3"/>
    <x v="410"/>
    <x v="4"/>
    <x v="18"/>
    <x v="1"/>
    <x v="0"/>
    <x v="617"/>
    <x v="134"/>
    <x v="407"/>
    <x v="7"/>
  </r>
  <r>
    <x v="861"/>
    <x v="0"/>
    <x v="81"/>
    <x v="243"/>
    <x v="5"/>
    <x v="1"/>
    <x v="0"/>
    <x v="1"/>
    <x v="1"/>
    <x v="713"/>
    <x v="0"/>
    <x v="31"/>
    <x v="1"/>
    <x v="2"/>
    <x v="462"/>
    <x v="70"/>
    <x v="785"/>
    <x v="7"/>
  </r>
  <r>
    <x v="862"/>
    <x v="0"/>
    <x v="171"/>
    <x v="236"/>
    <x v="61"/>
    <x v="0"/>
    <x v="1"/>
    <x v="3"/>
    <x v="1"/>
    <x v="966"/>
    <x v="0"/>
    <x v="46"/>
    <x v="1"/>
    <x v="1"/>
    <x v="636"/>
    <x v="111"/>
    <x v="838"/>
    <x v="7"/>
  </r>
  <r>
    <x v="862"/>
    <x v="1"/>
    <x v="171"/>
    <x v="236"/>
    <x v="9"/>
    <x v="0"/>
    <x v="1"/>
    <x v="3"/>
    <x v="1"/>
    <x v="1240"/>
    <x v="0"/>
    <x v="49"/>
    <x v="1"/>
    <x v="0"/>
    <x v="828"/>
    <x v="117"/>
    <x v="1325"/>
    <x v="7"/>
  </r>
  <r>
    <x v="862"/>
    <x v="2"/>
    <x v="171"/>
    <x v="236"/>
    <x v="76"/>
    <x v="0"/>
    <x v="1"/>
    <x v="3"/>
    <x v="1"/>
    <x v="773"/>
    <x v="3"/>
    <x v="36"/>
    <x v="2"/>
    <x v="2"/>
    <x v="444"/>
    <x v="88"/>
    <x v="425"/>
    <x v="7"/>
  </r>
  <r>
    <x v="862"/>
    <x v="3"/>
    <x v="171"/>
    <x v="236"/>
    <x v="62"/>
    <x v="0"/>
    <x v="1"/>
    <x v="3"/>
    <x v="5"/>
    <x v="1354"/>
    <x v="3"/>
    <x v="67"/>
    <x v="1"/>
    <x v="0"/>
    <x v="1996"/>
    <x v="469"/>
    <x v="1178"/>
    <x v="7"/>
  </r>
  <r>
    <x v="862"/>
    <x v="4"/>
    <x v="171"/>
    <x v="236"/>
    <x v="65"/>
    <x v="0"/>
    <x v="1"/>
    <x v="3"/>
    <x v="1"/>
    <x v="2254"/>
    <x v="4"/>
    <x v="95"/>
    <x v="1"/>
    <x v="3"/>
    <x v="1278"/>
    <x v="258"/>
    <x v="975"/>
    <x v="7"/>
  </r>
  <r>
    <x v="863"/>
    <x v="0"/>
    <x v="13"/>
    <x v="0"/>
    <x v="96"/>
    <x v="1"/>
    <x v="2"/>
    <x v="4"/>
    <x v="3"/>
    <x v="487"/>
    <x v="3"/>
    <x v="22"/>
    <x v="1"/>
    <x v="1"/>
    <x v="695"/>
    <x v="155"/>
    <x v="227"/>
    <x v="7"/>
  </r>
  <r>
    <x v="864"/>
    <x v="0"/>
    <x v="192"/>
    <x v="164"/>
    <x v="44"/>
    <x v="3"/>
    <x v="0"/>
    <x v="2"/>
    <x v="1"/>
    <x v="1459"/>
    <x v="0"/>
    <x v="57"/>
    <x v="1"/>
    <x v="0"/>
    <x v="997"/>
    <x v="144"/>
    <x v="1462"/>
    <x v="7"/>
  </r>
  <r>
    <x v="865"/>
    <x v="0"/>
    <x v="193"/>
    <x v="93"/>
    <x v="48"/>
    <x v="2"/>
    <x v="1"/>
    <x v="3"/>
    <x v="3"/>
    <x v="461"/>
    <x v="0"/>
    <x v="17"/>
    <x v="1"/>
    <x v="1"/>
    <x v="779"/>
    <x v="124"/>
    <x v="1073"/>
    <x v="7"/>
  </r>
  <r>
    <x v="865"/>
    <x v="1"/>
    <x v="193"/>
    <x v="93"/>
    <x v="41"/>
    <x v="2"/>
    <x v="1"/>
    <x v="3"/>
    <x v="2"/>
    <x v="849"/>
    <x v="0"/>
    <x v="35"/>
    <x v="1"/>
    <x v="3"/>
    <x v="1008"/>
    <x v="163"/>
    <x v="1288"/>
    <x v="7"/>
  </r>
  <r>
    <x v="865"/>
    <x v="2"/>
    <x v="193"/>
    <x v="93"/>
    <x v="94"/>
    <x v="2"/>
    <x v="1"/>
    <x v="3"/>
    <x v="1"/>
    <x v="1741"/>
    <x v="1"/>
    <x v="71"/>
    <x v="1"/>
    <x v="0"/>
    <x v="1163"/>
    <x v="184"/>
    <x v="1449"/>
    <x v="7"/>
  </r>
  <r>
    <x v="866"/>
    <x v="0"/>
    <x v="84"/>
    <x v="205"/>
    <x v="97"/>
    <x v="2"/>
    <x v="1"/>
    <x v="3"/>
    <x v="1"/>
    <x v="345"/>
    <x v="3"/>
    <x v="15"/>
    <x v="1"/>
    <x v="2"/>
    <x v="161"/>
    <x v="33"/>
    <x v="145"/>
    <x v="7"/>
  </r>
  <r>
    <x v="867"/>
    <x v="0"/>
    <x v="202"/>
    <x v="89"/>
    <x v="69"/>
    <x v="3"/>
    <x v="1"/>
    <x v="0"/>
    <x v="7"/>
    <x v="155"/>
    <x v="0"/>
    <x v="10"/>
    <x v="1"/>
    <x v="0"/>
    <x v="1216"/>
    <x v="233"/>
    <x v="1122"/>
    <x v="7"/>
  </r>
  <r>
    <x v="867"/>
    <x v="1"/>
    <x v="202"/>
    <x v="89"/>
    <x v="92"/>
    <x v="3"/>
    <x v="1"/>
    <x v="0"/>
    <x v="2"/>
    <x v="1489"/>
    <x v="3"/>
    <x v="62"/>
    <x v="1"/>
    <x v="1"/>
    <x v="1569"/>
    <x v="279"/>
    <x v="1508"/>
    <x v="7"/>
  </r>
  <r>
    <x v="867"/>
    <x v="2"/>
    <x v="202"/>
    <x v="89"/>
    <x v="51"/>
    <x v="3"/>
    <x v="1"/>
    <x v="0"/>
    <x v="3"/>
    <x v="1283"/>
    <x v="0"/>
    <x v="53"/>
    <x v="1"/>
    <x v="1"/>
    <x v="1778"/>
    <x v="307"/>
    <x v="1976"/>
    <x v="7"/>
  </r>
  <r>
    <x v="867"/>
    <x v="3"/>
    <x v="202"/>
    <x v="89"/>
    <x v="65"/>
    <x v="3"/>
    <x v="1"/>
    <x v="0"/>
    <x v="6"/>
    <x v="2056"/>
    <x v="0"/>
    <x v="95"/>
    <x v="1"/>
    <x v="3"/>
    <x v="2269"/>
    <x v="555"/>
    <x v="2236"/>
    <x v="7"/>
  </r>
  <r>
    <x v="868"/>
    <x v="0"/>
    <x v="179"/>
    <x v="48"/>
    <x v="48"/>
    <x v="1"/>
    <x v="1"/>
    <x v="2"/>
    <x v="3"/>
    <x v="481"/>
    <x v="0"/>
    <x v="17"/>
    <x v="1"/>
    <x v="0"/>
    <x v="789"/>
    <x v="124"/>
    <x v="1100"/>
    <x v="7"/>
  </r>
  <r>
    <x v="868"/>
    <x v="1"/>
    <x v="179"/>
    <x v="48"/>
    <x v="82"/>
    <x v="1"/>
    <x v="1"/>
    <x v="2"/>
    <x v="1"/>
    <x v="1995"/>
    <x v="2"/>
    <x v="96"/>
    <x v="1"/>
    <x v="3"/>
    <x v="1225"/>
    <x v="259"/>
    <x v="827"/>
    <x v="7"/>
  </r>
  <r>
    <x v="868"/>
    <x v="2"/>
    <x v="179"/>
    <x v="48"/>
    <x v="97"/>
    <x v="1"/>
    <x v="1"/>
    <x v="2"/>
    <x v="1"/>
    <x v="338"/>
    <x v="0"/>
    <x v="15"/>
    <x v="1"/>
    <x v="3"/>
    <x v="197"/>
    <x v="33"/>
    <x v="296"/>
    <x v="7"/>
  </r>
  <r>
    <x v="868"/>
    <x v="3"/>
    <x v="179"/>
    <x v="48"/>
    <x v="86"/>
    <x v="1"/>
    <x v="1"/>
    <x v="2"/>
    <x v="3"/>
    <x v="1753"/>
    <x v="3"/>
    <x v="79"/>
    <x v="1"/>
    <x v="1"/>
    <x v="1918"/>
    <x v="408"/>
    <x v="1736"/>
    <x v="7"/>
  </r>
  <r>
    <x v="869"/>
    <x v="0"/>
    <x v="28"/>
    <x v="135"/>
    <x v="6"/>
    <x v="2"/>
    <x v="1"/>
    <x v="3"/>
    <x v="1"/>
    <x v="1431"/>
    <x v="0"/>
    <x v="76"/>
    <x v="1"/>
    <x v="1"/>
    <x v="975"/>
    <x v="198"/>
    <x v="924"/>
    <x v="7"/>
  </r>
  <r>
    <x v="869"/>
    <x v="1"/>
    <x v="28"/>
    <x v="135"/>
    <x v="34"/>
    <x v="2"/>
    <x v="1"/>
    <x v="3"/>
    <x v="2"/>
    <x v="1239"/>
    <x v="1"/>
    <x v="58"/>
    <x v="1"/>
    <x v="3"/>
    <x v="1472"/>
    <x v="266"/>
    <x v="1342"/>
    <x v="7"/>
  </r>
  <r>
    <x v="869"/>
    <x v="2"/>
    <x v="28"/>
    <x v="135"/>
    <x v="65"/>
    <x v="2"/>
    <x v="1"/>
    <x v="3"/>
    <x v="2"/>
    <x v="1954"/>
    <x v="1"/>
    <x v="95"/>
    <x v="1"/>
    <x v="0"/>
    <x v="1791"/>
    <x v="381"/>
    <x v="1445"/>
    <x v="7"/>
  </r>
  <r>
    <x v="870"/>
    <x v="0"/>
    <x v="205"/>
    <x v="68"/>
    <x v="67"/>
    <x v="3"/>
    <x v="1"/>
    <x v="6"/>
    <x v="1"/>
    <x v="993"/>
    <x v="0"/>
    <x v="43"/>
    <x v="2"/>
    <x v="3"/>
    <x v="653"/>
    <x v="103"/>
    <x v="957"/>
    <x v="7"/>
  </r>
  <r>
    <x v="871"/>
    <x v="0"/>
    <x v="141"/>
    <x v="192"/>
    <x v="34"/>
    <x v="1"/>
    <x v="1"/>
    <x v="1"/>
    <x v="2"/>
    <x v="1163"/>
    <x v="3"/>
    <x v="58"/>
    <x v="1"/>
    <x v="3"/>
    <x v="1254"/>
    <x v="266"/>
    <x v="666"/>
    <x v="7"/>
  </r>
  <r>
    <x v="871"/>
    <x v="1"/>
    <x v="141"/>
    <x v="192"/>
    <x v="75"/>
    <x v="1"/>
    <x v="1"/>
    <x v="1"/>
    <x v="1"/>
    <x v="566"/>
    <x v="0"/>
    <x v="30"/>
    <x v="1"/>
    <x v="1"/>
    <x v="345"/>
    <x v="66"/>
    <x v="405"/>
    <x v="7"/>
  </r>
  <r>
    <x v="872"/>
    <x v="0"/>
    <x v="21"/>
    <x v="13"/>
    <x v="50"/>
    <x v="2"/>
    <x v="2"/>
    <x v="8"/>
    <x v="5"/>
    <x v="1719"/>
    <x v="0"/>
    <x v="77"/>
    <x v="1"/>
    <x v="1"/>
    <x v="2172"/>
    <x v="490"/>
    <x v="2202"/>
    <x v="7"/>
  </r>
  <r>
    <x v="872"/>
    <x v="1"/>
    <x v="21"/>
    <x v="13"/>
    <x v="30"/>
    <x v="2"/>
    <x v="2"/>
    <x v="8"/>
    <x v="1"/>
    <x v="317"/>
    <x v="2"/>
    <x v="13"/>
    <x v="1"/>
    <x v="2"/>
    <x v="162"/>
    <x v="24"/>
    <x v="287"/>
    <x v="7"/>
  </r>
  <r>
    <x v="872"/>
    <x v="2"/>
    <x v="21"/>
    <x v="13"/>
    <x v="5"/>
    <x v="2"/>
    <x v="2"/>
    <x v="8"/>
    <x v="5"/>
    <x v="702"/>
    <x v="0"/>
    <x v="31"/>
    <x v="1"/>
    <x v="0"/>
    <x v="1647"/>
    <x v="284"/>
    <x v="1790"/>
    <x v="7"/>
  </r>
  <r>
    <x v="873"/>
    <x v="0"/>
    <x v="117"/>
    <x v="172"/>
    <x v="20"/>
    <x v="3"/>
    <x v="2"/>
    <x v="1"/>
    <x v="1"/>
    <x v="149"/>
    <x v="0"/>
    <x v="5"/>
    <x v="1"/>
    <x v="3"/>
    <x v="85"/>
    <x v="9"/>
    <x v="263"/>
    <x v="7"/>
  </r>
  <r>
    <x v="874"/>
    <x v="0"/>
    <x v="29"/>
    <x v="75"/>
    <x v="79"/>
    <x v="3"/>
    <x v="0"/>
    <x v="9"/>
    <x v="1"/>
    <x v="1515"/>
    <x v="0"/>
    <x v="64"/>
    <x v="1"/>
    <x v="2"/>
    <x v="1050"/>
    <x v="168"/>
    <x v="1328"/>
    <x v="7"/>
  </r>
  <r>
    <x v="874"/>
    <x v="1"/>
    <x v="29"/>
    <x v="75"/>
    <x v="28"/>
    <x v="3"/>
    <x v="0"/>
    <x v="9"/>
    <x v="7"/>
    <x v="79"/>
    <x v="0"/>
    <x v="2"/>
    <x v="1"/>
    <x v="0"/>
    <x v="786"/>
    <x v="109"/>
    <x v="1247"/>
    <x v="7"/>
  </r>
  <r>
    <x v="874"/>
    <x v="2"/>
    <x v="29"/>
    <x v="75"/>
    <x v="17"/>
    <x v="3"/>
    <x v="0"/>
    <x v="9"/>
    <x v="1"/>
    <x v="2182"/>
    <x v="0"/>
    <x v="92"/>
    <x v="1"/>
    <x v="2"/>
    <x v="1447"/>
    <x v="245"/>
    <x v="1540"/>
    <x v="7"/>
  </r>
  <r>
    <x v="875"/>
    <x v="0"/>
    <x v="123"/>
    <x v="58"/>
    <x v="49"/>
    <x v="2"/>
    <x v="0"/>
    <x v="0"/>
    <x v="1"/>
    <x v="896"/>
    <x v="3"/>
    <x v="45"/>
    <x v="1"/>
    <x v="0"/>
    <x v="504"/>
    <x v="106"/>
    <x v="406"/>
    <x v="7"/>
  </r>
  <r>
    <x v="875"/>
    <x v="1"/>
    <x v="123"/>
    <x v="58"/>
    <x v="26"/>
    <x v="2"/>
    <x v="0"/>
    <x v="0"/>
    <x v="3"/>
    <x v="2009"/>
    <x v="0"/>
    <x v="74"/>
    <x v="2"/>
    <x v="2"/>
    <x v="2039"/>
    <x v="390"/>
    <x v="2159"/>
    <x v="7"/>
  </r>
  <r>
    <x v="875"/>
    <x v="2"/>
    <x v="123"/>
    <x v="58"/>
    <x v="63"/>
    <x v="2"/>
    <x v="0"/>
    <x v="0"/>
    <x v="1"/>
    <x v="2282"/>
    <x v="2"/>
    <x v="98"/>
    <x v="1"/>
    <x v="2"/>
    <x v="1452"/>
    <x v="271"/>
    <x v="1240"/>
    <x v="7"/>
  </r>
  <r>
    <x v="875"/>
    <x v="3"/>
    <x v="123"/>
    <x v="58"/>
    <x v="69"/>
    <x v="2"/>
    <x v="0"/>
    <x v="0"/>
    <x v="2"/>
    <x v="118"/>
    <x v="0"/>
    <x v="10"/>
    <x v="1"/>
    <x v="1"/>
    <x v="198"/>
    <x v="40"/>
    <x v="131"/>
    <x v="7"/>
  </r>
  <r>
    <x v="875"/>
    <x v="4"/>
    <x v="123"/>
    <x v="58"/>
    <x v="35"/>
    <x v="2"/>
    <x v="0"/>
    <x v="0"/>
    <x v="1"/>
    <x v="293"/>
    <x v="4"/>
    <x v="11"/>
    <x v="1"/>
    <x v="0"/>
    <x v="121"/>
    <x v="20"/>
    <x v="225"/>
    <x v="7"/>
  </r>
  <r>
    <x v="876"/>
    <x v="0"/>
    <x v="94"/>
    <x v="107"/>
    <x v="0"/>
    <x v="1"/>
    <x v="0"/>
    <x v="5"/>
    <x v="2"/>
    <x v="875"/>
    <x v="0"/>
    <x v="32"/>
    <x v="2"/>
    <x v="1"/>
    <x v="1032"/>
    <x v="147"/>
    <x v="1496"/>
    <x v="7"/>
  </r>
  <r>
    <x v="876"/>
    <x v="1"/>
    <x v="94"/>
    <x v="107"/>
    <x v="72"/>
    <x v="1"/>
    <x v="0"/>
    <x v="5"/>
    <x v="2"/>
    <x v="1158"/>
    <x v="3"/>
    <x v="66"/>
    <x v="1"/>
    <x v="2"/>
    <x v="1248"/>
    <x v="290"/>
    <x v="10"/>
    <x v="7"/>
  </r>
  <r>
    <x v="876"/>
    <x v="2"/>
    <x v="94"/>
    <x v="107"/>
    <x v="75"/>
    <x v="1"/>
    <x v="0"/>
    <x v="5"/>
    <x v="2"/>
    <x v="574"/>
    <x v="0"/>
    <x v="30"/>
    <x v="1"/>
    <x v="1"/>
    <x v="677"/>
    <x v="136"/>
    <x v="692"/>
    <x v="7"/>
  </r>
  <r>
    <x v="877"/>
    <x v="0"/>
    <x v="226"/>
    <x v="205"/>
    <x v="28"/>
    <x v="3"/>
    <x v="0"/>
    <x v="1"/>
    <x v="3"/>
    <x v="67"/>
    <x v="0"/>
    <x v="2"/>
    <x v="1"/>
    <x v="2"/>
    <x v="202"/>
    <x v="22"/>
    <x v="476"/>
    <x v="7"/>
  </r>
  <r>
    <x v="877"/>
    <x v="1"/>
    <x v="226"/>
    <x v="205"/>
    <x v="86"/>
    <x v="3"/>
    <x v="0"/>
    <x v="1"/>
    <x v="2"/>
    <x v="1691"/>
    <x v="0"/>
    <x v="79"/>
    <x v="1"/>
    <x v="0"/>
    <x v="1740"/>
    <x v="328"/>
    <x v="1787"/>
    <x v="7"/>
  </r>
  <r>
    <x v="878"/>
    <x v="0"/>
    <x v="253"/>
    <x v="30"/>
    <x v="11"/>
    <x v="0"/>
    <x v="2"/>
    <x v="2"/>
    <x v="1"/>
    <x v="2279"/>
    <x v="3"/>
    <x v="87"/>
    <x v="1"/>
    <x v="2"/>
    <x v="1385"/>
    <x v="229"/>
    <x v="1520"/>
    <x v="7"/>
  </r>
  <r>
    <x v="878"/>
    <x v="1"/>
    <x v="253"/>
    <x v="30"/>
    <x v="65"/>
    <x v="0"/>
    <x v="2"/>
    <x v="2"/>
    <x v="1"/>
    <x v="2238"/>
    <x v="0"/>
    <x v="95"/>
    <x v="1"/>
    <x v="3"/>
    <x v="1499"/>
    <x v="258"/>
    <x v="1543"/>
    <x v="7"/>
  </r>
  <r>
    <x v="878"/>
    <x v="2"/>
    <x v="253"/>
    <x v="30"/>
    <x v="72"/>
    <x v="0"/>
    <x v="2"/>
    <x v="2"/>
    <x v="1"/>
    <x v="1302"/>
    <x v="0"/>
    <x v="66"/>
    <x v="1"/>
    <x v="0"/>
    <x v="866"/>
    <x v="172"/>
    <x v="825"/>
    <x v="7"/>
  </r>
  <r>
    <x v="878"/>
    <x v="3"/>
    <x v="253"/>
    <x v="30"/>
    <x v="52"/>
    <x v="0"/>
    <x v="2"/>
    <x v="2"/>
    <x v="2"/>
    <x v="989"/>
    <x v="0"/>
    <x v="40"/>
    <x v="0"/>
    <x v="2"/>
    <x v="1183"/>
    <x v="176"/>
    <x v="1551"/>
    <x v="7"/>
  </r>
  <r>
    <x v="879"/>
    <x v="0"/>
    <x v="92"/>
    <x v="148"/>
    <x v="22"/>
    <x v="0"/>
    <x v="0"/>
    <x v="8"/>
    <x v="5"/>
    <x v="933"/>
    <x v="0"/>
    <x v="34"/>
    <x v="1"/>
    <x v="2"/>
    <x v="1856"/>
    <x v="316"/>
    <x v="2046"/>
    <x v="7"/>
  </r>
  <r>
    <x v="879"/>
    <x v="1"/>
    <x v="92"/>
    <x v="148"/>
    <x v="41"/>
    <x v="0"/>
    <x v="0"/>
    <x v="8"/>
    <x v="5"/>
    <x v="920"/>
    <x v="2"/>
    <x v="35"/>
    <x v="1"/>
    <x v="2"/>
    <x v="1768"/>
    <x v="323"/>
    <x v="1900"/>
    <x v="7"/>
  </r>
  <r>
    <x v="880"/>
    <x v="0"/>
    <x v="250"/>
    <x v="60"/>
    <x v="26"/>
    <x v="1"/>
    <x v="1"/>
    <x v="3"/>
    <x v="4"/>
    <x v="1871"/>
    <x v="0"/>
    <x v="74"/>
    <x v="1"/>
    <x v="0"/>
    <x v="2129"/>
    <x v="445"/>
    <x v="2204"/>
    <x v="7"/>
  </r>
  <r>
    <x v="880"/>
    <x v="1"/>
    <x v="250"/>
    <x v="60"/>
    <x v="10"/>
    <x v="1"/>
    <x v="1"/>
    <x v="3"/>
    <x v="3"/>
    <x v="336"/>
    <x v="0"/>
    <x v="14"/>
    <x v="1"/>
    <x v="3"/>
    <x v="590"/>
    <x v="101"/>
    <x v="744"/>
    <x v="7"/>
  </r>
  <r>
    <x v="880"/>
    <x v="2"/>
    <x v="250"/>
    <x v="60"/>
    <x v="59"/>
    <x v="1"/>
    <x v="1"/>
    <x v="3"/>
    <x v="1"/>
    <x v="1192"/>
    <x v="2"/>
    <x v="60"/>
    <x v="1"/>
    <x v="1"/>
    <x v="743"/>
    <x v="151"/>
    <x v="577"/>
    <x v="7"/>
  </r>
  <r>
    <x v="880"/>
    <x v="3"/>
    <x v="250"/>
    <x v="60"/>
    <x v="92"/>
    <x v="1"/>
    <x v="1"/>
    <x v="3"/>
    <x v="1"/>
    <x v="1589"/>
    <x v="1"/>
    <x v="62"/>
    <x v="0"/>
    <x v="0"/>
    <x v="1053"/>
    <x v="161"/>
    <x v="1386"/>
    <x v="7"/>
  </r>
  <r>
    <x v="881"/>
    <x v="0"/>
    <x v="36"/>
    <x v="112"/>
    <x v="59"/>
    <x v="2"/>
    <x v="1"/>
    <x v="7"/>
    <x v="2"/>
    <x v="1129"/>
    <x v="0"/>
    <x v="60"/>
    <x v="1"/>
    <x v="1"/>
    <x v="1397"/>
    <x v="270"/>
    <x v="1060"/>
    <x v="7"/>
  </r>
  <r>
    <x v="881"/>
    <x v="1"/>
    <x v="36"/>
    <x v="112"/>
    <x v="61"/>
    <x v="2"/>
    <x v="1"/>
    <x v="7"/>
    <x v="3"/>
    <x v="863"/>
    <x v="4"/>
    <x v="46"/>
    <x v="1"/>
    <x v="3"/>
    <x v="1209"/>
    <x v="275"/>
    <x v="60"/>
    <x v="7"/>
  </r>
  <r>
    <x v="882"/>
    <x v="0"/>
    <x v="19"/>
    <x v="77"/>
    <x v="59"/>
    <x v="3"/>
    <x v="1"/>
    <x v="5"/>
    <x v="6"/>
    <x v="1164"/>
    <x v="2"/>
    <x v="60"/>
    <x v="1"/>
    <x v="1"/>
    <x v="2135"/>
    <x v="514"/>
    <x v="1753"/>
    <x v="7"/>
  </r>
  <r>
    <x v="882"/>
    <x v="1"/>
    <x v="19"/>
    <x v="77"/>
    <x v="23"/>
    <x v="3"/>
    <x v="1"/>
    <x v="5"/>
    <x v="1"/>
    <x v="720"/>
    <x v="2"/>
    <x v="41"/>
    <x v="0"/>
    <x v="0"/>
    <x v="436"/>
    <x v="97"/>
    <x v="157"/>
    <x v="7"/>
  </r>
  <r>
    <x v="882"/>
    <x v="2"/>
    <x v="19"/>
    <x v="77"/>
    <x v="66"/>
    <x v="3"/>
    <x v="1"/>
    <x v="5"/>
    <x v="2"/>
    <x v="511"/>
    <x v="1"/>
    <x v="21"/>
    <x v="1"/>
    <x v="1"/>
    <x v="577"/>
    <x v="100"/>
    <x v="705"/>
    <x v="7"/>
  </r>
  <r>
    <x v="883"/>
    <x v="0"/>
    <x v="114"/>
    <x v="193"/>
    <x v="83"/>
    <x v="3"/>
    <x v="1"/>
    <x v="8"/>
    <x v="1"/>
    <x v="137"/>
    <x v="0"/>
    <x v="8"/>
    <x v="1"/>
    <x v="0"/>
    <x v="77"/>
    <x v="12"/>
    <x v="199"/>
    <x v="7"/>
  </r>
  <r>
    <x v="883"/>
    <x v="1"/>
    <x v="114"/>
    <x v="193"/>
    <x v="55"/>
    <x v="3"/>
    <x v="1"/>
    <x v="8"/>
    <x v="2"/>
    <x v="1052"/>
    <x v="3"/>
    <x v="54"/>
    <x v="2"/>
    <x v="3"/>
    <x v="1096"/>
    <x v="242"/>
    <x v="613"/>
    <x v="7"/>
  </r>
  <r>
    <x v="884"/>
    <x v="0"/>
    <x v="228"/>
    <x v="105"/>
    <x v="61"/>
    <x v="1"/>
    <x v="1"/>
    <x v="3"/>
    <x v="6"/>
    <x v="1000"/>
    <x v="0"/>
    <x v="46"/>
    <x v="1"/>
    <x v="1"/>
    <x v="2097"/>
    <x v="457"/>
    <x v="2114"/>
    <x v="7"/>
  </r>
  <r>
    <x v="885"/>
    <x v="0"/>
    <x v="179"/>
    <x v="5"/>
    <x v="20"/>
    <x v="2"/>
    <x v="1"/>
    <x v="0"/>
    <x v="3"/>
    <x v="156"/>
    <x v="0"/>
    <x v="5"/>
    <x v="1"/>
    <x v="2"/>
    <x v="343"/>
    <x v="44"/>
    <x v="696"/>
    <x v="7"/>
  </r>
  <r>
    <x v="885"/>
    <x v="1"/>
    <x v="179"/>
    <x v="5"/>
    <x v="40"/>
    <x v="2"/>
    <x v="1"/>
    <x v="0"/>
    <x v="1"/>
    <x v="1682"/>
    <x v="0"/>
    <x v="63"/>
    <x v="1"/>
    <x v="2"/>
    <x v="1176"/>
    <x v="166"/>
    <x v="1582"/>
    <x v="7"/>
  </r>
  <r>
    <x v="885"/>
    <x v="2"/>
    <x v="179"/>
    <x v="5"/>
    <x v="51"/>
    <x v="2"/>
    <x v="1"/>
    <x v="0"/>
    <x v="1"/>
    <x v="1378"/>
    <x v="2"/>
    <x v="53"/>
    <x v="1"/>
    <x v="3"/>
    <x v="839"/>
    <x v="131"/>
    <x v="1224"/>
    <x v="7"/>
  </r>
  <r>
    <x v="886"/>
    <x v="0"/>
    <x v="201"/>
    <x v="64"/>
    <x v="20"/>
    <x v="0"/>
    <x v="0"/>
    <x v="3"/>
    <x v="7"/>
    <x v="181"/>
    <x v="0"/>
    <x v="5"/>
    <x v="0"/>
    <x v="1"/>
    <x v="1317"/>
    <x v="175"/>
    <x v="1715"/>
    <x v="7"/>
  </r>
  <r>
    <x v="887"/>
    <x v="0"/>
    <x v="4"/>
    <x v="201"/>
    <x v="13"/>
    <x v="2"/>
    <x v="1"/>
    <x v="0"/>
    <x v="3"/>
    <x v="1323"/>
    <x v="0"/>
    <x v="70"/>
    <x v="2"/>
    <x v="2"/>
    <x v="1796"/>
    <x v="378"/>
    <x v="1541"/>
    <x v="7"/>
  </r>
  <r>
    <x v="887"/>
    <x v="1"/>
    <x v="4"/>
    <x v="201"/>
    <x v="78"/>
    <x v="2"/>
    <x v="1"/>
    <x v="0"/>
    <x v="1"/>
    <x v="597"/>
    <x v="4"/>
    <x v="20"/>
    <x v="1"/>
    <x v="2"/>
    <x v="300"/>
    <x v="48"/>
    <x v="501"/>
    <x v="7"/>
  </r>
  <r>
    <x v="888"/>
    <x v="0"/>
    <x v="180"/>
    <x v="232"/>
    <x v="14"/>
    <x v="0"/>
    <x v="1"/>
    <x v="7"/>
    <x v="1"/>
    <x v="220"/>
    <x v="0"/>
    <x v="7"/>
    <x v="1"/>
    <x v="0"/>
    <x v="120"/>
    <x v="11"/>
    <x v="418"/>
    <x v="7"/>
  </r>
  <r>
    <x v="888"/>
    <x v="1"/>
    <x v="180"/>
    <x v="232"/>
    <x v="90"/>
    <x v="0"/>
    <x v="1"/>
    <x v="7"/>
    <x v="3"/>
    <x v="840"/>
    <x v="3"/>
    <x v="37"/>
    <x v="2"/>
    <x v="0"/>
    <x v="1251"/>
    <x v="246"/>
    <x v="1047"/>
    <x v="7"/>
  </r>
  <r>
    <x v="888"/>
    <x v="2"/>
    <x v="180"/>
    <x v="232"/>
    <x v="25"/>
    <x v="0"/>
    <x v="1"/>
    <x v="7"/>
    <x v="2"/>
    <x v="2098"/>
    <x v="0"/>
    <x v="72"/>
    <x v="1"/>
    <x v="3"/>
    <x v="1880"/>
    <x v="306"/>
    <x v="2079"/>
    <x v="7"/>
  </r>
  <r>
    <x v="888"/>
    <x v="3"/>
    <x v="180"/>
    <x v="232"/>
    <x v="87"/>
    <x v="0"/>
    <x v="1"/>
    <x v="7"/>
    <x v="1"/>
    <x v="612"/>
    <x v="0"/>
    <x v="33"/>
    <x v="1"/>
    <x v="3"/>
    <x v="382"/>
    <x v="75"/>
    <x v="334"/>
    <x v="7"/>
  </r>
  <r>
    <x v="889"/>
    <x v="0"/>
    <x v="170"/>
    <x v="209"/>
    <x v="82"/>
    <x v="3"/>
    <x v="1"/>
    <x v="6"/>
    <x v="1"/>
    <x v="1737"/>
    <x v="4"/>
    <x v="96"/>
    <x v="1"/>
    <x v="2"/>
    <x v="989"/>
    <x v="259"/>
    <x v="12"/>
    <x v="7"/>
  </r>
  <r>
    <x v="890"/>
    <x v="0"/>
    <x v="19"/>
    <x v="56"/>
    <x v="35"/>
    <x v="2"/>
    <x v="1"/>
    <x v="0"/>
    <x v="3"/>
    <x v="239"/>
    <x v="0"/>
    <x v="11"/>
    <x v="1"/>
    <x v="3"/>
    <x v="454"/>
    <x v="71"/>
    <x v="732"/>
    <x v="7"/>
  </r>
  <r>
    <x v="890"/>
    <x v="1"/>
    <x v="19"/>
    <x v="56"/>
    <x v="9"/>
    <x v="2"/>
    <x v="1"/>
    <x v="0"/>
    <x v="5"/>
    <x v="1208"/>
    <x v="1"/>
    <x v="49"/>
    <x v="1"/>
    <x v="3"/>
    <x v="1987"/>
    <x v="382"/>
    <x v="2113"/>
    <x v="7"/>
  </r>
  <r>
    <x v="891"/>
    <x v="0"/>
    <x v="72"/>
    <x v="138"/>
    <x v="19"/>
    <x v="2"/>
    <x v="1"/>
    <x v="1"/>
    <x v="2"/>
    <x v="429"/>
    <x v="0"/>
    <x v="16"/>
    <x v="1"/>
    <x v="1"/>
    <x v="536"/>
    <x v="80"/>
    <x v="821"/>
    <x v="7"/>
  </r>
  <r>
    <x v="891"/>
    <x v="1"/>
    <x v="72"/>
    <x v="138"/>
    <x v="26"/>
    <x v="2"/>
    <x v="1"/>
    <x v="1"/>
    <x v="1"/>
    <x v="1990"/>
    <x v="2"/>
    <x v="74"/>
    <x v="1"/>
    <x v="2"/>
    <x v="1223"/>
    <x v="194"/>
    <x v="1512"/>
    <x v="7"/>
  </r>
  <r>
    <x v="891"/>
    <x v="2"/>
    <x v="72"/>
    <x v="138"/>
    <x v="7"/>
    <x v="2"/>
    <x v="1"/>
    <x v="1"/>
    <x v="1"/>
    <x v="94"/>
    <x v="2"/>
    <x v="4"/>
    <x v="1"/>
    <x v="2"/>
    <x v="36"/>
    <x v="6"/>
    <x v="124"/>
    <x v="7"/>
  </r>
  <r>
    <x v="892"/>
    <x v="0"/>
    <x v="148"/>
    <x v="77"/>
    <x v="97"/>
    <x v="3"/>
    <x v="2"/>
    <x v="8"/>
    <x v="3"/>
    <x v="321"/>
    <x v="0"/>
    <x v="15"/>
    <x v="1"/>
    <x v="3"/>
    <x v="580"/>
    <x v="105"/>
    <x v="661"/>
    <x v="7"/>
  </r>
  <r>
    <x v="892"/>
    <x v="1"/>
    <x v="148"/>
    <x v="77"/>
    <x v="8"/>
    <x v="3"/>
    <x v="2"/>
    <x v="8"/>
    <x v="2"/>
    <x v="700"/>
    <x v="0"/>
    <x v="28"/>
    <x v="1"/>
    <x v="0"/>
    <x v="827"/>
    <x v="130"/>
    <x v="1205"/>
    <x v="7"/>
  </r>
  <r>
    <x v="892"/>
    <x v="2"/>
    <x v="148"/>
    <x v="77"/>
    <x v="81"/>
    <x v="3"/>
    <x v="2"/>
    <x v="8"/>
    <x v="5"/>
    <x v="57"/>
    <x v="4"/>
    <x v="3"/>
    <x v="1"/>
    <x v="3"/>
    <x v="244"/>
    <x v="50"/>
    <x v="243"/>
    <x v="7"/>
  </r>
  <r>
    <x v="892"/>
    <x v="3"/>
    <x v="148"/>
    <x v="77"/>
    <x v="76"/>
    <x v="3"/>
    <x v="2"/>
    <x v="8"/>
    <x v="1"/>
    <x v="848"/>
    <x v="0"/>
    <x v="36"/>
    <x v="1"/>
    <x v="2"/>
    <x v="571"/>
    <x v="88"/>
    <x v="849"/>
    <x v="7"/>
  </r>
  <r>
    <x v="893"/>
    <x v="0"/>
    <x v="102"/>
    <x v="38"/>
    <x v="29"/>
    <x v="2"/>
    <x v="1"/>
    <x v="7"/>
    <x v="1"/>
    <x v="2016"/>
    <x v="2"/>
    <x v="97"/>
    <x v="1"/>
    <x v="0"/>
    <x v="1231"/>
    <x v="269"/>
    <x v="557"/>
    <x v="7"/>
  </r>
  <r>
    <x v="893"/>
    <x v="1"/>
    <x v="102"/>
    <x v="38"/>
    <x v="32"/>
    <x v="2"/>
    <x v="1"/>
    <x v="7"/>
    <x v="5"/>
    <x v="1138"/>
    <x v="2"/>
    <x v="50"/>
    <x v="1"/>
    <x v="2"/>
    <x v="1936"/>
    <x v="384"/>
    <x v="1994"/>
    <x v="7"/>
  </r>
  <r>
    <x v="893"/>
    <x v="2"/>
    <x v="102"/>
    <x v="38"/>
    <x v="27"/>
    <x v="2"/>
    <x v="1"/>
    <x v="7"/>
    <x v="1"/>
    <x v="1419"/>
    <x v="0"/>
    <x v="61"/>
    <x v="1"/>
    <x v="3"/>
    <x v="957"/>
    <x v="156"/>
    <x v="1244"/>
    <x v="7"/>
  </r>
  <r>
    <x v="894"/>
    <x v="0"/>
    <x v="177"/>
    <x v="191"/>
    <x v="25"/>
    <x v="3"/>
    <x v="0"/>
    <x v="7"/>
    <x v="2"/>
    <x v="1996"/>
    <x v="0"/>
    <x v="72"/>
    <x v="1"/>
    <x v="3"/>
    <x v="1843"/>
    <x v="306"/>
    <x v="2054"/>
    <x v="7"/>
  </r>
  <r>
    <x v="894"/>
    <x v="1"/>
    <x v="177"/>
    <x v="191"/>
    <x v="90"/>
    <x v="3"/>
    <x v="0"/>
    <x v="7"/>
    <x v="4"/>
    <x v="753"/>
    <x v="2"/>
    <x v="37"/>
    <x v="1"/>
    <x v="3"/>
    <x v="1509"/>
    <x v="289"/>
    <x v="1043"/>
    <x v="7"/>
  </r>
  <r>
    <x v="894"/>
    <x v="2"/>
    <x v="177"/>
    <x v="191"/>
    <x v="17"/>
    <x v="3"/>
    <x v="0"/>
    <x v="7"/>
    <x v="5"/>
    <x v="1856"/>
    <x v="0"/>
    <x v="92"/>
    <x v="1"/>
    <x v="3"/>
    <x v="2190"/>
    <x v="522"/>
    <x v="2112"/>
    <x v="7"/>
  </r>
  <r>
    <x v="894"/>
    <x v="3"/>
    <x v="177"/>
    <x v="191"/>
    <x v="32"/>
    <x v="3"/>
    <x v="0"/>
    <x v="7"/>
    <x v="2"/>
    <x v="1213"/>
    <x v="0"/>
    <x v="50"/>
    <x v="1"/>
    <x v="3"/>
    <x v="1490"/>
    <x v="221"/>
    <x v="1762"/>
    <x v="7"/>
  </r>
  <r>
    <x v="894"/>
    <x v="4"/>
    <x v="177"/>
    <x v="191"/>
    <x v="29"/>
    <x v="3"/>
    <x v="0"/>
    <x v="7"/>
    <x v="6"/>
    <x v="2163"/>
    <x v="3"/>
    <x v="97"/>
    <x v="1"/>
    <x v="1"/>
    <x v="2257"/>
    <x v="557"/>
    <x v="1894"/>
    <x v="7"/>
  </r>
  <r>
    <x v="895"/>
    <x v="0"/>
    <x v="72"/>
    <x v="65"/>
    <x v="51"/>
    <x v="0"/>
    <x v="1"/>
    <x v="0"/>
    <x v="1"/>
    <x v="1412"/>
    <x v="3"/>
    <x v="53"/>
    <x v="1"/>
    <x v="0"/>
    <x v="826"/>
    <x v="131"/>
    <x v="1189"/>
    <x v="7"/>
  </r>
  <r>
    <x v="895"/>
    <x v="1"/>
    <x v="72"/>
    <x v="65"/>
    <x v="77"/>
    <x v="0"/>
    <x v="1"/>
    <x v="0"/>
    <x v="1"/>
    <x v="251"/>
    <x v="4"/>
    <x v="9"/>
    <x v="1"/>
    <x v="3"/>
    <x v="103"/>
    <x v="16"/>
    <x v="228"/>
    <x v="7"/>
  </r>
  <r>
    <x v="895"/>
    <x v="2"/>
    <x v="72"/>
    <x v="65"/>
    <x v="48"/>
    <x v="0"/>
    <x v="1"/>
    <x v="0"/>
    <x v="1"/>
    <x v="379"/>
    <x v="0"/>
    <x v="17"/>
    <x v="1"/>
    <x v="0"/>
    <x v="237"/>
    <x v="39"/>
    <x v="365"/>
    <x v="7"/>
  </r>
  <r>
    <x v="895"/>
    <x v="3"/>
    <x v="72"/>
    <x v="65"/>
    <x v="84"/>
    <x v="0"/>
    <x v="1"/>
    <x v="0"/>
    <x v="4"/>
    <x v="1673"/>
    <x v="2"/>
    <x v="89"/>
    <x v="1"/>
    <x v="0"/>
    <x v="2051"/>
    <x v="489"/>
    <x v="1401"/>
    <x v="7"/>
  </r>
  <r>
    <x v="896"/>
    <x v="0"/>
    <x v="135"/>
    <x v="192"/>
    <x v="47"/>
    <x v="3"/>
    <x v="1"/>
    <x v="0"/>
    <x v="3"/>
    <x v="1538"/>
    <x v="2"/>
    <x v="82"/>
    <x v="1"/>
    <x v="0"/>
    <x v="1881"/>
    <x v="412"/>
    <x v="1273"/>
    <x v="7"/>
  </r>
  <r>
    <x v="896"/>
    <x v="1"/>
    <x v="135"/>
    <x v="192"/>
    <x v="21"/>
    <x v="3"/>
    <x v="1"/>
    <x v="0"/>
    <x v="2"/>
    <x v="384"/>
    <x v="4"/>
    <x v="18"/>
    <x v="1"/>
    <x v="0"/>
    <x v="391"/>
    <x v="90"/>
    <x v="114"/>
    <x v="7"/>
  </r>
  <r>
    <x v="897"/>
    <x v="0"/>
    <x v="235"/>
    <x v="192"/>
    <x v="34"/>
    <x v="3"/>
    <x v="0"/>
    <x v="8"/>
    <x v="2"/>
    <x v="1301"/>
    <x v="0"/>
    <x v="58"/>
    <x v="1"/>
    <x v="0"/>
    <x v="1552"/>
    <x v="266"/>
    <x v="1599"/>
    <x v="7"/>
  </r>
  <r>
    <x v="897"/>
    <x v="1"/>
    <x v="235"/>
    <x v="192"/>
    <x v="47"/>
    <x v="3"/>
    <x v="0"/>
    <x v="8"/>
    <x v="3"/>
    <x v="1541"/>
    <x v="0"/>
    <x v="82"/>
    <x v="1"/>
    <x v="0"/>
    <x v="1932"/>
    <x v="412"/>
    <x v="1738"/>
    <x v="7"/>
  </r>
  <r>
    <x v="897"/>
    <x v="2"/>
    <x v="235"/>
    <x v="192"/>
    <x v="64"/>
    <x v="3"/>
    <x v="0"/>
    <x v="8"/>
    <x v="2"/>
    <x v="1667"/>
    <x v="3"/>
    <x v="69"/>
    <x v="1"/>
    <x v="2"/>
    <x v="1637"/>
    <x v="296"/>
    <x v="1686"/>
    <x v="7"/>
  </r>
  <r>
    <x v="898"/>
    <x v="0"/>
    <x v="101"/>
    <x v="84"/>
    <x v="37"/>
    <x v="2"/>
    <x v="1"/>
    <x v="1"/>
    <x v="7"/>
    <x v="1585"/>
    <x v="0"/>
    <x v="78"/>
    <x v="1"/>
    <x v="1"/>
    <x v="2279"/>
    <x v="558"/>
    <x v="2270"/>
    <x v="7"/>
  </r>
  <r>
    <x v="898"/>
    <x v="1"/>
    <x v="101"/>
    <x v="84"/>
    <x v="56"/>
    <x v="2"/>
    <x v="1"/>
    <x v="1"/>
    <x v="1"/>
    <x v="715"/>
    <x v="0"/>
    <x v="44"/>
    <x v="1"/>
    <x v="1"/>
    <x v="463"/>
    <x v="104"/>
    <x v="220"/>
    <x v="7"/>
  </r>
  <r>
    <x v="899"/>
    <x v="0"/>
    <x v="170"/>
    <x v="23"/>
    <x v="62"/>
    <x v="1"/>
    <x v="0"/>
    <x v="3"/>
    <x v="2"/>
    <x v="1288"/>
    <x v="2"/>
    <x v="67"/>
    <x v="1"/>
    <x v="1"/>
    <x v="1459"/>
    <x v="294"/>
    <x v="746"/>
    <x v="7"/>
  </r>
  <r>
    <x v="899"/>
    <x v="1"/>
    <x v="170"/>
    <x v="23"/>
    <x v="90"/>
    <x v="1"/>
    <x v="0"/>
    <x v="3"/>
    <x v="2"/>
    <x v="845"/>
    <x v="3"/>
    <x v="37"/>
    <x v="1"/>
    <x v="1"/>
    <x v="867"/>
    <x v="170"/>
    <x v="843"/>
    <x v="7"/>
  </r>
  <r>
    <x v="899"/>
    <x v="2"/>
    <x v="170"/>
    <x v="23"/>
    <x v="9"/>
    <x v="1"/>
    <x v="0"/>
    <x v="3"/>
    <x v="1"/>
    <x v="1269"/>
    <x v="4"/>
    <x v="49"/>
    <x v="1"/>
    <x v="0"/>
    <x v="712"/>
    <x v="117"/>
    <x v="999"/>
    <x v="7"/>
  </r>
  <r>
    <x v="900"/>
    <x v="0"/>
    <x v="129"/>
    <x v="61"/>
    <x v="61"/>
    <x v="0"/>
    <x v="2"/>
    <x v="9"/>
    <x v="1"/>
    <x v="985"/>
    <x v="1"/>
    <x v="46"/>
    <x v="1"/>
    <x v="3"/>
    <x v="625"/>
    <x v="111"/>
    <x v="790"/>
    <x v="7"/>
  </r>
  <r>
    <x v="900"/>
    <x v="1"/>
    <x v="129"/>
    <x v="61"/>
    <x v="5"/>
    <x v="0"/>
    <x v="2"/>
    <x v="9"/>
    <x v="1"/>
    <x v="669"/>
    <x v="2"/>
    <x v="31"/>
    <x v="2"/>
    <x v="2"/>
    <x v="388"/>
    <x v="70"/>
    <x v="515"/>
    <x v="7"/>
  </r>
  <r>
    <x v="900"/>
    <x v="2"/>
    <x v="129"/>
    <x v="61"/>
    <x v="20"/>
    <x v="0"/>
    <x v="2"/>
    <x v="9"/>
    <x v="1"/>
    <x v="147"/>
    <x v="0"/>
    <x v="5"/>
    <x v="0"/>
    <x v="2"/>
    <x v="83"/>
    <x v="9"/>
    <x v="257"/>
    <x v="7"/>
  </r>
  <r>
    <x v="901"/>
    <x v="0"/>
    <x v="37"/>
    <x v="41"/>
    <x v="89"/>
    <x v="0"/>
    <x v="1"/>
    <x v="7"/>
    <x v="2"/>
    <x v="677"/>
    <x v="0"/>
    <x v="26"/>
    <x v="1"/>
    <x v="1"/>
    <x v="805"/>
    <x v="127"/>
    <x v="1137"/>
    <x v="7"/>
  </r>
  <r>
    <x v="901"/>
    <x v="1"/>
    <x v="37"/>
    <x v="41"/>
    <x v="95"/>
    <x v="0"/>
    <x v="1"/>
    <x v="7"/>
    <x v="2"/>
    <x v="980"/>
    <x v="0"/>
    <x v="52"/>
    <x v="1"/>
    <x v="1"/>
    <x v="1172"/>
    <x v="232"/>
    <x v="1027"/>
    <x v="7"/>
  </r>
  <r>
    <x v="901"/>
    <x v="2"/>
    <x v="37"/>
    <x v="41"/>
    <x v="94"/>
    <x v="0"/>
    <x v="1"/>
    <x v="7"/>
    <x v="1"/>
    <x v="1666"/>
    <x v="4"/>
    <x v="71"/>
    <x v="1"/>
    <x v="1"/>
    <x v="947"/>
    <x v="184"/>
    <x v="966"/>
    <x v="7"/>
  </r>
  <r>
    <x v="902"/>
    <x v="0"/>
    <x v="96"/>
    <x v="158"/>
    <x v="36"/>
    <x v="0"/>
    <x v="2"/>
    <x v="8"/>
    <x v="5"/>
    <x v="2120"/>
    <x v="1"/>
    <x v="91"/>
    <x v="1"/>
    <x v="0"/>
    <x v="2206"/>
    <x v="520"/>
    <x v="2182"/>
    <x v="7"/>
  </r>
  <r>
    <x v="902"/>
    <x v="1"/>
    <x v="96"/>
    <x v="158"/>
    <x v="77"/>
    <x v="0"/>
    <x v="2"/>
    <x v="8"/>
    <x v="3"/>
    <x v="245"/>
    <x v="0"/>
    <x v="9"/>
    <x v="1"/>
    <x v="0"/>
    <x v="464"/>
    <x v="59"/>
    <x v="879"/>
    <x v="7"/>
  </r>
  <r>
    <x v="902"/>
    <x v="2"/>
    <x v="96"/>
    <x v="158"/>
    <x v="62"/>
    <x v="0"/>
    <x v="2"/>
    <x v="8"/>
    <x v="2"/>
    <x v="1401"/>
    <x v="0"/>
    <x v="67"/>
    <x v="1"/>
    <x v="2"/>
    <x v="1605"/>
    <x v="294"/>
    <x v="1539"/>
    <x v="7"/>
  </r>
  <r>
    <x v="902"/>
    <x v="3"/>
    <x v="96"/>
    <x v="158"/>
    <x v="28"/>
    <x v="0"/>
    <x v="2"/>
    <x v="8"/>
    <x v="1"/>
    <x v="88"/>
    <x v="4"/>
    <x v="2"/>
    <x v="1"/>
    <x v="0"/>
    <x v="25"/>
    <x v="4"/>
    <x v="122"/>
    <x v="7"/>
  </r>
  <r>
    <x v="903"/>
    <x v="0"/>
    <x v="258"/>
    <x v="226"/>
    <x v="91"/>
    <x v="3"/>
    <x v="1"/>
    <x v="6"/>
    <x v="6"/>
    <x v="2227"/>
    <x v="1"/>
    <x v="81"/>
    <x v="1"/>
    <x v="0"/>
    <x v="2272"/>
    <x v="542"/>
    <x v="2278"/>
    <x v="7"/>
  </r>
  <r>
    <x v="904"/>
    <x v="0"/>
    <x v="221"/>
    <x v="28"/>
    <x v="36"/>
    <x v="2"/>
    <x v="1"/>
    <x v="2"/>
    <x v="3"/>
    <x v="2154"/>
    <x v="4"/>
    <x v="91"/>
    <x v="2"/>
    <x v="1"/>
    <x v="1974"/>
    <x v="442"/>
    <x v="1683"/>
    <x v="7"/>
  </r>
  <r>
    <x v="904"/>
    <x v="1"/>
    <x v="221"/>
    <x v="28"/>
    <x v="78"/>
    <x v="2"/>
    <x v="1"/>
    <x v="2"/>
    <x v="2"/>
    <x v="533"/>
    <x v="2"/>
    <x v="20"/>
    <x v="0"/>
    <x v="3"/>
    <x v="573"/>
    <x v="98"/>
    <x v="714"/>
    <x v="7"/>
  </r>
  <r>
    <x v="904"/>
    <x v="2"/>
    <x v="221"/>
    <x v="28"/>
    <x v="77"/>
    <x v="2"/>
    <x v="1"/>
    <x v="2"/>
    <x v="3"/>
    <x v="253"/>
    <x v="0"/>
    <x v="9"/>
    <x v="1"/>
    <x v="2"/>
    <x v="471"/>
    <x v="59"/>
    <x v="891"/>
    <x v="7"/>
  </r>
  <r>
    <x v="904"/>
    <x v="3"/>
    <x v="221"/>
    <x v="28"/>
    <x v="25"/>
    <x v="2"/>
    <x v="1"/>
    <x v="2"/>
    <x v="1"/>
    <x v="2226"/>
    <x v="3"/>
    <x v="72"/>
    <x v="1"/>
    <x v="2"/>
    <x v="1312"/>
    <x v="189"/>
    <x v="1662"/>
    <x v="7"/>
  </r>
  <r>
    <x v="904"/>
    <x v="4"/>
    <x v="221"/>
    <x v="28"/>
    <x v="95"/>
    <x v="2"/>
    <x v="1"/>
    <x v="2"/>
    <x v="6"/>
    <x v="950"/>
    <x v="0"/>
    <x v="52"/>
    <x v="1"/>
    <x v="3"/>
    <x v="2075"/>
    <x v="485"/>
    <x v="1847"/>
    <x v="7"/>
  </r>
  <r>
    <x v="905"/>
    <x v="0"/>
    <x v="73"/>
    <x v="9"/>
    <x v="43"/>
    <x v="3"/>
    <x v="0"/>
    <x v="7"/>
    <x v="2"/>
    <x v="41"/>
    <x v="4"/>
    <x v="1"/>
    <x v="1"/>
    <x v="3"/>
    <x v="51"/>
    <x v="8"/>
    <x v="140"/>
    <x v="7"/>
  </r>
  <r>
    <x v="905"/>
    <x v="1"/>
    <x v="73"/>
    <x v="9"/>
    <x v="4"/>
    <x v="3"/>
    <x v="0"/>
    <x v="7"/>
    <x v="1"/>
    <x v="2107"/>
    <x v="1"/>
    <x v="94"/>
    <x v="1"/>
    <x v="1"/>
    <x v="1361"/>
    <x v="249"/>
    <x v="1283"/>
    <x v="7"/>
  </r>
  <r>
    <x v="906"/>
    <x v="0"/>
    <x v="208"/>
    <x v="197"/>
    <x v="21"/>
    <x v="3"/>
    <x v="0"/>
    <x v="8"/>
    <x v="5"/>
    <x v="378"/>
    <x v="0"/>
    <x v="18"/>
    <x v="1"/>
    <x v="2"/>
    <x v="1054"/>
    <x v="206"/>
    <x v="987"/>
    <x v="7"/>
  </r>
  <r>
    <x v="907"/>
    <x v="0"/>
    <x v="113"/>
    <x v="179"/>
    <x v="1"/>
    <x v="3"/>
    <x v="2"/>
    <x v="8"/>
    <x v="1"/>
    <x v="795"/>
    <x v="0"/>
    <x v="42"/>
    <x v="1"/>
    <x v="2"/>
    <x v="534"/>
    <x v="99"/>
    <x v="607"/>
    <x v="7"/>
  </r>
  <r>
    <x v="908"/>
    <x v="0"/>
    <x v="29"/>
    <x v="101"/>
    <x v="84"/>
    <x v="2"/>
    <x v="0"/>
    <x v="9"/>
    <x v="5"/>
    <x v="1915"/>
    <x v="4"/>
    <x v="89"/>
    <x v="1"/>
    <x v="0"/>
    <x v="2133"/>
    <x v="517"/>
    <x v="1587"/>
    <x v="7"/>
  </r>
  <r>
    <x v="909"/>
    <x v="0"/>
    <x v="67"/>
    <x v="163"/>
    <x v="47"/>
    <x v="1"/>
    <x v="2"/>
    <x v="6"/>
    <x v="2"/>
    <x v="1445"/>
    <x v="0"/>
    <x v="82"/>
    <x v="1"/>
    <x v="0"/>
    <x v="1626"/>
    <x v="334"/>
    <x v="1088"/>
    <x v="7"/>
  </r>
  <r>
    <x v="909"/>
    <x v="1"/>
    <x v="67"/>
    <x v="163"/>
    <x v="7"/>
    <x v="1"/>
    <x v="2"/>
    <x v="6"/>
    <x v="1"/>
    <x v="110"/>
    <x v="1"/>
    <x v="4"/>
    <x v="1"/>
    <x v="1"/>
    <x v="47"/>
    <x v="6"/>
    <x v="154"/>
    <x v="7"/>
  </r>
  <r>
    <x v="910"/>
    <x v="0"/>
    <x v="59"/>
    <x v="200"/>
    <x v="77"/>
    <x v="3"/>
    <x v="1"/>
    <x v="3"/>
    <x v="7"/>
    <x v="234"/>
    <x v="0"/>
    <x v="9"/>
    <x v="1"/>
    <x v="0"/>
    <x v="1506"/>
    <x v="225"/>
    <x v="1752"/>
    <x v="7"/>
  </r>
  <r>
    <x v="910"/>
    <x v="1"/>
    <x v="59"/>
    <x v="200"/>
    <x v="81"/>
    <x v="3"/>
    <x v="1"/>
    <x v="3"/>
    <x v="3"/>
    <x v="58"/>
    <x v="3"/>
    <x v="3"/>
    <x v="1"/>
    <x v="3"/>
    <x v="153"/>
    <x v="25"/>
    <x v="215"/>
    <x v="7"/>
  </r>
  <r>
    <x v="910"/>
    <x v="2"/>
    <x v="59"/>
    <x v="200"/>
    <x v="50"/>
    <x v="3"/>
    <x v="1"/>
    <x v="3"/>
    <x v="2"/>
    <x v="1743"/>
    <x v="0"/>
    <x v="77"/>
    <x v="1"/>
    <x v="3"/>
    <x v="1764"/>
    <x v="319"/>
    <x v="1913"/>
    <x v="7"/>
  </r>
  <r>
    <x v="911"/>
    <x v="0"/>
    <x v="215"/>
    <x v="62"/>
    <x v="98"/>
    <x v="0"/>
    <x v="0"/>
    <x v="0"/>
    <x v="3"/>
    <x v="1300"/>
    <x v="3"/>
    <x v="65"/>
    <x v="2"/>
    <x v="2"/>
    <x v="1690"/>
    <x v="370"/>
    <x v="751"/>
    <x v="7"/>
  </r>
  <r>
    <x v="911"/>
    <x v="1"/>
    <x v="215"/>
    <x v="62"/>
    <x v="35"/>
    <x v="0"/>
    <x v="0"/>
    <x v="0"/>
    <x v="2"/>
    <x v="261"/>
    <x v="1"/>
    <x v="11"/>
    <x v="1"/>
    <x v="3"/>
    <x v="313"/>
    <x v="45"/>
    <x v="566"/>
    <x v="7"/>
  </r>
  <r>
    <x v="912"/>
    <x v="0"/>
    <x v="240"/>
    <x v="245"/>
    <x v="74"/>
    <x v="0"/>
    <x v="0"/>
    <x v="5"/>
    <x v="1"/>
    <x v="1971"/>
    <x v="0"/>
    <x v="90"/>
    <x v="1"/>
    <x v="3"/>
    <x v="1350"/>
    <x v="239"/>
    <x v="1333"/>
    <x v="7"/>
  </r>
  <r>
    <x v="913"/>
    <x v="0"/>
    <x v="201"/>
    <x v="139"/>
    <x v="16"/>
    <x v="0"/>
    <x v="0"/>
    <x v="8"/>
    <x v="2"/>
    <x v="1297"/>
    <x v="4"/>
    <x v="51"/>
    <x v="1"/>
    <x v="0"/>
    <x v="1342"/>
    <x v="230"/>
    <x v="1402"/>
    <x v="7"/>
  </r>
  <r>
    <x v="913"/>
    <x v="1"/>
    <x v="201"/>
    <x v="139"/>
    <x v="63"/>
    <x v="0"/>
    <x v="0"/>
    <x v="8"/>
    <x v="1"/>
    <x v="2210"/>
    <x v="4"/>
    <x v="98"/>
    <x v="1"/>
    <x v="1"/>
    <x v="1210"/>
    <x v="271"/>
    <x v="367"/>
    <x v="7"/>
  </r>
  <r>
    <x v="913"/>
    <x v="2"/>
    <x v="201"/>
    <x v="139"/>
    <x v="81"/>
    <x v="0"/>
    <x v="0"/>
    <x v="8"/>
    <x v="1"/>
    <x v="59"/>
    <x v="2"/>
    <x v="3"/>
    <x v="1"/>
    <x v="0"/>
    <x v="27"/>
    <x v="5"/>
    <x v="106"/>
    <x v="7"/>
  </r>
  <r>
    <x v="913"/>
    <x v="3"/>
    <x v="201"/>
    <x v="139"/>
    <x v="5"/>
    <x v="0"/>
    <x v="0"/>
    <x v="8"/>
    <x v="4"/>
    <x v="679"/>
    <x v="1"/>
    <x v="31"/>
    <x v="1"/>
    <x v="0"/>
    <x v="1429"/>
    <x v="253"/>
    <x v="1432"/>
    <x v="7"/>
  </r>
  <r>
    <x v="913"/>
    <x v="4"/>
    <x v="201"/>
    <x v="139"/>
    <x v="95"/>
    <x v="0"/>
    <x v="0"/>
    <x v="8"/>
    <x v="1"/>
    <x v="1040"/>
    <x v="4"/>
    <x v="52"/>
    <x v="1"/>
    <x v="1"/>
    <x v="581"/>
    <x v="125"/>
    <x v="261"/>
    <x v="7"/>
  </r>
  <r>
    <x v="914"/>
    <x v="0"/>
    <x v="28"/>
    <x v="119"/>
    <x v="37"/>
    <x v="3"/>
    <x v="0"/>
    <x v="4"/>
    <x v="5"/>
    <x v="1422"/>
    <x v="0"/>
    <x v="78"/>
    <x v="1"/>
    <x v="1"/>
    <x v="2094"/>
    <x v="492"/>
    <x v="1904"/>
    <x v="7"/>
  </r>
  <r>
    <x v="914"/>
    <x v="1"/>
    <x v="28"/>
    <x v="119"/>
    <x v="46"/>
    <x v="3"/>
    <x v="0"/>
    <x v="4"/>
    <x v="1"/>
    <x v="1698"/>
    <x v="4"/>
    <x v="85"/>
    <x v="1"/>
    <x v="2"/>
    <x v="962"/>
    <x v="223"/>
    <x v="473"/>
    <x v="7"/>
  </r>
  <r>
    <x v="914"/>
    <x v="2"/>
    <x v="28"/>
    <x v="119"/>
    <x v="10"/>
    <x v="3"/>
    <x v="0"/>
    <x v="4"/>
    <x v="1"/>
    <x v="347"/>
    <x v="0"/>
    <x v="14"/>
    <x v="1"/>
    <x v="3"/>
    <x v="207"/>
    <x v="31"/>
    <x v="358"/>
    <x v="7"/>
  </r>
  <r>
    <x v="915"/>
    <x v="0"/>
    <x v="132"/>
    <x v="87"/>
    <x v="96"/>
    <x v="2"/>
    <x v="1"/>
    <x v="2"/>
    <x v="4"/>
    <x v="462"/>
    <x v="0"/>
    <x v="22"/>
    <x v="1"/>
    <x v="1"/>
    <x v="985"/>
    <x v="204"/>
    <x v="809"/>
    <x v="7"/>
  </r>
  <r>
    <x v="916"/>
    <x v="0"/>
    <x v="218"/>
    <x v="102"/>
    <x v="17"/>
    <x v="3"/>
    <x v="1"/>
    <x v="3"/>
    <x v="2"/>
    <x v="2132"/>
    <x v="2"/>
    <x v="92"/>
    <x v="1"/>
    <x v="2"/>
    <x v="1814"/>
    <x v="368"/>
    <x v="1703"/>
    <x v="7"/>
  </r>
  <r>
    <x v="916"/>
    <x v="1"/>
    <x v="218"/>
    <x v="102"/>
    <x v="31"/>
    <x v="3"/>
    <x v="1"/>
    <x v="3"/>
    <x v="2"/>
    <x v="358"/>
    <x v="1"/>
    <x v="12"/>
    <x v="1"/>
    <x v="1"/>
    <x v="408"/>
    <x v="52"/>
    <x v="772"/>
    <x v="7"/>
  </r>
  <r>
    <x v="916"/>
    <x v="2"/>
    <x v="218"/>
    <x v="102"/>
    <x v="94"/>
    <x v="3"/>
    <x v="1"/>
    <x v="3"/>
    <x v="1"/>
    <x v="1970"/>
    <x v="3"/>
    <x v="71"/>
    <x v="1"/>
    <x v="3"/>
    <x v="1148"/>
    <x v="184"/>
    <x v="1425"/>
    <x v="7"/>
  </r>
  <r>
    <x v="917"/>
    <x v="0"/>
    <x v="28"/>
    <x v="212"/>
    <x v="58"/>
    <x v="0"/>
    <x v="0"/>
    <x v="5"/>
    <x v="1"/>
    <x v="2165"/>
    <x v="1"/>
    <x v="99"/>
    <x v="1"/>
    <x v="0"/>
    <x v="1382"/>
    <x v="273"/>
    <x v="973"/>
    <x v="7"/>
  </r>
  <r>
    <x v="917"/>
    <x v="1"/>
    <x v="28"/>
    <x v="212"/>
    <x v="19"/>
    <x v="0"/>
    <x v="0"/>
    <x v="5"/>
    <x v="1"/>
    <x v="473"/>
    <x v="3"/>
    <x v="16"/>
    <x v="1"/>
    <x v="0"/>
    <x v="235"/>
    <x v="38"/>
    <x v="385"/>
    <x v="7"/>
  </r>
  <r>
    <x v="917"/>
    <x v="2"/>
    <x v="28"/>
    <x v="212"/>
    <x v="26"/>
    <x v="0"/>
    <x v="0"/>
    <x v="5"/>
    <x v="1"/>
    <x v="1803"/>
    <x v="0"/>
    <x v="74"/>
    <x v="1"/>
    <x v="1"/>
    <x v="1256"/>
    <x v="194"/>
    <x v="1558"/>
    <x v="7"/>
  </r>
  <r>
    <x v="917"/>
    <x v="3"/>
    <x v="28"/>
    <x v="212"/>
    <x v="4"/>
    <x v="0"/>
    <x v="0"/>
    <x v="5"/>
    <x v="1"/>
    <x v="2138"/>
    <x v="0"/>
    <x v="94"/>
    <x v="1"/>
    <x v="1"/>
    <x v="1427"/>
    <x v="249"/>
    <x v="1450"/>
    <x v="7"/>
  </r>
  <r>
    <x v="918"/>
    <x v="0"/>
    <x v="112"/>
    <x v="45"/>
    <x v="7"/>
    <x v="3"/>
    <x v="0"/>
    <x v="1"/>
    <x v="6"/>
    <x v="72"/>
    <x v="1"/>
    <x v="4"/>
    <x v="1"/>
    <x v="3"/>
    <x v="510"/>
    <x v="89"/>
    <x v="680"/>
    <x v="7"/>
  </r>
  <r>
    <x v="919"/>
    <x v="0"/>
    <x v="151"/>
    <x v="242"/>
    <x v="84"/>
    <x v="0"/>
    <x v="1"/>
    <x v="2"/>
    <x v="2"/>
    <x v="1938"/>
    <x v="0"/>
    <x v="89"/>
    <x v="1"/>
    <x v="2"/>
    <x v="1827"/>
    <x v="356"/>
    <x v="1830"/>
    <x v="7"/>
  </r>
  <r>
    <x v="919"/>
    <x v="1"/>
    <x v="151"/>
    <x v="242"/>
    <x v="19"/>
    <x v="0"/>
    <x v="1"/>
    <x v="2"/>
    <x v="2"/>
    <x v="460"/>
    <x v="0"/>
    <x v="16"/>
    <x v="0"/>
    <x v="2"/>
    <x v="559"/>
    <x v="80"/>
    <x v="866"/>
    <x v="7"/>
  </r>
  <r>
    <x v="920"/>
    <x v="0"/>
    <x v="177"/>
    <x v="199"/>
    <x v="56"/>
    <x v="3"/>
    <x v="2"/>
    <x v="4"/>
    <x v="1"/>
    <x v="730"/>
    <x v="0"/>
    <x v="44"/>
    <x v="1"/>
    <x v="1"/>
    <x v="473"/>
    <x v="104"/>
    <x v="280"/>
    <x v="7"/>
  </r>
  <r>
    <x v="920"/>
    <x v="1"/>
    <x v="177"/>
    <x v="199"/>
    <x v="22"/>
    <x v="3"/>
    <x v="2"/>
    <x v="4"/>
    <x v="3"/>
    <x v="813"/>
    <x v="0"/>
    <x v="34"/>
    <x v="1"/>
    <x v="3"/>
    <x v="1416"/>
    <x v="227"/>
    <x v="1583"/>
    <x v="7"/>
  </r>
  <r>
    <x v="920"/>
    <x v="2"/>
    <x v="177"/>
    <x v="199"/>
    <x v="89"/>
    <x v="3"/>
    <x v="2"/>
    <x v="4"/>
    <x v="2"/>
    <x v="667"/>
    <x v="0"/>
    <x v="26"/>
    <x v="1"/>
    <x v="1"/>
    <x v="793"/>
    <x v="127"/>
    <x v="1101"/>
    <x v="7"/>
  </r>
  <r>
    <x v="920"/>
    <x v="3"/>
    <x v="177"/>
    <x v="199"/>
    <x v="7"/>
    <x v="3"/>
    <x v="2"/>
    <x v="4"/>
    <x v="2"/>
    <x v="78"/>
    <x v="0"/>
    <x v="4"/>
    <x v="1"/>
    <x v="3"/>
    <x v="119"/>
    <x v="19"/>
    <x v="258"/>
    <x v="7"/>
  </r>
  <r>
    <x v="921"/>
    <x v="0"/>
    <x v="235"/>
    <x v="249"/>
    <x v="37"/>
    <x v="3"/>
    <x v="0"/>
    <x v="0"/>
    <x v="2"/>
    <x v="1463"/>
    <x v="4"/>
    <x v="78"/>
    <x v="1"/>
    <x v="3"/>
    <x v="1510"/>
    <x v="320"/>
    <x v="240"/>
    <x v="7"/>
  </r>
  <r>
    <x v="921"/>
    <x v="1"/>
    <x v="235"/>
    <x v="249"/>
    <x v="13"/>
    <x v="3"/>
    <x v="0"/>
    <x v="0"/>
    <x v="5"/>
    <x v="1306"/>
    <x v="0"/>
    <x v="70"/>
    <x v="1"/>
    <x v="3"/>
    <x v="2049"/>
    <x v="474"/>
    <x v="1832"/>
    <x v="7"/>
  </r>
  <r>
    <x v="922"/>
    <x v="0"/>
    <x v="140"/>
    <x v="29"/>
    <x v="93"/>
    <x v="1"/>
    <x v="2"/>
    <x v="3"/>
    <x v="5"/>
    <x v="435"/>
    <x v="0"/>
    <x v="24"/>
    <x v="1"/>
    <x v="2"/>
    <x v="1175"/>
    <x v="255"/>
    <x v="741"/>
    <x v="7"/>
  </r>
  <r>
    <x v="923"/>
    <x v="0"/>
    <x v="198"/>
    <x v="34"/>
    <x v="3"/>
    <x v="1"/>
    <x v="2"/>
    <x v="8"/>
    <x v="1"/>
    <x v="1695"/>
    <x v="0"/>
    <x v="73"/>
    <x v="1"/>
    <x v="1"/>
    <x v="1182"/>
    <x v="191"/>
    <x v="1467"/>
    <x v="7"/>
  </r>
  <r>
    <x v="923"/>
    <x v="1"/>
    <x v="198"/>
    <x v="34"/>
    <x v="17"/>
    <x v="1"/>
    <x v="2"/>
    <x v="8"/>
    <x v="1"/>
    <x v="1947"/>
    <x v="3"/>
    <x v="92"/>
    <x v="1"/>
    <x v="1"/>
    <x v="1137"/>
    <x v="245"/>
    <x v="753"/>
    <x v="7"/>
  </r>
  <r>
    <x v="924"/>
    <x v="0"/>
    <x v="226"/>
    <x v="169"/>
    <x v="16"/>
    <x v="1"/>
    <x v="1"/>
    <x v="0"/>
    <x v="3"/>
    <x v="1324"/>
    <x v="1"/>
    <x v="51"/>
    <x v="1"/>
    <x v="2"/>
    <x v="1759"/>
    <x v="299"/>
    <x v="1977"/>
    <x v="7"/>
  </r>
  <r>
    <x v="925"/>
    <x v="0"/>
    <x v="125"/>
    <x v="24"/>
    <x v="26"/>
    <x v="2"/>
    <x v="0"/>
    <x v="0"/>
    <x v="1"/>
    <x v="2118"/>
    <x v="0"/>
    <x v="74"/>
    <x v="1"/>
    <x v="2"/>
    <x v="1417"/>
    <x v="194"/>
    <x v="1763"/>
    <x v="7"/>
  </r>
  <r>
    <x v="925"/>
    <x v="1"/>
    <x v="125"/>
    <x v="24"/>
    <x v="20"/>
    <x v="2"/>
    <x v="0"/>
    <x v="0"/>
    <x v="1"/>
    <x v="197"/>
    <x v="4"/>
    <x v="5"/>
    <x v="1"/>
    <x v="0"/>
    <x v="75"/>
    <x v="9"/>
    <x v="219"/>
    <x v="7"/>
  </r>
  <r>
    <x v="925"/>
    <x v="2"/>
    <x v="125"/>
    <x v="24"/>
    <x v="36"/>
    <x v="2"/>
    <x v="0"/>
    <x v="0"/>
    <x v="2"/>
    <x v="2269"/>
    <x v="3"/>
    <x v="91"/>
    <x v="1"/>
    <x v="1"/>
    <x v="1852"/>
    <x v="363"/>
    <x v="1868"/>
    <x v="7"/>
  </r>
  <r>
    <x v="925"/>
    <x v="3"/>
    <x v="125"/>
    <x v="24"/>
    <x v="51"/>
    <x v="2"/>
    <x v="0"/>
    <x v="0"/>
    <x v="2"/>
    <x v="1451"/>
    <x v="0"/>
    <x v="53"/>
    <x v="1"/>
    <x v="2"/>
    <x v="1629"/>
    <x v="240"/>
    <x v="1944"/>
    <x v="7"/>
  </r>
  <r>
    <x v="926"/>
    <x v="0"/>
    <x v="251"/>
    <x v="151"/>
    <x v="52"/>
    <x v="3"/>
    <x v="2"/>
    <x v="2"/>
    <x v="2"/>
    <x v="963"/>
    <x v="0"/>
    <x v="40"/>
    <x v="1"/>
    <x v="3"/>
    <x v="1142"/>
    <x v="176"/>
    <x v="1482"/>
    <x v="7"/>
  </r>
  <r>
    <x v="926"/>
    <x v="1"/>
    <x v="251"/>
    <x v="151"/>
    <x v="26"/>
    <x v="3"/>
    <x v="2"/>
    <x v="2"/>
    <x v="1"/>
    <x v="2179"/>
    <x v="0"/>
    <x v="74"/>
    <x v="1"/>
    <x v="0"/>
    <x v="1444"/>
    <x v="194"/>
    <x v="1799"/>
    <x v="7"/>
  </r>
  <r>
    <x v="926"/>
    <x v="2"/>
    <x v="251"/>
    <x v="151"/>
    <x v="72"/>
    <x v="3"/>
    <x v="2"/>
    <x v="2"/>
    <x v="4"/>
    <x v="1270"/>
    <x v="0"/>
    <x v="66"/>
    <x v="1"/>
    <x v="1"/>
    <x v="1948"/>
    <x v="425"/>
    <x v="1685"/>
    <x v="7"/>
  </r>
  <r>
    <x v="927"/>
    <x v="0"/>
    <x v="148"/>
    <x v="239"/>
    <x v="39"/>
    <x v="0"/>
    <x v="2"/>
    <x v="5"/>
    <x v="6"/>
    <x v="2036"/>
    <x v="0"/>
    <x v="93"/>
    <x v="1"/>
    <x v="1"/>
    <x v="2266"/>
    <x v="551"/>
    <x v="2247"/>
    <x v="7"/>
  </r>
  <r>
    <x v="927"/>
    <x v="1"/>
    <x v="148"/>
    <x v="239"/>
    <x v="42"/>
    <x v="0"/>
    <x v="2"/>
    <x v="5"/>
    <x v="3"/>
    <x v="522"/>
    <x v="0"/>
    <x v="23"/>
    <x v="1"/>
    <x v="3"/>
    <x v="835"/>
    <x v="157"/>
    <x v="893"/>
    <x v="7"/>
  </r>
  <r>
    <x v="928"/>
    <x v="0"/>
    <x v="170"/>
    <x v="107"/>
    <x v="50"/>
    <x v="0"/>
    <x v="1"/>
    <x v="6"/>
    <x v="1"/>
    <x v="1848"/>
    <x v="0"/>
    <x v="77"/>
    <x v="1"/>
    <x v="2"/>
    <x v="1289"/>
    <x v="200"/>
    <x v="1572"/>
    <x v="7"/>
  </r>
  <r>
    <x v="928"/>
    <x v="1"/>
    <x v="170"/>
    <x v="107"/>
    <x v="87"/>
    <x v="0"/>
    <x v="1"/>
    <x v="6"/>
    <x v="3"/>
    <x v="653"/>
    <x v="0"/>
    <x v="33"/>
    <x v="1"/>
    <x v="1"/>
    <x v="1103"/>
    <x v="219"/>
    <x v="1019"/>
    <x v="7"/>
  </r>
  <r>
    <x v="929"/>
    <x v="0"/>
    <x v="91"/>
    <x v="121"/>
    <x v="86"/>
    <x v="0"/>
    <x v="0"/>
    <x v="0"/>
    <x v="1"/>
    <x v="1699"/>
    <x v="0"/>
    <x v="79"/>
    <x v="1"/>
    <x v="1"/>
    <x v="1185"/>
    <x v="208"/>
    <x v="1320"/>
    <x v="7"/>
  </r>
  <r>
    <x v="929"/>
    <x v="1"/>
    <x v="91"/>
    <x v="121"/>
    <x v="19"/>
    <x v="0"/>
    <x v="0"/>
    <x v="0"/>
    <x v="2"/>
    <x v="497"/>
    <x v="3"/>
    <x v="16"/>
    <x v="1"/>
    <x v="3"/>
    <x v="493"/>
    <x v="80"/>
    <x v="706"/>
    <x v="7"/>
  </r>
  <r>
    <x v="930"/>
    <x v="0"/>
    <x v="142"/>
    <x v="163"/>
    <x v="64"/>
    <x v="3"/>
    <x v="2"/>
    <x v="1"/>
    <x v="1"/>
    <x v="1652"/>
    <x v="0"/>
    <x v="69"/>
    <x v="2"/>
    <x v="2"/>
    <x v="1157"/>
    <x v="179"/>
    <x v="1492"/>
    <x v="7"/>
  </r>
  <r>
    <x v="930"/>
    <x v="1"/>
    <x v="142"/>
    <x v="163"/>
    <x v="14"/>
    <x v="3"/>
    <x v="2"/>
    <x v="1"/>
    <x v="1"/>
    <x v="225"/>
    <x v="2"/>
    <x v="7"/>
    <x v="1"/>
    <x v="3"/>
    <x v="104"/>
    <x v="11"/>
    <x v="350"/>
    <x v="7"/>
  </r>
  <r>
    <x v="930"/>
    <x v="2"/>
    <x v="142"/>
    <x v="163"/>
    <x v="70"/>
    <x v="3"/>
    <x v="2"/>
    <x v="1"/>
    <x v="1"/>
    <x v="1563"/>
    <x v="3"/>
    <x v="68"/>
    <x v="1"/>
    <x v="1"/>
    <x v="933"/>
    <x v="178"/>
    <x v="998"/>
    <x v="7"/>
  </r>
  <r>
    <x v="930"/>
    <x v="3"/>
    <x v="142"/>
    <x v="163"/>
    <x v="16"/>
    <x v="3"/>
    <x v="2"/>
    <x v="1"/>
    <x v="2"/>
    <x v="1418"/>
    <x v="4"/>
    <x v="51"/>
    <x v="1"/>
    <x v="2"/>
    <x v="1466"/>
    <x v="230"/>
    <x v="1661"/>
    <x v="7"/>
  </r>
  <r>
    <x v="931"/>
    <x v="0"/>
    <x v="197"/>
    <x v="43"/>
    <x v="34"/>
    <x v="0"/>
    <x v="2"/>
    <x v="7"/>
    <x v="1"/>
    <x v="1141"/>
    <x v="0"/>
    <x v="58"/>
    <x v="1"/>
    <x v="1"/>
    <x v="770"/>
    <x v="149"/>
    <x v="765"/>
    <x v="7"/>
  </r>
  <r>
    <x v="931"/>
    <x v="1"/>
    <x v="197"/>
    <x v="43"/>
    <x v="87"/>
    <x v="0"/>
    <x v="2"/>
    <x v="7"/>
    <x v="1"/>
    <x v="651"/>
    <x v="3"/>
    <x v="33"/>
    <x v="1"/>
    <x v="2"/>
    <x v="346"/>
    <x v="75"/>
    <x v="159"/>
    <x v="7"/>
  </r>
  <r>
    <x v="932"/>
    <x v="0"/>
    <x v="229"/>
    <x v="183"/>
    <x v="29"/>
    <x v="3"/>
    <x v="0"/>
    <x v="4"/>
    <x v="2"/>
    <x v="2048"/>
    <x v="0"/>
    <x v="97"/>
    <x v="1"/>
    <x v="2"/>
    <x v="1863"/>
    <x v="395"/>
    <x v="1557"/>
    <x v="7"/>
  </r>
  <r>
    <x v="932"/>
    <x v="1"/>
    <x v="229"/>
    <x v="183"/>
    <x v="49"/>
    <x v="3"/>
    <x v="0"/>
    <x v="4"/>
    <x v="3"/>
    <x v="968"/>
    <x v="0"/>
    <x v="45"/>
    <x v="0"/>
    <x v="1"/>
    <x v="1571"/>
    <x v="272"/>
    <x v="1635"/>
    <x v="7"/>
  </r>
  <r>
    <x v="932"/>
    <x v="2"/>
    <x v="229"/>
    <x v="183"/>
    <x v="7"/>
    <x v="3"/>
    <x v="0"/>
    <x v="4"/>
    <x v="2"/>
    <x v="77"/>
    <x v="0"/>
    <x v="4"/>
    <x v="1"/>
    <x v="0"/>
    <x v="118"/>
    <x v="19"/>
    <x v="254"/>
    <x v="7"/>
  </r>
  <r>
    <x v="932"/>
    <x v="3"/>
    <x v="229"/>
    <x v="183"/>
    <x v="66"/>
    <x v="3"/>
    <x v="0"/>
    <x v="4"/>
    <x v="1"/>
    <x v="510"/>
    <x v="0"/>
    <x v="21"/>
    <x v="1"/>
    <x v="1"/>
    <x v="304"/>
    <x v="49"/>
    <x v="507"/>
    <x v="7"/>
  </r>
  <r>
    <x v="933"/>
    <x v="0"/>
    <x v="3"/>
    <x v="202"/>
    <x v="41"/>
    <x v="2"/>
    <x v="1"/>
    <x v="7"/>
    <x v="2"/>
    <x v="861"/>
    <x v="1"/>
    <x v="35"/>
    <x v="1"/>
    <x v="2"/>
    <x v="968"/>
    <x v="163"/>
    <x v="1203"/>
    <x v="7"/>
  </r>
  <r>
    <x v="933"/>
    <x v="1"/>
    <x v="3"/>
    <x v="202"/>
    <x v="57"/>
    <x v="2"/>
    <x v="1"/>
    <x v="7"/>
    <x v="6"/>
    <x v="684"/>
    <x v="1"/>
    <x v="25"/>
    <x v="1"/>
    <x v="0"/>
    <x v="1902"/>
    <x v="338"/>
    <x v="2050"/>
    <x v="7"/>
  </r>
  <r>
    <x v="934"/>
    <x v="0"/>
    <x v="49"/>
    <x v="1"/>
    <x v="38"/>
    <x v="0"/>
    <x v="0"/>
    <x v="5"/>
    <x v="2"/>
    <x v="1057"/>
    <x v="4"/>
    <x v="39"/>
    <x v="1"/>
    <x v="1"/>
    <x v="1044"/>
    <x v="174"/>
    <x v="1298"/>
    <x v="7"/>
  </r>
  <r>
    <x v="934"/>
    <x v="1"/>
    <x v="49"/>
    <x v="1"/>
    <x v="39"/>
    <x v="0"/>
    <x v="0"/>
    <x v="5"/>
    <x v="5"/>
    <x v="1769"/>
    <x v="1"/>
    <x v="93"/>
    <x v="1"/>
    <x v="2"/>
    <x v="2163"/>
    <x v="523"/>
    <x v="1897"/>
    <x v="7"/>
  </r>
  <r>
    <x v="935"/>
    <x v="0"/>
    <x v="109"/>
    <x v="8"/>
    <x v="73"/>
    <x v="3"/>
    <x v="0"/>
    <x v="9"/>
    <x v="1"/>
    <x v="2230"/>
    <x v="3"/>
    <x v="84"/>
    <x v="1"/>
    <x v="1"/>
    <x v="1313"/>
    <x v="222"/>
    <x v="1441"/>
    <x v="7"/>
  </r>
  <r>
    <x v="935"/>
    <x v="1"/>
    <x v="109"/>
    <x v="8"/>
    <x v="23"/>
    <x v="3"/>
    <x v="0"/>
    <x v="9"/>
    <x v="2"/>
    <x v="819"/>
    <x v="0"/>
    <x v="41"/>
    <x v="1"/>
    <x v="3"/>
    <x v="983"/>
    <x v="182"/>
    <x v="1089"/>
    <x v="7"/>
  </r>
  <r>
    <x v="935"/>
    <x v="2"/>
    <x v="109"/>
    <x v="8"/>
    <x v="17"/>
    <x v="3"/>
    <x v="0"/>
    <x v="9"/>
    <x v="5"/>
    <x v="1999"/>
    <x v="2"/>
    <x v="92"/>
    <x v="1"/>
    <x v="0"/>
    <x v="2177"/>
    <x v="522"/>
    <x v="2032"/>
    <x v="7"/>
  </r>
  <r>
    <x v="936"/>
    <x v="0"/>
    <x v="45"/>
    <x v="187"/>
    <x v="80"/>
    <x v="0"/>
    <x v="1"/>
    <x v="1"/>
    <x v="2"/>
    <x v="1082"/>
    <x v="1"/>
    <x v="56"/>
    <x v="1"/>
    <x v="3"/>
    <x v="1272"/>
    <x v="256"/>
    <x v="989"/>
    <x v="7"/>
  </r>
  <r>
    <x v="937"/>
    <x v="0"/>
    <x v="245"/>
    <x v="137"/>
    <x v="85"/>
    <x v="3"/>
    <x v="2"/>
    <x v="4"/>
    <x v="1"/>
    <x v="1945"/>
    <x v="0"/>
    <x v="88"/>
    <x v="1"/>
    <x v="2"/>
    <x v="1338"/>
    <x v="231"/>
    <x v="1371"/>
    <x v="7"/>
  </r>
  <r>
    <x v="938"/>
    <x v="0"/>
    <x v="95"/>
    <x v="78"/>
    <x v="76"/>
    <x v="2"/>
    <x v="2"/>
    <x v="2"/>
    <x v="1"/>
    <x v="815"/>
    <x v="0"/>
    <x v="36"/>
    <x v="1"/>
    <x v="1"/>
    <x v="554"/>
    <x v="88"/>
    <x v="812"/>
    <x v="7"/>
  </r>
  <r>
    <x v="939"/>
    <x v="0"/>
    <x v="30"/>
    <x v="232"/>
    <x v="70"/>
    <x v="1"/>
    <x v="1"/>
    <x v="1"/>
    <x v="6"/>
    <x v="1747"/>
    <x v="0"/>
    <x v="68"/>
    <x v="1"/>
    <x v="0"/>
    <x v="2252"/>
    <x v="531"/>
    <x v="2273"/>
    <x v="7"/>
  </r>
  <r>
    <x v="939"/>
    <x v="1"/>
    <x v="30"/>
    <x v="232"/>
    <x v="32"/>
    <x v="1"/>
    <x v="1"/>
    <x v="1"/>
    <x v="2"/>
    <x v="1249"/>
    <x v="0"/>
    <x v="50"/>
    <x v="1"/>
    <x v="0"/>
    <x v="1526"/>
    <x v="221"/>
    <x v="1822"/>
    <x v="7"/>
  </r>
  <r>
    <x v="940"/>
    <x v="0"/>
    <x v="134"/>
    <x v="162"/>
    <x v="55"/>
    <x v="0"/>
    <x v="1"/>
    <x v="6"/>
    <x v="1"/>
    <x v="1043"/>
    <x v="3"/>
    <x v="54"/>
    <x v="1"/>
    <x v="3"/>
    <x v="609"/>
    <x v="132"/>
    <x v="331"/>
    <x v="7"/>
  </r>
  <r>
    <x v="940"/>
    <x v="1"/>
    <x v="134"/>
    <x v="162"/>
    <x v="20"/>
    <x v="0"/>
    <x v="1"/>
    <x v="6"/>
    <x v="2"/>
    <x v="162"/>
    <x v="4"/>
    <x v="5"/>
    <x v="1"/>
    <x v="1"/>
    <x v="189"/>
    <x v="26"/>
    <x v="369"/>
    <x v="7"/>
  </r>
  <r>
    <x v="940"/>
    <x v="2"/>
    <x v="134"/>
    <x v="162"/>
    <x v="60"/>
    <x v="0"/>
    <x v="1"/>
    <x v="6"/>
    <x v="2"/>
    <x v="576"/>
    <x v="3"/>
    <x v="27"/>
    <x v="1"/>
    <x v="3"/>
    <x v="606"/>
    <x v="128"/>
    <x v="377"/>
    <x v="7"/>
  </r>
  <r>
    <x v="940"/>
    <x v="3"/>
    <x v="134"/>
    <x v="162"/>
    <x v="81"/>
    <x v="0"/>
    <x v="1"/>
    <x v="6"/>
    <x v="1"/>
    <x v="53"/>
    <x v="1"/>
    <x v="3"/>
    <x v="1"/>
    <x v="2"/>
    <x v="28"/>
    <x v="5"/>
    <x v="107"/>
    <x v="7"/>
  </r>
  <r>
    <x v="941"/>
    <x v="0"/>
    <x v="246"/>
    <x v="48"/>
    <x v="5"/>
    <x v="3"/>
    <x v="1"/>
    <x v="9"/>
    <x v="5"/>
    <x v="699"/>
    <x v="4"/>
    <x v="31"/>
    <x v="1"/>
    <x v="2"/>
    <x v="1516"/>
    <x v="284"/>
    <x v="1209"/>
    <x v="7"/>
  </r>
  <r>
    <x v="941"/>
    <x v="1"/>
    <x v="246"/>
    <x v="48"/>
    <x v="57"/>
    <x v="3"/>
    <x v="1"/>
    <x v="9"/>
    <x v="2"/>
    <x v="689"/>
    <x v="0"/>
    <x v="25"/>
    <x v="1"/>
    <x v="0"/>
    <x v="817"/>
    <x v="118"/>
    <x v="1296"/>
    <x v="7"/>
  </r>
  <r>
    <x v="941"/>
    <x v="2"/>
    <x v="246"/>
    <x v="48"/>
    <x v="42"/>
    <x v="3"/>
    <x v="1"/>
    <x v="9"/>
    <x v="2"/>
    <x v="506"/>
    <x v="3"/>
    <x v="23"/>
    <x v="1"/>
    <x v="1"/>
    <x v="501"/>
    <x v="112"/>
    <x v="235"/>
    <x v="7"/>
  </r>
  <r>
    <x v="942"/>
    <x v="0"/>
    <x v="29"/>
    <x v="108"/>
    <x v="9"/>
    <x v="2"/>
    <x v="1"/>
    <x v="7"/>
    <x v="2"/>
    <x v="1277"/>
    <x v="0"/>
    <x v="49"/>
    <x v="2"/>
    <x v="0"/>
    <x v="1540"/>
    <x v="217"/>
    <x v="1858"/>
    <x v="7"/>
  </r>
  <r>
    <x v="942"/>
    <x v="1"/>
    <x v="29"/>
    <x v="108"/>
    <x v="39"/>
    <x v="2"/>
    <x v="1"/>
    <x v="7"/>
    <x v="4"/>
    <x v="2057"/>
    <x v="0"/>
    <x v="93"/>
    <x v="1"/>
    <x v="1"/>
    <x v="2150"/>
    <x v="497"/>
    <x v="2122"/>
    <x v="7"/>
  </r>
  <r>
    <x v="942"/>
    <x v="2"/>
    <x v="29"/>
    <x v="108"/>
    <x v="45"/>
    <x v="2"/>
    <x v="1"/>
    <x v="7"/>
    <x v="1"/>
    <x v="1"/>
    <x v="0"/>
    <x v="0"/>
    <x v="1"/>
    <x v="3"/>
    <x v="4"/>
    <x v="1"/>
    <x v="63"/>
    <x v="7"/>
  </r>
  <r>
    <x v="943"/>
    <x v="0"/>
    <x v="20"/>
    <x v="97"/>
    <x v="5"/>
    <x v="3"/>
    <x v="1"/>
    <x v="8"/>
    <x v="1"/>
    <x v="687"/>
    <x v="3"/>
    <x v="31"/>
    <x v="1"/>
    <x v="2"/>
    <x v="380"/>
    <x v="70"/>
    <x v="488"/>
    <x v="7"/>
  </r>
  <r>
    <x v="944"/>
    <x v="0"/>
    <x v="137"/>
    <x v="148"/>
    <x v="13"/>
    <x v="3"/>
    <x v="0"/>
    <x v="2"/>
    <x v="6"/>
    <x v="1356"/>
    <x v="0"/>
    <x v="70"/>
    <x v="1"/>
    <x v="1"/>
    <x v="2211"/>
    <x v="533"/>
    <x v="2107"/>
    <x v="7"/>
  </r>
  <r>
    <x v="945"/>
    <x v="0"/>
    <x v="39"/>
    <x v="201"/>
    <x v="69"/>
    <x v="2"/>
    <x v="1"/>
    <x v="2"/>
    <x v="2"/>
    <x v="159"/>
    <x v="0"/>
    <x v="10"/>
    <x v="1"/>
    <x v="2"/>
    <x v="233"/>
    <x v="40"/>
    <x v="333"/>
    <x v="7"/>
  </r>
  <r>
    <x v="946"/>
    <x v="0"/>
    <x v="214"/>
    <x v="197"/>
    <x v="48"/>
    <x v="0"/>
    <x v="0"/>
    <x v="3"/>
    <x v="3"/>
    <x v="467"/>
    <x v="0"/>
    <x v="17"/>
    <x v="1"/>
    <x v="1"/>
    <x v="782"/>
    <x v="124"/>
    <x v="1082"/>
    <x v="7"/>
  </r>
  <r>
    <x v="946"/>
    <x v="1"/>
    <x v="214"/>
    <x v="197"/>
    <x v="62"/>
    <x v="0"/>
    <x v="0"/>
    <x v="3"/>
    <x v="5"/>
    <x v="1393"/>
    <x v="1"/>
    <x v="67"/>
    <x v="1"/>
    <x v="2"/>
    <x v="2066"/>
    <x v="469"/>
    <x v="1949"/>
    <x v="7"/>
  </r>
  <r>
    <x v="946"/>
    <x v="2"/>
    <x v="214"/>
    <x v="197"/>
    <x v="85"/>
    <x v="0"/>
    <x v="0"/>
    <x v="3"/>
    <x v="2"/>
    <x v="1685"/>
    <x v="0"/>
    <x v="88"/>
    <x v="1"/>
    <x v="3"/>
    <x v="1736"/>
    <x v="351"/>
    <x v="1548"/>
    <x v="7"/>
  </r>
  <r>
    <x v="947"/>
    <x v="0"/>
    <x v="101"/>
    <x v="119"/>
    <x v="36"/>
    <x v="1"/>
    <x v="1"/>
    <x v="6"/>
    <x v="2"/>
    <x v="2285"/>
    <x v="4"/>
    <x v="91"/>
    <x v="1"/>
    <x v="1"/>
    <x v="1835"/>
    <x v="363"/>
    <x v="1806"/>
    <x v="7"/>
  </r>
  <r>
    <x v="947"/>
    <x v="1"/>
    <x v="101"/>
    <x v="119"/>
    <x v="91"/>
    <x v="1"/>
    <x v="1"/>
    <x v="6"/>
    <x v="5"/>
    <x v="2264"/>
    <x v="0"/>
    <x v="81"/>
    <x v="1"/>
    <x v="0"/>
    <x v="2225"/>
    <x v="501"/>
    <x v="2272"/>
    <x v="7"/>
  </r>
  <r>
    <x v="948"/>
    <x v="0"/>
    <x v="223"/>
    <x v="126"/>
    <x v="23"/>
    <x v="1"/>
    <x v="2"/>
    <x v="2"/>
    <x v="2"/>
    <x v="838"/>
    <x v="0"/>
    <x v="41"/>
    <x v="1"/>
    <x v="0"/>
    <x v="995"/>
    <x v="182"/>
    <x v="1113"/>
    <x v="7"/>
  </r>
  <r>
    <x v="948"/>
    <x v="1"/>
    <x v="223"/>
    <x v="126"/>
    <x v="64"/>
    <x v="1"/>
    <x v="2"/>
    <x v="2"/>
    <x v="1"/>
    <x v="1773"/>
    <x v="0"/>
    <x v="69"/>
    <x v="1"/>
    <x v="0"/>
    <x v="1236"/>
    <x v="179"/>
    <x v="1610"/>
    <x v="7"/>
  </r>
  <r>
    <x v="948"/>
    <x v="2"/>
    <x v="223"/>
    <x v="126"/>
    <x v="83"/>
    <x v="1"/>
    <x v="2"/>
    <x v="2"/>
    <x v="1"/>
    <x v="132"/>
    <x v="4"/>
    <x v="8"/>
    <x v="1"/>
    <x v="0"/>
    <x v="52"/>
    <x v="12"/>
    <x v="87"/>
    <x v="7"/>
  </r>
  <r>
    <x v="949"/>
    <x v="0"/>
    <x v="250"/>
    <x v="249"/>
    <x v="30"/>
    <x v="0"/>
    <x v="0"/>
    <x v="3"/>
    <x v="1"/>
    <x v="283"/>
    <x v="0"/>
    <x v="13"/>
    <x v="1"/>
    <x v="0"/>
    <x v="167"/>
    <x v="24"/>
    <x v="309"/>
    <x v="7"/>
  </r>
  <r>
    <x v="949"/>
    <x v="1"/>
    <x v="250"/>
    <x v="249"/>
    <x v="63"/>
    <x v="0"/>
    <x v="0"/>
    <x v="3"/>
    <x v="4"/>
    <x v="2267"/>
    <x v="2"/>
    <x v="98"/>
    <x v="1"/>
    <x v="0"/>
    <x v="2162"/>
    <x v="515"/>
    <x v="2023"/>
    <x v="7"/>
  </r>
  <r>
    <x v="949"/>
    <x v="2"/>
    <x v="250"/>
    <x v="249"/>
    <x v="14"/>
    <x v="0"/>
    <x v="0"/>
    <x v="3"/>
    <x v="6"/>
    <x v="173"/>
    <x v="0"/>
    <x v="7"/>
    <x v="1"/>
    <x v="2"/>
    <x v="882"/>
    <x v="129"/>
    <x v="1334"/>
    <x v="7"/>
  </r>
  <r>
    <x v="949"/>
    <x v="3"/>
    <x v="250"/>
    <x v="249"/>
    <x v="74"/>
    <x v="0"/>
    <x v="0"/>
    <x v="3"/>
    <x v="3"/>
    <x v="1823"/>
    <x v="3"/>
    <x v="90"/>
    <x v="1"/>
    <x v="3"/>
    <x v="1939"/>
    <x v="441"/>
    <x v="1290"/>
    <x v="7"/>
  </r>
  <r>
    <x v="949"/>
    <x v="4"/>
    <x v="250"/>
    <x v="249"/>
    <x v="21"/>
    <x v="0"/>
    <x v="0"/>
    <x v="3"/>
    <x v="3"/>
    <x v="394"/>
    <x v="0"/>
    <x v="18"/>
    <x v="1"/>
    <x v="1"/>
    <x v="739"/>
    <x v="134"/>
    <x v="874"/>
    <x v="7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4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4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4:J11" firstHeaderRow="1" firstDataRow="3" firstDataCol="2" rowPageCount="1" colPageCount="1"/>
  <pivotFields count="18">
    <pivotField compact="0" showAll="0"/>
    <pivotField compact="0" showAll="0"/>
    <pivotField axis="axisRow" compact="0" showAll="0" defaultSubtotal="0" outline="0">
      <items count="14">
        <item h="1" x="0"/>
        <item h="1" x="1"/>
        <item h="1" x="2"/>
        <item h="1" x="3"/>
        <item h="1" x="4"/>
        <item h="1" x="5"/>
        <item h="1" x="6"/>
        <item h="1" x="7"/>
        <item h="1" x="8"/>
        <item x="9"/>
        <item h="1" x="10"/>
        <item h="1" x="11"/>
        <item h="1" x="12"/>
        <item h="1" x="13"/>
      </items>
    </pivotField>
    <pivotField compact="0" showAll="0"/>
    <pivotField compact="0" showAll="0"/>
    <pivotField axis="axisRow" compact="0" showAll="0" defaultSubtotal="0" outline="0">
      <items count="4">
        <item x="0"/>
        <item x="1"/>
        <item x="2"/>
        <item x="3"/>
      </items>
    </pivotField>
    <pivotField axis="axisCol" compact="0" showAll="0" defaultSubtotal="0" outline="0">
      <items count="3">
        <item x="0"/>
        <item x="1"/>
        <item x="2"/>
      </items>
    </pivotField>
    <pivotField compact="0" showAll="0"/>
    <pivotField dataField="1" compact="0" showAll="0" outline="0"/>
    <pivotField compact="0" showAll="0"/>
    <pivotField compact="0" showAll="0"/>
    <pivotField compact="0" showAll="0"/>
    <pivotField axis="axisPage" compact="0" showAll="0" defaultSubtotal="0" outline="0">
      <items count="3">
        <item h="1" x="0"/>
        <item x="1"/>
        <item h="1" x="2"/>
      </items>
    </pivotField>
    <pivotField compact="0" showAll="0"/>
    <pivotField compact="0" showAll="0"/>
    <pivotField compact="0" showAll="0"/>
    <pivotField dataField="1" compact="0" showAll="0" outline="0"/>
    <pivotField compact="0" showAll="0"/>
  </pivotFields>
  <rowFields count="2">
    <field x="2"/>
    <field x="5"/>
  </rowFields>
  <colFields count="2">
    <field x="6"/>
    <field x="-2"/>
  </colFields>
  <pageFields count="1">
    <pageField fld="12" hier="-1"/>
  </pageFields>
  <dataFields count="2">
    <dataField name="Suma - Utilidad_bruta" fld="16" subtotal="sum" numFmtId="164"/>
    <dataField name="Suma - Unidades" fld="8" subtotal="sum" numFmtId="164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DataPilot3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3:E9" firstHeaderRow="1" firstDataRow="2" firstDataCol="1" rowPageCount="1" colPageCount="1"/>
  <pivotFields count="18">
    <pivotField compact="0" showAll="0"/>
    <pivotField compact="0" showAll="0"/>
    <pivotField compact="0" showAll="0"/>
    <pivotField compact="0" showAll="0"/>
    <pivotField compact="0" showAll="0"/>
    <pivotField axis="axisRow" compact="0" showAll="0" defaultSubtotal="0" outline="0">
      <items count="4">
        <item x="0"/>
        <item x="1"/>
        <item x="2"/>
        <item x="3"/>
      </items>
    </pivotField>
    <pivotField axis="axisCol" compact="0" showAll="0" defaultSubtotal="0" outline="0">
      <items count="3">
        <item x="0"/>
        <item x="1"/>
        <item x="2"/>
      </items>
    </pivotField>
    <pivotField compact="0" showAll="0"/>
    <pivotField compact="0" showAll="0"/>
    <pivotField compact="0" showAll="0"/>
    <pivotField compact="0" showAll="0"/>
    <pivotField compact="0" showAll="0"/>
    <pivotField axis="axisPage" compact="0" showAll="0" defaultSubtotal="0" outline="0">
      <items count="3">
        <item h="1" x="0"/>
        <item x="1"/>
        <item h="1" x="2"/>
      </items>
    </pivotField>
    <pivotField compact="0" showAll="0"/>
    <pivotField compact="0" showAll="0"/>
    <pivotField compact="0" showAll="0"/>
    <pivotField dataField="1" compact="0" showAll="0" outline="0"/>
    <pivotField compact="0" showAll="0"/>
  </pivotFields>
  <rowFields count="1">
    <field x="5"/>
  </rowFields>
  <colFields count="1">
    <field x="6"/>
  </colFields>
  <pageFields count="1">
    <pageField fld="12" hier="-1"/>
  </pageFields>
  <dataFields count="1">
    <dataField name="Suma - Utilidad_bruta" fld="16" subtotal="sum" numFmtId="164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DataPilot2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3:C106" firstHeaderRow="1" firstDataRow="2" firstDataCol="1" rowPageCount="1" colPageCount="1"/>
  <pivotFields count="18">
    <pivotField compact="0" showAll="0"/>
    <pivotField compact="0" showAll="0"/>
    <pivotField compact="0" showAll="0"/>
    <pivotField compact="0" showAll="0"/>
    <pivotField axis="axisRow" compact="0" showAll="0" defaultSubtotal="0" outline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</items>
    </pivotField>
    <pivotField compact="0" showAll="0"/>
    <pivotField compact="0" showAll="0"/>
    <pivotField compact="0" showAll="0"/>
    <pivotField dataField="1" compact="0" showAll="0" outline="0"/>
    <pivotField compact="0" showAll="0"/>
    <pivotField compact="0" showAll="0"/>
    <pivotField compact="0" showAll="0"/>
    <pivotField axis="axisPage" compact="0" showAll="0" defaultSubtotal="0" outline="0">
      <items count="3">
        <item h="1" x="0"/>
        <item x="1"/>
        <item h="1" x="2"/>
      </items>
    </pivotField>
    <pivotField compact="0" showAll="0"/>
    <pivotField compact="0" showAll="0"/>
    <pivotField compact="0" showAll="0"/>
    <pivotField dataField="1" compact="0" showAll="0" outline="0"/>
    <pivotField compact="0" showAll="0"/>
  </pivotFields>
  <rowFields count="1">
    <field x="4"/>
  </rowFields>
  <colFields count="1">
    <field x="-2"/>
  </colFields>
  <pageFields count="1">
    <pageField fld="12" hier="-1"/>
  </pageFields>
  <dataFields count="2">
    <dataField name="Suma - Unidades" fld="8" subtotal="sum" numFmtId="164"/>
    <dataField name="Suma - Utilidad_bruta" fld="16" subtotal="sum" numFmtId="164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4:G10" firstHeaderRow="1" firstDataRow="3" firstDataCol="3" rowPageCount="1" colPageCount="1"/>
  <pivotFields count="18">
    <pivotField compact="0" showAll="0"/>
    <pivotField compact="0" showAll="0"/>
    <pivotField axis="axisRow" compact="0" showAll="0" defaultSubtotal="0" outline="0">
      <items count="14">
        <item h="1" x="0"/>
        <item h="1" x="1"/>
        <item h="1" x="2"/>
        <item h="1" x="3"/>
        <item h="1" x="4"/>
        <item h="1" x="5"/>
        <item h="1" x="6"/>
        <item h="1" x="7"/>
        <item x="8"/>
        <item x="9"/>
        <item h="1" x="10"/>
        <item h="1" x="11"/>
        <item h="1" x="12"/>
        <item h="1" x="13"/>
      </items>
    </pivotField>
    <pivotField axis="axisRow" compact="0" showAll="0" defaultSubtotal="0" outline="0">
      <items count="2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</items>
    </pivotField>
    <pivotField axis="axisRow" compact="0" showAll="0" defaultSubtotal="0" outline="0">
      <items count="101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</items>
    </pivotField>
    <pivotField compact="0" showAll="0"/>
    <pivotField axis="axisCol" compact="0" showAll="0" defaultSubtotal="0" outline="0">
      <items count="3">
        <item h="1" x="0"/>
        <item x="1"/>
        <item h="1" x="2"/>
      </items>
    </pivotField>
    <pivotField compact="0" showAll="0"/>
    <pivotField dataField="1" compact="0" showAll="0" outline="0"/>
    <pivotField compact="0" showAll="0"/>
    <pivotField compact="0" showAll="0"/>
    <pivotField compact="0" showAll="0"/>
    <pivotField axis="axisPage" compact="0" showAll="0" defaultSubtotal="0" outline="0">
      <items count="3">
        <item h="1" x="0"/>
        <item x="1"/>
        <item h="1" x="2"/>
      </items>
    </pivotField>
    <pivotField compact="0" showAll="0"/>
    <pivotField compact="0" showAll="0"/>
    <pivotField compact="0" showAll="0"/>
    <pivotField dataField="1" compact="0" showAll="0" outline="0"/>
    <pivotField compact="0" showAll="0"/>
  </pivotFields>
  <rowFields count="3">
    <field x="2"/>
    <field x="4"/>
    <field x="3"/>
  </rowFields>
  <colFields count="2">
    <field x="6"/>
    <field x="-2"/>
  </colFields>
  <pageFields count="1">
    <pageField fld="12" hier="-1"/>
  </pageFields>
  <dataFields count="2">
    <dataField name="Suma - Utilidad_bruta" fld="16" subtotal="sum" numFmtId="164"/>
    <dataField name="Suma - Unidades" fld="8" subtotal="sum" numFmtId="164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aCatalogo" displayName="TablaCatalogo" ref="A1:E101" headerRowCount="1" totalsRowCount="0" totalsRowShown="0">
  <tableColumns count="5">
    <tableColumn id="1" name="Producto_ID"/>
    <tableColumn id="2" name="Producto"/>
    <tableColumn id="3" name="Categoria"/>
    <tableColumn id="4" name="Precio_lista"/>
    <tableColumn id="5" name="Costo_referencia"/>
  </tableColumns>
</table>
</file>

<file path=xl/tables/table2.xml><?xml version="1.0" encoding="utf-8"?>
<table xmlns="http://schemas.openxmlformats.org/spreadsheetml/2006/main" id="2" name="TablaClientes" displayName="TablaClientes" ref="A1:D261" headerRowCount="1" totalsRowCount="0" totalsRowShown="0">
  <tableColumns count="4">
    <tableColumn id="1" name="Cliente_ID"/>
    <tableColumn id="2" name="Cliente"/>
    <tableColumn id="3" name="Segmento"/>
    <tableColumn id="4" name="Region_base"/>
  </tableColumns>
</table>
</file>

<file path=xl/tables/table3.xml><?xml version="1.0" encoding="utf-8"?>
<table xmlns="http://schemas.openxmlformats.org/spreadsheetml/2006/main" id="3" name="TablaVentas" displayName="TablaVentas" ref="A1:R2295" headerRowCount="1" totalsRowCount="0" totalsRowShown="0">
  <tableColumns count="18">
    <tableColumn id="1" name="Ticket"/>
    <tableColumn id="2" name="Linea"/>
    <tableColumn id="3" name="Fecha"/>
    <tableColumn id="4" name="Cliente_ID"/>
    <tableColumn id="5" name="Producto_ID"/>
    <tableColumn id="6" name="Region"/>
    <tableColumn id="7" name="Canal"/>
    <tableColumn id="8" name="Vendedor"/>
    <tableColumn id="9" name="Unidades"/>
    <tableColumn id="10" name="Precio_unitario"/>
    <tableColumn id="11" name="Descuento_pct"/>
    <tableColumn id="12" name="Costo_unitario"/>
    <tableColumn id="13" name="Estado"/>
    <tableColumn id="14" name="Metodo_pago"/>
    <tableColumn id="15" name="Ingreso_neto"/>
    <tableColumn id="16" name="Costo_total"/>
    <tableColumn id="17" name="Utilidad_bruta"/>
    <tableColumn id="18" name="Observacion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ivotTable" Target="../pivotTables/pivot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pivotTable" Target="../pivotTables/pivotTable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ivotTable" Target="../pivotTables/pivotTable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pivotTable" Target="../pivotTables/pivotTable4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7" activeCellId="0" sqref="A7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</row>
    <row r="3" customFormat="false" ht="12.8" hidden="false" customHeight="false" outlineLevel="0" collapsed="false">
      <c r="A3" s="0" t="s">
        <v>1</v>
      </c>
      <c r="B3" s="0" t="s">
        <v>2</v>
      </c>
    </row>
    <row r="4" customFormat="false" ht="12.8" hidden="false" customHeight="false" outlineLevel="0" collapsed="false">
      <c r="A4" s="0" t="s">
        <v>3</v>
      </c>
    </row>
    <row r="5" customFormat="false" ht="12.8" hidden="false" customHeight="false" outlineLevel="0" collapsed="false">
      <c r="A5" s="0" t="s">
        <v>4</v>
      </c>
    </row>
    <row r="6" customFormat="false" ht="12.8" hidden="false" customHeight="false" outlineLevel="0" collapsed="false">
      <c r="A6" s="0" t="s">
        <v>5</v>
      </c>
    </row>
    <row r="7" customFormat="false" ht="12.8" hidden="false" customHeight="false" outlineLevel="0" collapsed="false">
      <c r="A7" s="0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83203125" defaultRowHeight="13.5" zeroHeight="false" outlineLevelRow="0" outlineLevelCol="0"/>
  <cols>
    <col collapsed="false" customWidth="true" hidden="false" outlineLevel="0" max="1" min="1" style="1" width="105"/>
  </cols>
  <sheetData>
    <row r="1" customFormat="false" ht="42.75" hidden="false" customHeight="true" outlineLevel="0" collapsed="false">
      <c r="A1" s="2" t="s">
        <v>7</v>
      </c>
    </row>
    <row r="2" customFormat="false" ht="13.8" hidden="false" customHeight="false" outlineLevel="0" collapsed="false">
      <c r="A2" s="1" t="s">
        <v>8</v>
      </c>
    </row>
    <row r="3" customFormat="false" ht="13.8" hidden="false" customHeight="false" outlineLevel="0" collapsed="false"/>
    <row r="4" customFormat="false" ht="13.8" hidden="false" customHeight="false" outlineLevel="0" collapsed="false">
      <c r="A4" s="3" t="s">
        <v>9</v>
      </c>
    </row>
    <row r="5" customFormat="false" ht="13.8" hidden="false" customHeight="false" outlineLevel="0" collapsed="false">
      <c r="A5" s="1" t="s">
        <v>10</v>
      </c>
    </row>
    <row r="6" customFormat="false" ht="13.8" hidden="false" customHeight="false" outlineLevel="0" collapsed="false">
      <c r="A6" s="1" t="s">
        <v>11</v>
      </c>
    </row>
    <row r="7" customFormat="false" ht="13.8" hidden="false" customHeight="false" outlineLevel="0" collapsed="false">
      <c r="A7" s="1" t="s">
        <v>12</v>
      </c>
    </row>
    <row r="8" customFormat="false" ht="13.8" hidden="false" customHeight="false" outlineLevel="0" collapsed="false">
      <c r="A8" s="1" t="s">
        <v>13</v>
      </c>
    </row>
    <row r="9" customFormat="false" ht="13.8" hidden="false" customHeight="false" outlineLevel="0" collapsed="false"/>
    <row r="10" customFormat="false" ht="13.8" hidden="false" customHeight="false" outlineLevel="0" collapsed="false">
      <c r="A10" s="3" t="s">
        <v>14</v>
      </c>
    </row>
    <row r="11" customFormat="false" ht="13.8" hidden="false" customHeight="false" outlineLevel="0" collapsed="false">
      <c r="A11" s="1" t="s">
        <v>15</v>
      </c>
    </row>
    <row r="12" customFormat="false" ht="13.8" hidden="false" customHeight="false" outlineLevel="0" collapsed="false">
      <c r="A12" s="1" t="s">
        <v>16</v>
      </c>
    </row>
    <row r="13" customFormat="false" ht="13.8" hidden="false" customHeight="false" outlineLevel="0" collapsed="false">
      <c r="A13" s="1" t="s">
        <v>17</v>
      </c>
    </row>
    <row r="14" customFormat="false" ht="13.8" hidden="false" customHeight="false" outlineLevel="0" collapsed="false">
      <c r="A14" s="1" t="s">
        <v>18</v>
      </c>
    </row>
    <row r="15" customFormat="false" ht="13.8" hidden="false" customHeight="false" outlineLevel="0" collapsed="false">
      <c r="A15" s="1" t="s">
        <v>19</v>
      </c>
    </row>
    <row r="16" customFormat="false" ht="13.8" hidden="false" customHeight="false" outlineLevel="0" collapsed="false">
      <c r="A16" s="1" t="s">
        <v>20</v>
      </c>
    </row>
    <row r="17" customFormat="false" ht="13.8" hidden="false" customHeight="false" outlineLevel="0" collapsed="false"/>
    <row r="18" customFormat="false" ht="13.8" hidden="false" customHeight="false" outlineLevel="0" collapsed="false">
      <c r="A18" s="1" t="s">
        <v>21</v>
      </c>
    </row>
    <row r="19" customFormat="false" ht="13.8" hidden="false" customHeight="false" outlineLevel="0" collapsed="false">
      <c r="A19" s="1" t="s">
        <v>22</v>
      </c>
    </row>
    <row r="20" customFormat="false" ht="13.8" hidden="false" customHeight="false" outlineLevel="0" collapsed="false">
      <c r="A20" s="1" t="s">
        <v>23</v>
      </c>
    </row>
    <row r="21" customFormat="false" ht="13.8" hidden="false" customHeight="false" outlineLevel="0" collapsed="false">
      <c r="A21" s="1" t="s">
        <v>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295"/>
  <sheetViews>
    <sheetView showFormulas="false" showGridLines="true" showRowColHeaders="true" showZeros="true" rightToLeft="false" tabSelected="true" showOutlineSymbols="true" defaultGridColor="true" view="normal" topLeftCell="G1" colorId="64" zoomScale="90" zoomScaleNormal="90" zoomScalePageLayoutView="100" workbookViewId="0">
      <pane xSplit="0" ySplit="1" topLeftCell="A2" activePane="bottomLeft" state="frozen"/>
      <selection pane="topLeft" activeCell="G1" activeCellId="0" sqref="G1"/>
      <selection pane="bottomLeft" activeCell="O1" activeCellId="0" sqref="O1"/>
    </sheetView>
  </sheetViews>
  <sheetFormatPr defaultColWidth="8.83203125" defaultRowHeight="13.5" zeroHeight="false" outlineLevelRow="0" outlineLevelCol="0"/>
  <cols>
    <col collapsed="false" customWidth="true" hidden="false" outlineLevel="0" max="4" min="1" style="1" width="18"/>
    <col collapsed="false" customWidth="true" hidden="false" outlineLevel="0" max="5" min="5" style="1" width="16"/>
    <col collapsed="false" customWidth="true" hidden="false" outlineLevel="0" max="17" min="6" style="1" width="18"/>
    <col collapsed="false" customWidth="true" hidden="false" outlineLevel="0" max="18" min="18" style="1" width="44"/>
  </cols>
  <sheetData>
    <row r="1" customFormat="false" ht="27.75" hidden="false" customHeight="true" outlineLevel="0" collapsed="false">
      <c r="A1" s="4" t="s">
        <v>25</v>
      </c>
      <c r="B1" s="4" t="s">
        <v>26</v>
      </c>
      <c r="C1" s="4" t="s">
        <v>27</v>
      </c>
      <c r="D1" s="4" t="s">
        <v>28</v>
      </c>
      <c r="E1" s="4" t="s">
        <v>29</v>
      </c>
      <c r="F1" s="4" t="s">
        <v>30</v>
      </c>
      <c r="G1" s="4" t="s">
        <v>31</v>
      </c>
      <c r="H1" s="4" t="s">
        <v>32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  <c r="N1" s="4" t="s">
        <v>38</v>
      </c>
      <c r="O1" s="4" t="s">
        <v>39</v>
      </c>
      <c r="P1" s="4" t="s">
        <v>40</v>
      </c>
      <c r="Q1" s="4" t="s">
        <v>41</v>
      </c>
      <c r="R1" s="4" t="s">
        <v>42</v>
      </c>
    </row>
    <row r="2" customFormat="false" ht="13.5" hidden="false" customHeight="false" outlineLevel="0" collapsed="false">
      <c r="A2" s="1" t="s">
        <v>43</v>
      </c>
      <c r="B2" s="1" t="n">
        <v>1</v>
      </c>
      <c r="C2" s="5" t="n">
        <v>46044</v>
      </c>
      <c r="D2" s="6" t="s">
        <v>44</v>
      </c>
      <c r="E2" s="6" t="s">
        <v>45</v>
      </c>
      <c r="F2" s="6" t="s">
        <v>46</v>
      </c>
      <c r="G2" s="6" t="s">
        <v>47</v>
      </c>
      <c r="H2" s="6" t="s">
        <v>48</v>
      </c>
      <c r="I2" s="1" t="n">
        <v>3</v>
      </c>
      <c r="J2" s="7" t="n">
        <v>5414.98</v>
      </c>
      <c r="K2" s="8" t="n">
        <v>0</v>
      </c>
      <c r="L2" s="7" t="n">
        <v>3832.69</v>
      </c>
      <c r="M2" s="6" t="s">
        <v>49</v>
      </c>
      <c r="N2" s="6" t="s">
        <v>50</v>
      </c>
      <c r="O2" s="6" t="n">
        <f aca="false">IF(TablaVentas[[#This Row],[Precio_unitario]]="","PENDIENTE",TablaVentas[[#This Row],[Unidades]]*TablaVentas[[#This Row],[Precio_unitario]]*(1-TablaVentas[[#This Row],[Descuento_pct]]))</f>
        <v>16244.94</v>
      </c>
      <c r="P2" s="6" t="n">
        <f aca="false">IF(TablaVentas[[#This Row],[Costo_unitario]]="","PENDIENTE",TablaVentas[[#This Row],[Unidades]]*TablaVentas[[#This Row],[Costo_unitario]])</f>
        <v>11498.07</v>
      </c>
      <c r="Q2" s="6" t="n">
        <f aca="false">IF(OR(TablaVentas[[#This Row],[Ingreso_neto]]="PENDIENTE",TablaVentas[[#This Row],[Costo_total]]="PENDIENTE"),"PENDIENTE",TablaVentas[[#This Row],[Ingreso_neto]]-TablaVentas[[#This Row],[Costo_total]])</f>
        <v>4746.87</v>
      </c>
    </row>
    <row r="3" customFormat="false" ht="13.5" hidden="false" customHeight="false" outlineLevel="0" collapsed="false">
      <c r="A3" s="1" t="s">
        <v>43</v>
      </c>
      <c r="B3" s="1" t="n">
        <v>2</v>
      </c>
      <c r="C3" s="5" t="n">
        <v>46044</v>
      </c>
      <c r="D3" s="6" t="s">
        <v>44</v>
      </c>
      <c r="E3" s="6" t="s">
        <v>51</v>
      </c>
      <c r="F3" s="6" t="s">
        <v>46</v>
      </c>
      <c r="G3" s="6" t="s">
        <v>47</v>
      </c>
      <c r="H3" s="6" t="s">
        <v>48</v>
      </c>
      <c r="I3" s="1" t="n">
        <v>2</v>
      </c>
      <c r="J3" s="7" t="n">
        <v>14544.34</v>
      </c>
      <c r="K3" s="8" t="n">
        <v>0.15</v>
      </c>
      <c r="L3" s="7" t="n">
        <v>8980.68</v>
      </c>
      <c r="M3" s="6" t="s">
        <v>49</v>
      </c>
      <c r="N3" s="6" t="s">
        <v>52</v>
      </c>
      <c r="O3" s="6" t="n">
        <f aca="false">IF(TablaVentas[[#This Row],[Precio_unitario]]="","PENDIENTE",TablaVentas[[#This Row],[Unidades]]*TablaVentas[[#This Row],[Precio_unitario]]*(1-TablaVentas[[#This Row],[Descuento_pct]]))</f>
        <v>24725.378</v>
      </c>
      <c r="P3" s="6" t="n">
        <f aca="false">IF(TablaVentas[[#This Row],[Costo_unitario]]="","PENDIENTE",TablaVentas[[#This Row],[Unidades]]*TablaVentas[[#This Row],[Costo_unitario]])</f>
        <v>17961.36</v>
      </c>
      <c r="Q3" s="6" t="n">
        <f aca="false">IF(OR(TablaVentas[[#This Row],[Ingreso_neto]]="PENDIENTE",TablaVentas[[#This Row],[Costo_total]]="PENDIENTE"),"PENDIENTE",TablaVentas[[#This Row],[Ingreso_neto]]-TablaVentas[[#This Row],[Costo_total]])</f>
        <v>6764.018</v>
      </c>
    </row>
    <row r="4" customFormat="false" ht="13.5" hidden="false" customHeight="false" outlineLevel="0" collapsed="false">
      <c r="A4" s="1" t="s">
        <v>43</v>
      </c>
      <c r="B4" s="1" t="n">
        <v>3</v>
      </c>
      <c r="C4" s="5" t="n">
        <v>46044</v>
      </c>
      <c r="D4" s="6" t="s">
        <v>44</v>
      </c>
      <c r="E4" s="6" t="s">
        <v>53</v>
      </c>
      <c r="F4" s="6" t="s">
        <v>46</v>
      </c>
      <c r="G4" s="6" t="s">
        <v>47</v>
      </c>
      <c r="H4" s="6" t="s">
        <v>48</v>
      </c>
      <c r="I4" s="1" t="n">
        <v>2</v>
      </c>
      <c r="J4" s="7" t="n">
        <v>4296.69</v>
      </c>
      <c r="K4" s="8" t="n">
        <v>0.2</v>
      </c>
      <c r="L4" s="7" t="n">
        <v>2957.6</v>
      </c>
      <c r="M4" s="6" t="s">
        <v>49</v>
      </c>
      <c r="N4" s="6" t="s">
        <v>50</v>
      </c>
      <c r="O4" s="6" t="n">
        <f aca="false">IF(TablaVentas[[#This Row],[Precio_unitario]]="","PENDIENTE",TablaVentas[[#This Row],[Unidades]]*TablaVentas[[#This Row],[Precio_unitario]]*(1-TablaVentas[[#This Row],[Descuento_pct]]))</f>
        <v>6874.704</v>
      </c>
      <c r="P4" s="6" t="n">
        <f aca="false">IF(TablaVentas[[#This Row],[Costo_unitario]]="","PENDIENTE",TablaVentas[[#This Row],[Unidades]]*TablaVentas[[#This Row],[Costo_unitario]])</f>
        <v>5915.2</v>
      </c>
      <c r="Q4" s="6" t="n">
        <f aca="false">IF(OR(TablaVentas[[#This Row],[Ingreso_neto]]="PENDIENTE",TablaVentas[[#This Row],[Costo_total]]="PENDIENTE"),"PENDIENTE",TablaVentas[[#This Row],[Ingreso_neto]]-TablaVentas[[#This Row],[Costo_total]])</f>
        <v>959.504</v>
      </c>
    </row>
    <row r="5" customFormat="false" ht="13.5" hidden="false" customHeight="false" outlineLevel="0" collapsed="false">
      <c r="A5" s="1" t="s">
        <v>54</v>
      </c>
      <c r="B5" s="1" t="n">
        <v>1</v>
      </c>
      <c r="C5" s="5" t="n">
        <v>46108</v>
      </c>
      <c r="D5" s="6" t="s">
        <v>55</v>
      </c>
      <c r="E5" s="6" t="s">
        <v>56</v>
      </c>
      <c r="F5" s="6" t="s">
        <v>46</v>
      </c>
      <c r="G5" s="6" t="s">
        <v>57</v>
      </c>
      <c r="H5" s="6" t="s">
        <v>58</v>
      </c>
      <c r="I5" s="1" t="n">
        <v>1</v>
      </c>
      <c r="J5" s="7" t="n">
        <v>4063.45</v>
      </c>
      <c r="K5" s="8" t="n">
        <v>0.15</v>
      </c>
      <c r="L5" s="7" t="n">
        <v>2950.52</v>
      </c>
      <c r="M5" s="6" t="s">
        <v>49</v>
      </c>
      <c r="N5" s="6" t="s">
        <v>59</v>
      </c>
      <c r="O5" s="6" t="n">
        <f aca="false">IF(TablaVentas[[#This Row],[Precio_unitario]]="","PENDIENTE",TablaVentas[[#This Row],[Unidades]]*TablaVentas[[#This Row],[Precio_unitario]]*(1-TablaVentas[[#This Row],[Descuento_pct]]))</f>
        <v>3453.9325</v>
      </c>
      <c r="P5" s="6" t="n">
        <f aca="false">IF(TablaVentas[[#This Row],[Costo_unitario]]="","PENDIENTE",TablaVentas[[#This Row],[Unidades]]*TablaVentas[[#This Row],[Costo_unitario]])</f>
        <v>2950.52</v>
      </c>
      <c r="Q5" s="6" t="n">
        <f aca="false">IF(OR(TablaVentas[[#This Row],[Ingreso_neto]]="PENDIENTE",TablaVentas[[#This Row],[Costo_total]]="PENDIENTE"),"PENDIENTE",TablaVentas[[#This Row],[Ingreso_neto]]-TablaVentas[[#This Row],[Costo_total]])</f>
        <v>503.4125</v>
      </c>
    </row>
    <row r="6" customFormat="false" ht="13.5" hidden="false" customHeight="false" outlineLevel="0" collapsed="false">
      <c r="A6" s="1" t="s">
        <v>60</v>
      </c>
      <c r="B6" s="1" t="n">
        <v>1</v>
      </c>
      <c r="C6" s="5" t="n">
        <v>46290</v>
      </c>
      <c r="D6" s="6" t="s">
        <v>61</v>
      </c>
      <c r="E6" s="6" t="s">
        <v>62</v>
      </c>
      <c r="F6" s="6" t="s">
        <v>63</v>
      </c>
      <c r="G6" s="6" t="s">
        <v>64</v>
      </c>
      <c r="H6" s="6" t="s">
        <v>65</v>
      </c>
      <c r="I6" s="1" t="n">
        <v>1</v>
      </c>
      <c r="J6" s="7" t="n">
        <v>11243.08</v>
      </c>
      <c r="K6" s="8" t="n">
        <v>0.1</v>
      </c>
      <c r="L6" s="7" t="n">
        <v>6407.85</v>
      </c>
      <c r="M6" s="6" t="s">
        <v>49</v>
      </c>
      <c r="N6" s="6" t="s">
        <v>59</v>
      </c>
      <c r="O6" s="6" t="n">
        <f aca="false">IF(TablaVentas[[#This Row],[Precio_unitario]]="","PENDIENTE",TablaVentas[[#This Row],[Unidades]]*TablaVentas[[#This Row],[Precio_unitario]]*(1-TablaVentas[[#This Row],[Descuento_pct]]))</f>
        <v>10118.772</v>
      </c>
      <c r="P6" s="6" t="n">
        <f aca="false">IF(TablaVentas[[#This Row],[Costo_unitario]]="","PENDIENTE",TablaVentas[[#This Row],[Unidades]]*TablaVentas[[#This Row],[Costo_unitario]])</f>
        <v>6407.85</v>
      </c>
      <c r="Q6" s="6" t="n">
        <f aca="false">IF(OR(TablaVentas[[#This Row],[Ingreso_neto]]="PENDIENTE",TablaVentas[[#This Row],[Costo_total]]="PENDIENTE"),"PENDIENTE",TablaVentas[[#This Row],[Ingreso_neto]]-TablaVentas[[#This Row],[Costo_total]])</f>
        <v>3710.922</v>
      </c>
    </row>
    <row r="7" customFormat="false" ht="13.5" hidden="false" customHeight="false" outlineLevel="0" collapsed="false">
      <c r="A7" s="1" t="s">
        <v>60</v>
      </c>
      <c r="B7" s="1" t="n">
        <v>2</v>
      </c>
      <c r="C7" s="5" t="n">
        <v>46290</v>
      </c>
      <c r="D7" s="6" t="s">
        <v>61</v>
      </c>
      <c r="E7" s="6" t="s">
        <v>66</v>
      </c>
      <c r="F7" s="6" t="s">
        <v>63</v>
      </c>
      <c r="G7" s="6" t="s">
        <v>64</v>
      </c>
      <c r="H7" s="6" t="s">
        <v>65</v>
      </c>
      <c r="I7" s="1" t="n">
        <v>5</v>
      </c>
      <c r="J7" s="7" t="n">
        <v>13728.46</v>
      </c>
      <c r="K7" s="8" t="n">
        <v>0.05</v>
      </c>
      <c r="L7" s="7" t="n">
        <v>10170.29</v>
      </c>
      <c r="M7" s="6" t="s">
        <v>49</v>
      </c>
      <c r="N7" s="6" t="s">
        <v>67</v>
      </c>
      <c r="O7" s="6" t="n">
        <f aca="false">IF(TablaVentas[[#This Row],[Precio_unitario]]="","PENDIENTE",TablaVentas[[#This Row],[Unidades]]*TablaVentas[[#This Row],[Precio_unitario]]*(1-TablaVentas[[#This Row],[Descuento_pct]]))</f>
        <v>65210.185</v>
      </c>
      <c r="P7" s="6" t="n">
        <f aca="false">IF(TablaVentas[[#This Row],[Costo_unitario]]="","PENDIENTE",TablaVentas[[#This Row],[Unidades]]*TablaVentas[[#This Row],[Costo_unitario]])</f>
        <v>50851.45</v>
      </c>
      <c r="Q7" s="6" t="n">
        <f aca="false">IF(OR(TablaVentas[[#This Row],[Ingreso_neto]]="PENDIENTE",TablaVentas[[#This Row],[Costo_total]]="PENDIENTE"),"PENDIENTE",TablaVentas[[#This Row],[Ingreso_neto]]-TablaVentas[[#This Row],[Costo_total]])</f>
        <v>14358.735</v>
      </c>
    </row>
    <row r="8" customFormat="false" ht="13.5" hidden="false" customHeight="false" outlineLevel="0" collapsed="false">
      <c r="A8" s="1" t="s">
        <v>60</v>
      </c>
      <c r="B8" s="1" t="n">
        <v>3</v>
      </c>
      <c r="C8" s="5" t="n">
        <v>46290</v>
      </c>
      <c r="D8" s="6" t="s">
        <v>61</v>
      </c>
      <c r="E8" s="6" t="s">
        <v>68</v>
      </c>
      <c r="F8" s="6" t="s">
        <v>63</v>
      </c>
      <c r="G8" s="6" t="s">
        <v>64</v>
      </c>
      <c r="H8" s="6" t="s">
        <v>65</v>
      </c>
      <c r="I8" s="1" t="n">
        <v>2</v>
      </c>
      <c r="J8" s="7" t="n">
        <v>4489.78</v>
      </c>
      <c r="K8" s="8" t="n">
        <v>0.2</v>
      </c>
      <c r="L8" s="7" t="n">
        <v>2554.06</v>
      </c>
      <c r="M8" s="6" t="s">
        <v>69</v>
      </c>
      <c r="N8" s="6" t="s">
        <v>59</v>
      </c>
      <c r="O8" s="6" t="n">
        <f aca="false">IF(TablaVentas[[#This Row],[Precio_unitario]]="","PENDIENTE",TablaVentas[[#This Row],[Unidades]]*TablaVentas[[#This Row],[Precio_unitario]]*(1-TablaVentas[[#This Row],[Descuento_pct]]))</f>
        <v>7183.648</v>
      </c>
      <c r="P8" s="6" t="n">
        <f aca="false">IF(TablaVentas[[#This Row],[Costo_unitario]]="","PENDIENTE",TablaVentas[[#This Row],[Unidades]]*TablaVentas[[#This Row],[Costo_unitario]])</f>
        <v>5108.12</v>
      </c>
      <c r="Q8" s="6" t="n">
        <f aca="false">IF(OR(TablaVentas[[#This Row],[Ingreso_neto]]="PENDIENTE",TablaVentas[[#This Row],[Costo_total]]="PENDIENTE"),"PENDIENTE",TablaVentas[[#This Row],[Ingreso_neto]]-TablaVentas[[#This Row],[Costo_total]])</f>
        <v>2075.528</v>
      </c>
    </row>
    <row r="9" customFormat="false" ht="13.5" hidden="false" customHeight="false" outlineLevel="0" collapsed="false">
      <c r="A9" s="1" t="s">
        <v>70</v>
      </c>
      <c r="B9" s="1" t="n">
        <v>1</v>
      </c>
      <c r="C9" s="5" t="n">
        <v>46163</v>
      </c>
      <c r="D9" s="6" t="s">
        <v>71</v>
      </c>
      <c r="E9" s="6" t="s">
        <v>72</v>
      </c>
      <c r="F9" s="6" t="s">
        <v>73</v>
      </c>
      <c r="G9" s="6" t="s">
        <v>47</v>
      </c>
      <c r="H9" s="6" t="s">
        <v>74</v>
      </c>
      <c r="I9" s="1" t="n">
        <v>2</v>
      </c>
      <c r="J9" s="7" t="n">
        <v>10798.95</v>
      </c>
      <c r="K9" s="8" t="n">
        <v>0</v>
      </c>
      <c r="L9" s="7" t="n">
        <v>7328.02</v>
      </c>
      <c r="M9" s="6" t="s">
        <v>49</v>
      </c>
      <c r="N9" s="6" t="s">
        <v>67</v>
      </c>
      <c r="O9" s="6" t="n">
        <f aca="false">IF(TablaVentas[[#This Row],[Precio_unitario]]="","PENDIENTE",TablaVentas[[#This Row],[Unidades]]*TablaVentas[[#This Row],[Precio_unitario]]*(1-TablaVentas[[#This Row],[Descuento_pct]]))</f>
        <v>21597.9</v>
      </c>
      <c r="P9" s="6" t="n">
        <f aca="false">IF(TablaVentas[[#This Row],[Costo_unitario]]="","PENDIENTE",TablaVentas[[#This Row],[Unidades]]*TablaVentas[[#This Row],[Costo_unitario]])</f>
        <v>14656.04</v>
      </c>
      <c r="Q9" s="6" t="n">
        <f aca="false">IF(OR(TablaVentas[[#This Row],[Ingreso_neto]]="PENDIENTE",TablaVentas[[#This Row],[Costo_total]]="PENDIENTE"),"PENDIENTE",TablaVentas[[#This Row],[Ingreso_neto]]-TablaVentas[[#This Row],[Costo_total]])</f>
        <v>6941.86</v>
      </c>
    </row>
    <row r="10" customFormat="false" ht="13.5" hidden="false" customHeight="false" outlineLevel="0" collapsed="false">
      <c r="A10" s="1" t="s">
        <v>70</v>
      </c>
      <c r="B10" s="1" t="n">
        <v>2</v>
      </c>
      <c r="C10" s="5" t="n">
        <v>46163</v>
      </c>
      <c r="D10" s="6" t="s">
        <v>71</v>
      </c>
      <c r="E10" s="6" t="s">
        <v>75</v>
      </c>
      <c r="F10" s="6" t="s">
        <v>73</v>
      </c>
      <c r="G10" s="6" t="s">
        <v>47</v>
      </c>
      <c r="H10" s="6" t="s">
        <v>74</v>
      </c>
      <c r="I10" s="1" t="n">
        <v>5</v>
      </c>
      <c r="J10" s="7" t="n">
        <v>15644.6</v>
      </c>
      <c r="K10" s="8" t="n">
        <v>0.05</v>
      </c>
      <c r="L10" s="7" t="n">
        <v>9243.35</v>
      </c>
      <c r="M10" s="6" t="s">
        <v>69</v>
      </c>
      <c r="N10" s="6" t="s">
        <v>52</v>
      </c>
      <c r="O10" s="6" t="n">
        <f aca="false">IF(TablaVentas[[#This Row],[Precio_unitario]]="","PENDIENTE",TablaVentas[[#This Row],[Unidades]]*TablaVentas[[#This Row],[Precio_unitario]]*(1-TablaVentas[[#This Row],[Descuento_pct]]))</f>
        <v>74311.85</v>
      </c>
      <c r="P10" s="6" t="n">
        <f aca="false">IF(TablaVentas[[#This Row],[Costo_unitario]]="","PENDIENTE",TablaVentas[[#This Row],[Unidades]]*TablaVentas[[#This Row],[Costo_unitario]])</f>
        <v>46216.75</v>
      </c>
      <c r="Q10" s="6" t="n">
        <f aca="false">IF(OR(TablaVentas[[#This Row],[Ingreso_neto]]="PENDIENTE",TablaVentas[[#This Row],[Costo_total]]="PENDIENTE"),"PENDIENTE",TablaVentas[[#This Row],[Ingreso_neto]]-TablaVentas[[#This Row],[Costo_total]])</f>
        <v>28095.1</v>
      </c>
    </row>
    <row r="11" customFormat="false" ht="13.5" hidden="false" customHeight="false" outlineLevel="0" collapsed="false">
      <c r="A11" s="1" t="s">
        <v>70</v>
      </c>
      <c r="B11" s="1" t="n">
        <v>3</v>
      </c>
      <c r="C11" s="5" t="n">
        <v>46163</v>
      </c>
      <c r="D11" s="6" t="s">
        <v>71</v>
      </c>
      <c r="E11" s="6" t="s">
        <v>76</v>
      </c>
      <c r="F11" s="6" t="s">
        <v>73</v>
      </c>
      <c r="G11" s="6" t="s">
        <v>47</v>
      </c>
      <c r="H11" s="6" t="s">
        <v>74</v>
      </c>
      <c r="I11" s="1" t="n">
        <v>12</v>
      </c>
      <c r="J11" s="7" t="n">
        <v>12609.46</v>
      </c>
      <c r="K11" s="8" t="n">
        <v>0</v>
      </c>
      <c r="L11" s="7" t="n">
        <v>10094.26</v>
      </c>
      <c r="M11" s="6" t="s">
        <v>49</v>
      </c>
      <c r="N11" s="6" t="s">
        <v>59</v>
      </c>
      <c r="O11" s="6" t="n">
        <f aca="false">IF(TablaVentas[[#This Row],[Precio_unitario]]="","PENDIENTE",TablaVentas[[#This Row],[Unidades]]*TablaVentas[[#This Row],[Precio_unitario]]*(1-TablaVentas[[#This Row],[Descuento_pct]]))</f>
        <v>151313.52</v>
      </c>
      <c r="P11" s="6" t="n">
        <f aca="false">IF(TablaVentas[[#This Row],[Costo_unitario]]="","PENDIENTE",TablaVentas[[#This Row],[Unidades]]*TablaVentas[[#This Row],[Costo_unitario]])</f>
        <v>121131.12</v>
      </c>
      <c r="Q11" s="6" t="n">
        <f aca="false">IF(OR(TablaVentas[[#This Row],[Ingreso_neto]]="PENDIENTE",TablaVentas[[#This Row],[Costo_total]]="PENDIENTE"),"PENDIENTE",TablaVentas[[#This Row],[Ingreso_neto]]-TablaVentas[[#This Row],[Costo_total]])</f>
        <v>30182.4</v>
      </c>
    </row>
    <row r="12" customFormat="false" ht="13.5" hidden="false" customHeight="false" outlineLevel="0" collapsed="false">
      <c r="A12" s="1" t="s">
        <v>70</v>
      </c>
      <c r="B12" s="1" t="n">
        <v>4</v>
      </c>
      <c r="C12" s="5" t="n">
        <v>46163</v>
      </c>
      <c r="D12" s="6" t="s">
        <v>71</v>
      </c>
      <c r="E12" s="6" t="s">
        <v>53</v>
      </c>
      <c r="F12" s="6" t="s">
        <v>73</v>
      </c>
      <c r="G12" s="6" t="s">
        <v>47</v>
      </c>
      <c r="H12" s="6" t="s">
        <v>74</v>
      </c>
      <c r="I12" s="1" t="n">
        <v>3</v>
      </c>
      <c r="J12" s="7" t="n">
        <v>3674.41</v>
      </c>
      <c r="K12" s="8" t="n">
        <v>0</v>
      </c>
      <c r="L12" s="7" t="n">
        <v>2957.6</v>
      </c>
      <c r="M12" s="6" t="s">
        <v>49</v>
      </c>
      <c r="N12" s="6" t="s">
        <v>52</v>
      </c>
      <c r="O12" s="6" t="n">
        <f aca="false">IF(TablaVentas[[#This Row],[Precio_unitario]]="","PENDIENTE",TablaVentas[[#This Row],[Unidades]]*TablaVentas[[#This Row],[Precio_unitario]]*(1-TablaVentas[[#This Row],[Descuento_pct]]))</f>
        <v>11023.23</v>
      </c>
      <c r="P12" s="6" t="n">
        <f aca="false">IF(TablaVentas[[#This Row],[Costo_unitario]]="","PENDIENTE",TablaVentas[[#This Row],[Unidades]]*TablaVentas[[#This Row],[Costo_unitario]])</f>
        <v>8872.8</v>
      </c>
      <c r="Q12" s="6" t="n">
        <f aca="false">IF(OR(TablaVentas[[#This Row],[Ingreso_neto]]="PENDIENTE",TablaVentas[[#This Row],[Costo_total]]="PENDIENTE"),"PENDIENTE",TablaVentas[[#This Row],[Ingreso_neto]]-TablaVentas[[#This Row],[Costo_total]])</f>
        <v>2150.43</v>
      </c>
    </row>
    <row r="13" customFormat="false" ht="13.5" hidden="false" customHeight="false" outlineLevel="0" collapsed="false">
      <c r="A13" s="1" t="s">
        <v>70</v>
      </c>
      <c r="B13" s="1" t="n">
        <v>5</v>
      </c>
      <c r="C13" s="5" t="n">
        <v>46163</v>
      </c>
      <c r="D13" s="6" t="s">
        <v>71</v>
      </c>
      <c r="E13" s="6" t="s">
        <v>77</v>
      </c>
      <c r="F13" s="6" t="s">
        <v>73</v>
      </c>
      <c r="G13" s="6" t="s">
        <v>47</v>
      </c>
      <c r="H13" s="6" t="s">
        <v>74</v>
      </c>
      <c r="I13" s="1" t="n">
        <v>1</v>
      </c>
      <c r="J13" s="7" t="n">
        <v>16434.15</v>
      </c>
      <c r="K13" s="8" t="n">
        <v>0</v>
      </c>
      <c r="L13" s="7" t="n">
        <v>10571.25</v>
      </c>
      <c r="M13" s="6" t="s">
        <v>49</v>
      </c>
      <c r="N13" s="6" t="s">
        <v>67</v>
      </c>
      <c r="O13" s="6" t="n">
        <f aca="false">IF(TablaVentas[[#This Row],[Precio_unitario]]="","PENDIENTE",TablaVentas[[#This Row],[Unidades]]*TablaVentas[[#This Row],[Precio_unitario]]*(1-TablaVentas[[#This Row],[Descuento_pct]]))</f>
        <v>16434.15</v>
      </c>
      <c r="P13" s="6" t="n">
        <f aca="false">IF(TablaVentas[[#This Row],[Costo_unitario]]="","PENDIENTE",TablaVentas[[#This Row],[Unidades]]*TablaVentas[[#This Row],[Costo_unitario]])</f>
        <v>10571.25</v>
      </c>
      <c r="Q13" s="6" t="n">
        <f aca="false">IF(OR(TablaVentas[[#This Row],[Ingreso_neto]]="PENDIENTE",TablaVentas[[#This Row],[Costo_total]]="PENDIENTE"),"PENDIENTE",TablaVentas[[#This Row],[Ingreso_neto]]-TablaVentas[[#This Row],[Costo_total]])</f>
        <v>5862.9</v>
      </c>
    </row>
    <row r="14" customFormat="false" ht="13.5" hidden="false" customHeight="false" outlineLevel="0" collapsed="false">
      <c r="A14" s="1" t="s">
        <v>78</v>
      </c>
      <c r="B14" s="1" t="n">
        <v>1</v>
      </c>
      <c r="C14" s="5" t="n">
        <v>46247</v>
      </c>
      <c r="D14" s="6" t="s">
        <v>79</v>
      </c>
      <c r="E14" s="6" t="s">
        <v>56</v>
      </c>
      <c r="F14" s="6" t="s">
        <v>73</v>
      </c>
      <c r="G14" s="6" t="s">
        <v>64</v>
      </c>
      <c r="H14" s="6" t="s">
        <v>80</v>
      </c>
      <c r="I14" s="1" t="n">
        <v>2</v>
      </c>
      <c r="J14" s="7" t="n">
        <v>3864.46</v>
      </c>
      <c r="K14" s="8" t="n">
        <v>0.15</v>
      </c>
      <c r="L14" s="7" t="n">
        <v>2950.52</v>
      </c>
      <c r="M14" s="6" t="s">
        <v>49</v>
      </c>
      <c r="N14" s="6" t="s">
        <v>52</v>
      </c>
      <c r="O14" s="6" t="n">
        <f aca="false">IF(TablaVentas[[#This Row],[Precio_unitario]]="","PENDIENTE",TablaVentas[[#This Row],[Unidades]]*TablaVentas[[#This Row],[Precio_unitario]]*(1-TablaVentas[[#This Row],[Descuento_pct]]))</f>
        <v>6569.582</v>
      </c>
      <c r="P14" s="6" t="n">
        <f aca="false">IF(TablaVentas[[#This Row],[Costo_unitario]]="","PENDIENTE",TablaVentas[[#This Row],[Unidades]]*TablaVentas[[#This Row],[Costo_unitario]])</f>
        <v>5901.04</v>
      </c>
      <c r="Q14" s="6" t="n">
        <f aca="false">IF(OR(TablaVentas[[#This Row],[Ingreso_neto]]="PENDIENTE",TablaVentas[[#This Row],[Costo_total]]="PENDIENTE"),"PENDIENTE",TablaVentas[[#This Row],[Ingreso_neto]]-TablaVentas[[#This Row],[Costo_total]])</f>
        <v>668.542</v>
      </c>
    </row>
    <row r="15" customFormat="false" ht="13.5" hidden="false" customHeight="false" outlineLevel="0" collapsed="false">
      <c r="A15" s="1" t="s">
        <v>81</v>
      </c>
      <c r="B15" s="1" t="n">
        <v>1</v>
      </c>
      <c r="C15" s="5" t="n">
        <v>46219</v>
      </c>
      <c r="D15" s="6" t="s">
        <v>82</v>
      </c>
      <c r="E15" s="6" t="s">
        <v>83</v>
      </c>
      <c r="F15" s="6" t="s">
        <v>84</v>
      </c>
      <c r="G15" s="6" t="s">
        <v>64</v>
      </c>
      <c r="H15" s="6" t="s">
        <v>48</v>
      </c>
      <c r="I15" s="1" t="n">
        <v>5</v>
      </c>
      <c r="J15" s="7" t="n">
        <v>12482.3</v>
      </c>
      <c r="K15" s="8" t="n">
        <v>0</v>
      </c>
      <c r="L15" s="7" t="n">
        <v>7748.44</v>
      </c>
      <c r="M15" s="6" t="s">
        <v>49</v>
      </c>
      <c r="N15" s="6" t="s">
        <v>52</v>
      </c>
      <c r="O15" s="6" t="n">
        <f aca="false">IF(TablaVentas[[#This Row],[Precio_unitario]]="","PENDIENTE",TablaVentas[[#This Row],[Unidades]]*TablaVentas[[#This Row],[Precio_unitario]]*(1-TablaVentas[[#This Row],[Descuento_pct]]))</f>
        <v>62411.5</v>
      </c>
      <c r="P15" s="6" t="n">
        <f aca="false">IF(TablaVentas[[#This Row],[Costo_unitario]]="","PENDIENTE",TablaVentas[[#This Row],[Unidades]]*TablaVentas[[#This Row],[Costo_unitario]])</f>
        <v>38742.2</v>
      </c>
      <c r="Q15" s="6" t="n">
        <f aca="false">IF(OR(TablaVentas[[#This Row],[Ingreso_neto]]="PENDIENTE",TablaVentas[[#This Row],[Costo_total]]="PENDIENTE"),"PENDIENTE",TablaVentas[[#This Row],[Ingreso_neto]]-TablaVentas[[#This Row],[Costo_total]])</f>
        <v>23669.3</v>
      </c>
    </row>
    <row r="16" customFormat="false" ht="13.5" hidden="false" customHeight="false" outlineLevel="0" collapsed="false">
      <c r="A16" s="1" t="s">
        <v>81</v>
      </c>
      <c r="B16" s="1" t="n">
        <v>2</v>
      </c>
      <c r="C16" s="5" t="n">
        <v>46219</v>
      </c>
      <c r="D16" s="6" t="s">
        <v>82</v>
      </c>
      <c r="E16" s="6" t="s">
        <v>85</v>
      </c>
      <c r="F16" s="6" t="s">
        <v>84</v>
      </c>
      <c r="G16" s="6" t="s">
        <v>64</v>
      </c>
      <c r="H16" s="6" t="s">
        <v>48</v>
      </c>
      <c r="I16" s="1" t="n">
        <v>2</v>
      </c>
      <c r="J16" s="7" t="n">
        <v>9371.76</v>
      </c>
      <c r="K16" s="8" t="n">
        <v>0</v>
      </c>
      <c r="L16" s="7" t="n">
        <v>5033.47</v>
      </c>
      <c r="M16" s="6" t="s">
        <v>49</v>
      </c>
      <c r="N16" s="6" t="s">
        <v>52</v>
      </c>
      <c r="O16" s="6" t="n">
        <f aca="false">IF(TablaVentas[[#This Row],[Precio_unitario]]="","PENDIENTE",TablaVentas[[#This Row],[Unidades]]*TablaVentas[[#This Row],[Precio_unitario]]*(1-TablaVentas[[#This Row],[Descuento_pct]]))</f>
        <v>18743.52</v>
      </c>
      <c r="P16" s="6" t="n">
        <f aca="false">IF(TablaVentas[[#This Row],[Costo_unitario]]="","PENDIENTE",TablaVentas[[#This Row],[Unidades]]*TablaVentas[[#This Row],[Costo_unitario]])</f>
        <v>10066.94</v>
      </c>
      <c r="Q16" s="6" t="n">
        <f aca="false">IF(OR(TablaVentas[[#This Row],[Ingreso_neto]]="PENDIENTE",TablaVentas[[#This Row],[Costo_total]]="PENDIENTE"),"PENDIENTE",TablaVentas[[#This Row],[Ingreso_neto]]-TablaVentas[[#This Row],[Costo_total]])</f>
        <v>8676.58</v>
      </c>
    </row>
    <row r="17" customFormat="false" ht="13.5" hidden="false" customHeight="false" outlineLevel="0" collapsed="false">
      <c r="A17" s="1" t="s">
        <v>86</v>
      </c>
      <c r="B17" s="1" t="n">
        <v>1</v>
      </c>
      <c r="C17" s="5" t="n">
        <v>46079</v>
      </c>
      <c r="D17" s="6" t="s">
        <v>87</v>
      </c>
      <c r="E17" s="6" t="s">
        <v>88</v>
      </c>
      <c r="F17" s="6" t="s">
        <v>73</v>
      </c>
      <c r="G17" s="6" t="s">
        <v>64</v>
      </c>
      <c r="H17" s="6" t="s">
        <v>89</v>
      </c>
      <c r="I17" s="1" t="n">
        <v>5</v>
      </c>
      <c r="J17" s="7" t="n">
        <v>16588.09</v>
      </c>
      <c r="K17" s="8" t="n">
        <v>0</v>
      </c>
      <c r="L17" s="7" t="n">
        <v>11614.87</v>
      </c>
      <c r="M17" s="6" t="s">
        <v>49</v>
      </c>
      <c r="N17" s="6" t="s">
        <v>67</v>
      </c>
      <c r="O17" s="6" t="n">
        <f aca="false">IF(TablaVentas[[#This Row],[Precio_unitario]]="","PENDIENTE",TablaVentas[[#This Row],[Unidades]]*TablaVentas[[#This Row],[Precio_unitario]]*(1-TablaVentas[[#This Row],[Descuento_pct]]))</f>
        <v>82940.45</v>
      </c>
      <c r="P17" s="6" t="n">
        <f aca="false">IF(TablaVentas[[#This Row],[Costo_unitario]]="","PENDIENTE",TablaVentas[[#This Row],[Unidades]]*TablaVentas[[#This Row],[Costo_unitario]])</f>
        <v>58074.35</v>
      </c>
      <c r="Q17" s="6" t="n">
        <f aca="false">IF(OR(TablaVentas[[#This Row],[Ingreso_neto]]="PENDIENTE",TablaVentas[[#This Row],[Costo_total]]="PENDIENTE"),"PENDIENTE",TablaVentas[[#This Row],[Ingreso_neto]]-TablaVentas[[#This Row],[Costo_total]])</f>
        <v>24866.1</v>
      </c>
    </row>
    <row r="18" customFormat="false" ht="13.5" hidden="false" customHeight="false" outlineLevel="0" collapsed="false">
      <c r="A18" s="1" t="s">
        <v>86</v>
      </c>
      <c r="B18" s="1" t="n">
        <v>2</v>
      </c>
      <c r="C18" s="5" t="n">
        <v>46079</v>
      </c>
      <c r="D18" s="6" t="s">
        <v>87</v>
      </c>
      <c r="E18" s="6" t="s">
        <v>90</v>
      </c>
      <c r="F18" s="6" t="s">
        <v>73</v>
      </c>
      <c r="G18" s="6" t="s">
        <v>64</v>
      </c>
      <c r="H18" s="6" t="s">
        <v>89</v>
      </c>
      <c r="I18" s="1" t="n">
        <v>1</v>
      </c>
      <c r="J18" s="7" t="n">
        <v>15467.25</v>
      </c>
      <c r="K18" s="8" t="n">
        <v>0.1</v>
      </c>
      <c r="L18" s="7" t="n">
        <v>12723.77</v>
      </c>
      <c r="M18" s="6" t="s">
        <v>49</v>
      </c>
      <c r="N18" s="6" t="s">
        <v>52</v>
      </c>
      <c r="O18" s="6" t="n">
        <f aca="false">IF(TablaVentas[[#This Row],[Precio_unitario]]="","PENDIENTE",TablaVentas[[#This Row],[Unidades]]*TablaVentas[[#This Row],[Precio_unitario]]*(1-TablaVentas[[#This Row],[Descuento_pct]]))</f>
        <v>13920.525</v>
      </c>
      <c r="P18" s="6" t="n">
        <f aca="false">IF(TablaVentas[[#This Row],[Costo_unitario]]="","PENDIENTE",TablaVentas[[#This Row],[Unidades]]*TablaVentas[[#This Row],[Costo_unitario]])</f>
        <v>12723.77</v>
      </c>
      <c r="Q18" s="6" t="n">
        <f aca="false">IF(OR(TablaVentas[[#This Row],[Ingreso_neto]]="PENDIENTE",TablaVentas[[#This Row],[Costo_total]]="PENDIENTE"),"PENDIENTE",TablaVentas[[#This Row],[Ingreso_neto]]-TablaVentas[[#This Row],[Costo_total]])</f>
        <v>1196.755</v>
      </c>
    </row>
    <row r="19" customFormat="false" ht="13.5" hidden="false" customHeight="false" outlineLevel="0" collapsed="false">
      <c r="A19" s="1" t="s">
        <v>86</v>
      </c>
      <c r="B19" s="1" t="n">
        <v>3</v>
      </c>
      <c r="C19" s="5" t="n">
        <v>46079</v>
      </c>
      <c r="D19" s="6" t="s">
        <v>87</v>
      </c>
      <c r="E19" s="6" t="s">
        <v>91</v>
      </c>
      <c r="F19" s="6" t="s">
        <v>73</v>
      </c>
      <c r="G19" s="6" t="s">
        <v>64</v>
      </c>
      <c r="H19" s="6" t="s">
        <v>89</v>
      </c>
      <c r="I19" s="1" t="n">
        <v>1</v>
      </c>
      <c r="J19" s="7" t="n">
        <v>16396.07</v>
      </c>
      <c r="K19" s="8" t="n">
        <v>0</v>
      </c>
      <c r="L19" s="7" t="n">
        <v>8576.05</v>
      </c>
      <c r="M19" s="6" t="s">
        <v>49</v>
      </c>
      <c r="N19" s="6" t="s">
        <v>50</v>
      </c>
      <c r="O19" s="6" t="n">
        <f aca="false">IF(TablaVentas[[#This Row],[Precio_unitario]]="","PENDIENTE",TablaVentas[[#This Row],[Unidades]]*TablaVentas[[#This Row],[Precio_unitario]]*(1-TablaVentas[[#This Row],[Descuento_pct]]))</f>
        <v>16396.07</v>
      </c>
      <c r="P19" s="6" t="n">
        <f aca="false">IF(TablaVentas[[#This Row],[Costo_unitario]]="","PENDIENTE",TablaVentas[[#This Row],[Unidades]]*TablaVentas[[#This Row],[Costo_unitario]])</f>
        <v>8576.05</v>
      </c>
      <c r="Q19" s="6" t="n">
        <f aca="false">IF(OR(TablaVentas[[#This Row],[Ingreso_neto]]="PENDIENTE",TablaVentas[[#This Row],[Costo_total]]="PENDIENTE"),"PENDIENTE",TablaVentas[[#This Row],[Ingreso_neto]]-TablaVentas[[#This Row],[Costo_total]])</f>
        <v>7820.02</v>
      </c>
    </row>
    <row r="20" customFormat="false" ht="13.5" hidden="false" customHeight="false" outlineLevel="0" collapsed="false">
      <c r="A20" s="1" t="s">
        <v>86</v>
      </c>
      <c r="B20" s="1" t="n">
        <v>4</v>
      </c>
      <c r="C20" s="5" t="n">
        <v>46079</v>
      </c>
      <c r="D20" s="6" t="s">
        <v>87</v>
      </c>
      <c r="E20" s="6" t="s">
        <v>92</v>
      </c>
      <c r="F20" s="6" t="s">
        <v>73</v>
      </c>
      <c r="G20" s="6" t="s">
        <v>64</v>
      </c>
      <c r="H20" s="6" t="s">
        <v>89</v>
      </c>
      <c r="I20" s="1" t="n">
        <v>1</v>
      </c>
      <c r="J20" s="7" t="n">
        <v>570.27</v>
      </c>
      <c r="K20" s="8" t="n">
        <v>0.1</v>
      </c>
      <c r="L20" s="7" t="n">
        <v>307.75</v>
      </c>
      <c r="M20" s="6" t="s">
        <v>49</v>
      </c>
      <c r="N20" s="6" t="s">
        <v>52</v>
      </c>
      <c r="O20" s="6" t="n">
        <f aca="false">IF(TablaVentas[[#This Row],[Precio_unitario]]="","PENDIENTE",TablaVentas[[#This Row],[Unidades]]*TablaVentas[[#This Row],[Precio_unitario]]*(1-TablaVentas[[#This Row],[Descuento_pct]]))</f>
        <v>513.243</v>
      </c>
      <c r="P20" s="6" t="n">
        <f aca="false">IF(TablaVentas[[#This Row],[Costo_unitario]]="","PENDIENTE",TablaVentas[[#This Row],[Unidades]]*TablaVentas[[#This Row],[Costo_unitario]])</f>
        <v>307.75</v>
      </c>
      <c r="Q20" s="6" t="n">
        <f aca="false">IF(OR(TablaVentas[[#This Row],[Ingreso_neto]]="PENDIENTE",TablaVentas[[#This Row],[Costo_total]]="PENDIENTE"),"PENDIENTE",TablaVentas[[#This Row],[Ingreso_neto]]-TablaVentas[[#This Row],[Costo_total]])</f>
        <v>205.493</v>
      </c>
    </row>
    <row r="21" customFormat="false" ht="13.5" hidden="false" customHeight="false" outlineLevel="0" collapsed="false">
      <c r="A21" s="1" t="s">
        <v>86</v>
      </c>
      <c r="B21" s="1" t="n">
        <v>5</v>
      </c>
      <c r="C21" s="5" t="n">
        <v>46079</v>
      </c>
      <c r="D21" s="6" t="s">
        <v>87</v>
      </c>
      <c r="E21" s="6" t="s">
        <v>93</v>
      </c>
      <c r="F21" s="6" t="s">
        <v>73</v>
      </c>
      <c r="G21" s="6" t="s">
        <v>64</v>
      </c>
      <c r="H21" s="6" t="s">
        <v>89</v>
      </c>
      <c r="I21" s="1" t="n">
        <v>3</v>
      </c>
      <c r="J21" s="7" t="n">
        <v>16160.21</v>
      </c>
      <c r="K21" s="8" t="n">
        <v>0.05</v>
      </c>
      <c r="L21" s="7" t="n">
        <v>11166.03</v>
      </c>
      <c r="M21" s="6" t="s">
        <v>49</v>
      </c>
      <c r="N21" s="6" t="s">
        <v>52</v>
      </c>
      <c r="O21" s="6" t="n">
        <f aca="false">IF(TablaVentas[[#This Row],[Precio_unitario]]="","PENDIENTE",TablaVentas[[#This Row],[Unidades]]*TablaVentas[[#This Row],[Precio_unitario]]*(1-TablaVentas[[#This Row],[Descuento_pct]]))</f>
        <v>46056.5985</v>
      </c>
      <c r="P21" s="6" t="n">
        <f aca="false">IF(TablaVentas[[#This Row],[Costo_unitario]]="","PENDIENTE",TablaVentas[[#This Row],[Unidades]]*TablaVentas[[#This Row],[Costo_unitario]])</f>
        <v>33498.09</v>
      </c>
      <c r="Q21" s="6" t="n">
        <f aca="false">IF(OR(TablaVentas[[#This Row],[Ingreso_neto]]="PENDIENTE",TablaVentas[[#This Row],[Costo_total]]="PENDIENTE"),"PENDIENTE",TablaVentas[[#This Row],[Ingreso_neto]]-TablaVentas[[#This Row],[Costo_total]])</f>
        <v>12558.5085</v>
      </c>
    </row>
    <row r="22" customFormat="false" ht="13.5" hidden="false" customHeight="false" outlineLevel="0" collapsed="false">
      <c r="A22" s="1" t="s">
        <v>94</v>
      </c>
      <c r="B22" s="1" t="n">
        <v>1</v>
      </c>
      <c r="C22" s="5" t="n">
        <v>46044</v>
      </c>
      <c r="D22" s="6" t="s">
        <v>95</v>
      </c>
      <c r="E22" s="6" t="s">
        <v>96</v>
      </c>
      <c r="F22" s="6" t="s">
        <v>73</v>
      </c>
      <c r="G22" s="6" t="s">
        <v>47</v>
      </c>
      <c r="H22" s="6" t="s">
        <v>89</v>
      </c>
      <c r="I22" s="1" t="n">
        <v>1</v>
      </c>
      <c r="J22" s="7" t="n">
        <v>12446.27</v>
      </c>
      <c r="K22" s="8" t="n">
        <v>0.15</v>
      </c>
      <c r="L22" s="7" t="n">
        <v>9118.07</v>
      </c>
      <c r="M22" s="6" t="s">
        <v>49</v>
      </c>
      <c r="N22" s="6" t="s">
        <v>52</v>
      </c>
      <c r="O22" s="6" t="n">
        <f aca="false">IF(TablaVentas[[#This Row],[Precio_unitario]]="","PENDIENTE",TablaVentas[[#This Row],[Unidades]]*TablaVentas[[#This Row],[Precio_unitario]]*(1-TablaVentas[[#This Row],[Descuento_pct]]))</f>
        <v>10579.3295</v>
      </c>
      <c r="P22" s="6" t="n">
        <f aca="false">IF(TablaVentas[[#This Row],[Costo_unitario]]="","PENDIENTE",TablaVentas[[#This Row],[Unidades]]*TablaVentas[[#This Row],[Costo_unitario]])</f>
        <v>9118.07</v>
      </c>
      <c r="Q22" s="6" t="n">
        <f aca="false">IF(OR(TablaVentas[[#This Row],[Ingreso_neto]]="PENDIENTE",TablaVentas[[#This Row],[Costo_total]]="PENDIENTE"),"PENDIENTE",TablaVentas[[#This Row],[Ingreso_neto]]-TablaVentas[[#This Row],[Costo_total]])</f>
        <v>1461.2595</v>
      </c>
    </row>
    <row r="23" customFormat="false" ht="13.5" hidden="false" customHeight="false" outlineLevel="0" collapsed="false">
      <c r="A23" s="1" t="s">
        <v>94</v>
      </c>
      <c r="B23" s="1" t="n">
        <v>2</v>
      </c>
      <c r="C23" s="5" t="n">
        <v>46044</v>
      </c>
      <c r="D23" s="6" t="s">
        <v>95</v>
      </c>
      <c r="E23" s="6" t="s">
        <v>97</v>
      </c>
      <c r="F23" s="6" t="s">
        <v>73</v>
      </c>
      <c r="G23" s="6" t="s">
        <v>47</v>
      </c>
      <c r="H23" s="6" t="s">
        <v>89</v>
      </c>
      <c r="I23" s="1" t="n">
        <v>1</v>
      </c>
      <c r="J23" s="7" t="n">
        <v>11181</v>
      </c>
      <c r="K23" s="8" t="n">
        <v>0.05</v>
      </c>
      <c r="L23" s="7" t="n">
        <v>8174.87</v>
      </c>
      <c r="M23" s="6" t="s">
        <v>49</v>
      </c>
      <c r="N23" s="6" t="s">
        <v>59</v>
      </c>
      <c r="O23" s="6" t="n">
        <f aca="false">IF(TablaVentas[[#This Row],[Precio_unitario]]="","PENDIENTE",TablaVentas[[#This Row],[Unidades]]*TablaVentas[[#This Row],[Precio_unitario]]*(1-TablaVentas[[#This Row],[Descuento_pct]]))</f>
        <v>10621.95</v>
      </c>
      <c r="P23" s="6" t="n">
        <f aca="false">IF(TablaVentas[[#This Row],[Costo_unitario]]="","PENDIENTE",TablaVentas[[#This Row],[Unidades]]*TablaVentas[[#This Row],[Costo_unitario]])</f>
        <v>8174.87</v>
      </c>
      <c r="Q23" s="6" t="n">
        <f aca="false">IF(OR(TablaVentas[[#This Row],[Ingreso_neto]]="PENDIENTE",TablaVentas[[#This Row],[Costo_total]]="PENDIENTE"),"PENDIENTE",TablaVentas[[#This Row],[Ingreso_neto]]-TablaVentas[[#This Row],[Costo_total]])</f>
        <v>2447.08</v>
      </c>
    </row>
    <row r="24" customFormat="false" ht="13.5" hidden="false" customHeight="false" outlineLevel="0" collapsed="false">
      <c r="A24" s="1" t="s">
        <v>98</v>
      </c>
      <c r="B24" s="1" t="n">
        <v>1</v>
      </c>
      <c r="C24" s="5" t="n">
        <v>46080</v>
      </c>
      <c r="D24" s="6" t="s">
        <v>99</v>
      </c>
      <c r="E24" s="6" t="s">
        <v>100</v>
      </c>
      <c r="F24" s="6" t="s">
        <v>84</v>
      </c>
      <c r="G24" s="6" t="s">
        <v>47</v>
      </c>
      <c r="H24" s="6" t="s">
        <v>89</v>
      </c>
      <c r="I24" s="1" t="n">
        <v>5</v>
      </c>
      <c r="J24" s="7" t="n">
        <v>15056.12</v>
      </c>
      <c r="K24" s="8" t="n">
        <v>0</v>
      </c>
      <c r="L24" s="7" t="n">
        <v>8788.79</v>
      </c>
      <c r="M24" s="6" t="s">
        <v>49</v>
      </c>
      <c r="N24" s="6" t="s">
        <v>67</v>
      </c>
      <c r="O24" s="6" t="n">
        <f aca="false">IF(TablaVentas[[#This Row],[Precio_unitario]]="","PENDIENTE",TablaVentas[[#This Row],[Unidades]]*TablaVentas[[#This Row],[Precio_unitario]]*(1-TablaVentas[[#This Row],[Descuento_pct]]))</f>
        <v>75280.6</v>
      </c>
      <c r="P24" s="6" t="n">
        <f aca="false">IF(TablaVentas[[#This Row],[Costo_unitario]]="","PENDIENTE",TablaVentas[[#This Row],[Unidades]]*TablaVentas[[#This Row],[Costo_unitario]])</f>
        <v>43943.95</v>
      </c>
      <c r="Q24" s="6" t="n">
        <f aca="false">IF(OR(TablaVentas[[#This Row],[Ingreso_neto]]="PENDIENTE",TablaVentas[[#This Row],[Costo_total]]="PENDIENTE"),"PENDIENTE",TablaVentas[[#This Row],[Ingreso_neto]]-TablaVentas[[#This Row],[Costo_total]])</f>
        <v>31336.65</v>
      </c>
    </row>
    <row r="25" customFormat="false" ht="13.5" hidden="false" customHeight="false" outlineLevel="0" collapsed="false">
      <c r="A25" s="1" t="s">
        <v>98</v>
      </c>
      <c r="B25" s="1" t="n">
        <v>2</v>
      </c>
      <c r="C25" s="5" t="n">
        <v>46080</v>
      </c>
      <c r="D25" s="6" t="s">
        <v>99</v>
      </c>
      <c r="E25" s="6" t="s">
        <v>101</v>
      </c>
      <c r="F25" s="6" t="s">
        <v>84</v>
      </c>
      <c r="G25" s="6" t="s">
        <v>47</v>
      </c>
      <c r="H25" s="6" t="s">
        <v>89</v>
      </c>
      <c r="I25" s="1" t="n">
        <v>2</v>
      </c>
      <c r="J25" s="7" t="n">
        <v>7487.29</v>
      </c>
      <c r="K25" s="8" t="n">
        <v>0.2</v>
      </c>
      <c r="L25" s="7" t="n">
        <v>4538.06</v>
      </c>
      <c r="M25" s="6" t="s">
        <v>49</v>
      </c>
      <c r="N25" s="6" t="s">
        <v>52</v>
      </c>
      <c r="O25" s="6" t="n">
        <f aca="false">IF(TablaVentas[[#This Row],[Precio_unitario]]="","PENDIENTE",TablaVentas[[#This Row],[Unidades]]*TablaVentas[[#This Row],[Precio_unitario]]*(1-TablaVentas[[#This Row],[Descuento_pct]]))</f>
        <v>11979.664</v>
      </c>
      <c r="P25" s="6" t="n">
        <f aca="false">IF(TablaVentas[[#This Row],[Costo_unitario]]="","PENDIENTE",TablaVentas[[#This Row],[Unidades]]*TablaVentas[[#This Row],[Costo_unitario]])</f>
        <v>9076.12</v>
      </c>
      <c r="Q25" s="6" t="n">
        <f aca="false">IF(OR(TablaVentas[[#This Row],[Ingreso_neto]]="PENDIENTE",TablaVentas[[#This Row],[Costo_total]]="PENDIENTE"),"PENDIENTE",TablaVentas[[#This Row],[Ingreso_neto]]-TablaVentas[[#This Row],[Costo_total]])</f>
        <v>2903.544</v>
      </c>
    </row>
    <row r="26" customFormat="false" ht="13.5" hidden="false" customHeight="false" outlineLevel="0" collapsed="false">
      <c r="A26" s="1" t="s">
        <v>102</v>
      </c>
      <c r="B26" s="1" t="n">
        <v>1</v>
      </c>
      <c r="C26" s="5" t="n">
        <v>46147</v>
      </c>
      <c r="D26" s="6" t="s">
        <v>103</v>
      </c>
      <c r="E26" s="6" t="s">
        <v>104</v>
      </c>
      <c r="F26" s="6" t="s">
        <v>73</v>
      </c>
      <c r="G26" s="6" t="s">
        <v>64</v>
      </c>
      <c r="H26" s="6" t="s">
        <v>58</v>
      </c>
      <c r="I26" s="1" t="n">
        <v>1</v>
      </c>
      <c r="J26" s="7" t="n">
        <v>13907.16</v>
      </c>
      <c r="K26" s="8" t="n">
        <v>0</v>
      </c>
      <c r="L26" s="7" t="n">
        <v>11424.77</v>
      </c>
      <c r="M26" s="6" t="s">
        <v>49</v>
      </c>
      <c r="N26" s="6" t="s">
        <v>67</v>
      </c>
      <c r="O26" s="6" t="n">
        <f aca="false">IF(TablaVentas[[#This Row],[Precio_unitario]]="","PENDIENTE",TablaVentas[[#This Row],[Unidades]]*TablaVentas[[#This Row],[Precio_unitario]]*(1-TablaVentas[[#This Row],[Descuento_pct]]))</f>
        <v>13907.16</v>
      </c>
      <c r="P26" s="6" t="n">
        <f aca="false">IF(TablaVentas[[#This Row],[Costo_unitario]]="","PENDIENTE",TablaVentas[[#This Row],[Unidades]]*TablaVentas[[#This Row],[Costo_unitario]])</f>
        <v>11424.77</v>
      </c>
      <c r="Q26" s="6" t="n">
        <f aca="false">IF(OR(TablaVentas[[#This Row],[Ingreso_neto]]="PENDIENTE",TablaVentas[[#This Row],[Costo_total]]="PENDIENTE"),"PENDIENTE",TablaVentas[[#This Row],[Ingreso_neto]]-TablaVentas[[#This Row],[Costo_total]])</f>
        <v>2482.39</v>
      </c>
    </row>
    <row r="27" customFormat="false" ht="13.5" hidden="false" customHeight="false" outlineLevel="0" collapsed="false">
      <c r="A27" s="1" t="s">
        <v>102</v>
      </c>
      <c r="B27" s="1" t="n">
        <v>2</v>
      </c>
      <c r="C27" s="5" t="n">
        <v>46147</v>
      </c>
      <c r="D27" s="6" t="s">
        <v>103</v>
      </c>
      <c r="E27" s="6" t="s">
        <v>105</v>
      </c>
      <c r="F27" s="6" t="s">
        <v>73</v>
      </c>
      <c r="G27" s="6" t="s">
        <v>64</v>
      </c>
      <c r="H27" s="6" t="s">
        <v>58</v>
      </c>
      <c r="I27" s="1" t="n">
        <v>1</v>
      </c>
      <c r="J27" s="7" t="n">
        <v>18603.27</v>
      </c>
      <c r="K27" s="8" t="n">
        <v>0</v>
      </c>
      <c r="L27" s="7" t="n">
        <v>9881</v>
      </c>
      <c r="M27" s="6" t="s">
        <v>49</v>
      </c>
      <c r="N27" s="6" t="s">
        <v>52</v>
      </c>
      <c r="O27" s="6" t="n">
        <f aca="false">IF(TablaVentas[[#This Row],[Precio_unitario]]="","PENDIENTE",TablaVentas[[#This Row],[Unidades]]*TablaVentas[[#This Row],[Precio_unitario]]*(1-TablaVentas[[#This Row],[Descuento_pct]]))</f>
        <v>18603.27</v>
      </c>
      <c r="P27" s="6" t="n">
        <f aca="false">IF(TablaVentas[[#This Row],[Costo_unitario]]="","PENDIENTE",TablaVentas[[#This Row],[Unidades]]*TablaVentas[[#This Row],[Costo_unitario]])</f>
        <v>9881</v>
      </c>
      <c r="Q27" s="6" t="n">
        <f aca="false">IF(OR(TablaVentas[[#This Row],[Ingreso_neto]]="PENDIENTE",TablaVentas[[#This Row],[Costo_total]]="PENDIENTE"),"PENDIENTE",TablaVentas[[#This Row],[Ingreso_neto]]-TablaVentas[[#This Row],[Costo_total]])</f>
        <v>8722.27</v>
      </c>
    </row>
    <row r="28" customFormat="false" ht="13.5" hidden="false" customHeight="false" outlineLevel="0" collapsed="false">
      <c r="A28" s="1" t="s">
        <v>106</v>
      </c>
      <c r="B28" s="1" t="n">
        <v>1</v>
      </c>
      <c r="C28" s="5" t="n">
        <v>46134</v>
      </c>
      <c r="D28" s="6" t="s">
        <v>107</v>
      </c>
      <c r="E28" s="6" t="s">
        <v>108</v>
      </c>
      <c r="F28" s="6" t="s">
        <v>73</v>
      </c>
      <c r="G28" s="6" t="s">
        <v>64</v>
      </c>
      <c r="H28" s="6" t="s">
        <v>109</v>
      </c>
      <c r="I28" s="1" t="n">
        <v>1</v>
      </c>
      <c r="J28" s="7" t="n">
        <v>4652.96</v>
      </c>
      <c r="K28" s="8" t="n">
        <v>0.1</v>
      </c>
      <c r="L28" s="7" t="n">
        <v>2865.24</v>
      </c>
      <c r="M28" s="6" t="s">
        <v>49</v>
      </c>
      <c r="N28" s="6" t="s">
        <v>50</v>
      </c>
      <c r="O28" s="6" t="n">
        <f aca="false">IF(TablaVentas[[#This Row],[Precio_unitario]]="","PENDIENTE",TablaVentas[[#This Row],[Unidades]]*TablaVentas[[#This Row],[Precio_unitario]]*(1-TablaVentas[[#This Row],[Descuento_pct]]))</f>
        <v>4187.664</v>
      </c>
      <c r="P28" s="6" t="n">
        <f aca="false">IF(TablaVentas[[#This Row],[Costo_unitario]]="","PENDIENTE",TablaVentas[[#This Row],[Unidades]]*TablaVentas[[#This Row],[Costo_unitario]])</f>
        <v>2865.24</v>
      </c>
      <c r="Q28" s="6" t="n">
        <f aca="false">IF(OR(TablaVentas[[#This Row],[Ingreso_neto]]="PENDIENTE",TablaVentas[[#This Row],[Costo_total]]="PENDIENTE"),"PENDIENTE",TablaVentas[[#This Row],[Ingreso_neto]]-TablaVentas[[#This Row],[Costo_total]])</f>
        <v>1322.424</v>
      </c>
    </row>
    <row r="29" customFormat="false" ht="13.5" hidden="false" customHeight="false" outlineLevel="0" collapsed="false">
      <c r="A29" s="1" t="s">
        <v>106</v>
      </c>
      <c r="B29" s="1" t="n">
        <v>2</v>
      </c>
      <c r="C29" s="5" t="n">
        <v>46134</v>
      </c>
      <c r="D29" s="6" t="s">
        <v>107</v>
      </c>
      <c r="E29" s="6" t="s">
        <v>110</v>
      </c>
      <c r="F29" s="6" t="s">
        <v>73</v>
      </c>
      <c r="G29" s="6" t="s">
        <v>64</v>
      </c>
      <c r="H29" s="6" t="s">
        <v>109</v>
      </c>
      <c r="I29" s="1" t="n">
        <v>2</v>
      </c>
      <c r="J29" s="7" t="n">
        <v>12114.79</v>
      </c>
      <c r="K29" s="8" t="n">
        <v>0</v>
      </c>
      <c r="L29" s="7" t="n">
        <v>7549.71</v>
      </c>
      <c r="M29" s="6" t="s">
        <v>49</v>
      </c>
      <c r="N29" s="6" t="s">
        <v>59</v>
      </c>
      <c r="O29" s="6" t="n">
        <f aca="false">IF(TablaVentas[[#This Row],[Precio_unitario]]="","PENDIENTE",TablaVentas[[#This Row],[Unidades]]*TablaVentas[[#This Row],[Precio_unitario]]*(1-TablaVentas[[#This Row],[Descuento_pct]]))</f>
        <v>24229.58</v>
      </c>
      <c r="P29" s="6" t="n">
        <f aca="false">IF(TablaVentas[[#This Row],[Costo_unitario]]="","PENDIENTE",TablaVentas[[#This Row],[Unidades]]*TablaVentas[[#This Row],[Costo_unitario]])</f>
        <v>15099.42</v>
      </c>
      <c r="Q29" s="6" t="n">
        <f aca="false">IF(OR(TablaVentas[[#This Row],[Ingreso_neto]]="PENDIENTE",TablaVentas[[#This Row],[Costo_total]]="PENDIENTE"),"PENDIENTE",TablaVentas[[#This Row],[Ingreso_neto]]-TablaVentas[[#This Row],[Costo_total]])</f>
        <v>9130.16</v>
      </c>
    </row>
    <row r="30" customFormat="false" ht="13.5" hidden="false" customHeight="false" outlineLevel="0" collapsed="false">
      <c r="A30" s="1" t="s">
        <v>106</v>
      </c>
      <c r="B30" s="1" t="n">
        <v>3</v>
      </c>
      <c r="C30" s="5" t="n">
        <v>46134</v>
      </c>
      <c r="D30" s="6" t="s">
        <v>107</v>
      </c>
      <c r="E30" s="6" t="s">
        <v>75</v>
      </c>
      <c r="F30" s="6" t="s">
        <v>73</v>
      </c>
      <c r="G30" s="6" t="s">
        <v>64</v>
      </c>
      <c r="H30" s="6" t="s">
        <v>109</v>
      </c>
      <c r="I30" s="1" t="n">
        <v>1</v>
      </c>
      <c r="J30" s="7" t="n">
        <v>14448.74</v>
      </c>
      <c r="K30" s="8" t="n">
        <v>0</v>
      </c>
      <c r="L30" s="7" t="n">
        <v>9243.35</v>
      </c>
      <c r="M30" s="6" t="s">
        <v>49</v>
      </c>
      <c r="N30" s="6" t="s">
        <v>52</v>
      </c>
      <c r="O30" s="6" t="n">
        <f aca="false">IF(TablaVentas[[#This Row],[Precio_unitario]]="","PENDIENTE",TablaVentas[[#This Row],[Unidades]]*TablaVentas[[#This Row],[Precio_unitario]]*(1-TablaVentas[[#This Row],[Descuento_pct]]))</f>
        <v>14448.74</v>
      </c>
      <c r="P30" s="6" t="n">
        <f aca="false">IF(TablaVentas[[#This Row],[Costo_unitario]]="","PENDIENTE",TablaVentas[[#This Row],[Unidades]]*TablaVentas[[#This Row],[Costo_unitario]])</f>
        <v>9243.35</v>
      </c>
      <c r="Q30" s="6" t="n">
        <f aca="false">IF(OR(TablaVentas[[#This Row],[Ingreso_neto]]="PENDIENTE",TablaVentas[[#This Row],[Costo_total]]="PENDIENTE"),"PENDIENTE",TablaVentas[[#This Row],[Ingreso_neto]]-TablaVentas[[#This Row],[Costo_total]])</f>
        <v>5205.39</v>
      </c>
    </row>
    <row r="31" customFormat="false" ht="13.5" hidden="false" customHeight="false" outlineLevel="0" collapsed="false">
      <c r="A31" s="1" t="s">
        <v>111</v>
      </c>
      <c r="B31" s="1" t="n">
        <v>1</v>
      </c>
      <c r="C31" s="5" t="n">
        <v>46175</v>
      </c>
      <c r="D31" s="6" t="s">
        <v>112</v>
      </c>
      <c r="E31" s="6" t="s">
        <v>113</v>
      </c>
      <c r="F31" s="6" t="s">
        <v>63</v>
      </c>
      <c r="G31" s="6" t="s">
        <v>64</v>
      </c>
      <c r="H31" s="6" t="s">
        <v>89</v>
      </c>
      <c r="I31" s="1" t="n">
        <v>1</v>
      </c>
      <c r="J31" s="7" t="n">
        <v>10820.52</v>
      </c>
      <c r="K31" s="8" t="n">
        <v>0.15</v>
      </c>
      <c r="L31" s="7" t="n">
        <v>8276.74</v>
      </c>
      <c r="M31" s="6" t="s">
        <v>49</v>
      </c>
      <c r="N31" s="6" t="s">
        <v>67</v>
      </c>
      <c r="O31" s="6" t="n">
        <f aca="false">IF(TablaVentas[[#This Row],[Precio_unitario]]="","PENDIENTE",TablaVentas[[#This Row],[Unidades]]*TablaVentas[[#This Row],[Precio_unitario]]*(1-TablaVentas[[#This Row],[Descuento_pct]]))</f>
        <v>9197.442</v>
      </c>
      <c r="P31" s="6" t="n">
        <f aca="false">IF(TablaVentas[[#This Row],[Costo_unitario]]="","PENDIENTE",TablaVentas[[#This Row],[Unidades]]*TablaVentas[[#This Row],[Costo_unitario]])</f>
        <v>8276.74</v>
      </c>
      <c r="Q31" s="6" t="n">
        <f aca="false">IF(OR(TablaVentas[[#This Row],[Ingreso_neto]]="PENDIENTE",TablaVentas[[#This Row],[Costo_total]]="PENDIENTE"),"PENDIENTE",TablaVentas[[#This Row],[Ingreso_neto]]-TablaVentas[[#This Row],[Costo_total]])</f>
        <v>920.702000000001</v>
      </c>
    </row>
    <row r="32" customFormat="false" ht="13.5" hidden="false" customHeight="false" outlineLevel="0" collapsed="false">
      <c r="A32" s="1" t="s">
        <v>114</v>
      </c>
      <c r="B32" s="1" t="n">
        <v>1</v>
      </c>
      <c r="C32" s="5" t="n">
        <v>46035</v>
      </c>
      <c r="D32" s="6" t="s">
        <v>115</v>
      </c>
      <c r="E32" s="6" t="s">
        <v>116</v>
      </c>
      <c r="F32" s="6" t="s">
        <v>63</v>
      </c>
      <c r="G32" s="6" t="s">
        <v>64</v>
      </c>
      <c r="H32" s="6" t="s">
        <v>109</v>
      </c>
      <c r="I32" s="1" t="n">
        <v>1</v>
      </c>
      <c r="J32" s="7" t="n">
        <v>13700.69</v>
      </c>
      <c r="K32" s="8" t="n">
        <v>0.15</v>
      </c>
      <c r="L32" s="7" t="n">
        <v>9880.77</v>
      </c>
      <c r="M32" s="6" t="s">
        <v>49</v>
      </c>
      <c r="N32" s="6" t="s">
        <v>52</v>
      </c>
      <c r="O32" s="6" t="n">
        <f aca="false">IF(TablaVentas[[#This Row],[Precio_unitario]]="","PENDIENTE",TablaVentas[[#This Row],[Unidades]]*TablaVentas[[#This Row],[Precio_unitario]]*(1-TablaVentas[[#This Row],[Descuento_pct]]))</f>
        <v>11645.5865</v>
      </c>
      <c r="P32" s="6" t="n">
        <f aca="false">IF(TablaVentas[[#This Row],[Costo_unitario]]="","PENDIENTE",TablaVentas[[#This Row],[Unidades]]*TablaVentas[[#This Row],[Costo_unitario]])</f>
        <v>9880.77</v>
      </c>
      <c r="Q32" s="6" t="n">
        <f aca="false">IF(OR(TablaVentas[[#This Row],[Ingreso_neto]]="PENDIENTE",TablaVentas[[#This Row],[Costo_total]]="PENDIENTE"),"PENDIENTE",TablaVentas[[#This Row],[Ingreso_neto]]-TablaVentas[[#This Row],[Costo_total]])</f>
        <v>1764.8165</v>
      </c>
    </row>
    <row r="33" customFormat="false" ht="13.5" hidden="false" customHeight="false" outlineLevel="0" collapsed="false">
      <c r="A33" s="1" t="s">
        <v>114</v>
      </c>
      <c r="B33" s="1" t="n">
        <v>2</v>
      </c>
      <c r="C33" s="5" t="n">
        <v>46035</v>
      </c>
      <c r="D33" s="6" t="s">
        <v>115</v>
      </c>
      <c r="E33" s="6" t="s">
        <v>117</v>
      </c>
      <c r="F33" s="6" t="s">
        <v>63</v>
      </c>
      <c r="G33" s="6" t="s">
        <v>64</v>
      </c>
      <c r="H33" s="6" t="s">
        <v>109</v>
      </c>
      <c r="I33" s="1" t="n">
        <v>1</v>
      </c>
      <c r="J33" s="7" t="n">
        <v>5371.47</v>
      </c>
      <c r="K33" s="8" t="n">
        <v>0</v>
      </c>
      <c r="L33" s="7" t="n">
        <v>4205.69</v>
      </c>
      <c r="M33" s="6" t="s">
        <v>49</v>
      </c>
      <c r="N33" s="6" t="s">
        <v>67</v>
      </c>
      <c r="O33" s="6" t="n">
        <f aca="false">IF(TablaVentas[[#This Row],[Precio_unitario]]="","PENDIENTE",TablaVentas[[#This Row],[Unidades]]*TablaVentas[[#This Row],[Precio_unitario]]*(1-TablaVentas[[#This Row],[Descuento_pct]]))</f>
        <v>5371.47</v>
      </c>
      <c r="P33" s="6" t="n">
        <f aca="false">IF(TablaVentas[[#This Row],[Costo_unitario]]="","PENDIENTE",TablaVentas[[#This Row],[Unidades]]*TablaVentas[[#This Row],[Costo_unitario]])</f>
        <v>4205.69</v>
      </c>
      <c r="Q33" s="6" t="n">
        <f aca="false">IF(OR(TablaVentas[[#This Row],[Ingreso_neto]]="PENDIENTE",TablaVentas[[#This Row],[Costo_total]]="PENDIENTE"),"PENDIENTE",TablaVentas[[#This Row],[Ingreso_neto]]-TablaVentas[[#This Row],[Costo_total]])</f>
        <v>1165.78</v>
      </c>
    </row>
    <row r="34" customFormat="false" ht="13.5" hidden="false" customHeight="false" outlineLevel="0" collapsed="false">
      <c r="A34" s="1" t="s">
        <v>114</v>
      </c>
      <c r="B34" s="1" t="n">
        <v>3</v>
      </c>
      <c r="C34" s="5" t="n">
        <v>46035</v>
      </c>
      <c r="D34" s="6" t="s">
        <v>115</v>
      </c>
      <c r="E34" s="6" t="s">
        <v>93</v>
      </c>
      <c r="F34" s="6" t="s">
        <v>63</v>
      </c>
      <c r="G34" s="6" t="s">
        <v>64</v>
      </c>
      <c r="H34" s="6" t="s">
        <v>109</v>
      </c>
      <c r="I34" s="1" t="n">
        <v>1</v>
      </c>
      <c r="J34" s="7" t="n">
        <v>14432.05</v>
      </c>
      <c r="K34" s="8" t="n">
        <v>0</v>
      </c>
      <c r="L34" s="7" t="n">
        <v>11166.03</v>
      </c>
      <c r="M34" s="6" t="s">
        <v>49</v>
      </c>
      <c r="N34" s="6" t="s">
        <v>52</v>
      </c>
      <c r="O34" s="6" t="n">
        <f aca="false">IF(TablaVentas[[#This Row],[Precio_unitario]]="","PENDIENTE",TablaVentas[[#This Row],[Unidades]]*TablaVentas[[#This Row],[Precio_unitario]]*(1-TablaVentas[[#This Row],[Descuento_pct]]))</f>
        <v>14432.05</v>
      </c>
      <c r="P34" s="6" t="n">
        <f aca="false">IF(TablaVentas[[#This Row],[Costo_unitario]]="","PENDIENTE",TablaVentas[[#This Row],[Unidades]]*TablaVentas[[#This Row],[Costo_unitario]])</f>
        <v>11166.03</v>
      </c>
      <c r="Q34" s="6" t="n">
        <f aca="false">IF(OR(TablaVentas[[#This Row],[Ingreso_neto]]="PENDIENTE",TablaVentas[[#This Row],[Costo_total]]="PENDIENTE"),"PENDIENTE",TablaVentas[[#This Row],[Ingreso_neto]]-TablaVentas[[#This Row],[Costo_total]])</f>
        <v>3266.02</v>
      </c>
    </row>
    <row r="35" customFormat="false" ht="13.5" hidden="false" customHeight="false" outlineLevel="0" collapsed="false">
      <c r="A35" s="1" t="s">
        <v>118</v>
      </c>
      <c r="B35" s="1" t="n">
        <v>1</v>
      </c>
      <c r="C35" s="5" t="n">
        <v>46225</v>
      </c>
      <c r="D35" s="6" t="s">
        <v>119</v>
      </c>
      <c r="E35" s="6" t="s">
        <v>120</v>
      </c>
      <c r="F35" s="6" t="s">
        <v>73</v>
      </c>
      <c r="G35" s="6" t="s">
        <v>57</v>
      </c>
      <c r="H35" s="6" t="s">
        <v>74</v>
      </c>
      <c r="I35" s="1" t="n">
        <v>5</v>
      </c>
      <c r="J35" s="7" t="n">
        <v>3249.08</v>
      </c>
      <c r="K35" s="8" t="n">
        <v>0</v>
      </c>
      <c r="L35" s="7" t="n">
        <v>2196.34</v>
      </c>
      <c r="M35" s="6" t="s">
        <v>49</v>
      </c>
      <c r="N35" s="6" t="s">
        <v>52</v>
      </c>
      <c r="O35" s="6" t="n">
        <f aca="false">IF(TablaVentas[[#This Row],[Precio_unitario]]="","PENDIENTE",TablaVentas[[#This Row],[Unidades]]*TablaVentas[[#This Row],[Precio_unitario]]*(1-TablaVentas[[#This Row],[Descuento_pct]]))</f>
        <v>16245.4</v>
      </c>
      <c r="P35" s="6" t="n">
        <f aca="false">IF(TablaVentas[[#This Row],[Costo_unitario]]="","PENDIENTE",TablaVentas[[#This Row],[Unidades]]*TablaVentas[[#This Row],[Costo_unitario]])</f>
        <v>10981.7</v>
      </c>
      <c r="Q35" s="6" t="n">
        <f aca="false">IF(OR(TablaVentas[[#This Row],[Ingreso_neto]]="PENDIENTE",TablaVentas[[#This Row],[Costo_total]]="PENDIENTE"),"PENDIENTE",TablaVentas[[#This Row],[Ingreso_neto]]-TablaVentas[[#This Row],[Costo_total]])</f>
        <v>5263.7</v>
      </c>
    </row>
    <row r="36" customFormat="false" ht="13.5" hidden="false" customHeight="false" outlineLevel="0" collapsed="false">
      <c r="A36" s="1" t="s">
        <v>118</v>
      </c>
      <c r="B36" s="1" t="n">
        <v>2</v>
      </c>
      <c r="C36" s="5" t="n">
        <v>46225</v>
      </c>
      <c r="D36" s="6" t="s">
        <v>119</v>
      </c>
      <c r="E36" s="6" t="s">
        <v>121</v>
      </c>
      <c r="F36" s="6" t="s">
        <v>73</v>
      </c>
      <c r="G36" s="6" t="s">
        <v>57</v>
      </c>
      <c r="H36" s="6" t="s">
        <v>74</v>
      </c>
      <c r="I36" s="1" t="n">
        <v>2</v>
      </c>
      <c r="J36" s="7" t="n">
        <v>15238.49</v>
      </c>
      <c r="K36" s="8" t="n">
        <v>0</v>
      </c>
      <c r="L36" s="7" t="n">
        <v>8239.48</v>
      </c>
      <c r="M36" s="6" t="s">
        <v>49</v>
      </c>
      <c r="N36" s="6" t="s">
        <v>50</v>
      </c>
      <c r="O36" s="6" t="n">
        <f aca="false">IF(TablaVentas[[#This Row],[Precio_unitario]]="","PENDIENTE",TablaVentas[[#This Row],[Unidades]]*TablaVentas[[#This Row],[Precio_unitario]]*(1-TablaVentas[[#This Row],[Descuento_pct]]))</f>
        <v>30476.98</v>
      </c>
      <c r="P36" s="6" t="n">
        <f aca="false">IF(TablaVentas[[#This Row],[Costo_unitario]]="","PENDIENTE",TablaVentas[[#This Row],[Unidades]]*TablaVentas[[#This Row],[Costo_unitario]])</f>
        <v>16478.96</v>
      </c>
      <c r="Q36" s="6" t="n">
        <f aca="false">IF(OR(TablaVentas[[#This Row],[Ingreso_neto]]="PENDIENTE",TablaVentas[[#This Row],[Costo_total]]="PENDIENTE"),"PENDIENTE",TablaVentas[[#This Row],[Ingreso_neto]]-TablaVentas[[#This Row],[Costo_total]])</f>
        <v>13998.02</v>
      </c>
    </row>
    <row r="37" customFormat="false" ht="13.5" hidden="false" customHeight="false" outlineLevel="0" collapsed="false">
      <c r="A37" s="1" t="s">
        <v>118</v>
      </c>
      <c r="B37" s="1" t="n">
        <v>3</v>
      </c>
      <c r="C37" s="5" t="n">
        <v>46225</v>
      </c>
      <c r="D37" s="6" t="s">
        <v>119</v>
      </c>
      <c r="E37" s="6" t="s">
        <v>122</v>
      </c>
      <c r="F37" s="6" t="s">
        <v>73</v>
      </c>
      <c r="G37" s="6" t="s">
        <v>57</v>
      </c>
      <c r="H37" s="6" t="s">
        <v>74</v>
      </c>
      <c r="I37" s="1" t="n">
        <v>1</v>
      </c>
      <c r="J37" s="7" t="n">
        <v>1455.75</v>
      </c>
      <c r="K37" s="8" t="n">
        <v>0</v>
      </c>
      <c r="L37" s="7" t="n">
        <v>705.87</v>
      </c>
      <c r="M37" s="6" t="s">
        <v>123</v>
      </c>
      <c r="N37" s="6" t="s">
        <v>52</v>
      </c>
      <c r="O37" s="6" t="n">
        <f aca="false">IF(TablaVentas[[#This Row],[Precio_unitario]]="","PENDIENTE",TablaVentas[[#This Row],[Unidades]]*TablaVentas[[#This Row],[Precio_unitario]]*(1-TablaVentas[[#This Row],[Descuento_pct]]))</f>
        <v>1455.75</v>
      </c>
      <c r="P37" s="6" t="n">
        <f aca="false">IF(TablaVentas[[#This Row],[Costo_unitario]]="","PENDIENTE",TablaVentas[[#This Row],[Unidades]]*TablaVentas[[#This Row],[Costo_unitario]])</f>
        <v>705.87</v>
      </c>
      <c r="Q37" s="6" t="n">
        <f aca="false">IF(OR(TablaVentas[[#This Row],[Ingreso_neto]]="PENDIENTE",TablaVentas[[#This Row],[Costo_total]]="PENDIENTE"),"PENDIENTE",TablaVentas[[#This Row],[Ingreso_neto]]-TablaVentas[[#This Row],[Costo_total]])</f>
        <v>749.88</v>
      </c>
    </row>
    <row r="38" customFormat="false" ht="13.5" hidden="false" customHeight="false" outlineLevel="0" collapsed="false">
      <c r="A38" s="1" t="s">
        <v>124</v>
      </c>
      <c r="B38" s="1" t="n">
        <v>1</v>
      </c>
      <c r="C38" s="5" t="n">
        <v>46166</v>
      </c>
      <c r="D38" s="6" t="s">
        <v>125</v>
      </c>
      <c r="E38" s="6" t="s">
        <v>126</v>
      </c>
      <c r="F38" s="6" t="s">
        <v>46</v>
      </c>
      <c r="G38" s="6" t="s">
        <v>64</v>
      </c>
      <c r="H38" s="6" t="s">
        <v>109</v>
      </c>
      <c r="I38" s="1" t="n">
        <v>1</v>
      </c>
      <c r="J38" s="7" t="n">
        <v>8156.92</v>
      </c>
      <c r="K38" s="8" t="n">
        <v>0.05</v>
      </c>
      <c r="L38" s="7" t="n">
        <v>6981.94</v>
      </c>
      <c r="M38" s="6" t="s">
        <v>49</v>
      </c>
      <c r="N38" s="6" t="s">
        <v>50</v>
      </c>
      <c r="O38" s="6" t="n">
        <f aca="false">IF(TablaVentas[[#This Row],[Precio_unitario]]="","PENDIENTE",TablaVentas[[#This Row],[Unidades]]*TablaVentas[[#This Row],[Precio_unitario]]*(1-TablaVentas[[#This Row],[Descuento_pct]]))</f>
        <v>7749.074</v>
      </c>
      <c r="P38" s="6" t="n">
        <f aca="false">IF(TablaVentas[[#This Row],[Costo_unitario]]="","PENDIENTE",TablaVentas[[#This Row],[Unidades]]*TablaVentas[[#This Row],[Costo_unitario]])</f>
        <v>6981.94</v>
      </c>
      <c r="Q38" s="6" t="n">
        <f aca="false">IF(OR(TablaVentas[[#This Row],[Ingreso_neto]]="PENDIENTE",TablaVentas[[#This Row],[Costo_total]]="PENDIENTE"),"PENDIENTE",TablaVentas[[#This Row],[Ingreso_neto]]-TablaVentas[[#This Row],[Costo_total]])</f>
        <v>767.134</v>
      </c>
    </row>
    <row r="39" customFormat="false" ht="13.5" hidden="false" customHeight="false" outlineLevel="0" collapsed="false">
      <c r="A39" s="1" t="s">
        <v>124</v>
      </c>
      <c r="B39" s="1" t="n">
        <v>2</v>
      </c>
      <c r="C39" s="5" t="n">
        <v>46166</v>
      </c>
      <c r="D39" s="6" t="s">
        <v>125</v>
      </c>
      <c r="E39" s="6" t="s">
        <v>76</v>
      </c>
      <c r="F39" s="6" t="s">
        <v>46</v>
      </c>
      <c r="G39" s="6" t="s">
        <v>64</v>
      </c>
      <c r="H39" s="6" t="s">
        <v>109</v>
      </c>
      <c r="I39" s="1" t="n">
        <v>2</v>
      </c>
      <c r="J39" s="7" t="n">
        <v>13877.93</v>
      </c>
      <c r="K39" s="8" t="n">
        <v>0</v>
      </c>
      <c r="L39" s="7" t="n">
        <v>10094.26</v>
      </c>
      <c r="M39" s="6" t="s">
        <v>49</v>
      </c>
      <c r="N39" s="6" t="s">
        <v>59</v>
      </c>
      <c r="O39" s="6" t="n">
        <f aca="false">IF(TablaVentas[[#This Row],[Precio_unitario]]="","PENDIENTE",TablaVentas[[#This Row],[Unidades]]*TablaVentas[[#This Row],[Precio_unitario]]*(1-TablaVentas[[#This Row],[Descuento_pct]]))</f>
        <v>27755.86</v>
      </c>
      <c r="P39" s="6" t="n">
        <f aca="false">IF(TablaVentas[[#This Row],[Costo_unitario]]="","PENDIENTE",TablaVentas[[#This Row],[Unidades]]*TablaVentas[[#This Row],[Costo_unitario]])</f>
        <v>20188.52</v>
      </c>
      <c r="Q39" s="6" t="n">
        <f aca="false">IF(OR(TablaVentas[[#This Row],[Ingreso_neto]]="PENDIENTE",TablaVentas[[#This Row],[Costo_total]]="PENDIENTE"),"PENDIENTE",TablaVentas[[#This Row],[Ingreso_neto]]-TablaVentas[[#This Row],[Costo_total]])</f>
        <v>7567.34</v>
      </c>
    </row>
    <row r="40" customFormat="false" ht="13.5" hidden="false" customHeight="false" outlineLevel="0" collapsed="false">
      <c r="A40" s="1" t="s">
        <v>124</v>
      </c>
      <c r="B40" s="1" t="n">
        <v>3</v>
      </c>
      <c r="C40" s="5" t="n">
        <v>46166</v>
      </c>
      <c r="D40" s="6" t="s">
        <v>125</v>
      </c>
      <c r="E40" s="6" t="s">
        <v>122</v>
      </c>
      <c r="F40" s="6" t="s">
        <v>46</v>
      </c>
      <c r="G40" s="6" t="s">
        <v>64</v>
      </c>
      <c r="H40" s="6" t="s">
        <v>109</v>
      </c>
      <c r="I40" s="1" t="n">
        <v>3</v>
      </c>
      <c r="J40" s="7" t="n">
        <v>1335.2</v>
      </c>
      <c r="K40" s="8" t="n">
        <v>0.1</v>
      </c>
      <c r="L40" s="7" t="n">
        <v>705.87</v>
      </c>
      <c r="M40" s="6" t="s">
        <v>49</v>
      </c>
      <c r="N40" s="6" t="s">
        <v>52</v>
      </c>
      <c r="O40" s="6" t="n">
        <f aca="false">IF(TablaVentas[[#This Row],[Precio_unitario]]="","PENDIENTE",TablaVentas[[#This Row],[Unidades]]*TablaVentas[[#This Row],[Precio_unitario]]*(1-TablaVentas[[#This Row],[Descuento_pct]]))</f>
        <v>3605.04</v>
      </c>
      <c r="P40" s="6" t="n">
        <f aca="false">IF(TablaVentas[[#This Row],[Costo_unitario]]="","PENDIENTE",TablaVentas[[#This Row],[Unidades]]*TablaVentas[[#This Row],[Costo_unitario]])</f>
        <v>2117.61</v>
      </c>
      <c r="Q40" s="6" t="n">
        <f aca="false">IF(OR(TablaVentas[[#This Row],[Ingreso_neto]]="PENDIENTE",TablaVentas[[#This Row],[Costo_total]]="PENDIENTE"),"PENDIENTE",TablaVentas[[#This Row],[Ingreso_neto]]-TablaVentas[[#This Row],[Costo_total]])</f>
        <v>1487.43</v>
      </c>
    </row>
    <row r="41" customFormat="false" ht="13.5" hidden="false" customHeight="false" outlineLevel="0" collapsed="false">
      <c r="A41" s="1" t="s">
        <v>124</v>
      </c>
      <c r="B41" s="1" t="n">
        <v>4</v>
      </c>
      <c r="C41" s="5" t="n">
        <v>46166</v>
      </c>
      <c r="D41" s="6" t="s">
        <v>125</v>
      </c>
      <c r="E41" s="6" t="s">
        <v>127</v>
      </c>
      <c r="F41" s="6" t="s">
        <v>46</v>
      </c>
      <c r="G41" s="6" t="s">
        <v>64</v>
      </c>
      <c r="H41" s="6" t="s">
        <v>109</v>
      </c>
      <c r="I41" s="1" t="n">
        <v>1</v>
      </c>
      <c r="J41" s="7" t="n">
        <v>11818.09</v>
      </c>
      <c r="K41" s="8" t="n">
        <v>0.1</v>
      </c>
      <c r="L41" s="7" t="n">
        <v>7975.26</v>
      </c>
      <c r="M41" s="6" t="s">
        <v>69</v>
      </c>
      <c r="N41" s="6" t="s">
        <v>67</v>
      </c>
      <c r="O41" s="6" t="n">
        <f aca="false">IF(TablaVentas[[#This Row],[Precio_unitario]]="","PENDIENTE",TablaVentas[[#This Row],[Unidades]]*TablaVentas[[#This Row],[Precio_unitario]]*(1-TablaVentas[[#This Row],[Descuento_pct]]))</f>
        <v>10636.281</v>
      </c>
      <c r="P41" s="6" t="n">
        <f aca="false">IF(TablaVentas[[#This Row],[Costo_unitario]]="","PENDIENTE",TablaVentas[[#This Row],[Unidades]]*TablaVentas[[#This Row],[Costo_unitario]])</f>
        <v>7975.26</v>
      </c>
      <c r="Q41" s="6" t="n">
        <f aca="false">IF(OR(TablaVentas[[#This Row],[Ingreso_neto]]="PENDIENTE",TablaVentas[[#This Row],[Costo_total]]="PENDIENTE"),"PENDIENTE",TablaVentas[[#This Row],[Ingreso_neto]]-TablaVentas[[#This Row],[Costo_total]])</f>
        <v>2661.021</v>
      </c>
    </row>
    <row r="42" customFormat="false" ht="13.5" hidden="false" customHeight="false" outlineLevel="0" collapsed="false">
      <c r="A42" s="1" t="s">
        <v>124</v>
      </c>
      <c r="B42" s="1" t="n">
        <v>5</v>
      </c>
      <c r="C42" s="5" t="n">
        <v>46166</v>
      </c>
      <c r="D42" s="6" t="s">
        <v>125</v>
      </c>
      <c r="E42" s="6" t="s">
        <v>121</v>
      </c>
      <c r="F42" s="6" t="s">
        <v>46</v>
      </c>
      <c r="G42" s="6" t="s">
        <v>64</v>
      </c>
      <c r="H42" s="6" t="s">
        <v>109</v>
      </c>
      <c r="I42" s="1" t="n">
        <v>8</v>
      </c>
      <c r="J42" s="7" t="n">
        <v>15579.26</v>
      </c>
      <c r="K42" s="8" t="n">
        <v>0</v>
      </c>
      <c r="L42" s="7" t="n">
        <v>8239.48</v>
      </c>
      <c r="M42" s="6" t="s">
        <v>49</v>
      </c>
      <c r="N42" s="6" t="s">
        <v>52</v>
      </c>
      <c r="O42" s="6" t="n">
        <f aca="false">IF(TablaVentas[[#This Row],[Precio_unitario]]="","PENDIENTE",TablaVentas[[#This Row],[Unidades]]*TablaVentas[[#This Row],[Precio_unitario]]*(1-TablaVentas[[#This Row],[Descuento_pct]]))</f>
        <v>124634.08</v>
      </c>
      <c r="P42" s="6" t="n">
        <f aca="false">IF(TablaVentas[[#This Row],[Costo_unitario]]="","PENDIENTE",TablaVentas[[#This Row],[Unidades]]*TablaVentas[[#This Row],[Costo_unitario]])</f>
        <v>65915.84</v>
      </c>
      <c r="Q42" s="6" t="n">
        <f aca="false">IF(OR(TablaVentas[[#This Row],[Ingreso_neto]]="PENDIENTE",TablaVentas[[#This Row],[Costo_total]]="PENDIENTE"),"PENDIENTE",TablaVentas[[#This Row],[Ingreso_neto]]-TablaVentas[[#This Row],[Costo_total]])</f>
        <v>58718.24</v>
      </c>
    </row>
    <row r="43" customFormat="false" ht="13.5" hidden="false" customHeight="false" outlineLevel="0" collapsed="false">
      <c r="A43" s="1" t="s">
        <v>128</v>
      </c>
      <c r="B43" s="1" t="n">
        <v>1</v>
      </c>
      <c r="C43" s="5" t="n">
        <v>46217</v>
      </c>
      <c r="D43" s="6" t="s">
        <v>129</v>
      </c>
      <c r="E43" s="6" t="s">
        <v>130</v>
      </c>
      <c r="F43" s="6" t="s">
        <v>84</v>
      </c>
      <c r="G43" s="6" t="s">
        <v>47</v>
      </c>
      <c r="H43" s="6" t="s">
        <v>131</v>
      </c>
      <c r="I43" s="1" t="n">
        <v>3</v>
      </c>
      <c r="J43" s="7" t="n">
        <v>19014.63</v>
      </c>
      <c r="K43" s="8" t="n">
        <v>0.15</v>
      </c>
      <c r="L43" s="7" t="n">
        <v>12679.41</v>
      </c>
      <c r="M43" s="6" t="s">
        <v>49</v>
      </c>
      <c r="N43" s="6" t="s">
        <v>52</v>
      </c>
      <c r="O43" s="6" t="n">
        <f aca="false">IF(TablaVentas[[#This Row],[Precio_unitario]]="","PENDIENTE",TablaVentas[[#This Row],[Unidades]]*TablaVentas[[#This Row],[Precio_unitario]]*(1-TablaVentas[[#This Row],[Descuento_pct]]))</f>
        <v>48487.3065</v>
      </c>
      <c r="P43" s="6" t="n">
        <f aca="false">IF(TablaVentas[[#This Row],[Costo_unitario]]="","PENDIENTE",TablaVentas[[#This Row],[Unidades]]*TablaVentas[[#This Row],[Costo_unitario]])</f>
        <v>38038.23</v>
      </c>
      <c r="Q43" s="6" t="n">
        <f aca="false">IF(OR(TablaVentas[[#This Row],[Ingreso_neto]]="PENDIENTE",TablaVentas[[#This Row],[Costo_total]]="PENDIENTE"),"PENDIENTE",TablaVentas[[#This Row],[Ingreso_neto]]-TablaVentas[[#This Row],[Costo_total]])</f>
        <v>10449.0765</v>
      </c>
    </row>
    <row r="44" customFormat="false" ht="13.5" hidden="false" customHeight="false" outlineLevel="0" collapsed="false">
      <c r="A44" s="1" t="s">
        <v>128</v>
      </c>
      <c r="B44" s="1" t="n">
        <v>2</v>
      </c>
      <c r="C44" s="5" t="n">
        <v>46217</v>
      </c>
      <c r="D44" s="6" t="s">
        <v>129</v>
      </c>
      <c r="E44" s="6" t="s">
        <v>132</v>
      </c>
      <c r="F44" s="6" t="s">
        <v>84</v>
      </c>
      <c r="G44" s="6" t="s">
        <v>47</v>
      </c>
      <c r="H44" s="6" t="s">
        <v>131</v>
      </c>
      <c r="I44" s="1" t="n">
        <v>3</v>
      </c>
      <c r="J44" s="7" t="n">
        <v>1669.89</v>
      </c>
      <c r="K44" s="8" t="n">
        <v>0.2</v>
      </c>
      <c r="L44" s="7" t="n">
        <v>1044.32</v>
      </c>
      <c r="M44" s="6" t="s">
        <v>49</v>
      </c>
      <c r="N44" s="6" t="s">
        <v>67</v>
      </c>
      <c r="O44" s="6" t="n">
        <f aca="false">IF(TablaVentas[[#This Row],[Precio_unitario]]="","PENDIENTE",TablaVentas[[#This Row],[Unidades]]*TablaVentas[[#This Row],[Precio_unitario]]*(1-TablaVentas[[#This Row],[Descuento_pct]]))</f>
        <v>4007.736</v>
      </c>
      <c r="P44" s="6" t="n">
        <f aca="false">IF(TablaVentas[[#This Row],[Costo_unitario]]="","PENDIENTE",TablaVentas[[#This Row],[Unidades]]*TablaVentas[[#This Row],[Costo_unitario]])</f>
        <v>3132.96</v>
      </c>
      <c r="Q44" s="6" t="n">
        <f aca="false">IF(OR(TablaVentas[[#This Row],[Ingreso_neto]]="PENDIENTE",TablaVentas[[#This Row],[Costo_total]]="PENDIENTE"),"PENDIENTE",TablaVentas[[#This Row],[Ingreso_neto]]-TablaVentas[[#This Row],[Costo_total]])</f>
        <v>874.776</v>
      </c>
    </row>
    <row r="45" customFormat="false" ht="13.5" hidden="false" customHeight="false" outlineLevel="0" collapsed="false">
      <c r="A45" s="1" t="s">
        <v>133</v>
      </c>
      <c r="B45" s="1" t="n">
        <v>1</v>
      </c>
      <c r="C45" s="5" t="n">
        <v>46182</v>
      </c>
      <c r="D45" s="6" t="s">
        <v>134</v>
      </c>
      <c r="E45" s="6" t="s">
        <v>135</v>
      </c>
      <c r="F45" s="6" t="s">
        <v>84</v>
      </c>
      <c r="G45" s="6" t="s">
        <v>64</v>
      </c>
      <c r="H45" s="6" t="s">
        <v>136</v>
      </c>
      <c r="I45" s="1" t="n">
        <v>1</v>
      </c>
      <c r="J45" s="7" t="n">
        <v>1526.42</v>
      </c>
      <c r="K45" s="8" t="n">
        <v>0</v>
      </c>
      <c r="L45" s="7" t="n">
        <v>900.08</v>
      </c>
      <c r="M45" s="6" t="s">
        <v>49</v>
      </c>
      <c r="N45" s="6" t="s">
        <v>59</v>
      </c>
      <c r="O45" s="6" t="n">
        <f aca="false">IF(TablaVentas[[#This Row],[Precio_unitario]]="","PENDIENTE",TablaVentas[[#This Row],[Unidades]]*TablaVentas[[#This Row],[Precio_unitario]]*(1-TablaVentas[[#This Row],[Descuento_pct]]))</f>
        <v>1526.42</v>
      </c>
      <c r="P45" s="6" t="n">
        <f aca="false">IF(TablaVentas[[#This Row],[Costo_unitario]]="","PENDIENTE",TablaVentas[[#This Row],[Unidades]]*TablaVentas[[#This Row],[Costo_unitario]])</f>
        <v>900.08</v>
      </c>
      <c r="Q45" s="6" t="n">
        <f aca="false">IF(OR(TablaVentas[[#This Row],[Ingreso_neto]]="PENDIENTE",TablaVentas[[#This Row],[Costo_total]]="PENDIENTE"),"PENDIENTE",TablaVentas[[#This Row],[Ingreso_neto]]-TablaVentas[[#This Row],[Costo_total]])</f>
        <v>626.34</v>
      </c>
    </row>
    <row r="46" customFormat="false" ht="13.5" hidden="false" customHeight="false" outlineLevel="0" collapsed="false">
      <c r="A46" s="1" t="s">
        <v>137</v>
      </c>
      <c r="B46" s="1" t="n">
        <v>1</v>
      </c>
      <c r="C46" s="5" t="n">
        <v>46110</v>
      </c>
      <c r="D46" s="6" t="s">
        <v>138</v>
      </c>
      <c r="E46" s="6" t="s">
        <v>139</v>
      </c>
      <c r="F46" s="6" t="s">
        <v>84</v>
      </c>
      <c r="G46" s="6" t="s">
        <v>64</v>
      </c>
      <c r="H46" s="6" t="s">
        <v>89</v>
      </c>
      <c r="I46" s="1" t="n">
        <v>1</v>
      </c>
      <c r="J46" s="7" t="n">
        <v>19262.08</v>
      </c>
      <c r="K46" s="8" t="n">
        <v>0</v>
      </c>
      <c r="L46" s="7" t="n">
        <v>11036.95</v>
      </c>
      <c r="M46" s="6" t="s">
        <v>49</v>
      </c>
      <c r="N46" s="6" t="s">
        <v>59</v>
      </c>
      <c r="O46" s="6" t="n">
        <f aca="false">IF(TablaVentas[[#This Row],[Precio_unitario]]="","PENDIENTE",TablaVentas[[#This Row],[Unidades]]*TablaVentas[[#This Row],[Precio_unitario]]*(1-TablaVentas[[#This Row],[Descuento_pct]]))</f>
        <v>19262.08</v>
      </c>
      <c r="P46" s="6" t="n">
        <f aca="false">IF(TablaVentas[[#This Row],[Costo_unitario]]="","PENDIENTE",TablaVentas[[#This Row],[Unidades]]*TablaVentas[[#This Row],[Costo_unitario]])</f>
        <v>11036.95</v>
      </c>
      <c r="Q46" s="6" t="n">
        <f aca="false">IF(OR(TablaVentas[[#This Row],[Ingreso_neto]]="PENDIENTE",TablaVentas[[#This Row],[Costo_total]]="PENDIENTE"),"PENDIENTE",TablaVentas[[#This Row],[Ingreso_neto]]-TablaVentas[[#This Row],[Costo_total]])</f>
        <v>8225.13</v>
      </c>
    </row>
    <row r="47" customFormat="false" ht="13.5" hidden="false" customHeight="false" outlineLevel="0" collapsed="false">
      <c r="A47" s="1" t="s">
        <v>137</v>
      </c>
      <c r="B47" s="1" t="n">
        <v>2</v>
      </c>
      <c r="C47" s="5" t="n">
        <v>46110</v>
      </c>
      <c r="D47" s="6" t="s">
        <v>138</v>
      </c>
      <c r="E47" s="6" t="s">
        <v>140</v>
      </c>
      <c r="F47" s="6" t="s">
        <v>84</v>
      </c>
      <c r="G47" s="6" t="s">
        <v>64</v>
      </c>
      <c r="H47" s="6" t="s">
        <v>89</v>
      </c>
      <c r="I47" s="1" t="n">
        <v>2</v>
      </c>
      <c r="J47" s="7" t="n">
        <v>7640.94</v>
      </c>
      <c r="K47" s="8" t="n">
        <v>0.2</v>
      </c>
      <c r="L47" s="7" t="n">
        <v>4061.34</v>
      </c>
      <c r="M47" s="6" t="s">
        <v>49</v>
      </c>
      <c r="N47" s="6" t="s">
        <v>52</v>
      </c>
      <c r="O47" s="6" t="n">
        <f aca="false">IF(TablaVentas[[#This Row],[Precio_unitario]]="","PENDIENTE",TablaVentas[[#This Row],[Unidades]]*TablaVentas[[#This Row],[Precio_unitario]]*(1-TablaVentas[[#This Row],[Descuento_pct]]))</f>
        <v>12225.504</v>
      </c>
      <c r="P47" s="6" t="n">
        <f aca="false">IF(TablaVentas[[#This Row],[Costo_unitario]]="","PENDIENTE",TablaVentas[[#This Row],[Unidades]]*TablaVentas[[#This Row],[Costo_unitario]])</f>
        <v>8122.68</v>
      </c>
      <c r="Q47" s="6" t="n">
        <f aca="false">IF(OR(TablaVentas[[#This Row],[Ingreso_neto]]="PENDIENTE",TablaVentas[[#This Row],[Costo_total]]="PENDIENTE"),"PENDIENTE",TablaVentas[[#This Row],[Ingreso_neto]]-TablaVentas[[#This Row],[Costo_total]])</f>
        <v>4102.824</v>
      </c>
    </row>
    <row r="48" customFormat="false" ht="13.5" hidden="false" customHeight="false" outlineLevel="0" collapsed="false">
      <c r="A48" s="1" t="s">
        <v>137</v>
      </c>
      <c r="B48" s="1" t="n">
        <v>3</v>
      </c>
      <c r="C48" s="5" t="n">
        <v>46110</v>
      </c>
      <c r="D48" s="6" t="s">
        <v>138</v>
      </c>
      <c r="E48" s="6" t="s">
        <v>141</v>
      </c>
      <c r="F48" s="6" t="s">
        <v>84</v>
      </c>
      <c r="G48" s="6" t="s">
        <v>64</v>
      </c>
      <c r="H48" s="6" t="s">
        <v>89</v>
      </c>
      <c r="I48" s="1" t="n">
        <v>1</v>
      </c>
      <c r="J48" s="7" t="n">
        <v>250.04</v>
      </c>
      <c r="K48" s="8" t="n">
        <v>0</v>
      </c>
      <c r="L48" s="7" t="n">
        <v>176.47</v>
      </c>
      <c r="M48" s="6" t="s">
        <v>49</v>
      </c>
      <c r="N48" s="6" t="s">
        <v>52</v>
      </c>
      <c r="O48" s="6" t="n">
        <f aca="false">IF(TablaVentas[[#This Row],[Precio_unitario]]="","PENDIENTE",TablaVentas[[#This Row],[Unidades]]*TablaVentas[[#This Row],[Precio_unitario]]*(1-TablaVentas[[#This Row],[Descuento_pct]]))</f>
        <v>250.04</v>
      </c>
      <c r="P48" s="6" t="n">
        <f aca="false">IF(TablaVentas[[#This Row],[Costo_unitario]]="","PENDIENTE",TablaVentas[[#This Row],[Unidades]]*TablaVentas[[#This Row],[Costo_unitario]])</f>
        <v>176.47</v>
      </c>
      <c r="Q48" s="6" t="n">
        <f aca="false">IF(OR(TablaVentas[[#This Row],[Ingreso_neto]]="PENDIENTE",TablaVentas[[#This Row],[Costo_total]]="PENDIENTE"),"PENDIENTE",TablaVentas[[#This Row],[Ingreso_neto]]-TablaVentas[[#This Row],[Costo_total]])</f>
        <v>73.57</v>
      </c>
    </row>
    <row r="49" customFormat="false" ht="13.5" hidden="false" customHeight="false" outlineLevel="0" collapsed="false">
      <c r="A49" s="1" t="s">
        <v>137</v>
      </c>
      <c r="B49" s="1" t="n">
        <v>4</v>
      </c>
      <c r="C49" s="5" t="n">
        <v>46110</v>
      </c>
      <c r="D49" s="6" t="s">
        <v>138</v>
      </c>
      <c r="E49" s="6" t="s">
        <v>142</v>
      </c>
      <c r="F49" s="6" t="s">
        <v>84</v>
      </c>
      <c r="G49" s="6" t="s">
        <v>64</v>
      </c>
      <c r="H49" s="6" t="s">
        <v>89</v>
      </c>
      <c r="I49" s="1" t="n">
        <v>1</v>
      </c>
      <c r="J49" s="7" t="n">
        <v>1828.46</v>
      </c>
      <c r="K49" s="8" t="n">
        <v>0</v>
      </c>
      <c r="L49" s="7" t="n">
        <v>1529.93</v>
      </c>
      <c r="M49" s="6" t="s">
        <v>49</v>
      </c>
      <c r="N49" s="6" t="s">
        <v>67</v>
      </c>
      <c r="O49" s="6" t="n">
        <f aca="false">IF(TablaVentas[[#This Row],[Precio_unitario]]="","PENDIENTE",TablaVentas[[#This Row],[Unidades]]*TablaVentas[[#This Row],[Precio_unitario]]*(1-TablaVentas[[#This Row],[Descuento_pct]]))</f>
        <v>1828.46</v>
      </c>
      <c r="P49" s="6" t="n">
        <f aca="false">IF(TablaVentas[[#This Row],[Costo_unitario]]="","PENDIENTE",TablaVentas[[#This Row],[Unidades]]*TablaVentas[[#This Row],[Costo_unitario]])</f>
        <v>1529.93</v>
      </c>
      <c r="Q49" s="6" t="n">
        <f aca="false">IF(OR(TablaVentas[[#This Row],[Ingreso_neto]]="PENDIENTE",TablaVentas[[#This Row],[Costo_total]]="PENDIENTE"),"PENDIENTE",TablaVentas[[#This Row],[Ingreso_neto]]-TablaVentas[[#This Row],[Costo_total]])</f>
        <v>298.53</v>
      </c>
    </row>
    <row r="50" customFormat="false" ht="13.5" hidden="false" customHeight="false" outlineLevel="0" collapsed="false">
      <c r="A50" s="1" t="s">
        <v>143</v>
      </c>
      <c r="B50" s="1" t="n">
        <v>1</v>
      </c>
      <c r="C50" s="5" t="n">
        <v>46259</v>
      </c>
      <c r="D50" s="6" t="s">
        <v>144</v>
      </c>
      <c r="E50" s="6" t="s">
        <v>145</v>
      </c>
      <c r="F50" s="6" t="s">
        <v>63</v>
      </c>
      <c r="G50" s="6" t="s">
        <v>47</v>
      </c>
      <c r="H50" s="6" t="s">
        <v>131</v>
      </c>
      <c r="I50" s="1" t="n">
        <v>1</v>
      </c>
      <c r="J50" s="7" t="n">
        <v>6124.84</v>
      </c>
      <c r="K50" s="8" t="n">
        <v>0.15</v>
      </c>
      <c r="L50" s="7" t="n">
        <v>4665.62</v>
      </c>
      <c r="M50" s="6" t="s">
        <v>49</v>
      </c>
      <c r="N50" s="6" t="s">
        <v>50</v>
      </c>
      <c r="O50" s="6" t="n">
        <f aca="false">IF(TablaVentas[[#This Row],[Precio_unitario]]="","PENDIENTE",TablaVentas[[#This Row],[Unidades]]*TablaVentas[[#This Row],[Precio_unitario]]*(1-TablaVentas[[#This Row],[Descuento_pct]]))</f>
        <v>5206.114</v>
      </c>
      <c r="P50" s="6" t="n">
        <f aca="false">IF(TablaVentas[[#This Row],[Costo_unitario]]="","PENDIENTE",TablaVentas[[#This Row],[Unidades]]*TablaVentas[[#This Row],[Costo_unitario]])</f>
        <v>4665.62</v>
      </c>
      <c r="Q50" s="6" t="n">
        <f aca="false">IF(OR(TablaVentas[[#This Row],[Ingreso_neto]]="PENDIENTE",TablaVentas[[#This Row],[Costo_total]]="PENDIENTE"),"PENDIENTE",TablaVentas[[#This Row],[Ingreso_neto]]-TablaVentas[[#This Row],[Costo_total]])</f>
        <v>540.494</v>
      </c>
    </row>
    <row r="51" customFormat="false" ht="13.5" hidden="false" customHeight="false" outlineLevel="0" collapsed="false">
      <c r="A51" s="1" t="s">
        <v>143</v>
      </c>
      <c r="B51" s="1" t="n">
        <v>2</v>
      </c>
      <c r="C51" s="5" t="n">
        <v>46259</v>
      </c>
      <c r="D51" s="6" t="s">
        <v>144</v>
      </c>
      <c r="E51" s="6" t="s">
        <v>146</v>
      </c>
      <c r="F51" s="6" t="s">
        <v>63</v>
      </c>
      <c r="G51" s="6" t="s">
        <v>47</v>
      </c>
      <c r="H51" s="6" t="s">
        <v>131</v>
      </c>
      <c r="I51" s="1" t="n">
        <v>1</v>
      </c>
      <c r="J51" s="7" t="n">
        <v>9210.89</v>
      </c>
      <c r="K51" s="8" t="n">
        <v>0.2</v>
      </c>
      <c r="L51" s="7" t="n">
        <v>8002.16</v>
      </c>
      <c r="M51" s="6" t="s">
        <v>49</v>
      </c>
      <c r="N51" s="6" t="s">
        <v>50</v>
      </c>
      <c r="O51" s="6" t="n">
        <f aca="false">IF(TablaVentas[[#This Row],[Precio_unitario]]="","PENDIENTE",TablaVentas[[#This Row],[Unidades]]*TablaVentas[[#This Row],[Precio_unitario]]*(1-TablaVentas[[#This Row],[Descuento_pct]]))</f>
        <v>7368.712</v>
      </c>
      <c r="P51" s="6" t="n">
        <f aca="false">IF(TablaVentas[[#This Row],[Costo_unitario]]="","PENDIENTE",TablaVentas[[#This Row],[Unidades]]*TablaVentas[[#This Row],[Costo_unitario]])</f>
        <v>8002.16</v>
      </c>
      <c r="Q51" s="6" t="n">
        <f aca="false">IF(OR(TablaVentas[[#This Row],[Ingreso_neto]]="PENDIENTE",TablaVentas[[#This Row],[Costo_total]]="PENDIENTE"),"PENDIENTE",TablaVentas[[#This Row],[Ingreso_neto]]-TablaVentas[[#This Row],[Costo_total]])</f>
        <v>-633.448</v>
      </c>
    </row>
    <row r="52" customFormat="false" ht="13.5" hidden="false" customHeight="false" outlineLevel="0" collapsed="false">
      <c r="A52" s="1" t="s">
        <v>143</v>
      </c>
      <c r="B52" s="1" t="n">
        <v>3</v>
      </c>
      <c r="C52" s="5" t="n">
        <v>46259</v>
      </c>
      <c r="D52" s="6" t="s">
        <v>144</v>
      </c>
      <c r="E52" s="6" t="s">
        <v>147</v>
      </c>
      <c r="F52" s="6" t="s">
        <v>63</v>
      </c>
      <c r="G52" s="6" t="s">
        <v>47</v>
      </c>
      <c r="H52" s="6" t="s">
        <v>131</v>
      </c>
      <c r="I52" s="1" t="n">
        <v>2</v>
      </c>
      <c r="J52" s="7" t="n">
        <v>3181.24</v>
      </c>
      <c r="K52" s="8" t="n">
        <v>0.1</v>
      </c>
      <c r="L52" s="7" t="n">
        <v>2427.63</v>
      </c>
      <c r="M52" s="6" t="s">
        <v>49</v>
      </c>
      <c r="N52" s="6" t="s">
        <v>67</v>
      </c>
      <c r="O52" s="6" t="n">
        <f aca="false">IF(TablaVentas[[#This Row],[Precio_unitario]]="","PENDIENTE",TablaVentas[[#This Row],[Unidades]]*TablaVentas[[#This Row],[Precio_unitario]]*(1-TablaVentas[[#This Row],[Descuento_pct]]))</f>
        <v>5726.232</v>
      </c>
      <c r="P52" s="6" t="n">
        <f aca="false">IF(TablaVentas[[#This Row],[Costo_unitario]]="","PENDIENTE",TablaVentas[[#This Row],[Unidades]]*TablaVentas[[#This Row],[Costo_unitario]])</f>
        <v>4855.26</v>
      </c>
      <c r="Q52" s="6" t="n">
        <f aca="false">IF(OR(TablaVentas[[#This Row],[Ingreso_neto]]="PENDIENTE",TablaVentas[[#This Row],[Costo_total]]="PENDIENTE"),"PENDIENTE",TablaVentas[[#This Row],[Ingreso_neto]]-TablaVentas[[#This Row],[Costo_total]])</f>
        <v>870.972</v>
      </c>
    </row>
    <row r="53" customFormat="false" ht="13.5" hidden="false" customHeight="false" outlineLevel="0" collapsed="false">
      <c r="A53" s="1" t="s">
        <v>148</v>
      </c>
      <c r="B53" s="1" t="n">
        <v>1</v>
      </c>
      <c r="C53" s="5" t="n">
        <v>46101</v>
      </c>
      <c r="D53" s="6" t="s">
        <v>149</v>
      </c>
      <c r="E53" s="6" t="s">
        <v>100</v>
      </c>
      <c r="F53" s="6" t="s">
        <v>84</v>
      </c>
      <c r="G53" s="6" t="s">
        <v>47</v>
      </c>
      <c r="H53" s="6" t="s">
        <v>80</v>
      </c>
      <c r="I53" s="1" t="n">
        <v>5</v>
      </c>
      <c r="J53" s="7" t="n">
        <v>14957.68</v>
      </c>
      <c r="K53" s="8" t="n">
        <v>0.1</v>
      </c>
      <c r="L53" s="7" t="n">
        <v>8788.79</v>
      </c>
      <c r="M53" s="6" t="s">
        <v>49</v>
      </c>
      <c r="N53" s="6" t="s">
        <v>59</v>
      </c>
      <c r="O53" s="6" t="n">
        <f aca="false">IF(TablaVentas[[#This Row],[Precio_unitario]]="","PENDIENTE",TablaVentas[[#This Row],[Unidades]]*TablaVentas[[#This Row],[Precio_unitario]]*(1-TablaVentas[[#This Row],[Descuento_pct]]))</f>
        <v>67309.56</v>
      </c>
      <c r="P53" s="6" t="n">
        <f aca="false">IF(TablaVentas[[#This Row],[Costo_unitario]]="","PENDIENTE",TablaVentas[[#This Row],[Unidades]]*TablaVentas[[#This Row],[Costo_unitario]])</f>
        <v>43943.95</v>
      </c>
      <c r="Q53" s="6" t="n">
        <f aca="false">IF(OR(TablaVentas[[#This Row],[Ingreso_neto]]="PENDIENTE",TablaVentas[[#This Row],[Costo_total]]="PENDIENTE"),"PENDIENTE",TablaVentas[[#This Row],[Ingreso_neto]]-TablaVentas[[#This Row],[Costo_total]])</f>
        <v>23365.61</v>
      </c>
    </row>
    <row r="54" customFormat="false" ht="13.5" hidden="false" customHeight="false" outlineLevel="0" collapsed="false">
      <c r="A54" s="1" t="s">
        <v>148</v>
      </c>
      <c r="B54" s="1" t="n">
        <v>2</v>
      </c>
      <c r="C54" s="5" t="n">
        <v>46101</v>
      </c>
      <c r="D54" s="6" t="s">
        <v>149</v>
      </c>
      <c r="E54" s="6" t="s">
        <v>150</v>
      </c>
      <c r="F54" s="6" t="s">
        <v>84</v>
      </c>
      <c r="G54" s="6" t="s">
        <v>47</v>
      </c>
      <c r="H54" s="6" t="s">
        <v>80</v>
      </c>
      <c r="I54" s="1" t="n">
        <v>3</v>
      </c>
      <c r="J54" s="7" t="n">
        <v>9637.65</v>
      </c>
      <c r="K54" s="8" t="n">
        <v>0</v>
      </c>
      <c r="L54" s="7" t="n">
        <v>6815.42</v>
      </c>
      <c r="M54" s="6" t="s">
        <v>69</v>
      </c>
      <c r="N54" s="6" t="s">
        <v>52</v>
      </c>
      <c r="O54" s="6" t="n">
        <f aca="false">IF(TablaVentas[[#This Row],[Precio_unitario]]="","PENDIENTE",TablaVentas[[#This Row],[Unidades]]*TablaVentas[[#This Row],[Precio_unitario]]*(1-TablaVentas[[#This Row],[Descuento_pct]]))</f>
        <v>28912.95</v>
      </c>
      <c r="P54" s="6" t="n">
        <f aca="false">IF(TablaVentas[[#This Row],[Costo_unitario]]="","PENDIENTE",TablaVentas[[#This Row],[Unidades]]*TablaVentas[[#This Row],[Costo_unitario]])</f>
        <v>20446.26</v>
      </c>
      <c r="Q54" s="6" t="n">
        <f aca="false">IF(OR(TablaVentas[[#This Row],[Ingreso_neto]]="PENDIENTE",TablaVentas[[#This Row],[Costo_total]]="PENDIENTE"),"PENDIENTE",TablaVentas[[#This Row],[Ingreso_neto]]-TablaVentas[[#This Row],[Costo_total]])</f>
        <v>8466.69</v>
      </c>
    </row>
    <row r="55" customFormat="false" ht="13.5" hidden="false" customHeight="false" outlineLevel="0" collapsed="false">
      <c r="A55" s="1" t="s">
        <v>148</v>
      </c>
      <c r="B55" s="1" t="n">
        <v>3</v>
      </c>
      <c r="C55" s="5" t="n">
        <v>46101</v>
      </c>
      <c r="D55" s="6" t="s">
        <v>149</v>
      </c>
      <c r="E55" s="6" t="s">
        <v>151</v>
      </c>
      <c r="F55" s="6" t="s">
        <v>84</v>
      </c>
      <c r="G55" s="6" t="s">
        <v>47</v>
      </c>
      <c r="H55" s="6" t="s">
        <v>80</v>
      </c>
      <c r="I55" s="1" t="n">
        <v>5</v>
      </c>
      <c r="J55" s="7"/>
      <c r="K55" s="8" t="n">
        <v>0.05</v>
      </c>
      <c r="L55" s="7" t="n">
        <v>5125.36</v>
      </c>
      <c r="M55" s="6" t="s">
        <v>49</v>
      </c>
      <c r="N55" s="6" t="s">
        <v>52</v>
      </c>
      <c r="O55" s="1" t="str">
        <f aca="false">IF(TablaVentas[[#This Row],[Precio_unitario]]="","PENDIENTE",TablaVentas[[#This Row],[Unidades]]*TablaVentas[[#This Row],[Precio_unitario]]*(1-TablaVentas[[#This Row],[Descuento_pct]]))</f>
        <v>PENDIENTE</v>
      </c>
      <c r="P55" s="6" t="n">
        <f aca="false">IF(TablaVentas[[#This Row],[Costo_unitario]]="","PENDIENTE",TablaVentas[[#This Row],[Unidades]]*TablaVentas[[#This Row],[Costo_unitario]])</f>
        <v>25626.8</v>
      </c>
      <c r="Q55" s="1" t="str">
        <f aca="false">IF(OR(TablaVentas[[#This Row],[Ingreso_neto]]="PENDIENTE",TablaVentas[[#This Row],[Costo_total]]="PENDIENTE"),"PENDIENTE",TablaVentas[[#This Row],[Ingreso_neto]]-TablaVentas[[#This Row],[Costo_total]])</f>
        <v>PENDIENTE</v>
      </c>
      <c r="R55" s="6" t="s">
        <v>152</v>
      </c>
    </row>
    <row r="56" customFormat="false" ht="13.5" hidden="false" customHeight="false" outlineLevel="0" collapsed="false">
      <c r="A56" s="1" t="s">
        <v>153</v>
      </c>
      <c r="B56" s="1" t="n">
        <v>1</v>
      </c>
      <c r="C56" s="5" t="n">
        <v>46048</v>
      </c>
      <c r="D56" s="6" t="s">
        <v>154</v>
      </c>
      <c r="E56" s="6" t="s">
        <v>155</v>
      </c>
      <c r="F56" s="6" t="s">
        <v>84</v>
      </c>
      <c r="G56" s="6" t="s">
        <v>47</v>
      </c>
      <c r="H56" s="6" t="s">
        <v>131</v>
      </c>
      <c r="I56" s="1" t="n">
        <v>1</v>
      </c>
      <c r="J56" s="7" t="n">
        <v>2824.2</v>
      </c>
      <c r="K56" s="8" t="n">
        <v>0</v>
      </c>
      <c r="L56" s="7" t="n">
        <v>2459.34</v>
      </c>
      <c r="M56" s="6" t="s">
        <v>49</v>
      </c>
      <c r="N56" s="6" t="s">
        <v>67</v>
      </c>
      <c r="O56" s="6" t="n">
        <f aca="false">IF(TablaVentas[[#This Row],[Precio_unitario]]="","PENDIENTE",TablaVentas[[#This Row],[Unidades]]*TablaVentas[[#This Row],[Precio_unitario]]*(1-TablaVentas[[#This Row],[Descuento_pct]]))</f>
        <v>2824.2</v>
      </c>
      <c r="P56" s="6" t="n">
        <f aca="false">IF(TablaVentas[[#This Row],[Costo_unitario]]="","PENDIENTE",TablaVentas[[#This Row],[Unidades]]*TablaVentas[[#This Row],[Costo_unitario]])</f>
        <v>2459.34</v>
      </c>
      <c r="Q56" s="6" t="n">
        <f aca="false">IF(OR(TablaVentas[[#This Row],[Ingreso_neto]]="PENDIENTE",TablaVentas[[#This Row],[Costo_total]]="PENDIENTE"),"PENDIENTE",TablaVentas[[#This Row],[Ingreso_neto]]-TablaVentas[[#This Row],[Costo_total]])</f>
        <v>364.86</v>
      </c>
    </row>
    <row r="57" customFormat="false" ht="13.5" hidden="false" customHeight="false" outlineLevel="0" collapsed="false">
      <c r="A57" s="1" t="s">
        <v>153</v>
      </c>
      <c r="B57" s="1" t="n">
        <v>2</v>
      </c>
      <c r="C57" s="5" t="n">
        <v>46048</v>
      </c>
      <c r="D57" s="6" t="s">
        <v>154</v>
      </c>
      <c r="E57" s="6" t="s">
        <v>127</v>
      </c>
      <c r="F57" s="6" t="s">
        <v>84</v>
      </c>
      <c r="G57" s="6" t="s">
        <v>47</v>
      </c>
      <c r="H57" s="6" t="s">
        <v>131</v>
      </c>
      <c r="I57" s="1" t="n">
        <v>1</v>
      </c>
      <c r="J57" s="7" t="n">
        <v>12035.18</v>
      </c>
      <c r="K57" s="8" t="n">
        <v>0.1</v>
      </c>
      <c r="L57" s="7" t="n">
        <v>7975.26</v>
      </c>
      <c r="M57" s="6" t="s">
        <v>49</v>
      </c>
      <c r="N57" s="6" t="s">
        <v>50</v>
      </c>
      <c r="O57" s="6" t="n">
        <f aca="false">IF(TablaVentas[[#This Row],[Precio_unitario]]="","PENDIENTE",TablaVentas[[#This Row],[Unidades]]*TablaVentas[[#This Row],[Precio_unitario]]*(1-TablaVentas[[#This Row],[Descuento_pct]]))</f>
        <v>10831.662</v>
      </c>
      <c r="P57" s="6" t="n">
        <f aca="false">IF(TablaVentas[[#This Row],[Costo_unitario]]="","PENDIENTE",TablaVentas[[#This Row],[Unidades]]*TablaVentas[[#This Row],[Costo_unitario]])</f>
        <v>7975.26</v>
      </c>
      <c r="Q57" s="6" t="n">
        <f aca="false">IF(OR(TablaVentas[[#This Row],[Ingreso_neto]]="PENDIENTE",TablaVentas[[#This Row],[Costo_total]]="PENDIENTE"),"PENDIENTE",TablaVentas[[#This Row],[Ingreso_neto]]-TablaVentas[[#This Row],[Costo_total]])</f>
        <v>2856.402</v>
      </c>
    </row>
    <row r="58" customFormat="false" ht="13.5" hidden="false" customHeight="false" outlineLevel="0" collapsed="false">
      <c r="A58" s="1" t="s">
        <v>156</v>
      </c>
      <c r="B58" s="1" t="n">
        <v>1</v>
      </c>
      <c r="C58" s="5" t="n">
        <v>46130</v>
      </c>
      <c r="D58" s="6" t="s">
        <v>157</v>
      </c>
      <c r="E58" s="6" t="s">
        <v>158</v>
      </c>
      <c r="F58" s="6" t="s">
        <v>84</v>
      </c>
      <c r="G58" s="6" t="s">
        <v>47</v>
      </c>
      <c r="H58" s="6" t="s">
        <v>89</v>
      </c>
      <c r="I58" s="1" t="n">
        <v>5</v>
      </c>
      <c r="J58" s="7" t="n">
        <v>15795.61</v>
      </c>
      <c r="K58" s="8" t="n">
        <v>0</v>
      </c>
      <c r="L58" s="7" t="n">
        <v>8963.23</v>
      </c>
      <c r="M58" s="6" t="s">
        <v>49</v>
      </c>
      <c r="N58" s="6" t="s">
        <v>52</v>
      </c>
      <c r="O58" s="6" t="n">
        <f aca="false">IF(TablaVentas[[#This Row],[Precio_unitario]]="","PENDIENTE",TablaVentas[[#This Row],[Unidades]]*TablaVentas[[#This Row],[Precio_unitario]]*(1-TablaVentas[[#This Row],[Descuento_pct]]))</f>
        <v>78978.05</v>
      </c>
      <c r="P58" s="6" t="n">
        <f aca="false">IF(TablaVentas[[#This Row],[Costo_unitario]]="","PENDIENTE",TablaVentas[[#This Row],[Unidades]]*TablaVentas[[#This Row],[Costo_unitario]])</f>
        <v>44816.15</v>
      </c>
      <c r="Q58" s="6" t="n">
        <f aca="false">IF(OR(TablaVentas[[#This Row],[Ingreso_neto]]="PENDIENTE",TablaVentas[[#This Row],[Costo_total]]="PENDIENTE"),"PENDIENTE",TablaVentas[[#This Row],[Ingreso_neto]]-TablaVentas[[#This Row],[Costo_total]])</f>
        <v>34161.9</v>
      </c>
    </row>
    <row r="59" customFormat="false" ht="13.5" hidden="false" customHeight="false" outlineLevel="0" collapsed="false">
      <c r="A59" s="1" t="s">
        <v>156</v>
      </c>
      <c r="B59" s="1" t="n">
        <v>2</v>
      </c>
      <c r="C59" s="5" t="n">
        <v>46130</v>
      </c>
      <c r="D59" s="6" t="s">
        <v>157</v>
      </c>
      <c r="E59" s="6" t="s">
        <v>159</v>
      </c>
      <c r="F59" s="6" t="s">
        <v>84</v>
      </c>
      <c r="G59" s="6" t="s">
        <v>47</v>
      </c>
      <c r="H59" s="6" t="s">
        <v>89</v>
      </c>
      <c r="I59" s="1" t="n">
        <v>5</v>
      </c>
      <c r="J59" s="7" t="n">
        <v>2780.79</v>
      </c>
      <c r="K59" s="8" t="n">
        <v>0</v>
      </c>
      <c r="L59" s="7" t="n">
        <v>1962.3</v>
      </c>
      <c r="M59" s="6" t="s">
        <v>49</v>
      </c>
      <c r="N59" s="6" t="s">
        <v>52</v>
      </c>
      <c r="O59" s="6" t="n">
        <f aca="false">IF(TablaVentas[[#This Row],[Precio_unitario]]="","PENDIENTE",TablaVentas[[#This Row],[Unidades]]*TablaVentas[[#This Row],[Precio_unitario]]*(1-TablaVentas[[#This Row],[Descuento_pct]]))</f>
        <v>13903.95</v>
      </c>
      <c r="P59" s="6" t="n">
        <f aca="false">IF(TablaVentas[[#This Row],[Costo_unitario]]="","PENDIENTE",TablaVentas[[#This Row],[Unidades]]*TablaVentas[[#This Row],[Costo_unitario]])</f>
        <v>9811.5</v>
      </c>
      <c r="Q59" s="6" t="n">
        <f aca="false">IF(OR(TablaVentas[[#This Row],[Ingreso_neto]]="PENDIENTE",TablaVentas[[#This Row],[Costo_total]]="PENDIENTE"),"PENDIENTE",TablaVentas[[#This Row],[Ingreso_neto]]-TablaVentas[[#This Row],[Costo_total]])</f>
        <v>4092.45</v>
      </c>
    </row>
    <row r="60" customFormat="false" ht="13.5" hidden="false" customHeight="false" outlineLevel="0" collapsed="false">
      <c r="A60" s="1" t="s">
        <v>160</v>
      </c>
      <c r="B60" s="1" t="n">
        <v>1</v>
      </c>
      <c r="C60" s="5" t="n">
        <v>46124</v>
      </c>
      <c r="D60" s="6" t="s">
        <v>161</v>
      </c>
      <c r="E60" s="6" t="s">
        <v>121</v>
      </c>
      <c r="F60" s="6" t="s">
        <v>84</v>
      </c>
      <c r="G60" s="6" t="s">
        <v>47</v>
      </c>
      <c r="H60" s="6" t="s">
        <v>58</v>
      </c>
      <c r="I60" s="1" t="n">
        <v>1</v>
      </c>
      <c r="J60" s="7" t="n">
        <v>15601.55</v>
      </c>
      <c r="K60" s="8" t="n">
        <v>0</v>
      </c>
      <c r="L60" s="7" t="n">
        <v>8239.48</v>
      </c>
      <c r="M60" s="6" t="s">
        <v>49</v>
      </c>
      <c r="N60" s="6" t="s">
        <v>59</v>
      </c>
      <c r="O60" s="6" t="n">
        <f aca="false">IF(TablaVentas[[#This Row],[Precio_unitario]]="","PENDIENTE",TablaVentas[[#This Row],[Unidades]]*TablaVentas[[#This Row],[Precio_unitario]]*(1-TablaVentas[[#This Row],[Descuento_pct]]))</f>
        <v>15601.55</v>
      </c>
      <c r="P60" s="6" t="n">
        <f aca="false">IF(TablaVentas[[#This Row],[Costo_unitario]]="","PENDIENTE",TablaVentas[[#This Row],[Unidades]]*TablaVentas[[#This Row],[Costo_unitario]])</f>
        <v>8239.48</v>
      </c>
      <c r="Q60" s="6" t="n">
        <f aca="false">IF(OR(TablaVentas[[#This Row],[Ingreso_neto]]="PENDIENTE",TablaVentas[[#This Row],[Costo_total]]="PENDIENTE"),"PENDIENTE",TablaVentas[[#This Row],[Ingreso_neto]]-TablaVentas[[#This Row],[Costo_total]])</f>
        <v>7362.07</v>
      </c>
    </row>
    <row r="61" customFormat="false" ht="13.5" hidden="false" customHeight="false" outlineLevel="0" collapsed="false">
      <c r="A61" s="1" t="s">
        <v>160</v>
      </c>
      <c r="B61" s="1" t="n">
        <v>2</v>
      </c>
      <c r="C61" s="5" t="n">
        <v>46124</v>
      </c>
      <c r="D61" s="6" t="s">
        <v>161</v>
      </c>
      <c r="E61" s="6" t="s">
        <v>162</v>
      </c>
      <c r="F61" s="6" t="s">
        <v>84</v>
      </c>
      <c r="G61" s="6" t="s">
        <v>47</v>
      </c>
      <c r="H61" s="6" t="s">
        <v>58</v>
      </c>
      <c r="I61" s="1" t="n">
        <v>2</v>
      </c>
      <c r="J61" s="7" t="n">
        <v>758.04</v>
      </c>
      <c r="K61" s="8" t="n">
        <v>0.1</v>
      </c>
      <c r="L61" s="7" t="n">
        <v>397.1</v>
      </c>
      <c r="M61" s="6" t="s">
        <v>49</v>
      </c>
      <c r="N61" s="6" t="s">
        <v>67</v>
      </c>
      <c r="O61" s="6" t="n">
        <f aca="false">IF(TablaVentas[[#This Row],[Precio_unitario]]="","PENDIENTE",TablaVentas[[#This Row],[Unidades]]*TablaVentas[[#This Row],[Precio_unitario]]*(1-TablaVentas[[#This Row],[Descuento_pct]]))</f>
        <v>1364.472</v>
      </c>
      <c r="P61" s="6" t="n">
        <f aca="false">IF(TablaVentas[[#This Row],[Costo_unitario]]="","PENDIENTE",TablaVentas[[#This Row],[Unidades]]*TablaVentas[[#This Row],[Costo_unitario]])</f>
        <v>794.2</v>
      </c>
      <c r="Q61" s="6" t="n">
        <f aca="false">IF(OR(TablaVentas[[#This Row],[Ingreso_neto]]="PENDIENTE",TablaVentas[[#This Row],[Costo_total]]="PENDIENTE"),"PENDIENTE",TablaVentas[[#This Row],[Ingreso_neto]]-TablaVentas[[#This Row],[Costo_total]])</f>
        <v>570.272</v>
      </c>
    </row>
    <row r="62" customFormat="false" ht="13.5" hidden="false" customHeight="false" outlineLevel="0" collapsed="false">
      <c r="A62" s="1" t="s">
        <v>160</v>
      </c>
      <c r="B62" s="1" t="n">
        <v>3</v>
      </c>
      <c r="C62" s="5" t="n">
        <v>46124</v>
      </c>
      <c r="D62" s="6" t="s">
        <v>161</v>
      </c>
      <c r="E62" s="6" t="s">
        <v>163</v>
      </c>
      <c r="F62" s="6" t="s">
        <v>84</v>
      </c>
      <c r="G62" s="6" t="s">
        <v>47</v>
      </c>
      <c r="H62" s="6" t="s">
        <v>58</v>
      </c>
      <c r="I62" s="1" t="n">
        <v>1</v>
      </c>
      <c r="J62" s="7" t="n">
        <v>20560.88</v>
      </c>
      <c r="K62" s="8" t="n">
        <v>0.2</v>
      </c>
      <c r="L62" s="7" t="n">
        <v>13981.13</v>
      </c>
      <c r="M62" s="6" t="s">
        <v>49</v>
      </c>
      <c r="N62" s="6" t="s">
        <v>50</v>
      </c>
      <c r="O62" s="6" t="n">
        <f aca="false">IF(TablaVentas[[#This Row],[Precio_unitario]]="","PENDIENTE",TablaVentas[[#This Row],[Unidades]]*TablaVentas[[#This Row],[Precio_unitario]]*(1-TablaVentas[[#This Row],[Descuento_pct]]))</f>
        <v>16448.704</v>
      </c>
      <c r="P62" s="6" t="n">
        <f aca="false">IF(TablaVentas[[#This Row],[Costo_unitario]]="","PENDIENTE",TablaVentas[[#This Row],[Unidades]]*TablaVentas[[#This Row],[Costo_unitario]])</f>
        <v>13981.13</v>
      </c>
      <c r="Q62" s="6" t="n">
        <f aca="false">IF(OR(TablaVentas[[#This Row],[Ingreso_neto]]="PENDIENTE",TablaVentas[[#This Row],[Costo_total]]="PENDIENTE"),"PENDIENTE",TablaVentas[[#This Row],[Ingreso_neto]]-TablaVentas[[#This Row],[Costo_total]])</f>
        <v>2467.574</v>
      </c>
    </row>
    <row r="63" customFormat="false" ht="13.5" hidden="false" customHeight="false" outlineLevel="0" collapsed="false">
      <c r="A63" s="1" t="s">
        <v>164</v>
      </c>
      <c r="B63" s="1" t="n">
        <v>1</v>
      </c>
      <c r="C63" s="5" t="n">
        <v>46032</v>
      </c>
      <c r="D63" s="6" t="s">
        <v>165</v>
      </c>
      <c r="E63" s="6" t="s">
        <v>166</v>
      </c>
      <c r="F63" s="6" t="s">
        <v>73</v>
      </c>
      <c r="G63" s="6" t="s">
        <v>57</v>
      </c>
      <c r="H63" s="6" t="s">
        <v>58</v>
      </c>
      <c r="I63" s="1" t="n">
        <v>1</v>
      </c>
      <c r="J63" s="7" t="n">
        <v>12449.94</v>
      </c>
      <c r="K63" s="8" t="n">
        <v>0</v>
      </c>
      <c r="L63" s="7" t="n">
        <v>9317.37</v>
      </c>
      <c r="M63" s="6" t="s">
        <v>49</v>
      </c>
      <c r="N63" s="6" t="s">
        <v>52</v>
      </c>
      <c r="O63" s="6" t="n">
        <f aca="false">IF(TablaVentas[[#This Row],[Precio_unitario]]="","PENDIENTE",TablaVentas[[#This Row],[Unidades]]*TablaVentas[[#This Row],[Precio_unitario]]*(1-TablaVentas[[#This Row],[Descuento_pct]]))</f>
        <v>12449.94</v>
      </c>
      <c r="P63" s="6" t="n">
        <f aca="false">IF(TablaVentas[[#This Row],[Costo_unitario]]="","PENDIENTE",TablaVentas[[#This Row],[Unidades]]*TablaVentas[[#This Row],[Costo_unitario]])</f>
        <v>9317.37</v>
      </c>
      <c r="Q63" s="6" t="n">
        <f aca="false">IF(OR(TablaVentas[[#This Row],[Ingreso_neto]]="PENDIENTE",TablaVentas[[#This Row],[Costo_total]]="PENDIENTE"),"PENDIENTE",TablaVentas[[#This Row],[Ingreso_neto]]-TablaVentas[[#This Row],[Costo_total]])</f>
        <v>3132.57</v>
      </c>
    </row>
    <row r="64" customFormat="false" ht="13.5" hidden="false" customHeight="false" outlineLevel="0" collapsed="false">
      <c r="A64" s="1" t="s">
        <v>164</v>
      </c>
      <c r="B64" s="1" t="n">
        <v>2</v>
      </c>
      <c r="C64" s="5" t="n">
        <v>46032</v>
      </c>
      <c r="D64" s="6" t="s">
        <v>165</v>
      </c>
      <c r="E64" s="6" t="s">
        <v>167</v>
      </c>
      <c r="F64" s="6" t="s">
        <v>73</v>
      </c>
      <c r="G64" s="6" t="s">
        <v>57</v>
      </c>
      <c r="H64" s="6" t="s">
        <v>58</v>
      </c>
      <c r="I64" s="1" t="n">
        <v>1</v>
      </c>
      <c r="J64" s="7" t="n">
        <v>7666.31</v>
      </c>
      <c r="K64" s="8" t="n">
        <v>0.15</v>
      </c>
      <c r="L64" s="7" t="n">
        <v>4082.15</v>
      </c>
      <c r="M64" s="6" t="s">
        <v>49</v>
      </c>
      <c r="N64" s="6" t="s">
        <v>50</v>
      </c>
      <c r="O64" s="6" t="n">
        <f aca="false">IF(TablaVentas[[#This Row],[Precio_unitario]]="","PENDIENTE",TablaVentas[[#This Row],[Unidades]]*TablaVentas[[#This Row],[Precio_unitario]]*(1-TablaVentas[[#This Row],[Descuento_pct]]))</f>
        <v>6516.3635</v>
      </c>
      <c r="P64" s="6" t="n">
        <f aca="false">IF(TablaVentas[[#This Row],[Costo_unitario]]="","PENDIENTE",TablaVentas[[#This Row],[Unidades]]*TablaVentas[[#This Row],[Costo_unitario]])</f>
        <v>4082.15</v>
      </c>
      <c r="Q64" s="6" t="n">
        <f aca="false">IF(OR(TablaVentas[[#This Row],[Ingreso_neto]]="PENDIENTE",TablaVentas[[#This Row],[Costo_total]]="PENDIENTE"),"PENDIENTE",TablaVentas[[#This Row],[Ingreso_neto]]-TablaVentas[[#This Row],[Costo_total]])</f>
        <v>2434.2135</v>
      </c>
    </row>
    <row r="65" customFormat="false" ht="13.5" hidden="false" customHeight="false" outlineLevel="0" collapsed="false">
      <c r="A65" s="1" t="s">
        <v>168</v>
      </c>
      <c r="B65" s="1" t="n">
        <v>1</v>
      </c>
      <c r="C65" s="5" t="n">
        <v>46176</v>
      </c>
      <c r="D65" s="6" t="s">
        <v>169</v>
      </c>
      <c r="E65" s="6" t="s">
        <v>170</v>
      </c>
      <c r="F65" s="6" t="s">
        <v>84</v>
      </c>
      <c r="G65" s="6" t="s">
        <v>64</v>
      </c>
      <c r="H65" s="6" t="s">
        <v>109</v>
      </c>
      <c r="I65" s="1" t="n">
        <v>2</v>
      </c>
      <c r="J65" s="7" t="n">
        <v>16386.12</v>
      </c>
      <c r="K65" s="8" t="n">
        <v>0</v>
      </c>
      <c r="L65" s="7" t="n">
        <v>12141.44</v>
      </c>
      <c r="M65" s="6" t="s">
        <v>49</v>
      </c>
      <c r="N65" s="6" t="s">
        <v>50</v>
      </c>
      <c r="O65" s="6" t="n">
        <f aca="false">IF(TablaVentas[[#This Row],[Precio_unitario]]="","PENDIENTE",TablaVentas[[#This Row],[Unidades]]*TablaVentas[[#This Row],[Precio_unitario]]*(1-TablaVentas[[#This Row],[Descuento_pct]]))</f>
        <v>32772.24</v>
      </c>
      <c r="P65" s="6" t="n">
        <f aca="false">IF(TablaVentas[[#This Row],[Costo_unitario]]="","PENDIENTE",TablaVentas[[#This Row],[Unidades]]*TablaVentas[[#This Row],[Costo_unitario]])</f>
        <v>24282.88</v>
      </c>
      <c r="Q65" s="6" t="n">
        <f aca="false">IF(OR(TablaVentas[[#This Row],[Ingreso_neto]]="PENDIENTE",TablaVentas[[#This Row],[Costo_total]]="PENDIENTE"),"PENDIENTE",TablaVentas[[#This Row],[Ingreso_neto]]-TablaVentas[[#This Row],[Costo_total]])</f>
        <v>8489.36</v>
      </c>
    </row>
    <row r="66" customFormat="false" ht="13.5" hidden="false" customHeight="false" outlineLevel="0" collapsed="false">
      <c r="A66" s="1" t="s">
        <v>168</v>
      </c>
      <c r="B66" s="1" t="n">
        <v>2</v>
      </c>
      <c r="C66" s="5" t="n">
        <v>46176</v>
      </c>
      <c r="D66" s="6" t="s">
        <v>169</v>
      </c>
      <c r="E66" s="6" t="s">
        <v>171</v>
      </c>
      <c r="F66" s="6" t="s">
        <v>84</v>
      </c>
      <c r="G66" s="6" t="s">
        <v>64</v>
      </c>
      <c r="H66" s="6" t="s">
        <v>109</v>
      </c>
      <c r="I66" s="1" t="n">
        <v>2</v>
      </c>
      <c r="J66" s="7" t="n">
        <v>6337.34</v>
      </c>
      <c r="K66" s="8" t="n">
        <v>0</v>
      </c>
      <c r="L66" s="7" t="n">
        <v>5050.04</v>
      </c>
      <c r="M66" s="6" t="s">
        <v>49</v>
      </c>
      <c r="N66" s="6" t="s">
        <v>67</v>
      </c>
      <c r="O66" s="6" t="n">
        <f aca="false">IF(TablaVentas[[#This Row],[Precio_unitario]]="","PENDIENTE",TablaVentas[[#This Row],[Unidades]]*TablaVentas[[#This Row],[Precio_unitario]]*(1-TablaVentas[[#This Row],[Descuento_pct]]))</f>
        <v>12674.68</v>
      </c>
      <c r="P66" s="6" t="n">
        <f aca="false">IF(TablaVentas[[#This Row],[Costo_unitario]]="","PENDIENTE",TablaVentas[[#This Row],[Unidades]]*TablaVentas[[#This Row],[Costo_unitario]])</f>
        <v>10100.08</v>
      </c>
      <c r="Q66" s="6" t="n">
        <f aca="false">IF(OR(TablaVentas[[#This Row],[Ingreso_neto]]="PENDIENTE",TablaVentas[[#This Row],[Costo_total]]="PENDIENTE"),"PENDIENTE",TablaVentas[[#This Row],[Ingreso_neto]]-TablaVentas[[#This Row],[Costo_total]])</f>
        <v>2574.6</v>
      </c>
    </row>
    <row r="67" customFormat="false" ht="13.5" hidden="false" customHeight="false" outlineLevel="0" collapsed="false">
      <c r="A67" s="1" t="s">
        <v>168</v>
      </c>
      <c r="B67" s="1" t="n">
        <v>3</v>
      </c>
      <c r="C67" s="5" t="n">
        <v>46176</v>
      </c>
      <c r="D67" s="6" t="s">
        <v>169</v>
      </c>
      <c r="E67" s="6" t="s">
        <v>121</v>
      </c>
      <c r="F67" s="6" t="s">
        <v>84</v>
      </c>
      <c r="G67" s="6" t="s">
        <v>64</v>
      </c>
      <c r="H67" s="6" t="s">
        <v>109</v>
      </c>
      <c r="I67" s="1" t="n">
        <v>1</v>
      </c>
      <c r="J67" s="7" t="n">
        <v>13085.35</v>
      </c>
      <c r="K67" s="8" t="n">
        <v>0</v>
      </c>
      <c r="L67" s="7" t="n">
        <v>8239.48</v>
      </c>
      <c r="M67" s="6" t="s">
        <v>49</v>
      </c>
      <c r="N67" s="6" t="s">
        <v>50</v>
      </c>
      <c r="O67" s="6" t="n">
        <f aca="false">IF(TablaVentas[[#This Row],[Precio_unitario]]="","PENDIENTE",TablaVentas[[#This Row],[Unidades]]*TablaVentas[[#This Row],[Precio_unitario]]*(1-TablaVentas[[#This Row],[Descuento_pct]]))</f>
        <v>13085.35</v>
      </c>
      <c r="P67" s="6" t="n">
        <f aca="false">IF(TablaVentas[[#This Row],[Costo_unitario]]="","PENDIENTE",TablaVentas[[#This Row],[Unidades]]*TablaVentas[[#This Row],[Costo_unitario]])</f>
        <v>8239.48</v>
      </c>
      <c r="Q67" s="6" t="n">
        <f aca="false">IF(OR(TablaVentas[[#This Row],[Ingreso_neto]]="PENDIENTE",TablaVentas[[#This Row],[Costo_total]]="PENDIENTE"),"PENDIENTE",TablaVentas[[#This Row],[Ingreso_neto]]-TablaVentas[[#This Row],[Costo_total]])</f>
        <v>4845.87</v>
      </c>
    </row>
    <row r="68" customFormat="false" ht="13.5" hidden="false" customHeight="false" outlineLevel="0" collapsed="false">
      <c r="A68" s="1" t="s">
        <v>172</v>
      </c>
      <c r="B68" s="1" t="n">
        <v>1</v>
      </c>
      <c r="C68" s="5" t="n">
        <v>46226</v>
      </c>
      <c r="D68" s="6" t="s">
        <v>173</v>
      </c>
      <c r="E68" s="6" t="s">
        <v>174</v>
      </c>
      <c r="F68" s="6" t="s">
        <v>84</v>
      </c>
      <c r="G68" s="6" t="s">
        <v>47</v>
      </c>
      <c r="H68" s="6" t="s">
        <v>58</v>
      </c>
      <c r="I68" s="1" t="n">
        <v>2</v>
      </c>
      <c r="J68" s="7" t="n">
        <v>17970.37</v>
      </c>
      <c r="K68" s="8" t="n">
        <v>0.2</v>
      </c>
      <c r="L68" s="7" t="n">
        <v>8704.4</v>
      </c>
      <c r="M68" s="6" t="s">
        <v>49</v>
      </c>
      <c r="N68" s="6" t="s">
        <v>59</v>
      </c>
      <c r="O68" s="6" t="n">
        <f aca="false">IF(TablaVentas[[#This Row],[Precio_unitario]]="","PENDIENTE",TablaVentas[[#This Row],[Unidades]]*TablaVentas[[#This Row],[Precio_unitario]]*(1-TablaVentas[[#This Row],[Descuento_pct]]))</f>
        <v>28752.592</v>
      </c>
      <c r="P68" s="6" t="n">
        <f aca="false">IF(TablaVentas[[#This Row],[Costo_unitario]]="","PENDIENTE",TablaVentas[[#This Row],[Unidades]]*TablaVentas[[#This Row],[Costo_unitario]])</f>
        <v>17408.8</v>
      </c>
      <c r="Q68" s="6" t="n">
        <f aca="false">IF(OR(TablaVentas[[#This Row],[Ingreso_neto]]="PENDIENTE",TablaVentas[[#This Row],[Costo_total]]="PENDIENTE"),"PENDIENTE",TablaVentas[[#This Row],[Ingreso_neto]]-TablaVentas[[#This Row],[Costo_total]])</f>
        <v>11343.792</v>
      </c>
    </row>
    <row r="69" customFormat="false" ht="13.5" hidden="false" customHeight="false" outlineLevel="0" collapsed="false">
      <c r="A69" s="1" t="s">
        <v>172</v>
      </c>
      <c r="B69" s="1" t="n">
        <v>2</v>
      </c>
      <c r="C69" s="5" t="n">
        <v>46226</v>
      </c>
      <c r="D69" s="6" t="s">
        <v>173</v>
      </c>
      <c r="E69" s="6" t="s">
        <v>83</v>
      </c>
      <c r="F69" s="6" t="s">
        <v>84</v>
      </c>
      <c r="G69" s="6" t="s">
        <v>47</v>
      </c>
      <c r="H69" s="6" t="s">
        <v>58</v>
      </c>
      <c r="I69" s="1" t="n">
        <v>1</v>
      </c>
      <c r="J69" s="7" t="n">
        <v>13782.75</v>
      </c>
      <c r="K69" s="8" t="n">
        <v>0</v>
      </c>
      <c r="L69" s="7" t="n">
        <v>7748.44</v>
      </c>
      <c r="M69" s="6" t="s">
        <v>69</v>
      </c>
      <c r="N69" s="6" t="s">
        <v>59</v>
      </c>
      <c r="O69" s="6" t="n">
        <f aca="false">IF(TablaVentas[[#This Row],[Precio_unitario]]="","PENDIENTE",TablaVentas[[#This Row],[Unidades]]*TablaVentas[[#This Row],[Precio_unitario]]*(1-TablaVentas[[#This Row],[Descuento_pct]]))</f>
        <v>13782.75</v>
      </c>
      <c r="P69" s="6" t="n">
        <f aca="false">IF(TablaVentas[[#This Row],[Costo_unitario]]="","PENDIENTE",TablaVentas[[#This Row],[Unidades]]*TablaVentas[[#This Row],[Costo_unitario]])</f>
        <v>7748.44</v>
      </c>
      <c r="Q69" s="6" t="n">
        <f aca="false">IF(OR(TablaVentas[[#This Row],[Ingreso_neto]]="PENDIENTE",TablaVentas[[#This Row],[Costo_total]]="PENDIENTE"),"PENDIENTE",TablaVentas[[#This Row],[Ingreso_neto]]-TablaVentas[[#This Row],[Costo_total]])</f>
        <v>6034.31</v>
      </c>
    </row>
    <row r="70" customFormat="false" ht="13.5" hidden="false" customHeight="false" outlineLevel="0" collapsed="false">
      <c r="A70" s="1" t="s">
        <v>175</v>
      </c>
      <c r="B70" s="1" t="n">
        <v>1</v>
      </c>
      <c r="C70" s="5" t="n">
        <v>46029</v>
      </c>
      <c r="D70" s="6" t="s">
        <v>176</v>
      </c>
      <c r="E70" s="6" t="s">
        <v>117</v>
      </c>
      <c r="F70" s="6" t="s">
        <v>73</v>
      </c>
      <c r="G70" s="6" t="s">
        <v>47</v>
      </c>
      <c r="H70" s="6" t="s">
        <v>74</v>
      </c>
      <c r="I70" s="1" t="n">
        <v>3</v>
      </c>
      <c r="J70" s="7" t="n">
        <v>5249.71</v>
      </c>
      <c r="K70" s="8" t="n">
        <v>0.1</v>
      </c>
      <c r="L70" s="7" t="n">
        <v>4205.69</v>
      </c>
      <c r="M70" s="6" t="s">
        <v>49</v>
      </c>
      <c r="N70" s="6" t="s">
        <v>67</v>
      </c>
      <c r="O70" s="6" t="n">
        <f aca="false">IF(TablaVentas[[#This Row],[Precio_unitario]]="","PENDIENTE",TablaVentas[[#This Row],[Unidades]]*TablaVentas[[#This Row],[Precio_unitario]]*(1-TablaVentas[[#This Row],[Descuento_pct]]))</f>
        <v>14174.217</v>
      </c>
      <c r="P70" s="6" t="n">
        <f aca="false">IF(TablaVentas[[#This Row],[Costo_unitario]]="","PENDIENTE",TablaVentas[[#This Row],[Unidades]]*TablaVentas[[#This Row],[Costo_unitario]])</f>
        <v>12617.07</v>
      </c>
      <c r="Q70" s="6" t="n">
        <f aca="false">IF(OR(TablaVentas[[#This Row],[Ingreso_neto]]="PENDIENTE",TablaVentas[[#This Row],[Costo_total]]="PENDIENTE"),"PENDIENTE",TablaVentas[[#This Row],[Ingreso_neto]]-TablaVentas[[#This Row],[Costo_total]])</f>
        <v>1557.147</v>
      </c>
    </row>
    <row r="71" customFormat="false" ht="13.5" hidden="false" customHeight="false" outlineLevel="0" collapsed="false">
      <c r="A71" s="1" t="s">
        <v>175</v>
      </c>
      <c r="B71" s="1" t="n">
        <v>2</v>
      </c>
      <c r="C71" s="5" t="n">
        <v>46029</v>
      </c>
      <c r="D71" s="6" t="s">
        <v>176</v>
      </c>
      <c r="E71" s="6" t="s">
        <v>174</v>
      </c>
      <c r="F71" s="6" t="s">
        <v>73</v>
      </c>
      <c r="G71" s="6" t="s">
        <v>47</v>
      </c>
      <c r="H71" s="6" t="s">
        <v>74</v>
      </c>
      <c r="I71" s="1" t="n">
        <v>1</v>
      </c>
      <c r="J71" s="7" t="n">
        <v>16256.09</v>
      </c>
      <c r="K71" s="8" t="n">
        <v>0</v>
      </c>
      <c r="L71" s="7" t="n">
        <v>8704.4</v>
      </c>
      <c r="M71" s="6" t="s">
        <v>49</v>
      </c>
      <c r="N71" s="6" t="s">
        <v>67</v>
      </c>
      <c r="O71" s="6" t="n">
        <f aca="false">IF(TablaVentas[[#This Row],[Precio_unitario]]="","PENDIENTE",TablaVentas[[#This Row],[Unidades]]*TablaVentas[[#This Row],[Precio_unitario]]*(1-TablaVentas[[#This Row],[Descuento_pct]]))</f>
        <v>16256.09</v>
      </c>
      <c r="P71" s="6" t="n">
        <f aca="false">IF(TablaVentas[[#This Row],[Costo_unitario]]="","PENDIENTE",TablaVentas[[#This Row],[Unidades]]*TablaVentas[[#This Row],[Costo_unitario]])</f>
        <v>8704.4</v>
      </c>
      <c r="Q71" s="6" t="n">
        <f aca="false">IF(OR(TablaVentas[[#This Row],[Ingreso_neto]]="PENDIENTE",TablaVentas[[#This Row],[Costo_total]]="PENDIENTE"),"PENDIENTE",TablaVentas[[#This Row],[Ingreso_neto]]-TablaVentas[[#This Row],[Costo_total]])</f>
        <v>7551.69</v>
      </c>
    </row>
    <row r="72" customFormat="false" ht="13.5" hidden="false" customHeight="false" outlineLevel="0" collapsed="false">
      <c r="A72" s="1" t="s">
        <v>177</v>
      </c>
      <c r="B72" s="1" t="n">
        <v>1</v>
      </c>
      <c r="C72" s="5" t="n">
        <v>46121</v>
      </c>
      <c r="D72" s="6" t="s">
        <v>178</v>
      </c>
      <c r="E72" s="6" t="s">
        <v>72</v>
      </c>
      <c r="F72" s="6" t="s">
        <v>46</v>
      </c>
      <c r="G72" s="6" t="s">
        <v>64</v>
      </c>
      <c r="H72" s="6" t="s">
        <v>48</v>
      </c>
      <c r="I72" s="1" t="n">
        <v>2</v>
      </c>
      <c r="J72" s="7" t="n">
        <v>10361.37</v>
      </c>
      <c r="K72" s="8" t="n">
        <v>0</v>
      </c>
      <c r="L72" s="7" t="n">
        <v>7328.02</v>
      </c>
      <c r="M72" s="6" t="s">
        <v>49</v>
      </c>
      <c r="N72" s="6" t="s">
        <v>52</v>
      </c>
      <c r="O72" s="6" t="n">
        <f aca="false">IF(TablaVentas[[#This Row],[Precio_unitario]]="","PENDIENTE",TablaVentas[[#This Row],[Unidades]]*TablaVentas[[#This Row],[Precio_unitario]]*(1-TablaVentas[[#This Row],[Descuento_pct]]))</f>
        <v>20722.74</v>
      </c>
      <c r="P72" s="6" t="n">
        <f aca="false">IF(TablaVentas[[#This Row],[Costo_unitario]]="","PENDIENTE",TablaVentas[[#This Row],[Unidades]]*TablaVentas[[#This Row],[Costo_unitario]])</f>
        <v>14656.04</v>
      </c>
      <c r="Q72" s="6" t="n">
        <f aca="false">IF(OR(TablaVentas[[#This Row],[Ingreso_neto]]="PENDIENTE",TablaVentas[[#This Row],[Costo_total]]="PENDIENTE"),"PENDIENTE",TablaVentas[[#This Row],[Ingreso_neto]]-TablaVentas[[#This Row],[Costo_total]])</f>
        <v>6066.7</v>
      </c>
    </row>
    <row r="73" customFormat="false" ht="13.5" hidden="false" customHeight="false" outlineLevel="0" collapsed="false">
      <c r="A73" s="1" t="s">
        <v>177</v>
      </c>
      <c r="B73" s="1" t="n">
        <v>2</v>
      </c>
      <c r="C73" s="5" t="n">
        <v>46121</v>
      </c>
      <c r="D73" s="6" t="s">
        <v>178</v>
      </c>
      <c r="E73" s="6" t="s">
        <v>179</v>
      </c>
      <c r="F73" s="6" t="s">
        <v>46</v>
      </c>
      <c r="G73" s="6" t="s">
        <v>64</v>
      </c>
      <c r="H73" s="6" t="s">
        <v>48</v>
      </c>
      <c r="I73" s="1" t="n">
        <v>4</v>
      </c>
      <c r="J73" s="7" t="n">
        <v>15410.93</v>
      </c>
      <c r="K73" s="8" t="n">
        <v>0.05</v>
      </c>
      <c r="L73" s="7" t="n">
        <v>10830.17</v>
      </c>
      <c r="M73" s="6" t="s">
        <v>123</v>
      </c>
      <c r="N73" s="6" t="s">
        <v>59</v>
      </c>
      <c r="O73" s="6" t="n">
        <f aca="false">IF(TablaVentas[[#This Row],[Precio_unitario]]="","PENDIENTE",TablaVentas[[#This Row],[Unidades]]*TablaVentas[[#This Row],[Precio_unitario]]*(1-TablaVentas[[#This Row],[Descuento_pct]]))</f>
        <v>58561.534</v>
      </c>
      <c r="P73" s="6" t="n">
        <f aca="false">IF(TablaVentas[[#This Row],[Costo_unitario]]="","PENDIENTE",TablaVentas[[#This Row],[Unidades]]*TablaVentas[[#This Row],[Costo_unitario]])</f>
        <v>43320.68</v>
      </c>
      <c r="Q73" s="6" t="n">
        <f aca="false">IF(OR(TablaVentas[[#This Row],[Ingreso_neto]]="PENDIENTE",TablaVentas[[#This Row],[Costo_total]]="PENDIENTE"),"PENDIENTE",TablaVentas[[#This Row],[Ingreso_neto]]-TablaVentas[[#This Row],[Costo_total]])</f>
        <v>15240.854</v>
      </c>
    </row>
    <row r="74" customFormat="false" ht="13.5" hidden="false" customHeight="false" outlineLevel="0" collapsed="false">
      <c r="A74" s="1" t="s">
        <v>180</v>
      </c>
      <c r="B74" s="1" t="n">
        <v>1</v>
      </c>
      <c r="C74" s="5" t="n">
        <v>46225</v>
      </c>
      <c r="D74" s="6" t="s">
        <v>181</v>
      </c>
      <c r="E74" s="6" t="s">
        <v>182</v>
      </c>
      <c r="F74" s="6" t="s">
        <v>46</v>
      </c>
      <c r="G74" s="6" t="s">
        <v>47</v>
      </c>
      <c r="H74" s="6" t="s">
        <v>48</v>
      </c>
      <c r="I74" s="1" t="n">
        <v>12</v>
      </c>
      <c r="J74" s="7" t="n">
        <v>2729.89</v>
      </c>
      <c r="K74" s="8" t="n">
        <v>0</v>
      </c>
      <c r="L74" s="7" t="n">
        <v>1857.39</v>
      </c>
      <c r="M74" s="6" t="s">
        <v>49</v>
      </c>
      <c r="N74" s="6" t="s">
        <v>50</v>
      </c>
      <c r="O74" s="6" t="n">
        <f aca="false">IF(TablaVentas[[#This Row],[Precio_unitario]]="","PENDIENTE",TablaVentas[[#This Row],[Unidades]]*TablaVentas[[#This Row],[Precio_unitario]]*(1-TablaVentas[[#This Row],[Descuento_pct]]))</f>
        <v>32758.68</v>
      </c>
      <c r="P74" s="6" t="n">
        <f aca="false">IF(TablaVentas[[#This Row],[Costo_unitario]]="","PENDIENTE",TablaVentas[[#This Row],[Unidades]]*TablaVentas[[#This Row],[Costo_unitario]])</f>
        <v>22288.68</v>
      </c>
      <c r="Q74" s="6" t="n">
        <f aca="false">IF(OR(TablaVentas[[#This Row],[Ingreso_neto]]="PENDIENTE",TablaVentas[[#This Row],[Costo_total]]="PENDIENTE"),"PENDIENTE",TablaVentas[[#This Row],[Ingreso_neto]]-TablaVentas[[#This Row],[Costo_total]])</f>
        <v>10470</v>
      </c>
    </row>
    <row r="75" customFormat="false" ht="13.5" hidden="false" customHeight="false" outlineLevel="0" collapsed="false">
      <c r="A75" s="1" t="s">
        <v>180</v>
      </c>
      <c r="B75" s="1" t="n">
        <v>2</v>
      </c>
      <c r="C75" s="5" t="n">
        <v>46225</v>
      </c>
      <c r="D75" s="6" t="s">
        <v>181</v>
      </c>
      <c r="E75" s="6" t="s">
        <v>66</v>
      </c>
      <c r="F75" s="6" t="s">
        <v>46</v>
      </c>
      <c r="G75" s="6" t="s">
        <v>47</v>
      </c>
      <c r="H75" s="6" t="s">
        <v>48</v>
      </c>
      <c r="I75" s="1" t="n">
        <v>1</v>
      </c>
      <c r="J75" s="7" t="n">
        <v>13963.08</v>
      </c>
      <c r="K75" s="8" t="n">
        <v>0</v>
      </c>
      <c r="L75" s="7" t="n">
        <v>10170.29</v>
      </c>
      <c r="M75" s="6" t="s">
        <v>49</v>
      </c>
      <c r="N75" s="6" t="s">
        <v>67</v>
      </c>
      <c r="O75" s="6" t="n">
        <f aca="false">IF(TablaVentas[[#This Row],[Precio_unitario]]="","PENDIENTE",TablaVentas[[#This Row],[Unidades]]*TablaVentas[[#This Row],[Precio_unitario]]*(1-TablaVentas[[#This Row],[Descuento_pct]]))</f>
        <v>13963.08</v>
      </c>
      <c r="P75" s="6" t="n">
        <f aca="false">IF(TablaVentas[[#This Row],[Costo_unitario]]="","PENDIENTE",TablaVentas[[#This Row],[Unidades]]*TablaVentas[[#This Row],[Costo_unitario]])</f>
        <v>10170.29</v>
      </c>
      <c r="Q75" s="6" t="n">
        <f aca="false">IF(OR(TablaVentas[[#This Row],[Ingreso_neto]]="PENDIENTE",TablaVentas[[#This Row],[Costo_total]]="PENDIENTE"),"PENDIENTE",TablaVentas[[#This Row],[Ingreso_neto]]-TablaVentas[[#This Row],[Costo_total]])</f>
        <v>3792.79</v>
      </c>
    </row>
    <row r="76" customFormat="false" ht="13.5" hidden="false" customHeight="false" outlineLevel="0" collapsed="false">
      <c r="A76" s="1" t="s">
        <v>180</v>
      </c>
      <c r="B76" s="1" t="n">
        <v>3</v>
      </c>
      <c r="C76" s="5" t="n">
        <v>46225</v>
      </c>
      <c r="D76" s="6" t="s">
        <v>181</v>
      </c>
      <c r="E76" s="6" t="s">
        <v>167</v>
      </c>
      <c r="F76" s="6" t="s">
        <v>46</v>
      </c>
      <c r="G76" s="6" t="s">
        <v>47</v>
      </c>
      <c r="H76" s="6" t="s">
        <v>48</v>
      </c>
      <c r="I76" s="1" t="n">
        <v>2</v>
      </c>
      <c r="J76" s="7" t="n">
        <v>7973.6</v>
      </c>
      <c r="K76" s="8" t="n">
        <v>0</v>
      </c>
      <c r="L76" s="7" t="n">
        <v>4082.15</v>
      </c>
      <c r="M76" s="6" t="s">
        <v>49</v>
      </c>
      <c r="N76" s="6" t="s">
        <v>50</v>
      </c>
      <c r="O76" s="6" t="n">
        <f aca="false">IF(TablaVentas[[#This Row],[Precio_unitario]]="","PENDIENTE",TablaVentas[[#This Row],[Unidades]]*TablaVentas[[#This Row],[Precio_unitario]]*(1-TablaVentas[[#This Row],[Descuento_pct]]))</f>
        <v>15947.2</v>
      </c>
      <c r="P76" s="6" t="n">
        <f aca="false">IF(TablaVentas[[#This Row],[Costo_unitario]]="","PENDIENTE",TablaVentas[[#This Row],[Unidades]]*TablaVentas[[#This Row],[Costo_unitario]])</f>
        <v>8164.3</v>
      </c>
      <c r="Q76" s="6" t="n">
        <f aca="false">IF(OR(TablaVentas[[#This Row],[Ingreso_neto]]="PENDIENTE",TablaVentas[[#This Row],[Costo_total]]="PENDIENTE"),"PENDIENTE",TablaVentas[[#This Row],[Ingreso_neto]]-TablaVentas[[#This Row],[Costo_total]])</f>
        <v>7782.9</v>
      </c>
    </row>
    <row r="77" customFormat="false" ht="13.5" hidden="false" customHeight="false" outlineLevel="0" collapsed="false">
      <c r="A77" s="1" t="s">
        <v>180</v>
      </c>
      <c r="B77" s="1" t="n">
        <v>4</v>
      </c>
      <c r="C77" s="5" t="n">
        <v>46225</v>
      </c>
      <c r="D77" s="6" t="s">
        <v>181</v>
      </c>
      <c r="E77" s="6" t="s">
        <v>159</v>
      </c>
      <c r="F77" s="6" t="s">
        <v>46</v>
      </c>
      <c r="G77" s="6" t="s">
        <v>47</v>
      </c>
      <c r="H77" s="6" t="s">
        <v>48</v>
      </c>
      <c r="I77" s="1" t="n">
        <v>1</v>
      </c>
      <c r="J77" s="7" t="n">
        <v>2878.24</v>
      </c>
      <c r="K77" s="8" t="n">
        <v>0.1</v>
      </c>
      <c r="L77" s="7" t="n">
        <v>1962.3</v>
      </c>
      <c r="M77" s="6" t="s">
        <v>49</v>
      </c>
      <c r="N77" s="6" t="s">
        <v>59</v>
      </c>
      <c r="O77" s="6" t="n">
        <f aca="false">IF(TablaVentas[[#This Row],[Precio_unitario]]="","PENDIENTE",TablaVentas[[#This Row],[Unidades]]*TablaVentas[[#This Row],[Precio_unitario]]*(1-TablaVentas[[#This Row],[Descuento_pct]]))</f>
        <v>2590.416</v>
      </c>
      <c r="P77" s="6" t="n">
        <f aca="false">IF(TablaVentas[[#This Row],[Costo_unitario]]="","PENDIENTE",TablaVentas[[#This Row],[Unidades]]*TablaVentas[[#This Row],[Costo_unitario]])</f>
        <v>1962.3</v>
      </c>
      <c r="Q77" s="6" t="n">
        <f aca="false">IF(OR(TablaVentas[[#This Row],[Ingreso_neto]]="PENDIENTE",TablaVentas[[#This Row],[Costo_total]]="PENDIENTE"),"PENDIENTE",TablaVentas[[#This Row],[Ingreso_neto]]-TablaVentas[[#This Row],[Costo_total]])</f>
        <v>628.116</v>
      </c>
    </row>
    <row r="78" customFormat="false" ht="13.5" hidden="false" customHeight="false" outlineLevel="0" collapsed="false">
      <c r="A78" s="1" t="s">
        <v>183</v>
      </c>
      <c r="B78" s="1" t="n">
        <v>1</v>
      </c>
      <c r="C78" s="5" t="n">
        <v>46292</v>
      </c>
      <c r="D78" s="6" t="s">
        <v>184</v>
      </c>
      <c r="E78" s="6" t="s">
        <v>51</v>
      </c>
      <c r="F78" s="6" t="s">
        <v>63</v>
      </c>
      <c r="G78" s="6" t="s">
        <v>57</v>
      </c>
      <c r="H78" s="6" t="s">
        <v>58</v>
      </c>
      <c r="I78" s="1" t="n">
        <v>1</v>
      </c>
      <c r="J78" s="7" t="n">
        <v>14573.57</v>
      </c>
      <c r="K78" s="8" t="n">
        <v>0.15</v>
      </c>
      <c r="L78" s="7" t="n">
        <v>8980.68</v>
      </c>
      <c r="M78" s="6" t="s">
        <v>49</v>
      </c>
      <c r="N78" s="6" t="s">
        <v>59</v>
      </c>
      <c r="O78" s="6" t="n">
        <f aca="false">IF(TablaVentas[[#This Row],[Precio_unitario]]="","PENDIENTE",TablaVentas[[#This Row],[Unidades]]*TablaVentas[[#This Row],[Precio_unitario]]*(1-TablaVentas[[#This Row],[Descuento_pct]]))</f>
        <v>12387.5345</v>
      </c>
      <c r="P78" s="6" t="n">
        <f aca="false">IF(TablaVentas[[#This Row],[Costo_unitario]]="","PENDIENTE",TablaVentas[[#This Row],[Unidades]]*TablaVentas[[#This Row],[Costo_unitario]])</f>
        <v>8980.68</v>
      </c>
      <c r="Q78" s="6" t="n">
        <f aca="false">IF(OR(TablaVentas[[#This Row],[Ingreso_neto]]="PENDIENTE",TablaVentas[[#This Row],[Costo_total]]="PENDIENTE"),"PENDIENTE",TablaVentas[[#This Row],[Ingreso_neto]]-TablaVentas[[#This Row],[Costo_total]])</f>
        <v>3406.8545</v>
      </c>
    </row>
    <row r="79" customFormat="false" ht="13.5" hidden="false" customHeight="false" outlineLevel="0" collapsed="false">
      <c r="A79" s="1" t="s">
        <v>185</v>
      </c>
      <c r="B79" s="1" t="n">
        <v>1</v>
      </c>
      <c r="C79" s="5" t="n">
        <v>46230</v>
      </c>
      <c r="D79" s="6" t="s">
        <v>186</v>
      </c>
      <c r="E79" s="6" t="s">
        <v>187</v>
      </c>
      <c r="F79" s="6" t="s">
        <v>84</v>
      </c>
      <c r="G79" s="6" t="s">
        <v>47</v>
      </c>
      <c r="H79" s="6" t="s">
        <v>89</v>
      </c>
      <c r="I79" s="1" t="n">
        <v>4</v>
      </c>
      <c r="J79" s="7" t="n">
        <v>6572.46</v>
      </c>
      <c r="K79" s="8" t="n">
        <v>0.15</v>
      </c>
      <c r="L79" s="7" t="n">
        <v>3824.92</v>
      </c>
      <c r="M79" s="6" t="s">
        <v>49</v>
      </c>
      <c r="N79" s="6" t="s">
        <v>52</v>
      </c>
      <c r="O79" s="6" t="n">
        <f aca="false">IF(TablaVentas[[#This Row],[Precio_unitario]]="","PENDIENTE",TablaVentas[[#This Row],[Unidades]]*TablaVentas[[#This Row],[Precio_unitario]]*(1-TablaVentas[[#This Row],[Descuento_pct]]))</f>
        <v>22346.364</v>
      </c>
      <c r="P79" s="6" t="n">
        <f aca="false">IF(TablaVentas[[#This Row],[Costo_unitario]]="","PENDIENTE",TablaVentas[[#This Row],[Unidades]]*TablaVentas[[#This Row],[Costo_unitario]])</f>
        <v>15299.68</v>
      </c>
      <c r="Q79" s="6" t="n">
        <f aca="false">IF(OR(TablaVentas[[#This Row],[Ingreso_neto]]="PENDIENTE",TablaVentas[[#This Row],[Costo_total]]="PENDIENTE"),"PENDIENTE",TablaVentas[[#This Row],[Ingreso_neto]]-TablaVentas[[#This Row],[Costo_total]])</f>
        <v>7046.684</v>
      </c>
    </row>
    <row r="80" customFormat="false" ht="13.5" hidden="false" customHeight="false" outlineLevel="0" collapsed="false">
      <c r="A80" s="1" t="s">
        <v>185</v>
      </c>
      <c r="B80" s="1" t="n">
        <v>2</v>
      </c>
      <c r="C80" s="5" t="n">
        <v>46230</v>
      </c>
      <c r="D80" s="6" t="s">
        <v>186</v>
      </c>
      <c r="E80" s="6" t="s">
        <v>135</v>
      </c>
      <c r="F80" s="6" t="s">
        <v>84</v>
      </c>
      <c r="G80" s="6" t="s">
        <v>47</v>
      </c>
      <c r="H80" s="6" t="s">
        <v>89</v>
      </c>
      <c r="I80" s="1" t="n">
        <v>5</v>
      </c>
      <c r="J80" s="7" t="n">
        <v>1698.11</v>
      </c>
      <c r="K80" s="8" t="n">
        <v>0</v>
      </c>
      <c r="L80" s="7" t="n">
        <v>900.08</v>
      </c>
      <c r="M80" s="6" t="s">
        <v>49</v>
      </c>
      <c r="N80" s="6" t="s">
        <v>67</v>
      </c>
      <c r="O80" s="6" t="n">
        <f aca="false">IF(TablaVentas[[#This Row],[Precio_unitario]]="","PENDIENTE",TablaVentas[[#This Row],[Unidades]]*TablaVentas[[#This Row],[Precio_unitario]]*(1-TablaVentas[[#This Row],[Descuento_pct]]))</f>
        <v>8490.55</v>
      </c>
      <c r="P80" s="6" t="n">
        <f aca="false">IF(TablaVentas[[#This Row],[Costo_unitario]]="","PENDIENTE",TablaVentas[[#This Row],[Unidades]]*TablaVentas[[#This Row],[Costo_unitario]])</f>
        <v>4500.4</v>
      </c>
      <c r="Q80" s="6" t="n">
        <f aca="false">IF(OR(TablaVentas[[#This Row],[Ingreso_neto]]="PENDIENTE",TablaVentas[[#This Row],[Costo_total]]="PENDIENTE"),"PENDIENTE",TablaVentas[[#This Row],[Ingreso_neto]]-TablaVentas[[#This Row],[Costo_total]])</f>
        <v>3990.15</v>
      </c>
    </row>
    <row r="81" customFormat="false" ht="13.5" hidden="false" customHeight="false" outlineLevel="0" collapsed="false">
      <c r="A81" s="1" t="s">
        <v>188</v>
      </c>
      <c r="B81" s="1" t="n">
        <v>1</v>
      </c>
      <c r="C81" s="5" t="n">
        <v>46290</v>
      </c>
      <c r="D81" s="6" t="s">
        <v>189</v>
      </c>
      <c r="E81" s="6" t="s">
        <v>190</v>
      </c>
      <c r="F81" s="6" t="s">
        <v>46</v>
      </c>
      <c r="G81" s="6" t="s">
        <v>57</v>
      </c>
      <c r="H81" s="6" t="s">
        <v>191</v>
      </c>
      <c r="I81" s="1" t="n">
        <v>1</v>
      </c>
      <c r="J81" s="7" t="n">
        <v>5162.23</v>
      </c>
      <c r="K81" s="8" t="n">
        <v>0</v>
      </c>
      <c r="L81" s="7" t="n">
        <v>4325.73</v>
      </c>
      <c r="M81" s="6" t="s">
        <v>49</v>
      </c>
      <c r="N81" s="6" t="s">
        <v>50</v>
      </c>
      <c r="O81" s="6" t="n">
        <f aca="false">IF(TablaVentas[[#This Row],[Precio_unitario]]="","PENDIENTE",TablaVentas[[#This Row],[Unidades]]*TablaVentas[[#This Row],[Precio_unitario]]*(1-TablaVentas[[#This Row],[Descuento_pct]]))</f>
        <v>5162.23</v>
      </c>
      <c r="P81" s="6" t="n">
        <f aca="false">IF(TablaVentas[[#This Row],[Costo_unitario]]="","PENDIENTE",TablaVentas[[#This Row],[Unidades]]*TablaVentas[[#This Row],[Costo_unitario]])</f>
        <v>4325.73</v>
      </c>
      <c r="Q81" s="6" t="n">
        <f aca="false">IF(OR(TablaVentas[[#This Row],[Ingreso_neto]]="PENDIENTE",TablaVentas[[#This Row],[Costo_total]]="PENDIENTE"),"PENDIENTE",TablaVentas[[#This Row],[Ingreso_neto]]-TablaVentas[[#This Row],[Costo_total]])</f>
        <v>836.5</v>
      </c>
    </row>
    <row r="82" customFormat="false" ht="13.5" hidden="false" customHeight="false" outlineLevel="0" collapsed="false">
      <c r="A82" s="1" t="s">
        <v>188</v>
      </c>
      <c r="B82" s="1" t="n">
        <v>2</v>
      </c>
      <c r="C82" s="5" t="n">
        <v>46290</v>
      </c>
      <c r="D82" s="6" t="s">
        <v>189</v>
      </c>
      <c r="E82" s="6" t="s">
        <v>192</v>
      </c>
      <c r="F82" s="6" t="s">
        <v>46</v>
      </c>
      <c r="G82" s="6" t="s">
        <v>57</v>
      </c>
      <c r="H82" s="6" t="s">
        <v>191</v>
      </c>
      <c r="I82" s="1" t="n">
        <v>3</v>
      </c>
      <c r="J82" s="7" t="n">
        <v>17094.63</v>
      </c>
      <c r="K82" s="8" t="n">
        <v>0.2</v>
      </c>
      <c r="L82" s="7" t="n">
        <v>11904.09</v>
      </c>
      <c r="M82" s="6" t="s">
        <v>49</v>
      </c>
      <c r="N82" s="6" t="s">
        <v>67</v>
      </c>
      <c r="O82" s="6" t="n">
        <f aca="false">IF(TablaVentas[[#This Row],[Precio_unitario]]="","PENDIENTE",TablaVentas[[#This Row],[Unidades]]*TablaVentas[[#This Row],[Precio_unitario]]*(1-TablaVentas[[#This Row],[Descuento_pct]]))</f>
        <v>41027.112</v>
      </c>
      <c r="P82" s="6" t="n">
        <f aca="false">IF(TablaVentas[[#This Row],[Costo_unitario]]="","PENDIENTE",TablaVentas[[#This Row],[Unidades]]*TablaVentas[[#This Row],[Costo_unitario]])</f>
        <v>35712.27</v>
      </c>
      <c r="Q82" s="6" t="n">
        <f aca="false">IF(OR(TablaVentas[[#This Row],[Ingreso_neto]]="PENDIENTE",TablaVentas[[#This Row],[Costo_total]]="PENDIENTE"),"PENDIENTE",TablaVentas[[#This Row],[Ingreso_neto]]-TablaVentas[[#This Row],[Costo_total]])</f>
        <v>5314.842</v>
      </c>
    </row>
    <row r="83" customFormat="false" ht="13.5" hidden="false" customHeight="false" outlineLevel="0" collapsed="false">
      <c r="A83" s="1" t="s">
        <v>193</v>
      </c>
      <c r="B83" s="1" t="n">
        <v>1</v>
      </c>
      <c r="C83" s="5" t="n">
        <v>46233</v>
      </c>
      <c r="D83" s="6" t="s">
        <v>194</v>
      </c>
      <c r="E83" s="6" t="s">
        <v>96</v>
      </c>
      <c r="F83" s="6" t="s">
        <v>84</v>
      </c>
      <c r="G83" s="6" t="s">
        <v>64</v>
      </c>
      <c r="H83" s="6" t="s">
        <v>80</v>
      </c>
      <c r="I83" s="1" t="n">
        <v>8</v>
      </c>
      <c r="J83" s="7" t="n">
        <v>12787.71</v>
      </c>
      <c r="K83" s="8" t="n">
        <v>0</v>
      </c>
      <c r="L83" s="7" t="n">
        <v>9118.07</v>
      </c>
      <c r="M83" s="6" t="s">
        <v>49</v>
      </c>
      <c r="N83" s="6" t="s">
        <v>50</v>
      </c>
      <c r="O83" s="6" t="n">
        <f aca="false">IF(TablaVentas[[#This Row],[Precio_unitario]]="","PENDIENTE",TablaVentas[[#This Row],[Unidades]]*TablaVentas[[#This Row],[Precio_unitario]]*(1-TablaVentas[[#This Row],[Descuento_pct]]))</f>
        <v>102301.68</v>
      </c>
      <c r="P83" s="6" t="n">
        <f aca="false">IF(TablaVentas[[#This Row],[Costo_unitario]]="","PENDIENTE",TablaVentas[[#This Row],[Unidades]]*TablaVentas[[#This Row],[Costo_unitario]])</f>
        <v>72944.56</v>
      </c>
      <c r="Q83" s="6" t="n">
        <f aca="false">IF(OR(TablaVentas[[#This Row],[Ingreso_neto]]="PENDIENTE",TablaVentas[[#This Row],[Costo_total]]="PENDIENTE"),"PENDIENTE",TablaVentas[[#This Row],[Ingreso_neto]]-TablaVentas[[#This Row],[Costo_total]])</f>
        <v>29357.12</v>
      </c>
    </row>
    <row r="84" customFormat="false" ht="13.5" hidden="false" customHeight="false" outlineLevel="0" collapsed="false">
      <c r="A84" s="1" t="s">
        <v>195</v>
      </c>
      <c r="B84" s="1" t="n">
        <v>1</v>
      </c>
      <c r="C84" s="5" t="n">
        <v>46201</v>
      </c>
      <c r="D84" s="6" t="s">
        <v>196</v>
      </c>
      <c r="E84" s="6" t="s">
        <v>62</v>
      </c>
      <c r="F84" s="6" t="s">
        <v>73</v>
      </c>
      <c r="G84" s="6" t="s">
        <v>57</v>
      </c>
      <c r="H84" s="6" t="s">
        <v>136</v>
      </c>
      <c r="I84" s="1" t="n">
        <v>2</v>
      </c>
      <c r="J84" s="7" t="n">
        <v>12300.57</v>
      </c>
      <c r="K84" s="8" t="n">
        <v>0.1</v>
      </c>
      <c r="L84" s="7" t="n">
        <v>6407.85</v>
      </c>
      <c r="M84" s="6" t="s">
        <v>69</v>
      </c>
      <c r="N84" s="6" t="s">
        <v>52</v>
      </c>
      <c r="O84" s="6" t="n">
        <f aca="false">IF(TablaVentas[[#This Row],[Precio_unitario]]="","PENDIENTE",TablaVentas[[#This Row],[Unidades]]*TablaVentas[[#This Row],[Precio_unitario]]*(1-TablaVentas[[#This Row],[Descuento_pct]]))</f>
        <v>22141.026</v>
      </c>
      <c r="P84" s="6" t="n">
        <f aca="false">IF(TablaVentas[[#This Row],[Costo_unitario]]="","PENDIENTE",TablaVentas[[#This Row],[Unidades]]*TablaVentas[[#This Row],[Costo_unitario]])</f>
        <v>12815.7</v>
      </c>
      <c r="Q84" s="6" t="n">
        <f aca="false">IF(OR(TablaVentas[[#This Row],[Ingreso_neto]]="PENDIENTE",TablaVentas[[#This Row],[Costo_total]]="PENDIENTE"),"PENDIENTE",TablaVentas[[#This Row],[Ingreso_neto]]-TablaVentas[[#This Row],[Costo_total]])</f>
        <v>9325.326</v>
      </c>
    </row>
    <row r="85" customFormat="false" ht="13.5" hidden="false" customHeight="false" outlineLevel="0" collapsed="false">
      <c r="A85" s="1" t="s">
        <v>197</v>
      </c>
      <c r="B85" s="1" t="n">
        <v>1</v>
      </c>
      <c r="C85" s="5" t="n">
        <v>46168</v>
      </c>
      <c r="D85" s="6" t="s">
        <v>198</v>
      </c>
      <c r="E85" s="6" t="s">
        <v>126</v>
      </c>
      <c r="F85" s="6" t="s">
        <v>46</v>
      </c>
      <c r="G85" s="6" t="s">
        <v>64</v>
      </c>
      <c r="H85" s="6" t="s">
        <v>89</v>
      </c>
      <c r="I85" s="1" t="n">
        <v>3</v>
      </c>
      <c r="J85" s="7" t="n">
        <v>8173.17</v>
      </c>
      <c r="K85" s="8" t="n">
        <v>0</v>
      </c>
      <c r="L85" s="7" t="n">
        <v>6981.94</v>
      </c>
      <c r="M85" s="6" t="s">
        <v>69</v>
      </c>
      <c r="N85" s="6" t="s">
        <v>52</v>
      </c>
      <c r="O85" s="6" t="n">
        <f aca="false">IF(TablaVentas[[#This Row],[Precio_unitario]]="","PENDIENTE",TablaVentas[[#This Row],[Unidades]]*TablaVentas[[#This Row],[Precio_unitario]]*(1-TablaVentas[[#This Row],[Descuento_pct]]))</f>
        <v>24519.51</v>
      </c>
      <c r="P85" s="6" t="n">
        <f aca="false">IF(TablaVentas[[#This Row],[Costo_unitario]]="","PENDIENTE",TablaVentas[[#This Row],[Unidades]]*TablaVentas[[#This Row],[Costo_unitario]])</f>
        <v>20945.82</v>
      </c>
      <c r="Q85" s="6" t="n">
        <f aca="false">IF(OR(TablaVentas[[#This Row],[Ingreso_neto]]="PENDIENTE",TablaVentas[[#This Row],[Costo_total]]="PENDIENTE"),"PENDIENTE",TablaVentas[[#This Row],[Ingreso_neto]]-TablaVentas[[#This Row],[Costo_total]])</f>
        <v>3573.69</v>
      </c>
    </row>
    <row r="86" customFormat="false" ht="13.5" hidden="false" customHeight="false" outlineLevel="0" collapsed="false">
      <c r="A86" s="1" t="s">
        <v>199</v>
      </c>
      <c r="B86" s="1" t="n">
        <v>1</v>
      </c>
      <c r="C86" s="5" t="n">
        <v>46150</v>
      </c>
      <c r="D86" s="6" t="s">
        <v>165</v>
      </c>
      <c r="E86" s="6" t="s">
        <v>141</v>
      </c>
      <c r="F86" s="6" t="s">
        <v>63</v>
      </c>
      <c r="G86" s="6" t="s">
        <v>57</v>
      </c>
      <c r="H86" s="6" t="s">
        <v>191</v>
      </c>
      <c r="I86" s="1" t="n">
        <v>1</v>
      </c>
      <c r="J86" s="7" t="n">
        <v>291.19</v>
      </c>
      <c r="K86" s="8" t="n">
        <v>0</v>
      </c>
      <c r="L86" s="7" t="n">
        <v>176.47</v>
      </c>
      <c r="M86" s="6" t="s">
        <v>49</v>
      </c>
      <c r="N86" s="6" t="s">
        <v>59</v>
      </c>
      <c r="O86" s="6" t="n">
        <f aca="false">IF(TablaVentas[[#This Row],[Precio_unitario]]="","PENDIENTE",TablaVentas[[#This Row],[Unidades]]*TablaVentas[[#This Row],[Precio_unitario]]*(1-TablaVentas[[#This Row],[Descuento_pct]]))</f>
        <v>291.19</v>
      </c>
      <c r="P86" s="6" t="n">
        <f aca="false">IF(TablaVentas[[#This Row],[Costo_unitario]]="","PENDIENTE",TablaVentas[[#This Row],[Unidades]]*TablaVentas[[#This Row],[Costo_unitario]])</f>
        <v>176.47</v>
      </c>
      <c r="Q86" s="6" t="n">
        <f aca="false">IF(OR(TablaVentas[[#This Row],[Ingreso_neto]]="PENDIENTE",TablaVentas[[#This Row],[Costo_total]]="PENDIENTE"),"PENDIENTE",TablaVentas[[#This Row],[Ingreso_neto]]-TablaVentas[[#This Row],[Costo_total]])</f>
        <v>114.72</v>
      </c>
    </row>
    <row r="87" customFormat="false" ht="13.5" hidden="false" customHeight="false" outlineLevel="0" collapsed="false">
      <c r="A87" s="1" t="s">
        <v>199</v>
      </c>
      <c r="B87" s="1" t="n">
        <v>2</v>
      </c>
      <c r="C87" s="5" t="n">
        <v>46150</v>
      </c>
      <c r="D87" s="6" t="s">
        <v>165</v>
      </c>
      <c r="E87" s="6" t="s">
        <v>200</v>
      </c>
      <c r="F87" s="6" t="s">
        <v>63</v>
      </c>
      <c r="G87" s="6" t="s">
        <v>57</v>
      </c>
      <c r="H87" s="6" t="s">
        <v>191</v>
      </c>
      <c r="I87" s="1" t="n">
        <v>2</v>
      </c>
      <c r="J87" s="7" t="n">
        <v>10956.77</v>
      </c>
      <c r="K87" s="8" t="n">
        <v>0</v>
      </c>
      <c r="L87" s="7" t="n">
        <v>5811.72</v>
      </c>
      <c r="M87" s="6" t="s">
        <v>49</v>
      </c>
      <c r="N87" s="6" t="s">
        <v>52</v>
      </c>
      <c r="O87" s="6" t="n">
        <f aca="false">IF(TablaVentas[[#This Row],[Precio_unitario]]="","PENDIENTE",TablaVentas[[#This Row],[Unidades]]*TablaVentas[[#This Row],[Precio_unitario]]*(1-TablaVentas[[#This Row],[Descuento_pct]]))</f>
        <v>21913.54</v>
      </c>
      <c r="P87" s="6" t="n">
        <f aca="false">IF(TablaVentas[[#This Row],[Costo_unitario]]="","PENDIENTE",TablaVentas[[#This Row],[Unidades]]*TablaVentas[[#This Row],[Costo_unitario]])</f>
        <v>11623.44</v>
      </c>
      <c r="Q87" s="6" t="n">
        <f aca="false">IF(OR(TablaVentas[[#This Row],[Ingreso_neto]]="PENDIENTE",TablaVentas[[#This Row],[Costo_total]]="PENDIENTE"),"PENDIENTE",TablaVentas[[#This Row],[Ingreso_neto]]-TablaVentas[[#This Row],[Costo_total]])</f>
        <v>10290.1</v>
      </c>
    </row>
    <row r="88" customFormat="false" ht="13.5" hidden="false" customHeight="false" outlineLevel="0" collapsed="false">
      <c r="A88" s="1" t="s">
        <v>201</v>
      </c>
      <c r="B88" s="1" t="n">
        <v>1</v>
      </c>
      <c r="C88" s="5" t="n">
        <v>46234</v>
      </c>
      <c r="D88" s="6" t="s">
        <v>202</v>
      </c>
      <c r="E88" s="6" t="s">
        <v>203</v>
      </c>
      <c r="F88" s="6" t="s">
        <v>63</v>
      </c>
      <c r="G88" s="6" t="s">
        <v>47</v>
      </c>
      <c r="H88" s="6" t="s">
        <v>74</v>
      </c>
      <c r="I88" s="1" t="n">
        <v>3</v>
      </c>
      <c r="J88" s="7" t="n">
        <v>809.32</v>
      </c>
      <c r="K88" s="8" t="n">
        <v>0.2</v>
      </c>
      <c r="L88" s="7" t="n">
        <v>485.16</v>
      </c>
      <c r="M88" s="6" t="s">
        <v>49</v>
      </c>
      <c r="N88" s="6" t="s">
        <v>59</v>
      </c>
      <c r="O88" s="6" t="n">
        <f aca="false">IF(TablaVentas[[#This Row],[Precio_unitario]]="","PENDIENTE",TablaVentas[[#This Row],[Unidades]]*TablaVentas[[#This Row],[Precio_unitario]]*(1-TablaVentas[[#This Row],[Descuento_pct]]))</f>
        <v>1942.368</v>
      </c>
      <c r="P88" s="6" t="n">
        <f aca="false">IF(TablaVentas[[#This Row],[Costo_unitario]]="","PENDIENTE",TablaVentas[[#This Row],[Unidades]]*TablaVentas[[#This Row],[Costo_unitario]])</f>
        <v>1455.48</v>
      </c>
      <c r="Q88" s="6" t="n">
        <f aca="false">IF(OR(TablaVentas[[#This Row],[Ingreso_neto]]="PENDIENTE",TablaVentas[[#This Row],[Costo_total]]="PENDIENTE"),"PENDIENTE",TablaVentas[[#This Row],[Ingreso_neto]]-TablaVentas[[#This Row],[Costo_total]])</f>
        <v>486.888</v>
      </c>
    </row>
    <row r="89" customFormat="false" ht="13.5" hidden="false" customHeight="false" outlineLevel="0" collapsed="false">
      <c r="A89" s="1" t="s">
        <v>204</v>
      </c>
      <c r="B89" s="1" t="n">
        <v>1</v>
      </c>
      <c r="C89" s="5" t="n">
        <v>46089</v>
      </c>
      <c r="D89" s="6" t="s">
        <v>205</v>
      </c>
      <c r="E89" s="6" t="s">
        <v>97</v>
      </c>
      <c r="F89" s="6" t="s">
        <v>73</v>
      </c>
      <c r="G89" s="6" t="s">
        <v>64</v>
      </c>
      <c r="H89" s="6" t="s">
        <v>58</v>
      </c>
      <c r="I89" s="1" t="n">
        <v>1</v>
      </c>
      <c r="J89" s="7" t="n">
        <v>11270.83</v>
      </c>
      <c r="K89" s="8" t="n">
        <v>0</v>
      </c>
      <c r="L89" s="7" t="n">
        <v>8174.87</v>
      </c>
      <c r="M89" s="6" t="s">
        <v>49</v>
      </c>
      <c r="N89" s="6" t="s">
        <v>67</v>
      </c>
      <c r="O89" s="6" t="n">
        <f aca="false">IF(TablaVentas[[#This Row],[Precio_unitario]]="","PENDIENTE",TablaVentas[[#This Row],[Unidades]]*TablaVentas[[#This Row],[Precio_unitario]]*(1-TablaVentas[[#This Row],[Descuento_pct]]))</f>
        <v>11270.83</v>
      </c>
      <c r="P89" s="6" t="n">
        <f aca="false">IF(TablaVentas[[#This Row],[Costo_unitario]]="","PENDIENTE",TablaVentas[[#This Row],[Unidades]]*TablaVentas[[#This Row],[Costo_unitario]])</f>
        <v>8174.87</v>
      </c>
      <c r="Q89" s="6" t="n">
        <f aca="false">IF(OR(TablaVentas[[#This Row],[Ingreso_neto]]="PENDIENTE",TablaVentas[[#This Row],[Costo_total]]="PENDIENTE"),"PENDIENTE",TablaVentas[[#This Row],[Ingreso_neto]]-TablaVentas[[#This Row],[Costo_total]])</f>
        <v>3095.96</v>
      </c>
    </row>
    <row r="90" customFormat="false" ht="13.5" hidden="false" customHeight="false" outlineLevel="0" collapsed="false">
      <c r="A90" s="1" t="s">
        <v>206</v>
      </c>
      <c r="B90" s="1" t="n">
        <v>1</v>
      </c>
      <c r="C90" s="5" t="n">
        <v>46207</v>
      </c>
      <c r="D90" s="6" t="s">
        <v>207</v>
      </c>
      <c r="E90" s="6" t="s">
        <v>116</v>
      </c>
      <c r="F90" s="6" t="s">
        <v>63</v>
      </c>
      <c r="G90" s="6" t="s">
        <v>47</v>
      </c>
      <c r="H90" s="6" t="s">
        <v>65</v>
      </c>
      <c r="I90" s="1" t="n">
        <v>1</v>
      </c>
      <c r="J90" s="7" t="n">
        <v>15649.85</v>
      </c>
      <c r="K90" s="8" t="n">
        <v>0</v>
      </c>
      <c r="L90" s="7" t="n">
        <v>9880.77</v>
      </c>
      <c r="M90" s="6" t="s">
        <v>49</v>
      </c>
      <c r="N90" s="6" t="s">
        <v>50</v>
      </c>
      <c r="O90" s="6" t="n">
        <f aca="false">IF(TablaVentas[[#This Row],[Precio_unitario]]="","PENDIENTE",TablaVentas[[#This Row],[Unidades]]*TablaVentas[[#This Row],[Precio_unitario]]*(1-TablaVentas[[#This Row],[Descuento_pct]]))</f>
        <v>15649.85</v>
      </c>
      <c r="P90" s="6" t="n">
        <f aca="false">IF(TablaVentas[[#This Row],[Costo_unitario]]="","PENDIENTE",TablaVentas[[#This Row],[Unidades]]*TablaVentas[[#This Row],[Costo_unitario]])</f>
        <v>9880.77</v>
      </c>
      <c r="Q90" s="6" t="n">
        <f aca="false">IF(OR(TablaVentas[[#This Row],[Ingreso_neto]]="PENDIENTE",TablaVentas[[#This Row],[Costo_total]]="PENDIENTE"),"PENDIENTE",TablaVentas[[#This Row],[Ingreso_neto]]-TablaVentas[[#This Row],[Costo_total]])</f>
        <v>5769.08</v>
      </c>
    </row>
    <row r="91" customFormat="false" ht="13.5" hidden="false" customHeight="false" outlineLevel="0" collapsed="false">
      <c r="A91" s="1" t="s">
        <v>208</v>
      </c>
      <c r="B91" s="1" t="n">
        <v>1</v>
      </c>
      <c r="C91" s="5" t="n">
        <v>46031</v>
      </c>
      <c r="D91" s="6" t="s">
        <v>209</v>
      </c>
      <c r="E91" s="6" t="s">
        <v>210</v>
      </c>
      <c r="F91" s="6" t="s">
        <v>73</v>
      </c>
      <c r="G91" s="6" t="s">
        <v>57</v>
      </c>
      <c r="H91" s="6" t="s">
        <v>131</v>
      </c>
      <c r="I91" s="1" t="n">
        <v>2</v>
      </c>
      <c r="J91" s="7" t="n">
        <v>1752.4</v>
      </c>
      <c r="K91" s="8" t="n">
        <v>0.05</v>
      </c>
      <c r="L91" s="7" t="n">
        <v>1252.84</v>
      </c>
      <c r="M91" s="6" t="s">
        <v>49</v>
      </c>
      <c r="N91" s="6" t="s">
        <v>59</v>
      </c>
      <c r="O91" s="6" t="n">
        <f aca="false">IF(TablaVentas[[#This Row],[Precio_unitario]]="","PENDIENTE",TablaVentas[[#This Row],[Unidades]]*TablaVentas[[#This Row],[Precio_unitario]]*(1-TablaVentas[[#This Row],[Descuento_pct]]))</f>
        <v>3329.56</v>
      </c>
      <c r="P91" s="6" t="n">
        <f aca="false">IF(TablaVentas[[#This Row],[Costo_unitario]]="","PENDIENTE",TablaVentas[[#This Row],[Unidades]]*TablaVentas[[#This Row],[Costo_unitario]])</f>
        <v>2505.68</v>
      </c>
      <c r="Q91" s="6" t="n">
        <f aca="false">IF(OR(TablaVentas[[#This Row],[Ingreso_neto]]="PENDIENTE",TablaVentas[[#This Row],[Costo_total]]="PENDIENTE"),"PENDIENTE",TablaVentas[[#This Row],[Ingreso_neto]]-TablaVentas[[#This Row],[Costo_total]])</f>
        <v>823.88</v>
      </c>
    </row>
    <row r="92" customFormat="false" ht="13.5" hidden="false" customHeight="false" outlineLevel="0" collapsed="false">
      <c r="A92" s="1" t="s">
        <v>211</v>
      </c>
      <c r="B92" s="1" t="n">
        <v>1</v>
      </c>
      <c r="C92" s="5" t="n">
        <v>46123</v>
      </c>
      <c r="D92" s="6" t="s">
        <v>212</v>
      </c>
      <c r="E92" s="6" t="s">
        <v>104</v>
      </c>
      <c r="F92" s="6" t="s">
        <v>73</v>
      </c>
      <c r="G92" s="6" t="s">
        <v>64</v>
      </c>
      <c r="H92" s="6" t="s">
        <v>58</v>
      </c>
      <c r="I92" s="1" t="n">
        <v>2</v>
      </c>
      <c r="J92" s="7" t="n">
        <v>15076.21</v>
      </c>
      <c r="K92" s="8" t="n">
        <v>0.05</v>
      </c>
      <c r="L92" s="7" t="n">
        <v>11424.77</v>
      </c>
      <c r="M92" s="6" t="s">
        <v>49</v>
      </c>
      <c r="N92" s="6" t="s">
        <v>50</v>
      </c>
      <c r="O92" s="6" t="n">
        <f aca="false">IF(TablaVentas[[#This Row],[Precio_unitario]]="","PENDIENTE",TablaVentas[[#This Row],[Unidades]]*TablaVentas[[#This Row],[Precio_unitario]]*(1-TablaVentas[[#This Row],[Descuento_pct]]))</f>
        <v>28644.799</v>
      </c>
      <c r="P92" s="6" t="n">
        <f aca="false">IF(TablaVentas[[#This Row],[Costo_unitario]]="","PENDIENTE",TablaVentas[[#This Row],[Unidades]]*TablaVentas[[#This Row],[Costo_unitario]])</f>
        <v>22849.54</v>
      </c>
      <c r="Q92" s="6" t="n">
        <f aca="false">IF(OR(TablaVentas[[#This Row],[Ingreso_neto]]="PENDIENTE",TablaVentas[[#This Row],[Costo_total]]="PENDIENTE"),"PENDIENTE",TablaVentas[[#This Row],[Ingreso_neto]]-TablaVentas[[#This Row],[Costo_total]])</f>
        <v>5795.259</v>
      </c>
    </row>
    <row r="93" customFormat="false" ht="13.5" hidden="false" customHeight="false" outlineLevel="0" collapsed="false">
      <c r="A93" s="1" t="s">
        <v>211</v>
      </c>
      <c r="B93" s="1" t="n">
        <v>2</v>
      </c>
      <c r="C93" s="5" t="n">
        <v>46123</v>
      </c>
      <c r="D93" s="6" t="s">
        <v>212</v>
      </c>
      <c r="E93" s="6" t="s">
        <v>213</v>
      </c>
      <c r="F93" s="6" t="s">
        <v>73</v>
      </c>
      <c r="G93" s="6" t="s">
        <v>64</v>
      </c>
      <c r="H93" s="6" t="s">
        <v>58</v>
      </c>
      <c r="I93" s="1" t="n">
        <v>3</v>
      </c>
      <c r="J93" s="7" t="n">
        <v>5470.56</v>
      </c>
      <c r="K93" s="8" t="n">
        <v>0.15</v>
      </c>
      <c r="L93" s="7" t="n">
        <v>4008.77</v>
      </c>
      <c r="M93" s="6" t="s">
        <v>49</v>
      </c>
      <c r="N93" s="6" t="s">
        <v>59</v>
      </c>
      <c r="O93" s="6" t="n">
        <f aca="false">IF(TablaVentas[[#This Row],[Precio_unitario]]="","PENDIENTE",TablaVentas[[#This Row],[Unidades]]*TablaVentas[[#This Row],[Precio_unitario]]*(1-TablaVentas[[#This Row],[Descuento_pct]]))</f>
        <v>13949.928</v>
      </c>
      <c r="P93" s="6" t="n">
        <f aca="false">IF(TablaVentas[[#This Row],[Costo_unitario]]="","PENDIENTE",TablaVentas[[#This Row],[Unidades]]*TablaVentas[[#This Row],[Costo_unitario]])</f>
        <v>12026.31</v>
      </c>
      <c r="Q93" s="6" t="n">
        <f aca="false">IF(OR(TablaVentas[[#This Row],[Ingreso_neto]]="PENDIENTE",TablaVentas[[#This Row],[Costo_total]]="PENDIENTE"),"PENDIENTE",TablaVentas[[#This Row],[Ingreso_neto]]-TablaVentas[[#This Row],[Costo_total]])</f>
        <v>1923.618</v>
      </c>
    </row>
    <row r="94" customFormat="false" ht="13.5" hidden="false" customHeight="false" outlineLevel="0" collapsed="false">
      <c r="A94" s="1" t="s">
        <v>211</v>
      </c>
      <c r="B94" s="1" t="n">
        <v>3</v>
      </c>
      <c r="C94" s="5" t="n">
        <v>46123</v>
      </c>
      <c r="D94" s="6" t="s">
        <v>212</v>
      </c>
      <c r="E94" s="6" t="s">
        <v>100</v>
      </c>
      <c r="F94" s="6" t="s">
        <v>73</v>
      </c>
      <c r="G94" s="6" t="s">
        <v>64</v>
      </c>
      <c r="H94" s="6" t="s">
        <v>58</v>
      </c>
      <c r="I94" s="1" t="n">
        <v>2</v>
      </c>
      <c r="J94" s="7" t="n">
        <v>15671.49</v>
      </c>
      <c r="K94" s="8" t="n">
        <v>0</v>
      </c>
      <c r="L94" s="7" t="n">
        <v>8788.79</v>
      </c>
      <c r="M94" s="6" t="s">
        <v>49</v>
      </c>
      <c r="N94" s="6" t="s">
        <v>67</v>
      </c>
      <c r="O94" s="6" t="n">
        <f aca="false">IF(TablaVentas[[#This Row],[Precio_unitario]]="","PENDIENTE",TablaVentas[[#This Row],[Unidades]]*TablaVentas[[#This Row],[Precio_unitario]]*(1-TablaVentas[[#This Row],[Descuento_pct]]))</f>
        <v>31342.98</v>
      </c>
      <c r="P94" s="6" t="n">
        <f aca="false">IF(TablaVentas[[#This Row],[Costo_unitario]]="","PENDIENTE",TablaVentas[[#This Row],[Unidades]]*TablaVentas[[#This Row],[Costo_unitario]])</f>
        <v>17577.58</v>
      </c>
      <c r="Q94" s="6" t="n">
        <f aca="false">IF(OR(TablaVentas[[#This Row],[Ingreso_neto]]="PENDIENTE",TablaVentas[[#This Row],[Costo_total]]="PENDIENTE"),"PENDIENTE",TablaVentas[[#This Row],[Ingreso_neto]]-TablaVentas[[#This Row],[Costo_total]])</f>
        <v>13765.4</v>
      </c>
    </row>
    <row r="95" customFormat="false" ht="13.5" hidden="false" customHeight="false" outlineLevel="0" collapsed="false">
      <c r="A95" s="1" t="s">
        <v>214</v>
      </c>
      <c r="B95" s="1" t="n">
        <v>1</v>
      </c>
      <c r="C95" s="5" t="n">
        <v>46223</v>
      </c>
      <c r="D95" s="6" t="s">
        <v>138</v>
      </c>
      <c r="E95" s="6" t="s">
        <v>215</v>
      </c>
      <c r="F95" s="6" t="s">
        <v>73</v>
      </c>
      <c r="G95" s="6" t="s">
        <v>57</v>
      </c>
      <c r="H95" s="6" t="s">
        <v>89</v>
      </c>
      <c r="I95" s="1" t="n">
        <v>1</v>
      </c>
      <c r="J95" s="7" t="n">
        <v>11139.62</v>
      </c>
      <c r="K95" s="8" t="n">
        <v>0.15</v>
      </c>
      <c r="L95" s="7" t="n">
        <v>5535.31</v>
      </c>
      <c r="M95" s="6" t="s">
        <v>49</v>
      </c>
      <c r="N95" s="6" t="s">
        <v>52</v>
      </c>
      <c r="O95" s="6" t="n">
        <f aca="false">IF(TablaVentas[[#This Row],[Precio_unitario]]="","PENDIENTE",TablaVentas[[#This Row],[Unidades]]*TablaVentas[[#This Row],[Precio_unitario]]*(1-TablaVentas[[#This Row],[Descuento_pct]]))</f>
        <v>9468.677</v>
      </c>
      <c r="P95" s="6" t="n">
        <f aca="false">IF(TablaVentas[[#This Row],[Costo_unitario]]="","PENDIENTE",TablaVentas[[#This Row],[Unidades]]*TablaVentas[[#This Row],[Costo_unitario]])</f>
        <v>5535.31</v>
      </c>
      <c r="Q95" s="6" t="n">
        <f aca="false">IF(OR(TablaVentas[[#This Row],[Ingreso_neto]]="PENDIENTE",TablaVentas[[#This Row],[Costo_total]]="PENDIENTE"),"PENDIENTE",TablaVentas[[#This Row],[Ingreso_neto]]-TablaVentas[[#This Row],[Costo_total]])</f>
        <v>3933.367</v>
      </c>
    </row>
    <row r="96" customFormat="false" ht="13.5" hidden="false" customHeight="false" outlineLevel="0" collapsed="false">
      <c r="A96" s="1" t="s">
        <v>216</v>
      </c>
      <c r="B96" s="1" t="n">
        <v>1</v>
      </c>
      <c r="C96" s="5" t="n">
        <v>46047</v>
      </c>
      <c r="D96" s="6" t="s">
        <v>178</v>
      </c>
      <c r="E96" s="6" t="s">
        <v>126</v>
      </c>
      <c r="F96" s="6" t="s">
        <v>46</v>
      </c>
      <c r="G96" s="6" t="s">
        <v>64</v>
      </c>
      <c r="H96" s="6" t="s">
        <v>65</v>
      </c>
      <c r="I96" s="1" t="n">
        <v>4</v>
      </c>
      <c r="J96" s="7" t="n">
        <v>9099.28</v>
      </c>
      <c r="K96" s="8" t="n">
        <v>0</v>
      </c>
      <c r="L96" s="7" t="n">
        <v>6981.94</v>
      </c>
      <c r="M96" s="6" t="s">
        <v>49</v>
      </c>
      <c r="N96" s="6" t="s">
        <v>52</v>
      </c>
      <c r="O96" s="6" t="n">
        <f aca="false">IF(TablaVentas[[#This Row],[Precio_unitario]]="","PENDIENTE",TablaVentas[[#This Row],[Unidades]]*TablaVentas[[#This Row],[Precio_unitario]]*(1-TablaVentas[[#This Row],[Descuento_pct]]))</f>
        <v>36397.12</v>
      </c>
      <c r="P96" s="6" t="n">
        <f aca="false">IF(TablaVentas[[#This Row],[Costo_unitario]]="","PENDIENTE",TablaVentas[[#This Row],[Unidades]]*TablaVentas[[#This Row],[Costo_unitario]])</f>
        <v>27927.76</v>
      </c>
      <c r="Q96" s="6" t="n">
        <f aca="false">IF(OR(TablaVentas[[#This Row],[Ingreso_neto]]="PENDIENTE",TablaVentas[[#This Row],[Costo_total]]="PENDIENTE"),"PENDIENTE",TablaVentas[[#This Row],[Ingreso_neto]]-TablaVentas[[#This Row],[Costo_total]])</f>
        <v>8469.36</v>
      </c>
    </row>
    <row r="97" customFormat="false" ht="13.5" hidden="false" customHeight="false" outlineLevel="0" collapsed="false">
      <c r="A97" s="1" t="s">
        <v>216</v>
      </c>
      <c r="B97" s="1" t="n">
        <v>2</v>
      </c>
      <c r="C97" s="5" t="n">
        <v>46047</v>
      </c>
      <c r="D97" s="6" t="s">
        <v>178</v>
      </c>
      <c r="E97" s="6" t="s">
        <v>192</v>
      </c>
      <c r="F97" s="6" t="s">
        <v>46</v>
      </c>
      <c r="G97" s="6" t="s">
        <v>64</v>
      </c>
      <c r="H97" s="6" t="s">
        <v>65</v>
      </c>
      <c r="I97" s="1" t="n">
        <v>5</v>
      </c>
      <c r="J97" s="7" t="n">
        <v>16082.27</v>
      </c>
      <c r="K97" s="8" t="n">
        <v>0</v>
      </c>
      <c r="L97" s="7"/>
      <c r="M97" s="6" t="s">
        <v>49</v>
      </c>
      <c r="N97" s="6" t="s">
        <v>59</v>
      </c>
      <c r="O97" s="6" t="n">
        <f aca="false">IF(TablaVentas[[#This Row],[Precio_unitario]]="","PENDIENTE",TablaVentas[[#This Row],[Unidades]]*TablaVentas[[#This Row],[Precio_unitario]]*(1-TablaVentas[[#This Row],[Descuento_pct]]))</f>
        <v>80411.35</v>
      </c>
      <c r="P97" s="1" t="str">
        <f aca="false">IF(TablaVentas[[#This Row],[Costo_unitario]]="","PENDIENTE",TablaVentas[[#This Row],[Unidades]]*TablaVentas[[#This Row],[Costo_unitario]])</f>
        <v>PENDIENTE</v>
      </c>
      <c r="Q97" s="1" t="str">
        <f aca="false">IF(OR(TablaVentas[[#This Row],[Ingreso_neto]]="PENDIENTE",TablaVentas[[#This Row],[Costo_total]]="PENDIENTE"),"PENDIENTE",TablaVentas[[#This Row],[Ingreso_neto]]-TablaVentas[[#This Row],[Costo_total]])</f>
        <v>PENDIENTE</v>
      </c>
      <c r="R97" s="6" t="s">
        <v>217</v>
      </c>
    </row>
    <row r="98" customFormat="false" ht="13.5" hidden="false" customHeight="false" outlineLevel="0" collapsed="false">
      <c r="A98" s="1" t="s">
        <v>216</v>
      </c>
      <c r="B98" s="1" t="n">
        <v>3</v>
      </c>
      <c r="C98" s="5" t="n">
        <v>46047</v>
      </c>
      <c r="D98" s="6" t="s">
        <v>178</v>
      </c>
      <c r="E98" s="6" t="s">
        <v>218</v>
      </c>
      <c r="F98" s="6" t="s">
        <v>46</v>
      </c>
      <c r="G98" s="6" t="s">
        <v>64</v>
      </c>
      <c r="H98" s="6" t="s">
        <v>65</v>
      </c>
      <c r="I98" s="1" t="n">
        <v>3</v>
      </c>
      <c r="J98" s="7" t="n">
        <v>16432.97</v>
      </c>
      <c r="K98" s="8" t="n">
        <v>0</v>
      </c>
      <c r="L98" s="7" t="n">
        <v>13760.53</v>
      </c>
      <c r="M98" s="6" t="s">
        <v>49</v>
      </c>
      <c r="N98" s="6" t="s">
        <v>67</v>
      </c>
      <c r="O98" s="6" t="n">
        <f aca="false">IF(TablaVentas[[#This Row],[Precio_unitario]]="","PENDIENTE",TablaVentas[[#This Row],[Unidades]]*TablaVentas[[#This Row],[Precio_unitario]]*(1-TablaVentas[[#This Row],[Descuento_pct]]))</f>
        <v>49298.91</v>
      </c>
      <c r="P98" s="6" t="n">
        <f aca="false">IF(TablaVentas[[#This Row],[Costo_unitario]]="","PENDIENTE",TablaVentas[[#This Row],[Unidades]]*TablaVentas[[#This Row],[Costo_unitario]])</f>
        <v>41281.59</v>
      </c>
      <c r="Q98" s="6" t="n">
        <f aca="false">IF(OR(TablaVentas[[#This Row],[Ingreso_neto]]="PENDIENTE",TablaVentas[[#This Row],[Costo_total]]="PENDIENTE"),"PENDIENTE",TablaVentas[[#This Row],[Ingreso_neto]]-TablaVentas[[#This Row],[Costo_total]])</f>
        <v>8017.32</v>
      </c>
    </row>
    <row r="99" customFormat="false" ht="13.5" hidden="false" customHeight="false" outlineLevel="0" collapsed="false">
      <c r="A99" s="1" t="s">
        <v>216</v>
      </c>
      <c r="B99" s="1" t="n">
        <v>4</v>
      </c>
      <c r="C99" s="5" t="n">
        <v>46047</v>
      </c>
      <c r="D99" s="6" t="s">
        <v>178</v>
      </c>
      <c r="E99" s="6" t="s">
        <v>219</v>
      </c>
      <c r="F99" s="6" t="s">
        <v>46</v>
      </c>
      <c r="G99" s="6" t="s">
        <v>64</v>
      </c>
      <c r="H99" s="6" t="s">
        <v>65</v>
      </c>
      <c r="I99" s="1" t="n">
        <v>8</v>
      </c>
      <c r="J99" s="7" t="n">
        <v>3490.11</v>
      </c>
      <c r="K99" s="8" t="n">
        <v>0</v>
      </c>
      <c r="L99" s="7" t="n">
        <v>2157.55</v>
      </c>
      <c r="M99" s="6" t="s">
        <v>49</v>
      </c>
      <c r="N99" s="6" t="s">
        <v>50</v>
      </c>
      <c r="O99" s="6" t="n">
        <f aca="false">IF(TablaVentas[[#This Row],[Precio_unitario]]="","PENDIENTE",TablaVentas[[#This Row],[Unidades]]*TablaVentas[[#This Row],[Precio_unitario]]*(1-TablaVentas[[#This Row],[Descuento_pct]]))</f>
        <v>27920.88</v>
      </c>
      <c r="P99" s="6" t="n">
        <f aca="false">IF(TablaVentas[[#This Row],[Costo_unitario]]="","PENDIENTE",TablaVentas[[#This Row],[Unidades]]*TablaVentas[[#This Row],[Costo_unitario]])</f>
        <v>17260.4</v>
      </c>
      <c r="Q99" s="6" t="n">
        <f aca="false">IF(OR(TablaVentas[[#This Row],[Ingreso_neto]]="PENDIENTE",TablaVentas[[#This Row],[Costo_total]]="PENDIENTE"),"PENDIENTE",TablaVentas[[#This Row],[Ingreso_neto]]-TablaVentas[[#This Row],[Costo_total]])</f>
        <v>10660.48</v>
      </c>
    </row>
    <row r="100" customFormat="false" ht="13.5" hidden="false" customHeight="false" outlineLevel="0" collapsed="false">
      <c r="A100" s="1" t="s">
        <v>220</v>
      </c>
      <c r="B100" s="1" t="n">
        <v>1</v>
      </c>
      <c r="C100" s="5" t="n">
        <v>46230</v>
      </c>
      <c r="D100" s="6" t="s">
        <v>221</v>
      </c>
      <c r="E100" s="6" t="s">
        <v>140</v>
      </c>
      <c r="F100" s="6" t="s">
        <v>63</v>
      </c>
      <c r="G100" s="6" t="s">
        <v>47</v>
      </c>
      <c r="H100" s="6" t="s">
        <v>48</v>
      </c>
      <c r="I100" s="1" t="n">
        <v>2</v>
      </c>
      <c r="J100" s="7" t="n">
        <v>8323</v>
      </c>
      <c r="K100" s="8" t="n">
        <v>0.05</v>
      </c>
      <c r="L100" s="7" t="n">
        <v>4061.34</v>
      </c>
      <c r="M100" s="6" t="s">
        <v>49</v>
      </c>
      <c r="N100" s="6" t="s">
        <v>67</v>
      </c>
      <c r="O100" s="6" t="n">
        <f aca="false">IF(TablaVentas[[#This Row],[Precio_unitario]]="","PENDIENTE",TablaVentas[[#This Row],[Unidades]]*TablaVentas[[#This Row],[Precio_unitario]]*(1-TablaVentas[[#This Row],[Descuento_pct]]))</f>
        <v>15813.7</v>
      </c>
      <c r="P100" s="6" t="n">
        <f aca="false">IF(TablaVentas[[#This Row],[Costo_unitario]]="","PENDIENTE",TablaVentas[[#This Row],[Unidades]]*TablaVentas[[#This Row],[Costo_unitario]])</f>
        <v>8122.68</v>
      </c>
      <c r="Q100" s="6" t="n">
        <f aca="false">IF(OR(TablaVentas[[#This Row],[Ingreso_neto]]="PENDIENTE",TablaVentas[[#This Row],[Costo_total]]="PENDIENTE"),"PENDIENTE",TablaVentas[[#This Row],[Ingreso_neto]]-TablaVentas[[#This Row],[Costo_total]])</f>
        <v>7691.02</v>
      </c>
    </row>
    <row r="101" customFormat="false" ht="13.5" hidden="false" customHeight="false" outlineLevel="0" collapsed="false">
      <c r="A101" s="1" t="s">
        <v>222</v>
      </c>
      <c r="B101" s="1" t="n">
        <v>1</v>
      </c>
      <c r="C101" s="5" t="n">
        <v>46173</v>
      </c>
      <c r="D101" s="6" t="s">
        <v>189</v>
      </c>
      <c r="E101" s="6" t="s">
        <v>223</v>
      </c>
      <c r="F101" s="6" t="s">
        <v>63</v>
      </c>
      <c r="G101" s="6" t="s">
        <v>64</v>
      </c>
      <c r="H101" s="6" t="s">
        <v>80</v>
      </c>
      <c r="I101" s="1" t="n">
        <v>1</v>
      </c>
      <c r="J101" s="7" t="n">
        <v>15995.59</v>
      </c>
      <c r="K101" s="8" t="n">
        <v>0</v>
      </c>
      <c r="L101" s="7" t="n">
        <v>12064.41</v>
      </c>
      <c r="M101" s="6" t="s">
        <v>49</v>
      </c>
      <c r="N101" s="6" t="s">
        <v>59</v>
      </c>
      <c r="O101" s="6" t="n">
        <f aca="false">IF(TablaVentas[[#This Row],[Precio_unitario]]="","PENDIENTE",TablaVentas[[#This Row],[Unidades]]*TablaVentas[[#This Row],[Precio_unitario]]*(1-TablaVentas[[#This Row],[Descuento_pct]]))</f>
        <v>15995.59</v>
      </c>
      <c r="P101" s="6" t="n">
        <f aca="false">IF(TablaVentas[[#This Row],[Costo_unitario]]="","PENDIENTE",TablaVentas[[#This Row],[Unidades]]*TablaVentas[[#This Row],[Costo_unitario]])</f>
        <v>12064.41</v>
      </c>
      <c r="Q101" s="6" t="n">
        <f aca="false">IF(OR(TablaVentas[[#This Row],[Ingreso_neto]]="PENDIENTE",TablaVentas[[#This Row],[Costo_total]]="PENDIENTE"),"PENDIENTE",TablaVentas[[#This Row],[Ingreso_neto]]-TablaVentas[[#This Row],[Costo_total]])</f>
        <v>3931.18</v>
      </c>
    </row>
    <row r="102" customFormat="false" ht="13.5" hidden="false" customHeight="false" outlineLevel="0" collapsed="false">
      <c r="A102" s="1" t="s">
        <v>222</v>
      </c>
      <c r="B102" s="1" t="n">
        <v>2</v>
      </c>
      <c r="C102" s="5" t="n">
        <v>46173</v>
      </c>
      <c r="D102" s="6" t="s">
        <v>189</v>
      </c>
      <c r="E102" s="6" t="s">
        <v>224</v>
      </c>
      <c r="F102" s="6" t="s">
        <v>63</v>
      </c>
      <c r="G102" s="6" t="s">
        <v>64</v>
      </c>
      <c r="H102" s="6" t="s">
        <v>80</v>
      </c>
      <c r="I102" s="1" t="n">
        <v>1</v>
      </c>
      <c r="J102" s="7" t="n">
        <v>17453.07</v>
      </c>
      <c r="K102" s="8" t="n">
        <v>0</v>
      </c>
      <c r="L102" s="7" t="n">
        <v>14161.63</v>
      </c>
      <c r="M102" s="6" t="s">
        <v>49</v>
      </c>
      <c r="N102" s="6" t="s">
        <v>67</v>
      </c>
      <c r="O102" s="6" t="n">
        <f aca="false">IF(TablaVentas[[#This Row],[Precio_unitario]]="","PENDIENTE",TablaVentas[[#This Row],[Unidades]]*TablaVentas[[#This Row],[Precio_unitario]]*(1-TablaVentas[[#This Row],[Descuento_pct]]))</f>
        <v>17453.07</v>
      </c>
      <c r="P102" s="6" t="n">
        <f aca="false">IF(TablaVentas[[#This Row],[Costo_unitario]]="","PENDIENTE",TablaVentas[[#This Row],[Unidades]]*TablaVentas[[#This Row],[Costo_unitario]])</f>
        <v>14161.63</v>
      </c>
      <c r="Q102" s="6" t="n">
        <f aca="false">IF(OR(TablaVentas[[#This Row],[Ingreso_neto]]="PENDIENTE",TablaVentas[[#This Row],[Costo_total]]="PENDIENTE"),"PENDIENTE",TablaVentas[[#This Row],[Ingreso_neto]]-TablaVentas[[#This Row],[Costo_total]])</f>
        <v>3291.44</v>
      </c>
    </row>
    <row r="103" customFormat="false" ht="13.5" hidden="false" customHeight="false" outlineLevel="0" collapsed="false">
      <c r="A103" s="1" t="s">
        <v>222</v>
      </c>
      <c r="B103" s="1" t="n">
        <v>3</v>
      </c>
      <c r="C103" s="5" t="n">
        <v>46173</v>
      </c>
      <c r="D103" s="6" t="s">
        <v>189</v>
      </c>
      <c r="E103" s="6" t="s">
        <v>225</v>
      </c>
      <c r="F103" s="6" t="s">
        <v>63</v>
      </c>
      <c r="G103" s="6" t="s">
        <v>64</v>
      </c>
      <c r="H103" s="6" t="s">
        <v>80</v>
      </c>
      <c r="I103" s="1" t="n">
        <v>1</v>
      </c>
      <c r="J103" s="7" t="n">
        <v>4409.59</v>
      </c>
      <c r="K103" s="8" t="n">
        <v>0</v>
      </c>
      <c r="L103" s="7" t="n">
        <v>2833.97</v>
      </c>
      <c r="M103" s="6" t="s">
        <v>49</v>
      </c>
      <c r="N103" s="6" t="s">
        <v>59</v>
      </c>
      <c r="O103" s="6" t="n">
        <f aca="false">IF(TablaVentas[[#This Row],[Precio_unitario]]="","PENDIENTE",TablaVentas[[#This Row],[Unidades]]*TablaVentas[[#This Row],[Precio_unitario]]*(1-TablaVentas[[#This Row],[Descuento_pct]]))</f>
        <v>4409.59</v>
      </c>
      <c r="P103" s="6" t="n">
        <f aca="false">IF(TablaVentas[[#This Row],[Costo_unitario]]="","PENDIENTE",TablaVentas[[#This Row],[Unidades]]*TablaVentas[[#This Row],[Costo_unitario]])</f>
        <v>2833.97</v>
      </c>
      <c r="Q103" s="6" t="n">
        <f aca="false">IF(OR(TablaVentas[[#This Row],[Ingreso_neto]]="PENDIENTE",TablaVentas[[#This Row],[Costo_total]]="PENDIENTE"),"PENDIENTE",TablaVentas[[#This Row],[Ingreso_neto]]-TablaVentas[[#This Row],[Costo_total]])</f>
        <v>1575.62</v>
      </c>
    </row>
    <row r="104" customFormat="false" ht="13.5" hidden="false" customHeight="false" outlineLevel="0" collapsed="false">
      <c r="A104" s="1" t="s">
        <v>222</v>
      </c>
      <c r="B104" s="1" t="n">
        <v>4</v>
      </c>
      <c r="C104" s="5" t="n">
        <v>46173</v>
      </c>
      <c r="D104" s="6" t="s">
        <v>189</v>
      </c>
      <c r="E104" s="6" t="s">
        <v>132</v>
      </c>
      <c r="F104" s="6" t="s">
        <v>63</v>
      </c>
      <c r="G104" s="6" t="s">
        <v>64</v>
      </c>
      <c r="H104" s="6" t="s">
        <v>80</v>
      </c>
      <c r="I104" s="1" t="n">
        <v>4</v>
      </c>
      <c r="J104" s="7" t="n">
        <v>1679.27</v>
      </c>
      <c r="K104" s="8" t="n">
        <v>0</v>
      </c>
      <c r="L104" s="7" t="n">
        <v>1044.32</v>
      </c>
      <c r="M104" s="6" t="s">
        <v>49</v>
      </c>
      <c r="N104" s="6" t="s">
        <v>59</v>
      </c>
      <c r="O104" s="6" t="n">
        <f aca="false">IF(TablaVentas[[#This Row],[Precio_unitario]]="","PENDIENTE",TablaVentas[[#This Row],[Unidades]]*TablaVentas[[#This Row],[Precio_unitario]]*(1-TablaVentas[[#This Row],[Descuento_pct]]))</f>
        <v>6717.08</v>
      </c>
      <c r="P104" s="6" t="n">
        <f aca="false">IF(TablaVentas[[#This Row],[Costo_unitario]]="","PENDIENTE",TablaVentas[[#This Row],[Unidades]]*TablaVentas[[#This Row],[Costo_unitario]])</f>
        <v>4177.28</v>
      </c>
      <c r="Q104" s="6" t="n">
        <f aca="false">IF(OR(TablaVentas[[#This Row],[Ingreso_neto]]="PENDIENTE",TablaVentas[[#This Row],[Costo_total]]="PENDIENTE"),"PENDIENTE",TablaVentas[[#This Row],[Ingreso_neto]]-TablaVentas[[#This Row],[Costo_total]])</f>
        <v>2539.8</v>
      </c>
    </row>
    <row r="105" customFormat="false" ht="13.5" hidden="false" customHeight="false" outlineLevel="0" collapsed="false">
      <c r="A105" s="1" t="s">
        <v>222</v>
      </c>
      <c r="B105" s="1" t="n">
        <v>5</v>
      </c>
      <c r="C105" s="5" t="n">
        <v>46173</v>
      </c>
      <c r="D105" s="6" t="s">
        <v>189</v>
      </c>
      <c r="E105" s="6" t="s">
        <v>140</v>
      </c>
      <c r="F105" s="6" t="s">
        <v>63</v>
      </c>
      <c r="G105" s="6" t="s">
        <v>64</v>
      </c>
      <c r="H105" s="6" t="s">
        <v>80</v>
      </c>
      <c r="I105" s="1" t="n">
        <v>4</v>
      </c>
      <c r="J105" s="7" t="n">
        <v>7733.33</v>
      </c>
      <c r="K105" s="8" t="n">
        <v>0.15</v>
      </c>
      <c r="L105" s="7" t="n">
        <v>4061.34</v>
      </c>
      <c r="M105" s="6" t="s">
        <v>49</v>
      </c>
      <c r="N105" s="6" t="s">
        <v>50</v>
      </c>
      <c r="O105" s="6" t="n">
        <f aca="false">IF(TablaVentas[[#This Row],[Precio_unitario]]="","PENDIENTE",TablaVentas[[#This Row],[Unidades]]*TablaVentas[[#This Row],[Precio_unitario]]*(1-TablaVentas[[#This Row],[Descuento_pct]]))</f>
        <v>26293.322</v>
      </c>
      <c r="P105" s="6" t="n">
        <f aca="false">IF(TablaVentas[[#This Row],[Costo_unitario]]="","PENDIENTE",TablaVentas[[#This Row],[Unidades]]*TablaVentas[[#This Row],[Costo_unitario]])</f>
        <v>16245.36</v>
      </c>
      <c r="Q105" s="6" t="n">
        <f aca="false">IF(OR(TablaVentas[[#This Row],[Ingreso_neto]]="PENDIENTE",TablaVentas[[#This Row],[Costo_total]]="PENDIENTE"),"PENDIENTE",TablaVentas[[#This Row],[Ingreso_neto]]-TablaVentas[[#This Row],[Costo_total]])</f>
        <v>10047.962</v>
      </c>
    </row>
    <row r="106" customFormat="false" ht="13.5" hidden="false" customHeight="false" outlineLevel="0" collapsed="false">
      <c r="A106" s="1" t="s">
        <v>226</v>
      </c>
      <c r="B106" s="1" t="n">
        <v>1</v>
      </c>
      <c r="C106" s="5" t="n">
        <v>46143</v>
      </c>
      <c r="D106" s="6" t="s">
        <v>227</v>
      </c>
      <c r="E106" s="6" t="s">
        <v>159</v>
      </c>
      <c r="F106" s="6" t="s">
        <v>84</v>
      </c>
      <c r="G106" s="6" t="s">
        <v>64</v>
      </c>
      <c r="H106" s="6" t="s">
        <v>109</v>
      </c>
      <c r="I106" s="1" t="n">
        <v>3</v>
      </c>
      <c r="J106" s="7" t="n">
        <v>2468.33</v>
      </c>
      <c r="K106" s="8" t="n">
        <v>0.15</v>
      </c>
      <c r="L106" s="7" t="n">
        <v>1962.3</v>
      </c>
      <c r="M106" s="6" t="s">
        <v>49</v>
      </c>
      <c r="N106" s="6" t="s">
        <v>67</v>
      </c>
      <c r="O106" s="6" t="n">
        <f aca="false">IF(TablaVentas[[#This Row],[Precio_unitario]]="","PENDIENTE",TablaVentas[[#This Row],[Unidades]]*TablaVentas[[#This Row],[Precio_unitario]]*(1-TablaVentas[[#This Row],[Descuento_pct]]))</f>
        <v>6294.2415</v>
      </c>
      <c r="P106" s="6" t="n">
        <f aca="false">IF(TablaVentas[[#This Row],[Costo_unitario]]="","PENDIENTE",TablaVentas[[#This Row],[Unidades]]*TablaVentas[[#This Row],[Costo_unitario]])</f>
        <v>5886.9</v>
      </c>
      <c r="Q106" s="6" t="n">
        <f aca="false">IF(OR(TablaVentas[[#This Row],[Ingreso_neto]]="PENDIENTE",TablaVentas[[#This Row],[Costo_total]]="PENDIENTE"),"PENDIENTE",TablaVentas[[#This Row],[Ingreso_neto]]-TablaVentas[[#This Row],[Costo_total]])</f>
        <v>407.3415</v>
      </c>
    </row>
    <row r="107" customFormat="false" ht="13.5" hidden="false" customHeight="false" outlineLevel="0" collapsed="false">
      <c r="A107" s="1" t="s">
        <v>228</v>
      </c>
      <c r="B107" s="1" t="n">
        <v>1</v>
      </c>
      <c r="C107" s="5" t="n">
        <v>46044</v>
      </c>
      <c r="D107" s="6" t="s">
        <v>229</v>
      </c>
      <c r="E107" s="6" t="s">
        <v>97</v>
      </c>
      <c r="F107" s="6" t="s">
        <v>63</v>
      </c>
      <c r="G107" s="6" t="s">
        <v>64</v>
      </c>
      <c r="H107" s="6" t="s">
        <v>191</v>
      </c>
      <c r="I107" s="1" t="n">
        <v>12</v>
      </c>
      <c r="J107" s="7" t="n">
        <v>11587.54</v>
      </c>
      <c r="K107" s="8" t="n">
        <v>0.15</v>
      </c>
      <c r="L107" s="7" t="n">
        <v>8174.87</v>
      </c>
      <c r="M107" s="6" t="s">
        <v>49</v>
      </c>
      <c r="N107" s="6" t="s">
        <v>67</v>
      </c>
      <c r="O107" s="6" t="n">
        <f aca="false">IF(TablaVentas[[#This Row],[Precio_unitario]]="","PENDIENTE",TablaVentas[[#This Row],[Unidades]]*TablaVentas[[#This Row],[Precio_unitario]]*(1-TablaVentas[[#This Row],[Descuento_pct]]))</f>
        <v>118192.908</v>
      </c>
      <c r="P107" s="6" t="n">
        <f aca="false">IF(TablaVentas[[#This Row],[Costo_unitario]]="","PENDIENTE",TablaVentas[[#This Row],[Unidades]]*TablaVentas[[#This Row],[Costo_unitario]])</f>
        <v>98098.44</v>
      </c>
      <c r="Q107" s="6" t="n">
        <f aca="false">IF(OR(TablaVentas[[#This Row],[Ingreso_neto]]="PENDIENTE",TablaVentas[[#This Row],[Costo_total]]="PENDIENTE"),"PENDIENTE",TablaVentas[[#This Row],[Ingreso_neto]]-TablaVentas[[#This Row],[Costo_total]])</f>
        <v>20094.468</v>
      </c>
    </row>
    <row r="108" customFormat="false" ht="13.5" hidden="false" customHeight="false" outlineLevel="0" collapsed="false">
      <c r="A108" s="1" t="s">
        <v>228</v>
      </c>
      <c r="B108" s="1" t="n">
        <v>2</v>
      </c>
      <c r="C108" s="5" t="n">
        <v>46044</v>
      </c>
      <c r="D108" s="6" t="s">
        <v>229</v>
      </c>
      <c r="E108" s="6" t="s">
        <v>91</v>
      </c>
      <c r="F108" s="6" t="s">
        <v>63</v>
      </c>
      <c r="G108" s="6" t="s">
        <v>64</v>
      </c>
      <c r="H108" s="6" t="s">
        <v>191</v>
      </c>
      <c r="I108" s="1" t="n">
        <v>2</v>
      </c>
      <c r="J108" s="7" t="n">
        <v>16460.5</v>
      </c>
      <c r="K108" s="8" t="n">
        <v>0.2</v>
      </c>
      <c r="L108" s="7" t="n">
        <v>8576.05</v>
      </c>
      <c r="M108" s="6" t="s">
        <v>49</v>
      </c>
      <c r="N108" s="6" t="s">
        <v>67</v>
      </c>
      <c r="O108" s="6" t="n">
        <f aca="false">IF(TablaVentas[[#This Row],[Precio_unitario]]="","PENDIENTE",TablaVentas[[#This Row],[Unidades]]*TablaVentas[[#This Row],[Precio_unitario]]*(1-TablaVentas[[#This Row],[Descuento_pct]]))</f>
        <v>26336.8</v>
      </c>
      <c r="P108" s="6" t="n">
        <f aca="false">IF(TablaVentas[[#This Row],[Costo_unitario]]="","PENDIENTE",TablaVentas[[#This Row],[Unidades]]*TablaVentas[[#This Row],[Costo_unitario]])</f>
        <v>17152.1</v>
      </c>
      <c r="Q108" s="6" t="n">
        <f aca="false">IF(OR(TablaVentas[[#This Row],[Ingreso_neto]]="PENDIENTE",TablaVentas[[#This Row],[Costo_total]]="PENDIENTE"),"PENDIENTE",TablaVentas[[#This Row],[Ingreso_neto]]-TablaVentas[[#This Row],[Costo_total]])</f>
        <v>9184.7</v>
      </c>
    </row>
    <row r="109" customFormat="false" ht="13.5" hidden="false" customHeight="false" outlineLevel="0" collapsed="false">
      <c r="A109" s="1" t="s">
        <v>228</v>
      </c>
      <c r="B109" s="1" t="n">
        <v>3</v>
      </c>
      <c r="C109" s="5" t="n">
        <v>46044</v>
      </c>
      <c r="D109" s="6" t="s">
        <v>229</v>
      </c>
      <c r="E109" s="6" t="s">
        <v>230</v>
      </c>
      <c r="F109" s="6" t="s">
        <v>63</v>
      </c>
      <c r="G109" s="6" t="s">
        <v>64</v>
      </c>
      <c r="H109" s="6" t="s">
        <v>191</v>
      </c>
      <c r="I109" s="1" t="n">
        <v>1</v>
      </c>
      <c r="J109" s="7" t="n">
        <v>6602.06</v>
      </c>
      <c r="K109" s="8" t="n">
        <v>0</v>
      </c>
      <c r="L109" s="7" t="n">
        <v>3298.19</v>
      </c>
      <c r="M109" s="6" t="s">
        <v>49</v>
      </c>
      <c r="N109" s="6" t="s">
        <v>59</v>
      </c>
      <c r="O109" s="6" t="n">
        <f aca="false">IF(TablaVentas[[#This Row],[Precio_unitario]]="","PENDIENTE",TablaVentas[[#This Row],[Unidades]]*TablaVentas[[#This Row],[Precio_unitario]]*(1-TablaVentas[[#This Row],[Descuento_pct]]))</f>
        <v>6602.06</v>
      </c>
      <c r="P109" s="6" t="n">
        <f aca="false">IF(TablaVentas[[#This Row],[Costo_unitario]]="","PENDIENTE",TablaVentas[[#This Row],[Unidades]]*TablaVentas[[#This Row],[Costo_unitario]])</f>
        <v>3298.19</v>
      </c>
      <c r="Q109" s="6" t="n">
        <f aca="false">IF(OR(TablaVentas[[#This Row],[Ingreso_neto]]="PENDIENTE",TablaVentas[[#This Row],[Costo_total]]="PENDIENTE"),"PENDIENTE",TablaVentas[[#This Row],[Ingreso_neto]]-TablaVentas[[#This Row],[Costo_total]])</f>
        <v>3303.87</v>
      </c>
    </row>
    <row r="110" customFormat="false" ht="13.5" hidden="false" customHeight="false" outlineLevel="0" collapsed="false">
      <c r="A110" s="1" t="s">
        <v>231</v>
      </c>
      <c r="B110" s="1" t="n">
        <v>1</v>
      </c>
      <c r="C110" s="5" t="n">
        <v>46272</v>
      </c>
      <c r="D110" s="6" t="s">
        <v>232</v>
      </c>
      <c r="E110" s="6" t="s">
        <v>218</v>
      </c>
      <c r="F110" s="6" t="s">
        <v>63</v>
      </c>
      <c r="G110" s="6" t="s">
        <v>57</v>
      </c>
      <c r="H110" s="6" t="s">
        <v>48</v>
      </c>
      <c r="I110" s="1" t="n">
        <v>3</v>
      </c>
      <c r="J110" s="7" t="n">
        <v>19480.85</v>
      </c>
      <c r="K110" s="8" t="n">
        <v>0.1</v>
      </c>
      <c r="L110" s="7" t="n">
        <v>13760.53</v>
      </c>
      <c r="M110" s="6" t="s">
        <v>49</v>
      </c>
      <c r="N110" s="6" t="s">
        <v>59</v>
      </c>
      <c r="O110" s="6" t="n">
        <f aca="false">IF(TablaVentas[[#This Row],[Precio_unitario]]="","PENDIENTE",TablaVentas[[#This Row],[Unidades]]*TablaVentas[[#This Row],[Precio_unitario]]*(1-TablaVentas[[#This Row],[Descuento_pct]]))</f>
        <v>52598.295</v>
      </c>
      <c r="P110" s="6" t="n">
        <f aca="false">IF(TablaVentas[[#This Row],[Costo_unitario]]="","PENDIENTE",TablaVentas[[#This Row],[Unidades]]*TablaVentas[[#This Row],[Costo_unitario]])</f>
        <v>41281.59</v>
      </c>
      <c r="Q110" s="6" t="n">
        <f aca="false">IF(OR(TablaVentas[[#This Row],[Ingreso_neto]]="PENDIENTE",TablaVentas[[#This Row],[Costo_total]]="PENDIENTE"),"PENDIENTE",TablaVentas[[#This Row],[Ingreso_neto]]-TablaVentas[[#This Row],[Costo_total]])</f>
        <v>11316.705</v>
      </c>
    </row>
    <row r="111" customFormat="false" ht="13.5" hidden="false" customHeight="false" outlineLevel="0" collapsed="false">
      <c r="A111" s="1" t="s">
        <v>231</v>
      </c>
      <c r="B111" s="1" t="n">
        <v>2</v>
      </c>
      <c r="C111" s="5" t="n">
        <v>46272</v>
      </c>
      <c r="D111" s="6" t="s">
        <v>232</v>
      </c>
      <c r="E111" s="6" t="s">
        <v>233</v>
      </c>
      <c r="F111" s="6" t="s">
        <v>63</v>
      </c>
      <c r="G111" s="6" t="s">
        <v>57</v>
      </c>
      <c r="H111" s="6" t="s">
        <v>48</v>
      </c>
      <c r="I111" s="1" t="n">
        <v>1</v>
      </c>
      <c r="J111" s="7" t="n">
        <v>17442.69</v>
      </c>
      <c r="K111" s="8" t="n">
        <v>0</v>
      </c>
      <c r="L111" s="7" t="n">
        <v>9976.68</v>
      </c>
      <c r="M111" s="6" t="s">
        <v>49</v>
      </c>
      <c r="N111" s="6" t="s">
        <v>50</v>
      </c>
      <c r="O111" s="6" t="n">
        <f aca="false">IF(TablaVentas[[#This Row],[Precio_unitario]]="","PENDIENTE",TablaVentas[[#This Row],[Unidades]]*TablaVentas[[#This Row],[Precio_unitario]]*(1-TablaVentas[[#This Row],[Descuento_pct]]))</f>
        <v>17442.69</v>
      </c>
      <c r="P111" s="6" t="n">
        <f aca="false">IF(TablaVentas[[#This Row],[Costo_unitario]]="","PENDIENTE",TablaVentas[[#This Row],[Unidades]]*TablaVentas[[#This Row],[Costo_unitario]])</f>
        <v>9976.68</v>
      </c>
      <c r="Q111" s="6" t="n">
        <f aca="false">IF(OR(TablaVentas[[#This Row],[Ingreso_neto]]="PENDIENTE",TablaVentas[[#This Row],[Costo_total]]="PENDIENTE"),"PENDIENTE",TablaVentas[[#This Row],[Ingreso_neto]]-TablaVentas[[#This Row],[Costo_total]])</f>
        <v>7466.01</v>
      </c>
    </row>
    <row r="112" customFormat="false" ht="13.5" hidden="false" customHeight="false" outlineLevel="0" collapsed="false">
      <c r="A112" s="1" t="s">
        <v>231</v>
      </c>
      <c r="B112" s="1" t="n">
        <v>3</v>
      </c>
      <c r="C112" s="5" t="n">
        <v>46272</v>
      </c>
      <c r="D112" s="6" t="s">
        <v>232</v>
      </c>
      <c r="E112" s="6" t="s">
        <v>230</v>
      </c>
      <c r="F112" s="6" t="s">
        <v>63</v>
      </c>
      <c r="G112" s="6" t="s">
        <v>57</v>
      </c>
      <c r="H112" s="6" t="s">
        <v>48</v>
      </c>
      <c r="I112" s="1" t="n">
        <v>1</v>
      </c>
      <c r="J112" s="7" t="n">
        <v>5858.41</v>
      </c>
      <c r="K112" s="8" t="n">
        <v>0.1</v>
      </c>
      <c r="L112" s="7" t="n">
        <v>3298.19</v>
      </c>
      <c r="M112" s="6" t="s">
        <v>49</v>
      </c>
      <c r="N112" s="6" t="s">
        <v>59</v>
      </c>
      <c r="O112" s="6" t="n">
        <f aca="false">IF(TablaVentas[[#This Row],[Precio_unitario]]="","PENDIENTE",TablaVentas[[#This Row],[Unidades]]*TablaVentas[[#This Row],[Precio_unitario]]*(1-TablaVentas[[#This Row],[Descuento_pct]]))</f>
        <v>5272.569</v>
      </c>
      <c r="P112" s="6" t="n">
        <f aca="false">IF(TablaVentas[[#This Row],[Costo_unitario]]="","PENDIENTE",TablaVentas[[#This Row],[Unidades]]*TablaVentas[[#This Row],[Costo_unitario]])</f>
        <v>3298.19</v>
      </c>
      <c r="Q112" s="6" t="n">
        <f aca="false">IF(OR(TablaVentas[[#This Row],[Ingreso_neto]]="PENDIENTE",TablaVentas[[#This Row],[Costo_total]]="PENDIENTE"),"PENDIENTE",TablaVentas[[#This Row],[Ingreso_neto]]-TablaVentas[[#This Row],[Costo_total]])</f>
        <v>1974.379</v>
      </c>
    </row>
    <row r="113" customFormat="false" ht="13.5" hidden="false" customHeight="false" outlineLevel="0" collapsed="false">
      <c r="A113" s="1" t="s">
        <v>231</v>
      </c>
      <c r="B113" s="1" t="n">
        <v>4</v>
      </c>
      <c r="C113" s="5" t="n">
        <v>46272</v>
      </c>
      <c r="D113" s="6" t="s">
        <v>232</v>
      </c>
      <c r="E113" s="6" t="s">
        <v>234</v>
      </c>
      <c r="F113" s="6" t="s">
        <v>63</v>
      </c>
      <c r="G113" s="6" t="s">
        <v>57</v>
      </c>
      <c r="H113" s="6" t="s">
        <v>48</v>
      </c>
      <c r="I113" s="1" t="n">
        <v>4</v>
      </c>
      <c r="J113" s="7" t="n">
        <v>8165.88</v>
      </c>
      <c r="K113" s="8" t="n">
        <v>0.2</v>
      </c>
      <c r="L113" s="7" t="n">
        <v>6255.13</v>
      </c>
      <c r="M113" s="6" t="s">
        <v>49</v>
      </c>
      <c r="N113" s="6" t="s">
        <v>67</v>
      </c>
      <c r="O113" s="6" t="n">
        <f aca="false">IF(TablaVentas[[#This Row],[Precio_unitario]]="","PENDIENTE",TablaVentas[[#This Row],[Unidades]]*TablaVentas[[#This Row],[Precio_unitario]]*(1-TablaVentas[[#This Row],[Descuento_pct]]))</f>
        <v>26130.816</v>
      </c>
      <c r="P113" s="6" t="n">
        <f aca="false">IF(TablaVentas[[#This Row],[Costo_unitario]]="","PENDIENTE",TablaVentas[[#This Row],[Unidades]]*TablaVentas[[#This Row],[Costo_unitario]])</f>
        <v>25020.52</v>
      </c>
      <c r="Q113" s="6" t="n">
        <f aca="false">IF(OR(TablaVentas[[#This Row],[Ingreso_neto]]="PENDIENTE",TablaVentas[[#This Row],[Costo_total]]="PENDIENTE"),"PENDIENTE",TablaVentas[[#This Row],[Ingreso_neto]]-TablaVentas[[#This Row],[Costo_total]])</f>
        <v>1110.296</v>
      </c>
    </row>
    <row r="114" customFormat="false" ht="13.5" hidden="false" customHeight="false" outlineLevel="0" collapsed="false">
      <c r="A114" s="1" t="s">
        <v>231</v>
      </c>
      <c r="B114" s="1" t="n">
        <v>5</v>
      </c>
      <c r="C114" s="5" t="n">
        <v>46272</v>
      </c>
      <c r="D114" s="6" t="s">
        <v>232</v>
      </c>
      <c r="E114" s="6" t="s">
        <v>219</v>
      </c>
      <c r="F114" s="6" t="s">
        <v>63</v>
      </c>
      <c r="G114" s="6" t="s">
        <v>57</v>
      </c>
      <c r="H114" s="6" t="s">
        <v>48</v>
      </c>
      <c r="I114" s="1" t="n">
        <v>2</v>
      </c>
      <c r="J114" s="7" t="n">
        <v>3924.18</v>
      </c>
      <c r="K114" s="8" t="n">
        <v>0.2</v>
      </c>
      <c r="L114" s="7" t="n">
        <v>2157.55</v>
      </c>
      <c r="M114" s="6" t="s">
        <v>49</v>
      </c>
      <c r="N114" s="6" t="s">
        <v>52</v>
      </c>
      <c r="O114" s="6" t="n">
        <f aca="false">IF(TablaVentas[[#This Row],[Precio_unitario]]="","PENDIENTE",TablaVentas[[#This Row],[Unidades]]*TablaVentas[[#This Row],[Precio_unitario]]*(1-TablaVentas[[#This Row],[Descuento_pct]]))</f>
        <v>6278.688</v>
      </c>
      <c r="P114" s="6" t="n">
        <f aca="false">IF(TablaVentas[[#This Row],[Costo_unitario]]="","PENDIENTE",TablaVentas[[#This Row],[Unidades]]*TablaVentas[[#This Row],[Costo_unitario]])</f>
        <v>4315.1</v>
      </c>
      <c r="Q114" s="6" t="n">
        <f aca="false">IF(OR(TablaVentas[[#This Row],[Ingreso_neto]]="PENDIENTE",TablaVentas[[#This Row],[Costo_total]]="PENDIENTE"),"PENDIENTE",TablaVentas[[#This Row],[Ingreso_neto]]-TablaVentas[[#This Row],[Costo_total]])</f>
        <v>1963.588</v>
      </c>
    </row>
    <row r="115" customFormat="false" ht="13.5" hidden="false" customHeight="false" outlineLevel="0" collapsed="false">
      <c r="A115" s="1" t="s">
        <v>235</v>
      </c>
      <c r="B115" s="1" t="n">
        <v>1</v>
      </c>
      <c r="C115" s="5" t="n">
        <v>46100</v>
      </c>
      <c r="D115" s="6" t="s">
        <v>154</v>
      </c>
      <c r="E115" s="6" t="s">
        <v>234</v>
      </c>
      <c r="F115" s="6" t="s">
        <v>63</v>
      </c>
      <c r="G115" s="6" t="s">
        <v>57</v>
      </c>
      <c r="H115" s="6" t="s">
        <v>109</v>
      </c>
      <c r="I115" s="1" t="n">
        <v>3</v>
      </c>
      <c r="J115" s="7" t="n">
        <v>8024.01</v>
      </c>
      <c r="K115" s="8" t="n">
        <v>0</v>
      </c>
      <c r="L115" s="7" t="n">
        <v>6255.13</v>
      </c>
      <c r="M115" s="6" t="s">
        <v>69</v>
      </c>
      <c r="N115" s="6" t="s">
        <v>50</v>
      </c>
      <c r="O115" s="6" t="n">
        <f aca="false">IF(TablaVentas[[#This Row],[Precio_unitario]]="","PENDIENTE",TablaVentas[[#This Row],[Unidades]]*TablaVentas[[#This Row],[Precio_unitario]]*(1-TablaVentas[[#This Row],[Descuento_pct]]))</f>
        <v>24072.03</v>
      </c>
      <c r="P115" s="6" t="n">
        <f aca="false">IF(TablaVentas[[#This Row],[Costo_unitario]]="","PENDIENTE",TablaVentas[[#This Row],[Unidades]]*TablaVentas[[#This Row],[Costo_unitario]])</f>
        <v>18765.39</v>
      </c>
      <c r="Q115" s="6" t="n">
        <f aca="false">IF(OR(TablaVentas[[#This Row],[Ingreso_neto]]="PENDIENTE",TablaVentas[[#This Row],[Costo_total]]="PENDIENTE"),"PENDIENTE",TablaVentas[[#This Row],[Ingreso_neto]]-TablaVentas[[#This Row],[Costo_total]])</f>
        <v>5306.64</v>
      </c>
    </row>
    <row r="116" customFormat="false" ht="13.5" hidden="false" customHeight="false" outlineLevel="0" collapsed="false">
      <c r="A116" s="1" t="s">
        <v>236</v>
      </c>
      <c r="B116" s="1" t="n">
        <v>1</v>
      </c>
      <c r="C116" s="5" t="n">
        <v>46191</v>
      </c>
      <c r="D116" s="6" t="s">
        <v>237</v>
      </c>
      <c r="E116" s="6" t="s">
        <v>122</v>
      </c>
      <c r="F116" s="6" t="s">
        <v>84</v>
      </c>
      <c r="G116" s="6" t="s">
        <v>57</v>
      </c>
      <c r="H116" s="6" t="s">
        <v>136</v>
      </c>
      <c r="I116" s="1" t="n">
        <v>1</v>
      </c>
      <c r="J116" s="7" t="n">
        <v>1317.02</v>
      </c>
      <c r="K116" s="8" t="n">
        <v>0.1</v>
      </c>
      <c r="L116" s="7" t="n">
        <v>705.87</v>
      </c>
      <c r="M116" s="6" t="s">
        <v>49</v>
      </c>
      <c r="N116" s="6" t="s">
        <v>52</v>
      </c>
      <c r="O116" s="6" t="n">
        <f aca="false">IF(TablaVentas[[#This Row],[Precio_unitario]]="","PENDIENTE",TablaVentas[[#This Row],[Unidades]]*TablaVentas[[#This Row],[Precio_unitario]]*(1-TablaVentas[[#This Row],[Descuento_pct]]))</f>
        <v>1185.318</v>
      </c>
      <c r="P116" s="6" t="n">
        <f aca="false">IF(TablaVentas[[#This Row],[Costo_unitario]]="","PENDIENTE",TablaVentas[[#This Row],[Unidades]]*TablaVentas[[#This Row],[Costo_unitario]])</f>
        <v>705.87</v>
      </c>
      <c r="Q116" s="6" t="n">
        <f aca="false">IF(OR(TablaVentas[[#This Row],[Ingreso_neto]]="PENDIENTE",TablaVentas[[#This Row],[Costo_total]]="PENDIENTE"),"PENDIENTE",TablaVentas[[#This Row],[Ingreso_neto]]-TablaVentas[[#This Row],[Costo_total]])</f>
        <v>479.448</v>
      </c>
    </row>
    <row r="117" customFormat="false" ht="13.5" hidden="false" customHeight="false" outlineLevel="0" collapsed="false">
      <c r="A117" s="1" t="s">
        <v>236</v>
      </c>
      <c r="B117" s="1" t="n">
        <v>2</v>
      </c>
      <c r="C117" s="5" t="n">
        <v>46191</v>
      </c>
      <c r="D117" s="6" t="s">
        <v>237</v>
      </c>
      <c r="E117" s="6" t="s">
        <v>200</v>
      </c>
      <c r="F117" s="6" t="s">
        <v>84</v>
      </c>
      <c r="G117" s="6" t="s">
        <v>57</v>
      </c>
      <c r="H117" s="6" t="s">
        <v>136</v>
      </c>
      <c r="I117" s="1" t="n">
        <v>1</v>
      </c>
      <c r="J117" s="7" t="n">
        <v>10793.64</v>
      </c>
      <c r="K117" s="8" t="n">
        <v>0</v>
      </c>
      <c r="L117" s="7" t="n">
        <v>5811.72</v>
      </c>
      <c r="M117" s="6" t="s">
        <v>69</v>
      </c>
      <c r="N117" s="6" t="s">
        <v>67</v>
      </c>
      <c r="O117" s="6" t="n">
        <f aca="false">IF(TablaVentas[[#This Row],[Precio_unitario]]="","PENDIENTE",TablaVentas[[#This Row],[Unidades]]*TablaVentas[[#This Row],[Precio_unitario]]*(1-TablaVentas[[#This Row],[Descuento_pct]]))</f>
        <v>10793.64</v>
      </c>
      <c r="P117" s="6" t="n">
        <f aca="false">IF(TablaVentas[[#This Row],[Costo_unitario]]="","PENDIENTE",TablaVentas[[#This Row],[Unidades]]*TablaVentas[[#This Row],[Costo_unitario]])</f>
        <v>5811.72</v>
      </c>
      <c r="Q117" s="6" t="n">
        <f aca="false">IF(OR(TablaVentas[[#This Row],[Ingreso_neto]]="PENDIENTE",TablaVentas[[#This Row],[Costo_total]]="PENDIENTE"),"PENDIENTE",TablaVentas[[#This Row],[Ingreso_neto]]-TablaVentas[[#This Row],[Costo_total]])</f>
        <v>4981.92</v>
      </c>
    </row>
    <row r="118" customFormat="false" ht="13.5" hidden="false" customHeight="false" outlineLevel="0" collapsed="false">
      <c r="A118" s="1" t="s">
        <v>236</v>
      </c>
      <c r="B118" s="1" t="n">
        <v>3</v>
      </c>
      <c r="C118" s="5" t="n">
        <v>46191</v>
      </c>
      <c r="D118" s="6" t="s">
        <v>237</v>
      </c>
      <c r="E118" s="6" t="s">
        <v>187</v>
      </c>
      <c r="F118" s="6" t="s">
        <v>84</v>
      </c>
      <c r="G118" s="6" t="s">
        <v>57</v>
      </c>
      <c r="H118" s="6" t="s">
        <v>136</v>
      </c>
      <c r="I118" s="1" t="n">
        <v>1</v>
      </c>
      <c r="J118" s="7" t="n">
        <v>5963.41</v>
      </c>
      <c r="K118" s="8" t="n">
        <v>0</v>
      </c>
      <c r="L118" s="7" t="n">
        <v>3824.92</v>
      </c>
      <c r="M118" s="6" t="s">
        <v>49</v>
      </c>
      <c r="N118" s="6" t="s">
        <v>52</v>
      </c>
      <c r="O118" s="6" t="n">
        <f aca="false">IF(TablaVentas[[#This Row],[Precio_unitario]]="","PENDIENTE",TablaVentas[[#This Row],[Unidades]]*TablaVentas[[#This Row],[Precio_unitario]]*(1-TablaVentas[[#This Row],[Descuento_pct]]))</f>
        <v>5963.41</v>
      </c>
      <c r="P118" s="6" t="n">
        <f aca="false">IF(TablaVentas[[#This Row],[Costo_unitario]]="","PENDIENTE",TablaVentas[[#This Row],[Unidades]]*TablaVentas[[#This Row],[Costo_unitario]])</f>
        <v>3824.92</v>
      </c>
      <c r="Q118" s="6" t="n">
        <f aca="false">IF(OR(TablaVentas[[#This Row],[Ingreso_neto]]="PENDIENTE",TablaVentas[[#This Row],[Costo_total]]="PENDIENTE"),"PENDIENTE",TablaVentas[[#This Row],[Ingreso_neto]]-TablaVentas[[#This Row],[Costo_total]])</f>
        <v>2138.49</v>
      </c>
    </row>
    <row r="119" customFormat="false" ht="13.5" hidden="false" customHeight="false" outlineLevel="0" collapsed="false">
      <c r="A119" s="1" t="s">
        <v>238</v>
      </c>
      <c r="B119" s="1" t="n">
        <v>1</v>
      </c>
      <c r="C119" s="5" t="n">
        <v>46181</v>
      </c>
      <c r="D119" s="6" t="s">
        <v>239</v>
      </c>
      <c r="E119" s="6" t="s">
        <v>240</v>
      </c>
      <c r="F119" s="6" t="s">
        <v>84</v>
      </c>
      <c r="G119" s="6" t="s">
        <v>64</v>
      </c>
      <c r="H119" s="6" t="s">
        <v>80</v>
      </c>
      <c r="I119" s="1" t="n">
        <v>1</v>
      </c>
      <c r="J119" s="7" t="n">
        <v>9387.6</v>
      </c>
      <c r="K119" s="8" t="n">
        <v>0</v>
      </c>
      <c r="L119" s="7" t="n">
        <v>5932.12</v>
      </c>
      <c r="M119" s="6" t="s">
        <v>49</v>
      </c>
      <c r="N119" s="6" t="s">
        <v>67</v>
      </c>
      <c r="O119" s="6" t="n">
        <f aca="false">IF(TablaVentas[[#This Row],[Precio_unitario]]="","PENDIENTE",TablaVentas[[#This Row],[Unidades]]*TablaVentas[[#This Row],[Precio_unitario]]*(1-TablaVentas[[#This Row],[Descuento_pct]]))</f>
        <v>9387.6</v>
      </c>
      <c r="P119" s="6" t="n">
        <f aca="false">IF(TablaVentas[[#This Row],[Costo_unitario]]="","PENDIENTE",TablaVentas[[#This Row],[Unidades]]*TablaVentas[[#This Row],[Costo_unitario]])</f>
        <v>5932.12</v>
      </c>
      <c r="Q119" s="6" t="n">
        <f aca="false">IF(OR(TablaVentas[[#This Row],[Ingreso_neto]]="PENDIENTE",TablaVentas[[#This Row],[Costo_total]]="PENDIENTE"),"PENDIENTE",TablaVentas[[#This Row],[Ingreso_neto]]-TablaVentas[[#This Row],[Costo_total]])</f>
        <v>3455.48</v>
      </c>
    </row>
    <row r="120" customFormat="false" ht="13.5" hidden="false" customHeight="false" outlineLevel="0" collapsed="false">
      <c r="A120" s="1" t="s">
        <v>241</v>
      </c>
      <c r="B120" s="1" t="n">
        <v>1</v>
      </c>
      <c r="C120" s="5" t="n">
        <v>46047</v>
      </c>
      <c r="D120" s="6" t="s">
        <v>242</v>
      </c>
      <c r="E120" s="6" t="s">
        <v>243</v>
      </c>
      <c r="F120" s="6" t="s">
        <v>63</v>
      </c>
      <c r="G120" s="6" t="s">
        <v>57</v>
      </c>
      <c r="H120" s="6" t="s">
        <v>131</v>
      </c>
      <c r="I120" s="1" t="n">
        <v>5</v>
      </c>
      <c r="J120" s="7" t="n">
        <v>9204.77</v>
      </c>
      <c r="K120" s="8" t="n">
        <v>0</v>
      </c>
      <c r="L120" s="7" t="n">
        <v>8061.7</v>
      </c>
      <c r="M120" s="6" t="s">
        <v>49</v>
      </c>
      <c r="N120" s="6" t="s">
        <v>59</v>
      </c>
      <c r="O120" s="6" t="n">
        <f aca="false">IF(TablaVentas[[#This Row],[Precio_unitario]]="","PENDIENTE",TablaVentas[[#This Row],[Unidades]]*TablaVentas[[#This Row],[Precio_unitario]]*(1-TablaVentas[[#This Row],[Descuento_pct]]))</f>
        <v>46023.85</v>
      </c>
      <c r="P120" s="6" t="n">
        <f aca="false">IF(TablaVentas[[#This Row],[Costo_unitario]]="","PENDIENTE",TablaVentas[[#This Row],[Unidades]]*TablaVentas[[#This Row],[Costo_unitario]])</f>
        <v>40308.5</v>
      </c>
      <c r="Q120" s="6" t="n">
        <f aca="false">IF(OR(TablaVentas[[#This Row],[Ingreso_neto]]="PENDIENTE",TablaVentas[[#This Row],[Costo_total]]="PENDIENTE"),"PENDIENTE",TablaVentas[[#This Row],[Ingreso_neto]]-TablaVentas[[#This Row],[Costo_total]])</f>
        <v>5715.35000000001</v>
      </c>
    </row>
    <row r="121" customFormat="false" ht="13.5" hidden="false" customHeight="false" outlineLevel="0" collapsed="false">
      <c r="A121" s="1" t="s">
        <v>241</v>
      </c>
      <c r="B121" s="1" t="n">
        <v>2</v>
      </c>
      <c r="C121" s="5" t="n">
        <v>46047</v>
      </c>
      <c r="D121" s="6" t="s">
        <v>242</v>
      </c>
      <c r="E121" s="6" t="s">
        <v>145</v>
      </c>
      <c r="F121" s="6" t="s">
        <v>63</v>
      </c>
      <c r="G121" s="6" t="s">
        <v>57</v>
      </c>
      <c r="H121" s="6" t="s">
        <v>131</v>
      </c>
      <c r="I121" s="1" t="n">
        <v>3</v>
      </c>
      <c r="J121" s="7" t="n">
        <v>6777.85</v>
      </c>
      <c r="K121" s="8" t="n">
        <v>0</v>
      </c>
      <c r="L121" s="7" t="n">
        <v>4665.62</v>
      </c>
      <c r="M121" s="6" t="s">
        <v>49</v>
      </c>
      <c r="N121" s="6" t="s">
        <v>52</v>
      </c>
      <c r="O121" s="6" t="n">
        <f aca="false">IF(TablaVentas[[#This Row],[Precio_unitario]]="","PENDIENTE",TablaVentas[[#This Row],[Unidades]]*TablaVentas[[#This Row],[Precio_unitario]]*(1-TablaVentas[[#This Row],[Descuento_pct]]))</f>
        <v>20333.55</v>
      </c>
      <c r="P121" s="6" t="n">
        <f aca="false">IF(TablaVentas[[#This Row],[Costo_unitario]]="","PENDIENTE",TablaVentas[[#This Row],[Unidades]]*TablaVentas[[#This Row],[Costo_unitario]])</f>
        <v>13996.86</v>
      </c>
      <c r="Q121" s="6" t="n">
        <f aca="false">IF(OR(TablaVentas[[#This Row],[Ingreso_neto]]="PENDIENTE",TablaVentas[[#This Row],[Costo_total]]="PENDIENTE"),"PENDIENTE",TablaVentas[[#This Row],[Ingreso_neto]]-TablaVentas[[#This Row],[Costo_total]])</f>
        <v>6336.69</v>
      </c>
    </row>
    <row r="122" customFormat="false" ht="13.5" hidden="false" customHeight="false" outlineLevel="0" collapsed="false">
      <c r="A122" s="1" t="s">
        <v>241</v>
      </c>
      <c r="B122" s="1" t="n">
        <v>3</v>
      </c>
      <c r="C122" s="5" t="n">
        <v>46047</v>
      </c>
      <c r="D122" s="6" t="s">
        <v>242</v>
      </c>
      <c r="E122" s="6" t="s">
        <v>51</v>
      </c>
      <c r="F122" s="6" t="s">
        <v>63</v>
      </c>
      <c r="G122" s="6" t="s">
        <v>57</v>
      </c>
      <c r="H122" s="6" t="s">
        <v>131</v>
      </c>
      <c r="I122" s="1" t="n">
        <v>1</v>
      </c>
      <c r="J122" s="7" t="n">
        <v>14627.93</v>
      </c>
      <c r="K122" s="8" t="n">
        <v>0</v>
      </c>
      <c r="L122" s="7" t="n">
        <v>8980.68</v>
      </c>
      <c r="M122" s="6" t="s">
        <v>49</v>
      </c>
      <c r="N122" s="6" t="s">
        <v>50</v>
      </c>
      <c r="O122" s="6" t="n">
        <f aca="false">IF(TablaVentas[[#This Row],[Precio_unitario]]="","PENDIENTE",TablaVentas[[#This Row],[Unidades]]*TablaVentas[[#This Row],[Precio_unitario]]*(1-TablaVentas[[#This Row],[Descuento_pct]]))</f>
        <v>14627.93</v>
      </c>
      <c r="P122" s="6" t="n">
        <f aca="false">IF(TablaVentas[[#This Row],[Costo_unitario]]="","PENDIENTE",TablaVentas[[#This Row],[Unidades]]*TablaVentas[[#This Row],[Costo_unitario]])</f>
        <v>8980.68</v>
      </c>
      <c r="Q122" s="6" t="n">
        <f aca="false">IF(OR(TablaVentas[[#This Row],[Ingreso_neto]]="PENDIENTE",TablaVentas[[#This Row],[Costo_total]]="PENDIENTE"),"PENDIENTE",TablaVentas[[#This Row],[Ingreso_neto]]-TablaVentas[[#This Row],[Costo_total]])</f>
        <v>5647.25</v>
      </c>
    </row>
    <row r="123" customFormat="false" ht="13.5" hidden="false" customHeight="false" outlineLevel="0" collapsed="false">
      <c r="A123" s="1" t="s">
        <v>244</v>
      </c>
      <c r="B123" s="1" t="n">
        <v>1</v>
      </c>
      <c r="C123" s="5" t="n">
        <v>46169</v>
      </c>
      <c r="D123" s="6" t="s">
        <v>245</v>
      </c>
      <c r="E123" s="6" t="s">
        <v>121</v>
      </c>
      <c r="F123" s="6" t="s">
        <v>84</v>
      </c>
      <c r="G123" s="6" t="s">
        <v>64</v>
      </c>
      <c r="H123" s="6" t="s">
        <v>89</v>
      </c>
      <c r="I123" s="1" t="n">
        <v>1</v>
      </c>
      <c r="J123" s="7" t="n">
        <v>13565.77</v>
      </c>
      <c r="K123" s="8" t="n">
        <v>0</v>
      </c>
      <c r="L123" s="7" t="n">
        <v>8239.48</v>
      </c>
      <c r="M123" s="6" t="s">
        <v>49</v>
      </c>
      <c r="N123" s="6" t="s">
        <v>50</v>
      </c>
      <c r="O123" s="6" t="n">
        <f aca="false">IF(TablaVentas[[#This Row],[Precio_unitario]]="","PENDIENTE",TablaVentas[[#This Row],[Unidades]]*TablaVentas[[#This Row],[Precio_unitario]]*(1-TablaVentas[[#This Row],[Descuento_pct]]))</f>
        <v>13565.77</v>
      </c>
      <c r="P123" s="6" t="n">
        <f aca="false">IF(TablaVentas[[#This Row],[Costo_unitario]]="","PENDIENTE",TablaVentas[[#This Row],[Unidades]]*TablaVentas[[#This Row],[Costo_unitario]])</f>
        <v>8239.48</v>
      </c>
      <c r="Q123" s="6" t="n">
        <f aca="false">IF(OR(TablaVentas[[#This Row],[Ingreso_neto]]="PENDIENTE",TablaVentas[[#This Row],[Costo_total]]="PENDIENTE"),"PENDIENTE",TablaVentas[[#This Row],[Ingreso_neto]]-TablaVentas[[#This Row],[Costo_total]])</f>
        <v>5326.29</v>
      </c>
    </row>
    <row r="124" customFormat="false" ht="13.5" hidden="false" customHeight="false" outlineLevel="0" collapsed="false">
      <c r="A124" s="1" t="s">
        <v>246</v>
      </c>
      <c r="B124" s="1" t="n">
        <v>1</v>
      </c>
      <c r="C124" s="5" t="n">
        <v>46213</v>
      </c>
      <c r="D124" s="6" t="s">
        <v>247</v>
      </c>
      <c r="E124" s="6" t="s">
        <v>170</v>
      </c>
      <c r="F124" s="6" t="s">
        <v>46</v>
      </c>
      <c r="G124" s="6" t="s">
        <v>47</v>
      </c>
      <c r="H124" s="6" t="s">
        <v>89</v>
      </c>
      <c r="I124" s="1" t="n">
        <v>3</v>
      </c>
      <c r="J124" s="7" t="n">
        <v>17201.88</v>
      </c>
      <c r="K124" s="8" t="n">
        <v>0</v>
      </c>
      <c r="L124" s="7" t="n">
        <v>12141.44</v>
      </c>
      <c r="M124" s="6" t="s">
        <v>49</v>
      </c>
      <c r="N124" s="6" t="s">
        <v>50</v>
      </c>
      <c r="O124" s="6" t="n">
        <f aca="false">IF(TablaVentas[[#This Row],[Precio_unitario]]="","PENDIENTE",TablaVentas[[#This Row],[Unidades]]*TablaVentas[[#This Row],[Precio_unitario]]*(1-TablaVentas[[#This Row],[Descuento_pct]]))</f>
        <v>51605.64</v>
      </c>
      <c r="P124" s="6" t="n">
        <f aca="false">IF(TablaVentas[[#This Row],[Costo_unitario]]="","PENDIENTE",TablaVentas[[#This Row],[Unidades]]*TablaVentas[[#This Row],[Costo_unitario]])</f>
        <v>36424.32</v>
      </c>
      <c r="Q124" s="6" t="n">
        <f aca="false">IF(OR(TablaVentas[[#This Row],[Ingreso_neto]]="PENDIENTE",TablaVentas[[#This Row],[Costo_total]]="PENDIENTE"),"PENDIENTE",TablaVentas[[#This Row],[Ingreso_neto]]-TablaVentas[[#This Row],[Costo_total]])</f>
        <v>15181.32</v>
      </c>
    </row>
    <row r="125" customFormat="false" ht="13.5" hidden="false" customHeight="false" outlineLevel="0" collapsed="false">
      <c r="A125" s="1" t="s">
        <v>246</v>
      </c>
      <c r="B125" s="1" t="n">
        <v>2</v>
      </c>
      <c r="C125" s="5" t="n">
        <v>46213</v>
      </c>
      <c r="D125" s="6" t="s">
        <v>247</v>
      </c>
      <c r="E125" s="6" t="s">
        <v>150</v>
      </c>
      <c r="F125" s="6" t="s">
        <v>46</v>
      </c>
      <c r="G125" s="6" t="s">
        <v>47</v>
      </c>
      <c r="H125" s="6" t="s">
        <v>89</v>
      </c>
      <c r="I125" s="1" t="n">
        <v>1</v>
      </c>
      <c r="J125" s="7" t="n">
        <v>9083.9</v>
      </c>
      <c r="K125" s="8" t="n">
        <v>0.1</v>
      </c>
      <c r="L125" s="7" t="n">
        <v>6815.42</v>
      </c>
      <c r="M125" s="6" t="s">
        <v>49</v>
      </c>
      <c r="N125" s="6" t="s">
        <v>52</v>
      </c>
      <c r="O125" s="6" t="n">
        <f aca="false">IF(TablaVentas[[#This Row],[Precio_unitario]]="","PENDIENTE",TablaVentas[[#This Row],[Unidades]]*TablaVentas[[#This Row],[Precio_unitario]]*(1-TablaVentas[[#This Row],[Descuento_pct]]))</f>
        <v>8175.51</v>
      </c>
      <c r="P125" s="6" t="n">
        <f aca="false">IF(TablaVentas[[#This Row],[Costo_unitario]]="","PENDIENTE",TablaVentas[[#This Row],[Unidades]]*TablaVentas[[#This Row],[Costo_unitario]])</f>
        <v>6815.42</v>
      </c>
      <c r="Q125" s="6" t="n">
        <f aca="false">IF(OR(TablaVentas[[#This Row],[Ingreso_neto]]="PENDIENTE",TablaVentas[[#This Row],[Costo_total]]="PENDIENTE"),"PENDIENTE",TablaVentas[[#This Row],[Ingreso_neto]]-TablaVentas[[#This Row],[Costo_total]])</f>
        <v>1360.09</v>
      </c>
    </row>
    <row r="126" customFormat="false" ht="13.5" hidden="false" customHeight="false" outlineLevel="0" collapsed="false">
      <c r="A126" s="1" t="s">
        <v>248</v>
      </c>
      <c r="B126" s="1" t="n">
        <v>1</v>
      </c>
      <c r="C126" s="5" t="n">
        <v>46250</v>
      </c>
      <c r="D126" s="6" t="s">
        <v>249</v>
      </c>
      <c r="E126" s="6" t="s">
        <v>90</v>
      </c>
      <c r="F126" s="6" t="s">
        <v>46</v>
      </c>
      <c r="G126" s="6" t="s">
        <v>47</v>
      </c>
      <c r="H126" s="6" t="s">
        <v>80</v>
      </c>
      <c r="I126" s="1" t="n">
        <v>1</v>
      </c>
      <c r="J126" s="7" t="n">
        <v>16507.22</v>
      </c>
      <c r="K126" s="8" t="n">
        <v>0.2</v>
      </c>
      <c r="L126" s="7" t="n">
        <v>12723.77</v>
      </c>
      <c r="M126" s="6" t="s">
        <v>49</v>
      </c>
      <c r="N126" s="6" t="s">
        <v>59</v>
      </c>
      <c r="O126" s="6" t="n">
        <f aca="false">IF(TablaVentas[[#This Row],[Precio_unitario]]="","PENDIENTE",TablaVentas[[#This Row],[Unidades]]*TablaVentas[[#This Row],[Precio_unitario]]*(1-TablaVentas[[#This Row],[Descuento_pct]]))</f>
        <v>13205.776</v>
      </c>
      <c r="P126" s="6" t="n">
        <f aca="false">IF(TablaVentas[[#This Row],[Costo_unitario]]="","PENDIENTE",TablaVentas[[#This Row],[Unidades]]*TablaVentas[[#This Row],[Costo_unitario]])</f>
        <v>12723.77</v>
      </c>
      <c r="Q126" s="6" t="n">
        <f aca="false">IF(OR(TablaVentas[[#This Row],[Ingreso_neto]]="PENDIENTE",TablaVentas[[#This Row],[Costo_total]]="PENDIENTE"),"PENDIENTE",TablaVentas[[#This Row],[Ingreso_neto]]-TablaVentas[[#This Row],[Costo_total]])</f>
        <v>482.006000000001</v>
      </c>
    </row>
    <row r="127" customFormat="false" ht="13.5" hidden="false" customHeight="false" outlineLevel="0" collapsed="false">
      <c r="A127" s="1" t="s">
        <v>250</v>
      </c>
      <c r="B127" s="1" t="n">
        <v>1</v>
      </c>
      <c r="C127" s="5" t="n">
        <v>46081</v>
      </c>
      <c r="D127" s="6" t="s">
        <v>251</v>
      </c>
      <c r="E127" s="6" t="s">
        <v>121</v>
      </c>
      <c r="F127" s="6" t="s">
        <v>46</v>
      </c>
      <c r="G127" s="6" t="s">
        <v>47</v>
      </c>
      <c r="H127" s="6" t="s">
        <v>136</v>
      </c>
      <c r="I127" s="1" t="n">
        <v>1</v>
      </c>
      <c r="J127" s="7" t="n">
        <v>13744.34</v>
      </c>
      <c r="K127" s="8" t="n">
        <v>0.15</v>
      </c>
      <c r="L127" s="7" t="n">
        <v>8239.48</v>
      </c>
      <c r="M127" s="6" t="s">
        <v>49</v>
      </c>
      <c r="N127" s="6" t="s">
        <v>52</v>
      </c>
      <c r="O127" s="6" t="n">
        <f aca="false">IF(TablaVentas[[#This Row],[Precio_unitario]]="","PENDIENTE",TablaVentas[[#This Row],[Unidades]]*TablaVentas[[#This Row],[Precio_unitario]]*(1-TablaVentas[[#This Row],[Descuento_pct]]))</f>
        <v>11682.689</v>
      </c>
      <c r="P127" s="6" t="n">
        <f aca="false">IF(TablaVentas[[#This Row],[Costo_unitario]]="","PENDIENTE",TablaVentas[[#This Row],[Unidades]]*TablaVentas[[#This Row],[Costo_unitario]])</f>
        <v>8239.48</v>
      </c>
      <c r="Q127" s="6" t="n">
        <f aca="false">IF(OR(TablaVentas[[#This Row],[Ingreso_neto]]="PENDIENTE",TablaVentas[[#This Row],[Costo_total]]="PENDIENTE"),"PENDIENTE",TablaVentas[[#This Row],[Ingreso_neto]]-TablaVentas[[#This Row],[Costo_total]])</f>
        <v>3443.209</v>
      </c>
    </row>
    <row r="128" customFormat="false" ht="13.5" hidden="false" customHeight="false" outlineLevel="0" collapsed="false">
      <c r="A128" s="1" t="s">
        <v>250</v>
      </c>
      <c r="B128" s="1" t="n">
        <v>2</v>
      </c>
      <c r="C128" s="5" t="n">
        <v>46081</v>
      </c>
      <c r="D128" s="6" t="s">
        <v>251</v>
      </c>
      <c r="E128" s="6" t="s">
        <v>252</v>
      </c>
      <c r="F128" s="6" t="s">
        <v>46</v>
      </c>
      <c r="G128" s="6" t="s">
        <v>47</v>
      </c>
      <c r="H128" s="6" t="s">
        <v>136</v>
      </c>
      <c r="I128" s="1" t="n">
        <v>1</v>
      </c>
      <c r="J128" s="7" t="n">
        <v>19282.42</v>
      </c>
      <c r="K128" s="8" t="n">
        <v>0</v>
      </c>
      <c r="L128" s="7" t="n">
        <v>10507.24</v>
      </c>
      <c r="M128" s="6" t="s">
        <v>49</v>
      </c>
      <c r="N128" s="6" t="s">
        <v>59</v>
      </c>
      <c r="O128" s="6" t="n">
        <f aca="false">IF(TablaVentas[[#This Row],[Precio_unitario]]="","PENDIENTE",TablaVentas[[#This Row],[Unidades]]*TablaVentas[[#This Row],[Precio_unitario]]*(1-TablaVentas[[#This Row],[Descuento_pct]]))</f>
        <v>19282.42</v>
      </c>
      <c r="P128" s="6" t="n">
        <f aca="false">IF(TablaVentas[[#This Row],[Costo_unitario]]="","PENDIENTE",TablaVentas[[#This Row],[Unidades]]*TablaVentas[[#This Row],[Costo_unitario]])</f>
        <v>10507.24</v>
      </c>
      <c r="Q128" s="6" t="n">
        <f aca="false">IF(OR(TablaVentas[[#This Row],[Ingreso_neto]]="PENDIENTE",TablaVentas[[#This Row],[Costo_total]]="PENDIENTE"),"PENDIENTE",TablaVentas[[#This Row],[Ingreso_neto]]-TablaVentas[[#This Row],[Costo_total]])</f>
        <v>8775.18</v>
      </c>
    </row>
    <row r="129" customFormat="false" ht="13.5" hidden="false" customHeight="false" outlineLevel="0" collapsed="false">
      <c r="A129" s="1" t="s">
        <v>250</v>
      </c>
      <c r="B129" s="1" t="n">
        <v>3</v>
      </c>
      <c r="C129" s="5" t="n">
        <v>46081</v>
      </c>
      <c r="D129" s="6" t="s">
        <v>251</v>
      </c>
      <c r="E129" s="6" t="s">
        <v>83</v>
      </c>
      <c r="F129" s="6" t="s">
        <v>46</v>
      </c>
      <c r="G129" s="6" t="s">
        <v>47</v>
      </c>
      <c r="H129" s="6" t="s">
        <v>136</v>
      </c>
      <c r="I129" s="1" t="n">
        <v>4</v>
      </c>
      <c r="J129" s="7" t="n">
        <v>14511.59</v>
      </c>
      <c r="K129" s="8" t="n">
        <v>0.2</v>
      </c>
      <c r="L129" s="7" t="n">
        <v>7748.44</v>
      </c>
      <c r="M129" s="6" t="s">
        <v>49</v>
      </c>
      <c r="N129" s="6" t="s">
        <v>50</v>
      </c>
      <c r="O129" s="6" t="n">
        <f aca="false">IF(TablaVentas[[#This Row],[Precio_unitario]]="","PENDIENTE",TablaVentas[[#This Row],[Unidades]]*TablaVentas[[#This Row],[Precio_unitario]]*(1-TablaVentas[[#This Row],[Descuento_pct]]))</f>
        <v>46437.088</v>
      </c>
      <c r="P129" s="6" t="n">
        <f aca="false">IF(TablaVentas[[#This Row],[Costo_unitario]]="","PENDIENTE",TablaVentas[[#This Row],[Unidades]]*TablaVentas[[#This Row],[Costo_unitario]])</f>
        <v>30993.76</v>
      </c>
      <c r="Q129" s="6" t="n">
        <f aca="false">IF(OR(TablaVentas[[#This Row],[Ingreso_neto]]="PENDIENTE",TablaVentas[[#This Row],[Costo_total]]="PENDIENTE"),"PENDIENTE",TablaVentas[[#This Row],[Ingreso_neto]]-TablaVentas[[#This Row],[Costo_total]])</f>
        <v>15443.328</v>
      </c>
    </row>
    <row r="130" customFormat="false" ht="13.5" hidden="false" customHeight="false" outlineLevel="0" collapsed="false">
      <c r="A130" s="1" t="s">
        <v>253</v>
      </c>
      <c r="B130" s="1" t="n">
        <v>1</v>
      </c>
      <c r="C130" s="5" t="n">
        <v>46145</v>
      </c>
      <c r="D130" s="6" t="s">
        <v>254</v>
      </c>
      <c r="E130" s="6" t="s">
        <v>255</v>
      </c>
      <c r="F130" s="6" t="s">
        <v>46</v>
      </c>
      <c r="G130" s="6" t="s">
        <v>57</v>
      </c>
      <c r="H130" s="6" t="s">
        <v>191</v>
      </c>
      <c r="I130" s="1" t="n">
        <v>8</v>
      </c>
      <c r="J130" s="7" t="n">
        <v>13510.24</v>
      </c>
      <c r="K130" s="8" t="n">
        <v>0.15</v>
      </c>
      <c r="L130" s="7" t="n">
        <v>6856.4</v>
      </c>
      <c r="M130" s="6" t="s">
        <v>49</v>
      </c>
      <c r="N130" s="6" t="s">
        <v>52</v>
      </c>
      <c r="O130" s="6" t="n">
        <f aca="false">IF(TablaVentas[[#This Row],[Precio_unitario]]="","PENDIENTE",TablaVentas[[#This Row],[Unidades]]*TablaVentas[[#This Row],[Precio_unitario]]*(1-TablaVentas[[#This Row],[Descuento_pct]]))</f>
        <v>91869.632</v>
      </c>
      <c r="P130" s="6" t="n">
        <f aca="false">IF(TablaVentas[[#This Row],[Costo_unitario]]="","PENDIENTE",TablaVentas[[#This Row],[Unidades]]*TablaVentas[[#This Row],[Costo_unitario]])</f>
        <v>54851.2</v>
      </c>
      <c r="Q130" s="6" t="n">
        <f aca="false">IF(OR(TablaVentas[[#This Row],[Ingreso_neto]]="PENDIENTE",TablaVentas[[#This Row],[Costo_total]]="PENDIENTE"),"PENDIENTE",TablaVentas[[#This Row],[Ingreso_neto]]-TablaVentas[[#This Row],[Costo_total]])</f>
        <v>37018.432</v>
      </c>
    </row>
    <row r="131" customFormat="false" ht="13.5" hidden="false" customHeight="false" outlineLevel="0" collapsed="false">
      <c r="A131" s="1" t="s">
        <v>256</v>
      </c>
      <c r="B131" s="1" t="n">
        <v>1</v>
      </c>
      <c r="C131" s="5" t="n">
        <v>46100</v>
      </c>
      <c r="D131" s="6" t="s">
        <v>257</v>
      </c>
      <c r="E131" s="6" t="s">
        <v>76</v>
      </c>
      <c r="F131" s="6" t="s">
        <v>84</v>
      </c>
      <c r="G131" s="6" t="s">
        <v>47</v>
      </c>
      <c r="H131" s="6" t="s">
        <v>89</v>
      </c>
      <c r="I131" s="1" t="n">
        <v>1</v>
      </c>
      <c r="J131" s="7" t="n">
        <v>12929.81</v>
      </c>
      <c r="K131" s="8" t="n">
        <v>0</v>
      </c>
      <c r="L131" s="7" t="n">
        <v>10094.26</v>
      </c>
      <c r="M131" s="6" t="s">
        <v>123</v>
      </c>
      <c r="N131" s="6" t="s">
        <v>52</v>
      </c>
      <c r="O131" s="6" t="n">
        <f aca="false">IF(TablaVentas[[#This Row],[Precio_unitario]]="","PENDIENTE",TablaVentas[[#This Row],[Unidades]]*TablaVentas[[#This Row],[Precio_unitario]]*(1-TablaVentas[[#This Row],[Descuento_pct]]))</f>
        <v>12929.81</v>
      </c>
      <c r="P131" s="6" t="n">
        <f aca="false">IF(TablaVentas[[#This Row],[Costo_unitario]]="","PENDIENTE",TablaVentas[[#This Row],[Unidades]]*TablaVentas[[#This Row],[Costo_unitario]])</f>
        <v>10094.26</v>
      </c>
      <c r="Q131" s="6" t="n">
        <f aca="false">IF(OR(TablaVentas[[#This Row],[Ingreso_neto]]="PENDIENTE",TablaVentas[[#This Row],[Costo_total]]="PENDIENTE"),"PENDIENTE",TablaVentas[[#This Row],[Ingreso_neto]]-TablaVentas[[#This Row],[Costo_total]])</f>
        <v>2835.55</v>
      </c>
    </row>
    <row r="132" customFormat="false" ht="13.5" hidden="false" customHeight="false" outlineLevel="0" collapsed="false">
      <c r="A132" s="1" t="s">
        <v>256</v>
      </c>
      <c r="B132" s="1" t="n">
        <v>2</v>
      </c>
      <c r="C132" s="5" t="n">
        <v>46100</v>
      </c>
      <c r="D132" s="6" t="s">
        <v>257</v>
      </c>
      <c r="E132" s="6" t="s">
        <v>140</v>
      </c>
      <c r="F132" s="6" t="s">
        <v>84</v>
      </c>
      <c r="G132" s="6" t="s">
        <v>47</v>
      </c>
      <c r="H132" s="6" t="s">
        <v>89</v>
      </c>
      <c r="I132" s="1" t="n">
        <v>1</v>
      </c>
      <c r="J132" s="7" t="n">
        <v>8073.88</v>
      </c>
      <c r="K132" s="8" t="n">
        <v>0</v>
      </c>
      <c r="L132" s="7" t="n">
        <v>4061.34</v>
      </c>
      <c r="M132" s="6" t="s">
        <v>49</v>
      </c>
      <c r="N132" s="6" t="s">
        <v>50</v>
      </c>
      <c r="O132" s="6" t="n">
        <f aca="false">IF(TablaVentas[[#This Row],[Precio_unitario]]="","PENDIENTE",TablaVentas[[#This Row],[Unidades]]*TablaVentas[[#This Row],[Precio_unitario]]*(1-TablaVentas[[#This Row],[Descuento_pct]]))</f>
        <v>8073.88</v>
      </c>
      <c r="P132" s="6" t="n">
        <f aca="false">IF(TablaVentas[[#This Row],[Costo_unitario]]="","PENDIENTE",TablaVentas[[#This Row],[Unidades]]*TablaVentas[[#This Row],[Costo_unitario]])</f>
        <v>4061.34</v>
      </c>
      <c r="Q132" s="6" t="n">
        <f aca="false">IF(OR(TablaVentas[[#This Row],[Ingreso_neto]]="PENDIENTE",TablaVentas[[#This Row],[Costo_total]]="PENDIENTE"),"PENDIENTE",TablaVentas[[#This Row],[Ingreso_neto]]-TablaVentas[[#This Row],[Costo_total]])</f>
        <v>4012.54</v>
      </c>
    </row>
    <row r="133" customFormat="false" ht="13.5" hidden="false" customHeight="false" outlineLevel="0" collapsed="false">
      <c r="A133" s="1" t="s">
        <v>258</v>
      </c>
      <c r="B133" s="1" t="n">
        <v>1</v>
      </c>
      <c r="C133" s="5" t="n">
        <v>46275</v>
      </c>
      <c r="D133" s="6" t="s">
        <v>259</v>
      </c>
      <c r="E133" s="6" t="s">
        <v>166</v>
      </c>
      <c r="F133" s="6" t="s">
        <v>46</v>
      </c>
      <c r="G133" s="6" t="s">
        <v>47</v>
      </c>
      <c r="H133" s="6" t="s">
        <v>80</v>
      </c>
      <c r="I133" s="1" t="n">
        <v>3</v>
      </c>
      <c r="J133" s="7" t="n">
        <v>13294.39</v>
      </c>
      <c r="K133" s="8" t="n">
        <v>0.1</v>
      </c>
      <c r="L133" s="7" t="n">
        <v>9317.37</v>
      </c>
      <c r="M133" s="6" t="s">
        <v>49</v>
      </c>
      <c r="N133" s="6" t="s">
        <v>59</v>
      </c>
      <c r="O133" s="6" t="n">
        <f aca="false">IF(TablaVentas[[#This Row],[Precio_unitario]]="","PENDIENTE",TablaVentas[[#This Row],[Unidades]]*TablaVentas[[#This Row],[Precio_unitario]]*(1-TablaVentas[[#This Row],[Descuento_pct]]))</f>
        <v>35894.853</v>
      </c>
      <c r="P133" s="6" t="n">
        <f aca="false">IF(TablaVentas[[#This Row],[Costo_unitario]]="","PENDIENTE",TablaVentas[[#This Row],[Unidades]]*TablaVentas[[#This Row],[Costo_unitario]])</f>
        <v>27952.11</v>
      </c>
      <c r="Q133" s="6" t="n">
        <f aca="false">IF(OR(TablaVentas[[#This Row],[Ingreso_neto]]="PENDIENTE",TablaVentas[[#This Row],[Costo_total]]="PENDIENTE"),"PENDIENTE",TablaVentas[[#This Row],[Ingreso_neto]]-TablaVentas[[#This Row],[Costo_total]])</f>
        <v>7942.743</v>
      </c>
    </row>
    <row r="134" customFormat="false" ht="13.5" hidden="false" customHeight="false" outlineLevel="0" collapsed="false">
      <c r="A134" s="1" t="s">
        <v>258</v>
      </c>
      <c r="B134" s="1" t="n">
        <v>2</v>
      </c>
      <c r="C134" s="5" t="n">
        <v>46275</v>
      </c>
      <c r="D134" s="6" t="s">
        <v>259</v>
      </c>
      <c r="E134" s="6" t="s">
        <v>260</v>
      </c>
      <c r="F134" s="6" t="s">
        <v>46</v>
      </c>
      <c r="G134" s="6" t="s">
        <v>47</v>
      </c>
      <c r="H134" s="6" t="s">
        <v>80</v>
      </c>
      <c r="I134" s="1" t="n">
        <v>2</v>
      </c>
      <c r="J134" s="7" t="n">
        <v>2873.94</v>
      </c>
      <c r="K134" s="8" t="n">
        <v>0</v>
      </c>
      <c r="L134" s="7" t="n">
        <v>2486.18</v>
      </c>
      <c r="M134" s="6" t="s">
        <v>49</v>
      </c>
      <c r="N134" s="6" t="s">
        <v>59</v>
      </c>
      <c r="O134" s="6" t="n">
        <f aca="false">IF(TablaVentas[[#This Row],[Precio_unitario]]="","PENDIENTE",TablaVentas[[#This Row],[Unidades]]*TablaVentas[[#This Row],[Precio_unitario]]*(1-TablaVentas[[#This Row],[Descuento_pct]]))</f>
        <v>5747.88</v>
      </c>
      <c r="P134" s="6" t="n">
        <f aca="false">IF(TablaVentas[[#This Row],[Costo_unitario]]="","PENDIENTE",TablaVentas[[#This Row],[Unidades]]*TablaVentas[[#This Row],[Costo_unitario]])</f>
        <v>4972.36</v>
      </c>
      <c r="Q134" s="6" t="n">
        <f aca="false">IF(OR(TablaVentas[[#This Row],[Ingreso_neto]]="PENDIENTE",TablaVentas[[#This Row],[Costo_total]]="PENDIENTE"),"PENDIENTE",TablaVentas[[#This Row],[Ingreso_neto]]-TablaVentas[[#This Row],[Costo_total]])</f>
        <v>775.52</v>
      </c>
    </row>
    <row r="135" customFormat="false" ht="13.5" hidden="false" customHeight="false" outlineLevel="0" collapsed="false">
      <c r="A135" s="1" t="s">
        <v>258</v>
      </c>
      <c r="B135" s="1" t="n">
        <v>3</v>
      </c>
      <c r="C135" s="5" t="n">
        <v>46275</v>
      </c>
      <c r="D135" s="6" t="s">
        <v>259</v>
      </c>
      <c r="E135" s="6" t="s">
        <v>174</v>
      </c>
      <c r="F135" s="6" t="s">
        <v>46</v>
      </c>
      <c r="G135" s="6" t="s">
        <v>47</v>
      </c>
      <c r="H135" s="6" t="s">
        <v>80</v>
      </c>
      <c r="I135" s="1" t="n">
        <v>5</v>
      </c>
      <c r="J135" s="7" t="n">
        <v>16919.45</v>
      </c>
      <c r="K135" s="8" t="n">
        <v>0</v>
      </c>
      <c r="L135" s="7" t="n">
        <v>8704.4</v>
      </c>
      <c r="M135" s="6" t="s">
        <v>49</v>
      </c>
      <c r="N135" s="6" t="s">
        <v>67</v>
      </c>
      <c r="O135" s="6" t="n">
        <f aca="false">IF(TablaVentas[[#This Row],[Precio_unitario]]="","PENDIENTE",TablaVentas[[#This Row],[Unidades]]*TablaVentas[[#This Row],[Precio_unitario]]*(1-TablaVentas[[#This Row],[Descuento_pct]]))</f>
        <v>84597.25</v>
      </c>
      <c r="P135" s="6" t="n">
        <f aca="false">IF(TablaVentas[[#This Row],[Costo_unitario]]="","PENDIENTE",TablaVentas[[#This Row],[Unidades]]*TablaVentas[[#This Row],[Costo_unitario]])</f>
        <v>43522</v>
      </c>
      <c r="Q135" s="6" t="n">
        <f aca="false">IF(OR(TablaVentas[[#This Row],[Ingreso_neto]]="PENDIENTE",TablaVentas[[#This Row],[Costo_total]]="PENDIENTE"),"PENDIENTE",TablaVentas[[#This Row],[Ingreso_neto]]-TablaVentas[[#This Row],[Costo_total]])</f>
        <v>41075.25</v>
      </c>
    </row>
    <row r="136" customFormat="false" ht="13.5" hidden="false" customHeight="false" outlineLevel="0" collapsed="false">
      <c r="A136" s="1" t="s">
        <v>258</v>
      </c>
      <c r="B136" s="1" t="n">
        <v>4</v>
      </c>
      <c r="C136" s="5" t="n">
        <v>46275</v>
      </c>
      <c r="D136" s="6" t="s">
        <v>259</v>
      </c>
      <c r="E136" s="6" t="s">
        <v>92</v>
      </c>
      <c r="F136" s="6" t="s">
        <v>46</v>
      </c>
      <c r="G136" s="6" t="s">
        <v>47</v>
      </c>
      <c r="H136" s="6" t="s">
        <v>80</v>
      </c>
      <c r="I136" s="1" t="n">
        <v>5</v>
      </c>
      <c r="J136" s="7" t="n">
        <v>488.38</v>
      </c>
      <c r="K136" s="8" t="n">
        <v>0</v>
      </c>
      <c r="L136" s="7" t="n">
        <v>307.75</v>
      </c>
      <c r="M136" s="6" t="s">
        <v>49</v>
      </c>
      <c r="N136" s="6" t="s">
        <v>52</v>
      </c>
      <c r="O136" s="6" t="n">
        <f aca="false">IF(TablaVentas[[#This Row],[Precio_unitario]]="","PENDIENTE",TablaVentas[[#This Row],[Unidades]]*TablaVentas[[#This Row],[Precio_unitario]]*(1-TablaVentas[[#This Row],[Descuento_pct]]))</f>
        <v>2441.9</v>
      </c>
      <c r="P136" s="6" t="n">
        <f aca="false">IF(TablaVentas[[#This Row],[Costo_unitario]]="","PENDIENTE",TablaVentas[[#This Row],[Unidades]]*TablaVentas[[#This Row],[Costo_unitario]])</f>
        <v>1538.75</v>
      </c>
      <c r="Q136" s="6" t="n">
        <f aca="false">IF(OR(TablaVentas[[#This Row],[Ingreso_neto]]="PENDIENTE",TablaVentas[[#This Row],[Costo_total]]="PENDIENTE"),"PENDIENTE",TablaVentas[[#This Row],[Ingreso_neto]]-TablaVentas[[#This Row],[Costo_total]])</f>
        <v>903.15</v>
      </c>
    </row>
    <row r="137" customFormat="false" ht="13.5" hidden="false" customHeight="false" outlineLevel="0" collapsed="false">
      <c r="A137" s="1" t="s">
        <v>258</v>
      </c>
      <c r="B137" s="1" t="n">
        <v>5</v>
      </c>
      <c r="C137" s="5" t="n">
        <v>46275</v>
      </c>
      <c r="D137" s="6" t="s">
        <v>259</v>
      </c>
      <c r="E137" s="6" t="s">
        <v>88</v>
      </c>
      <c r="F137" s="6" t="s">
        <v>46</v>
      </c>
      <c r="G137" s="6" t="s">
        <v>47</v>
      </c>
      <c r="H137" s="6" t="s">
        <v>80</v>
      </c>
      <c r="I137" s="1" t="n">
        <v>1</v>
      </c>
      <c r="J137" s="7" t="n">
        <v>16931.55</v>
      </c>
      <c r="K137" s="8" t="n">
        <v>0.1</v>
      </c>
      <c r="L137" s="7" t="n">
        <v>11614.87</v>
      </c>
      <c r="M137" s="6" t="s">
        <v>49</v>
      </c>
      <c r="N137" s="6" t="s">
        <v>67</v>
      </c>
      <c r="O137" s="6" t="n">
        <f aca="false">IF(TablaVentas[[#This Row],[Precio_unitario]]="","PENDIENTE",TablaVentas[[#This Row],[Unidades]]*TablaVentas[[#This Row],[Precio_unitario]]*(1-TablaVentas[[#This Row],[Descuento_pct]]))</f>
        <v>15238.395</v>
      </c>
      <c r="P137" s="6" t="n">
        <f aca="false">IF(TablaVentas[[#This Row],[Costo_unitario]]="","PENDIENTE",TablaVentas[[#This Row],[Unidades]]*TablaVentas[[#This Row],[Costo_unitario]])</f>
        <v>11614.87</v>
      </c>
      <c r="Q137" s="6" t="n">
        <f aca="false">IF(OR(TablaVentas[[#This Row],[Ingreso_neto]]="PENDIENTE",TablaVentas[[#This Row],[Costo_total]]="PENDIENTE"),"PENDIENTE",TablaVentas[[#This Row],[Ingreso_neto]]-TablaVentas[[#This Row],[Costo_total]])</f>
        <v>3623.525</v>
      </c>
    </row>
    <row r="138" customFormat="false" ht="13.5" hidden="false" customHeight="false" outlineLevel="0" collapsed="false">
      <c r="A138" s="1" t="s">
        <v>261</v>
      </c>
      <c r="B138" s="1" t="n">
        <v>1</v>
      </c>
      <c r="C138" s="5" t="n">
        <v>46134</v>
      </c>
      <c r="D138" s="6" t="s">
        <v>262</v>
      </c>
      <c r="E138" s="6" t="s">
        <v>263</v>
      </c>
      <c r="F138" s="6" t="s">
        <v>73</v>
      </c>
      <c r="G138" s="6" t="s">
        <v>57</v>
      </c>
      <c r="H138" s="6" t="s">
        <v>80</v>
      </c>
      <c r="I138" s="1" t="n">
        <v>2</v>
      </c>
      <c r="J138" s="7" t="n">
        <v>19716.82</v>
      </c>
      <c r="K138" s="8" t="n">
        <v>0</v>
      </c>
      <c r="L138" s="7" t="n">
        <v>11666.57</v>
      </c>
      <c r="M138" s="6" t="s">
        <v>49</v>
      </c>
      <c r="N138" s="6" t="s">
        <v>52</v>
      </c>
      <c r="O138" s="6" t="n">
        <f aca="false">IF(TablaVentas[[#This Row],[Precio_unitario]]="","PENDIENTE",TablaVentas[[#This Row],[Unidades]]*TablaVentas[[#This Row],[Precio_unitario]]*(1-TablaVentas[[#This Row],[Descuento_pct]]))</f>
        <v>39433.64</v>
      </c>
      <c r="P138" s="6" t="n">
        <f aca="false">IF(TablaVentas[[#This Row],[Costo_unitario]]="","PENDIENTE",TablaVentas[[#This Row],[Unidades]]*TablaVentas[[#This Row],[Costo_unitario]])</f>
        <v>23333.14</v>
      </c>
      <c r="Q138" s="6" t="n">
        <f aca="false">IF(OR(TablaVentas[[#This Row],[Ingreso_neto]]="PENDIENTE",TablaVentas[[#This Row],[Costo_total]]="PENDIENTE"),"PENDIENTE",TablaVentas[[#This Row],[Ingreso_neto]]-TablaVentas[[#This Row],[Costo_total]])</f>
        <v>16100.5</v>
      </c>
    </row>
    <row r="139" customFormat="false" ht="13.5" hidden="false" customHeight="false" outlineLevel="0" collapsed="false">
      <c r="A139" s="1" t="s">
        <v>264</v>
      </c>
      <c r="B139" s="1" t="n">
        <v>1</v>
      </c>
      <c r="C139" s="5" t="n">
        <v>46179</v>
      </c>
      <c r="D139" s="6" t="s">
        <v>196</v>
      </c>
      <c r="E139" s="6" t="s">
        <v>260</v>
      </c>
      <c r="F139" s="6" t="s">
        <v>84</v>
      </c>
      <c r="G139" s="6" t="s">
        <v>47</v>
      </c>
      <c r="H139" s="6" t="s">
        <v>89</v>
      </c>
      <c r="I139" s="1" t="n">
        <v>1</v>
      </c>
      <c r="J139" s="7" t="n">
        <v>3146.96</v>
      </c>
      <c r="K139" s="8" t="n">
        <v>0.2</v>
      </c>
      <c r="L139" s="7" t="n">
        <v>2486.18</v>
      </c>
      <c r="M139" s="6" t="s">
        <v>49</v>
      </c>
      <c r="N139" s="6" t="s">
        <v>67</v>
      </c>
      <c r="O139" s="6" t="n">
        <f aca="false">IF(TablaVentas[[#This Row],[Precio_unitario]]="","PENDIENTE",TablaVentas[[#This Row],[Unidades]]*TablaVentas[[#This Row],[Precio_unitario]]*(1-TablaVentas[[#This Row],[Descuento_pct]]))</f>
        <v>2517.568</v>
      </c>
      <c r="P139" s="6" t="n">
        <f aca="false">IF(TablaVentas[[#This Row],[Costo_unitario]]="","PENDIENTE",TablaVentas[[#This Row],[Unidades]]*TablaVentas[[#This Row],[Costo_unitario]])</f>
        <v>2486.18</v>
      </c>
      <c r="Q139" s="6" t="n">
        <f aca="false">IF(OR(TablaVentas[[#This Row],[Ingreso_neto]]="PENDIENTE",TablaVentas[[#This Row],[Costo_total]]="PENDIENTE"),"PENDIENTE",TablaVentas[[#This Row],[Ingreso_neto]]-TablaVentas[[#This Row],[Costo_total]])</f>
        <v>31.3880000000004</v>
      </c>
    </row>
    <row r="140" customFormat="false" ht="13.5" hidden="false" customHeight="false" outlineLevel="0" collapsed="false">
      <c r="A140" s="1" t="s">
        <v>264</v>
      </c>
      <c r="B140" s="1" t="n">
        <v>2</v>
      </c>
      <c r="C140" s="5" t="n">
        <v>46179</v>
      </c>
      <c r="D140" s="6" t="s">
        <v>196</v>
      </c>
      <c r="E140" s="6" t="s">
        <v>265</v>
      </c>
      <c r="F140" s="6" t="s">
        <v>84</v>
      </c>
      <c r="G140" s="6" t="s">
        <v>47</v>
      </c>
      <c r="H140" s="6" t="s">
        <v>89</v>
      </c>
      <c r="I140" s="1" t="n">
        <v>3</v>
      </c>
      <c r="J140" s="7" t="n">
        <v>4067.38</v>
      </c>
      <c r="K140" s="8" t="n">
        <v>0</v>
      </c>
      <c r="L140" s="7" t="n">
        <v>2008.57</v>
      </c>
      <c r="M140" s="6" t="s">
        <v>49</v>
      </c>
      <c r="N140" s="6" t="s">
        <v>52</v>
      </c>
      <c r="O140" s="6" t="n">
        <f aca="false">IF(TablaVentas[[#This Row],[Precio_unitario]]="","PENDIENTE",TablaVentas[[#This Row],[Unidades]]*TablaVentas[[#This Row],[Precio_unitario]]*(1-TablaVentas[[#This Row],[Descuento_pct]]))</f>
        <v>12202.14</v>
      </c>
      <c r="P140" s="6" t="n">
        <f aca="false">IF(TablaVentas[[#This Row],[Costo_unitario]]="","PENDIENTE",TablaVentas[[#This Row],[Unidades]]*TablaVentas[[#This Row],[Costo_unitario]])</f>
        <v>6025.71</v>
      </c>
      <c r="Q140" s="6" t="n">
        <f aca="false">IF(OR(TablaVentas[[#This Row],[Ingreso_neto]]="PENDIENTE",TablaVentas[[#This Row],[Costo_total]]="PENDIENTE"),"PENDIENTE",TablaVentas[[#This Row],[Ingreso_neto]]-TablaVentas[[#This Row],[Costo_total]])</f>
        <v>6176.43</v>
      </c>
    </row>
    <row r="141" customFormat="false" ht="13.5" hidden="false" customHeight="false" outlineLevel="0" collapsed="false">
      <c r="A141" s="1" t="s">
        <v>266</v>
      </c>
      <c r="B141" s="1" t="n">
        <v>1</v>
      </c>
      <c r="C141" s="5" t="n">
        <v>46184</v>
      </c>
      <c r="D141" s="6" t="s">
        <v>176</v>
      </c>
      <c r="E141" s="6" t="s">
        <v>167</v>
      </c>
      <c r="F141" s="6" t="s">
        <v>84</v>
      </c>
      <c r="G141" s="6" t="s">
        <v>64</v>
      </c>
      <c r="H141" s="6" t="s">
        <v>191</v>
      </c>
      <c r="I141" s="1" t="n">
        <v>1</v>
      </c>
      <c r="J141" s="7" t="n">
        <v>7191.69</v>
      </c>
      <c r="K141" s="8" t="n">
        <v>0.05</v>
      </c>
      <c r="L141" s="7" t="n">
        <v>4082.15</v>
      </c>
      <c r="M141" s="6" t="s">
        <v>49</v>
      </c>
      <c r="N141" s="6" t="s">
        <v>52</v>
      </c>
      <c r="O141" s="6" t="n">
        <f aca="false">IF(TablaVentas[[#This Row],[Precio_unitario]]="","PENDIENTE",TablaVentas[[#This Row],[Unidades]]*TablaVentas[[#This Row],[Precio_unitario]]*(1-TablaVentas[[#This Row],[Descuento_pct]]))</f>
        <v>6832.1055</v>
      </c>
      <c r="P141" s="6" t="n">
        <f aca="false">IF(TablaVentas[[#This Row],[Costo_unitario]]="","PENDIENTE",TablaVentas[[#This Row],[Unidades]]*TablaVentas[[#This Row],[Costo_unitario]])</f>
        <v>4082.15</v>
      </c>
      <c r="Q141" s="6" t="n">
        <f aca="false">IF(OR(TablaVentas[[#This Row],[Ingreso_neto]]="PENDIENTE",TablaVentas[[#This Row],[Costo_total]]="PENDIENTE"),"PENDIENTE",TablaVentas[[#This Row],[Ingreso_neto]]-TablaVentas[[#This Row],[Costo_total]])</f>
        <v>2749.9555</v>
      </c>
    </row>
    <row r="142" customFormat="false" ht="13.5" hidden="false" customHeight="false" outlineLevel="0" collapsed="false">
      <c r="A142" s="1" t="s">
        <v>266</v>
      </c>
      <c r="B142" s="1" t="n">
        <v>2</v>
      </c>
      <c r="C142" s="5" t="n">
        <v>46184</v>
      </c>
      <c r="D142" s="6" t="s">
        <v>176</v>
      </c>
      <c r="E142" s="6" t="s">
        <v>158</v>
      </c>
      <c r="F142" s="6" t="s">
        <v>84</v>
      </c>
      <c r="G142" s="6" t="s">
        <v>64</v>
      </c>
      <c r="H142" s="6" t="s">
        <v>191</v>
      </c>
      <c r="I142" s="1" t="n">
        <v>8</v>
      </c>
      <c r="J142" s="7" t="n">
        <v>17937.98</v>
      </c>
      <c r="K142" s="8" t="n">
        <v>0</v>
      </c>
      <c r="L142" s="7" t="n">
        <v>8963.23</v>
      </c>
      <c r="M142" s="6" t="s">
        <v>49</v>
      </c>
      <c r="N142" s="6" t="s">
        <v>52</v>
      </c>
      <c r="O142" s="6" t="n">
        <f aca="false">IF(TablaVentas[[#This Row],[Precio_unitario]]="","PENDIENTE",TablaVentas[[#This Row],[Unidades]]*TablaVentas[[#This Row],[Precio_unitario]]*(1-TablaVentas[[#This Row],[Descuento_pct]]))</f>
        <v>143503.84</v>
      </c>
      <c r="P142" s="6" t="n">
        <f aca="false">IF(TablaVentas[[#This Row],[Costo_unitario]]="","PENDIENTE",TablaVentas[[#This Row],[Unidades]]*TablaVentas[[#This Row],[Costo_unitario]])</f>
        <v>71705.84</v>
      </c>
      <c r="Q142" s="6" t="n">
        <f aca="false">IF(OR(TablaVentas[[#This Row],[Ingreso_neto]]="PENDIENTE",TablaVentas[[#This Row],[Costo_total]]="PENDIENTE"),"PENDIENTE",TablaVentas[[#This Row],[Ingreso_neto]]-TablaVentas[[#This Row],[Costo_total]])</f>
        <v>71798</v>
      </c>
    </row>
    <row r="143" customFormat="false" ht="13.5" hidden="false" customHeight="false" outlineLevel="0" collapsed="false">
      <c r="A143" s="1" t="s">
        <v>266</v>
      </c>
      <c r="B143" s="1" t="n">
        <v>3</v>
      </c>
      <c r="C143" s="5" t="n">
        <v>46184</v>
      </c>
      <c r="D143" s="6" t="s">
        <v>176</v>
      </c>
      <c r="E143" s="6" t="s">
        <v>240</v>
      </c>
      <c r="F143" s="6" t="s">
        <v>84</v>
      </c>
      <c r="G143" s="6" t="s">
        <v>64</v>
      </c>
      <c r="H143" s="6" t="s">
        <v>191</v>
      </c>
      <c r="I143" s="1" t="n">
        <v>3</v>
      </c>
      <c r="J143" s="7" t="n">
        <v>9642.65</v>
      </c>
      <c r="K143" s="8" t="n">
        <v>0.2</v>
      </c>
      <c r="L143" s="7" t="n">
        <v>5932.12</v>
      </c>
      <c r="M143" s="6" t="s">
        <v>49</v>
      </c>
      <c r="N143" s="6" t="s">
        <v>50</v>
      </c>
      <c r="O143" s="6" t="n">
        <f aca="false">IF(TablaVentas[[#This Row],[Precio_unitario]]="","PENDIENTE",TablaVentas[[#This Row],[Unidades]]*TablaVentas[[#This Row],[Precio_unitario]]*(1-TablaVentas[[#This Row],[Descuento_pct]]))</f>
        <v>23142.36</v>
      </c>
      <c r="P143" s="6" t="n">
        <f aca="false">IF(TablaVentas[[#This Row],[Costo_unitario]]="","PENDIENTE",TablaVentas[[#This Row],[Unidades]]*TablaVentas[[#This Row],[Costo_unitario]])</f>
        <v>17796.36</v>
      </c>
      <c r="Q143" s="6" t="n">
        <f aca="false">IF(OR(TablaVentas[[#This Row],[Ingreso_neto]]="PENDIENTE",TablaVentas[[#This Row],[Costo_total]]="PENDIENTE"),"PENDIENTE",TablaVentas[[#This Row],[Ingreso_neto]]-TablaVentas[[#This Row],[Costo_total]])</f>
        <v>5346</v>
      </c>
    </row>
    <row r="144" customFormat="false" ht="13.5" hidden="false" customHeight="false" outlineLevel="0" collapsed="false">
      <c r="A144" s="1" t="s">
        <v>267</v>
      </c>
      <c r="B144" s="1" t="n">
        <v>1</v>
      </c>
      <c r="C144" s="5" t="n">
        <v>46238</v>
      </c>
      <c r="D144" s="6" t="s">
        <v>268</v>
      </c>
      <c r="E144" s="6" t="s">
        <v>269</v>
      </c>
      <c r="F144" s="6" t="s">
        <v>63</v>
      </c>
      <c r="G144" s="6" t="s">
        <v>47</v>
      </c>
      <c r="H144" s="6" t="s">
        <v>89</v>
      </c>
      <c r="I144" s="1" t="n">
        <v>3</v>
      </c>
      <c r="J144" s="7" t="n">
        <v>12615.46</v>
      </c>
      <c r="K144" s="8" t="n">
        <v>0.05</v>
      </c>
      <c r="L144" s="7" t="n">
        <v>8227.46</v>
      </c>
      <c r="M144" s="6" t="s">
        <v>49</v>
      </c>
      <c r="N144" s="6" t="s">
        <v>59</v>
      </c>
      <c r="O144" s="6" t="n">
        <f aca="false">IF(TablaVentas[[#This Row],[Precio_unitario]]="","PENDIENTE",TablaVentas[[#This Row],[Unidades]]*TablaVentas[[#This Row],[Precio_unitario]]*(1-TablaVentas[[#This Row],[Descuento_pct]]))</f>
        <v>35954.061</v>
      </c>
      <c r="P144" s="6" t="n">
        <f aca="false">IF(TablaVentas[[#This Row],[Costo_unitario]]="","PENDIENTE",TablaVentas[[#This Row],[Unidades]]*TablaVentas[[#This Row],[Costo_unitario]])</f>
        <v>24682.38</v>
      </c>
      <c r="Q144" s="6" t="n">
        <f aca="false">IF(OR(TablaVentas[[#This Row],[Ingreso_neto]]="PENDIENTE",TablaVentas[[#This Row],[Costo_total]]="PENDIENTE"),"PENDIENTE",TablaVentas[[#This Row],[Ingreso_neto]]-TablaVentas[[#This Row],[Costo_total]])</f>
        <v>11271.681</v>
      </c>
    </row>
    <row r="145" customFormat="false" ht="13.5" hidden="false" customHeight="false" outlineLevel="0" collapsed="false">
      <c r="A145" s="1" t="s">
        <v>270</v>
      </c>
      <c r="B145" s="1" t="n">
        <v>1</v>
      </c>
      <c r="C145" s="5" t="n">
        <v>46107</v>
      </c>
      <c r="D145" s="6" t="s">
        <v>271</v>
      </c>
      <c r="E145" s="6" t="s">
        <v>170</v>
      </c>
      <c r="F145" s="6" t="s">
        <v>73</v>
      </c>
      <c r="G145" s="6" t="s">
        <v>64</v>
      </c>
      <c r="H145" s="6" t="s">
        <v>48</v>
      </c>
      <c r="I145" s="1" t="n">
        <v>2</v>
      </c>
      <c r="J145" s="7" t="n">
        <v>16479.76</v>
      </c>
      <c r="K145" s="8" t="n">
        <v>0.05</v>
      </c>
      <c r="L145" s="7" t="n">
        <v>12141.44</v>
      </c>
      <c r="M145" s="6" t="s">
        <v>49</v>
      </c>
      <c r="N145" s="6" t="s">
        <v>52</v>
      </c>
      <c r="O145" s="6" t="n">
        <f aca="false">IF(TablaVentas[[#This Row],[Precio_unitario]]="","PENDIENTE",TablaVentas[[#This Row],[Unidades]]*TablaVentas[[#This Row],[Precio_unitario]]*(1-TablaVentas[[#This Row],[Descuento_pct]]))</f>
        <v>31311.544</v>
      </c>
      <c r="P145" s="6" t="n">
        <f aca="false">IF(TablaVentas[[#This Row],[Costo_unitario]]="","PENDIENTE",TablaVentas[[#This Row],[Unidades]]*TablaVentas[[#This Row],[Costo_unitario]])</f>
        <v>24282.88</v>
      </c>
      <c r="Q145" s="6" t="n">
        <f aca="false">IF(OR(TablaVentas[[#This Row],[Ingreso_neto]]="PENDIENTE",TablaVentas[[#This Row],[Costo_total]]="PENDIENTE"),"PENDIENTE",TablaVentas[[#This Row],[Ingreso_neto]]-TablaVentas[[#This Row],[Costo_total]])</f>
        <v>7028.66399999999</v>
      </c>
    </row>
    <row r="146" customFormat="false" ht="13.5" hidden="false" customHeight="false" outlineLevel="0" collapsed="false">
      <c r="A146" s="1" t="s">
        <v>270</v>
      </c>
      <c r="B146" s="1" t="n">
        <v>2</v>
      </c>
      <c r="C146" s="5" t="n">
        <v>46107</v>
      </c>
      <c r="D146" s="6" t="s">
        <v>271</v>
      </c>
      <c r="E146" s="6" t="s">
        <v>62</v>
      </c>
      <c r="F146" s="6" t="s">
        <v>73</v>
      </c>
      <c r="G146" s="6" t="s">
        <v>64</v>
      </c>
      <c r="H146" s="6" t="s">
        <v>48</v>
      </c>
      <c r="I146" s="1" t="n">
        <v>1</v>
      </c>
      <c r="J146" s="7" t="n">
        <v>12685.23</v>
      </c>
      <c r="K146" s="8" t="n">
        <v>0.2</v>
      </c>
      <c r="L146" s="7" t="n">
        <v>6407.85</v>
      </c>
      <c r="M146" s="6" t="s">
        <v>49</v>
      </c>
      <c r="N146" s="6" t="s">
        <v>67</v>
      </c>
      <c r="O146" s="6" t="n">
        <f aca="false">IF(TablaVentas[[#This Row],[Precio_unitario]]="","PENDIENTE",TablaVentas[[#This Row],[Unidades]]*TablaVentas[[#This Row],[Precio_unitario]]*(1-TablaVentas[[#This Row],[Descuento_pct]]))</f>
        <v>10148.184</v>
      </c>
      <c r="P146" s="6" t="n">
        <f aca="false">IF(TablaVentas[[#This Row],[Costo_unitario]]="","PENDIENTE",TablaVentas[[#This Row],[Unidades]]*TablaVentas[[#This Row],[Costo_unitario]])</f>
        <v>6407.85</v>
      </c>
      <c r="Q146" s="6" t="n">
        <f aca="false">IF(OR(TablaVentas[[#This Row],[Ingreso_neto]]="PENDIENTE",TablaVentas[[#This Row],[Costo_total]]="PENDIENTE"),"PENDIENTE",TablaVentas[[#This Row],[Ingreso_neto]]-TablaVentas[[#This Row],[Costo_total]])</f>
        <v>3740.334</v>
      </c>
    </row>
    <row r="147" customFormat="false" ht="13.5" hidden="false" customHeight="false" outlineLevel="0" collapsed="false">
      <c r="A147" s="1" t="s">
        <v>272</v>
      </c>
      <c r="B147" s="1" t="n">
        <v>1</v>
      </c>
      <c r="C147" s="5" t="n">
        <v>46255</v>
      </c>
      <c r="D147" s="6" t="s">
        <v>273</v>
      </c>
      <c r="E147" s="6" t="s">
        <v>182</v>
      </c>
      <c r="F147" s="6" t="s">
        <v>63</v>
      </c>
      <c r="G147" s="6" t="s">
        <v>57</v>
      </c>
      <c r="H147" s="6" t="s">
        <v>191</v>
      </c>
      <c r="I147" s="1" t="n">
        <v>1</v>
      </c>
      <c r="J147" s="7" t="n">
        <v>2770.05</v>
      </c>
      <c r="K147" s="8" t="n">
        <v>0</v>
      </c>
      <c r="L147" s="7" t="n">
        <v>1857.39</v>
      </c>
      <c r="M147" s="6" t="s">
        <v>49</v>
      </c>
      <c r="N147" s="6" t="s">
        <v>67</v>
      </c>
      <c r="O147" s="6" t="n">
        <f aca="false">IF(TablaVentas[[#This Row],[Precio_unitario]]="","PENDIENTE",TablaVentas[[#This Row],[Unidades]]*TablaVentas[[#This Row],[Precio_unitario]]*(1-TablaVentas[[#This Row],[Descuento_pct]]))</f>
        <v>2770.05</v>
      </c>
      <c r="P147" s="6" t="n">
        <f aca="false">IF(TablaVentas[[#This Row],[Costo_unitario]]="","PENDIENTE",TablaVentas[[#This Row],[Unidades]]*TablaVentas[[#This Row],[Costo_unitario]])</f>
        <v>1857.39</v>
      </c>
      <c r="Q147" s="6" t="n">
        <f aca="false">IF(OR(TablaVentas[[#This Row],[Ingreso_neto]]="PENDIENTE",TablaVentas[[#This Row],[Costo_total]]="PENDIENTE"),"PENDIENTE",TablaVentas[[#This Row],[Ingreso_neto]]-TablaVentas[[#This Row],[Costo_total]])</f>
        <v>912.66</v>
      </c>
    </row>
    <row r="148" customFormat="false" ht="13.5" hidden="false" customHeight="false" outlineLevel="0" collapsed="false">
      <c r="A148" s="1" t="s">
        <v>272</v>
      </c>
      <c r="B148" s="1" t="n">
        <v>2</v>
      </c>
      <c r="C148" s="5" t="n">
        <v>46255</v>
      </c>
      <c r="D148" s="6" t="s">
        <v>273</v>
      </c>
      <c r="E148" s="6" t="s">
        <v>230</v>
      </c>
      <c r="F148" s="6" t="s">
        <v>63</v>
      </c>
      <c r="G148" s="6" t="s">
        <v>57</v>
      </c>
      <c r="H148" s="6" t="s">
        <v>191</v>
      </c>
      <c r="I148" s="1" t="n">
        <v>3</v>
      </c>
      <c r="J148" s="7" t="n">
        <v>6529.34</v>
      </c>
      <c r="K148" s="8" t="n">
        <v>0</v>
      </c>
      <c r="L148" s="7" t="n">
        <v>3298.19</v>
      </c>
      <c r="M148" s="6" t="s">
        <v>49</v>
      </c>
      <c r="N148" s="6" t="s">
        <v>50</v>
      </c>
      <c r="O148" s="6" t="n">
        <f aca="false">IF(TablaVentas[[#This Row],[Precio_unitario]]="","PENDIENTE",TablaVentas[[#This Row],[Unidades]]*TablaVentas[[#This Row],[Precio_unitario]]*(1-TablaVentas[[#This Row],[Descuento_pct]]))</f>
        <v>19588.02</v>
      </c>
      <c r="P148" s="6" t="n">
        <f aca="false">IF(TablaVentas[[#This Row],[Costo_unitario]]="","PENDIENTE",TablaVentas[[#This Row],[Unidades]]*TablaVentas[[#This Row],[Costo_unitario]])</f>
        <v>9894.57</v>
      </c>
      <c r="Q148" s="6" t="n">
        <f aca="false">IF(OR(TablaVentas[[#This Row],[Ingreso_neto]]="PENDIENTE",TablaVentas[[#This Row],[Costo_total]]="PENDIENTE"),"PENDIENTE",TablaVentas[[#This Row],[Ingreso_neto]]-TablaVentas[[#This Row],[Costo_total]])</f>
        <v>9693.45</v>
      </c>
    </row>
    <row r="149" customFormat="false" ht="13.5" hidden="false" customHeight="false" outlineLevel="0" collapsed="false">
      <c r="A149" s="1" t="s">
        <v>272</v>
      </c>
      <c r="B149" s="1" t="n">
        <v>3</v>
      </c>
      <c r="C149" s="5" t="n">
        <v>46255</v>
      </c>
      <c r="D149" s="6" t="s">
        <v>273</v>
      </c>
      <c r="E149" s="6" t="s">
        <v>126</v>
      </c>
      <c r="F149" s="6" t="s">
        <v>63</v>
      </c>
      <c r="G149" s="6" t="s">
        <v>57</v>
      </c>
      <c r="H149" s="6" t="s">
        <v>191</v>
      </c>
      <c r="I149" s="1" t="n">
        <v>3</v>
      </c>
      <c r="J149" s="7" t="n">
        <v>8144.83</v>
      </c>
      <c r="K149" s="8" t="n">
        <v>0.15</v>
      </c>
      <c r="L149" s="7" t="n">
        <v>6981.94</v>
      </c>
      <c r="M149" s="6" t="s">
        <v>49</v>
      </c>
      <c r="N149" s="6" t="s">
        <v>52</v>
      </c>
      <c r="O149" s="6" t="n">
        <f aca="false">IF(TablaVentas[[#This Row],[Precio_unitario]]="","PENDIENTE",TablaVentas[[#This Row],[Unidades]]*TablaVentas[[#This Row],[Precio_unitario]]*(1-TablaVentas[[#This Row],[Descuento_pct]]))</f>
        <v>20769.3165</v>
      </c>
      <c r="P149" s="6" t="n">
        <f aca="false">IF(TablaVentas[[#This Row],[Costo_unitario]]="","PENDIENTE",TablaVentas[[#This Row],[Unidades]]*TablaVentas[[#This Row],[Costo_unitario]])</f>
        <v>20945.82</v>
      </c>
      <c r="Q149" s="6" t="n">
        <f aca="false">IF(OR(TablaVentas[[#This Row],[Ingreso_neto]]="PENDIENTE",TablaVentas[[#This Row],[Costo_total]]="PENDIENTE"),"PENDIENTE",TablaVentas[[#This Row],[Ingreso_neto]]-TablaVentas[[#This Row],[Costo_total]])</f>
        <v>-176.503500000003</v>
      </c>
    </row>
    <row r="150" customFormat="false" ht="13.5" hidden="false" customHeight="false" outlineLevel="0" collapsed="false">
      <c r="A150" s="1" t="s">
        <v>272</v>
      </c>
      <c r="B150" s="1" t="n">
        <v>4</v>
      </c>
      <c r="C150" s="5" t="n">
        <v>46255</v>
      </c>
      <c r="D150" s="6" t="s">
        <v>273</v>
      </c>
      <c r="E150" s="6" t="s">
        <v>116</v>
      </c>
      <c r="F150" s="6" t="s">
        <v>63</v>
      </c>
      <c r="G150" s="6" t="s">
        <v>57</v>
      </c>
      <c r="H150" s="6" t="s">
        <v>191</v>
      </c>
      <c r="I150" s="1" t="n">
        <v>3</v>
      </c>
      <c r="J150" s="7" t="n">
        <v>14643.87</v>
      </c>
      <c r="K150" s="8" t="n">
        <v>0</v>
      </c>
      <c r="L150" s="7" t="n">
        <v>9880.77</v>
      </c>
      <c r="M150" s="6" t="s">
        <v>49</v>
      </c>
      <c r="N150" s="6" t="s">
        <v>59</v>
      </c>
      <c r="O150" s="6" t="n">
        <f aca="false">IF(TablaVentas[[#This Row],[Precio_unitario]]="","PENDIENTE",TablaVentas[[#This Row],[Unidades]]*TablaVentas[[#This Row],[Precio_unitario]]*(1-TablaVentas[[#This Row],[Descuento_pct]]))</f>
        <v>43931.61</v>
      </c>
      <c r="P150" s="6" t="n">
        <f aca="false">IF(TablaVentas[[#This Row],[Costo_unitario]]="","PENDIENTE",TablaVentas[[#This Row],[Unidades]]*TablaVentas[[#This Row],[Costo_unitario]])</f>
        <v>29642.31</v>
      </c>
      <c r="Q150" s="6" t="n">
        <f aca="false">IF(OR(TablaVentas[[#This Row],[Ingreso_neto]]="PENDIENTE",TablaVentas[[#This Row],[Costo_total]]="PENDIENTE"),"PENDIENTE",TablaVentas[[#This Row],[Ingreso_neto]]-TablaVentas[[#This Row],[Costo_total]])</f>
        <v>14289.3</v>
      </c>
    </row>
    <row r="151" customFormat="false" ht="13.5" hidden="false" customHeight="false" outlineLevel="0" collapsed="false">
      <c r="A151" s="1" t="s">
        <v>272</v>
      </c>
      <c r="B151" s="1" t="n">
        <v>5</v>
      </c>
      <c r="C151" s="5" t="n">
        <v>46255</v>
      </c>
      <c r="D151" s="6" t="s">
        <v>273</v>
      </c>
      <c r="E151" s="6" t="s">
        <v>210</v>
      </c>
      <c r="F151" s="6" t="s">
        <v>63</v>
      </c>
      <c r="G151" s="6" t="s">
        <v>57</v>
      </c>
      <c r="H151" s="6" t="s">
        <v>191</v>
      </c>
      <c r="I151" s="1" t="n">
        <v>12</v>
      </c>
      <c r="J151" s="7" t="n">
        <v>2101.66</v>
      </c>
      <c r="K151" s="8" t="n">
        <v>0.1</v>
      </c>
      <c r="L151" s="7" t="n">
        <v>1252.84</v>
      </c>
      <c r="M151" s="6" t="s">
        <v>49</v>
      </c>
      <c r="N151" s="6" t="s">
        <v>50</v>
      </c>
      <c r="O151" s="6" t="n">
        <f aca="false">IF(TablaVentas[[#This Row],[Precio_unitario]]="","PENDIENTE",TablaVentas[[#This Row],[Unidades]]*TablaVentas[[#This Row],[Precio_unitario]]*(1-TablaVentas[[#This Row],[Descuento_pct]]))</f>
        <v>22697.928</v>
      </c>
      <c r="P151" s="6" t="n">
        <f aca="false">IF(TablaVentas[[#This Row],[Costo_unitario]]="","PENDIENTE",TablaVentas[[#This Row],[Unidades]]*TablaVentas[[#This Row],[Costo_unitario]])</f>
        <v>15034.08</v>
      </c>
      <c r="Q151" s="6" t="n">
        <f aca="false">IF(OR(TablaVentas[[#This Row],[Ingreso_neto]]="PENDIENTE",TablaVentas[[#This Row],[Costo_total]]="PENDIENTE"),"PENDIENTE",TablaVentas[[#This Row],[Ingreso_neto]]-TablaVentas[[#This Row],[Costo_total]])</f>
        <v>7663.848</v>
      </c>
    </row>
    <row r="152" customFormat="false" ht="13.5" hidden="false" customHeight="false" outlineLevel="0" collapsed="false">
      <c r="A152" s="1" t="s">
        <v>274</v>
      </c>
      <c r="B152" s="1" t="n">
        <v>1</v>
      </c>
      <c r="C152" s="5" t="n">
        <v>46097</v>
      </c>
      <c r="D152" s="6" t="s">
        <v>275</v>
      </c>
      <c r="E152" s="6" t="s">
        <v>213</v>
      </c>
      <c r="F152" s="6" t="s">
        <v>63</v>
      </c>
      <c r="G152" s="6" t="s">
        <v>47</v>
      </c>
      <c r="H152" s="6" t="s">
        <v>131</v>
      </c>
      <c r="I152" s="1" t="n">
        <v>3</v>
      </c>
      <c r="J152" s="7" t="n">
        <v>5737.43</v>
      </c>
      <c r="K152" s="8" t="n">
        <v>0</v>
      </c>
      <c r="L152" s="7" t="n">
        <v>4008.77</v>
      </c>
      <c r="M152" s="6" t="s">
        <v>49</v>
      </c>
      <c r="N152" s="6" t="s">
        <v>50</v>
      </c>
      <c r="O152" s="6" t="n">
        <f aca="false">IF(TablaVentas[[#This Row],[Precio_unitario]]="","PENDIENTE",TablaVentas[[#This Row],[Unidades]]*TablaVentas[[#This Row],[Precio_unitario]]*(1-TablaVentas[[#This Row],[Descuento_pct]]))</f>
        <v>17212.29</v>
      </c>
      <c r="P152" s="6" t="n">
        <f aca="false">IF(TablaVentas[[#This Row],[Costo_unitario]]="","PENDIENTE",TablaVentas[[#This Row],[Unidades]]*TablaVentas[[#This Row],[Costo_unitario]])</f>
        <v>12026.31</v>
      </c>
      <c r="Q152" s="6" t="n">
        <f aca="false">IF(OR(TablaVentas[[#This Row],[Ingreso_neto]]="PENDIENTE",TablaVentas[[#This Row],[Costo_total]]="PENDIENTE"),"PENDIENTE",TablaVentas[[#This Row],[Ingreso_neto]]-TablaVentas[[#This Row],[Costo_total]])</f>
        <v>5185.98</v>
      </c>
    </row>
    <row r="153" customFormat="false" ht="13.5" hidden="false" customHeight="false" outlineLevel="0" collapsed="false">
      <c r="A153" s="1" t="s">
        <v>276</v>
      </c>
      <c r="B153" s="1" t="n">
        <v>1</v>
      </c>
      <c r="C153" s="5" t="n">
        <v>46169</v>
      </c>
      <c r="D153" s="6" t="s">
        <v>277</v>
      </c>
      <c r="E153" s="6" t="s">
        <v>278</v>
      </c>
      <c r="F153" s="6" t="s">
        <v>63</v>
      </c>
      <c r="G153" s="6" t="s">
        <v>64</v>
      </c>
      <c r="H153" s="6" t="s">
        <v>136</v>
      </c>
      <c r="I153" s="1" t="n">
        <v>1</v>
      </c>
      <c r="J153" s="7" t="n">
        <v>977.67</v>
      </c>
      <c r="K153" s="8" t="n">
        <v>0</v>
      </c>
      <c r="L153" s="7" t="n">
        <v>759.03</v>
      </c>
      <c r="M153" s="6" t="s">
        <v>49</v>
      </c>
      <c r="N153" s="6" t="s">
        <v>67</v>
      </c>
      <c r="O153" s="6" t="n">
        <f aca="false">IF(TablaVentas[[#This Row],[Precio_unitario]]="","PENDIENTE",TablaVentas[[#This Row],[Unidades]]*TablaVentas[[#This Row],[Precio_unitario]]*(1-TablaVentas[[#This Row],[Descuento_pct]]))</f>
        <v>977.67</v>
      </c>
      <c r="P153" s="6" t="n">
        <f aca="false">IF(TablaVentas[[#This Row],[Costo_unitario]]="","PENDIENTE",TablaVentas[[#This Row],[Unidades]]*TablaVentas[[#This Row],[Costo_unitario]])</f>
        <v>759.03</v>
      </c>
      <c r="Q153" s="6" t="n">
        <f aca="false">IF(OR(TablaVentas[[#This Row],[Ingreso_neto]]="PENDIENTE",TablaVentas[[#This Row],[Costo_total]]="PENDIENTE"),"PENDIENTE",TablaVentas[[#This Row],[Ingreso_neto]]-TablaVentas[[#This Row],[Costo_total]])</f>
        <v>218.64</v>
      </c>
    </row>
    <row r="154" customFormat="false" ht="13.5" hidden="false" customHeight="false" outlineLevel="0" collapsed="false">
      <c r="A154" s="1" t="s">
        <v>276</v>
      </c>
      <c r="B154" s="1" t="n">
        <v>2</v>
      </c>
      <c r="C154" s="5" t="n">
        <v>46169</v>
      </c>
      <c r="D154" s="6" t="s">
        <v>277</v>
      </c>
      <c r="E154" s="6" t="s">
        <v>279</v>
      </c>
      <c r="F154" s="6" t="s">
        <v>63</v>
      </c>
      <c r="G154" s="6" t="s">
        <v>64</v>
      </c>
      <c r="H154" s="6" t="s">
        <v>136</v>
      </c>
      <c r="I154" s="1" t="n">
        <v>3</v>
      </c>
      <c r="J154" s="7" t="n">
        <v>668.28</v>
      </c>
      <c r="K154" s="8" t="n">
        <v>0</v>
      </c>
      <c r="L154" s="7" t="n">
        <v>443</v>
      </c>
      <c r="M154" s="6" t="s">
        <v>49</v>
      </c>
      <c r="N154" s="6" t="s">
        <v>52</v>
      </c>
      <c r="O154" s="6" t="n">
        <f aca="false">IF(TablaVentas[[#This Row],[Precio_unitario]]="","PENDIENTE",TablaVentas[[#This Row],[Unidades]]*TablaVentas[[#This Row],[Precio_unitario]]*(1-TablaVentas[[#This Row],[Descuento_pct]]))</f>
        <v>2004.84</v>
      </c>
      <c r="P154" s="6" t="n">
        <f aca="false">IF(TablaVentas[[#This Row],[Costo_unitario]]="","PENDIENTE",TablaVentas[[#This Row],[Unidades]]*TablaVentas[[#This Row],[Costo_unitario]])</f>
        <v>1329</v>
      </c>
      <c r="Q154" s="6" t="n">
        <f aca="false">IF(OR(TablaVentas[[#This Row],[Ingreso_neto]]="PENDIENTE",TablaVentas[[#This Row],[Costo_total]]="PENDIENTE"),"PENDIENTE",TablaVentas[[#This Row],[Ingreso_neto]]-TablaVentas[[#This Row],[Costo_total]])</f>
        <v>675.84</v>
      </c>
    </row>
    <row r="155" customFormat="false" ht="13.5" hidden="false" customHeight="false" outlineLevel="0" collapsed="false">
      <c r="A155" s="1" t="s">
        <v>276</v>
      </c>
      <c r="B155" s="1" t="n">
        <v>3</v>
      </c>
      <c r="C155" s="5" t="n">
        <v>46169</v>
      </c>
      <c r="D155" s="6" t="s">
        <v>277</v>
      </c>
      <c r="E155" s="6" t="s">
        <v>280</v>
      </c>
      <c r="F155" s="6" t="s">
        <v>63</v>
      </c>
      <c r="G155" s="6" t="s">
        <v>64</v>
      </c>
      <c r="H155" s="6" t="s">
        <v>136</v>
      </c>
      <c r="I155" s="1" t="n">
        <v>2</v>
      </c>
      <c r="J155" s="7" t="n">
        <v>1424.27</v>
      </c>
      <c r="K155" s="8" t="n">
        <v>0</v>
      </c>
      <c r="L155" s="7" t="n">
        <v>716.26</v>
      </c>
      <c r="M155" s="6" t="s">
        <v>49</v>
      </c>
      <c r="N155" s="6" t="s">
        <v>50</v>
      </c>
      <c r="O155" s="6" t="n">
        <f aca="false">IF(TablaVentas[[#This Row],[Precio_unitario]]="","PENDIENTE",TablaVentas[[#This Row],[Unidades]]*TablaVentas[[#This Row],[Precio_unitario]]*(1-TablaVentas[[#This Row],[Descuento_pct]]))</f>
        <v>2848.54</v>
      </c>
      <c r="P155" s="6" t="n">
        <f aca="false">IF(TablaVentas[[#This Row],[Costo_unitario]]="","PENDIENTE",TablaVentas[[#This Row],[Unidades]]*TablaVentas[[#This Row],[Costo_unitario]])</f>
        <v>1432.52</v>
      </c>
      <c r="Q155" s="6" t="n">
        <f aca="false">IF(OR(TablaVentas[[#This Row],[Ingreso_neto]]="PENDIENTE",TablaVentas[[#This Row],[Costo_total]]="PENDIENTE"),"PENDIENTE",TablaVentas[[#This Row],[Ingreso_neto]]-TablaVentas[[#This Row],[Costo_total]])</f>
        <v>1416.02</v>
      </c>
    </row>
    <row r="156" customFormat="false" ht="13.5" hidden="false" customHeight="false" outlineLevel="0" collapsed="false">
      <c r="A156" s="1" t="s">
        <v>281</v>
      </c>
      <c r="B156" s="1" t="n">
        <v>1</v>
      </c>
      <c r="C156" s="5" t="n">
        <v>46085</v>
      </c>
      <c r="D156" s="6" t="s">
        <v>115</v>
      </c>
      <c r="E156" s="6" t="s">
        <v>192</v>
      </c>
      <c r="F156" s="6" t="s">
        <v>46</v>
      </c>
      <c r="G156" s="6" t="s">
        <v>64</v>
      </c>
      <c r="H156" s="6" t="s">
        <v>65</v>
      </c>
      <c r="I156" s="1" t="n">
        <v>2</v>
      </c>
      <c r="J156" s="7" t="n">
        <v>17908.4</v>
      </c>
      <c r="K156" s="8" t="n">
        <v>0</v>
      </c>
      <c r="L156" s="7" t="n">
        <v>11904.09</v>
      </c>
      <c r="M156" s="6" t="s">
        <v>49</v>
      </c>
      <c r="N156" s="6" t="s">
        <v>50</v>
      </c>
      <c r="O156" s="6" t="n">
        <f aca="false">IF(TablaVentas[[#This Row],[Precio_unitario]]="","PENDIENTE",TablaVentas[[#This Row],[Unidades]]*TablaVentas[[#This Row],[Precio_unitario]]*(1-TablaVentas[[#This Row],[Descuento_pct]]))</f>
        <v>35816.8</v>
      </c>
      <c r="P156" s="6" t="n">
        <f aca="false">IF(TablaVentas[[#This Row],[Costo_unitario]]="","PENDIENTE",TablaVentas[[#This Row],[Unidades]]*TablaVentas[[#This Row],[Costo_unitario]])</f>
        <v>23808.18</v>
      </c>
      <c r="Q156" s="6" t="n">
        <f aca="false">IF(OR(TablaVentas[[#This Row],[Ingreso_neto]]="PENDIENTE",TablaVentas[[#This Row],[Costo_total]]="PENDIENTE"),"PENDIENTE",TablaVentas[[#This Row],[Ingreso_neto]]-TablaVentas[[#This Row],[Costo_total]])</f>
        <v>12008.62</v>
      </c>
    </row>
    <row r="157" customFormat="false" ht="13.5" hidden="false" customHeight="false" outlineLevel="0" collapsed="false">
      <c r="A157" s="1" t="s">
        <v>282</v>
      </c>
      <c r="B157" s="1" t="n">
        <v>1</v>
      </c>
      <c r="C157" s="5" t="n">
        <v>46084</v>
      </c>
      <c r="D157" s="6" t="s">
        <v>283</v>
      </c>
      <c r="E157" s="6" t="s">
        <v>76</v>
      </c>
      <c r="F157" s="6" t="s">
        <v>63</v>
      </c>
      <c r="G157" s="6" t="s">
        <v>57</v>
      </c>
      <c r="H157" s="6" t="s">
        <v>191</v>
      </c>
      <c r="I157" s="1" t="n">
        <v>2</v>
      </c>
      <c r="J157" s="7" t="n">
        <v>13725.48</v>
      </c>
      <c r="K157" s="8" t="n">
        <v>0.15</v>
      </c>
      <c r="L157" s="7" t="n">
        <v>10094.26</v>
      </c>
      <c r="M157" s="6" t="s">
        <v>49</v>
      </c>
      <c r="N157" s="6" t="s">
        <v>67</v>
      </c>
      <c r="O157" s="6" t="n">
        <f aca="false">IF(TablaVentas[[#This Row],[Precio_unitario]]="","PENDIENTE",TablaVentas[[#This Row],[Unidades]]*TablaVentas[[#This Row],[Precio_unitario]]*(1-TablaVentas[[#This Row],[Descuento_pct]]))</f>
        <v>23333.316</v>
      </c>
      <c r="P157" s="6" t="n">
        <f aca="false">IF(TablaVentas[[#This Row],[Costo_unitario]]="","PENDIENTE",TablaVentas[[#This Row],[Unidades]]*TablaVentas[[#This Row],[Costo_unitario]])</f>
        <v>20188.52</v>
      </c>
      <c r="Q157" s="6" t="n">
        <f aca="false">IF(OR(TablaVentas[[#This Row],[Ingreso_neto]]="PENDIENTE",TablaVentas[[#This Row],[Costo_total]]="PENDIENTE"),"PENDIENTE",TablaVentas[[#This Row],[Ingreso_neto]]-TablaVentas[[#This Row],[Costo_total]])</f>
        <v>3144.796</v>
      </c>
    </row>
    <row r="158" customFormat="false" ht="13.5" hidden="false" customHeight="false" outlineLevel="0" collapsed="false">
      <c r="A158" s="1" t="s">
        <v>282</v>
      </c>
      <c r="B158" s="1" t="n">
        <v>2</v>
      </c>
      <c r="C158" s="5" t="n">
        <v>46084</v>
      </c>
      <c r="D158" s="6" t="s">
        <v>283</v>
      </c>
      <c r="E158" s="6" t="s">
        <v>215</v>
      </c>
      <c r="F158" s="6" t="s">
        <v>63</v>
      </c>
      <c r="G158" s="6" t="s">
        <v>57</v>
      </c>
      <c r="H158" s="6" t="s">
        <v>191</v>
      </c>
      <c r="I158" s="1" t="n">
        <v>1</v>
      </c>
      <c r="J158" s="7" t="n">
        <v>9666.82</v>
      </c>
      <c r="K158" s="8" t="n">
        <v>0</v>
      </c>
      <c r="L158" s="7" t="n">
        <v>5535.31</v>
      </c>
      <c r="M158" s="6" t="s">
        <v>123</v>
      </c>
      <c r="N158" s="6" t="s">
        <v>52</v>
      </c>
      <c r="O158" s="6" t="n">
        <f aca="false">IF(TablaVentas[[#This Row],[Precio_unitario]]="","PENDIENTE",TablaVentas[[#This Row],[Unidades]]*TablaVentas[[#This Row],[Precio_unitario]]*(1-TablaVentas[[#This Row],[Descuento_pct]]))</f>
        <v>9666.82</v>
      </c>
      <c r="P158" s="6" t="n">
        <f aca="false">IF(TablaVentas[[#This Row],[Costo_unitario]]="","PENDIENTE",TablaVentas[[#This Row],[Unidades]]*TablaVentas[[#This Row],[Costo_unitario]])</f>
        <v>5535.31</v>
      </c>
      <c r="Q158" s="6" t="n">
        <f aca="false">IF(OR(TablaVentas[[#This Row],[Ingreso_neto]]="PENDIENTE",TablaVentas[[#This Row],[Costo_total]]="PENDIENTE"),"PENDIENTE",TablaVentas[[#This Row],[Ingreso_neto]]-TablaVentas[[#This Row],[Costo_total]])</f>
        <v>4131.51</v>
      </c>
    </row>
    <row r="159" customFormat="false" ht="13.5" hidden="false" customHeight="false" outlineLevel="0" collapsed="false">
      <c r="A159" s="1" t="s">
        <v>282</v>
      </c>
      <c r="B159" s="1" t="n">
        <v>3</v>
      </c>
      <c r="C159" s="5" t="n">
        <v>46084</v>
      </c>
      <c r="D159" s="6" t="s">
        <v>283</v>
      </c>
      <c r="E159" s="6" t="s">
        <v>284</v>
      </c>
      <c r="F159" s="6" t="s">
        <v>63</v>
      </c>
      <c r="G159" s="6" t="s">
        <v>57</v>
      </c>
      <c r="H159" s="6" t="s">
        <v>191</v>
      </c>
      <c r="I159" s="1" t="n">
        <v>3</v>
      </c>
      <c r="J159" s="7" t="n">
        <v>6535.31</v>
      </c>
      <c r="K159" s="8" t="n">
        <v>0.05</v>
      </c>
      <c r="L159" s="7" t="n">
        <v>4858.08</v>
      </c>
      <c r="M159" s="6" t="s">
        <v>49</v>
      </c>
      <c r="N159" s="6" t="s">
        <v>52</v>
      </c>
      <c r="O159" s="6" t="n">
        <f aca="false">IF(TablaVentas[[#This Row],[Precio_unitario]]="","PENDIENTE",TablaVentas[[#This Row],[Unidades]]*TablaVentas[[#This Row],[Precio_unitario]]*(1-TablaVentas[[#This Row],[Descuento_pct]]))</f>
        <v>18625.6335</v>
      </c>
      <c r="P159" s="6" t="n">
        <f aca="false">IF(TablaVentas[[#This Row],[Costo_unitario]]="","PENDIENTE",TablaVentas[[#This Row],[Unidades]]*TablaVentas[[#This Row],[Costo_unitario]])</f>
        <v>14574.24</v>
      </c>
      <c r="Q159" s="6" t="n">
        <f aca="false">IF(OR(TablaVentas[[#This Row],[Ingreso_neto]]="PENDIENTE",TablaVentas[[#This Row],[Costo_total]]="PENDIENTE"),"PENDIENTE",TablaVentas[[#This Row],[Ingreso_neto]]-TablaVentas[[#This Row],[Costo_total]])</f>
        <v>4051.3935</v>
      </c>
    </row>
    <row r="160" customFormat="false" ht="13.5" hidden="false" customHeight="false" outlineLevel="0" collapsed="false">
      <c r="A160" s="1" t="s">
        <v>282</v>
      </c>
      <c r="B160" s="1" t="n">
        <v>4</v>
      </c>
      <c r="C160" s="5" t="n">
        <v>46084</v>
      </c>
      <c r="D160" s="6" t="s">
        <v>283</v>
      </c>
      <c r="E160" s="6" t="s">
        <v>45</v>
      </c>
      <c r="F160" s="6" t="s">
        <v>63</v>
      </c>
      <c r="G160" s="6" t="s">
        <v>57</v>
      </c>
      <c r="H160" s="6" t="s">
        <v>191</v>
      </c>
      <c r="I160" s="1" t="n">
        <v>1</v>
      </c>
      <c r="J160" s="7" t="n">
        <v>5278.44</v>
      </c>
      <c r="K160" s="8" t="n">
        <v>0.2</v>
      </c>
      <c r="L160" s="7" t="n">
        <v>3832.69</v>
      </c>
      <c r="M160" s="6" t="s">
        <v>49</v>
      </c>
      <c r="N160" s="6" t="s">
        <v>59</v>
      </c>
      <c r="O160" s="6" t="n">
        <f aca="false">IF(TablaVentas[[#This Row],[Precio_unitario]]="","PENDIENTE",TablaVentas[[#This Row],[Unidades]]*TablaVentas[[#This Row],[Precio_unitario]]*(1-TablaVentas[[#This Row],[Descuento_pct]]))</f>
        <v>4222.752</v>
      </c>
      <c r="P160" s="6" t="n">
        <f aca="false">IF(TablaVentas[[#This Row],[Costo_unitario]]="","PENDIENTE",TablaVentas[[#This Row],[Unidades]]*TablaVentas[[#This Row],[Costo_unitario]])</f>
        <v>3832.69</v>
      </c>
      <c r="Q160" s="6" t="n">
        <f aca="false">IF(OR(TablaVentas[[#This Row],[Ingreso_neto]]="PENDIENTE",TablaVentas[[#This Row],[Costo_total]]="PENDIENTE"),"PENDIENTE",TablaVentas[[#This Row],[Ingreso_neto]]-TablaVentas[[#This Row],[Costo_total]])</f>
        <v>390.061999999999</v>
      </c>
    </row>
    <row r="161" customFormat="false" ht="13.5" hidden="false" customHeight="false" outlineLevel="0" collapsed="false">
      <c r="A161" s="1" t="s">
        <v>285</v>
      </c>
      <c r="B161" s="1" t="n">
        <v>1</v>
      </c>
      <c r="C161" s="5" t="n">
        <v>46043</v>
      </c>
      <c r="D161" s="6" t="s">
        <v>286</v>
      </c>
      <c r="E161" s="6" t="s">
        <v>132</v>
      </c>
      <c r="F161" s="6" t="s">
        <v>84</v>
      </c>
      <c r="G161" s="6" t="s">
        <v>64</v>
      </c>
      <c r="H161" s="6" t="s">
        <v>58</v>
      </c>
      <c r="I161" s="1" t="n">
        <v>1</v>
      </c>
      <c r="J161" s="7" t="n">
        <v>1650.14</v>
      </c>
      <c r="K161" s="8" t="n">
        <v>0</v>
      </c>
      <c r="L161" s="7" t="n">
        <v>1044.32</v>
      </c>
      <c r="M161" s="6" t="s">
        <v>49</v>
      </c>
      <c r="N161" s="6" t="s">
        <v>67</v>
      </c>
      <c r="O161" s="6" t="n">
        <f aca="false">IF(TablaVentas[[#This Row],[Precio_unitario]]="","PENDIENTE",TablaVentas[[#This Row],[Unidades]]*TablaVentas[[#This Row],[Precio_unitario]]*(1-TablaVentas[[#This Row],[Descuento_pct]]))</f>
        <v>1650.14</v>
      </c>
      <c r="P161" s="6" t="n">
        <f aca="false">IF(TablaVentas[[#This Row],[Costo_unitario]]="","PENDIENTE",TablaVentas[[#This Row],[Unidades]]*TablaVentas[[#This Row],[Costo_unitario]])</f>
        <v>1044.32</v>
      </c>
      <c r="Q161" s="6" t="n">
        <f aca="false">IF(OR(TablaVentas[[#This Row],[Ingreso_neto]]="PENDIENTE",TablaVentas[[#This Row],[Costo_total]]="PENDIENTE"),"PENDIENTE",TablaVentas[[#This Row],[Ingreso_neto]]-TablaVentas[[#This Row],[Costo_total]])</f>
        <v>605.82</v>
      </c>
    </row>
    <row r="162" customFormat="false" ht="13.5" hidden="false" customHeight="false" outlineLevel="0" collapsed="false">
      <c r="A162" s="1" t="s">
        <v>285</v>
      </c>
      <c r="B162" s="1" t="n">
        <v>2</v>
      </c>
      <c r="C162" s="5" t="n">
        <v>46043</v>
      </c>
      <c r="D162" s="6" t="s">
        <v>286</v>
      </c>
      <c r="E162" s="6" t="s">
        <v>126</v>
      </c>
      <c r="F162" s="6" t="s">
        <v>84</v>
      </c>
      <c r="G162" s="6" t="s">
        <v>64</v>
      </c>
      <c r="H162" s="6" t="s">
        <v>58</v>
      </c>
      <c r="I162" s="1" t="n">
        <v>2</v>
      </c>
      <c r="J162" s="7" t="n">
        <v>9192.96</v>
      </c>
      <c r="K162" s="8" t="n">
        <v>0</v>
      </c>
      <c r="L162" s="7" t="n">
        <v>6981.94</v>
      </c>
      <c r="M162" s="6" t="s">
        <v>49</v>
      </c>
      <c r="N162" s="6" t="s">
        <v>52</v>
      </c>
      <c r="O162" s="6" t="n">
        <f aca="false">IF(TablaVentas[[#This Row],[Precio_unitario]]="","PENDIENTE",TablaVentas[[#This Row],[Unidades]]*TablaVentas[[#This Row],[Precio_unitario]]*(1-TablaVentas[[#This Row],[Descuento_pct]]))</f>
        <v>18385.92</v>
      </c>
      <c r="P162" s="6" t="n">
        <f aca="false">IF(TablaVentas[[#This Row],[Costo_unitario]]="","PENDIENTE",TablaVentas[[#This Row],[Unidades]]*TablaVentas[[#This Row],[Costo_unitario]])</f>
        <v>13963.88</v>
      </c>
      <c r="Q162" s="6" t="n">
        <f aca="false">IF(OR(TablaVentas[[#This Row],[Ingreso_neto]]="PENDIENTE",TablaVentas[[#This Row],[Costo_total]]="PENDIENTE"),"PENDIENTE",TablaVentas[[#This Row],[Ingreso_neto]]-TablaVentas[[#This Row],[Costo_total]])</f>
        <v>4422.04</v>
      </c>
    </row>
    <row r="163" customFormat="false" ht="13.5" hidden="false" customHeight="false" outlineLevel="0" collapsed="false">
      <c r="A163" s="1" t="s">
        <v>285</v>
      </c>
      <c r="B163" s="1" t="n">
        <v>3</v>
      </c>
      <c r="C163" s="5" t="n">
        <v>46043</v>
      </c>
      <c r="D163" s="6" t="s">
        <v>286</v>
      </c>
      <c r="E163" s="6" t="s">
        <v>159</v>
      </c>
      <c r="F163" s="6" t="s">
        <v>84</v>
      </c>
      <c r="G163" s="6" t="s">
        <v>64</v>
      </c>
      <c r="H163" s="6" t="s">
        <v>58</v>
      </c>
      <c r="I163" s="1" t="n">
        <v>4</v>
      </c>
      <c r="J163" s="7" t="n">
        <v>2817.55</v>
      </c>
      <c r="K163" s="8" t="n">
        <v>0.05</v>
      </c>
      <c r="L163" s="7" t="n">
        <v>1962.3</v>
      </c>
      <c r="M163" s="6" t="s">
        <v>49</v>
      </c>
      <c r="N163" s="6" t="s">
        <v>52</v>
      </c>
      <c r="O163" s="6" t="n">
        <f aca="false">IF(TablaVentas[[#This Row],[Precio_unitario]]="","PENDIENTE",TablaVentas[[#This Row],[Unidades]]*TablaVentas[[#This Row],[Precio_unitario]]*(1-TablaVentas[[#This Row],[Descuento_pct]]))</f>
        <v>10706.69</v>
      </c>
      <c r="P163" s="6" t="n">
        <f aca="false">IF(TablaVentas[[#This Row],[Costo_unitario]]="","PENDIENTE",TablaVentas[[#This Row],[Unidades]]*TablaVentas[[#This Row],[Costo_unitario]])</f>
        <v>7849.2</v>
      </c>
      <c r="Q163" s="6" t="n">
        <f aca="false">IF(OR(TablaVentas[[#This Row],[Ingreso_neto]]="PENDIENTE",TablaVentas[[#This Row],[Costo_total]]="PENDIENTE"),"PENDIENTE",TablaVentas[[#This Row],[Ingreso_neto]]-TablaVentas[[#This Row],[Costo_total]])</f>
        <v>2857.49</v>
      </c>
    </row>
    <row r="164" customFormat="false" ht="13.5" hidden="false" customHeight="false" outlineLevel="0" collapsed="false">
      <c r="A164" s="1" t="s">
        <v>287</v>
      </c>
      <c r="B164" s="1" t="n">
        <v>1</v>
      </c>
      <c r="C164" s="5" t="n">
        <v>46029</v>
      </c>
      <c r="D164" s="6" t="s">
        <v>288</v>
      </c>
      <c r="E164" s="6" t="s">
        <v>289</v>
      </c>
      <c r="F164" s="6" t="s">
        <v>84</v>
      </c>
      <c r="G164" s="6" t="s">
        <v>64</v>
      </c>
      <c r="H164" s="6" t="s">
        <v>65</v>
      </c>
      <c r="I164" s="1" t="n">
        <v>1</v>
      </c>
      <c r="J164" s="7" t="n">
        <v>3898.1</v>
      </c>
      <c r="K164" s="8" t="n">
        <v>0.2</v>
      </c>
      <c r="L164" s="7" t="n">
        <v>3399.5</v>
      </c>
      <c r="M164" s="6" t="s">
        <v>49</v>
      </c>
      <c r="N164" s="6" t="s">
        <v>59</v>
      </c>
      <c r="O164" s="6" t="n">
        <f aca="false">IF(TablaVentas[[#This Row],[Precio_unitario]]="","PENDIENTE",TablaVentas[[#This Row],[Unidades]]*TablaVentas[[#This Row],[Precio_unitario]]*(1-TablaVentas[[#This Row],[Descuento_pct]]))</f>
        <v>3118.48</v>
      </c>
      <c r="P164" s="6" t="n">
        <f aca="false">IF(TablaVentas[[#This Row],[Costo_unitario]]="","PENDIENTE",TablaVentas[[#This Row],[Unidades]]*TablaVentas[[#This Row],[Costo_unitario]])</f>
        <v>3399.5</v>
      </c>
      <c r="Q164" s="6" t="n">
        <f aca="false">IF(OR(TablaVentas[[#This Row],[Ingreso_neto]]="PENDIENTE",TablaVentas[[#This Row],[Costo_total]]="PENDIENTE"),"PENDIENTE",TablaVentas[[#This Row],[Ingreso_neto]]-TablaVentas[[#This Row],[Costo_total]])</f>
        <v>-281.02</v>
      </c>
    </row>
    <row r="165" customFormat="false" ht="13.5" hidden="false" customHeight="false" outlineLevel="0" collapsed="false">
      <c r="A165" s="1" t="s">
        <v>287</v>
      </c>
      <c r="B165" s="1" t="n">
        <v>2</v>
      </c>
      <c r="C165" s="5" t="n">
        <v>46029</v>
      </c>
      <c r="D165" s="6" t="s">
        <v>288</v>
      </c>
      <c r="E165" s="6" t="s">
        <v>77</v>
      </c>
      <c r="F165" s="6" t="s">
        <v>84</v>
      </c>
      <c r="G165" s="6" t="s">
        <v>64</v>
      </c>
      <c r="H165" s="6" t="s">
        <v>65</v>
      </c>
      <c r="I165" s="1" t="n">
        <v>12</v>
      </c>
      <c r="J165" s="7" t="n">
        <v>14933.82</v>
      </c>
      <c r="K165" s="8" t="n">
        <v>0.1</v>
      </c>
      <c r="L165" s="7" t="n">
        <v>10571.25</v>
      </c>
      <c r="M165" s="6" t="s">
        <v>49</v>
      </c>
      <c r="N165" s="6" t="s">
        <v>59</v>
      </c>
      <c r="O165" s="6" t="n">
        <f aca="false">IF(TablaVentas[[#This Row],[Precio_unitario]]="","PENDIENTE",TablaVentas[[#This Row],[Unidades]]*TablaVentas[[#This Row],[Precio_unitario]]*(1-TablaVentas[[#This Row],[Descuento_pct]]))</f>
        <v>161285.256</v>
      </c>
      <c r="P165" s="6" t="n">
        <f aca="false">IF(TablaVentas[[#This Row],[Costo_unitario]]="","PENDIENTE",TablaVentas[[#This Row],[Unidades]]*TablaVentas[[#This Row],[Costo_unitario]])</f>
        <v>126855</v>
      </c>
      <c r="Q165" s="6" t="n">
        <f aca="false">IF(OR(TablaVentas[[#This Row],[Ingreso_neto]]="PENDIENTE",TablaVentas[[#This Row],[Costo_total]]="PENDIENTE"),"PENDIENTE",TablaVentas[[#This Row],[Ingreso_neto]]-TablaVentas[[#This Row],[Costo_total]])</f>
        <v>34430.256</v>
      </c>
    </row>
    <row r="166" customFormat="false" ht="13.5" hidden="false" customHeight="false" outlineLevel="0" collapsed="false">
      <c r="A166" s="1" t="s">
        <v>287</v>
      </c>
      <c r="B166" s="1" t="n">
        <v>3</v>
      </c>
      <c r="C166" s="5" t="n">
        <v>46029</v>
      </c>
      <c r="D166" s="6" t="s">
        <v>288</v>
      </c>
      <c r="E166" s="6" t="s">
        <v>171</v>
      </c>
      <c r="F166" s="6" t="s">
        <v>84</v>
      </c>
      <c r="G166" s="6" t="s">
        <v>64</v>
      </c>
      <c r="H166" s="6" t="s">
        <v>65</v>
      </c>
      <c r="I166" s="1" t="n">
        <v>5</v>
      </c>
      <c r="J166" s="7" t="n">
        <v>5604.88</v>
      </c>
      <c r="K166" s="8" t="n">
        <v>0.2</v>
      </c>
      <c r="L166" s="7" t="n">
        <v>5050.04</v>
      </c>
      <c r="M166" s="6" t="s">
        <v>49</v>
      </c>
      <c r="N166" s="6" t="s">
        <v>50</v>
      </c>
      <c r="O166" s="6" t="n">
        <f aca="false">IF(TablaVentas[[#This Row],[Precio_unitario]]="","PENDIENTE",TablaVentas[[#This Row],[Unidades]]*TablaVentas[[#This Row],[Precio_unitario]]*(1-TablaVentas[[#This Row],[Descuento_pct]]))</f>
        <v>22419.52</v>
      </c>
      <c r="P166" s="6" t="n">
        <f aca="false">IF(TablaVentas[[#This Row],[Costo_unitario]]="","PENDIENTE",TablaVentas[[#This Row],[Unidades]]*TablaVentas[[#This Row],[Costo_unitario]])</f>
        <v>25250.2</v>
      </c>
      <c r="Q166" s="6" t="n">
        <f aca="false">IF(OR(TablaVentas[[#This Row],[Ingreso_neto]]="PENDIENTE",TablaVentas[[#This Row],[Costo_total]]="PENDIENTE"),"PENDIENTE",TablaVentas[[#This Row],[Ingreso_neto]]-TablaVentas[[#This Row],[Costo_total]])</f>
        <v>-2830.68</v>
      </c>
    </row>
    <row r="167" customFormat="false" ht="13.5" hidden="false" customHeight="false" outlineLevel="0" collapsed="false">
      <c r="A167" s="1" t="s">
        <v>290</v>
      </c>
      <c r="B167" s="1" t="n">
        <v>1</v>
      </c>
      <c r="C167" s="5" t="n">
        <v>46026</v>
      </c>
      <c r="D167" s="6" t="s">
        <v>291</v>
      </c>
      <c r="E167" s="6" t="s">
        <v>223</v>
      </c>
      <c r="F167" s="6" t="s">
        <v>46</v>
      </c>
      <c r="G167" s="6" t="s">
        <v>64</v>
      </c>
      <c r="H167" s="6" t="s">
        <v>58</v>
      </c>
      <c r="I167" s="1" t="n">
        <v>3</v>
      </c>
      <c r="J167" s="7" t="n">
        <v>15390.71</v>
      </c>
      <c r="K167" s="8" t="n">
        <v>0.15</v>
      </c>
      <c r="L167" s="7" t="n">
        <v>12064.41</v>
      </c>
      <c r="M167" s="6" t="s">
        <v>49</v>
      </c>
      <c r="N167" s="6" t="s">
        <v>52</v>
      </c>
      <c r="O167" s="6" t="n">
        <f aca="false">IF(TablaVentas[[#This Row],[Precio_unitario]]="","PENDIENTE",TablaVentas[[#This Row],[Unidades]]*TablaVentas[[#This Row],[Precio_unitario]]*(1-TablaVentas[[#This Row],[Descuento_pct]]))</f>
        <v>39246.3105</v>
      </c>
      <c r="P167" s="6" t="n">
        <f aca="false">IF(TablaVentas[[#This Row],[Costo_unitario]]="","PENDIENTE",TablaVentas[[#This Row],[Unidades]]*TablaVentas[[#This Row],[Costo_unitario]])</f>
        <v>36193.23</v>
      </c>
      <c r="Q167" s="6" t="n">
        <f aca="false">IF(OR(TablaVentas[[#This Row],[Ingreso_neto]]="PENDIENTE",TablaVentas[[#This Row],[Costo_total]]="PENDIENTE"),"PENDIENTE",TablaVentas[[#This Row],[Ingreso_neto]]-TablaVentas[[#This Row],[Costo_total]])</f>
        <v>3053.0805</v>
      </c>
    </row>
    <row r="168" customFormat="false" ht="13.5" hidden="false" customHeight="false" outlineLevel="0" collapsed="false">
      <c r="A168" s="1" t="s">
        <v>290</v>
      </c>
      <c r="B168" s="1" t="n">
        <v>2</v>
      </c>
      <c r="C168" s="5" t="n">
        <v>46026</v>
      </c>
      <c r="D168" s="6" t="s">
        <v>291</v>
      </c>
      <c r="E168" s="6" t="s">
        <v>233</v>
      </c>
      <c r="F168" s="6" t="s">
        <v>46</v>
      </c>
      <c r="G168" s="6" t="s">
        <v>64</v>
      </c>
      <c r="H168" s="6" t="s">
        <v>58</v>
      </c>
      <c r="I168" s="1" t="n">
        <v>1</v>
      </c>
      <c r="J168" s="7" t="n">
        <v>16444.83</v>
      </c>
      <c r="K168" s="8" t="n">
        <v>0.2</v>
      </c>
      <c r="L168" s="7" t="n">
        <v>9976.68</v>
      </c>
      <c r="M168" s="6" t="s">
        <v>49</v>
      </c>
      <c r="N168" s="6" t="s">
        <v>50</v>
      </c>
      <c r="O168" s="6" t="n">
        <f aca="false">IF(TablaVentas[[#This Row],[Precio_unitario]]="","PENDIENTE",TablaVentas[[#This Row],[Unidades]]*TablaVentas[[#This Row],[Precio_unitario]]*(1-TablaVentas[[#This Row],[Descuento_pct]]))</f>
        <v>13155.864</v>
      </c>
      <c r="P168" s="6" t="n">
        <f aca="false">IF(TablaVentas[[#This Row],[Costo_unitario]]="","PENDIENTE",TablaVentas[[#This Row],[Unidades]]*TablaVentas[[#This Row],[Costo_unitario]])</f>
        <v>9976.68</v>
      </c>
      <c r="Q168" s="6" t="n">
        <f aca="false">IF(OR(TablaVentas[[#This Row],[Ingreso_neto]]="PENDIENTE",TablaVentas[[#This Row],[Costo_total]]="PENDIENTE"),"PENDIENTE",TablaVentas[[#This Row],[Ingreso_neto]]-TablaVentas[[#This Row],[Costo_total]])</f>
        <v>3179.184</v>
      </c>
    </row>
    <row r="169" customFormat="false" ht="13.5" hidden="false" customHeight="false" outlineLevel="0" collapsed="false">
      <c r="A169" s="1" t="s">
        <v>290</v>
      </c>
      <c r="B169" s="1" t="n">
        <v>3</v>
      </c>
      <c r="C169" s="5" t="n">
        <v>46026</v>
      </c>
      <c r="D169" s="6" t="s">
        <v>291</v>
      </c>
      <c r="E169" s="6" t="s">
        <v>135</v>
      </c>
      <c r="F169" s="6" t="s">
        <v>46</v>
      </c>
      <c r="G169" s="6" t="s">
        <v>64</v>
      </c>
      <c r="H169" s="6" t="s">
        <v>58</v>
      </c>
      <c r="I169" s="1" t="n">
        <v>1</v>
      </c>
      <c r="J169" s="7" t="n">
        <v>1458.99</v>
      </c>
      <c r="K169" s="8" t="n">
        <v>0</v>
      </c>
      <c r="L169" s="7" t="n">
        <v>900.08</v>
      </c>
      <c r="M169" s="6" t="s">
        <v>49</v>
      </c>
      <c r="N169" s="6" t="s">
        <v>52</v>
      </c>
      <c r="O169" s="6" t="n">
        <f aca="false">IF(TablaVentas[[#This Row],[Precio_unitario]]="","PENDIENTE",TablaVentas[[#This Row],[Unidades]]*TablaVentas[[#This Row],[Precio_unitario]]*(1-TablaVentas[[#This Row],[Descuento_pct]]))</f>
        <v>1458.99</v>
      </c>
      <c r="P169" s="6" t="n">
        <f aca="false">IF(TablaVentas[[#This Row],[Costo_unitario]]="","PENDIENTE",TablaVentas[[#This Row],[Unidades]]*TablaVentas[[#This Row],[Costo_unitario]])</f>
        <v>900.08</v>
      </c>
      <c r="Q169" s="6" t="n">
        <f aca="false">IF(OR(TablaVentas[[#This Row],[Ingreso_neto]]="PENDIENTE",TablaVentas[[#This Row],[Costo_total]]="PENDIENTE"),"PENDIENTE",TablaVentas[[#This Row],[Ingreso_neto]]-TablaVentas[[#This Row],[Costo_total]])</f>
        <v>558.91</v>
      </c>
    </row>
    <row r="170" customFormat="false" ht="13.5" hidden="false" customHeight="false" outlineLevel="0" collapsed="false">
      <c r="A170" s="1" t="s">
        <v>290</v>
      </c>
      <c r="B170" s="1" t="n">
        <v>4</v>
      </c>
      <c r="C170" s="5" t="n">
        <v>46026</v>
      </c>
      <c r="D170" s="6" t="s">
        <v>291</v>
      </c>
      <c r="E170" s="6" t="s">
        <v>284</v>
      </c>
      <c r="F170" s="6" t="s">
        <v>46</v>
      </c>
      <c r="G170" s="6" t="s">
        <v>64</v>
      </c>
      <c r="H170" s="6" t="s">
        <v>58</v>
      </c>
      <c r="I170" s="1" t="n">
        <v>3</v>
      </c>
      <c r="J170" s="7" t="n">
        <v>6987.86</v>
      </c>
      <c r="K170" s="8" t="n">
        <v>0.15</v>
      </c>
      <c r="L170" s="7" t="n">
        <v>4858.08</v>
      </c>
      <c r="M170" s="6" t="s">
        <v>49</v>
      </c>
      <c r="N170" s="6" t="s">
        <v>52</v>
      </c>
      <c r="O170" s="6" t="n">
        <f aca="false">IF(TablaVentas[[#This Row],[Precio_unitario]]="","PENDIENTE",TablaVentas[[#This Row],[Unidades]]*TablaVentas[[#This Row],[Precio_unitario]]*(1-TablaVentas[[#This Row],[Descuento_pct]]))</f>
        <v>17819.043</v>
      </c>
      <c r="P170" s="6" t="n">
        <f aca="false">IF(TablaVentas[[#This Row],[Costo_unitario]]="","PENDIENTE",TablaVentas[[#This Row],[Unidades]]*TablaVentas[[#This Row],[Costo_unitario]])</f>
        <v>14574.24</v>
      </c>
      <c r="Q170" s="6" t="n">
        <f aca="false">IF(OR(TablaVentas[[#This Row],[Ingreso_neto]]="PENDIENTE",TablaVentas[[#This Row],[Costo_total]]="PENDIENTE"),"PENDIENTE",TablaVentas[[#This Row],[Ingreso_neto]]-TablaVentas[[#This Row],[Costo_total]])</f>
        <v>3244.803</v>
      </c>
    </row>
    <row r="171" customFormat="false" ht="13.5" hidden="false" customHeight="false" outlineLevel="0" collapsed="false">
      <c r="A171" s="1" t="s">
        <v>290</v>
      </c>
      <c r="B171" s="1" t="n">
        <v>5</v>
      </c>
      <c r="C171" s="5" t="n">
        <v>46026</v>
      </c>
      <c r="D171" s="6" t="s">
        <v>291</v>
      </c>
      <c r="E171" s="6" t="s">
        <v>159</v>
      </c>
      <c r="F171" s="6" t="s">
        <v>46</v>
      </c>
      <c r="G171" s="6" t="s">
        <v>64</v>
      </c>
      <c r="H171" s="6" t="s">
        <v>58</v>
      </c>
      <c r="I171" s="1" t="n">
        <v>1</v>
      </c>
      <c r="J171" s="7" t="n">
        <v>2528.67</v>
      </c>
      <c r="K171" s="8" t="n">
        <v>0.1</v>
      </c>
      <c r="L171" s="7" t="n">
        <v>1962.3</v>
      </c>
      <c r="M171" s="6" t="s">
        <v>49</v>
      </c>
      <c r="N171" s="6" t="s">
        <v>50</v>
      </c>
      <c r="O171" s="6" t="n">
        <f aca="false">IF(TablaVentas[[#This Row],[Precio_unitario]]="","PENDIENTE",TablaVentas[[#This Row],[Unidades]]*TablaVentas[[#This Row],[Precio_unitario]]*(1-TablaVentas[[#This Row],[Descuento_pct]]))</f>
        <v>2275.803</v>
      </c>
      <c r="P171" s="6" t="n">
        <f aca="false">IF(TablaVentas[[#This Row],[Costo_unitario]]="","PENDIENTE",TablaVentas[[#This Row],[Unidades]]*TablaVentas[[#This Row],[Costo_unitario]])</f>
        <v>1962.3</v>
      </c>
      <c r="Q171" s="6" t="n">
        <f aca="false">IF(OR(TablaVentas[[#This Row],[Ingreso_neto]]="PENDIENTE",TablaVentas[[#This Row],[Costo_total]]="PENDIENTE"),"PENDIENTE",TablaVentas[[#This Row],[Ingreso_neto]]-TablaVentas[[#This Row],[Costo_total]])</f>
        <v>313.503</v>
      </c>
    </row>
    <row r="172" customFormat="false" ht="13.5" hidden="false" customHeight="false" outlineLevel="0" collapsed="false">
      <c r="A172" s="1" t="s">
        <v>292</v>
      </c>
      <c r="B172" s="1" t="n">
        <v>1</v>
      </c>
      <c r="C172" s="5" t="n">
        <v>46188</v>
      </c>
      <c r="D172" s="6" t="s">
        <v>194</v>
      </c>
      <c r="E172" s="6" t="s">
        <v>158</v>
      </c>
      <c r="F172" s="6" t="s">
        <v>73</v>
      </c>
      <c r="G172" s="6" t="s">
        <v>64</v>
      </c>
      <c r="H172" s="6" t="s">
        <v>191</v>
      </c>
      <c r="I172" s="1" t="n">
        <v>2</v>
      </c>
      <c r="J172" s="7" t="n">
        <v>16792.83</v>
      </c>
      <c r="K172" s="8" t="n">
        <v>0.05</v>
      </c>
      <c r="L172" s="7" t="n">
        <v>8963.23</v>
      </c>
      <c r="M172" s="6" t="s">
        <v>49</v>
      </c>
      <c r="N172" s="6" t="s">
        <v>67</v>
      </c>
      <c r="O172" s="6" t="n">
        <f aca="false">IF(TablaVentas[[#This Row],[Precio_unitario]]="","PENDIENTE",TablaVentas[[#This Row],[Unidades]]*TablaVentas[[#This Row],[Precio_unitario]]*(1-TablaVentas[[#This Row],[Descuento_pct]]))</f>
        <v>31906.377</v>
      </c>
      <c r="P172" s="6" t="n">
        <f aca="false">IF(TablaVentas[[#This Row],[Costo_unitario]]="","PENDIENTE",TablaVentas[[#This Row],[Unidades]]*TablaVentas[[#This Row],[Costo_unitario]])</f>
        <v>17926.46</v>
      </c>
      <c r="Q172" s="6" t="n">
        <f aca="false">IF(OR(TablaVentas[[#This Row],[Ingreso_neto]]="PENDIENTE",TablaVentas[[#This Row],[Costo_total]]="PENDIENTE"),"PENDIENTE",TablaVentas[[#This Row],[Ingreso_neto]]-TablaVentas[[#This Row],[Costo_total]])</f>
        <v>13979.917</v>
      </c>
    </row>
    <row r="173" customFormat="false" ht="13.5" hidden="false" customHeight="false" outlineLevel="0" collapsed="false">
      <c r="A173" s="1" t="s">
        <v>292</v>
      </c>
      <c r="B173" s="1" t="n">
        <v>2</v>
      </c>
      <c r="C173" s="5" t="n">
        <v>46188</v>
      </c>
      <c r="D173" s="6" t="s">
        <v>194</v>
      </c>
      <c r="E173" s="6" t="s">
        <v>166</v>
      </c>
      <c r="F173" s="6" t="s">
        <v>73</v>
      </c>
      <c r="G173" s="6" t="s">
        <v>64</v>
      </c>
      <c r="H173" s="6" t="s">
        <v>191</v>
      </c>
      <c r="I173" s="1" t="n">
        <v>1</v>
      </c>
      <c r="J173" s="7" t="n">
        <v>12784.99</v>
      </c>
      <c r="K173" s="8" t="n">
        <v>0</v>
      </c>
      <c r="L173" s="7" t="n">
        <v>9317.37</v>
      </c>
      <c r="M173" s="6" t="s">
        <v>49</v>
      </c>
      <c r="N173" s="6" t="s">
        <v>50</v>
      </c>
      <c r="O173" s="6" t="n">
        <f aca="false">IF(TablaVentas[[#This Row],[Precio_unitario]]="","PENDIENTE",TablaVentas[[#This Row],[Unidades]]*TablaVentas[[#This Row],[Precio_unitario]]*(1-TablaVentas[[#This Row],[Descuento_pct]]))</f>
        <v>12784.99</v>
      </c>
      <c r="P173" s="6" t="n">
        <f aca="false">IF(TablaVentas[[#This Row],[Costo_unitario]]="","PENDIENTE",TablaVentas[[#This Row],[Unidades]]*TablaVentas[[#This Row],[Costo_unitario]])</f>
        <v>9317.37</v>
      </c>
      <c r="Q173" s="6" t="n">
        <f aca="false">IF(OR(TablaVentas[[#This Row],[Ingreso_neto]]="PENDIENTE",TablaVentas[[#This Row],[Costo_total]]="PENDIENTE"),"PENDIENTE",TablaVentas[[#This Row],[Ingreso_neto]]-TablaVentas[[#This Row],[Costo_total]])</f>
        <v>3467.62</v>
      </c>
    </row>
    <row r="174" customFormat="false" ht="13.5" hidden="false" customHeight="false" outlineLevel="0" collapsed="false">
      <c r="A174" s="1" t="s">
        <v>292</v>
      </c>
      <c r="B174" s="1" t="n">
        <v>3</v>
      </c>
      <c r="C174" s="5" t="n">
        <v>46188</v>
      </c>
      <c r="D174" s="6" t="s">
        <v>194</v>
      </c>
      <c r="E174" s="6" t="s">
        <v>234</v>
      </c>
      <c r="F174" s="6" t="s">
        <v>73</v>
      </c>
      <c r="G174" s="6" t="s">
        <v>64</v>
      </c>
      <c r="H174" s="6" t="s">
        <v>191</v>
      </c>
      <c r="I174" s="1" t="n">
        <v>1</v>
      </c>
      <c r="J174" s="7" t="n">
        <v>8539.86</v>
      </c>
      <c r="K174" s="8" t="n">
        <v>0.1</v>
      </c>
      <c r="L174" s="7" t="n">
        <v>6255.13</v>
      </c>
      <c r="M174" s="6" t="s">
        <v>49</v>
      </c>
      <c r="N174" s="6" t="s">
        <v>52</v>
      </c>
      <c r="O174" s="6" t="n">
        <f aca="false">IF(TablaVentas[[#This Row],[Precio_unitario]]="","PENDIENTE",TablaVentas[[#This Row],[Unidades]]*TablaVentas[[#This Row],[Precio_unitario]]*(1-TablaVentas[[#This Row],[Descuento_pct]]))</f>
        <v>7685.874</v>
      </c>
      <c r="P174" s="6" t="n">
        <f aca="false">IF(TablaVentas[[#This Row],[Costo_unitario]]="","PENDIENTE",TablaVentas[[#This Row],[Unidades]]*TablaVentas[[#This Row],[Costo_unitario]])</f>
        <v>6255.13</v>
      </c>
      <c r="Q174" s="6" t="n">
        <f aca="false">IF(OR(TablaVentas[[#This Row],[Ingreso_neto]]="PENDIENTE",TablaVentas[[#This Row],[Costo_total]]="PENDIENTE"),"PENDIENTE",TablaVentas[[#This Row],[Ingreso_neto]]-TablaVentas[[#This Row],[Costo_total]])</f>
        <v>1430.744</v>
      </c>
    </row>
    <row r="175" customFormat="false" ht="13.5" hidden="false" customHeight="false" outlineLevel="0" collapsed="false">
      <c r="A175" s="1" t="s">
        <v>293</v>
      </c>
      <c r="B175" s="1" t="n">
        <v>1</v>
      </c>
      <c r="C175" s="5" t="n">
        <v>46140</v>
      </c>
      <c r="D175" s="6" t="s">
        <v>294</v>
      </c>
      <c r="E175" s="6" t="s">
        <v>101</v>
      </c>
      <c r="F175" s="6" t="s">
        <v>73</v>
      </c>
      <c r="G175" s="6" t="s">
        <v>47</v>
      </c>
      <c r="H175" s="6" t="s">
        <v>74</v>
      </c>
      <c r="I175" s="1" t="n">
        <v>3</v>
      </c>
      <c r="J175" s="7" t="n">
        <v>7177.07</v>
      </c>
      <c r="K175" s="8" t="n">
        <v>0.05</v>
      </c>
      <c r="L175" s="7" t="n">
        <v>4538.06</v>
      </c>
      <c r="M175" s="6" t="s">
        <v>49</v>
      </c>
      <c r="N175" s="6" t="s">
        <v>52</v>
      </c>
      <c r="O175" s="6" t="n">
        <f aca="false">IF(TablaVentas[[#This Row],[Precio_unitario]]="","PENDIENTE",TablaVentas[[#This Row],[Unidades]]*TablaVentas[[#This Row],[Precio_unitario]]*(1-TablaVentas[[#This Row],[Descuento_pct]]))</f>
        <v>20454.6495</v>
      </c>
      <c r="P175" s="6" t="n">
        <f aca="false">IF(TablaVentas[[#This Row],[Costo_unitario]]="","PENDIENTE",TablaVentas[[#This Row],[Unidades]]*TablaVentas[[#This Row],[Costo_unitario]])</f>
        <v>13614.18</v>
      </c>
      <c r="Q175" s="6" t="n">
        <f aca="false">IF(OR(TablaVentas[[#This Row],[Ingreso_neto]]="PENDIENTE",TablaVentas[[#This Row],[Costo_total]]="PENDIENTE"),"PENDIENTE",TablaVentas[[#This Row],[Ingreso_neto]]-TablaVentas[[#This Row],[Costo_total]])</f>
        <v>6840.4695</v>
      </c>
    </row>
    <row r="176" customFormat="false" ht="13.5" hidden="false" customHeight="false" outlineLevel="0" collapsed="false">
      <c r="A176" s="1" t="s">
        <v>293</v>
      </c>
      <c r="B176" s="1" t="n">
        <v>2</v>
      </c>
      <c r="C176" s="5" t="n">
        <v>46140</v>
      </c>
      <c r="D176" s="6" t="s">
        <v>294</v>
      </c>
      <c r="E176" s="6" t="s">
        <v>269</v>
      </c>
      <c r="F176" s="6" t="s">
        <v>73</v>
      </c>
      <c r="G176" s="6" t="s">
        <v>47</v>
      </c>
      <c r="H176" s="6" t="s">
        <v>74</v>
      </c>
      <c r="I176" s="1" t="n">
        <v>1</v>
      </c>
      <c r="J176" s="7" t="n">
        <v>14756.61</v>
      </c>
      <c r="K176" s="8" t="n">
        <v>0</v>
      </c>
      <c r="L176" s="7" t="n">
        <v>8227.46</v>
      </c>
      <c r="M176" s="6" t="s">
        <v>49</v>
      </c>
      <c r="N176" s="6" t="s">
        <v>59</v>
      </c>
      <c r="O176" s="6" t="n">
        <f aca="false">IF(TablaVentas[[#This Row],[Precio_unitario]]="","PENDIENTE",TablaVentas[[#This Row],[Unidades]]*TablaVentas[[#This Row],[Precio_unitario]]*(1-TablaVentas[[#This Row],[Descuento_pct]]))</f>
        <v>14756.61</v>
      </c>
      <c r="P176" s="6" t="n">
        <f aca="false">IF(TablaVentas[[#This Row],[Costo_unitario]]="","PENDIENTE",TablaVentas[[#This Row],[Unidades]]*TablaVentas[[#This Row],[Costo_unitario]])</f>
        <v>8227.46</v>
      </c>
      <c r="Q176" s="6" t="n">
        <f aca="false">IF(OR(TablaVentas[[#This Row],[Ingreso_neto]]="PENDIENTE",TablaVentas[[#This Row],[Costo_total]]="PENDIENTE"),"PENDIENTE",TablaVentas[[#This Row],[Ingreso_neto]]-TablaVentas[[#This Row],[Costo_total]])</f>
        <v>6529.15</v>
      </c>
    </row>
    <row r="177" customFormat="false" ht="13.5" hidden="false" customHeight="false" outlineLevel="0" collapsed="false">
      <c r="A177" s="1" t="s">
        <v>295</v>
      </c>
      <c r="B177" s="1" t="n">
        <v>1</v>
      </c>
      <c r="C177" s="5" t="n">
        <v>46254</v>
      </c>
      <c r="D177" s="6" t="s">
        <v>296</v>
      </c>
      <c r="E177" s="6" t="s">
        <v>155</v>
      </c>
      <c r="F177" s="6" t="s">
        <v>73</v>
      </c>
      <c r="G177" s="6" t="s">
        <v>57</v>
      </c>
      <c r="H177" s="6" t="s">
        <v>48</v>
      </c>
      <c r="I177" s="1" t="n">
        <v>4</v>
      </c>
      <c r="J177" s="7" t="n">
        <v>3050.55</v>
      </c>
      <c r="K177" s="8" t="n">
        <v>0</v>
      </c>
      <c r="L177" s="7" t="n">
        <v>2459.34</v>
      </c>
      <c r="M177" s="6" t="s">
        <v>49</v>
      </c>
      <c r="N177" s="6" t="s">
        <v>50</v>
      </c>
      <c r="O177" s="6" t="n">
        <f aca="false">IF(TablaVentas[[#This Row],[Precio_unitario]]="","PENDIENTE",TablaVentas[[#This Row],[Unidades]]*TablaVentas[[#This Row],[Precio_unitario]]*(1-TablaVentas[[#This Row],[Descuento_pct]]))</f>
        <v>12202.2</v>
      </c>
      <c r="P177" s="6" t="n">
        <f aca="false">IF(TablaVentas[[#This Row],[Costo_unitario]]="","PENDIENTE",TablaVentas[[#This Row],[Unidades]]*TablaVentas[[#This Row],[Costo_unitario]])</f>
        <v>9837.36</v>
      </c>
      <c r="Q177" s="6" t="n">
        <f aca="false">IF(OR(TablaVentas[[#This Row],[Ingreso_neto]]="PENDIENTE",TablaVentas[[#This Row],[Costo_total]]="PENDIENTE"),"PENDIENTE",TablaVentas[[#This Row],[Ingreso_neto]]-TablaVentas[[#This Row],[Costo_total]])</f>
        <v>2364.84</v>
      </c>
    </row>
    <row r="178" customFormat="false" ht="13.5" hidden="false" customHeight="false" outlineLevel="0" collapsed="false">
      <c r="A178" s="1" t="s">
        <v>295</v>
      </c>
      <c r="B178" s="1" t="n">
        <v>2</v>
      </c>
      <c r="C178" s="5" t="n">
        <v>46254</v>
      </c>
      <c r="D178" s="6" t="s">
        <v>296</v>
      </c>
      <c r="E178" s="6" t="s">
        <v>132</v>
      </c>
      <c r="F178" s="6" t="s">
        <v>73</v>
      </c>
      <c r="G178" s="6" t="s">
        <v>57</v>
      </c>
      <c r="H178" s="6" t="s">
        <v>48</v>
      </c>
      <c r="I178" s="1" t="n">
        <v>1</v>
      </c>
      <c r="J178" s="7" t="n">
        <v>1801.2</v>
      </c>
      <c r="K178" s="8" t="n">
        <v>0</v>
      </c>
      <c r="L178" s="7" t="n">
        <v>1044.32</v>
      </c>
      <c r="M178" s="6" t="s">
        <v>49</v>
      </c>
      <c r="N178" s="6" t="s">
        <v>52</v>
      </c>
      <c r="O178" s="6" t="n">
        <f aca="false">IF(TablaVentas[[#This Row],[Precio_unitario]]="","PENDIENTE",TablaVentas[[#This Row],[Unidades]]*TablaVentas[[#This Row],[Precio_unitario]]*(1-TablaVentas[[#This Row],[Descuento_pct]]))</f>
        <v>1801.2</v>
      </c>
      <c r="P178" s="6" t="n">
        <f aca="false">IF(TablaVentas[[#This Row],[Costo_unitario]]="","PENDIENTE",TablaVentas[[#This Row],[Unidades]]*TablaVentas[[#This Row],[Costo_unitario]])</f>
        <v>1044.32</v>
      </c>
      <c r="Q178" s="6" t="n">
        <f aca="false">IF(OR(TablaVentas[[#This Row],[Ingreso_neto]]="PENDIENTE",TablaVentas[[#This Row],[Costo_total]]="PENDIENTE"),"PENDIENTE",TablaVentas[[#This Row],[Ingreso_neto]]-TablaVentas[[#This Row],[Costo_total]])</f>
        <v>756.88</v>
      </c>
    </row>
    <row r="179" customFormat="false" ht="13.5" hidden="false" customHeight="false" outlineLevel="0" collapsed="false">
      <c r="A179" s="1" t="s">
        <v>295</v>
      </c>
      <c r="B179" s="1" t="n">
        <v>3</v>
      </c>
      <c r="C179" s="5" t="n">
        <v>46254</v>
      </c>
      <c r="D179" s="6" t="s">
        <v>296</v>
      </c>
      <c r="E179" s="6" t="s">
        <v>187</v>
      </c>
      <c r="F179" s="6" t="s">
        <v>73</v>
      </c>
      <c r="G179" s="6" t="s">
        <v>57</v>
      </c>
      <c r="H179" s="6" t="s">
        <v>48</v>
      </c>
      <c r="I179" s="1" t="n">
        <v>2</v>
      </c>
      <c r="J179" s="7" t="n">
        <v>6713.95</v>
      </c>
      <c r="K179" s="8" t="n">
        <v>0.1</v>
      </c>
      <c r="L179" s="7" t="n">
        <v>3824.92</v>
      </c>
      <c r="M179" s="6" t="s">
        <v>49</v>
      </c>
      <c r="N179" s="6" t="s">
        <v>52</v>
      </c>
      <c r="O179" s="6" t="n">
        <f aca="false">IF(TablaVentas[[#This Row],[Precio_unitario]]="","PENDIENTE",TablaVentas[[#This Row],[Unidades]]*TablaVentas[[#This Row],[Precio_unitario]]*(1-TablaVentas[[#This Row],[Descuento_pct]]))</f>
        <v>12085.11</v>
      </c>
      <c r="P179" s="6" t="n">
        <f aca="false">IF(TablaVentas[[#This Row],[Costo_unitario]]="","PENDIENTE",TablaVentas[[#This Row],[Unidades]]*TablaVentas[[#This Row],[Costo_unitario]])</f>
        <v>7649.84</v>
      </c>
      <c r="Q179" s="6" t="n">
        <f aca="false">IF(OR(TablaVentas[[#This Row],[Ingreso_neto]]="PENDIENTE",TablaVentas[[#This Row],[Costo_total]]="PENDIENTE"),"PENDIENTE",TablaVentas[[#This Row],[Ingreso_neto]]-TablaVentas[[#This Row],[Costo_total]])</f>
        <v>4435.27</v>
      </c>
    </row>
    <row r="180" customFormat="false" ht="13.5" hidden="false" customHeight="false" outlineLevel="0" collapsed="false">
      <c r="A180" s="1" t="s">
        <v>297</v>
      </c>
      <c r="B180" s="1" t="n">
        <v>1</v>
      </c>
      <c r="C180" s="5" t="n">
        <v>46236</v>
      </c>
      <c r="D180" s="6" t="s">
        <v>298</v>
      </c>
      <c r="E180" s="6" t="s">
        <v>83</v>
      </c>
      <c r="F180" s="6" t="s">
        <v>63</v>
      </c>
      <c r="G180" s="6" t="s">
        <v>57</v>
      </c>
      <c r="H180" s="6" t="s">
        <v>89</v>
      </c>
      <c r="I180" s="1" t="n">
        <v>3</v>
      </c>
      <c r="J180" s="7" t="n">
        <v>14821.26</v>
      </c>
      <c r="K180" s="8" t="n">
        <v>0.1</v>
      </c>
      <c r="L180" s="7" t="n">
        <v>7748.44</v>
      </c>
      <c r="M180" s="6" t="s">
        <v>49</v>
      </c>
      <c r="N180" s="6" t="s">
        <v>67</v>
      </c>
      <c r="O180" s="6" t="n">
        <f aca="false">IF(TablaVentas[[#This Row],[Precio_unitario]]="","PENDIENTE",TablaVentas[[#This Row],[Unidades]]*TablaVentas[[#This Row],[Precio_unitario]]*(1-TablaVentas[[#This Row],[Descuento_pct]]))</f>
        <v>40017.402</v>
      </c>
      <c r="P180" s="6" t="n">
        <f aca="false">IF(TablaVentas[[#This Row],[Costo_unitario]]="","PENDIENTE",TablaVentas[[#This Row],[Unidades]]*TablaVentas[[#This Row],[Costo_unitario]])</f>
        <v>23245.32</v>
      </c>
      <c r="Q180" s="6" t="n">
        <f aca="false">IF(OR(TablaVentas[[#This Row],[Ingreso_neto]]="PENDIENTE",TablaVentas[[#This Row],[Costo_total]]="PENDIENTE"),"PENDIENTE",TablaVentas[[#This Row],[Ingreso_neto]]-TablaVentas[[#This Row],[Costo_total]])</f>
        <v>16772.082</v>
      </c>
    </row>
    <row r="181" customFormat="false" ht="13.5" hidden="false" customHeight="false" outlineLevel="0" collapsed="false">
      <c r="A181" s="1" t="s">
        <v>297</v>
      </c>
      <c r="B181" s="1" t="n">
        <v>2</v>
      </c>
      <c r="C181" s="5" t="n">
        <v>46236</v>
      </c>
      <c r="D181" s="6" t="s">
        <v>298</v>
      </c>
      <c r="E181" s="6" t="s">
        <v>179</v>
      </c>
      <c r="F181" s="6" t="s">
        <v>63</v>
      </c>
      <c r="G181" s="6" t="s">
        <v>57</v>
      </c>
      <c r="H181" s="6" t="s">
        <v>89</v>
      </c>
      <c r="I181" s="1" t="n">
        <v>5</v>
      </c>
      <c r="J181" s="7" t="n">
        <v>17221.26</v>
      </c>
      <c r="K181" s="8" t="n">
        <v>0.05</v>
      </c>
      <c r="L181" s="7" t="n">
        <v>10830.17</v>
      </c>
      <c r="M181" s="6" t="s">
        <v>49</v>
      </c>
      <c r="N181" s="6" t="s">
        <v>67</v>
      </c>
      <c r="O181" s="6" t="n">
        <f aca="false">IF(TablaVentas[[#This Row],[Precio_unitario]]="","PENDIENTE",TablaVentas[[#This Row],[Unidades]]*TablaVentas[[#This Row],[Precio_unitario]]*(1-TablaVentas[[#This Row],[Descuento_pct]]))</f>
        <v>81800.985</v>
      </c>
      <c r="P181" s="6" t="n">
        <f aca="false">IF(TablaVentas[[#This Row],[Costo_unitario]]="","PENDIENTE",TablaVentas[[#This Row],[Unidades]]*TablaVentas[[#This Row],[Costo_unitario]])</f>
        <v>54150.85</v>
      </c>
      <c r="Q181" s="6" t="n">
        <f aca="false">IF(OR(TablaVentas[[#This Row],[Ingreso_neto]]="PENDIENTE",TablaVentas[[#This Row],[Costo_total]]="PENDIENTE"),"PENDIENTE",TablaVentas[[#This Row],[Ingreso_neto]]-TablaVentas[[#This Row],[Costo_total]])</f>
        <v>27650.135</v>
      </c>
    </row>
    <row r="182" customFormat="false" ht="13.5" hidden="false" customHeight="false" outlineLevel="0" collapsed="false">
      <c r="A182" s="1" t="s">
        <v>299</v>
      </c>
      <c r="B182" s="1" t="n">
        <v>1</v>
      </c>
      <c r="C182" s="5" t="n">
        <v>46244</v>
      </c>
      <c r="D182" s="6" t="s">
        <v>259</v>
      </c>
      <c r="E182" s="6" t="s">
        <v>300</v>
      </c>
      <c r="F182" s="6" t="s">
        <v>73</v>
      </c>
      <c r="G182" s="6" t="s">
        <v>64</v>
      </c>
      <c r="H182" s="6" t="s">
        <v>136</v>
      </c>
      <c r="I182" s="1" t="n">
        <v>4</v>
      </c>
      <c r="J182" s="7" t="n">
        <v>1123.27</v>
      </c>
      <c r="K182" s="8" t="n">
        <v>0</v>
      </c>
      <c r="L182" s="7" t="n">
        <v>936.52</v>
      </c>
      <c r="M182" s="6" t="s">
        <v>49</v>
      </c>
      <c r="N182" s="6" t="s">
        <v>67</v>
      </c>
      <c r="O182" s="6" t="n">
        <f aca="false">IF(TablaVentas[[#This Row],[Precio_unitario]]="","PENDIENTE",TablaVentas[[#This Row],[Unidades]]*TablaVentas[[#This Row],[Precio_unitario]]*(1-TablaVentas[[#This Row],[Descuento_pct]]))</f>
        <v>4493.08</v>
      </c>
      <c r="P182" s="6" t="n">
        <f aca="false">IF(TablaVentas[[#This Row],[Costo_unitario]]="","PENDIENTE",TablaVentas[[#This Row],[Unidades]]*TablaVentas[[#This Row],[Costo_unitario]])</f>
        <v>3746.08</v>
      </c>
      <c r="Q182" s="6" t="n">
        <f aca="false">IF(OR(TablaVentas[[#This Row],[Ingreso_neto]]="PENDIENTE",TablaVentas[[#This Row],[Costo_total]]="PENDIENTE"),"PENDIENTE",TablaVentas[[#This Row],[Ingreso_neto]]-TablaVentas[[#This Row],[Costo_total]])</f>
        <v>747</v>
      </c>
    </row>
    <row r="183" customFormat="false" ht="13.5" hidden="false" customHeight="false" outlineLevel="0" collapsed="false">
      <c r="A183" s="1" t="s">
        <v>299</v>
      </c>
      <c r="B183" s="1" t="n">
        <v>2</v>
      </c>
      <c r="C183" s="5" t="n">
        <v>46244</v>
      </c>
      <c r="D183" s="6" t="s">
        <v>259</v>
      </c>
      <c r="E183" s="6" t="s">
        <v>179</v>
      </c>
      <c r="F183" s="6" t="s">
        <v>73</v>
      </c>
      <c r="G183" s="6" t="s">
        <v>64</v>
      </c>
      <c r="H183" s="6" t="s">
        <v>136</v>
      </c>
      <c r="I183" s="1" t="n">
        <v>3</v>
      </c>
      <c r="J183" s="7" t="n">
        <v>17063</v>
      </c>
      <c r="K183" s="8" t="n">
        <v>0.2</v>
      </c>
      <c r="L183" s="7" t="n">
        <v>10830.17</v>
      </c>
      <c r="M183" s="6" t="s">
        <v>49</v>
      </c>
      <c r="N183" s="6" t="s">
        <v>50</v>
      </c>
      <c r="O183" s="6" t="n">
        <f aca="false">IF(TablaVentas[[#This Row],[Precio_unitario]]="","PENDIENTE",TablaVentas[[#This Row],[Unidades]]*TablaVentas[[#This Row],[Precio_unitario]]*(1-TablaVentas[[#This Row],[Descuento_pct]]))</f>
        <v>40951.2</v>
      </c>
      <c r="P183" s="6" t="n">
        <f aca="false">IF(TablaVentas[[#This Row],[Costo_unitario]]="","PENDIENTE",TablaVentas[[#This Row],[Unidades]]*TablaVentas[[#This Row],[Costo_unitario]])</f>
        <v>32490.51</v>
      </c>
      <c r="Q183" s="6" t="n">
        <f aca="false">IF(OR(TablaVentas[[#This Row],[Ingreso_neto]]="PENDIENTE",TablaVentas[[#This Row],[Costo_total]]="PENDIENTE"),"PENDIENTE",TablaVentas[[#This Row],[Ingreso_neto]]-TablaVentas[[#This Row],[Costo_total]])</f>
        <v>8460.69</v>
      </c>
    </row>
    <row r="184" customFormat="false" ht="13.5" hidden="false" customHeight="false" outlineLevel="0" collapsed="false">
      <c r="A184" s="1" t="s">
        <v>299</v>
      </c>
      <c r="B184" s="1" t="n">
        <v>3</v>
      </c>
      <c r="C184" s="5" t="n">
        <v>46244</v>
      </c>
      <c r="D184" s="6" t="s">
        <v>259</v>
      </c>
      <c r="E184" s="6" t="s">
        <v>121</v>
      </c>
      <c r="F184" s="6" t="s">
        <v>73</v>
      </c>
      <c r="G184" s="6" t="s">
        <v>64</v>
      </c>
      <c r="H184" s="6" t="s">
        <v>136</v>
      </c>
      <c r="I184" s="1" t="n">
        <v>2</v>
      </c>
      <c r="J184" s="7" t="n">
        <v>15141.4</v>
      </c>
      <c r="K184" s="8" t="n">
        <v>0.1</v>
      </c>
      <c r="L184" s="7" t="n">
        <v>8239.48</v>
      </c>
      <c r="M184" s="6" t="s">
        <v>49</v>
      </c>
      <c r="N184" s="6" t="s">
        <v>50</v>
      </c>
      <c r="O184" s="6" t="n">
        <f aca="false">IF(TablaVentas[[#This Row],[Precio_unitario]]="","PENDIENTE",TablaVentas[[#This Row],[Unidades]]*TablaVentas[[#This Row],[Precio_unitario]]*(1-TablaVentas[[#This Row],[Descuento_pct]]))</f>
        <v>27254.52</v>
      </c>
      <c r="P184" s="6" t="n">
        <f aca="false">IF(TablaVentas[[#This Row],[Costo_unitario]]="","PENDIENTE",TablaVentas[[#This Row],[Unidades]]*TablaVentas[[#This Row],[Costo_unitario]])</f>
        <v>16478.96</v>
      </c>
      <c r="Q184" s="6" t="n">
        <f aca="false">IF(OR(TablaVentas[[#This Row],[Ingreso_neto]]="PENDIENTE",TablaVentas[[#This Row],[Costo_total]]="PENDIENTE"),"PENDIENTE",TablaVentas[[#This Row],[Ingreso_neto]]-TablaVentas[[#This Row],[Costo_total]])</f>
        <v>10775.56</v>
      </c>
    </row>
    <row r="185" customFormat="false" ht="13.5" hidden="false" customHeight="false" outlineLevel="0" collapsed="false">
      <c r="A185" s="1" t="s">
        <v>301</v>
      </c>
      <c r="B185" s="1" t="n">
        <v>1</v>
      </c>
      <c r="C185" s="5" t="n">
        <v>46134</v>
      </c>
      <c r="D185" s="6" t="s">
        <v>302</v>
      </c>
      <c r="E185" s="6" t="s">
        <v>223</v>
      </c>
      <c r="F185" s="6" t="s">
        <v>84</v>
      </c>
      <c r="G185" s="6" t="s">
        <v>57</v>
      </c>
      <c r="H185" s="6" t="s">
        <v>191</v>
      </c>
      <c r="I185" s="1" t="n">
        <v>1</v>
      </c>
      <c r="J185" s="7" t="n">
        <v>16918.1</v>
      </c>
      <c r="K185" s="8" t="n">
        <v>0</v>
      </c>
      <c r="L185" s="7" t="n">
        <v>12064.41</v>
      </c>
      <c r="M185" s="6" t="s">
        <v>123</v>
      </c>
      <c r="N185" s="6" t="s">
        <v>52</v>
      </c>
      <c r="O185" s="6" t="n">
        <f aca="false">IF(TablaVentas[[#This Row],[Precio_unitario]]="","PENDIENTE",TablaVentas[[#This Row],[Unidades]]*TablaVentas[[#This Row],[Precio_unitario]]*(1-TablaVentas[[#This Row],[Descuento_pct]]))</f>
        <v>16918.1</v>
      </c>
      <c r="P185" s="6" t="n">
        <f aca="false">IF(TablaVentas[[#This Row],[Costo_unitario]]="","PENDIENTE",TablaVentas[[#This Row],[Unidades]]*TablaVentas[[#This Row],[Costo_unitario]])</f>
        <v>12064.41</v>
      </c>
      <c r="Q185" s="6" t="n">
        <f aca="false">IF(OR(TablaVentas[[#This Row],[Ingreso_neto]]="PENDIENTE",TablaVentas[[#This Row],[Costo_total]]="PENDIENTE"),"PENDIENTE",TablaVentas[[#This Row],[Ingreso_neto]]-TablaVentas[[#This Row],[Costo_total]])</f>
        <v>4853.69</v>
      </c>
    </row>
    <row r="186" customFormat="false" ht="13.5" hidden="false" customHeight="false" outlineLevel="0" collapsed="false">
      <c r="A186" s="1" t="s">
        <v>303</v>
      </c>
      <c r="B186" s="1" t="n">
        <v>1</v>
      </c>
      <c r="C186" s="5" t="n">
        <v>46034</v>
      </c>
      <c r="D186" s="6" t="s">
        <v>115</v>
      </c>
      <c r="E186" s="6" t="s">
        <v>97</v>
      </c>
      <c r="F186" s="6" t="s">
        <v>73</v>
      </c>
      <c r="G186" s="6" t="s">
        <v>57</v>
      </c>
      <c r="H186" s="6" t="s">
        <v>109</v>
      </c>
      <c r="I186" s="1" t="n">
        <v>1</v>
      </c>
      <c r="J186" s="7" t="n">
        <v>10243.51</v>
      </c>
      <c r="K186" s="8" t="n">
        <v>0</v>
      </c>
      <c r="L186" s="7" t="n">
        <v>8174.87</v>
      </c>
      <c r="M186" s="6" t="s">
        <v>49</v>
      </c>
      <c r="N186" s="6" t="s">
        <v>50</v>
      </c>
      <c r="O186" s="6" t="n">
        <f aca="false">IF(TablaVentas[[#This Row],[Precio_unitario]]="","PENDIENTE",TablaVentas[[#This Row],[Unidades]]*TablaVentas[[#This Row],[Precio_unitario]]*(1-TablaVentas[[#This Row],[Descuento_pct]]))</f>
        <v>10243.51</v>
      </c>
      <c r="P186" s="6" t="n">
        <f aca="false">IF(TablaVentas[[#This Row],[Costo_unitario]]="","PENDIENTE",TablaVentas[[#This Row],[Unidades]]*TablaVentas[[#This Row],[Costo_unitario]])</f>
        <v>8174.87</v>
      </c>
      <c r="Q186" s="6" t="n">
        <f aca="false">IF(OR(TablaVentas[[#This Row],[Ingreso_neto]]="PENDIENTE",TablaVentas[[#This Row],[Costo_total]]="PENDIENTE"),"PENDIENTE",TablaVentas[[#This Row],[Ingreso_neto]]-TablaVentas[[#This Row],[Costo_total]])</f>
        <v>2068.64</v>
      </c>
    </row>
    <row r="187" customFormat="false" ht="13.5" hidden="false" customHeight="false" outlineLevel="0" collapsed="false">
      <c r="A187" s="1" t="s">
        <v>303</v>
      </c>
      <c r="B187" s="1" t="n">
        <v>2</v>
      </c>
      <c r="C187" s="5" t="n">
        <v>46034</v>
      </c>
      <c r="D187" s="6" t="s">
        <v>115</v>
      </c>
      <c r="E187" s="6" t="s">
        <v>213</v>
      </c>
      <c r="F187" s="6" t="s">
        <v>73</v>
      </c>
      <c r="G187" s="6" t="s">
        <v>57</v>
      </c>
      <c r="H187" s="6" t="s">
        <v>109</v>
      </c>
      <c r="I187" s="1" t="n">
        <v>3</v>
      </c>
      <c r="J187" s="7" t="n">
        <v>5862.9</v>
      </c>
      <c r="K187" s="8" t="n">
        <v>0</v>
      </c>
      <c r="L187" s="7" t="n">
        <v>4008.77</v>
      </c>
      <c r="M187" s="6" t="s">
        <v>49</v>
      </c>
      <c r="N187" s="6" t="s">
        <v>52</v>
      </c>
      <c r="O187" s="6" t="n">
        <f aca="false">IF(TablaVentas[[#This Row],[Precio_unitario]]="","PENDIENTE",TablaVentas[[#This Row],[Unidades]]*TablaVentas[[#This Row],[Precio_unitario]]*(1-TablaVentas[[#This Row],[Descuento_pct]]))</f>
        <v>17588.7</v>
      </c>
      <c r="P187" s="6" t="n">
        <f aca="false">IF(TablaVentas[[#This Row],[Costo_unitario]]="","PENDIENTE",TablaVentas[[#This Row],[Unidades]]*TablaVentas[[#This Row],[Costo_unitario]])</f>
        <v>12026.31</v>
      </c>
      <c r="Q187" s="6" t="n">
        <f aca="false">IF(OR(TablaVentas[[#This Row],[Ingreso_neto]]="PENDIENTE",TablaVentas[[#This Row],[Costo_total]]="PENDIENTE"),"PENDIENTE",TablaVentas[[#This Row],[Ingreso_neto]]-TablaVentas[[#This Row],[Costo_total]])</f>
        <v>5562.39</v>
      </c>
    </row>
    <row r="188" customFormat="false" ht="13.5" hidden="false" customHeight="false" outlineLevel="0" collapsed="false">
      <c r="A188" s="1" t="s">
        <v>304</v>
      </c>
      <c r="B188" s="1" t="n">
        <v>1</v>
      </c>
      <c r="C188" s="5" t="n">
        <v>46292</v>
      </c>
      <c r="D188" s="6" t="s">
        <v>305</v>
      </c>
      <c r="E188" s="6" t="s">
        <v>151</v>
      </c>
      <c r="F188" s="6" t="s">
        <v>84</v>
      </c>
      <c r="G188" s="6" t="s">
        <v>64</v>
      </c>
      <c r="H188" s="6" t="s">
        <v>191</v>
      </c>
      <c r="I188" s="1" t="n">
        <v>1</v>
      </c>
      <c r="J188" s="7" t="n">
        <v>9544.46</v>
      </c>
      <c r="K188" s="8" t="n">
        <v>0.05</v>
      </c>
      <c r="L188" s="7" t="n">
        <v>5125.36</v>
      </c>
      <c r="M188" s="6" t="s">
        <v>49</v>
      </c>
      <c r="N188" s="6" t="s">
        <v>67</v>
      </c>
      <c r="O188" s="6" t="n">
        <f aca="false">IF(TablaVentas[[#This Row],[Precio_unitario]]="","PENDIENTE",TablaVentas[[#This Row],[Unidades]]*TablaVentas[[#This Row],[Precio_unitario]]*(1-TablaVentas[[#This Row],[Descuento_pct]]))</f>
        <v>9067.237</v>
      </c>
      <c r="P188" s="6" t="n">
        <f aca="false">IF(TablaVentas[[#This Row],[Costo_unitario]]="","PENDIENTE",TablaVentas[[#This Row],[Unidades]]*TablaVentas[[#This Row],[Costo_unitario]])</f>
        <v>5125.36</v>
      </c>
      <c r="Q188" s="6" t="n">
        <f aca="false">IF(OR(TablaVentas[[#This Row],[Ingreso_neto]]="PENDIENTE",TablaVentas[[#This Row],[Costo_total]]="PENDIENTE"),"PENDIENTE",TablaVentas[[#This Row],[Ingreso_neto]]-TablaVentas[[#This Row],[Costo_total]])</f>
        <v>3941.877</v>
      </c>
    </row>
    <row r="189" customFormat="false" ht="13.5" hidden="false" customHeight="false" outlineLevel="0" collapsed="false">
      <c r="A189" s="1" t="s">
        <v>304</v>
      </c>
      <c r="B189" s="1" t="n">
        <v>2</v>
      </c>
      <c r="C189" s="5" t="n">
        <v>46292</v>
      </c>
      <c r="D189" s="6" t="s">
        <v>305</v>
      </c>
      <c r="E189" s="6" t="s">
        <v>145</v>
      </c>
      <c r="F189" s="6" t="s">
        <v>84</v>
      </c>
      <c r="G189" s="6" t="s">
        <v>64</v>
      </c>
      <c r="H189" s="6" t="s">
        <v>191</v>
      </c>
      <c r="I189" s="1" t="n">
        <v>1</v>
      </c>
      <c r="J189" s="7" t="n">
        <v>6599.74</v>
      </c>
      <c r="K189" s="8" t="n">
        <v>0</v>
      </c>
      <c r="L189" s="7" t="n">
        <v>4665.62</v>
      </c>
      <c r="M189" s="6" t="s">
        <v>49</v>
      </c>
      <c r="N189" s="6" t="s">
        <v>67</v>
      </c>
      <c r="O189" s="6" t="n">
        <f aca="false">IF(TablaVentas[[#This Row],[Precio_unitario]]="","PENDIENTE",TablaVentas[[#This Row],[Unidades]]*TablaVentas[[#This Row],[Precio_unitario]]*(1-TablaVentas[[#This Row],[Descuento_pct]]))</f>
        <v>6599.74</v>
      </c>
      <c r="P189" s="6" t="n">
        <f aca="false">IF(TablaVentas[[#This Row],[Costo_unitario]]="","PENDIENTE",TablaVentas[[#This Row],[Unidades]]*TablaVentas[[#This Row],[Costo_unitario]])</f>
        <v>4665.62</v>
      </c>
      <c r="Q189" s="6" t="n">
        <f aca="false">IF(OR(TablaVentas[[#This Row],[Ingreso_neto]]="PENDIENTE",TablaVentas[[#This Row],[Costo_total]]="PENDIENTE"),"PENDIENTE",TablaVentas[[#This Row],[Ingreso_neto]]-TablaVentas[[#This Row],[Costo_total]])</f>
        <v>1934.12</v>
      </c>
    </row>
    <row r="190" customFormat="false" ht="13.5" hidden="false" customHeight="false" outlineLevel="0" collapsed="false">
      <c r="A190" s="1" t="s">
        <v>304</v>
      </c>
      <c r="B190" s="1" t="n">
        <v>3</v>
      </c>
      <c r="C190" s="5" t="n">
        <v>46292</v>
      </c>
      <c r="D190" s="6" t="s">
        <v>305</v>
      </c>
      <c r="E190" s="6" t="s">
        <v>243</v>
      </c>
      <c r="F190" s="6" t="s">
        <v>84</v>
      </c>
      <c r="G190" s="6" t="s">
        <v>64</v>
      </c>
      <c r="H190" s="6" t="s">
        <v>191</v>
      </c>
      <c r="I190" s="1" t="n">
        <v>4</v>
      </c>
      <c r="J190" s="7" t="n">
        <v>9896.22</v>
      </c>
      <c r="K190" s="8" t="n">
        <v>0.2</v>
      </c>
      <c r="L190" s="7" t="n">
        <v>8061.7</v>
      </c>
      <c r="M190" s="6" t="s">
        <v>49</v>
      </c>
      <c r="N190" s="6" t="s">
        <v>50</v>
      </c>
      <c r="O190" s="6" t="n">
        <f aca="false">IF(TablaVentas[[#This Row],[Precio_unitario]]="","PENDIENTE",TablaVentas[[#This Row],[Unidades]]*TablaVentas[[#This Row],[Precio_unitario]]*(1-TablaVentas[[#This Row],[Descuento_pct]]))</f>
        <v>31667.904</v>
      </c>
      <c r="P190" s="6" t="n">
        <f aca="false">IF(TablaVentas[[#This Row],[Costo_unitario]]="","PENDIENTE",TablaVentas[[#This Row],[Unidades]]*TablaVentas[[#This Row],[Costo_unitario]])</f>
        <v>32246.8</v>
      </c>
      <c r="Q190" s="6" t="n">
        <f aca="false">IF(OR(TablaVentas[[#This Row],[Ingreso_neto]]="PENDIENTE",TablaVentas[[#This Row],[Costo_total]]="PENDIENTE"),"PENDIENTE",TablaVentas[[#This Row],[Ingreso_neto]]-TablaVentas[[#This Row],[Costo_total]])</f>
        <v>-578.896000000001</v>
      </c>
    </row>
    <row r="191" customFormat="false" ht="13.5" hidden="false" customHeight="false" outlineLevel="0" collapsed="false">
      <c r="A191" s="1" t="s">
        <v>306</v>
      </c>
      <c r="B191" s="1" t="n">
        <v>1</v>
      </c>
      <c r="C191" s="5" t="n">
        <v>46240</v>
      </c>
      <c r="D191" s="6" t="s">
        <v>307</v>
      </c>
      <c r="E191" s="6" t="s">
        <v>139</v>
      </c>
      <c r="F191" s="6" t="s">
        <v>84</v>
      </c>
      <c r="G191" s="6" t="s">
        <v>64</v>
      </c>
      <c r="H191" s="6" t="s">
        <v>109</v>
      </c>
      <c r="I191" s="1" t="n">
        <v>3</v>
      </c>
      <c r="J191" s="7" t="n">
        <v>18973.68</v>
      </c>
      <c r="K191" s="8" t="n">
        <v>0</v>
      </c>
      <c r="L191" s="7" t="n">
        <v>11036.95</v>
      </c>
      <c r="M191" s="6" t="s">
        <v>49</v>
      </c>
      <c r="N191" s="6" t="s">
        <v>59</v>
      </c>
      <c r="O191" s="6" t="n">
        <f aca="false">IF(TablaVentas[[#This Row],[Precio_unitario]]="","PENDIENTE",TablaVentas[[#This Row],[Unidades]]*TablaVentas[[#This Row],[Precio_unitario]]*(1-TablaVentas[[#This Row],[Descuento_pct]]))</f>
        <v>56921.04</v>
      </c>
      <c r="P191" s="6" t="n">
        <f aca="false">IF(TablaVentas[[#This Row],[Costo_unitario]]="","PENDIENTE",TablaVentas[[#This Row],[Unidades]]*TablaVentas[[#This Row],[Costo_unitario]])</f>
        <v>33110.85</v>
      </c>
      <c r="Q191" s="6" t="n">
        <f aca="false">IF(OR(TablaVentas[[#This Row],[Ingreso_neto]]="PENDIENTE",TablaVentas[[#This Row],[Costo_total]]="PENDIENTE"),"PENDIENTE",TablaVentas[[#This Row],[Ingreso_neto]]-TablaVentas[[#This Row],[Costo_total]])</f>
        <v>23810.19</v>
      </c>
    </row>
    <row r="192" customFormat="false" ht="13.5" hidden="false" customHeight="false" outlineLevel="0" collapsed="false">
      <c r="A192" s="1" t="s">
        <v>306</v>
      </c>
      <c r="B192" s="1" t="n">
        <v>2</v>
      </c>
      <c r="C192" s="5" t="n">
        <v>46240</v>
      </c>
      <c r="D192" s="6" t="s">
        <v>307</v>
      </c>
      <c r="E192" s="6" t="s">
        <v>96</v>
      </c>
      <c r="F192" s="6" t="s">
        <v>84</v>
      </c>
      <c r="G192" s="6" t="s">
        <v>64</v>
      </c>
      <c r="H192" s="6" t="s">
        <v>109</v>
      </c>
      <c r="I192" s="1" t="n">
        <v>1</v>
      </c>
      <c r="J192" s="7" t="n">
        <v>11239.67</v>
      </c>
      <c r="K192" s="8" t="n">
        <v>0</v>
      </c>
      <c r="L192" s="7" t="n">
        <v>9118.07</v>
      </c>
      <c r="M192" s="6" t="s">
        <v>123</v>
      </c>
      <c r="N192" s="6" t="s">
        <v>67</v>
      </c>
      <c r="O192" s="6" t="n">
        <f aca="false">IF(TablaVentas[[#This Row],[Precio_unitario]]="","PENDIENTE",TablaVentas[[#This Row],[Unidades]]*TablaVentas[[#This Row],[Precio_unitario]]*(1-TablaVentas[[#This Row],[Descuento_pct]]))</f>
        <v>11239.67</v>
      </c>
      <c r="P192" s="6" t="n">
        <f aca="false">IF(TablaVentas[[#This Row],[Costo_unitario]]="","PENDIENTE",TablaVentas[[#This Row],[Unidades]]*TablaVentas[[#This Row],[Costo_unitario]])</f>
        <v>9118.07</v>
      </c>
      <c r="Q192" s="6" t="n">
        <f aca="false">IF(OR(TablaVentas[[#This Row],[Ingreso_neto]]="PENDIENTE",TablaVentas[[#This Row],[Costo_total]]="PENDIENTE"),"PENDIENTE",TablaVentas[[#This Row],[Ingreso_neto]]-TablaVentas[[#This Row],[Costo_total]])</f>
        <v>2121.6</v>
      </c>
    </row>
    <row r="193" customFormat="false" ht="13.5" hidden="false" customHeight="false" outlineLevel="0" collapsed="false">
      <c r="A193" s="1" t="s">
        <v>308</v>
      </c>
      <c r="B193" s="1" t="n">
        <v>1</v>
      </c>
      <c r="C193" s="5" t="n">
        <v>46098</v>
      </c>
      <c r="D193" s="6" t="s">
        <v>309</v>
      </c>
      <c r="E193" s="6" t="s">
        <v>100</v>
      </c>
      <c r="F193" s="6" t="s">
        <v>84</v>
      </c>
      <c r="G193" s="6" t="s">
        <v>64</v>
      </c>
      <c r="H193" s="6" t="s">
        <v>65</v>
      </c>
      <c r="I193" s="1" t="n">
        <v>4</v>
      </c>
      <c r="J193" s="7" t="n">
        <v>14883.61</v>
      </c>
      <c r="K193" s="8" t="n">
        <v>0</v>
      </c>
      <c r="L193" s="7" t="n">
        <v>8788.79</v>
      </c>
      <c r="M193" s="6" t="s">
        <v>49</v>
      </c>
      <c r="N193" s="6" t="s">
        <v>52</v>
      </c>
      <c r="O193" s="6" t="n">
        <f aca="false">IF(TablaVentas[[#This Row],[Precio_unitario]]="","PENDIENTE",TablaVentas[[#This Row],[Unidades]]*TablaVentas[[#This Row],[Precio_unitario]]*(1-TablaVentas[[#This Row],[Descuento_pct]]))</f>
        <v>59534.44</v>
      </c>
      <c r="P193" s="6" t="n">
        <f aca="false">IF(TablaVentas[[#This Row],[Costo_unitario]]="","PENDIENTE",TablaVentas[[#This Row],[Unidades]]*TablaVentas[[#This Row],[Costo_unitario]])</f>
        <v>35155.16</v>
      </c>
      <c r="Q193" s="6" t="n">
        <f aca="false">IF(OR(TablaVentas[[#This Row],[Ingreso_neto]]="PENDIENTE",TablaVentas[[#This Row],[Costo_total]]="PENDIENTE"),"PENDIENTE",TablaVentas[[#This Row],[Ingreso_neto]]-TablaVentas[[#This Row],[Costo_total]])</f>
        <v>24379.28</v>
      </c>
    </row>
    <row r="194" customFormat="false" ht="13.5" hidden="false" customHeight="false" outlineLevel="0" collapsed="false">
      <c r="A194" s="1" t="s">
        <v>308</v>
      </c>
      <c r="B194" s="1" t="n">
        <v>2</v>
      </c>
      <c r="C194" s="5" t="n">
        <v>46098</v>
      </c>
      <c r="D194" s="6" t="s">
        <v>309</v>
      </c>
      <c r="E194" s="6" t="s">
        <v>174</v>
      </c>
      <c r="F194" s="6" t="s">
        <v>84</v>
      </c>
      <c r="G194" s="6" t="s">
        <v>64</v>
      </c>
      <c r="H194" s="6" t="s">
        <v>65</v>
      </c>
      <c r="I194" s="1" t="n">
        <v>1</v>
      </c>
      <c r="J194" s="7" t="n">
        <v>18547.09</v>
      </c>
      <c r="K194" s="8" t="n">
        <v>0</v>
      </c>
      <c r="L194" s="7" t="n">
        <v>8704.4</v>
      </c>
      <c r="M194" s="6" t="s">
        <v>49</v>
      </c>
      <c r="N194" s="6" t="s">
        <v>67</v>
      </c>
      <c r="O194" s="6" t="n">
        <f aca="false">IF(TablaVentas[[#This Row],[Precio_unitario]]="","PENDIENTE",TablaVentas[[#This Row],[Unidades]]*TablaVentas[[#This Row],[Precio_unitario]]*(1-TablaVentas[[#This Row],[Descuento_pct]]))</f>
        <v>18547.09</v>
      </c>
      <c r="P194" s="6" t="n">
        <f aca="false">IF(TablaVentas[[#This Row],[Costo_unitario]]="","PENDIENTE",TablaVentas[[#This Row],[Unidades]]*TablaVentas[[#This Row],[Costo_unitario]])</f>
        <v>8704.4</v>
      </c>
      <c r="Q194" s="6" t="n">
        <f aca="false">IF(OR(TablaVentas[[#This Row],[Ingreso_neto]]="PENDIENTE",TablaVentas[[#This Row],[Costo_total]]="PENDIENTE"),"PENDIENTE",TablaVentas[[#This Row],[Ingreso_neto]]-TablaVentas[[#This Row],[Costo_total]])</f>
        <v>9842.69</v>
      </c>
    </row>
    <row r="195" customFormat="false" ht="13.5" hidden="false" customHeight="false" outlineLevel="0" collapsed="false">
      <c r="A195" s="1" t="s">
        <v>310</v>
      </c>
      <c r="B195" s="1" t="n">
        <v>1</v>
      </c>
      <c r="C195" s="5" t="n">
        <v>46058</v>
      </c>
      <c r="D195" s="6" t="s">
        <v>311</v>
      </c>
      <c r="E195" s="6" t="s">
        <v>218</v>
      </c>
      <c r="F195" s="6" t="s">
        <v>84</v>
      </c>
      <c r="G195" s="6" t="s">
        <v>57</v>
      </c>
      <c r="H195" s="6" t="s">
        <v>74</v>
      </c>
      <c r="I195" s="1" t="n">
        <v>4</v>
      </c>
      <c r="J195" s="7" t="n">
        <v>18908.62</v>
      </c>
      <c r="K195" s="8" t="n">
        <v>0</v>
      </c>
      <c r="L195" s="7" t="n">
        <v>13760.53</v>
      </c>
      <c r="M195" s="6" t="s">
        <v>49</v>
      </c>
      <c r="N195" s="6" t="s">
        <v>52</v>
      </c>
      <c r="O195" s="6" t="n">
        <f aca="false">IF(TablaVentas[[#This Row],[Precio_unitario]]="","PENDIENTE",TablaVentas[[#This Row],[Unidades]]*TablaVentas[[#This Row],[Precio_unitario]]*(1-TablaVentas[[#This Row],[Descuento_pct]]))</f>
        <v>75634.48</v>
      </c>
      <c r="P195" s="6" t="n">
        <f aca="false">IF(TablaVentas[[#This Row],[Costo_unitario]]="","PENDIENTE",TablaVentas[[#This Row],[Unidades]]*TablaVentas[[#This Row],[Costo_unitario]])</f>
        <v>55042.12</v>
      </c>
      <c r="Q195" s="6" t="n">
        <f aca="false">IF(OR(TablaVentas[[#This Row],[Ingreso_neto]]="PENDIENTE",TablaVentas[[#This Row],[Costo_total]]="PENDIENTE"),"PENDIENTE",TablaVentas[[#This Row],[Ingreso_neto]]-TablaVentas[[#This Row],[Costo_total]])</f>
        <v>20592.36</v>
      </c>
    </row>
    <row r="196" customFormat="false" ht="13.5" hidden="false" customHeight="false" outlineLevel="0" collapsed="false">
      <c r="A196" s="1" t="s">
        <v>310</v>
      </c>
      <c r="B196" s="1" t="n">
        <v>2</v>
      </c>
      <c r="C196" s="5" t="n">
        <v>46058</v>
      </c>
      <c r="D196" s="6" t="s">
        <v>311</v>
      </c>
      <c r="E196" s="6" t="s">
        <v>45</v>
      </c>
      <c r="F196" s="6" t="s">
        <v>84</v>
      </c>
      <c r="G196" s="6" t="s">
        <v>57</v>
      </c>
      <c r="H196" s="6" t="s">
        <v>74</v>
      </c>
      <c r="I196" s="1" t="n">
        <v>1</v>
      </c>
      <c r="J196" s="7" t="n">
        <v>5349.94</v>
      </c>
      <c r="K196" s="8" t="n">
        <v>0.2</v>
      </c>
      <c r="L196" s="7" t="n">
        <v>3832.69</v>
      </c>
      <c r="M196" s="6" t="s">
        <v>49</v>
      </c>
      <c r="N196" s="6" t="s">
        <v>50</v>
      </c>
      <c r="O196" s="6" t="n">
        <f aca="false">IF(TablaVentas[[#This Row],[Precio_unitario]]="","PENDIENTE",TablaVentas[[#This Row],[Unidades]]*TablaVentas[[#This Row],[Precio_unitario]]*(1-TablaVentas[[#This Row],[Descuento_pct]]))</f>
        <v>4279.952</v>
      </c>
      <c r="P196" s="6" t="n">
        <f aca="false">IF(TablaVentas[[#This Row],[Costo_unitario]]="","PENDIENTE",TablaVentas[[#This Row],[Unidades]]*TablaVentas[[#This Row],[Costo_unitario]])</f>
        <v>3832.69</v>
      </c>
      <c r="Q196" s="6" t="n">
        <f aca="false">IF(OR(TablaVentas[[#This Row],[Ingreso_neto]]="PENDIENTE",TablaVentas[[#This Row],[Costo_total]]="PENDIENTE"),"PENDIENTE",TablaVentas[[#This Row],[Ingreso_neto]]-TablaVentas[[#This Row],[Costo_total]])</f>
        <v>447.262</v>
      </c>
    </row>
    <row r="197" customFormat="false" ht="13.5" hidden="false" customHeight="false" outlineLevel="0" collapsed="false">
      <c r="A197" s="1" t="s">
        <v>310</v>
      </c>
      <c r="B197" s="1" t="n">
        <v>3</v>
      </c>
      <c r="C197" s="5" t="n">
        <v>46058</v>
      </c>
      <c r="D197" s="6" t="s">
        <v>311</v>
      </c>
      <c r="E197" s="6" t="s">
        <v>224</v>
      </c>
      <c r="F197" s="6" t="s">
        <v>84</v>
      </c>
      <c r="G197" s="6" t="s">
        <v>57</v>
      </c>
      <c r="H197" s="6" t="s">
        <v>74</v>
      </c>
      <c r="I197" s="1" t="n">
        <v>1</v>
      </c>
      <c r="J197" s="7" t="n">
        <v>15459.53</v>
      </c>
      <c r="K197" s="8" t="n">
        <v>0</v>
      </c>
      <c r="L197" s="7" t="n">
        <v>14161.63</v>
      </c>
      <c r="M197" s="6" t="s">
        <v>49</v>
      </c>
      <c r="N197" s="6" t="s">
        <v>50</v>
      </c>
      <c r="O197" s="6" t="n">
        <f aca="false">IF(TablaVentas[[#This Row],[Precio_unitario]]="","PENDIENTE",TablaVentas[[#This Row],[Unidades]]*TablaVentas[[#This Row],[Precio_unitario]]*(1-TablaVentas[[#This Row],[Descuento_pct]]))</f>
        <v>15459.53</v>
      </c>
      <c r="P197" s="6" t="n">
        <f aca="false">IF(TablaVentas[[#This Row],[Costo_unitario]]="","PENDIENTE",TablaVentas[[#This Row],[Unidades]]*TablaVentas[[#This Row],[Costo_unitario]])</f>
        <v>14161.63</v>
      </c>
      <c r="Q197" s="6" t="n">
        <f aca="false">IF(OR(TablaVentas[[#This Row],[Ingreso_neto]]="PENDIENTE",TablaVentas[[#This Row],[Costo_total]]="PENDIENTE"),"PENDIENTE",TablaVentas[[#This Row],[Ingreso_neto]]-TablaVentas[[#This Row],[Costo_total]])</f>
        <v>1297.9</v>
      </c>
    </row>
    <row r="198" customFormat="false" ht="13.5" hidden="false" customHeight="false" outlineLevel="0" collapsed="false">
      <c r="A198" s="1" t="s">
        <v>312</v>
      </c>
      <c r="B198" s="1" t="n">
        <v>1</v>
      </c>
      <c r="C198" s="5" t="n">
        <v>46132</v>
      </c>
      <c r="D198" s="6" t="s">
        <v>138</v>
      </c>
      <c r="E198" s="6" t="s">
        <v>92</v>
      </c>
      <c r="F198" s="6" t="s">
        <v>46</v>
      </c>
      <c r="G198" s="6" t="s">
        <v>64</v>
      </c>
      <c r="H198" s="6" t="s">
        <v>109</v>
      </c>
      <c r="I198" s="1" t="n">
        <v>3</v>
      </c>
      <c r="J198" s="7" t="n">
        <v>501.64</v>
      </c>
      <c r="K198" s="8" t="n">
        <v>0.05</v>
      </c>
      <c r="L198" s="7" t="n">
        <v>307.75</v>
      </c>
      <c r="M198" s="6" t="s">
        <v>123</v>
      </c>
      <c r="N198" s="6" t="s">
        <v>59</v>
      </c>
      <c r="O198" s="6" t="n">
        <f aca="false">IF(TablaVentas[[#This Row],[Precio_unitario]]="","PENDIENTE",TablaVentas[[#This Row],[Unidades]]*TablaVentas[[#This Row],[Precio_unitario]]*(1-TablaVentas[[#This Row],[Descuento_pct]]))</f>
        <v>1429.674</v>
      </c>
      <c r="P198" s="6" t="n">
        <f aca="false">IF(TablaVentas[[#This Row],[Costo_unitario]]="","PENDIENTE",TablaVentas[[#This Row],[Unidades]]*TablaVentas[[#This Row],[Costo_unitario]])</f>
        <v>923.25</v>
      </c>
      <c r="Q198" s="6" t="n">
        <f aca="false">IF(OR(TablaVentas[[#This Row],[Ingreso_neto]]="PENDIENTE",TablaVentas[[#This Row],[Costo_total]]="PENDIENTE"),"PENDIENTE",TablaVentas[[#This Row],[Ingreso_neto]]-TablaVentas[[#This Row],[Costo_total]])</f>
        <v>506.424</v>
      </c>
    </row>
    <row r="199" customFormat="false" ht="13.5" hidden="false" customHeight="false" outlineLevel="0" collapsed="false">
      <c r="A199" s="1" t="s">
        <v>312</v>
      </c>
      <c r="B199" s="1" t="n">
        <v>2</v>
      </c>
      <c r="C199" s="5" t="n">
        <v>46132</v>
      </c>
      <c r="D199" s="6" t="s">
        <v>138</v>
      </c>
      <c r="E199" s="6" t="s">
        <v>108</v>
      </c>
      <c r="F199" s="6" t="s">
        <v>46</v>
      </c>
      <c r="G199" s="6" t="s">
        <v>64</v>
      </c>
      <c r="H199" s="6" t="s">
        <v>109</v>
      </c>
      <c r="I199" s="1" t="n">
        <v>1</v>
      </c>
      <c r="J199" s="7" t="n">
        <v>5138.4</v>
      </c>
      <c r="K199" s="8" t="n">
        <v>0</v>
      </c>
      <c r="L199" s="7" t="n">
        <v>2865.24</v>
      </c>
      <c r="M199" s="6" t="s">
        <v>49</v>
      </c>
      <c r="N199" s="6" t="s">
        <v>52</v>
      </c>
      <c r="O199" s="6" t="n">
        <f aca="false">IF(TablaVentas[[#This Row],[Precio_unitario]]="","PENDIENTE",TablaVentas[[#This Row],[Unidades]]*TablaVentas[[#This Row],[Precio_unitario]]*(1-TablaVentas[[#This Row],[Descuento_pct]]))</f>
        <v>5138.4</v>
      </c>
      <c r="P199" s="6" t="n">
        <f aca="false">IF(TablaVentas[[#This Row],[Costo_unitario]]="","PENDIENTE",TablaVentas[[#This Row],[Unidades]]*TablaVentas[[#This Row],[Costo_unitario]])</f>
        <v>2865.24</v>
      </c>
      <c r="Q199" s="6" t="n">
        <f aca="false">IF(OR(TablaVentas[[#This Row],[Ingreso_neto]]="PENDIENTE",TablaVentas[[#This Row],[Costo_total]]="PENDIENTE"),"PENDIENTE",TablaVentas[[#This Row],[Ingreso_neto]]-TablaVentas[[#This Row],[Costo_total]])</f>
        <v>2273.16</v>
      </c>
    </row>
    <row r="200" customFormat="false" ht="13.5" hidden="false" customHeight="false" outlineLevel="0" collapsed="false">
      <c r="A200" s="1" t="s">
        <v>312</v>
      </c>
      <c r="B200" s="1" t="n">
        <v>3</v>
      </c>
      <c r="C200" s="5" t="n">
        <v>46132</v>
      </c>
      <c r="D200" s="6" t="s">
        <v>138</v>
      </c>
      <c r="E200" s="6" t="s">
        <v>51</v>
      </c>
      <c r="F200" s="6" t="s">
        <v>46</v>
      </c>
      <c r="G200" s="6" t="s">
        <v>64</v>
      </c>
      <c r="H200" s="6" t="s">
        <v>109</v>
      </c>
      <c r="I200" s="1" t="n">
        <v>4</v>
      </c>
      <c r="J200" s="7" t="n">
        <v>14108.13</v>
      </c>
      <c r="K200" s="8" t="n">
        <v>0</v>
      </c>
      <c r="L200" s="7" t="n">
        <v>8980.68</v>
      </c>
      <c r="M200" s="6" t="s">
        <v>49</v>
      </c>
      <c r="N200" s="6" t="s">
        <v>52</v>
      </c>
      <c r="O200" s="6" t="n">
        <f aca="false">IF(TablaVentas[[#This Row],[Precio_unitario]]="","PENDIENTE",TablaVentas[[#This Row],[Unidades]]*TablaVentas[[#This Row],[Precio_unitario]]*(1-TablaVentas[[#This Row],[Descuento_pct]]))</f>
        <v>56432.52</v>
      </c>
      <c r="P200" s="6" t="n">
        <f aca="false">IF(TablaVentas[[#This Row],[Costo_unitario]]="","PENDIENTE",TablaVentas[[#This Row],[Unidades]]*TablaVentas[[#This Row],[Costo_unitario]])</f>
        <v>35922.72</v>
      </c>
      <c r="Q200" s="6" t="n">
        <f aca="false">IF(OR(TablaVentas[[#This Row],[Ingreso_neto]]="PENDIENTE",TablaVentas[[#This Row],[Costo_total]]="PENDIENTE"),"PENDIENTE",TablaVentas[[#This Row],[Ingreso_neto]]-TablaVentas[[#This Row],[Costo_total]])</f>
        <v>20509.8</v>
      </c>
    </row>
    <row r="201" customFormat="false" ht="13.5" hidden="false" customHeight="false" outlineLevel="0" collapsed="false">
      <c r="A201" s="1" t="s">
        <v>313</v>
      </c>
      <c r="B201" s="1" t="n">
        <v>1</v>
      </c>
      <c r="C201" s="5" t="n">
        <v>46036</v>
      </c>
      <c r="D201" s="6" t="s">
        <v>314</v>
      </c>
      <c r="E201" s="6" t="s">
        <v>130</v>
      </c>
      <c r="F201" s="6" t="s">
        <v>84</v>
      </c>
      <c r="G201" s="6" t="s">
        <v>47</v>
      </c>
      <c r="H201" s="6" t="s">
        <v>74</v>
      </c>
      <c r="I201" s="1" t="n">
        <v>2</v>
      </c>
      <c r="J201" s="7" t="n">
        <v>16135.42</v>
      </c>
      <c r="K201" s="8" t="n">
        <v>0</v>
      </c>
      <c r="L201" s="7" t="n">
        <v>12679.41</v>
      </c>
      <c r="M201" s="6" t="s">
        <v>49</v>
      </c>
      <c r="N201" s="6" t="s">
        <v>52</v>
      </c>
      <c r="O201" s="6" t="n">
        <f aca="false">IF(TablaVentas[[#This Row],[Precio_unitario]]="","PENDIENTE",TablaVentas[[#This Row],[Unidades]]*TablaVentas[[#This Row],[Precio_unitario]]*(1-TablaVentas[[#This Row],[Descuento_pct]]))</f>
        <v>32270.84</v>
      </c>
      <c r="P201" s="6" t="n">
        <f aca="false">IF(TablaVentas[[#This Row],[Costo_unitario]]="","PENDIENTE",TablaVentas[[#This Row],[Unidades]]*TablaVentas[[#This Row],[Costo_unitario]])</f>
        <v>25358.82</v>
      </c>
      <c r="Q201" s="6" t="n">
        <f aca="false">IF(OR(TablaVentas[[#This Row],[Ingreso_neto]]="PENDIENTE",TablaVentas[[#This Row],[Costo_total]]="PENDIENTE"),"PENDIENTE",TablaVentas[[#This Row],[Ingreso_neto]]-TablaVentas[[#This Row],[Costo_total]])</f>
        <v>6912.02</v>
      </c>
    </row>
    <row r="202" customFormat="false" ht="13.5" hidden="false" customHeight="false" outlineLevel="0" collapsed="false">
      <c r="A202" s="1" t="s">
        <v>313</v>
      </c>
      <c r="B202" s="1" t="n">
        <v>2</v>
      </c>
      <c r="C202" s="5" t="n">
        <v>46036</v>
      </c>
      <c r="D202" s="6" t="s">
        <v>314</v>
      </c>
      <c r="E202" s="6" t="s">
        <v>252</v>
      </c>
      <c r="F202" s="6" t="s">
        <v>84</v>
      </c>
      <c r="G202" s="6" t="s">
        <v>47</v>
      </c>
      <c r="H202" s="6" t="s">
        <v>74</v>
      </c>
      <c r="I202" s="1" t="n">
        <v>2</v>
      </c>
      <c r="J202" s="7" t="n">
        <v>18831.5</v>
      </c>
      <c r="K202" s="8" t="n">
        <v>0.2</v>
      </c>
      <c r="L202" s="7" t="n">
        <v>10507.24</v>
      </c>
      <c r="M202" s="6" t="s">
        <v>69</v>
      </c>
      <c r="N202" s="6" t="s">
        <v>50</v>
      </c>
      <c r="O202" s="6" t="n">
        <f aca="false">IF(TablaVentas[[#This Row],[Precio_unitario]]="","PENDIENTE",TablaVentas[[#This Row],[Unidades]]*TablaVentas[[#This Row],[Precio_unitario]]*(1-TablaVentas[[#This Row],[Descuento_pct]]))</f>
        <v>30130.4</v>
      </c>
      <c r="P202" s="6" t="n">
        <f aca="false">IF(TablaVentas[[#This Row],[Costo_unitario]]="","PENDIENTE",TablaVentas[[#This Row],[Unidades]]*TablaVentas[[#This Row],[Costo_unitario]])</f>
        <v>21014.48</v>
      </c>
      <c r="Q202" s="6" t="n">
        <f aca="false">IF(OR(TablaVentas[[#This Row],[Ingreso_neto]]="PENDIENTE",TablaVentas[[#This Row],[Costo_total]]="PENDIENTE"),"PENDIENTE",TablaVentas[[#This Row],[Ingreso_neto]]-TablaVentas[[#This Row],[Costo_total]])</f>
        <v>9115.92</v>
      </c>
    </row>
    <row r="203" customFormat="false" ht="13.5" hidden="false" customHeight="false" outlineLevel="0" collapsed="false">
      <c r="A203" s="1" t="s">
        <v>313</v>
      </c>
      <c r="B203" s="1" t="n">
        <v>3</v>
      </c>
      <c r="C203" s="5" t="n">
        <v>46036</v>
      </c>
      <c r="D203" s="6" t="s">
        <v>314</v>
      </c>
      <c r="E203" s="6" t="s">
        <v>218</v>
      </c>
      <c r="F203" s="6" t="s">
        <v>84</v>
      </c>
      <c r="G203" s="6" t="s">
        <v>47</v>
      </c>
      <c r="H203" s="6" t="s">
        <v>74</v>
      </c>
      <c r="I203" s="1" t="n">
        <v>1</v>
      </c>
      <c r="J203" s="7" t="n">
        <v>18179.71</v>
      </c>
      <c r="K203" s="8" t="n">
        <v>0</v>
      </c>
      <c r="L203" s="7" t="n">
        <v>13760.53</v>
      </c>
      <c r="M203" s="6" t="s">
        <v>49</v>
      </c>
      <c r="N203" s="6" t="s">
        <v>59</v>
      </c>
      <c r="O203" s="6" t="n">
        <f aca="false">IF(TablaVentas[[#This Row],[Precio_unitario]]="","PENDIENTE",TablaVentas[[#This Row],[Unidades]]*TablaVentas[[#This Row],[Precio_unitario]]*(1-TablaVentas[[#This Row],[Descuento_pct]]))</f>
        <v>18179.71</v>
      </c>
      <c r="P203" s="6" t="n">
        <f aca="false">IF(TablaVentas[[#This Row],[Costo_unitario]]="","PENDIENTE",TablaVentas[[#This Row],[Unidades]]*TablaVentas[[#This Row],[Costo_unitario]])</f>
        <v>13760.53</v>
      </c>
      <c r="Q203" s="6" t="n">
        <f aca="false">IF(OR(TablaVentas[[#This Row],[Ingreso_neto]]="PENDIENTE",TablaVentas[[#This Row],[Costo_total]]="PENDIENTE"),"PENDIENTE",TablaVentas[[#This Row],[Ingreso_neto]]-TablaVentas[[#This Row],[Costo_total]])</f>
        <v>4419.18</v>
      </c>
    </row>
    <row r="204" customFormat="false" ht="13.5" hidden="false" customHeight="false" outlineLevel="0" collapsed="false">
      <c r="A204" s="1" t="s">
        <v>313</v>
      </c>
      <c r="B204" s="1" t="n">
        <v>4</v>
      </c>
      <c r="C204" s="5" t="n">
        <v>46036</v>
      </c>
      <c r="D204" s="6" t="s">
        <v>314</v>
      </c>
      <c r="E204" s="6" t="s">
        <v>97</v>
      </c>
      <c r="F204" s="6" t="s">
        <v>84</v>
      </c>
      <c r="G204" s="6" t="s">
        <v>47</v>
      </c>
      <c r="H204" s="6" t="s">
        <v>74</v>
      </c>
      <c r="I204" s="1" t="n">
        <v>4</v>
      </c>
      <c r="J204" s="7" t="n">
        <v>10065.72</v>
      </c>
      <c r="K204" s="8" t="n">
        <v>0.2</v>
      </c>
      <c r="L204" s="7" t="n">
        <v>8174.87</v>
      </c>
      <c r="M204" s="6" t="s">
        <v>49</v>
      </c>
      <c r="N204" s="6" t="s">
        <v>59</v>
      </c>
      <c r="O204" s="6" t="n">
        <f aca="false">IF(TablaVentas[[#This Row],[Precio_unitario]]="","PENDIENTE",TablaVentas[[#This Row],[Unidades]]*TablaVentas[[#This Row],[Precio_unitario]]*(1-TablaVentas[[#This Row],[Descuento_pct]]))</f>
        <v>32210.304</v>
      </c>
      <c r="P204" s="6" t="n">
        <f aca="false">IF(TablaVentas[[#This Row],[Costo_unitario]]="","PENDIENTE",TablaVentas[[#This Row],[Unidades]]*TablaVentas[[#This Row],[Costo_unitario]])</f>
        <v>32699.48</v>
      </c>
      <c r="Q204" s="6" t="n">
        <f aca="false">IF(OR(TablaVentas[[#This Row],[Ingreso_neto]]="PENDIENTE",TablaVentas[[#This Row],[Costo_total]]="PENDIENTE"),"PENDIENTE",TablaVentas[[#This Row],[Ingreso_neto]]-TablaVentas[[#This Row],[Costo_total]])</f>
        <v>-489.176</v>
      </c>
    </row>
    <row r="205" customFormat="false" ht="13.5" hidden="false" customHeight="false" outlineLevel="0" collapsed="false">
      <c r="A205" s="1" t="s">
        <v>313</v>
      </c>
      <c r="B205" s="1" t="n">
        <v>5</v>
      </c>
      <c r="C205" s="5" t="n">
        <v>46036</v>
      </c>
      <c r="D205" s="6" t="s">
        <v>314</v>
      </c>
      <c r="E205" s="6" t="s">
        <v>75</v>
      </c>
      <c r="F205" s="6" t="s">
        <v>84</v>
      </c>
      <c r="G205" s="6" t="s">
        <v>47</v>
      </c>
      <c r="H205" s="6" t="s">
        <v>74</v>
      </c>
      <c r="I205" s="1" t="n">
        <v>1</v>
      </c>
      <c r="J205" s="7" t="n">
        <v>15493.05</v>
      </c>
      <c r="K205" s="8" t="n">
        <v>0</v>
      </c>
      <c r="L205" s="7" t="n">
        <v>9243.35</v>
      </c>
      <c r="M205" s="6" t="s">
        <v>49</v>
      </c>
      <c r="N205" s="6" t="s">
        <v>50</v>
      </c>
      <c r="O205" s="6" t="n">
        <f aca="false">IF(TablaVentas[[#This Row],[Precio_unitario]]="","PENDIENTE",TablaVentas[[#This Row],[Unidades]]*TablaVentas[[#This Row],[Precio_unitario]]*(1-TablaVentas[[#This Row],[Descuento_pct]]))</f>
        <v>15493.05</v>
      </c>
      <c r="P205" s="6" t="n">
        <f aca="false">IF(TablaVentas[[#This Row],[Costo_unitario]]="","PENDIENTE",TablaVentas[[#This Row],[Unidades]]*TablaVentas[[#This Row],[Costo_unitario]])</f>
        <v>9243.35</v>
      </c>
      <c r="Q205" s="6" t="n">
        <f aca="false">IF(OR(TablaVentas[[#This Row],[Ingreso_neto]]="PENDIENTE",TablaVentas[[#This Row],[Costo_total]]="PENDIENTE"),"PENDIENTE",TablaVentas[[#This Row],[Ingreso_neto]]-TablaVentas[[#This Row],[Costo_total]])</f>
        <v>6249.7</v>
      </c>
    </row>
    <row r="206" customFormat="false" ht="13.5" hidden="false" customHeight="false" outlineLevel="0" collapsed="false">
      <c r="A206" s="1" t="s">
        <v>315</v>
      </c>
      <c r="B206" s="1" t="n">
        <v>1</v>
      </c>
      <c r="C206" s="5" t="n">
        <v>46060</v>
      </c>
      <c r="D206" s="6" t="s">
        <v>316</v>
      </c>
      <c r="E206" s="6" t="s">
        <v>203</v>
      </c>
      <c r="F206" s="6" t="s">
        <v>84</v>
      </c>
      <c r="G206" s="6" t="s">
        <v>57</v>
      </c>
      <c r="H206" s="6" t="s">
        <v>131</v>
      </c>
      <c r="I206" s="1" t="n">
        <v>2</v>
      </c>
      <c r="J206" s="7" t="n">
        <v>694.08</v>
      </c>
      <c r="K206" s="8" t="n">
        <v>0.05</v>
      </c>
      <c r="L206" s="7" t="n">
        <v>485.16</v>
      </c>
      <c r="M206" s="6" t="s">
        <v>49</v>
      </c>
      <c r="N206" s="6" t="s">
        <v>52</v>
      </c>
      <c r="O206" s="6" t="n">
        <f aca="false">IF(TablaVentas[[#This Row],[Precio_unitario]]="","PENDIENTE",TablaVentas[[#This Row],[Unidades]]*TablaVentas[[#This Row],[Precio_unitario]]*(1-TablaVentas[[#This Row],[Descuento_pct]]))</f>
        <v>1318.752</v>
      </c>
      <c r="P206" s="6" t="n">
        <f aca="false">IF(TablaVentas[[#This Row],[Costo_unitario]]="","PENDIENTE",TablaVentas[[#This Row],[Unidades]]*TablaVentas[[#This Row],[Costo_unitario]])</f>
        <v>970.32</v>
      </c>
      <c r="Q206" s="6" t="n">
        <f aca="false">IF(OR(TablaVentas[[#This Row],[Ingreso_neto]]="PENDIENTE",TablaVentas[[#This Row],[Costo_total]]="PENDIENTE"),"PENDIENTE",TablaVentas[[#This Row],[Ingreso_neto]]-TablaVentas[[#This Row],[Costo_total]])</f>
        <v>348.432</v>
      </c>
    </row>
    <row r="207" customFormat="false" ht="13.5" hidden="false" customHeight="false" outlineLevel="0" collapsed="false">
      <c r="A207" s="1" t="s">
        <v>315</v>
      </c>
      <c r="B207" s="1" t="n">
        <v>2</v>
      </c>
      <c r="C207" s="5" t="n">
        <v>46060</v>
      </c>
      <c r="D207" s="6" t="s">
        <v>316</v>
      </c>
      <c r="E207" s="6" t="s">
        <v>200</v>
      </c>
      <c r="F207" s="6" t="s">
        <v>84</v>
      </c>
      <c r="G207" s="6" t="s">
        <v>57</v>
      </c>
      <c r="H207" s="6" t="s">
        <v>131</v>
      </c>
      <c r="I207" s="1" t="n">
        <v>2</v>
      </c>
      <c r="J207" s="7" t="n">
        <v>11201.71</v>
      </c>
      <c r="K207" s="8" t="n">
        <v>0</v>
      </c>
      <c r="L207" s="7" t="n">
        <v>5811.72</v>
      </c>
      <c r="M207" s="6" t="s">
        <v>49</v>
      </c>
      <c r="N207" s="6" t="s">
        <v>52</v>
      </c>
      <c r="O207" s="6" t="n">
        <f aca="false">IF(TablaVentas[[#This Row],[Precio_unitario]]="","PENDIENTE",TablaVentas[[#This Row],[Unidades]]*TablaVentas[[#This Row],[Precio_unitario]]*(1-TablaVentas[[#This Row],[Descuento_pct]]))</f>
        <v>22403.42</v>
      </c>
      <c r="P207" s="6" t="n">
        <f aca="false">IF(TablaVentas[[#This Row],[Costo_unitario]]="","PENDIENTE",TablaVentas[[#This Row],[Unidades]]*TablaVentas[[#This Row],[Costo_unitario]])</f>
        <v>11623.44</v>
      </c>
      <c r="Q207" s="6" t="n">
        <f aca="false">IF(OR(TablaVentas[[#This Row],[Ingreso_neto]]="PENDIENTE",TablaVentas[[#This Row],[Costo_total]]="PENDIENTE"),"PENDIENTE",TablaVentas[[#This Row],[Ingreso_neto]]-TablaVentas[[#This Row],[Costo_total]])</f>
        <v>10779.98</v>
      </c>
    </row>
    <row r="208" customFormat="false" ht="13.5" hidden="false" customHeight="false" outlineLevel="0" collapsed="false">
      <c r="A208" s="1" t="s">
        <v>317</v>
      </c>
      <c r="B208" s="1" t="n">
        <v>1</v>
      </c>
      <c r="C208" s="5" t="n">
        <v>46176</v>
      </c>
      <c r="D208" s="6" t="s">
        <v>144</v>
      </c>
      <c r="E208" s="6" t="s">
        <v>120</v>
      </c>
      <c r="F208" s="6" t="s">
        <v>46</v>
      </c>
      <c r="G208" s="6" t="s">
        <v>47</v>
      </c>
      <c r="H208" s="6" t="s">
        <v>191</v>
      </c>
      <c r="I208" s="1" t="n">
        <v>4</v>
      </c>
      <c r="J208" s="7" t="n">
        <v>3269.83</v>
      </c>
      <c r="K208" s="8" t="n">
        <v>0.2</v>
      </c>
      <c r="L208" s="7" t="n">
        <v>2196.34</v>
      </c>
      <c r="M208" s="6" t="s">
        <v>49</v>
      </c>
      <c r="N208" s="6" t="s">
        <v>50</v>
      </c>
      <c r="O208" s="6" t="n">
        <f aca="false">IF(TablaVentas[[#This Row],[Precio_unitario]]="","PENDIENTE",TablaVentas[[#This Row],[Unidades]]*TablaVentas[[#This Row],[Precio_unitario]]*(1-TablaVentas[[#This Row],[Descuento_pct]]))</f>
        <v>10463.456</v>
      </c>
      <c r="P208" s="6" t="n">
        <f aca="false">IF(TablaVentas[[#This Row],[Costo_unitario]]="","PENDIENTE",TablaVentas[[#This Row],[Unidades]]*TablaVentas[[#This Row],[Costo_unitario]])</f>
        <v>8785.36</v>
      </c>
      <c r="Q208" s="6" t="n">
        <f aca="false">IF(OR(TablaVentas[[#This Row],[Ingreso_neto]]="PENDIENTE",TablaVentas[[#This Row],[Costo_total]]="PENDIENTE"),"PENDIENTE",TablaVentas[[#This Row],[Ingreso_neto]]-TablaVentas[[#This Row],[Costo_total]])</f>
        <v>1678.096</v>
      </c>
    </row>
    <row r="209" customFormat="false" ht="13.5" hidden="false" customHeight="false" outlineLevel="0" collapsed="false">
      <c r="A209" s="1" t="s">
        <v>318</v>
      </c>
      <c r="B209" s="1" t="n">
        <v>1</v>
      </c>
      <c r="C209" s="5" t="n">
        <v>46290</v>
      </c>
      <c r="D209" s="6" t="s">
        <v>319</v>
      </c>
      <c r="E209" s="6" t="s">
        <v>147</v>
      </c>
      <c r="F209" s="6" t="s">
        <v>84</v>
      </c>
      <c r="G209" s="6" t="s">
        <v>47</v>
      </c>
      <c r="H209" s="6" t="s">
        <v>65</v>
      </c>
      <c r="I209" s="1" t="n">
        <v>3</v>
      </c>
      <c r="J209" s="7" t="n">
        <v>3285.99</v>
      </c>
      <c r="K209" s="8" t="n">
        <v>0</v>
      </c>
      <c r="L209" s="7" t="n">
        <v>2427.63</v>
      </c>
      <c r="M209" s="6" t="s">
        <v>49</v>
      </c>
      <c r="N209" s="6" t="s">
        <v>52</v>
      </c>
      <c r="O209" s="6" t="n">
        <f aca="false">IF(TablaVentas[[#This Row],[Precio_unitario]]="","PENDIENTE",TablaVentas[[#This Row],[Unidades]]*TablaVentas[[#This Row],[Precio_unitario]]*(1-TablaVentas[[#This Row],[Descuento_pct]]))</f>
        <v>9857.97</v>
      </c>
      <c r="P209" s="6" t="n">
        <f aca="false">IF(TablaVentas[[#This Row],[Costo_unitario]]="","PENDIENTE",TablaVentas[[#This Row],[Unidades]]*TablaVentas[[#This Row],[Costo_unitario]])</f>
        <v>7282.89</v>
      </c>
      <c r="Q209" s="6" t="n">
        <f aca="false">IF(OR(TablaVentas[[#This Row],[Ingreso_neto]]="PENDIENTE",TablaVentas[[#This Row],[Costo_total]]="PENDIENTE"),"PENDIENTE",TablaVentas[[#This Row],[Ingreso_neto]]-TablaVentas[[#This Row],[Costo_total]])</f>
        <v>2575.08</v>
      </c>
    </row>
    <row r="210" customFormat="false" ht="13.5" hidden="false" customHeight="false" outlineLevel="0" collapsed="false">
      <c r="A210" s="1" t="s">
        <v>318</v>
      </c>
      <c r="B210" s="1" t="n">
        <v>2</v>
      </c>
      <c r="C210" s="5" t="n">
        <v>46290</v>
      </c>
      <c r="D210" s="6" t="s">
        <v>319</v>
      </c>
      <c r="E210" s="6" t="s">
        <v>104</v>
      </c>
      <c r="F210" s="6" t="s">
        <v>84</v>
      </c>
      <c r="G210" s="6" t="s">
        <v>47</v>
      </c>
      <c r="H210" s="6" t="s">
        <v>65</v>
      </c>
      <c r="I210" s="1" t="n">
        <v>2</v>
      </c>
      <c r="J210" s="7" t="n">
        <v>15816.36</v>
      </c>
      <c r="K210" s="8" t="n">
        <v>0.1</v>
      </c>
      <c r="L210" s="7" t="n">
        <v>11424.77</v>
      </c>
      <c r="M210" s="6" t="s">
        <v>49</v>
      </c>
      <c r="N210" s="6" t="s">
        <v>52</v>
      </c>
      <c r="O210" s="6" t="n">
        <f aca="false">IF(TablaVentas[[#This Row],[Precio_unitario]]="","PENDIENTE",TablaVentas[[#This Row],[Unidades]]*TablaVentas[[#This Row],[Precio_unitario]]*(1-TablaVentas[[#This Row],[Descuento_pct]]))</f>
        <v>28469.448</v>
      </c>
      <c r="P210" s="6" t="n">
        <f aca="false">IF(TablaVentas[[#This Row],[Costo_unitario]]="","PENDIENTE",TablaVentas[[#This Row],[Unidades]]*TablaVentas[[#This Row],[Costo_unitario]])</f>
        <v>22849.54</v>
      </c>
      <c r="Q210" s="6" t="n">
        <f aca="false">IF(OR(TablaVentas[[#This Row],[Ingreso_neto]]="PENDIENTE",TablaVentas[[#This Row],[Costo_total]]="PENDIENTE"),"PENDIENTE",TablaVentas[[#This Row],[Ingreso_neto]]-TablaVentas[[#This Row],[Costo_total]])</f>
        <v>5619.908</v>
      </c>
    </row>
    <row r="211" customFormat="false" ht="13.5" hidden="false" customHeight="false" outlineLevel="0" collapsed="false">
      <c r="A211" s="1" t="s">
        <v>318</v>
      </c>
      <c r="B211" s="1" t="n">
        <v>3</v>
      </c>
      <c r="C211" s="5" t="n">
        <v>46290</v>
      </c>
      <c r="D211" s="6" t="s">
        <v>319</v>
      </c>
      <c r="E211" s="6" t="s">
        <v>113</v>
      </c>
      <c r="F211" s="6" t="s">
        <v>84</v>
      </c>
      <c r="G211" s="6" t="s">
        <v>47</v>
      </c>
      <c r="H211" s="6" t="s">
        <v>65</v>
      </c>
      <c r="I211" s="1" t="n">
        <v>2</v>
      </c>
      <c r="J211" s="7" t="n">
        <v>10328.06</v>
      </c>
      <c r="K211" s="8" t="n">
        <v>0</v>
      </c>
      <c r="L211" s="7" t="n">
        <v>8276.74</v>
      </c>
      <c r="M211" s="6" t="s">
        <v>49</v>
      </c>
      <c r="N211" s="6" t="s">
        <v>67</v>
      </c>
      <c r="O211" s="6" t="n">
        <f aca="false">IF(TablaVentas[[#This Row],[Precio_unitario]]="","PENDIENTE",TablaVentas[[#This Row],[Unidades]]*TablaVentas[[#This Row],[Precio_unitario]]*(1-TablaVentas[[#This Row],[Descuento_pct]]))</f>
        <v>20656.12</v>
      </c>
      <c r="P211" s="6" t="n">
        <f aca="false">IF(TablaVentas[[#This Row],[Costo_unitario]]="","PENDIENTE",TablaVentas[[#This Row],[Unidades]]*TablaVentas[[#This Row],[Costo_unitario]])</f>
        <v>16553.48</v>
      </c>
      <c r="Q211" s="6" t="n">
        <f aca="false">IF(OR(TablaVentas[[#This Row],[Ingreso_neto]]="PENDIENTE",TablaVentas[[#This Row],[Costo_total]]="PENDIENTE"),"PENDIENTE",TablaVentas[[#This Row],[Ingreso_neto]]-TablaVentas[[#This Row],[Costo_total]])</f>
        <v>4102.64</v>
      </c>
    </row>
    <row r="212" customFormat="false" ht="13.5" hidden="false" customHeight="false" outlineLevel="0" collapsed="false">
      <c r="A212" s="1" t="s">
        <v>320</v>
      </c>
      <c r="B212" s="1" t="n">
        <v>1</v>
      </c>
      <c r="C212" s="5" t="n">
        <v>46256</v>
      </c>
      <c r="D212" s="6" t="s">
        <v>321</v>
      </c>
      <c r="E212" s="6" t="s">
        <v>122</v>
      </c>
      <c r="F212" s="6" t="s">
        <v>73</v>
      </c>
      <c r="G212" s="6" t="s">
        <v>57</v>
      </c>
      <c r="H212" s="6" t="s">
        <v>74</v>
      </c>
      <c r="I212" s="1" t="n">
        <v>3</v>
      </c>
      <c r="J212" s="7" t="n">
        <v>1441.68</v>
      </c>
      <c r="K212" s="8" t="n">
        <v>0.1</v>
      </c>
      <c r="L212" s="7" t="n">
        <v>705.87</v>
      </c>
      <c r="M212" s="6" t="s">
        <v>49</v>
      </c>
      <c r="N212" s="6" t="s">
        <v>50</v>
      </c>
      <c r="O212" s="6" t="n">
        <f aca="false">IF(TablaVentas[[#This Row],[Precio_unitario]]="","PENDIENTE",TablaVentas[[#This Row],[Unidades]]*TablaVentas[[#This Row],[Precio_unitario]]*(1-TablaVentas[[#This Row],[Descuento_pct]]))</f>
        <v>3892.536</v>
      </c>
      <c r="P212" s="6" t="n">
        <f aca="false">IF(TablaVentas[[#This Row],[Costo_unitario]]="","PENDIENTE",TablaVentas[[#This Row],[Unidades]]*TablaVentas[[#This Row],[Costo_unitario]])</f>
        <v>2117.61</v>
      </c>
      <c r="Q212" s="6" t="n">
        <f aca="false">IF(OR(TablaVentas[[#This Row],[Ingreso_neto]]="PENDIENTE",TablaVentas[[#This Row],[Costo_total]]="PENDIENTE"),"PENDIENTE",TablaVentas[[#This Row],[Ingreso_neto]]-TablaVentas[[#This Row],[Costo_total]])</f>
        <v>1774.926</v>
      </c>
    </row>
    <row r="213" customFormat="false" ht="13.5" hidden="false" customHeight="false" outlineLevel="0" collapsed="false">
      <c r="A213" s="1" t="s">
        <v>320</v>
      </c>
      <c r="B213" s="1" t="n">
        <v>2</v>
      </c>
      <c r="C213" s="5" t="n">
        <v>46256</v>
      </c>
      <c r="D213" s="6" t="s">
        <v>321</v>
      </c>
      <c r="E213" s="6" t="s">
        <v>263</v>
      </c>
      <c r="F213" s="6" t="s">
        <v>73</v>
      </c>
      <c r="G213" s="6" t="s">
        <v>57</v>
      </c>
      <c r="H213" s="6" t="s">
        <v>74</v>
      </c>
      <c r="I213" s="1" t="n">
        <v>1</v>
      </c>
      <c r="J213" s="7" t="n">
        <v>18638.91</v>
      </c>
      <c r="K213" s="8" t="n">
        <v>0</v>
      </c>
      <c r="L213" s="7" t="n">
        <v>11666.57</v>
      </c>
      <c r="M213" s="6" t="s">
        <v>49</v>
      </c>
      <c r="N213" s="6" t="s">
        <v>59</v>
      </c>
      <c r="O213" s="6" t="n">
        <f aca="false">IF(TablaVentas[[#This Row],[Precio_unitario]]="","PENDIENTE",TablaVentas[[#This Row],[Unidades]]*TablaVentas[[#This Row],[Precio_unitario]]*(1-TablaVentas[[#This Row],[Descuento_pct]]))</f>
        <v>18638.91</v>
      </c>
      <c r="P213" s="6" t="n">
        <f aca="false">IF(TablaVentas[[#This Row],[Costo_unitario]]="","PENDIENTE",TablaVentas[[#This Row],[Unidades]]*TablaVentas[[#This Row],[Costo_unitario]])</f>
        <v>11666.57</v>
      </c>
      <c r="Q213" s="6" t="n">
        <f aca="false">IF(OR(TablaVentas[[#This Row],[Ingreso_neto]]="PENDIENTE",TablaVentas[[#This Row],[Costo_total]]="PENDIENTE"),"PENDIENTE",TablaVentas[[#This Row],[Ingreso_neto]]-TablaVentas[[#This Row],[Costo_total]])</f>
        <v>6972.34</v>
      </c>
    </row>
    <row r="214" customFormat="false" ht="13.5" hidden="false" customHeight="false" outlineLevel="0" collapsed="false">
      <c r="A214" s="1" t="s">
        <v>320</v>
      </c>
      <c r="B214" s="1" t="n">
        <v>3</v>
      </c>
      <c r="C214" s="5" t="n">
        <v>46256</v>
      </c>
      <c r="D214" s="6" t="s">
        <v>321</v>
      </c>
      <c r="E214" s="6" t="s">
        <v>234</v>
      </c>
      <c r="F214" s="6" t="s">
        <v>73</v>
      </c>
      <c r="G214" s="6" t="s">
        <v>57</v>
      </c>
      <c r="H214" s="6" t="s">
        <v>74</v>
      </c>
      <c r="I214" s="1" t="n">
        <v>1</v>
      </c>
      <c r="J214" s="7" t="n">
        <v>8334.43</v>
      </c>
      <c r="K214" s="8" t="n">
        <v>0</v>
      </c>
      <c r="L214" s="7" t="n">
        <v>6255.13</v>
      </c>
      <c r="M214" s="6" t="s">
        <v>49</v>
      </c>
      <c r="N214" s="6" t="s">
        <v>67</v>
      </c>
      <c r="O214" s="6" t="n">
        <f aca="false">IF(TablaVentas[[#This Row],[Precio_unitario]]="","PENDIENTE",TablaVentas[[#This Row],[Unidades]]*TablaVentas[[#This Row],[Precio_unitario]]*(1-TablaVentas[[#This Row],[Descuento_pct]]))</f>
        <v>8334.43</v>
      </c>
      <c r="P214" s="6" t="n">
        <f aca="false">IF(TablaVentas[[#This Row],[Costo_unitario]]="","PENDIENTE",TablaVentas[[#This Row],[Unidades]]*TablaVentas[[#This Row],[Costo_unitario]])</f>
        <v>6255.13</v>
      </c>
      <c r="Q214" s="6" t="n">
        <f aca="false">IF(OR(TablaVentas[[#This Row],[Ingreso_neto]]="PENDIENTE",TablaVentas[[#This Row],[Costo_total]]="PENDIENTE"),"PENDIENTE",TablaVentas[[#This Row],[Ingreso_neto]]-TablaVentas[[#This Row],[Costo_total]])</f>
        <v>2079.3</v>
      </c>
    </row>
    <row r="215" customFormat="false" ht="13.5" hidden="false" customHeight="false" outlineLevel="0" collapsed="false">
      <c r="A215" s="1" t="s">
        <v>320</v>
      </c>
      <c r="B215" s="1" t="n">
        <v>4</v>
      </c>
      <c r="C215" s="5" t="n">
        <v>46256</v>
      </c>
      <c r="D215" s="6" t="s">
        <v>321</v>
      </c>
      <c r="E215" s="6" t="s">
        <v>182</v>
      </c>
      <c r="F215" s="6" t="s">
        <v>73</v>
      </c>
      <c r="G215" s="6" t="s">
        <v>57</v>
      </c>
      <c r="H215" s="6" t="s">
        <v>74</v>
      </c>
      <c r="I215" s="1" t="n">
        <v>1</v>
      </c>
      <c r="J215" s="7" t="n">
        <v>2820.98</v>
      </c>
      <c r="K215" s="8" t="n">
        <v>0</v>
      </c>
      <c r="L215" s="7" t="n">
        <v>1857.39</v>
      </c>
      <c r="M215" s="6" t="s">
        <v>49</v>
      </c>
      <c r="N215" s="6" t="s">
        <v>67</v>
      </c>
      <c r="O215" s="6" t="n">
        <f aca="false">IF(TablaVentas[[#This Row],[Precio_unitario]]="","PENDIENTE",TablaVentas[[#This Row],[Unidades]]*TablaVentas[[#This Row],[Precio_unitario]]*(1-TablaVentas[[#This Row],[Descuento_pct]]))</f>
        <v>2820.98</v>
      </c>
      <c r="P215" s="6" t="n">
        <f aca="false">IF(TablaVentas[[#This Row],[Costo_unitario]]="","PENDIENTE",TablaVentas[[#This Row],[Unidades]]*TablaVentas[[#This Row],[Costo_unitario]])</f>
        <v>1857.39</v>
      </c>
      <c r="Q215" s="6" t="n">
        <f aca="false">IF(OR(TablaVentas[[#This Row],[Ingreso_neto]]="PENDIENTE",TablaVentas[[#This Row],[Costo_total]]="PENDIENTE"),"PENDIENTE",TablaVentas[[#This Row],[Ingreso_neto]]-TablaVentas[[#This Row],[Costo_total]])</f>
        <v>963.59</v>
      </c>
    </row>
    <row r="216" customFormat="false" ht="13.5" hidden="false" customHeight="false" outlineLevel="0" collapsed="false">
      <c r="A216" s="1" t="s">
        <v>320</v>
      </c>
      <c r="B216" s="1" t="n">
        <v>5</v>
      </c>
      <c r="C216" s="5" t="n">
        <v>46256</v>
      </c>
      <c r="D216" s="6" t="s">
        <v>321</v>
      </c>
      <c r="E216" s="6" t="s">
        <v>145</v>
      </c>
      <c r="F216" s="6" t="s">
        <v>73</v>
      </c>
      <c r="G216" s="6" t="s">
        <v>57</v>
      </c>
      <c r="H216" s="6" t="s">
        <v>74</v>
      </c>
      <c r="I216" s="1" t="n">
        <v>8</v>
      </c>
      <c r="J216" s="7" t="n">
        <v>6349.4</v>
      </c>
      <c r="K216" s="8" t="n">
        <v>0</v>
      </c>
      <c r="L216" s="7" t="n">
        <v>4665.62</v>
      </c>
      <c r="M216" s="6" t="s">
        <v>49</v>
      </c>
      <c r="N216" s="6" t="s">
        <v>50</v>
      </c>
      <c r="O216" s="6" t="n">
        <f aca="false">IF(TablaVentas[[#This Row],[Precio_unitario]]="","PENDIENTE",TablaVentas[[#This Row],[Unidades]]*TablaVentas[[#This Row],[Precio_unitario]]*(1-TablaVentas[[#This Row],[Descuento_pct]]))</f>
        <v>50795.2</v>
      </c>
      <c r="P216" s="6" t="n">
        <f aca="false">IF(TablaVentas[[#This Row],[Costo_unitario]]="","PENDIENTE",TablaVentas[[#This Row],[Unidades]]*TablaVentas[[#This Row],[Costo_unitario]])</f>
        <v>37324.96</v>
      </c>
      <c r="Q216" s="6" t="n">
        <f aca="false">IF(OR(TablaVentas[[#This Row],[Ingreso_neto]]="PENDIENTE",TablaVentas[[#This Row],[Costo_total]]="PENDIENTE"),"PENDIENTE",TablaVentas[[#This Row],[Ingreso_neto]]-TablaVentas[[#This Row],[Costo_total]])</f>
        <v>13470.24</v>
      </c>
    </row>
    <row r="217" customFormat="false" ht="13.5" hidden="false" customHeight="false" outlineLevel="0" collapsed="false">
      <c r="A217" s="1" t="s">
        <v>322</v>
      </c>
      <c r="B217" s="1" t="n">
        <v>1</v>
      </c>
      <c r="C217" s="5" t="n">
        <v>46056</v>
      </c>
      <c r="D217" s="6" t="s">
        <v>323</v>
      </c>
      <c r="E217" s="6" t="s">
        <v>263</v>
      </c>
      <c r="F217" s="6" t="s">
        <v>46</v>
      </c>
      <c r="G217" s="6" t="s">
        <v>64</v>
      </c>
      <c r="H217" s="6" t="s">
        <v>58</v>
      </c>
      <c r="I217" s="1" t="n">
        <v>2</v>
      </c>
      <c r="J217" s="7" t="n">
        <v>17704.22</v>
      </c>
      <c r="K217" s="8" t="n">
        <v>0</v>
      </c>
      <c r="L217" s="7" t="n">
        <v>11666.57</v>
      </c>
      <c r="M217" s="6" t="s">
        <v>49</v>
      </c>
      <c r="N217" s="6" t="s">
        <v>52</v>
      </c>
      <c r="O217" s="6" t="n">
        <f aca="false">IF(TablaVentas[[#This Row],[Precio_unitario]]="","PENDIENTE",TablaVentas[[#This Row],[Unidades]]*TablaVentas[[#This Row],[Precio_unitario]]*(1-TablaVentas[[#This Row],[Descuento_pct]]))</f>
        <v>35408.44</v>
      </c>
      <c r="P217" s="6" t="n">
        <f aca="false">IF(TablaVentas[[#This Row],[Costo_unitario]]="","PENDIENTE",TablaVentas[[#This Row],[Unidades]]*TablaVentas[[#This Row],[Costo_unitario]])</f>
        <v>23333.14</v>
      </c>
      <c r="Q217" s="6" t="n">
        <f aca="false">IF(OR(TablaVentas[[#This Row],[Ingreso_neto]]="PENDIENTE",TablaVentas[[#This Row],[Costo_total]]="PENDIENTE"),"PENDIENTE",TablaVentas[[#This Row],[Ingreso_neto]]-TablaVentas[[#This Row],[Costo_total]])</f>
        <v>12075.3</v>
      </c>
    </row>
    <row r="218" customFormat="false" ht="13.5" hidden="false" customHeight="false" outlineLevel="0" collapsed="false">
      <c r="A218" s="1" t="s">
        <v>322</v>
      </c>
      <c r="B218" s="1" t="n">
        <v>2</v>
      </c>
      <c r="C218" s="5" t="n">
        <v>46056</v>
      </c>
      <c r="D218" s="6" t="s">
        <v>323</v>
      </c>
      <c r="E218" s="6" t="s">
        <v>132</v>
      </c>
      <c r="F218" s="6" t="s">
        <v>46</v>
      </c>
      <c r="G218" s="6" t="s">
        <v>64</v>
      </c>
      <c r="H218" s="6" t="s">
        <v>58</v>
      </c>
      <c r="I218" s="1" t="n">
        <v>1</v>
      </c>
      <c r="J218" s="7" t="n">
        <v>1669.85</v>
      </c>
      <c r="K218" s="8" t="n">
        <v>0</v>
      </c>
      <c r="L218" s="7" t="n">
        <v>1044.32</v>
      </c>
      <c r="M218" s="6" t="s">
        <v>49</v>
      </c>
      <c r="N218" s="6" t="s">
        <v>50</v>
      </c>
      <c r="O218" s="6" t="n">
        <f aca="false">IF(TablaVentas[[#This Row],[Precio_unitario]]="","PENDIENTE",TablaVentas[[#This Row],[Unidades]]*TablaVentas[[#This Row],[Precio_unitario]]*(1-TablaVentas[[#This Row],[Descuento_pct]]))</f>
        <v>1669.85</v>
      </c>
      <c r="P218" s="6" t="n">
        <f aca="false">IF(TablaVentas[[#This Row],[Costo_unitario]]="","PENDIENTE",TablaVentas[[#This Row],[Unidades]]*TablaVentas[[#This Row],[Costo_unitario]])</f>
        <v>1044.32</v>
      </c>
      <c r="Q218" s="6" t="n">
        <f aca="false">IF(OR(TablaVentas[[#This Row],[Ingreso_neto]]="PENDIENTE",TablaVentas[[#This Row],[Costo_total]]="PENDIENTE"),"PENDIENTE",TablaVentas[[#This Row],[Ingreso_neto]]-TablaVentas[[#This Row],[Costo_total]])</f>
        <v>625.53</v>
      </c>
    </row>
    <row r="219" customFormat="false" ht="13.5" hidden="false" customHeight="false" outlineLevel="0" collapsed="false">
      <c r="A219" s="1" t="s">
        <v>324</v>
      </c>
      <c r="B219" s="1" t="n">
        <v>1</v>
      </c>
      <c r="C219" s="5" t="n">
        <v>46099</v>
      </c>
      <c r="D219" s="6" t="s">
        <v>79</v>
      </c>
      <c r="E219" s="6" t="s">
        <v>100</v>
      </c>
      <c r="F219" s="6" t="s">
        <v>63</v>
      </c>
      <c r="G219" s="6" t="s">
        <v>64</v>
      </c>
      <c r="H219" s="6" t="s">
        <v>48</v>
      </c>
      <c r="I219" s="1" t="n">
        <v>5</v>
      </c>
      <c r="J219" s="7" t="n">
        <v>16241.99</v>
      </c>
      <c r="K219" s="8" t="n">
        <v>0.05</v>
      </c>
      <c r="L219" s="7" t="n">
        <v>8788.79</v>
      </c>
      <c r="M219" s="6" t="s">
        <v>49</v>
      </c>
      <c r="N219" s="6" t="s">
        <v>59</v>
      </c>
      <c r="O219" s="6" t="n">
        <f aca="false">IF(TablaVentas[[#This Row],[Precio_unitario]]="","PENDIENTE",TablaVentas[[#This Row],[Unidades]]*TablaVentas[[#This Row],[Precio_unitario]]*(1-TablaVentas[[#This Row],[Descuento_pct]]))</f>
        <v>77149.4525</v>
      </c>
      <c r="P219" s="6" t="n">
        <f aca="false">IF(TablaVentas[[#This Row],[Costo_unitario]]="","PENDIENTE",TablaVentas[[#This Row],[Unidades]]*TablaVentas[[#This Row],[Costo_unitario]])</f>
        <v>43943.95</v>
      </c>
      <c r="Q219" s="6" t="n">
        <f aca="false">IF(OR(TablaVentas[[#This Row],[Ingreso_neto]]="PENDIENTE",TablaVentas[[#This Row],[Costo_total]]="PENDIENTE"),"PENDIENTE",TablaVentas[[#This Row],[Ingreso_neto]]-TablaVentas[[#This Row],[Costo_total]])</f>
        <v>33205.5025</v>
      </c>
    </row>
    <row r="220" customFormat="false" ht="13.5" hidden="false" customHeight="false" outlineLevel="0" collapsed="false">
      <c r="A220" s="1" t="s">
        <v>324</v>
      </c>
      <c r="B220" s="1" t="n">
        <v>2</v>
      </c>
      <c r="C220" s="5" t="n">
        <v>46099</v>
      </c>
      <c r="D220" s="6" t="s">
        <v>79</v>
      </c>
      <c r="E220" s="6" t="s">
        <v>72</v>
      </c>
      <c r="F220" s="6" t="s">
        <v>63</v>
      </c>
      <c r="G220" s="6" t="s">
        <v>64</v>
      </c>
      <c r="H220" s="6" t="s">
        <v>48</v>
      </c>
      <c r="I220" s="1" t="n">
        <v>1</v>
      </c>
      <c r="J220" s="7" t="n">
        <v>10313.49</v>
      </c>
      <c r="K220" s="8" t="n">
        <v>0.15</v>
      </c>
      <c r="L220" s="7" t="n">
        <v>7328.02</v>
      </c>
      <c r="M220" s="6" t="s">
        <v>49</v>
      </c>
      <c r="N220" s="6" t="s">
        <v>52</v>
      </c>
      <c r="O220" s="6" t="n">
        <f aca="false">IF(TablaVentas[[#This Row],[Precio_unitario]]="","PENDIENTE",TablaVentas[[#This Row],[Unidades]]*TablaVentas[[#This Row],[Precio_unitario]]*(1-TablaVentas[[#This Row],[Descuento_pct]]))</f>
        <v>8766.4665</v>
      </c>
      <c r="P220" s="6" t="n">
        <f aca="false">IF(TablaVentas[[#This Row],[Costo_unitario]]="","PENDIENTE",TablaVentas[[#This Row],[Unidades]]*TablaVentas[[#This Row],[Costo_unitario]])</f>
        <v>7328.02</v>
      </c>
      <c r="Q220" s="6" t="n">
        <f aca="false">IF(OR(TablaVentas[[#This Row],[Ingreso_neto]]="PENDIENTE",TablaVentas[[#This Row],[Costo_total]]="PENDIENTE"),"PENDIENTE",TablaVentas[[#This Row],[Ingreso_neto]]-TablaVentas[[#This Row],[Costo_total]])</f>
        <v>1438.4465</v>
      </c>
    </row>
    <row r="221" customFormat="false" ht="13.5" hidden="false" customHeight="false" outlineLevel="0" collapsed="false">
      <c r="A221" s="1" t="s">
        <v>325</v>
      </c>
      <c r="B221" s="1" t="n">
        <v>1</v>
      </c>
      <c r="C221" s="5" t="n">
        <v>46096</v>
      </c>
      <c r="D221" s="6" t="s">
        <v>326</v>
      </c>
      <c r="E221" s="6" t="s">
        <v>327</v>
      </c>
      <c r="F221" s="6" t="s">
        <v>84</v>
      </c>
      <c r="G221" s="6" t="s">
        <v>57</v>
      </c>
      <c r="H221" s="6" t="s">
        <v>89</v>
      </c>
      <c r="I221" s="1" t="n">
        <v>1</v>
      </c>
      <c r="J221" s="7" t="n">
        <v>4415.15</v>
      </c>
      <c r="K221" s="8" t="n">
        <v>0.05</v>
      </c>
      <c r="L221" s="7" t="n">
        <v>3065.66</v>
      </c>
      <c r="M221" s="6" t="s">
        <v>49</v>
      </c>
      <c r="N221" s="6" t="s">
        <v>50</v>
      </c>
      <c r="O221" s="6" t="n">
        <f aca="false">IF(TablaVentas[[#This Row],[Precio_unitario]]="","PENDIENTE",TablaVentas[[#This Row],[Unidades]]*TablaVentas[[#This Row],[Precio_unitario]]*(1-TablaVentas[[#This Row],[Descuento_pct]]))</f>
        <v>4194.3925</v>
      </c>
      <c r="P221" s="6" t="n">
        <f aca="false">IF(TablaVentas[[#This Row],[Costo_unitario]]="","PENDIENTE",TablaVentas[[#This Row],[Unidades]]*TablaVentas[[#This Row],[Costo_unitario]])</f>
        <v>3065.66</v>
      </c>
      <c r="Q221" s="6" t="n">
        <f aca="false">IF(OR(TablaVentas[[#This Row],[Ingreso_neto]]="PENDIENTE",TablaVentas[[#This Row],[Costo_total]]="PENDIENTE"),"PENDIENTE",TablaVentas[[#This Row],[Ingreso_neto]]-TablaVentas[[#This Row],[Costo_total]])</f>
        <v>1128.7325</v>
      </c>
    </row>
    <row r="222" customFormat="false" ht="13.5" hidden="false" customHeight="false" outlineLevel="0" collapsed="false">
      <c r="A222" s="1" t="s">
        <v>325</v>
      </c>
      <c r="B222" s="1" t="n">
        <v>2</v>
      </c>
      <c r="C222" s="5" t="n">
        <v>46096</v>
      </c>
      <c r="D222" s="6" t="s">
        <v>326</v>
      </c>
      <c r="E222" s="6" t="s">
        <v>328</v>
      </c>
      <c r="F222" s="6" t="s">
        <v>84</v>
      </c>
      <c r="G222" s="6" t="s">
        <v>57</v>
      </c>
      <c r="H222" s="6" t="s">
        <v>89</v>
      </c>
      <c r="I222" s="1" t="n">
        <v>1</v>
      </c>
      <c r="J222" s="7" t="n">
        <v>1275</v>
      </c>
      <c r="K222" s="8" t="n">
        <v>0</v>
      </c>
      <c r="L222" s="7" t="n">
        <v>679.37</v>
      </c>
      <c r="M222" s="6" t="s">
        <v>49</v>
      </c>
      <c r="N222" s="6" t="s">
        <v>67</v>
      </c>
      <c r="O222" s="6" t="n">
        <f aca="false">IF(TablaVentas[[#This Row],[Precio_unitario]]="","PENDIENTE",TablaVentas[[#This Row],[Unidades]]*TablaVentas[[#This Row],[Precio_unitario]]*(1-TablaVentas[[#This Row],[Descuento_pct]]))</f>
        <v>1275</v>
      </c>
      <c r="P222" s="6" t="n">
        <f aca="false">IF(TablaVentas[[#This Row],[Costo_unitario]]="","PENDIENTE",TablaVentas[[#This Row],[Unidades]]*TablaVentas[[#This Row],[Costo_unitario]])</f>
        <v>679.37</v>
      </c>
      <c r="Q222" s="6" t="n">
        <f aca="false">IF(OR(TablaVentas[[#This Row],[Ingreso_neto]]="PENDIENTE",TablaVentas[[#This Row],[Costo_total]]="PENDIENTE"),"PENDIENTE",TablaVentas[[#This Row],[Ingreso_neto]]-TablaVentas[[#This Row],[Costo_total]])</f>
        <v>595.63</v>
      </c>
    </row>
    <row r="223" customFormat="false" ht="13.5" hidden="false" customHeight="false" outlineLevel="0" collapsed="false">
      <c r="A223" s="1" t="s">
        <v>329</v>
      </c>
      <c r="B223" s="1" t="n">
        <v>1</v>
      </c>
      <c r="C223" s="5" t="n">
        <v>46162</v>
      </c>
      <c r="D223" s="6" t="s">
        <v>227</v>
      </c>
      <c r="E223" s="6" t="s">
        <v>166</v>
      </c>
      <c r="F223" s="6" t="s">
        <v>46</v>
      </c>
      <c r="G223" s="6" t="s">
        <v>64</v>
      </c>
      <c r="H223" s="6" t="s">
        <v>131</v>
      </c>
      <c r="I223" s="1" t="n">
        <v>5</v>
      </c>
      <c r="J223" s="7" t="n">
        <v>12534.91</v>
      </c>
      <c r="K223" s="8" t="n">
        <v>0</v>
      </c>
      <c r="L223" s="7" t="n">
        <v>9317.37</v>
      </c>
      <c r="M223" s="6" t="s">
        <v>49</v>
      </c>
      <c r="N223" s="6" t="s">
        <v>67</v>
      </c>
      <c r="O223" s="6" t="n">
        <f aca="false">IF(TablaVentas[[#This Row],[Precio_unitario]]="","PENDIENTE",TablaVentas[[#This Row],[Unidades]]*TablaVentas[[#This Row],[Precio_unitario]]*(1-TablaVentas[[#This Row],[Descuento_pct]]))</f>
        <v>62674.55</v>
      </c>
      <c r="P223" s="6" t="n">
        <f aca="false">IF(TablaVentas[[#This Row],[Costo_unitario]]="","PENDIENTE",TablaVentas[[#This Row],[Unidades]]*TablaVentas[[#This Row],[Costo_unitario]])</f>
        <v>46586.85</v>
      </c>
      <c r="Q223" s="6" t="n">
        <f aca="false">IF(OR(TablaVentas[[#This Row],[Ingreso_neto]]="PENDIENTE",TablaVentas[[#This Row],[Costo_total]]="PENDIENTE"),"PENDIENTE",TablaVentas[[#This Row],[Ingreso_neto]]-TablaVentas[[#This Row],[Costo_total]])</f>
        <v>16087.7</v>
      </c>
    </row>
    <row r="224" customFormat="false" ht="13.5" hidden="false" customHeight="false" outlineLevel="0" collapsed="false">
      <c r="A224" s="1" t="s">
        <v>329</v>
      </c>
      <c r="B224" s="1" t="n">
        <v>2</v>
      </c>
      <c r="C224" s="5" t="n">
        <v>46162</v>
      </c>
      <c r="D224" s="6" t="s">
        <v>227</v>
      </c>
      <c r="E224" s="6" t="s">
        <v>150</v>
      </c>
      <c r="F224" s="6" t="s">
        <v>46</v>
      </c>
      <c r="G224" s="6" t="s">
        <v>64</v>
      </c>
      <c r="H224" s="6" t="s">
        <v>131</v>
      </c>
      <c r="I224" s="1" t="n">
        <v>1</v>
      </c>
      <c r="J224" s="7" t="n">
        <v>10131.36</v>
      </c>
      <c r="K224" s="8" t="n">
        <v>0.2</v>
      </c>
      <c r="L224" s="7" t="n">
        <v>6815.42</v>
      </c>
      <c r="M224" s="6" t="s">
        <v>49</v>
      </c>
      <c r="N224" s="6" t="s">
        <v>50</v>
      </c>
      <c r="O224" s="6" t="n">
        <f aca="false">IF(TablaVentas[[#This Row],[Precio_unitario]]="","PENDIENTE",TablaVentas[[#This Row],[Unidades]]*TablaVentas[[#This Row],[Precio_unitario]]*(1-TablaVentas[[#This Row],[Descuento_pct]]))</f>
        <v>8105.088</v>
      </c>
      <c r="P224" s="6" t="n">
        <f aca="false">IF(TablaVentas[[#This Row],[Costo_unitario]]="","PENDIENTE",TablaVentas[[#This Row],[Unidades]]*TablaVentas[[#This Row],[Costo_unitario]])</f>
        <v>6815.42</v>
      </c>
      <c r="Q224" s="6" t="n">
        <f aca="false">IF(OR(TablaVentas[[#This Row],[Ingreso_neto]]="PENDIENTE",TablaVentas[[#This Row],[Costo_total]]="PENDIENTE"),"PENDIENTE",TablaVentas[[#This Row],[Ingreso_neto]]-TablaVentas[[#This Row],[Costo_total]])</f>
        <v>1289.668</v>
      </c>
    </row>
    <row r="225" customFormat="false" ht="13.5" hidden="false" customHeight="false" outlineLevel="0" collapsed="false">
      <c r="A225" s="1" t="s">
        <v>329</v>
      </c>
      <c r="B225" s="1" t="n">
        <v>3</v>
      </c>
      <c r="C225" s="5" t="n">
        <v>46162</v>
      </c>
      <c r="D225" s="6" t="s">
        <v>227</v>
      </c>
      <c r="E225" s="6" t="s">
        <v>62</v>
      </c>
      <c r="F225" s="6" t="s">
        <v>46</v>
      </c>
      <c r="G225" s="6" t="s">
        <v>64</v>
      </c>
      <c r="H225" s="6" t="s">
        <v>131</v>
      </c>
      <c r="I225" s="1" t="n">
        <v>1</v>
      </c>
      <c r="J225" s="7" t="n">
        <v>12916.5</v>
      </c>
      <c r="K225" s="8" t="n">
        <v>0</v>
      </c>
      <c r="L225" s="7" t="n">
        <v>6407.85</v>
      </c>
      <c r="M225" s="6" t="s">
        <v>49</v>
      </c>
      <c r="N225" s="6" t="s">
        <v>50</v>
      </c>
      <c r="O225" s="6" t="n">
        <f aca="false">IF(TablaVentas[[#This Row],[Precio_unitario]]="","PENDIENTE",TablaVentas[[#This Row],[Unidades]]*TablaVentas[[#This Row],[Precio_unitario]]*(1-TablaVentas[[#This Row],[Descuento_pct]]))</f>
        <v>12916.5</v>
      </c>
      <c r="P225" s="6" t="n">
        <f aca="false">IF(TablaVentas[[#This Row],[Costo_unitario]]="","PENDIENTE",TablaVentas[[#This Row],[Unidades]]*TablaVentas[[#This Row],[Costo_unitario]])</f>
        <v>6407.85</v>
      </c>
      <c r="Q225" s="6" t="n">
        <f aca="false">IF(OR(TablaVentas[[#This Row],[Ingreso_neto]]="PENDIENTE",TablaVentas[[#This Row],[Costo_total]]="PENDIENTE"),"PENDIENTE",TablaVentas[[#This Row],[Ingreso_neto]]-TablaVentas[[#This Row],[Costo_total]])</f>
        <v>6508.65</v>
      </c>
    </row>
    <row r="226" customFormat="false" ht="13.5" hidden="false" customHeight="false" outlineLevel="0" collapsed="false">
      <c r="A226" s="1" t="s">
        <v>330</v>
      </c>
      <c r="B226" s="1" t="n">
        <v>1</v>
      </c>
      <c r="C226" s="5" t="n">
        <v>46140</v>
      </c>
      <c r="D226" s="6" t="s">
        <v>331</v>
      </c>
      <c r="E226" s="6" t="s">
        <v>92</v>
      </c>
      <c r="F226" s="6" t="s">
        <v>73</v>
      </c>
      <c r="G226" s="6" t="s">
        <v>64</v>
      </c>
      <c r="H226" s="6" t="s">
        <v>136</v>
      </c>
      <c r="I226" s="1" t="n">
        <v>8</v>
      </c>
      <c r="J226" s="7" t="n">
        <v>514.69</v>
      </c>
      <c r="K226" s="8" t="n">
        <v>0</v>
      </c>
      <c r="L226" s="7" t="n">
        <v>307.75</v>
      </c>
      <c r="M226" s="6" t="s">
        <v>123</v>
      </c>
      <c r="N226" s="6" t="s">
        <v>52</v>
      </c>
      <c r="O226" s="6" t="n">
        <f aca="false">IF(TablaVentas[[#This Row],[Precio_unitario]]="","PENDIENTE",TablaVentas[[#This Row],[Unidades]]*TablaVentas[[#This Row],[Precio_unitario]]*(1-TablaVentas[[#This Row],[Descuento_pct]]))</f>
        <v>4117.52</v>
      </c>
      <c r="P226" s="6" t="n">
        <f aca="false">IF(TablaVentas[[#This Row],[Costo_unitario]]="","PENDIENTE",TablaVentas[[#This Row],[Unidades]]*TablaVentas[[#This Row],[Costo_unitario]])</f>
        <v>2462</v>
      </c>
      <c r="Q226" s="6" t="n">
        <f aca="false">IF(OR(TablaVentas[[#This Row],[Ingreso_neto]]="PENDIENTE",TablaVentas[[#This Row],[Costo_total]]="PENDIENTE"),"PENDIENTE",TablaVentas[[#This Row],[Ingreso_neto]]-TablaVentas[[#This Row],[Costo_total]])</f>
        <v>1655.52</v>
      </c>
    </row>
    <row r="227" customFormat="false" ht="13.5" hidden="false" customHeight="false" outlineLevel="0" collapsed="false">
      <c r="A227" s="1" t="s">
        <v>330</v>
      </c>
      <c r="B227" s="1" t="n">
        <v>2</v>
      </c>
      <c r="C227" s="5" t="n">
        <v>46140</v>
      </c>
      <c r="D227" s="6" t="s">
        <v>331</v>
      </c>
      <c r="E227" s="6" t="s">
        <v>203</v>
      </c>
      <c r="F227" s="6" t="s">
        <v>73</v>
      </c>
      <c r="G227" s="6" t="s">
        <v>64</v>
      </c>
      <c r="H227" s="6" t="s">
        <v>136</v>
      </c>
      <c r="I227" s="1" t="n">
        <v>2</v>
      </c>
      <c r="J227" s="7" t="n">
        <v>825.03</v>
      </c>
      <c r="K227" s="8" t="n">
        <v>0.2</v>
      </c>
      <c r="L227" s="7" t="n">
        <v>485.16</v>
      </c>
      <c r="M227" s="6" t="s">
        <v>49</v>
      </c>
      <c r="N227" s="6" t="s">
        <v>50</v>
      </c>
      <c r="O227" s="6" t="n">
        <f aca="false">IF(TablaVentas[[#This Row],[Precio_unitario]]="","PENDIENTE",TablaVentas[[#This Row],[Unidades]]*TablaVentas[[#This Row],[Precio_unitario]]*(1-TablaVentas[[#This Row],[Descuento_pct]]))</f>
        <v>1320.048</v>
      </c>
      <c r="P227" s="6" t="n">
        <f aca="false">IF(TablaVentas[[#This Row],[Costo_unitario]]="","PENDIENTE",TablaVentas[[#This Row],[Unidades]]*TablaVentas[[#This Row],[Costo_unitario]])</f>
        <v>970.32</v>
      </c>
      <c r="Q227" s="6" t="n">
        <f aca="false">IF(OR(TablaVentas[[#This Row],[Ingreso_neto]]="PENDIENTE",TablaVentas[[#This Row],[Costo_total]]="PENDIENTE"),"PENDIENTE",TablaVentas[[#This Row],[Ingreso_neto]]-TablaVentas[[#This Row],[Costo_total]])</f>
        <v>349.728</v>
      </c>
    </row>
    <row r="228" customFormat="false" ht="13.5" hidden="false" customHeight="false" outlineLevel="0" collapsed="false">
      <c r="A228" s="1" t="s">
        <v>330</v>
      </c>
      <c r="B228" s="1" t="n">
        <v>3</v>
      </c>
      <c r="C228" s="5" t="n">
        <v>46140</v>
      </c>
      <c r="D228" s="6" t="s">
        <v>331</v>
      </c>
      <c r="E228" s="6" t="s">
        <v>105</v>
      </c>
      <c r="F228" s="6" t="s">
        <v>73</v>
      </c>
      <c r="G228" s="6" t="s">
        <v>64</v>
      </c>
      <c r="H228" s="6" t="s">
        <v>136</v>
      </c>
      <c r="I228" s="1" t="n">
        <v>4</v>
      </c>
      <c r="J228" s="7" t="n">
        <v>17144.35</v>
      </c>
      <c r="K228" s="8" t="n">
        <v>0</v>
      </c>
      <c r="L228" s="7" t="n">
        <v>9881</v>
      </c>
      <c r="M228" s="6" t="s">
        <v>49</v>
      </c>
      <c r="N228" s="6" t="s">
        <v>50</v>
      </c>
      <c r="O228" s="6" t="n">
        <f aca="false">IF(TablaVentas[[#This Row],[Precio_unitario]]="","PENDIENTE",TablaVentas[[#This Row],[Unidades]]*TablaVentas[[#This Row],[Precio_unitario]]*(1-TablaVentas[[#This Row],[Descuento_pct]]))</f>
        <v>68577.4</v>
      </c>
      <c r="P228" s="6" t="n">
        <f aca="false">IF(TablaVentas[[#This Row],[Costo_unitario]]="","PENDIENTE",TablaVentas[[#This Row],[Unidades]]*TablaVentas[[#This Row],[Costo_unitario]])</f>
        <v>39524</v>
      </c>
      <c r="Q228" s="6" t="n">
        <f aca="false">IF(OR(TablaVentas[[#This Row],[Ingreso_neto]]="PENDIENTE",TablaVentas[[#This Row],[Costo_total]]="PENDIENTE"),"PENDIENTE",TablaVentas[[#This Row],[Ingreso_neto]]-TablaVentas[[#This Row],[Costo_total]])</f>
        <v>29053.4</v>
      </c>
    </row>
    <row r="229" customFormat="false" ht="13.5" hidden="false" customHeight="false" outlineLevel="0" collapsed="false">
      <c r="A229" s="1" t="s">
        <v>332</v>
      </c>
      <c r="B229" s="1" t="n">
        <v>1</v>
      </c>
      <c r="C229" s="5" t="n">
        <v>46235</v>
      </c>
      <c r="D229" s="6" t="s">
        <v>294</v>
      </c>
      <c r="E229" s="6" t="s">
        <v>333</v>
      </c>
      <c r="F229" s="6" t="s">
        <v>46</v>
      </c>
      <c r="G229" s="6" t="s">
        <v>64</v>
      </c>
      <c r="H229" s="6" t="s">
        <v>48</v>
      </c>
      <c r="I229" s="1" t="n">
        <v>1</v>
      </c>
      <c r="J229" s="7" t="n">
        <v>7510.91</v>
      </c>
      <c r="K229" s="8" t="n">
        <v>0.05</v>
      </c>
      <c r="L229" s="7" t="n">
        <v>4044.16</v>
      </c>
      <c r="M229" s="6" t="s">
        <v>49</v>
      </c>
      <c r="N229" s="6" t="s">
        <v>59</v>
      </c>
      <c r="O229" s="6" t="n">
        <f aca="false">IF(TablaVentas[[#This Row],[Precio_unitario]]="","PENDIENTE",TablaVentas[[#This Row],[Unidades]]*TablaVentas[[#This Row],[Precio_unitario]]*(1-TablaVentas[[#This Row],[Descuento_pct]]))</f>
        <v>7135.3645</v>
      </c>
      <c r="P229" s="6" t="n">
        <f aca="false">IF(TablaVentas[[#This Row],[Costo_unitario]]="","PENDIENTE",TablaVentas[[#This Row],[Unidades]]*TablaVentas[[#This Row],[Costo_unitario]])</f>
        <v>4044.16</v>
      </c>
      <c r="Q229" s="6" t="n">
        <f aca="false">IF(OR(TablaVentas[[#This Row],[Ingreso_neto]]="PENDIENTE",TablaVentas[[#This Row],[Costo_total]]="PENDIENTE"),"PENDIENTE",TablaVentas[[#This Row],[Ingreso_neto]]-TablaVentas[[#This Row],[Costo_total]])</f>
        <v>3091.2045</v>
      </c>
    </row>
    <row r="230" customFormat="false" ht="13.5" hidden="false" customHeight="false" outlineLevel="0" collapsed="false">
      <c r="A230" s="1" t="s">
        <v>334</v>
      </c>
      <c r="B230" s="1" t="n">
        <v>1</v>
      </c>
      <c r="C230" s="5" t="n">
        <v>46031</v>
      </c>
      <c r="D230" s="6" t="s">
        <v>71</v>
      </c>
      <c r="E230" s="6" t="s">
        <v>192</v>
      </c>
      <c r="F230" s="6" t="s">
        <v>84</v>
      </c>
      <c r="G230" s="6" t="s">
        <v>47</v>
      </c>
      <c r="H230" s="6" t="s">
        <v>48</v>
      </c>
      <c r="I230" s="1" t="n">
        <v>1</v>
      </c>
      <c r="J230" s="7" t="n">
        <v>17419.86</v>
      </c>
      <c r="K230" s="8" t="n">
        <v>0.15</v>
      </c>
      <c r="L230" s="7" t="n">
        <v>11904.09</v>
      </c>
      <c r="M230" s="6" t="s">
        <v>49</v>
      </c>
      <c r="N230" s="6" t="s">
        <v>59</v>
      </c>
      <c r="O230" s="6" t="n">
        <f aca="false">IF(TablaVentas[[#This Row],[Precio_unitario]]="","PENDIENTE",TablaVentas[[#This Row],[Unidades]]*TablaVentas[[#This Row],[Precio_unitario]]*(1-TablaVentas[[#This Row],[Descuento_pct]]))</f>
        <v>14806.881</v>
      </c>
      <c r="P230" s="6" t="n">
        <f aca="false">IF(TablaVentas[[#This Row],[Costo_unitario]]="","PENDIENTE",TablaVentas[[#This Row],[Unidades]]*TablaVentas[[#This Row],[Costo_unitario]])</f>
        <v>11904.09</v>
      </c>
      <c r="Q230" s="6" t="n">
        <f aca="false">IF(OR(TablaVentas[[#This Row],[Ingreso_neto]]="PENDIENTE",TablaVentas[[#This Row],[Costo_total]]="PENDIENTE"),"PENDIENTE",TablaVentas[[#This Row],[Ingreso_neto]]-TablaVentas[[#This Row],[Costo_total]])</f>
        <v>2902.791</v>
      </c>
    </row>
    <row r="231" customFormat="false" ht="13.5" hidden="false" customHeight="false" outlineLevel="0" collapsed="false">
      <c r="A231" s="1" t="s">
        <v>334</v>
      </c>
      <c r="B231" s="1" t="n">
        <v>2</v>
      </c>
      <c r="C231" s="5" t="n">
        <v>46031</v>
      </c>
      <c r="D231" s="6" t="s">
        <v>71</v>
      </c>
      <c r="E231" s="6" t="s">
        <v>141</v>
      </c>
      <c r="F231" s="6" t="s">
        <v>84</v>
      </c>
      <c r="G231" s="6" t="s">
        <v>47</v>
      </c>
      <c r="H231" s="6" t="s">
        <v>48</v>
      </c>
      <c r="I231" s="1" t="n">
        <v>2</v>
      </c>
      <c r="J231" s="7" t="n">
        <v>281.77</v>
      </c>
      <c r="K231" s="8" t="n">
        <v>0.2</v>
      </c>
      <c r="L231" s="7" t="n">
        <v>176.47</v>
      </c>
      <c r="M231" s="6" t="s">
        <v>49</v>
      </c>
      <c r="N231" s="6" t="s">
        <v>59</v>
      </c>
      <c r="O231" s="6" t="n">
        <f aca="false">IF(TablaVentas[[#This Row],[Precio_unitario]]="","PENDIENTE",TablaVentas[[#This Row],[Unidades]]*TablaVentas[[#This Row],[Precio_unitario]]*(1-TablaVentas[[#This Row],[Descuento_pct]]))</f>
        <v>450.832</v>
      </c>
      <c r="P231" s="6" t="n">
        <f aca="false">IF(TablaVentas[[#This Row],[Costo_unitario]]="","PENDIENTE",TablaVentas[[#This Row],[Unidades]]*TablaVentas[[#This Row],[Costo_unitario]])</f>
        <v>352.94</v>
      </c>
      <c r="Q231" s="6" t="n">
        <f aca="false">IF(OR(TablaVentas[[#This Row],[Ingreso_neto]]="PENDIENTE",TablaVentas[[#This Row],[Costo_total]]="PENDIENTE"),"PENDIENTE",TablaVentas[[#This Row],[Ingreso_neto]]-TablaVentas[[#This Row],[Costo_total]])</f>
        <v>97.892</v>
      </c>
    </row>
    <row r="232" customFormat="false" ht="13.5" hidden="false" customHeight="false" outlineLevel="0" collapsed="false">
      <c r="A232" s="1" t="s">
        <v>335</v>
      </c>
      <c r="B232" s="1" t="n">
        <v>1</v>
      </c>
      <c r="C232" s="5" t="n">
        <v>46167</v>
      </c>
      <c r="D232" s="6" t="s">
        <v>336</v>
      </c>
      <c r="E232" s="6" t="s">
        <v>120</v>
      </c>
      <c r="F232" s="6" t="s">
        <v>73</v>
      </c>
      <c r="G232" s="6" t="s">
        <v>64</v>
      </c>
      <c r="H232" s="6" t="s">
        <v>89</v>
      </c>
      <c r="I232" s="1" t="n">
        <v>2</v>
      </c>
      <c r="J232" s="7" t="n">
        <v>2891.46</v>
      </c>
      <c r="K232" s="8" t="n">
        <v>0.05</v>
      </c>
      <c r="L232" s="7" t="n">
        <v>2196.34</v>
      </c>
      <c r="M232" s="6" t="s">
        <v>49</v>
      </c>
      <c r="N232" s="6" t="s">
        <v>52</v>
      </c>
      <c r="O232" s="6" t="n">
        <f aca="false">IF(TablaVentas[[#This Row],[Precio_unitario]]="","PENDIENTE",TablaVentas[[#This Row],[Unidades]]*TablaVentas[[#This Row],[Precio_unitario]]*(1-TablaVentas[[#This Row],[Descuento_pct]]))</f>
        <v>5493.774</v>
      </c>
      <c r="P232" s="6" t="n">
        <f aca="false">IF(TablaVentas[[#This Row],[Costo_unitario]]="","PENDIENTE",TablaVentas[[#This Row],[Unidades]]*TablaVentas[[#This Row],[Costo_unitario]])</f>
        <v>4392.68</v>
      </c>
      <c r="Q232" s="6" t="n">
        <f aca="false">IF(OR(TablaVentas[[#This Row],[Ingreso_neto]]="PENDIENTE",TablaVentas[[#This Row],[Costo_total]]="PENDIENTE"),"PENDIENTE",TablaVentas[[#This Row],[Ingreso_neto]]-TablaVentas[[#This Row],[Costo_total]])</f>
        <v>1101.094</v>
      </c>
    </row>
    <row r="233" customFormat="false" ht="13.5" hidden="false" customHeight="false" outlineLevel="0" collapsed="false">
      <c r="A233" s="1" t="s">
        <v>337</v>
      </c>
      <c r="B233" s="1" t="n">
        <v>1</v>
      </c>
      <c r="C233" s="5" t="n">
        <v>46264</v>
      </c>
      <c r="D233" s="6" t="s">
        <v>262</v>
      </c>
      <c r="E233" s="6" t="s">
        <v>126</v>
      </c>
      <c r="F233" s="6" t="s">
        <v>84</v>
      </c>
      <c r="G233" s="6" t="s">
        <v>47</v>
      </c>
      <c r="H233" s="6" t="s">
        <v>65</v>
      </c>
      <c r="I233" s="1" t="n">
        <v>3</v>
      </c>
      <c r="J233" s="7" t="n">
        <v>8164.56</v>
      </c>
      <c r="K233" s="8" t="n">
        <v>0</v>
      </c>
      <c r="L233" s="7" t="n">
        <v>6981.94</v>
      </c>
      <c r="M233" s="6" t="s">
        <v>49</v>
      </c>
      <c r="N233" s="6" t="s">
        <v>50</v>
      </c>
      <c r="O233" s="6" t="n">
        <f aca="false">IF(TablaVentas[[#This Row],[Precio_unitario]]="","PENDIENTE",TablaVentas[[#This Row],[Unidades]]*TablaVentas[[#This Row],[Precio_unitario]]*(1-TablaVentas[[#This Row],[Descuento_pct]]))</f>
        <v>24493.68</v>
      </c>
      <c r="P233" s="6" t="n">
        <f aca="false">IF(TablaVentas[[#This Row],[Costo_unitario]]="","PENDIENTE",TablaVentas[[#This Row],[Unidades]]*TablaVentas[[#This Row],[Costo_unitario]])</f>
        <v>20945.82</v>
      </c>
      <c r="Q233" s="6" t="n">
        <f aca="false">IF(OR(TablaVentas[[#This Row],[Ingreso_neto]]="PENDIENTE",TablaVentas[[#This Row],[Costo_total]]="PENDIENTE"),"PENDIENTE",TablaVentas[[#This Row],[Ingreso_neto]]-TablaVentas[[#This Row],[Costo_total]])</f>
        <v>3547.86</v>
      </c>
    </row>
    <row r="234" customFormat="false" ht="13.5" hidden="false" customHeight="false" outlineLevel="0" collapsed="false">
      <c r="A234" s="1" t="s">
        <v>337</v>
      </c>
      <c r="B234" s="1" t="n">
        <v>2</v>
      </c>
      <c r="C234" s="5" t="n">
        <v>46264</v>
      </c>
      <c r="D234" s="6" t="s">
        <v>262</v>
      </c>
      <c r="E234" s="6" t="s">
        <v>130</v>
      </c>
      <c r="F234" s="6" t="s">
        <v>84</v>
      </c>
      <c r="G234" s="6" t="s">
        <v>47</v>
      </c>
      <c r="H234" s="6" t="s">
        <v>65</v>
      </c>
      <c r="I234" s="1" t="n">
        <v>3</v>
      </c>
      <c r="J234" s="7" t="n">
        <v>18740.11</v>
      </c>
      <c r="K234" s="8" t="n">
        <v>0.2</v>
      </c>
      <c r="L234" s="7" t="n">
        <v>12679.41</v>
      </c>
      <c r="M234" s="6" t="s">
        <v>49</v>
      </c>
      <c r="N234" s="6" t="s">
        <v>52</v>
      </c>
      <c r="O234" s="6" t="n">
        <f aca="false">IF(TablaVentas[[#This Row],[Precio_unitario]]="","PENDIENTE",TablaVentas[[#This Row],[Unidades]]*TablaVentas[[#This Row],[Precio_unitario]]*(1-TablaVentas[[#This Row],[Descuento_pct]]))</f>
        <v>44976.264</v>
      </c>
      <c r="P234" s="6" t="n">
        <f aca="false">IF(TablaVentas[[#This Row],[Costo_unitario]]="","PENDIENTE",TablaVentas[[#This Row],[Unidades]]*TablaVentas[[#This Row],[Costo_unitario]])</f>
        <v>38038.23</v>
      </c>
      <c r="Q234" s="6" t="n">
        <f aca="false">IF(OR(TablaVentas[[#This Row],[Ingreso_neto]]="PENDIENTE",TablaVentas[[#This Row],[Costo_total]]="PENDIENTE"),"PENDIENTE",TablaVentas[[#This Row],[Ingreso_neto]]-TablaVentas[[#This Row],[Costo_total]])</f>
        <v>6938.03400000001</v>
      </c>
    </row>
    <row r="235" customFormat="false" ht="13.5" hidden="false" customHeight="false" outlineLevel="0" collapsed="false">
      <c r="A235" s="1" t="s">
        <v>337</v>
      </c>
      <c r="B235" s="1" t="n">
        <v>3</v>
      </c>
      <c r="C235" s="5" t="n">
        <v>46264</v>
      </c>
      <c r="D235" s="6" t="s">
        <v>262</v>
      </c>
      <c r="E235" s="6" t="s">
        <v>72</v>
      </c>
      <c r="F235" s="6" t="s">
        <v>84</v>
      </c>
      <c r="G235" s="6" t="s">
        <v>47</v>
      </c>
      <c r="H235" s="6" t="s">
        <v>65</v>
      </c>
      <c r="I235" s="1" t="n">
        <v>1</v>
      </c>
      <c r="J235" s="7" t="n">
        <v>10672.42</v>
      </c>
      <c r="K235" s="8" t="n">
        <v>0.15</v>
      </c>
      <c r="L235" s="7" t="n">
        <v>7328.02</v>
      </c>
      <c r="M235" s="6" t="s">
        <v>49</v>
      </c>
      <c r="N235" s="6" t="s">
        <v>50</v>
      </c>
      <c r="O235" s="6" t="n">
        <f aca="false">IF(TablaVentas[[#This Row],[Precio_unitario]]="","PENDIENTE",TablaVentas[[#This Row],[Unidades]]*TablaVentas[[#This Row],[Precio_unitario]]*(1-TablaVentas[[#This Row],[Descuento_pct]]))</f>
        <v>9071.557</v>
      </c>
      <c r="P235" s="6" t="n">
        <f aca="false">IF(TablaVentas[[#This Row],[Costo_unitario]]="","PENDIENTE",TablaVentas[[#This Row],[Unidades]]*TablaVentas[[#This Row],[Costo_unitario]])</f>
        <v>7328.02</v>
      </c>
      <c r="Q235" s="6" t="n">
        <f aca="false">IF(OR(TablaVentas[[#This Row],[Ingreso_neto]]="PENDIENTE",TablaVentas[[#This Row],[Costo_total]]="PENDIENTE"),"PENDIENTE",TablaVentas[[#This Row],[Ingreso_neto]]-TablaVentas[[#This Row],[Costo_total]])</f>
        <v>1743.537</v>
      </c>
    </row>
    <row r="236" customFormat="false" ht="13.5" hidden="false" customHeight="false" outlineLevel="0" collapsed="false">
      <c r="A236" s="1" t="s">
        <v>337</v>
      </c>
      <c r="B236" s="1" t="n">
        <v>4</v>
      </c>
      <c r="C236" s="5" t="n">
        <v>46264</v>
      </c>
      <c r="D236" s="6" t="s">
        <v>262</v>
      </c>
      <c r="E236" s="6" t="s">
        <v>132</v>
      </c>
      <c r="F236" s="6" t="s">
        <v>84</v>
      </c>
      <c r="G236" s="6" t="s">
        <v>47</v>
      </c>
      <c r="H236" s="6" t="s">
        <v>65</v>
      </c>
      <c r="I236" s="1" t="n">
        <v>2</v>
      </c>
      <c r="J236" s="7" t="n">
        <v>1707.05</v>
      </c>
      <c r="K236" s="8" t="n">
        <v>0</v>
      </c>
      <c r="L236" s="7" t="n">
        <v>1044.32</v>
      </c>
      <c r="M236" s="6" t="s">
        <v>49</v>
      </c>
      <c r="N236" s="6" t="s">
        <v>52</v>
      </c>
      <c r="O236" s="6" t="n">
        <f aca="false">IF(TablaVentas[[#This Row],[Precio_unitario]]="","PENDIENTE",TablaVentas[[#This Row],[Unidades]]*TablaVentas[[#This Row],[Precio_unitario]]*(1-TablaVentas[[#This Row],[Descuento_pct]]))</f>
        <v>3414.1</v>
      </c>
      <c r="P236" s="6" t="n">
        <f aca="false">IF(TablaVentas[[#This Row],[Costo_unitario]]="","PENDIENTE",TablaVentas[[#This Row],[Unidades]]*TablaVentas[[#This Row],[Costo_unitario]])</f>
        <v>2088.64</v>
      </c>
      <c r="Q236" s="6" t="n">
        <f aca="false">IF(OR(TablaVentas[[#This Row],[Ingreso_neto]]="PENDIENTE",TablaVentas[[#This Row],[Costo_total]]="PENDIENTE"),"PENDIENTE",TablaVentas[[#This Row],[Ingreso_neto]]-TablaVentas[[#This Row],[Costo_total]])</f>
        <v>1325.46</v>
      </c>
    </row>
    <row r="237" customFormat="false" ht="13.5" hidden="false" customHeight="false" outlineLevel="0" collapsed="false">
      <c r="A237" s="1" t="s">
        <v>338</v>
      </c>
      <c r="B237" s="1" t="n">
        <v>1</v>
      </c>
      <c r="C237" s="5" t="n">
        <v>46290</v>
      </c>
      <c r="D237" s="6" t="s">
        <v>339</v>
      </c>
      <c r="E237" s="6" t="s">
        <v>122</v>
      </c>
      <c r="F237" s="6" t="s">
        <v>46</v>
      </c>
      <c r="G237" s="6" t="s">
        <v>47</v>
      </c>
      <c r="H237" s="6" t="s">
        <v>65</v>
      </c>
      <c r="I237" s="1" t="n">
        <v>3</v>
      </c>
      <c r="J237" s="7" t="n">
        <v>1292.61</v>
      </c>
      <c r="K237" s="8" t="n">
        <v>0</v>
      </c>
      <c r="L237" s="7" t="n">
        <v>705.87</v>
      </c>
      <c r="M237" s="6" t="s">
        <v>49</v>
      </c>
      <c r="N237" s="6" t="s">
        <v>59</v>
      </c>
      <c r="O237" s="6" t="n">
        <f aca="false">IF(TablaVentas[[#This Row],[Precio_unitario]]="","PENDIENTE",TablaVentas[[#This Row],[Unidades]]*TablaVentas[[#This Row],[Precio_unitario]]*(1-TablaVentas[[#This Row],[Descuento_pct]]))</f>
        <v>3877.83</v>
      </c>
      <c r="P237" s="6" t="n">
        <f aca="false">IF(TablaVentas[[#This Row],[Costo_unitario]]="","PENDIENTE",TablaVentas[[#This Row],[Unidades]]*TablaVentas[[#This Row],[Costo_unitario]])</f>
        <v>2117.61</v>
      </c>
      <c r="Q237" s="6" t="n">
        <f aca="false">IF(OR(TablaVentas[[#This Row],[Ingreso_neto]]="PENDIENTE",TablaVentas[[#This Row],[Costo_total]]="PENDIENTE"),"PENDIENTE",TablaVentas[[#This Row],[Ingreso_neto]]-TablaVentas[[#This Row],[Costo_total]])</f>
        <v>1760.22</v>
      </c>
    </row>
    <row r="238" customFormat="false" ht="13.5" hidden="false" customHeight="false" outlineLevel="0" collapsed="false">
      <c r="A238" s="1" t="s">
        <v>340</v>
      </c>
      <c r="B238" s="1" t="n">
        <v>1</v>
      </c>
      <c r="C238" s="5" t="n">
        <v>46086</v>
      </c>
      <c r="D238" s="6" t="s">
        <v>341</v>
      </c>
      <c r="E238" s="6" t="s">
        <v>342</v>
      </c>
      <c r="F238" s="6" t="s">
        <v>73</v>
      </c>
      <c r="G238" s="6" t="s">
        <v>57</v>
      </c>
      <c r="H238" s="6" t="s">
        <v>48</v>
      </c>
      <c r="I238" s="1" t="n">
        <v>2</v>
      </c>
      <c r="J238" s="7" t="n">
        <v>7547.62</v>
      </c>
      <c r="K238" s="8" t="n">
        <v>0</v>
      </c>
      <c r="L238" s="7" t="n">
        <v>5587.31</v>
      </c>
      <c r="M238" s="6" t="s">
        <v>123</v>
      </c>
      <c r="N238" s="6" t="s">
        <v>50</v>
      </c>
      <c r="O238" s="6" t="n">
        <f aca="false">IF(TablaVentas[[#This Row],[Precio_unitario]]="","PENDIENTE",TablaVentas[[#This Row],[Unidades]]*TablaVentas[[#This Row],[Precio_unitario]]*(1-TablaVentas[[#This Row],[Descuento_pct]]))</f>
        <v>15095.24</v>
      </c>
      <c r="P238" s="6" t="n">
        <f aca="false">IF(TablaVentas[[#This Row],[Costo_unitario]]="","PENDIENTE",TablaVentas[[#This Row],[Unidades]]*TablaVentas[[#This Row],[Costo_unitario]])</f>
        <v>11174.62</v>
      </c>
      <c r="Q238" s="6" t="n">
        <f aca="false">IF(OR(TablaVentas[[#This Row],[Ingreso_neto]]="PENDIENTE",TablaVentas[[#This Row],[Costo_total]]="PENDIENTE"),"PENDIENTE",TablaVentas[[#This Row],[Ingreso_neto]]-TablaVentas[[#This Row],[Costo_total]])</f>
        <v>3920.62</v>
      </c>
    </row>
    <row r="239" customFormat="false" ht="13.5" hidden="false" customHeight="false" outlineLevel="0" collapsed="false">
      <c r="A239" s="1" t="s">
        <v>340</v>
      </c>
      <c r="B239" s="1" t="n">
        <v>2</v>
      </c>
      <c r="C239" s="5" t="n">
        <v>46086</v>
      </c>
      <c r="D239" s="6" t="s">
        <v>341</v>
      </c>
      <c r="E239" s="6" t="s">
        <v>300</v>
      </c>
      <c r="F239" s="6" t="s">
        <v>73</v>
      </c>
      <c r="G239" s="6" t="s">
        <v>57</v>
      </c>
      <c r="H239" s="6" t="s">
        <v>48</v>
      </c>
      <c r="I239" s="1" t="n">
        <v>1</v>
      </c>
      <c r="J239" s="7" t="n">
        <v>1211.86</v>
      </c>
      <c r="K239" s="8" t="n">
        <v>0.1</v>
      </c>
      <c r="L239" s="7" t="n">
        <v>936.52</v>
      </c>
      <c r="M239" s="6" t="s">
        <v>49</v>
      </c>
      <c r="N239" s="6" t="s">
        <v>67</v>
      </c>
      <c r="O239" s="6" t="n">
        <f aca="false">IF(TablaVentas[[#This Row],[Precio_unitario]]="","PENDIENTE",TablaVentas[[#This Row],[Unidades]]*TablaVentas[[#This Row],[Precio_unitario]]*(1-TablaVentas[[#This Row],[Descuento_pct]]))</f>
        <v>1090.674</v>
      </c>
      <c r="P239" s="6" t="n">
        <f aca="false">IF(TablaVentas[[#This Row],[Costo_unitario]]="","PENDIENTE",TablaVentas[[#This Row],[Unidades]]*TablaVentas[[#This Row],[Costo_unitario]])</f>
        <v>936.52</v>
      </c>
      <c r="Q239" s="6" t="n">
        <f aca="false">IF(OR(TablaVentas[[#This Row],[Ingreso_neto]]="PENDIENTE",TablaVentas[[#This Row],[Costo_total]]="PENDIENTE"),"PENDIENTE",TablaVentas[[#This Row],[Ingreso_neto]]-TablaVentas[[#This Row],[Costo_total]])</f>
        <v>154.154</v>
      </c>
    </row>
    <row r="240" customFormat="false" ht="13.5" hidden="false" customHeight="false" outlineLevel="0" collapsed="false">
      <c r="A240" s="1" t="s">
        <v>343</v>
      </c>
      <c r="B240" s="1" t="n">
        <v>1</v>
      </c>
      <c r="C240" s="5" t="n">
        <v>46110</v>
      </c>
      <c r="D240" s="6" t="s">
        <v>344</v>
      </c>
      <c r="E240" s="6" t="s">
        <v>159</v>
      </c>
      <c r="F240" s="6" t="s">
        <v>46</v>
      </c>
      <c r="G240" s="6" t="s">
        <v>64</v>
      </c>
      <c r="H240" s="6" t="s">
        <v>191</v>
      </c>
      <c r="I240" s="1" t="n">
        <v>2</v>
      </c>
      <c r="J240" s="7" t="n">
        <v>2529.97</v>
      </c>
      <c r="K240" s="8" t="n">
        <v>0</v>
      </c>
      <c r="L240" s="7" t="n">
        <v>1962.3</v>
      </c>
      <c r="M240" s="6" t="s">
        <v>49</v>
      </c>
      <c r="N240" s="6" t="s">
        <v>59</v>
      </c>
      <c r="O240" s="6" t="n">
        <f aca="false">IF(TablaVentas[[#This Row],[Precio_unitario]]="","PENDIENTE",TablaVentas[[#This Row],[Unidades]]*TablaVentas[[#This Row],[Precio_unitario]]*(1-TablaVentas[[#This Row],[Descuento_pct]]))</f>
        <v>5059.94</v>
      </c>
      <c r="P240" s="6" t="n">
        <f aca="false">IF(TablaVentas[[#This Row],[Costo_unitario]]="","PENDIENTE",TablaVentas[[#This Row],[Unidades]]*TablaVentas[[#This Row],[Costo_unitario]])</f>
        <v>3924.6</v>
      </c>
      <c r="Q240" s="6" t="n">
        <f aca="false">IF(OR(TablaVentas[[#This Row],[Ingreso_neto]]="PENDIENTE",TablaVentas[[#This Row],[Costo_total]]="PENDIENTE"),"PENDIENTE",TablaVentas[[#This Row],[Ingreso_neto]]-TablaVentas[[#This Row],[Costo_total]])</f>
        <v>1135.34</v>
      </c>
    </row>
    <row r="241" customFormat="false" ht="13.5" hidden="false" customHeight="false" outlineLevel="0" collapsed="false">
      <c r="A241" s="1" t="s">
        <v>343</v>
      </c>
      <c r="B241" s="1" t="n">
        <v>2</v>
      </c>
      <c r="C241" s="5" t="n">
        <v>46110</v>
      </c>
      <c r="D241" s="6" t="s">
        <v>344</v>
      </c>
      <c r="E241" s="6" t="s">
        <v>166</v>
      </c>
      <c r="F241" s="6" t="s">
        <v>46</v>
      </c>
      <c r="G241" s="6" t="s">
        <v>64</v>
      </c>
      <c r="H241" s="6" t="s">
        <v>191</v>
      </c>
      <c r="I241" s="1" t="n">
        <v>1</v>
      </c>
      <c r="J241" s="7" t="n">
        <v>11541.92</v>
      </c>
      <c r="K241" s="8" t="n">
        <v>0</v>
      </c>
      <c r="L241" s="7" t="n">
        <v>9317.37</v>
      </c>
      <c r="M241" s="6" t="s">
        <v>49</v>
      </c>
      <c r="N241" s="6" t="s">
        <v>67</v>
      </c>
      <c r="O241" s="6" t="n">
        <f aca="false">IF(TablaVentas[[#This Row],[Precio_unitario]]="","PENDIENTE",TablaVentas[[#This Row],[Unidades]]*TablaVentas[[#This Row],[Precio_unitario]]*(1-TablaVentas[[#This Row],[Descuento_pct]]))</f>
        <v>11541.92</v>
      </c>
      <c r="P241" s="6" t="n">
        <f aca="false">IF(TablaVentas[[#This Row],[Costo_unitario]]="","PENDIENTE",TablaVentas[[#This Row],[Unidades]]*TablaVentas[[#This Row],[Costo_unitario]])</f>
        <v>9317.37</v>
      </c>
      <c r="Q241" s="6" t="n">
        <f aca="false">IF(OR(TablaVentas[[#This Row],[Ingreso_neto]]="PENDIENTE",TablaVentas[[#This Row],[Costo_total]]="PENDIENTE"),"PENDIENTE",TablaVentas[[#This Row],[Ingreso_neto]]-TablaVentas[[#This Row],[Costo_total]])</f>
        <v>2224.55</v>
      </c>
    </row>
    <row r="242" customFormat="false" ht="13.5" hidden="false" customHeight="false" outlineLevel="0" collapsed="false">
      <c r="A242" s="1" t="s">
        <v>345</v>
      </c>
      <c r="B242" s="1" t="n">
        <v>1</v>
      </c>
      <c r="C242" s="5" t="n">
        <v>46266</v>
      </c>
      <c r="D242" s="6" t="s">
        <v>346</v>
      </c>
      <c r="E242" s="6" t="s">
        <v>243</v>
      </c>
      <c r="F242" s="6" t="s">
        <v>63</v>
      </c>
      <c r="G242" s="6" t="s">
        <v>64</v>
      </c>
      <c r="H242" s="6" t="s">
        <v>131</v>
      </c>
      <c r="I242" s="1" t="n">
        <v>3</v>
      </c>
      <c r="J242" s="7" t="n">
        <v>10292.91</v>
      </c>
      <c r="K242" s="8" t="n">
        <v>0</v>
      </c>
      <c r="L242" s="7" t="n">
        <v>8061.7</v>
      </c>
      <c r="M242" s="6" t="s">
        <v>49</v>
      </c>
      <c r="N242" s="6" t="s">
        <v>52</v>
      </c>
      <c r="O242" s="6" t="n">
        <f aca="false">IF(TablaVentas[[#This Row],[Precio_unitario]]="","PENDIENTE",TablaVentas[[#This Row],[Unidades]]*TablaVentas[[#This Row],[Precio_unitario]]*(1-TablaVentas[[#This Row],[Descuento_pct]]))</f>
        <v>30878.73</v>
      </c>
      <c r="P242" s="6" t="n">
        <f aca="false">IF(TablaVentas[[#This Row],[Costo_unitario]]="","PENDIENTE",TablaVentas[[#This Row],[Unidades]]*TablaVentas[[#This Row],[Costo_unitario]])</f>
        <v>24185.1</v>
      </c>
      <c r="Q242" s="6" t="n">
        <f aca="false">IF(OR(TablaVentas[[#This Row],[Ingreso_neto]]="PENDIENTE",TablaVentas[[#This Row],[Costo_total]]="PENDIENTE"),"PENDIENTE",TablaVentas[[#This Row],[Ingreso_neto]]-TablaVentas[[#This Row],[Costo_total]])</f>
        <v>6693.63</v>
      </c>
    </row>
    <row r="243" customFormat="false" ht="13.5" hidden="false" customHeight="false" outlineLevel="0" collapsed="false">
      <c r="A243" s="1" t="s">
        <v>345</v>
      </c>
      <c r="B243" s="1" t="n">
        <v>2</v>
      </c>
      <c r="C243" s="5" t="n">
        <v>46266</v>
      </c>
      <c r="D243" s="6" t="s">
        <v>346</v>
      </c>
      <c r="E243" s="6" t="s">
        <v>83</v>
      </c>
      <c r="F243" s="6" t="s">
        <v>63</v>
      </c>
      <c r="G243" s="6" t="s">
        <v>64</v>
      </c>
      <c r="H243" s="6" t="s">
        <v>131</v>
      </c>
      <c r="I243" s="1" t="n">
        <v>4</v>
      </c>
      <c r="J243" s="7" t="n">
        <v>12896.24</v>
      </c>
      <c r="K243" s="8" t="n">
        <v>0.2</v>
      </c>
      <c r="L243" s="7" t="n">
        <v>7748.44</v>
      </c>
      <c r="M243" s="6" t="s">
        <v>49</v>
      </c>
      <c r="N243" s="6" t="s">
        <v>52</v>
      </c>
      <c r="O243" s="6" t="n">
        <f aca="false">IF(TablaVentas[[#This Row],[Precio_unitario]]="","PENDIENTE",TablaVentas[[#This Row],[Unidades]]*TablaVentas[[#This Row],[Precio_unitario]]*(1-TablaVentas[[#This Row],[Descuento_pct]]))</f>
        <v>41267.968</v>
      </c>
      <c r="P243" s="6" t="n">
        <f aca="false">IF(TablaVentas[[#This Row],[Costo_unitario]]="","PENDIENTE",TablaVentas[[#This Row],[Unidades]]*TablaVentas[[#This Row],[Costo_unitario]])</f>
        <v>30993.76</v>
      </c>
      <c r="Q243" s="6" t="n">
        <f aca="false">IF(OR(TablaVentas[[#This Row],[Ingreso_neto]]="PENDIENTE",TablaVentas[[#This Row],[Costo_total]]="PENDIENTE"),"PENDIENTE",TablaVentas[[#This Row],[Ingreso_neto]]-TablaVentas[[#This Row],[Costo_total]])</f>
        <v>10274.208</v>
      </c>
    </row>
    <row r="244" customFormat="false" ht="13.5" hidden="false" customHeight="false" outlineLevel="0" collapsed="false">
      <c r="A244" s="1" t="s">
        <v>347</v>
      </c>
      <c r="B244" s="1" t="n">
        <v>1</v>
      </c>
      <c r="C244" s="5" t="n">
        <v>46172</v>
      </c>
      <c r="D244" s="6" t="s">
        <v>129</v>
      </c>
      <c r="E244" s="6" t="s">
        <v>155</v>
      </c>
      <c r="F244" s="6" t="s">
        <v>63</v>
      </c>
      <c r="G244" s="6" t="s">
        <v>57</v>
      </c>
      <c r="H244" s="6" t="s">
        <v>136</v>
      </c>
      <c r="I244" s="1" t="n">
        <v>2</v>
      </c>
      <c r="J244" s="7" t="n">
        <v>2817.27</v>
      </c>
      <c r="K244" s="8" t="n">
        <v>0.2</v>
      </c>
      <c r="L244" s="7" t="n">
        <v>2459.34</v>
      </c>
      <c r="M244" s="6" t="s">
        <v>49</v>
      </c>
      <c r="N244" s="6" t="s">
        <v>50</v>
      </c>
      <c r="O244" s="6" t="n">
        <f aca="false">IF(TablaVentas[[#This Row],[Precio_unitario]]="","PENDIENTE",TablaVentas[[#This Row],[Unidades]]*TablaVentas[[#This Row],[Precio_unitario]]*(1-TablaVentas[[#This Row],[Descuento_pct]]))</f>
        <v>4507.632</v>
      </c>
      <c r="P244" s="6" t="n">
        <f aca="false">IF(TablaVentas[[#This Row],[Costo_unitario]]="","PENDIENTE",TablaVentas[[#This Row],[Unidades]]*TablaVentas[[#This Row],[Costo_unitario]])</f>
        <v>4918.68</v>
      </c>
      <c r="Q244" s="6" t="n">
        <f aca="false">IF(OR(TablaVentas[[#This Row],[Ingreso_neto]]="PENDIENTE",TablaVentas[[#This Row],[Costo_total]]="PENDIENTE"),"PENDIENTE",TablaVentas[[#This Row],[Ingreso_neto]]-TablaVentas[[#This Row],[Costo_total]])</f>
        <v>-411.048</v>
      </c>
    </row>
    <row r="245" customFormat="false" ht="13.5" hidden="false" customHeight="false" outlineLevel="0" collapsed="false">
      <c r="A245" s="1" t="s">
        <v>347</v>
      </c>
      <c r="B245" s="1" t="n">
        <v>2</v>
      </c>
      <c r="C245" s="5" t="n">
        <v>46172</v>
      </c>
      <c r="D245" s="6" t="s">
        <v>129</v>
      </c>
      <c r="E245" s="6" t="s">
        <v>51</v>
      </c>
      <c r="F245" s="6" t="s">
        <v>63</v>
      </c>
      <c r="G245" s="6" t="s">
        <v>57</v>
      </c>
      <c r="H245" s="6" t="s">
        <v>136</v>
      </c>
      <c r="I245" s="1" t="n">
        <v>1</v>
      </c>
      <c r="J245" s="7" t="n">
        <v>13895.57</v>
      </c>
      <c r="K245" s="8" t="n">
        <v>0</v>
      </c>
      <c r="L245" s="7" t="n">
        <v>8980.68</v>
      </c>
      <c r="M245" s="6" t="s">
        <v>69</v>
      </c>
      <c r="N245" s="6" t="s">
        <v>67</v>
      </c>
      <c r="O245" s="6" t="n">
        <f aca="false">IF(TablaVentas[[#This Row],[Precio_unitario]]="","PENDIENTE",TablaVentas[[#This Row],[Unidades]]*TablaVentas[[#This Row],[Precio_unitario]]*(1-TablaVentas[[#This Row],[Descuento_pct]]))</f>
        <v>13895.57</v>
      </c>
      <c r="P245" s="6" t="n">
        <f aca="false">IF(TablaVentas[[#This Row],[Costo_unitario]]="","PENDIENTE",TablaVentas[[#This Row],[Unidades]]*TablaVentas[[#This Row],[Costo_unitario]])</f>
        <v>8980.68</v>
      </c>
      <c r="Q245" s="6" t="n">
        <f aca="false">IF(OR(TablaVentas[[#This Row],[Ingreso_neto]]="PENDIENTE",TablaVentas[[#This Row],[Costo_total]]="PENDIENTE"),"PENDIENTE",TablaVentas[[#This Row],[Ingreso_neto]]-TablaVentas[[#This Row],[Costo_total]])</f>
        <v>4914.89</v>
      </c>
    </row>
    <row r="246" customFormat="false" ht="13.5" hidden="false" customHeight="false" outlineLevel="0" collapsed="false">
      <c r="A246" s="1" t="s">
        <v>347</v>
      </c>
      <c r="B246" s="1" t="n">
        <v>3</v>
      </c>
      <c r="C246" s="5" t="n">
        <v>46172</v>
      </c>
      <c r="D246" s="6" t="s">
        <v>129</v>
      </c>
      <c r="E246" s="6" t="s">
        <v>192</v>
      </c>
      <c r="F246" s="6" t="s">
        <v>63</v>
      </c>
      <c r="G246" s="6" t="s">
        <v>57</v>
      </c>
      <c r="H246" s="6" t="s">
        <v>136</v>
      </c>
      <c r="I246" s="1" t="n">
        <v>4</v>
      </c>
      <c r="J246" s="7" t="n">
        <v>17077.38</v>
      </c>
      <c r="K246" s="8" t="n">
        <v>0</v>
      </c>
      <c r="L246" s="7" t="n">
        <v>11904.09</v>
      </c>
      <c r="M246" s="6" t="s">
        <v>123</v>
      </c>
      <c r="N246" s="6" t="s">
        <v>59</v>
      </c>
      <c r="O246" s="6" t="n">
        <f aca="false">IF(TablaVentas[[#This Row],[Precio_unitario]]="","PENDIENTE",TablaVentas[[#This Row],[Unidades]]*TablaVentas[[#This Row],[Precio_unitario]]*(1-TablaVentas[[#This Row],[Descuento_pct]]))</f>
        <v>68309.52</v>
      </c>
      <c r="P246" s="6" t="n">
        <f aca="false">IF(TablaVentas[[#This Row],[Costo_unitario]]="","PENDIENTE",TablaVentas[[#This Row],[Unidades]]*TablaVentas[[#This Row],[Costo_unitario]])</f>
        <v>47616.36</v>
      </c>
      <c r="Q246" s="6" t="n">
        <f aca="false">IF(OR(TablaVentas[[#This Row],[Ingreso_neto]]="PENDIENTE",TablaVentas[[#This Row],[Costo_total]]="PENDIENTE"),"PENDIENTE",TablaVentas[[#This Row],[Ingreso_neto]]-TablaVentas[[#This Row],[Costo_total]])</f>
        <v>20693.16</v>
      </c>
    </row>
    <row r="247" customFormat="false" ht="13.5" hidden="false" customHeight="false" outlineLevel="0" collapsed="false">
      <c r="A247" s="1" t="s">
        <v>347</v>
      </c>
      <c r="B247" s="1" t="n">
        <v>4</v>
      </c>
      <c r="C247" s="5" t="n">
        <v>46172</v>
      </c>
      <c r="D247" s="6" t="s">
        <v>129</v>
      </c>
      <c r="E247" s="6" t="s">
        <v>269</v>
      </c>
      <c r="F247" s="6" t="s">
        <v>63</v>
      </c>
      <c r="G247" s="6" t="s">
        <v>57</v>
      </c>
      <c r="H247" s="6" t="s">
        <v>136</v>
      </c>
      <c r="I247" s="1" t="n">
        <v>8</v>
      </c>
      <c r="J247" s="7" t="n">
        <v>12421.8</v>
      </c>
      <c r="K247" s="8" t="n">
        <v>0</v>
      </c>
      <c r="L247" s="7" t="n">
        <v>8227.46</v>
      </c>
      <c r="M247" s="6" t="s">
        <v>49</v>
      </c>
      <c r="N247" s="6" t="s">
        <v>52</v>
      </c>
      <c r="O247" s="6" t="n">
        <f aca="false">IF(TablaVentas[[#This Row],[Precio_unitario]]="","PENDIENTE",TablaVentas[[#This Row],[Unidades]]*TablaVentas[[#This Row],[Precio_unitario]]*(1-TablaVentas[[#This Row],[Descuento_pct]]))</f>
        <v>99374.4</v>
      </c>
      <c r="P247" s="6" t="n">
        <f aca="false">IF(TablaVentas[[#This Row],[Costo_unitario]]="","PENDIENTE",TablaVentas[[#This Row],[Unidades]]*TablaVentas[[#This Row],[Costo_unitario]])</f>
        <v>65819.68</v>
      </c>
      <c r="Q247" s="6" t="n">
        <f aca="false">IF(OR(TablaVentas[[#This Row],[Ingreso_neto]]="PENDIENTE",TablaVentas[[#This Row],[Costo_total]]="PENDIENTE"),"PENDIENTE",TablaVentas[[#This Row],[Ingreso_neto]]-TablaVentas[[#This Row],[Costo_total]])</f>
        <v>33554.72</v>
      </c>
    </row>
    <row r="248" customFormat="false" ht="13.5" hidden="false" customHeight="false" outlineLevel="0" collapsed="false">
      <c r="A248" s="1" t="s">
        <v>348</v>
      </c>
      <c r="B248" s="1" t="n">
        <v>1</v>
      </c>
      <c r="C248" s="5" t="n">
        <v>46160</v>
      </c>
      <c r="D248" s="6" t="s">
        <v>349</v>
      </c>
      <c r="E248" s="6" t="s">
        <v>93</v>
      </c>
      <c r="F248" s="6" t="s">
        <v>63</v>
      </c>
      <c r="G248" s="6" t="s">
        <v>47</v>
      </c>
      <c r="H248" s="6" t="s">
        <v>48</v>
      </c>
      <c r="I248" s="1" t="n">
        <v>2</v>
      </c>
      <c r="J248" s="7" t="n">
        <v>14034.26</v>
      </c>
      <c r="K248" s="8" t="n">
        <v>0.1</v>
      </c>
      <c r="L248" s="7" t="n">
        <v>11166.03</v>
      </c>
      <c r="M248" s="6" t="s">
        <v>49</v>
      </c>
      <c r="N248" s="6" t="s">
        <v>50</v>
      </c>
      <c r="O248" s="6" t="n">
        <f aca="false">IF(TablaVentas[[#This Row],[Precio_unitario]]="","PENDIENTE",TablaVentas[[#This Row],[Unidades]]*TablaVentas[[#This Row],[Precio_unitario]]*(1-TablaVentas[[#This Row],[Descuento_pct]]))</f>
        <v>25261.668</v>
      </c>
      <c r="P248" s="6" t="n">
        <f aca="false">IF(TablaVentas[[#This Row],[Costo_unitario]]="","PENDIENTE",TablaVentas[[#This Row],[Unidades]]*TablaVentas[[#This Row],[Costo_unitario]])</f>
        <v>22332.06</v>
      </c>
      <c r="Q248" s="6" t="n">
        <f aca="false">IF(OR(TablaVentas[[#This Row],[Ingreso_neto]]="PENDIENTE",TablaVentas[[#This Row],[Costo_total]]="PENDIENTE"),"PENDIENTE",TablaVentas[[#This Row],[Ingreso_neto]]-TablaVentas[[#This Row],[Costo_total]])</f>
        <v>2929.608</v>
      </c>
    </row>
    <row r="249" customFormat="false" ht="13.5" hidden="false" customHeight="false" outlineLevel="0" collapsed="false">
      <c r="A249" s="1" t="s">
        <v>348</v>
      </c>
      <c r="B249" s="1" t="n">
        <v>2</v>
      </c>
      <c r="C249" s="5" t="n">
        <v>46160</v>
      </c>
      <c r="D249" s="6" t="s">
        <v>349</v>
      </c>
      <c r="E249" s="6" t="s">
        <v>278</v>
      </c>
      <c r="F249" s="6" t="s">
        <v>63</v>
      </c>
      <c r="G249" s="6" t="s">
        <v>47</v>
      </c>
      <c r="H249" s="6" t="s">
        <v>48</v>
      </c>
      <c r="I249" s="1" t="n">
        <v>1</v>
      </c>
      <c r="J249" s="7" t="n">
        <v>1103</v>
      </c>
      <c r="K249" s="8" t="n">
        <v>0</v>
      </c>
      <c r="L249" s="7" t="n">
        <v>759.03</v>
      </c>
      <c r="M249" s="6" t="s">
        <v>49</v>
      </c>
      <c r="N249" s="6" t="s">
        <v>50</v>
      </c>
      <c r="O249" s="6" t="n">
        <f aca="false">IF(TablaVentas[[#This Row],[Precio_unitario]]="","PENDIENTE",TablaVentas[[#This Row],[Unidades]]*TablaVentas[[#This Row],[Precio_unitario]]*(1-TablaVentas[[#This Row],[Descuento_pct]]))</f>
        <v>1103</v>
      </c>
      <c r="P249" s="6" t="n">
        <f aca="false">IF(TablaVentas[[#This Row],[Costo_unitario]]="","PENDIENTE",TablaVentas[[#This Row],[Unidades]]*TablaVentas[[#This Row],[Costo_unitario]])</f>
        <v>759.03</v>
      </c>
      <c r="Q249" s="6" t="n">
        <f aca="false">IF(OR(TablaVentas[[#This Row],[Ingreso_neto]]="PENDIENTE",TablaVentas[[#This Row],[Costo_total]]="PENDIENTE"),"PENDIENTE",TablaVentas[[#This Row],[Ingreso_neto]]-TablaVentas[[#This Row],[Costo_total]])</f>
        <v>343.97</v>
      </c>
    </row>
    <row r="250" customFormat="false" ht="13.5" hidden="false" customHeight="false" outlineLevel="0" collapsed="false">
      <c r="A250" s="1" t="s">
        <v>350</v>
      </c>
      <c r="B250" s="1" t="n">
        <v>1</v>
      </c>
      <c r="C250" s="5" t="n">
        <v>46295</v>
      </c>
      <c r="D250" s="6" t="s">
        <v>351</v>
      </c>
      <c r="E250" s="6" t="s">
        <v>145</v>
      </c>
      <c r="F250" s="6" t="s">
        <v>73</v>
      </c>
      <c r="G250" s="6" t="s">
        <v>64</v>
      </c>
      <c r="H250" s="6" t="s">
        <v>80</v>
      </c>
      <c r="I250" s="1" t="n">
        <v>2</v>
      </c>
      <c r="J250" s="7" t="n">
        <v>6964.91</v>
      </c>
      <c r="K250" s="8" t="n">
        <v>0.05</v>
      </c>
      <c r="L250" s="7" t="n">
        <v>4665.62</v>
      </c>
      <c r="M250" s="6" t="s">
        <v>49</v>
      </c>
      <c r="N250" s="6" t="s">
        <v>59</v>
      </c>
      <c r="O250" s="6" t="n">
        <f aca="false">IF(TablaVentas[[#This Row],[Precio_unitario]]="","PENDIENTE",TablaVentas[[#This Row],[Unidades]]*TablaVentas[[#This Row],[Precio_unitario]]*(1-TablaVentas[[#This Row],[Descuento_pct]]))</f>
        <v>13233.329</v>
      </c>
      <c r="P250" s="6" t="n">
        <f aca="false">IF(TablaVentas[[#This Row],[Costo_unitario]]="","PENDIENTE",TablaVentas[[#This Row],[Unidades]]*TablaVentas[[#This Row],[Costo_unitario]])</f>
        <v>9331.24</v>
      </c>
      <c r="Q250" s="6" t="n">
        <f aca="false">IF(OR(TablaVentas[[#This Row],[Ingreso_neto]]="PENDIENTE",TablaVentas[[#This Row],[Costo_total]]="PENDIENTE"),"PENDIENTE",TablaVentas[[#This Row],[Ingreso_neto]]-TablaVentas[[#This Row],[Costo_total]])</f>
        <v>3902.089</v>
      </c>
    </row>
    <row r="251" customFormat="false" ht="13.5" hidden="false" customHeight="false" outlineLevel="0" collapsed="false">
      <c r="A251" s="1" t="s">
        <v>350</v>
      </c>
      <c r="B251" s="1" t="n">
        <v>2</v>
      </c>
      <c r="C251" s="5" t="n">
        <v>46295</v>
      </c>
      <c r="D251" s="6" t="s">
        <v>351</v>
      </c>
      <c r="E251" s="6" t="s">
        <v>179</v>
      </c>
      <c r="F251" s="6" t="s">
        <v>73</v>
      </c>
      <c r="G251" s="6" t="s">
        <v>64</v>
      </c>
      <c r="H251" s="6" t="s">
        <v>80</v>
      </c>
      <c r="I251" s="1" t="n">
        <v>1</v>
      </c>
      <c r="J251" s="7" t="n">
        <v>16405.12</v>
      </c>
      <c r="K251" s="8" t="n">
        <v>0.1</v>
      </c>
      <c r="L251" s="7" t="n">
        <v>10830.17</v>
      </c>
      <c r="M251" s="6" t="s">
        <v>49</v>
      </c>
      <c r="N251" s="6" t="s">
        <v>59</v>
      </c>
      <c r="O251" s="6" t="n">
        <f aca="false">IF(TablaVentas[[#This Row],[Precio_unitario]]="","PENDIENTE",TablaVentas[[#This Row],[Unidades]]*TablaVentas[[#This Row],[Precio_unitario]]*(1-TablaVentas[[#This Row],[Descuento_pct]]))</f>
        <v>14764.608</v>
      </c>
      <c r="P251" s="6" t="n">
        <f aca="false">IF(TablaVentas[[#This Row],[Costo_unitario]]="","PENDIENTE",TablaVentas[[#This Row],[Unidades]]*TablaVentas[[#This Row],[Costo_unitario]])</f>
        <v>10830.17</v>
      </c>
      <c r="Q251" s="6" t="n">
        <f aca="false">IF(OR(TablaVentas[[#This Row],[Ingreso_neto]]="PENDIENTE",TablaVentas[[#This Row],[Costo_total]]="PENDIENTE"),"PENDIENTE",TablaVentas[[#This Row],[Ingreso_neto]]-TablaVentas[[#This Row],[Costo_total]])</f>
        <v>3934.438</v>
      </c>
    </row>
    <row r="252" customFormat="false" ht="13.5" hidden="false" customHeight="false" outlineLevel="0" collapsed="false">
      <c r="A252" s="1" t="s">
        <v>350</v>
      </c>
      <c r="B252" s="1" t="n">
        <v>3</v>
      </c>
      <c r="C252" s="5" t="n">
        <v>46295</v>
      </c>
      <c r="D252" s="6" t="s">
        <v>351</v>
      </c>
      <c r="E252" s="6" t="s">
        <v>300</v>
      </c>
      <c r="F252" s="6" t="s">
        <v>73</v>
      </c>
      <c r="G252" s="6" t="s">
        <v>64</v>
      </c>
      <c r="H252" s="6" t="s">
        <v>80</v>
      </c>
      <c r="I252" s="1" t="n">
        <v>1</v>
      </c>
      <c r="J252" s="7" t="n">
        <v>1148.19</v>
      </c>
      <c r="K252" s="8" t="n">
        <v>0.05</v>
      </c>
      <c r="L252" s="7" t="n">
        <v>936.52</v>
      </c>
      <c r="M252" s="6" t="s">
        <v>49</v>
      </c>
      <c r="N252" s="6" t="s">
        <v>67</v>
      </c>
      <c r="O252" s="6" t="n">
        <f aca="false">IF(TablaVentas[[#This Row],[Precio_unitario]]="","PENDIENTE",TablaVentas[[#This Row],[Unidades]]*TablaVentas[[#This Row],[Precio_unitario]]*(1-TablaVentas[[#This Row],[Descuento_pct]]))</f>
        <v>1090.7805</v>
      </c>
      <c r="P252" s="6" t="n">
        <f aca="false">IF(TablaVentas[[#This Row],[Costo_unitario]]="","PENDIENTE",TablaVentas[[#This Row],[Unidades]]*TablaVentas[[#This Row],[Costo_unitario]])</f>
        <v>936.52</v>
      </c>
      <c r="Q252" s="6" t="n">
        <f aca="false">IF(OR(TablaVentas[[#This Row],[Ingreso_neto]]="PENDIENTE",TablaVentas[[#This Row],[Costo_total]]="PENDIENTE"),"PENDIENTE",TablaVentas[[#This Row],[Ingreso_neto]]-TablaVentas[[#This Row],[Costo_total]])</f>
        <v>154.2605</v>
      </c>
    </row>
    <row r="253" customFormat="false" ht="13.5" hidden="false" customHeight="false" outlineLevel="0" collapsed="false">
      <c r="A253" s="1" t="s">
        <v>350</v>
      </c>
      <c r="B253" s="1" t="n">
        <v>4</v>
      </c>
      <c r="C253" s="5" t="n">
        <v>46295</v>
      </c>
      <c r="D253" s="6" t="s">
        <v>351</v>
      </c>
      <c r="E253" s="6" t="s">
        <v>97</v>
      </c>
      <c r="F253" s="6" t="s">
        <v>73</v>
      </c>
      <c r="G253" s="6" t="s">
        <v>64</v>
      </c>
      <c r="H253" s="6" t="s">
        <v>80</v>
      </c>
      <c r="I253" s="1" t="n">
        <v>1</v>
      </c>
      <c r="J253" s="7" t="n">
        <v>10848.29</v>
      </c>
      <c r="K253" s="8" t="n">
        <v>0.1</v>
      </c>
      <c r="L253" s="7" t="n">
        <v>8174.87</v>
      </c>
      <c r="M253" s="6" t="s">
        <v>49</v>
      </c>
      <c r="N253" s="6" t="s">
        <v>67</v>
      </c>
      <c r="O253" s="6" t="n">
        <f aca="false">IF(TablaVentas[[#This Row],[Precio_unitario]]="","PENDIENTE",TablaVentas[[#This Row],[Unidades]]*TablaVentas[[#This Row],[Precio_unitario]]*(1-TablaVentas[[#This Row],[Descuento_pct]]))</f>
        <v>9763.461</v>
      </c>
      <c r="P253" s="6" t="n">
        <f aca="false">IF(TablaVentas[[#This Row],[Costo_unitario]]="","PENDIENTE",TablaVentas[[#This Row],[Unidades]]*TablaVentas[[#This Row],[Costo_unitario]])</f>
        <v>8174.87</v>
      </c>
      <c r="Q253" s="6" t="n">
        <f aca="false">IF(OR(TablaVentas[[#This Row],[Ingreso_neto]]="PENDIENTE",TablaVentas[[#This Row],[Costo_total]]="PENDIENTE"),"PENDIENTE",TablaVentas[[#This Row],[Ingreso_neto]]-TablaVentas[[#This Row],[Costo_total]])</f>
        <v>1588.591</v>
      </c>
    </row>
    <row r="254" customFormat="false" ht="13.5" hidden="false" customHeight="false" outlineLevel="0" collapsed="false">
      <c r="A254" s="1" t="s">
        <v>352</v>
      </c>
      <c r="B254" s="1" t="n">
        <v>1</v>
      </c>
      <c r="C254" s="5" t="n">
        <v>46208</v>
      </c>
      <c r="D254" s="6" t="s">
        <v>154</v>
      </c>
      <c r="E254" s="6" t="s">
        <v>280</v>
      </c>
      <c r="F254" s="6" t="s">
        <v>46</v>
      </c>
      <c r="G254" s="6" t="s">
        <v>47</v>
      </c>
      <c r="H254" s="6" t="s">
        <v>65</v>
      </c>
      <c r="I254" s="1" t="n">
        <v>1</v>
      </c>
      <c r="J254" s="7" t="n">
        <v>1316.24</v>
      </c>
      <c r="K254" s="8" t="n">
        <v>0.2</v>
      </c>
      <c r="L254" s="7" t="n">
        <v>716.26</v>
      </c>
      <c r="M254" s="6" t="s">
        <v>49</v>
      </c>
      <c r="N254" s="6" t="s">
        <v>59</v>
      </c>
      <c r="O254" s="6" t="n">
        <f aca="false">IF(TablaVentas[[#This Row],[Precio_unitario]]="","PENDIENTE",TablaVentas[[#This Row],[Unidades]]*TablaVentas[[#This Row],[Precio_unitario]]*(1-TablaVentas[[#This Row],[Descuento_pct]]))</f>
        <v>1052.992</v>
      </c>
      <c r="P254" s="6" t="n">
        <f aca="false">IF(TablaVentas[[#This Row],[Costo_unitario]]="","PENDIENTE",TablaVentas[[#This Row],[Unidades]]*TablaVentas[[#This Row],[Costo_unitario]])</f>
        <v>716.26</v>
      </c>
      <c r="Q254" s="6" t="n">
        <f aca="false">IF(OR(TablaVentas[[#This Row],[Ingreso_neto]]="PENDIENTE",TablaVentas[[#This Row],[Costo_total]]="PENDIENTE"),"PENDIENTE",TablaVentas[[#This Row],[Ingreso_neto]]-TablaVentas[[#This Row],[Costo_total]])</f>
        <v>336.732</v>
      </c>
    </row>
    <row r="255" customFormat="false" ht="13.5" hidden="false" customHeight="false" outlineLevel="0" collapsed="false">
      <c r="A255" s="1" t="s">
        <v>352</v>
      </c>
      <c r="B255" s="1" t="n">
        <v>2</v>
      </c>
      <c r="C255" s="5" t="n">
        <v>46208</v>
      </c>
      <c r="D255" s="6" t="s">
        <v>154</v>
      </c>
      <c r="E255" s="6" t="s">
        <v>353</v>
      </c>
      <c r="F255" s="6" t="s">
        <v>46</v>
      </c>
      <c r="G255" s="6" t="s">
        <v>47</v>
      </c>
      <c r="H255" s="6" t="s">
        <v>65</v>
      </c>
      <c r="I255" s="1" t="n">
        <v>1</v>
      </c>
      <c r="J255" s="7" t="n">
        <v>2272.62</v>
      </c>
      <c r="K255" s="8" t="n">
        <v>0</v>
      </c>
      <c r="L255" s="7" t="n">
        <v>1175.74</v>
      </c>
      <c r="M255" s="6" t="s">
        <v>49</v>
      </c>
      <c r="N255" s="6" t="s">
        <v>59</v>
      </c>
      <c r="O255" s="6" t="n">
        <f aca="false">IF(TablaVentas[[#This Row],[Precio_unitario]]="","PENDIENTE",TablaVentas[[#This Row],[Unidades]]*TablaVentas[[#This Row],[Precio_unitario]]*(1-TablaVentas[[#This Row],[Descuento_pct]]))</f>
        <v>2272.62</v>
      </c>
      <c r="P255" s="6" t="n">
        <f aca="false">IF(TablaVentas[[#This Row],[Costo_unitario]]="","PENDIENTE",TablaVentas[[#This Row],[Unidades]]*TablaVentas[[#This Row],[Costo_unitario]])</f>
        <v>1175.74</v>
      </c>
      <c r="Q255" s="6" t="n">
        <f aca="false">IF(OR(TablaVentas[[#This Row],[Ingreso_neto]]="PENDIENTE",TablaVentas[[#This Row],[Costo_total]]="PENDIENTE"),"PENDIENTE",TablaVentas[[#This Row],[Ingreso_neto]]-TablaVentas[[#This Row],[Costo_total]])</f>
        <v>1096.88</v>
      </c>
    </row>
    <row r="256" customFormat="false" ht="13.5" hidden="false" customHeight="false" outlineLevel="0" collapsed="false">
      <c r="A256" s="1" t="s">
        <v>352</v>
      </c>
      <c r="B256" s="1" t="n">
        <v>3</v>
      </c>
      <c r="C256" s="5" t="n">
        <v>46208</v>
      </c>
      <c r="D256" s="6" t="s">
        <v>154</v>
      </c>
      <c r="E256" s="6" t="s">
        <v>233</v>
      </c>
      <c r="F256" s="6" t="s">
        <v>46</v>
      </c>
      <c r="G256" s="6" t="s">
        <v>47</v>
      </c>
      <c r="H256" s="6" t="s">
        <v>65</v>
      </c>
      <c r="I256" s="1" t="n">
        <v>4</v>
      </c>
      <c r="J256" s="7" t="n">
        <v>17572.74</v>
      </c>
      <c r="K256" s="8" t="n">
        <v>0.15</v>
      </c>
      <c r="L256" s="7" t="n">
        <v>9976.68</v>
      </c>
      <c r="M256" s="6" t="s">
        <v>49</v>
      </c>
      <c r="N256" s="6" t="s">
        <v>52</v>
      </c>
      <c r="O256" s="6" t="n">
        <f aca="false">IF(TablaVentas[[#This Row],[Precio_unitario]]="","PENDIENTE",TablaVentas[[#This Row],[Unidades]]*TablaVentas[[#This Row],[Precio_unitario]]*(1-TablaVentas[[#This Row],[Descuento_pct]]))</f>
        <v>59747.316</v>
      </c>
      <c r="P256" s="6" t="n">
        <f aca="false">IF(TablaVentas[[#This Row],[Costo_unitario]]="","PENDIENTE",TablaVentas[[#This Row],[Unidades]]*TablaVentas[[#This Row],[Costo_unitario]])</f>
        <v>39906.72</v>
      </c>
      <c r="Q256" s="6" t="n">
        <f aca="false">IF(OR(TablaVentas[[#This Row],[Ingreso_neto]]="PENDIENTE",TablaVentas[[#This Row],[Costo_total]]="PENDIENTE"),"PENDIENTE",TablaVentas[[#This Row],[Ingreso_neto]]-TablaVentas[[#This Row],[Costo_total]])</f>
        <v>19840.596</v>
      </c>
    </row>
    <row r="257" customFormat="false" ht="13.5" hidden="false" customHeight="false" outlineLevel="0" collapsed="false">
      <c r="A257" s="1" t="s">
        <v>352</v>
      </c>
      <c r="B257" s="1" t="n">
        <v>4</v>
      </c>
      <c r="C257" s="5" t="n">
        <v>46208</v>
      </c>
      <c r="D257" s="6" t="s">
        <v>154</v>
      </c>
      <c r="E257" s="6" t="s">
        <v>53</v>
      </c>
      <c r="F257" s="6" t="s">
        <v>46</v>
      </c>
      <c r="G257" s="6" t="s">
        <v>47</v>
      </c>
      <c r="H257" s="6" t="s">
        <v>65</v>
      </c>
      <c r="I257" s="1" t="n">
        <v>1</v>
      </c>
      <c r="J257" s="7" t="n">
        <v>4221.28</v>
      </c>
      <c r="K257" s="8" t="n">
        <v>0</v>
      </c>
      <c r="L257" s="7" t="n">
        <v>2957.6</v>
      </c>
      <c r="M257" s="6" t="s">
        <v>49</v>
      </c>
      <c r="N257" s="6" t="s">
        <v>59</v>
      </c>
      <c r="O257" s="6" t="n">
        <f aca="false">IF(TablaVentas[[#This Row],[Precio_unitario]]="","PENDIENTE",TablaVentas[[#This Row],[Unidades]]*TablaVentas[[#This Row],[Precio_unitario]]*(1-TablaVentas[[#This Row],[Descuento_pct]]))</f>
        <v>4221.28</v>
      </c>
      <c r="P257" s="6" t="n">
        <f aca="false">IF(TablaVentas[[#This Row],[Costo_unitario]]="","PENDIENTE",TablaVentas[[#This Row],[Unidades]]*TablaVentas[[#This Row],[Costo_unitario]])</f>
        <v>2957.6</v>
      </c>
      <c r="Q257" s="6" t="n">
        <f aca="false">IF(OR(TablaVentas[[#This Row],[Ingreso_neto]]="PENDIENTE",TablaVentas[[#This Row],[Costo_total]]="PENDIENTE"),"PENDIENTE",TablaVentas[[#This Row],[Ingreso_neto]]-TablaVentas[[#This Row],[Costo_total]])</f>
        <v>1263.68</v>
      </c>
    </row>
    <row r="258" customFormat="false" ht="13.5" hidden="false" customHeight="false" outlineLevel="0" collapsed="false">
      <c r="A258" s="1" t="s">
        <v>354</v>
      </c>
      <c r="B258" s="1" t="n">
        <v>1</v>
      </c>
      <c r="C258" s="5" t="n">
        <v>46087</v>
      </c>
      <c r="D258" s="6" t="s">
        <v>355</v>
      </c>
      <c r="E258" s="6" t="s">
        <v>265</v>
      </c>
      <c r="F258" s="6" t="s">
        <v>63</v>
      </c>
      <c r="G258" s="6" t="s">
        <v>47</v>
      </c>
      <c r="H258" s="6" t="s">
        <v>136</v>
      </c>
      <c r="I258" s="1" t="n">
        <v>1</v>
      </c>
      <c r="J258" s="7" t="n">
        <v>3538.83</v>
      </c>
      <c r="K258" s="8" t="n">
        <v>0.15</v>
      </c>
      <c r="L258" s="7" t="n">
        <v>2008.57</v>
      </c>
      <c r="M258" s="6" t="s">
        <v>49</v>
      </c>
      <c r="N258" s="6" t="s">
        <v>52</v>
      </c>
      <c r="O258" s="6" t="n">
        <f aca="false">IF(TablaVentas[[#This Row],[Precio_unitario]]="","PENDIENTE",TablaVentas[[#This Row],[Unidades]]*TablaVentas[[#This Row],[Precio_unitario]]*(1-TablaVentas[[#This Row],[Descuento_pct]]))</f>
        <v>3008.0055</v>
      </c>
      <c r="P258" s="6" t="n">
        <f aca="false">IF(TablaVentas[[#This Row],[Costo_unitario]]="","PENDIENTE",TablaVentas[[#This Row],[Unidades]]*TablaVentas[[#This Row],[Costo_unitario]])</f>
        <v>2008.57</v>
      </c>
      <c r="Q258" s="6" t="n">
        <f aca="false">IF(OR(TablaVentas[[#This Row],[Ingreso_neto]]="PENDIENTE",TablaVentas[[#This Row],[Costo_total]]="PENDIENTE"),"PENDIENTE",TablaVentas[[#This Row],[Ingreso_neto]]-TablaVentas[[#This Row],[Costo_total]])</f>
        <v>999.4355</v>
      </c>
    </row>
    <row r="259" customFormat="false" ht="13.5" hidden="false" customHeight="false" outlineLevel="0" collapsed="false">
      <c r="A259" s="1" t="s">
        <v>356</v>
      </c>
      <c r="B259" s="1" t="n">
        <v>1</v>
      </c>
      <c r="C259" s="5" t="n">
        <v>46210</v>
      </c>
      <c r="D259" s="6" t="s">
        <v>357</v>
      </c>
      <c r="E259" s="6" t="s">
        <v>218</v>
      </c>
      <c r="F259" s="6" t="s">
        <v>63</v>
      </c>
      <c r="G259" s="6" t="s">
        <v>57</v>
      </c>
      <c r="H259" s="6" t="s">
        <v>48</v>
      </c>
      <c r="I259" s="1" t="n">
        <v>2</v>
      </c>
      <c r="J259" s="7" t="n">
        <v>19441.15</v>
      </c>
      <c r="K259" s="8" t="n">
        <v>0.2</v>
      </c>
      <c r="L259" s="7" t="n">
        <v>13760.53</v>
      </c>
      <c r="M259" s="6" t="s">
        <v>49</v>
      </c>
      <c r="N259" s="6" t="s">
        <v>52</v>
      </c>
      <c r="O259" s="6" t="n">
        <f aca="false">IF(TablaVentas[[#This Row],[Precio_unitario]]="","PENDIENTE",TablaVentas[[#This Row],[Unidades]]*TablaVentas[[#This Row],[Precio_unitario]]*(1-TablaVentas[[#This Row],[Descuento_pct]]))</f>
        <v>31105.84</v>
      </c>
      <c r="P259" s="6" t="n">
        <f aca="false">IF(TablaVentas[[#This Row],[Costo_unitario]]="","PENDIENTE",TablaVentas[[#This Row],[Unidades]]*TablaVentas[[#This Row],[Costo_unitario]])</f>
        <v>27521.06</v>
      </c>
      <c r="Q259" s="6" t="n">
        <f aca="false">IF(OR(TablaVentas[[#This Row],[Ingreso_neto]]="PENDIENTE",TablaVentas[[#This Row],[Costo_total]]="PENDIENTE"),"PENDIENTE",TablaVentas[[#This Row],[Ingreso_neto]]-TablaVentas[[#This Row],[Costo_total]])</f>
        <v>3584.78</v>
      </c>
    </row>
    <row r="260" customFormat="false" ht="13.5" hidden="false" customHeight="false" outlineLevel="0" collapsed="false">
      <c r="A260" s="1" t="s">
        <v>358</v>
      </c>
      <c r="B260" s="1" t="n">
        <v>1</v>
      </c>
      <c r="C260" s="5" t="n">
        <v>46080</v>
      </c>
      <c r="D260" s="6" t="s">
        <v>359</v>
      </c>
      <c r="E260" s="6" t="s">
        <v>51</v>
      </c>
      <c r="F260" s="6" t="s">
        <v>46</v>
      </c>
      <c r="G260" s="6" t="s">
        <v>47</v>
      </c>
      <c r="H260" s="6" t="s">
        <v>109</v>
      </c>
      <c r="I260" s="1" t="n">
        <v>2</v>
      </c>
      <c r="J260" s="7" t="n">
        <v>14238.23</v>
      </c>
      <c r="K260" s="8" t="n">
        <v>0.1</v>
      </c>
      <c r="L260" s="7" t="n">
        <v>8980.68</v>
      </c>
      <c r="M260" s="6" t="s">
        <v>49</v>
      </c>
      <c r="N260" s="6" t="s">
        <v>67</v>
      </c>
      <c r="O260" s="6" t="n">
        <f aca="false">IF(TablaVentas[[#This Row],[Precio_unitario]]="","PENDIENTE",TablaVentas[[#This Row],[Unidades]]*TablaVentas[[#This Row],[Precio_unitario]]*(1-TablaVentas[[#This Row],[Descuento_pct]]))</f>
        <v>25628.814</v>
      </c>
      <c r="P260" s="6" t="n">
        <f aca="false">IF(TablaVentas[[#This Row],[Costo_unitario]]="","PENDIENTE",TablaVentas[[#This Row],[Unidades]]*TablaVentas[[#This Row],[Costo_unitario]])</f>
        <v>17961.36</v>
      </c>
      <c r="Q260" s="6" t="n">
        <f aca="false">IF(OR(TablaVentas[[#This Row],[Ingreso_neto]]="PENDIENTE",TablaVentas[[#This Row],[Costo_total]]="PENDIENTE"),"PENDIENTE",TablaVentas[[#This Row],[Ingreso_neto]]-TablaVentas[[#This Row],[Costo_total]])</f>
        <v>7667.454</v>
      </c>
    </row>
    <row r="261" customFormat="false" ht="13.5" hidden="false" customHeight="false" outlineLevel="0" collapsed="false">
      <c r="A261" s="1" t="s">
        <v>358</v>
      </c>
      <c r="B261" s="1" t="n">
        <v>2</v>
      </c>
      <c r="C261" s="5" t="n">
        <v>46080</v>
      </c>
      <c r="D261" s="6" t="s">
        <v>359</v>
      </c>
      <c r="E261" s="6" t="s">
        <v>360</v>
      </c>
      <c r="F261" s="6" t="s">
        <v>46</v>
      </c>
      <c r="G261" s="6" t="s">
        <v>47</v>
      </c>
      <c r="H261" s="6" t="s">
        <v>109</v>
      </c>
      <c r="I261" s="1" t="n">
        <v>2</v>
      </c>
      <c r="J261" s="7" t="n">
        <v>2191.31</v>
      </c>
      <c r="K261" s="8" t="n">
        <v>0.2</v>
      </c>
      <c r="L261" s="7" t="n">
        <v>1479.71</v>
      </c>
      <c r="M261" s="6" t="s">
        <v>49</v>
      </c>
      <c r="N261" s="6" t="s">
        <v>67</v>
      </c>
      <c r="O261" s="6" t="n">
        <f aca="false">IF(TablaVentas[[#This Row],[Precio_unitario]]="","PENDIENTE",TablaVentas[[#This Row],[Unidades]]*TablaVentas[[#This Row],[Precio_unitario]]*(1-TablaVentas[[#This Row],[Descuento_pct]]))</f>
        <v>3506.096</v>
      </c>
      <c r="P261" s="6" t="n">
        <f aca="false">IF(TablaVentas[[#This Row],[Costo_unitario]]="","PENDIENTE",TablaVentas[[#This Row],[Unidades]]*TablaVentas[[#This Row],[Costo_unitario]])</f>
        <v>2959.42</v>
      </c>
      <c r="Q261" s="6" t="n">
        <f aca="false">IF(OR(TablaVentas[[#This Row],[Ingreso_neto]]="PENDIENTE",TablaVentas[[#This Row],[Costo_total]]="PENDIENTE"),"PENDIENTE",TablaVentas[[#This Row],[Ingreso_neto]]-TablaVentas[[#This Row],[Costo_total]])</f>
        <v>546.676</v>
      </c>
    </row>
    <row r="262" customFormat="false" ht="13.5" hidden="false" customHeight="false" outlineLevel="0" collapsed="false">
      <c r="A262" s="1" t="s">
        <v>358</v>
      </c>
      <c r="B262" s="1" t="n">
        <v>3</v>
      </c>
      <c r="C262" s="5" t="n">
        <v>46080</v>
      </c>
      <c r="D262" s="6" t="s">
        <v>359</v>
      </c>
      <c r="E262" s="6" t="s">
        <v>120</v>
      </c>
      <c r="F262" s="6" t="s">
        <v>46</v>
      </c>
      <c r="G262" s="6" t="s">
        <v>47</v>
      </c>
      <c r="H262" s="6" t="s">
        <v>109</v>
      </c>
      <c r="I262" s="1" t="n">
        <v>2</v>
      </c>
      <c r="J262" s="7" t="n">
        <v>3078.43</v>
      </c>
      <c r="K262" s="8" t="n">
        <v>0</v>
      </c>
      <c r="L262" s="7" t="n">
        <v>2196.34</v>
      </c>
      <c r="M262" s="6" t="s">
        <v>49</v>
      </c>
      <c r="N262" s="6" t="s">
        <v>52</v>
      </c>
      <c r="O262" s="6" t="n">
        <f aca="false">IF(TablaVentas[[#This Row],[Precio_unitario]]="","PENDIENTE",TablaVentas[[#This Row],[Unidades]]*TablaVentas[[#This Row],[Precio_unitario]]*(1-TablaVentas[[#This Row],[Descuento_pct]]))</f>
        <v>6156.86</v>
      </c>
      <c r="P262" s="6" t="n">
        <f aca="false">IF(TablaVentas[[#This Row],[Costo_unitario]]="","PENDIENTE",TablaVentas[[#This Row],[Unidades]]*TablaVentas[[#This Row],[Costo_unitario]])</f>
        <v>4392.68</v>
      </c>
      <c r="Q262" s="6" t="n">
        <f aca="false">IF(OR(TablaVentas[[#This Row],[Ingreso_neto]]="PENDIENTE",TablaVentas[[#This Row],[Costo_total]]="PENDIENTE"),"PENDIENTE",TablaVentas[[#This Row],[Ingreso_neto]]-TablaVentas[[#This Row],[Costo_total]])</f>
        <v>1764.18</v>
      </c>
    </row>
    <row r="263" customFormat="false" ht="13.5" hidden="false" customHeight="false" outlineLevel="0" collapsed="false">
      <c r="A263" s="1" t="s">
        <v>361</v>
      </c>
      <c r="B263" s="1" t="n">
        <v>1</v>
      </c>
      <c r="C263" s="5" t="n">
        <v>46273</v>
      </c>
      <c r="D263" s="6" t="s">
        <v>362</v>
      </c>
      <c r="E263" s="6" t="s">
        <v>132</v>
      </c>
      <c r="F263" s="6" t="s">
        <v>63</v>
      </c>
      <c r="G263" s="6" t="s">
        <v>47</v>
      </c>
      <c r="H263" s="6" t="s">
        <v>58</v>
      </c>
      <c r="I263" s="1" t="n">
        <v>2</v>
      </c>
      <c r="J263" s="7" t="n">
        <v>1709.19</v>
      </c>
      <c r="K263" s="8" t="n">
        <v>0</v>
      </c>
      <c r="L263" s="7" t="n">
        <v>1044.32</v>
      </c>
      <c r="M263" s="6" t="s">
        <v>69</v>
      </c>
      <c r="N263" s="6" t="s">
        <v>59</v>
      </c>
      <c r="O263" s="6" t="n">
        <f aca="false">IF(TablaVentas[[#This Row],[Precio_unitario]]="","PENDIENTE",TablaVentas[[#This Row],[Unidades]]*TablaVentas[[#This Row],[Precio_unitario]]*(1-TablaVentas[[#This Row],[Descuento_pct]]))</f>
        <v>3418.38</v>
      </c>
      <c r="P263" s="6" t="n">
        <f aca="false">IF(TablaVentas[[#This Row],[Costo_unitario]]="","PENDIENTE",TablaVentas[[#This Row],[Unidades]]*TablaVentas[[#This Row],[Costo_unitario]])</f>
        <v>2088.64</v>
      </c>
      <c r="Q263" s="6" t="n">
        <f aca="false">IF(OR(TablaVentas[[#This Row],[Ingreso_neto]]="PENDIENTE",TablaVentas[[#This Row],[Costo_total]]="PENDIENTE"),"PENDIENTE",TablaVentas[[#This Row],[Ingreso_neto]]-TablaVentas[[#This Row],[Costo_total]])</f>
        <v>1329.74</v>
      </c>
    </row>
    <row r="264" customFormat="false" ht="13.5" hidden="false" customHeight="false" outlineLevel="0" collapsed="false">
      <c r="A264" s="1" t="s">
        <v>361</v>
      </c>
      <c r="B264" s="1" t="n">
        <v>2</v>
      </c>
      <c r="C264" s="5" t="n">
        <v>46273</v>
      </c>
      <c r="D264" s="6" t="s">
        <v>362</v>
      </c>
      <c r="E264" s="6" t="s">
        <v>51</v>
      </c>
      <c r="F264" s="6" t="s">
        <v>63</v>
      </c>
      <c r="G264" s="6" t="s">
        <v>47</v>
      </c>
      <c r="H264" s="6" t="s">
        <v>58</v>
      </c>
      <c r="I264" s="1" t="n">
        <v>5</v>
      </c>
      <c r="J264" s="7" t="n">
        <v>13284.1</v>
      </c>
      <c r="K264" s="8" t="n">
        <v>0</v>
      </c>
      <c r="L264" s="7" t="n">
        <v>8980.68</v>
      </c>
      <c r="M264" s="6" t="s">
        <v>49</v>
      </c>
      <c r="N264" s="6" t="s">
        <v>59</v>
      </c>
      <c r="O264" s="6" t="n">
        <f aca="false">IF(TablaVentas[[#This Row],[Precio_unitario]]="","PENDIENTE",TablaVentas[[#This Row],[Unidades]]*TablaVentas[[#This Row],[Precio_unitario]]*(1-TablaVentas[[#This Row],[Descuento_pct]]))</f>
        <v>66420.5</v>
      </c>
      <c r="P264" s="6" t="n">
        <f aca="false">IF(TablaVentas[[#This Row],[Costo_unitario]]="","PENDIENTE",TablaVentas[[#This Row],[Unidades]]*TablaVentas[[#This Row],[Costo_unitario]])</f>
        <v>44903.4</v>
      </c>
      <c r="Q264" s="6" t="n">
        <f aca="false">IF(OR(TablaVentas[[#This Row],[Ingreso_neto]]="PENDIENTE",TablaVentas[[#This Row],[Costo_total]]="PENDIENTE"),"PENDIENTE",TablaVentas[[#This Row],[Ingreso_neto]]-TablaVentas[[#This Row],[Costo_total]])</f>
        <v>21517.1</v>
      </c>
    </row>
    <row r="265" customFormat="false" ht="13.5" hidden="false" customHeight="false" outlineLevel="0" collapsed="false">
      <c r="A265" s="1" t="s">
        <v>361</v>
      </c>
      <c r="B265" s="1" t="n">
        <v>3</v>
      </c>
      <c r="C265" s="5" t="n">
        <v>46273</v>
      </c>
      <c r="D265" s="6" t="s">
        <v>362</v>
      </c>
      <c r="E265" s="6" t="s">
        <v>72</v>
      </c>
      <c r="F265" s="6" t="s">
        <v>63</v>
      </c>
      <c r="G265" s="6" t="s">
        <v>47</v>
      </c>
      <c r="H265" s="6" t="s">
        <v>58</v>
      </c>
      <c r="I265" s="1" t="n">
        <v>3</v>
      </c>
      <c r="J265" s="7" t="n">
        <v>11409.98</v>
      </c>
      <c r="K265" s="8" t="n">
        <v>0</v>
      </c>
      <c r="L265" s="7" t="n">
        <v>7328.02</v>
      </c>
      <c r="M265" s="6" t="s">
        <v>123</v>
      </c>
      <c r="N265" s="6" t="s">
        <v>67</v>
      </c>
      <c r="O265" s="6" t="n">
        <f aca="false">IF(TablaVentas[[#This Row],[Precio_unitario]]="","PENDIENTE",TablaVentas[[#This Row],[Unidades]]*TablaVentas[[#This Row],[Precio_unitario]]*(1-TablaVentas[[#This Row],[Descuento_pct]]))</f>
        <v>34229.94</v>
      </c>
      <c r="P265" s="6" t="n">
        <f aca="false">IF(TablaVentas[[#This Row],[Costo_unitario]]="","PENDIENTE",TablaVentas[[#This Row],[Unidades]]*TablaVentas[[#This Row],[Costo_unitario]])</f>
        <v>21984.06</v>
      </c>
      <c r="Q265" s="6" t="n">
        <f aca="false">IF(OR(TablaVentas[[#This Row],[Ingreso_neto]]="PENDIENTE",TablaVentas[[#This Row],[Costo_total]]="PENDIENTE"),"PENDIENTE",TablaVentas[[#This Row],[Ingreso_neto]]-TablaVentas[[#This Row],[Costo_total]])</f>
        <v>12245.88</v>
      </c>
    </row>
    <row r="266" customFormat="false" ht="13.5" hidden="false" customHeight="false" outlineLevel="0" collapsed="false">
      <c r="A266" s="1" t="s">
        <v>363</v>
      </c>
      <c r="B266" s="1" t="n">
        <v>1</v>
      </c>
      <c r="C266" s="5" t="n">
        <v>46042</v>
      </c>
      <c r="D266" s="6" t="s">
        <v>364</v>
      </c>
      <c r="E266" s="6" t="s">
        <v>66</v>
      </c>
      <c r="F266" s="6" t="s">
        <v>63</v>
      </c>
      <c r="G266" s="6" t="s">
        <v>57</v>
      </c>
      <c r="H266" s="6" t="s">
        <v>131</v>
      </c>
      <c r="I266" s="1" t="n">
        <v>2</v>
      </c>
      <c r="J266" s="7" t="n">
        <v>13114.28</v>
      </c>
      <c r="K266" s="8" t="n">
        <v>0.2</v>
      </c>
      <c r="L266" s="7" t="n">
        <v>10170.29</v>
      </c>
      <c r="M266" s="6" t="s">
        <v>49</v>
      </c>
      <c r="N266" s="6" t="s">
        <v>52</v>
      </c>
      <c r="O266" s="6" t="n">
        <f aca="false">IF(TablaVentas[[#This Row],[Precio_unitario]]="","PENDIENTE",TablaVentas[[#This Row],[Unidades]]*TablaVentas[[#This Row],[Precio_unitario]]*(1-TablaVentas[[#This Row],[Descuento_pct]]))</f>
        <v>20982.848</v>
      </c>
      <c r="P266" s="6" t="n">
        <f aca="false">IF(TablaVentas[[#This Row],[Costo_unitario]]="","PENDIENTE",TablaVentas[[#This Row],[Unidades]]*TablaVentas[[#This Row],[Costo_unitario]])</f>
        <v>20340.58</v>
      </c>
      <c r="Q266" s="6" t="n">
        <f aca="false">IF(OR(TablaVentas[[#This Row],[Ingreso_neto]]="PENDIENTE",TablaVentas[[#This Row],[Costo_total]]="PENDIENTE"),"PENDIENTE",TablaVentas[[#This Row],[Ingreso_neto]]-TablaVentas[[#This Row],[Costo_total]])</f>
        <v>642.268</v>
      </c>
    </row>
    <row r="267" customFormat="false" ht="13.5" hidden="false" customHeight="false" outlineLevel="0" collapsed="false">
      <c r="A267" s="1" t="s">
        <v>365</v>
      </c>
      <c r="B267" s="1" t="n">
        <v>1</v>
      </c>
      <c r="C267" s="5" t="n">
        <v>46236</v>
      </c>
      <c r="D267" s="6" t="s">
        <v>366</v>
      </c>
      <c r="E267" s="6" t="s">
        <v>141</v>
      </c>
      <c r="F267" s="6" t="s">
        <v>84</v>
      </c>
      <c r="G267" s="6" t="s">
        <v>64</v>
      </c>
      <c r="H267" s="6" t="s">
        <v>131</v>
      </c>
      <c r="I267" s="1" t="n">
        <v>2</v>
      </c>
      <c r="J267" s="7" t="n">
        <v>271.58</v>
      </c>
      <c r="K267" s="8" t="n">
        <v>0.05</v>
      </c>
      <c r="L267" s="7" t="n">
        <v>176.47</v>
      </c>
      <c r="M267" s="6" t="s">
        <v>123</v>
      </c>
      <c r="N267" s="6" t="s">
        <v>52</v>
      </c>
      <c r="O267" s="6" t="n">
        <f aca="false">IF(TablaVentas[[#This Row],[Precio_unitario]]="","PENDIENTE",TablaVentas[[#This Row],[Unidades]]*TablaVentas[[#This Row],[Precio_unitario]]*(1-TablaVentas[[#This Row],[Descuento_pct]]))</f>
        <v>516.002</v>
      </c>
      <c r="P267" s="6" t="n">
        <f aca="false">IF(TablaVentas[[#This Row],[Costo_unitario]]="","PENDIENTE",TablaVentas[[#This Row],[Unidades]]*TablaVentas[[#This Row],[Costo_unitario]])</f>
        <v>352.94</v>
      </c>
      <c r="Q267" s="6" t="n">
        <f aca="false">IF(OR(TablaVentas[[#This Row],[Ingreso_neto]]="PENDIENTE",TablaVentas[[#This Row],[Costo_total]]="PENDIENTE"),"PENDIENTE",TablaVentas[[#This Row],[Ingreso_neto]]-TablaVentas[[#This Row],[Costo_total]])</f>
        <v>163.062</v>
      </c>
    </row>
    <row r="268" customFormat="false" ht="13.5" hidden="false" customHeight="false" outlineLevel="0" collapsed="false">
      <c r="A268" s="1" t="s">
        <v>365</v>
      </c>
      <c r="B268" s="1" t="n">
        <v>2</v>
      </c>
      <c r="C268" s="5" t="n">
        <v>46236</v>
      </c>
      <c r="D268" s="6" t="s">
        <v>366</v>
      </c>
      <c r="E268" s="6" t="s">
        <v>162</v>
      </c>
      <c r="F268" s="6" t="s">
        <v>84</v>
      </c>
      <c r="G268" s="6" t="s">
        <v>64</v>
      </c>
      <c r="H268" s="6" t="s">
        <v>131</v>
      </c>
      <c r="I268" s="1" t="n">
        <v>5</v>
      </c>
      <c r="J268" s="7" t="n">
        <v>775.07</v>
      </c>
      <c r="K268" s="8" t="n">
        <v>0</v>
      </c>
      <c r="L268" s="7" t="n">
        <v>397.1</v>
      </c>
      <c r="M268" s="6" t="s">
        <v>49</v>
      </c>
      <c r="N268" s="6" t="s">
        <v>59</v>
      </c>
      <c r="O268" s="6" t="n">
        <f aca="false">IF(TablaVentas[[#This Row],[Precio_unitario]]="","PENDIENTE",TablaVentas[[#This Row],[Unidades]]*TablaVentas[[#This Row],[Precio_unitario]]*(1-TablaVentas[[#This Row],[Descuento_pct]]))</f>
        <v>3875.35</v>
      </c>
      <c r="P268" s="6" t="n">
        <f aca="false">IF(TablaVentas[[#This Row],[Costo_unitario]]="","PENDIENTE",TablaVentas[[#This Row],[Unidades]]*TablaVentas[[#This Row],[Costo_unitario]])</f>
        <v>1985.5</v>
      </c>
      <c r="Q268" s="6" t="n">
        <f aca="false">IF(OR(TablaVentas[[#This Row],[Ingreso_neto]]="PENDIENTE",TablaVentas[[#This Row],[Costo_total]]="PENDIENTE"),"PENDIENTE",TablaVentas[[#This Row],[Ingreso_neto]]-TablaVentas[[#This Row],[Costo_total]])</f>
        <v>1889.85</v>
      </c>
    </row>
    <row r="269" customFormat="false" ht="13.5" hidden="false" customHeight="false" outlineLevel="0" collapsed="false">
      <c r="A269" s="1" t="s">
        <v>367</v>
      </c>
      <c r="B269" s="1" t="n">
        <v>1</v>
      </c>
      <c r="C269" s="5" t="n">
        <v>46284</v>
      </c>
      <c r="D269" s="6" t="s">
        <v>368</v>
      </c>
      <c r="E269" s="6" t="s">
        <v>121</v>
      </c>
      <c r="F269" s="6" t="s">
        <v>73</v>
      </c>
      <c r="G269" s="6" t="s">
        <v>57</v>
      </c>
      <c r="H269" s="6" t="s">
        <v>109</v>
      </c>
      <c r="I269" s="1" t="n">
        <v>1</v>
      </c>
      <c r="J269" s="7" t="n">
        <v>14013.97</v>
      </c>
      <c r="K269" s="8" t="n">
        <v>0.2</v>
      </c>
      <c r="L269" s="7" t="n">
        <v>8239.48</v>
      </c>
      <c r="M269" s="6" t="s">
        <v>49</v>
      </c>
      <c r="N269" s="6" t="s">
        <v>52</v>
      </c>
      <c r="O269" s="6" t="n">
        <f aca="false">IF(TablaVentas[[#This Row],[Precio_unitario]]="","PENDIENTE",TablaVentas[[#This Row],[Unidades]]*TablaVentas[[#This Row],[Precio_unitario]]*(1-TablaVentas[[#This Row],[Descuento_pct]]))</f>
        <v>11211.176</v>
      </c>
      <c r="P269" s="6" t="n">
        <f aca="false">IF(TablaVentas[[#This Row],[Costo_unitario]]="","PENDIENTE",TablaVentas[[#This Row],[Unidades]]*TablaVentas[[#This Row],[Costo_unitario]])</f>
        <v>8239.48</v>
      </c>
      <c r="Q269" s="6" t="n">
        <f aca="false">IF(OR(TablaVentas[[#This Row],[Ingreso_neto]]="PENDIENTE",TablaVentas[[#This Row],[Costo_total]]="PENDIENTE"),"PENDIENTE",TablaVentas[[#This Row],[Ingreso_neto]]-TablaVentas[[#This Row],[Costo_total]])</f>
        <v>2971.696</v>
      </c>
    </row>
    <row r="270" customFormat="false" ht="13.5" hidden="false" customHeight="false" outlineLevel="0" collapsed="false">
      <c r="A270" s="1" t="s">
        <v>367</v>
      </c>
      <c r="B270" s="1" t="n">
        <v>2</v>
      </c>
      <c r="C270" s="5" t="n">
        <v>46284</v>
      </c>
      <c r="D270" s="6" t="s">
        <v>368</v>
      </c>
      <c r="E270" s="6" t="s">
        <v>66</v>
      </c>
      <c r="F270" s="6" t="s">
        <v>73</v>
      </c>
      <c r="G270" s="6" t="s">
        <v>57</v>
      </c>
      <c r="H270" s="6" t="s">
        <v>109</v>
      </c>
      <c r="I270" s="1" t="n">
        <v>4</v>
      </c>
      <c r="J270" s="7" t="n">
        <v>12916.52</v>
      </c>
      <c r="K270" s="8" t="n">
        <v>0</v>
      </c>
      <c r="L270" s="7" t="n">
        <v>10170.29</v>
      </c>
      <c r="M270" s="6" t="s">
        <v>49</v>
      </c>
      <c r="N270" s="6" t="s">
        <v>50</v>
      </c>
      <c r="O270" s="6" t="n">
        <f aca="false">IF(TablaVentas[[#This Row],[Precio_unitario]]="","PENDIENTE",TablaVentas[[#This Row],[Unidades]]*TablaVentas[[#This Row],[Precio_unitario]]*(1-TablaVentas[[#This Row],[Descuento_pct]]))</f>
        <v>51666.08</v>
      </c>
      <c r="P270" s="6" t="n">
        <f aca="false">IF(TablaVentas[[#This Row],[Costo_unitario]]="","PENDIENTE",TablaVentas[[#This Row],[Unidades]]*TablaVentas[[#This Row],[Costo_unitario]])</f>
        <v>40681.16</v>
      </c>
      <c r="Q270" s="6" t="n">
        <f aca="false">IF(OR(TablaVentas[[#This Row],[Ingreso_neto]]="PENDIENTE",TablaVentas[[#This Row],[Costo_total]]="PENDIENTE"),"PENDIENTE",TablaVentas[[#This Row],[Ingreso_neto]]-TablaVentas[[#This Row],[Costo_total]])</f>
        <v>10984.92</v>
      </c>
    </row>
    <row r="271" customFormat="false" ht="13.5" hidden="false" customHeight="false" outlineLevel="0" collapsed="false">
      <c r="A271" s="1" t="s">
        <v>369</v>
      </c>
      <c r="B271" s="1" t="n">
        <v>1</v>
      </c>
      <c r="C271" s="5" t="n">
        <v>46220</v>
      </c>
      <c r="D271" s="6" t="s">
        <v>154</v>
      </c>
      <c r="E271" s="6" t="s">
        <v>66</v>
      </c>
      <c r="F271" s="6" t="s">
        <v>46</v>
      </c>
      <c r="G271" s="6" t="s">
        <v>47</v>
      </c>
      <c r="H271" s="6" t="s">
        <v>191</v>
      </c>
      <c r="I271" s="1" t="n">
        <v>1</v>
      </c>
      <c r="J271" s="7" t="n">
        <v>14284.09</v>
      </c>
      <c r="K271" s="8" t="n">
        <v>0.1</v>
      </c>
      <c r="L271" s="7" t="n">
        <v>10170.29</v>
      </c>
      <c r="M271" s="6" t="s">
        <v>49</v>
      </c>
      <c r="N271" s="6" t="s">
        <v>50</v>
      </c>
      <c r="O271" s="6" t="n">
        <f aca="false">IF(TablaVentas[[#This Row],[Precio_unitario]]="","PENDIENTE",TablaVentas[[#This Row],[Unidades]]*TablaVentas[[#This Row],[Precio_unitario]]*(1-TablaVentas[[#This Row],[Descuento_pct]]))</f>
        <v>12855.681</v>
      </c>
      <c r="P271" s="6" t="n">
        <f aca="false">IF(TablaVentas[[#This Row],[Costo_unitario]]="","PENDIENTE",TablaVentas[[#This Row],[Unidades]]*TablaVentas[[#This Row],[Costo_unitario]])</f>
        <v>10170.29</v>
      </c>
      <c r="Q271" s="6" t="n">
        <f aca="false">IF(OR(TablaVentas[[#This Row],[Ingreso_neto]]="PENDIENTE",TablaVentas[[#This Row],[Costo_total]]="PENDIENTE"),"PENDIENTE",TablaVentas[[#This Row],[Ingreso_neto]]-TablaVentas[[#This Row],[Costo_total]])</f>
        <v>2685.391</v>
      </c>
    </row>
    <row r="272" customFormat="false" ht="13.5" hidden="false" customHeight="false" outlineLevel="0" collapsed="false">
      <c r="A272" s="1" t="s">
        <v>369</v>
      </c>
      <c r="B272" s="1" t="n">
        <v>2</v>
      </c>
      <c r="C272" s="5" t="n">
        <v>46220</v>
      </c>
      <c r="D272" s="6" t="s">
        <v>154</v>
      </c>
      <c r="E272" s="6" t="s">
        <v>76</v>
      </c>
      <c r="F272" s="6" t="s">
        <v>46</v>
      </c>
      <c r="G272" s="6" t="s">
        <v>47</v>
      </c>
      <c r="H272" s="6" t="s">
        <v>191</v>
      </c>
      <c r="I272" s="1" t="n">
        <v>5</v>
      </c>
      <c r="J272" s="7" t="n">
        <v>11712.73</v>
      </c>
      <c r="K272" s="8" t="n">
        <v>0.15</v>
      </c>
      <c r="L272" s="7" t="n">
        <v>10094.26</v>
      </c>
      <c r="M272" s="6" t="s">
        <v>49</v>
      </c>
      <c r="N272" s="6" t="s">
        <v>67</v>
      </c>
      <c r="O272" s="6" t="n">
        <f aca="false">IF(TablaVentas[[#This Row],[Precio_unitario]]="","PENDIENTE",TablaVentas[[#This Row],[Unidades]]*TablaVentas[[#This Row],[Precio_unitario]]*(1-TablaVentas[[#This Row],[Descuento_pct]]))</f>
        <v>49779.1025</v>
      </c>
      <c r="P272" s="6" t="n">
        <f aca="false">IF(TablaVentas[[#This Row],[Costo_unitario]]="","PENDIENTE",TablaVentas[[#This Row],[Unidades]]*TablaVentas[[#This Row],[Costo_unitario]])</f>
        <v>50471.3</v>
      </c>
      <c r="Q272" s="6" t="n">
        <f aca="false">IF(OR(TablaVentas[[#This Row],[Ingreso_neto]]="PENDIENTE",TablaVentas[[#This Row],[Costo_total]]="PENDIENTE"),"PENDIENTE",TablaVentas[[#This Row],[Ingreso_neto]]-TablaVentas[[#This Row],[Costo_total]])</f>
        <v>-692.197500000009</v>
      </c>
    </row>
    <row r="273" customFormat="false" ht="13.5" hidden="false" customHeight="false" outlineLevel="0" collapsed="false">
      <c r="A273" s="1" t="s">
        <v>370</v>
      </c>
      <c r="B273" s="1" t="n">
        <v>1</v>
      </c>
      <c r="C273" s="5" t="n">
        <v>46245</v>
      </c>
      <c r="D273" s="6" t="s">
        <v>291</v>
      </c>
      <c r="E273" s="6" t="s">
        <v>140</v>
      </c>
      <c r="F273" s="6" t="s">
        <v>73</v>
      </c>
      <c r="G273" s="6" t="s">
        <v>57</v>
      </c>
      <c r="H273" s="6" t="s">
        <v>191</v>
      </c>
      <c r="I273" s="1" t="n">
        <v>1</v>
      </c>
      <c r="J273" s="7" t="n">
        <v>8093.69</v>
      </c>
      <c r="K273" s="8" t="n">
        <v>0</v>
      </c>
      <c r="L273" s="7" t="n">
        <v>4061.34</v>
      </c>
      <c r="M273" s="6" t="s">
        <v>49</v>
      </c>
      <c r="N273" s="6" t="s">
        <v>52</v>
      </c>
      <c r="O273" s="6" t="n">
        <f aca="false">IF(TablaVentas[[#This Row],[Precio_unitario]]="","PENDIENTE",TablaVentas[[#This Row],[Unidades]]*TablaVentas[[#This Row],[Precio_unitario]]*(1-TablaVentas[[#This Row],[Descuento_pct]]))</f>
        <v>8093.69</v>
      </c>
      <c r="P273" s="6" t="n">
        <f aca="false">IF(TablaVentas[[#This Row],[Costo_unitario]]="","PENDIENTE",TablaVentas[[#This Row],[Unidades]]*TablaVentas[[#This Row],[Costo_unitario]])</f>
        <v>4061.34</v>
      </c>
      <c r="Q273" s="6" t="n">
        <f aca="false">IF(OR(TablaVentas[[#This Row],[Ingreso_neto]]="PENDIENTE",TablaVentas[[#This Row],[Costo_total]]="PENDIENTE"),"PENDIENTE",TablaVentas[[#This Row],[Ingreso_neto]]-TablaVentas[[#This Row],[Costo_total]])</f>
        <v>4032.35</v>
      </c>
    </row>
    <row r="274" customFormat="false" ht="13.5" hidden="false" customHeight="false" outlineLevel="0" collapsed="false">
      <c r="A274" s="1" t="s">
        <v>371</v>
      </c>
      <c r="B274" s="1" t="n">
        <v>1</v>
      </c>
      <c r="C274" s="5" t="n">
        <v>46029</v>
      </c>
      <c r="D274" s="6" t="s">
        <v>331</v>
      </c>
      <c r="E274" s="6" t="s">
        <v>127</v>
      </c>
      <c r="F274" s="6" t="s">
        <v>73</v>
      </c>
      <c r="G274" s="6" t="s">
        <v>47</v>
      </c>
      <c r="H274" s="6" t="s">
        <v>191</v>
      </c>
      <c r="I274" s="1" t="n">
        <v>2</v>
      </c>
      <c r="J274" s="7" t="n">
        <v>13368.61</v>
      </c>
      <c r="K274" s="8" t="n">
        <v>0.15</v>
      </c>
      <c r="L274" s="7" t="n">
        <v>7975.26</v>
      </c>
      <c r="M274" s="6" t="s">
        <v>49</v>
      </c>
      <c r="N274" s="6" t="s">
        <v>52</v>
      </c>
      <c r="O274" s="6" t="n">
        <f aca="false">IF(TablaVentas[[#This Row],[Precio_unitario]]="","PENDIENTE",TablaVentas[[#This Row],[Unidades]]*TablaVentas[[#This Row],[Precio_unitario]]*(1-TablaVentas[[#This Row],[Descuento_pct]]))</f>
        <v>22726.637</v>
      </c>
      <c r="P274" s="6" t="n">
        <f aca="false">IF(TablaVentas[[#This Row],[Costo_unitario]]="","PENDIENTE",TablaVentas[[#This Row],[Unidades]]*TablaVentas[[#This Row],[Costo_unitario]])</f>
        <v>15950.52</v>
      </c>
      <c r="Q274" s="6" t="n">
        <f aca="false">IF(OR(TablaVentas[[#This Row],[Ingreso_neto]]="PENDIENTE",TablaVentas[[#This Row],[Costo_total]]="PENDIENTE"),"PENDIENTE",TablaVentas[[#This Row],[Ingreso_neto]]-TablaVentas[[#This Row],[Costo_total]])</f>
        <v>6776.117</v>
      </c>
    </row>
    <row r="275" customFormat="false" ht="13.5" hidden="false" customHeight="false" outlineLevel="0" collapsed="false">
      <c r="A275" s="1" t="s">
        <v>372</v>
      </c>
      <c r="B275" s="1" t="n">
        <v>1</v>
      </c>
      <c r="C275" s="5" t="n">
        <v>46294</v>
      </c>
      <c r="D275" s="6" t="s">
        <v>373</v>
      </c>
      <c r="E275" s="6" t="s">
        <v>100</v>
      </c>
      <c r="F275" s="6" t="s">
        <v>46</v>
      </c>
      <c r="G275" s="6" t="s">
        <v>47</v>
      </c>
      <c r="H275" s="6" t="s">
        <v>65</v>
      </c>
      <c r="I275" s="1" t="n">
        <v>1</v>
      </c>
      <c r="J275" s="7" t="n">
        <v>15987.76</v>
      </c>
      <c r="K275" s="8" t="n">
        <v>0</v>
      </c>
      <c r="L275" s="7" t="n">
        <v>8788.79</v>
      </c>
      <c r="M275" s="6" t="s">
        <v>49</v>
      </c>
      <c r="N275" s="6" t="s">
        <v>59</v>
      </c>
      <c r="O275" s="6" t="n">
        <f aca="false">IF(TablaVentas[[#This Row],[Precio_unitario]]="","PENDIENTE",TablaVentas[[#This Row],[Unidades]]*TablaVentas[[#This Row],[Precio_unitario]]*(1-TablaVentas[[#This Row],[Descuento_pct]]))</f>
        <v>15987.76</v>
      </c>
      <c r="P275" s="6" t="n">
        <f aca="false">IF(TablaVentas[[#This Row],[Costo_unitario]]="","PENDIENTE",TablaVentas[[#This Row],[Unidades]]*TablaVentas[[#This Row],[Costo_unitario]])</f>
        <v>8788.79</v>
      </c>
      <c r="Q275" s="6" t="n">
        <f aca="false">IF(OR(TablaVentas[[#This Row],[Ingreso_neto]]="PENDIENTE",TablaVentas[[#This Row],[Costo_total]]="PENDIENTE"),"PENDIENTE",TablaVentas[[#This Row],[Ingreso_neto]]-TablaVentas[[#This Row],[Costo_total]])</f>
        <v>7198.97</v>
      </c>
    </row>
    <row r="276" customFormat="false" ht="13.5" hidden="false" customHeight="false" outlineLevel="0" collapsed="false">
      <c r="A276" s="1" t="s">
        <v>372</v>
      </c>
      <c r="B276" s="1" t="n">
        <v>2</v>
      </c>
      <c r="C276" s="5" t="n">
        <v>46294</v>
      </c>
      <c r="D276" s="6" t="s">
        <v>373</v>
      </c>
      <c r="E276" s="6" t="s">
        <v>374</v>
      </c>
      <c r="F276" s="6" t="s">
        <v>46</v>
      </c>
      <c r="G276" s="6" t="s">
        <v>47</v>
      </c>
      <c r="H276" s="6" t="s">
        <v>65</v>
      </c>
      <c r="I276" s="1" t="n">
        <v>1</v>
      </c>
      <c r="J276" s="7" t="n">
        <v>9927.85</v>
      </c>
      <c r="K276" s="8" t="n">
        <v>0.1</v>
      </c>
      <c r="L276" s="7" t="n">
        <v>5079.43</v>
      </c>
      <c r="M276" s="6" t="s">
        <v>49</v>
      </c>
      <c r="N276" s="6" t="s">
        <v>52</v>
      </c>
      <c r="O276" s="6" t="n">
        <f aca="false">IF(TablaVentas[[#This Row],[Precio_unitario]]="","PENDIENTE",TablaVentas[[#This Row],[Unidades]]*TablaVentas[[#This Row],[Precio_unitario]]*(1-TablaVentas[[#This Row],[Descuento_pct]]))</f>
        <v>8935.065</v>
      </c>
      <c r="P276" s="6" t="n">
        <f aca="false">IF(TablaVentas[[#This Row],[Costo_unitario]]="","PENDIENTE",TablaVentas[[#This Row],[Unidades]]*TablaVentas[[#This Row],[Costo_unitario]])</f>
        <v>5079.43</v>
      </c>
      <c r="Q276" s="6" t="n">
        <f aca="false">IF(OR(TablaVentas[[#This Row],[Ingreso_neto]]="PENDIENTE",TablaVentas[[#This Row],[Costo_total]]="PENDIENTE"),"PENDIENTE",TablaVentas[[#This Row],[Ingreso_neto]]-TablaVentas[[#This Row],[Costo_total]])</f>
        <v>3855.635</v>
      </c>
    </row>
    <row r="277" customFormat="false" ht="13.5" hidden="false" customHeight="false" outlineLevel="0" collapsed="false">
      <c r="A277" s="1" t="s">
        <v>375</v>
      </c>
      <c r="B277" s="1" t="n">
        <v>1</v>
      </c>
      <c r="C277" s="5" t="n">
        <v>46090</v>
      </c>
      <c r="D277" s="6" t="s">
        <v>376</v>
      </c>
      <c r="E277" s="6" t="s">
        <v>77</v>
      </c>
      <c r="F277" s="6" t="s">
        <v>63</v>
      </c>
      <c r="G277" s="6" t="s">
        <v>47</v>
      </c>
      <c r="H277" s="6" t="s">
        <v>131</v>
      </c>
      <c r="I277" s="1" t="n">
        <v>1</v>
      </c>
      <c r="J277" s="7" t="n">
        <v>15621.03</v>
      </c>
      <c r="K277" s="8" t="n">
        <v>0.2</v>
      </c>
      <c r="L277" s="7" t="n">
        <v>10571.25</v>
      </c>
      <c r="M277" s="6" t="s">
        <v>49</v>
      </c>
      <c r="N277" s="6" t="s">
        <v>67</v>
      </c>
      <c r="O277" s="6" t="n">
        <f aca="false">IF(TablaVentas[[#This Row],[Precio_unitario]]="","PENDIENTE",TablaVentas[[#This Row],[Unidades]]*TablaVentas[[#This Row],[Precio_unitario]]*(1-TablaVentas[[#This Row],[Descuento_pct]]))</f>
        <v>12496.824</v>
      </c>
      <c r="P277" s="6" t="n">
        <f aca="false">IF(TablaVentas[[#This Row],[Costo_unitario]]="","PENDIENTE",TablaVentas[[#This Row],[Unidades]]*TablaVentas[[#This Row],[Costo_unitario]])</f>
        <v>10571.25</v>
      </c>
      <c r="Q277" s="6" t="n">
        <f aca="false">IF(OR(TablaVentas[[#This Row],[Ingreso_neto]]="PENDIENTE",TablaVentas[[#This Row],[Costo_total]]="PENDIENTE"),"PENDIENTE",TablaVentas[[#This Row],[Ingreso_neto]]-TablaVentas[[#This Row],[Costo_total]])</f>
        <v>1925.574</v>
      </c>
    </row>
    <row r="278" customFormat="false" ht="13.5" hidden="false" customHeight="false" outlineLevel="0" collapsed="false">
      <c r="A278" s="1" t="s">
        <v>375</v>
      </c>
      <c r="B278" s="1" t="n">
        <v>2</v>
      </c>
      <c r="C278" s="5" t="n">
        <v>46090</v>
      </c>
      <c r="D278" s="6" t="s">
        <v>376</v>
      </c>
      <c r="E278" s="6" t="s">
        <v>171</v>
      </c>
      <c r="F278" s="6" t="s">
        <v>63</v>
      </c>
      <c r="G278" s="6" t="s">
        <v>47</v>
      </c>
      <c r="H278" s="6" t="s">
        <v>131</v>
      </c>
      <c r="I278" s="1" t="n">
        <v>2</v>
      </c>
      <c r="J278" s="7" t="n">
        <v>6401.16</v>
      </c>
      <c r="K278" s="8" t="n">
        <v>0</v>
      </c>
      <c r="L278" s="7" t="n">
        <v>5050.04</v>
      </c>
      <c r="M278" s="6" t="s">
        <v>49</v>
      </c>
      <c r="N278" s="6" t="s">
        <v>52</v>
      </c>
      <c r="O278" s="6" t="n">
        <f aca="false">IF(TablaVentas[[#This Row],[Precio_unitario]]="","PENDIENTE",TablaVentas[[#This Row],[Unidades]]*TablaVentas[[#This Row],[Precio_unitario]]*(1-TablaVentas[[#This Row],[Descuento_pct]]))</f>
        <v>12802.32</v>
      </c>
      <c r="P278" s="6" t="n">
        <f aca="false">IF(TablaVentas[[#This Row],[Costo_unitario]]="","PENDIENTE",TablaVentas[[#This Row],[Unidades]]*TablaVentas[[#This Row],[Costo_unitario]])</f>
        <v>10100.08</v>
      </c>
      <c r="Q278" s="6" t="n">
        <f aca="false">IF(OR(TablaVentas[[#This Row],[Ingreso_neto]]="PENDIENTE",TablaVentas[[#This Row],[Costo_total]]="PENDIENTE"),"PENDIENTE",TablaVentas[[#This Row],[Ingreso_neto]]-TablaVentas[[#This Row],[Costo_total]])</f>
        <v>2702.24</v>
      </c>
    </row>
    <row r="279" customFormat="false" ht="13.5" hidden="false" customHeight="false" outlineLevel="0" collapsed="false">
      <c r="A279" s="1" t="s">
        <v>375</v>
      </c>
      <c r="B279" s="1" t="n">
        <v>3</v>
      </c>
      <c r="C279" s="5" t="n">
        <v>46090</v>
      </c>
      <c r="D279" s="6" t="s">
        <v>376</v>
      </c>
      <c r="E279" s="6" t="s">
        <v>284</v>
      </c>
      <c r="F279" s="6" t="s">
        <v>63</v>
      </c>
      <c r="G279" s="6" t="s">
        <v>47</v>
      </c>
      <c r="H279" s="6" t="s">
        <v>131</v>
      </c>
      <c r="I279" s="1" t="n">
        <v>3</v>
      </c>
      <c r="J279" s="7" t="n">
        <v>6121.59</v>
      </c>
      <c r="K279" s="8" t="n">
        <v>0</v>
      </c>
      <c r="L279" s="7" t="n">
        <v>4858.08</v>
      </c>
      <c r="M279" s="6" t="s">
        <v>123</v>
      </c>
      <c r="N279" s="6" t="s">
        <v>50</v>
      </c>
      <c r="O279" s="6" t="n">
        <f aca="false">IF(TablaVentas[[#This Row],[Precio_unitario]]="","PENDIENTE",TablaVentas[[#This Row],[Unidades]]*TablaVentas[[#This Row],[Precio_unitario]]*(1-TablaVentas[[#This Row],[Descuento_pct]]))</f>
        <v>18364.77</v>
      </c>
      <c r="P279" s="6" t="n">
        <f aca="false">IF(TablaVentas[[#This Row],[Costo_unitario]]="","PENDIENTE",TablaVentas[[#This Row],[Unidades]]*TablaVentas[[#This Row],[Costo_unitario]])</f>
        <v>14574.24</v>
      </c>
      <c r="Q279" s="6" t="n">
        <f aca="false">IF(OR(TablaVentas[[#This Row],[Ingreso_neto]]="PENDIENTE",TablaVentas[[#This Row],[Costo_total]]="PENDIENTE"),"PENDIENTE",TablaVentas[[#This Row],[Ingreso_neto]]-TablaVentas[[#This Row],[Costo_total]])</f>
        <v>3790.53</v>
      </c>
    </row>
    <row r="280" customFormat="false" ht="13.5" hidden="false" customHeight="false" outlineLevel="0" collapsed="false">
      <c r="A280" s="1" t="s">
        <v>377</v>
      </c>
      <c r="B280" s="1" t="n">
        <v>1</v>
      </c>
      <c r="C280" s="5" t="n">
        <v>46221</v>
      </c>
      <c r="D280" s="6" t="s">
        <v>237</v>
      </c>
      <c r="E280" s="6" t="s">
        <v>255</v>
      </c>
      <c r="F280" s="6" t="s">
        <v>84</v>
      </c>
      <c r="G280" s="6" t="s">
        <v>57</v>
      </c>
      <c r="H280" s="6" t="s">
        <v>191</v>
      </c>
      <c r="I280" s="1" t="n">
        <v>-3</v>
      </c>
      <c r="J280" s="7" t="n">
        <v>14096.18</v>
      </c>
      <c r="K280" s="8" t="n">
        <v>0</v>
      </c>
      <c r="L280" s="7" t="n">
        <v>6856.4</v>
      </c>
      <c r="M280" s="6" t="s">
        <v>49</v>
      </c>
      <c r="N280" s="6" t="s">
        <v>50</v>
      </c>
      <c r="O280" s="6" t="n">
        <f aca="false">IF(TablaVentas[[#This Row],[Precio_unitario]]="","PENDIENTE",TablaVentas[[#This Row],[Unidades]]*TablaVentas[[#This Row],[Precio_unitario]]*(1-TablaVentas[[#This Row],[Descuento_pct]]))</f>
        <v>-42288.54</v>
      </c>
      <c r="P280" s="6" t="n">
        <f aca="false">IF(TablaVentas[[#This Row],[Costo_unitario]]="","PENDIENTE",TablaVentas[[#This Row],[Unidades]]*TablaVentas[[#This Row],[Costo_unitario]])</f>
        <v>-20569.2</v>
      </c>
      <c r="Q280" s="6" t="n">
        <f aca="false">IF(OR(TablaVentas[[#This Row],[Ingreso_neto]]="PENDIENTE",TablaVentas[[#This Row],[Costo_total]]="PENDIENTE"),"PENDIENTE",TablaVentas[[#This Row],[Ingreso_neto]]-TablaVentas[[#This Row],[Costo_total]])</f>
        <v>-21719.34</v>
      </c>
      <c r="R280" s="6" t="s">
        <v>378</v>
      </c>
    </row>
    <row r="281" customFormat="false" ht="13.5" hidden="false" customHeight="false" outlineLevel="0" collapsed="false">
      <c r="A281" s="1" t="s">
        <v>377</v>
      </c>
      <c r="B281" s="1" t="n">
        <v>2</v>
      </c>
      <c r="C281" s="5" t="n">
        <v>46221</v>
      </c>
      <c r="D281" s="6" t="s">
        <v>237</v>
      </c>
      <c r="E281" s="6" t="s">
        <v>140</v>
      </c>
      <c r="F281" s="6" t="s">
        <v>84</v>
      </c>
      <c r="G281" s="6" t="s">
        <v>57</v>
      </c>
      <c r="H281" s="6" t="s">
        <v>191</v>
      </c>
      <c r="I281" s="1" t="n">
        <v>1</v>
      </c>
      <c r="J281" s="7" t="n">
        <v>8020.95</v>
      </c>
      <c r="K281" s="8" t="n">
        <v>0</v>
      </c>
      <c r="L281" s="7" t="n">
        <v>4061.34</v>
      </c>
      <c r="M281" s="6" t="s">
        <v>123</v>
      </c>
      <c r="N281" s="6" t="s">
        <v>52</v>
      </c>
      <c r="O281" s="6" t="n">
        <f aca="false">IF(TablaVentas[[#This Row],[Precio_unitario]]="","PENDIENTE",TablaVentas[[#This Row],[Unidades]]*TablaVentas[[#This Row],[Precio_unitario]]*(1-TablaVentas[[#This Row],[Descuento_pct]]))</f>
        <v>8020.95</v>
      </c>
      <c r="P281" s="6" t="n">
        <f aca="false">IF(TablaVentas[[#This Row],[Costo_unitario]]="","PENDIENTE",TablaVentas[[#This Row],[Unidades]]*TablaVentas[[#This Row],[Costo_unitario]])</f>
        <v>4061.34</v>
      </c>
      <c r="Q281" s="6" t="n">
        <f aca="false">IF(OR(TablaVentas[[#This Row],[Ingreso_neto]]="PENDIENTE",TablaVentas[[#This Row],[Costo_total]]="PENDIENTE"),"PENDIENTE",TablaVentas[[#This Row],[Ingreso_neto]]-TablaVentas[[#This Row],[Costo_total]])</f>
        <v>3959.61</v>
      </c>
    </row>
    <row r="282" customFormat="false" ht="13.5" hidden="false" customHeight="false" outlineLevel="0" collapsed="false">
      <c r="A282" s="1" t="s">
        <v>379</v>
      </c>
      <c r="B282" s="1" t="n">
        <v>1</v>
      </c>
      <c r="C282" s="5" t="n">
        <v>46288</v>
      </c>
      <c r="D282" s="6" t="s">
        <v>380</v>
      </c>
      <c r="E282" s="6" t="s">
        <v>151</v>
      </c>
      <c r="F282" s="6" t="s">
        <v>63</v>
      </c>
      <c r="G282" s="6" t="s">
        <v>64</v>
      </c>
      <c r="H282" s="6" t="s">
        <v>89</v>
      </c>
      <c r="I282" s="1" t="n">
        <v>1</v>
      </c>
      <c r="J282" s="7" t="n">
        <v>8748.76</v>
      </c>
      <c r="K282" s="8" t="n">
        <v>0.05</v>
      </c>
      <c r="L282" s="7" t="n">
        <v>5125.36</v>
      </c>
      <c r="M282" s="6" t="s">
        <v>49</v>
      </c>
      <c r="N282" s="6" t="s">
        <v>67</v>
      </c>
      <c r="O282" s="6" t="n">
        <f aca="false">IF(TablaVentas[[#This Row],[Precio_unitario]]="","PENDIENTE",TablaVentas[[#This Row],[Unidades]]*TablaVentas[[#This Row],[Precio_unitario]]*(1-TablaVentas[[#This Row],[Descuento_pct]]))</f>
        <v>8311.322</v>
      </c>
      <c r="P282" s="6" t="n">
        <f aca="false">IF(TablaVentas[[#This Row],[Costo_unitario]]="","PENDIENTE",TablaVentas[[#This Row],[Unidades]]*TablaVentas[[#This Row],[Costo_unitario]])</f>
        <v>5125.36</v>
      </c>
      <c r="Q282" s="6" t="n">
        <f aca="false">IF(OR(TablaVentas[[#This Row],[Ingreso_neto]]="PENDIENTE",TablaVentas[[#This Row],[Costo_total]]="PENDIENTE"),"PENDIENTE",TablaVentas[[#This Row],[Ingreso_neto]]-TablaVentas[[#This Row],[Costo_total]])</f>
        <v>3185.962</v>
      </c>
    </row>
    <row r="283" customFormat="false" ht="13.5" hidden="false" customHeight="false" outlineLevel="0" collapsed="false">
      <c r="A283" s="1" t="s">
        <v>379</v>
      </c>
      <c r="B283" s="1" t="n">
        <v>2</v>
      </c>
      <c r="C283" s="5" t="n">
        <v>46288</v>
      </c>
      <c r="D283" s="6" t="s">
        <v>380</v>
      </c>
      <c r="E283" s="6" t="s">
        <v>167</v>
      </c>
      <c r="F283" s="6" t="s">
        <v>63</v>
      </c>
      <c r="G283" s="6" t="s">
        <v>64</v>
      </c>
      <c r="H283" s="6" t="s">
        <v>89</v>
      </c>
      <c r="I283" s="1" t="n">
        <v>8</v>
      </c>
      <c r="J283" s="7" t="n">
        <v>7153.59</v>
      </c>
      <c r="K283" s="8" t="n">
        <v>0</v>
      </c>
      <c r="L283" s="7" t="n">
        <v>4082.15</v>
      </c>
      <c r="M283" s="6" t="s">
        <v>49</v>
      </c>
      <c r="N283" s="6" t="s">
        <v>67</v>
      </c>
      <c r="O283" s="6" t="n">
        <f aca="false">IF(TablaVentas[[#This Row],[Precio_unitario]]="","PENDIENTE",TablaVentas[[#This Row],[Unidades]]*TablaVentas[[#This Row],[Precio_unitario]]*(1-TablaVentas[[#This Row],[Descuento_pct]]))</f>
        <v>57228.72</v>
      </c>
      <c r="P283" s="6" t="n">
        <f aca="false">IF(TablaVentas[[#This Row],[Costo_unitario]]="","PENDIENTE",TablaVentas[[#This Row],[Unidades]]*TablaVentas[[#This Row],[Costo_unitario]])</f>
        <v>32657.2</v>
      </c>
      <c r="Q283" s="6" t="n">
        <f aca="false">IF(OR(TablaVentas[[#This Row],[Ingreso_neto]]="PENDIENTE",TablaVentas[[#This Row],[Costo_total]]="PENDIENTE"),"PENDIENTE",TablaVentas[[#This Row],[Ingreso_neto]]-TablaVentas[[#This Row],[Costo_total]])</f>
        <v>24571.52</v>
      </c>
    </row>
    <row r="284" customFormat="false" ht="13.5" hidden="false" customHeight="false" outlineLevel="0" collapsed="false">
      <c r="A284" s="1" t="s">
        <v>379</v>
      </c>
      <c r="B284" s="1" t="n">
        <v>3</v>
      </c>
      <c r="C284" s="5" t="n">
        <v>46288</v>
      </c>
      <c r="D284" s="6" t="s">
        <v>380</v>
      </c>
      <c r="E284" s="6" t="s">
        <v>147</v>
      </c>
      <c r="F284" s="6" t="s">
        <v>63</v>
      </c>
      <c r="G284" s="6" t="s">
        <v>64</v>
      </c>
      <c r="H284" s="6" t="s">
        <v>89</v>
      </c>
      <c r="I284" s="1" t="n">
        <v>3</v>
      </c>
      <c r="J284" s="7" t="n">
        <v>2966.6</v>
      </c>
      <c r="K284" s="8" t="n">
        <v>0.1</v>
      </c>
      <c r="L284" s="7" t="n">
        <v>2427.63</v>
      </c>
      <c r="M284" s="6" t="s">
        <v>49</v>
      </c>
      <c r="N284" s="6" t="s">
        <v>67</v>
      </c>
      <c r="O284" s="6" t="n">
        <f aca="false">IF(TablaVentas[[#This Row],[Precio_unitario]]="","PENDIENTE",TablaVentas[[#This Row],[Unidades]]*TablaVentas[[#This Row],[Precio_unitario]]*(1-TablaVentas[[#This Row],[Descuento_pct]]))</f>
        <v>8009.82</v>
      </c>
      <c r="P284" s="6" t="n">
        <f aca="false">IF(TablaVentas[[#This Row],[Costo_unitario]]="","PENDIENTE",TablaVentas[[#This Row],[Unidades]]*TablaVentas[[#This Row],[Costo_unitario]])</f>
        <v>7282.89</v>
      </c>
      <c r="Q284" s="6" t="n">
        <f aca="false">IF(OR(TablaVentas[[#This Row],[Ingreso_neto]]="PENDIENTE",TablaVentas[[#This Row],[Costo_total]]="PENDIENTE"),"PENDIENTE",TablaVentas[[#This Row],[Ingreso_neto]]-TablaVentas[[#This Row],[Costo_total]])</f>
        <v>726.929999999999</v>
      </c>
    </row>
    <row r="285" customFormat="false" ht="13.5" hidden="false" customHeight="false" outlineLevel="0" collapsed="false">
      <c r="A285" s="1" t="s">
        <v>379</v>
      </c>
      <c r="B285" s="1" t="n">
        <v>4</v>
      </c>
      <c r="C285" s="5" t="n">
        <v>46288</v>
      </c>
      <c r="D285" s="6" t="s">
        <v>380</v>
      </c>
      <c r="E285" s="6" t="s">
        <v>91</v>
      </c>
      <c r="F285" s="6" t="s">
        <v>63</v>
      </c>
      <c r="G285" s="6" t="s">
        <v>64</v>
      </c>
      <c r="H285" s="6" t="s">
        <v>89</v>
      </c>
      <c r="I285" s="1" t="n">
        <v>3</v>
      </c>
      <c r="J285" s="7" t="n">
        <v>14153.03</v>
      </c>
      <c r="K285" s="8" t="n">
        <v>0.2</v>
      </c>
      <c r="L285" s="7" t="n">
        <v>8576.05</v>
      </c>
      <c r="M285" s="6" t="s">
        <v>49</v>
      </c>
      <c r="N285" s="6" t="s">
        <v>50</v>
      </c>
      <c r="O285" s="6" t="n">
        <f aca="false">IF(TablaVentas[[#This Row],[Precio_unitario]]="","PENDIENTE",TablaVentas[[#This Row],[Unidades]]*TablaVentas[[#This Row],[Precio_unitario]]*(1-TablaVentas[[#This Row],[Descuento_pct]]))</f>
        <v>33967.272</v>
      </c>
      <c r="P285" s="6" t="n">
        <f aca="false">IF(TablaVentas[[#This Row],[Costo_unitario]]="","PENDIENTE",TablaVentas[[#This Row],[Unidades]]*TablaVentas[[#This Row],[Costo_unitario]])</f>
        <v>25728.15</v>
      </c>
      <c r="Q285" s="6" t="n">
        <f aca="false">IF(OR(TablaVentas[[#This Row],[Ingreso_neto]]="PENDIENTE",TablaVentas[[#This Row],[Costo_total]]="PENDIENTE"),"PENDIENTE",TablaVentas[[#This Row],[Ingreso_neto]]-TablaVentas[[#This Row],[Costo_total]])</f>
        <v>8239.12200000001</v>
      </c>
    </row>
    <row r="286" customFormat="false" ht="13.5" hidden="false" customHeight="false" outlineLevel="0" collapsed="false">
      <c r="A286" s="1" t="s">
        <v>379</v>
      </c>
      <c r="B286" s="1" t="n">
        <v>5</v>
      </c>
      <c r="C286" s="5" t="n">
        <v>46288</v>
      </c>
      <c r="D286" s="6" t="s">
        <v>380</v>
      </c>
      <c r="E286" s="6" t="s">
        <v>166</v>
      </c>
      <c r="F286" s="6" t="s">
        <v>63</v>
      </c>
      <c r="G286" s="6" t="s">
        <v>64</v>
      </c>
      <c r="H286" s="6" t="s">
        <v>89</v>
      </c>
      <c r="I286" s="1" t="n">
        <v>2</v>
      </c>
      <c r="J286" s="7" t="n">
        <v>11967.54</v>
      </c>
      <c r="K286" s="8" t="n">
        <v>0</v>
      </c>
      <c r="L286" s="7" t="n">
        <v>9317.37</v>
      </c>
      <c r="M286" s="6" t="s">
        <v>49</v>
      </c>
      <c r="N286" s="6" t="s">
        <v>52</v>
      </c>
      <c r="O286" s="6" t="n">
        <f aca="false">IF(TablaVentas[[#This Row],[Precio_unitario]]="","PENDIENTE",TablaVentas[[#This Row],[Unidades]]*TablaVentas[[#This Row],[Precio_unitario]]*(1-TablaVentas[[#This Row],[Descuento_pct]]))</f>
        <v>23935.08</v>
      </c>
      <c r="P286" s="6" t="n">
        <f aca="false">IF(TablaVentas[[#This Row],[Costo_unitario]]="","PENDIENTE",TablaVentas[[#This Row],[Unidades]]*TablaVentas[[#This Row],[Costo_unitario]])</f>
        <v>18634.74</v>
      </c>
      <c r="Q286" s="6" t="n">
        <f aca="false">IF(OR(TablaVentas[[#This Row],[Ingreso_neto]]="PENDIENTE",TablaVentas[[#This Row],[Costo_total]]="PENDIENTE"),"PENDIENTE",TablaVentas[[#This Row],[Ingreso_neto]]-TablaVentas[[#This Row],[Costo_total]])</f>
        <v>5300.34</v>
      </c>
    </row>
    <row r="287" customFormat="false" ht="13.5" hidden="false" customHeight="false" outlineLevel="0" collapsed="false">
      <c r="A287" s="1" t="s">
        <v>381</v>
      </c>
      <c r="B287" s="1" t="n">
        <v>1</v>
      </c>
      <c r="C287" s="5" t="n">
        <v>46146</v>
      </c>
      <c r="D287" s="6" t="s">
        <v>382</v>
      </c>
      <c r="E287" s="6" t="s">
        <v>97</v>
      </c>
      <c r="F287" s="6" t="s">
        <v>63</v>
      </c>
      <c r="G287" s="6" t="s">
        <v>47</v>
      </c>
      <c r="H287" s="6" t="s">
        <v>80</v>
      </c>
      <c r="I287" s="1" t="n">
        <v>1</v>
      </c>
      <c r="J287" s="7" t="n">
        <v>10296.83</v>
      </c>
      <c r="K287" s="8" t="n">
        <v>0.15</v>
      </c>
      <c r="L287" s="7" t="n">
        <v>8174.87</v>
      </c>
      <c r="M287" s="6" t="s">
        <v>49</v>
      </c>
      <c r="N287" s="6" t="s">
        <v>67</v>
      </c>
      <c r="O287" s="6" t="n">
        <f aca="false">IF(TablaVentas[[#This Row],[Precio_unitario]]="","PENDIENTE",TablaVentas[[#This Row],[Unidades]]*TablaVentas[[#This Row],[Precio_unitario]]*(1-TablaVentas[[#This Row],[Descuento_pct]]))</f>
        <v>8752.3055</v>
      </c>
      <c r="P287" s="6" t="n">
        <f aca="false">IF(TablaVentas[[#This Row],[Costo_unitario]]="","PENDIENTE",TablaVentas[[#This Row],[Unidades]]*TablaVentas[[#This Row],[Costo_unitario]])</f>
        <v>8174.87</v>
      </c>
      <c r="Q287" s="6" t="n">
        <f aca="false">IF(OR(TablaVentas[[#This Row],[Ingreso_neto]]="PENDIENTE",TablaVentas[[#This Row],[Costo_total]]="PENDIENTE"),"PENDIENTE",TablaVentas[[#This Row],[Ingreso_neto]]-TablaVentas[[#This Row],[Costo_total]])</f>
        <v>577.435500000001</v>
      </c>
    </row>
    <row r="288" customFormat="false" ht="13.5" hidden="false" customHeight="false" outlineLevel="0" collapsed="false">
      <c r="A288" s="1" t="s">
        <v>381</v>
      </c>
      <c r="B288" s="1" t="n">
        <v>2</v>
      </c>
      <c r="C288" s="5" t="n">
        <v>46146</v>
      </c>
      <c r="D288" s="6" t="s">
        <v>382</v>
      </c>
      <c r="E288" s="6" t="s">
        <v>163</v>
      </c>
      <c r="F288" s="6" t="s">
        <v>63</v>
      </c>
      <c r="G288" s="6" t="s">
        <v>47</v>
      </c>
      <c r="H288" s="6" t="s">
        <v>80</v>
      </c>
      <c r="I288" s="1" t="n">
        <v>4</v>
      </c>
      <c r="J288" s="7" t="n">
        <v>17888.15</v>
      </c>
      <c r="K288" s="8" t="n">
        <v>0</v>
      </c>
      <c r="L288" s="7" t="n">
        <v>13981.13</v>
      </c>
      <c r="M288" s="6" t="s">
        <v>49</v>
      </c>
      <c r="N288" s="6" t="s">
        <v>50</v>
      </c>
      <c r="O288" s="6" t="n">
        <f aca="false">IF(TablaVentas[[#This Row],[Precio_unitario]]="","PENDIENTE",TablaVentas[[#This Row],[Unidades]]*TablaVentas[[#This Row],[Precio_unitario]]*(1-TablaVentas[[#This Row],[Descuento_pct]]))</f>
        <v>71552.6</v>
      </c>
      <c r="P288" s="6" t="n">
        <f aca="false">IF(TablaVentas[[#This Row],[Costo_unitario]]="","PENDIENTE",TablaVentas[[#This Row],[Unidades]]*TablaVentas[[#This Row],[Costo_unitario]])</f>
        <v>55924.52</v>
      </c>
      <c r="Q288" s="6" t="n">
        <f aca="false">IF(OR(TablaVentas[[#This Row],[Ingreso_neto]]="PENDIENTE",TablaVentas[[#This Row],[Costo_total]]="PENDIENTE"),"PENDIENTE",TablaVentas[[#This Row],[Ingreso_neto]]-TablaVentas[[#This Row],[Costo_total]])</f>
        <v>15628.08</v>
      </c>
    </row>
    <row r="289" customFormat="false" ht="13.5" hidden="false" customHeight="false" outlineLevel="0" collapsed="false">
      <c r="A289" s="1" t="s">
        <v>381</v>
      </c>
      <c r="B289" s="1" t="n">
        <v>3</v>
      </c>
      <c r="C289" s="5" t="n">
        <v>46146</v>
      </c>
      <c r="D289" s="6" t="s">
        <v>382</v>
      </c>
      <c r="E289" s="6" t="s">
        <v>127</v>
      </c>
      <c r="F289" s="6" t="s">
        <v>63</v>
      </c>
      <c r="G289" s="6" t="s">
        <v>47</v>
      </c>
      <c r="H289" s="6" t="s">
        <v>80</v>
      </c>
      <c r="I289" s="1" t="n">
        <v>5</v>
      </c>
      <c r="J289" s="7" t="n">
        <v>14000.36</v>
      </c>
      <c r="K289" s="8" t="n">
        <v>0</v>
      </c>
      <c r="L289" s="7" t="n">
        <v>7975.26</v>
      </c>
      <c r="M289" s="6" t="s">
        <v>49</v>
      </c>
      <c r="N289" s="6" t="s">
        <v>59</v>
      </c>
      <c r="O289" s="6" t="n">
        <f aca="false">IF(TablaVentas[[#This Row],[Precio_unitario]]="","PENDIENTE",TablaVentas[[#This Row],[Unidades]]*TablaVentas[[#This Row],[Precio_unitario]]*(1-TablaVentas[[#This Row],[Descuento_pct]]))</f>
        <v>70001.8</v>
      </c>
      <c r="P289" s="6" t="n">
        <f aca="false">IF(TablaVentas[[#This Row],[Costo_unitario]]="","PENDIENTE",TablaVentas[[#This Row],[Unidades]]*TablaVentas[[#This Row],[Costo_unitario]])</f>
        <v>39876.3</v>
      </c>
      <c r="Q289" s="6" t="n">
        <f aca="false">IF(OR(TablaVentas[[#This Row],[Ingreso_neto]]="PENDIENTE",TablaVentas[[#This Row],[Costo_total]]="PENDIENTE"),"PENDIENTE",TablaVentas[[#This Row],[Ingreso_neto]]-TablaVentas[[#This Row],[Costo_total]])</f>
        <v>30125.5</v>
      </c>
    </row>
    <row r="290" customFormat="false" ht="13.5" hidden="false" customHeight="false" outlineLevel="0" collapsed="false">
      <c r="A290" s="1" t="s">
        <v>381</v>
      </c>
      <c r="B290" s="1" t="n">
        <v>4</v>
      </c>
      <c r="C290" s="5" t="n">
        <v>46146</v>
      </c>
      <c r="D290" s="6" t="s">
        <v>382</v>
      </c>
      <c r="E290" s="6" t="s">
        <v>210</v>
      </c>
      <c r="F290" s="6" t="s">
        <v>63</v>
      </c>
      <c r="G290" s="6" t="s">
        <v>47</v>
      </c>
      <c r="H290" s="6" t="s">
        <v>80</v>
      </c>
      <c r="I290" s="1" t="n">
        <v>1</v>
      </c>
      <c r="J290" s="7" t="n">
        <v>2059.14</v>
      </c>
      <c r="K290" s="8" t="n">
        <v>0</v>
      </c>
      <c r="L290" s="7" t="n">
        <v>1252.84</v>
      </c>
      <c r="M290" s="6" t="s">
        <v>49</v>
      </c>
      <c r="N290" s="6" t="s">
        <v>59</v>
      </c>
      <c r="O290" s="6" t="n">
        <f aca="false">IF(TablaVentas[[#This Row],[Precio_unitario]]="","PENDIENTE",TablaVentas[[#This Row],[Unidades]]*TablaVentas[[#This Row],[Precio_unitario]]*(1-TablaVentas[[#This Row],[Descuento_pct]]))</f>
        <v>2059.14</v>
      </c>
      <c r="P290" s="6" t="n">
        <f aca="false">IF(TablaVentas[[#This Row],[Costo_unitario]]="","PENDIENTE",TablaVentas[[#This Row],[Unidades]]*TablaVentas[[#This Row],[Costo_unitario]])</f>
        <v>1252.84</v>
      </c>
      <c r="Q290" s="6" t="n">
        <f aca="false">IF(OR(TablaVentas[[#This Row],[Ingreso_neto]]="PENDIENTE",TablaVentas[[#This Row],[Costo_total]]="PENDIENTE"),"PENDIENTE",TablaVentas[[#This Row],[Ingreso_neto]]-TablaVentas[[#This Row],[Costo_total]])</f>
        <v>806.3</v>
      </c>
    </row>
    <row r="291" customFormat="false" ht="13.5" hidden="false" customHeight="false" outlineLevel="0" collapsed="false">
      <c r="A291" s="1" t="s">
        <v>383</v>
      </c>
      <c r="B291" s="1" t="n">
        <v>1</v>
      </c>
      <c r="C291" s="5" t="n">
        <v>46179</v>
      </c>
      <c r="D291" s="6" t="s">
        <v>384</v>
      </c>
      <c r="E291" s="6" t="s">
        <v>385</v>
      </c>
      <c r="F291" s="6" t="s">
        <v>63</v>
      </c>
      <c r="G291" s="6" t="s">
        <v>47</v>
      </c>
      <c r="H291" s="6" t="s">
        <v>80</v>
      </c>
      <c r="I291" s="1" t="n">
        <v>1</v>
      </c>
      <c r="J291" s="7" t="n">
        <v>3383.37</v>
      </c>
      <c r="K291" s="8" t="n">
        <v>0</v>
      </c>
      <c r="L291" s="7" t="n">
        <v>2864.64</v>
      </c>
      <c r="M291" s="6" t="s">
        <v>49</v>
      </c>
      <c r="N291" s="6" t="s">
        <v>67</v>
      </c>
      <c r="O291" s="6" t="n">
        <f aca="false">IF(TablaVentas[[#This Row],[Precio_unitario]]="","PENDIENTE",TablaVentas[[#This Row],[Unidades]]*TablaVentas[[#This Row],[Precio_unitario]]*(1-TablaVentas[[#This Row],[Descuento_pct]]))</f>
        <v>3383.37</v>
      </c>
      <c r="P291" s="6" t="n">
        <f aca="false">IF(TablaVentas[[#This Row],[Costo_unitario]]="","PENDIENTE",TablaVentas[[#This Row],[Unidades]]*TablaVentas[[#This Row],[Costo_unitario]])</f>
        <v>2864.64</v>
      </c>
      <c r="Q291" s="6" t="n">
        <f aca="false">IF(OR(TablaVentas[[#This Row],[Ingreso_neto]]="PENDIENTE",TablaVentas[[#This Row],[Costo_total]]="PENDIENTE"),"PENDIENTE",TablaVentas[[#This Row],[Ingreso_neto]]-TablaVentas[[#This Row],[Costo_total]])</f>
        <v>518.73</v>
      </c>
    </row>
    <row r="292" customFormat="false" ht="13.5" hidden="false" customHeight="false" outlineLevel="0" collapsed="false">
      <c r="A292" s="1" t="s">
        <v>383</v>
      </c>
      <c r="B292" s="1" t="n">
        <v>2</v>
      </c>
      <c r="C292" s="5" t="n">
        <v>46179</v>
      </c>
      <c r="D292" s="6" t="s">
        <v>384</v>
      </c>
      <c r="E292" s="6" t="s">
        <v>171</v>
      </c>
      <c r="F292" s="6" t="s">
        <v>63</v>
      </c>
      <c r="G292" s="6" t="s">
        <v>47</v>
      </c>
      <c r="H292" s="6" t="s">
        <v>80</v>
      </c>
      <c r="I292" s="1" t="n">
        <v>1</v>
      </c>
      <c r="J292" s="7" t="n">
        <v>6075.94</v>
      </c>
      <c r="K292" s="8" t="n">
        <v>0.05</v>
      </c>
      <c r="L292" s="7" t="n">
        <v>5050.04</v>
      </c>
      <c r="M292" s="6" t="s">
        <v>49</v>
      </c>
      <c r="N292" s="6" t="s">
        <v>67</v>
      </c>
      <c r="O292" s="6" t="n">
        <f aca="false">IF(TablaVentas[[#This Row],[Precio_unitario]]="","PENDIENTE",TablaVentas[[#This Row],[Unidades]]*TablaVentas[[#This Row],[Precio_unitario]]*(1-TablaVentas[[#This Row],[Descuento_pct]]))</f>
        <v>5772.143</v>
      </c>
      <c r="P292" s="6" t="n">
        <f aca="false">IF(TablaVentas[[#This Row],[Costo_unitario]]="","PENDIENTE",TablaVentas[[#This Row],[Unidades]]*TablaVentas[[#This Row],[Costo_unitario]])</f>
        <v>5050.04</v>
      </c>
      <c r="Q292" s="6" t="n">
        <f aca="false">IF(OR(TablaVentas[[#This Row],[Ingreso_neto]]="PENDIENTE",TablaVentas[[#This Row],[Costo_total]]="PENDIENTE"),"PENDIENTE",TablaVentas[[#This Row],[Ingreso_neto]]-TablaVentas[[#This Row],[Costo_total]])</f>
        <v>722.102999999999</v>
      </c>
    </row>
    <row r="293" customFormat="false" ht="13.5" hidden="false" customHeight="false" outlineLevel="0" collapsed="false">
      <c r="A293" s="1" t="s">
        <v>383</v>
      </c>
      <c r="B293" s="1" t="n">
        <v>3</v>
      </c>
      <c r="C293" s="5" t="n">
        <v>46179</v>
      </c>
      <c r="D293" s="6" t="s">
        <v>384</v>
      </c>
      <c r="E293" s="6" t="s">
        <v>167</v>
      </c>
      <c r="F293" s="6" t="s">
        <v>63</v>
      </c>
      <c r="G293" s="6" t="s">
        <v>47</v>
      </c>
      <c r="H293" s="6" t="s">
        <v>80</v>
      </c>
      <c r="I293" s="1" t="n">
        <v>2</v>
      </c>
      <c r="J293" s="7" t="n">
        <v>8033.48</v>
      </c>
      <c r="K293" s="8" t="n">
        <v>0</v>
      </c>
      <c r="L293" s="7" t="n">
        <v>4082.15</v>
      </c>
      <c r="M293" s="6" t="s">
        <v>49</v>
      </c>
      <c r="N293" s="6" t="s">
        <v>52</v>
      </c>
      <c r="O293" s="6" t="n">
        <f aca="false">IF(TablaVentas[[#This Row],[Precio_unitario]]="","PENDIENTE",TablaVentas[[#This Row],[Unidades]]*TablaVentas[[#This Row],[Precio_unitario]]*(1-TablaVentas[[#This Row],[Descuento_pct]]))</f>
        <v>16066.96</v>
      </c>
      <c r="P293" s="6" t="n">
        <f aca="false">IF(TablaVentas[[#This Row],[Costo_unitario]]="","PENDIENTE",TablaVentas[[#This Row],[Unidades]]*TablaVentas[[#This Row],[Costo_unitario]])</f>
        <v>8164.3</v>
      </c>
      <c r="Q293" s="6" t="n">
        <f aca="false">IF(OR(TablaVentas[[#This Row],[Ingreso_neto]]="PENDIENTE",TablaVentas[[#This Row],[Costo_total]]="PENDIENTE"),"PENDIENTE",TablaVentas[[#This Row],[Ingreso_neto]]-TablaVentas[[#This Row],[Costo_total]])</f>
        <v>7902.66</v>
      </c>
    </row>
    <row r="294" customFormat="false" ht="13.5" hidden="false" customHeight="false" outlineLevel="0" collapsed="false">
      <c r="A294" s="1" t="s">
        <v>386</v>
      </c>
      <c r="B294" s="1" t="n">
        <v>1</v>
      </c>
      <c r="C294" s="5" t="n">
        <v>46048</v>
      </c>
      <c r="D294" s="6" t="s">
        <v>387</v>
      </c>
      <c r="E294" s="6" t="s">
        <v>130</v>
      </c>
      <c r="F294" s="6" t="s">
        <v>73</v>
      </c>
      <c r="G294" s="6" t="s">
        <v>47</v>
      </c>
      <c r="H294" s="6" t="s">
        <v>89</v>
      </c>
      <c r="I294" s="1" t="n">
        <v>1</v>
      </c>
      <c r="J294" s="7" t="n">
        <v>17646.8</v>
      </c>
      <c r="K294" s="8" t="n">
        <v>0</v>
      </c>
      <c r="L294" s="7" t="n">
        <v>12679.41</v>
      </c>
      <c r="M294" s="6" t="s">
        <v>49</v>
      </c>
      <c r="N294" s="6" t="s">
        <v>67</v>
      </c>
      <c r="O294" s="6" t="n">
        <f aca="false">IF(TablaVentas[[#This Row],[Precio_unitario]]="","PENDIENTE",TablaVentas[[#This Row],[Unidades]]*TablaVentas[[#This Row],[Precio_unitario]]*(1-TablaVentas[[#This Row],[Descuento_pct]]))</f>
        <v>17646.8</v>
      </c>
      <c r="P294" s="6" t="n">
        <f aca="false">IF(TablaVentas[[#This Row],[Costo_unitario]]="","PENDIENTE",TablaVentas[[#This Row],[Unidades]]*TablaVentas[[#This Row],[Costo_unitario]])</f>
        <v>12679.41</v>
      </c>
      <c r="Q294" s="6" t="n">
        <f aca="false">IF(OR(TablaVentas[[#This Row],[Ingreso_neto]]="PENDIENTE",TablaVentas[[#This Row],[Costo_total]]="PENDIENTE"),"PENDIENTE",TablaVentas[[#This Row],[Ingreso_neto]]-TablaVentas[[#This Row],[Costo_total]])</f>
        <v>4967.39</v>
      </c>
    </row>
    <row r="295" customFormat="false" ht="13.5" hidden="false" customHeight="false" outlineLevel="0" collapsed="false">
      <c r="A295" s="1" t="s">
        <v>388</v>
      </c>
      <c r="B295" s="1" t="n">
        <v>1</v>
      </c>
      <c r="C295" s="5" t="n">
        <v>46101</v>
      </c>
      <c r="D295" s="6" t="s">
        <v>389</v>
      </c>
      <c r="E295" s="6" t="s">
        <v>135</v>
      </c>
      <c r="F295" s="6" t="s">
        <v>73</v>
      </c>
      <c r="G295" s="6" t="s">
        <v>47</v>
      </c>
      <c r="H295" s="6" t="s">
        <v>65</v>
      </c>
      <c r="I295" s="1" t="n">
        <v>1</v>
      </c>
      <c r="J295" s="7" t="n">
        <v>1567.69</v>
      </c>
      <c r="K295" s="8" t="n">
        <v>0.2</v>
      </c>
      <c r="L295" s="7" t="n">
        <v>900.08</v>
      </c>
      <c r="M295" s="6" t="s">
        <v>49</v>
      </c>
      <c r="N295" s="6" t="s">
        <v>50</v>
      </c>
      <c r="O295" s="6" t="n">
        <f aca="false">IF(TablaVentas[[#This Row],[Precio_unitario]]="","PENDIENTE",TablaVentas[[#This Row],[Unidades]]*TablaVentas[[#This Row],[Precio_unitario]]*(1-TablaVentas[[#This Row],[Descuento_pct]]))</f>
        <v>1254.152</v>
      </c>
      <c r="P295" s="6" t="n">
        <f aca="false">IF(TablaVentas[[#This Row],[Costo_unitario]]="","PENDIENTE",TablaVentas[[#This Row],[Unidades]]*TablaVentas[[#This Row],[Costo_unitario]])</f>
        <v>900.08</v>
      </c>
      <c r="Q295" s="6" t="n">
        <f aca="false">IF(OR(TablaVentas[[#This Row],[Ingreso_neto]]="PENDIENTE",TablaVentas[[#This Row],[Costo_total]]="PENDIENTE"),"PENDIENTE",TablaVentas[[#This Row],[Ingreso_neto]]-TablaVentas[[#This Row],[Costo_total]])</f>
        <v>354.072</v>
      </c>
    </row>
    <row r="296" customFormat="false" ht="13.5" hidden="false" customHeight="false" outlineLevel="0" collapsed="false">
      <c r="A296" s="1" t="s">
        <v>388</v>
      </c>
      <c r="B296" s="1" t="n">
        <v>2</v>
      </c>
      <c r="C296" s="5" t="n">
        <v>46101</v>
      </c>
      <c r="D296" s="6" t="s">
        <v>389</v>
      </c>
      <c r="E296" s="6" t="s">
        <v>230</v>
      </c>
      <c r="F296" s="6" t="s">
        <v>73</v>
      </c>
      <c r="G296" s="6" t="s">
        <v>47</v>
      </c>
      <c r="H296" s="6" t="s">
        <v>65</v>
      </c>
      <c r="I296" s="1" t="n">
        <v>3</v>
      </c>
      <c r="J296" s="7" t="n">
        <v>6260.37</v>
      </c>
      <c r="K296" s="8" t="n">
        <v>0</v>
      </c>
      <c r="L296" s="7" t="n">
        <v>3298.19</v>
      </c>
      <c r="M296" s="6" t="s">
        <v>49</v>
      </c>
      <c r="N296" s="6" t="s">
        <v>59</v>
      </c>
      <c r="O296" s="6" t="n">
        <f aca="false">IF(TablaVentas[[#This Row],[Precio_unitario]]="","PENDIENTE",TablaVentas[[#This Row],[Unidades]]*TablaVentas[[#This Row],[Precio_unitario]]*(1-TablaVentas[[#This Row],[Descuento_pct]]))</f>
        <v>18781.11</v>
      </c>
      <c r="P296" s="6" t="n">
        <f aca="false">IF(TablaVentas[[#This Row],[Costo_unitario]]="","PENDIENTE",TablaVentas[[#This Row],[Unidades]]*TablaVentas[[#This Row],[Costo_unitario]])</f>
        <v>9894.57</v>
      </c>
      <c r="Q296" s="6" t="n">
        <f aca="false">IF(OR(TablaVentas[[#This Row],[Ingreso_neto]]="PENDIENTE",TablaVentas[[#This Row],[Costo_total]]="PENDIENTE"),"PENDIENTE",TablaVentas[[#This Row],[Ingreso_neto]]-TablaVentas[[#This Row],[Costo_total]])</f>
        <v>8886.54</v>
      </c>
    </row>
    <row r="297" customFormat="false" ht="13.5" hidden="false" customHeight="false" outlineLevel="0" collapsed="false">
      <c r="A297" s="1" t="s">
        <v>390</v>
      </c>
      <c r="B297" s="1" t="n">
        <v>1</v>
      </c>
      <c r="C297" s="5" t="n">
        <v>46132</v>
      </c>
      <c r="D297" s="6" t="s">
        <v>391</v>
      </c>
      <c r="E297" s="6" t="s">
        <v>75</v>
      </c>
      <c r="F297" s="6" t="s">
        <v>73</v>
      </c>
      <c r="G297" s="6" t="s">
        <v>47</v>
      </c>
      <c r="H297" s="6" t="s">
        <v>109</v>
      </c>
      <c r="I297" s="1" t="n">
        <v>1</v>
      </c>
      <c r="J297" s="7" t="n">
        <v>14410.07</v>
      </c>
      <c r="K297" s="8" t="n">
        <v>0</v>
      </c>
      <c r="L297" s="7" t="n">
        <v>9243.35</v>
      </c>
      <c r="M297" s="6" t="s">
        <v>49</v>
      </c>
      <c r="N297" s="6" t="s">
        <v>52</v>
      </c>
      <c r="O297" s="6" t="n">
        <f aca="false">IF(TablaVentas[[#This Row],[Precio_unitario]]="","PENDIENTE",TablaVentas[[#This Row],[Unidades]]*TablaVentas[[#This Row],[Precio_unitario]]*(1-TablaVentas[[#This Row],[Descuento_pct]]))</f>
        <v>14410.07</v>
      </c>
      <c r="P297" s="6" t="n">
        <f aca="false">IF(TablaVentas[[#This Row],[Costo_unitario]]="","PENDIENTE",TablaVentas[[#This Row],[Unidades]]*TablaVentas[[#This Row],[Costo_unitario]])</f>
        <v>9243.35</v>
      </c>
      <c r="Q297" s="6" t="n">
        <f aca="false">IF(OR(TablaVentas[[#This Row],[Ingreso_neto]]="PENDIENTE",TablaVentas[[#This Row],[Costo_total]]="PENDIENTE"),"PENDIENTE",TablaVentas[[#This Row],[Ingreso_neto]]-TablaVentas[[#This Row],[Costo_total]])</f>
        <v>5166.72</v>
      </c>
    </row>
    <row r="298" customFormat="false" ht="13.5" hidden="false" customHeight="false" outlineLevel="0" collapsed="false">
      <c r="A298" s="1" t="s">
        <v>390</v>
      </c>
      <c r="B298" s="1" t="n">
        <v>2</v>
      </c>
      <c r="C298" s="5" t="n">
        <v>46132</v>
      </c>
      <c r="D298" s="6" t="s">
        <v>391</v>
      </c>
      <c r="E298" s="6" t="s">
        <v>132</v>
      </c>
      <c r="F298" s="6" t="s">
        <v>73</v>
      </c>
      <c r="G298" s="6" t="s">
        <v>47</v>
      </c>
      <c r="H298" s="6" t="s">
        <v>109</v>
      </c>
      <c r="I298" s="1" t="n">
        <v>2</v>
      </c>
      <c r="J298" s="7" t="n">
        <v>1846.81</v>
      </c>
      <c r="K298" s="8" t="n">
        <v>0.05</v>
      </c>
      <c r="L298" s="7" t="n">
        <v>1044.32</v>
      </c>
      <c r="M298" s="6" t="s">
        <v>49</v>
      </c>
      <c r="N298" s="6" t="s">
        <v>50</v>
      </c>
      <c r="O298" s="6" t="n">
        <f aca="false">IF(TablaVentas[[#This Row],[Precio_unitario]]="","PENDIENTE",TablaVentas[[#This Row],[Unidades]]*TablaVentas[[#This Row],[Precio_unitario]]*(1-TablaVentas[[#This Row],[Descuento_pct]]))</f>
        <v>3508.939</v>
      </c>
      <c r="P298" s="6" t="n">
        <f aca="false">IF(TablaVentas[[#This Row],[Costo_unitario]]="","PENDIENTE",TablaVentas[[#This Row],[Unidades]]*TablaVentas[[#This Row],[Costo_unitario]])</f>
        <v>2088.64</v>
      </c>
      <c r="Q298" s="6" t="n">
        <f aca="false">IF(OR(TablaVentas[[#This Row],[Ingreso_neto]]="PENDIENTE",TablaVentas[[#This Row],[Costo_total]]="PENDIENTE"),"PENDIENTE",TablaVentas[[#This Row],[Ingreso_neto]]-TablaVentas[[#This Row],[Costo_total]])</f>
        <v>1420.299</v>
      </c>
    </row>
    <row r="299" customFormat="false" ht="13.5" hidden="false" customHeight="false" outlineLevel="0" collapsed="false">
      <c r="A299" s="1" t="s">
        <v>392</v>
      </c>
      <c r="B299" s="1" t="n">
        <v>1</v>
      </c>
      <c r="C299" s="5" t="n">
        <v>46231</v>
      </c>
      <c r="D299" s="6" t="s">
        <v>393</v>
      </c>
      <c r="E299" s="6" t="s">
        <v>289</v>
      </c>
      <c r="F299" s="6" t="s">
        <v>73</v>
      </c>
      <c r="G299" s="6" t="s">
        <v>64</v>
      </c>
      <c r="H299" s="6" t="s">
        <v>131</v>
      </c>
      <c r="I299" s="1" t="n">
        <v>1</v>
      </c>
      <c r="J299" s="7" t="n">
        <v>3849.26</v>
      </c>
      <c r="K299" s="8" t="n">
        <v>0</v>
      </c>
      <c r="L299" s="7" t="n">
        <v>3399.5</v>
      </c>
      <c r="M299" s="6" t="s">
        <v>49</v>
      </c>
      <c r="N299" s="6" t="s">
        <v>52</v>
      </c>
      <c r="O299" s="6" t="n">
        <f aca="false">IF(TablaVentas[[#This Row],[Precio_unitario]]="","PENDIENTE",TablaVentas[[#This Row],[Unidades]]*TablaVentas[[#This Row],[Precio_unitario]]*(1-TablaVentas[[#This Row],[Descuento_pct]]))</f>
        <v>3849.26</v>
      </c>
      <c r="P299" s="6" t="n">
        <f aca="false">IF(TablaVentas[[#This Row],[Costo_unitario]]="","PENDIENTE",TablaVentas[[#This Row],[Unidades]]*TablaVentas[[#This Row],[Costo_unitario]])</f>
        <v>3399.5</v>
      </c>
      <c r="Q299" s="6" t="n">
        <f aca="false">IF(OR(TablaVentas[[#This Row],[Ingreso_neto]]="PENDIENTE",TablaVentas[[#This Row],[Costo_total]]="PENDIENTE"),"PENDIENTE",TablaVentas[[#This Row],[Ingreso_neto]]-TablaVentas[[#This Row],[Costo_total]])</f>
        <v>449.76</v>
      </c>
    </row>
    <row r="300" customFormat="false" ht="13.5" hidden="false" customHeight="false" outlineLevel="0" collapsed="false">
      <c r="A300" s="1" t="s">
        <v>392</v>
      </c>
      <c r="B300" s="1" t="n">
        <v>2</v>
      </c>
      <c r="C300" s="5" t="n">
        <v>46231</v>
      </c>
      <c r="D300" s="6" t="s">
        <v>393</v>
      </c>
      <c r="E300" s="6" t="s">
        <v>327</v>
      </c>
      <c r="F300" s="6" t="s">
        <v>73</v>
      </c>
      <c r="G300" s="6" t="s">
        <v>64</v>
      </c>
      <c r="H300" s="6" t="s">
        <v>131</v>
      </c>
      <c r="I300" s="1" t="n">
        <v>2</v>
      </c>
      <c r="J300" s="7" t="n">
        <v>4613.95</v>
      </c>
      <c r="K300" s="8" t="n">
        <v>0</v>
      </c>
      <c r="L300" s="7" t="n">
        <v>3065.66</v>
      </c>
      <c r="M300" s="6" t="s">
        <v>49</v>
      </c>
      <c r="N300" s="6" t="s">
        <v>52</v>
      </c>
      <c r="O300" s="6" t="n">
        <f aca="false">IF(TablaVentas[[#This Row],[Precio_unitario]]="","PENDIENTE",TablaVentas[[#This Row],[Unidades]]*TablaVentas[[#This Row],[Precio_unitario]]*(1-TablaVentas[[#This Row],[Descuento_pct]]))</f>
        <v>9227.9</v>
      </c>
      <c r="P300" s="6" t="n">
        <f aca="false">IF(TablaVentas[[#This Row],[Costo_unitario]]="","PENDIENTE",TablaVentas[[#This Row],[Unidades]]*TablaVentas[[#This Row],[Costo_unitario]])</f>
        <v>6131.32</v>
      </c>
      <c r="Q300" s="6" t="n">
        <f aca="false">IF(OR(TablaVentas[[#This Row],[Ingreso_neto]]="PENDIENTE",TablaVentas[[#This Row],[Costo_total]]="PENDIENTE"),"PENDIENTE",TablaVentas[[#This Row],[Ingreso_neto]]-TablaVentas[[#This Row],[Costo_total]])</f>
        <v>3096.58</v>
      </c>
    </row>
    <row r="301" customFormat="false" ht="13.5" hidden="false" customHeight="false" outlineLevel="0" collapsed="false">
      <c r="A301" s="1" t="s">
        <v>392</v>
      </c>
      <c r="B301" s="1" t="n">
        <v>3</v>
      </c>
      <c r="C301" s="5" t="n">
        <v>46231</v>
      </c>
      <c r="D301" s="6" t="s">
        <v>393</v>
      </c>
      <c r="E301" s="6" t="s">
        <v>179</v>
      </c>
      <c r="F301" s="6" t="s">
        <v>73</v>
      </c>
      <c r="G301" s="6" t="s">
        <v>64</v>
      </c>
      <c r="H301" s="6" t="s">
        <v>131</v>
      </c>
      <c r="I301" s="1" t="n">
        <v>3</v>
      </c>
      <c r="J301" s="7" t="n">
        <v>15441.22</v>
      </c>
      <c r="K301" s="8" t="n">
        <v>0</v>
      </c>
      <c r="L301" s="7" t="n">
        <v>10830.17</v>
      </c>
      <c r="M301" s="6" t="s">
        <v>123</v>
      </c>
      <c r="N301" s="6" t="s">
        <v>52</v>
      </c>
      <c r="O301" s="6" t="n">
        <f aca="false">IF(TablaVentas[[#This Row],[Precio_unitario]]="","PENDIENTE",TablaVentas[[#This Row],[Unidades]]*TablaVentas[[#This Row],[Precio_unitario]]*(1-TablaVentas[[#This Row],[Descuento_pct]]))</f>
        <v>46323.66</v>
      </c>
      <c r="P301" s="6" t="n">
        <f aca="false">IF(TablaVentas[[#This Row],[Costo_unitario]]="","PENDIENTE",TablaVentas[[#This Row],[Unidades]]*TablaVentas[[#This Row],[Costo_unitario]])</f>
        <v>32490.51</v>
      </c>
      <c r="Q301" s="6" t="n">
        <f aca="false">IF(OR(TablaVentas[[#This Row],[Ingreso_neto]]="PENDIENTE",TablaVentas[[#This Row],[Costo_total]]="PENDIENTE"),"PENDIENTE",TablaVentas[[#This Row],[Ingreso_neto]]-TablaVentas[[#This Row],[Costo_total]])</f>
        <v>13833.15</v>
      </c>
    </row>
    <row r="302" customFormat="false" ht="13.5" hidden="false" customHeight="false" outlineLevel="0" collapsed="false">
      <c r="A302" s="1" t="s">
        <v>394</v>
      </c>
      <c r="B302" s="1" t="n">
        <v>1</v>
      </c>
      <c r="C302" s="5" t="n">
        <v>46239</v>
      </c>
      <c r="D302" s="6" t="s">
        <v>395</v>
      </c>
      <c r="E302" s="6" t="s">
        <v>45</v>
      </c>
      <c r="F302" s="6" t="s">
        <v>84</v>
      </c>
      <c r="G302" s="6" t="s">
        <v>47</v>
      </c>
      <c r="H302" s="6" t="s">
        <v>80</v>
      </c>
      <c r="I302" s="1" t="n">
        <v>2</v>
      </c>
      <c r="J302" s="7" t="n">
        <v>5875.75</v>
      </c>
      <c r="K302" s="8" t="n">
        <v>0.2</v>
      </c>
      <c r="L302" s="7" t="n">
        <v>3832.69</v>
      </c>
      <c r="M302" s="6" t="s">
        <v>49</v>
      </c>
      <c r="N302" s="6" t="s">
        <v>50</v>
      </c>
      <c r="O302" s="6" t="n">
        <f aca="false">IF(TablaVentas[[#This Row],[Precio_unitario]]="","PENDIENTE",TablaVentas[[#This Row],[Unidades]]*TablaVentas[[#This Row],[Precio_unitario]]*(1-TablaVentas[[#This Row],[Descuento_pct]]))</f>
        <v>9401.2</v>
      </c>
      <c r="P302" s="6" t="n">
        <f aca="false">IF(TablaVentas[[#This Row],[Costo_unitario]]="","PENDIENTE",TablaVentas[[#This Row],[Unidades]]*TablaVentas[[#This Row],[Costo_unitario]])</f>
        <v>7665.38</v>
      </c>
      <c r="Q302" s="6" t="n">
        <f aca="false">IF(OR(TablaVentas[[#This Row],[Ingreso_neto]]="PENDIENTE",TablaVentas[[#This Row],[Costo_total]]="PENDIENTE"),"PENDIENTE",TablaVentas[[#This Row],[Ingreso_neto]]-TablaVentas[[#This Row],[Costo_total]])</f>
        <v>1735.82</v>
      </c>
    </row>
    <row r="303" customFormat="false" ht="13.5" hidden="false" customHeight="false" outlineLevel="0" collapsed="false">
      <c r="A303" s="1" t="s">
        <v>396</v>
      </c>
      <c r="B303" s="1" t="n">
        <v>1</v>
      </c>
      <c r="C303" s="5" t="n">
        <v>46114</v>
      </c>
      <c r="D303" s="6" t="s">
        <v>397</v>
      </c>
      <c r="E303" s="6" t="s">
        <v>213</v>
      </c>
      <c r="F303" s="6" t="s">
        <v>63</v>
      </c>
      <c r="G303" s="6" t="s">
        <v>64</v>
      </c>
      <c r="H303" s="6" t="s">
        <v>48</v>
      </c>
      <c r="I303" s="1" t="n">
        <v>5</v>
      </c>
      <c r="J303" s="7" t="n">
        <v>5419.55</v>
      </c>
      <c r="K303" s="8" t="n">
        <v>0.15</v>
      </c>
      <c r="L303" s="7" t="n">
        <v>4008.77</v>
      </c>
      <c r="M303" s="6" t="s">
        <v>49</v>
      </c>
      <c r="N303" s="6" t="s">
        <v>50</v>
      </c>
      <c r="O303" s="6" t="n">
        <f aca="false">IF(TablaVentas[[#This Row],[Precio_unitario]]="","PENDIENTE",TablaVentas[[#This Row],[Unidades]]*TablaVentas[[#This Row],[Precio_unitario]]*(1-TablaVentas[[#This Row],[Descuento_pct]]))</f>
        <v>23033.0875</v>
      </c>
      <c r="P303" s="6" t="n">
        <f aca="false">IF(TablaVentas[[#This Row],[Costo_unitario]]="","PENDIENTE",TablaVentas[[#This Row],[Unidades]]*TablaVentas[[#This Row],[Costo_unitario]])</f>
        <v>20043.85</v>
      </c>
      <c r="Q303" s="6" t="n">
        <f aca="false">IF(OR(TablaVentas[[#This Row],[Ingreso_neto]]="PENDIENTE",TablaVentas[[#This Row],[Costo_total]]="PENDIENTE"),"PENDIENTE",TablaVentas[[#This Row],[Ingreso_neto]]-TablaVentas[[#This Row],[Costo_total]])</f>
        <v>2989.2375</v>
      </c>
    </row>
    <row r="304" customFormat="false" ht="13.5" hidden="false" customHeight="false" outlineLevel="0" collapsed="false">
      <c r="A304" s="1" t="s">
        <v>396</v>
      </c>
      <c r="B304" s="1" t="n">
        <v>2</v>
      </c>
      <c r="C304" s="5" t="n">
        <v>46114</v>
      </c>
      <c r="D304" s="6" t="s">
        <v>397</v>
      </c>
      <c r="E304" s="6" t="s">
        <v>278</v>
      </c>
      <c r="F304" s="6" t="s">
        <v>63</v>
      </c>
      <c r="G304" s="6" t="s">
        <v>64</v>
      </c>
      <c r="H304" s="6" t="s">
        <v>48</v>
      </c>
      <c r="I304" s="1" t="n">
        <v>5</v>
      </c>
      <c r="J304" s="7" t="n">
        <v>1106.57</v>
      </c>
      <c r="K304" s="8" t="n">
        <v>0</v>
      </c>
      <c r="L304" s="7" t="n">
        <v>759.03</v>
      </c>
      <c r="M304" s="6" t="s">
        <v>49</v>
      </c>
      <c r="N304" s="6" t="s">
        <v>50</v>
      </c>
      <c r="O304" s="6" t="n">
        <f aca="false">IF(TablaVentas[[#This Row],[Precio_unitario]]="","PENDIENTE",TablaVentas[[#This Row],[Unidades]]*TablaVentas[[#This Row],[Precio_unitario]]*(1-TablaVentas[[#This Row],[Descuento_pct]]))</f>
        <v>5532.85</v>
      </c>
      <c r="P304" s="6" t="n">
        <f aca="false">IF(TablaVentas[[#This Row],[Costo_unitario]]="","PENDIENTE",TablaVentas[[#This Row],[Unidades]]*TablaVentas[[#This Row],[Costo_unitario]])</f>
        <v>3795.15</v>
      </c>
      <c r="Q304" s="6" t="n">
        <f aca="false">IF(OR(TablaVentas[[#This Row],[Ingreso_neto]]="PENDIENTE",TablaVentas[[#This Row],[Costo_total]]="PENDIENTE"),"PENDIENTE",TablaVentas[[#This Row],[Ingreso_neto]]-TablaVentas[[#This Row],[Costo_total]])</f>
        <v>1737.7</v>
      </c>
    </row>
    <row r="305" customFormat="false" ht="13.5" hidden="false" customHeight="false" outlineLevel="0" collapsed="false">
      <c r="A305" s="1" t="s">
        <v>398</v>
      </c>
      <c r="B305" s="1" t="n">
        <v>1</v>
      </c>
      <c r="C305" s="5" t="n">
        <v>46169</v>
      </c>
      <c r="D305" s="6" t="s">
        <v>399</v>
      </c>
      <c r="E305" s="6" t="s">
        <v>174</v>
      </c>
      <c r="F305" s="6" t="s">
        <v>73</v>
      </c>
      <c r="G305" s="6" t="s">
        <v>57</v>
      </c>
      <c r="H305" s="6" t="s">
        <v>136</v>
      </c>
      <c r="I305" s="1" t="n">
        <v>3</v>
      </c>
      <c r="J305" s="7" t="n">
        <v>16589.04</v>
      </c>
      <c r="K305" s="8" t="n">
        <v>0</v>
      </c>
      <c r="L305" s="7" t="n">
        <v>8704.4</v>
      </c>
      <c r="M305" s="6" t="s">
        <v>49</v>
      </c>
      <c r="N305" s="6" t="s">
        <v>59</v>
      </c>
      <c r="O305" s="6" t="n">
        <f aca="false">IF(TablaVentas[[#This Row],[Precio_unitario]]="","PENDIENTE",TablaVentas[[#This Row],[Unidades]]*TablaVentas[[#This Row],[Precio_unitario]]*(1-TablaVentas[[#This Row],[Descuento_pct]]))</f>
        <v>49767.12</v>
      </c>
      <c r="P305" s="6" t="n">
        <f aca="false">IF(TablaVentas[[#This Row],[Costo_unitario]]="","PENDIENTE",TablaVentas[[#This Row],[Unidades]]*TablaVentas[[#This Row],[Costo_unitario]])</f>
        <v>26113.2</v>
      </c>
      <c r="Q305" s="6" t="n">
        <f aca="false">IF(OR(TablaVentas[[#This Row],[Ingreso_neto]]="PENDIENTE",TablaVentas[[#This Row],[Costo_total]]="PENDIENTE"),"PENDIENTE",TablaVentas[[#This Row],[Ingreso_neto]]-TablaVentas[[#This Row],[Costo_total]])</f>
        <v>23653.92</v>
      </c>
    </row>
    <row r="306" customFormat="false" ht="13.5" hidden="false" customHeight="false" outlineLevel="0" collapsed="false">
      <c r="A306" s="1" t="s">
        <v>400</v>
      </c>
      <c r="B306" s="1" t="n">
        <v>1</v>
      </c>
      <c r="C306" s="5" t="n">
        <v>46105</v>
      </c>
      <c r="D306" s="6" t="s">
        <v>401</v>
      </c>
      <c r="E306" s="6" t="s">
        <v>213</v>
      </c>
      <c r="F306" s="6" t="s">
        <v>63</v>
      </c>
      <c r="G306" s="6" t="s">
        <v>47</v>
      </c>
      <c r="H306" s="6" t="s">
        <v>74</v>
      </c>
      <c r="I306" s="1" t="n">
        <v>3</v>
      </c>
      <c r="J306" s="7" t="n">
        <v>5573.2</v>
      </c>
      <c r="K306" s="8" t="n">
        <v>0</v>
      </c>
      <c r="L306" s="7" t="n">
        <v>4008.77</v>
      </c>
      <c r="M306" s="6" t="s">
        <v>49</v>
      </c>
      <c r="N306" s="6" t="s">
        <v>59</v>
      </c>
      <c r="O306" s="6" t="n">
        <f aca="false">IF(TablaVentas[[#This Row],[Precio_unitario]]="","PENDIENTE",TablaVentas[[#This Row],[Unidades]]*TablaVentas[[#This Row],[Precio_unitario]]*(1-TablaVentas[[#This Row],[Descuento_pct]]))</f>
        <v>16719.6</v>
      </c>
      <c r="P306" s="6" t="n">
        <f aca="false">IF(TablaVentas[[#This Row],[Costo_unitario]]="","PENDIENTE",TablaVentas[[#This Row],[Unidades]]*TablaVentas[[#This Row],[Costo_unitario]])</f>
        <v>12026.31</v>
      </c>
      <c r="Q306" s="6" t="n">
        <f aca="false">IF(OR(TablaVentas[[#This Row],[Ingreso_neto]]="PENDIENTE",TablaVentas[[#This Row],[Costo_total]]="PENDIENTE"),"PENDIENTE",TablaVentas[[#This Row],[Ingreso_neto]]-TablaVentas[[#This Row],[Costo_total]])</f>
        <v>4693.29</v>
      </c>
    </row>
    <row r="307" customFormat="false" ht="13.5" hidden="false" customHeight="false" outlineLevel="0" collapsed="false">
      <c r="A307" s="1" t="s">
        <v>402</v>
      </c>
      <c r="B307" s="1" t="n">
        <v>1</v>
      </c>
      <c r="C307" s="5" t="n">
        <v>46122</v>
      </c>
      <c r="D307" s="6" t="s">
        <v>403</v>
      </c>
      <c r="E307" s="6" t="s">
        <v>135</v>
      </c>
      <c r="F307" s="6" t="s">
        <v>46</v>
      </c>
      <c r="G307" s="6" t="s">
        <v>64</v>
      </c>
      <c r="H307" s="6" t="s">
        <v>89</v>
      </c>
      <c r="I307" s="1" t="n">
        <v>3</v>
      </c>
      <c r="J307" s="7" t="n">
        <v>1452.05</v>
      </c>
      <c r="K307" s="8" t="n">
        <v>0.1</v>
      </c>
      <c r="L307" s="7" t="n">
        <v>900.08</v>
      </c>
      <c r="M307" s="6" t="s">
        <v>49</v>
      </c>
      <c r="N307" s="6" t="s">
        <v>67</v>
      </c>
      <c r="O307" s="6" t="n">
        <f aca="false">IF(TablaVentas[[#This Row],[Precio_unitario]]="","PENDIENTE",TablaVentas[[#This Row],[Unidades]]*TablaVentas[[#This Row],[Precio_unitario]]*(1-TablaVentas[[#This Row],[Descuento_pct]]))</f>
        <v>3920.535</v>
      </c>
      <c r="P307" s="6" t="n">
        <f aca="false">IF(TablaVentas[[#This Row],[Costo_unitario]]="","PENDIENTE",TablaVentas[[#This Row],[Unidades]]*TablaVentas[[#This Row],[Costo_unitario]])</f>
        <v>2700.24</v>
      </c>
      <c r="Q307" s="6" t="n">
        <f aca="false">IF(OR(TablaVentas[[#This Row],[Ingreso_neto]]="PENDIENTE",TablaVentas[[#This Row],[Costo_total]]="PENDIENTE"),"PENDIENTE",TablaVentas[[#This Row],[Ingreso_neto]]-TablaVentas[[#This Row],[Costo_total]])</f>
        <v>1220.295</v>
      </c>
    </row>
    <row r="308" customFormat="false" ht="13.5" hidden="false" customHeight="false" outlineLevel="0" collapsed="false">
      <c r="A308" s="1" t="s">
        <v>402</v>
      </c>
      <c r="B308" s="1" t="n">
        <v>2</v>
      </c>
      <c r="C308" s="5" t="n">
        <v>46122</v>
      </c>
      <c r="D308" s="6" t="s">
        <v>403</v>
      </c>
      <c r="E308" s="6" t="s">
        <v>225</v>
      </c>
      <c r="F308" s="6" t="s">
        <v>46</v>
      </c>
      <c r="G308" s="6" t="s">
        <v>64</v>
      </c>
      <c r="H308" s="6" t="s">
        <v>89</v>
      </c>
      <c r="I308" s="1" t="n">
        <v>3</v>
      </c>
      <c r="J308" s="7" t="n">
        <v>4233.87</v>
      </c>
      <c r="K308" s="8" t="n">
        <v>0.1</v>
      </c>
      <c r="L308" s="7" t="n">
        <v>2833.97</v>
      </c>
      <c r="M308" s="6" t="s">
        <v>49</v>
      </c>
      <c r="N308" s="6" t="s">
        <v>59</v>
      </c>
      <c r="O308" s="6" t="n">
        <f aca="false">IF(TablaVentas[[#This Row],[Precio_unitario]]="","PENDIENTE",TablaVentas[[#This Row],[Unidades]]*TablaVentas[[#This Row],[Precio_unitario]]*(1-TablaVentas[[#This Row],[Descuento_pct]]))</f>
        <v>11431.449</v>
      </c>
      <c r="P308" s="6" t="n">
        <f aca="false">IF(TablaVentas[[#This Row],[Costo_unitario]]="","PENDIENTE",TablaVentas[[#This Row],[Unidades]]*TablaVentas[[#This Row],[Costo_unitario]])</f>
        <v>8501.91</v>
      </c>
      <c r="Q308" s="6" t="n">
        <f aca="false">IF(OR(TablaVentas[[#This Row],[Ingreso_neto]]="PENDIENTE",TablaVentas[[#This Row],[Costo_total]]="PENDIENTE"),"PENDIENTE",TablaVentas[[#This Row],[Ingreso_neto]]-TablaVentas[[#This Row],[Costo_total]])</f>
        <v>2929.539</v>
      </c>
    </row>
    <row r="309" customFormat="false" ht="13.5" hidden="false" customHeight="false" outlineLevel="0" collapsed="false">
      <c r="A309" s="1" t="s">
        <v>402</v>
      </c>
      <c r="B309" s="1" t="n">
        <v>3</v>
      </c>
      <c r="C309" s="5" t="n">
        <v>46122</v>
      </c>
      <c r="D309" s="6" t="s">
        <v>403</v>
      </c>
      <c r="E309" s="6" t="s">
        <v>179</v>
      </c>
      <c r="F309" s="6" t="s">
        <v>46</v>
      </c>
      <c r="G309" s="6" t="s">
        <v>64</v>
      </c>
      <c r="H309" s="6" t="s">
        <v>89</v>
      </c>
      <c r="I309" s="1" t="n">
        <v>3</v>
      </c>
      <c r="J309" s="7" t="n">
        <v>17622.22</v>
      </c>
      <c r="K309" s="8" t="n">
        <v>0.15</v>
      </c>
      <c r="L309" s="7" t="n">
        <v>10830.17</v>
      </c>
      <c r="M309" s="6" t="s">
        <v>49</v>
      </c>
      <c r="N309" s="6" t="s">
        <v>67</v>
      </c>
      <c r="O309" s="6" t="n">
        <f aca="false">IF(TablaVentas[[#This Row],[Precio_unitario]]="","PENDIENTE",TablaVentas[[#This Row],[Unidades]]*TablaVentas[[#This Row],[Precio_unitario]]*(1-TablaVentas[[#This Row],[Descuento_pct]]))</f>
        <v>44936.661</v>
      </c>
      <c r="P309" s="6" t="n">
        <f aca="false">IF(TablaVentas[[#This Row],[Costo_unitario]]="","PENDIENTE",TablaVentas[[#This Row],[Unidades]]*TablaVentas[[#This Row],[Costo_unitario]])</f>
        <v>32490.51</v>
      </c>
      <c r="Q309" s="6" t="n">
        <f aca="false">IF(OR(TablaVentas[[#This Row],[Ingreso_neto]]="PENDIENTE",TablaVentas[[#This Row],[Costo_total]]="PENDIENTE"),"PENDIENTE",TablaVentas[[#This Row],[Ingreso_neto]]-TablaVentas[[#This Row],[Costo_total]])</f>
        <v>12446.151</v>
      </c>
    </row>
    <row r="310" customFormat="false" ht="13.5" hidden="false" customHeight="false" outlineLevel="0" collapsed="false">
      <c r="A310" s="1" t="s">
        <v>402</v>
      </c>
      <c r="B310" s="1" t="n">
        <v>4</v>
      </c>
      <c r="C310" s="5" t="n">
        <v>46122</v>
      </c>
      <c r="D310" s="6" t="s">
        <v>403</v>
      </c>
      <c r="E310" s="6" t="s">
        <v>404</v>
      </c>
      <c r="F310" s="6" t="s">
        <v>46</v>
      </c>
      <c r="G310" s="6" t="s">
        <v>64</v>
      </c>
      <c r="H310" s="6" t="s">
        <v>89</v>
      </c>
      <c r="I310" s="1" t="n">
        <v>4</v>
      </c>
      <c r="J310" s="7" t="n">
        <v>5936.71</v>
      </c>
      <c r="K310" s="8" t="n">
        <v>0.2</v>
      </c>
      <c r="L310" s="7" t="n">
        <v>3640.56</v>
      </c>
      <c r="M310" s="6" t="s">
        <v>49</v>
      </c>
      <c r="N310" s="6" t="s">
        <v>50</v>
      </c>
      <c r="O310" s="6" t="n">
        <f aca="false">IF(TablaVentas[[#This Row],[Precio_unitario]]="","PENDIENTE",TablaVentas[[#This Row],[Unidades]]*TablaVentas[[#This Row],[Precio_unitario]]*(1-TablaVentas[[#This Row],[Descuento_pct]]))</f>
        <v>18997.472</v>
      </c>
      <c r="P310" s="6" t="n">
        <f aca="false">IF(TablaVentas[[#This Row],[Costo_unitario]]="","PENDIENTE",TablaVentas[[#This Row],[Unidades]]*TablaVentas[[#This Row],[Costo_unitario]])</f>
        <v>14562.24</v>
      </c>
      <c r="Q310" s="6" t="n">
        <f aca="false">IF(OR(TablaVentas[[#This Row],[Ingreso_neto]]="PENDIENTE",TablaVentas[[#This Row],[Costo_total]]="PENDIENTE"),"PENDIENTE",TablaVentas[[#This Row],[Ingreso_neto]]-TablaVentas[[#This Row],[Costo_total]])</f>
        <v>4435.232</v>
      </c>
    </row>
    <row r="311" customFormat="false" ht="13.5" hidden="false" customHeight="false" outlineLevel="0" collapsed="false">
      <c r="A311" s="1" t="s">
        <v>402</v>
      </c>
      <c r="B311" s="1" t="n">
        <v>5</v>
      </c>
      <c r="C311" s="5" t="n">
        <v>46122</v>
      </c>
      <c r="D311" s="6" t="s">
        <v>403</v>
      </c>
      <c r="E311" s="6" t="s">
        <v>284</v>
      </c>
      <c r="F311" s="6" t="s">
        <v>46</v>
      </c>
      <c r="G311" s="6" t="s">
        <v>64</v>
      </c>
      <c r="H311" s="6" t="s">
        <v>89</v>
      </c>
      <c r="I311" s="1" t="n">
        <v>1</v>
      </c>
      <c r="J311" s="7" t="n">
        <v>6011.86</v>
      </c>
      <c r="K311" s="8" t="n">
        <v>0.05</v>
      </c>
      <c r="L311" s="7" t="n">
        <v>4858.08</v>
      </c>
      <c r="M311" s="6" t="s">
        <v>49</v>
      </c>
      <c r="N311" s="6" t="s">
        <v>67</v>
      </c>
      <c r="O311" s="6" t="n">
        <f aca="false">IF(TablaVentas[[#This Row],[Precio_unitario]]="","PENDIENTE",TablaVentas[[#This Row],[Unidades]]*TablaVentas[[#This Row],[Precio_unitario]]*(1-TablaVentas[[#This Row],[Descuento_pct]]))</f>
        <v>5711.267</v>
      </c>
      <c r="P311" s="6" t="n">
        <f aca="false">IF(TablaVentas[[#This Row],[Costo_unitario]]="","PENDIENTE",TablaVentas[[#This Row],[Unidades]]*TablaVentas[[#This Row],[Costo_unitario]])</f>
        <v>4858.08</v>
      </c>
      <c r="Q311" s="6" t="n">
        <f aca="false">IF(OR(TablaVentas[[#This Row],[Ingreso_neto]]="PENDIENTE",TablaVentas[[#This Row],[Costo_total]]="PENDIENTE"),"PENDIENTE",TablaVentas[[#This Row],[Ingreso_neto]]-TablaVentas[[#This Row],[Costo_total]])</f>
        <v>853.187</v>
      </c>
    </row>
    <row r="312" customFormat="false" ht="13.5" hidden="false" customHeight="false" outlineLevel="0" collapsed="false">
      <c r="A312" s="1" t="s">
        <v>405</v>
      </c>
      <c r="B312" s="1" t="n">
        <v>1</v>
      </c>
      <c r="C312" s="5" t="n">
        <v>46077</v>
      </c>
      <c r="D312" s="6" t="s">
        <v>245</v>
      </c>
      <c r="E312" s="6" t="s">
        <v>171</v>
      </c>
      <c r="F312" s="6" t="s">
        <v>46</v>
      </c>
      <c r="G312" s="6" t="s">
        <v>47</v>
      </c>
      <c r="H312" s="6" t="s">
        <v>58</v>
      </c>
      <c r="I312" s="1" t="n">
        <v>2</v>
      </c>
      <c r="J312" s="7" t="n">
        <v>5791.05</v>
      </c>
      <c r="K312" s="8" t="n">
        <v>0</v>
      </c>
      <c r="L312" s="7" t="n">
        <v>5050.04</v>
      </c>
      <c r="M312" s="6" t="s">
        <v>49</v>
      </c>
      <c r="N312" s="6" t="s">
        <v>50</v>
      </c>
      <c r="O312" s="6" t="n">
        <f aca="false">IF(TablaVentas[[#This Row],[Precio_unitario]]="","PENDIENTE",TablaVentas[[#This Row],[Unidades]]*TablaVentas[[#This Row],[Precio_unitario]]*(1-TablaVentas[[#This Row],[Descuento_pct]]))</f>
        <v>11582.1</v>
      </c>
      <c r="P312" s="6" t="n">
        <f aca="false">IF(TablaVentas[[#This Row],[Costo_unitario]]="","PENDIENTE",TablaVentas[[#This Row],[Unidades]]*TablaVentas[[#This Row],[Costo_unitario]])</f>
        <v>10100.08</v>
      </c>
      <c r="Q312" s="6" t="n">
        <f aca="false">IF(OR(TablaVentas[[#This Row],[Ingreso_neto]]="PENDIENTE",TablaVentas[[#This Row],[Costo_total]]="PENDIENTE"),"PENDIENTE",TablaVentas[[#This Row],[Ingreso_neto]]-TablaVentas[[#This Row],[Costo_total]])</f>
        <v>1482.02</v>
      </c>
    </row>
    <row r="313" customFormat="false" ht="13.5" hidden="false" customHeight="false" outlineLevel="0" collapsed="false">
      <c r="A313" s="1" t="s">
        <v>405</v>
      </c>
      <c r="B313" s="1" t="n">
        <v>2</v>
      </c>
      <c r="C313" s="5" t="n">
        <v>46077</v>
      </c>
      <c r="D313" s="6" t="s">
        <v>245</v>
      </c>
      <c r="E313" s="6" t="s">
        <v>252</v>
      </c>
      <c r="F313" s="6" t="s">
        <v>46</v>
      </c>
      <c r="G313" s="6" t="s">
        <v>47</v>
      </c>
      <c r="H313" s="6" t="s">
        <v>58</v>
      </c>
      <c r="I313" s="1" t="n">
        <v>1</v>
      </c>
      <c r="J313" s="7" t="n">
        <v>19496.75</v>
      </c>
      <c r="K313" s="8" t="n">
        <v>0.1</v>
      </c>
      <c r="L313" s="7" t="n">
        <v>10507.24</v>
      </c>
      <c r="M313" s="6" t="s">
        <v>49</v>
      </c>
      <c r="N313" s="6" t="s">
        <v>50</v>
      </c>
      <c r="O313" s="6" t="n">
        <f aca="false">IF(TablaVentas[[#This Row],[Precio_unitario]]="","PENDIENTE",TablaVentas[[#This Row],[Unidades]]*TablaVentas[[#This Row],[Precio_unitario]]*(1-TablaVentas[[#This Row],[Descuento_pct]]))</f>
        <v>17547.075</v>
      </c>
      <c r="P313" s="6" t="n">
        <f aca="false">IF(TablaVentas[[#This Row],[Costo_unitario]]="","PENDIENTE",TablaVentas[[#This Row],[Unidades]]*TablaVentas[[#This Row],[Costo_unitario]])</f>
        <v>10507.24</v>
      </c>
      <c r="Q313" s="6" t="n">
        <f aca="false">IF(OR(TablaVentas[[#This Row],[Ingreso_neto]]="PENDIENTE",TablaVentas[[#This Row],[Costo_total]]="PENDIENTE"),"PENDIENTE",TablaVentas[[#This Row],[Ingreso_neto]]-TablaVentas[[#This Row],[Costo_total]])</f>
        <v>7039.835</v>
      </c>
    </row>
    <row r="314" customFormat="false" ht="13.5" hidden="false" customHeight="false" outlineLevel="0" collapsed="false">
      <c r="A314" s="1" t="s">
        <v>405</v>
      </c>
      <c r="B314" s="1" t="n">
        <v>3</v>
      </c>
      <c r="C314" s="5" t="n">
        <v>46077</v>
      </c>
      <c r="D314" s="6" t="s">
        <v>245</v>
      </c>
      <c r="E314" s="6" t="s">
        <v>62</v>
      </c>
      <c r="F314" s="6" t="s">
        <v>46</v>
      </c>
      <c r="G314" s="6" t="s">
        <v>47</v>
      </c>
      <c r="H314" s="6" t="s">
        <v>58</v>
      </c>
      <c r="I314" s="1" t="n">
        <v>5</v>
      </c>
      <c r="J314" s="7" t="n">
        <v>11720.86</v>
      </c>
      <c r="K314" s="8" t="n">
        <v>0.05</v>
      </c>
      <c r="L314" s="7" t="n">
        <v>6407.85</v>
      </c>
      <c r="M314" s="6" t="s">
        <v>49</v>
      </c>
      <c r="N314" s="6" t="s">
        <v>52</v>
      </c>
      <c r="O314" s="6" t="n">
        <f aca="false">IF(TablaVentas[[#This Row],[Precio_unitario]]="","PENDIENTE",TablaVentas[[#This Row],[Unidades]]*TablaVentas[[#This Row],[Precio_unitario]]*(1-TablaVentas[[#This Row],[Descuento_pct]]))</f>
        <v>55674.085</v>
      </c>
      <c r="P314" s="6" t="n">
        <f aca="false">IF(TablaVentas[[#This Row],[Costo_unitario]]="","PENDIENTE",TablaVentas[[#This Row],[Unidades]]*TablaVentas[[#This Row],[Costo_unitario]])</f>
        <v>32039.25</v>
      </c>
      <c r="Q314" s="6" t="n">
        <f aca="false">IF(OR(TablaVentas[[#This Row],[Ingreso_neto]]="PENDIENTE",TablaVentas[[#This Row],[Costo_total]]="PENDIENTE"),"PENDIENTE",TablaVentas[[#This Row],[Ingreso_neto]]-TablaVentas[[#This Row],[Costo_total]])</f>
        <v>23634.835</v>
      </c>
    </row>
    <row r="315" customFormat="false" ht="13.5" hidden="false" customHeight="false" outlineLevel="0" collapsed="false">
      <c r="A315" s="1" t="s">
        <v>406</v>
      </c>
      <c r="B315" s="1" t="n">
        <v>1</v>
      </c>
      <c r="C315" s="5" t="n">
        <v>46160</v>
      </c>
      <c r="D315" s="6" t="s">
        <v>407</v>
      </c>
      <c r="E315" s="6" t="s">
        <v>142</v>
      </c>
      <c r="F315" s="6" t="s">
        <v>46</v>
      </c>
      <c r="G315" s="6" t="s">
        <v>47</v>
      </c>
      <c r="H315" s="6" t="s">
        <v>89</v>
      </c>
      <c r="I315" s="1" t="n">
        <v>1</v>
      </c>
      <c r="J315" s="7" t="n">
        <v>2098.89</v>
      </c>
      <c r="K315" s="8" t="n">
        <v>0.2</v>
      </c>
      <c r="L315" s="7" t="n">
        <v>1529.93</v>
      </c>
      <c r="M315" s="6" t="s">
        <v>49</v>
      </c>
      <c r="N315" s="6" t="s">
        <v>59</v>
      </c>
      <c r="O315" s="6" t="n">
        <f aca="false">IF(TablaVentas[[#This Row],[Precio_unitario]]="","PENDIENTE",TablaVentas[[#This Row],[Unidades]]*TablaVentas[[#This Row],[Precio_unitario]]*(1-TablaVentas[[#This Row],[Descuento_pct]]))</f>
        <v>1679.112</v>
      </c>
      <c r="P315" s="6" t="n">
        <f aca="false">IF(TablaVentas[[#This Row],[Costo_unitario]]="","PENDIENTE",TablaVentas[[#This Row],[Unidades]]*TablaVentas[[#This Row],[Costo_unitario]])</f>
        <v>1529.93</v>
      </c>
      <c r="Q315" s="6" t="n">
        <f aca="false">IF(OR(TablaVentas[[#This Row],[Ingreso_neto]]="PENDIENTE",TablaVentas[[#This Row],[Costo_total]]="PENDIENTE"),"PENDIENTE",TablaVentas[[#This Row],[Ingreso_neto]]-TablaVentas[[#This Row],[Costo_total]])</f>
        <v>149.182</v>
      </c>
    </row>
    <row r="316" customFormat="false" ht="13.5" hidden="false" customHeight="false" outlineLevel="0" collapsed="false">
      <c r="A316" s="1" t="s">
        <v>406</v>
      </c>
      <c r="B316" s="1" t="n">
        <v>2</v>
      </c>
      <c r="C316" s="5" t="n">
        <v>46160</v>
      </c>
      <c r="D316" s="6" t="s">
        <v>407</v>
      </c>
      <c r="E316" s="6" t="s">
        <v>75</v>
      </c>
      <c r="F316" s="6" t="s">
        <v>46</v>
      </c>
      <c r="G316" s="6" t="s">
        <v>47</v>
      </c>
      <c r="H316" s="6" t="s">
        <v>89</v>
      </c>
      <c r="I316" s="1" t="n">
        <v>1</v>
      </c>
      <c r="J316" s="7" t="n">
        <v>15979.53</v>
      </c>
      <c r="K316" s="8" t="n">
        <v>0</v>
      </c>
      <c r="L316" s="7" t="n">
        <v>9243.35</v>
      </c>
      <c r="M316" s="6" t="s">
        <v>123</v>
      </c>
      <c r="N316" s="6" t="s">
        <v>67</v>
      </c>
      <c r="O316" s="6" t="n">
        <f aca="false">IF(TablaVentas[[#This Row],[Precio_unitario]]="","PENDIENTE",TablaVentas[[#This Row],[Unidades]]*TablaVentas[[#This Row],[Precio_unitario]]*(1-TablaVentas[[#This Row],[Descuento_pct]]))</f>
        <v>15979.53</v>
      </c>
      <c r="P316" s="6" t="n">
        <f aca="false">IF(TablaVentas[[#This Row],[Costo_unitario]]="","PENDIENTE",TablaVentas[[#This Row],[Unidades]]*TablaVentas[[#This Row],[Costo_unitario]])</f>
        <v>9243.35</v>
      </c>
      <c r="Q316" s="6" t="n">
        <f aca="false">IF(OR(TablaVentas[[#This Row],[Ingreso_neto]]="PENDIENTE",TablaVentas[[#This Row],[Costo_total]]="PENDIENTE"),"PENDIENTE",TablaVentas[[#This Row],[Ingreso_neto]]-TablaVentas[[#This Row],[Costo_total]])</f>
        <v>6736.18</v>
      </c>
    </row>
    <row r="317" customFormat="false" ht="13.5" hidden="false" customHeight="false" outlineLevel="0" collapsed="false">
      <c r="A317" s="1" t="s">
        <v>408</v>
      </c>
      <c r="B317" s="1" t="n">
        <v>1</v>
      </c>
      <c r="C317" s="5" t="n">
        <v>46180</v>
      </c>
      <c r="D317" s="6" t="s">
        <v>409</v>
      </c>
      <c r="E317" s="6" t="s">
        <v>166</v>
      </c>
      <c r="F317" s="6" t="s">
        <v>46</v>
      </c>
      <c r="G317" s="6" t="s">
        <v>47</v>
      </c>
      <c r="H317" s="6" t="s">
        <v>131</v>
      </c>
      <c r="I317" s="1" t="n">
        <v>2</v>
      </c>
      <c r="J317" s="7" t="n">
        <v>11975.29</v>
      </c>
      <c r="K317" s="8" t="n">
        <v>0</v>
      </c>
      <c r="L317" s="7" t="n">
        <v>9317.37</v>
      </c>
      <c r="M317" s="6" t="s">
        <v>49</v>
      </c>
      <c r="N317" s="6" t="s">
        <v>59</v>
      </c>
      <c r="O317" s="6" t="n">
        <f aca="false">IF(TablaVentas[[#This Row],[Precio_unitario]]="","PENDIENTE",TablaVentas[[#This Row],[Unidades]]*TablaVentas[[#This Row],[Precio_unitario]]*(1-TablaVentas[[#This Row],[Descuento_pct]]))</f>
        <v>23950.58</v>
      </c>
      <c r="P317" s="6" t="n">
        <f aca="false">IF(TablaVentas[[#This Row],[Costo_unitario]]="","PENDIENTE",TablaVentas[[#This Row],[Unidades]]*TablaVentas[[#This Row],[Costo_unitario]])</f>
        <v>18634.74</v>
      </c>
      <c r="Q317" s="6" t="n">
        <f aca="false">IF(OR(TablaVentas[[#This Row],[Ingreso_neto]]="PENDIENTE",TablaVentas[[#This Row],[Costo_total]]="PENDIENTE"),"PENDIENTE",TablaVentas[[#This Row],[Ingreso_neto]]-TablaVentas[[#This Row],[Costo_total]])</f>
        <v>5315.84</v>
      </c>
    </row>
    <row r="318" customFormat="false" ht="13.5" hidden="false" customHeight="false" outlineLevel="0" collapsed="false">
      <c r="A318" s="1" t="s">
        <v>408</v>
      </c>
      <c r="B318" s="1" t="n">
        <v>2</v>
      </c>
      <c r="C318" s="5" t="n">
        <v>46180</v>
      </c>
      <c r="D318" s="6" t="s">
        <v>409</v>
      </c>
      <c r="E318" s="6" t="s">
        <v>210</v>
      </c>
      <c r="F318" s="6" t="s">
        <v>46</v>
      </c>
      <c r="G318" s="6" t="s">
        <v>47</v>
      </c>
      <c r="H318" s="6" t="s">
        <v>131</v>
      </c>
      <c r="I318" s="1" t="n">
        <v>2</v>
      </c>
      <c r="J318" s="7" t="n">
        <v>1873</v>
      </c>
      <c r="K318" s="8" t="n">
        <v>0</v>
      </c>
      <c r="L318" s="7" t="n">
        <v>1252.84</v>
      </c>
      <c r="M318" s="6" t="s">
        <v>49</v>
      </c>
      <c r="N318" s="6" t="s">
        <v>59</v>
      </c>
      <c r="O318" s="6" t="n">
        <f aca="false">IF(TablaVentas[[#This Row],[Precio_unitario]]="","PENDIENTE",TablaVentas[[#This Row],[Unidades]]*TablaVentas[[#This Row],[Precio_unitario]]*(1-TablaVentas[[#This Row],[Descuento_pct]]))</f>
        <v>3746</v>
      </c>
      <c r="P318" s="6" t="n">
        <f aca="false">IF(TablaVentas[[#This Row],[Costo_unitario]]="","PENDIENTE",TablaVentas[[#This Row],[Unidades]]*TablaVentas[[#This Row],[Costo_unitario]])</f>
        <v>2505.68</v>
      </c>
      <c r="Q318" s="6" t="n">
        <f aca="false">IF(OR(TablaVentas[[#This Row],[Ingreso_neto]]="PENDIENTE",TablaVentas[[#This Row],[Costo_total]]="PENDIENTE"),"PENDIENTE",TablaVentas[[#This Row],[Ingreso_neto]]-TablaVentas[[#This Row],[Costo_total]])</f>
        <v>1240.32</v>
      </c>
    </row>
    <row r="319" customFormat="false" ht="13.5" hidden="false" customHeight="false" outlineLevel="0" collapsed="false">
      <c r="A319" s="1" t="s">
        <v>408</v>
      </c>
      <c r="B319" s="1" t="n">
        <v>3</v>
      </c>
      <c r="C319" s="5" t="n">
        <v>46180</v>
      </c>
      <c r="D319" s="6" t="s">
        <v>409</v>
      </c>
      <c r="E319" s="6" t="s">
        <v>192</v>
      </c>
      <c r="F319" s="6" t="s">
        <v>46</v>
      </c>
      <c r="G319" s="6" t="s">
        <v>47</v>
      </c>
      <c r="H319" s="6" t="s">
        <v>131</v>
      </c>
      <c r="I319" s="1" t="n">
        <v>12</v>
      </c>
      <c r="J319" s="7" t="n">
        <v>18159.57</v>
      </c>
      <c r="K319" s="8" t="n">
        <v>0</v>
      </c>
      <c r="L319" s="7" t="n">
        <v>11904.09</v>
      </c>
      <c r="M319" s="6" t="s">
        <v>49</v>
      </c>
      <c r="N319" s="6" t="s">
        <v>52</v>
      </c>
      <c r="O319" s="6" t="n">
        <f aca="false">IF(TablaVentas[[#This Row],[Precio_unitario]]="","PENDIENTE",TablaVentas[[#This Row],[Unidades]]*TablaVentas[[#This Row],[Precio_unitario]]*(1-TablaVentas[[#This Row],[Descuento_pct]]))</f>
        <v>217914.84</v>
      </c>
      <c r="P319" s="6" t="n">
        <f aca="false">IF(TablaVentas[[#This Row],[Costo_unitario]]="","PENDIENTE",TablaVentas[[#This Row],[Unidades]]*TablaVentas[[#This Row],[Costo_unitario]])</f>
        <v>142849.08</v>
      </c>
      <c r="Q319" s="6" t="n">
        <f aca="false">IF(OR(TablaVentas[[#This Row],[Ingreso_neto]]="PENDIENTE",TablaVentas[[#This Row],[Costo_total]]="PENDIENTE"),"PENDIENTE",TablaVentas[[#This Row],[Ingreso_neto]]-TablaVentas[[#This Row],[Costo_total]])</f>
        <v>75065.76</v>
      </c>
    </row>
    <row r="320" customFormat="false" ht="13.5" hidden="false" customHeight="false" outlineLevel="0" collapsed="false">
      <c r="A320" s="1" t="s">
        <v>408</v>
      </c>
      <c r="B320" s="1" t="n">
        <v>4</v>
      </c>
      <c r="C320" s="5" t="n">
        <v>46180</v>
      </c>
      <c r="D320" s="6" t="s">
        <v>409</v>
      </c>
      <c r="E320" s="6" t="s">
        <v>110</v>
      </c>
      <c r="F320" s="6" t="s">
        <v>46</v>
      </c>
      <c r="G320" s="6" t="s">
        <v>47</v>
      </c>
      <c r="H320" s="6" t="s">
        <v>131</v>
      </c>
      <c r="I320" s="1" t="n">
        <v>3</v>
      </c>
      <c r="J320" s="7" t="n">
        <v>13403.2</v>
      </c>
      <c r="K320" s="8" t="n">
        <v>0.05</v>
      </c>
      <c r="L320" s="7" t="n">
        <v>7549.71</v>
      </c>
      <c r="M320" s="6" t="s">
        <v>69</v>
      </c>
      <c r="N320" s="6" t="s">
        <v>67</v>
      </c>
      <c r="O320" s="6" t="n">
        <f aca="false">IF(TablaVentas[[#This Row],[Precio_unitario]]="","PENDIENTE",TablaVentas[[#This Row],[Unidades]]*TablaVentas[[#This Row],[Precio_unitario]]*(1-TablaVentas[[#This Row],[Descuento_pct]]))</f>
        <v>38199.12</v>
      </c>
      <c r="P320" s="6" t="n">
        <f aca="false">IF(TablaVentas[[#This Row],[Costo_unitario]]="","PENDIENTE",TablaVentas[[#This Row],[Unidades]]*TablaVentas[[#This Row],[Costo_unitario]])</f>
        <v>22649.13</v>
      </c>
      <c r="Q320" s="6" t="n">
        <f aca="false">IF(OR(TablaVentas[[#This Row],[Ingreso_neto]]="PENDIENTE",TablaVentas[[#This Row],[Costo_total]]="PENDIENTE"),"PENDIENTE",TablaVentas[[#This Row],[Ingreso_neto]]-TablaVentas[[#This Row],[Costo_total]])</f>
        <v>15549.99</v>
      </c>
    </row>
    <row r="321" customFormat="false" ht="13.5" hidden="false" customHeight="false" outlineLevel="0" collapsed="false">
      <c r="A321" s="1" t="s">
        <v>408</v>
      </c>
      <c r="B321" s="1" t="n">
        <v>5</v>
      </c>
      <c r="C321" s="5" t="n">
        <v>46180</v>
      </c>
      <c r="D321" s="6" t="s">
        <v>409</v>
      </c>
      <c r="E321" s="6" t="s">
        <v>410</v>
      </c>
      <c r="F321" s="6" t="s">
        <v>46</v>
      </c>
      <c r="G321" s="6" t="s">
        <v>47</v>
      </c>
      <c r="H321" s="6" t="s">
        <v>131</v>
      </c>
      <c r="I321" s="1" t="n">
        <v>3</v>
      </c>
      <c r="J321" s="7" t="n">
        <v>2753.26</v>
      </c>
      <c r="K321" s="8" t="n">
        <v>0</v>
      </c>
      <c r="L321" s="7" t="n">
        <v>1801.83</v>
      </c>
      <c r="M321" s="6" t="s">
        <v>49</v>
      </c>
      <c r="N321" s="6" t="s">
        <v>67</v>
      </c>
      <c r="O321" s="6" t="n">
        <f aca="false">IF(TablaVentas[[#This Row],[Precio_unitario]]="","PENDIENTE",TablaVentas[[#This Row],[Unidades]]*TablaVentas[[#This Row],[Precio_unitario]]*(1-TablaVentas[[#This Row],[Descuento_pct]]))</f>
        <v>8259.78</v>
      </c>
      <c r="P321" s="6" t="n">
        <f aca="false">IF(TablaVentas[[#This Row],[Costo_unitario]]="","PENDIENTE",TablaVentas[[#This Row],[Unidades]]*TablaVentas[[#This Row],[Costo_unitario]])</f>
        <v>5405.49</v>
      </c>
      <c r="Q321" s="6" t="n">
        <f aca="false">IF(OR(TablaVentas[[#This Row],[Ingreso_neto]]="PENDIENTE",TablaVentas[[#This Row],[Costo_total]]="PENDIENTE"),"PENDIENTE",TablaVentas[[#This Row],[Ingreso_neto]]-TablaVentas[[#This Row],[Costo_total]])</f>
        <v>2854.29</v>
      </c>
    </row>
    <row r="322" customFormat="false" ht="13.5" hidden="false" customHeight="false" outlineLevel="0" collapsed="false">
      <c r="A322" s="1" t="s">
        <v>411</v>
      </c>
      <c r="B322" s="1" t="n">
        <v>1</v>
      </c>
      <c r="C322" s="5" t="n">
        <v>46253</v>
      </c>
      <c r="D322" s="6" t="s">
        <v>251</v>
      </c>
      <c r="E322" s="6" t="s">
        <v>45</v>
      </c>
      <c r="F322" s="6" t="s">
        <v>84</v>
      </c>
      <c r="G322" s="6" t="s">
        <v>64</v>
      </c>
      <c r="H322" s="6" t="s">
        <v>191</v>
      </c>
      <c r="I322" s="1" t="n">
        <v>5</v>
      </c>
      <c r="J322" s="7" t="n">
        <v>5782.53</v>
      </c>
      <c r="K322" s="8" t="n">
        <v>0.05</v>
      </c>
      <c r="L322" s="7" t="n">
        <v>3832.69</v>
      </c>
      <c r="M322" s="6" t="s">
        <v>49</v>
      </c>
      <c r="N322" s="6" t="s">
        <v>52</v>
      </c>
      <c r="O322" s="6" t="n">
        <f aca="false">IF(TablaVentas[[#This Row],[Precio_unitario]]="","PENDIENTE",TablaVentas[[#This Row],[Unidades]]*TablaVentas[[#This Row],[Precio_unitario]]*(1-TablaVentas[[#This Row],[Descuento_pct]]))</f>
        <v>27467.0175</v>
      </c>
      <c r="P322" s="6" t="n">
        <f aca="false">IF(TablaVentas[[#This Row],[Costo_unitario]]="","PENDIENTE",TablaVentas[[#This Row],[Unidades]]*TablaVentas[[#This Row],[Costo_unitario]])</f>
        <v>19163.45</v>
      </c>
      <c r="Q322" s="6" t="n">
        <f aca="false">IF(OR(TablaVentas[[#This Row],[Ingreso_neto]]="PENDIENTE",TablaVentas[[#This Row],[Costo_total]]="PENDIENTE"),"PENDIENTE",TablaVentas[[#This Row],[Ingreso_neto]]-TablaVentas[[#This Row],[Costo_total]])</f>
        <v>8303.5675</v>
      </c>
    </row>
    <row r="323" customFormat="false" ht="13.5" hidden="false" customHeight="false" outlineLevel="0" collapsed="false">
      <c r="A323" s="1" t="s">
        <v>411</v>
      </c>
      <c r="B323" s="1" t="n">
        <v>1</v>
      </c>
      <c r="C323" s="5" t="n">
        <v>46253</v>
      </c>
      <c r="D323" s="6" t="s">
        <v>251</v>
      </c>
      <c r="E323" s="6" t="s">
        <v>45</v>
      </c>
      <c r="F323" s="6" t="s">
        <v>84</v>
      </c>
      <c r="G323" s="6" t="s">
        <v>64</v>
      </c>
      <c r="H323" s="6" t="s">
        <v>191</v>
      </c>
      <c r="I323" s="1" t="n">
        <v>5</v>
      </c>
      <c r="J323" s="7" t="n">
        <v>5782.53</v>
      </c>
      <c r="K323" s="8" t="n">
        <v>0.05</v>
      </c>
      <c r="L323" s="7" t="n">
        <v>3832.69</v>
      </c>
      <c r="M323" s="6" t="s">
        <v>49</v>
      </c>
      <c r="N323" s="6" t="s">
        <v>52</v>
      </c>
      <c r="O323" s="6" t="n">
        <f aca="false">IF(TablaVentas[[#This Row],[Precio_unitario]]="","PENDIENTE",TablaVentas[[#This Row],[Unidades]]*TablaVentas[[#This Row],[Precio_unitario]]*(1-TablaVentas[[#This Row],[Descuento_pct]]))</f>
        <v>27467.0175</v>
      </c>
      <c r="P323" s="6" t="n">
        <f aca="false">IF(TablaVentas[[#This Row],[Costo_unitario]]="","PENDIENTE",TablaVentas[[#This Row],[Unidades]]*TablaVentas[[#This Row],[Costo_unitario]])</f>
        <v>19163.45</v>
      </c>
      <c r="Q323" s="6" t="n">
        <f aca="false">IF(OR(TablaVentas[[#This Row],[Ingreso_neto]]="PENDIENTE",TablaVentas[[#This Row],[Costo_total]]="PENDIENTE"),"PENDIENTE",TablaVentas[[#This Row],[Ingreso_neto]]-TablaVentas[[#This Row],[Costo_total]])</f>
        <v>8303.5675</v>
      </c>
      <c r="R323" s="6" t="s">
        <v>412</v>
      </c>
    </row>
    <row r="324" customFormat="false" ht="13.5" hidden="false" customHeight="false" outlineLevel="0" collapsed="false">
      <c r="A324" s="1" t="s">
        <v>413</v>
      </c>
      <c r="B324" s="1" t="n">
        <v>1</v>
      </c>
      <c r="C324" s="5" t="n">
        <v>46143</v>
      </c>
      <c r="D324" s="6" t="s">
        <v>399</v>
      </c>
      <c r="E324" s="6" t="s">
        <v>91</v>
      </c>
      <c r="F324" s="6" t="s">
        <v>73</v>
      </c>
      <c r="G324" s="6" t="s">
        <v>57</v>
      </c>
      <c r="H324" s="6" t="s">
        <v>65</v>
      </c>
      <c r="I324" s="1" t="n">
        <v>1</v>
      </c>
      <c r="J324" s="7" t="n">
        <v>14728.53</v>
      </c>
      <c r="K324" s="8" t="n">
        <v>0.15</v>
      </c>
      <c r="L324" s="7" t="n">
        <v>8576.05</v>
      </c>
      <c r="M324" s="6" t="s">
        <v>49</v>
      </c>
      <c r="N324" s="6" t="s">
        <v>52</v>
      </c>
      <c r="O324" s="6" t="n">
        <f aca="false">IF(TablaVentas[[#This Row],[Precio_unitario]]="","PENDIENTE",TablaVentas[[#This Row],[Unidades]]*TablaVentas[[#This Row],[Precio_unitario]]*(1-TablaVentas[[#This Row],[Descuento_pct]]))</f>
        <v>12519.2505</v>
      </c>
      <c r="P324" s="6" t="n">
        <f aca="false">IF(TablaVentas[[#This Row],[Costo_unitario]]="","PENDIENTE",TablaVentas[[#This Row],[Unidades]]*TablaVentas[[#This Row],[Costo_unitario]])</f>
        <v>8576.05</v>
      </c>
      <c r="Q324" s="6" t="n">
        <f aca="false">IF(OR(TablaVentas[[#This Row],[Ingreso_neto]]="PENDIENTE",TablaVentas[[#This Row],[Costo_total]]="PENDIENTE"),"PENDIENTE",TablaVentas[[#This Row],[Ingreso_neto]]-TablaVentas[[#This Row],[Costo_total]])</f>
        <v>3943.2005</v>
      </c>
    </row>
    <row r="325" customFormat="false" ht="13.5" hidden="false" customHeight="false" outlineLevel="0" collapsed="false">
      <c r="A325" s="1" t="s">
        <v>413</v>
      </c>
      <c r="B325" s="1" t="n">
        <v>2</v>
      </c>
      <c r="C325" s="5" t="n">
        <v>46143</v>
      </c>
      <c r="D325" s="6" t="s">
        <v>399</v>
      </c>
      <c r="E325" s="6" t="s">
        <v>404</v>
      </c>
      <c r="F325" s="6" t="s">
        <v>73</v>
      </c>
      <c r="G325" s="6" t="s">
        <v>57</v>
      </c>
      <c r="H325" s="6" t="s">
        <v>65</v>
      </c>
      <c r="I325" s="1" t="n">
        <v>2</v>
      </c>
      <c r="J325" s="7" t="n">
        <v>6103.68</v>
      </c>
      <c r="K325" s="8" t="n">
        <v>0.15</v>
      </c>
      <c r="L325" s="7" t="n">
        <v>3640.56</v>
      </c>
      <c r="M325" s="6" t="s">
        <v>49</v>
      </c>
      <c r="N325" s="6" t="s">
        <v>67</v>
      </c>
      <c r="O325" s="6" t="n">
        <f aca="false">IF(TablaVentas[[#This Row],[Precio_unitario]]="","PENDIENTE",TablaVentas[[#This Row],[Unidades]]*TablaVentas[[#This Row],[Precio_unitario]]*(1-TablaVentas[[#This Row],[Descuento_pct]]))</f>
        <v>10376.256</v>
      </c>
      <c r="P325" s="6" t="n">
        <f aca="false">IF(TablaVentas[[#This Row],[Costo_unitario]]="","PENDIENTE",TablaVentas[[#This Row],[Unidades]]*TablaVentas[[#This Row],[Costo_unitario]])</f>
        <v>7281.12</v>
      </c>
      <c r="Q325" s="6" t="n">
        <f aca="false">IF(OR(TablaVentas[[#This Row],[Ingreso_neto]]="PENDIENTE",TablaVentas[[#This Row],[Costo_total]]="PENDIENTE"),"PENDIENTE",TablaVentas[[#This Row],[Ingreso_neto]]-TablaVentas[[#This Row],[Costo_total]])</f>
        <v>3095.136</v>
      </c>
    </row>
    <row r="326" customFormat="false" ht="13.5" hidden="false" customHeight="false" outlineLevel="0" collapsed="false">
      <c r="A326" s="1" t="s">
        <v>414</v>
      </c>
      <c r="B326" s="1" t="n">
        <v>1</v>
      </c>
      <c r="C326" s="5" t="n">
        <v>46260</v>
      </c>
      <c r="D326" s="6" t="s">
        <v>415</v>
      </c>
      <c r="E326" s="6" t="s">
        <v>141</v>
      </c>
      <c r="F326" s="6" t="s">
        <v>84</v>
      </c>
      <c r="G326" s="6" t="s">
        <v>64</v>
      </c>
      <c r="H326" s="6" t="s">
        <v>191</v>
      </c>
      <c r="I326" s="1" t="n">
        <v>1</v>
      </c>
      <c r="J326" s="7" t="n">
        <v>264.18</v>
      </c>
      <c r="K326" s="8" t="n">
        <v>0</v>
      </c>
      <c r="L326" s="7" t="n">
        <v>176.47</v>
      </c>
      <c r="M326" s="6" t="s">
        <v>123</v>
      </c>
      <c r="N326" s="6" t="s">
        <v>67</v>
      </c>
      <c r="O326" s="6" t="n">
        <f aca="false">IF(TablaVentas[[#This Row],[Precio_unitario]]="","PENDIENTE",TablaVentas[[#This Row],[Unidades]]*TablaVentas[[#This Row],[Precio_unitario]]*(1-TablaVentas[[#This Row],[Descuento_pct]]))</f>
        <v>264.18</v>
      </c>
      <c r="P326" s="6" t="n">
        <f aca="false">IF(TablaVentas[[#This Row],[Costo_unitario]]="","PENDIENTE",TablaVentas[[#This Row],[Unidades]]*TablaVentas[[#This Row],[Costo_unitario]])</f>
        <v>176.47</v>
      </c>
      <c r="Q326" s="6" t="n">
        <f aca="false">IF(OR(TablaVentas[[#This Row],[Ingreso_neto]]="PENDIENTE",TablaVentas[[#This Row],[Costo_total]]="PENDIENTE"),"PENDIENTE",TablaVentas[[#This Row],[Ingreso_neto]]-TablaVentas[[#This Row],[Costo_total]])</f>
        <v>87.71</v>
      </c>
    </row>
    <row r="327" customFormat="false" ht="13.5" hidden="false" customHeight="false" outlineLevel="0" collapsed="false">
      <c r="A327" s="1" t="s">
        <v>414</v>
      </c>
      <c r="B327" s="1" t="n">
        <v>2</v>
      </c>
      <c r="C327" s="5" t="n">
        <v>46260</v>
      </c>
      <c r="D327" s="6" t="s">
        <v>415</v>
      </c>
      <c r="E327" s="6" t="s">
        <v>159</v>
      </c>
      <c r="F327" s="6" t="s">
        <v>84</v>
      </c>
      <c r="G327" s="6" t="s">
        <v>64</v>
      </c>
      <c r="H327" s="6" t="s">
        <v>191</v>
      </c>
      <c r="I327" s="1" t="n">
        <v>3</v>
      </c>
      <c r="J327" s="7" t="n">
        <v>2577.51</v>
      </c>
      <c r="K327" s="8" t="n">
        <v>0</v>
      </c>
      <c r="L327" s="7" t="n">
        <v>1962.3</v>
      </c>
      <c r="M327" s="6" t="s">
        <v>123</v>
      </c>
      <c r="N327" s="6" t="s">
        <v>59</v>
      </c>
      <c r="O327" s="6" t="n">
        <f aca="false">IF(TablaVentas[[#This Row],[Precio_unitario]]="","PENDIENTE",TablaVentas[[#This Row],[Unidades]]*TablaVentas[[#This Row],[Precio_unitario]]*(1-TablaVentas[[#This Row],[Descuento_pct]]))</f>
        <v>7732.53</v>
      </c>
      <c r="P327" s="6" t="n">
        <f aca="false">IF(TablaVentas[[#This Row],[Costo_unitario]]="","PENDIENTE",TablaVentas[[#This Row],[Unidades]]*TablaVentas[[#This Row],[Costo_unitario]])</f>
        <v>5886.9</v>
      </c>
      <c r="Q327" s="6" t="n">
        <f aca="false">IF(OR(TablaVentas[[#This Row],[Ingreso_neto]]="PENDIENTE",TablaVentas[[#This Row],[Costo_total]]="PENDIENTE"),"PENDIENTE",TablaVentas[[#This Row],[Ingreso_neto]]-TablaVentas[[#This Row],[Costo_total]])</f>
        <v>1845.63</v>
      </c>
    </row>
    <row r="328" customFormat="false" ht="13.5" hidden="false" customHeight="false" outlineLevel="0" collapsed="false">
      <c r="A328" s="1" t="s">
        <v>414</v>
      </c>
      <c r="B328" s="1" t="n">
        <v>3</v>
      </c>
      <c r="C328" s="5" t="n">
        <v>46260</v>
      </c>
      <c r="D328" s="6" t="s">
        <v>415</v>
      </c>
      <c r="E328" s="6" t="s">
        <v>234</v>
      </c>
      <c r="F328" s="6" t="s">
        <v>84</v>
      </c>
      <c r="G328" s="6" t="s">
        <v>64</v>
      </c>
      <c r="H328" s="6" t="s">
        <v>191</v>
      </c>
      <c r="I328" s="1" t="n">
        <v>1</v>
      </c>
      <c r="J328" s="7" t="n">
        <v>7855.79</v>
      </c>
      <c r="K328" s="8" t="n">
        <v>0</v>
      </c>
      <c r="L328" s="7" t="n">
        <v>6255.13</v>
      </c>
      <c r="M328" s="6" t="s">
        <v>49</v>
      </c>
      <c r="N328" s="6" t="s">
        <v>50</v>
      </c>
      <c r="O328" s="6" t="n">
        <f aca="false">IF(TablaVentas[[#This Row],[Precio_unitario]]="","PENDIENTE",TablaVentas[[#This Row],[Unidades]]*TablaVentas[[#This Row],[Precio_unitario]]*(1-TablaVentas[[#This Row],[Descuento_pct]]))</f>
        <v>7855.79</v>
      </c>
      <c r="P328" s="6" t="n">
        <f aca="false">IF(TablaVentas[[#This Row],[Costo_unitario]]="","PENDIENTE",TablaVentas[[#This Row],[Unidades]]*TablaVentas[[#This Row],[Costo_unitario]])</f>
        <v>6255.13</v>
      </c>
      <c r="Q328" s="6" t="n">
        <f aca="false">IF(OR(TablaVentas[[#This Row],[Ingreso_neto]]="PENDIENTE",TablaVentas[[#This Row],[Costo_total]]="PENDIENTE"),"PENDIENTE",TablaVentas[[#This Row],[Ingreso_neto]]-TablaVentas[[#This Row],[Costo_total]])</f>
        <v>1600.66</v>
      </c>
    </row>
    <row r="329" customFormat="false" ht="13.5" hidden="false" customHeight="false" outlineLevel="0" collapsed="false">
      <c r="A329" s="1" t="s">
        <v>414</v>
      </c>
      <c r="B329" s="1" t="n">
        <v>4</v>
      </c>
      <c r="C329" s="5" t="n">
        <v>46260</v>
      </c>
      <c r="D329" s="6" t="s">
        <v>415</v>
      </c>
      <c r="E329" s="6" t="s">
        <v>218</v>
      </c>
      <c r="F329" s="6" t="s">
        <v>84</v>
      </c>
      <c r="G329" s="6" t="s">
        <v>64</v>
      </c>
      <c r="H329" s="6" t="s">
        <v>191</v>
      </c>
      <c r="I329" s="1" t="n">
        <v>1</v>
      </c>
      <c r="J329" s="7" t="n">
        <v>19452.88</v>
      </c>
      <c r="K329" s="8" t="n">
        <v>0</v>
      </c>
      <c r="L329" s="7" t="n">
        <v>13760.53</v>
      </c>
      <c r="M329" s="6" t="s">
        <v>49</v>
      </c>
      <c r="N329" s="6" t="s">
        <v>52</v>
      </c>
      <c r="O329" s="6" t="n">
        <f aca="false">IF(TablaVentas[[#This Row],[Precio_unitario]]="","PENDIENTE",TablaVentas[[#This Row],[Unidades]]*TablaVentas[[#This Row],[Precio_unitario]]*(1-TablaVentas[[#This Row],[Descuento_pct]]))</f>
        <v>19452.88</v>
      </c>
      <c r="P329" s="6" t="n">
        <f aca="false">IF(TablaVentas[[#This Row],[Costo_unitario]]="","PENDIENTE",TablaVentas[[#This Row],[Unidades]]*TablaVentas[[#This Row],[Costo_unitario]])</f>
        <v>13760.53</v>
      </c>
      <c r="Q329" s="6" t="n">
        <f aca="false">IF(OR(TablaVentas[[#This Row],[Ingreso_neto]]="PENDIENTE",TablaVentas[[#This Row],[Costo_total]]="PENDIENTE"),"PENDIENTE",TablaVentas[[#This Row],[Ingreso_neto]]-TablaVentas[[#This Row],[Costo_total]])</f>
        <v>5692.35</v>
      </c>
    </row>
    <row r="330" customFormat="false" ht="13.5" hidden="false" customHeight="false" outlineLevel="0" collapsed="false">
      <c r="A330" s="1" t="s">
        <v>416</v>
      </c>
      <c r="B330" s="1" t="n">
        <v>1</v>
      </c>
      <c r="C330" s="5" t="n">
        <v>46038</v>
      </c>
      <c r="D330" s="6" t="s">
        <v>401</v>
      </c>
      <c r="E330" s="6" t="s">
        <v>104</v>
      </c>
      <c r="F330" s="6" t="s">
        <v>73</v>
      </c>
      <c r="G330" s="6" t="s">
        <v>57</v>
      </c>
      <c r="H330" s="6" t="s">
        <v>58</v>
      </c>
      <c r="I330" s="1" t="n">
        <v>8</v>
      </c>
      <c r="J330" s="7" t="n">
        <v>14317.79</v>
      </c>
      <c r="K330" s="8" t="n">
        <v>0</v>
      </c>
      <c r="L330" s="7" t="n">
        <v>11424.77</v>
      </c>
      <c r="M330" s="6" t="s">
        <v>49</v>
      </c>
      <c r="N330" s="6" t="s">
        <v>52</v>
      </c>
      <c r="O330" s="6" t="n">
        <f aca="false">IF(TablaVentas[[#This Row],[Precio_unitario]]="","PENDIENTE",TablaVentas[[#This Row],[Unidades]]*TablaVentas[[#This Row],[Precio_unitario]]*(1-TablaVentas[[#This Row],[Descuento_pct]]))</f>
        <v>114542.32</v>
      </c>
      <c r="P330" s="6" t="n">
        <f aca="false">IF(TablaVentas[[#This Row],[Costo_unitario]]="","PENDIENTE",TablaVentas[[#This Row],[Unidades]]*TablaVentas[[#This Row],[Costo_unitario]])</f>
        <v>91398.16</v>
      </c>
      <c r="Q330" s="6" t="n">
        <f aca="false">IF(OR(TablaVentas[[#This Row],[Ingreso_neto]]="PENDIENTE",TablaVentas[[#This Row],[Costo_total]]="PENDIENTE"),"PENDIENTE",TablaVentas[[#This Row],[Ingreso_neto]]-TablaVentas[[#This Row],[Costo_total]])</f>
        <v>23144.16</v>
      </c>
    </row>
    <row r="331" customFormat="false" ht="13.5" hidden="false" customHeight="false" outlineLevel="0" collapsed="false">
      <c r="A331" s="1" t="s">
        <v>416</v>
      </c>
      <c r="B331" s="1" t="n">
        <v>2</v>
      </c>
      <c r="C331" s="5" t="n">
        <v>46038</v>
      </c>
      <c r="D331" s="6" t="s">
        <v>401</v>
      </c>
      <c r="E331" s="6" t="s">
        <v>417</v>
      </c>
      <c r="F331" s="6" t="s">
        <v>73</v>
      </c>
      <c r="G331" s="6" t="s">
        <v>57</v>
      </c>
      <c r="H331" s="6" t="s">
        <v>58</v>
      </c>
      <c r="I331" s="1" t="n">
        <v>4</v>
      </c>
      <c r="J331" s="7" t="n">
        <v>7350.88</v>
      </c>
      <c r="K331" s="8" t="n">
        <v>0</v>
      </c>
      <c r="L331" s="7" t="n">
        <v>5874.17</v>
      </c>
      <c r="M331" s="6" t="s">
        <v>49</v>
      </c>
      <c r="N331" s="6" t="s">
        <v>52</v>
      </c>
      <c r="O331" s="6" t="n">
        <f aca="false">IF(TablaVentas[[#This Row],[Precio_unitario]]="","PENDIENTE",TablaVentas[[#This Row],[Unidades]]*TablaVentas[[#This Row],[Precio_unitario]]*(1-TablaVentas[[#This Row],[Descuento_pct]]))</f>
        <v>29403.52</v>
      </c>
      <c r="P331" s="6" t="n">
        <f aca="false">IF(TablaVentas[[#This Row],[Costo_unitario]]="","PENDIENTE",TablaVentas[[#This Row],[Unidades]]*TablaVentas[[#This Row],[Costo_unitario]])</f>
        <v>23496.68</v>
      </c>
      <c r="Q331" s="6" t="n">
        <f aca="false">IF(OR(TablaVentas[[#This Row],[Ingreso_neto]]="PENDIENTE",TablaVentas[[#This Row],[Costo_total]]="PENDIENTE"),"PENDIENTE",TablaVentas[[#This Row],[Ingreso_neto]]-TablaVentas[[#This Row],[Costo_total]])</f>
        <v>5906.84</v>
      </c>
    </row>
    <row r="332" customFormat="false" ht="13.5" hidden="false" customHeight="false" outlineLevel="0" collapsed="false">
      <c r="A332" s="1" t="s">
        <v>416</v>
      </c>
      <c r="B332" s="1" t="n">
        <v>3</v>
      </c>
      <c r="C332" s="5" t="n">
        <v>46038</v>
      </c>
      <c r="D332" s="6" t="s">
        <v>401</v>
      </c>
      <c r="E332" s="6" t="s">
        <v>62</v>
      </c>
      <c r="F332" s="6" t="s">
        <v>73</v>
      </c>
      <c r="G332" s="6" t="s">
        <v>57</v>
      </c>
      <c r="H332" s="6" t="s">
        <v>58</v>
      </c>
      <c r="I332" s="1" t="n">
        <v>2</v>
      </c>
      <c r="J332" s="7" t="n">
        <v>11186.42</v>
      </c>
      <c r="K332" s="8" t="n">
        <v>0.1</v>
      </c>
      <c r="L332" s="7" t="n">
        <v>6407.85</v>
      </c>
      <c r="M332" s="6" t="s">
        <v>49</v>
      </c>
      <c r="N332" s="6" t="s">
        <v>50</v>
      </c>
      <c r="O332" s="6" t="n">
        <f aca="false">IF(TablaVentas[[#This Row],[Precio_unitario]]="","PENDIENTE",TablaVentas[[#This Row],[Unidades]]*TablaVentas[[#This Row],[Precio_unitario]]*(1-TablaVentas[[#This Row],[Descuento_pct]]))</f>
        <v>20135.556</v>
      </c>
      <c r="P332" s="6" t="n">
        <f aca="false">IF(TablaVentas[[#This Row],[Costo_unitario]]="","PENDIENTE",TablaVentas[[#This Row],[Unidades]]*TablaVentas[[#This Row],[Costo_unitario]])</f>
        <v>12815.7</v>
      </c>
      <c r="Q332" s="6" t="n">
        <f aca="false">IF(OR(TablaVentas[[#This Row],[Ingreso_neto]]="PENDIENTE",TablaVentas[[#This Row],[Costo_total]]="PENDIENTE"),"PENDIENTE",TablaVentas[[#This Row],[Ingreso_neto]]-TablaVentas[[#This Row],[Costo_total]])</f>
        <v>7319.856</v>
      </c>
    </row>
    <row r="333" customFormat="false" ht="13.5" hidden="false" customHeight="false" outlineLevel="0" collapsed="false">
      <c r="A333" s="1" t="s">
        <v>418</v>
      </c>
      <c r="B333" s="1" t="n">
        <v>1</v>
      </c>
      <c r="C333" s="5" t="n">
        <v>46234</v>
      </c>
      <c r="D333" s="6" t="s">
        <v>419</v>
      </c>
      <c r="E333" s="6" t="s">
        <v>126</v>
      </c>
      <c r="F333" s="6" t="s">
        <v>73</v>
      </c>
      <c r="G333" s="6" t="s">
        <v>64</v>
      </c>
      <c r="H333" s="6" t="s">
        <v>65</v>
      </c>
      <c r="I333" s="1" t="n">
        <v>1</v>
      </c>
      <c r="J333" s="7" t="n">
        <v>8999.88</v>
      </c>
      <c r="K333" s="8" t="n">
        <v>0.2</v>
      </c>
      <c r="L333" s="7" t="n">
        <v>6981.94</v>
      </c>
      <c r="M333" s="6" t="s">
        <v>49</v>
      </c>
      <c r="N333" s="6" t="s">
        <v>52</v>
      </c>
      <c r="O333" s="6" t="n">
        <f aca="false">IF(TablaVentas[[#This Row],[Precio_unitario]]="","PENDIENTE",TablaVentas[[#This Row],[Unidades]]*TablaVentas[[#This Row],[Precio_unitario]]*(1-TablaVentas[[#This Row],[Descuento_pct]]))</f>
        <v>7199.904</v>
      </c>
      <c r="P333" s="6" t="n">
        <f aca="false">IF(TablaVentas[[#This Row],[Costo_unitario]]="","PENDIENTE",TablaVentas[[#This Row],[Unidades]]*TablaVentas[[#This Row],[Costo_unitario]])</f>
        <v>6981.94</v>
      </c>
      <c r="Q333" s="6" t="n">
        <f aca="false">IF(OR(TablaVentas[[#This Row],[Ingreso_neto]]="PENDIENTE",TablaVentas[[#This Row],[Costo_total]]="PENDIENTE"),"PENDIENTE",TablaVentas[[#This Row],[Ingreso_neto]]-TablaVentas[[#This Row],[Costo_total]])</f>
        <v>217.964</v>
      </c>
    </row>
    <row r="334" customFormat="false" ht="13.5" hidden="false" customHeight="false" outlineLevel="0" collapsed="false">
      <c r="A334" s="1" t="s">
        <v>418</v>
      </c>
      <c r="B334" s="1" t="n">
        <v>2</v>
      </c>
      <c r="C334" s="5" t="n">
        <v>46234</v>
      </c>
      <c r="D334" s="6" t="s">
        <v>419</v>
      </c>
      <c r="E334" s="6" t="s">
        <v>289</v>
      </c>
      <c r="F334" s="6" t="s">
        <v>73</v>
      </c>
      <c r="G334" s="6" t="s">
        <v>64</v>
      </c>
      <c r="H334" s="6" t="s">
        <v>65</v>
      </c>
      <c r="I334" s="1" t="n">
        <v>2</v>
      </c>
      <c r="J334" s="7" t="n">
        <v>4499.63</v>
      </c>
      <c r="K334" s="8" t="n">
        <v>0.15</v>
      </c>
      <c r="L334" s="7" t="n">
        <v>3399.5</v>
      </c>
      <c r="M334" s="6" t="s">
        <v>49</v>
      </c>
      <c r="N334" s="6" t="s">
        <v>59</v>
      </c>
      <c r="O334" s="6" t="n">
        <f aca="false">IF(TablaVentas[[#This Row],[Precio_unitario]]="","PENDIENTE",TablaVentas[[#This Row],[Unidades]]*TablaVentas[[#This Row],[Precio_unitario]]*(1-TablaVentas[[#This Row],[Descuento_pct]]))</f>
        <v>7649.371</v>
      </c>
      <c r="P334" s="6" t="n">
        <f aca="false">IF(TablaVentas[[#This Row],[Costo_unitario]]="","PENDIENTE",TablaVentas[[#This Row],[Unidades]]*TablaVentas[[#This Row],[Costo_unitario]])</f>
        <v>6799</v>
      </c>
      <c r="Q334" s="6" t="n">
        <f aca="false">IF(OR(TablaVentas[[#This Row],[Ingreso_neto]]="PENDIENTE",TablaVentas[[#This Row],[Costo_total]]="PENDIENTE"),"PENDIENTE",TablaVentas[[#This Row],[Ingreso_neto]]-TablaVentas[[#This Row],[Costo_total]])</f>
        <v>850.371</v>
      </c>
    </row>
    <row r="335" customFormat="false" ht="13.5" hidden="false" customHeight="false" outlineLevel="0" collapsed="false">
      <c r="A335" s="1" t="s">
        <v>420</v>
      </c>
      <c r="B335" s="1" t="n">
        <v>1</v>
      </c>
      <c r="C335" s="5" t="n">
        <v>46168</v>
      </c>
      <c r="D335" s="6" t="s">
        <v>421</v>
      </c>
      <c r="E335" s="6" t="s">
        <v>142</v>
      </c>
      <c r="F335" s="6" t="s">
        <v>63</v>
      </c>
      <c r="G335" s="6" t="s">
        <v>64</v>
      </c>
      <c r="H335" s="6" t="s">
        <v>191</v>
      </c>
      <c r="I335" s="1" t="n">
        <v>1</v>
      </c>
      <c r="J335" s="7" t="n">
        <v>2067.24</v>
      </c>
      <c r="K335" s="8" t="n">
        <v>0</v>
      </c>
      <c r="L335" s="7" t="n">
        <v>1529.93</v>
      </c>
      <c r="M335" s="6" t="s">
        <v>49</v>
      </c>
      <c r="N335" s="6" t="s">
        <v>67</v>
      </c>
      <c r="O335" s="6" t="n">
        <f aca="false">IF(TablaVentas[[#This Row],[Precio_unitario]]="","PENDIENTE",TablaVentas[[#This Row],[Unidades]]*TablaVentas[[#This Row],[Precio_unitario]]*(1-TablaVentas[[#This Row],[Descuento_pct]]))</f>
        <v>2067.24</v>
      </c>
      <c r="P335" s="6" t="n">
        <f aca="false">IF(TablaVentas[[#This Row],[Costo_unitario]]="","PENDIENTE",TablaVentas[[#This Row],[Unidades]]*TablaVentas[[#This Row],[Costo_unitario]])</f>
        <v>1529.93</v>
      </c>
      <c r="Q335" s="6" t="n">
        <f aca="false">IF(OR(TablaVentas[[#This Row],[Ingreso_neto]]="PENDIENTE",TablaVentas[[#This Row],[Costo_total]]="PENDIENTE"),"PENDIENTE",TablaVentas[[#This Row],[Ingreso_neto]]-TablaVentas[[#This Row],[Costo_total]])</f>
        <v>537.31</v>
      </c>
    </row>
    <row r="336" customFormat="false" ht="13.5" hidden="false" customHeight="false" outlineLevel="0" collapsed="false">
      <c r="A336" s="1" t="s">
        <v>420</v>
      </c>
      <c r="B336" s="1" t="n">
        <v>2</v>
      </c>
      <c r="C336" s="5" t="n">
        <v>46168</v>
      </c>
      <c r="D336" s="6" t="s">
        <v>421</v>
      </c>
      <c r="E336" s="6" t="s">
        <v>158</v>
      </c>
      <c r="F336" s="6" t="s">
        <v>63</v>
      </c>
      <c r="G336" s="6" t="s">
        <v>64</v>
      </c>
      <c r="H336" s="6" t="s">
        <v>191</v>
      </c>
      <c r="I336" s="1" t="n">
        <v>2</v>
      </c>
      <c r="J336" s="7" t="n">
        <v>15428.94</v>
      </c>
      <c r="K336" s="8" t="n">
        <v>0.1</v>
      </c>
      <c r="L336" s="7" t="n">
        <v>8963.23</v>
      </c>
      <c r="M336" s="6" t="s">
        <v>49</v>
      </c>
      <c r="N336" s="6" t="s">
        <v>67</v>
      </c>
      <c r="O336" s="6" t="n">
        <f aca="false">IF(TablaVentas[[#This Row],[Precio_unitario]]="","PENDIENTE",TablaVentas[[#This Row],[Unidades]]*TablaVentas[[#This Row],[Precio_unitario]]*(1-TablaVentas[[#This Row],[Descuento_pct]]))</f>
        <v>27772.092</v>
      </c>
      <c r="P336" s="6" t="n">
        <f aca="false">IF(TablaVentas[[#This Row],[Costo_unitario]]="","PENDIENTE",TablaVentas[[#This Row],[Unidades]]*TablaVentas[[#This Row],[Costo_unitario]])</f>
        <v>17926.46</v>
      </c>
      <c r="Q336" s="6" t="n">
        <f aca="false">IF(OR(TablaVentas[[#This Row],[Ingreso_neto]]="PENDIENTE",TablaVentas[[#This Row],[Costo_total]]="PENDIENTE"),"PENDIENTE",TablaVentas[[#This Row],[Ingreso_neto]]-TablaVentas[[#This Row],[Costo_total]])</f>
        <v>9845.632</v>
      </c>
    </row>
    <row r="337" customFormat="false" ht="13.5" hidden="false" customHeight="false" outlineLevel="0" collapsed="false">
      <c r="A337" s="1" t="s">
        <v>422</v>
      </c>
      <c r="B337" s="1" t="n">
        <v>1</v>
      </c>
      <c r="C337" s="5" t="n">
        <v>46241</v>
      </c>
      <c r="D337" s="6" t="s">
        <v>251</v>
      </c>
      <c r="E337" s="6" t="s">
        <v>100</v>
      </c>
      <c r="F337" s="6" t="s">
        <v>73</v>
      </c>
      <c r="G337" s="6" t="s">
        <v>64</v>
      </c>
      <c r="H337" s="6" t="s">
        <v>109</v>
      </c>
      <c r="I337" s="1" t="n">
        <v>1</v>
      </c>
      <c r="J337" s="7" t="n">
        <v>15039.9</v>
      </c>
      <c r="K337" s="8" t="n">
        <v>0</v>
      </c>
      <c r="L337" s="7" t="n">
        <v>8788.79</v>
      </c>
      <c r="M337" s="6" t="s">
        <v>49</v>
      </c>
      <c r="N337" s="6" t="s">
        <v>52</v>
      </c>
      <c r="O337" s="6" t="n">
        <f aca="false">IF(TablaVentas[[#This Row],[Precio_unitario]]="","PENDIENTE",TablaVentas[[#This Row],[Unidades]]*TablaVentas[[#This Row],[Precio_unitario]]*(1-TablaVentas[[#This Row],[Descuento_pct]]))</f>
        <v>15039.9</v>
      </c>
      <c r="P337" s="6" t="n">
        <f aca="false">IF(TablaVentas[[#This Row],[Costo_unitario]]="","PENDIENTE",TablaVentas[[#This Row],[Unidades]]*TablaVentas[[#This Row],[Costo_unitario]])</f>
        <v>8788.79</v>
      </c>
      <c r="Q337" s="6" t="n">
        <f aca="false">IF(OR(TablaVentas[[#This Row],[Ingreso_neto]]="PENDIENTE",TablaVentas[[#This Row],[Costo_total]]="PENDIENTE"),"PENDIENTE",TablaVentas[[#This Row],[Ingreso_neto]]-TablaVentas[[#This Row],[Costo_total]])</f>
        <v>6251.11</v>
      </c>
    </row>
    <row r="338" customFormat="false" ht="13.5" hidden="false" customHeight="false" outlineLevel="0" collapsed="false">
      <c r="A338" s="1" t="s">
        <v>422</v>
      </c>
      <c r="B338" s="1" t="n">
        <v>2</v>
      </c>
      <c r="C338" s="5" t="n">
        <v>46241</v>
      </c>
      <c r="D338" s="6" t="s">
        <v>251</v>
      </c>
      <c r="E338" s="6" t="s">
        <v>120</v>
      </c>
      <c r="F338" s="6" t="s">
        <v>73</v>
      </c>
      <c r="G338" s="6" t="s">
        <v>64</v>
      </c>
      <c r="H338" s="6" t="s">
        <v>109</v>
      </c>
      <c r="I338" s="1" t="n">
        <v>1</v>
      </c>
      <c r="J338" s="7" t="n">
        <v>3141.09</v>
      </c>
      <c r="K338" s="8" t="n">
        <v>0</v>
      </c>
      <c r="L338" s="7" t="n">
        <v>2196.34</v>
      </c>
      <c r="M338" s="6" t="s">
        <v>49</v>
      </c>
      <c r="N338" s="6" t="s">
        <v>59</v>
      </c>
      <c r="O338" s="6" t="n">
        <f aca="false">IF(TablaVentas[[#This Row],[Precio_unitario]]="","PENDIENTE",TablaVentas[[#This Row],[Unidades]]*TablaVentas[[#This Row],[Precio_unitario]]*(1-TablaVentas[[#This Row],[Descuento_pct]]))</f>
        <v>3141.09</v>
      </c>
      <c r="P338" s="6" t="n">
        <f aca="false">IF(TablaVentas[[#This Row],[Costo_unitario]]="","PENDIENTE",TablaVentas[[#This Row],[Unidades]]*TablaVentas[[#This Row],[Costo_unitario]])</f>
        <v>2196.34</v>
      </c>
      <c r="Q338" s="6" t="n">
        <f aca="false">IF(OR(TablaVentas[[#This Row],[Ingreso_neto]]="PENDIENTE",TablaVentas[[#This Row],[Costo_total]]="PENDIENTE"),"PENDIENTE",TablaVentas[[#This Row],[Ingreso_neto]]-TablaVentas[[#This Row],[Costo_total]])</f>
        <v>944.75</v>
      </c>
    </row>
    <row r="339" customFormat="false" ht="13.5" hidden="false" customHeight="false" outlineLevel="0" collapsed="false">
      <c r="A339" s="1" t="s">
        <v>422</v>
      </c>
      <c r="B339" s="1" t="n">
        <v>3</v>
      </c>
      <c r="C339" s="5" t="n">
        <v>46241</v>
      </c>
      <c r="D339" s="6" t="s">
        <v>251</v>
      </c>
      <c r="E339" s="6" t="s">
        <v>203</v>
      </c>
      <c r="F339" s="6" t="s">
        <v>73</v>
      </c>
      <c r="G339" s="6" t="s">
        <v>64</v>
      </c>
      <c r="H339" s="6" t="s">
        <v>109</v>
      </c>
      <c r="I339" s="1" t="n">
        <v>1</v>
      </c>
      <c r="J339" s="7" t="n">
        <v>708.15</v>
      </c>
      <c r="K339" s="8" t="n">
        <v>0</v>
      </c>
      <c r="L339" s="7" t="n">
        <v>485.16</v>
      </c>
      <c r="M339" s="6" t="s">
        <v>49</v>
      </c>
      <c r="N339" s="6" t="s">
        <v>52</v>
      </c>
      <c r="O339" s="6" t="n">
        <f aca="false">IF(TablaVentas[[#This Row],[Precio_unitario]]="","PENDIENTE",TablaVentas[[#This Row],[Unidades]]*TablaVentas[[#This Row],[Precio_unitario]]*(1-TablaVentas[[#This Row],[Descuento_pct]]))</f>
        <v>708.15</v>
      </c>
      <c r="P339" s="6" t="n">
        <f aca="false">IF(TablaVentas[[#This Row],[Costo_unitario]]="","PENDIENTE",TablaVentas[[#This Row],[Unidades]]*TablaVentas[[#This Row],[Costo_unitario]])</f>
        <v>485.16</v>
      </c>
      <c r="Q339" s="6" t="n">
        <f aca="false">IF(OR(TablaVentas[[#This Row],[Ingreso_neto]]="PENDIENTE",TablaVentas[[#This Row],[Costo_total]]="PENDIENTE"),"PENDIENTE",TablaVentas[[#This Row],[Ingreso_neto]]-TablaVentas[[#This Row],[Costo_total]])</f>
        <v>222.99</v>
      </c>
    </row>
    <row r="340" customFormat="false" ht="13.5" hidden="false" customHeight="false" outlineLevel="0" collapsed="false">
      <c r="A340" s="1" t="s">
        <v>423</v>
      </c>
      <c r="B340" s="1" t="n">
        <v>1</v>
      </c>
      <c r="C340" s="5" t="n">
        <v>46215</v>
      </c>
      <c r="D340" s="6" t="s">
        <v>376</v>
      </c>
      <c r="E340" s="6" t="s">
        <v>182</v>
      </c>
      <c r="F340" s="6" t="s">
        <v>73</v>
      </c>
      <c r="G340" s="6" t="s">
        <v>64</v>
      </c>
      <c r="H340" s="6" t="s">
        <v>191</v>
      </c>
      <c r="I340" s="1" t="n">
        <v>1</v>
      </c>
      <c r="J340" s="7" t="n">
        <v>2804.3</v>
      </c>
      <c r="K340" s="8" t="n">
        <v>0</v>
      </c>
      <c r="L340" s="7" t="n">
        <v>1857.39</v>
      </c>
      <c r="M340" s="6" t="s">
        <v>49</v>
      </c>
      <c r="N340" s="6" t="s">
        <v>50</v>
      </c>
      <c r="O340" s="6" t="n">
        <f aca="false">IF(TablaVentas[[#This Row],[Precio_unitario]]="","PENDIENTE",TablaVentas[[#This Row],[Unidades]]*TablaVentas[[#This Row],[Precio_unitario]]*(1-TablaVentas[[#This Row],[Descuento_pct]]))</f>
        <v>2804.3</v>
      </c>
      <c r="P340" s="6" t="n">
        <f aca="false">IF(TablaVentas[[#This Row],[Costo_unitario]]="","PENDIENTE",TablaVentas[[#This Row],[Unidades]]*TablaVentas[[#This Row],[Costo_unitario]])</f>
        <v>1857.39</v>
      </c>
      <c r="Q340" s="6" t="n">
        <f aca="false">IF(OR(TablaVentas[[#This Row],[Ingreso_neto]]="PENDIENTE",TablaVentas[[#This Row],[Costo_total]]="PENDIENTE"),"PENDIENTE",TablaVentas[[#This Row],[Ingreso_neto]]-TablaVentas[[#This Row],[Costo_total]])</f>
        <v>946.91</v>
      </c>
    </row>
    <row r="341" customFormat="false" ht="13.5" hidden="false" customHeight="false" outlineLevel="0" collapsed="false">
      <c r="A341" s="1" t="s">
        <v>423</v>
      </c>
      <c r="B341" s="1" t="n">
        <v>2</v>
      </c>
      <c r="C341" s="5" t="n">
        <v>46215</v>
      </c>
      <c r="D341" s="6" t="s">
        <v>376</v>
      </c>
      <c r="E341" s="6" t="s">
        <v>146</v>
      </c>
      <c r="F341" s="6" t="s">
        <v>73</v>
      </c>
      <c r="G341" s="6" t="s">
        <v>64</v>
      </c>
      <c r="H341" s="6" t="s">
        <v>191</v>
      </c>
      <c r="I341" s="1" t="n">
        <v>3</v>
      </c>
      <c r="J341" s="7" t="n">
        <v>10131.71</v>
      </c>
      <c r="K341" s="8" t="n">
        <v>0.1</v>
      </c>
      <c r="L341" s="7" t="n">
        <v>8002.16</v>
      </c>
      <c r="M341" s="6" t="s">
        <v>49</v>
      </c>
      <c r="N341" s="6" t="s">
        <v>67</v>
      </c>
      <c r="O341" s="6" t="n">
        <f aca="false">IF(TablaVentas[[#This Row],[Precio_unitario]]="","PENDIENTE",TablaVentas[[#This Row],[Unidades]]*TablaVentas[[#This Row],[Precio_unitario]]*(1-TablaVentas[[#This Row],[Descuento_pct]]))</f>
        <v>27355.617</v>
      </c>
      <c r="P341" s="6" t="n">
        <f aca="false">IF(TablaVentas[[#This Row],[Costo_unitario]]="","PENDIENTE",TablaVentas[[#This Row],[Unidades]]*TablaVentas[[#This Row],[Costo_unitario]])</f>
        <v>24006.48</v>
      </c>
      <c r="Q341" s="6" t="n">
        <f aca="false">IF(OR(TablaVentas[[#This Row],[Ingreso_neto]]="PENDIENTE",TablaVentas[[#This Row],[Costo_total]]="PENDIENTE"),"PENDIENTE",TablaVentas[[#This Row],[Ingreso_neto]]-TablaVentas[[#This Row],[Costo_total]])</f>
        <v>3349.137</v>
      </c>
    </row>
    <row r="342" customFormat="false" ht="13.5" hidden="false" customHeight="false" outlineLevel="0" collapsed="false">
      <c r="A342" s="1" t="s">
        <v>423</v>
      </c>
      <c r="B342" s="1" t="n">
        <v>3</v>
      </c>
      <c r="C342" s="5" t="n">
        <v>46215</v>
      </c>
      <c r="D342" s="6" t="s">
        <v>376</v>
      </c>
      <c r="E342" s="6" t="s">
        <v>127</v>
      </c>
      <c r="F342" s="6" t="s">
        <v>73</v>
      </c>
      <c r="G342" s="6" t="s">
        <v>64</v>
      </c>
      <c r="H342" s="6" t="s">
        <v>191</v>
      </c>
      <c r="I342" s="1" t="n">
        <v>1</v>
      </c>
      <c r="J342" s="7" t="n">
        <v>13890.26</v>
      </c>
      <c r="K342" s="8" t="n">
        <v>0</v>
      </c>
      <c r="L342" s="7" t="n">
        <v>7975.26</v>
      </c>
      <c r="M342" s="6" t="s">
        <v>49</v>
      </c>
      <c r="N342" s="6" t="s">
        <v>59</v>
      </c>
      <c r="O342" s="6" t="n">
        <f aca="false">IF(TablaVentas[[#This Row],[Precio_unitario]]="","PENDIENTE",TablaVentas[[#This Row],[Unidades]]*TablaVentas[[#This Row],[Precio_unitario]]*(1-TablaVentas[[#This Row],[Descuento_pct]]))</f>
        <v>13890.26</v>
      </c>
      <c r="P342" s="6" t="n">
        <f aca="false">IF(TablaVentas[[#This Row],[Costo_unitario]]="","PENDIENTE",TablaVentas[[#This Row],[Unidades]]*TablaVentas[[#This Row],[Costo_unitario]])</f>
        <v>7975.26</v>
      </c>
      <c r="Q342" s="6" t="n">
        <f aca="false">IF(OR(TablaVentas[[#This Row],[Ingreso_neto]]="PENDIENTE",TablaVentas[[#This Row],[Costo_total]]="PENDIENTE"),"PENDIENTE",TablaVentas[[#This Row],[Ingreso_neto]]-TablaVentas[[#This Row],[Costo_total]])</f>
        <v>5915</v>
      </c>
    </row>
    <row r="343" customFormat="false" ht="13.5" hidden="false" customHeight="false" outlineLevel="0" collapsed="false">
      <c r="A343" s="1" t="s">
        <v>423</v>
      </c>
      <c r="B343" s="1" t="n">
        <v>4</v>
      </c>
      <c r="C343" s="5" t="n">
        <v>46215</v>
      </c>
      <c r="D343" s="6" t="s">
        <v>376</v>
      </c>
      <c r="E343" s="6" t="s">
        <v>145</v>
      </c>
      <c r="F343" s="6" t="s">
        <v>73</v>
      </c>
      <c r="G343" s="6" t="s">
        <v>64</v>
      </c>
      <c r="H343" s="6" t="s">
        <v>191</v>
      </c>
      <c r="I343" s="1" t="n">
        <v>3</v>
      </c>
      <c r="J343" s="7" t="n">
        <v>6407.89</v>
      </c>
      <c r="K343" s="8" t="n">
        <v>0</v>
      </c>
      <c r="L343" s="7" t="n">
        <v>4665.62</v>
      </c>
      <c r="M343" s="6" t="s">
        <v>49</v>
      </c>
      <c r="N343" s="6" t="s">
        <v>59</v>
      </c>
      <c r="O343" s="6" t="n">
        <f aca="false">IF(TablaVentas[[#This Row],[Precio_unitario]]="","PENDIENTE",TablaVentas[[#This Row],[Unidades]]*TablaVentas[[#This Row],[Precio_unitario]]*(1-TablaVentas[[#This Row],[Descuento_pct]]))</f>
        <v>19223.67</v>
      </c>
      <c r="P343" s="6" t="n">
        <f aca="false">IF(TablaVentas[[#This Row],[Costo_unitario]]="","PENDIENTE",TablaVentas[[#This Row],[Unidades]]*TablaVentas[[#This Row],[Costo_unitario]])</f>
        <v>13996.86</v>
      </c>
      <c r="Q343" s="6" t="n">
        <f aca="false">IF(OR(TablaVentas[[#This Row],[Ingreso_neto]]="PENDIENTE",TablaVentas[[#This Row],[Costo_total]]="PENDIENTE"),"PENDIENTE",TablaVentas[[#This Row],[Ingreso_neto]]-TablaVentas[[#This Row],[Costo_total]])</f>
        <v>5226.81</v>
      </c>
    </row>
    <row r="344" customFormat="false" ht="13.5" hidden="false" customHeight="false" outlineLevel="0" collapsed="false">
      <c r="A344" s="1" t="s">
        <v>423</v>
      </c>
      <c r="B344" s="1" t="n">
        <v>5</v>
      </c>
      <c r="C344" s="5" t="n">
        <v>46215</v>
      </c>
      <c r="D344" s="6" t="s">
        <v>376</v>
      </c>
      <c r="E344" s="6" t="s">
        <v>130</v>
      </c>
      <c r="F344" s="6" t="s">
        <v>73</v>
      </c>
      <c r="G344" s="6" t="s">
        <v>64</v>
      </c>
      <c r="H344" s="6" t="s">
        <v>191</v>
      </c>
      <c r="I344" s="1" t="n">
        <v>1</v>
      </c>
      <c r="J344" s="7" t="n">
        <v>16526.14</v>
      </c>
      <c r="K344" s="8" t="n">
        <v>0.05</v>
      </c>
      <c r="L344" s="7" t="n">
        <v>12679.41</v>
      </c>
      <c r="M344" s="6" t="s">
        <v>49</v>
      </c>
      <c r="N344" s="6" t="s">
        <v>52</v>
      </c>
      <c r="O344" s="6" t="n">
        <f aca="false">IF(TablaVentas[[#This Row],[Precio_unitario]]="","PENDIENTE",TablaVentas[[#This Row],[Unidades]]*TablaVentas[[#This Row],[Precio_unitario]]*(1-TablaVentas[[#This Row],[Descuento_pct]]))</f>
        <v>15699.833</v>
      </c>
      <c r="P344" s="6" t="n">
        <f aca="false">IF(TablaVentas[[#This Row],[Costo_unitario]]="","PENDIENTE",TablaVentas[[#This Row],[Unidades]]*TablaVentas[[#This Row],[Costo_unitario]])</f>
        <v>12679.41</v>
      </c>
      <c r="Q344" s="6" t="n">
        <f aca="false">IF(OR(TablaVentas[[#This Row],[Ingreso_neto]]="PENDIENTE",TablaVentas[[#This Row],[Costo_total]]="PENDIENTE"),"PENDIENTE",TablaVentas[[#This Row],[Ingreso_neto]]-TablaVentas[[#This Row],[Costo_total]])</f>
        <v>3020.423</v>
      </c>
    </row>
    <row r="345" customFormat="false" ht="13.5" hidden="false" customHeight="false" outlineLevel="0" collapsed="false">
      <c r="A345" s="1" t="s">
        <v>424</v>
      </c>
      <c r="B345" s="1" t="n">
        <v>1</v>
      </c>
      <c r="C345" s="5" t="n">
        <v>46026</v>
      </c>
      <c r="D345" s="6" t="s">
        <v>425</v>
      </c>
      <c r="E345" s="6" t="s">
        <v>213</v>
      </c>
      <c r="F345" s="6" t="s">
        <v>73</v>
      </c>
      <c r="G345" s="6" t="s">
        <v>57</v>
      </c>
      <c r="H345" s="6" t="s">
        <v>109</v>
      </c>
      <c r="I345" s="1" t="n">
        <v>1</v>
      </c>
      <c r="J345" s="7" t="n">
        <v>5445.61</v>
      </c>
      <c r="K345" s="8" t="n">
        <v>0</v>
      </c>
      <c r="L345" s="7" t="n">
        <v>4008.77</v>
      </c>
      <c r="M345" s="6" t="s">
        <v>49</v>
      </c>
      <c r="N345" s="6" t="s">
        <v>59</v>
      </c>
      <c r="O345" s="6" t="n">
        <f aca="false">IF(TablaVentas[[#This Row],[Precio_unitario]]="","PENDIENTE",TablaVentas[[#This Row],[Unidades]]*TablaVentas[[#This Row],[Precio_unitario]]*(1-TablaVentas[[#This Row],[Descuento_pct]]))</f>
        <v>5445.61</v>
      </c>
      <c r="P345" s="6" t="n">
        <f aca="false">IF(TablaVentas[[#This Row],[Costo_unitario]]="","PENDIENTE",TablaVentas[[#This Row],[Unidades]]*TablaVentas[[#This Row],[Costo_unitario]])</f>
        <v>4008.77</v>
      </c>
      <c r="Q345" s="6" t="n">
        <f aca="false">IF(OR(TablaVentas[[#This Row],[Ingreso_neto]]="PENDIENTE",TablaVentas[[#This Row],[Costo_total]]="PENDIENTE"),"PENDIENTE",TablaVentas[[#This Row],[Ingreso_neto]]-TablaVentas[[#This Row],[Costo_total]])</f>
        <v>1436.84</v>
      </c>
    </row>
    <row r="346" customFormat="false" ht="13.5" hidden="false" customHeight="false" outlineLevel="0" collapsed="false">
      <c r="A346" s="1" t="s">
        <v>424</v>
      </c>
      <c r="B346" s="1" t="n">
        <v>2</v>
      </c>
      <c r="C346" s="5" t="n">
        <v>46026</v>
      </c>
      <c r="D346" s="6" t="s">
        <v>425</v>
      </c>
      <c r="E346" s="6" t="s">
        <v>110</v>
      </c>
      <c r="F346" s="6" t="s">
        <v>73</v>
      </c>
      <c r="G346" s="6" t="s">
        <v>57</v>
      </c>
      <c r="H346" s="6" t="s">
        <v>109</v>
      </c>
      <c r="I346" s="1" t="n">
        <v>8</v>
      </c>
      <c r="J346" s="7" t="n">
        <v>13429.46</v>
      </c>
      <c r="K346" s="8" t="n">
        <v>0.05</v>
      </c>
      <c r="L346" s="7" t="n">
        <v>7549.71</v>
      </c>
      <c r="M346" s="6" t="s">
        <v>49</v>
      </c>
      <c r="N346" s="6" t="s">
        <v>59</v>
      </c>
      <c r="O346" s="6" t="n">
        <f aca="false">IF(TablaVentas[[#This Row],[Precio_unitario]]="","PENDIENTE",TablaVentas[[#This Row],[Unidades]]*TablaVentas[[#This Row],[Precio_unitario]]*(1-TablaVentas[[#This Row],[Descuento_pct]]))</f>
        <v>102063.896</v>
      </c>
      <c r="P346" s="6" t="n">
        <f aca="false">IF(TablaVentas[[#This Row],[Costo_unitario]]="","PENDIENTE",TablaVentas[[#This Row],[Unidades]]*TablaVentas[[#This Row],[Costo_unitario]])</f>
        <v>60397.68</v>
      </c>
      <c r="Q346" s="6" t="n">
        <f aca="false">IF(OR(TablaVentas[[#This Row],[Ingreso_neto]]="PENDIENTE",TablaVentas[[#This Row],[Costo_total]]="PENDIENTE"),"PENDIENTE",TablaVentas[[#This Row],[Ingreso_neto]]-TablaVentas[[#This Row],[Costo_total]])</f>
        <v>41666.216</v>
      </c>
    </row>
    <row r="347" customFormat="false" ht="13.5" hidden="false" customHeight="false" outlineLevel="0" collapsed="false">
      <c r="A347" s="1" t="s">
        <v>424</v>
      </c>
      <c r="B347" s="1" t="n">
        <v>3</v>
      </c>
      <c r="C347" s="5" t="n">
        <v>46026</v>
      </c>
      <c r="D347" s="6" t="s">
        <v>425</v>
      </c>
      <c r="E347" s="6" t="s">
        <v>263</v>
      </c>
      <c r="F347" s="6" t="s">
        <v>73</v>
      </c>
      <c r="G347" s="6" t="s">
        <v>57</v>
      </c>
      <c r="H347" s="6" t="s">
        <v>109</v>
      </c>
      <c r="I347" s="1" t="n">
        <v>2</v>
      </c>
      <c r="J347" s="7" t="n">
        <v>20221.66</v>
      </c>
      <c r="K347" s="8" t="n">
        <v>0</v>
      </c>
      <c r="L347" s="7" t="n">
        <v>11666.57</v>
      </c>
      <c r="M347" s="6" t="s">
        <v>49</v>
      </c>
      <c r="N347" s="6" t="s">
        <v>50</v>
      </c>
      <c r="O347" s="6" t="n">
        <f aca="false">IF(TablaVentas[[#This Row],[Precio_unitario]]="","PENDIENTE",TablaVentas[[#This Row],[Unidades]]*TablaVentas[[#This Row],[Precio_unitario]]*(1-TablaVentas[[#This Row],[Descuento_pct]]))</f>
        <v>40443.32</v>
      </c>
      <c r="P347" s="6" t="n">
        <f aca="false">IF(TablaVentas[[#This Row],[Costo_unitario]]="","PENDIENTE",TablaVentas[[#This Row],[Unidades]]*TablaVentas[[#This Row],[Costo_unitario]])</f>
        <v>23333.14</v>
      </c>
      <c r="Q347" s="6" t="n">
        <f aca="false">IF(OR(TablaVentas[[#This Row],[Ingreso_neto]]="PENDIENTE",TablaVentas[[#This Row],[Costo_total]]="PENDIENTE"),"PENDIENTE",TablaVentas[[#This Row],[Ingreso_neto]]-TablaVentas[[#This Row],[Costo_total]])</f>
        <v>17110.18</v>
      </c>
    </row>
    <row r="348" customFormat="false" ht="13.5" hidden="false" customHeight="false" outlineLevel="0" collapsed="false">
      <c r="A348" s="1" t="s">
        <v>424</v>
      </c>
      <c r="B348" s="1" t="n">
        <v>4</v>
      </c>
      <c r="C348" s="5" t="n">
        <v>46026</v>
      </c>
      <c r="D348" s="6" t="s">
        <v>425</v>
      </c>
      <c r="E348" s="6" t="s">
        <v>166</v>
      </c>
      <c r="F348" s="6" t="s">
        <v>73</v>
      </c>
      <c r="G348" s="6" t="s">
        <v>57</v>
      </c>
      <c r="H348" s="6" t="s">
        <v>109</v>
      </c>
      <c r="I348" s="1" t="n">
        <v>2</v>
      </c>
      <c r="J348" s="7" t="n">
        <v>11922.42</v>
      </c>
      <c r="K348" s="8" t="n">
        <v>0.2</v>
      </c>
      <c r="L348" s="7" t="n">
        <v>9317.37</v>
      </c>
      <c r="M348" s="6" t="s">
        <v>49</v>
      </c>
      <c r="N348" s="6" t="s">
        <v>59</v>
      </c>
      <c r="O348" s="6" t="n">
        <f aca="false">IF(TablaVentas[[#This Row],[Precio_unitario]]="","PENDIENTE",TablaVentas[[#This Row],[Unidades]]*TablaVentas[[#This Row],[Precio_unitario]]*(1-TablaVentas[[#This Row],[Descuento_pct]]))</f>
        <v>19075.872</v>
      </c>
      <c r="P348" s="6" t="n">
        <f aca="false">IF(TablaVentas[[#This Row],[Costo_unitario]]="","PENDIENTE",TablaVentas[[#This Row],[Unidades]]*TablaVentas[[#This Row],[Costo_unitario]])</f>
        <v>18634.74</v>
      </c>
      <c r="Q348" s="6" t="n">
        <f aca="false">IF(OR(TablaVentas[[#This Row],[Ingreso_neto]]="PENDIENTE",TablaVentas[[#This Row],[Costo_total]]="PENDIENTE"),"PENDIENTE",TablaVentas[[#This Row],[Ingreso_neto]]-TablaVentas[[#This Row],[Costo_total]])</f>
        <v>441.131999999998</v>
      </c>
    </row>
    <row r="349" customFormat="false" ht="13.5" hidden="false" customHeight="false" outlineLevel="0" collapsed="false">
      <c r="A349" s="1" t="s">
        <v>426</v>
      </c>
      <c r="B349" s="1" t="n">
        <v>1</v>
      </c>
      <c r="C349" s="5" t="n">
        <v>46251</v>
      </c>
      <c r="D349" s="6" t="s">
        <v>71</v>
      </c>
      <c r="E349" s="6" t="s">
        <v>219</v>
      </c>
      <c r="F349" s="6" t="s">
        <v>46</v>
      </c>
      <c r="G349" s="6" t="s">
        <v>57</v>
      </c>
      <c r="H349" s="6" t="s">
        <v>191</v>
      </c>
      <c r="I349" s="1" t="n">
        <v>2</v>
      </c>
      <c r="J349" s="7" t="n">
        <v>3330.06</v>
      </c>
      <c r="K349" s="8" t="n">
        <v>0.1</v>
      </c>
      <c r="L349" s="7" t="n">
        <v>2157.55</v>
      </c>
      <c r="M349" s="6" t="s">
        <v>49</v>
      </c>
      <c r="N349" s="6" t="s">
        <v>59</v>
      </c>
      <c r="O349" s="6" t="n">
        <f aca="false">IF(TablaVentas[[#This Row],[Precio_unitario]]="","PENDIENTE",TablaVentas[[#This Row],[Unidades]]*TablaVentas[[#This Row],[Precio_unitario]]*(1-TablaVentas[[#This Row],[Descuento_pct]]))</f>
        <v>5994.108</v>
      </c>
      <c r="P349" s="6" t="n">
        <f aca="false">IF(TablaVentas[[#This Row],[Costo_unitario]]="","PENDIENTE",TablaVentas[[#This Row],[Unidades]]*TablaVentas[[#This Row],[Costo_unitario]])</f>
        <v>4315.1</v>
      </c>
      <c r="Q349" s="6" t="n">
        <f aca="false">IF(OR(TablaVentas[[#This Row],[Ingreso_neto]]="PENDIENTE",TablaVentas[[#This Row],[Costo_total]]="PENDIENTE"),"PENDIENTE",TablaVentas[[#This Row],[Ingreso_neto]]-TablaVentas[[#This Row],[Costo_total]])</f>
        <v>1679.008</v>
      </c>
    </row>
    <row r="350" customFormat="false" ht="13.5" hidden="false" customHeight="false" outlineLevel="0" collapsed="false">
      <c r="A350" s="1" t="s">
        <v>426</v>
      </c>
      <c r="B350" s="1" t="n">
        <v>2</v>
      </c>
      <c r="C350" s="5" t="n">
        <v>46251</v>
      </c>
      <c r="D350" s="6" t="s">
        <v>71</v>
      </c>
      <c r="E350" s="6" t="s">
        <v>142</v>
      </c>
      <c r="F350" s="6" t="s">
        <v>46</v>
      </c>
      <c r="G350" s="6" t="s">
        <v>57</v>
      </c>
      <c r="H350" s="6" t="s">
        <v>191</v>
      </c>
      <c r="I350" s="1" t="n">
        <v>4</v>
      </c>
      <c r="J350" s="7" t="n">
        <v>1778.02</v>
      </c>
      <c r="K350" s="8" t="n">
        <v>0</v>
      </c>
      <c r="L350" s="7" t="n">
        <v>1529.93</v>
      </c>
      <c r="M350" s="6" t="s">
        <v>49</v>
      </c>
      <c r="N350" s="6" t="s">
        <v>67</v>
      </c>
      <c r="O350" s="6" t="n">
        <f aca="false">IF(TablaVentas[[#This Row],[Precio_unitario]]="","PENDIENTE",TablaVentas[[#This Row],[Unidades]]*TablaVentas[[#This Row],[Precio_unitario]]*(1-TablaVentas[[#This Row],[Descuento_pct]]))</f>
        <v>7112.08</v>
      </c>
      <c r="P350" s="6" t="n">
        <f aca="false">IF(TablaVentas[[#This Row],[Costo_unitario]]="","PENDIENTE",TablaVentas[[#This Row],[Unidades]]*TablaVentas[[#This Row],[Costo_unitario]])</f>
        <v>6119.72</v>
      </c>
      <c r="Q350" s="6" t="n">
        <f aca="false">IF(OR(TablaVentas[[#This Row],[Ingreso_neto]]="PENDIENTE",TablaVentas[[#This Row],[Costo_total]]="PENDIENTE"),"PENDIENTE",TablaVentas[[#This Row],[Ingreso_neto]]-TablaVentas[[#This Row],[Costo_total]])</f>
        <v>992.36</v>
      </c>
    </row>
    <row r="351" customFormat="false" ht="13.5" hidden="false" customHeight="false" outlineLevel="0" collapsed="false">
      <c r="A351" s="1" t="s">
        <v>427</v>
      </c>
      <c r="B351" s="1" t="n">
        <v>1</v>
      </c>
      <c r="C351" s="5" t="n">
        <v>46123</v>
      </c>
      <c r="D351" s="6" t="s">
        <v>344</v>
      </c>
      <c r="E351" s="6" t="s">
        <v>104</v>
      </c>
      <c r="F351" s="6" t="s">
        <v>46</v>
      </c>
      <c r="G351" s="6" t="s">
        <v>64</v>
      </c>
      <c r="H351" s="6" t="s">
        <v>131</v>
      </c>
      <c r="I351" s="1" t="n">
        <v>1</v>
      </c>
      <c r="J351" s="7" t="n">
        <v>15824.22</v>
      </c>
      <c r="K351" s="8" t="n">
        <v>0</v>
      </c>
      <c r="L351" s="7" t="n">
        <v>11424.77</v>
      </c>
      <c r="M351" s="6" t="s">
        <v>49</v>
      </c>
      <c r="N351" s="6" t="s">
        <v>50</v>
      </c>
      <c r="O351" s="6" t="n">
        <f aca="false">IF(TablaVentas[[#This Row],[Precio_unitario]]="","PENDIENTE",TablaVentas[[#This Row],[Unidades]]*TablaVentas[[#This Row],[Precio_unitario]]*(1-TablaVentas[[#This Row],[Descuento_pct]]))</f>
        <v>15824.22</v>
      </c>
      <c r="P351" s="6" t="n">
        <f aca="false">IF(TablaVentas[[#This Row],[Costo_unitario]]="","PENDIENTE",TablaVentas[[#This Row],[Unidades]]*TablaVentas[[#This Row],[Costo_unitario]])</f>
        <v>11424.77</v>
      </c>
      <c r="Q351" s="6" t="n">
        <f aca="false">IF(OR(TablaVentas[[#This Row],[Ingreso_neto]]="PENDIENTE",TablaVentas[[#This Row],[Costo_total]]="PENDIENTE"),"PENDIENTE",TablaVentas[[#This Row],[Ingreso_neto]]-TablaVentas[[#This Row],[Costo_total]])</f>
        <v>4399.45</v>
      </c>
    </row>
    <row r="352" customFormat="false" ht="13.5" hidden="false" customHeight="false" outlineLevel="0" collapsed="false">
      <c r="A352" s="1" t="s">
        <v>428</v>
      </c>
      <c r="B352" s="1" t="n">
        <v>1</v>
      </c>
      <c r="C352" s="5" t="n">
        <v>46239</v>
      </c>
      <c r="D352" s="6" t="s">
        <v>154</v>
      </c>
      <c r="E352" s="6" t="s">
        <v>53</v>
      </c>
      <c r="F352" s="6" t="s">
        <v>84</v>
      </c>
      <c r="G352" s="6" t="s">
        <v>47</v>
      </c>
      <c r="H352" s="6" t="s">
        <v>58</v>
      </c>
      <c r="I352" s="1" t="n">
        <v>1</v>
      </c>
      <c r="J352" s="7" t="n">
        <v>3754.54</v>
      </c>
      <c r="K352" s="8" t="n">
        <v>0</v>
      </c>
      <c r="L352" s="7" t="n">
        <v>2957.6</v>
      </c>
      <c r="M352" s="6" t="s">
        <v>49</v>
      </c>
      <c r="N352" s="6" t="s">
        <v>52</v>
      </c>
      <c r="O352" s="6" t="n">
        <f aca="false">IF(TablaVentas[[#This Row],[Precio_unitario]]="","PENDIENTE",TablaVentas[[#This Row],[Unidades]]*TablaVentas[[#This Row],[Precio_unitario]]*(1-TablaVentas[[#This Row],[Descuento_pct]]))</f>
        <v>3754.54</v>
      </c>
      <c r="P352" s="6" t="n">
        <f aca="false">IF(TablaVentas[[#This Row],[Costo_unitario]]="","PENDIENTE",TablaVentas[[#This Row],[Unidades]]*TablaVentas[[#This Row],[Costo_unitario]])</f>
        <v>2957.6</v>
      </c>
      <c r="Q352" s="6" t="n">
        <f aca="false">IF(OR(TablaVentas[[#This Row],[Ingreso_neto]]="PENDIENTE",TablaVentas[[#This Row],[Costo_total]]="PENDIENTE"),"PENDIENTE",TablaVentas[[#This Row],[Ingreso_neto]]-TablaVentas[[#This Row],[Costo_total]])</f>
        <v>796.94</v>
      </c>
    </row>
    <row r="353" customFormat="false" ht="13.5" hidden="false" customHeight="false" outlineLevel="0" collapsed="false">
      <c r="A353" s="1" t="s">
        <v>429</v>
      </c>
      <c r="B353" s="1" t="n">
        <v>1</v>
      </c>
      <c r="C353" s="5" t="n">
        <v>46121</v>
      </c>
      <c r="D353" s="6" t="s">
        <v>430</v>
      </c>
      <c r="E353" s="6" t="s">
        <v>374</v>
      </c>
      <c r="F353" s="6" t="s">
        <v>46</v>
      </c>
      <c r="G353" s="6" t="s">
        <v>64</v>
      </c>
      <c r="H353" s="6" t="s">
        <v>80</v>
      </c>
      <c r="I353" s="1" t="n">
        <v>1</v>
      </c>
      <c r="J353" s="7" t="n">
        <v>9914.06</v>
      </c>
      <c r="K353" s="8" t="n">
        <v>0.1</v>
      </c>
      <c r="L353" s="7" t="n">
        <v>5079.43</v>
      </c>
      <c r="M353" s="6" t="s">
        <v>49</v>
      </c>
      <c r="N353" s="6" t="s">
        <v>50</v>
      </c>
      <c r="O353" s="6" t="n">
        <f aca="false">IF(TablaVentas[[#This Row],[Precio_unitario]]="","PENDIENTE",TablaVentas[[#This Row],[Unidades]]*TablaVentas[[#This Row],[Precio_unitario]]*(1-TablaVentas[[#This Row],[Descuento_pct]]))</f>
        <v>8922.654</v>
      </c>
      <c r="P353" s="6" t="n">
        <f aca="false">IF(TablaVentas[[#This Row],[Costo_unitario]]="","PENDIENTE",TablaVentas[[#This Row],[Unidades]]*TablaVentas[[#This Row],[Costo_unitario]])</f>
        <v>5079.43</v>
      </c>
      <c r="Q353" s="6" t="n">
        <f aca="false">IF(OR(TablaVentas[[#This Row],[Ingreso_neto]]="PENDIENTE",TablaVentas[[#This Row],[Costo_total]]="PENDIENTE"),"PENDIENTE",TablaVentas[[#This Row],[Ingreso_neto]]-TablaVentas[[#This Row],[Costo_total]])</f>
        <v>3843.224</v>
      </c>
    </row>
    <row r="354" customFormat="false" ht="13.5" hidden="false" customHeight="false" outlineLevel="0" collapsed="false">
      <c r="A354" s="1" t="s">
        <v>429</v>
      </c>
      <c r="B354" s="1" t="n">
        <v>2</v>
      </c>
      <c r="C354" s="5" t="n">
        <v>46121</v>
      </c>
      <c r="D354" s="6" t="s">
        <v>430</v>
      </c>
      <c r="E354" s="6" t="s">
        <v>121</v>
      </c>
      <c r="F354" s="6" t="s">
        <v>46</v>
      </c>
      <c r="G354" s="6" t="s">
        <v>64</v>
      </c>
      <c r="H354" s="6" t="s">
        <v>80</v>
      </c>
      <c r="I354" s="1" t="n">
        <v>1</v>
      </c>
      <c r="J354" s="7" t="n">
        <v>14121.29</v>
      </c>
      <c r="K354" s="8" t="n">
        <v>0.2</v>
      </c>
      <c r="L354" s="7" t="n">
        <v>8239.48</v>
      </c>
      <c r="M354" s="6" t="s">
        <v>49</v>
      </c>
      <c r="N354" s="6" t="s">
        <v>50</v>
      </c>
      <c r="O354" s="6" t="n">
        <f aca="false">IF(TablaVentas[[#This Row],[Precio_unitario]]="","PENDIENTE",TablaVentas[[#This Row],[Unidades]]*TablaVentas[[#This Row],[Precio_unitario]]*(1-TablaVentas[[#This Row],[Descuento_pct]]))</f>
        <v>11297.032</v>
      </c>
      <c r="P354" s="6" t="n">
        <f aca="false">IF(TablaVentas[[#This Row],[Costo_unitario]]="","PENDIENTE",TablaVentas[[#This Row],[Unidades]]*TablaVentas[[#This Row],[Costo_unitario]])</f>
        <v>8239.48</v>
      </c>
      <c r="Q354" s="6" t="n">
        <f aca="false">IF(OR(TablaVentas[[#This Row],[Ingreso_neto]]="PENDIENTE",TablaVentas[[#This Row],[Costo_total]]="PENDIENTE"),"PENDIENTE",TablaVentas[[#This Row],[Ingreso_neto]]-TablaVentas[[#This Row],[Costo_total]])</f>
        <v>3057.552</v>
      </c>
    </row>
    <row r="355" customFormat="false" ht="13.5" hidden="false" customHeight="false" outlineLevel="0" collapsed="false">
      <c r="A355" s="1" t="s">
        <v>429</v>
      </c>
      <c r="B355" s="1" t="n">
        <v>3</v>
      </c>
      <c r="C355" s="5" t="n">
        <v>46121</v>
      </c>
      <c r="D355" s="6" t="s">
        <v>430</v>
      </c>
      <c r="E355" s="6" t="s">
        <v>130</v>
      </c>
      <c r="F355" s="6" t="s">
        <v>46</v>
      </c>
      <c r="G355" s="6" t="s">
        <v>64</v>
      </c>
      <c r="H355" s="6" t="s">
        <v>80</v>
      </c>
      <c r="I355" s="1" t="n">
        <v>1</v>
      </c>
      <c r="J355" s="7" t="n">
        <v>17035.53</v>
      </c>
      <c r="K355" s="8" t="n">
        <v>0</v>
      </c>
      <c r="L355" s="7" t="n">
        <v>12679.41</v>
      </c>
      <c r="M355" s="6" t="s">
        <v>49</v>
      </c>
      <c r="N355" s="6" t="s">
        <v>67</v>
      </c>
      <c r="O355" s="6" t="n">
        <f aca="false">IF(TablaVentas[[#This Row],[Precio_unitario]]="","PENDIENTE",TablaVentas[[#This Row],[Unidades]]*TablaVentas[[#This Row],[Precio_unitario]]*(1-TablaVentas[[#This Row],[Descuento_pct]]))</f>
        <v>17035.53</v>
      </c>
      <c r="P355" s="6" t="n">
        <f aca="false">IF(TablaVentas[[#This Row],[Costo_unitario]]="","PENDIENTE",TablaVentas[[#This Row],[Unidades]]*TablaVentas[[#This Row],[Costo_unitario]])</f>
        <v>12679.41</v>
      </c>
      <c r="Q355" s="6" t="n">
        <f aca="false">IF(OR(TablaVentas[[#This Row],[Ingreso_neto]]="PENDIENTE",TablaVentas[[#This Row],[Costo_total]]="PENDIENTE"),"PENDIENTE",TablaVentas[[#This Row],[Ingreso_neto]]-TablaVentas[[#This Row],[Costo_total]])</f>
        <v>4356.12</v>
      </c>
    </row>
    <row r="356" customFormat="false" ht="13.5" hidden="false" customHeight="false" outlineLevel="0" collapsed="false">
      <c r="A356" s="1" t="s">
        <v>431</v>
      </c>
      <c r="B356" s="1" t="n">
        <v>1</v>
      </c>
      <c r="C356" s="5" t="n">
        <v>46259</v>
      </c>
      <c r="D356" s="6" t="s">
        <v>368</v>
      </c>
      <c r="E356" s="6" t="s">
        <v>141</v>
      </c>
      <c r="F356" s="6" t="s">
        <v>63</v>
      </c>
      <c r="G356" s="6" t="s">
        <v>47</v>
      </c>
      <c r="H356" s="6" t="s">
        <v>191</v>
      </c>
      <c r="I356" s="1" t="n">
        <v>1</v>
      </c>
      <c r="J356" s="7" t="n">
        <v>270.58</v>
      </c>
      <c r="K356" s="8" t="n">
        <v>0.15</v>
      </c>
      <c r="L356" s="7" t="n">
        <v>176.47</v>
      </c>
      <c r="M356" s="6" t="s">
        <v>49</v>
      </c>
      <c r="N356" s="6" t="s">
        <v>50</v>
      </c>
      <c r="O356" s="6" t="n">
        <f aca="false">IF(TablaVentas[[#This Row],[Precio_unitario]]="","PENDIENTE",TablaVentas[[#This Row],[Unidades]]*TablaVentas[[#This Row],[Precio_unitario]]*(1-TablaVentas[[#This Row],[Descuento_pct]]))</f>
        <v>229.993</v>
      </c>
      <c r="P356" s="6" t="n">
        <f aca="false">IF(TablaVentas[[#This Row],[Costo_unitario]]="","PENDIENTE",TablaVentas[[#This Row],[Unidades]]*TablaVentas[[#This Row],[Costo_unitario]])</f>
        <v>176.47</v>
      </c>
      <c r="Q356" s="6" t="n">
        <f aca="false">IF(OR(TablaVentas[[#This Row],[Ingreso_neto]]="PENDIENTE",TablaVentas[[#This Row],[Costo_total]]="PENDIENTE"),"PENDIENTE",TablaVentas[[#This Row],[Ingreso_neto]]-TablaVentas[[#This Row],[Costo_total]])</f>
        <v>53.523</v>
      </c>
    </row>
    <row r="357" customFormat="false" ht="13.5" hidden="false" customHeight="false" outlineLevel="0" collapsed="false">
      <c r="A357" s="1" t="s">
        <v>431</v>
      </c>
      <c r="B357" s="1" t="n">
        <v>2</v>
      </c>
      <c r="C357" s="5" t="n">
        <v>46259</v>
      </c>
      <c r="D357" s="6" t="s">
        <v>368</v>
      </c>
      <c r="E357" s="6" t="s">
        <v>230</v>
      </c>
      <c r="F357" s="6" t="s">
        <v>63</v>
      </c>
      <c r="G357" s="6" t="s">
        <v>47</v>
      </c>
      <c r="H357" s="6" t="s">
        <v>191</v>
      </c>
      <c r="I357" s="1" t="n">
        <v>3</v>
      </c>
      <c r="J357" s="7" t="n">
        <v>6564.6</v>
      </c>
      <c r="K357" s="8" t="n">
        <v>0.05</v>
      </c>
      <c r="L357" s="7" t="n">
        <v>3298.19</v>
      </c>
      <c r="M357" s="6" t="s">
        <v>123</v>
      </c>
      <c r="N357" s="6" t="s">
        <v>67</v>
      </c>
      <c r="O357" s="6" t="n">
        <f aca="false">IF(TablaVentas[[#This Row],[Precio_unitario]]="","PENDIENTE",TablaVentas[[#This Row],[Unidades]]*TablaVentas[[#This Row],[Precio_unitario]]*(1-TablaVentas[[#This Row],[Descuento_pct]]))</f>
        <v>18709.11</v>
      </c>
      <c r="P357" s="6" t="n">
        <f aca="false">IF(TablaVentas[[#This Row],[Costo_unitario]]="","PENDIENTE",TablaVentas[[#This Row],[Unidades]]*TablaVentas[[#This Row],[Costo_unitario]])</f>
        <v>9894.57</v>
      </c>
      <c r="Q357" s="6" t="n">
        <f aca="false">IF(OR(TablaVentas[[#This Row],[Ingreso_neto]]="PENDIENTE",TablaVentas[[#This Row],[Costo_total]]="PENDIENTE"),"PENDIENTE",TablaVentas[[#This Row],[Ingreso_neto]]-TablaVentas[[#This Row],[Costo_total]])</f>
        <v>8814.54</v>
      </c>
    </row>
    <row r="358" customFormat="false" ht="13.5" hidden="false" customHeight="false" outlineLevel="0" collapsed="false">
      <c r="A358" s="1" t="s">
        <v>432</v>
      </c>
      <c r="B358" s="1" t="n">
        <v>1</v>
      </c>
      <c r="C358" s="5" t="n">
        <v>46027</v>
      </c>
      <c r="D358" s="6" t="s">
        <v>395</v>
      </c>
      <c r="E358" s="6" t="s">
        <v>142</v>
      </c>
      <c r="F358" s="6" t="s">
        <v>46</v>
      </c>
      <c r="G358" s="6" t="s">
        <v>64</v>
      </c>
      <c r="H358" s="6" t="s">
        <v>74</v>
      </c>
      <c r="I358" s="1" t="n">
        <v>1</v>
      </c>
      <c r="J358" s="7" t="n">
        <v>1901.42</v>
      </c>
      <c r="K358" s="8" t="n">
        <v>0</v>
      </c>
      <c r="L358" s="7" t="n">
        <v>1529.93</v>
      </c>
      <c r="M358" s="6" t="s">
        <v>123</v>
      </c>
      <c r="N358" s="6" t="s">
        <v>50</v>
      </c>
      <c r="O358" s="6" t="n">
        <f aca="false">IF(TablaVentas[[#This Row],[Precio_unitario]]="","PENDIENTE",TablaVentas[[#This Row],[Unidades]]*TablaVentas[[#This Row],[Precio_unitario]]*(1-TablaVentas[[#This Row],[Descuento_pct]]))</f>
        <v>1901.42</v>
      </c>
      <c r="P358" s="6" t="n">
        <f aca="false">IF(TablaVentas[[#This Row],[Costo_unitario]]="","PENDIENTE",TablaVentas[[#This Row],[Unidades]]*TablaVentas[[#This Row],[Costo_unitario]])</f>
        <v>1529.93</v>
      </c>
      <c r="Q358" s="6" t="n">
        <f aca="false">IF(OR(TablaVentas[[#This Row],[Ingreso_neto]]="PENDIENTE",TablaVentas[[#This Row],[Costo_total]]="PENDIENTE"),"PENDIENTE",TablaVentas[[#This Row],[Ingreso_neto]]-TablaVentas[[#This Row],[Costo_total]])</f>
        <v>371.49</v>
      </c>
    </row>
    <row r="359" customFormat="false" ht="13.5" hidden="false" customHeight="false" outlineLevel="0" collapsed="false">
      <c r="A359" s="1" t="s">
        <v>433</v>
      </c>
      <c r="B359" s="1" t="n">
        <v>1</v>
      </c>
      <c r="C359" s="5" t="n">
        <v>46199</v>
      </c>
      <c r="D359" s="6" t="s">
        <v>415</v>
      </c>
      <c r="E359" s="6" t="s">
        <v>166</v>
      </c>
      <c r="F359" s="6" t="s">
        <v>84</v>
      </c>
      <c r="G359" s="6" t="s">
        <v>47</v>
      </c>
      <c r="H359" s="6" t="s">
        <v>65</v>
      </c>
      <c r="I359" s="1" t="n">
        <v>2</v>
      </c>
      <c r="J359" s="7" t="n">
        <v>12547.07</v>
      </c>
      <c r="K359" s="8" t="n">
        <v>0</v>
      </c>
      <c r="L359" s="7" t="n">
        <v>9317.37</v>
      </c>
      <c r="M359" s="6" t="s">
        <v>49</v>
      </c>
      <c r="N359" s="6" t="s">
        <v>50</v>
      </c>
      <c r="O359" s="6" t="n">
        <f aca="false">IF(TablaVentas[[#This Row],[Precio_unitario]]="","PENDIENTE",TablaVentas[[#This Row],[Unidades]]*TablaVentas[[#This Row],[Precio_unitario]]*(1-TablaVentas[[#This Row],[Descuento_pct]]))</f>
        <v>25094.14</v>
      </c>
      <c r="P359" s="6" t="n">
        <f aca="false">IF(TablaVentas[[#This Row],[Costo_unitario]]="","PENDIENTE",TablaVentas[[#This Row],[Unidades]]*TablaVentas[[#This Row],[Costo_unitario]])</f>
        <v>18634.74</v>
      </c>
      <c r="Q359" s="6" t="n">
        <f aca="false">IF(OR(TablaVentas[[#This Row],[Ingreso_neto]]="PENDIENTE",TablaVentas[[#This Row],[Costo_total]]="PENDIENTE"),"PENDIENTE",TablaVentas[[#This Row],[Ingreso_neto]]-TablaVentas[[#This Row],[Costo_total]])</f>
        <v>6459.4</v>
      </c>
    </row>
    <row r="360" customFormat="false" ht="13.5" hidden="false" customHeight="false" outlineLevel="0" collapsed="false">
      <c r="A360" s="1" t="s">
        <v>434</v>
      </c>
      <c r="B360" s="1" t="n">
        <v>1</v>
      </c>
      <c r="C360" s="5" t="n">
        <v>46116</v>
      </c>
      <c r="D360" s="6" t="s">
        <v>221</v>
      </c>
      <c r="E360" s="6" t="s">
        <v>132</v>
      </c>
      <c r="F360" s="6" t="s">
        <v>84</v>
      </c>
      <c r="G360" s="6" t="s">
        <v>64</v>
      </c>
      <c r="H360" s="6" t="s">
        <v>136</v>
      </c>
      <c r="I360" s="1" t="n">
        <v>5</v>
      </c>
      <c r="J360" s="7" t="n">
        <v>1580.1</v>
      </c>
      <c r="K360" s="8" t="n">
        <v>0</v>
      </c>
      <c r="L360" s="7" t="n">
        <v>1044.32</v>
      </c>
      <c r="M360" s="6" t="s">
        <v>49</v>
      </c>
      <c r="N360" s="6" t="s">
        <v>50</v>
      </c>
      <c r="O360" s="6" t="n">
        <f aca="false">IF(TablaVentas[[#This Row],[Precio_unitario]]="","PENDIENTE",TablaVentas[[#This Row],[Unidades]]*TablaVentas[[#This Row],[Precio_unitario]]*(1-TablaVentas[[#This Row],[Descuento_pct]]))</f>
        <v>7900.5</v>
      </c>
      <c r="P360" s="6" t="n">
        <f aca="false">IF(TablaVentas[[#This Row],[Costo_unitario]]="","PENDIENTE",TablaVentas[[#This Row],[Unidades]]*TablaVentas[[#This Row],[Costo_unitario]])</f>
        <v>5221.6</v>
      </c>
      <c r="Q360" s="6" t="n">
        <f aca="false">IF(OR(TablaVentas[[#This Row],[Ingreso_neto]]="PENDIENTE",TablaVentas[[#This Row],[Costo_total]]="PENDIENTE"),"PENDIENTE",TablaVentas[[#This Row],[Ingreso_neto]]-TablaVentas[[#This Row],[Costo_total]])</f>
        <v>2678.9</v>
      </c>
    </row>
    <row r="361" customFormat="false" ht="13.5" hidden="false" customHeight="false" outlineLevel="0" collapsed="false">
      <c r="A361" s="1" t="s">
        <v>434</v>
      </c>
      <c r="B361" s="1" t="n">
        <v>2</v>
      </c>
      <c r="C361" s="5" t="n">
        <v>46116</v>
      </c>
      <c r="D361" s="6" t="s">
        <v>221</v>
      </c>
      <c r="E361" s="6" t="s">
        <v>91</v>
      </c>
      <c r="F361" s="6" t="s">
        <v>84</v>
      </c>
      <c r="G361" s="6" t="s">
        <v>64</v>
      </c>
      <c r="H361" s="6" t="s">
        <v>136</v>
      </c>
      <c r="I361" s="1" t="n">
        <v>2</v>
      </c>
      <c r="J361" s="7" t="n">
        <v>15917.21</v>
      </c>
      <c r="K361" s="8" t="n">
        <v>0.05</v>
      </c>
      <c r="L361" s="7" t="n">
        <v>8576.05</v>
      </c>
      <c r="M361" s="6" t="s">
        <v>49</v>
      </c>
      <c r="N361" s="6" t="s">
        <v>52</v>
      </c>
      <c r="O361" s="6" t="n">
        <f aca="false">IF(TablaVentas[[#This Row],[Precio_unitario]]="","PENDIENTE",TablaVentas[[#This Row],[Unidades]]*TablaVentas[[#This Row],[Precio_unitario]]*(1-TablaVentas[[#This Row],[Descuento_pct]]))</f>
        <v>30242.699</v>
      </c>
      <c r="P361" s="6" t="n">
        <f aca="false">IF(TablaVentas[[#This Row],[Costo_unitario]]="","PENDIENTE",TablaVentas[[#This Row],[Unidades]]*TablaVentas[[#This Row],[Costo_unitario]])</f>
        <v>17152.1</v>
      </c>
      <c r="Q361" s="6" t="n">
        <f aca="false">IF(OR(TablaVentas[[#This Row],[Ingreso_neto]]="PENDIENTE",TablaVentas[[#This Row],[Costo_total]]="PENDIENTE"),"PENDIENTE",TablaVentas[[#This Row],[Ingreso_neto]]-TablaVentas[[#This Row],[Costo_total]])</f>
        <v>13090.599</v>
      </c>
    </row>
    <row r="362" customFormat="false" ht="13.5" hidden="false" customHeight="false" outlineLevel="0" collapsed="false">
      <c r="A362" s="1" t="s">
        <v>434</v>
      </c>
      <c r="B362" s="1" t="n">
        <v>3</v>
      </c>
      <c r="C362" s="5" t="n">
        <v>46116</v>
      </c>
      <c r="D362" s="6" t="s">
        <v>221</v>
      </c>
      <c r="E362" s="6" t="s">
        <v>166</v>
      </c>
      <c r="F362" s="6" t="s">
        <v>84</v>
      </c>
      <c r="G362" s="6" t="s">
        <v>64</v>
      </c>
      <c r="H362" s="6" t="s">
        <v>136</v>
      </c>
      <c r="I362" s="1" t="n">
        <v>1</v>
      </c>
      <c r="J362" s="7" t="n">
        <v>12795.74</v>
      </c>
      <c r="K362" s="8" t="n">
        <v>0.05</v>
      </c>
      <c r="L362" s="7" t="n">
        <v>9317.37</v>
      </c>
      <c r="M362" s="6" t="s">
        <v>49</v>
      </c>
      <c r="N362" s="6" t="s">
        <v>50</v>
      </c>
      <c r="O362" s="6" t="n">
        <f aca="false">IF(TablaVentas[[#This Row],[Precio_unitario]]="","PENDIENTE",TablaVentas[[#This Row],[Unidades]]*TablaVentas[[#This Row],[Precio_unitario]]*(1-TablaVentas[[#This Row],[Descuento_pct]]))</f>
        <v>12155.953</v>
      </c>
      <c r="P362" s="6" t="n">
        <f aca="false">IF(TablaVentas[[#This Row],[Costo_unitario]]="","PENDIENTE",TablaVentas[[#This Row],[Unidades]]*TablaVentas[[#This Row],[Costo_unitario]])</f>
        <v>9317.37</v>
      </c>
      <c r="Q362" s="6" t="n">
        <f aca="false">IF(OR(TablaVentas[[#This Row],[Ingreso_neto]]="PENDIENTE",TablaVentas[[#This Row],[Costo_total]]="PENDIENTE"),"PENDIENTE",TablaVentas[[#This Row],[Ingreso_neto]]-TablaVentas[[#This Row],[Costo_total]])</f>
        <v>2838.583</v>
      </c>
    </row>
    <row r="363" customFormat="false" ht="13.5" hidden="false" customHeight="false" outlineLevel="0" collapsed="false">
      <c r="A363" s="1" t="s">
        <v>435</v>
      </c>
      <c r="B363" s="1" t="n">
        <v>1</v>
      </c>
      <c r="C363" s="5" t="n">
        <v>46126</v>
      </c>
      <c r="D363" s="6" t="s">
        <v>436</v>
      </c>
      <c r="E363" s="6" t="s">
        <v>113</v>
      </c>
      <c r="F363" s="6" t="s">
        <v>63</v>
      </c>
      <c r="G363" s="6" t="s">
        <v>64</v>
      </c>
      <c r="H363" s="6" t="s">
        <v>48</v>
      </c>
      <c r="I363" s="1" t="n">
        <v>4</v>
      </c>
      <c r="J363" s="7" t="n">
        <v>9508.34</v>
      </c>
      <c r="K363" s="8" t="n">
        <v>0</v>
      </c>
      <c r="L363" s="7" t="n">
        <v>8276.74</v>
      </c>
      <c r="M363" s="6" t="s">
        <v>49</v>
      </c>
      <c r="N363" s="6" t="s">
        <v>67</v>
      </c>
      <c r="O363" s="6" t="n">
        <f aca="false">IF(TablaVentas[[#This Row],[Precio_unitario]]="","PENDIENTE",TablaVentas[[#This Row],[Unidades]]*TablaVentas[[#This Row],[Precio_unitario]]*(1-TablaVentas[[#This Row],[Descuento_pct]]))</f>
        <v>38033.36</v>
      </c>
      <c r="P363" s="6" t="n">
        <f aca="false">IF(TablaVentas[[#This Row],[Costo_unitario]]="","PENDIENTE",TablaVentas[[#This Row],[Unidades]]*TablaVentas[[#This Row],[Costo_unitario]])</f>
        <v>33106.96</v>
      </c>
      <c r="Q363" s="6" t="n">
        <f aca="false">IF(OR(TablaVentas[[#This Row],[Ingreso_neto]]="PENDIENTE",TablaVentas[[#This Row],[Costo_total]]="PENDIENTE"),"PENDIENTE",TablaVentas[[#This Row],[Ingreso_neto]]-TablaVentas[[#This Row],[Costo_total]])</f>
        <v>4926.4</v>
      </c>
    </row>
    <row r="364" customFormat="false" ht="13.5" hidden="false" customHeight="false" outlineLevel="0" collapsed="false">
      <c r="A364" s="1" t="s">
        <v>437</v>
      </c>
      <c r="B364" s="1" t="n">
        <v>1</v>
      </c>
      <c r="C364" s="5" t="n">
        <v>46136</v>
      </c>
      <c r="D364" s="6" t="s">
        <v>157</v>
      </c>
      <c r="E364" s="6" t="s">
        <v>110</v>
      </c>
      <c r="F364" s="6" t="s">
        <v>84</v>
      </c>
      <c r="G364" s="6" t="s">
        <v>47</v>
      </c>
      <c r="H364" s="6" t="s">
        <v>58</v>
      </c>
      <c r="I364" s="1" t="n">
        <v>5</v>
      </c>
      <c r="J364" s="7" t="n">
        <v>13184.01</v>
      </c>
      <c r="K364" s="8" t="n">
        <v>0.15</v>
      </c>
      <c r="L364" s="7" t="n">
        <v>7549.71</v>
      </c>
      <c r="M364" s="6" t="s">
        <v>49</v>
      </c>
      <c r="N364" s="6" t="s">
        <v>67</v>
      </c>
      <c r="O364" s="6" t="n">
        <f aca="false">IF(TablaVentas[[#This Row],[Precio_unitario]]="","PENDIENTE",TablaVentas[[#This Row],[Unidades]]*TablaVentas[[#This Row],[Precio_unitario]]*(1-TablaVentas[[#This Row],[Descuento_pct]]))</f>
        <v>56032.0425</v>
      </c>
      <c r="P364" s="6" t="n">
        <f aca="false">IF(TablaVentas[[#This Row],[Costo_unitario]]="","PENDIENTE",TablaVentas[[#This Row],[Unidades]]*TablaVentas[[#This Row],[Costo_unitario]])</f>
        <v>37748.55</v>
      </c>
      <c r="Q364" s="6" t="n">
        <f aca="false">IF(OR(TablaVentas[[#This Row],[Ingreso_neto]]="PENDIENTE",TablaVentas[[#This Row],[Costo_total]]="PENDIENTE"),"PENDIENTE",TablaVentas[[#This Row],[Ingreso_neto]]-TablaVentas[[#This Row],[Costo_total]])</f>
        <v>18283.4925</v>
      </c>
    </row>
    <row r="365" customFormat="false" ht="13.5" hidden="false" customHeight="false" outlineLevel="0" collapsed="false">
      <c r="A365" s="1" t="s">
        <v>437</v>
      </c>
      <c r="B365" s="1" t="n">
        <v>2</v>
      </c>
      <c r="C365" s="5" t="n">
        <v>46136</v>
      </c>
      <c r="D365" s="6" t="s">
        <v>157</v>
      </c>
      <c r="E365" s="6" t="s">
        <v>353</v>
      </c>
      <c r="F365" s="6" t="s">
        <v>84</v>
      </c>
      <c r="G365" s="6" t="s">
        <v>47</v>
      </c>
      <c r="H365" s="6" t="s">
        <v>58</v>
      </c>
      <c r="I365" s="1" t="n">
        <v>2</v>
      </c>
      <c r="J365" s="7" t="n">
        <v>2461.63</v>
      </c>
      <c r="K365" s="8" t="n">
        <v>0</v>
      </c>
      <c r="L365" s="7" t="n">
        <v>1175.74</v>
      </c>
      <c r="M365" s="6" t="s">
        <v>49</v>
      </c>
      <c r="N365" s="6" t="s">
        <v>67</v>
      </c>
      <c r="O365" s="6" t="n">
        <f aca="false">IF(TablaVentas[[#This Row],[Precio_unitario]]="","PENDIENTE",TablaVentas[[#This Row],[Unidades]]*TablaVentas[[#This Row],[Precio_unitario]]*(1-TablaVentas[[#This Row],[Descuento_pct]]))</f>
        <v>4923.26</v>
      </c>
      <c r="P365" s="6" t="n">
        <f aca="false">IF(TablaVentas[[#This Row],[Costo_unitario]]="","PENDIENTE",TablaVentas[[#This Row],[Unidades]]*TablaVentas[[#This Row],[Costo_unitario]])</f>
        <v>2351.48</v>
      </c>
      <c r="Q365" s="6" t="n">
        <f aca="false">IF(OR(TablaVentas[[#This Row],[Ingreso_neto]]="PENDIENTE",TablaVentas[[#This Row],[Costo_total]]="PENDIENTE"),"PENDIENTE",TablaVentas[[#This Row],[Ingreso_neto]]-TablaVentas[[#This Row],[Costo_total]])</f>
        <v>2571.78</v>
      </c>
    </row>
    <row r="366" customFormat="false" ht="13.5" hidden="false" customHeight="false" outlineLevel="0" collapsed="false">
      <c r="A366" s="1" t="s">
        <v>437</v>
      </c>
      <c r="B366" s="1" t="n">
        <v>3</v>
      </c>
      <c r="C366" s="5" t="n">
        <v>46136</v>
      </c>
      <c r="D366" s="6" t="s">
        <v>157</v>
      </c>
      <c r="E366" s="6" t="s">
        <v>91</v>
      </c>
      <c r="F366" s="6" t="s">
        <v>84</v>
      </c>
      <c r="G366" s="6" t="s">
        <v>47</v>
      </c>
      <c r="H366" s="6" t="s">
        <v>58</v>
      </c>
      <c r="I366" s="1" t="n">
        <v>1</v>
      </c>
      <c r="J366" s="7" t="n">
        <v>15820.4</v>
      </c>
      <c r="K366" s="8" t="n">
        <v>0</v>
      </c>
      <c r="L366" s="7" t="n">
        <v>8576.05</v>
      </c>
      <c r="M366" s="6" t="s">
        <v>49</v>
      </c>
      <c r="N366" s="6" t="s">
        <v>59</v>
      </c>
      <c r="O366" s="6" t="n">
        <f aca="false">IF(TablaVentas[[#This Row],[Precio_unitario]]="","PENDIENTE",TablaVentas[[#This Row],[Unidades]]*TablaVentas[[#This Row],[Precio_unitario]]*(1-TablaVentas[[#This Row],[Descuento_pct]]))</f>
        <v>15820.4</v>
      </c>
      <c r="P366" s="6" t="n">
        <f aca="false">IF(TablaVentas[[#This Row],[Costo_unitario]]="","PENDIENTE",TablaVentas[[#This Row],[Unidades]]*TablaVentas[[#This Row],[Costo_unitario]])</f>
        <v>8576.05</v>
      </c>
      <c r="Q366" s="6" t="n">
        <f aca="false">IF(OR(TablaVentas[[#This Row],[Ingreso_neto]]="PENDIENTE",TablaVentas[[#This Row],[Costo_total]]="PENDIENTE"),"PENDIENTE",TablaVentas[[#This Row],[Ingreso_neto]]-TablaVentas[[#This Row],[Costo_total]])</f>
        <v>7244.35</v>
      </c>
    </row>
    <row r="367" customFormat="false" ht="13.5" hidden="false" customHeight="false" outlineLevel="0" collapsed="false">
      <c r="A367" s="1" t="s">
        <v>437</v>
      </c>
      <c r="B367" s="1" t="n">
        <v>4</v>
      </c>
      <c r="C367" s="5" t="n">
        <v>46136</v>
      </c>
      <c r="D367" s="6" t="s">
        <v>157</v>
      </c>
      <c r="E367" s="6" t="s">
        <v>328</v>
      </c>
      <c r="F367" s="6" t="s">
        <v>84</v>
      </c>
      <c r="G367" s="6" t="s">
        <v>47</v>
      </c>
      <c r="H367" s="6" t="s">
        <v>58</v>
      </c>
      <c r="I367" s="1" t="n">
        <v>1</v>
      </c>
      <c r="J367" s="7" t="n">
        <v>1365.17</v>
      </c>
      <c r="K367" s="8" t="n">
        <v>0</v>
      </c>
      <c r="L367" s="7" t="n">
        <v>679.37</v>
      </c>
      <c r="M367" s="6" t="s">
        <v>49</v>
      </c>
      <c r="N367" s="6" t="s">
        <v>67</v>
      </c>
      <c r="O367" s="6" t="n">
        <f aca="false">IF(TablaVentas[[#This Row],[Precio_unitario]]="","PENDIENTE",TablaVentas[[#This Row],[Unidades]]*TablaVentas[[#This Row],[Precio_unitario]]*(1-TablaVentas[[#This Row],[Descuento_pct]]))</f>
        <v>1365.17</v>
      </c>
      <c r="P367" s="6" t="n">
        <f aca="false">IF(TablaVentas[[#This Row],[Costo_unitario]]="","PENDIENTE",TablaVentas[[#This Row],[Unidades]]*TablaVentas[[#This Row],[Costo_unitario]])</f>
        <v>679.37</v>
      </c>
      <c r="Q367" s="6" t="n">
        <f aca="false">IF(OR(TablaVentas[[#This Row],[Ingreso_neto]]="PENDIENTE",TablaVentas[[#This Row],[Costo_total]]="PENDIENTE"),"PENDIENTE",TablaVentas[[#This Row],[Ingreso_neto]]-TablaVentas[[#This Row],[Costo_total]])</f>
        <v>685.8</v>
      </c>
    </row>
    <row r="368" customFormat="false" ht="13.5" hidden="false" customHeight="false" outlineLevel="0" collapsed="false">
      <c r="A368" s="1" t="s">
        <v>438</v>
      </c>
      <c r="B368" s="1" t="n">
        <v>1</v>
      </c>
      <c r="C368" s="5" t="n">
        <v>46193</v>
      </c>
      <c r="D368" s="6" t="s">
        <v>71</v>
      </c>
      <c r="E368" s="6" t="s">
        <v>255</v>
      </c>
      <c r="F368" s="6" t="s">
        <v>73</v>
      </c>
      <c r="G368" s="6" t="s">
        <v>57</v>
      </c>
      <c r="H368" s="6" t="s">
        <v>136</v>
      </c>
      <c r="I368" s="1" t="n">
        <v>1</v>
      </c>
      <c r="J368" s="7" t="n">
        <v>12531.28</v>
      </c>
      <c r="K368" s="8" t="n">
        <v>0.2</v>
      </c>
      <c r="L368" s="7" t="n">
        <v>6856.4</v>
      </c>
      <c r="M368" s="6" t="s">
        <v>49</v>
      </c>
      <c r="N368" s="6" t="s">
        <v>50</v>
      </c>
      <c r="O368" s="6" t="n">
        <f aca="false">IF(TablaVentas[[#This Row],[Precio_unitario]]="","PENDIENTE",TablaVentas[[#This Row],[Unidades]]*TablaVentas[[#This Row],[Precio_unitario]]*(1-TablaVentas[[#This Row],[Descuento_pct]]))</f>
        <v>10025.024</v>
      </c>
      <c r="P368" s="6" t="n">
        <f aca="false">IF(TablaVentas[[#This Row],[Costo_unitario]]="","PENDIENTE",TablaVentas[[#This Row],[Unidades]]*TablaVentas[[#This Row],[Costo_unitario]])</f>
        <v>6856.4</v>
      </c>
      <c r="Q368" s="6" t="n">
        <f aca="false">IF(OR(TablaVentas[[#This Row],[Ingreso_neto]]="PENDIENTE",TablaVentas[[#This Row],[Costo_total]]="PENDIENTE"),"PENDIENTE",TablaVentas[[#This Row],[Ingreso_neto]]-TablaVentas[[#This Row],[Costo_total]])</f>
        <v>3168.624</v>
      </c>
    </row>
    <row r="369" customFormat="false" ht="13.5" hidden="false" customHeight="false" outlineLevel="0" collapsed="false">
      <c r="A369" s="1" t="s">
        <v>439</v>
      </c>
      <c r="B369" s="1" t="n">
        <v>1</v>
      </c>
      <c r="C369" s="5" t="n">
        <v>46033</v>
      </c>
      <c r="D369" s="6" t="s">
        <v>186</v>
      </c>
      <c r="E369" s="6" t="s">
        <v>151</v>
      </c>
      <c r="F369" s="6" t="s">
        <v>46</v>
      </c>
      <c r="G369" s="6" t="s">
        <v>47</v>
      </c>
      <c r="H369" s="6" t="s">
        <v>89</v>
      </c>
      <c r="I369" s="1" t="n">
        <v>4</v>
      </c>
      <c r="J369" s="7" t="n">
        <v>8722.23</v>
      </c>
      <c r="K369" s="8" t="n">
        <v>0.15</v>
      </c>
      <c r="L369" s="7" t="n">
        <v>5125.36</v>
      </c>
      <c r="M369" s="6" t="s">
        <v>49</v>
      </c>
      <c r="N369" s="6" t="s">
        <v>52</v>
      </c>
      <c r="O369" s="6" t="n">
        <f aca="false">IF(TablaVentas[[#This Row],[Precio_unitario]]="","PENDIENTE",TablaVentas[[#This Row],[Unidades]]*TablaVentas[[#This Row],[Precio_unitario]]*(1-TablaVentas[[#This Row],[Descuento_pct]]))</f>
        <v>29655.582</v>
      </c>
      <c r="P369" s="6" t="n">
        <f aca="false">IF(TablaVentas[[#This Row],[Costo_unitario]]="","PENDIENTE",TablaVentas[[#This Row],[Unidades]]*TablaVentas[[#This Row],[Costo_unitario]])</f>
        <v>20501.44</v>
      </c>
      <c r="Q369" s="6" t="n">
        <f aca="false">IF(OR(TablaVentas[[#This Row],[Ingreso_neto]]="PENDIENTE",TablaVentas[[#This Row],[Costo_total]]="PENDIENTE"),"PENDIENTE",TablaVentas[[#This Row],[Ingreso_neto]]-TablaVentas[[#This Row],[Costo_total]])</f>
        <v>9154.142</v>
      </c>
    </row>
    <row r="370" customFormat="false" ht="13.5" hidden="false" customHeight="false" outlineLevel="0" collapsed="false">
      <c r="A370" s="1" t="s">
        <v>439</v>
      </c>
      <c r="B370" s="1" t="n">
        <v>2</v>
      </c>
      <c r="C370" s="5" t="n">
        <v>46033</v>
      </c>
      <c r="D370" s="6" t="s">
        <v>186</v>
      </c>
      <c r="E370" s="6" t="s">
        <v>77</v>
      </c>
      <c r="F370" s="6" t="s">
        <v>46</v>
      </c>
      <c r="G370" s="6" t="s">
        <v>47</v>
      </c>
      <c r="H370" s="6" t="s">
        <v>89</v>
      </c>
      <c r="I370" s="1" t="n">
        <v>2</v>
      </c>
      <c r="J370" s="7" t="n">
        <v>15476.91</v>
      </c>
      <c r="K370" s="8" t="n">
        <v>0</v>
      </c>
      <c r="L370" s="7" t="n">
        <v>10571.25</v>
      </c>
      <c r="M370" s="6" t="s">
        <v>49</v>
      </c>
      <c r="N370" s="6" t="s">
        <v>50</v>
      </c>
      <c r="O370" s="6" t="n">
        <f aca="false">IF(TablaVentas[[#This Row],[Precio_unitario]]="","PENDIENTE",TablaVentas[[#This Row],[Unidades]]*TablaVentas[[#This Row],[Precio_unitario]]*(1-TablaVentas[[#This Row],[Descuento_pct]]))</f>
        <v>30953.82</v>
      </c>
      <c r="P370" s="6" t="n">
        <f aca="false">IF(TablaVentas[[#This Row],[Costo_unitario]]="","PENDIENTE",TablaVentas[[#This Row],[Unidades]]*TablaVentas[[#This Row],[Costo_unitario]])</f>
        <v>21142.5</v>
      </c>
      <c r="Q370" s="6" t="n">
        <f aca="false">IF(OR(TablaVentas[[#This Row],[Ingreso_neto]]="PENDIENTE",TablaVentas[[#This Row],[Costo_total]]="PENDIENTE"),"PENDIENTE",TablaVentas[[#This Row],[Ingreso_neto]]-TablaVentas[[#This Row],[Costo_total]])</f>
        <v>9811.32</v>
      </c>
    </row>
    <row r="371" customFormat="false" ht="13.5" hidden="false" customHeight="false" outlineLevel="0" collapsed="false">
      <c r="A371" s="1" t="s">
        <v>440</v>
      </c>
      <c r="B371" s="1" t="n">
        <v>1</v>
      </c>
      <c r="C371" s="5" t="n">
        <v>46174</v>
      </c>
      <c r="D371" s="6" t="s">
        <v>194</v>
      </c>
      <c r="E371" s="6" t="s">
        <v>105</v>
      </c>
      <c r="F371" s="6" t="s">
        <v>84</v>
      </c>
      <c r="G371" s="6" t="s">
        <v>47</v>
      </c>
      <c r="H371" s="6" t="s">
        <v>58</v>
      </c>
      <c r="I371" s="1" t="n">
        <v>3</v>
      </c>
      <c r="J371" s="7" t="n">
        <v>17595.34</v>
      </c>
      <c r="K371" s="8" t="n">
        <v>0</v>
      </c>
      <c r="L371" s="7" t="n">
        <v>9881</v>
      </c>
      <c r="M371" s="6" t="s">
        <v>49</v>
      </c>
      <c r="N371" s="6" t="s">
        <v>50</v>
      </c>
      <c r="O371" s="6" t="n">
        <f aca="false">IF(TablaVentas[[#This Row],[Precio_unitario]]="","PENDIENTE",TablaVentas[[#This Row],[Unidades]]*TablaVentas[[#This Row],[Precio_unitario]]*(1-TablaVentas[[#This Row],[Descuento_pct]]))</f>
        <v>52786.02</v>
      </c>
      <c r="P371" s="6" t="n">
        <f aca="false">IF(TablaVentas[[#This Row],[Costo_unitario]]="","PENDIENTE",TablaVentas[[#This Row],[Unidades]]*TablaVentas[[#This Row],[Costo_unitario]])</f>
        <v>29643</v>
      </c>
      <c r="Q371" s="6" t="n">
        <f aca="false">IF(OR(TablaVentas[[#This Row],[Ingreso_neto]]="PENDIENTE",TablaVentas[[#This Row],[Costo_total]]="PENDIENTE"),"PENDIENTE",TablaVentas[[#This Row],[Ingreso_neto]]-TablaVentas[[#This Row],[Costo_total]])</f>
        <v>23143.02</v>
      </c>
    </row>
    <row r="372" customFormat="false" ht="13.5" hidden="false" customHeight="false" outlineLevel="0" collapsed="false">
      <c r="A372" s="1" t="s">
        <v>440</v>
      </c>
      <c r="B372" s="1" t="n">
        <v>2</v>
      </c>
      <c r="C372" s="5" t="n">
        <v>46174</v>
      </c>
      <c r="D372" s="6" t="s">
        <v>194</v>
      </c>
      <c r="E372" s="6" t="s">
        <v>328</v>
      </c>
      <c r="F372" s="6" t="s">
        <v>84</v>
      </c>
      <c r="G372" s="6" t="s">
        <v>47</v>
      </c>
      <c r="H372" s="6" t="s">
        <v>58</v>
      </c>
      <c r="I372" s="1" t="n">
        <v>5</v>
      </c>
      <c r="J372" s="7" t="n">
        <v>1209.45</v>
      </c>
      <c r="K372" s="8" t="n">
        <v>0.1</v>
      </c>
      <c r="L372" s="7" t="n">
        <v>679.37</v>
      </c>
      <c r="M372" s="6" t="s">
        <v>49</v>
      </c>
      <c r="N372" s="6" t="s">
        <v>52</v>
      </c>
      <c r="O372" s="6" t="n">
        <f aca="false">IF(TablaVentas[[#This Row],[Precio_unitario]]="","PENDIENTE",TablaVentas[[#This Row],[Unidades]]*TablaVentas[[#This Row],[Precio_unitario]]*(1-TablaVentas[[#This Row],[Descuento_pct]]))</f>
        <v>5442.525</v>
      </c>
      <c r="P372" s="6" t="n">
        <f aca="false">IF(TablaVentas[[#This Row],[Costo_unitario]]="","PENDIENTE",TablaVentas[[#This Row],[Unidades]]*TablaVentas[[#This Row],[Costo_unitario]])</f>
        <v>3396.85</v>
      </c>
      <c r="Q372" s="6" t="n">
        <f aca="false">IF(OR(TablaVentas[[#This Row],[Ingreso_neto]]="PENDIENTE",TablaVentas[[#This Row],[Costo_total]]="PENDIENTE"),"PENDIENTE",TablaVentas[[#This Row],[Ingreso_neto]]-TablaVentas[[#This Row],[Costo_total]])</f>
        <v>2045.675</v>
      </c>
    </row>
    <row r="373" customFormat="false" ht="13.5" hidden="false" customHeight="false" outlineLevel="0" collapsed="false">
      <c r="A373" s="1" t="s">
        <v>440</v>
      </c>
      <c r="B373" s="1" t="n">
        <v>3</v>
      </c>
      <c r="C373" s="5" t="n">
        <v>46174</v>
      </c>
      <c r="D373" s="6" t="s">
        <v>194</v>
      </c>
      <c r="E373" s="6" t="s">
        <v>240</v>
      </c>
      <c r="F373" s="6" t="s">
        <v>84</v>
      </c>
      <c r="G373" s="6" t="s">
        <v>47</v>
      </c>
      <c r="H373" s="6" t="s">
        <v>58</v>
      </c>
      <c r="I373" s="1" t="n">
        <v>3</v>
      </c>
      <c r="J373" s="7" t="n">
        <v>9518.61</v>
      </c>
      <c r="K373" s="8" t="n">
        <v>0.05</v>
      </c>
      <c r="L373" s="7" t="n">
        <v>5932.12</v>
      </c>
      <c r="M373" s="6" t="s">
        <v>49</v>
      </c>
      <c r="N373" s="6" t="s">
        <v>59</v>
      </c>
      <c r="O373" s="6" t="n">
        <f aca="false">IF(TablaVentas[[#This Row],[Precio_unitario]]="","PENDIENTE",TablaVentas[[#This Row],[Unidades]]*TablaVentas[[#This Row],[Precio_unitario]]*(1-TablaVentas[[#This Row],[Descuento_pct]]))</f>
        <v>27128.0385</v>
      </c>
      <c r="P373" s="6" t="n">
        <f aca="false">IF(TablaVentas[[#This Row],[Costo_unitario]]="","PENDIENTE",TablaVentas[[#This Row],[Unidades]]*TablaVentas[[#This Row],[Costo_unitario]])</f>
        <v>17796.36</v>
      </c>
      <c r="Q373" s="6" t="n">
        <f aca="false">IF(OR(TablaVentas[[#This Row],[Ingreso_neto]]="PENDIENTE",TablaVentas[[#This Row],[Costo_total]]="PENDIENTE"),"PENDIENTE",TablaVentas[[#This Row],[Ingreso_neto]]-TablaVentas[[#This Row],[Costo_total]])</f>
        <v>9331.6785</v>
      </c>
    </row>
    <row r="374" customFormat="false" ht="13.5" hidden="false" customHeight="false" outlineLevel="0" collapsed="false">
      <c r="A374" s="1" t="s">
        <v>441</v>
      </c>
      <c r="B374" s="1" t="n">
        <v>1</v>
      </c>
      <c r="C374" s="5" t="n">
        <v>46055</v>
      </c>
      <c r="D374" s="6" t="s">
        <v>442</v>
      </c>
      <c r="E374" s="6" t="s">
        <v>225</v>
      </c>
      <c r="F374" s="6" t="s">
        <v>46</v>
      </c>
      <c r="G374" s="6" t="s">
        <v>64</v>
      </c>
      <c r="H374" s="6" t="s">
        <v>80</v>
      </c>
      <c r="I374" s="1" t="n">
        <v>1</v>
      </c>
      <c r="J374" s="7" t="n">
        <v>4448.37</v>
      </c>
      <c r="K374" s="8" t="n">
        <v>0</v>
      </c>
      <c r="L374" s="7" t="n">
        <v>2833.97</v>
      </c>
      <c r="M374" s="6" t="s">
        <v>49</v>
      </c>
      <c r="N374" s="6" t="s">
        <v>50</v>
      </c>
      <c r="O374" s="6" t="n">
        <f aca="false">IF(TablaVentas[[#This Row],[Precio_unitario]]="","PENDIENTE",TablaVentas[[#This Row],[Unidades]]*TablaVentas[[#This Row],[Precio_unitario]]*(1-TablaVentas[[#This Row],[Descuento_pct]]))</f>
        <v>4448.37</v>
      </c>
      <c r="P374" s="6" t="n">
        <f aca="false">IF(TablaVentas[[#This Row],[Costo_unitario]]="","PENDIENTE",TablaVentas[[#This Row],[Unidades]]*TablaVentas[[#This Row],[Costo_unitario]])</f>
        <v>2833.97</v>
      </c>
      <c r="Q374" s="6" t="n">
        <f aca="false">IF(OR(TablaVentas[[#This Row],[Ingreso_neto]]="PENDIENTE",TablaVentas[[#This Row],[Costo_total]]="PENDIENTE"),"PENDIENTE",TablaVentas[[#This Row],[Ingreso_neto]]-TablaVentas[[#This Row],[Costo_total]])</f>
        <v>1614.4</v>
      </c>
    </row>
    <row r="375" customFormat="false" ht="13.5" hidden="false" customHeight="false" outlineLevel="0" collapsed="false">
      <c r="A375" s="1" t="s">
        <v>441</v>
      </c>
      <c r="B375" s="1" t="n">
        <v>2</v>
      </c>
      <c r="C375" s="5" t="n">
        <v>46055</v>
      </c>
      <c r="D375" s="6" t="s">
        <v>442</v>
      </c>
      <c r="E375" s="6" t="s">
        <v>140</v>
      </c>
      <c r="F375" s="6" t="s">
        <v>46</v>
      </c>
      <c r="G375" s="6" t="s">
        <v>64</v>
      </c>
      <c r="H375" s="6" t="s">
        <v>80</v>
      </c>
      <c r="I375" s="1" t="n">
        <v>2</v>
      </c>
      <c r="J375" s="7" t="n">
        <v>8473.8</v>
      </c>
      <c r="K375" s="8" t="n">
        <v>0.15</v>
      </c>
      <c r="L375" s="7" t="n">
        <v>4061.34</v>
      </c>
      <c r="M375" s="6" t="s">
        <v>49</v>
      </c>
      <c r="N375" s="6" t="s">
        <v>59</v>
      </c>
      <c r="O375" s="6" t="n">
        <f aca="false">IF(TablaVentas[[#This Row],[Precio_unitario]]="","PENDIENTE",TablaVentas[[#This Row],[Unidades]]*TablaVentas[[#This Row],[Precio_unitario]]*(1-TablaVentas[[#This Row],[Descuento_pct]]))</f>
        <v>14405.46</v>
      </c>
      <c r="P375" s="6" t="n">
        <f aca="false">IF(TablaVentas[[#This Row],[Costo_unitario]]="","PENDIENTE",TablaVentas[[#This Row],[Unidades]]*TablaVentas[[#This Row],[Costo_unitario]])</f>
        <v>8122.68</v>
      </c>
      <c r="Q375" s="6" t="n">
        <f aca="false">IF(OR(TablaVentas[[#This Row],[Ingreso_neto]]="PENDIENTE",TablaVentas[[#This Row],[Costo_total]]="PENDIENTE"),"PENDIENTE",TablaVentas[[#This Row],[Ingreso_neto]]-TablaVentas[[#This Row],[Costo_total]])</f>
        <v>6282.78</v>
      </c>
    </row>
    <row r="376" customFormat="false" ht="13.5" hidden="false" customHeight="false" outlineLevel="0" collapsed="false">
      <c r="A376" s="1" t="s">
        <v>441</v>
      </c>
      <c r="B376" s="1" t="n">
        <v>3</v>
      </c>
      <c r="C376" s="5" t="n">
        <v>46055</v>
      </c>
      <c r="D376" s="6" t="s">
        <v>442</v>
      </c>
      <c r="E376" s="6" t="s">
        <v>280</v>
      </c>
      <c r="F376" s="6" t="s">
        <v>46</v>
      </c>
      <c r="G376" s="6" t="s">
        <v>64</v>
      </c>
      <c r="H376" s="6" t="s">
        <v>80</v>
      </c>
      <c r="I376" s="1" t="n">
        <v>2</v>
      </c>
      <c r="J376" s="7" t="n">
        <v>1532.61</v>
      </c>
      <c r="K376" s="8" t="n">
        <v>0</v>
      </c>
      <c r="L376" s="7" t="n">
        <v>716.26</v>
      </c>
      <c r="M376" s="6" t="s">
        <v>49</v>
      </c>
      <c r="N376" s="6" t="s">
        <v>50</v>
      </c>
      <c r="O376" s="6" t="n">
        <f aca="false">IF(TablaVentas[[#This Row],[Precio_unitario]]="","PENDIENTE",TablaVentas[[#This Row],[Unidades]]*TablaVentas[[#This Row],[Precio_unitario]]*(1-TablaVentas[[#This Row],[Descuento_pct]]))</f>
        <v>3065.22</v>
      </c>
      <c r="P376" s="6" t="n">
        <f aca="false">IF(TablaVentas[[#This Row],[Costo_unitario]]="","PENDIENTE",TablaVentas[[#This Row],[Unidades]]*TablaVentas[[#This Row],[Costo_unitario]])</f>
        <v>1432.52</v>
      </c>
      <c r="Q376" s="6" t="n">
        <f aca="false">IF(OR(TablaVentas[[#This Row],[Ingreso_neto]]="PENDIENTE",TablaVentas[[#This Row],[Costo_total]]="PENDIENTE"),"PENDIENTE",TablaVentas[[#This Row],[Ingreso_neto]]-TablaVentas[[#This Row],[Costo_total]])</f>
        <v>1632.7</v>
      </c>
    </row>
    <row r="377" customFormat="false" ht="13.5" hidden="false" customHeight="false" outlineLevel="0" collapsed="false">
      <c r="A377" s="1" t="s">
        <v>443</v>
      </c>
      <c r="B377" s="1" t="n">
        <v>1</v>
      </c>
      <c r="C377" s="5" t="n">
        <v>46092</v>
      </c>
      <c r="D377" s="6" t="s">
        <v>436</v>
      </c>
      <c r="E377" s="6" t="s">
        <v>76</v>
      </c>
      <c r="F377" s="6" t="s">
        <v>73</v>
      </c>
      <c r="G377" s="6" t="s">
        <v>64</v>
      </c>
      <c r="H377" s="6" t="s">
        <v>136</v>
      </c>
      <c r="I377" s="1" t="n">
        <v>1</v>
      </c>
      <c r="J377" s="7" t="n">
        <v>13638.02</v>
      </c>
      <c r="K377" s="8" t="n">
        <v>0.05</v>
      </c>
      <c r="L377" s="7" t="n">
        <v>10094.26</v>
      </c>
      <c r="M377" s="6" t="s">
        <v>49</v>
      </c>
      <c r="N377" s="6" t="s">
        <v>59</v>
      </c>
      <c r="O377" s="6" t="n">
        <f aca="false">IF(TablaVentas[[#This Row],[Precio_unitario]]="","PENDIENTE",TablaVentas[[#This Row],[Unidades]]*TablaVentas[[#This Row],[Precio_unitario]]*(1-TablaVentas[[#This Row],[Descuento_pct]]))</f>
        <v>12956.119</v>
      </c>
      <c r="P377" s="6" t="n">
        <f aca="false">IF(TablaVentas[[#This Row],[Costo_unitario]]="","PENDIENTE",TablaVentas[[#This Row],[Unidades]]*TablaVentas[[#This Row],[Costo_unitario]])</f>
        <v>10094.26</v>
      </c>
      <c r="Q377" s="6" t="n">
        <f aca="false">IF(OR(TablaVentas[[#This Row],[Ingreso_neto]]="PENDIENTE",TablaVentas[[#This Row],[Costo_total]]="PENDIENTE"),"PENDIENTE",TablaVentas[[#This Row],[Ingreso_neto]]-TablaVentas[[#This Row],[Costo_total]])</f>
        <v>2861.859</v>
      </c>
    </row>
    <row r="378" customFormat="false" ht="13.5" hidden="false" customHeight="false" outlineLevel="0" collapsed="false">
      <c r="A378" s="1" t="s">
        <v>443</v>
      </c>
      <c r="B378" s="1" t="n">
        <v>2</v>
      </c>
      <c r="C378" s="5" t="n">
        <v>46092</v>
      </c>
      <c r="D378" s="6" t="s">
        <v>436</v>
      </c>
      <c r="E378" s="6" t="s">
        <v>200</v>
      </c>
      <c r="F378" s="6" t="s">
        <v>73</v>
      </c>
      <c r="G378" s="6" t="s">
        <v>64</v>
      </c>
      <c r="H378" s="6" t="s">
        <v>136</v>
      </c>
      <c r="I378" s="1" t="n">
        <v>5</v>
      </c>
      <c r="J378" s="7" t="n">
        <v>11865.24</v>
      </c>
      <c r="K378" s="8" t="n">
        <v>0.2</v>
      </c>
      <c r="L378" s="7" t="n">
        <v>5811.72</v>
      </c>
      <c r="M378" s="6" t="s">
        <v>49</v>
      </c>
      <c r="N378" s="6" t="s">
        <v>52</v>
      </c>
      <c r="O378" s="6" t="n">
        <f aca="false">IF(TablaVentas[[#This Row],[Precio_unitario]]="","PENDIENTE",TablaVentas[[#This Row],[Unidades]]*TablaVentas[[#This Row],[Precio_unitario]]*(1-TablaVentas[[#This Row],[Descuento_pct]]))</f>
        <v>47460.96</v>
      </c>
      <c r="P378" s="6" t="n">
        <f aca="false">IF(TablaVentas[[#This Row],[Costo_unitario]]="","PENDIENTE",TablaVentas[[#This Row],[Unidades]]*TablaVentas[[#This Row],[Costo_unitario]])</f>
        <v>29058.6</v>
      </c>
      <c r="Q378" s="6" t="n">
        <f aca="false">IF(OR(TablaVentas[[#This Row],[Ingreso_neto]]="PENDIENTE",TablaVentas[[#This Row],[Costo_total]]="PENDIENTE"),"PENDIENTE",TablaVentas[[#This Row],[Ingreso_neto]]-TablaVentas[[#This Row],[Costo_total]])</f>
        <v>18402.36</v>
      </c>
    </row>
    <row r="379" customFormat="false" ht="13.5" hidden="false" customHeight="false" outlineLevel="0" collapsed="false">
      <c r="A379" s="1" t="s">
        <v>443</v>
      </c>
      <c r="B379" s="1" t="n">
        <v>3</v>
      </c>
      <c r="C379" s="5" t="n">
        <v>46092</v>
      </c>
      <c r="D379" s="6" t="s">
        <v>436</v>
      </c>
      <c r="E379" s="6" t="s">
        <v>170</v>
      </c>
      <c r="F379" s="6" t="s">
        <v>73</v>
      </c>
      <c r="G379" s="6" t="s">
        <v>64</v>
      </c>
      <c r="H379" s="6" t="s">
        <v>136</v>
      </c>
      <c r="I379" s="1" t="n">
        <v>1</v>
      </c>
      <c r="J379" s="7" t="n">
        <v>15280.42</v>
      </c>
      <c r="K379" s="8" t="n">
        <v>0.2</v>
      </c>
      <c r="L379" s="7" t="n">
        <v>12141.44</v>
      </c>
      <c r="M379" s="6" t="s">
        <v>49</v>
      </c>
      <c r="N379" s="6" t="s">
        <v>67</v>
      </c>
      <c r="O379" s="6" t="n">
        <f aca="false">IF(TablaVentas[[#This Row],[Precio_unitario]]="","PENDIENTE",TablaVentas[[#This Row],[Unidades]]*TablaVentas[[#This Row],[Precio_unitario]]*(1-TablaVentas[[#This Row],[Descuento_pct]]))</f>
        <v>12224.336</v>
      </c>
      <c r="P379" s="6" t="n">
        <f aca="false">IF(TablaVentas[[#This Row],[Costo_unitario]]="","PENDIENTE",TablaVentas[[#This Row],[Unidades]]*TablaVentas[[#This Row],[Costo_unitario]])</f>
        <v>12141.44</v>
      </c>
      <c r="Q379" s="6" t="n">
        <f aca="false">IF(OR(TablaVentas[[#This Row],[Ingreso_neto]]="PENDIENTE",TablaVentas[[#This Row],[Costo_total]]="PENDIENTE"),"PENDIENTE",TablaVentas[[#This Row],[Ingreso_neto]]-TablaVentas[[#This Row],[Costo_total]])</f>
        <v>82.8960000000006</v>
      </c>
    </row>
    <row r="380" customFormat="false" ht="13.5" hidden="false" customHeight="false" outlineLevel="0" collapsed="false">
      <c r="A380" s="1" t="s">
        <v>444</v>
      </c>
      <c r="B380" s="1" t="n">
        <v>1</v>
      </c>
      <c r="C380" s="5" t="n">
        <v>46138</v>
      </c>
      <c r="D380" s="6" t="s">
        <v>445</v>
      </c>
      <c r="E380" s="6" t="s">
        <v>300</v>
      </c>
      <c r="F380" s="6" t="s">
        <v>73</v>
      </c>
      <c r="G380" s="6" t="s">
        <v>57</v>
      </c>
      <c r="H380" s="6" t="s">
        <v>74</v>
      </c>
      <c r="I380" s="1" t="n">
        <v>2</v>
      </c>
      <c r="J380" s="7" t="n">
        <v>1156.4</v>
      </c>
      <c r="K380" s="8" t="n">
        <v>0</v>
      </c>
      <c r="L380" s="7" t="n">
        <v>936.52</v>
      </c>
      <c r="M380" s="6" t="s">
        <v>49</v>
      </c>
      <c r="N380" s="6" t="s">
        <v>67</v>
      </c>
      <c r="O380" s="6" t="n">
        <f aca="false">IF(TablaVentas[[#This Row],[Precio_unitario]]="","PENDIENTE",TablaVentas[[#This Row],[Unidades]]*TablaVentas[[#This Row],[Precio_unitario]]*(1-TablaVentas[[#This Row],[Descuento_pct]]))</f>
        <v>2312.8</v>
      </c>
      <c r="P380" s="6" t="n">
        <f aca="false">IF(TablaVentas[[#This Row],[Costo_unitario]]="","PENDIENTE",TablaVentas[[#This Row],[Unidades]]*TablaVentas[[#This Row],[Costo_unitario]])</f>
        <v>1873.04</v>
      </c>
      <c r="Q380" s="6" t="n">
        <f aca="false">IF(OR(TablaVentas[[#This Row],[Ingreso_neto]]="PENDIENTE",TablaVentas[[#This Row],[Costo_total]]="PENDIENTE"),"PENDIENTE",TablaVentas[[#This Row],[Ingreso_neto]]-TablaVentas[[#This Row],[Costo_total]])</f>
        <v>439.76</v>
      </c>
    </row>
    <row r="381" customFormat="false" ht="13.5" hidden="false" customHeight="false" outlineLevel="0" collapsed="false">
      <c r="A381" s="1" t="s">
        <v>444</v>
      </c>
      <c r="B381" s="1" t="n">
        <v>2</v>
      </c>
      <c r="C381" s="5" t="n">
        <v>46138</v>
      </c>
      <c r="D381" s="6" t="s">
        <v>445</v>
      </c>
      <c r="E381" s="6" t="s">
        <v>342</v>
      </c>
      <c r="F381" s="6" t="s">
        <v>73</v>
      </c>
      <c r="G381" s="6" t="s">
        <v>57</v>
      </c>
      <c r="H381" s="6" t="s">
        <v>74</v>
      </c>
      <c r="I381" s="1" t="n">
        <v>3</v>
      </c>
      <c r="J381" s="7" t="n">
        <v>7480.7</v>
      </c>
      <c r="K381" s="8" t="n">
        <v>0</v>
      </c>
      <c r="L381" s="7" t="n">
        <v>5587.31</v>
      </c>
      <c r="M381" s="6" t="s">
        <v>49</v>
      </c>
      <c r="N381" s="6" t="s">
        <v>67</v>
      </c>
      <c r="O381" s="6" t="n">
        <f aca="false">IF(TablaVentas[[#This Row],[Precio_unitario]]="","PENDIENTE",TablaVentas[[#This Row],[Unidades]]*TablaVentas[[#This Row],[Precio_unitario]]*(1-TablaVentas[[#This Row],[Descuento_pct]]))</f>
        <v>22442.1</v>
      </c>
      <c r="P381" s="6" t="n">
        <f aca="false">IF(TablaVentas[[#This Row],[Costo_unitario]]="","PENDIENTE",TablaVentas[[#This Row],[Unidades]]*TablaVentas[[#This Row],[Costo_unitario]])</f>
        <v>16761.93</v>
      </c>
      <c r="Q381" s="6" t="n">
        <f aca="false">IF(OR(TablaVentas[[#This Row],[Ingreso_neto]]="PENDIENTE",TablaVentas[[#This Row],[Costo_total]]="PENDIENTE"),"PENDIENTE",TablaVentas[[#This Row],[Ingreso_neto]]-TablaVentas[[#This Row],[Costo_total]])</f>
        <v>5680.17</v>
      </c>
    </row>
    <row r="382" customFormat="false" ht="13.5" hidden="false" customHeight="false" outlineLevel="0" collapsed="false">
      <c r="A382" s="1" t="s">
        <v>444</v>
      </c>
      <c r="B382" s="1" t="n">
        <v>3</v>
      </c>
      <c r="C382" s="5" t="n">
        <v>46138</v>
      </c>
      <c r="D382" s="6" t="s">
        <v>445</v>
      </c>
      <c r="E382" s="6" t="s">
        <v>83</v>
      </c>
      <c r="F382" s="6" t="s">
        <v>73</v>
      </c>
      <c r="G382" s="6" t="s">
        <v>57</v>
      </c>
      <c r="H382" s="6" t="s">
        <v>74</v>
      </c>
      <c r="I382" s="1" t="n">
        <v>1</v>
      </c>
      <c r="J382" s="7" t="n">
        <v>13770.06</v>
      </c>
      <c r="K382" s="8" t="n">
        <v>0</v>
      </c>
      <c r="L382" s="7" t="n">
        <v>7748.44</v>
      </c>
      <c r="M382" s="6" t="s">
        <v>49</v>
      </c>
      <c r="N382" s="6" t="s">
        <v>52</v>
      </c>
      <c r="O382" s="6" t="n">
        <f aca="false">IF(TablaVentas[[#This Row],[Precio_unitario]]="","PENDIENTE",TablaVentas[[#This Row],[Unidades]]*TablaVentas[[#This Row],[Precio_unitario]]*(1-TablaVentas[[#This Row],[Descuento_pct]]))</f>
        <v>13770.06</v>
      </c>
      <c r="P382" s="6" t="n">
        <f aca="false">IF(TablaVentas[[#This Row],[Costo_unitario]]="","PENDIENTE",TablaVentas[[#This Row],[Unidades]]*TablaVentas[[#This Row],[Costo_unitario]])</f>
        <v>7748.44</v>
      </c>
      <c r="Q382" s="6" t="n">
        <f aca="false">IF(OR(TablaVentas[[#This Row],[Ingreso_neto]]="PENDIENTE",TablaVentas[[#This Row],[Costo_total]]="PENDIENTE"),"PENDIENTE",TablaVentas[[#This Row],[Ingreso_neto]]-TablaVentas[[#This Row],[Costo_total]])</f>
        <v>6021.62</v>
      </c>
    </row>
    <row r="383" customFormat="false" ht="13.5" hidden="false" customHeight="false" outlineLevel="0" collapsed="false">
      <c r="A383" s="1" t="s">
        <v>446</v>
      </c>
      <c r="B383" s="1" t="n">
        <v>1</v>
      </c>
      <c r="C383" s="5" t="n">
        <v>46078</v>
      </c>
      <c r="D383" s="6" t="s">
        <v>344</v>
      </c>
      <c r="E383" s="6" t="s">
        <v>333</v>
      </c>
      <c r="F383" s="6" t="s">
        <v>46</v>
      </c>
      <c r="G383" s="6" t="s">
        <v>64</v>
      </c>
      <c r="H383" s="6" t="s">
        <v>109</v>
      </c>
      <c r="I383" s="1" t="n">
        <v>2</v>
      </c>
      <c r="J383" s="7" t="n">
        <v>6973.78</v>
      </c>
      <c r="K383" s="8" t="n">
        <v>0.2</v>
      </c>
      <c r="L383" s="7" t="n">
        <v>4044.16</v>
      </c>
      <c r="M383" s="6" t="s">
        <v>49</v>
      </c>
      <c r="N383" s="6" t="s">
        <v>59</v>
      </c>
      <c r="O383" s="6" t="n">
        <f aca="false">IF(TablaVentas[[#This Row],[Precio_unitario]]="","PENDIENTE",TablaVentas[[#This Row],[Unidades]]*TablaVentas[[#This Row],[Precio_unitario]]*(1-TablaVentas[[#This Row],[Descuento_pct]]))</f>
        <v>11158.048</v>
      </c>
      <c r="P383" s="6" t="n">
        <f aca="false">IF(TablaVentas[[#This Row],[Costo_unitario]]="","PENDIENTE",TablaVentas[[#This Row],[Unidades]]*TablaVentas[[#This Row],[Costo_unitario]])</f>
        <v>8088.32</v>
      </c>
      <c r="Q383" s="6" t="n">
        <f aca="false">IF(OR(TablaVentas[[#This Row],[Ingreso_neto]]="PENDIENTE",TablaVentas[[#This Row],[Costo_total]]="PENDIENTE"),"PENDIENTE",TablaVentas[[#This Row],[Ingreso_neto]]-TablaVentas[[#This Row],[Costo_total]])</f>
        <v>3069.728</v>
      </c>
    </row>
    <row r="384" customFormat="false" ht="13.5" hidden="false" customHeight="false" outlineLevel="0" collapsed="false">
      <c r="A384" s="1" t="s">
        <v>446</v>
      </c>
      <c r="B384" s="1" t="n">
        <v>2</v>
      </c>
      <c r="C384" s="5" t="n">
        <v>46078</v>
      </c>
      <c r="D384" s="6" t="s">
        <v>344</v>
      </c>
      <c r="E384" s="6" t="s">
        <v>210</v>
      </c>
      <c r="F384" s="6" t="s">
        <v>46</v>
      </c>
      <c r="G384" s="6" t="s">
        <v>64</v>
      </c>
      <c r="H384" s="6" t="s">
        <v>109</v>
      </c>
      <c r="I384" s="1" t="n">
        <v>2</v>
      </c>
      <c r="J384" s="7" t="n">
        <v>2061.1</v>
      </c>
      <c r="K384" s="8" t="n">
        <v>0</v>
      </c>
      <c r="L384" s="7" t="n">
        <v>1252.84</v>
      </c>
      <c r="M384" s="6" t="s">
        <v>123</v>
      </c>
      <c r="N384" s="6" t="s">
        <v>52</v>
      </c>
      <c r="O384" s="6" t="n">
        <f aca="false">IF(TablaVentas[[#This Row],[Precio_unitario]]="","PENDIENTE",TablaVentas[[#This Row],[Unidades]]*TablaVentas[[#This Row],[Precio_unitario]]*(1-TablaVentas[[#This Row],[Descuento_pct]]))</f>
        <v>4122.2</v>
      </c>
      <c r="P384" s="6" t="n">
        <f aca="false">IF(TablaVentas[[#This Row],[Costo_unitario]]="","PENDIENTE",TablaVentas[[#This Row],[Unidades]]*TablaVentas[[#This Row],[Costo_unitario]])</f>
        <v>2505.68</v>
      </c>
      <c r="Q384" s="6" t="n">
        <f aca="false">IF(OR(TablaVentas[[#This Row],[Ingreso_neto]]="PENDIENTE",TablaVentas[[#This Row],[Costo_total]]="PENDIENTE"),"PENDIENTE",TablaVentas[[#This Row],[Ingreso_neto]]-TablaVentas[[#This Row],[Costo_total]])</f>
        <v>1616.52</v>
      </c>
    </row>
    <row r="385" customFormat="false" ht="13.5" hidden="false" customHeight="false" outlineLevel="0" collapsed="false">
      <c r="A385" s="1" t="s">
        <v>447</v>
      </c>
      <c r="B385" s="1" t="n">
        <v>1</v>
      </c>
      <c r="C385" s="5" t="n">
        <v>46148</v>
      </c>
      <c r="D385" s="6" t="s">
        <v>448</v>
      </c>
      <c r="E385" s="6" t="s">
        <v>141</v>
      </c>
      <c r="F385" s="6" t="s">
        <v>46</v>
      </c>
      <c r="G385" s="6" t="s">
        <v>57</v>
      </c>
      <c r="H385" s="6" t="s">
        <v>65</v>
      </c>
      <c r="I385" s="1" t="n">
        <v>3</v>
      </c>
      <c r="J385" s="7" t="n">
        <v>248.4</v>
      </c>
      <c r="K385" s="8" t="n">
        <v>0</v>
      </c>
      <c r="L385" s="7" t="n">
        <v>176.47</v>
      </c>
      <c r="M385" s="6" t="s">
        <v>49</v>
      </c>
      <c r="N385" s="6" t="s">
        <v>52</v>
      </c>
      <c r="O385" s="6" t="n">
        <f aca="false">IF(TablaVentas[[#This Row],[Precio_unitario]]="","PENDIENTE",TablaVentas[[#This Row],[Unidades]]*TablaVentas[[#This Row],[Precio_unitario]]*(1-TablaVentas[[#This Row],[Descuento_pct]]))</f>
        <v>745.2</v>
      </c>
      <c r="P385" s="6" t="n">
        <f aca="false">IF(TablaVentas[[#This Row],[Costo_unitario]]="","PENDIENTE",TablaVentas[[#This Row],[Unidades]]*TablaVentas[[#This Row],[Costo_unitario]])</f>
        <v>529.41</v>
      </c>
      <c r="Q385" s="6" t="n">
        <f aca="false">IF(OR(TablaVentas[[#This Row],[Ingreso_neto]]="PENDIENTE",TablaVentas[[#This Row],[Costo_total]]="PENDIENTE"),"PENDIENTE",TablaVentas[[#This Row],[Ingreso_neto]]-TablaVentas[[#This Row],[Costo_total]])</f>
        <v>215.79</v>
      </c>
    </row>
    <row r="386" customFormat="false" ht="13.5" hidden="false" customHeight="false" outlineLevel="0" collapsed="false">
      <c r="A386" s="1" t="s">
        <v>447</v>
      </c>
      <c r="B386" s="1" t="n">
        <v>2</v>
      </c>
      <c r="C386" s="5" t="n">
        <v>46148</v>
      </c>
      <c r="D386" s="6" t="s">
        <v>448</v>
      </c>
      <c r="E386" s="6" t="s">
        <v>104</v>
      </c>
      <c r="F386" s="6" t="s">
        <v>46</v>
      </c>
      <c r="G386" s="6" t="s">
        <v>57</v>
      </c>
      <c r="H386" s="6" t="s">
        <v>65</v>
      </c>
      <c r="I386" s="1" t="n">
        <v>12</v>
      </c>
      <c r="J386" s="7" t="n">
        <v>14856.04</v>
      </c>
      <c r="K386" s="8" t="n">
        <v>0.2</v>
      </c>
      <c r="L386" s="7" t="n">
        <v>11424.77</v>
      </c>
      <c r="M386" s="6" t="s">
        <v>123</v>
      </c>
      <c r="N386" s="6" t="s">
        <v>52</v>
      </c>
      <c r="O386" s="6" t="n">
        <f aca="false">IF(TablaVentas[[#This Row],[Precio_unitario]]="","PENDIENTE",TablaVentas[[#This Row],[Unidades]]*TablaVentas[[#This Row],[Precio_unitario]]*(1-TablaVentas[[#This Row],[Descuento_pct]]))</f>
        <v>142617.984</v>
      </c>
      <c r="P386" s="6" t="n">
        <f aca="false">IF(TablaVentas[[#This Row],[Costo_unitario]]="","PENDIENTE",TablaVentas[[#This Row],[Unidades]]*TablaVentas[[#This Row],[Costo_unitario]])</f>
        <v>137097.24</v>
      </c>
      <c r="Q386" s="6" t="n">
        <f aca="false">IF(OR(TablaVentas[[#This Row],[Ingreso_neto]]="PENDIENTE",TablaVentas[[#This Row],[Costo_total]]="PENDIENTE"),"PENDIENTE",TablaVentas[[#This Row],[Ingreso_neto]]-TablaVentas[[#This Row],[Costo_total]])</f>
        <v>5520.74400000004</v>
      </c>
    </row>
    <row r="387" customFormat="false" ht="13.5" hidden="false" customHeight="false" outlineLevel="0" collapsed="false">
      <c r="A387" s="1" t="s">
        <v>447</v>
      </c>
      <c r="B387" s="1" t="n">
        <v>3</v>
      </c>
      <c r="C387" s="5" t="n">
        <v>46148</v>
      </c>
      <c r="D387" s="6" t="s">
        <v>448</v>
      </c>
      <c r="E387" s="6" t="s">
        <v>280</v>
      </c>
      <c r="F387" s="6" t="s">
        <v>46</v>
      </c>
      <c r="G387" s="6" t="s">
        <v>57</v>
      </c>
      <c r="H387" s="6" t="s">
        <v>65</v>
      </c>
      <c r="I387" s="1" t="n">
        <v>1</v>
      </c>
      <c r="J387" s="7" t="n">
        <v>1505.31</v>
      </c>
      <c r="K387" s="8" t="n">
        <v>0</v>
      </c>
      <c r="L387" s="7" t="n">
        <v>716.26</v>
      </c>
      <c r="M387" s="6" t="s">
        <v>49</v>
      </c>
      <c r="N387" s="6" t="s">
        <v>52</v>
      </c>
      <c r="O387" s="6" t="n">
        <f aca="false">IF(TablaVentas[[#This Row],[Precio_unitario]]="","PENDIENTE",TablaVentas[[#This Row],[Unidades]]*TablaVentas[[#This Row],[Precio_unitario]]*(1-TablaVentas[[#This Row],[Descuento_pct]]))</f>
        <v>1505.31</v>
      </c>
      <c r="P387" s="6" t="n">
        <f aca="false">IF(TablaVentas[[#This Row],[Costo_unitario]]="","PENDIENTE",TablaVentas[[#This Row],[Unidades]]*TablaVentas[[#This Row],[Costo_unitario]])</f>
        <v>716.26</v>
      </c>
      <c r="Q387" s="6" t="n">
        <f aca="false">IF(OR(TablaVentas[[#This Row],[Ingreso_neto]]="PENDIENTE",TablaVentas[[#This Row],[Costo_total]]="PENDIENTE"),"PENDIENTE",TablaVentas[[#This Row],[Ingreso_neto]]-TablaVentas[[#This Row],[Costo_total]])</f>
        <v>789.05</v>
      </c>
    </row>
    <row r="388" customFormat="false" ht="13.5" hidden="false" customHeight="false" outlineLevel="0" collapsed="false">
      <c r="A388" s="1" t="s">
        <v>449</v>
      </c>
      <c r="B388" s="1" t="n">
        <v>1</v>
      </c>
      <c r="C388" s="5" t="n">
        <v>46081</v>
      </c>
      <c r="D388" s="6" t="s">
        <v>176</v>
      </c>
      <c r="E388" s="6" t="s">
        <v>265</v>
      </c>
      <c r="F388" s="6" t="s">
        <v>46</v>
      </c>
      <c r="G388" s="6" t="s">
        <v>64</v>
      </c>
      <c r="H388" s="6" t="s">
        <v>136</v>
      </c>
      <c r="I388" s="1" t="n">
        <v>1</v>
      </c>
      <c r="J388" s="7" t="n">
        <v>3905.88</v>
      </c>
      <c r="K388" s="8" t="n">
        <v>0.1</v>
      </c>
      <c r="L388" s="7" t="n">
        <v>2008.57</v>
      </c>
      <c r="M388" s="6" t="s">
        <v>49</v>
      </c>
      <c r="N388" s="6" t="s">
        <v>52</v>
      </c>
      <c r="O388" s="6" t="n">
        <f aca="false">IF(TablaVentas[[#This Row],[Precio_unitario]]="","PENDIENTE",TablaVentas[[#This Row],[Unidades]]*TablaVentas[[#This Row],[Precio_unitario]]*(1-TablaVentas[[#This Row],[Descuento_pct]]))</f>
        <v>3515.292</v>
      </c>
      <c r="P388" s="6" t="n">
        <f aca="false">IF(TablaVentas[[#This Row],[Costo_unitario]]="","PENDIENTE",TablaVentas[[#This Row],[Unidades]]*TablaVentas[[#This Row],[Costo_unitario]])</f>
        <v>2008.57</v>
      </c>
      <c r="Q388" s="6" t="n">
        <f aca="false">IF(OR(TablaVentas[[#This Row],[Ingreso_neto]]="PENDIENTE",TablaVentas[[#This Row],[Costo_total]]="PENDIENTE"),"PENDIENTE",TablaVentas[[#This Row],[Ingreso_neto]]-TablaVentas[[#This Row],[Costo_total]])</f>
        <v>1506.722</v>
      </c>
    </row>
    <row r="389" customFormat="false" ht="13.5" hidden="false" customHeight="false" outlineLevel="0" collapsed="false">
      <c r="A389" s="1" t="s">
        <v>450</v>
      </c>
      <c r="B389" s="1" t="n">
        <v>1</v>
      </c>
      <c r="C389" s="5" t="n">
        <v>46123</v>
      </c>
      <c r="D389" s="6" t="s">
        <v>451</v>
      </c>
      <c r="E389" s="6" t="s">
        <v>162</v>
      </c>
      <c r="F389" s="6" t="s">
        <v>46</v>
      </c>
      <c r="G389" s="6" t="s">
        <v>64</v>
      </c>
      <c r="H389" s="6" t="s">
        <v>48</v>
      </c>
      <c r="I389" s="1" t="n">
        <v>1</v>
      </c>
      <c r="J389" s="7" t="n">
        <v>751.28</v>
      </c>
      <c r="K389" s="8" t="n">
        <v>0.05</v>
      </c>
      <c r="L389" s="7" t="n">
        <v>397.1</v>
      </c>
      <c r="M389" s="6" t="s">
        <v>49</v>
      </c>
      <c r="N389" s="6" t="s">
        <v>52</v>
      </c>
      <c r="O389" s="6" t="n">
        <f aca="false">IF(TablaVentas[[#This Row],[Precio_unitario]]="","PENDIENTE",TablaVentas[[#This Row],[Unidades]]*TablaVentas[[#This Row],[Precio_unitario]]*(1-TablaVentas[[#This Row],[Descuento_pct]]))</f>
        <v>713.716</v>
      </c>
      <c r="P389" s="6" t="n">
        <f aca="false">IF(TablaVentas[[#This Row],[Costo_unitario]]="","PENDIENTE",TablaVentas[[#This Row],[Unidades]]*TablaVentas[[#This Row],[Costo_unitario]])</f>
        <v>397.1</v>
      </c>
      <c r="Q389" s="6" t="n">
        <f aca="false">IF(OR(TablaVentas[[#This Row],[Ingreso_neto]]="PENDIENTE",TablaVentas[[#This Row],[Costo_total]]="PENDIENTE"),"PENDIENTE",TablaVentas[[#This Row],[Ingreso_neto]]-TablaVentas[[#This Row],[Costo_total]])</f>
        <v>316.616</v>
      </c>
    </row>
    <row r="390" customFormat="false" ht="13.5" hidden="false" customHeight="false" outlineLevel="0" collapsed="false">
      <c r="A390" s="1" t="s">
        <v>450</v>
      </c>
      <c r="B390" s="1" t="n">
        <v>2</v>
      </c>
      <c r="C390" s="5" t="n">
        <v>46123</v>
      </c>
      <c r="D390" s="6" t="s">
        <v>451</v>
      </c>
      <c r="E390" s="6" t="s">
        <v>360</v>
      </c>
      <c r="F390" s="6" t="s">
        <v>46</v>
      </c>
      <c r="G390" s="6" t="s">
        <v>64</v>
      </c>
      <c r="H390" s="6" t="s">
        <v>48</v>
      </c>
      <c r="I390" s="1" t="n">
        <v>1</v>
      </c>
      <c r="J390" s="7" t="n">
        <v>2014.72</v>
      </c>
      <c r="K390" s="8" t="n">
        <v>0</v>
      </c>
      <c r="L390" s="7" t="n">
        <v>1479.71</v>
      </c>
      <c r="M390" s="6" t="s">
        <v>49</v>
      </c>
      <c r="N390" s="6" t="s">
        <v>50</v>
      </c>
      <c r="O390" s="6" t="n">
        <f aca="false">IF(TablaVentas[[#This Row],[Precio_unitario]]="","PENDIENTE",TablaVentas[[#This Row],[Unidades]]*TablaVentas[[#This Row],[Precio_unitario]]*(1-TablaVentas[[#This Row],[Descuento_pct]]))</f>
        <v>2014.72</v>
      </c>
      <c r="P390" s="6" t="n">
        <f aca="false">IF(TablaVentas[[#This Row],[Costo_unitario]]="","PENDIENTE",TablaVentas[[#This Row],[Unidades]]*TablaVentas[[#This Row],[Costo_unitario]])</f>
        <v>1479.71</v>
      </c>
      <c r="Q390" s="6" t="n">
        <f aca="false">IF(OR(TablaVentas[[#This Row],[Ingreso_neto]]="PENDIENTE",TablaVentas[[#This Row],[Costo_total]]="PENDIENTE"),"PENDIENTE",TablaVentas[[#This Row],[Ingreso_neto]]-TablaVentas[[#This Row],[Costo_total]])</f>
        <v>535.01</v>
      </c>
    </row>
    <row r="391" customFormat="false" ht="13.5" hidden="false" customHeight="false" outlineLevel="0" collapsed="false">
      <c r="A391" s="1" t="s">
        <v>450</v>
      </c>
      <c r="B391" s="1" t="n">
        <v>3</v>
      </c>
      <c r="C391" s="5" t="n">
        <v>46123</v>
      </c>
      <c r="D391" s="6" t="s">
        <v>451</v>
      </c>
      <c r="E391" s="6" t="s">
        <v>328</v>
      </c>
      <c r="F391" s="6" t="s">
        <v>46</v>
      </c>
      <c r="G391" s="6" t="s">
        <v>64</v>
      </c>
      <c r="H391" s="6" t="s">
        <v>48</v>
      </c>
      <c r="I391" s="1" t="n">
        <v>3</v>
      </c>
      <c r="J391" s="7" t="n">
        <v>1387.09</v>
      </c>
      <c r="K391" s="8" t="n">
        <v>0</v>
      </c>
      <c r="L391" s="7" t="n">
        <v>679.37</v>
      </c>
      <c r="M391" s="6" t="s">
        <v>49</v>
      </c>
      <c r="N391" s="6" t="s">
        <v>59</v>
      </c>
      <c r="O391" s="6" t="n">
        <f aca="false">IF(TablaVentas[[#This Row],[Precio_unitario]]="","PENDIENTE",TablaVentas[[#This Row],[Unidades]]*TablaVentas[[#This Row],[Precio_unitario]]*(1-TablaVentas[[#This Row],[Descuento_pct]]))</f>
        <v>4161.27</v>
      </c>
      <c r="P391" s="6" t="n">
        <f aca="false">IF(TablaVentas[[#This Row],[Costo_unitario]]="","PENDIENTE",TablaVentas[[#This Row],[Unidades]]*TablaVentas[[#This Row],[Costo_unitario]])</f>
        <v>2038.11</v>
      </c>
      <c r="Q391" s="6" t="n">
        <f aca="false">IF(OR(TablaVentas[[#This Row],[Ingreso_neto]]="PENDIENTE",TablaVentas[[#This Row],[Costo_total]]="PENDIENTE"),"PENDIENTE",TablaVentas[[#This Row],[Ingreso_neto]]-TablaVentas[[#This Row],[Costo_total]])</f>
        <v>2123.16</v>
      </c>
    </row>
    <row r="392" customFormat="false" ht="13.5" hidden="false" customHeight="false" outlineLevel="0" collapsed="false">
      <c r="A392" s="1" t="s">
        <v>452</v>
      </c>
      <c r="B392" s="1" t="n">
        <v>1</v>
      </c>
      <c r="C392" s="5" t="n">
        <v>46251</v>
      </c>
      <c r="D392" s="6" t="s">
        <v>453</v>
      </c>
      <c r="E392" s="6" t="s">
        <v>108</v>
      </c>
      <c r="F392" s="6" t="s">
        <v>73</v>
      </c>
      <c r="G392" s="6" t="s">
        <v>64</v>
      </c>
      <c r="H392" s="6" t="s">
        <v>74</v>
      </c>
      <c r="I392" s="1" t="n">
        <v>4</v>
      </c>
      <c r="J392" s="7" t="n">
        <v>5279.46</v>
      </c>
      <c r="K392" s="8" t="n">
        <v>0.15</v>
      </c>
      <c r="L392" s="7" t="n">
        <v>2865.24</v>
      </c>
      <c r="M392" s="6" t="s">
        <v>49</v>
      </c>
      <c r="N392" s="6" t="s">
        <v>59</v>
      </c>
      <c r="O392" s="6" t="n">
        <f aca="false">IF(TablaVentas[[#This Row],[Precio_unitario]]="","PENDIENTE",TablaVentas[[#This Row],[Unidades]]*TablaVentas[[#This Row],[Precio_unitario]]*(1-TablaVentas[[#This Row],[Descuento_pct]]))</f>
        <v>17950.164</v>
      </c>
      <c r="P392" s="6" t="n">
        <f aca="false">IF(TablaVentas[[#This Row],[Costo_unitario]]="","PENDIENTE",TablaVentas[[#This Row],[Unidades]]*TablaVentas[[#This Row],[Costo_unitario]])</f>
        <v>11460.96</v>
      </c>
      <c r="Q392" s="6" t="n">
        <f aca="false">IF(OR(TablaVentas[[#This Row],[Ingreso_neto]]="PENDIENTE",TablaVentas[[#This Row],[Costo_total]]="PENDIENTE"),"PENDIENTE",TablaVentas[[#This Row],[Ingreso_neto]]-TablaVentas[[#This Row],[Costo_total]])</f>
        <v>6489.204</v>
      </c>
    </row>
    <row r="393" customFormat="false" ht="13.5" hidden="false" customHeight="false" outlineLevel="0" collapsed="false">
      <c r="A393" s="1" t="s">
        <v>454</v>
      </c>
      <c r="B393" s="1" t="n">
        <v>1</v>
      </c>
      <c r="C393" s="5" t="n">
        <v>46121</v>
      </c>
      <c r="D393" s="6" t="s">
        <v>286</v>
      </c>
      <c r="E393" s="6" t="s">
        <v>269</v>
      </c>
      <c r="F393" s="6" t="s">
        <v>63</v>
      </c>
      <c r="G393" s="6" t="s">
        <v>64</v>
      </c>
      <c r="H393" s="6" t="s">
        <v>131</v>
      </c>
      <c r="I393" s="1" t="n">
        <v>1</v>
      </c>
      <c r="J393" s="7" t="n">
        <v>14404.5</v>
      </c>
      <c r="K393" s="8" t="n">
        <v>0</v>
      </c>
      <c r="L393" s="7" t="n">
        <v>8227.46</v>
      </c>
      <c r="M393" s="6" t="s">
        <v>49</v>
      </c>
      <c r="N393" s="6" t="s">
        <v>50</v>
      </c>
      <c r="O393" s="6" t="n">
        <f aca="false">IF(TablaVentas[[#This Row],[Precio_unitario]]="","PENDIENTE",TablaVentas[[#This Row],[Unidades]]*TablaVentas[[#This Row],[Precio_unitario]]*(1-TablaVentas[[#This Row],[Descuento_pct]]))</f>
        <v>14404.5</v>
      </c>
      <c r="P393" s="6" t="n">
        <f aca="false">IF(TablaVentas[[#This Row],[Costo_unitario]]="","PENDIENTE",TablaVentas[[#This Row],[Unidades]]*TablaVentas[[#This Row],[Costo_unitario]])</f>
        <v>8227.46</v>
      </c>
      <c r="Q393" s="6" t="n">
        <f aca="false">IF(OR(TablaVentas[[#This Row],[Ingreso_neto]]="PENDIENTE",TablaVentas[[#This Row],[Costo_total]]="PENDIENTE"),"PENDIENTE",TablaVentas[[#This Row],[Ingreso_neto]]-TablaVentas[[#This Row],[Costo_total]])</f>
        <v>6177.04</v>
      </c>
    </row>
    <row r="394" customFormat="false" ht="13.5" hidden="false" customHeight="false" outlineLevel="0" collapsed="false">
      <c r="A394" s="1" t="s">
        <v>455</v>
      </c>
      <c r="B394" s="1" t="n">
        <v>1</v>
      </c>
      <c r="C394" s="5" t="n">
        <v>46200</v>
      </c>
      <c r="D394" s="6" t="s">
        <v>359</v>
      </c>
      <c r="E394" s="6" t="s">
        <v>166</v>
      </c>
      <c r="F394" s="6" t="s">
        <v>63</v>
      </c>
      <c r="G394" s="6" t="s">
        <v>64</v>
      </c>
      <c r="H394" s="6" t="s">
        <v>131</v>
      </c>
      <c r="I394" s="1" t="n">
        <v>2</v>
      </c>
      <c r="J394" s="7" t="n">
        <v>12984.64</v>
      </c>
      <c r="K394" s="8" t="n">
        <v>0</v>
      </c>
      <c r="L394" s="7" t="n">
        <v>9317.37</v>
      </c>
      <c r="M394" s="6" t="s">
        <v>49</v>
      </c>
      <c r="N394" s="6" t="s">
        <v>50</v>
      </c>
      <c r="O394" s="6" t="n">
        <f aca="false">IF(TablaVentas[[#This Row],[Precio_unitario]]="","PENDIENTE",TablaVentas[[#This Row],[Unidades]]*TablaVentas[[#This Row],[Precio_unitario]]*(1-TablaVentas[[#This Row],[Descuento_pct]]))</f>
        <v>25969.28</v>
      </c>
      <c r="P394" s="6" t="n">
        <f aca="false">IF(TablaVentas[[#This Row],[Costo_unitario]]="","PENDIENTE",TablaVentas[[#This Row],[Unidades]]*TablaVentas[[#This Row],[Costo_unitario]])</f>
        <v>18634.74</v>
      </c>
      <c r="Q394" s="6" t="n">
        <f aca="false">IF(OR(TablaVentas[[#This Row],[Ingreso_neto]]="PENDIENTE",TablaVentas[[#This Row],[Costo_total]]="PENDIENTE"),"PENDIENTE",TablaVentas[[#This Row],[Ingreso_neto]]-TablaVentas[[#This Row],[Costo_total]])</f>
        <v>7334.54</v>
      </c>
    </row>
    <row r="395" customFormat="false" ht="13.5" hidden="false" customHeight="false" outlineLevel="0" collapsed="false">
      <c r="A395" s="1" t="s">
        <v>455</v>
      </c>
      <c r="B395" s="1" t="n">
        <v>2</v>
      </c>
      <c r="C395" s="5" t="n">
        <v>46200</v>
      </c>
      <c r="D395" s="6" t="s">
        <v>359</v>
      </c>
      <c r="E395" s="6" t="s">
        <v>126</v>
      </c>
      <c r="F395" s="6" t="s">
        <v>63</v>
      </c>
      <c r="G395" s="6" t="s">
        <v>64</v>
      </c>
      <c r="H395" s="6" t="s">
        <v>131</v>
      </c>
      <c r="I395" s="1" t="n">
        <v>3</v>
      </c>
      <c r="J395" s="7" t="n">
        <v>9255.49</v>
      </c>
      <c r="K395" s="8" t="n">
        <v>0.2</v>
      </c>
      <c r="L395" s="7" t="n">
        <v>6981.94</v>
      </c>
      <c r="M395" s="6" t="s">
        <v>49</v>
      </c>
      <c r="N395" s="6" t="s">
        <v>52</v>
      </c>
      <c r="O395" s="6" t="n">
        <f aca="false">IF(TablaVentas[[#This Row],[Precio_unitario]]="","PENDIENTE",TablaVentas[[#This Row],[Unidades]]*TablaVentas[[#This Row],[Precio_unitario]]*(1-TablaVentas[[#This Row],[Descuento_pct]]))</f>
        <v>22213.176</v>
      </c>
      <c r="P395" s="6" t="n">
        <f aca="false">IF(TablaVentas[[#This Row],[Costo_unitario]]="","PENDIENTE",TablaVentas[[#This Row],[Unidades]]*TablaVentas[[#This Row],[Costo_unitario]])</f>
        <v>20945.82</v>
      </c>
      <c r="Q395" s="6" t="n">
        <f aca="false">IF(OR(TablaVentas[[#This Row],[Ingreso_neto]]="PENDIENTE",TablaVentas[[#This Row],[Costo_total]]="PENDIENTE"),"PENDIENTE",TablaVentas[[#This Row],[Ingreso_neto]]-TablaVentas[[#This Row],[Costo_total]])</f>
        <v>1267.356</v>
      </c>
    </row>
    <row r="396" customFormat="false" ht="13.5" hidden="false" customHeight="false" outlineLevel="0" collapsed="false">
      <c r="A396" s="1" t="s">
        <v>456</v>
      </c>
      <c r="B396" s="1" t="n">
        <v>1</v>
      </c>
      <c r="C396" s="5" t="n">
        <v>46288</v>
      </c>
      <c r="D396" s="6" t="s">
        <v>457</v>
      </c>
      <c r="E396" s="6" t="s">
        <v>385</v>
      </c>
      <c r="F396" s="6" t="s">
        <v>73</v>
      </c>
      <c r="G396" s="6" t="s">
        <v>64</v>
      </c>
      <c r="H396" s="6" t="s">
        <v>74</v>
      </c>
      <c r="I396" s="1" t="n">
        <v>2</v>
      </c>
      <c r="J396" s="7" t="n">
        <v>3424.4</v>
      </c>
      <c r="K396" s="8" t="n">
        <v>0.2</v>
      </c>
      <c r="L396" s="7" t="n">
        <v>2864.64</v>
      </c>
      <c r="M396" s="6" t="s">
        <v>123</v>
      </c>
      <c r="N396" s="6" t="s">
        <v>52</v>
      </c>
      <c r="O396" s="6" t="n">
        <f aca="false">IF(TablaVentas[[#This Row],[Precio_unitario]]="","PENDIENTE",TablaVentas[[#This Row],[Unidades]]*TablaVentas[[#This Row],[Precio_unitario]]*(1-TablaVentas[[#This Row],[Descuento_pct]]))</f>
        <v>5479.04</v>
      </c>
      <c r="P396" s="6" t="n">
        <f aca="false">IF(TablaVentas[[#This Row],[Costo_unitario]]="","PENDIENTE",TablaVentas[[#This Row],[Unidades]]*TablaVentas[[#This Row],[Costo_unitario]])</f>
        <v>5729.28</v>
      </c>
      <c r="Q396" s="6" t="n">
        <f aca="false">IF(OR(TablaVentas[[#This Row],[Ingreso_neto]]="PENDIENTE",TablaVentas[[#This Row],[Costo_total]]="PENDIENTE"),"PENDIENTE",TablaVentas[[#This Row],[Ingreso_neto]]-TablaVentas[[#This Row],[Costo_total]])</f>
        <v>-250.239999999999</v>
      </c>
    </row>
    <row r="397" customFormat="false" ht="13.5" hidden="false" customHeight="false" outlineLevel="0" collapsed="false">
      <c r="A397" s="1" t="s">
        <v>456</v>
      </c>
      <c r="B397" s="1" t="n">
        <v>2</v>
      </c>
      <c r="C397" s="5" t="n">
        <v>46288</v>
      </c>
      <c r="D397" s="6" t="s">
        <v>457</v>
      </c>
      <c r="E397" s="6" t="s">
        <v>374</v>
      </c>
      <c r="F397" s="6" t="s">
        <v>73</v>
      </c>
      <c r="G397" s="6" t="s">
        <v>64</v>
      </c>
      <c r="H397" s="6" t="s">
        <v>74</v>
      </c>
      <c r="I397" s="1" t="n">
        <v>1</v>
      </c>
      <c r="J397" s="7" t="n">
        <v>9727.19</v>
      </c>
      <c r="K397" s="8" t="n">
        <v>0</v>
      </c>
      <c r="L397" s="7" t="n">
        <v>5079.43</v>
      </c>
      <c r="M397" s="6" t="s">
        <v>49</v>
      </c>
      <c r="N397" s="6" t="s">
        <v>67</v>
      </c>
      <c r="O397" s="6" t="n">
        <f aca="false">IF(TablaVentas[[#This Row],[Precio_unitario]]="","PENDIENTE",TablaVentas[[#This Row],[Unidades]]*TablaVentas[[#This Row],[Precio_unitario]]*(1-TablaVentas[[#This Row],[Descuento_pct]]))</f>
        <v>9727.19</v>
      </c>
      <c r="P397" s="6" t="n">
        <f aca="false">IF(TablaVentas[[#This Row],[Costo_unitario]]="","PENDIENTE",TablaVentas[[#This Row],[Unidades]]*TablaVentas[[#This Row],[Costo_unitario]])</f>
        <v>5079.43</v>
      </c>
      <c r="Q397" s="6" t="n">
        <f aca="false">IF(OR(TablaVentas[[#This Row],[Ingreso_neto]]="PENDIENTE",TablaVentas[[#This Row],[Costo_total]]="PENDIENTE"),"PENDIENTE",TablaVentas[[#This Row],[Ingreso_neto]]-TablaVentas[[#This Row],[Costo_total]])</f>
        <v>4647.76</v>
      </c>
    </row>
    <row r="398" customFormat="false" ht="13.5" hidden="false" customHeight="false" outlineLevel="0" collapsed="false">
      <c r="A398" s="1" t="s">
        <v>458</v>
      </c>
      <c r="B398" s="1" t="n">
        <v>1</v>
      </c>
      <c r="C398" s="5" t="n">
        <v>46156</v>
      </c>
      <c r="D398" s="6" t="s">
        <v>459</v>
      </c>
      <c r="E398" s="6" t="s">
        <v>146</v>
      </c>
      <c r="F398" s="6" t="s">
        <v>84</v>
      </c>
      <c r="G398" s="6" t="s">
        <v>64</v>
      </c>
      <c r="H398" s="6" t="s">
        <v>48</v>
      </c>
      <c r="I398" s="1" t="n">
        <v>1</v>
      </c>
      <c r="J398" s="7" t="n">
        <v>9916.28</v>
      </c>
      <c r="K398" s="8" t="n">
        <v>0</v>
      </c>
      <c r="L398" s="7" t="n">
        <v>8002.16</v>
      </c>
      <c r="M398" s="6" t="s">
        <v>49</v>
      </c>
      <c r="N398" s="6" t="s">
        <v>52</v>
      </c>
      <c r="O398" s="6" t="n">
        <f aca="false">IF(TablaVentas[[#This Row],[Precio_unitario]]="","PENDIENTE",TablaVentas[[#This Row],[Unidades]]*TablaVentas[[#This Row],[Precio_unitario]]*(1-TablaVentas[[#This Row],[Descuento_pct]]))</f>
        <v>9916.28</v>
      </c>
      <c r="P398" s="6" t="n">
        <f aca="false">IF(TablaVentas[[#This Row],[Costo_unitario]]="","PENDIENTE",TablaVentas[[#This Row],[Unidades]]*TablaVentas[[#This Row],[Costo_unitario]])</f>
        <v>8002.16</v>
      </c>
      <c r="Q398" s="6" t="n">
        <f aca="false">IF(OR(TablaVentas[[#This Row],[Ingreso_neto]]="PENDIENTE",TablaVentas[[#This Row],[Costo_total]]="PENDIENTE"),"PENDIENTE",TablaVentas[[#This Row],[Ingreso_neto]]-TablaVentas[[#This Row],[Costo_total]])</f>
        <v>1914.12</v>
      </c>
    </row>
    <row r="399" customFormat="false" ht="13.5" hidden="false" customHeight="false" outlineLevel="0" collapsed="false">
      <c r="A399" s="1" t="s">
        <v>458</v>
      </c>
      <c r="B399" s="1" t="n">
        <v>2</v>
      </c>
      <c r="C399" s="5" t="n">
        <v>46156</v>
      </c>
      <c r="D399" s="6" t="s">
        <v>459</v>
      </c>
      <c r="E399" s="6" t="s">
        <v>104</v>
      </c>
      <c r="F399" s="6" t="s">
        <v>84</v>
      </c>
      <c r="G399" s="6" t="s">
        <v>64</v>
      </c>
      <c r="H399" s="6" t="s">
        <v>48</v>
      </c>
      <c r="I399" s="1" t="n">
        <v>2</v>
      </c>
      <c r="J399" s="7" t="n">
        <v>15050.51</v>
      </c>
      <c r="K399" s="8" t="n">
        <v>0</v>
      </c>
      <c r="L399" s="7" t="n">
        <v>11424.77</v>
      </c>
      <c r="M399" s="6" t="s">
        <v>49</v>
      </c>
      <c r="N399" s="6" t="s">
        <v>59</v>
      </c>
      <c r="O399" s="6" t="n">
        <f aca="false">IF(TablaVentas[[#This Row],[Precio_unitario]]="","PENDIENTE",TablaVentas[[#This Row],[Unidades]]*TablaVentas[[#This Row],[Precio_unitario]]*(1-TablaVentas[[#This Row],[Descuento_pct]]))</f>
        <v>30101.02</v>
      </c>
      <c r="P399" s="6" t="n">
        <f aca="false">IF(TablaVentas[[#This Row],[Costo_unitario]]="","PENDIENTE",TablaVentas[[#This Row],[Unidades]]*TablaVentas[[#This Row],[Costo_unitario]])</f>
        <v>22849.54</v>
      </c>
      <c r="Q399" s="6" t="n">
        <f aca="false">IF(OR(TablaVentas[[#This Row],[Ingreso_neto]]="PENDIENTE",TablaVentas[[#This Row],[Costo_total]]="PENDIENTE"),"PENDIENTE",TablaVentas[[#This Row],[Ingreso_neto]]-TablaVentas[[#This Row],[Costo_total]])</f>
        <v>7251.48</v>
      </c>
    </row>
    <row r="400" customFormat="false" ht="13.5" hidden="false" customHeight="false" outlineLevel="0" collapsed="false">
      <c r="A400" s="1" t="s">
        <v>460</v>
      </c>
      <c r="B400" s="1" t="n">
        <v>1</v>
      </c>
      <c r="C400" s="5" t="n">
        <v>46054</v>
      </c>
      <c r="D400" s="6" t="s">
        <v>442</v>
      </c>
      <c r="E400" s="6" t="s">
        <v>155</v>
      </c>
      <c r="F400" s="6" t="s">
        <v>73</v>
      </c>
      <c r="G400" s="6" t="s">
        <v>57</v>
      </c>
      <c r="H400" s="6" t="s">
        <v>74</v>
      </c>
      <c r="I400" s="1" t="n">
        <v>1</v>
      </c>
      <c r="J400" s="7" t="n">
        <v>2802.2</v>
      </c>
      <c r="K400" s="8" t="n">
        <v>0</v>
      </c>
      <c r="L400" s="7" t="n">
        <v>2459.34</v>
      </c>
      <c r="M400" s="6" t="s">
        <v>49</v>
      </c>
      <c r="N400" s="6" t="s">
        <v>50</v>
      </c>
      <c r="O400" s="6" t="n">
        <f aca="false">IF(TablaVentas[[#This Row],[Precio_unitario]]="","PENDIENTE",TablaVentas[[#This Row],[Unidades]]*TablaVentas[[#This Row],[Precio_unitario]]*(1-TablaVentas[[#This Row],[Descuento_pct]]))</f>
        <v>2802.2</v>
      </c>
      <c r="P400" s="6" t="n">
        <f aca="false">IF(TablaVentas[[#This Row],[Costo_unitario]]="","PENDIENTE",TablaVentas[[#This Row],[Unidades]]*TablaVentas[[#This Row],[Costo_unitario]])</f>
        <v>2459.34</v>
      </c>
      <c r="Q400" s="6" t="n">
        <f aca="false">IF(OR(TablaVentas[[#This Row],[Ingreso_neto]]="PENDIENTE",TablaVentas[[#This Row],[Costo_total]]="PENDIENTE"),"PENDIENTE",TablaVentas[[#This Row],[Ingreso_neto]]-TablaVentas[[#This Row],[Costo_total]])</f>
        <v>342.86</v>
      </c>
    </row>
    <row r="401" customFormat="false" ht="13.5" hidden="false" customHeight="false" outlineLevel="0" collapsed="false">
      <c r="A401" s="1" t="s">
        <v>460</v>
      </c>
      <c r="B401" s="1" t="n">
        <v>2</v>
      </c>
      <c r="C401" s="5" t="n">
        <v>46054</v>
      </c>
      <c r="D401" s="6" t="s">
        <v>442</v>
      </c>
      <c r="E401" s="6" t="s">
        <v>45</v>
      </c>
      <c r="F401" s="6" t="s">
        <v>73</v>
      </c>
      <c r="G401" s="6" t="s">
        <v>57</v>
      </c>
      <c r="H401" s="6" t="s">
        <v>74</v>
      </c>
      <c r="I401" s="1" t="n">
        <v>2</v>
      </c>
      <c r="J401" s="7" t="n">
        <v>6058.44</v>
      </c>
      <c r="K401" s="8" t="n">
        <v>0.05</v>
      </c>
      <c r="L401" s="7" t="n">
        <v>3832.69</v>
      </c>
      <c r="M401" s="6" t="s">
        <v>49</v>
      </c>
      <c r="N401" s="6" t="s">
        <v>67</v>
      </c>
      <c r="O401" s="6" t="n">
        <f aca="false">IF(TablaVentas[[#This Row],[Precio_unitario]]="","PENDIENTE",TablaVentas[[#This Row],[Unidades]]*TablaVentas[[#This Row],[Precio_unitario]]*(1-TablaVentas[[#This Row],[Descuento_pct]]))</f>
        <v>11511.036</v>
      </c>
      <c r="P401" s="6" t="n">
        <f aca="false">IF(TablaVentas[[#This Row],[Costo_unitario]]="","PENDIENTE",TablaVentas[[#This Row],[Unidades]]*TablaVentas[[#This Row],[Costo_unitario]])</f>
        <v>7665.38</v>
      </c>
      <c r="Q401" s="6" t="n">
        <f aca="false">IF(OR(TablaVentas[[#This Row],[Ingreso_neto]]="PENDIENTE",TablaVentas[[#This Row],[Costo_total]]="PENDIENTE"),"PENDIENTE",TablaVentas[[#This Row],[Ingreso_neto]]-TablaVentas[[#This Row],[Costo_total]])</f>
        <v>3845.656</v>
      </c>
    </row>
    <row r="402" customFormat="false" ht="13.5" hidden="false" customHeight="false" outlineLevel="0" collapsed="false">
      <c r="A402" s="1" t="s">
        <v>461</v>
      </c>
      <c r="B402" s="1" t="n">
        <v>1</v>
      </c>
      <c r="C402" s="5" t="n">
        <v>46150</v>
      </c>
      <c r="D402" s="6" t="s">
        <v>247</v>
      </c>
      <c r="E402" s="6" t="s">
        <v>108</v>
      </c>
      <c r="F402" s="6" t="s">
        <v>46</v>
      </c>
      <c r="G402" s="6" t="s">
        <v>57</v>
      </c>
      <c r="H402" s="6" t="s">
        <v>74</v>
      </c>
      <c r="I402" s="1" t="n">
        <v>8</v>
      </c>
      <c r="J402" s="7" t="n">
        <v>4533.45</v>
      </c>
      <c r="K402" s="8" t="n">
        <v>0.1</v>
      </c>
      <c r="L402" s="7" t="n">
        <v>2865.24</v>
      </c>
      <c r="M402" s="6" t="s">
        <v>49</v>
      </c>
      <c r="N402" s="6" t="s">
        <v>52</v>
      </c>
      <c r="O402" s="6" t="n">
        <f aca="false">IF(TablaVentas[[#This Row],[Precio_unitario]]="","PENDIENTE",TablaVentas[[#This Row],[Unidades]]*TablaVentas[[#This Row],[Precio_unitario]]*(1-TablaVentas[[#This Row],[Descuento_pct]]))</f>
        <v>32640.84</v>
      </c>
      <c r="P402" s="6" t="n">
        <f aca="false">IF(TablaVentas[[#This Row],[Costo_unitario]]="","PENDIENTE",TablaVentas[[#This Row],[Unidades]]*TablaVentas[[#This Row],[Costo_unitario]])</f>
        <v>22921.92</v>
      </c>
      <c r="Q402" s="6" t="n">
        <f aca="false">IF(OR(TablaVentas[[#This Row],[Ingreso_neto]]="PENDIENTE",TablaVentas[[#This Row],[Costo_total]]="PENDIENTE"),"PENDIENTE",TablaVentas[[#This Row],[Ingreso_neto]]-TablaVentas[[#This Row],[Costo_total]])</f>
        <v>9718.92</v>
      </c>
    </row>
    <row r="403" customFormat="false" ht="13.5" hidden="false" customHeight="false" outlineLevel="0" collapsed="false">
      <c r="A403" s="1" t="s">
        <v>461</v>
      </c>
      <c r="B403" s="1" t="n">
        <v>2</v>
      </c>
      <c r="C403" s="5" t="n">
        <v>46150</v>
      </c>
      <c r="D403" s="6" t="s">
        <v>247</v>
      </c>
      <c r="E403" s="6" t="s">
        <v>127</v>
      </c>
      <c r="F403" s="6" t="s">
        <v>46</v>
      </c>
      <c r="G403" s="6" t="s">
        <v>57</v>
      </c>
      <c r="H403" s="6" t="s">
        <v>74</v>
      </c>
      <c r="I403" s="1" t="n">
        <v>2</v>
      </c>
      <c r="J403" s="7" t="n">
        <v>11815.11</v>
      </c>
      <c r="K403" s="8" t="n">
        <v>0.2</v>
      </c>
      <c r="L403" s="7" t="n">
        <v>7975.26</v>
      </c>
      <c r="M403" s="6" t="s">
        <v>49</v>
      </c>
      <c r="N403" s="6" t="s">
        <v>52</v>
      </c>
      <c r="O403" s="6" t="n">
        <f aca="false">IF(TablaVentas[[#This Row],[Precio_unitario]]="","PENDIENTE",TablaVentas[[#This Row],[Unidades]]*TablaVentas[[#This Row],[Precio_unitario]]*(1-TablaVentas[[#This Row],[Descuento_pct]]))</f>
        <v>18904.176</v>
      </c>
      <c r="P403" s="6" t="n">
        <f aca="false">IF(TablaVentas[[#This Row],[Costo_unitario]]="","PENDIENTE",TablaVentas[[#This Row],[Unidades]]*TablaVentas[[#This Row],[Costo_unitario]])</f>
        <v>15950.52</v>
      </c>
      <c r="Q403" s="6" t="n">
        <f aca="false">IF(OR(TablaVentas[[#This Row],[Ingreso_neto]]="PENDIENTE",TablaVentas[[#This Row],[Costo_total]]="PENDIENTE"),"PENDIENTE",TablaVentas[[#This Row],[Ingreso_neto]]-TablaVentas[[#This Row],[Costo_total]])</f>
        <v>2953.656</v>
      </c>
    </row>
    <row r="404" customFormat="false" ht="13.5" hidden="false" customHeight="false" outlineLevel="0" collapsed="false">
      <c r="A404" s="1" t="s">
        <v>462</v>
      </c>
      <c r="B404" s="1" t="n">
        <v>1</v>
      </c>
      <c r="C404" s="5" t="n">
        <v>46190</v>
      </c>
      <c r="D404" s="6" t="s">
        <v>305</v>
      </c>
      <c r="E404" s="6" t="s">
        <v>219</v>
      </c>
      <c r="F404" s="6" t="s">
        <v>73</v>
      </c>
      <c r="G404" s="6" t="s">
        <v>64</v>
      </c>
      <c r="H404" s="6" t="s">
        <v>74</v>
      </c>
      <c r="I404" s="1" t="n">
        <v>1</v>
      </c>
      <c r="J404" s="7" t="n">
        <v>3469</v>
      </c>
      <c r="K404" s="8" t="n">
        <v>0</v>
      </c>
      <c r="L404" s="7" t="n">
        <v>2157.55</v>
      </c>
      <c r="M404" s="6" t="s">
        <v>49</v>
      </c>
      <c r="N404" s="6" t="s">
        <v>67</v>
      </c>
      <c r="O404" s="6" t="n">
        <f aca="false">IF(TablaVentas[[#This Row],[Precio_unitario]]="","PENDIENTE",TablaVentas[[#This Row],[Unidades]]*TablaVentas[[#This Row],[Precio_unitario]]*(1-TablaVentas[[#This Row],[Descuento_pct]]))</f>
        <v>3469</v>
      </c>
      <c r="P404" s="6" t="n">
        <f aca="false">IF(TablaVentas[[#This Row],[Costo_unitario]]="","PENDIENTE",TablaVentas[[#This Row],[Unidades]]*TablaVentas[[#This Row],[Costo_unitario]])</f>
        <v>2157.55</v>
      </c>
      <c r="Q404" s="6" t="n">
        <f aca="false">IF(OR(TablaVentas[[#This Row],[Ingreso_neto]]="PENDIENTE",TablaVentas[[#This Row],[Costo_total]]="PENDIENTE"),"PENDIENTE",TablaVentas[[#This Row],[Ingreso_neto]]-TablaVentas[[#This Row],[Costo_total]])</f>
        <v>1311.45</v>
      </c>
    </row>
    <row r="405" customFormat="false" ht="13.5" hidden="false" customHeight="false" outlineLevel="0" collapsed="false">
      <c r="A405" s="1" t="s">
        <v>463</v>
      </c>
      <c r="B405" s="1" t="n">
        <v>1</v>
      </c>
      <c r="C405" s="5" t="n">
        <v>46247</v>
      </c>
      <c r="D405" s="6" t="s">
        <v>464</v>
      </c>
      <c r="E405" s="6" t="s">
        <v>96</v>
      </c>
      <c r="F405" s="6" t="s">
        <v>63</v>
      </c>
      <c r="G405" s="6" t="s">
        <v>64</v>
      </c>
      <c r="H405" s="6" t="s">
        <v>74</v>
      </c>
      <c r="I405" s="1" t="n">
        <v>2</v>
      </c>
      <c r="J405" s="7" t="n">
        <v>11114.53</v>
      </c>
      <c r="K405" s="8" t="n">
        <v>0</v>
      </c>
      <c r="L405" s="7" t="n">
        <v>9118.07</v>
      </c>
      <c r="M405" s="6" t="s">
        <v>49</v>
      </c>
      <c r="N405" s="6" t="s">
        <v>50</v>
      </c>
      <c r="O405" s="6" t="n">
        <f aca="false">IF(TablaVentas[[#This Row],[Precio_unitario]]="","PENDIENTE",TablaVentas[[#This Row],[Unidades]]*TablaVentas[[#This Row],[Precio_unitario]]*(1-TablaVentas[[#This Row],[Descuento_pct]]))</f>
        <v>22229.06</v>
      </c>
      <c r="P405" s="6" t="n">
        <f aca="false">IF(TablaVentas[[#This Row],[Costo_unitario]]="","PENDIENTE",TablaVentas[[#This Row],[Unidades]]*TablaVentas[[#This Row],[Costo_unitario]])</f>
        <v>18236.14</v>
      </c>
      <c r="Q405" s="6" t="n">
        <f aca="false">IF(OR(TablaVentas[[#This Row],[Ingreso_neto]]="PENDIENTE",TablaVentas[[#This Row],[Costo_total]]="PENDIENTE"),"PENDIENTE",TablaVentas[[#This Row],[Ingreso_neto]]-TablaVentas[[#This Row],[Costo_total]])</f>
        <v>3992.92</v>
      </c>
    </row>
    <row r="406" customFormat="false" ht="13.5" hidden="false" customHeight="false" outlineLevel="0" collapsed="false">
      <c r="A406" s="1" t="s">
        <v>463</v>
      </c>
      <c r="B406" s="1" t="n">
        <v>2</v>
      </c>
      <c r="C406" s="5" t="n">
        <v>46247</v>
      </c>
      <c r="D406" s="6" t="s">
        <v>464</v>
      </c>
      <c r="E406" s="6" t="s">
        <v>56</v>
      </c>
      <c r="F406" s="6" t="s">
        <v>63</v>
      </c>
      <c r="G406" s="6" t="s">
        <v>64</v>
      </c>
      <c r="H406" s="6" t="s">
        <v>74</v>
      </c>
      <c r="I406" s="1" t="n">
        <v>1</v>
      </c>
      <c r="J406" s="7" t="n">
        <v>3658.71</v>
      </c>
      <c r="K406" s="8" t="n">
        <v>0.05</v>
      </c>
      <c r="L406" s="7" t="n">
        <v>2950.52</v>
      </c>
      <c r="M406" s="6" t="s">
        <v>49</v>
      </c>
      <c r="N406" s="6" t="s">
        <v>67</v>
      </c>
      <c r="O406" s="6" t="n">
        <f aca="false">IF(TablaVentas[[#This Row],[Precio_unitario]]="","PENDIENTE",TablaVentas[[#This Row],[Unidades]]*TablaVentas[[#This Row],[Precio_unitario]]*(1-TablaVentas[[#This Row],[Descuento_pct]]))</f>
        <v>3475.7745</v>
      </c>
      <c r="P406" s="6" t="n">
        <f aca="false">IF(TablaVentas[[#This Row],[Costo_unitario]]="","PENDIENTE",TablaVentas[[#This Row],[Unidades]]*TablaVentas[[#This Row],[Costo_unitario]])</f>
        <v>2950.52</v>
      </c>
      <c r="Q406" s="6" t="n">
        <f aca="false">IF(OR(TablaVentas[[#This Row],[Ingreso_neto]]="PENDIENTE",TablaVentas[[#This Row],[Costo_total]]="PENDIENTE"),"PENDIENTE",TablaVentas[[#This Row],[Ingreso_neto]]-TablaVentas[[#This Row],[Costo_total]])</f>
        <v>525.2545</v>
      </c>
    </row>
    <row r="407" customFormat="false" ht="13.5" hidden="false" customHeight="false" outlineLevel="0" collapsed="false">
      <c r="A407" s="1" t="s">
        <v>465</v>
      </c>
      <c r="B407" s="1" t="n">
        <v>1</v>
      </c>
      <c r="C407" s="5" t="n">
        <v>46187</v>
      </c>
      <c r="D407" s="6" t="s">
        <v>425</v>
      </c>
      <c r="E407" s="6" t="s">
        <v>105</v>
      </c>
      <c r="F407" s="6" t="s">
        <v>73</v>
      </c>
      <c r="G407" s="6" t="s">
        <v>64</v>
      </c>
      <c r="H407" s="6" t="s">
        <v>109</v>
      </c>
      <c r="I407" s="1" t="n">
        <v>3</v>
      </c>
      <c r="J407" s="7" t="n">
        <v>15708.92</v>
      </c>
      <c r="K407" s="8" t="n">
        <v>0</v>
      </c>
      <c r="L407" s="7" t="n">
        <v>9881</v>
      </c>
      <c r="M407" s="6" t="s">
        <v>49</v>
      </c>
      <c r="N407" s="6" t="s">
        <v>52</v>
      </c>
      <c r="O407" s="6" t="n">
        <f aca="false">IF(TablaVentas[[#This Row],[Precio_unitario]]="","PENDIENTE",TablaVentas[[#This Row],[Unidades]]*TablaVentas[[#This Row],[Precio_unitario]]*(1-TablaVentas[[#This Row],[Descuento_pct]]))</f>
        <v>47126.76</v>
      </c>
      <c r="P407" s="6" t="n">
        <f aca="false">IF(TablaVentas[[#This Row],[Costo_unitario]]="","PENDIENTE",TablaVentas[[#This Row],[Unidades]]*TablaVentas[[#This Row],[Costo_unitario]])</f>
        <v>29643</v>
      </c>
      <c r="Q407" s="6" t="n">
        <f aca="false">IF(OR(TablaVentas[[#This Row],[Ingreso_neto]]="PENDIENTE",TablaVentas[[#This Row],[Costo_total]]="PENDIENTE"),"PENDIENTE",TablaVentas[[#This Row],[Ingreso_neto]]-TablaVentas[[#This Row],[Costo_total]])</f>
        <v>17483.76</v>
      </c>
    </row>
    <row r="408" customFormat="false" ht="13.5" hidden="false" customHeight="false" outlineLevel="0" collapsed="false">
      <c r="A408" s="1" t="s">
        <v>466</v>
      </c>
      <c r="B408" s="1" t="n">
        <v>1</v>
      </c>
      <c r="C408" s="5" t="n">
        <v>46238</v>
      </c>
      <c r="D408" s="6" t="s">
        <v>467</v>
      </c>
      <c r="E408" s="6" t="s">
        <v>101</v>
      </c>
      <c r="F408" s="6" t="s">
        <v>46</v>
      </c>
      <c r="G408" s="6" t="s">
        <v>47</v>
      </c>
      <c r="H408" s="6" t="s">
        <v>74</v>
      </c>
      <c r="I408" s="1" t="n">
        <v>4</v>
      </c>
      <c r="J408" s="7" t="n">
        <v>7192.35</v>
      </c>
      <c r="K408" s="8" t="n">
        <v>0</v>
      </c>
      <c r="L408" s="7" t="n">
        <v>4538.06</v>
      </c>
      <c r="M408" s="6" t="s">
        <v>49</v>
      </c>
      <c r="N408" s="6" t="s">
        <v>52</v>
      </c>
      <c r="O408" s="6" t="n">
        <f aca="false">IF(TablaVentas[[#This Row],[Precio_unitario]]="","PENDIENTE",TablaVentas[[#This Row],[Unidades]]*TablaVentas[[#This Row],[Precio_unitario]]*(1-TablaVentas[[#This Row],[Descuento_pct]]))</f>
        <v>28769.4</v>
      </c>
      <c r="P408" s="6" t="n">
        <f aca="false">IF(TablaVentas[[#This Row],[Costo_unitario]]="","PENDIENTE",TablaVentas[[#This Row],[Unidades]]*TablaVentas[[#This Row],[Costo_unitario]])</f>
        <v>18152.24</v>
      </c>
      <c r="Q408" s="6" t="n">
        <f aca="false">IF(OR(TablaVentas[[#This Row],[Ingreso_neto]]="PENDIENTE",TablaVentas[[#This Row],[Costo_total]]="PENDIENTE"),"PENDIENTE",TablaVentas[[#This Row],[Ingreso_neto]]-TablaVentas[[#This Row],[Costo_total]])</f>
        <v>10617.16</v>
      </c>
    </row>
    <row r="409" customFormat="false" ht="13.5" hidden="false" customHeight="false" outlineLevel="0" collapsed="false">
      <c r="A409" s="1" t="s">
        <v>466</v>
      </c>
      <c r="B409" s="1" t="n">
        <v>2</v>
      </c>
      <c r="C409" s="5" t="n">
        <v>46238</v>
      </c>
      <c r="D409" s="6" t="s">
        <v>467</v>
      </c>
      <c r="E409" s="6" t="s">
        <v>104</v>
      </c>
      <c r="F409" s="6" t="s">
        <v>46</v>
      </c>
      <c r="G409" s="6" t="s">
        <v>47</v>
      </c>
      <c r="H409" s="6" t="s">
        <v>74</v>
      </c>
      <c r="I409" s="1" t="n">
        <v>1</v>
      </c>
      <c r="J409" s="7" t="n">
        <v>13799.11</v>
      </c>
      <c r="K409" s="8" t="n">
        <v>0</v>
      </c>
      <c r="L409" s="7" t="n">
        <v>11424.77</v>
      </c>
      <c r="M409" s="6" t="s">
        <v>49</v>
      </c>
      <c r="N409" s="6" t="s">
        <v>50</v>
      </c>
      <c r="O409" s="6" t="n">
        <f aca="false">IF(TablaVentas[[#This Row],[Precio_unitario]]="","PENDIENTE",TablaVentas[[#This Row],[Unidades]]*TablaVentas[[#This Row],[Precio_unitario]]*(1-TablaVentas[[#This Row],[Descuento_pct]]))</f>
        <v>13799.11</v>
      </c>
      <c r="P409" s="6" t="n">
        <f aca="false">IF(TablaVentas[[#This Row],[Costo_unitario]]="","PENDIENTE",TablaVentas[[#This Row],[Unidades]]*TablaVentas[[#This Row],[Costo_unitario]])</f>
        <v>11424.77</v>
      </c>
      <c r="Q409" s="6" t="n">
        <f aca="false">IF(OR(TablaVentas[[#This Row],[Ingreso_neto]]="PENDIENTE",TablaVentas[[#This Row],[Costo_total]]="PENDIENTE"),"PENDIENTE",TablaVentas[[#This Row],[Ingreso_neto]]-TablaVentas[[#This Row],[Costo_total]])</f>
        <v>2374.34</v>
      </c>
    </row>
    <row r="410" customFormat="false" ht="13.5" hidden="false" customHeight="false" outlineLevel="0" collapsed="false">
      <c r="A410" s="1" t="s">
        <v>466</v>
      </c>
      <c r="B410" s="1" t="n">
        <v>3</v>
      </c>
      <c r="C410" s="5" t="n">
        <v>46238</v>
      </c>
      <c r="D410" s="6" t="s">
        <v>467</v>
      </c>
      <c r="E410" s="6" t="s">
        <v>132</v>
      </c>
      <c r="F410" s="6" t="s">
        <v>46</v>
      </c>
      <c r="G410" s="6" t="s">
        <v>47</v>
      </c>
      <c r="H410" s="6" t="s">
        <v>74</v>
      </c>
      <c r="I410" s="1" t="n">
        <v>1</v>
      </c>
      <c r="J410" s="7" t="n">
        <v>1587.47</v>
      </c>
      <c r="K410" s="8" t="n">
        <v>0</v>
      </c>
      <c r="L410" s="7" t="n">
        <v>1044.32</v>
      </c>
      <c r="M410" s="6" t="s">
        <v>49</v>
      </c>
      <c r="N410" s="6" t="s">
        <v>50</v>
      </c>
      <c r="O410" s="6" t="n">
        <f aca="false">IF(TablaVentas[[#This Row],[Precio_unitario]]="","PENDIENTE",TablaVentas[[#This Row],[Unidades]]*TablaVentas[[#This Row],[Precio_unitario]]*(1-TablaVentas[[#This Row],[Descuento_pct]]))</f>
        <v>1587.47</v>
      </c>
      <c r="P410" s="6" t="n">
        <f aca="false">IF(TablaVentas[[#This Row],[Costo_unitario]]="","PENDIENTE",TablaVentas[[#This Row],[Unidades]]*TablaVentas[[#This Row],[Costo_unitario]])</f>
        <v>1044.32</v>
      </c>
      <c r="Q410" s="6" t="n">
        <f aca="false">IF(OR(TablaVentas[[#This Row],[Ingreso_neto]]="PENDIENTE",TablaVentas[[#This Row],[Costo_total]]="PENDIENTE"),"PENDIENTE",TablaVentas[[#This Row],[Ingreso_neto]]-TablaVentas[[#This Row],[Costo_total]])</f>
        <v>543.15</v>
      </c>
    </row>
    <row r="411" customFormat="false" ht="13.5" hidden="false" customHeight="false" outlineLevel="0" collapsed="false">
      <c r="A411" s="1" t="s">
        <v>468</v>
      </c>
      <c r="B411" s="1" t="n">
        <v>1</v>
      </c>
      <c r="C411" s="5" t="n">
        <v>46141</v>
      </c>
      <c r="D411" s="6" t="s">
        <v>469</v>
      </c>
      <c r="E411" s="6" t="s">
        <v>139</v>
      </c>
      <c r="F411" s="6" t="s">
        <v>46</v>
      </c>
      <c r="G411" s="6" t="s">
        <v>57</v>
      </c>
      <c r="H411" s="6" t="s">
        <v>65</v>
      </c>
      <c r="I411" s="1" t="n">
        <v>1</v>
      </c>
      <c r="J411" s="7" t="n">
        <v>18700.76</v>
      </c>
      <c r="K411" s="8" t="n">
        <v>0</v>
      </c>
      <c r="L411" s="7" t="n">
        <v>11036.95</v>
      </c>
      <c r="M411" s="6" t="s">
        <v>49</v>
      </c>
      <c r="N411" s="6" t="s">
        <v>50</v>
      </c>
      <c r="O411" s="6" t="n">
        <f aca="false">IF(TablaVentas[[#This Row],[Precio_unitario]]="","PENDIENTE",TablaVentas[[#This Row],[Unidades]]*TablaVentas[[#This Row],[Precio_unitario]]*(1-TablaVentas[[#This Row],[Descuento_pct]]))</f>
        <v>18700.76</v>
      </c>
      <c r="P411" s="6" t="n">
        <f aca="false">IF(TablaVentas[[#This Row],[Costo_unitario]]="","PENDIENTE",TablaVentas[[#This Row],[Unidades]]*TablaVentas[[#This Row],[Costo_unitario]])</f>
        <v>11036.95</v>
      </c>
      <c r="Q411" s="6" t="n">
        <f aca="false">IF(OR(TablaVentas[[#This Row],[Ingreso_neto]]="PENDIENTE",TablaVentas[[#This Row],[Costo_total]]="PENDIENTE"),"PENDIENTE",TablaVentas[[#This Row],[Ingreso_neto]]-TablaVentas[[#This Row],[Costo_total]])</f>
        <v>7663.81</v>
      </c>
    </row>
    <row r="412" customFormat="false" ht="13.5" hidden="false" customHeight="false" outlineLevel="0" collapsed="false">
      <c r="A412" s="1" t="s">
        <v>470</v>
      </c>
      <c r="B412" s="1" t="n">
        <v>1</v>
      </c>
      <c r="C412" s="5" t="n">
        <v>46291</v>
      </c>
      <c r="D412" s="6" t="s">
        <v>207</v>
      </c>
      <c r="E412" s="6" t="s">
        <v>53</v>
      </c>
      <c r="F412" s="6" t="s">
        <v>46</v>
      </c>
      <c r="G412" s="6" t="s">
        <v>64</v>
      </c>
      <c r="H412" s="6" t="s">
        <v>58</v>
      </c>
      <c r="I412" s="1" t="n">
        <v>1</v>
      </c>
      <c r="J412" s="7" t="n">
        <v>3887.96</v>
      </c>
      <c r="K412" s="8" t="n">
        <v>0.15</v>
      </c>
      <c r="L412" s="7" t="n">
        <v>2957.6</v>
      </c>
      <c r="M412" s="6" t="s">
        <v>123</v>
      </c>
      <c r="N412" s="6" t="s">
        <v>59</v>
      </c>
      <c r="O412" s="6" t="n">
        <f aca="false">IF(TablaVentas[[#This Row],[Precio_unitario]]="","PENDIENTE",TablaVentas[[#This Row],[Unidades]]*TablaVentas[[#This Row],[Precio_unitario]]*(1-TablaVentas[[#This Row],[Descuento_pct]]))</f>
        <v>3304.766</v>
      </c>
      <c r="P412" s="6" t="n">
        <f aca="false">IF(TablaVentas[[#This Row],[Costo_unitario]]="","PENDIENTE",TablaVentas[[#This Row],[Unidades]]*TablaVentas[[#This Row],[Costo_unitario]])</f>
        <v>2957.6</v>
      </c>
      <c r="Q412" s="6" t="n">
        <f aca="false">IF(OR(TablaVentas[[#This Row],[Ingreso_neto]]="PENDIENTE",TablaVentas[[#This Row],[Costo_total]]="PENDIENTE"),"PENDIENTE",TablaVentas[[#This Row],[Ingreso_neto]]-TablaVentas[[#This Row],[Costo_total]])</f>
        <v>347.166</v>
      </c>
    </row>
    <row r="413" customFormat="false" ht="13.5" hidden="false" customHeight="false" outlineLevel="0" collapsed="false">
      <c r="A413" s="1" t="s">
        <v>470</v>
      </c>
      <c r="B413" s="1" t="n">
        <v>2</v>
      </c>
      <c r="C413" s="5" t="n">
        <v>46291</v>
      </c>
      <c r="D413" s="6" t="s">
        <v>207</v>
      </c>
      <c r="E413" s="6" t="s">
        <v>105</v>
      </c>
      <c r="F413" s="6" t="s">
        <v>46</v>
      </c>
      <c r="G413" s="6" t="s">
        <v>64</v>
      </c>
      <c r="H413" s="6" t="s">
        <v>58</v>
      </c>
      <c r="I413" s="1" t="n">
        <v>4</v>
      </c>
      <c r="J413" s="7" t="n">
        <v>16262.44</v>
      </c>
      <c r="K413" s="8" t="n">
        <v>0.2</v>
      </c>
      <c r="L413" s="7" t="n">
        <v>9881</v>
      </c>
      <c r="M413" s="6" t="s">
        <v>49</v>
      </c>
      <c r="N413" s="6" t="s">
        <v>50</v>
      </c>
      <c r="O413" s="6" t="n">
        <f aca="false">IF(TablaVentas[[#This Row],[Precio_unitario]]="","PENDIENTE",TablaVentas[[#This Row],[Unidades]]*TablaVentas[[#This Row],[Precio_unitario]]*(1-TablaVentas[[#This Row],[Descuento_pct]]))</f>
        <v>52039.808</v>
      </c>
      <c r="P413" s="6" t="n">
        <f aca="false">IF(TablaVentas[[#This Row],[Costo_unitario]]="","PENDIENTE",TablaVentas[[#This Row],[Unidades]]*TablaVentas[[#This Row],[Costo_unitario]])</f>
        <v>39524</v>
      </c>
      <c r="Q413" s="6" t="n">
        <f aca="false">IF(OR(TablaVentas[[#This Row],[Ingreso_neto]]="PENDIENTE",TablaVentas[[#This Row],[Costo_total]]="PENDIENTE"),"PENDIENTE",TablaVentas[[#This Row],[Ingreso_neto]]-TablaVentas[[#This Row],[Costo_total]])</f>
        <v>12515.808</v>
      </c>
    </row>
    <row r="414" customFormat="false" ht="13.5" hidden="false" customHeight="false" outlineLevel="0" collapsed="false">
      <c r="A414" s="1" t="s">
        <v>471</v>
      </c>
      <c r="B414" s="1" t="n">
        <v>1</v>
      </c>
      <c r="C414" s="5" t="n">
        <v>46054</v>
      </c>
      <c r="D414" s="6" t="s">
        <v>472</v>
      </c>
      <c r="E414" s="6" t="s">
        <v>151</v>
      </c>
      <c r="F414" s="6" t="s">
        <v>84</v>
      </c>
      <c r="G414" s="6" t="s">
        <v>47</v>
      </c>
      <c r="H414" s="6" t="s">
        <v>65</v>
      </c>
      <c r="I414" s="1" t="n">
        <v>1</v>
      </c>
      <c r="J414" s="7" t="n">
        <v>8402.19</v>
      </c>
      <c r="K414" s="8" t="n">
        <v>0.1</v>
      </c>
      <c r="L414" s="7" t="n">
        <v>5125.36</v>
      </c>
      <c r="M414" s="6" t="s">
        <v>49</v>
      </c>
      <c r="N414" s="6" t="s">
        <v>67</v>
      </c>
      <c r="O414" s="6" t="n">
        <f aca="false">IF(TablaVentas[[#This Row],[Precio_unitario]]="","PENDIENTE",TablaVentas[[#This Row],[Unidades]]*TablaVentas[[#This Row],[Precio_unitario]]*(1-TablaVentas[[#This Row],[Descuento_pct]]))</f>
        <v>7561.971</v>
      </c>
      <c r="P414" s="6" t="n">
        <f aca="false">IF(TablaVentas[[#This Row],[Costo_unitario]]="","PENDIENTE",TablaVentas[[#This Row],[Unidades]]*TablaVentas[[#This Row],[Costo_unitario]])</f>
        <v>5125.36</v>
      </c>
      <c r="Q414" s="6" t="n">
        <f aca="false">IF(OR(TablaVentas[[#This Row],[Ingreso_neto]]="PENDIENTE",TablaVentas[[#This Row],[Costo_total]]="PENDIENTE"),"PENDIENTE",TablaVentas[[#This Row],[Ingreso_neto]]-TablaVentas[[#This Row],[Costo_total]])</f>
        <v>2436.611</v>
      </c>
    </row>
    <row r="415" customFormat="false" ht="13.5" hidden="false" customHeight="false" outlineLevel="0" collapsed="false">
      <c r="A415" s="1" t="s">
        <v>471</v>
      </c>
      <c r="B415" s="1" t="n">
        <v>2</v>
      </c>
      <c r="C415" s="5" t="n">
        <v>46054</v>
      </c>
      <c r="D415" s="6" t="s">
        <v>472</v>
      </c>
      <c r="E415" s="6" t="s">
        <v>284</v>
      </c>
      <c r="F415" s="6" t="s">
        <v>84</v>
      </c>
      <c r="G415" s="6" t="s">
        <v>47</v>
      </c>
      <c r="H415" s="6" t="s">
        <v>65</v>
      </c>
      <c r="I415" s="1" t="n">
        <v>3</v>
      </c>
      <c r="J415" s="7" t="n">
        <v>6743.29</v>
      </c>
      <c r="K415" s="8" t="n">
        <v>0</v>
      </c>
      <c r="L415" s="7" t="n">
        <v>4858.08</v>
      </c>
      <c r="M415" s="6" t="s">
        <v>49</v>
      </c>
      <c r="N415" s="6" t="s">
        <v>50</v>
      </c>
      <c r="O415" s="6" t="n">
        <f aca="false">IF(TablaVentas[[#This Row],[Precio_unitario]]="","PENDIENTE",TablaVentas[[#This Row],[Unidades]]*TablaVentas[[#This Row],[Precio_unitario]]*(1-TablaVentas[[#This Row],[Descuento_pct]]))</f>
        <v>20229.87</v>
      </c>
      <c r="P415" s="6" t="n">
        <f aca="false">IF(TablaVentas[[#This Row],[Costo_unitario]]="","PENDIENTE",TablaVentas[[#This Row],[Unidades]]*TablaVentas[[#This Row],[Costo_unitario]])</f>
        <v>14574.24</v>
      </c>
      <c r="Q415" s="6" t="n">
        <f aca="false">IF(OR(TablaVentas[[#This Row],[Ingreso_neto]]="PENDIENTE",TablaVentas[[#This Row],[Costo_total]]="PENDIENTE"),"PENDIENTE",TablaVentas[[#This Row],[Ingreso_neto]]-TablaVentas[[#This Row],[Costo_total]])</f>
        <v>5655.63</v>
      </c>
    </row>
    <row r="416" customFormat="false" ht="13.5" hidden="false" customHeight="false" outlineLevel="0" collapsed="false">
      <c r="A416" s="1" t="s">
        <v>473</v>
      </c>
      <c r="B416" s="1" t="n">
        <v>1</v>
      </c>
      <c r="C416" s="5" t="n">
        <v>46127</v>
      </c>
      <c r="D416" s="6" t="s">
        <v>436</v>
      </c>
      <c r="E416" s="6" t="s">
        <v>215</v>
      </c>
      <c r="F416" s="6" t="s">
        <v>46</v>
      </c>
      <c r="G416" s="6" t="s">
        <v>47</v>
      </c>
      <c r="H416" s="6" t="s">
        <v>48</v>
      </c>
      <c r="I416" s="1" t="n">
        <v>2</v>
      </c>
      <c r="J416" s="7" t="n">
        <v>9888.79</v>
      </c>
      <c r="K416" s="8" t="n">
        <v>0.15</v>
      </c>
      <c r="L416" s="7" t="n">
        <v>5535.31</v>
      </c>
      <c r="M416" s="6" t="s">
        <v>49</v>
      </c>
      <c r="N416" s="6" t="s">
        <v>67</v>
      </c>
      <c r="O416" s="6" t="n">
        <f aca="false">IF(TablaVentas[[#This Row],[Precio_unitario]]="","PENDIENTE",TablaVentas[[#This Row],[Unidades]]*TablaVentas[[#This Row],[Precio_unitario]]*(1-TablaVentas[[#This Row],[Descuento_pct]]))</f>
        <v>16810.943</v>
      </c>
      <c r="P416" s="6" t="n">
        <f aca="false">IF(TablaVentas[[#This Row],[Costo_unitario]]="","PENDIENTE",TablaVentas[[#This Row],[Unidades]]*TablaVentas[[#This Row],[Costo_unitario]])</f>
        <v>11070.62</v>
      </c>
      <c r="Q416" s="6" t="n">
        <f aca="false">IF(OR(TablaVentas[[#This Row],[Ingreso_neto]]="PENDIENTE",TablaVentas[[#This Row],[Costo_total]]="PENDIENTE"),"PENDIENTE",TablaVentas[[#This Row],[Ingreso_neto]]-TablaVentas[[#This Row],[Costo_total]])</f>
        <v>5740.323</v>
      </c>
    </row>
    <row r="417" customFormat="false" ht="13.5" hidden="false" customHeight="false" outlineLevel="0" collapsed="false">
      <c r="A417" s="1" t="s">
        <v>473</v>
      </c>
      <c r="B417" s="1" t="n">
        <v>2</v>
      </c>
      <c r="C417" s="5" t="n">
        <v>46127</v>
      </c>
      <c r="D417" s="6" t="s">
        <v>436</v>
      </c>
      <c r="E417" s="6" t="s">
        <v>68</v>
      </c>
      <c r="F417" s="6" t="s">
        <v>46</v>
      </c>
      <c r="G417" s="6" t="s">
        <v>47</v>
      </c>
      <c r="H417" s="6" t="s">
        <v>48</v>
      </c>
      <c r="I417" s="1" t="n">
        <v>12</v>
      </c>
      <c r="J417" s="7" t="n">
        <v>4182.62</v>
      </c>
      <c r="K417" s="8" t="n">
        <v>0</v>
      </c>
      <c r="L417" s="7" t="n">
        <v>2554.06</v>
      </c>
      <c r="M417" s="6" t="s">
        <v>49</v>
      </c>
      <c r="N417" s="6" t="s">
        <v>50</v>
      </c>
      <c r="O417" s="6" t="n">
        <f aca="false">IF(TablaVentas[[#This Row],[Precio_unitario]]="","PENDIENTE",TablaVentas[[#This Row],[Unidades]]*TablaVentas[[#This Row],[Precio_unitario]]*(1-TablaVentas[[#This Row],[Descuento_pct]]))</f>
        <v>50191.44</v>
      </c>
      <c r="P417" s="6" t="n">
        <f aca="false">IF(TablaVentas[[#This Row],[Costo_unitario]]="","PENDIENTE",TablaVentas[[#This Row],[Unidades]]*TablaVentas[[#This Row],[Costo_unitario]])</f>
        <v>30648.72</v>
      </c>
      <c r="Q417" s="6" t="n">
        <f aca="false">IF(OR(TablaVentas[[#This Row],[Ingreso_neto]]="PENDIENTE",TablaVentas[[#This Row],[Costo_total]]="PENDIENTE"),"PENDIENTE",TablaVentas[[#This Row],[Ingreso_neto]]-TablaVentas[[#This Row],[Costo_total]])</f>
        <v>19542.72</v>
      </c>
    </row>
    <row r="418" customFormat="false" ht="13.5" hidden="false" customHeight="false" outlineLevel="0" collapsed="false">
      <c r="A418" s="1" t="s">
        <v>474</v>
      </c>
      <c r="B418" s="1" t="n">
        <v>1</v>
      </c>
      <c r="C418" s="5" t="n">
        <v>46051</v>
      </c>
      <c r="D418" s="6" t="s">
        <v>288</v>
      </c>
      <c r="E418" s="6" t="s">
        <v>132</v>
      </c>
      <c r="F418" s="6" t="s">
        <v>63</v>
      </c>
      <c r="G418" s="6" t="s">
        <v>47</v>
      </c>
      <c r="H418" s="6" t="s">
        <v>58</v>
      </c>
      <c r="I418" s="1" t="n">
        <v>1</v>
      </c>
      <c r="J418" s="7" t="n">
        <v>1814.84</v>
      </c>
      <c r="K418" s="8" t="n">
        <v>0</v>
      </c>
      <c r="L418" s="7" t="n">
        <v>1044.32</v>
      </c>
      <c r="M418" s="6" t="s">
        <v>123</v>
      </c>
      <c r="N418" s="6" t="s">
        <v>52</v>
      </c>
      <c r="O418" s="6" t="n">
        <f aca="false">IF(TablaVentas[[#This Row],[Precio_unitario]]="","PENDIENTE",TablaVentas[[#This Row],[Unidades]]*TablaVentas[[#This Row],[Precio_unitario]]*(1-TablaVentas[[#This Row],[Descuento_pct]]))</f>
        <v>1814.84</v>
      </c>
      <c r="P418" s="6" t="n">
        <f aca="false">IF(TablaVentas[[#This Row],[Costo_unitario]]="","PENDIENTE",TablaVentas[[#This Row],[Unidades]]*TablaVentas[[#This Row],[Costo_unitario]])</f>
        <v>1044.32</v>
      </c>
      <c r="Q418" s="6" t="n">
        <f aca="false">IF(OR(TablaVentas[[#This Row],[Ingreso_neto]]="PENDIENTE",TablaVentas[[#This Row],[Costo_total]]="PENDIENTE"),"PENDIENTE",TablaVentas[[#This Row],[Ingreso_neto]]-TablaVentas[[#This Row],[Costo_total]])</f>
        <v>770.52</v>
      </c>
    </row>
    <row r="419" customFormat="false" ht="13.5" hidden="false" customHeight="false" outlineLevel="0" collapsed="false">
      <c r="A419" s="1" t="s">
        <v>474</v>
      </c>
      <c r="B419" s="1" t="n">
        <v>2</v>
      </c>
      <c r="C419" s="5" t="n">
        <v>46051</v>
      </c>
      <c r="D419" s="6" t="s">
        <v>288</v>
      </c>
      <c r="E419" s="6" t="s">
        <v>72</v>
      </c>
      <c r="F419" s="6" t="s">
        <v>63</v>
      </c>
      <c r="G419" s="6" t="s">
        <v>47</v>
      </c>
      <c r="H419" s="6" t="s">
        <v>58</v>
      </c>
      <c r="I419" s="1" t="n">
        <v>4</v>
      </c>
      <c r="J419" s="7" t="n">
        <v>11220.8</v>
      </c>
      <c r="K419" s="8" t="n">
        <v>0.15</v>
      </c>
      <c r="L419" s="7" t="n">
        <v>7328.02</v>
      </c>
      <c r="M419" s="6" t="s">
        <v>49</v>
      </c>
      <c r="N419" s="6" t="s">
        <v>59</v>
      </c>
      <c r="O419" s="6" t="n">
        <f aca="false">IF(TablaVentas[[#This Row],[Precio_unitario]]="","PENDIENTE",TablaVentas[[#This Row],[Unidades]]*TablaVentas[[#This Row],[Precio_unitario]]*(1-TablaVentas[[#This Row],[Descuento_pct]]))</f>
        <v>38150.72</v>
      </c>
      <c r="P419" s="6" t="n">
        <f aca="false">IF(TablaVentas[[#This Row],[Costo_unitario]]="","PENDIENTE",TablaVentas[[#This Row],[Unidades]]*TablaVentas[[#This Row],[Costo_unitario]])</f>
        <v>29312.08</v>
      </c>
      <c r="Q419" s="6" t="n">
        <f aca="false">IF(OR(TablaVentas[[#This Row],[Ingreso_neto]]="PENDIENTE",TablaVentas[[#This Row],[Costo_total]]="PENDIENTE"),"PENDIENTE",TablaVentas[[#This Row],[Ingreso_neto]]-TablaVentas[[#This Row],[Costo_total]])</f>
        <v>8838.63999999999</v>
      </c>
    </row>
    <row r="420" customFormat="false" ht="13.5" hidden="false" customHeight="false" outlineLevel="0" collapsed="false">
      <c r="A420" s="1" t="s">
        <v>474</v>
      </c>
      <c r="B420" s="1" t="n">
        <v>3</v>
      </c>
      <c r="C420" s="5" t="n">
        <v>46051</v>
      </c>
      <c r="D420" s="6" t="s">
        <v>288</v>
      </c>
      <c r="E420" s="6" t="s">
        <v>66</v>
      </c>
      <c r="F420" s="6" t="s">
        <v>63</v>
      </c>
      <c r="G420" s="6" t="s">
        <v>47</v>
      </c>
      <c r="H420" s="6" t="s">
        <v>58</v>
      </c>
      <c r="I420" s="1" t="n">
        <v>1</v>
      </c>
      <c r="J420" s="7" t="n">
        <v>12740.15</v>
      </c>
      <c r="K420" s="8" t="n">
        <v>0</v>
      </c>
      <c r="L420" s="7" t="n">
        <v>10170.29</v>
      </c>
      <c r="M420" s="6" t="s">
        <v>49</v>
      </c>
      <c r="N420" s="6" t="s">
        <v>59</v>
      </c>
      <c r="O420" s="6" t="n">
        <f aca="false">IF(TablaVentas[[#This Row],[Precio_unitario]]="","PENDIENTE",TablaVentas[[#This Row],[Unidades]]*TablaVentas[[#This Row],[Precio_unitario]]*(1-TablaVentas[[#This Row],[Descuento_pct]]))</f>
        <v>12740.15</v>
      </c>
      <c r="P420" s="6" t="n">
        <f aca="false">IF(TablaVentas[[#This Row],[Costo_unitario]]="","PENDIENTE",TablaVentas[[#This Row],[Unidades]]*TablaVentas[[#This Row],[Costo_unitario]])</f>
        <v>10170.29</v>
      </c>
      <c r="Q420" s="6" t="n">
        <f aca="false">IF(OR(TablaVentas[[#This Row],[Ingreso_neto]]="PENDIENTE",TablaVentas[[#This Row],[Costo_total]]="PENDIENTE"),"PENDIENTE",TablaVentas[[#This Row],[Ingreso_neto]]-TablaVentas[[#This Row],[Costo_total]])</f>
        <v>2569.86</v>
      </c>
    </row>
    <row r="421" customFormat="false" ht="13.5" hidden="false" customHeight="false" outlineLevel="0" collapsed="false">
      <c r="A421" s="1" t="s">
        <v>475</v>
      </c>
      <c r="B421" s="1" t="n">
        <v>1</v>
      </c>
      <c r="C421" s="5" t="n">
        <v>46202</v>
      </c>
      <c r="D421" s="6" t="s">
        <v>409</v>
      </c>
      <c r="E421" s="6" t="s">
        <v>150</v>
      </c>
      <c r="F421" s="6" t="s">
        <v>46</v>
      </c>
      <c r="G421" s="6" t="s">
        <v>64</v>
      </c>
      <c r="H421" s="6" t="s">
        <v>65</v>
      </c>
      <c r="I421" s="1" t="n">
        <v>3</v>
      </c>
      <c r="J421" s="7" t="n">
        <v>8562.19</v>
      </c>
      <c r="K421" s="8" t="n">
        <v>0</v>
      </c>
      <c r="L421" s="7" t="n">
        <v>6815.42</v>
      </c>
      <c r="M421" s="6" t="s">
        <v>123</v>
      </c>
      <c r="N421" s="6" t="s">
        <v>50</v>
      </c>
      <c r="O421" s="6" t="n">
        <f aca="false">IF(TablaVentas[[#This Row],[Precio_unitario]]="","PENDIENTE",TablaVentas[[#This Row],[Unidades]]*TablaVentas[[#This Row],[Precio_unitario]]*(1-TablaVentas[[#This Row],[Descuento_pct]]))</f>
        <v>25686.57</v>
      </c>
      <c r="P421" s="6" t="n">
        <f aca="false">IF(TablaVentas[[#This Row],[Costo_unitario]]="","PENDIENTE",TablaVentas[[#This Row],[Unidades]]*TablaVentas[[#This Row],[Costo_unitario]])</f>
        <v>20446.26</v>
      </c>
      <c r="Q421" s="6" t="n">
        <f aca="false">IF(OR(TablaVentas[[#This Row],[Ingreso_neto]]="PENDIENTE",TablaVentas[[#This Row],[Costo_total]]="PENDIENTE"),"PENDIENTE",TablaVentas[[#This Row],[Ingreso_neto]]-TablaVentas[[#This Row],[Costo_total]])</f>
        <v>5240.31</v>
      </c>
    </row>
    <row r="422" customFormat="false" ht="13.5" hidden="false" customHeight="false" outlineLevel="0" collapsed="false">
      <c r="A422" s="1" t="s">
        <v>476</v>
      </c>
      <c r="B422" s="1" t="n">
        <v>1</v>
      </c>
      <c r="C422" s="5" t="n">
        <v>46074</v>
      </c>
      <c r="D422" s="6" t="s">
        <v>196</v>
      </c>
      <c r="E422" s="6" t="s">
        <v>200</v>
      </c>
      <c r="F422" s="6" t="s">
        <v>73</v>
      </c>
      <c r="G422" s="6" t="s">
        <v>57</v>
      </c>
      <c r="H422" s="6" t="s">
        <v>58</v>
      </c>
      <c r="I422" s="1" t="n">
        <v>1</v>
      </c>
      <c r="J422" s="7" t="n">
        <v>10895.84</v>
      </c>
      <c r="K422" s="8" t="n">
        <v>0</v>
      </c>
      <c r="L422" s="7" t="n">
        <v>5811.72</v>
      </c>
      <c r="M422" s="6" t="s">
        <v>123</v>
      </c>
      <c r="N422" s="6" t="s">
        <v>67</v>
      </c>
      <c r="O422" s="6" t="n">
        <f aca="false">IF(TablaVentas[[#This Row],[Precio_unitario]]="","PENDIENTE",TablaVentas[[#This Row],[Unidades]]*TablaVentas[[#This Row],[Precio_unitario]]*(1-TablaVentas[[#This Row],[Descuento_pct]]))</f>
        <v>10895.84</v>
      </c>
      <c r="P422" s="6" t="n">
        <f aca="false">IF(TablaVentas[[#This Row],[Costo_unitario]]="","PENDIENTE",TablaVentas[[#This Row],[Unidades]]*TablaVentas[[#This Row],[Costo_unitario]])</f>
        <v>5811.72</v>
      </c>
      <c r="Q422" s="6" t="n">
        <f aca="false">IF(OR(TablaVentas[[#This Row],[Ingreso_neto]]="PENDIENTE",TablaVentas[[#This Row],[Costo_total]]="PENDIENTE"),"PENDIENTE",TablaVentas[[#This Row],[Ingreso_neto]]-TablaVentas[[#This Row],[Costo_total]])</f>
        <v>5084.12</v>
      </c>
    </row>
    <row r="423" customFormat="false" ht="13.5" hidden="false" customHeight="false" outlineLevel="0" collapsed="false">
      <c r="A423" s="1" t="s">
        <v>476</v>
      </c>
      <c r="B423" s="1" t="n">
        <v>2</v>
      </c>
      <c r="C423" s="5" t="n">
        <v>46074</v>
      </c>
      <c r="D423" s="6" t="s">
        <v>196</v>
      </c>
      <c r="E423" s="6" t="s">
        <v>135</v>
      </c>
      <c r="F423" s="6" t="s">
        <v>73</v>
      </c>
      <c r="G423" s="6" t="s">
        <v>57</v>
      </c>
      <c r="H423" s="6" t="s">
        <v>58</v>
      </c>
      <c r="I423" s="1" t="n">
        <v>1</v>
      </c>
      <c r="J423" s="7" t="n">
        <v>1438.06</v>
      </c>
      <c r="K423" s="8" t="n">
        <v>0</v>
      </c>
      <c r="L423" s="7" t="n">
        <v>900.08</v>
      </c>
      <c r="M423" s="6" t="s">
        <v>49</v>
      </c>
      <c r="N423" s="6" t="s">
        <v>59</v>
      </c>
      <c r="O423" s="6" t="n">
        <f aca="false">IF(TablaVentas[[#This Row],[Precio_unitario]]="","PENDIENTE",TablaVentas[[#This Row],[Unidades]]*TablaVentas[[#This Row],[Precio_unitario]]*(1-TablaVentas[[#This Row],[Descuento_pct]]))</f>
        <v>1438.06</v>
      </c>
      <c r="P423" s="6" t="n">
        <f aca="false">IF(TablaVentas[[#This Row],[Costo_unitario]]="","PENDIENTE",TablaVentas[[#This Row],[Unidades]]*TablaVentas[[#This Row],[Costo_unitario]])</f>
        <v>900.08</v>
      </c>
      <c r="Q423" s="6" t="n">
        <f aca="false">IF(OR(TablaVentas[[#This Row],[Ingreso_neto]]="PENDIENTE",TablaVentas[[#This Row],[Costo_total]]="PENDIENTE"),"PENDIENTE",TablaVentas[[#This Row],[Ingreso_neto]]-TablaVentas[[#This Row],[Costo_total]])</f>
        <v>537.98</v>
      </c>
    </row>
    <row r="424" customFormat="false" ht="13.5" hidden="false" customHeight="false" outlineLevel="0" collapsed="false">
      <c r="A424" s="1" t="s">
        <v>476</v>
      </c>
      <c r="B424" s="1" t="n">
        <v>3</v>
      </c>
      <c r="C424" s="5" t="n">
        <v>46074</v>
      </c>
      <c r="D424" s="6" t="s">
        <v>196</v>
      </c>
      <c r="E424" s="6" t="s">
        <v>66</v>
      </c>
      <c r="F424" s="6" t="s">
        <v>73</v>
      </c>
      <c r="G424" s="6" t="s">
        <v>57</v>
      </c>
      <c r="H424" s="6" t="s">
        <v>58</v>
      </c>
      <c r="I424" s="1" t="n">
        <v>2</v>
      </c>
      <c r="J424" s="7" t="n">
        <v>14809.11</v>
      </c>
      <c r="K424" s="8" t="n">
        <v>0.15</v>
      </c>
      <c r="L424" s="7" t="n">
        <v>10170.29</v>
      </c>
      <c r="M424" s="6" t="s">
        <v>49</v>
      </c>
      <c r="N424" s="6" t="s">
        <v>50</v>
      </c>
      <c r="O424" s="6" t="n">
        <f aca="false">IF(TablaVentas[[#This Row],[Precio_unitario]]="","PENDIENTE",TablaVentas[[#This Row],[Unidades]]*TablaVentas[[#This Row],[Precio_unitario]]*(1-TablaVentas[[#This Row],[Descuento_pct]]))</f>
        <v>25175.487</v>
      </c>
      <c r="P424" s="6" t="n">
        <f aca="false">IF(TablaVentas[[#This Row],[Costo_unitario]]="","PENDIENTE",TablaVentas[[#This Row],[Unidades]]*TablaVentas[[#This Row],[Costo_unitario]])</f>
        <v>20340.58</v>
      </c>
      <c r="Q424" s="6" t="n">
        <f aca="false">IF(OR(TablaVentas[[#This Row],[Ingreso_neto]]="PENDIENTE",TablaVentas[[#This Row],[Costo_total]]="PENDIENTE"),"PENDIENTE",TablaVentas[[#This Row],[Ingreso_neto]]-TablaVentas[[#This Row],[Costo_total]])</f>
        <v>4834.907</v>
      </c>
    </row>
    <row r="425" customFormat="false" ht="13.5" hidden="false" customHeight="false" outlineLevel="0" collapsed="false">
      <c r="A425" s="1" t="s">
        <v>477</v>
      </c>
      <c r="B425" s="1" t="n">
        <v>1</v>
      </c>
      <c r="C425" s="5" t="n">
        <v>46077</v>
      </c>
      <c r="D425" s="6" t="s">
        <v>178</v>
      </c>
      <c r="E425" s="6" t="s">
        <v>132</v>
      </c>
      <c r="F425" s="6" t="s">
        <v>46</v>
      </c>
      <c r="G425" s="6" t="s">
        <v>47</v>
      </c>
      <c r="H425" s="6" t="s">
        <v>136</v>
      </c>
      <c r="I425" s="1" t="n">
        <v>1</v>
      </c>
      <c r="J425" s="7" t="n">
        <v>1592.4</v>
      </c>
      <c r="K425" s="8" t="n">
        <v>0</v>
      </c>
      <c r="L425" s="7" t="n">
        <v>1044.32</v>
      </c>
      <c r="M425" s="6" t="s">
        <v>69</v>
      </c>
      <c r="N425" s="6" t="s">
        <v>59</v>
      </c>
      <c r="O425" s="6" t="n">
        <f aca="false">IF(TablaVentas[[#This Row],[Precio_unitario]]="","PENDIENTE",TablaVentas[[#This Row],[Unidades]]*TablaVentas[[#This Row],[Precio_unitario]]*(1-TablaVentas[[#This Row],[Descuento_pct]]))</f>
        <v>1592.4</v>
      </c>
      <c r="P425" s="6" t="n">
        <f aca="false">IF(TablaVentas[[#This Row],[Costo_unitario]]="","PENDIENTE",TablaVentas[[#This Row],[Unidades]]*TablaVentas[[#This Row],[Costo_unitario]])</f>
        <v>1044.32</v>
      </c>
      <c r="Q425" s="6" t="n">
        <f aca="false">IF(OR(TablaVentas[[#This Row],[Ingreso_neto]]="PENDIENTE",TablaVentas[[#This Row],[Costo_total]]="PENDIENTE"),"PENDIENTE",TablaVentas[[#This Row],[Ingreso_neto]]-TablaVentas[[#This Row],[Costo_total]])</f>
        <v>548.08</v>
      </c>
    </row>
    <row r="426" customFormat="false" ht="13.5" hidden="false" customHeight="false" outlineLevel="0" collapsed="false">
      <c r="A426" s="1" t="s">
        <v>477</v>
      </c>
      <c r="B426" s="1" t="n">
        <v>2</v>
      </c>
      <c r="C426" s="5" t="n">
        <v>46077</v>
      </c>
      <c r="D426" s="6" t="s">
        <v>178</v>
      </c>
      <c r="E426" s="6" t="s">
        <v>85</v>
      </c>
      <c r="F426" s="6" t="s">
        <v>46</v>
      </c>
      <c r="G426" s="6" t="s">
        <v>47</v>
      </c>
      <c r="H426" s="6" t="s">
        <v>136</v>
      </c>
      <c r="I426" s="1" t="n">
        <v>2</v>
      </c>
      <c r="J426" s="7" t="n">
        <v>10094.77</v>
      </c>
      <c r="K426" s="8" t="n">
        <v>0.05</v>
      </c>
      <c r="L426" s="7" t="n">
        <v>5033.47</v>
      </c>
      <c r="M426" s="6" t="s">
        <v>49</v>
      </c>
      <c r="N426" s="6" t="s">
        <v>59</v>
      </c>
      <c r="O426" s="6" t="n">
        <f aca="false">IF(TablaVentas[[#This Row],[Precio_unitario]]="","PENDIENTE",TablaVentas[[#This Row],[Unidades]]*TablaVentas[[#This Row],[Precio_unitario]]*(1-TablaVentas[[#This Row],[Descuento_pct]]))</f>
        <v>19180.063</v>
      </c>
      <c r="P426" s="6" t="n">
        <f aca="false">IF(TablaVentas[[#This Row],[Costo_unitario]]="","PENDIENTE",TablaVentas[[#This Row],[Unidades]]*TablaVentas[[#This Row],[Costo_unitario]])</f>
        <v>10066.94</v>
      </c>
      <c r="Q426" s="6" t="n">
        <f aca="false">IF(OR(TablaVentas[[#This Row],[Ingreso_neto]]="PENDIENTE",TablaVentas[[#This Row],[Costo_total]]="PENDIENTE"),"PENDIENTE",TablaVentas[[#This Row],[Ingreso_neto]]-TablaVentas[[#This Row],[Costo_total]])</f>
        <v>9113.123</v>
      </c>
    </row>
    <row r="427" customFormat="false" ht="13.5" hidden="false" customHeight="false" outlineLevel="0" collapsed="false">
      <c r="A427" s="1" t="s">
        <v>477</v>
      </c>
      <c r="B427" s="1" t="n">
        <v>3</v>
      </c>
      <c r="C427" s="5" t="n">
        <v>46077</v>
      </c>
      <c r="D427" s="6" t="s">
        <v>178</v>
      </c>
      <c r="E427" s="6" t="s">
        <v>97</v>
      </c>
      <c r="F427" s="6" t="s">
        <v>46</v>
      </c>
      <c r="G427" s="6" t="s">
        <v>47</v>
      </c>
      <c r="H427" s="6" t="s">
        <v>136</v>
      </c>
      <c r="I427" s="1" t="n">
        <v>3</v>
      </c>
      <c r="J427" s="7" t="n">
        <v>11149.2</v>
      </c>
      <c r="K427" s="8" t="n">
        <v>0</v>
      </c>
      <c r="L427" s="7" t="n">
        <v>8174.87</v>
      </c>
      <c r="M427" s="6" t="s">
        <v>49</v>
      </c>
      <c r="N427" s="6" t="s">
        <v>67</v>
      </c>
      <c r="O427" s="6" t="n">
        <f aca="false">IF(TablaVentas[[#This Row],[Precio_unitario]]="","PENDIENTE",TablaVentas[[#This Row],[Unidades]]*TablaVentas[[#This Row],[Precio_unitario]]*(1-TablaVentas[[#This Row],[Descuento_pct]]))</f>
        <v>33447.6</v>
      </c>
      <c r="P427" s="6" t="n">
        <f aca="false">IF(TablaVentas[[#This Row],[Costo_unitario]]="","PENDIENTE",TablaVentas[[#This Row],[Unidades]]*TablaVentas[[#This Row],[Costo_unitario]])</f>
        <v>24524.61</v>
      </c>
      <c r="Q427" s="6" t="n">
        <f aca="false">IF(OR(TablaVentas[[#This Row],[Ingreso_neto]]="PENDIENTE",TablaVentas[[#This Row],[Costo_total]]="PENDIENTE"),"PENDIENTE",TablaVentas[[#This Row],[Ingreso_neto]]-TablaVentas[[#This Row],[Costo_total]])</f>
        <v>8922.99000000001</v>
      </c>
    </row>
    <row r="428" customFormat="false" ht="13.5" hidden="false" customHeight="false" outlineLevel="0" collapsed="false">
      <c r="A428" s="1" t="s">
        <v>477</v>
      </c>
      <c r="B428" s="1" t="n">
        <v>4</v>
      </c>
      <c r="C428" s="5" t="n">
        <v>46077</v>
      </c>
      <c r="D428" s="6" t="s">
        <v>178</v>
      </c>
      <c r="E428" s="6" t="s">
        <v>141</v>
      </c>
      <c r="F428" s="6" t="s">
        <v>46</v>
      </c>
      <c r="G428" s="6" t="s">
        <v>47</v>
      </c>
      <c r="H428" s="6" t="s">
        <v>136</v>
      </c>
      <c r="I428" s="1" t="n">
        <v>1</v>
      </c>
      <c r="J428" s="7" t="n">
        <v>256.4</v>
      </c>
      <c r="K428" s="8" t="n">
        <v>0</v>
      </c>
      <c r="L428" s="7" t="n">
        <v>176.47</v>
      </c>
      <c r="M428" s="6" t="s">
        <v>49</v>
      </c>
      <c r="N428" s="6" t="s">
        <v>67</v>
      </c>
      <c r="O428" s="6" t="n">
        <f aca="false">IF(TablaVentas[[#This Row],[Precio_unitario]]="","PENDIENTE",TablaVentas[[#This Row],[Unidades]]*TablaVentas[[#This Row],[Precio_unitario]]*(1-TablaVentas[[#This Row],[Descuento_pct]]))</f>
        <v>256.4</v>
      </c>
      <c r="P428" s="6" t="n">
        <f aca="false">IF(TablaVentas[[#This Row],[Costo_unitario]]="","PENDIENTE",TablaVentas[[#This Row],[Unidades]]*TablaVentas[[#This Row],[Costo_unitario]])</f>
        <v>176.47</v>
      </c>
      <c r="Q428" s="6" t="n">
        <f aca="false">IF(OR(TablaVentas[[#This Row],[Ingreso_neto]]="PENDIENTE",TablaVentas[[#This Row],[Costo_total]]="PENDIENTE"),"PENDIENTE",TablaVentas[[#This Row],[Ingreso_neto]]-TablaVentas[[#This Row],[Costo_total]])</f>
        <v>79.93</v>
      </c>
    </row>
    <row r="429" customFormat="false" ht="13.5" hidden="false" customHeight="false" outlineLevel="0" collapsed="false">
      <c r="A429" s="1" t="s">
        <v>477</v>
      </c>
      <c r="B429" s="1" t="n">
        <v>5</v>
      </c>
      <c r="C429" s="5" t="n">
        <v>46077</v>
      </c>
      <c r="D429" s="6" t="s">
        <v>178</v>
      </c>
      <c r="E429" s="6" t="s">
        <v>142</v>
      </c>
      <c r="F429" s="6" t="s">
        <v>46</v>
      </c>
      <c r="G429" s="6" t="s">
        <v>47</v>
      </c>
      <c r="H429" s="6" t="s">
        <v>136</v>
      </c>
      <c r="I429" s="1" t="n">
        <v>1</v>
      </c>
      <c r="J429" s="7" t="n">
        <v>2101.53</v>
      </c>
      <c r="K429" s="8" t="n">
        <v>0</v>
      </c>
      <c r="L429" s="7" t="n">
        <v>1529.93</v>
      </c>
      <c r="M429" s="6" t="s">
        <v>49</v>
      </c>
      <c r="N429" s="6" t="s">
        <v>52</v>
      </c>
      <c r="O429" s="6" t="n">
        <f aca="false">IF(TablaVentas[[#This Row],[Precio_unitario]]="","PENDIENTE",TablaVentas[[#This Row],[Unidades]]*TablaVentas[[#This Row],[Precio_unitario]]*(1-TablaVentas[[#This Row],[Descuento_pct]]))</f>
        <v>2101.53</v>
      </c>
      <c r="P429" s="6" t="n">
        <f aca="false">IF(TablaVentas[[#This Row],[Costo_unitario]]="","PENDIENTE",TablaVentas[[#This Row],[Unidades]]*TablaVentas[[#This Row],[Costo_unitario]])</f>
        <v>1529.93</v>
      </c>
      <c r="Q429" s="6" t="n">
        <f aca="false">IF(OR(TablaVentas[[#This Row],[Ingreso_neto]]="PENDIENTE",TablaVentas[[#This Row],[Costo_total]]="PENDIENTE"),"PENDIENTE",TablaVentas[[#This Row],[Ingreso_neto]]-TablaVentas[[#This Row],[Costo_total]])</f>
        <v>571.6</v>
      </c>
    </row>
    <row r="430" customFormat="false" ht="13.5" hidden="false" customHeight="false" outlineLevel="0" collapsed="false">
      <c r="A430" s="1" t="s">
        <v>478</v>
      </c>
      <c r="B430" s="1" t="n">
        <v>1</v>
      </c>
      <c r="C430" s="5" t="n">
        <v>46103</v>
      </c>
      <c r="D430" s="6" t="s">
        <v>479</v>
      </c>
      <c r="E430" s="6" t="s">
        <v>145</v>
      </c>
      <c r="F430" s="6" t="s">
        <v>46</v>
      </c>
      <c r="G430" s="6" t="s">
        <v>64</v>
      </c>
      <c r="H430" s="6" t="s">
        <v>58</v>
      </c>
      <c r="I430" s="1" t="n">
        <v>1</v>
      </c>
      <c r="J430" s="7" t="n">
        <v>6765.11</v>
      </c>
      <c r="K430" s="8" t="n">
        <v>0</v>
      </c>
      <c r="L430" s="7" t="n">
        <v>4665.62</v>
      </c>
      <c r="M430" s="6" t="s">
        <v>49</v>
      </c>
      <c r="N430" s="6" t="s">
        <v>59</v>
      </c>
      <c r="O430" s="6" t="n">
        <f aca="false">IF(TablaVentas[[#This Row],[Precio_unitario]]="","PENDIENTE",TablaVentas[[#This Row],[Unidades]]*TablaVentas[[#This Row],[Precio_unitario]]*(1-TablaVentas[[#This Row],[Descuento_pct]]))</f>
        <v>6765.11</v>
      </c>
      <c r="P430" s="6" t="n">
        <f aca="false">IF(TablaVentas[[#This Row],[Costo_unitario]]="","PENDIENTE",TablaVentas[[#This Row],[Unidades]]*TablaVentas[[#This Row],[Costo_unitario]])</f>
        <v>4665.62</v>
      </c>
      <c r="Q430" s="6" t="n">
        <f aca="false">IF(OR(TablaVentas[[#This Row],[Ingreso_neto]]="PENDIENTE",TablaVentas[[#This Row],[Costo_total]]="PENDIENTE"),"PENDIENTE",TablaVentas[[#This Row],[Ingreso_neto]]-TablaVentas[[#This Row],[Costo_total]])</f>
        <v>2099.49</v>
      </c>
    </row>
    <row r="431" customFormat="false" ht="13.5" hidden="false" customHeight="false" outlineLevel="0" collapsed="false">
      <c r="A431" s="1" t="s">
        <v>480</v>
      </c>
      <c r="B431" s="1" t="n">
        <v>1</v>
      </c>
      <c r="C431" s="5" t="n">
        <v>46236</v>
      </c>
      <c r="D431" s="6" t="s">
        <v>481</v>
      </c>
      <c r="E431" s="6" t="s">
        <v>404</v>
      </c>
      <c r="F431" s="6" t="s">
        <v>46</v>
      </c>
      <c r="G431" s="6" t="s">
        <v>47</v>
      </c>
      <c r="H431" s="6" t="s">
        <v>191</v>
      </c>
      <c r="I431" s="1" t="n">
        <v>2</v>
      </c>
      <c r="J431" s="7" t="n">
        <v>6666.12</v>
      </c>
      <c r="K431" s="8" t="n">
        <v>0.05</v>
      </c>
      <c r="L431" s="7" t="n">
        <v>3640.56</v>
      </c>
      <c r="M431" s="6" t="s">
        <v>49</v>
      </c>
      <c r="N431" s="6" t="s">
        <v>52</v>
      </c>
      <c r="O431" s="6" t="n">
        <f aca="false">IF(TablaVentas[[#This Row],[Precio_unitario]]="","PENDIENTE",TablaVentas[[#This Row],[Unidades]]*TablaVentas[[#This Row],[Precio_unitario]]*(1-TablaVentas[[#This Row],[Descuento_pct]]))</f>
        <v>12665.628</v>
      </c>
      <c r="P431" s="6" t="n">
        <f aca="false">IF(TablaVentas[[#This Row],[Costo_unitario]]="","PENDIENTE",TablaVentas[[#This Row],[Unidades]]*TablaVentas[[#This Row],[Costo_unitario]])</f>
        <v>7281.12</v>
      </c>
      <c r="Q431" s="6" t="n">
        <f aca="false">IF(OR(TablaVentas[[#This Row],[Ingreso_neto]]="PENDIENTE",TablaVentas[[#This Row],[Costo_total]]="PENDIENTE"),"PENDIENTE",TablaVentas[[#This Row],[Ingreso_neto]]-TablaVentas[[#This Row],[Costo_total]])</f>
        <v>5384.508</v>
      </c>
    </row>
    <row r="432" customFormat="false" ht="13.5" hidden="false" customHeight="false" outlineLevel="0" collapsed="false">
      <c r="A432" s="1" t="s">
        <v>480</v>
      </c>
      <c r="B432" s="1" t="n">
        <v>2</v>
      </c>
      <c r="C432" s="5" t="n">
        <v>46236</v>
      </c>
      <c r="D432" s="6" t="s">
        <v>481</v>
      </c>
      <c r="E432" s="6" t="s">
        <v>158</v>
      </c>
      <c r="F432" s="6" t="s">
        <v>46</v>
      </c>
      <c r="G432" s="6" t="s">
        <v>47</v>
      </c>
      <c r="H432" s="6" t="s">
        <v>191</v>
      </c>
      <c r="I432" s="1" t="n">
        <v>8</v>
      </c>
      <c r="J432" s="7" t="n">
        <v>16256.79</v>
      </c>
      <c r="K432" s="8" t="n">
        <v>0</v>
      </c>
      <c r="L432" s="7" t="n">
        <v>8963.23</v>
      </c>
      <c r="M432" s="6" t="s">
        <v>49</v>
      </c>
      <c r="N432" s="6" t="s">
        <v>67</v>
      </c>
      <c r="O432" s="6" t="n">
        <f aca="false">IF(TablaVentas[[#This Row],[Precio_unitario]]="","PENDIENTE",TablaVentas[[#This Row],[Unidades]]*TablaVentas[[#This Row],[Precio_unitario]]*(1-TablaVentas[[#This Row],[Descuento_pct]]))</f>
        <v>130054.32</v>
      </c>
      <c r="P432" s="6" t="n">
        <f aca="false">IF(TablaVentas[[#This Row],[Costo_unitario]]="","PENDIENTE",TablaVentas[[#This Row],[Unidades]]*TablaVentas[[#This Row],[Costo_unitario]])</f>
        <v>71705.84</v>
      </c>
      <c r="Q432" s="6" t="n">
        <f aca="false">IF(OR(TablaVentas[[#This Row],[Ingreso_neto]]="PENDIENTE",TablaVentas[[#This Row],[Costo_total]]="PENDIENTE"),"PENDIENTE",TablaVentas[[#This Row],[Ingreso_neto]]-TablaVentas[[#This Row],[Costo_total]])</f>
        <v>58348.48</v>
      </c>
    </row>
    <row r="433" customFormat="false" ht="13.5" hidden="false" customHeight="false" outlineLevel="0" collapsed="false">
      <c r="A433" s="1" t="s">
        <v>482</v>
      </c>
      <c r="B433" s="1" t="n">
        <v>1</v>
      </c>
      <c r="C433" s="5" t="n">
        <v>46044</v>
      </c>
      <c r="D433" s="6" t="s">
        <v>483</v>
      </c>
      <c r="E433" s="6" t="s">
        <v>166</v>
      </c>
      <c r="F433" s="6" t="s">
        <v>73</v>
      </c>
      <c r="G433" s="6" t="s">
        <v>47</v>
      </c>
      <c r="H433" s="6" t="s">
        <v>74</v>
      </c>
      <c r="I433" s="1" t="n">
        <v>1</v>
      </c>
      <c r="J433" s="7" t="n">
        <v>11172.19</v>
      </c>
      <c r="K433" s="8" t="n">
        <v>0.05</v>
      </c>
      <c r="L433" s="7" t="n">
        <v>9317.37</v>
      </c>
      <c r="M433" s="6" t="s">
        <v>49</v>
      </c>
      <c r="N433" s="6" t="s">
        <v>50</v>
      </c>
      <c r="O433" s="6" t="n">
        <f aca="false">IF(TablaVentas[[#This Row],[Precio_unitario]]="","PENDIENTE",TablaVentas[[#This Row],[Unidades]]*TablaVentas[[#This Row],[Precio_unitario]]*(1-TablaVentas[[#This Row],[Descuento_pct]]))</f>
        <v>10613.5805</v>
      </c>
      <c r="P433" s="6" t="n">
        <f aca="false">IF(TablaVentas[[#This Row],[Costo_unitario]]="","PENDIENTE",TablaVentas[[#This Row],[Unidades]]*TablaVentas[[#This Row],[Costo_unitario]])</f>
        <v>9317.37</v>
      </c>
      <c r="Q433" s="6" t="n">
        <f aca="false">IF(OR(TablaVentas[[#This Row],[Ingreso_neto]]="PENDIENTE",TablaVentas[[#This Row],[Costo_total]]="PENDIENTE"),"PENDIENTE",TablaVentas[[#This Row],[Ingreso_neto]]-TablaVentas[[#This Row],[Costo_total]])</f>
        <v>1296.2105</v>
      </c>
    </row>
    <row r="434" customFormat="false" ht="13.5" hidden="false" customHeight="false" outlineLevel="0" collapsed="false">
      <c r="A434" s="1" t="s">
        <v>484</v>
      </c>
      <c r="B434" s="1" t="n">
        <v>1</v>
      </c>
      <c r="C434" s="5" t="n">
        <v>46103</v>
      </c>
      <c r="D434" s="6" t="s">
        <v>485</v>
      </c>
      <c r="E434" s="6" t="s">
        <v>100</v>
      </c>
      <c r="F434" s="6" t="s">
        <v>46</v>
      </c>
      <c r="G434" s="6" t="s">
        <v>57</v>
      </c>
      <c r="H434" s="6" t="s">
        <v>74</v>
      </c>
      <c r="I434" s="1" t="n">
        <v>8</v>
      </c>
      <c r="J434" s="7" t="n">
        <v>14005.35</v>
      </c>
      <c r="K434" s="8" t="n">
        <v>0.05</v>
      </c>
      <c r="L434" s="7" t="n">
        <v>8788.79</v>
      </c>
      <c r="M434" s="6" t="s">
        <v>49</v>
      </c>
      <c r="N434" s="6" t="s">
        <v>50</v>
      </c>
      <c r="O434" s="6" t="n">
        <f aca="false">IF(TablaVentas[[#This Row],[Precio_unitario]]="","PENDIENTE",TablaVentas[[#This Row],[Unidades]]*TablaVentas[[#This Row],[Precio_unitario]]*(1-TablaVentas[[#This Row],[Descuento_pct]]))</f>
        <v>106440.66</v>
      </c>
      <c r="P434" s="6" t="n">
        <f aca="false">IF(TablaVentas[[#This Row],[Costo_unitario]]="","PENDIENTE",TablaVentas[[#This Row],[Unidades]]*TablaVentas[[#This Row],[Costo_unitario]])</f>
        <v>70310.32</v>
      </c>
      <c r="Q434" s="6" t="n">
        <f aca="false">IF(OR(TablaVentas[[#This Row],[Ingreso_neto]]="PENDIENTE",TablaVentas[[#This Row],[Costo_total]]="PENDIENTE"),"PENDIENTE",TablaVentas[[#This Row],[Ingreso_neto]]-TablaVentas[[#This Row],[Costo_total]])</f>
        <v>36130.34</v>
      </c>
    </row>
    <row r="435" customFormat="false" ht="13.5" hidden="false" customHeight="false" outlineLevel="0" collapsed="false">
      <c r="A435" s="1" t="s">
        <v>486</v>
      </c>
      <c r="B435" s="1" t="n">
        <v>1</v>
      </c>
      <c r="C435" s="5" t="n">
        <v>46042</v>
      </c>
      <c r="D435" s="6" t="s">
        <v>487</v>
      </c>
      <c r="E435" s="6" t="s">
        <v>97</v>
      </c>
      <c r="F435" s="6" t="s">
        <v>73</v>
      </c>
      <c r="G435" s="6" t="s">
        <v>47</v>
      </c>
      <c r="H435" s="6" t="s">
        <v>58</v>
      </c>
      <c r="I435" s="1" t="n">
        <v>1</v>
      </c>
      <c r="J435" s="7" t="n">
        <v>10483.41</v>
      </c>
      <c r="K435" s="8" t="n">
        <v>0</v>
      </c>
      <c r="L435" s="7" t="n">
        <v>8174.87</v>
      </c>
      <c r="M435" s="6" t="s">
        <v>49</v>
      </c>
      <c r="N435" s="6" t="s">
        <v>52</v>
      </c>
      <c r="O435" s="6" t="n">
        <f aca="false">IF(TablaVentas[[#This Row],[Precio_unitario]]="","PENDIENTE",TablaVentas[[#This Row],[Unidades]]*TablaVentas[[#This Row],[Precio_unitario]]*(1-TablaVentas[[#This Row],[Descuento_pct]]))</f>
        <v>10483.41</v>
      </c>
      <c r="P435" s="6" t="n">
        <f aca="false">IF(TablaVentas[[#This Row],[Costo_unitario]]="","PENDIENTE",TablaVentas[[#This Row],[Unidades]]*TablaVentas[[#This Row],[Costo_unitario]])</f>
        <v>8174.87</v>
      </c>
      <c r="Q435" s="6" t="n">
        <f aca="false">IF(OR(TablaVentas[[#This Row],[Ingreso_neto]]="PENDIENTE",TablaVentas[[#This Row],[Costo_total]]="PENDIENTE"),"PENDIENTE",TablaVentas[[#This Row],[Ingreso_neto]]-TablaVentas[[#This Row],[Costo_total]])</f>
        <v>2308.54</v>
      </c>
    </row>
    <row r="436" customFormat="false" ht="13.5" hidden="false" customHeight="false" outlineLevel="0" collapsed="false">
      <c r="A436" s="1" t="s">
        <v>486</v>
      </c>
      <c r="B436" s="1" t="n">
        <v>2</v>
      </c>
      <c r="C436" s="5" t="n">
        <v>46042</v>
      </c>
      <c r="D436" s="6" t="s">
        <v>487</v>
      </c>
      <c r="E436" s="6" t="s">
        <v>224</v>
      </c>
      <c r="F436" s="6" t="s">
        <v>73</v>
      </c>
      <c r="G436" s="6" t="s">
        <v>47</v>
      </c>
      <c r="H436" s="6" t="s">
        <v>58</v>
      </c>
      <c r="I436" s="1" t="n">
        <v>3</v>
      </c>
      <c r="J436" s="7" t="n">
        <v>17098.71</v>
      </c>
      <c r="K436" s="8" t="n">
        <v>0.05</v>
      </c>
      <c r="L436" s="7" t="n">
        <v>14161.63</v>
      </c>
      <c r="M436" s="6" t="s">
        <v>49</v>
      </c>
      <c r="N436" s="6" t="s">
        <v>59</v>
      </c>
      <c r="O436" s="6" t="n">
        <f aca="false">IF(TablaVentas[[#This Row],[Precio_unitario]]="","PENDIENTE",TablaVentas[[#This Row],[Unidades]]*TablaVentas[[#This Row],[Precio_unitario]]*(1-TablaVentas[[#This Row],[Descuento_pct]]))</f>
        <v>48731.3235</v>
      </c>
      <c r="P436" s="6" t="n">
        <f aca="false">IF(TablaVentas[[#This Row],[Costo_unitario]]="","PENDIENTE",TablaVentas[[#This Row],[Unidades]]*TablaVentas[[#This Row],[Costo_unitario]])</f>
        <v>42484.89</v>
      </c>
      <c r="Q436" s="6" t="n">
        <f aca="false">IF(OR(TablaVentas[[#This Row],[Ingreso_neto]]="PENDIENTE",TablaVentas[[#This Row],[Costo_total]]="PENDIENTE"),"PENDIENTE",TablaVentas[[#This Row],[Ingreso_neto]]-TablaVentas[[#This Row],[Costo_total]])</f>
        <v>6246.4335</v>
      </c>
    </row>
    <row r="437" customFormat="false" ht="13.5" hidden="false" customHeight="false" outlineLevel="0" collapsed="false">
      <c r="A437" s="1" t="s">
        <v>486</v>
      </c>
      <c r="B437" s="1" t="n">
        <v>3</v>
      </c>
      <c r="C437" s="5" t="n">
        <v>46042</v>
      </c>
      <c r="D437" s="6" t="s">
        <v>487</v>
      </c>
      <c r="E437" s="6" t="s">
        <v>145</v>
      </c>
      <c r="F437" s="6" t="s">
        <v>73</v>
      </c>
      <c r="G437" s="6" t="s">
        <v>47</v>
      </c>
      <c r="H437" s="6" t="s">
        <v>58</v>
      </c>
      <c r="I437" s="1" t="n">
        <v>1</v>
      </c>
      <c r="J437" s="7" t="n">
        <v>6717.9</v>
      </c>
      <c r="K437" s="8" t="n">
        <v>0</v>
      </c>
      <c r="L437" s="7" t="n">
        <v>4665.62</v>
      </c>
      <c r="M437" s="6" t="s">
        <v>49</v>
      </c>
      <c r="N437" s="6" t="s">
        <v>67</v>
      </c>
      <c r="O437" s="6" t="n">
        <f aca="false">IF(TablaVentas[[#This Row],[Precio_unitario]]="","PENDIENTE",TablaVentas[[#This Row],[Unidades]]*TablaVentas[[#This Row],[Precio_unitario]]*(1-TablaVentas[[#This Row],[Descuento_pct]]))</f>
        <v>6717.9</v>
      </c>
      <c r="P437" s="6" t="n">
        <f aca="false">IF(TablaVentas[[#This Row],[Costo_unitario]]="","PENDIENTE",TablaVentas[[#This Row],[Unidades]]*TablaVentas[[#This Row],[Costo_unitario]])</f>
        <v>4665.62</v>
      </c>
      <c r="Q437" s="6" t="n">
        <f aca="false">IF(OR(TablaVentas[[#This Row],[Ingreso_neto]]="PENDIENTE",TablaVentas[[#This Row],[Costo_total]]="PENDIENTE"),"PENDIENTE",TablaVentas[[#This Row],[Ingreso_neto]]-TablaVentas[[#This Row],[Costo_total]])</f>
        <v>2052.28</v>
      </c>
    </row>
    <row r="438" customFormat="false" ht="13.5" hidden="false" customHeight="false" outlineLevel="0" collapsed="false">
      <c r="A438" s="1" t="s">
        <v>488</v>
      </c>
      <c r="B438" s="1" t="n">
        <v>1</v>
      </c>
      <c r="C438" s="5" t="n">
        <v>46102</v>
      </c>
      <c r="D438" s="6" t="s">
        <v>489</v>
      </c>
      <c r="E438" s="6" t="s">
        <v>163</v>
      </c>
      <c r="F438" s="6" t="s">
        <v>46</v>
      </c>
      <c r="G438" s="6" t="s">
        <v>57</v>
      </c>
      <c r="H438" s="6" t="s">
        <v>191</v>
      </c>
      <c r="I438" s="1" t="n">
        <v>8</v>
      </c>
      <c r="J438" s="7" t="n">
        <v>18227.46</v>
      </c>
      <c r="K438" s="8" t="n">
        <v>0.1</v>
      </c>
      <c r="L438" s="7" t="n">
        <v>13981.13</v>
      </c>
      <c r="M438" s="6" t="s">
        <v>123</v>
      </c>
      <c r="N438" s="6" t="s">
        <v>50</v>
      </c>
      <c r="O438" s="6" t="n">
        <f aca="false">IF(TablaVentas[[#This Row],[Precio_unitario]]="","PENDIENTE",TablaVentas[[#This Row],[Unidades]]*TablaVentas[[#This Row],[Precio_unitario]]*(1-TablaVentas[[#This Row],[Descuento_pct]]))</f>
        <v>131237.712</v>
      </c>
      <c r="P438" s="6" t="n">
        <f aca="false">IF(TablaVentas[[#This Row],[Costo_unitario]]="","PENDIENTE",TablaVentas[[#This Row],[Unidades]]*TablaVentas[[#This Row],[Costo_unitario]])</f>
        <v>111849.04</v>
      </c>
      <c r="Q438" s="6" t="n">
        <f aca="false">IF(OR(TablaVentas[[#This Row],[Ingreso_neto]]="PENDIENTE",TablaVentas[[#This Row],[Costo_total]]="PENDIENTE"),"PENDIENTE",TablaVentas[[#This Row],[Ingreso_neto]]-TablaVentas[[#This Row],[Costo_total]])</f>
        <v>19388.672</v>
      </c>
    </row>
    <row r="439" customFormat="false" ht="13.5" hidden="false" customHeight="false" outlineLevel="0" collapsed="false">
      <c r="A439" s="1" t="s">
        <v>488</v>
      </c>
      <c r="B439" s="1" t="n">
        <v>2</v>
      </c>
      <c r="C439" s="5" t="n">
        <v>46102</v>
      </c>
      <c r="D439" s="6" t="s">
        <v>489</v>
      </c>
      <c r="E439" s="6" t="s">
        <v>417</v>
      </c>
      <c r="F439" s="6" t="s">
        <v>46</v>
      </c>
      <c r="G439" s="6" t="s">
        <v>57</v>
      </c>
      <c r="H439" s="6" t="s">
        <v>191</v>
      </c>
      <c r="I439" s="1" t="n">
        <v>1</v>
      </c>
      <c r="J439" s="7" t="n">
        <v>8273.4</v>
      </c>
      <c r="K439" s="8" t="n">
        <v>0</v>
      </c>
      <c r="L439" s="7" t="n">
        <v>5874.17</v>
      </c>
      <c r="M439" s="6" t="s">
        <v>49</v>
      </c>
      <c r="N439" s="6" t="s">
        <v>59</v>
      </c>
      <c r="O439" s="6" t="n">
        <f aca="false">IF(TablaVentas[[#This Row],[Precio_unitario]]="","PENDIENTE",TablaVentas[[#This Row],[Unidades]]*TablaVentas[[#This Row],[Precio_unitario]]*(1-TablaVentas[[#This Row],[Descuento_pct]]))</f>
        <v>8273.4</v>
      </c>
      <c r="P439" s="6" t="n">
        <f aca="false">IF(TablaVentas[[#This Row],[Costo_unitario]]="","PENDIENTE",TablaVentas[[#This Row],[Unidades]]*TablaVentas[[#This Row],[Costo_unitario]])</f>
        <v>5874.17</v>
      </c>
      <c r="Q439" s="6" t="n">
        <f aca="false">IF(OR(TablaVentas[[#This Row],[Ingreso_neto]]="PENDIENTE",TablaVentas[[#This Row],[Costo_total]]="PENDIENTE"),"PENDIENTE",TablaVentas[[#This Row],[Ingreso_neto]]-TablaVentas[[#This Row],[Costo_total]])</f>
        <v>2399.23</v>
      </c>
    </row>
    <row r="440" customFormat="false" ht="13.5" hidden="false" customHeight="false" outlineLevel="0" collapsed="false">
      <c r="A440" s="1" t="s">
        <v>488</v>
      </c>
      <c r="B440" s="1" t="n">
        <v>3</v>
      </c>
      <c r="C440" s="5" t="n">
        <v>46102</v>
      </c>
      <c r="D440" s="6" t="s">
        <v>489</v>
      </c>
      <c r="E440" s="6" t="s">
        <v>83</v>
      </c>
      <c r="F440" s="6" t="s">
        <v>46</v>
      </c>
      <c r="G440" s="6" t="s">
        <v>57</v>
      </c>
      <c r="H440" s="6" t="s">
        <v>191</v>
      </c>
      <c r="I440" s="1" t="n">
        <v>1</v>
      </c>
      <c r="J440" s="7" t="n">
        <v>14403.49</v>
      </c>
      <c r="K440" s="8" t="n">
        <v>0.2</v>
      </c>
      <c r="L440" s="7" t="n">
        <v>7748.44</v>
      </c>
      <c r="M440" s="6" t="s">
        <v>49</v>
      </c>
      <c r="N440" s="6" t="s">
        <v>52</v>
      </c>
      <c r="O440" s="6" t="n">
        <f aca="false">IF(TablaVentas[[#This Row],[Precio_unitario]]="","PENDIENTE",TablaVentas[[#This Row],[Unidades]]*TablaVentas[[#This Row],[Precio_unitario]]*(1-TablaVentas[[#This Row],[Descuento_pct]]))</f>
        <v>11522.792</v>
      </c>
      <c r="P440" s="6" t="n">
        <f aca="false">IF(TablaVentas[[#This Row],[Costo_unitario]]="","PENDIENTE",TablaVentas[[#This Row],[Unidades]]*TablaVentas[[#This Row],[Costo_unitario]])</f>
        <v>7748.44</v>
      </c>
      <c r="Q440" s="6" t="n">
        <f aca="false">IF(OR(TablaVentas[[#This Row],[Ingreso_neto]]="PENDIENTE",TablaVentas[[#This Row],[Costo_total]]="PENDIENTE"),"PENDIENTE",TablaVentas[[#This Row],[Ingreso_neto]]-TablaVentas[[#This Row],[Costo_total]])</f>
        <v>3774.352</v>
      </c>
    </row>
    <row r="441" customFormat="false" ht="13.5" hidden="false" customHeight="false" outlineLevel="0" collapsed="false">
      <c r="A441" s="1" t="s">
        <v>488</v>
      </c>
      <c r="B441" s="1" t="n">
        <v>4</v>
      </c>
      <c r="C441" s="5" t="n">
        <v>46102</v>
      </c>
      <c r="D441" s="6" t="s">
        <v>489</v>
      </c>
      <c r="E441" s="6" t="s">
        <v>190</v>
      </c>
      <c r="F441" s="6" t="s">
        <v>46</v>
      </c>
      <c r="G441" s="6" t="s">
        <v>57</v>
      </c>
      <c r="H441" s="6" t="s">
        <v>191</v>
      </c>
      <c r="I441" s="1" t="n">
        <v>4</v>
      </c>
      <c r="J441" s="7" t="n">
        <v>5289.86</v>
      </c>
      <c r="K441" s="8" t="n">
        <v>0.2</v>
      </c>
      <c r="L441" s="7" t="n">
        <v>4325.73</v>
      </c>
      <c r="M441" s="6" t="s">
        <v>123</v>
      </c>
      <c r="N441" s="6" t="s">
        <v>50</v>
      </c>
      <c r="O441" s="6" t="n">
        <f aca="false">IF(TablaVentas[[#This Row],[Precio_unitario]]="","PENDIENTE",TablaVentas[[#This Row],[Unidades]]*TablaVentas[[#This Row],[Precio_unitario]]*(1-TablaVentas[[#This Row],[Descuento_pct]]))</f>
        <v>16927.552</v>
      </c>
      <c r="P441" s="6" t="n">
        <f aca="false">IF(TablaVentas[[#This Row],[Costo_unitario]]="","PENDIENTE",TablaVentas[[#This Row],[Unidades]]*TablaVentas[[#This Row],[Costo_unitario]])</f>
        <v>17302.92</v>
      </c>
      <c r="Q441" s="6" t="n">
        <f aca="false">IF(OR(TablaVentas[[#This Row],[Ingreso_neto]]="PENDIENTE",TablaVentas[[#This Row],[Costo_total]]="PENDIENTE"),"PENDIENTE",TablaVentas[[#This Row],[Ingreso_neto]]-TablaVentas[[#This Row],[Costo_total]])</f>
        <v>-375.367999999999</v>
      </c>
    </row>
    <row r="442" customFormat="false" ht="13.5" hidden="false" customHeight="false" outlineLevel="0" collapsed="false">
      <c r="A442" s="1" t="s">
        <v>490</v>
      </c>
      <c r="B442" s="1" t="n">
        <v>1</v>
      </c>
      <c r="C442" s="5" t="n">
        <v>46170</v>
      </c>
      <c r="D442" s="6" t="s">
        <v>491</v>
      </c>
      <c r="E442" s="6" t="s">
        <v>163</v>
      </c>
      <c r="F442" s="6" t="s">
        <v>84</v>
      </c>
      <c r="G442" s="6" t="s">
        <v>64</v>
      </c>
      <c r="H442" s="6" t="s">
        <v>74</v>
      </c>
      <c r="I442" s="1" t="n">
        <v>3</v>
      </c>
      <c r="J442" s="7" t="n">
        <v>18154.48</v>
      </c>
      <c r="K442" s="8" t="n">
        <v>0</v>
      </c>
      <c r="L442" s="7" t="n">
        <v>13981.13</v>
      </c>
      <c r="M442" s="6" t="s">
        <v>49</v>
      </c>
      <c r="N442" s="6" t="s">
        <v>59</v>
      </c>
      <c r="O442" s="6" t="n">
        <f aca="false">IF(TablaVentas[[#This Row],[Precio_unitario]]="","PENDIENTE",TablaVentas[[#This Row],[Unidades]]*TablaVentas[[#This Row],[Precio_unitario]]*(1-TablaVentas[[#This Row],[Descuento_pct]]))</f>
        <v>54463.44</v>
      </c>
      <c r="P442" s="6" t="n">
        <f aca="false">IF(TablaVentas[[#This Row],[Costo_unitario]]="","PENDIENTE",TablaVentas[[#This Row],[Unidades]]*TablaVentas[[#This Row],[Costo_unitario]])</f>
        <v>41943.39</v>
      </c>
      <c r="Q442" s="6" t="n">
        <f aca="false">IF(OR(TablaVentas[[#This Row],[Ingreso_neto]]="PENDIENTE",TablaVentas[[#This Row],[Costo_total]]="PENDIENTE"),"PENDIENTE",TablaVentas[[#This Row],[Ingreso_neto]]-TablaVentas[[#This Row],[Costo_total]])</f>
        <v>12520.05</v>
      </c>
    </row>
    <row r="443" customFormat="false" ht="13.5" hidden="false" customHeight="false" outlineLevel="0" collapsed="false">
      <c r="A443" s="1" t="s">
        <v>490</v>
      </c>
      <c r="B443" s="1" t="n">
        <v>2</v>
      </c>
      <c r="C443" s="5" t="n">
        <v>46170</v>
      </c>
      <c r="D443" s="6" t="s">
        <v>491</v>
      </c>
      <c r="E443" s="6" t="s">
        <v>278</v>
      </c>
      <c r="F443" s="6" t="s">
        <v>84</v>
      </c>
      <c r="G443" s="6" t="s">
        <v>64</v>
      </c>
      <c r="H443" s="6" t="s">
        <v>74</v>
      </c>
      <c r="I443" s="1" t="n">
        <v>1</v>
      </c>
      <c r="J443" s="7" t="n">
        <v>978.5</v>
      </c>
      <c r="K443" s="8" t="n">
        <v>0.05</v>
      </c>
      <c r="L443" s="7" t="n">
        <v>759.03</v>
      </c>
      <c r="M443" s="6" t="s">
        <v>49</v>
      </c>
      <c r="N443" s="6" t="s">
        <v>52</v>
      </c>
      <c r="O443" s="6" t="n">
        <f aca="false">IF(TablaVentas[[#This Row],[Precio_unitario]]="","PENDIENTE",TablaVentas[[#This Row],[Unidades]]*TablaVentas[[#This Row],[Precio_unitario]]*(1-TablaVentas[[#This Row],[Descuento_pct]]))</f>
        <v>929.575</v>
      </c>
      <c r="P443" s="6" t="n">
        <f aca="false">IF(TablaVentas[[#This Row],[Costo_unitario]]="","PENDIENTE",TablaVentas[[#This Row],[Unidades]]*TablaVentas[[#This Row],[Costo_unitario]])</f>
        <v>759.03</v>
      </c>
      <c r="Q443" s="6" t="n">
        <f aca="false">IF(OR(TablaVentas[[#This Row],[Ingreso_neto]]="PENDIENTE",TablaVentas[[#This Row],[Costo_total]]="PENDIENTE"),"PENDIENTE",TablaVentas[[#This Row],[Ingreso_neto]]-TablaVentas[[#This Row],[Costo_total]])</f>
        <v>170.545</v>
      </c>
    </row>
    <row r="444" customFormat="false" ht="13.5" hidden="false" customHeight="false" outlineLevel="0" collapsed="false">
      <c r="A444" s="1" t="s">
        <v>492</v>
      </c>
      <c r="B444" s="1" t="n">
        <v>1</v>
      </c>
      <c r="C444" s="5" t="n">
        <v>46141</v>
      </c>
      <c r="D444" s="6" t="s">
        <v>493</v>
      </c>
      <c r="E444" s="6" t="s">
        <v>203</v>
      </c>
      <c r="F444" s="6" t="s">
        <v>46</v>
      </c>
      <c r="G444" s="6" t="s">
        <v>47</v>
      </c>
      <c r="H444" s="6" t="s">
        <v>136</v>
      </c>
      <c r="I444" s="1" t="n">
        <v>1</v>
      </c>
      <c r="J444" s="7" t="n">
        <v>702.55</v>
      </c>
      <c r="K444" s="8" t="n">
        <v>0.05</v>
      </c>
      <c r="L444" s="7" t="n">
        <v>485.16</v>
      </c>
      <c r="M444" s="6" t="s">
        <v>49</v>
      </c>
      <c r="N444" s="6" t="s">
        <v>52</v>
      </c>
      <c r="O444" s="6" t="n">
        <f aca="false">IF(TablaVentas[[#This Row],[Precio_unitario]]="","PENDIENTE",TablaVentas[[#This Row],[Unidades]]*TablaVentas[[#This Row],[Precio_unitario]]*(1-TablaVentas[[#This Row],[Descuento_pct]]))</f>
        <v>667.4225</v>
      </c>
      <c r="P444" s="6" t="n">
        <f aca="false">IF(TablaVentas[[#This Row],[Costo_unitario]]="","PENDIENTE",TablaVentas[[#This Row],[Unidades]]*TablaVentas[[#This Row],[Costo_unitario]])</f>
        <v>485.16</v>
      </c>
      <c r="Q444" s="6" t="n">
        <f aca="false">IF(OR(TablaVentas[[#This Row],[Ingreso_neto]]="PENDIENTE",TablaVentas[[#This Row],[Costo_total]]="PENDIENTE"),"PENDIENTE",TablaVentas[[#This Row],[Ingreso_neto]]-TablaVentas[[#This Row],[Costo_total]])</f>
        <v>182.2625</v>
      </c>
    </row>
    <row r="445" customFormat="false" ht="13.5" hidden="false" customHeight="false" outlineLevel="0" collapsed="false">
      <c r="A445" s="1" t="s">
        <v>492</v>
      </c>
      <c r="B445" s="1" t="n">
        <v>2</v>
      </c>
      <c r="C445" s="5" t="n">
        <v>46141</v>
      </c>
      <c r="D445" s="6" t="s">
        <v>493</v>
      </c>
      <c r="E445" s="6" t="s">
        <v>182</v>
      </c>
      <c r="F445" s="6" t="s">
        <v>46</v>
      </c>
      <c r="G445" s="6" t="s">
        <v>47</v>
      </c>
      <c r="H445" s="6" t="s">
        <v>136</v>
      </c>
      <c r="I445" s="1" t="n">
        <v>4</v>
      </c>
      <c r="J445" s="7" t="n">
        <v>2846.12</v>
      </c>
      <c r="K445" s="8" t="n">
        <v>0</v>
      </c>
      <c r="L445" s="7" t="n">
        <v>1857.39</v>
      </c>
      <c r="M445" s="6" t="s">
        <v>49</v>
      </c>
      <c r="N445" s="6" t="s">
        <v>52</v>
      </c>
      <c r="O445" s="6" t="n">
        <f aca="false">IF(TablaVentas[[#This Row],[Precio_unitario]]="","PENDIENTE",TablaVentas[[#This Row],[Unidades]]*TablaVentas[[#This Row],[Precio_unitario]]*(1-TablaVentas[[#This Row],[Descuento_pct]]))</f>
        <v>11384.48</v>
      </c>
      <c r="P445" s="6" t="n">
        <f aca="false">IF(TablaVentas[[#This Row],[Costo_unitario]]="","PENDIENTE",TablaVentas[[#This Row],[Unidades]]*TablaVentas[[#This Row],[Costo_unitario]])</f>
        <v>7429.56</v>
      </c>
      <c r="Q445" s="6" t="n">
        <f aca="false">IF(OR(TablaVentas[[#This Row],[Ingreso_neto]]="PENDIENTE",TablaVentas[[#This Row],[Costo_total]]="PENDIENTE"),"PENDIENTE",TablaVentas[[#This Row],[Ingreso_neto]]-TablaVentas[[#This Row],[Costo_total]])</f>
        <v>3954.92</v>
      </c>
    </row>
    <row r="446" customFormat="false" ht="13.5" hidden="false" customHeight="false" outlineLevel="0" collapsed="false">
      <c r="A446" s="1" t="s">
        <v>492</v>
      </c>
      <c r="B446" s="1" t="n">
        <v>3</v>
      </c>
      <c r="C446" s="5" t="n">
        <v>46141</v>
      </c>
      <c r="D446" s="6" t="s">
        <v>493</v>
      </c>
      <c r="E446" s="6" t="s">
        <v>158</v>
      </c>
      <c r="F446" s="6" t="s">
        <v>46</v>
      </c>
      <c r="G446" s="6" t="s">
        <v>47</v>
      </c>
      <c r="H446" s="6" t="s">
        <v>136</v>
      </c>
      <c r="I446" s="1" t="n">
        <v>2</v>
      </c>
      <c r="J446" s="7" t="n">
        <v>17729.92</v>
      </c>
      <c r="K446" s="8" t="n">
        <v>0</v>
      </c>
      <c r="L446" s="7" t="n">
        <v>8963.23</v>
      </c>
      <c r="M446" s="6" t="s">
        <v>49</v>
      </c>
      <c r="N446" s="6" t="s">
        <v>67</v>
      </c>
      <c r="O446" s="6" t="n">
        <f aca="false">IF(TablaVentas[[#This Row],[Precio_unitario]]="","PENDIENTE",TablaVentas[[#This Row],[Unidades]]*TablaVentas[[#This Row],[Precio_unitario]]*(1-TablaVentas[[#This Row],[Descuento_pct]]))</f>
        <v>35459.84</v>
      </c>
      <c r="P446" s="6" t="n">
        <f aca="false">IF(TablaVentas[[#This Row],[Costo_unitario]]="","PENDIENTE",TablaVentas[[#This Row],[Unidades]]*TablaVentas[[#This Row],[Costo_unitario]])</f>
        <v>17926.46</v>
      </c>
      <c r="Q446" s="6" t="n">
        <f aca="false">IF(OR(TablaVentas[[#This Row],[Ingreso_neto]]="PENDIENTE",TablaVentas[[#This Row],[Costo_total]]="PENDIENTE"),"PENDIENTE",TablaVentas[[#This Row],[Ingreso_neto]]-TablaVentas[[#This Row],[Costo_total]])</f>
        <v>17533.38</v>
      </c>
    </row>
    <row r="447" customFormat="false" ht="13.5" hidden="false" customHeight="false" outlineLevel="0" collapsed="false">
      <c r="A447" s="1" t="s">
        <v>492</v>
      </c>
      <c r="B447" s="1" t="n">
        <v>4</v>
      </c>
      <c r="C447" s="5" t="n">
        <v>46141</v>
      </c>
      <c r="D447" s="6" t="s">
        <v>493</v>
      </c>
      <c r="E447" s="6" t="s">
        <v>163</v>
      </c>
      <c r="F447" s="6" t="s">
        <v>46</v>
      </c>
      <c r="G447" s="6" t="s">
        <v>47</v>
      </c>
      <c r="H447" s="6" t="s">
        <v>136</v>
      </c>
      <c r="I447" s="1" t="n">
        <v>3</v>
      </c>
      <c r="J447" s="7" t="n">
        <v>19733.38</v>
      </c>
      <c r="K447" s="8" t="n">
        <v>0</v>
      </c>
      <c r="L447" s="7" t="n">
        <v>13981.13</v>
      </c>
      <c r="M447" s="6" t="s">
        <v>49</v>
      </c>
      <c r="N447" s="6" t="s">
        <v>67</v>
      </c>
      <c r="O447" s="6" t="n">
        <f aca="false">IF(TablaVentas[[#This Row],[Precio_unitario]]="","PENDIENTE",TablaVentas[[#This Row],[Unidades]]*TablaVentas[[#This Row],[Precio_unitario]]*(1-TablaVentas[[#This Row],[Descuento_pct]]))</f>
        <v>59200.14</v>
      </c>
      <c r="P447" s="6" t="n">
        <f aca="false">IF(TablaVentas[[#This Row],[Costo_unitario]]="","PENDIENTE",TablaVentas[[#This Row],[Unidades]]*TablaVentas[[#This Row],[Costo_unitario]])</f>
        <v>41943.39</v>
      </c>
      <c r="Q447" s="6" t="n">
        <f aca="false">IF(OR(TablaVentas[[#This Row],[Ingreso_neto]]="PENDIENTE",TablaVentas[[#This Row],[Costo_total]]="PENDIENTE"),"PENDIENTE",TablaVentas[[#This Row],[Ingreso_neto]]-TablaVentas[[#This Row],[Costo_total]])</f>
        <v>17256.75</v>
      </c>
    </row>
    <row r="448" customFormat="false" ht="13.5" hidden="false" customHeight="false" outlineLevel="0" collapsed="false">
      <c r="A448" s="1" t="s">
        <v>494</v>
      </c>
      <c r="B448" s="1" t="n">
        <v>1</v>
      </c>
      <c r="C448" s="5" t="n">
        <v>46261</v>
      </c>
      <c r="D448" s="6" t="s">
        <v>95</v>
      </c>
      <c r="E448" s="6" t="s">
        <v>284</v>
      </c>
      <c r="F448" s="6" t="s">
        <v>73</v>
      </c>
      <c r="G448" s="6" t="s">
        <v>64</v>
      </c>
      <c r="H448" s="6" t="s">
        <v>74</v>
      </c>
      <c r="I448" s="1" t="n">
        <v>3</v>
      </c>
      <c r="J448" s="7" t="n">
        <v>6214.85</v>
      </c>
      <c r="K448" s="8" t="n">
        <v>0.05</v>
      </c>
      <c r="L448" s="7" t="n">
        <v>4858.08</v>
      </c>
      <c r="M448" s="6" t="s">
        <v>49</v>
      </c>
      <c r="N448" s="6" t="s">
        <v>50</v>
      </c>
      <c r="O448" s="6" t="n">
        <f aca="false">IF(TablaVentas[[#This Row],[Precio_unitario]]="","PENDIENTE",TablaVentas[[#This Row],[Unidades]]*TablaVentas[[#This Row],[Precio_unitario]]*(1-TablaVentas[[#This Row],[Descuento_pct]]))</f>
        <v>17712.3225</v>
      </c>
      <c r="P448" s="6" t="n">
        <f aca="false">IF(TablaVentas[[#This Row],[Costo_unitario]]="","PENDIENTE",TablaVentas[[#This Row],[Unidades]]*TablaVentas[[#This Row],[Costo_unitario]])</f>
        <v>14574.24</v>
      </c>
      <c r="Q448" s="6" t="n">
        <f aca="false">IF(OR(TablaVentas[[#This Row],[Ingreso_neto]]="PENDIENTE",TablaVentas[[#This Row],[Costo_total]]="PENDIENTE"),"PENDIENTE",TablaVentas[[#This Row],[Ingreso_neto]]-TablaVentas[[#This Row],[Costo_total]])</f>
        <v>3138.0825</v>
      </c>
    </row>
    <row r="449" customFormat="false" ht="13.5" hidden="false" customHeight="false" outlineLevel="0" collapsed="false">
      <c r="A449" s="1" t="s">
        <v>494</v>
      </c>
      <c r="B449" s="1" t="n">
        <v>2</v>
      </c>
      <c r="C449" s="5" t="n">
        <v>46261</v>
      </c>
      <c r="D449" s="6" t="s">
        <v>95</v>
      </c>
      <c r="E449" s="6" t="s">
        <v>224</v>
      </c>
      <c r="F449" s="6" t="s">
        <v>73</v>
      </c>
      <c r="G449" s="6" t="s">
        <v>64</v>
      </c>
      <c r="H449" s="6" t="s">
        <v>74</v>
      </c>
      <c r="I449" s="1" t="n">
        <v>1</v>
      </c>
      <c r="J449" s="7" t="n">
        <v>17601.44</v>
      </c>
      <c r="K449" s="8" t="n">
        <v>0.15</v>
      </c>
      <c r="L449" s="7" t="n">
        <v>14161.63</v>
      </c>
      <c r="M449" s="6" t="s">
        <v>49</v>
      </c>
      <c r="N449" s="6" t="s">
        <v>52</v>
      </c>
      <c r="O449" s="6" t="n">
        <f aca="false">IF(TablaVentas[[#This Row],[Precio_unitario]]="","PENDIENTE",TablaVentas[[#This Row],[Unidades]]*TablaVentas[[#This Row],[Precio_unitario]]*(1-TablaVentas[[#This Row],[Descuento_pct]]))</f>
        <v>14961.224</v>
      </c>
      <c r="P449" s="6" t="n">
        <f aca="false">IF(TablaVentas[[#This Row],[Costo_unitario]]="","PENDIENTE",TablaVentas[[#This Row],[Unidades]]*TablaVentas[[#This Row],[Costo_unitario]])</f>
        <v>14161.63</v>
      </c>
      <c r="Q449" s="6" t="n">
        <f aca="false">IF(OR(TablaVentas[[#This Row],[Ingreso_neto]]="PENDIENTE",TablaVentas[[#This Row],[Costo_total]]="PENDIENTE"),"PENDIENTE",TablaVentas[[#This Row],[Ingreso_neto]]-TablaVentas[[#This Row],[Costo_total]])</f>
        <v>799.593999999999</v>
      </c>
    </row>
    <row r="450" customFormat="false" ht="13.5" hidden="false" customHeight="false" outlineLevel="0" collapsed="false">
      <c r="A450" s="1" t="s">
        <v>495</v>
      </c>
      <c r="B450" s="1" t="n">
        <v>1</v>
      </c>
      <c r="C450" s="5" t="n">
        <v>46069</v>
      </c>
      <c r="D450" s="6" t="s">
        <v>496</v>
      </c>
      <c r="E450" s="6" t="s">
        <v>88</v>
      </c>
      <c r="F450" s="6" t="s">
        <v>73</v>
      </c>
      <c r="G450" s="6" t="s">
        <v>47</v>
      </c>
      <c r="H450" s="6" t="s">
        <v>131</v>
      </c>
      <c r="I450" s="1" t="n">
        <v>2</v>
      </c>
      <c r="J450" s="7" t="n">
        <v>16750.99</v>
      </c>
      <c r="K450" s="8" t="n">
        <v>0.05</v>
      </c>
      <c r="L450" s="7" t="n">
        <v>11614.87</v>
      </c>
      <c r="M450" s="6" t="s">
        <v>49</v>
      </c>
      <c r="N450" s="6" t="s">
        <v>52</v>
      </c>
      <c r="O450" s="6" t="n">
        <f aca="false">IF(TablaVentas[[#This Row],[Precio_unitario]]="","PENDIENTE",TablaVentas[[#This Row],[Unidades]]*TablaVentas[[#This Row],[Precio_unitario]]*(1-TablaVentas[[#This Row],[Descuento_pct]]))</f>
        <v>31826.881</v>
      </c>
      <c r="P450" s="6" t="n">
        <f aca="false">IF(TablaVentas[[#This Row],[Costo_unitario]]="","PENDIENTE",TablaVentas[[#This Row],[Unidades]]*TablaVentas[[#This Row],[Costo_unitario]])</f>
        <v>23229.74</v>
      </c>
      <c r="Q450" s="6" t="n">
        <f aca="false">IF(OR(TablaVentas[[#This Row],[Ingreso_neto]]="PENDIENTE",TablaVentas[[#This Row],[Costo_total]]="PENDIENTE"),"PENDIENTE",TablaVentas[[#This Row],[Ingreso_neto]]-TablaVentas[[#This Row],[Costo_total]])</f>
        <v>8597.141</v>
      </c>
    </row>
    <row r="451" customFormat="false" ht="13.5" hidden="false" customHeight="false" outlineLevel="0" collapsed="false">
      <c r="A451" s="1" t="s">
        <v>495</v>
      </c>
      <c r="B451" s="1" t="n">
        <v>2</v>
      </c>
      <c r="C451" s="5" t="n">
        <v>46069</v>
      </c>
      <c r="D451" s="6" t="s">
        <v>496</v>
      </c>
      <c r="E451" s="6" t="s">
        <v>104</v>
      </c>
      <c r="F451" s="6" t="s">
        <v>73</v>
      </c>
      <c r="G451" s="6" t="s">
        <v>47</v>
      </c>
      <c r="H451" s="6" t="s">
        <v>131</v>
      </c>
      <c r="I451" s="1" t="n">
        <v>3</v>
      </c>
      <c r="J451" s="7" t="n">
        <v>15539.17</v>
      </c>
      <c r="K451" s="8" t="n">
        <v>0</v>
      </c>
      <c r="L451" s="7" t="n">
        <v>11424.77</v>
      </c>
      <c r="M451" s="6" t="s">
        <v>49</v>
      </c>
      <c r="N451" s="6" t="s">
        <v>67</v>
      </c>
      <c r="O451" s="6" t="n">
        <f aca="false">IF(TablaVentas[[#This Row],[Precio_unitario]]="","PENDIENTE",TablaVentas[[#This Row],[Unidades]]*TablaVentas[[#This Row],[Precio_unitario]]*(1-TablaVentas[[#This Row],[Descuento_pct]]))</f>
        <v>46617.51</v>
      </c>
      <c r="P451" s="6" t="n">
        <f aca="false">IF(TablaVentas[[#This Row],[Costo_unitario]]="","PENDIENTE",TablaVentas[[#This Row],[Unidades]]*TablaVentas[[#This Row],[Costo_unitario]])</f>
        <v>34274.31</v>
      </c>
      <c r="Q451" s="6" t="n">
        <f aca="false">IF(OR(TablaVentas[[#This Row],[Ingreso_neto]]="PENDIENTE",TablaVentas[[#This Row],[Costo_total]]="PENDIENTE"),"PENDIENTE",TablaVentas[[#This Row],[Ingreso_neto]]-TablaVentas[[#This Row],[Costo_total]])</f>
        <v>12343.2</v>
      </c>
    </row>
    <row r="452" customFormat="false" ht="13.5" hidden="false" customHeight="false" outlineLevel="0" collapsed="false">
      <c r="A452" s="1" t="s">
        <v>495</v>
      </c>
      <c r="B452" s="1" t="n">
        <v>3</v>
      </c>
      <c r="C452" s="5" t="n">
        <v>46069</v>
      </c>
      <c r="D452" s="6" t="s">
        <v>496</v>
      </c>
      <c r="E452" s="6" t="s">
        <v>51</v>
      </c>
      <c r="F452" s="6" t="s">
        <v>73</v>
      </c>
      <c r="G452" s="6" t="s">
        <v>47</v>
      </c>
      <c r="H452" s="6" t="s">
        <v>131</v>
      </c>
      <c r="I452" s="1" t="n">
        <v>1</v>
      </c>
      <c r="J452" s="7" t="n">
        <v>13769.57</v>
      </c>
      <c r="K452" s="8" t="n">
        <v>0</v>
      </c>
      <c r="L452" s="7" t="n">
        <v>8980.68</v>
      </c>
      <c r="M452" s="6" t="s">
        <v>49</v>
      </c>
      <c r="N452" s="6" t="s">
        <v>67</v>
      </c>
      <c r="O452" s="6" t="n">
        <f aca="false">IF(TablaVentas[[#This Row],[Precio_unitario]]="","PENDIENTE",TablaVentas[[#This Row],[Unidades]]*TablaVentas[[#This Row],[Precio_unitario]]*(1-TablaVentas[[#This Row],[Descuento_pct]]))</f>
        <v>13769.57</v>
      </c>
      <c r="P452" s="6" t="n">
        <f aca="false">IF(TablaVentas[[#This Row],[Costo_unitario]]="","PENDIENTE",TablaVentas[[#This Row],[Unidades]]*TablaVentas[[#This Row],[Costo_unitario]])</f>
        <v>8980.68</v>
      </c>
      <c r="Q452" s="6" t="n">
        <f aca="false">IF(OR(TablaVentas[[#This Row],[Ingreso_neto]]="PENDIENTE",TablaVentas[[#This Row],[Costo_total]]="PENDIENTE"),"PENDIENTE",TablaVentas[[#This Row],[Ingreso_neto]]-TablaVentas[[#This Row],[Costo_total]])</f>
        <v>4788.89</v>
      </c>
    </row>
    <row r="453" customFormat="false" ht="13.5" hidden="false" customHeight="false" outlineLevel="0" collapsed="false">
      <c r="A453" s="1" t="s">
        <v>495</v>
      </c>
      <c r="B453" s="1" t="n">
        <v>4</v>
      </c>
      <c r="C453" s="5" t="n">
        <v>46069</v>
      </c>
      <c r="D453" s="6" t="s">
        <v>496</v>
      </c>
      <c r="E453" s="6" t="s">
        <v>167</v>
      </c>
      <c r="F453" s="6" t="s">
        <v>73</v>
      </c>
      <c r="G453" s="6" t="s">
        <v>47</v>
      </c>
      <c r="H453" s="6" t="s">
        <v>131</v>
      </c>
      <c r="I453" s="1" t="n">
        <v>3</v>
      </c>
      <c r="J453" s="7" t="n">
        <v>8097.71</v>
      </c>
      <c r="K453" s="8" t="n">
        <v>0</v>
      </c>
      <c r="L453" s="7" t="n">
        <v>4082.15</v>
      </c>
      <c r="M453" s="6" t="s">
        <v>49</v>
      </c>
      <c r="N453" s="6" t="s">
        <v>59</v>
      </c>
      <c r="O453" s="6" t="n">
        <f aca="false">IF(TablaVentas[[#This Row],[Precio_unitario]]="","PENDIENTE",TablaVentas[[#This Row],[Unidades]]*TablaVentas[[#This Row],[Precio_unitario]]*(1-TablaVentas[[#This Row],[Descuento_pct]]))</f>
        <v>24293.13</v>
      </c>
      <c r="P453" s="6" t="n">
        <f aca="false">IF(TablaVentas[[#This Row],[Costo_unitario]]="","PENDIENTE",TablaVentas[[#This Row],[Unidades]]*TablaVentas[[#This Row],[Costo_unitario]])</f>
        <v>12246.45</v>
      </c>
      <c r="Q453" s="6" t="n">
        <f aca="false">IF(OR(TablaVentas[[#This Row],[Ingreso_neto]]="PENDIENTE",TablaVentas[[#This Row],[Costo_total]]="PENDIENTE"),"PENDIENTE",TablaVentas[[#This Row],[Ingreso_neto]]-TablaVentas[[#This Row],[Costo_total]])</f>
        <v>12046.68</v>
      </c>
    </row>
    <row r="454" customFormat="false" ht="13.5" hidden="false" customHeight="false" outlineLevel="0" collapsed="false">
      <c r="A454" s="1" t="s">
        <v>497</v>
      </c>
      <c r="B454" s="1" t="n">
        <v>1</v>
      </c>
      <c r="C454" s="5" t="n">
        <v>46141</v>
      </c>
      <c r="D454" s="6" t="s">
        <v>194</v>
      </c>
      <c r="E454" s="6" t="s">
        <v>163</v>
      </c>
      <c r="F454" s="6" t="s">
        <v>73</v>
      </c>
      <c r="G454" s="6" t="s">
        <v>64</v>
      </c>
      <c r="H454" s="6" t="s">
        <v>131</v>
      </c>
      <c r="I454" s="1" t="n">
        <v>4</v>
      </c>
      <c r="J454" s="7"/>
      <c r="K454" s="8" t="n">
        <v>0</v>
      </c>
      <c r="L454" s="7" t="n">
        <v>13981.13</v>
      </c>
      <c r="M454" s="6" t="s">
        <v>49</v>
      </c>
      <c r="N454" s="6" t="s">
        <v>52</v>
      </c>
      <c r="O454" s="1" t="str">
        <f aca="false">IF(TablaVentas[[#This Row],[Precio_unitario]]="","PENDIENTE",TablaVentas[[#This Row],[Unidades]]*TablaVentas[[#This Row],[Precio_unitario]]*(1-TablaVentas[[#This Row],[Descuento_pct]]))</f>
        <v>PENDIENTE</v>
      </c>
      <c r="P454" s="6" t="n">
        <f aca="false">IF(TablaVentas[[#This Row],[Costo_unitario]]="","PENDIENTE",TablaVentas[[#This Row],[Unidades]]*TablaVentas[[#This Row],[Costo_unitario]])</f>
        <v>55924.52</v>
      </c>
      <c r="Q454" s="1" t="str">
        <f aca="false">IF(OR(TablaVentas[[#This Row],[Ingreso_neto]]="PENDIENTE",TablaVentas[[#This Row],[Costo_total]]="PENDIENTE"),"PENDIENTE",TablaVentas[[#This Row],[Ingreso_neto]]-TablaVentas[[#This Row],[Costo_total]])</f>
        <v>PENDIENTE</v>
      </c>
      <c r="R454" s="6" t="s">
        <v>152</v>
      </c>
    </row>
    <row r="455" customFormat="false" ht="13.5" hidden="false" customHeight="false" outlineLevel="0" collapsed="false">
      <c r="A455" s="1" t="s">
        <v>497</v>
      </c>
      <c r="B455" s="1" t="n">
        <v>2</v>
      </c>
      <c r="C455" s="5" t="n">
        <v>46141</v>
      </c>
      <c r="D455" s="6" t="s">
        <v>194</v>
      </c>
      <c r="E455" s="6" t="s">
        <v>187</v>
      </c>
      <c r="F455" s="6" t="s">
        <v>73</v>
      </c>
      <c r="G455" s="6" t="s">
        <v>64</v>
      </c>
      <c r="H455" s="6" t="s">
        <v>131</v>
      </c>
      <c r="I455" s="1" t="n">
        <v>1</v>
      </c>
      <c r="J455" s="7" t="n">
        <v>5906.17</v>
      </c>
      <c r="K455" s="8" t="n">
        <v>0</v>
      </c>
      <c r="L455" s="7" t="n">
        <v>3824.92</v>
      </c>
      <c r="M455" s="6" t="s">
        <v>49</v>
      </c>
      <c r="N455" s="6" t="s">
        <v>67</v>
      </c>
      <c r="O455" s="6" t="n">
        <f aca="false">IF(TablaVentas[[#This Row],[Precio_unitario]]="","PENDIENTE",TablaVentas[[#This Row],[Unidades]]*TablaVentas[[#This Row],[Precio_unitario]]*(1-TablaVentas[[#This Row],[Descuento_pct]]))</f>
        <v>5906.17</v>
      </c>
      <c r="P455" s="6" t="n">
        <f aca="false">IF(TablaVentas[[#This Row],[Costo_unitario]]="","PENDIENTE",TablaVentas[[#This Row],[Unidades]]*TablaVentas[[#This Row],[Costo_unitario]])</f>
        <v>3824.92</v>
      </c>
      <c r="Q455" s="6" t="n">
        <f aca="false">IF(OR(TablaVentas[[#This Row],[Ingreso_neto]]="PENDIENTE",TablaVentas[[#This Row],[Costo_total]]="PENDIENTE"),"PENDIENTE",TablaVentas[[#This Row],[Ingreso_neto]]-TablaVentas[[#This Row],[Costo_total]])</f>
        <v>2081.25</v>
      </c>
    </row>
    <row r="456" customFormat="false" ht="13.5" hidden="false" customHeight="false" outlineLevel="0" collapsed="false">
      <c r="A456" s="1" t="s">
        <v>497</v>
      </c>
      <c r="B456" s="1" t="n">
        <v>3</v>
      </c>
      <c r="C456" s="5" t="n">
        <v>46141</v>
      </c>
      <c r="D456" s="6" t="s">
        <v>194</v>
      </c>
      <c r="E456" s="6" t="s">
        <v>92</v>
      </c>
      <c r="F456" s="6" t="s">
        <v>73</v>
      </c>
      <c r="G456" s="6" t="s">
        <v>64</v>
      </c>
      <c r="H456" s="6" t="s">
        <v>131</v>
      </c>
      <c r="I456" s="1" t="n">
        <v>1</v>
      </c>
      <c r="J456" s="7" t="n">
        <v>474.92</v>
      </c>
      <c r="K456" s="8" t="n">
        <v>0.15</v>
      </c>
      <c r="L456" s="7" t="n">
        <v>307.75</v>
      </c>
      <c r="M456" s="6" t="s">
        <v>49</v>
      </c>
      <c r="N456" s="6" t="s">
        <v>67</v>
      </c>
      <c r="O456" s="6" t="n">
        <f aca="false">IF(TablaVentas[[#This Row],[Precio_unitario]]="","PENDIENTE",TablaVentas[[#This Row],[Unidades]]*TablaVentas[[#This Row],[Precio_unitario]]*(1-TablaVentas[[#This Row],[Descuento_pct]]))</f>
        <v>403.682</v>
      </c>
      <c r="P456" s="6" t="n">
        <f aca="false">IF(TablaVentas[[#This Row],[Costo_unitario]]="","PENDIENTE",TablaVentas[[#This Row],[Unidades]]*TablaVentas[[#This Row],[Costo_unitario]])</f>
        <v>307.75</v>
      </c>
      <c r="Q456" s="6" t="n">
        <f aca="false">IF(OR(TablaVentas[[#This Row],[Ingreso_neto]]="PENDIENTE",TablaVentas[[#This Row],[Costo_total]]="PENDIENTE"),"PENDIENTE",TablaVentas[[#This Row],[Ingreso_neto]]-TablaVentas[[#This Row],[Costo_total]])</f>
        <v>95.932</v>
      </c>
    </row>
    <row r="457" customFormat="false" ht="13.5" hidden="false" customHeight="false" outlineLevel="0" collapsed="false">
      <c r="A457" s="1" t="s">
        <v>498</v>
      </c>
      <c r="B457" s="1" t="n">
        <v>1</v>
      </c>
      <c r="C457" s="5" t="n">
        <v>46205</v>
      </c>
      <c r="D457" s="6" t="s">
        <v>499</v>
      </c>
      <c r="E457" s="6" t="s">
        <v>187</v>
      </c>
      <c r="F457" s="6" t="s">
        <v>46</v>
      </c>
      <c r="G457" s="6" t="s">
        <v>47</v>
      </c>
      <c r="H457" s="6" t="s">
        <v>191</v>
      </c>
      <c r="I457" s="1" t="n">
        <v>3</v>
      </c>
      <c r="J457" s="7" t="n">
        <v>6134.73</v>
      </c>
      <c r="K457" s="8" t="n">
        <v>0.2</v>
      </c>
      <c r="L457" s="7" t="n">
        <v>3824.92</v>
      </c>
      <c r="M457" s="6" t="s">
        <v>49</v>
      </c>
      <c r="N457" s="6" t="s">
        <v>52</v>
      </c>
      <c r="O457" s="6" t="n">
        <f aca="false">IF(TablaVentas[[#This Row],[Precio_unitario]]="","PENDIENTE",TablaVentas[[#This Row],[Unidades]]*TablaVentas[[#This Row],[Precio_unitario]]*(1-TablaVentas[[#This Row],[Descuento_pct]]))</f>
        <v>14723.352</v>
      </c>
      <c r="P457" s="6" t="n">
        <f aca="false">IF(TablaVentas[[#This Row],[Costo_unitario]]="","PENDIENTE",TablaVentas[[#This Row],[Unidades]]*TablaVentas[[#This Row],[Costo_unitario]])</f>
        <v>11474.76</v>
      </c>
      <c r="Q457" s="6" t="n">
        <f aca="false">IF(OR(TablaVentas[[#This Row],[Ingreso_neto]]="PENDIENTE",TablaVentas[[#This Row],[Costo_total]]="PENDIENTE"),"PENDIENTE",TablaVentas[[#This Row],[Ingreso_neto]]-TablaVentas[[#This Row],[Costo_total]])</f>
        <v>3248.592</v>
      </c>
    </row>
    <row r="458" customFormat="false" ht="13.5" hidden="false" customHeight="false" outlineLevel="0" collapsed="false">
      <c r="A458" s="1" t="s">
        <v>498</v>
      </c>
      <c r="B458" s="1" t="n">
        <v>2</v>
      </c>
      <c r="C458" s="5" t="n">
        <v>46205</v>
      </c>
      <c r="D458" s="6" t="s">
        <v>499</v>
      </c>
      <c r="E458" s="6" t="s">
        <v>85</v>
      </c>
      <c r="F458" s="6" t="s">
        <v>46</v>
      </c>
      <c r="G458" s="6" t="s">
        <v>47</v>
      </c>
      <c r="H458" s="6" t="s">
        <v>191</v>
      </c>
      <c r="I458" s="1" t="n">
        <v>4</v>
      </c>
      <c r="J458" s="7" t="n">
        <v>9100.03</v>
      </c>
      <c r="K458" s="8" t="n">
        <v>0.05</v>
      </c>
      <c r="L458" s="7" t="n">
        <v>5033.47</v>
      </c>
      <c r="M458" s="6" t="s">
        <v>49</v>
      </c>
      <c r="N458" s="6" t="s">
        <v>59</v>
      </c>
      <c r="O458" s="6" t="n">
        <f aca="false">IF(TablaVentas[[#This Row],[Precio_unitario]]="","PENDIENTE",TablaVentas[[#This Row],[Unidades]]*TablaVentas[[#This Row],[Precio_unitario]]*(1-TablaVentas[[#This Row],[Descuento_pct]]))</f>
        <v>34580.114</v>
      </c>
      <c r="P458" s="6" t="n">
        <f aca="false">IF(TablaVentas[[#This Row],[Costo_unitario]]="","PENDIENTE",TablaVentas[[#This Row],[Unidades]]*TablaVentas[[#This Row],[Costo_unitario]])</f>
        <v>20133.88</v>
      </c>
      <c r="Q458" s="6" t="n">
        <f aca="false">IF(OR(TablaVentas[[#This Row],[Ingreso_neto]]="PENDIENTE",TablaVentas[[#This Row],[Costo_total]]="PENDIENTE"),"PENDIENTE",TablaVentas[[#This Row],[Ingreso_neto]]-TablaVentas[[#This Row],[Costo_total]])</f>
        <v>14446.234</v>
      </c>
    </row>
    <row r="459" customFormat="false" ht="13.5" hidden="false" customHeight="false" outlineLevel="0" collapsed="false">
      <c r="A459" s="1" t="s">
        <v>500</v>
      </c>
      <c r="B459" s="1" t="n">
        <v>1</v>
      </c>
      <c r="C459" s="5" t="n">
        <v>46026</v>
      </c>
      <c r="D459" s="6" t="s">
        <v>239</v>
      </c>
      <c r="E459" s="6" t="s">
        <v>170</v>
      </c>
      <c r="F459" s="6" t="s">
        <v>84</v>
      </c>
      <c r="G459" s="6" t="s">
        <v>64</v>
      </c>
      <c r="H459" s="6" t="s">
        <v>191</v>
      </c>
      <c r="I459" s="1" t="n">
        <v>2</v>
      </c>
      <c r="J459" s="7" t="n">
        <v>16039.15</v>
      </c>
      <c r="K459" s="8" t="n">
        <v>0.2</v>
      </c>
      <c r="L459" s="7" t="n">
        <v>12141.44</v>
      </c>
      <c r="M459" s="6" t="s">
        <v>49</v>
      </c>
      <c r="N459" s="6" t="s">
        <v>59</v>
      </c>
      <c r="O459" s="6" t="n">
        <f aca="false">IF(TablaVentas[[#This Row],[Precio_unitario]]="","PENDIENTE",TablaVentas[[#This Row],[Unidades]]*TablaVentas[[#This Row],[Precio_unitario]]*(1-TablaVentas[[#This Row],[Descuento_pct]]))</f>
        <v>25662.64</v>
      </c>
      <c r="P459" s="6" t="n">
        <f aca="false">IF(TablaVentas[[#This Row],[Costo_unitario]]="","PENDIENTE",TablaVentas[[#This Row],[Unidades]]*TablaVentas[[#This Row],[Costo_unitario]])</f>
        <v>24282.88</v>
      </c>
      <c r="Q459" s="6" t="n">
        <f aca="false">IF(OR(TablaVentas[[#This Row],[Ingreso_neto]]="PENDIENTE",TablaVentas[[#This Row],[Costo_total]]="PENDIENTE"),"PENDIENTE",TablaVentas[[#This Row],[Ingreso_neto]]-TablaVentas[[#This Row],[Costo_total]])</f>
        <v>1379.76</v>
      </c>
    </row>
    <row r="460" customFormat="false" ht="13.5" hidden="false" customHeight="false" outlineLevel="0" collapsed="false">
      <c r="A460" s="1" t="s">
        <v>500</v>
      </c>
      <c r="B460" s="1" t="n">
        <v>2</v>
      </c>
      <c r="C460" s="5" t="n">
        <v>46026</v>
      </c>
      <c r="D460" s="6" t="s">
        <v>239</v>
      </c>
      <c r="E460" s="6" t="s">
        <v>404</v>
      </c>
      <c r="F460" s="6" t="s">
        <v>84</v>
      </c>
      <c r="G460" s="6" t="s">
        <v>64</v>
      </c>
      <c r="H460" s="6" t="s">
        <v>191</v>
      </c>
      <c r="I460" s="1" t="n">
        <v>1</v>
      </c>
      <c r="J460" s="7" t="n">
        <v>6141.48</v>
      </c>
      <c r="K460" s="8" t="n">
        <v>0.15</v>
      </c>
      <c r="L460" s="7" t="n">
        <v>3640.56</v>
      </c>
      <c r="M460" s="6" t="s">
        <v>49</v>
      </c>
      <c r="N460" s="6" t="s">
        <v>59</v>
      </c>
      <c r="O460" s="6" t="n">
        <f aca="false">IF(TablaVentas[[#This Row],[Precio_unitario]]="","PENDIENTE",TablaVentas[[#This Row],[Unidades]]*TablaVentas[[#This Row],[Precio_unitario]]*(1-TablaVentas[[#This Row],[Descuento_pct]]))</f>
        <v>5220.258</v>
      </c>
      <c r="P460" s="6" t="n">
        <f aca="false">IF(TablaVentas[[#This Row],[Costo_unitario]]="","PENDIENTE",TablaVentas[[#This Row],[Unidades]]*TablaVentas[[#This Row],[Costo_unitario]])</f>
        <v>3640.56</v>
      </c>
      <c r="Q460" s="6" t="n">
        <f aca="false">IF(OR(TablaVentas[[#This Row],[Ingreso_neto]]="PENDIENTE",TablaVentas[[#This Row],[Costo_total]]="PENDIENTE"),"PENDIENTE",TablaVentas[[#This Row],[Ingreso_neto]]-TablaVentas[[#This Row],[Costo_total]])</f>
        <v>1579.698</v>
      </c>
    </row>
    <row r="461" customFormat="false" ht="13.5" hidden="false" customHeight="false" outlineLevel="0" collapsed="false">
      <c r="A461" s="1" t="s">
        <v>500</v>
      </c>
      <c r="B461" s="1" t="n">
        <v>3</v>
      </c>
      <c r="C461" s="5" t="n">
        <v>46026</v>
      </c>
      <c r="D461" s="6" t="s">
        <v>239</v>
      </c>
      <c r="E461" s="6" t="s">
        <v>116</v>
      </c>
      <c r="F461" s="6" t="s">
        <v>84</v>
      </c>
      <c r="G461" s="6" t="s">
        <v>64</v>
      </c>
      <c r="H461" s="6" t="s">
        <v>191</v>
      </c>
      <c r="I461" s="1" t="n">
        <v>3</v>
      </c>
      <c r="J461" s="7" t="n">
        <v>13927.23</v>
      </c>
      <c r="K461" s="8" t="n">
        <v>0</v>
      </c>
      <c r="L461" s="7" t="n">
        <v>9880.77</v>
      </c>
      <c r="M461" s="6" t="s">
        <v>49</v>
      </c>
      <c r="N461" s="6" t="s">
        <v>59</v>
      </c>
      <c r="O461" s="6" t="n">
        <f aca="false">IF(TablaVentas[[#This Row],[Precio_unitario]]="","PENDIENTE",TablaVentas[[#This Row],[Unidades]]*TablaVentas[[#This Row],[Precio_unitario]]*(1-TablaVentas[[#This Row],[Descuento_pct]]))</f>
        <v>41781.69</v>
      </c>
      <c r="P461" s="6" t="n">
        <f aca="false">IF(TablaVentas[[#This Row],[Costo_unitario]]="","PENDIENTE",TablaVentas[[#This Row],[Unidades]]*TablaVentas[[#This Row],[Costo_unitario]])</f>
        <v>29642.31</v>
      </c>
      <c r="Q461" s="6" t="n">
        <f aca="false">IF(OR(TablaVentas[[#This Row],[Ingreso_neto]]="PENDIENTE",TablaVentas[[#This Row],[Costo_total]]="PENDIENTE"),"PENDIENTE",TablaVentas[[#This Row],[Ingreso_neto]]-TablaVentas[[#This Row],[Costo_total]])</f>
        <v>12139.38</v>
      </c>
    </row>
    <row r="462" customFormat="false" ht="13.5" hidden="false" customHeight="false" outlineLevel="0" collapsed="false">
      <c r="A462" s="1" t="s">
        <v>500</v>
      </c>
      <c r="B462" s="1" t="n">
        <v>4</v>
      </c>
      <c r="C462" s="5" t="n">
        <v>46026</v>
      </c>
      <c r="D462" s="6" t="s">
        <v>239</v>
      </c>
      <c r="E462" s="6" t="s">
        <v>360</v>
      </c>
      <c r="F462" s="6" t="s">
        <v>84</v>
      </c>
      <c r="G462" s="6" t="s">
        <v>64</v>
      </c>
      <c r="H462" s="6" t="s">
        <v>191</v>
      </c>
      <c r="I462" s="1" t="n">
        <v>2</v>
      </c>
      <c r="J462" s="7" t="n">
        <v>2301.43</v>
      </c>
      <c r="K462" s="8" t="n">
        <v>0.1</v>
      </c>
      <c r="L462" s="7" t="n">
        <v>1479.71</v>
      </c>
      <c r="M462" s="6" t="s">
        <v>49</v>
      </c>
      <c r="N462" s="6" t="s">
        <v>50</v>
      </c>
      <c r="O462" s="6" t="n">
        <f aca="false">IF(TablaVentas[[#This Row],[Precio_unitario]]="","PENDIENTE",TablaVentas[[#This Row],[Unidades]]*TablaVentas[[#This Row],[Precio_unitario]]*(1-TablaVentas[[#This Row],[Descuento_pct]]))</f>
        <v>4142.574</v>
      </c>
      <c r="P462" s="6" t="n">
        <f aca="false">IF(TablaVentas[[#This Row],[Costo_unitario]]="","PENDIENTE",TablaVentas[[#This Row],[Unidades]]*TablaVentas[[#This Row],[Costo_unitario]])</f>
        <v>2959.42</v>
      </c>
      <c r="Q462" s="6" t="n">
        <f aca="false">IF(OR(TablaVentas[[#This Row],[Ingreso_neto]]="PENDIENTE",TablaVentas[[#This Row],[Costo_total]]="PENDIENTE"),"PENDIENTE",TablaVentas[[#This Row],[Ingreso_neto]]-TablaVentas[[#This Row],[Costo_total]])</f>
        <v>1183.154</v>
      </c>
    </row>
    <row r="463" customFormat="false" ht="13.5" hidden="false" customHeight="false" outlineLevel="0" collapsed="false">
      <c r="A463" s="1" t="s">
        <v>501</v>
      </c>
      <c r="B463" s="1" t="n">
        <v>1</v>
      </c>
      <c r="C463" s="5" t="n">
        <v>46168</v>
      </c>
      <c r="D463" s="6" t="s">
        <v>502</v>
      </c>
      <c r="E463" s="6" t="s">
        <v>139</v>
      </c>
      <c r="F463" s="6" t="s">
        <v>46</v>
      </c>
      <c r="G463" s="6" t="s">
        <v>57</v>
      </c>
      <c r="H463" s="6" t="s">
        <v>74</v>
      </c>
      <c r="I463" s="1" t="n">
        <v>1</v>
      </c>
      <c r="J463" s="7" t="n">
        <v>16870.06</v>
      </c>
      <c r="K463" s="8" t="n">
        <v>0</v>
      </c>
      <c r="L463" s="7" t="n">
        <v>11036.95</v>
      </c>
      <c r="M463" s="6" t="s">
        <v>49</v>
      </c>
      <c r="N463" s="6" t="s">
        <v>52</v>
      </c>
      <c r="O463" s="6" t="n">
        <f aca="false">IF(TablaVentas[[#This Row],[Precio_unitario]]="","PENDIENTE",TablaVentas[[#This Row],[Unidades]]*TablaVentas[[#This Row],[Precio_unitario]]*(1-TablaVentas[[#This Row],[Descuento_pct]]))</f>
        <v>16870.06</v>
      </c>
      <c r="P463" s="6" t="n">
        <f aca="false">IF(TablaVentas[[#This Row],[Costo_unitario]]="","PENDIENTE",TablaVentas[[#This Row],[Unidades]]*TablaVentas[[#This Row],[Costo_unitario]])</f>
        <v>11036.95</v>
      </c>
      <c r="Q463" s="6" t="n">
        <f aca="false">IF(OR(TablaVentas[[#This Row],[Ingreso_neto]]="PENDIENTE",TablaVentas[[#This Row],[Costo_total]]="PENDIENTE"),"PENDIENTE",TablaVentas[[#This Row],[Ingreso_neto]]-TablaVentas[[#This Row],[Costo_total]])</f>
        <v>5833.11</v>
      </c>
    </row>
    <row r="464" customFormat="false" ht="13.5" hidden="false" customHeight="false" outlineLevel="0" collapsed="false">
      <c r="A464" s="1" t="s">
        <v>501</v>
      </c>
      <c r="B464" s="1" t="n">
        <v>2</v>
      </c>
      <c r="C464" s="5" t="n">
        <v>46168</v>
      </c>
      <c r="D464" s="6" t="s">
        <v>502</v>
      </c>
      <c r="E464" s="6" t="s">
        <v>215</v>
      </c>
      <c r="F464" s="6" t="s">
        <v>46</v>
      </c>
      <c r="G464" s="6" t="s">
        <v>57</v>
      </c>
      <c r="H464" s="6" t="s">
        <v>74</v>
      </c>
      <c r="I464" s="1" t="n">
        <v>2</v>
      </c>
      <c r="J464" s="7" t="n">
        <v>11239.06</v>
      </c>
      <c r="K464" s="8" t="n">
        <v>0.1</v>
      </c>
      <c r="L464" s="7" t="n">
        <v>5535.31</v>
      </c>
      <c r="M464" s="6" t="s">
        <v>49</v>
      </c>
      <c r="N464" s="6" t="s">
        <v>59</v>
      </c>
      <c r="O464" s="6" t="n">
        <f aca="false">IF(TablaVentas[[#This Row],[Precio_unitario]]="","PENDIENTE",TablaVentas[[#This Row],[Unidades]]*TablaVentas[[#This Row],[Precio_unitario]]*(1-TablaVentas[[#This Row],[Descuento_pct]]))</f>
        <v>20230.308</v>
      </c>
      <c r="P464" s="6" t="n">
        <f aca="false">IF(TablaVentas[[#This Row],[Costo_unitario]]="","PENDIENTE",TablaVentas[[#This Row],[Unidades]]*TablaVentas[[#This Row],[Costo_unitario]])</f>
        <v>11070.62</v>
      </c>
      <c r="Q464" s="6" t="n">
        <f aca="false">IF(OR(TablaVentas[[#This Row],[Ingreso_neto]]="PENDIENTE",TablaVentas[[#This Row],[Costo_total]]="PENDIENTE"),"PENDIENTE",TablaVentas[[#This Row],[Ingreso_neto]]-TablaVentas[[#This Row],[Costo_total]])</f>
        <v>9159.688</v>
      </c>
    </row>
    <row r="465" customFormat="false" ht="13.5" hidden="false" customHeight="false" outlineLevel="0" collapsed="false">
      <c r="A465" s="1" t="s">
        <v>501</v>
      </c>
      <c r="B465" s="1" t="n">
        <v>3</v>
      </c>
      <c r="C465" s="5" t="n">
        <v>46168</v>
      </c>
      <c r="D465" s="6" t="s">
        <v>502</v>
      </c>
      <c r="E465" s="6" t="s">
        <v>83</v>
      </c>
      <c r="F465" s="6" t="s">
        <v>46</v>
      </c>
      <c r="G465" s="6" t="s">
        <v>57</v>
      </c>
      <c r="H465" s="6" t="s">
        <v>74</v>
      </c>
      <c r="I465" s="1" t="n">
        <v>4</v>
      </c>
      <c r="J465" s="7" t="n">
        <v>13660.61</v>
      </c>
      <c r="K465" s="8" t="n">
        <v>0</v>
      </c>
      <c r="L465" s="7" t="n">
        <v>7748.44</v>
      </c>
      <c r="M465" s="6" t="s">
        <v>49</v>
      </c>
      <c r="N465" s="6" t="s">
        <v>67</v>
      </c>
      <c r="O465" s="6" t="n">
        <f aca="false">IF(TablaVentas[[#This Row],[Precio_unitario]]="","PENDIENTE",TablaVentas[[#This Row],[Unidades]]*TablaVentas[[#This Row],[Precio_unitario]]*(1-TablaVentas[[#This Row],[Descuento_pct]]))</f>
        <v>54642.44</v>
      </c>
      <c r="P465" s="6" t="n">
        <f aca="false">IF(TablaVentas[[#This Row],[Costo_unitario]]="","PENDIENTE",TablaVentas[[#This Row],[Unidades]]*TablaVentas[[#This Row],[Costo_unitario]])</f>
        <v>30993.76</v>
      </c>
      <c r="Q465" s="6" t="n">
        <f aca="false">IF(OR(TablaVentas[[#This Row],[Ingreso_neto]]="PENDIENTE",TablaVentas[[#This Row],[Costo_total]]="PENDIENTE"),"PENDIENTE",TablaVentas[[#This Row],[Ingreso_neto]]-TablaVentas[[#This Row],[Costo_total]])</f>
        <v>23648.68</v>
      </c>
    </row>
    <row r="466" customFormat="false" ht="13.5" hidden="false" customHeight="false" outlineLevel="0" collapsed="false">
      <c r="A466" s="1" t="s">
        <v>503</v>
      </c>
      <c r="B466" s="1" t="n">
        <v>1</v>
      </c>
      <c r="C466" s="5" t="n">
        <v>46206</v>
      </c>
      <c r="D466" s="6" t="s">
        <v>504</v>
      </c>
      <c r="E466" s="6" t="s">
        <v>75</v>
      </c>
      <c r="F466" s="6" t="s">
        <v>63</v>
      </c>
      <c r="G466" s="6" t="s">
        <v>57</v>
      </c>
      <c r="H466" s="6" t="s">
        <v>191</v>
      </c>
      <c r="I466" s="1" t="n">
        <v>1</v>
      </c>
      <c r="J466" s="7" t="n">
        <v>16179.99</v>
      </c>
      <c r="K466" s="8" t="n">
        <v>0</v>
      </c>
      <c r="L466" s="7" t="n">
        <v>9243.35</v>
      </c>
      <c r="M466" s="6" t="s">
        <v>49</v>
      </c>
      <c r="N466" s="6" t="s">
        <v>50</v>
      </c>
      <c r="O466" s="6" t="n">
        <f aca="false">IF(TablaVentas[[#This Row],[Precio_unitario]]="","PENDIENTE",TablaVentas[[#This Row],[Unidades]]*TablaVentas[[#This Row],[Precio_unitario]]*(1-TablaVentas[[#This Row],[Descuento_pct]]))</f>
        <v>16179.99</v>
      </c>
      <c r="P466" s="6" t="n">
        <f aca="false">IF(TablaVentas[[#This Row],[Costo_unitario]]="","PENDIENTE",TablaVentas[[#This Row],[Unidades]]*TablaVentas[[#This Row],[Costo_unitario]])</f>
        <v>9243.35</v>
      </c>
      <c r="Q466" s="6" t="n">
        <f aca="false">IF(OR(TablaVentas[[#This Row],[Ingreso_neto]]="PENDIENTE",TablaVentas[[#This Row],[Costo_total]]="PENDIENTE"),"PENDIENTE",TablaVentas[[#This Row],[Ingreso_neto]]-TablaVentas[[#This Row],[Costo_total]])</f>
        <v>6936.64</v>
      </c>
    </row>
    <row r="467" customFormat="false" ht="13.5" hidden="false" customHeight="false" outlineLevel="0" collapsed="false">
      <c r="A467" s="1" t="s">
        <v>505</v>
      </c>
      <c r="B467" s="1" t="n">
        <v>1</v>
      </c>
      <c r="C467" s="5" t="n">
        <v>46239</v>
      </c>
      <c r="D467" s="6" t="s">
        <v>209</v>
      </c>
      <c r="E467" s="6" t="s">
        <v>327</v>
      </c>
      <c r="F467" s="6" t="s">
        <v>73</v>
      </c>
      <c r="G467" s="6" t="s">
        <v>47</v>
      </c>
      <c r="H467" s="6" t="s">
        <v>136</v>
      </c>
      <c r="I467" s="1" t="n">
        <v>1</v>
      </c>
      <c r="J467" s="7" t="n">
        <v>4743.29</v>
      </c>
      <c r="K467" s="8" t="n">
        <v>0</v>
      </c>
      <c r="L467" s="7" t="n">
        <v>3065.66</v>
      </c>
      <c r="M467" s="6" t="s">
        <v>49</v>
      </c>
      <c r="N467" s="6" t="s">
        <v>67</v>
      </c>
      <c r="O467" s="6" t="n">
        <f aca="false">IF(TablaVentas[[#This Row],[Precio_unitario]]="","PENDIENTE",TablaVentas[[#This Row],[Unidades]]*TablaVentas[[#This Row],[Precio_unitario]]*(1-TablaVentas[[#This Row],[Descuento_pct]]))</f>
        <v>4743.29</v>
      </c>
      <c r="P467" s="6" t="n">
        <f aca="false">IF(TablaVentas[[#This Row],[Costo_unitario]]="","PENDIENTE",TablaVentas[[#This Row],[Unidades]]*TablaVentas[[#This Row],[Costo_unitario]])</f>
        <v>3065.66</v>
      </c>
      <c r="Q467" s="6" t="n">
        <f aca="false">IF(OR(TablaVentas[[#This Row],[Ingreso_neto]]="PENDIENTE",TablaVentas[[#This Row],[Costo_total]]="PENDIENTE"),"PENDIENTE",TablaVentas[[#This Row],[Ingreso_neto]]-TablaVentas[[#This Row],[Costo_total]])</f>
        <v>1677.63</v>
      </c>
    </row>
    <row r="468" customFormat="false" ht="13.5" hidden="false" customHeight="false" outlineLevel="0" collapsed="false">
      <c r="A468" s="1" t="s">
        <v>506</v>
      </c>
      <c r="B468" s="1" t="n">
        <v>1</v>
      </c>
      <c r="C468" s="5" t="n">
        <v>46064</v>
      </c>
      <c r="D468" s="6" t="s">
        <v>314</v>
      </c>
      <c r="E468" s="6" t="s">
        <v>213</v>
      </c>
      <c r="F468" s="6" t="s">
        <v>46</v>
      </c>
      <c r="G468" s="6" t="s">
        <v>64</v>
      </c>
      <c r="H468" s="6" t="s">
        <v>58</v>
      </c>
      <c r="I468" s="1" t="n">
        <v>3</v>
      </c>
      <c r="J468" s="7" t="n">
        <v>5409.76</v>
      </c>
      <c r="K468" s="8" t="n">
        <v>0.15</v>
      </c>
      <c r="L468" s="7" t="n">
        <v>4008.77</v>
      </c>
      <c r="M468" s="6" t="s">
        <v>49</v>
      </c>
      <c r="N468" s="6" t="s">
        <v>67</v>
      </c>
      <c r="O468" s="6" t="n">
        <f aca="false">IF(TablaVentas[[#This Row],[Precio_unitario]]="","PENDIENTE",TablaVentas[[#This Row],[Unidades]]*TablaVentas[[#This Row],[Precio_unitario]]*(1-TablaVentas[[#This Row],[Descuento_pct]]))</f>
        <v>13794.888</v>
      </c>
      <c r="P468" s="6" t="n">
        <f aca="false">IF(TablaVentas[[#This Row],[Costo_unitario]]="","PENDIENTE",TablaVentas[[#This Row],[Unidades]]*TablaVentas[[#This Row],[Costo_unitario]])</f>
        <v>12026.31</v>
      </c>
      <c r="Q468" s="6" t="n">
        <f aca="false">IF(OR(TablaVentas[[#This Row],[Ingreso_neto]]="PENDIENTE",TablaVentas[[#This Row],[Costo_total]]="PENDIENTE"),"PENDIENTE",TablaVentas[[#This Row],[Ingreso_neto]]-TablaVentas[[#This Row],[Costo_total]])</f>
        <v>1768.578</v>
      </c>
    </row>
    <row r="469" customFormat="false" ht="13.5" hidden="false" customHeight="false" outlineLevel="0" collapsed="false">
      <c r="A469" s="1" t="s">
        <v>506</v>
      </c>
      <c r="B469" s="1" t="n">
        <v>2</v>
      </c>
      <c r="C469" s="5" t="n">
        <v>46064</v>
      </c>
      <c r="D469" s="6" t="s">
        <v>314</v>
      </c>
      <c r="E469" s="6" t="s">
        <v>116</v>
      </c>
      <c r="F469" s="6" t="s">
        <v>46</v>
      </c>
      <c r="G469" s="6" t="s">
        <v>64</v>
      </c>
      <c r="H469" s="6" t="s">
        <v>58</v>
      </c>
      <c r="I469" s="1" t="n">
        <v>1</v>
      </c>
      <c r="J469" s="7" t="n">
        <v>16185.31</v>
      </c>
      <c r="K469" s="8" t="n">
        <v>0.2</v>
      </c>
      <c r="L469" s="7" t="n">
        <v>9880.77</v>
      </c>
      <c r="M469" s="6" t="s">
        <v>49</v>
      </c>
      <c r="N469" s="6" t="s">
        <v>59</v>
      </c>
      <c r="O469" s="6" t="n">
        <f aca="false">IF(TablaVentas[[#This Row],[Precio_unitario]]="","PENDIENTE",TablaVentas[[#This Row],[Unidades]]*TablaVentas[[#This Row],[Precio_unitario]]*(1-TablaVentas[[#This Row],[Descuento_pct]]))</f>
        <v>12948.248</v>
      </c>
      <c r="P469" s="6" t="n">
        <f aca="false">IF(TablaVentas[[#This Row],[Costo_unitario]]="","PENDIENTE",TablaVentas[[#This Row],[Unidades]]*TablaVentas[[#This Row],[Costo_unitario]])</f>
        <v>9880.77</v>
      </c>
      <c r="Q469" s="6" t="n">
        <f aca="false">IF(OR(TablaVentas[[#This Row],[Ingreso_neto]]="PENDIENTE",TablaVentas[[#This Row],[Costo_total]]="PENDIENTE"),"PENDIENTE",TablaVentas[[#This Row],[Ingreso_neto]]-TablaVentas[[#This Row],[Costo_total]])</f>
        <v>3067.478</v>
      </c>
    </row>
    <row r="470" customFormat="false" ht="13.5" hidden="false" customHeight="false" outlineLevel="0" collapsed="false">
      <c r="A470" s="1" t="s">
        <v>506</v>
      </c>
      <c r="B470" s="1" t="n">
        <v>3</v>
      </c>
      <c r="C470" s="5" t="n">
        <v>46064</v>
      </c>
      <c r="D470" s="6" t="s">
        <v>314</v>
      </c>
      <c r="E470" s="6" t="s">
        <v>151</v>
      </c>
      <c r="F470" s="6" t="s">
        <v>46</v>
      </c>
      <c r="G470" s="6" t="s">
        <v>64</v>
      </c>
      <c r="H470" s="6" t="s">
        <v>58</v>
      </c>
      <c r="I470" s="1" t="n">
        <v>8</v>
      </c>
      <c r="J470" s="7" t="n">
        <v>8875.55</v>
      </c>
      <c r="K470" s="8" t="n">
        <v>0</v>
      </c>
      <c r="L470" s="7" t="n">
        <v>5125.36</v>
      </c>
      <c r="M470" s="6" t="s">
        <v>49</v>
      </c>
      <c r="N470" s="6" t="s">
        <v>52</v>
      </c>
      <c r="O470" s="6" t="n">
        <f aca="false">IF(TablaVentas[[#This Row],[Precio_unitario]]="","PENDIENTE",TablaVentas[[#This Row],[Unidades]]*TablaVentas[[#This Row],[Precio_unitario]]*(1-TablaVentas[[#This Row],[Descuento_pct]]))</f>
        <v>71004.4</v>
      </c>
      <c r="P470" s="6" t="n">
        <f aca="false">IF(TablaVentas[[#This Row],[Costo_unitario]]="","PENDIENTE",TablaVentas[[#This Row],[Unidades]]*TablaVentas[[#This Row],[Costo_unitario]])</f>
        <v>41002.88</v>
      </c>
      <c r="Q470" s="6" t="n">
        <f aca="false">IF(OR(TablaVentas[[#This Row],[Ingreso_neto]]="PENDIENTE",TablaVentas[[#This Row],[Costo_total]]="PENDIENTE"),"PENDIENTE",TablaVentas[[#This Row],[Ingreso_neto]]-TablaVentas[[#This Row],[Costo_total]])</f>
        <v>30001.52</v>
      </c>
    </row>
    <row r="471" customFormat="false" ht="13.5" hidden="false" customHeight="false" outlineLevel="0" collapsed="false">
      <c r="A471" s="1" t="s">
        <v>507</v>
      </c>
      <c r="B471" s="1" t="n">
        <v>1</v>
      </c>
      <c r="C471" s="5" t="n">
        <v>46217</v>
      </c>
      <c r="D471" s="6" t="s">
        <v>508</v>
      </c>
      <c r="E471" s="6" t="s">
        <v>215</v>
      </c>
      <c r="F471" s="6" t="s">
        <v>63</v>
      </c>
      <c r="G471" s="6" t="s">
        <v>64</v>
      </c>
      <c r="H471" s="6" t="s">
        <v>74</v>
      </c>
      <c r="I471" s="1" t="n">
        <v>3</v>
      </c>
      <c r="J471" s="7" t="n">
        <v>10489.26</v>
      </c>
      <c r="K471" s="8" t="n">
        <v>0</v>
      </c>
      <c r="L471" s="7" t="n">
        <v>5535.31</v>
      </c>
      <c r="M471" s="6" t="s">
        <v>49</v>
      </c>
      <c r="N471" s="6" t="s">
        <v>67</v>
      </c>
      <c r="O471" s="6" t="n">
        <f aca="false">IF(TablaVentas[[#This Row],[Precio_unitario]]="","PENDIENTE",TablaVentas[[#This Row],[Unidades]]*TablaVentas[[#This Row],[Precio_unitario]]*(1-TablaVentas[[#This Row],[Descuento_pct]]))</f>
        <v>31467.78</v>
      </c>
      <c r="P471" s="6" t="n">
        <f aca="false">IF(TablaVentas[[#This Row],[Costo_unitario]]="","PENDIENTE",TablaVentas[[#This Row],[Unidades]]*TablaVentas[[#This Row],[Costo_unitario]])</f>
        <v>16605.93</v>
      </c>
      <c r="Q471" s="6" t="n">
        <f aca="false">IF(OR(TablaVentas[[#This Row],[Ingreso_neto]]="PENDIENTE",TablaVentas[[#This Row],[Costo_total]]="PENDIENTE"),"PENDIENTE",TablaVentas[[#This Row],[Ingreso_neto]]-TablaVentas[[#This Row],[Costo_total]])</f>
        <v>14861.85</v>
      </c>
    </row>
    <row r="472" customFormat="false" ht="13.5" hidden="false" customHeight="false" outlineLevel="0" collapsed="false">
      <c r="A472" s="1" t="s">
        <v>507</v>
      </c>
      <c r="B472" s="1" t="n">
        <v>2</v>
      </c>
      <c r="C472" s="5" t="n">
        <v>46217</v>
      </c>
      <c r="D472" s="6" t="s">
        <v>508</v>
      </c>
      <c r="E472" s="6" t="s">
        <v>146</v>
      </c>
      <c r="F472" s="6" t="s">
        <v>63</v>
      </c>
      <c r="G472" s="6" t="s">
        <v>64</v>
      </c>
      <c r="H472" s="6" t="s">
        <v>74</v>
      </c>
      <c r="I472" s="1" t="n">
        <v>1</v>
      </c>
      <c r="J472" s="7" t="n">
        <v>10393.1</v>
      </c>
      <c r="K472" s="8" t="n">
        <v>0.15</v>
      </c>
      <c r="L472" s="7" t="n">
        <v>8002.16</v>
      </c>
      <c r="M472" s="6" t="s">
        <v>69</v>
      </c>
      <c r="N472" s="6" t="s">
        <v>59</v>
      </c>
      <c r="O472" s="6" t="n">
        <f aca="false">IF(TablaVentas[[#This Row],[Precio_unitario]]="","PENDIENTE",TablaVentas[[#This Row],[Unidades]]*TablaVentas[[#This Row],[Precio_unitario]]*(1-TablaVentas[[#This Row],[Descuento_pct]]))</f>
        <v>8834.135</v>
      </c>
      <c r="P472" s="6" t="n">
        <f aca="false">IF(TablaVentas[[#This Row],[Costo_unitario]]="","PENDIENTE",TablaVentas[[#This Row],[Unidades]]*TablaVentas[[#This Row],[Costo_unitario]])</f>
        <v>8002.16</v>
      </c>
      <c r="Q472" s="6" t="n">
        <f aca="false">IF(OR(TablaVentas[[#This Row],[Ingreso_neto]]="PENDIENTE",TablaVentas[[#This Row],[Costo_total]]="PENDIENTE"),"PENDIENTE",TablaVentas[[#This Row],[Ingreso_neto]]-TablaVentas[[#This Row],[Costo_total]])</f>
        <v>831.975</v>
      </c>
    </row>
    <row r="473" customFormat="false" ht="13.5" hidden="false" customHeight="false" outlineLevel="0" collapsed="false">
      <c r="A473" s="1" t="s">
        <v>507</v>
      </c>
      <c r="B473" s="1" t="n">
        <v>3</v>
      </c>
      <c r="C473" s="5" t="n">
        <v>46217</v>
      </c>
      <c r="D473" s="6" t="s">
        <v>508</v>
      </c>
      <c r="E473" s="6" t="s">
        <v>404</v>
      </c>
      <c r="F473" s="6" t="s">
        <v>63</v>
      </c>
      <c r="G473" s="6" t="s">
        <v>64</v>
      </c>
      <c r="H473" s="6" t="s">
        <v>74</v>
      </c>
      <c r="I473" s="1" t="n">
        <v>1</v>
      </c>
      <c r="J473" s="7" t="n">
        <v>5884.07</v>
      </c>
      <c r="K473" s="8" t="n">
        <v>0.05</v>
      </c>
      <c r="L473" s="7" t="n">
        <v>3640.56</v>
      </c>
      <c r="M473" s="6" t="s">
        <v>49</v>
      </c>
      <c r="N473" s="6" t="s">
        <v>50</v>
      </c>
      <c r="O473" s="6" t="n">
        <f aca="false">IF(TablaVentas[[#This Row],[Precio_unitario]]="","PENDIENTE",TablaVentas[[#This Row],[Unidades]]*TablaVentas[[#This Row],[Precio_unitario]]*(1-TablaVentas[[#This Row],[Descuento_pct]]))</f>
        <v>5589.8665</v>
      </c>
      <c r="P473" s="6" t="n">
        <f aca="false">IF(TablaVentas[[#This Row],[Costo_unitario]]="","PENDIENTE",TablaVentas[[#This Row],[Unidades]]*TablaVentas[[#This Row],[Costo_unitario]])</f>
        <v>3640.56</v>
      </c>
      <c r="Q473" s="6" t="n">
        <f aca="false">IF(OR(TablaVentas[[#This Row],[Ingreso_neto]]="PENDIENTE",TablaVentas[[#This Row],[Costo_total]]="PENDIENTE"),"PENDIENTE",TablaVentas[[#This Row],[Ingreso_neto]]-TablaVentas[[#This Row],[Costo_total]])</f>
        <v>1949.3065</v>
      </c>
    </row>
    <row r="474" customFormat="false" ht="13.5" hidden="false" customHeight="false" outlineLevel="0" collapsed="false">
      <c r="A474" s="1" t="s">
        <v>509</v>
      </c>
      <c r="B474" s="1" t="n">
        <v>1</v>
      </c>
      <c r="C474" s="5" t="n">
        <v>46058</v>
      </c>
      <c r="D474" s="6" t="s">
        <v>485</v>
      </c>
      <c r="E474" s="6" t="s">
        <v>203</v>
      </c>
      <c r="F474" s="6" t="s">
        <v>63</v>
      </c>
      <c r="G474" s="6" t="s">
        <v>47</v>
      </c>
      <c r="H474" s="6" t="s">
        <v>191</v>
      </c>
      <c r="I474" s="1" t="n">
        <v>1</v>
      </c>
      <c r="J474" s="7" t="n">
        <v>748.78</v>
      </c>
      <c r="K474" s="8" t="n">
        <v>0</v>
      </c>
      <c r="L474" s="7" t="n">
        <v>485.16</v>
      </c>
      <c r="M474" s="6" t="s">
        <v>49</v>
      </c>
      <c r="N474" s="6" t="s">
        <v>59</v>
      </c>
      <c r="O474" s="6" t="n">
        <f aca="false">IF(TablaVentas[[#This Row],[Precio_unitario]]="","PENDIENTE",TablaVentas[[#This Row],[Unidades]]*TablaVentas[[#This Row],[Precio_unitario]]*(1-TablaVentas[[#This Row],[Descuento_pct]]))</f>
        <v>748.78</v>
      </c>
      <c r="P474" s="6" t="n">
        <f aca="false">IF(TablaVentas[[#This Row],[Costo_unitario]]="","PENDIENTE",TablaVentas[[#This Row],[Unidades]]*TablaVentas[[#This Row],[Costo_unitario]])</f>
        <v>485.16</v>
      </c>
      <c r="Q474" s="6" t="n">
        <f aca="false">IF(OR(TablaVentas[[#This Row],[Ingreso_neto]]="PENDIENTE",TablaVentas[[#This Row],[Costo_total]]="PENDIENTE"),"PENDIENTE",TablaVentas[[#This Row],[Ingreso_neto]]-TablaVentas[[#This Row],[Costo_total]])</f>
        <v>263.62</v>
      </c>
    </row>
    <row r="475" customFormat="false" ht="13.5" hidden="false" customHeight="false" outlineLevel="0" collapsed="false">
      <c r="A475" s="1" t="s">
        <v>510</v>
      </c>
      <c r="B475" s="1" t="n">
        <v>1</v>
      </c>
      <c r="C475" s="5" t="n">
        <v>46077</v>
      </c>
      <c r="D475" s="6" t="s">
        <v>489</v>
      </c>
      <c r="E475" s="6" t="s">
        <v>104</v>
      </c>
      <c r="F475" s="6" t="s">
        <v>84</v>
      </c>
      <c r="G475" s="6" t="s">
        <v>64</v>
      </c>
      <c r="H475" s="6" t="s">
        <v>58</v>
      </c>
      <c r="I475" s="1" t="n">
        <v>1</v>
      </c>
      <c r="J475" s="7" t="n">
        <v>14420.09</v>
      </c>
      <c r="K475" s="8" t="n">
        <v>0</v>
      </c>
      <c r="L475" s="7" t="n">
        <v>11424.77</v>
      </c>
      <c r="M475" s="6" t="s">
        <v>49</v>
      </c>
      <c r="N475" s="6" t="s">
        <v>50</v>
      </c>
      <c r="O475" s="6" t="n">
        <f aca="false">IF(TablaVentas[[#This Row],[Precio_unitario]]="","PENDIENTE",TablaVentas[[#This Row],[Unidades]]*TablaVentas[[#This Row],[Precio_unitario]]*(1-TablaVentas[[#This Row],[Descuento_pct]]))</f>
        <v>14420.09</v>
      </c>
      <c r="P475" s="6" t="n">
        <f aca="false">IF(TablaVentas[[#This Row],[Costo_unitario]]="","PENDIENTE",TablaVentas[[#This Row],[Unidades]]*TablaVentas[[#This Row],[Costo_unitario]])</f>
        <v>11424.77</v>
      </c>
      <c r="Q475" s="6" t="n">
        <f aca="false">IF(OR(TablaVentas[[#This Row],[Ingreso_neto]]="PENDIENTE",TablaVentas[[#This Row],[Costo_total]]="PENDIENTE"),"PENDIENTE",TablaVentas[[#This Row],[Ingreso_neto]]-TablaVentas[[#This Row],[Costo_total]])</f>
        <v>2995.32</v>
      </c>
    </row>
    <row r="476" customFormat="false" ht="13.5" hidden="false" customHeight="false" outlineLevel="0" collapsed="false">
      <c r="A476" s="1" t="s">
        <v>510</v>
      </c>
      <c r="B476" s="1" t="n">
        <v>2</v>
      </c>
      <c r="C476" s="5" t="n">
        <v>46077</v>
      </c>
      <c r="D476" s="6" t="s">
        <v>489</v>
      </c>
      <c r="E476" s="6" t="s">
        <v>122</v>
      </c>
      <c r="F476" s="6" t="s">
        <v>84</v>
      </c>
      <c r="G476" s="6" t="s">
        <v>64</v>
      </c>
      <c r="H476" s="6" t="s">
        <v>58</v>
      </c>
      <c r="I476" s="1" t="n">
        <v>3</v>
      </c>
      <c r="J476" s="7" t="n">
        <v>1380</v>
      </c>
      <c r="K476" s="8" t="n">
        <v>0.05</v>
      </c>
      <c r="L476" s="7" t="n">
        <v>705.87</v>
      </c>
      <c r="M476" s="6" t="s">
        <v>49</v>
      </c>
      <c r="N476" s="6" t="s">
        <v>67</v>
      </c>
      <c r="O476" s="6" t="n">
        <f aca="false">IF(TablaVentas[[#This Row],[Precio_unitario]]="","PENDIENTE",TablaVentas[[#This Row],[Unidades]]*TablaVentas[[#This Row],[Precio_unitario]]*(1-TablaVentas[[#This Row],[Descuento_pct]]))</f>
        <v>3933</v>
      </c>
      <c r="P476" s="6" t="n">
        <f aca="false">IF(TablaVentas[[#This Row],[Costo_unitario]]="","PENDIENTE",TablaVentas[[#This Row],[Unidades]]*TablaVentas[[#This Row],[Costo_unitario]])</f>
        <v>2117.61</v>
      </c>
      <c r="Q476" s="6" t="n">
        <f aca="false">IF(OR(TablaVentas[[#This Row],[Ingreso_neto]]="PENDIENTE",TablaVentas[[#This Row],[Costo_total]]="PENDIENTE"),"PENDIENTE",TablaVentas[[#This Row],[Ingreso_neto]]-TablaVentas[[#This Row],[Costo_total]])</f>
        <v>1815.39</v>
      </c>
    </row>
    <row r="477" customFormat="false" ht="13.5" hidden="false" customHeight="false" outlineLevel="0" collapsed="false">
      <c r="A477" s="1" t="s">
        <v>511</v>
      </c>
      <c r="B477" s="1" t="n">
        <v>1</v>
      </c>
      <c r="C477" s="5" t="n">
        <v>46221</v>
      </c>
      <c r="D477" s="6" t="s">
        <v>512</v>
      </c>
      <c r="E477" s="6" t="s">
        <v>192</v>
      </c>
      <c r="F477" s="6" t="s">
        <v>63</v>
      </c>
      <c r="G477" s="6" t="s">
        <v>57</v>
      </c>
      <c r="H477" s="6" t="s">
        <v>74</v>
      </c>
      <c r="I477" s="1" t="n">
        <v>1</v>
      </c>
      <c r="J477" s="7" t="n">
        <v>18041.37</v>
      </c>
      <c r="K477" s="8" t="n">
        <v>0</v>
      </c>
      <c r="L477" s="7" t="n">
        <v>11904.09</v>
      </c>
      <c r="M477" s="6" t="s">
        <v>49</v>
      </c>
      <c r="N477" s="6" t="s">
        <v>67</v>
      </c>
      <c r="O477" s="6" t="n">
        <f aca="false">IF(TablaVentas[[#This Row],[Precio_unitario]]="","PENDIENTE",TablaVentas[[#This Row],[Unidades]]*TablaVentas[[#This Row],[Precio_unitario]]*(1-TablaVentas[[#This Row],[Descuento_pct]]))</f>
        <v>18041.37</v>
      </c>
      <c r="P477" s="6" t="n">
        <f aca="false">IF(TablaVentas[[#This Row],[Costo_unitario]]="","PENDIENTE",TablaVentas[[#This Row],[Unidades]]*TablaVentas[[#This Row],[Costo_unitario]])</f>
        <v>11904.09</v>
      </c>
      <c r="Q477" s="6" t="n">
        <f aca="false">IF(OR(TablaVentas[[#This Row],[Ingreso_neto]]="PENDIENTE",TablaVentas[[#This Row],[Costo_total]]="PENDIENTE"),"PENDIENTE",TablaVentas[[#This Row],[Ingreso_neto]]-TablaVentas[[#This Row],[Costo_total]])</f>
        <v>6137.28</v>
      </c>
    </row>
    <row r="478" customFormat="false" ht="13.5" hidden="false" customHeight="false" outlineLevel="0" collapsed="false">
      <c r="A478" s="1" t="s">
        <v>513</v>
      </c>
      <c r="B478" s="1" t="n">
        <v>1</v>
      </c>
      <c r="C478" s="5" t="n">
        <v>46234</v>
      </c>
      <c r="D478" s="6" t="s">
        <v>514</v>
      </c>
      <c r="E478" s="6" t="s">
        <v>53</v>
      </c>
      <c r="F478" s="6" t="s">
        <v>84</v>
      </c>
      <c r="G478" s="6" t="s">
        <v>64</v>
      </c>
      <c r="H478" s="6" t="s">
        <v>131</v>
      </c>
      <c r="I478" s="1" t="n">
        <v>2</v>
      </c>
      <c r="J478" s="7" t="n">
        <v>3882.43</v>
      </c>
      <c r="K478" s="8" t="n">
        <v>0.2</v>
      </c>
      <c r="L478" s="7" t="n">
        <v>2957.6</v>
      </c>
      <c r="M478" s="6" t="s">
        <v>49</v>
      </c>
      <c r="N478" s="6" t="s">
        <v>59</v>
      </c>
      <c r="O478" s="6" t="n">
        <f aca="false">IF(TablaVentas[[#This Row],[Precio_unitario]]="","PENDIENTE",TablaVentas[[#This Row],[Unidades]]*TablaVentas[[#This Row],[Precio_unitario]]*(1-TablaVentas[[#This Row],[Descuento_pct]]))</f>
        <v>6211.888</v>
      </c>
      <c r="P478" s="6" t="n">
        <f aca="false">IF(TablaVentas[[#This Row],[Costo_unitario]]="","PENDIENTE",TablaVentas[[#This Row],[Unidades]]*TablaVentas[[#This Row],[Costo_unitario]])</f>
        <v>5915.2</v>
      </c>
      <c r="Q478" s="6" t="n">
        <f aca="false">IF(OR(TablaVentas[[#This Row],[Ingreso_neto]]="PENDIENTE",TablaVentas[[#This Row],[Costo_total]]="PENDIENTE"),"PENDIENTE",TablaVentas[[#This Row],[Ingreso_neto]]-TablaVentas[[#This Row],[Costo_total]])</f>
        <v>296.688</v>
      </c>
    </row>
    <row r="479" customFormat="false" ht="13.5" hidden="false" customHeight="false" outlineLevel="0" collapsed="false">
      <c r="A479" s="1" t="s">
        <v>513</v>
      </c>
      <c r="B479" s="1" t="n">
        <v>2</v>
      </c>
      <c r="C479" s="5" t="n">
        <v>46234</v>
      </c>
      <c r="D479" s="6" t="s">
        <v>514</v>
      </c>
      <c r="E479" s="6" t="s">
        <v>215</v>
      </c>
      <c r="F479" s="6" t="s">
        <v>84</v>
      </c>
      <c r="G479" s="6" t="s">
        <v>64</v>
      </c>
      <c r="H479" s="6" t="s">
        <v>131</v>
      </c>
      <c r="I479" s="1" t="n">
        <v>8</v>
      </c>
      <c r="J479" s="7" t="n">
        <v>11018.19</v>
      </c>
      <c r="K479" s="8" t="n">
        <v>0</v>
      </c>
      <c r="L479" s="7" t="n">
        <v>5535.31</v>
      </c>
      <c r="M479" s="6" t="s">
        <v>49</v>
      </c>
      <c r="N479" s="6" t="s">
        <v>59</v>
      </c>
      <c r="O479" s="6" t="n">
        <f aca="false">IF(TablaVentas[[#This Row],[Precio_unitario]]="","PENDIENTE",TablaVentas[[#This Row],[Unidades]]*TablaVentas[[#This Row],[Precio_unitario]]*(1-TablaVentas[[#This Row],[Descuento_pct]]))</f>
        <v>88145.52</v>
      </c>
      <c r="P479" s="6" t="n">
        <f aca="false">IF(TablaVentas[[#This Row],[Costo_unitario]]="","PENDIENTE",TablaVentas[[#This Row],[Unidades]]*TablaVentas[[#This Row],[Costo_unitario]])</f>
        <v>44282.48</v>
      </c>
      <c r="Q479" s="6" t="n">
        <f aca="false">IF(OR(TablaVentas[[#This Row],[Ingreso_neto]]="PENDIENTE",TablaVentas[[#This Row],[Costo_total]]="PENDIENTE"),"PENDIENTE",TablaVentas[[#This Row],[Ingreso_neto]]-TablaVentas[[#This Row],[Costo_total]])</f>
        <v>43863.04</v>
      </c>
    </row>
    <row r="480" customFormat="false" ht="13.5" hidden="false" customHeight="false" outlineLevel="0" collapsed="false">
      <c r="A480" s="1" t="s">
        <v>513</v>
      </c>
      <c r="B480" s="1" t="n">
        <v>3</v>
      </c>
      <c r="C480" s="5" t="n">
        <v>46234</v>
      </c>
      <c r="D480" s="6" t="s">
        <v>514</v>
      </c>
      <c r="E480" s="6" t="s">
        <v>116</v>
      </c>
      <c r="F480" s="6" t="s">
        <v>84</v>
      </c>
      <c r="G480" s="6" t="s">
        <v>64</v>
      </c>
      <c r="H480" s="6" t="s">
        <v>131</v>
      </c>
      <c r="I480" s="1" t="n">
        <v>1</v>
      </c>
      <c r="J480" s="7" t="n">
        <v>15748.88</v>
      </c>
      <c r="K480" s="8" t="n">
        <v>0.2</v>
      </c>
      <c r="L480" s="7" t="n">
        <v>9880.77</v>
      </c>
      <c r="M480" s="6" t="s">
        <v>49</v>
      </c>
      <c r="N480" s="6" t="s">
        <v>52</v>
      </c>
      <c r="O480" s="6" t="n">
        <f aca="false">IF(TablaVentas[[#This Row],[Precio_unitario]]="","PENDIENTE",TablaVentas[[#This Row],[Unidades]]*TablaVentas[[#This Row],[Precio_unitario]]*(1-TablaVentas[[#This Row],[Descuento_pct]]))</f>
        <v>12599.104</v>
      </c>
      <c r="P480" s="6" t="n">
        <f aca="false">IF(TablaVentas[[#This Row],[Costo_unitario]]="","PENDIENTE",TablaVentas[[#This Row],[Unidades]]*TablaVentas[[#This Row],[Costo_unitario]])</f>
        <v>9880.77</v>
      </c>
      <c r="Q480" s="6" t="n">
        <f aca="false">IF(OR(TablaVentas[[#This Row],[Ingreso_neto]]="PENDIENTE",TablaVentas[[#This Row],[Costo_total]]="PENDIENTE"),"PENDIENTE",TablaVentas[[#This Row],[Ingreso_neto]]-TablaVentas[[#This Row],[Costo_total]])</f>
        <v>2718.334</v>
      </c>
    </row>
    <row r="481" customFormat="false" ht="13.5" hidden="false" customHeight="false" outlineLevel="0" collapsed="false">
      <c r="A481" s="1" t="s">
        <v>515</v>
      </c>
      <c r="B481" s="1" t="n">
        <v>1</v>
      </c>
      <c r="C481" s="5" t="n">
        <v>46204</v>
      </c>
      <c r="D481" s="6" t="s">
        <v>415</v>
      </c>
      <c r="E481" s="6" t="s">
        <v>97</v>
      </c>
      <c r="F481" s="6" t="s">
        <v>63</v>
      </c>
      <c r="G481" s="6" t="s">
        <v>64</v>
      </c>
      <c r="H481" s="6" t="s">
        <v>58</v>
      </c>
      <c r="I481" s="1" t="n">
        <v>3</v>
      </c>
      <c r="J481" s="7" t="n">
        <v>11689.74</v>
      </c>
      <c r="K481" s="8" t="n">
        <v>0</v>
      </c>
      <c r="L481" s="7" t="n">
        <v>8174.87</v>
      </c>
      <c r="M481" s="6" t="s">
        <v>49</v>
      </c>
      <c r="N481" s="6" t="s">
        <v>50</v>
      </c>
      <c r="O481" s="6" t="n">
        <f aca="false">IF(TablaVentas[[#This Row],[Precio_unitario]]="","PENDIENTE",TablaVentas[[#This Row],[Unidades]]*TablaVentas[[#This Row],[Precio_unitario]]*(1-TablaVentas[[#This Row],[Descuento_pct]]))</f>
        <v>35069.22</v>
      </c>
      <c r="P481" s="6" t="n">
        <f aca="false">IF(TablaVentas[[#This Row],[Costo_unitario]]="","PENDIENTE",TablaVentas[[#This Row],[Unidades]]*TablaVentas[[#This Row],[Costo_unitario]])</f>
        <v>24524.61</v>
      </c>
      <c r="Q481" s="6" t="n">
        <f aca="false">IF(OR(TablaVentas[[#This Row],[Ingreso_neto]]="PENDIENTE",TablaVentas[[#This Row],[Costo_total]]="PENDIENTE"),"PENDIENTE",TablaVentas[[#This Row],[Ingreso_neto]]-TablaVentas[[#This Row],[Costo_total]])</f>
        <v>10544.61</v>
      </c>
    </row>
    <row r="482" customFormat="false" ht="13.5" hidden="false" customHeight="false" outlineLevel="0" collapsed="false">
      <c r="A482" s="1" t="s">
        <v>515</v>
      </c>
      <c r="B482" s="1" t="n">
        <v>2</v>
      </c>
      <c r="C482" s="5" t="n">
        <v>46204</v>
      </c>
      <c r="D482" s="6" t="s">
        <v>415</v>
      </c>
      <c r="E482" s="6" t="s">
        <v>215</v>
      </c>
      <c r="F482" s="6" t="s">
        <v>63</v>
      </c>
      <c r="G482" s="6" t="s">
        <v>64</v>
      </c>
      <c r="H482" s="6" t="s">
        <v>58</v>
      </c>
      <c r="I482" s="1" t="n">
        <v>3</v>
      </c>
      <c r="J482" s="7" t="n">
        <v>11195.83</v>
      </c>
      <c r="K482" s="8" t="n">
        <v>0.2</v>
      </c>
      <c r="L482" s="7" t="n">
        <v>5535.31</v>
      </c>
      <c r="M482" s="6" t="s">
        <v>49</v>
      </c>
      <c r="N482" s="6" t="s">
        <v>50</v>
      </c>
      <c r="O482" s="6" t="n">
        <f aca="false">IF(TablaVentas[[#This Row],[Precio_unitario]]="","PENDIENTE",TablaVentas[[#This Row],[Unidades]]*TablaVentas[[#This Row],[Precio_unitario]]*(1-TablaVentas[[#This Row],[Descuento_pct]]))</f>
        <v>26869.992</v>
      </c>
      <c r="P482" s="6" t="n">
        <f aca="false">IF(TablaVentas[[#This Row],[Costo_unitario]]="","PENDIENTE",TablaVentas[[#This Row],[Unidades]]*TablaVentas[[#This Row],[Costo_unitario]])</f>
        <v>16605.93</v>
      </c>
      <c r="Q482" s="6" t="n">
        <f aca="false">IF(OR(TablaVentas[[#This Row],[Ingreso_neto]]="PENDIENTE",TablaVentas[[#This Row],[Costo_total]]="PENDIENTE"),"PENDIENTE",TablaVentas[[#This Row],[Ingreso_neto]]-TablaVentas[[#This Row],[Costo_total]])</f>
        <v>10264.062</v>
      </c>
    </row>
    <row r="483" customFormat="false" ht="13.5" hidden="false" customHeight="false" outlineLevel="0" collapsed="false">
      <c r="A483" s="1" t="s">
        <v>516</v>
      </c>
      <c r="B483" s="1" t="n">
        <v>1</v>
      </c>
      <c r="C483" s="5" t="n">
        <v>46171</v>
      </c>
      <c r="D483" s="6" t="s">
        <v>302</v>
      </c>
      <c r="E483" s="6" t="s">
        <v>83</v>
      </c>
      <c r="F483" s="6" t="s">
        <v>63</v>
      </c>
      <c r="G483" s="6" t="s">
        <v>64</v>
      </c>
      <c r="H483" s="6" t="s">
        <v>80</v>
      </c>
      <c r="I483" s="1" t="n">
        <v>3</v>
      </c>
      <c r="J483" s="7" t="n">
        <v>12843.01</v>
      </c>
      <c r="K483" s="8" t="n">
        <v>0</v>
      </c>
      <c r="L483" s="7" t="n">
        <v>7748.44</v>
      </c>
      <c r="M483" s="6" t="s">
        <v>49</v>
      </c>
      <c r="N483" s="6" t="s">
        <v>59</v>
      </c>
      <c r="O483" s="6" t="n">
        <f aca="false">IF(TablaVentas[[#This Row],[Precio_unitario]]="","PENDIENTE",TablaVentas[[#This Row],[Unidades]]*TablaVentas[[#This Row],[Precio_unitario]]*(1-TablaVentas[[#This Row],[Descuento_pct]]))</f>
        <v>38529.03</v>
      </c>
      <c r="P483" s="6" t="n">
        <f aca="false">IF(TablaVentas[[#This Row],[Costo_unitario]]="","PENDIENTE",TablaVentas[[#This Row],[Unidades]]*TablaVentas[[#This Row],[Costo_unitario]])</f>
        <v>23245.32</v>
      </c>
      <c r="Q483" s="6" t="n">
        <f aca="false">IF(OR(TablaVentas[[#This Row],[Ingreso_neto]]="PENDIENTE",TablaVentas[[#This Row],[Costo_total]]="PENDIENTE"),"PENDIENTE",TablaVentas[[#This Row],[Ingreso_neto]]-TablaVentas[[#This Row],[Costo_total]])</f>
        <v>15283.71</v>
      </c>
    </row>
    <row r="484" customFormat="false" ht="13.5" hidden="false" customHeight="false" outlineLevel="0" collapsed="false">
      <c r="A484" s="1" t="s">
        <v>516</v>
      </c>
      <c r="B484" s="1" t="n">
        <v>2</v>
      </c>
      <c r="C484" s="5" t="n">
        <v>46171</v>
      </c>
      <c r="D484" s="6" t="s">
        <v>302</v>
      </c>
      <c r="E484" s="6" t="s">
        <v>126</v>
      </c>
      <c r="F484" s="6" t="s">
        <v>63</v>
      </c>
      <c r="G484" s="6" t="s">
        <v>64</v>
      </c>
      <c r="H484" s="6" t="s">
        <v>80</v>
      </c>
      <c r="I484" s="1" t="n">
        <v>8</v>
      </c>
      <c r="J484" s="7" t="n">
        <v>8678.66</v>
      </c>
      <c r="K484" s="8" t="n">
        <v>0.2</v>
      </c>
      <c r="L484" s="7" t="n">
        <v>6981.94</v>
      </c>
      <c r="M484" s="6" t="s">
        <v>49</v>
      </c>
      <c r="N484" s="6" t="s">
        <v>67</v>
      </c>
      <c r="O484" s="6" t="n">
        <f aca="false">IF(TablaVentas[[#This Row],[Precio_unitario]]="","PENDIENTE",TablaVentas[[#This Row],[Unidades]]*TablaVentas[[#This Row],[Precio_unitario]]*(1-TablaVentas[[#This Row],[Descuento_pct]]))</f>
        <v>55543.424</v>
      </c>
      <c r="P484" s="6" t="n">
        <f aca="false">IF(TablaVentas[[#This Row],[Costo_unitario]]="","PENDIENTE",TablaVentas[[#This Row],[Unidades]]*TablaVentas[[#This Row],[Costo_unitario]])</f>
        <v>55855.52</v>
      </c>
      <c r="Q484" s="6" t="n">
        <f aca="false">IF(OR(TablaVentas[[#This Row],[Ingreso_neto]]="PENDIENTE",TablaVentas[[#This Row],[Costo_total]]="PENDIENTE"),"PENDIENTE",TablaVentas[[#This Row],[Ingreso_neto]]-TablaVentas[[#This Row],[Costo_total]])</f>
        <v>-312.095999999998</v>
      </c>
    </row>
    <row r="485" customFormat="false" ht="13.5" hidden="false" customHeight="false" outlineLevel="0" collapsed="false">
      <c r="A485" s="1" t="s">
        <v>517</v>
      </c>
      <c r="B485" s="1" t="n">
        <v>1</v>
      </c>
      <c r="C485" s="5" t="n">
        <v>46280</v>
      </c>
      <c r="D485" s="6" t="s">
        <v>376</v>
      </c>
      <c r="E485" s="6" t="s">
        <v>284</v>
      </c>
      <c r="F485" s="6" t="s">
        <v>46</v>
      </c>
      <c r="G485" s="6" t="s">
        <v>47</v>
      </c>
      <c r="H485" s="6" t="s">
        <v>191</v>
      </c>
      <c r="I485" s="1" t="n">
        <v>3</v>
      </c>
      <c r="J485" s="7" t="n">
        <v>6618.94</v>
      </c>
      <c r="K485" s="8" t="n">
        <v>0</v>
      </c>
      <c r="L485" s="7" t="n">
        <v>4858.08</v>
      </c>
      <c r="M485" s="6" t="s">
        <v>49</v>
      </c>
      <c r="N485" s="6" t="s">
        <v>59</v>
      </c>
      <c r="O485" s="6" t="n">
        <f aca="false">IF(TablaVentas[[#This Row],[Precio_unitario]]="","PENDIENTE",TablaVentas[[#This Row],[Unidades]]*TablaVentas[[#This Row],[Precio_unitario]]*(1-TablaVentas[[#This Row],[Descuento_pct]]))</f>
        <v>19856.82</v>
      </c>
      <c r="P485" s="6" t="n">
        <f aca="false">IF(TablaVentas[[#This Row],[Costo_unitario]]="","PENDIENTE",TablaVentas[[#This Row],[Unidades]]*TablaVentas[[#This Row],[Costo_unitario]])</f>
        <v>14574.24</v>
      </c>
      <c r="Q485" s="6" t="n">
        <f aca="false">IF(OR(TablaVentas[[#This Row],[Ingreso_neto]]="PENDIENTE",TablaVentas[[#This Row],[Costo_total]]="PENDIENTE"),"PENDIENTE",TablaVentas[[#This Row],[Ingreso_neto]]-TablaVentas[[#This Row],[Costo_total]])</f>
        <v>5282.58</v>
      </c>
    </row>
    <row r="486" customFormat="false" ht="13.5" hidden="false" customHeight="false" outlineLevel="0" collapsed="false">
      <c r="A486" s="1" t="s">
        <v>518</v>
      </c>
      <c r="B486" s="1" t="n">
        <v>1</v>
      </c>
      <c r="C486" s="5" t="n">
        <v>46103</v>
      </c>
      <c r="D486" s="6" t="s">
        <v>237</v>
      </c>
      <c r="E486" s="6" t="s">
        <v>374</v>
      </c>
      <c r="F486" s="6" t="s">
        <v>63</v>
      </c>
      <c r="G486" s="6" t="s">
        <v>57</v>
      </c>
      <c r="H486" s="6" t="s">
        <v>89</v>
      </c>
      <c r="I486" s="1" t="n">
        <v>2</v>
      </c>
      <c r="J486" s="7" t="n">
        <v>10250.49</v>
      </c>
      <c r="K486" s="8" t="n">
        <v>0</v>
      </c>
      <c r="L486" s="7" t="n">
        <v>5079.43</v>
      </c>
      <c r="M486" s="6" t="s">
        <v>49</v>
      </c>
      <c r="N486" s="6" t="s">
        <v>50</v>
      </c>
      <c r="O486" s="6" t="n">
        <f aca="false">IF(TablaVentas[[#This Row],[Precio_unitario]]="","PENDIENTE",TablaVentas[[#This Row],[Unidades]]*TablaVentas[[#This Row],[Precio_unitario]]*(1-TablaVentas[[#This Row],[Descuento_pct]]))</f>
        <v>20500.98</v>
      </c>
      <c r="P486" s="6" t="n">
        <f aca="false">IF(TablaVentas[[#This Row],[Costo_unitario]]="","PENDIENTE",TablaVentas[[#This Row],[Unidades]]*TablaVentas[[#This Row],[Costo_unitario]])</f>
        <v>10158.86</v>
      </c>
      <c r="Q486" s="6" t="n">
        <f aca="false">IF(OR(TablaVentas[[#This Row],[Ingreso_neto]]="PENDIENTE",TablaVentas[[#This Row],[Costo_total]]="PENDIENTE"),"PENDIENTE",TablaVentas[[#This Row],[Ingreso_neto]]-TablaVentas[[#This Row],[Costo_total]])</f>
        <v>10342.12</v>
      </c>
    </row>
    <row r="487" customFormat="false" ht="13.5" hidden="false" customHeight="false" outlineLevel="0" collapsed="false">
      <c r="A487" s="1" t="s">
        <v>519</v>
      </c>
      <c r="B487" s="1" t="n">
        <v>1</v>
      </c>
      <c r="C487" s="5" t="n">
        <v>46103</v>
      </c>
      <c r="D487" s="6" t="s">
        <v>207</v>
      </c>
      <c r="E487" s="6" t="s">
        <v>360</v>
      </c>
      <c r="F487" s="6" t="s">
        <v>84</v>
      </c>
      <c r="G487" s="6" t="s">
        <v>57</v>
      </c>
      <c r="H487" s="6" t="s">
        <v>74</v>
      </c>
      <c r="I487" s="1" t="n">
        <v>2</v>
      </c>
      <c r="J487" s="7" t="n">
        <v>2167.6</v>
      </c>
      <c r="K487" s="8" t="n">
        <v>0</v>
      </c>
      <c r="L487" s="7" t="n">
        <v>1479.71</v>
      </c>
      <c r="M487" s="6" t="s">
        <v>49</v>
      </c>
      <c r="N487" s="6" t="s">
        <v>59</v>
      </c>
      <c r="O487" s="6" t="n">
        <f aca="false">IF(TablaVentas[[#This Row],[Precio_unitario]]="","PENDIENTE",TablaVentas[[#This Row],[Unidades]]*TablaVentas[[#This Row],[Precio_unitario]]*(1-TablaVentas[[#This Row],[Descuento_pct]]))</f>
        <v>4335.2</v>
      </c>
      <c r="P487" s="6" t="n">
        <f aca="false">IF(TablaVentas[[#This Row],[Costo_unitario]]="","PENDIENTE",TablaVentas[[#This Row],[Unidades]]*TablaVentas[[#This Row],[Costo_unitario]])</f>
        <v>2959.42</v>
      </c>
      <c r="Q487" s="6" t="n">
        <f aca="false">IF(OR(TablaVentas[[#This Row],[Ingreso_neto]]="PENDIENTE",TablaVentas[[#This Row],[Costo_total]]="PENDIENTE"),"PENDIENTE",TablaVentas[[#This Row],[Ingreso_neto]]-TablaVentas[[#This Row],[Costo_total]])</f>
        <v>1375.78</v>
      </c>
    </row>
    <row r="488" customFormat="false" ht="13.5" hidden="false" customHeight="false" outlineLevel="0" collapsed="false">
      <c r="A488" s="1" t="s">
        <v>519</v>
      </c>
      <c r="B488" s="1" t="n">
        <v>2</v>
      </c>
      <c r="C488" s="5" t="n">
        <v>46103</v>
      </c>
      <c r="D488" s="6" t="s">
        <v>207</v>
      </c>
      <c r="E488" s="6" t="s">
        <v>110</v>
      </c>
      <c r="F488" s="6" t="s">
        <v>84</v>
      </c>
      <c r="G488" s="6" t="s">
        <v>57</v>
      </c>
      <c r="H488" s="6" t="s">
        <v>74</v>
      </c>
      <c r="I488" s="1" t="n">
        <v>2</v>
      </c>
      <c r="J488" s="7" t="n">
        <v>11997.85</v>
      </c>
      <c r="K488" s="8" t="n">
        <v>0</v>
      </c>
      <c r="L488" s="7" t="n">
        <v>7549.71</v>
      </c>
      <c r="M488" s="6" t="s">
        <v>49</v>
      </c>
      <c r="N488" s="6" t="s">
        <v>50</v>
      </c>
      <c r="O488" s="6" t="n">
        <f aca="false">IF(TablaVentas[[#This Row],[Precio_unitario]]="","PENDIENTE",TablaVentas[[#This Row],[Unidades]]*TablaVentas[[#This Row],[Precio_unitario]]*(1-TablaVentas[[#This Row],[Descuento_pct]]))</f>
        <v>23995.7</v>
      </c>
      <c r="P488" s="6" t="n">
        <f aca="false">IF(TablaVentas[[#This Row],[Costo_unitario]]="","PENDIENTE",TablaVentas[[#This Row],[Unidades]]*TablaVentas[[#This Row],[Costo_unitario]])</f>
        <v>15099.42</v>
      </c>
      <c r="Q488" s="6" t="n">
        <f aca="false">IF(OR(TablaVentas[[#This Row],[Ingreso_neto]]="PENDIENTE",TablaVentas[[#This Row],[Costo_total]]="PENDIENTE"),"PENDIENTE",TablaVentas[[#This Row],[Ingreso_neto]]-TablaVentas[[#This Row],[Costo_total]])</f>
        <v>8896.28</v>
      </c>
    </row>
    <row r="489" customFormat="false" ht="13.5" hidden="false" customHeight="false" outlineLevel="0" collapsed="false">
      <c r="A489" s="1" t="s">
        <v>519</v>
      </c>
      <c r="B489" s="1" t="n">
        <v>3</v>
      </c>
      <c r="C489" s="5" t="n">
        <v>46103</v>
      </c>
      <c r="D489" s="6" t="s">
        <v>207</v>
      </c>
      <c r="E489" s="6" t="s">
        <v>410</v>
      </c>
      <c r="F489" s="6" t="s">
        <v>84</v>
      </c>
      <c r="G489" s="6" t="s">
        <v>57</v>
      </c>
      <c r="H489" s="6" t="s">
        <v>74</v>
      </c>
      <c r="I489" s="1" t="n">
        <v>1</v>
      </c>
      <c r="J489" s="7" t="n">
        <v>2862.18</v>
      </c>
      <c r="K489" s="8" t="n">
        <v>0.2</v>
      </c>
      <c r="L489" s="7" t="n">
        <v>1801.83</v>
      </c>
      <c r="M489" s="6" t="s">
        <v>49</v>
      </c>
      <c r="N489" s="6" t="s">
        <v>67</v>
      </c>
      <c r="O489" s="6" t="n">
        <f aca="false">IF(TablaVentas[[#This Row],[Precio_unitario]]="","PENDIENTE",TablaVentas[[#This Row],[Unidades]]*TablaVentas[[#This Row],[Precio_unitario]]*(1-TablaVentas[[#This Row],[Descuento_pct]]))</f>
        <v>2289.744</v>
      </c>
      <c r="P489" s="6" t="n">
        <f aca="false">IF(TablaVentas[[#This Row],[Costo_unitario]]="","PENDIENTE",TablaVentas[[#This Row],[Unidades]]*TablaVentas[[#This Row],[Costo_unitario]])</f>
        <v>1801.83</v>
      </c>
      <c r="Q489" s="6" t="n">
        <f aca="false">IF(OR(TablaVentas[[#This Row],[Ingreso_neto]]="PENDIENTE",TablaVentas[[#This Row],[Costo_total]]="PENDIENTE"),"PENDIENTE",TablaVentas[[#This Row],[Ingreso_neto]]-TablaVentas[[#This Row],[Costo_total]])</f>
        <v>487.914</v>
      </c>
    </row>
    <row r="490" customFormat="false" ht="13.5" hidden="false" customHeight="false" outlineLevel="0" collapsed="false">
      <c r="A490" s="1" t="s">
        <v>519</v>
      </c>
      <c r="B490" s="1" t="n">
        <v>4</v>
      </c>
      <c r="C490" s="5" t="n">
        <v>46103</v>
      </c>
      <c r="D490" s="6" t="s">
        <v>207</v>
      </c>
      <c r="E490" s="6" t="s">
        <v>255</v>
      </c>
      <c r="F490" s="6" t="s">
        <v>84</v>
      </c>
      <c r="G490" s="6" t="s">
        <v>57</v>
      </c>
      <c r="H490" s="6" t="s">
        <v>74</v>
      </c>
      <c r="I490" s="1" t="n">
        <v>4</v>
      </c>
      <c r="J490" s="7" t="n">
        <v>13481.8</v>
      </c>
      <c r="K490" s="8" t="n">
        <v>0.15</v>
      </c>
      <c r="L490" s="7" t="n">
        <v>6856.4</v>
      </c>
      <c r="M490" s="6" t="s">
        <v>49</v>
      </c>
      <c r="N490" s="6" t="s">
        <v>67</v>
      </c>
      <c r="O490" s="6" t="n">
        <f aca="false">IF(TablaVentas[[#This Row],[Precio_unitario]]="","PENDIENTE",TablaVentas[[#This Row],[Unidades]]*TablaVentas[[#This Row],[Precio_unitario]]*(1-TablaVentas[[#This Row],[Descuento_pct]]))</f>
        <v>45838.12</v>
      </c>
      <c r="P490" s="6" t="n">
        <f aca="false">IF(TablaVentas[[#This Row],[Costo_unitario]]="","PENDIENTE",TablaVentas[[#This Row],[Unidades]]*TablaVentas[[#This Row],[Costo_unitario]])</f>
        <v>27425.6</v>
      </c>
      <c r="Q490" s="6" t="n">
        <f aca="false">IF(OR(TablaVentas[[#This Row],[Ingreso_neto]]="PENDIENTE",TablaVentas[[#This Row],[Costo_total]]="PENDIENTE"),"PENDIENTE",TablaVentas[[#This Row],[Ingreso_neto]]-TablaVentas[[#This Row],[Costo_total]])</f>
        <v>18412.52</v>
      </c>
    </row>
    <row r="491" customFormat="false" ht="13.5" hidden="false" customHeight="false" outlineLevel="0" collapsed="false">
      <c r="A491" s="1" t="s">
        <v>520</v>
      </c>
      <c r="B491" s="1" t="n">
        <v>1</v>
      </c>
      <c r="C491" s="5" t="n">
        <v>46195</v>
      </c>
      <c r="D491" s="6" t="s">
        <v>521</v>
      </c>
      <c r="E491" s="6" t="s">
        <v>104</v>
      </c>
      <c r="F491" s="6" t="s">
        <v>46</v>
      </c>
      <c r="G491" s="6" t="s">
        <v>47</v>
      </c>
      <c r="H491" s="6" t="s">
        <v>191</v>
      </c>
      <c r="I491" s="1" t="n">
        <v>2</v>
      </c>
      <c r="J491" s="7" t="n">
        <v>14240.39</v>
      </c>
      <c r="K491" s="8" t="n">
        <v>0</v>
      </c>
      <c r="L491" s="7" t="n">
        <v>11424.77</v>
      </c>
      <c r="M491" s="6" t="s">
        <v>49</v>
      </c>
      <c r="N491" s="6" t="s">
        <v>59</v>
      </c>
      <c r="O491" s="6" t="n">
        <f aca="false">IF(TablaVentas[[#This Row],[Precio_unitario]]="","PENDIENTE",TablaVentas[[#This Row],[Unidades]]*TablaVentas[[#This Row],[Precio_unitario]]*(1-TablaVentas[[#This Row],[Descuento_pct]]))</f>
        <v>28480.78</v>
      </c>
      <c r="P491" s="6" t="n">
        <f aca="false">IF(TablaVentas[[#This Row],[Costo_unitario]]="","PENDIENTE",TablaVentas[[#This Row],[Unidades]]*TablaVentas[[#This Row],[Costo_unitario]])</f>
        <v>22849.54</v>
      </c>
      <c r="Q491" s="6" t="n">
        <f aca="false">IF(OR(TablaVentas[[#This Row],[Ingreso_neto]]="PENDIENTE",TablaVentas[[#This Row],[Costo_total]]="PENDIENTE"),"PENDIENTE",TablaVentas[[#This Row],[Ingreso_neto]]-TablaVentas[[#This Row],[Costo_total]])</f>
        <v>5631.24</v>
      </c>
    </row>
    <row r="492" customFormat="false" ht="13.5" hidden="false" customHeight="false" outlineLevel="0" collapsed="false">
      <c r="A492" s="1" t="s">
        <v>522</v>
      </c>
      <c r="B492" s="1" t="n">
        <v>1</v>
      </c>
      <c r="C492" s="5" t="n">
        <v>46131</v>
      </c>
      <c r="D492" s="6" t="s">
        <v>205</v>
      </c>
      <c r="E492" s="6" t="s">
        <v>66</v>
      </c>
      <c r="F492" s="6" t="s">
        <v>73</v>
      </c>
      <c r="G492" s="6" t="s">
        <v>47</v>
      </c>
      <c r="H492" s="6" t="s">
        <v>136</v>
      </c>
      <c r="I492" s="1" t="n">
        <v>1</v>
      </c>
      <c r="J492" s="7" t="n">
        <v>13070.67</v>
      </c>
      <c r="K492" s="8" t="n">
        <v>0.15</v>
      </c>
      <c r="L492" s="7" t="n">
        <v>10170.29</v>
      </c>
      <c r="M492" s="6" t="s">
        <v>49</v>
      </c>
      <c r="N492" s="6" t="s">
        <v>67</v>
      </c>
      <c r="O492" s="6" t="n">
        <f aca="false">IF(TablaVentas[[#This Row],[Precio_unitario]]="","PENDIENTE",TablaVentas[[#This Row],[Unidades]]*TablaVentas[[#This Row],[Precio_unitario]]*(1-TablaVentas[[#This Row],[Descuento_pct]]))</f>
        <v>11110.0695</v>
      </c>
      <c r="P492" s="6" t="n">
        <f aca="false">IF(TablaVentas[[#This Row],[Costo_unitario]]="","PENDIENTE",TablaVentas[[#This Row],[Unidades]]*TablaVentas[[#This Row],[Costo_unitario]])</f>
        <v>10170.29</v>
      </c>
      <c r="Q492" s="6" t="n">
        <f aca="false">IF(OR(TablaVentas[[#This Row],[Ingreso_neto]]="PENDIENTE",TablaVentas[[#This Row],[Costo_total]]="PENDIENTE"),"PENDIENTE",TablaVentas[[#This Row],[Ingreso_neto]]-TablaVentas[[#This Row],[Costo_total]])</f>
        <v>939.779499999999</v>
      </c>
    </row>
    <row r="493" customFormat="false" ht="13.5" hidden="false" customHeight="false" outlineLevel="0" collapsed="false">
      <c r="A493" s="1" t="s">
        <v>522</v>
      </c>
      <c r="B493" s="1" t="n">
        <v>2</v>
      </c>
      <c r="C493" s="5" t="n">
        <v>46131</v>
      </c>
      <c r="D493" s="6" t="s">
        <v>205</v>
      </c>
      <c r="E493" s="6" t="s">
        <v>203</v>
      </c>
      <c r="F493" s="6" t="s">
        <v>73</v>
      </c>
      <c r="G493" s="6" t="s">
        <v>47</v>
      </c>
      <c r="H493" s="6" t="s">
        <v>136</v>
      </c>
      <c r="I493" s="1" t="n">
        <v>2</v>
      </c>
      <c r="J493" s="7" t="n">
        <v>710</v>
      </c>
      <c r="K493" s="8" t="n">
        <v>0</v>
      </c>
      <c r="L493" s="7" t="n">
        <v>485.16</v>
      </c>
      <c r="M493" s="6" t="s">
        <v>49</v>
      </c>
      <c r="N493" s="6" t="s">
        <v>50</v>
      </c>
      <c r="O493" s="6" t="n">
        <f aca="false">IF(TablaVentas[[#This Row],[Precio_unitario]]="","PENDIENTE",TablaVentas[[#This Row],[Unidades]]*TablaVentas[[#This Row],[Precio_unitario]]*(1-TablaVentas[[#This Row],[Descuento_pct]]))</f>
        <v>1420</v>
      </c>
      <c r="P493" s="6" t="n">
        <f aca="false">IF(TablaVentas[[#This Row],[Costo_unitario]]="","PENDIENTE",TablaVentas[[#This Row],[Unidades]]*TablaVentas[[#This Row],[Costo_unitario]])</f>
        <v>970.32</v>
      </c>
      <c r="Q493" s="6" t="n">
        <f aca="false">IF(OR(TablaVentas[[#This Row],[Ingreso_neto]]="PENDIENTE",TablaVentas[[#This Row],[Costo_total]]="PENDIENTE"),"PENDIENTE",TablaVentas[[#This Row],[Ingreso_neto]]-TablaVentas[[#This Row],[Costo_total]])</f>
        <v>449.68</v>
      </c>
    </row>
    <row r="494" customFormat="false" ht="13.5" hidden="false" customHeight="false" outlineLevel="0" collapsed="false">
      <c r="A494" s="1" t="s">
        <v>522</v>
      </c>
      <c r="B494" s="1" t="n">
        <v>3</v>
      </c>
      <c r="C494" s="5" t="n">
        <v>46131</v>
      </c>
      <c r="D494" s="6" t="s">
        <v>205</v>
      </c>
      <c r="E494" s="6" t="s">
        <v>139</v>
      </c>
      <c r="F494" s="6" t="s">
        <v>73</v>
      </c>
      <c r="G494" s="6" t="s">
        <v>47</v>
      </c>
      <c r="H494" s="6" t="s">
        <v>136</v>
      </c>
      <c r="I494" s="1" t="n">
        <v>1</v>
      </c>
      <c r="J494" s="7" t="n">
        <v>18718.6</v>
      </c>
      <c r="K494" s="8" t="n">
        <v>0</v>
      </c>
      <c r="L494" s="7" t="n">
        <v>11036.95</v>
      </c>
      <c r="M494" s="6" t="s">
        <v>49</v>
      </c>
      <c r="N494" s="6" t="s">
        <v>67</v>
      </c>
      <c r="O494" s="6" t="n">
        <f aca="false">IF(TablaVentas[[#This Row],[Precio_unitario]]="","PENDIENTE",TablaVentas[[#This Row],[Unidades]]*TablaVentas[[#This Row],[Precio_unitario]]*(1-TablaVentas[[#This Row],[Descuento_pct]]))</f>
        <v>18718.6</v>
      </c>
      <c r="P494" s="6" t="n">
        <f aca="false">IF(TablaVentas[[#This Row],[Costo_unitario]]="","PENDIENTE",TablaVentas[[#This Row],[Unidades]]*TablaVentas[[#This Row],[Costo_unitario]])</f>
        <v>11036.95</v>
      </c>
      <c r="Q494" s="6" t="n">
        <f aca="false">IF(OR(TablaVentas[[#This Row],[Ingreso_neto]]="PENDIENTE",TablaVentas[[#This Row],[Costo_total]]="PENDIENTE"),"PENDIENTE",TablaVentas[[#This Row],[Ingreso_neto]]-TablaVentas[[#This Row],[Costo_total]])</f>
        <v>7681.65</v>
      </c>
    </row>
    <row r="495" customFormat="false" ht="13.5" hidden="false" customHeight="false" outlineLevel="0" collapsed="false">
      <c r="A495" s="1" t="s">
        <v>523</v>
      </c>
      <c r="B495" s="1" t="n">
        <v>1</v>
      </c>
      <c r="C495" s="5" t="n">
        <v>46132</v>
      </c>
      <c r="D495" s="6" t="s">
        <v>184</v>
      </c>
      <c r="E495" s="6" t="s">
        <v>255</v>
      </c>
      <c r="F495" s="6" t="s">
        <v>63</v>
      </c>
      <c r="G495" s="6" t="s">
        <v>47</v>
      </c>
      <c r="H495" s="6" t="s">
        <v>131</v>
      </c>
      <c r="I495" s="1" t="n">
        <v>2</v>
      </c>
      <c r="J495" s="7" t="n">
        <v>12450.26</v>
      </c>
      <c r="K495" s="8" t="n">
        <v>0.2</v>
      </c>
      <c r="L495" s="7" t="n">
        <v>6856.4</v>
      </c>
      <c r="M495" s="6" t="s">
        <v>49</v>
      </c>
      <c r="N495" s="6" t="s">
        <v>59</v>
      </c>
      <c r="O495" s="6" t="n">
        <f aca="false">IF(TablaVentas[[#This Row],[Precio_unitario]]="","PENDIENTE",TablaVentas[[#This Row],[Unidades]]*TablaVentas[[#This Row],[Precio_unitario]]*(1-TablaVentas[[#This Row],[Descuento_pct]]))</f>
        <v>19920.416</v>
      </c>
      <c r="P495" s="6" t="n">
        <f aca="false">IF(TablaVentas[[#This Row],[Costo_unitario]]="","PENDIENTE",TablaVentas[[#This Row],[Unidades]]*TablaVentas[[#This Row],[Costo_unitario]])</f>
        <v>13712.8</v>
      </c>
      <c r="Q495" s="6" t="n">
        <f aca="false">IF(OR(TablaVentas[[#This Row],[Ingreso_neto]]="PENDIENTE",TablaVentas[[#This Row],[Costo_total]]="PENDIENTE"),"PENDIENTE",TablaVentas[[#This Row],[Ingreso_neto]]-TablaVentas[[#This Row],[Costo_total]])</f>
        <v>6207.616</v>
      </c>
    </row>
    <row r="496" customFormat="false" ht="13.5" hidden="false" customHeight="false" outlineLevel="0" collapsed="false">
      <c r="A496" s="1" t="s">
        <v>523</v>
      </c>
      <c r="B496" s="1" t="n">
        <v>2</v>
      </c>
      <c r="C496" s="5" t="n">
        <v>46132</v>
      </c>
      <c r="D496" s="6" t="s">
        <v>184</v>
      </c>
      <c r="E496" s="6" t="s">
        <v>252</v>
      </c>
      <c r="F496" s="6" t="s">
        <v>63</v>
      </c>
      <c r="G496" s="6" t="s">
        <v>47</v>
      </c>
      <c r="H496" s="6" t="s">
        <v>131</v>
      </c>
      <c r="I496" s="1" t="n">
        <v>3</v>
      </c>
      <c r="J496" s="7" t="n">
        <v>16768.18</v>
      </c>
      <c r="K496" s="8" t="n">
        <v>0.2</v>
      </c>
      <c r="L496" s="7" t="n">
        <v>10507.24</v>
      </c>
      <c r="M496" s="6" t="s">
        <v>49</v>
      </c>
      <c r="N496" s="6" t="s">
        <v>67</v>
      </c>
      <c r="O496" s="6" t="n">
        <f aca="false">IF(TablaVentas[[#This Row],[Precio_unitario]]="","PENDIENTE",TablaVentas[[#This Row],[Unidades]]*TablaVentas[[#This Row],[Precio_unitario]]*(1-TablaVentas[[#This Row],[Descuento_pct]]))</f>
        <v>40243.632</v>
      </c>
      <c r="P496" s="6" t="n">
        <f aca="false">IF(TablaVentas[[#This Row],[Costo_unitario]]="","PENDIENTE",TablaVentas[[#This Row],[Unidades]]*TablaVentas[[#This Row],[Costo_unitario]])</f>
        <v>31521.72</v>
      </c>
      <c r="Q496" s="6" t="n">
        <f aca="false">IF(OR(TablaVentas[[#This Row],[Ingreso_neto]]="PENDIENTE",TablaVentas[[#This Row],[Costo_total]]="PENDIENTE"),"PENDIENTE",TablaVentas[[#This Row],[Ingreso_neto]]-TablaVentas[[#This Row],[Costo_total]])</f>
        <v>8721.912</v>
      </c>
    </row>
    <row r="497" customFormat="false" ht="13.5" hidden="false" customHeight="false" outlineLevel="0" collapsed="false">
      <c r="A497" s="1" t="s">
        <v>524</v>
      </c>
      <c r="B497" s="1" t="n">
        <v>1</v>
      </c>
      <c r="C497" s="5" t="n">
        <v>46214</v>
      </c>
      <c r="D497" s="6" t="s">
        <v>525</v>
      </c>
      <c r="E497" s="6" t="s">
        <v>90</v>
      </c>
      <c r="F497" s="6" t="s">
        <v>46</v>
      </c>
      <c r="G497" s="6" t="s">
        <v>57</v>
      </c>
      <c r="H497" s="6" t="s">
        <v>191</v>
      </c>
      <c r="I497" s="1" t="n">
        <v>3</v>
      </c>
      <c r="J497" s="7" t="n">
        <v>15743.38</v>
      </c>
      <c r="K497" s="8" t="n">
        <v>0</v>
      </c>
      <c r="L497" s="7" t="n">
        <v>12723.77</v>
      </c>
      <c r="M497" s="6" t="s">
        <v>49</v>
      </c>
      <c r="N497" s="6" t="s">
        <v>52</v>
      </c>
      <c r="O497" s="6" t="n">
        <f aca="false">IF(TablaVentas[[#This Row],[Precio_unitario]]="","PENDIENTE",TablaVentas[[#This Row],[Unidades]]*TablaVentas[[#This Row],[Precio_unitario]]*(1-TablaVentas[[#This Row],[Descuento_pct]]))</f>
        <v>47230.14</v>
      </c>
      <c r="P497" s="6" t="n">
        <f aca="false">IF(TablaVentas[[#This Row],[Costo_unitario]]="","PENDIENTE",TablaVentas[[#This Row],[Unidades]]*TablaVentas[[#This Row],[Costo_unitario]])</f>
        <v>38171.31</v>
      </c>
      <c r="Q497" s="6" t="n">
        <f aca="false">IF(OR(TablaVentas[[#This Row],[Ingreso_neto]]="PENDIENTE",TablaVentas[[#This Row],[Costo_total]]="PENDIENTE"),"PENDIENTE",TablaVentas[[#This Row],[Ingreso_neto]]-TablaVentas[[#This Row],[Costo_total]])</f>
        <v>9058.83</v>
      </c>
    </row>
    <row r="498" customFormat="false" ht="13.5" hidden="false" customHeight="false" outlineLevel="0" collapsed="false">
      <c r="A498" s="1" t="s">
        <v>524</v>
      </c>
      <c r="B498" s="1" t="n">
        <v>2</v>
      </c>
      <c r="C498" s="5" t="n">
        <v>46214</v>
      </c>
      <c r="D498" s="6" t="s">
        <v>525</v>
      </c>
      <c r="E498" s="6" t="s">
        <v>45</v>
      </c>
      <c r="F498" s="6" t="s">
        <v>46</v>
      </c>
      <c r="G498" s="6" t="s">
        <v>57</v>
      </c>
      <c r="H498" s="6" t="s">
        <v>191</v>
      </c>
      <c r="I498" s="1" t="n">
        <v>3</v>
      </c>
      <c r="J498" s="7" t="n">
        <v>6170.24</v>
      </c>
      <c r="K498" s="8" t="n">
        <v>0</v>
      </c>
      <c r="L498" s="7" t="n">
        <v>3832.69</v>
      </c>
      <c r="M498" s="6" t="s">
        <v>49</v>
      </c>
      <c r="N498" s="6" t="s">
        <v>50</v>
      </c>
      <c r="O498" s="6" t="n">
        <f aca="false">IF(TablaVentas[[#This Row],[Precio_unitario]]="","PENDIENTE",TablaVentas[[#This Row],[Unidades]]*TablaVentas[[#This Row],[Precio_unitario]]*(1-TablaVentas[[#This Row],[Descuento_pct]]))</f>
        <v>18510.72</v>
      </c>
      <c r="P498" s="6" t="n">
        <f aca="false">IF(TablaVentas[[#This Row],[Costo_unitario]]="","PENDIENTE",TablaVentas[[#This Row],[Unidades]]*TablaVentas[[#This Row],[Costo_unitario]])</f>
        <v>11498.07</v>
      </c>
      <c r="Q498" s="6" t="n">
        <f aca="false">IF(OR(TablaVentas[[#This Row],[Ingreso_neto]]="PENDIENTE",TablaVentas[[#This Row],[Costo_total]]="PENDIENTE"),"PENDIENTE",TablaVentas[[#This Row],[Ingreso_neto]]-TablaVentas[[#This Row],[Costo_total]])</f>
        <v>7012.65</v>
      </c>
    </row>
    <row r="499" customFormat="false" ht="13.5" hidden="false" customHeight="false" outlineLevel="0" collapsed="false">
      <c r="A499" s="1" t="s">
        <v>524</v>
      </c>
      <c r="B499" s="1" t="n">
        <v>3</v>
      </c>
      <c r="C499" s="5" t="n">
        <v>46214</v>
      </c>
      <c r="D499" s="6" t="s">
        <v>525</v>
      </c>
      <c r="E499" s="6" t="s">
        <v>75</v>
      </c>
      <c r="F499" s="6" t="s">
        <v>46</v>
      </c>
      <c r="G499" s="6" t="s">
        <v>57</v>
      </c>
      <c r="H499" s="6" t="s">
        <v>191</v>
      </c>
      <c r="I499" s="1" t="n">
        <v>2</v>
      </c>
      <c r="J499" s="7" t="n">
        <v>16547.91</v>
      </c>
      <c r="K499" s="8" t="n">
        <v>0.05</v>
      </c>
      <c r="L499" s="7" t="n">
        <v>9243.35</v>
      </c>
      <c r="M499" s="6" t="s">
        <v>49</v>
      </c>
      <c r="N499" s="6" t="s">
        <v>59</v>
      </c>
      <c r="O499" s="6" t="n">
        <f aca="false">IF(TablaVentas[[#This Row],[Precio_unitario]]="","PENDIENTE",TablaVentas[[#This Row],[Unidades]]*TablaVentas[[#This Row],[Precio_unitario]]*(1-TablaVentas[[#This Row],[Descuento_pct]]))</f>
        <v>31441.029</v>
      </c>
      <c r="P499" s="6" t="n">
        <f aca="false">IF(TablaVentas[[#This Row],[Costo_unitario]]="","PENDIENTE",TablaVentas[[#This Row],[Unidades]]*TablaVentas[[#This Row],[Costo_unitario]])</f>
        <v>18486.7</v>
      </c>
      <c r="Q499" s="6" t="n">
        <f aca="false">IF(OR(TablaVentas[[#This Row],[Ingreso_neto]]="PENDIENTE",TablaVentas[[#This Row],[Costo_total]]="PENDIENTE"),"PENDIENTE",TablaVentas[[#This Row],[Ingreso_neto]]-TablaVentas[[#This Row],[Costo_total]])</f>
        <v>12954.329</v>
      </c>
    </row>
    <row r="500" customFormat="false" ht="13.5" hidden="false" customHeight="false" outlineLevel="0" collapsed="false">
      <c r="A500" s="1" t="s">
        <v>526</v>
      </c>
      <c r="B500" s="1" t="n">
        <v>1</v>
      </c>
      <c r="C500" s="5" t="n">
        <v>46203</v>
      </c>
      <c r="D500" s="6" t="s">
        <v>485</v>
      </c>
      <c r="E500" s="6" t="s">
        <v>219</v>
      </c>
      <c r="F500" s="6" t="s">
        <v>46</v>
      </c>
      <c r="G500" s="6" t="s">
        <v>64</v>
      </c>
      <c r="H500" s="6" t="s">
        <v>109</v>
      </c>
      <c r="I500" s="1" t="n">
        <v>2</v>
      </c>
      <c r="J500" s="7" t="n">
        <v>3696.23</v>
      </c>
      <c r="K500" s="8" t="n">
        <v>0.2</v>
      </c>
      <c r="L500" s="7" t="n">
        <v>2157.55</v>
      </c>
      <c r="M500" s="6" t="s">
        <v>49</v>
      </c>
      <c r="N500" s="6" t="s">
        <v>50</v>
      </c>
      <c r="O500" s="6" t="n">
        <f aca="false">IF(TablaVentas[[#This Row],[Precio_unitario]]="","PENDIENTE",TablaVentas[[#This Row],[Unidades]]*TablaVentas[[#This Row],[Precio_unitario]]*(1-TablaVentas[[#This Row],[Descuento_pct]]))</f>
        <v>5913.968</v>
      </c>
      <c r="P500" s="6" t="n">
        <f aca="false">IF(TablaVentas[[#This Row],[Costo_unitario]]="","PENDIENTE",TablaVentas[[#This Row],[Unidades]]*TablaVentas[[#This Row],[Costo_unitario]])</f>
        <v>4315.1</v>
      </c>
      <c r="Q500" s="6" t="n">
        <f aca="false">IF(OR(TablaVentas[[#This Row],[Ingreso_neto]]="PENDIENTE",TablaVentas[[#This Row],[Costo_total]]="PENDIENTE"),"PENDIENTE",TablaVentas[[#This Row],[Ingreso_neto]]-TablaVentas[[#This Row],[Costo_total]])</f>
        <v>1598.868</v>
      </c>
    </row>
    <row r="501" customFormat="false" ht="13.5" hidden="false" customHeight="false" outlineLevel="0" collapsed="false">
      <c r="A501" s="1" t="s">
        <v>526</v>
      </c>
      <c r="B501" s="1" t="n">
        <v>2</v>
      </c>
      <c r="C501" s="5" t="n">
        <v>46203</v>
      </c>
      <c r="D501" s="6" t="s">
        <v>485</v>
      </c>
      <c r="E501" s="6" t="s">
        <v>151</v>
      </c>
      <c r="F501" s="6" t="s">
        <v>46</v>
      </c>
      <c r="G501" s="6" t="s">
        <v>64</v>
      </c>
      <c r="H501" s="6" t="s">
        <v>109</v>
      </c>
      <c r="I501" s="1" t="n">
        <v>5</v>
      </c>
      <c r="J501" s="7" t="n">
        <v>9122.43</v>
      </c>
      <c r="K501" s="8" t="n">
        <v>0</v>
      </c>
      <c r="L501" s="7" t="n">
        <v>5125.36</v>
      </c>
      <c r="M501" s="6" t="s">
        <v>49</v>
      </c>
      <c r="N501" s="6" t="s">
        <v>52</v>
      </c>
      <c r="O501" s="6" t="n">
        <f aca="false">IF(TablaVentas[[#This Row],[Precio_unitario]]="","PENDIENTE",TablaVentas[[#This Row],[Unidades]]*TablaVentas[[#This Row],[Precio_unitario]]*(1-TablaVentas[[#This Row],[Descuento_pct]]))</f>
        <v>45612.15</v>
      </c>
      <c r="P501" s="6" t="n">
        <f aca="false">IF(TablaVentas[[#This Row],[Costo_unitario]]="","PENDIENTE",TablaVentas[[#This Row],[Unidades]]*TablaVentas[[#This Row],[Costo_unitario]])</f>
        <v>25626.8</v>
      </c>
      <c r="Q501" s="6" t="n">
        <f aca="false">IF(OR(TablaVentas[[#This Row],[Ingreso_neto]]="PENDIENTE",TablaVentas[[#This Row],[Costo_total]]="PENDIENTE"),"PENDIENTE",TablaVentas[[#This Row],[Ingreso_neto]]-TablaVentas[[#This Row],[Costo_total]])</f>
        <v>19985.35</v>
      </c>
    </row>
    <row r="502" customFormat="false" ht="13.5" hidden="false" customHeight="false" outlineLevel="0" collapsed="false">
      <c r="A502" s="1" t="s">
        <v>526</v>
      </c>
      <c r="B502" s="1" t="n">
        <v>3</v>
      </c>
      <c r="C502" s="5" t="n">
        <v>46203</v>
      </c>
      <c r="D502" s="6" t="s">
        <v>485</v>
      </c>
      <c r="E502" s="6" t="s">
        <v>187</v>
      </c>
      <c r="F502" s="6" t="s">
        <v>46</v>
      </c>
      <c r="G502" s="6" t="s">
        <v>64</v>
      </c>
      <c r="H502" s="6" t="s">
        <v>109</v>
      </c>
      <c r="I502" s="1" t="n">
        <v>1</v>
      </c>
      <c r="J502" s="7" t="n">
        <v>5910.04</v>
      </c>
      <c r="K502" s="8" t="n">
        <v>0.15</v>
      </c>
      <c r="L502" s="7" t="n">
        <v>3824.92</v>
      </c>
      <c r="M502" s="6" t="s">
        <v>49</v>
      </c>
      <c r="N502" s="6" t="s">
        <v>52</v>
      </c>
      <c r="O502" s="6" t="n">
        <f aca="false">IF(TablaVentas[[#This Row],[Precio_unitario]]="","PENDIENTE",TablaVentas[[#This Row],[Unidades]]*TablaVentas[[#This Row],[Precio_unitario]]*(1-TablaVentas[[#This Row],[Descuento_pct]]))</f>
        <v>5023.534</v>
      </c>
      <c r="P502" s="6" t="n">
        <f aca="false">IF(TablaVentas[[#This Row],[Costo_unitario]]="","PENDIENTE",TablaVentas[[#This Row],[Unidades]]*TablaVentas[[#This Row],[Costo_unitario]])</f>
        <v>3824.92</v>
      </c>
      <c r="Q502" s="6" t="n">
        <f aca="false">IF(OR(TablaVentas[[#This Row],[Ingreso_neto]]="PENDIENTE",TablaVentas[[#This Row],[Costo_total]]="PENDIENTE"),"PENDIENTE",TablaVentas[[#This Row],[Ingreso_neto]]-TablaVentas[[#This Row],[Costo_total]])</f>
        <v>1198.614</v>
      </c>
    </row>
    <row r="503" customFormat="false" ht="13.5" hidden="false" customHeight="false" outlineLevel="0" collapsed="false">
      <c r="A503" s="1" t="s">
        <v>526</v>
      </c>
      <c r="B503" s="1" t="n">
        <v>4</v>
      </c>
      <c r="C503" s="5" t="n">
        <v>46203</v>
      </c>
      <c r="D503" s="6" t="s">
        <v>485</v>
      </c>
      <c r="E503" s="6" t="s">
        <v>147</v>
      </c>
      <c r="F503" s="6" t="s">
        <v>46</v>
      </c>
      <c r="G503" s="6" t="s">
        <v>64</v>
      </c>
      <c r="H503" s="6" t="s">
        <v>109</v>
      </c>
      <c r="I503" s="1" t="n">
        <v>2</v>
      </c>
      <c r="J503" s="7" t="n">
        <v>2788.94</v>
      </c>
      <c r="K503" s="8" t="n">
        <v>0</v>
      </c>
      <c r="L503" s="7" t="n">
        <v>2427.63</v>
      </c>
      <c r="M503" s="6" t="s">
        <v>49</v>
      </c>
      <c r="N503" s="6" t="s">
        <v>59</v>
      </c>
      <c r="O503" s="6" t="n">
        <f aca="false">IF(TablaVentas[[#This Row],[Precio_unitario]]="","PENDIENTE",TablaVentas[[#This Row],[Unidades]]*TablaVentas[[#This Row],[Precio_unitario]]*(1-TablaVentas[[#This Row],[Descuento_pct]]))</f>
        <v>5577.88</v>
      </c>
      <c r="P503" s="6" t="n">
        <f aca="false">IF(TablaVentas[[#This Row],[Costo_unitario]]="","PENDIENTE",TablaVentas[[#This Row],[Unidades]]*TablaVentas[[#This Row],[Costo_unitario]])</f>
        <v>4855.26</v>
      </c>
      <c r="Q503" s="6" t="n">
        <f aca="false">IF(OR(TablaVentas[[#This Row],[Ingreso_neto]]="PENDIENTE",TablaVentas[[#This Row],[Costo_total]]="PENDIENTE"),"PENDIENTE",TablaVentas[[#This Row],[Ingreso_neto]]-TablaVentas[[#This Row],[Costo_total]])</f>
        <v>722.62</v>
      </c>
    </row>
    <row r="504" customFormat="false" ht="13.5" hidden="false" customHeight="false" outlineLevel="0" collapsed="false">
      <c r="A504" s="1" t="s">
        <v>527</v>
      </c>
      <c r="B504" s="1" t="n">
        <v>1</v>
      </c>
      <c r="C504" s="5" t="n">
        <v>46248</v>
      </c>
      <c r="D504" s="6" t="s">
        <v>298</v>
      </c>
      <c r="E504" s="6" t="s">
        <v>190</v>
      </c>
      <c r="F504" s="6" t="s">
        <v>63</v>
      </c>
      <c r="G504" s="6" t="s">
        <v>57</v>
      </c>
      <c r="H504" s="6" t="s">
        <v>136</v>
      </c>
      <c r="I504" s="1" t="n">
        <v>3</v>
      </c>
      <c r="J504" s="7" t="n">
        <v>5369.3</v>
      </c>
      <c r="K504" s="8" t="n">
        <v>0.05</v>
      </c>
      <c r="L504" s="7" t="n">
        <v>4325.73</v>
      </c>
      <c r="M504" s="6" t="s">
        <v>49</v>
      </c>
      <c r="N504" s="6" t="s">
        <v>50</v>
      </c>
      <c r="O504" s="6" t="n">
        <f aca="false">IF(TablaVentas[[#This Row],[Precio_unitario]]="","PENDIENTE",TablaVentas[[#This Row],[Unidades]]*TablaVentas[[#This Row],[Precio_unitario]]*(1-TablaVentas[[#This Row],[Descuento_pct]]))</f>
        <v>15302.505</v>
      </c>
      <c r="P504" s="6" t="n">
        <f aca="false">IF(TablaVentas[[#This Row],[Costo_unitario]]="","PENDIENTE",TablaVentas[[#This Row],[Unidades]]*TablaVentas[[#This Row],[Costo_unitario]])</f>
        <v>12977.19</v>
      </c>
      <c r="Q504" s="6" t="n">
        <f aca="false">IF(OR(TablaVentas[[#This Row],[Ingreso_neto]]="PENDIENTE",TablaVentas[[#This Row],[Costo_total]]="PENDIENTE"),"PENDIENTE",TablaVentas[[#This Row],[Ingreso_neto]]-TablaVentas[[#This Row],[Costo_total]])</f>
        <v>2325.315</v>
      </c>
    </row>
    <row r="505" customFormat="false" ht="13.5" hidden="false" customHeight="false" outlineLevel="0" collapsed="false">
      <c r="A505" s="1" t="s">
        <v>528</v>
      </c>
      <c r="B505" s="1" t="n">
        <v>1</v>
      </c>
      <c r="C505" s="5" t="n">
        <v>46201</v>
      </c>
      <c r="D505" s="6" t="s">
        <v>529</v>
      </c>
      <c r="E505" s="6" t="s">
        <v>76</v>
      </c>
      <c r="F505" s="6" t="s">
        <v>63</v>
      </c>
      <c r="G505" s="6" t="s">
        <v>47</v>
      </c>
      <c r="H505" s="6" t="s">
        <v>191</v>
      </c>
      <c r="I505" s="1" t="n">
        <v>5</v>
      </c>
      <c r="J505" s="7" t="n">
        <v>12701.2</v>
      </c>
      <c r="K505" s="8" t="n">
        <v>0</v>
      </c>
      <c r="L505" s="7" t="n">
        <v>10094.26</v>
      </c>
      <c r="M505" s="6" t="s">
        <v>49</v>
      </c>
      <c r="N505" s="6" t="s">
        <v>59</v>
      </c>
      <c r="O505" s="6" t="n">
        <f aca="false">IF(TablaVentas[[#This Row],[Precio_unitario]]="","PENDIENTE",TablaVentas[[#This Row],[Unidades]]*TablaVentas[[#This Row],[Precio_unitario]]*(1-TablaVentas[[#This Row],[Descuento_pct]]))</f>
        <v>63506</v>
      </c>
      <c r="P505" s="6" t="n">
        <f aca="false">IF(TablaVentas[[#This Row],[Costo_unitario]]="","PENDIENTE",TablaVentas[[#This Row],[Unidades]]*TablaVentas[[#This Row],[Costo_unitario]])</f>
        <v>50471.3</v>
      </c>
      <c r="Q505" s="6" t="n">
        <f aca="false">IF(OR(TablaVentas[[#This Row],[Ingreso_neto]]="PENDIENTE",TablaVentas[[#This Row],[Costo_total]]="PENDIENTE"),"PENDIENTE",TablaVentas[[#This Row],[Ingreso_neto]]-TablaVentas[[#This Row],[Costo_total]])</f>
        <v>13034.7</v>
      </c>
    </row>
    <row r="506" customFormat="false" ht="13.5" hidden="false" customHeight="false" outlineLevel="0" collapsed="false">
      <c r="A506" s="1" t="s">
        <v>528</v>
      </c>
      <c r="B506" s="1" t="n">
        <v>2</v>
      </c>
      <c r="C506" s="5" t="n">
        <v>46201</v>
      </c>
      <c r="D506" s="6" t="s">
        <v>529</v>
      </c>
      <c r="E506" s="6" t="s">
        <v>218</v>
      </c>
      <c r="F506" s="6" t="s">
        <v>63</v>
      </c>
      <c r="G506" s="6" t="s">
        <v>47</v>
      </c>
      <c r="H506" s="6" t="s">
        <v>191</v>
      </c>
      <c r="I506" s="1" t="n">
        <v>1</v>
      </c>
      <c r="J506" s="7" t="n">
        <v>16970.67</v>
      </c>
      <c r="K506" s="8" t="n">
        <v>0</v>
      </c>
      <c r="L506" s="7" t="n">
        <v>13760.53</v>
      </c>
      <c r="M506" s="6" t="s">
        <v>49</v>
      </c>
      <c r="N506" s="6" t="s">
        <v>50</v>
      </c>
      <c r="O506" s="6" t="n">
        <f aca="false">IF(TablaVentas[[#This Row],[Precio_unitario]]="","PENDIENTE",TablaVentas[[#This Row],[Unidades]]*TablaVentas[[#This Row],[Precio_unitario]]*(1-TablaVentas[[#This Row],[Descuento_pct]]))</f>
        <v>16970.67</v>
      </c>
      <c r="P506" s="6" t="n">
        <f aca="false">IF(TablaVentas[[#This Row],[Costo_unitario]]="","PENDIENTE",TablaVentas[[#This Row],[Unidades]]*TablaVentas[[#This Row],[Costo_unitario]])</f>
        <v>13760.53</v>
      </c>
      <c r="Q506" s="6" t="n">
        <f aca="false">IF(OR(TablaVentas[[#This Row],[Ingreso_neto]]="PENDIENTE",TablaVentas[[#This Row],[Costo_total]]="PENDIENTE"),"PENDIENTE",TablaVentas[[#This Row],[Ingreso_neto]]-TablaVentas[[#This Row],[Costo_total]])</f>
        <v>3210.14</v>
      </c>
    </row>
    <row r="507" customFormat="false" ht="13.5" hidden="false" customHeight="false" outlineLevel="0" collapsed="false">
      <c r="A507" s="1" t="s">
        <v>530</v>
      </c>
      <c r="B507" s="1" t="n">
        <v>1</v>
      </c>
      <c r="C507" s="5" t="n">
        <v>46082</v>
      </c>
      <c r="D507" s="6" t="s">
        <v>531</v>
      </c>
      <c r="E507" s="6" t="s">
        <v>353</v>
      </c>
      <c r="F507" s="6" t="s">
        <v>73</v>
      </c>
      <c r="G507" s="6" t="s">
        <v>47</v>
      </c>
      <c r="H507" s="6" t="s">
        <v>48</v>
      </c>
      <c r="I507" s="1" t="n">
        <v>1</v>
      </c>
      <c r="J507" s="7" t="n">
        <v>2181.91</v>
      </c>
      <c r="K507" s="8" t="n">
        <v>0.15</v>
      </c>
      <c r="L507" s="7" t="n">
        <v>1175.74</v>
      </c>
      <c r="M507" s="6" t="s">
        <v>49</v>
      </c>
      <c r="N507" s="6" t="s">
        <v>67</v>
      </c>
      <c r="O507" s="6" t="n">
        <f aca="false">IF(TablaVentas[[#This Row],[Precio_unitario]]="","PENDIENTE",TablaVentas[[#This Row],[Unidades]]*TablaVentas[[#This Row],[Precio_unitario]]*(1-TablaVentas[[#This Row],[Descuento_pct]]))</f>
        <v>1854.6235</v>
      </c>
      <c r="P507" s="6" t="n">
        <f aca="false">IF(TablaVentas[[#This Row],[Costo_unitario]]="","PENDIENTE",TablaVentas[[#This Row],[Unidades]]*TablaVentas[[#This Row],[Costo_unitario]])</f>
        <v>1175.74</v>
      </c>
      <c r="Q507" s="6" t="n">
        <f aca="false">IF(OR(TablaVentas[[#This Row],[Ingreso_neto]]="PENDIENTE",TablaVentas[[#This Row],[Costo_total]]="PENDIENTE"),"PENDIENTE",TablaVentas[[#This Row],[Ingreso_neto]]-TablaVentas[[#This Row],[Costo_total]])</f>
        <v>678.8835</v>
      </c>
    </row>
    <row r="508" customFormat="false" ht="13.5" hidden="false" customHeight="false" outlineLevel="0" collapsed="false">
      <c r="A508" s="1" t="s">
        <v>530</v>
      </c>
      <c r="B508" s="1" t="n">
        <v>2</v>
      </c>
      <c r="C508" s="5" t="n">
        <v>46082</v>
      </c>
      <c r="D508" s="6" t="s">
        <v>531</v>
      </c>
      <c r="E508" s="6" t="s">
        <v>224</v>
      </c>
      <c r="F508" s="6" t="s">
        <v>73</v>
      </c>
      <c r="G508" s="6" t="s">
        <v>47</v>
      </c>
      <c r="H508" s="6" t="s">
        <v>48</v>
      </c>
      <c r="I508" s="1" t="n">
        <v>8</v>
      </c>
      <c r="J508" s="7" t="n">
        <v>15593.54</v>
      </c>
      <c r="K508" s="8" t="n">
        <v>0</v>
      </c>
      <c r="L508" s="7" t="n">
        <v>14161.63</v>
      </c>
      <c r="M508" s="6" t="s">
        <v>49</v>
      </c>
      <c r="N508" s="6" t="s">
        <v>67</v>
      </c>
      <c r="O508" s="6" t="n">
        <f aca="false">IF(TablaVentas[[#This Row],[Precio_unitario]]="","PENDIENTE",TablaVentas[[#This Row],[Unidades]]*TablaVentas[[#This Row],[Precio_unitario]]*(1-TablaVentas[[#This Row],[Descuento_pct]]))</f>
        <v>124748.32</v>
      </c>
      <c r="P508" s="6" t="n">
        <f aca="false">IF(TablaVentas[[#This Row],[Costo_unitario]]="","PENDIENTE",TablaVentas[[#This Row],[Unidades]]*TablaVentas[[#This Row],[Costo_unitario]])</f>
        <v>113293.04</v>
      </c>
      <c r="Q508" s="6" t="n">
        <f aca="false">IF(OR(TablaVentas[[#This Row],[Ingreso_neto]]="PENDIENTE",TablaVentas[[#This Row],[Costo_total]]="PENDIENTE"),"PENDIENTE",TablaVentas[[#This Row],[Ingreso_neto]]-TablaVentas[[#This Row],[Costo_total]])</f>
        <v>11455.28</v>
      </c>
    </row>
    <row r="509" customFormat="false" ht="13.5" hidden="false" customHeight="false" outlineLevel="0" collapsed="false">
      <c r="A509" s="1" t="s">
        <v>530</v>
      </c>
      <c r="B509" s="1" t="n">
        <v>3</v>
      </c>
      <c r="C509" s="5" t="n">
        <v>46082</v>
      </c>
      <c r="D509" s="6" t="s">
        <v>531</v>
      </c>
      <c r="E509" s="6" t="s">
        <v>225</v>
      </c>
      <c r="F509" s="6" t="s">
        <v>73</v>
      </c>
      <c r="G509" s="6" t="s">
        <v>47</v>
      </c>
      <c r="H509" s="6" t="s">
        <v>48</v>
      </c>
      <c r="I509" s="1" t="n">
        <v>8</v>
      </c>
      <c r="J509" s="7" t="n">
        <v>4387.89</v>
      </c>
      <c r="K509" s="8" t="n">
        <v>0.15</v>
      </c>
      <c r="L509" s="7" t="n">
        <v>2833.97</v>
      </c>
      <c r="M509" s="6" t="s">
        <v>49</v>
      </c>
      <c r="N509" s="6" t="s">
        <v>52</v>
      </c>
      <c r="O509" s="6" t="n">
        <f aca="false">IF(TablaVentas[[#This Row],[Precio_unitario]]="","PENDIENTE",TablaVentas[[#This Row],[Unidades]]*TablaVentas[[#This Row],[Precio_unitario]]*(1-TablaVentas[[#This Row],[Descuento_pct]]))</f>
        <v>29837.652</v>
      </c>
      <c r="P509" s="6" t="n">
        <f aca="false">IF(TablaVentas[[#This Row],[Costo_unitario]]="","PENDIENTE",TablaVentas[[#This Row],[Unidades]]*TablaVentas[[#This Row],[Costo_unitario]])</f>
        <v>22671.76</v>
      </c>
      <c r="Q509" s="6" t="n">
        <f aca="false">IF(OR(TablaVentas[[#This Row],[Ingreso_neto]]="PENDIENTE",TablaVentas[[#This Row],[Costo_total]]="PENDIENTE"),"PENDIENTE",TablaVentas[[#This Row],[Ingreso_neto]]-TablaVentas[[#This Row],[Costo_total]])</f>
        <v>7165.892</v>
      </c>
    </row>
    <row r="510" customFormat="false" ht="13.5" hidden="false" customHeight="false" outlineLevel="0" collapsed="false">
      <c r="A510" s="1" t="s">
        <v>532</v>
      </c>
      <c r="B510" s="1" t="n">
        <v>1</v>
      </c>
      <c r="C510" s="5" t="n">
        <v>46085</v>
      </c>
      <c r="D510" s="6" t="s">
        <v>436</v>
      </c>
      <c r="E510" s="6" t="s">
        <v>167</v>
      </c>
      <c r="F510" s="6" t="s">
        <v>46</v>
      </c>
      <c r="G510" s="6" t="s">
        <v>47</v>
      </c>
      <c r="H510" s="6" t="s">
        <v>131</v>
      </c>
      <c r="I510" s="1" t="n">
        <v>2</v>
      </c>
      <c r="J510" s="7" t="n">
        <v>7820.95</v>
      </c>
      <c r="K510" s="8" t="n">
        <v>0</v>
      </c>
      <c r="L510" s="7" t="n">
        <v>4082.15</v>
      </c>
      <c r="M510" s="6" t="s">
        <v>49</v>
      </c>
      <c r="N510" s="6" t="s">
        <v>59</v>
      </c>
      <c r="O510" s="6" t="n">
        <f aca="false">IF(TablaVentas[[#This Row],[Precio_unitario]]="","PENDIENTE",TablaVentas[[#This Row],[Unidades]]*TablaVentas[[#This Row],[Precio_unitario]]*(1-TablaVentas[[#This Row],[Descuento_pct]]))</f>
        <v>15641.9</v>
      </c>
      <c r="P510" s="6" t="n">
        <f aca="false">IF(TablaVentas[[#This Row],[Costo_unitario]]="","PENDIENTE",TablaVentas[[#This Row],[Unidades]]*TablaVentas[[#This Row],[Costo_unitario]])</f>
        <v>8164.3</v>
      </c>
      <c r="Q510" s="6" t="n">
        <f aca="false">IF(OR(TablaVentas[[#This Row],[Ingreso_neto]]="PENDIENTE",TablaVentas[[#This Row],[Costo_total]]="PENDIENTE"),"PENDIENTE",TablaVentas[[#This Row],[Ingreso_neto]]-TablaVentas[[#This Row],[Costo_total]])</f>
        <v>7477.6</v>
      </c>
    </row>
    <row r="511" customFormat="false" ht="13.5" hidden="false" customHeight="false" outlineLevel="0" collapsed="false">
      <c r="A511" s="1" t="s">
        <v>533</v>
      </c>
      <c r="B511" s="1" t="n">
        <v>1</v>
      </c>
      <c r="C511" s="5" t="n">
        <v>46186</v>
      </c>
      <c r="D511" s="6" t="s">
        <v>534</v>
      </c>
      <c r="E511" s="6" t="s">
        <v>230</v>
      </c>
      <c r="F511" s="6" t="s">
        <v>84</v>
      </c>
      <c r="G511" s="6" t="s">
        <v>57</v>
      </c>
      <c r="H511" s="6" t="s">
        <v>80</v>
      </c>
      <c r="I511" s="1" t="n">
        <v>3</v>
      </c>
      <c r="J511" s="7" t="n">
        <v>6000.87</v>
      </c>
      <c r="K511" s="8" t="n">
        <v>0</v>
      </c>
      <c r="L511" s="7" t="n">
        <v>3298.19</v>
      </c>
      <c r="M511" s="6" t="s">
        <v>49</v>
      </c>
      <c r="N511" s="6" t="s">
        <v>67</v>
      </c>
      <c r="O511" s="6" t="n">
        <f aca="false">IF(TablaVentas[[#This Row],[Precio_unitario]]="","PENDIENTE",TablaVentas[[#This Row],[Unidades]]*TablaVentas[[#This Row],[Precio_unitario]]*(1-TablaVentas[[#This Row],[Descuento_pct]]))</f>
        <v>18002.61</v>
      </c>
      <c r="P511" s="6" t="n">
        <f aca="false">IF(TablaVentas[[#This Row],[Costo_unitario]]="","PENDIENTE",TablaVentas[[#This Row],[Unidades]]*TablaVentas[[#This Row],[Costo_unitario]])</f>
        <v>9894.57</v>
      </c>
      <c r="Q511" s="6" t="n">
        <f aca="false">IF(OR(TablaVentas[[#This Row],[Ingreso_neto]]="PENDIENTE",TablaVentas[[#This Row],[Costo_total]]="PENDIENTE"),"PENDIENTE",TablaVentas[[#This Row],[Ingreso_neto]]-TablaVentas[[#This Row],[Costo_total]])</f>
        <v>8108.04</v>
      </c>
    </row>
    <row r="512" customFormat="false" ht="13.5" hidden="false" customHeight="false" outlineLevel="0" collapsed="false">
      <c r="A512" s="1" t="s">
        <v>535</v>
      </c>
      <c r="B512" s="1" t="n">
        <v>1</v>
      </c>
      <c r="C512" s="5" t="n">
        <v>46224</v>
      </c>
      <c r="D512" s="6" t="s">
        <v>536</v>
      </c>
      <c r="E512" s="6" t="s">
        <v>230</v>
      </c>
      <c r="F512" s="6" t="s">
        <v>73</v>
      </c>
      <c r="G512" s="6" t="s">
        <v>57</v>
      </c>
      <c r="H512" s="6" t="s">
        <v>131</v>
      </c>
      <c r="I512" s="1" t="n">
        <v>2</v>
      </c>
      <c r="J512" s="7" t="n">
        <v>5904.07</v>
      </c>
      <c r="K512" s="8" t="n">
        <v>0.2</v>
      </c>
      <c r="L512" s="7" t="n">
        <v>3298.19</v>
      </c>
      <c r="M512" s="6" t="s">
        <v>49</v>
      </c>
      <c r="N512" s="6" t="s">
        <v>59</v>
      </c>
      <c r="O512" s="6" t="n">
        <f aca="false">IF(TablaVentas[[#This Row],[Precio_unitario]]="","PENDIENTE",TablaVentas[[#This Row],[Unidades]]*TablaVentas[[#This Row],[Precio_unitario]]*(1-TablaVentas[[#This Row],[Descuento_pct]]))</f>
        <v>9446.512</v>
      </c>
      <c r="P512" s="6" t="n">
        <f aca="false">IF(TablaVentas[[#This Row],[Costo_unitario]]="","PENDIENTE",TablaVentas[[#This Row],[Unidades]]*TablaVentas[[#This Row],[Costo_unitario]])</f>
        <v>6596.38</v>
      </c>
      <c r="Q512" s="6" t="n">
        <f aca="false">IF(OR(TablaVentas[[#This Row],[Ingreso_neto]]="PENDIENTE",TablaVentas[[#This Row],[Costo_total]]="PENDIENTE"),"PENDIENTE",TablaVentas[[#This Row],[Ingreso_neto]]-TablaVentas[[#This Row],[Costo_total]])</f>
        <v>2850.132</v>
      </c>
    </row>
    <row r="513" customFormat="false" ht="13.5" hidden="false" customHeight="false" outlineLevel="0" collapsed="false">
      <c r="A513" s="1" t="s">
        <v>535</v>
      </c>
      <c r="B513" s="1" t="n">
        <v>2</v>
      </c>
      <c r="C513" s="5" t="n">
        <v>46224</v>
      </c>
      <c r="D513" s="6" t="s">
        <v>536</v>
      </c>
      <c r="E513" s="6" t="s">
        <v>210</v>
      </c>
      <c r="F513" s="6" t="s">
        <v>73</v>
      </c>
      <c r="G513" s="6" t="s">
        <v>57</v>
      </c>
      <c r="H513" s="6" t="s">
        <v>131</v>
      </c>
      <c r="I513" s="1" t="n">
        <v>4</v>
      </c>
      <c r="J513" s="7" t="n">
        <v>1978.8</v>
      </c>
      <c r="K513" s="8" t="n">
        <v>0</v>
      </c>
      <c r="L513" s="7" t="n">
        <v>1252.84</v>
      </c>
      <c r="M513" s="6" t="s">
        <v>49</v>
      </c>
      <c r="N513" s="6" t="s">
        <v>50</v>
      </c>
      <c r="O513" s="6" t="n">
        <f aca="false">IF(TablaVentas[[#This Row],[Precio_unitario]]="","PENDIENTE",TablaVentas[[#This Row],[Unidades]]*TablaVentas[[#This Row],[Precio_unitario]]*(1-TablaVentas[[#This Row],[Descuento_pct]]))</f>
        <v>7915.2</v>
      </c>
      <c r="P513" s="6" t="n">
        <f aca="false">IF(TablaVentas[[#This Row],[Costo_unitario]]="","PENDIENTE",TablaVentas[[#This Row],[Unidades]]*TablaVentas[[#This Row],[Costo_unitario]])</f>
        <v>5011.36</v>
      </c>
      <c r="Q513" s="6" t="n">
        <f aca="false">IF(OR(TablaVentas[[#This Row],[Ingreso_neto]]="PENDIENTE",TablaVentas[[#This Row],[Costo_total]]="PENDIENTE"),"PENDIENTE",TablaVentas[[#This Row],[Ingreso_neto]]-TablaVentas[[#This Row],[Costo_total]])</f>
        <v>2903.84</v>
      </c>
    </row>
    <row r="514" customFormat="false" ht="13.5" hidden="false" customHeight="false" outlineLevel="0" collapsed="false">
      <c r="A514" s="1" t="s">
        <v>537</v>
      </c>
      <c r="B514" s="1" t="n">
        <v>1</v>
      </c>
      <c r="C514" s="5" t="n">
        <v>46233</v>
      </c>
      <c r="D514" s="6" t="s">
        <v>448</v>
      </c>
      <c r="E514" s="6" t="s">
        <v>252</v>
      </c>
      <c r="F514" s="6" t="s">
        <v>46</v>
      </c>
      <c r="G514" s="6" t="s">
        <v>64</v>
      </c>
      <c r="H514" s="6" t="s">
        <v>109</v>
      </c>
      <c r="I514" s="1" t="n">
        <v>2</v>
      </c>
      <c r="J514" s="7" t="n">
        <v>17349.67</v>
      </c>
      <c r="K514" s="8" t="n">
        <v>0.05</v>
      </c>
      <c r="L514" s="7" t="n">
        <v>10507.24</v>
      </c>
      <c r="M514" s="6" t="s">
        <v>49</v>
      </c>
      <c r="N514" s="6" t="s">
        <v>59</v>
      </c>
      <c r="O514" s="6" t="n">
        <f aca="false">IF(TablaVentas[[#This Row],[Precio_unitario]]="","PENDIENTE",TablaVentas[[#This Row],[Unidades]]*TablaVentas[[#This Row],[Precio_unitario]]*(1-TablaVentas[[#This Row],[Descuento_pct]]))</f>
        <v>32964.373</v>
      </c>
      <c r="P514" s="6" t="n">
        <f aca="false">IF(TablaVentas[[#This Row],[Costo_unitario]]="","PENDIENTE",TablaVentas[[#This Row],[Unidades]]*TablaVentas[[#This Row],[Costo_unitario]])</f>
        <v>21014.48</v>
      </c>
      <c r="Q514" s="6" t="n">
        <f aca="false">IF(OR(TablaVentas[[#This Row],[Ingreso_neto]]="PENDIENTE",TablaVentas[[#This Row],[Costo_total]]="PENDIENTE"),"PENDIENTE",TablaVentas[[#This Row],[Ingreso_neto]]-TablaVentas[[#This Row],[Costo_total]])</f>
        <v>11949.893</v>
      </c>
    </row>
    <row r="515" customFormat="false" ht="13.5" hidden="false" customHeight="false" outlineLevel="0" collapsed="false">
      <c r="A515" s="1" t="s">
        <v>538</v>
      </c>
      <c r="B515" s="1" t="n">
        <v>1</v>
      </c>
      <c r="C515" s="5" t="n">
        <v>46199</v>
      </c>
      <c r="D515" s="6" t="s">
        <v>539</v>
      </c>
      <c r="E515" s="6" t="s">
        <v>404</v>
      </c>
      <c r="F515" s="6" t="s">
        <v>84</v>
      </c>
      <c r="G515" s="6" t="s">
        <v>47</v>
      </c>
      <c r="H515" s="6" t="s">
        <v>65</v>
      </c>
      <c r="I515" s="1" t="n">
        <v>2</v>
      </c>
      <c r="J515" s="7" t="n">
        <v>6413.68</v>
      </c>
      <c r="K515" s="8" t="n">
        <v>0</v>
      </c>
      <c r="L515" s="7" t="n">
        <v>3640.56</v>
      </c>
      <c r="M515" s="6" t="s">
        <v>49</v>
      </c>
      <c r="N515" s="6" t="s">
        <v>67</v>
      </c>
      <c r="O515" s="6" t="n">
        <f aca="false">IF(TablaVentas[[#This Row],[Precio_unitario]]="","PENDIENTE",TablaVentas[[#This Row],[Unidades]]*TablaVentas[[#This Row],[Precio_unitario]]*(1-TablaVentas[[#This Row],[Descuento_pct]]))</f>
        <v>12827.36</v>
      </c>
      <c r="P515" s="6" t="n">
        <f aca="false">IF(TablaVentas[[#This Row],[Costo_unitario]]="","PENDIENTE",TablaVentas[[#This Row],[Unidades]]*TablaVentas[[#This Row],[Costo_unitario]])</f>
        <v>7281.12</v>
      </c>
      <c r="Q515" s="6" t="n">
        <f aca="false">IF(OR(TablaVentas[[#This Row],[Ingreso_neto]]="PENDIENTE",TablaVentas[[#This Row],[Costo_total]]="PENDIENTE"),"PENDIENTE",TablaVentas[[#This Row],[Ingreso_neto]]-TablaVentas[[#This Row],[Costo_total]])</f>
        <v>5546.24</v>
      </c>
    </row>
    <row r="516" customFormat="false" ht="13.5" hidden="false" customHeight="false" outlineLevel="0" collapsed="false">
      <c r="A516" s="1" t="s">
        <v>538</v>
      </c>
      <c r="B516" s="1" t="n">
        <v>2</v>
      </c>
      <c r="C516" s="5" t="n">
        <v>46199</v>
      </c>
      <c r="D516" s="6" t="s">
        <v>539</v>
      </c>
      <c r="E516" s="6" t="s">
        <v>278</v>
      </c>
      <c r="F516" s="6" t="s">
        <v>84</v>
      </c>
      <c r="G516" s="6" t="s">
        <v>47</v>
      </c>
      <c r="H516" s="6" t="s">
        <v>65</v>
      </c>
      <c r="I516" s="1" t="n">
        <v>1</v>
      </c>
      <c r="J516" s="7" t="n">
        <v>1039.21</v>
      </c>
      <c r="K516" s="8" t="n">
        <v>0</v>
      </c>
      <c r="L516" s="7" t="n">
        <v>759.03</v>
      </c>
      <c r="M516" s="6" t="s">
        <v>49</v>
      </c>
      <c r="N516" s="6" t="s">
        <v>50</v>
      </c>
      <c r="O516" s="6" t="n">
        <f aca="false">IF(TablaVentas[[#This Row],[Precio_unitario]]="","PENDIENTE",TablaVentas[[#This Row],[Unidades]]*TablaVentas[[#This Row],[Precio_unitario]]*(1-TablaVentas[[#This Row],[Descuento_pct]]))</f>
        <v>1039.21</v>
      </c>
      <c r="P516" s="6" t="n">
        <f aca="false">IF(TablaVentas[[#This Row],[Costo_unitario]]="","PENDIENTE",TablaVentas[[#This Row],[Unidades]]*TablaVentas[[#This Row],[Costo_unitario]])</f>
        <v>759.03</v>
      </c>
      <c r="Q516" s="6" t="n">
        <f aca="false">IF(OR(TablaVentas[[#This Row],[Ingreso_neto]]="PENDIENTE",TablaVentas[[#This Row],[Costo_total]]="PENDIENTE"),"PENDIENTE",TablaVentas[[#This Row],[Ingreso_neto]]-TablaVentas[[#This Row],[Costo_total]])</f>
        <v>280.18</v>
      </c>
    </row>
    <row r="517" customFormat="false" ht="13.5" hidden="false" customHeight="false" outlineLevel="0" collapsed="false">
      <c r="A517" s="1" t="s">
        <v>540</v>
      </c>
      <c r="B517" s="1" t="n">
        <v>1</v>
      </c>
      <c r="C517" s="5" t="n">
        <v>46186</v>
      </c>
      <c r="D517" s="6" t="s">
        <v>541</v>
      </c>
      <c r="E517" s="6" t="s">
        <v>108</v>
      </c>
      <c r="F517" s="6" t="s">
        <v>84</v>
      </c>
      <c r="G517" s="6" t="s">
        <v>47</v>
      </c>
      <c r="H517" s="6" t="s">
        <v>58</v>
      </c>
      <c r="I517" s="1" t="n">
        <v>1</v>
      </c>
      <c r="J517" s="7" t="n">
        <v>4851.34</v>
      </c>
      <c r="K517" s="8" t="n">
        <v>0</v>
      </c>
      <c r="L517" s="7" t="n">
        <v>2865.24</v>
      </c>
      <c r="M517" s="6" t="s">
        <v>49</v>
      </c>
      <c r="N517" s="6" t="s">
        <v>52</v>
      </c>
      <c r="O517" s="6" t="n">
        <f aca="false">IF(TablaVentas[[#This Row],[Precio_unitario]]="","PENDIENTE",TablaVentas[[#This Row],[Unidades]]*TablaVentas[[#This Row],[Precio_unitario]]*(1-TablaVentas[[#This Row],[Descuento_pct]]))</f>
        <v>4851.34</v>
      </c>
      <c r="P517" s="6" t="n">
        <f aca="false">IF(TablaVentas[[#This Row],[Costo_unitario]]="","PENDIENTE",TablaVentas[[#This Row],[Unidades]]*TablaVentas[[#This Row],[Costo_unitario]])</f>
        <v>2865.24</v>
      </c>
      <c r="Q517" s="6" t="n">
        <f aca="false">IF(OR(TablaVentas[[#This Row],[Ingreso_neto]]="PENDIENTE",TablaVentas[[#This Row],[Costo_total]]="PENDIENTE"),"PENDIENTE",TablaVentas[[#This Row],[Ingreso_neto]]-TablaVentas[[#This Row],[Costo_total]])</f>
        <v>1986.1</v>
      </c>
    </row>
    <row r="518" customFormat="false" ht="13.5" hidden="false" customHeight="false" outlineLevel="0" collapsed="false">
      <c r="A518" s="1" t="s">
        <v>540</v>
      </c>
      <c r="B518" s="1" t="n">
        <v>2</v>
      </c>
      <c r="C518" s="5" t="n">
        <v>46186</v>
      </c>
      <c r="D518" s="6" t="s">
        <v>541</v>
      </c>
      <c r="E518" s="6" t="s">
        <v>62</v>
      </c>
      <c r="F518" s="6" t="s">
        <v>84</v>
      </c>
      <c r="G518" s="6" t="s">
        <v>47</v>
      </c>
      <c r="H518" s="6" t="s">
        <v>58</v>
      </c>
      <c r="I518" s="1" t="n">
        <v>2</v>
      </c>
      <c r="J518" s="7" t="n">
        <v>12020.74</v>
      </c>
      <c r="K518" s="8" t="n">
        <v>0.1</v>
      </c>
      <c r="L518" s="7" t="n">
        <v>6407.85</v>
      </c>
      <c r="M518" s="6" t="s">
        <v>49</v>
      </c>
      <c r="N518" s="6" t="s">
        <v>50</v>
      </c>
      <c r="O518" s="6" t="n">
        <f aca="false">IF(TablaVentas[[#This Row],[Precio_unitario]]="","PENDIENTE",TablaVentas[[#This Row],[Unidades]]*TablaVentas[[#This Row],[Precio_unitario]]*(1-TablaVentas[[#This Row],[Descuento_pct]]))</f>
        <v>21637.332</v>
      </c>
      <c r="P518" s="6" t="n">
        <f aca="false">IF(TablaVentas[[#This Row],[Costo_unitario]]="","PENDIENTE",TablaVentas[[#This Row],[Unidades]]*TablaVentas[[#This Row],[Costo_unitario]])</f>
        <v>12815.7</v>
      </c>
      <c r="Q518" s="6" t="n">
        <f aca="false">IF(OR(TablaVentas[[#This Row],[Ingreso_neto]]="PENDIENTE",TablaVentas[[#This Row],[Costo_total]]="PENDIENTE"),"PENDIENTE",TablaVentas[[#This Row],[Ingreso_neto]]-TablaVentas[[#This Row],[Costo_total]])</f>
        <v>8821.632</v>
      </c>
    </row>
    <row r="519" customFormat="false" ht="13.5" hidden="false" customHeight="false" outlineLevel="0" collapsed="false">
      <c r="A519" s="1" t="s">
        <v>540</v>
      </c>
      <c r="B519" s="1" t="n">
        <v>3</v>
      </c>
      <c r="C519" s="5" t="n">
        <v>46186</v>
      </c>
      <c r="D519" s="6" t="s">
        <v>541</v>
      </c>
      <c r="E519" s="6" t="s">
        <v>252</v>
      </c>
      <c r="F519" s="6" t="s">
        <v>84</v>
      </c>
      <c r="G519" s="6" t="s">
        <v>47</v>
      </c>
      <c r="H519" s="6" t="s">
        <v>58</v>
      </c>
      <c r="I519" s="1" t="n">
        <v>2</v>
      </c>
      <c r="J519" s="7" t="n">
        <v>19577.42</v>
      </c>
      <c r="K519" s="8" t="n">
        <v>0</v>
      </c>
      <c r="L519" s="7" t="n">
        <v>10507.24</v>
      </c>
      <c r="M519" s="6" t="s">
        <v>49</v>
      </c>
      <c r="N519" s="6" t="s">
        <v>52</v>
      </c>
      <c r="O519" s="6" t="n">
        <f aca="false">IF(TablaVentas[[#This Row],[Precio_unitario]]="","PENDIENTE",TablaVentas[[#This Row],[Unidades]]*TablaVentas[[#This Row],[Precio_unitario]]*(1-TablaVentas[[#This Row],[Descuento_pct]]))</f>
        <v>39154.84</v>
      </c>
      <c r="P519" s="6" t="n">
        <f aca="false">IF(TablaVentas[[#This Row],[Costo_unitario]]="","PENDIENTE",TablaVentas[[#This Row],[Unidades]]*TablaVentas[[#This Row],[Costo_unitario]])</f>
        <v>21014.48</v>
      </c>
      <c r="Q519" s="6" t="n">
        <f aca="false">IF(OR(TablaVentas[[#This Row],[Ingreso_neto]]="PENDIENTE",TablaVentas[[#This Row],[Costo_total]]="PENDIENTE"),"PENDIENTE",TablaVentas[[#This Row],[Ingreso_neto]]-TablaVentas[[#This Row],[Costo_total]])</f>
        <v>18140.36</v>
      </c>
    </row>
    <row r="520" customFormat="false" ht="13.5" hidden="false" customHeight="false" outlineLevel="0" collapsed="false">
      <c r="A520" s="1" t="s">
        <v>542</v>
      </c>
      <c r="B520" s="1" t="n">
        <v>1</v>
      </c>
      <c r="C520" s="5" t="n">
        <v>46058</v>
      </c>
      <c r="D520" s="6" t="s">
        <v>543</v>
      </c>
      <c r="E520" s="6" t="s">
        <v>233</v>
      </c>
      <c r="F520" s="6" t="s">
        <v>46</v>
      </c>
      <c r="G520" s="6" t="s">
        <v>47</v>
      </c>
      <c r="H520" s="6" t="s">
        <v>58</v>
      </c>
      <c r="I520" s="1" t="n">
        <v>8</v>
      </c>
      <c r="J520" s="7" t="n">
        <v>16682.21</v>
      </c>
      <c r="K520" s="8" t="n">
        <v>0.05</v>
      </c>
      <c r="L520" s="7" t="n">
        <v>9976.68</v>
      </c>
      <c r="M520" s="6" t="s">
        <v>69</v>
      </c>
      <c r="N520" s="6" t="s">
        <v>67</v>
      </c>
      <c r="O520" s="6" t="n">
        <f aca="false">IF(TablaVentas[[#This Row],[Precio_unitario]]="","PENDIENTE",TablaVentas[[#This Row],[Unidades]]*TablaVentas[[#This Row],[Precio_unitario]]*(1-TablaVentas[[#This Row],[Descuento_pct]]))</f>
        <v>126784.796</v>
      </c>
      <c r="P520" s="6" t="n">
        <f aca="false">IF(TablaVentas[[#This Row],[Costo_unitario]]="","PENDIENTE",TablaVentas[[#This Row],[Unidades]]*TablaVentas[[#This Row],[Costo_unitario]])</f>
        <v>79813.44</v>
      </c>
      <c r="Q520" s="6" t="n">
        <f aca="false">IF(OR(TablaVentas[[#This Row],[Ingreso_neto]]="PENDIENTE",TablaVentas[[#This Row],[Costo_total]]="PENDIENTE"),"PENDIENTE",TablaVentas[[#This Row],[Ingreso_neto]]-TablaVentas[[#This Row],[Costo_total]])</f>
        <v>46971.356</v>
      </c>
    </row>
    <row r="521" customFormat="false" ht="13.5" hidden="false" customHeight="false" outlineLevel="0" collapsed="false">
      <c r="A521" s="1" t="s">
        <v>542</v>
      </c>
      <c r="B521" s="1" t="n">
        <v>2</v>
      </c>
      <c r="C521" s="5" t="n">
        <v>46058</v>
      </c>
      <c r="D521" s="6" t="s">
        <v>543</v>
      </c>
      <c r="E521" s="6" t="s">
        <v>544</v>
      </c>
      <c r="F521" s="6" t="s">
        <v>46</v>
      </c>
      <c r="G521" s="6" t="s">
        <v>47</v>
      </c>
      <c r="H521" s="6" t="s">
        <v>58</v>
      </c>
      <c r="I521" s="1" t="n">
        <v>1</v>
      </c>
      <c r="J521" s="7" t="n">
        <v>5823.53</v>
      </c>
      <c r="K521" s="8" t="n">
        <v>0</v>
      </c>
      <c r="L521" s="7" t="n">
        <v>4556.23</v>
      </c>
      <c r="M521" s="6" t="s">
        <v>123</v>
      </c>
      <c r="N521" s="6" t="s">
        <v>67</v>
      </c>
      <c r="O521" s="6" t="n">
        <f aca="false">IF(TablaVentas[[#This Row],[Precio_unitario]]="","PENDIENTE",TablaVentas[[#This Row],[Unidades]]*TablaVentas[[#This Row],[Precio_unitario]]*(1-TablaVentas[[#This Row],[Descuento_pct]]))</f>
        <v>5823.53</v>
      </c>
      <c r="P521" s="6" t="n">
        <f aca="false">IF(TablaVentas[[#This Row],[Costo_unitario]]="","PENDIENTE",TablaVentas[[#This Row],[Unidades]]*TablaVentas[[#This Row],[Costo_unitario]])</f>
        <v>4556.23</v>
      </c>
      <c r="Q521" s="6" t="n">
        <f aca="false">IF(OR(TablaVentas[[#This Row],[Ingreso_neto]]="PENDIENTE",TablaVentas[[#This Row],[Costo_total]]="PENDIENTE"),"PENDIENTE",TablaVentas[[#This Row],[Ingreso_neto]]-TablaVentas[[#This Row],[Costo_total]])</f>
        <v>1267.3</v>
      </c>
    </row>
    <row r="522" customFormat="false" ht="13.5" hidden="false" customHeight="false" outlineLevel="0" collapsed="false">
      <c r="A522" s="1" t="s">
        <v>542</v>
      </c>
      <c r="B522" s="1" t="n">
        <v>3</v>
      </c>
      <c r="C522" s="5" t="n">
        <v>46058</v>
      </c>
      <c r="D522" s="6" t="s">
        <v>543</v>
      </c>
      <c r="E522" s="6" t="s">
        <v>327</v>
      </c>
      <c r="F522" s="6" t="s">
        <v>46</v>
      </c>
      <c r="G522" s="6" t="s">
        <v>47</v>
      </c>
      <c r="H522" s="6" t="s">
        <v>58</v>
      </c>
      <c r="I522" s="1" t="n">
        <v>3</v>
      </c>
      <c r="J522" s="7" t="n">
        <v>4490.91</v>
      </c>
      <c r="K522" s="8" t="n">
        <v>0</v>
      </c>
      <c r="L522" s="7" t="n">
        <v>3065.66</v>
      </c>
      <c r="M522" s="6" t="s">
        <v>49</v>
      </c>
      <c r="N522" s="6" t="s">
        <v>52</v>
      </c>
      <c r="O522" s="6" t="n">
        <f aca="false">IF(TablaVentas[[#This Row],[Precio_unitario]]="","PENDIENTE",TablaVentas[[#This Row],[Unidades]]*TablaVentas[[#This Row],[Precio_unitario]]*(1-TablaVentas[[#This Row],[Descuento_pct]]))</f>
        <v>13472.73</v>
      </c>
      <c r="P522" s="6" t="n">
        <f aca="false">IF(TablaVentas[[#This Row],[Costo_unitario]]="","PENDIENTE",TablaVentas[[#This Row],[Unidades]]*TablaVentas[[#This Row],[Costo_unitario]])</f>
        <v>9196.98</v>
      </c>
      <c r="Q522" s="6" t="n">
        <f aca="false">IF(OR(TablaVentas[[#This Row],[Ingreso_neto]]="PENDIENTE",TablaVentas[[#This Row],[Costo_total]]="PENDIENTE"),"PENDIENTE",TablaVentas[[#This Row],[Ingreso_neto]]-TablaVentas[[#This Row],[Costo_total]])</f>
        <v>4275.75</v>
      </c>
    </row>
    <row r="523" customFormat="false" ht="13.5" hidden="false" customHeight="false" outlineLevel="0" collapsed="false">
      <c r="A523" s="1" t="s">
        <v>542</v>
      </c>
      <c r="B523" s="1" t="n">
        <v>4</v>
      </c>
      <c r="C523" s="5" t="n">
        <v>46058</v>
      </c>
      <c r="D523" s="6" t="s">
        <v>543</v>
      </c>
      <c r="E523" s="6" t="s">
        <v>56</v>
      </c>
      <c r="F523" s="6" t="s">
        <v>46</v>
      </c>
      <c r="G523" s="6" t="s">
        <v>47</v>
      </c>
      <c r="H523" s="6" t="s">
        <v>58</v>
      </c>
      <c r="I523" s="1" t="n">
        <v>8</v>
      </c>
      <c r="J523" s="7" t="n">
        <v>3757.33</v>
      </c>
      <c r="K523" s="8" t="n">
        <v>0</v>
      </c>
      <c r="L523" s="7" t="n">
        <v>2950.52</v>
      </c>
      <c r="M523" s="6" t="s">
        <v>49</v>
      </c>
      <c r="N523" s="6" t="s">
        <v>52</v>
      </c>
      <c r="O523" s="6" t="n">
        <f aca="false">IF(TablaVentas[[#This Row],[Precio_unitario]]="","PENDIENTE",TablaVentas[[#This Row],[Unidades]]*TablaVentas[[#This Row],[Precio_unitario]]*(1-TablaVentas[[#This Row],[Descuento_pct]]))</f>
        <v>30058.64</v>
      </c>
      <c r="P523" s="6" t="n">
        <f aca="false">IF(TablaVentas[[#This Row],[Costo_unitario]]="","PENDIENTE",TablaVentas[[#This Row],[Unidades]]*TablaVentas[[#This Row],[Costo_unitario]])</f>
        <v>23604.16</v>
      </c>
      <c r="Q523" s="6" t="n">
        <f aca="false">IF(OR(TablaVentas[[#This Row],[Ingreso_neto]]="PENDIENTE",TablaVentas[[#This Row],[Costo_total]]="PENDIENTE"),"PENDIENTE",TablaVentas[[#This Row],[Ingreso_neto]]-TablaVentas[[#This Row],[Costo_total]])</f>
        <v>6454.48</v>
      </c>
    </row>
    <row r="524" customFormat="false" ht="13.5" hidden="false" customHeight="false" outlineLevel="0" collapsed="false">
      <c r="A524" s="1" t="s">
        <v>545</v>
      </c>
      <c r="B524" s="1" t="n">
        <v>1</v>
      </c>
      <c r="C524" s="5" t="n">
        <v>46027</v>
      </c>
      <c r="D524" s="6" t="s">
        <v>103</v>
      </c>
      <c r="E524" s="6" t="s">
        <v>116</v>
      </c>
      <c r="F524" s="6" t="s">
        <v>63</v>
      </c>
      <c r="G524" s="6" t="s">
        <v>57</v>
      </c>
      <c r="H524" s="6" t="s">
        <v>131</v>
      </c>
      <c r="I524" s="1" t="n">
        <v>4</v>
      </c>
      <c r="J524" s="7" t="n">
        <v>15967.28</v>
      </c>
      <c r="K524" s="8" t="n">
        <v>0</v>
      </c>
      <c r="L524" s="7" t="n">
        <v>9880.77</v>
      </c>
      <c r="M524" s="6" t="s">
        <v>49</v>
      </c>
      <c r="N524" s="6" t="s">
        <v>52</v>
      </c>
      <c r="O524" s="6" t="n">
        <f aca="false">IF(TablaVentas[[#This Row],[Precio_unitario]]="","PENDIENTE",TablaVentas[[#This Row],[Unidades]]*TablaVentas[[#This Row],[Precio_unitario]]*(1-TablaVentas[[#This Row],[Descuento_pct]]))</f>
        <v>63869.12</v>
      </c>
      <c r="P524" s="6" t="n">
        <f aca="false">IF(TablaVentas[[#This Row],[Costo_unitario]]="","PENDIENTE",TablaVentas[[#This Row],[Unidades]]*TablaVentas[[#This Row],[Costo_unitario]])</f>
        <v>39523.08</v>
      </c>
      <c r="Q524" s="6" t="n">
        <f aca="false">IF(OR(TablaVentas[[#This Row],[Ingreso_neto]]="PENDIENTE",TablaVentas[[#This Row],[Costo_total]]="PENDIENTE"),"PENDIENTE",TablaVentas[[#This Row],[Ingreso_neto]]-TablaVentas[[#This Row],[Costo_total]])</f>
        <v>24346.04</v>
      </c>
    </row>
    <row r="525" customFormat="false" ht="13.5" hidden="false" customHeight="false" outlineLevel="0" collapsed="false">
      <c r="A525" s="1" t="s">
        <v>545</v>
      </c>
      <c r="B525" s="1" t="n">
        <v>2</v>
      </c>
      <c r="C525" s="5" t="n">
        <v>46027</v>
      </c>
      <c r="D525" s="6" t="s">
        <v>103</v>
      </c>
      <c r="E525" s="6" t="s">
        <v>151</v>
      </c>
      <c r="F525" s="6" t="s">
        <v>63</v>
      </c>
      <c r="G525" s="6" t="s">
        <v>57</v>
      </c>
      <c r="H525" s="6" t="s">
        <v>131</v>
      </c>
      <c r="I525" s="1" t="n">
        <v>2</v>
      </c>
      <c r="J525" s="7" t="n">
        <v>9324.98</v>
      </c>
      <c r="K525" s="8" t="n">
        <v>0</v>
      </c>
      <c r="L525" s="7" t="n">
        <v>5125.36</v>
      </c>
      <c r="M525" s="6" t="s">
        <v>49</v>
      </c>
      <c r="N525" s="6" t="s">
        <v>50</v>
      </c>
      <c r="O525" s="6" t="n">
        <f aca="false">IF(TablaVentas[[#This Row],[Precio_unitario]]="","PENDIENTE",TablaVentas[[#This Row],[Unidades]]*TablaVentas[[#This Row],[Precio_unitario]]*(1-TablaVentas[[#This Row],[Descuento_pct]]))</f>
        <v>18649.96</v>
      </c>
      <c r="P525" s="6" t="n">
        <f aca="false">IF(TablaVentas[[#This Row],[Costo_unitario]]="","PENDIENTE",TablaVentas[[#This Row],[Unidades]]*TablaVentas[[#This Row],[Costo_unitario]])</f>
        <v>10250.72</v>
      </c>
      <c r="Q525" s="6" t="n">
        <f aca="false">IF(OR(TablaVentas[[#This Row],[Ingreso_neto]]="PENDIENTE",TablaVentas[[#This Row],[Costo_total]]="PENDIENTE"),"PENDIENTE",TablaVentas[[#This Row],[Ingreso_neto]]-TablaVentas[[#This Row],[Costo_total]])</f>
        <v>8399.24</v>
      </c>
    </row>
    <row r="526" customFormat="false" ht="13.5" hidden="false" customHeight="false" outlineLevel="0" collapsed="false">
      <c r="A526" s="1" t="s">
        <v>545</v>
      </c>
      <c r="B526" s="1" t="n">
        <v>3</v>
      </c>
      <c r="C526" s="5" t="n">
        <v>46027</v>
      </c>
      <c r="D526" s="6" t="s">
        <v>103</v>
      </c>
      <c r="E526" s="6" t="s">
        <v>342</v>
      </c>
      <c r="F526" s="6" t="s">
        <v>63</v>
      </c>
      <c r="G526" s="6" t="s">
        <v>57</v>
      </c>
      <c r="H526" s="6" t="s">
        <v>131</v>
      </c>
      <c r="I526" s="1" t="n">
        <v>2</v>
      </c>
      <c r="J526" s="7" t="n">
        <v>6910.34</v>
      </c>
      <c r="K526" s="8" t="n">
        <v>0.15</v>
      </c>
      <c r="L526" s="7" t="n">
        <v>5587.31</v>
      </c>
      <c r="M526" s="6" t="s">
        <v>49</v>
      </c>
      <c r="N526" s="6" t="s">
        <v>50</v>
      </c>
      <c r="O526" s="6" t="n">
        <f aca="false">IF(TablaVentas[[#This Row],[Precio_unitario]]="","PENDIENTE",TablaVentas[[#This Row],[Unidades]]*TablaVentas[[#This Row],[Precio_unitario]]*(1-TablaVentas[[#This Row],[Descuento_pct]]))</f>
        <v>11747.578</v>
      </c>
      <c r="P526" s="6" t="n">
        <f aca="false">IF(TablaVentas[[#This Row],[Costo_unitario]]="","PENDIENTE",TablaVentas[[#This Row],[Unidades]]*TablaVentas[[#This Row],[Costo_unitario]])</f>
        <v>11174.62</v>
      </c>
      <c r="Q526" s="6" t="n">
        <f aca="false">IF(OR(TablaVentas[[#This Row],[Ingreso_neto]]="PENDIENTE",TablaVentas[[#This Row],[Costo_total]]="PENDIENTE"),"PENDIENTE",TablaVentas[[#This Row],[Ingreso_neto]]-TablaVentas[[#This Row],[Costo_total]])</f>
        <v>572.957999999999</v>
      </c>
    </row>
    <row r="527" customFormat="false" ht="13.5" hidden="false" customHeight="false" outlineLevel="0" collapsed="false">
      <c r="A527" s="1" t="s">
        <v>545</v>
      </c>
      <c r="B527" s="1" t="n">
        <v>4</v>
      </c>
      <c r="C527" s="5" t="n">
        <v>46027</v>
      </c>
      <c r="D527" s="6" t="s">
        <v>103</v>
      </c>
      <c r="E527" s="6" t="s">
        <v>88</v>
      </c>
      <c r="F527" s="6" t="s">
        <v>63</v>
      </c>
      <c r="G527" s="6" t="s">
        <v>57</v>
      </c>
      <c r="H527" s="6" t="s">
        <v>131</v>
      </c>
      <c r="I527" s="1" t="n">
        <v>4</v>
      </c>
      <c r="J527" s="7" t="n">
        <v>16574.05</v>
      </c>
      <c r="K527" s="8" t="n">
        <v>0</v>
      </c>
      <c r="L527" s="7" t="n">
        <v>11614.87</v>
      </c>
      <c r="M527" s="6" t="s">
        <v>49</v>
      </c>
      <c r="N527" s="6" t="s">
        <v>52</v>
      </c>
      <c r="O527" s="6" t="n">
        <f aca="false">IF(TablaVentas[[#This Row],[Precio_unitario]]="","PENDIENTE",TablaVentas[[#This Row],[Unidades]]*TablaVentas[[#This Row],[Precio_unitario]]*(1-TablaVentas[[#This Row],[Descuento_pct]]))</f>
        <v>66296.2</v>
      </c>
      <c r="P527" s="6" t="n">
        <f aca="false">IF(TablaVentas[[#This Row],[Costo_unitario]]="","PENDIENTE",TablaVentas[[#This Row],[Unidades]]*TablaVentas[[#This Row],[Costo_unitario]])</f>
        <v>46459.48</v>
      </c>
      <c r="Q527" s="6" t="n">
        <f aca="false">IF(OR(TablaVentas[[#This Row],[Ingreso_neto]]="PENDIENTE",TablaVentas[[#This Row],[Costo_total]]="PENDIENTE"),"PENDIENTE",TablaVentas[[#This Row],[Ingreso_neto]]-TablaVentas[[#This Row],[Costo_total]])</f>
        <v>19836.72</v>
      </c>
    </row>
    <row r="528" customFormat="false" ht="13.5" hidden="false" customHeight="false" outlineLevel="0" collapsed="false">
      <c r="A528" s="1" t="s">
        <v>545</v>
      </c>
      <c r="B528" s="1" t="n">
        <v>5</v>
      </c>
      <c r="C528" s="5" t="n">
        <v>46027</v>
      </c>
      <c r="D528" s="6" t="s">
        <v>103</v>
      </c>
      <c r="E528" s="6" t="s">
        <v>215</v>
      </c>
      <c r="F528" s="6" t="s">
        <v>63</v>
      </c>
      <c r="G528" s="6" t="s">
        <v>57</v>
      </c>
      <c r="H528" s="6" t="s">
        <v>131</v>
      </c>
      <c r="I528" s="1" t="n">
        <v>1</v>
      </c>
      <c r="J528" s="7" t="n">
        <v>10607.85</v>
      </c>
      <c r="K528" s="8" t="n">
        <v>0</v>
      </c>
      <c r="L528" s="7" t="n">
        <v>5535.31</v>
      </c>
      <c r="M528" s="6" t="s">
        <v>49</v>
      </c>
      <c r="N528" s="6" t="s">
        <v>50</v>
      </c>
      <c r="O528" s="6" t="n">
        <f aca="false">IF(TablaVentas[[#This Row],[Precio_unitario]]="","PENDIENTE",TablaVentas[[#This Row],[Unidades]]*TablaVentas[[#This Row],[Precio_unitario]]*(1-TablaVentas[[#This Row],[Descuento_pct]]))</f>
        <v>10607.85</v>
      </c>
      <c r="P528" s="6" t="n">
        <f aca="false">IF(TablaVentas[[#This Row],[Costo_unitario]]="","PENDIENTE",TablaVentas[[#This Row],[Unidades]]*TablaVentas[[#This Row],[Costo_unitario]])</f>
        <v>5535.31</v>
      </c>
      <c r="Q528" s="6" t="n">
        <f aca="false">IF(OR(TablaVentas[[#This Row],[Ingreso_neto]]="PENDIENTE",TablaVentas[[#This Row],[Costo_total]]="PENDIENTE"),"PENDIENTE",TablaVentas[[#This Row],[Ingreso_neto]]-TablaVentas[[#This Row],[Costo_total]])</f>
        <v>5072.54</v>
      </c>
    </row>
    <row r="529" customFormat="false" ht="13.5" hidden="false" customHeight="false" outlineLevel="0" collapsed="false">
      <c r="A529" s="1" t="s">
        <v>546</v>
      </c>
      <c r="B529" s="1" t="n">
        <v>1</v>
      </c>
      <c r="C529" s="5" t="n">
        <v>46213</v>
      </c>
      <c r="D529" s="6" t="s">
        <v>547</v>
      </c>
      <c r="E529" s="6" t="s">
        <v>45</v>
      </c>
      <c r="F529" s="6" t="s">
        <v>84</v>
      </c>
      <c r="G529" s="6" t="s">
        <v>57</v>
      </c>
      <c r="H529" s="6" t="s">
        <v>48</v>
      </c>
      <c r="I529" s="1" t="n">
        <v>3</v>
      </c>
      <c r="J529" s="7" t="n">
        <v>6145.87</v>
      </c>
      <c r="K529" s="8" t="n">
        <v>0.15</v>
      </c>
      <c r="L529" s="7" t="n">
        <v>3832.69</v>
      </c>
      <c r="M529" s="6" t="s">
        <v>49</v>
      </c>
      <c r="N529" s="6" t="s">
        <v>67</v>
      </c>
      <c r="O529" s="6" t="n">
        <f aca="false">IF(TablaVentas[[#This Row],[Precio_unitario]]="","PENDIENTE",TablaVentas[[#This Row],[Unidades]]*TablaVentas[[#This Row],[Precio_unitario]]*(1-TablaVentas[[#This Row],[Descuento_pct]]))</f>
        <v>15671.9685</v>
      </c>
      <c r="P529" s="6" t="n">
        <f aca="false">IF(TablaVentas[[#This Row],[Costo_unitario]]="","PENDIENTE",TablaVentas[[#This Row],[Unidades]]*TablaVentas[[#This Row],[Costo_unitario]])</f>
        <v>11498.07</v>
      </c>
      <c r="Q529" s="6" t="n">
        <f aca="false">IF(OR(TablaVentas[[#This Row],[Ingreso_neto]]="PENDIENTE",TablaVentas[[#This Row],[Costo_total]]="PENDIENTE"),"PENDIENTE",TablaVentas[[#This Row],[Ingreso_neto]]-TablaVentas[[#This Row],[Costo_total]])</f>
        <v>4173.8985</v>
      </c>
    </row>
    <row r="530" customFormat="false" ht="13.5" hidden="false" customHeight="false" outlineLevel="0" collapsed="false">
      <c r="A530" s="1" t="s">
        <v>546</v>
      </c>
      <c r="B530" s="1" t="n">
        <v>2</v>
      </c>
      <c r="C530" s="5" t="n">
        <v>46213</v>
      </c>
      <c r="D530" s="6" t="s">
        <v>547</v>
      </c>
      <c r="E530" s="6" t="s">
        <v>269</v>
      </c>
      <c r="F530" s="6" t="s">
        <v>84</v>
      </c>
      <c r="G530" s="6" t="s">
        <v>57</v>
      </c>
      <c r="H530" s="6" t="s">
        <v>48</v>
      </c>
      <c r="I530" s="1" t="n">
        <v>1</v>
      </c>
      <c r="J530" s="7" t="n">
        <v>12509.84</v>
      </c>
      <c r="K530" s="8" t="n">
        <v>0</v>
      </c>
      <c r="L530" s="7" t="n">
        <v>8227.46</v>
      </c>
      <c r="M530" s="6" t="s">
        <v>49</v>
      </c>
      <c r="N530" s="6" t="s">
        <v>67</v>
      </c>
      <c r="O530" s="6" t="n">
        <f aca="false">IF(TablaVentas[[#This Row],[Precio_unitario]]="","PENDIENTE",TablaVentas[[#This Row],[Unidades]]*TablaVentas[[#This Row],[Precio_unitario]]*(1-TablaVentas[[#This Row],[Descuento_pct]]))</f>
        <v>12509.84</v>
      </c>
      <c r="P530" s="6" t="n">
        <f aca="false">IF(TablaVentas[[#This Row],[Costo_unitario]]="","PENDIENTE",TablaVentas[[#This Row],[Unidades]]*TablaVentas[[#This Row],[Costo_unitario]])</f>
        <v>8227.46</v>
      </c>
      <c r="Q530" s="6" t="n">
        <f aca="false">IF(OR(TablaVentas[[#This Row],[Ingreso_neto]]="PENDIENTE",TablaVentas[[#This Row],[Costo_total]]="PENDIENTE"),"PENDIENTE",TablaVentas[[#This Row],[Ingreso_neto]]-TablaVentas[[#This Row],[Costo_total]])</f>
        <v>4282.38</v>
      </c>
    </row>
    <row r="531" customFormat="false" ht="13.5" hidden="false" customHeight="false" outlineLevel="0" collapsed="false">
      <c r="A531" s="1" t="s">
        <v>546</v>
      </c>
      <c r="B531" s="1" t="n">
        <v>3</v>
      </c>
      <c r="C531" s="5" t="n">
        <v>46213</v>
      </c>
      <c r="D531" s="6" t="s">
        <v>547</v>
      </c>
      <c r="E531" s="6" t="s">
        <v>62</v>
      </c>
      <c r="F531" s="6" t="s">
        <v>84</v>
      </c>
      <c r="G531" s="6" t="s">
        <v>57</v>
      </c>
      <c r="H531" s="6" t="s">
        <v>48</v>
      </c>
      <c r="I531" s="1" t="n">
        <v>2</v>
      </c>
      <c r="J531" s="7" t="n">
        <v>11613.82</v>
      </c>
      <c r="K531" s="8" t="n">
        <v>0</v>
      </c>
      <c r="L531" s="7" t="n">
        <v>6407.85</v>
      </c>
      <c r="M531" s="6" t="s">
        <v>49</v>
      </c>
      <c r="N531" s="6" t="s">
        <v>52</v>
      </c>
      <c r="O531" s="6" t="n">
        <f aca="false">IF(TablaVentas[[#This Row],[Precio_unitario]]="","PENDIENTE",TablaVentas[[#This Row],[Unidades]]*TablaVentas[[#This Row],[Precio_unitario]]*(1-TablaVentas[[#This Row],[Descuento_pct]]))</f>
        <v>23227.64</v>
      </c>
      <c r="P531" s="6" t="n">
        <f aca="false">IF(TablaVentas[[#This Row],[Costo_unitario]]="","PENDIENTE",TablaVentas[[#This Row],[Unidades]]*TablaVentas[[#This Row],[Costo_unitario]])</f>
        <v>12815.7</v>
      </c>
      <c r="Q531" s="6" t="n">
        <f aca="false">IF(OR(TablaVentas[[#This Row],[Ingreso_neto]]="PENDIENTE",TablaVentas[[#This Row],[Costo_total]]="PENDIENTE"),"PENDIENTE",TablaVentas[[#This Row],[Ingreso_neto]]-TablaVentas[[#This Row],[Costo_total]])</f>
        <v>10411.94</v>
      </c>
    </row>
    <row r="532" customFormat="false" ht="13.5" hidden="false" customHeight="false" outlineLevel="0" collapsed="false">
      <c r="A532" s="1" t="s">
        <v>548</v>
      </c>
      <c r="B532" s="1" t="n">
        <v>1</v>
      </c>
      <c r="C532" s="5" t="n">
        <v>46267</v>
      </c>
      <c r="D532" s="6" t="s">
        <v>549</v>
      </c>
      <c r="E532" s="6" t="s">
        <v>139</v>
      </c>
      <c r="F532" s="6" t="s">
        <v>84</v>
      </c>
      <c r="G532" s="6" t="s">
        <v>57</v>
      </c>
      <c r="H532" s="6" t="s">
        <v>74</v>
      </c>
      <c r="I532" s="1" t="n">
        <v>5</v>
      </c>
      <c r="J532" s="7" t="n">
        <v>17482.65</v>
      </c>
      <c r="K532" s="8" t="n">
        <v>0.15</v>
      </c>
      <c r="L532" s="7" t="n">
        <v>11036.95</v>
      </c>
      <c r="M532" s="6" t="s">
        <v>49</v>
      </c>
      <c r="N532" s="6" t="s">
        <v>59</v>
      </c>
      <c r="O532" s="6" t="n">
        <f aca="false">IF(TablaVentas[[#This Row],[Precio_unitario]]="","PENDIENTE",TablaVentas[[#This Row],[Unidades]]*TablaVentas[[#This Row],[Precio_unitario]]*(1-TablaVentas[[#This Row],[Descuento_pct]]))</f>
        <v>74301.2625</v>
      </c>
      <c r="P532" s="6" t="n">
        <f aca="false">IF(TablaVentas[[#This Row],[Costo_unitario]]="","PENDIENTE",TablaVentas[[#This Row],[Unidades]]*TablaVentas[[#This Row],[Costo_unitario]])</f>
        <v>55184.75</v>
      </c>
      <c r="Q532" s="6" t="n">
        <f aca="false">IF(OR(TablaVentas[[#This Row],[Ingreso_neto]]="PENDIENTE",TablaVentas[[#This Row],[Costo_total]]="PENDIENTE"),"PENDIENTE",TablaVentas[[#This Row],[Ingreso_neto]]-TablaVentas[[#This Row],[Costo_total]])</f>
        <v>19116.5125</v>
      </c>
    </row>
    <row r="533" customFormat="false" ht="13.5" hidden="false" customHeight="false" outlineLevel="0" collapsed="false">
      <c r="A533" s="1" t="s">
        <v>548</v>
      </c>
      <c r="B533" s="1" t="n">
        <v>2</v>
      </c>
      <c r="C533" s="5" t="n">
        <v>46267</v>
      </c>
      <c r="D533" s="6" t="s">
        <v>549</v>
      </c>
      <c r="E533" s="6" t="s">
        <v>101</v>
      </c>
      <c r="F533" s="6" t="s">
        <v>84</v>
      </c>
      <c r="G533" s="6" t="s">
        <v>57</v>
      </c>
      <c r="H533" s="6" t="s">
        <v>74</v>
      </c>
      <c r="I533" s="1" t="n">
        <v>2</v>
      </c>
      <c r="J533" s="7" t="n">
        <v>7371.23</v>
      </c>
      <c r="K533" s="8" t="n">
        <v>0.15</v>
      </c>
      <c r="L533" s="7" t="n">
        <v>4538.06</v>
      </c>
      <c r="M533" s="6" t="s">
        <v>49</v>
      </c>
      <c r="N533" s="6" t="s">
        <v>67</v>
      </c>
      <c r="O533" s="6" t="n">
        <f aca="false">IF(TablaVentas[[#This Row],[Precio_unitario]]="","PENDIENTE",TablaVentas[[#This Row],[Unidades]]*TablaVentas[[#This Row],[Precio_unitario]]*(1-TablaVentas[[#This Row],[Descuento_pct]]))</f>
        <v>12531.091</v>
      </c>
      <c r="P533" s="6" t="n">
        <f aca="false">IF(TablaVentas[[#This Row],[Costo_unitario]]="","PENDIENTE",TablaVentas[[#This Row],[Unidades]]*TablaVentas[[#This Row],[Costo_unitario]])</f>
        <v>9076.12</v>
      </c>
      <c r="Q533" s="6" t="n">
        <f aca="false">IF(OR(TablaVentas[[#This Row],[Ingreso_neto]]="PENDIENTE",TablaVentas[[#This Row],[Costo_total]]="PENDIENTE"),"PENDIENTE",TablaVentas[[#This Row],[Ingreso_neto]]-TablaVentas[[#This Row],[Costo_total]])</f>
        <v>3454.971</v>
      </c>
    </row>
    <row r="534" customFormat="false" ht="13.5" hidden="false" customHeight="false" outlineLevel="0" collapsed="false">
      <c r="A534" s="1" t="s">
        <v>550</v>
      </c>
      <c r="B534" s="1" t="n">
        <v>1</v>
      </c>
      <c r="C534" s="5" t="n">
        <v>46132</v>
      </c>
      <c r="D534" s="6" t="s">
        <v>551</v>
      </c>
      <c r="E534" s="6" t="s">
        <v>166</v>
      </c>
      <c r="F534" s="6" t="s">
        <v>73</v>
      </c>
      <c r="G534" s="6" t="s">
        <v>47</v>
      </c>
      <c r="H534" s="6" t="s">
        <v>74</v>
      </c>
      <c r="I534" s="1" t="n">
        <v>1</v>
      </c>
      <c r="J534" s="7" t="n">
        <v>11711.83</v>
      </c>
      <c r="K534" s="8" t="n">
        <v>0</v>
      </c>
      <c r="L534" s="7" t="n">
        <v>9317.37</v>
      </c>
      <c r="M534" s="6" t="s">
        <v>49</v>
      </c>
      <c r="N534" s="6" t="s">
        <v>52</v>
      </c>
      <c r="O534" s="6" t="n">
        <f aca="false">IF(TablaVentas[[#This Row],[Precio_unitario]]="","PENDIENTE",TablaVentas[[#This Row],[Unidades]]*TablaVentas[[#This Row],[Precio_unitario]]*(1-TablaVentas[[#This Row],[Descuento_pct]]))</f>
        <v>11711.83</v>
      </c>
      <c r="P534" s="6" t="n">
        <f aca="false">IF(TablaVentas[[#This Row],[Costo_unitario]]="","PENDIENTE",TablaVentas[[#This Row],[Unidades]]*TablaVentas[[#This Row],[Costo_unitario]])</f>
        <v>9317.37</v>
      </c>
      <c r="Q534" s="6" t="n">
        <f aca="false">IF(OR(TablaVentas[[#This Row],[Ingreso_neto]]="PENDIENTE",TablaVentas[[#This Row],[Costo_total]]="PENDIENTE"),"PENDIENTE",TablaVentas[[#This Row],[Ingreso_neto]]-TablaVentas[[#This Row],[Costo_total]])</f>
        <v>2394.46</v>
      </c>
    </row>
    <row r="535" customFormat="false" ht="13.5" hidden="false" customHeight="false" outlineLevel="0" collapsed="false">
      <c r="A535" s="1" t="s">
        <v>550</v>
      </c>
      <c r="B535" s="1" t="n">
        <v>2</v>
      </c>
      <c r="C535" s="5" t="n">
        <v>46132</v>
      </c>
      <c r="D535" s="6" t="s">
        <v>551</v>
      </c>
      <c r="E535" s="6" t="s">
        <v>97</v>
      </c>
      <c r="F535" s="6" t="s">
        <v>73</v>
      </c>
      <c r="G535" s="6" t="s">
        <v>47</v>
      </c>
      <c r="H535" s="6" t="s">
        <v>74</v>
      </c>
      <c r="I535" s="1" t="n">
        <v>1</v>
      </c>
      <c r="J535" s="7" t="n">
        <v>11696.47</v>
      </c>
      <c r="K535" s="8" t="n">
        <v>0</v>
      </c>
      <c r="L535" s="7" t="n">
        <v>8174.87</v>
      </c>
      <c r="M535" s="6" t="s">
        <v>49</v>
      </c>
      <c r="N535" s="6" t="s">
        <v>52</v>
      </c>
      <c r="O535" s="6" t="n">
        <f aca="false">IF(TablaVentas[[#This Row],[Precio_unitario]]="","PENDIENTE",TablaVentas[[#This Row],[Unidades]]*TablaVentas[[#This Row],[Precio_unitario]]*(1-TablaVentas[[#This Row],[Descuento_pct]]))</f>
        <v>11696.47</v>
      </c>
      <c r="P535" s="6" t="n">
        <f aca="false">IF(TablaVentas[[#This Row],[Costo_unitario]]="","PENDIENTE",TablaVentas[[#This Row],[Unidades]]*TablaVentas[[#This Row],[Costo_unitario]])</f>
        <v>8174.87</v>
      </c>
      <c r="Q535" s="6" t="n">
        <f aca="false">IF(OR(TablaVentas[[#This Row],[Ingreso_neto]]="PENDIENTE",TablaVentas[[#This Row],[Costo_total]]="PENDIENTE"),"PENDIENTE",TablaVentas[[#This Row],[Ingreso_neto]]-TablaVentas[[#This Row],[Costo_total]])</f>
        <v>3521.6</v>
      </c>
    </row>
    <row r="536" customFormat="false" ht="13.5" hidden="false" customHeight="false" outlineLevel="0" collapsed="false">
      <c r="A536" s="1" t="s">
        <v>552</v>
      </c>
      <c r="B536" s="1" t="n">
        <v>1</v>
      </c>
      <c r="C536" s="5" t="n">
        <v>46251</v>
      </c>
      <c r="D536" s="6" t="s">
        <v>553</v>
      </c>
      <c r="E536" s="6" t="s">
        <v>158</v>
      </c>
      <c r="F536" s="6" t="s">
        <v>73</v>
      </c>
      <c r="G536" s="6" t="s">
        <v>47</v>
      </c>
      <c r="H536" s="6" t="s">
        <v>131</v>
      </c>
      <c r="I536" s="1" t="n">
        <v>2</v>
      </c>
      <c r="J536" s="7" t="n">
        <v>16891.25</v>
      </c>
      <c r="K536" s="8" t="n">
        <v>0.2</v>
      </c>
      <c r="L536" s="7" t="n">
        <v>8963.23</v>
      </c>
      <c r="M536" s="6" t="s">
        <v>49</v>
      </c>
      <c r="N536" s="6" t="s">
        <v>50</v>
      </c>
      <c r="O536" s="6" t="n">
        <f aca="false">IF(TablaVentas[[#This Row],[Precio_unitario]]="","PENDIENTE",TablaVentas[[#This Row],[Unidades]]*TablaVentas[[#This Row],[Precio_unitario]]*(1-TablaVentas[[#This Row],[Descuento_pct]]))</f>
        <v>27026</v>
      </c>
      <c r="P536" s="6" t="n">
        <f aca="false">IF(TablaVentas[[#This Row],[Costo_unitario]]="","PENDIENTE",TablaVentas[[#This Row],[Unidades]]*TablaVentas[[#This Row],[Costo_unitario]])</f>
        <v>17926.46</v>
      </c>
      <c r="Q536" s="6" t="n">
        <f aca="false">IF(OR(TablaVentas[[#This Row],[Ingreso_neto]]="PENDIENTE",TablaVentas[[#This Row],[Costo_total]]="PENDIENTE"),"PENDIENTE",TablaVentas[[#This Row],[Ingreso_neto]]-TablaVentas[[#This Row],[Costo_total]])</f>
        <v>9099.54</v>
      </c>
    </row>
    <row r="537" customFormat="false" ht="13.5" hidden="false" customHeight="false" outlineLevel="0" collapsed="false">
      <c r="A537" s="1" t="s">
        <v>554</v>
      </c>
      <c r="B537" s="1" t="n">
        <v>1</v>
      </c>
      <c r="C537" s="5" t="n">
        <v>46293</v>
      </c>
      <c r="D537" s="6" t="s">
        <v>262</v>
      </c>
      <c r="E537" s="6" t="s">
        <v>328</v>
      </c>
      <c r="F537" s="6" t="s">
        <v>84</v>
      </c>
      <c r="G537" s="6" t="s">
        <v>47</v>
      </c>
      <c r="H537" s="6" t="s">
        <v>48</v>
      </c>
      <c r="I537" s="1" t="n">
        <v>1</v>
      </c>
      <c r="J537" s="7" t="n">
        <v>1237.7</v>
      </c>
      <c r="K537" s="8" t="n">
        <v>0.05</v>
      </c>
      <c r="L537" s="7" t="n">
        <v>679.37</v>
      </c>
      <c r="M537" s="6" t="s">
        <v>49</v>
      </c>
      <c r="N537" s="6" t="s">
        <v>59</v>
      </c>
      <c r="O537" s="6" t="n">
        <f aca="false">IF(TablaVentas[[#This Row],[Precio_unitario]]="","PENDIENTE",TablaVentas[[#This Row],[Unidades]]*TablaVentas[[#This Row],[Precio_unitario]]*(1-TablaVentas[[#This Row],[Descuento_pct]]))</f>
        <v>1175.815</v>
      </c>
      <c r="P537" s="6" t="n">
        <f aca="false">IF(TablaVentas[[#This Row],[Costo_unitario]]="","PENDIENTE",TablaVentas[[#This Row],[Unidades]]*TablaVentas[[#This Row],[Costo_unitario]])</f>
        <v>679.37</v>
      </c>
      <c r="Q537" s="6" t="n">
        <f aca="false">IF(OR(TablaVentas[[#This Row],[Ingreso_neto]]="PENDIENTE",TablaVentas[[#This Row],[Costo_total]]="PENDIENTE"),"PENDIENTE",TablaVentas[[#This Row],[Ingreso_neto]]-TablaVentas[[#This Row],[Costo_total]])</f>
        <v>496.445</v>
      </c>
    </row>
    <row r="538" customFormat="false" ht="13.5" hidden="false" customHeight="false" outlineLevel="0" collapsed="false">
      <c r="A538" s="1" t="s">
        <v>554</v>
      </c>
      <c r="B538" s="1" t="n">
        <v>2</v>
      </c>
      <c r="C538" s="5" t="n">
        <v>46293</v>
      </c>
      <c r="D538" s="6" t="s">
        <v>262</v>
      </c>
      <c r="E538" s="6" t="s">
        <v>333</v>
      </c>
      <c r="F538" s="6" t="s">
        <v>84</v>
      </c>
      <c r="G538" s="6" t="s">
        <v>47</v>
      </c>
      <c r="H538" s="6" t="s">
        <v>48</v>
      </c>
      <c r="I538" s="1" t="n">
        <v>1</v>
      </c>
      <c r="J538" s="7" t="n">
        <v>7696.91</v>
      </c>
      <c r="K538" s="8" t="n">
        <v>0.15</v>
      </c>
      <c r="L538" s="7" t="n">
        <v>4044.16</v>
      </c>
      <c r="M538" s="6" t="s">
        <v>49</v>
      </c>
      <c r="N538" s="6" t="s">
        <v>52</v>
      </c>
      <c r="O538" s="6" t="n">
        <f aca="false">IF(TablaVentas[[#This Row],[Precio_unitario]]="","PENDIENTE",TablaVentas[[#This Row],[Unidades]]*TablaVentas[[#This Row],[Precio_unitario]]*(1-TablaVentas[[#This Row],[Descuento_pct]]))</f>
        <v>6542.3735</v>
      </c>
      <c r="P538" s="6" t="n">
        <f aca="false">IF(TablaVentas[[#This Row],[Costo_unitario]]="","PENDIENTE",TablaVentas[[#This Row],[Unidades]]*TablaVentas[[#This Row],[Costo_unitario]])</f>
        <v>4044.16</v>
      </c>
      <c r="Q538" s="6" t="n">
        <f aca="false">IF(OR(TablaVentas[[#This Row],[Ingreso_neto]]="PENDIENTE",TablaVentas[[#This Row],[Costo_total]]="PENDIENTE"),"PENDIENTE",TablaVentas[[#This Row],[Ingreso_neto]]-TablaVentas[[#This Row],[Costo_total]])</f>
        <v>2498.2135</v>
      </c>
    </row>
    <row r="539" customFormat="false" ht="13.5" hidden="false" customHeight="false" outlineLevel="0" collapsed="false">
      <c r="A539" s="1" t="s">
        <v>555</v>
      </c>
      <c r="B539" s="1" t="n">
        <v>1</v>
      </c>
      <c r="C539" s="5" t="n">
        <v>46026</v>
      </c>
      <c r="D539" s="6" t="s">
        <v>445</v>
      </c>
      <c r="E539" s="6" t="s">
        <v>132</v>
      </c>
      <c r="F539" s="6" t="s">
        <v>73</v>
      </c>
      <c r="G539" s="6" t="s">
        <v>47</v>
      </c>
      <c r="H539" s="6" t="s">
        <v>65</v>
      </c>
      <c r="I539" s="1" t="n">
        <v>8</v>
      </c>
      <c r="J539" s="7" t="n">
        <v>1569.54</v>
      </c>
      <c r="K539" s="8" t="n">
        <v>0</v>
      </c>
      <c r="L539" s="7" t="n">
        <v>1044.32</v>
      </c>
      <c r="M539" s="6" t="s">
        <v>49</v>
      </c>
      <c r="N539" s="6" t="s">
        <v>50</v>
      </c>
      <c r="O539" s="6" t="n">
        <f aca="false">IF(TablaVentas[[#This Row],[Precio_unitario]]="","PENDIENTE",TablaVentas[[#This Row],[Unidades]]*TablaVentas[[#This Row],[Precio_unitario]]*(1-TablaVentas[[#This Row],[Descuento_pct]]))</f>
        <v>12556.32</v>
      </c>
      <c r="P539" s="6" t="n">
        <f aca="false">IF(TablaVentas[[#This Row],[Costo_unitario]]="","PENDIENTE",TablaVentas[[#This Row],[Unidades]]*TablaVentas[[#This Row],[Costo_unitario]])</f>
        <v>8354.56</v>
      </c>
      <c r="Q539" s="6" t="n">
        <f aca="false">IF(OR(TablaVentas[[#This Row],[Ingreso_neto]]="PENDIENTE",TablaVentas[[#This Row],[Costo_total]]="PENDIENTE"),"PENDIENTE",TablaVentas[[#This Row],[Ingreso_neto]]-TablaVentas[[#This Row],[Costo_total]])</f>
        <v>4201.76</v>
      </c>
    </row>
    <row r="540" customFormat="false" ht="13.5" hidden="false" customHeight="false" outlineLevel="0" collapsed="false">
      <c r="A540" s="1" t="s">
        <v>555</v>
      </c>
      <c r="B540" s="1" t="n">
        <v>2</v>
      </c>
      <c r="C540" s="5" t="n">
        <v>46026</v>
      </c>
      <c r="D540" s="6" t="s">
        <v>445</v>
      </c>
      <c r="E540" s="6" t="s">
        <v>353</v>
      </c>
      <c r="F540" s="6" t="s">
        <v>73</v>
      </c>
      <c r="G540" s="6" t="s">
        <v>47</v>
      </c>
      <c r="H540" s="6" t="s">
        <v>65</v>
      </c>
      <c r="I540" s="1" t="n">
        <v>1</v>
      </c>
      <c r="J540" s="7" t="n">
        <v>2176.94</v>
      </c>
      <c r="K540" s="8" t="n">
        <v>0.2</v>
      </c>
      <c r="L540" s="7" t="n">
        <v>1175.74</v>
      </c>
      <c r="M540" s="6" t="s">
        <v>49</v>
      </c>
      <c r="N540" s="6" t="s">
        <v>67</v>
      </c>
      <c r="O540" s="6" t="n">
        <f aca="false">IF(TablaVentas[[#This Row],[Precio_unitario]]="","PENDIENTE",TablaVentas[[#This Row],[Unidades]]*TablaVentas[[#This Row],[Precio_unitario]]*(1-TablaVentas[[#This Row],[Descuento_pct]]))</f>
        <v>1741.552</v>
      </c>
      <c r="P540" s="6" t="n">
        <f aca="false">IF(TablaVentas[[#This Row],[Costo_unitario]]="","PENDIENTE",TablaVentas[[#This Row],[Unidades]]*TablaVentas[[#This Row],[Costo_unitario]])</f>
        <v>1175.74</v>
      </c>
      <c r="Q540" s="6" t="n">
        <f aca="false">IF(OR(TablaVentas[[#This Row],[Ingreso_neto]]="PENDIENTE",TablaVentas[[#This Row],[Costo_total]]="PENDIENTE"),"PENDIENTE",TablaVentas[[#This Row],[Ingreso_neto]]-TablaVentas[[#This Row],[Costo_total]])</f>
        <v>565.812</v>
      </c>
    </row>
    <row r="541" customFormat="false" ht="13.5" hidden="false" customHeight="false" outlineLevel="0" collapsed="false">
      <c r="A541" s="1" t="s">
        <v>555</v>
      </c>
      <c r="B541" s="1" t="n">
        <v>3</v>
      </c>
      <c r="C541" s="5" t="n">
        <v>46026</v>
      </c>
      <c r="D541" s="6" t="s">
        <v>445</v>
      </c>
      <c r="E541" s="6" t="s">
        <v>171</v>
      </c>
      <c r="F541" s="6" t="s">
        <v>73</v>
      </c>
      <c r="G541" s="6" t="s">
        <v>47</v>
      </c>
      <c r="H541" s="6" t="s">
        <v>65</v>
      </c>
      <c r="I541" s="1" t="n">
        <v>1</v>
      </c>
      <c r="J541" s="7" t="n">
        <v>5619.43</v>
      </c>
      <c r="K541" s="8" t="n">
        <v>0</v>
      </c>
      <c r="L541" s="7" t="n">
        <v>5050.04</v>
      </c>
      <c r="M541" s="6" t="s">
        <v>123</v>
      </c>
      <c r="N541" s="6" t="s">
        <v>59</v>
      </c>
      <c r="O541" s="6" t="n">
        <f aca="false">IF(TablaVentas[[#This Row],[Precio_unitario]]="","PENDIENTE",TablaVentas[[#This Row],[Unidades]]*TablaVentas[[#This Row],[Precio_unitario]]*(1-TablaVentas[[#This Row],[Descuento_pct]]))</f>
        <v>5619.43</v>
      </c>
      <c r="P541" s="6" t="n">
        <f aca="false">IF(TablaVentas[[#This Row],[Costo_unitario]]="","PENDIENTE",TablaVentas[[#This Row],[Unidades]]*TablaVentas[[#This Row],[Costo_unitario]])</f>
        <v>5050.04</v>
      </c>
      <c r="Q541" s="6" t="n">
        <f aca="false">IF(OR(TablaVentas[[#This Row],[Ingreso_neto]]="PENDIENTE",TablaVentas[[#This Row],[Costo_total]]="PENDIENTE"),"PENDIENTE",TablaVentas[[#This Row],[Ingreso_neto]]-TablaVentas[[#This Row],[Costo_total]])</f>
        <v>569.39</v>
      </c>
    </row>
    <row r="542" customFormat="false" ht="13.5" hidden="false" customHeight="false" outlineLevel="0" collapsed="false">
      <c r="A542" s="1" t="s">
        <v>556</v>
      </c>
      <c r="B542" s="1" t="n">
        <v>1</v>
      </c>
      <c r="C542" s="5" t="n">
        <v>46034</v>
      </c>
      <c r="D542" s="6" t="s">
        <v>557</v>
      </c>
      <c r="E542" s="6" t="s">
        <v>100</v>
      </c>
      <c r="F542" s="6" t="s">
        <v>73</v>
      </c>
      <c r="G542" s="6" t="s">
        <v>64</v>
      </c>
      <c r="H542" s="6" t="s">
        <v>136</v>
      </c>
      <c r="I542" s="1" t="n">
        <v>2</v>
      </c>
      <c r="J542" s="7" t="n">
        <v>14689.33</v>
      </c>
      <c r="K542" s="8" t="n">
        <v>0</v>
      </c>
      <c r="L542" s="7" t="n">
        <v>8788.79</v>
      </c>
      <c r="M542" s="6" t="s">
        <v>49</v>
      </c>
      <c r="N542" s="6" t="s">
        <v>52</v>
      </c>
      <c r="O542" s="6" t="n">
        <f aca="false">IF(TablaVentas[[#This Row],[Precio_unitario]]="","PENDIENTE",TablaVentas[[#This Row],[Unidades]]*TablaVentas[[#This Row],[Precio_unitario]]*(1-TablaVentas[[#This Row],[Descuento_pct]]))</f>
        <v>29378.66</v>
      </c>
      <c r="P542" s="6" t="n">
        <f aca="false">IF(TablaVentas[[#This Row],[Costo_unitario]]="","PENDIENTE",TablaVentas[[#This Row],[Unidades]]*TablaVentas[[#This Row],[Costo_unitario]])</f>
        <v>17577.58</v>
      </c>
      <c r="Q542" s="6" t="n">
        <f aca="false">IF(OR(TablaVentas[[#This Row],[Ingreso_neto]]="PENDIENTE",TablaVentas[[#This Row],[Costo_total]]="PENDIENTE"),"PENDIENTE",TablaVentas[[#This Row],[Ingreso_neto]]-TablaVentas[[#This Row],[Costo_total]])</f>
        <v>11801.08</v>
      </c>
    </row>
    <row r="543" customFormat="false" ht="13.5" hidden="false" customHeight="false" outlineLevel="0" collapsed="false">
      <c r="A543" s="1" t="s">
        <v>556</v>
      </c>
      <c r="B543" s="1" t="n">
        <v>2</v>
      </c>
      <c r="C543" s="5" t="n">
        <v>46034</v>
      </c>
      <c r="D543" s="6" t="s">
        <v>557</v>
      </c>
      <c r="E543" s="6" t="s">
        <v>544</v>
      </c>
      <c r="F543" s="6" t="s">
        <v>73</v>
      </c>
      <c r="G543" s="6" t="s">
        <v>64</v>
      </c>
      <c r="H543" s="6" t="s">
        <v>136</v>
      </c>
      <c r="I543" s="1" t="n">
        <v>1</v>
      </c>
      <c r="J543" s="7" t="n">
        <v>5754.59</v>
      </c>
      <c r="K543" s="8" t="n">
        <v>0</v>
      </c>
      <c r="L543" s="7" t="n">
        <v>4556.23</v>
      </c>
      <c r="M543" s="6" t="s">
        <v>49</v>
      </c>
      <c r="N543" s="6" t="s">
        <v>52</v>
      </c>
      <c r="O543" s="6" t="n">
        <f aca="false">IF(TablaVentas[[#This Row],[Precio_unitario]]="","PENDIENTE",TablaVentas[[#This Row],[Unidades]]*TablaVentas[[#This Row],[Precio_unitario]]*(1-TablaVentas[[#This Row],[Descuento_pct]]))</f>
        <v>5754.59</v>
      </c>
      <c r="P543" s="6" t="n">
        <f aca="false">IF(TablaVentas[[#This Row],[Costo_unitario]]="","PENDIENTE",TablaVentas[[#This Row],[Unidades]]*TablaVentas[[#This Row],[Costo_unitario]])</f>
        <v>4556.23</v>
      </c>
      <c r="Q543" s="6" t="n">
        <f aca="false">IF(OR(TablaVentas[[#This Row],[Ingreso_neto]]="PENDIENTE",TablaVentas[[#This Row],[Costo_total]]="PENDIENTE"),"PENDIENTE",TablaVentas[[#This Row],[Ingreso_neto]]-TablaVentas[[#This Row],[Costo_total]])</f>
        <v>1198.36</v>
      </c>
    </row>
    <row r="544" customFormat="false" ht="13.5" hidden="false" customHeight="false" outlineLevel="0" collapsed="false">
      <c r="A544" s="1" t="s">
        <v>556</v>
      </c>
      <c r="B544" s="1" t="n">
        <v>3</v>
      </c>
      <c r="C544" s="5" t="n">
        <v>46034</v>
      </c>
      <c r="D544" s="6" t="s">
        <v>557</v>
      </c>
      <c r="E544" s="6" t="s">
        <v>374</v>
      </c>
      <c r="F544" s="6" t="s">
        <v>73</v>
      </c>
      <c r="G544" s="6" t="s">
        <v>64</v>
      </c>
      <c r="H544" s="6" t="s">
        <v>136</v>
      </c>
      <c r="I544" s="1" t="n">
        <v>1</v>
      </c>
      <c r="J544" s="7" t="n">
        <v>10399.4</v>
      </c>
      <c r="K544" s="8" t="n">
        <v>0</v>
      </c>
      <c r="L544" s="7" t="n">
        <v>5079.43</v>
      </c>
      <c r="M544" s="6" t="s">
        <v>49</v>
      </c>
      <c r="N544" s="6" t="s">
        <v>52</v>
      </c>
      <c r="O544" s="6" t="n">
        <f aca="false">IF(TablaVentas[[#This Row],[Precio_unitario]]="","PENDIENTE",TablaVentas[[#This Row],[Unidades]]*TablaVentas[[#This Row],[Precio_unitario]]*(1-TablaVentas[[#This Row],[Descuento_pct]]))</f>
        <v>10399.4</v>
      </c>
      <c r="P544" s="6" t="n">
        <f aca="false">IF(TablaVentas[[#This Row],[Costo_unitario]]="","PENDIENTE",TablaVentas[[#This Row],[Unidades]]*TablaVentas[[#This Row],[Costo_unitario]])</f>
        <v>5079.43</v>
      </c>
      <c r="Q544" s="6" t="n">
        <f aca="false">IF(OR(TablaVentas[[#This Row],[Ingreso_neto]]="PENDIENTE",TablaVentas[[#This Row],[Costo_total]]="PENDIENTE"),"PENDIENTE",TablaVentas[[#This Row],[Ingreso_neto]]-TablaVentas[[#This Row],[Costo_total]])</f>
        <v>5319.97</v>
      </c>
    </row>
    <row r="545" customFormat="false" ht="13.5" hidden="false" customHeight="false" outlineLevel="0" collapsed="false">
      <c r="A545" s="1" t="s">
        <v>556</v>
      </c>
      <c r="B545" s="1" t="n">
        <v>4</v>
      </c>
      <c r="C545" s="5" t="n">
        <v>46034</v>
      </c>
      <c r="D545" s="6" t="s">
        <v>557</v>
      </c>
      <c r="E545" s="6" t="s">
        <v>353</v>
      </c>
      <c r="F545" s="6" t="s">
        <v>73</v>
      </c>
      <c r="G545" s="6" t="s">
        <v>64</v>
      </c>
      <c r="H545" s="6" t="s">
        <v>136</v>
      </c>
      <c r="I545" s="1" t="n">
        <v>5</v>
      </c>
      <c r="J545" s="7" t="n">
        <v>2340.05</v>
      </c>
      <c r="K545" s="8" t="n">
        <v>0.05</v>
      </c>
      <c r="L545" s="7" t="n">
        <v>1175.74</v>
      </c>
      <c r="M545" s="6" t="s">
        <v>49</v>
      </c>
      <c r="N545" s="6" t="s">
        <v>59</v>
      </c>
      <c r="O545" s="6" t="n">
        <f aca="false">IF(TablaVentas[[#This Row],[Precio_unitario]]="","PENDIENTE",TablaVentas[[#This Row],[Unidades]]*TablaVentas[[#This Row],[Precio_unitario]]*(1-TablaVentas[[#This Row],[Descuento_pct]]))</f>
        <v>11115.2375</v>
      </c>
      <c r="P545" s="6" t="n">
        <f aca="false">IF(TablaVentas[[#This Row],[Costo_unitario]]="","PENDIENTE",TablaVentas[[#This Row],[Unidades]]*TablaVentas[[#This Row],[Costo_unitario]])</f>
        <v>5878.7</v>
      </c>
      <c r="Q545" s="6" t="n">
        <f aca="false">IF(OR(TablaVentas[[#This Row],[Ingreso_neto]]="PENDIENTE",TablaVentas[[#This Row],[Costo_total]]="PENDIENTE"),"PENDIENTE",TablaVentas[[#This Row],[Ingreso_neto]]-TablaVentas[[#This Row],[Costo_total]])</f>
        <v>5236.5375</v>
      </c>
    </row>
    <row r="546" customFormat="false" ht="13.5" hidden="false" customHeight="false" outlineLevel="0" collapsed="false">
      <c r="A546" s="1" t="s">
        <v>558</v>
      </c>
      <c r="B546" s="1" t="n">
        <v>1</v>
      </c>
      <c r="C546" s="5" t="n">
        <v>46080</v>
      </c>
      <c r="D546" s="6" t="s">
        <v>397</v>
      </c>
      <c r="E546" s="6" t="s">
        <v>75</v>
      </c>
      <c r="F546" s="6" t="s">
        <v>73</v>
      </c>
      <c r="G546" s="6" t="s">
        <v>47</v>
      </c>
      <c r="H546" s="6" t="s">
        <v>65</v>
      </c>
      <c r="I546" s="1" t="n">
        <v>1</v>
      </c>
      <c r="J546" s="7" t="n">
        <v>14009.66</v>
      </c>
      <c r="K546" s="8" t="n">
        <v>0.15</v>
      </c>
      <c r="L546" s="7" t="n">
        <v>9243.35</v>
      </c>
      <c r="M546" s="6" t="s">
        <v>49</v>
      </c>
      <c r="N546" s="6" t="s">
        <v>52</v>
      </c>
      <c r="O546" s="6" t="n">
        <f aca="false">IF(TablaVentas[[#This Row],[Precio_unitario]]="","PENDIENTE",TablaVentas[[#This Row],[Unidades]]*TablaVentas[[#This Row],[Precio_unitario]]*(1-TablaVentas[[#This Row],[Descuento_pct]]))</f>
        <v>11908.211</v>
      </c>
      <c r="P546" s="6" t="n">
        <f aca="false">IF(TablaVentas[[#This Row],[Costo_unitario]]="","PENDIENTE",TablaVentas[[#This Row],[Unidades]]*TablaVentas[[#This Row],[Costo_unitario]])</f>
        <v>9243.35</v>
      </c>
      <c r="Q546" s="6" t="n">
        <f aca="false">IF(OR(TablaVentas[[#This Row],[Ingreso_neto]]="PENDIENTE",TablaVentas[[#This Row],[Costo_total]]="PENDIENTE"),"PENDIENTE",TablaVentas[[#This Row],[Ingreso_neto]]-TablaVentas[[#This Row],[Costo_total]])</f>
        <v>2664.861</v>
      </c>
    </row>
    <row r="547" customFormat="false" ht="13.5" hidden="false" customHeight="false" outlineLevel="0" collapsed="false">
      <c r="A547" s="1" t="s">
        <v>559</v>
      </c>
      <c r="B547" s="1" t="n">
        <v>1</v>
      </c>
      <c r="C547" s="5" t="n">
        <v>46203</v>
      </c>
      <c r="D547" s="6" t="s">
        <v>87</v>
      </c>
      <c r="E547" s="6" t="s">
        <v>213</v>
      </c>
      <c r="F547" s="6" t="s">
        <v>46</v>
      </c>
      <c r="G547" s="6" t="s">
        <v>47</v>
      </c>
      <c r="H547" s="6" t="s">
        <v>80</v>
      </c>
      <c r="I547" s="1" t="n">
        <v>4</v>
      </c>
      <c r="J547" s="7" t="n">
        <v>5058.84</v>
      </c>
      <c r="K547" s="8" t="n">
        <v>0</v>
      </c>
      <c r="L547" s="7" t="n">
        <v>4008.77</v>
      </c>
      <c r="M547" s="6" t="s">
        <v>49</v>
      </c>
      <c r="N547" s="6" t="s">
        <v>59</v>
      </c>
      <c r="O547" s="6" t="n">
        <f aca="false">IF(TablaVentas[[#This Row],[Precio_unitario]]="","PENDIENTE",TablaVentas[[#This Row],[Unidades]]*TablaVentas[[#This Row],[Precio_unitario]]*(1-TablaVentas[[#This Row],[Descuento_pct]]))</f>
        <v>20235.36</v>
      </c>
      <c r="P547" s="6" t="n">
        <f aca="false">IF(TablaVentas[[#This Row],[Costo_unitario]]="","PENDIENTE",TablaVentas[[#This Row],[Unidades]]*TablaVentas[[#This Row],[Costo_unitario]])</f>
        <v>16035.08</v>
      </c>
      <c r="Q547" s="6" t="n">
        <f aca="false">IF(OR(TablaVentas[[#This Row],[Ingreso_neto]]="PENDIENTE",TablaVentas[[#This Row],[Costo_total]]="PENDIENTE"),"PENDIENTE",TablaVentas[[#This Row],[Ingreso_neto]]-TablaVentas[[#This Row],[Costo_total]])</f>
        <v>4200.28</v>
      </c>
    </row>
    <row r="548" customFormat="false" ht="13.5" hidden="false" customHeight="false" outlineLevel="0" collapsed="false">
      <c r="A548" s="1" t="s">
        <v>559</v>
      </c>
      <c r="B548" s="1" t="n">
        <v>2</v>
      </c>
      <c r="C548" s="5" t="n">
        <v>46203</v>
      </c>
      <c r="D548" s="6" t="s">
        <v>87</v>
      </c>
      <c r="E548" s="6" t="s">
        <v>113</v>
      </c>
      <c r="F548" s="6" t="s">
        <v>46</v>
      </c>
      <c r="G548" s="6" t="s">
        <v>47</v>
      </c>
      <c r="H548" s="6" t="s">
        <v>80</v>
      </c>
      <c r="I548" s="1" t="n">
        <v>1</v>
      </c>
      <c r="J548" s="7" t="n">
        <v>9567.55</v>
      </c>
      <c r="K548" s="8" t="n">
        <v>0</v>
      </c>
      <c r="L548" s="7" t="n">
        <v>8276.74</v>
      </c>
      <c r="M548" s="6" t="s">
        <v>49</v>
      </c>
      <c r="N548" s="6" t="s">
        <v>59</v>
      </c>
      <c r="O548" s="6" t="n">
        <f aca="false">IF(TablaVentas[[#This Row],[Precio_unitario]]="","PENDIENTE",TablaVentas[[#This Row],[Unidades]]*TablaVentas[[#This Row],[Precio_unitario]]*(1-TablaVentas[[#This Row],[Descuento_pct]]))</f>
        <v>9567.55</v>
      </c>
      <c r="P548" s="6" t="n">
        <f aca="false">IF(TablaVentas[[#This Row],[Costo_unitario]]="","PENDIENTE",TablaVentas[[#This Row],[Unidades]]*TablaVentas[[#This Row],[Costo_unitario]])</f>
        <v>8276.74</v>
      </c>
      <c r="Q548" s="6" t="n">
        <f aca="false">IF(OR(TablaVentas[[#This Row],[Ingreso_neto]]="PENDIENTE",TablaVentas[[#This Row],[Costo_total]]="PENDIENTE"),"PENDIENTE",TablaVentas[[#This Row],[Ingreso_neto]]-TablaVentas[[#This Row],[Costo_total]])</f>
        <v>1290.81</v>
      </c>
    </row>
    <row r="549" customFormat="false" ht="13.5" hidden="false" customHeight="false" outlineLevel="0" collapsed="false">
      <c r="A549" s="1" t="s">
        <v>560</v>
      </c>
      <c r="B549" s="1" t="n">
        <v>1</v>
      </c>
      <c r="C549" s="5" t="n">
        <v>46134</v>
      </c>
      <c r="D549" s="6" t="s">
        <v>561</v>
      </c>
      <c r="E549" s="6" t="s">
        <v>234</v>
      </c>
      <c r="F549" s="6" t="s">
        <v>84</v>
      </c>
      <c r="G549" s="6" t="s">
        <v>47</v>
      </c>
      <c r="H549" s="6" t="s">
        <v>48</v>
      </c>
      <c r="I549" s="1" t="n">
        <v>1</v>
      </c>
      <c r="J549" s="7" t="n">
        <v>8973.42</v>
      </c>
      <c r="K549" s="8" t="n">
        <v>0.15</v>
      </c>
      <c r="L549" s="7" t="n">
        <v>6255.13</v>
      </c>
      <c r="M549" s="6" t="s">
        <v>49</v>
      </c>
      <c r="N549" s="6" t="s">
        <v>52</v>
      </c>
      <c r="O549" s="6" t="n">
        <f aca="false">IF(TablaVentas[[#This Row],[Precio_unitario]]="","PENDIENTE",TablaVentas[[#This Row],[Unidades]]*TablaVentas[[#This Row],[Precio_unitario]]*(1-TablaVentas[[#This Row],[Descuento_pct]]))</f>
        <v>7627.407</v>
      </c>
      <c r="P549" s="6" t="n">
        <f aca="false">IF(TablaVentas[[#This Row],[Costo_unitario]]="","PENDIENTE",TablaVentas[[#This Row],[Unidades]]*TablaVentas[[#This Row],[Costo_unitario]])</f>
        <v>6255.13</v>
      </c>
      <c r="Q549" s="6" t="n">
        <f aca="false">IF(OR(TablaVentas[[#This Row],[Ingreso_neto]]="PENDIENTE",TablaVentas[[#This Row],[Costo_total]]="PENDIENTE"),"PENDIENTE",TablaVentas[[#This Row],[Ingreso_neto]]-TablaVentas[[#This Row],[Costo_total]])</f>
        <v>1372.277</v>
      </c>
    </row>
    <row r="550" customFormat="false" ht="13.5" hidden="false" customHeight="false" outlineLevel="0" collapsed="false">
      <c r="A550" s="1" t="s">
        <v>560</v>
      </c>
      <c r="B550" s="1" t="n">
        <v>2</v>
      </c>
      <c r="C550" s="5" t="n">
        <v>46134</v>
      </c>
      <c r="D550" s="6" t="s">
        <v>561</v>
      </c>
      <c r="E550" s="6" t="s">
        <v>126</v>
      </c>
      <c r="F550" s="6" t="s">
        <v>84</v>
      </c>
      <c r="G550" s="6" t="s">
        <v>47</v>
      </c>
      <c r="H550" s="6" t="s">
        <v>48</v>
      </c>
      <c r="I550" s="1" t="n">
        <v>1</v>
      </c>
      <c r="J550" s="7" t="n">
        <v>8611.38</v>
      </c>
      <c r="K550" s="8" t="n">
        <v>0.15</v>
      </c>
      <c r="L550" s="7" t="n">
        <v>6981.94</v>
      </c>
      <c r="M550" s="6" t="s">
        <v>49</v>
      </c>
      <c r="N550" s="6" t="s">
        <v>52</v>
      </c>
      <c r="O550" s="6" t="n">
        <f aca="false">IF(TablaVentas[[#This Row],[Precio_unitario]]="","PENDIENTE",TablaVentas[[#This Row],[Unidades]]*TablaVentas[[#This Row],[Precio_unitario]]*(1-TablaVentas[[#This Row],[Descuento_pct]]))</f>
        <v>7319.673</v>
      </c>
      <c r="P550" s="6" t="n">
        <f aca="false">IF(TablaVentas[[#This Row],[Costo_unitario]]="","PENDIENTE",TablaVentas[[#This Row],[Unidades]]*TablaVentas[[#This Row],[Costo_unitario]])</f>
        <v>6981.94</v>
      </c>
      <c r="Q550" s="6" t="n">
        <f aca="false">IF(OR(TablaVentas[[#This Row],[Ingreso_neto]]="PENDIENTE",TablaVentas[[#This Row],[Costo_total]]="PENDIENTE"),"PENDIENTE",TablaVentas[[#This Row],[Ingreso_neto]]-TablaVentas[[#This Row],[Costo_total]])</f>
        <v>337.732999999999</v>
      </c>
    </row>
    <row r="551" customFormat="false" ht="13.5" hidden="false" customHeight="false" outlineLevel="0" collapsed="false">
      <c r="A551" s="1" t="s">
        <v>560</v>
      </c>
      <c r="B551" s="1" t="n">
        <v>3</v>
      </c>
      <c r="C551" s="5" t="n">
        <v>46134</v>
      </c>
      <c r="D551" s="6" t="s">
        <v>561</v>
      </c>
      <c r="E551" s="6" t="s">
        <v>140</v>
      </c>
      <c r="F551" s="6" t="s">
        <v>84</v>
      </c>
      <c r="G551" s="6" t="s">
        <v>47</v>
      </c>
      <c r="H551" s="6" t="s">
        <v>48</v>
      </c>
      <c r="I551" s="1" t="n">
        <v>2</v>
      </c>
      <c r="J551" s="7" t="n">
        <v>7655.14</v>
      </c>
      <c r="K551" s="8" t="n">
        <v>0</v>
      </c>
      <c r="L551" s="7" t="n">
        <v>4061.34</v>
      </c>
      <c r="M551" s="6" t="s">
        <v>49</v>
      </c>
      <c r="N551" s="6" t="s">
        <v>67</v>
      </c>
      <c r="O551" s="6" t="n">
        <f aca="false">IF(TablaVentas[[#This Row],[Precio_unitario]]="","PENDIENTE",TablaVentas[[#This Row],[Unidades]]*TablaVentas[[#This Row],[Precio_unitario]]*(1-TablaVentas[[#This Row],[Descuento_pct]]))</f>
        <v>15310.28</v>
      </c>
      <c r="P551" s="6" t="n">
        <f aca="false">IF(TablaVentas[[#This Row],[Costo_unitario]]="","PENDIENTE",TablaVentas[[#This Row],[Unidades]]*TablaVentas[[#This Row],[Costo_unitario]])</f>
        <v>8122.68</v>
      </c>
      <c r="Q551" s="6" t="n">
        <f aca="false">IF(OR(TablaVentas[[#This Row],[Ingreso_neto]]="PENDIENTE",TablaVentas[[#This Row],[Costo_total]]="PENDIENTE"),"PENDIENTE",TablaVentas[[#This Row],[Ingreso_neto]]-TablaVentas[[#This Row],[Costo_total]])</f>
        <v>7187.6</v>
      </c>
    </row>
    <row r="552" customFormat="false" ht="13.5" hidden="false" customHeight="false" outlineLevel="0" collapsed="false">
      <c r="A552" s="1" t="s">
        <v>562</v>
      </c>
      <c r="B552" s="1" t="n">
        <v>1</v>
      </c>
      <c r="C552" s="5" t="n">
        <v>46050</v>
      </c>
      <c r="D552" s="6" t="s">
        <v>512</v>
      </c>
      <c r="E552" s="6" t="s">
        <v>90</v>
      </c>
      <c r="F552" s="6" t="s">
        <v>73</v>
      </c>
      <c r="G552" s="6" t="s">
        <v>47</v>
      </c>
      <c r="H552" s="6" t="s">
        <v>131</v>
      </c>
      <c r="I552" s="1" t="n">
        <v>1</v>
      </c>
      <c r="J552" s="7" t="n">
        <v>16178.7</v>
      </c>
      <c r="K552" s="8" t="n">
        <v>0</v>
      </c>
      <c r="L552" s="7" t="n">
        <v>12723.77</v>
      </c>
      <c r="M552" s="6" t="s">
        <v>49</v>
      </c>
      <c r="N552" s="6" t="s">
        <v>52</v>
      </c>
      <c r="O552" s="6" t="n">
        <f aca="false">IF(TablaVentas[[#This Row],[Precio_unitario]]="","PENDIENTE",TablaVentas[[#This Row],[Unidades]]*TablaVentas[[#This Row],[Precio_unitario]]*(1-TablaVentas[[#This Row],[Descuento_pct]]))</f>
        <v>16178.7</v>
      </c>
      <c r="P552" s="6" t="n">
        <f aca="false">IF(TablaVentas[[#This Row],[Costo_unitario]]="","PENDIENTE",TablaVentas[[#This Row],[Unidades]]*TablaVentas[[#This Row],[Costo_unitario]])</f>
        <v>12723.77</v>
      </c>
      <c r="Q552" s="6" t="n">
        <f aca="false">IF(OR(TablaVentas[[#This Row],[Ingreso_neto]]="PENDIENTE",TablaVentas[[#This Row],[Costo_total]]="PENDIENTE"),"PENDIENTE",TablaVentas[[#This Row],[Ingreso_neto]]-TablaVentas[[#This Row],[Costo_total]])</f>
        <v>3454.93</v>
      </c>
    </row>
    <row r="553" customFormat="false" ht="13.5" hidden="false" customHeight="false" outlineLevel="0" collapsed="false">
      <c r="A553" s="1" t="s">
        <v>562</v>
      </c>
      <c r="B553" s="1" t="n">
        <v>2</v>
      </c>
      <c r="C553" s="5" t="n">
        <v>46050</v>
      </c>
      <c r="D553" s="6" t="s">
        <v>512</v>
      </c>
      <c r="E553" s="6" t="s">
        <v>127</v>
      </c>
      <c r="F553" s="6" t="s">
        <v>73</v>
      </c>
      <c r="G553" s="6" t="s">
        <v>47</v>
      </c>
      <c r="H553" s="6" t="s">
        <v>131</v>
      </c>
      <c r="I553" s="1" t="n">
        <v>1</v>
      </c>
      <c r="J553" s="7" t="n">
        <v>13711.43</v>
      </c>
      <c r="K553" s="8" t="n">
        <v>0.2</v>
      </c>
      <c r="L553" s="7" t="n">
        <v>7975.26</v>
      </c>
      <c r="M553" s="6" t="s">
        <v>123</v>
      </c>
      <c r="N553" s="6" t="s">
        <v>52</v>
      </c>
      <c r="O553" s="6" t="n">
        <f aca="false">IF(TablaVentas[[#This Row],[Precio_unitario]]="","PENDIENTE",TablaVentas[[#This Row],[Unidades]]*TablaVentas[[#This Row],[Precio_unitario]]*(1-TablaVentas[[#This Row],[Descuento_pct]]))</f>
        <v>10969.144</v>
      </c>
      <c r="P553" s="6" t="n">
        <f aca="false">IF(TablaVentas[[#This Row],[Costo_unitario]]="","PENDIENTE",TablaVentas[[#This Row],[Unidades]]*TablaVentas[[#This Row],[Costo_unitario]])</f>
        <v>7975.26</v>
      </c>
      <c r="Q553" s="6" t="n">
        <f aca="false">IF(OR(TablaVentas[[#This Row],[Ingreso_neto]]="PENDIENTE",TablaVentas[[#This Row],[Costo_total]]="PENDIENTE"),"PENDIENTE",TablaVentas[[#This Row],[Ingreso_neto]]-TablaVentas[[#This Row],[Costo_total]])</f>
        <v>2993.884</v>
      </c>
    </row>
    <row r="554" customFormat="false" ht="13.5" hidden="false" customHeight="false" outlineLevel="0" collapsed="false">
      <c r="A554" s="1" t="s">
        <v>562</v>
      </c>
      <c r="B554" s="1" t="n">
        <v>3</v>
      </c>
      <c r="C554" s="5" t="n">
        <v>46050</v>
      </c>
      <c r="D554" s="6" t="s">
        <v>512</v>
      </c>
      <c r="E554" s="6" t="s">
        <v>263</v>
      </c>
      <c r="F554" s="6" t="s">
        <v>73</v>
      </c>
      <c r="G554" s="6" t="s">
        <v>47</v>
      </c>
      <c r="H554" s="6" t="s">
        <v>131</v>
      </c>
      <c r="I554" s="1" t="n">
        <v>1</v>
      </c>
      <c r="J554" s="7" t="n">
        <v>18624.56</v>
      </c>
      <c r="K554" s="8" t="n">
        <v>0</v>
      </c>
      <c r="L554" s="7" t="n">
        <v>11666.57</v>
      </c>
      <c r="M554" s="6" t="s">
        <v>49</v>
      </c>
      <c r="N554" s="6" t="s">
        <v>50</v>
      </c>
      <c r="O554" s="6" t="n">
        <f aca="false">IF(TablaVentas[[#This Row],[Precio_unitario]]="","PENDIENTE",TablaVentas[[#This Row],[Unidades]]*TablaVentas[[#This Row],[Precio_unitario]]*(1-TablaVentas[[#This Row],[Descuento_pct]]))</f>
        <v>18624.56</v>
      </c>
      <c r="P554" s="6" t="n">
        <f aca="false">IF(TablaVentas[[#This Row],[Costo_unitario]]="","PENDIENTE",TablaVentas[[#This Row],[Unidades]]*TablaVentas[[#This Row],[Costo_unitario]])</f>
        <v>11666.57</v>
      </c>
      <c r="Q554" s="6" t="n">
        <f aca="false">IF(OR(TablaVentas[[#This Row],[Ingreso_neto]]="PENDIENTE",TablaVentas[[#This Row],[Costo_total]]="PENDIENTE"),"PENDIENTE",TablaVentas[[#This Row],[Ingreso_neto]]-TablaVentas[[#This Row],[Costo_total]])</f>
        <v>6957.99</v>
      </c>
    </row>
    <row r="555" customFormat="false" ht="13.5" hidden="false" customHeight="false" outlineLevel="0" collapsed="false">
      <c r="A555" s="1" t="s">
        <v>562</v>
      </c>
      <c r="B555" s="1" t="n">
        <v>4</v>
      </c>
      <c r="C555" s="5" t="n">
        <v>46050</v>
      </c>
      <c r="D555" s="6" t="s">
        <v>512</v>
      </c>
      <c r="E555" s="6" t="s">
        <v>284</v>
      </c>
      <c r="F555" s="6" t="s">
        <v>73</v>
      </c>
      <c r="G555" s="6" t="s">
        <v>47</v>
      </c>
      <c r="H555" s="6" t="s">
        <v>131</v>
      </c>
      <c r="I555" s="1" t="n">
        <v>2</v>
      </c>
      <c r="J555" s="7" t="n">
        <v>6506.39</v>
      </c>
      <c r="K555" s="8" t="n">
        <v>0</v>
      </c>
      <c r="L555" s="7" t="n">
        <v>4858.08</v>
      </c>
      <c r="M555" s="6" t="s">
        <v>49</v>
      </c>
      <c r="N555" s="6" t="s">
        <v>50</v>
      </c>
      <c r="O555" s="6" t="n">
        <f aca="false">IF(TablaVentas[[#This Row],[Precio_unitario]]="","PENDIENTE",TablaVentas[[#This Row],[Unidades]]*TablaVentas[[#This Row],[Precio_unitario]]*(1-TablaVentas[[#This Row],[Descuento_pct]]))</f>
        <v>13012.78</v>
      </c>
      <c r="P555" s="6" t="n">
        <f aca="false">IF(TablaVentas[[#This Row],[Costo_unitario]]="","PENDIENTE",TablaVentas[[#This Row],[Unidades]]*TablaVentas[[#This Row],[Costo_unitario]])</f>
        <v>9716.16</v>
      </c>
      <c r="Q555" s="6" t="n">
        <f aca="false">IF(OR(TablaVentas[[#This Row],[Ingreso_neto]]="PENDIENTE",TablaVentas[[#This Row],[Costo_total]]="PENDIENTE"),"PENDIENTE",TablaVentas[[#This Row],[Ingreso_neto]]-TablaVentas[[#This Row],[Costo_total]])</f>
        <v>3296.62</v>
      </c>
    </row>
    <row r="556" customFormat="false" ht="13.5" hidden="false" customHeight="false" outlineLevel="0" collapsed="false">
      <c r="A556" s="1" t="s">
        <v>563</v>
      </c>
      <c r="B556" s="1" t="n">
        <v>1</v>
      </c>
      <c r="C556" s="5" t="n">
        <v>46214</v>
      </c>
      <c r="D556" s="6" t="s">
        <v>564</v>
      </c>
      <c r="E556" s="6" t="s">
        <v>187</v>
      </c>
      <c r="F556" s="6" t="s">
        <v>84</v>
      </c>
      <c r="G556" s="6" t="s">
        <v>64</v>
      </c>
      <c r="H556" s="6" t="s">
        <v>58</v>
      </c>
      <c r="I556" s="1" t="n">
        <v>1</v>
      </c>
      <c r="J556" s="7" t="n">
        <v>6124.03</v>
      </c>
      <c r="K556" s="8" t="n">
        <v>0</v>
      </c>
      <c r="L556" s="7" t="n">
        <v>3824.92</v>
      </c>
      <c r="M556" s="6" t="s">
        <v>49</v>
      </c>
      <c r="N556" s="6" t="s">
        <v>52</v>
      </c>
      <c r="O556" s="6" t="n">
        <f aca="false">IF(TablaVentas[[#This Row],[Precio_unitario]]="","PENDIENTE",TablaVentas[[#This Row],[Unidades]]*TablaVentas[[#This Row],[Precio_unitario]]*(1-TablaVentas[[#This Row],[Descuento_pct]]))</f>
        <v>6124.03</v>
      </c>
      <c r="P556" s="6" t="n">
        <f aca="false">IF(TablaVentas[[#This Row],[Costo_unitario]]="","PENDIENTE",TablaVentas[[#This Row],[Unidades]]*TablaVentas[[#This Row],[Costo_unitario]])</f>
        <v>3824.92</v>
      </c>
      <c r="Q556" s="6" t="n">
        <f aca="false">IF(OR(TablaVentas[[#This Row],[Ingreso_neto]]="PENDIENTE",TablaVentas[[#This Row],[Costo_total]]="PENDIENTE"),"PENDIENTE",TablaVentas[[#This Row],[Ingreso_neto]]-TablaVentas[[#This Row],[Costo_total]])</f>
        <v>2299.11</v>
      </c>
    </row>
    <row r="557" customFormat="false" ht="13.5" hidden="false" customHeight="false" outlineLevel="0" collapsed="false">
      <c r="A557" s="1" t="s">
        <v>565</v>
      </c>
      <c r="B557" s="1" t="n">
        <v>1</v>
      </c>
      <c r="C557" s="5" t="n">
        <v>46102</v>
      </c>
      <c r="D557" s="6" t="s">
        <v>138</v>
      </c>
      <c r="E557" s="6" t="s">
        <v>353</v>
      </c>
      <c r="F557" s="6" t="s">
        <v>84</v>
      </c>
      <c r="G557" s="6" t="s">
        <v>57</v>
      </c>
      <c r="H557" s="6" t="s">
        <v>131</v>
      </c>
      <c r="I557" s="1" t="n">
        <v>3</v>
      </c>
      <c r="J557" s="7" t="n">
        <v>2322.26</v>
      </c>
      <c r="K557" s="8" t="n">
        <v>0.15</v>
      </c>
      <c r="L557" s="7" t="n">
        <v>1175.74</v>
      </c>
      <c r="M557" s="6" t="s">
        <v>49</v>
      </c>
      <c r="N557" s="6" t="s">
        <v>67</v>
      </c>
      <c r="O557" s="6" t="n">
        <f aca="false">IF(TablaVentas[[#This Row],[Precio_unitario]]="","PENDIENTE",TablaVentas[[#This Row],[Unidades]]*TablaVentas[[#This Row],[Precio_unitario]]*(1-TablaVentas[[#This Row],[Descuento_pct]]))</f>
        <v>5921.763</v>
      </c>
      <c r="P557" s="6" t="n">
        <f aca="false">IF(TablaVentas[[#This Row],[Costo_unitario]]="","PENDIENTE",TablaVentas[[#This Row],[Unidades]]*TablaVentas[[#This Row],[Costo_unitario]])</f>
        <v>3527.22</v>
      </c>
      <c r="Q557" s="6" t="n">
        <f aca="false">IF(OR(TablaVentas[[#This Row],[Ingreso_neto]]="PENDIENTE",TablaVentas[[#This Row],[Costo_total]]="PENDIENTE"),"PENDIENTE",TablaVentas[[#This Row],[Ingreso_neto]]-TablaVentas[[#This Row],[Costo_total]])</f>
        <v>2394.543</v>
      </c>
    </row>
    <row r="558" customFormat="false" ht="13.5" hidden="false" customHeight="false" outlineLevel="0" collapsed="false">
      <c r="A558" s="1" t="s">
        <v>565</v>
      </c>
      <c r="B558" s="1" t="n">
        <v>2</v>
      </c>
      <c r="C558" s="5" t="n">
        <v>46102</v>
      </c>
      <c r="D558" s="6" t="s">
        <v>138</v>
      </c>
      <c r="E558" s="6" t="s">
        <v>155</v>
      </c>
      <c r="F558" s="6" t="s">
        <v>84</v>
      </c>
      <c r="G558" s="6" t="s">
        <v>57</v>
      </c>
      <c r="H558" s="6" t="s">
        <v>131</v>
      </c>
      <c r="I558" s="1" t="n">
        <v>12</v>
      </c>
      <c r="J558" s="7" t="n">
        <v>3164.06</v>
      </c>
      <c r="K558" s="8" t="n">
        <v>0</v>
      </c>
      <c r="L558" s="7" t="n">
        <v>2459.34</v>
      </c>
      <c r="M558" s="6" t="s">
        <v>49</v>
      </c>
      <c r="N558" s="6" t="s">
        <v>67</v>
      </c>
      <c r="O558" s="6" t="n">
        <f aca="false">IF(TablaVentas[[#This Row],[Precio_unitario]]="","PENDIENTE",TablaVentas[[#This Row],[Unidades]]*TablaVentas[[#This Row],[Precio_unitario]]*(1-TablaVentas[[#This Row],[Descuento_pct]]))</f>
        <v>37968.72</v>
      </c>
      <c r="P558" s="6" t="n">
        <f aca="false">IF(TablaVentas[[#This Row],[Costo_unitario]]="","PENDIENTE",TablaVentas[[#This Row],[Unidades]]*TablaVentas[[#This Row],[Costo_unitario]])</f>
        <v>29512.08</v>
      </c>
      <c r="Q558" s="6" t="n">
        <f aca="false">IF(OR(TablaVentas[[#This Row],[Ingreso_neto]]="PENDIENTE",TablaVentas[[#This Row],[Costo_total]]="PENDIENTE"),"PENDIENTE",TablaVentas[[#This Row],[Ingreso_neto]]-TablaVentas[[#This Row],[Costo_total]])</f>
        <v>8456.64</v>
      </c>
    </row>
    <row r="559" customFormat="false" ht="13.5" hidden="false" customHeight="false" outlineLevel="0" collapsed="false">
      <c r="A559" s="1" t="s">
        <v>566</v>
      </c>
      <c r="B559" s="1" t="n">
        <v>1</v>
      </c>
      <c r="C559" s="5" t="n">
        <v>46075</v>
      </c>
      <c r="D559" s="6" t="s">
        <v>387</v>
      </c>
      <c r="E559" s="6" t="s">
        <v>121</v>
      </c>
      <c r="F559" s="6" t="s">
        <v>46</v>
      </c>
      <c r="G559" s="6" t="s">
        <v>47</v>
      </c>
      <c r="H559" s="6" t="s">
        <v>65</v>
      </c>
      <c r="I559" s="1" t="n">
        <v>2</v>
      </c>
      <c r="J559" s="7" t="n">
        <v>14617.82</v>
      </c>
      <c r="K559" s="8" t="n">
        <v>0</v>
      </c>
      <c r="L559" s="7" t="n">
        <v>8239.48</v>
      </c>
      <c r="M559" s="6" t="s">
        <v>49</v>
      </c>
      <c r="N559" s="6" t="s">
        <v>67</v>
      </c>
      <c r="O559" s="6" t="n">
        <f aca="false">IF(TablaVentas[[#This Row],[Precio_unitario]]="","PENDIENTE",TablaVentas[[#This Row],[Unidades]]*TablaVentas[[#This Row],[Precio_unitario]]*(1-TablaVentas[[#This Row],[Descuento_pct]]))</f>
        <v>29235.64</v>
      </c>
      <c r="P559" s="6" t="n">
        <f aca="false">IF(TablaVentas[[#This Row],[Costo_unitario]]="","PENDIENTE",TablaVentas[[#This Row],[Unidades]]*TablaVentas[[#This Row],[Costo_unitario]])</f>
        <v>16478.96</v>
      </c>
      <c r="Q559" s="6" t="n">
        <f aca="false">IF(OR(TablaVentas[[#This Row],[Ingreso_neto]]="PENDIENTE",TablaVentas[[#This Row],[Costo_total]]="PENDIENTE"),"PENDIENTE",TablaVentas[[#This Row],[Ingreso_neto]]-TablaVentas[[#This Row],[Costo_total]])</f>
        <v>12756.68</v>
      </c>
    </row>
    <row r="560" customFormat="false" ht="13.5" hidden="false" customHeight="false" outlineLevel="0" collapsed="false">
      <c r="A560" s="1" t="s">
        <v>566</v>
      </c>
      <c r="B560" s="1" t="n">
        <v>2</v>
      </c>
      <c r="C560" s="5" t="n">
        <v>46075</v>
      </c>
      <c r="D560" s="6" t="s">
        <v>387</v>
      </c>
      <c r="E560" s="6" t="s">
        <v>210</v>
      </c>
      <c r="F560" s="6" t="s">
        <v>46</v>
      </c>
      <c r="G560" s="6" t="s">
        <v>47</v>
      </c>
      <c r="H560" s="6" t="s">
        <v>65</v>
      </c>
      <c r="I560" s="1" t="n">
        <v>1</v>
      </c>
      <c r="J560" s="7" t="n">
        <v>1872.56</v>
      </c>
      <c r="K560" s="8" t="n">
        <v>0.1</v>
      </c>
      <c r="L560" s="7" t="n">
        <v>1252.84</v>
      </c>
      <c r="M560" s="6" t="s">
        <v>49</v>
      </c>
      <c r="N560" s="6" t="s">
        <v>59</v>
      </c>
      <c r="O560" s="6" t="n">
        <f aca="false">IF(TablaVentas[[#This Row],[Precio_unitario]]="","PENDIENTE",TablaVentas[[#This Row],[Unidades]]*TablaVentas[[#This Row],[Precio_unitario]]*(1-TablaVentas[[#This Row],[Descuento_pct]]))</f>
        <v>1685.304</v>
      </c>
      <c r="P560" s="6" t="n">
        <f aca="false">IF(TablaVentas[[#This Row],[Costo_unitario]]="","PENDIENTE",TablaVentas[[#This Row],[Unidades]]*TablaVentas[[#This Row],[Costo_unitario]])</f>
        <v>1252.84</v>
      </c>
      <c r="Q560" s="6" t="n">
        <f aca="false">IF(OR(TablaVentas[[#This Row],[Ingreso_neto]]="PENDIENTE",TablaVentas[[#This Row],[Costo_total]]="PENDIENTE"),"PENDIENTE",TablaVentas[[#This Row],[Ingreso_neto]]-TablaVentas[[#This Row],[Costo_total]])</f>
        <v>432.464</v>
      </c>
    </row>
    <row r="561" customFormat="false" ht="13.5" hidden="false" customHeight="false" outlineLevel="0" collapsed="false">
      <c r="A561" s="1" t="s">
        <v>566</v>
      </c>
      <c r="B561" s="1" t="n">
        <v>3</v>
      </c>
      <c r="C561" s="5" t="n">
        <v>46075</v>
      </c>
      <c r="D561" s="6" t="s">
        <v>387</v>
      </c>
      <c r="E561" s="6" t="s">
        <v>53</v>
      </c>
      <c r="F561" s="6" t="s">
        <v>46</v>
      </c>
      <c r="G561" s="6" t="s">
        <v>47</v>
      </c>
      <c r="H561" s="6" t="s">
        <v>65</v>
      </c>
      <c r="I561" s="1" t="n">
        <v>3</v>
      </c>
      <c r="J561" s="7" t="n">
        <v>3880.9</v>
      </c>
      <c r="K561" s="8" t="n">
        <v>0</v>
      </c>
      <c r="L561" s="7" t="n">
        <v>2957.6</v>
      </c>
      <c r="M561" s="6" t="s">
        <v>49</v>
      </c>
      <c r="N561" s="6" t="s">
        <v>67</v>
      </c>
      <c r="O561" s="6" t="n">
        <f aca="false">IF(TablaVentas[[#This Row],[Precio_unitario]]="","PENDIENTE",TablaVentas[[#This Row],[Unidades]]*TablaVentas[[#This Row],[Precio_unitario]]*(1-TablaVentas[[#This Row],[Descuento_pct]]))</f>
        <v>11642.7</v>
      </c>
      <c r="P561" s="6" t="n">
        <f aca="false">IF(TablaVentas[[#This Row],[Costo_unitario]]="","PENDIENTE",TablaVentas[[#This Row],[Unidades]]*TablaVentas[[#This Row],[Costo_unitario]])</f>
        <v>8872.8</v>
      </c>
      <c r="Q561" s="6" t="n">
        <f aca="false">IF(OR(TablaVentas[[#This Row],[Ingreso_neto]]="PENDIENTE",TablaVentas[[#This Row],[Costo_total]]="PENDIENTE"),"PENDIENTE",TablaVentas[[#This Row],[Ingreso_neto]]-TablaVentas[[#This Row],[Costo_total]])</f>
        <v>2769.9</v>
      </c>
    </row>
    <row r="562" customFormat="false" ht="13.5" hidden="false" customHeight="false" outlineLevel="0" collapsed="false">
      <c r="A562" s="1" t="s">
        <v>566</v>
      </c>
      <c r="B562" s="1" t="n">
        <v>4</v>
      </c>
      <c r="C562" s="5" t="n">
        <v>46075</v>
      </c>
      <c r="D562" s="6" t="s">
        <v>387</v>
      </c>
      <c r="E562" s="6" t="s">
        <v>224</v>
      </c>
      <c r="F562" s="6" t="s">
        <v>46</v>
      </c>
      <c r="G562" s="6" t="s">
        <v>47</v>
      </c>
      <c r="H562" s="6" t="s">
        <v>65</v>
      </c>
      <c r="I562" s="1" t="n">
        <v>12</v>
      </c>
      <c r="J562" s="7" t="n">
        <v>18187.55</v>
      </c>
      <c r="K562" s="8" t="n">
        <v>0.15</v>
      </c>
      <c r="L562" s="7" t="n">
        <v>14161.63</v>
      </c>
      <c r="M562" s="6" t="s">
        <v>123</v>
      </c>
      <c r="N562" s="6" t="s">
        <v>52</v>
      </c>
      <c r="O562" s="6" t="n">
        <f aca="false">IF(TablaVentas[[#This Row],[Precio_unitario]]="","PENDIENTE",TablaVentas[[#This Row],[Unidades]]*TablaVentas[[#This Row],[Precio_unitario]]*(1-TablaVentas[[#This Row],[Descuento_pct]]))</f>
        <v>185513.01</v>
      </c>
      <c r="P562" s="6" t="n">
        <f aca="false">IF(TablaVentas[[#This Row],[Costo_unitario]]="","PENDIENTE",TablaVentas[[#This Row],[Unidades]]*TablaVentas[[#This Row],[Costo_unitario]])</f>
        <v>169939.56</v>
      </c>
      <c r="Q562" s="6" t="n">
        <f aca="false">IF(OR(TablaVentas[[#This Row],[Ingreso_neto]]="PENDIENTE",TablaVentas[[#This Row],[Costo_total]]="PENDIENTE"),"PENDIENTE",TablaVentas[[#This Row],[Ingreso_neto]]-TablaVentas[[#This Row],[Costo_total]])</f>
        <v>15573.45</v>
      </c>
    </row>
    <row r="563" customFormat="false" ht="13.5" hidden="false" customHeight="false" outlineLevel="0" collapsed="false">
      <c r="A563" s="1" t="s">
        <v>567</v>
      </c>
      <c r="B563" s="1" t="n">
        <v>1</v>
      </c>
      <c r="C563" s="5" t="n">
        <v>46062</v>
      </c>
      <c r="D563" s="6" t="s">
        <v>534</v>
      </c>
      <c r="E563" s="6" t="s">
        <v>342</v>
      </c>
      <c r="F563" s="6" t="s">
        <v>73</v>
      </c>
      <c r="G563" s="6" t="s">
        <v>57</v>
      </c>
      <c r="H563" s="6" t="s">
        <v>89</v>
      </c>
      <c r="I563" s="1" t="n">
        <v>1</v>
      </c>
      <c r="J563" s="7" t="n">
        <v>7193.69</v>
      </c>
      <c r="K563" s="8" t="n">
        <v>0</v>
      </c>
      <c r="L563" s="7" t="n">
        <v>5587.31</v>
      </c>
      <c r="M563" s="6" t="s">
        <v>49</v>
      </c>
      <c r="N563" s="6" t="s">
        <v>59</v>
      </c>
      <c r="O563" s="6" t="n">
        <f aca="false">IF(TablaVentas[[#This Row],[Precio_unitario]]="","PENDIENTE",TablaVentas[[#This Row],[Unidades]]*TablaVentas[[#This Row],[Precio_unitario]]*(1-TablaVentas[[#This Row],[Descuento_pct]]))</f>
        <v>7193.69</v>
      </c>
      <c r="P563" s="6" t="n">
        <f aca="false">IF(TablaVentas[[#This Row],[Costo_unitario]]="","PENDIENTE",TablaVentas[[#This Row],[Unidades]]*TablaVentas[[#This Row],[Costo_unitario]])</f>
        <v>5587.31</v>
      </c>
      <c r="Q563" s="6" t="n">
        <f aca="false">IF(OR(TablaVentas[[#This Row],[Ingreso_neto]]="PENDIENTE",TablaVentas[[#This Row],[Costo_total]]="PENDIENTE"),"PENDIENTE",TablaVentas[[#This Row],[Ingreso_neto]]-TablaVentas[[#This Row],[Costo_total]])</f>
        <v>1606.38</v>
      </c>
    </row>
    <row r="564" customFormat="false" ht="13.5" hidden="false" customHeight="false" outlineLevel="0" collapsed="false">
      <c r="A564" s="1" t="s">
        <v>567</v>
      </c>
      <c r="B564" s="1" t="n">
        <v>2</v>
      </c>
      <c r="C564" s="5" t="n">
        <v>46062</v>
      </c>
      <c r="D564" s="6" t="s">
        <v>534</v>
      </c>
      <c r="E564" s="6" t="s">
        <v>327</v>
      </c>
      <c r="F564" s="6" t="s">
        <v>73</v>
      </c>
      <c r="G564" s="6" t="s">
        <v>57</v>
      </c>
      <c r="H564" s="6" t="s">
        <v>89</v>
      </c>
      <c r="I564" s="1" t="n">
        <v>1</v>
      </c>
      <c r="J564" s="7" t="n">
        <v>4481.29</v>
      </c>
      <c r="K564" s="8" t="n">
        <v>0.05</v>
      </c>
      <c r="L564" s="7" t="n">
        <v>3065.66</v>
      </c>
      <c r="M564" s="6" t="s">
        <v>49</v>
      </c>
      <c r="N564" s="6" t="s">
        <v>50</v>
      </c>
      <c r="O564" s="6" t="n">
        <f aca="false">IF(TablaVentas[[#This Row],[Precio_unitario]]="","PENDIENTE",TablaVentas[[#This Row],[Unidades]]*TablaVentas[[#This Row],[Precio_unitario]]*(1-TablaVentas[[#This Row],[Descuento_pct]]))</f>
        <v>4257.2255</v>
      </c>
      <c r="P564" s="6" t="n">
        <f aca="false">IF(TablaVentas[[#This Row],[Costo_unitario]]="","PENDIENTE",TablaVentas[[#This Row],[Unidades]]*TablaVentas[[#This Row],[Costo_unitario]])</f>
        <v>3065.66</v>
      </c>
      <c r="Q564" s="6" t="n">
        <f aca="false">IF(OR(TablaVentas[[#This Row],[Ingreso_neto]]="PENDIENTE",TablaVentas[[#This Row],[Costo_total]]="PENDIENTE"),"PENDIENTE",TablaVentas[[#This Row],[Ingreso_neto]]-TablaVentas[[#This Row],[Costo_total]])</f>
        <v>1191.5655</v>
      </c>
    </row>
    <row r="565" customFormat="false" ht="13.5" hidden="false" customHeight="false" outlineLevel="0" collapsed="false">
      <c r="A565" s="1" t="s">
        <v>567</v>
      </c>
      <c r="B565" s="1" t="n">
        <v>3</v>
      </c>
      <c r="C565" s="5" t="n">
        <v>46062</v>
      </c>
      <c r="D565" s="6" t="s">
        <v>534</v>
      </c>
      <c r="E565" s="6" t="s">
        <v>243</v>
      </c>
      <c r="F565" s="6" t="s">
        <v>73</v>
      </c>
      <c r="G565" s="6" t="s">
        <v>57</v>
      </c>
      <c r="H565" s="6" t="s">
        <v>89</v>
      </c>
      <c r="I565" s="1" t="n">
        <v>4</v>
      </c>
      <c r="J565" s="7" t="n">
        <v>10300.84</v>
      </c>
      <c r="K565" s="8" t="n">
        <v>0.2</v>
      </c>
      <c r="L565" s="7" t="n">
        <v>8061.7</v>
      </c>
      <c r="M565" s="6" t="s">
        <v>69</v>
      </c>
      <c r="N565" s="6" t="s">
        <v>50</v>
      </c>
      <c r="O565" s="6" t="n">
        <f aca="false">IF(TablaVentas[[#This Row],[Precio_unitario]]="","PENDIENTE",TablaVentas[[#This Row],[Unidades]]*TablaVentas[[#This Row],[Precio_unitario]]*(1-TablaVentas[[#This Row],[Descuento_pct]]))</f>
        <v>32962.688</v>
      </c>
      <c r="P565" s="6" t="n">
        <f aca="false">IF(TablaVentas[[#This Row],[Costo_unitario]]="","PENDIENTE",TablaVentas[[#This Row],[Unidades]]*TablaVentas[[#This Row],[Costo_unitario]])</f>
        <v>32246.8</v>
      </c>
      <c r="Q565" s="6" t="n">
        <f aca="false">IF(OR(TablaVentas[[#This Row],[Ingreso_neto]]="PENDIENTE",TablaVentas[[#This Row],[Costo_total]]="PENDIENTE"),"PENDIENTE",TablaVentas[[#This Row],[Ingreso_neto]]-TablaVentas[[#This Row],[Costo_total]])</f>
        <v>715.888000000003</v>
      </c>
    </row>
    <row r="566" customFormat="false" ht="13.5" hidden="false" customHeight="false" outlineLevel="0" collapsed="false">
      <c r="A566" s="1" t="s">
        <v>567</v>
      </c>
      <c r="B566" s="1" t="n">
        <v>4</v>
      </c>
      <c r="C566" s="5" t="n">
        <v>46062</v>
      </c>
      <c r="D566" s="6" t="s">
        <v>534</v>
      </c>
      <c r="E566" s="6" t="s">
        <v>90</v>
      </c>
      <c r="F566" s="6" t="s">
        <v>73</v>
      </c>
      <c r="G566" s="6" t="s">
        <v>57</v>
      </c>
      <c r="H566" s="6" t="s">
        <v>89</v>
      </c>
      <c r="I566" s="1" t="n">
        <v>2</v>
      </c>
      <c r="J566" s="7" t="n">
        <v>15360.92</v>
      </c>
      <c r="K566" s="8" t="n">
        <v>0.15</v>
      </c>
      <c r="L566" s="7" t="n">
        <v>12723.77</v>
      </c>
      <c r="M566" s="6" t="s">
        <v>49</v>
      </c>
      <c r="N566" s="6" t="s">
        <v>52</v>
      </c>
      <c r="O566" s="6" t="n">
        <f aca="false">IF(TablaVentas[[#This Row],[Precio_unitario]]="","PENDIENTE",TablaVentas[[#This Row],[Unidades]]*TablaVentas[[#This Row],[Precio_unitario]]*(1-TablaVentas[[#This Row],[Descuento_pct]]))</f>
        <v>26113.564</v>
      </c>
      <c r="P566" s="6" t="n">
        <f aca="false">IF(TablaVentas[[#This Row],[Costo_unitario]]="","PENDIENTE",TablaVentas[[#This Row],[Unidades]]*TablaVentas[[#This Row],[Costo_unitario]])</f>
        <v>25447.54</v>
      </c>
      <c r="Q566" s="6" t="n">
        <f aca="false">IF(OR(TablaVentas[[#This Row],[Ingreso_neto]]="PENDIENTE",TablaVentas[[#This Row],[Costo_total]]="PENDIENTE"),"PENDIENTE",TablaVentas[[#This Row],[Ingreso_neto]]-TablaVentas[[#This Row],[Costo_total]])</f>
        <v>666.023999999998</v>
      </c>
    </row>
    <row r="567" customFormat="false" ht="13.5" hidden="false" customHeight="false" outlineLevel="0" collapsed="false">
      <c r="A567" s="1" t="s">
        <v>568</v>
      </c>
      <c r="B567" s="1" t="n">
        <v>1</v>
      </c>
      <c r="C567" s="5" t="n">
        <v>46141</v>
      </c>
      <c r="D567" s="6" t="s">
        <v>569</v>
      </c>
      <c r="E567" s="6" t="s">
        <v>404</v>
      </c>
      <c r="F567" s="6" t="s">
        <v>73</v>
      </c>
      <c r="G567" s="6" t="s">
        <v>57</v>
      </c>
      <c r="H567" s="6" t="s">
        <v>136</v>
      </c>
      <c r="I567" s="1" t="n">
        <v>3</v>
      </c>
      <c r="J567" s="7" t="n">
        <v>6670.79</v>
      </c>
      <c r="K567" s="8" t="n">
        <v>0</v>
      </c>
      <c r="L567" s="7" t="n">
        <v>3640.56</v>
      </c>
      <c r="M567" s="6" t="s">
        <v>49</v>
      </c>
      <c r="N567" s="6" t="s">
        <v>50</v>
      </c>
      <c r="O567" s="6" t="n">
        <f aca="false">IF(TablaVentas[[#This Row],[Precio_unitario]]="","PENDIENTE",TablaVentas[[#This Row],[Unidades]]*TablaVentas[[#This Row],[Precio_unitario]]*(1-TablaVentas[[#This Row],[Descuento_pct]]))</f>
        <v>20012.37</v>
      </c>
      <c r="P567" s="6" t="n">
        <f aca="false">IF(TablaVentas[[#This Row],[Costo_unitario]]="","PENDIENTE",TablaVentas[[#This Row],[Unidades]]*TablaVentas[[#This Row],[Costo_unitario]])</f>
        <v>10921.68</v>
      </c>
      <c r="Q567" s="6" t="n">
        <f aca="false">IF(OR(TablaVentas[[#This Row],[Ingreso_neto]]="PENDIENTE",TablaVentas[[#This Row],[Costo_total]]="PENDIENTE"),"PENDIENTE",TablaVentas[[#This Row],[Ingreso_neto]]-TablaVentas[[#This Row],[Costo_total]])</f>
        <v>9090.69</v>
      </c>
    </row>
    <row r="568" customFormat="false" ht="13.5" hidden="false" customHeight="false" outlineLevel="0" collapsed="false">
      <c r="A568" s="1" t="s">
        <v>568</v>
      </c>
      <c r="B568" s="1" t="n">
        <v>2</v>
      </c>
      <c r="C568" s="5" t="n">
        <v>46141</v>
      </c>
      <c r="D568" s="6" t="s">
        <v>569</v>
      </c>
      <c r="E568" s="6" t="s">
        <v>544</v>
      </c>
      <c r="F568" s="6" t="s">
        <v>73</v>
      </c>
      <c r="G568" s="6" t="s">
        <v>57</v>
      </c>
      <c r="H568" s="6" t="s">
        <v>136</v>
      </c>
      <c r="I568" s="1" t="n">
        <v>1</v>
      </c>
      <c r="J568" s="7" t="n">
        <v>5645.83</v>
      </c>
      <c r="K568" s="8" t="n">
        <v>0</v>
      </c>
      <c r="L568" s="7" t="n">
        <v>4556.23</v>
      </c>
      <c r="M568" s="6" t="s">
        <v>49</v>
      </c>
      <c r="N568" s="6" t="s">
        <v>52</v>
      </c>
      <c r="O568" s="6" t="n">
        <f aca="false">IF(TablaVentas[[#This Row],[Precio_unitario]]="","PENDIENTE",TablaVentas[[#This Row],[Unidades]]*TablaVentas[[#This Row],[Precio_unitario]]*(1-TablaVentas[[#This Row],[Descuento_pct]]))</f>
        <v>5645.83</v>
      </c>
      <c r="P568" s="6" t="n">
        <f aca="false">IF(TablaVentas[[#This Row],[Costo_unitario]]="","PENDIENTE",TablaVentas[[#This Row],[Unidades]]*TablaVentas[[#This Row],[Costo_unitario]])</f>
        <v>4556.23</v>
      </c>
      <c r="Q568" s="6" t="n">
        <f aca="false">IF(OR(TablaVentas[[#This Row],[Ingreso_neto]]="PENDIENTE",TablaVentas[[#This Row],[Costo_total]]="PENDIENTE"),"PENDIENTE",TablaVentas[[#This Row],[Ingreso_neto]]-TablaVentas[[#This Row],[Costo_total]])</f>
        <v>1089.6</v>
      </c>
    </row>
    <row r="569" customFormat="false" ht="13.5" hidden="false" customHeight="false" outlineLevel="0" collapsed="false">
      <c r="A569" s="1" t="s">
        <v>570</v>
      </c>
      <c r="B569" s="1" t="n">
        <v>1</v>
      </c>
      <c r="C569" s="5" t="n">
        <v>46116</v>
      </c>
      <c r="D569" s="6" t="s">
        <v>571</v>
      </c>
      <c r="E569" s="6" t="s">
        <v>284</v>
      </c>
      <c r="F569" s="6" t="s">
        <v>84</v>
      </c>
      <c r="G569" s="6" t="s">
        <v>47</v>
      </c>
      <c r="H569" s="6" t="s">
        <v>48</v>
      </c>
      <c r="I569" s="1" t="n">
        <v>2</v>
      </c>
      <c r="J569" s="7" t="n">
        <v>6835.49</v>
      </c>
      <c r="K569" s="8" t="n">
        <v>0.2</v>
      </c>
      <c r="L569" s="7" t="n">
        <v>4858.08</v>
      </c>
      <c r="M569" s="6" t="s">
        <v>49</v>
      </c>
      <c r="N569" s="6" t="s">
        <v>67</v>
      </c>
      <c r="O569" s="6" t="n">
        <f aca="false">IF(TablaVentas[[#This Row],[Precio_unitario]]="","PENDIENTE",TablaVentas[[#This Row],[Unidades]]*TablaVentas[[#This Row],[Precio_unitario]]*(1-TablaVentas[[#This Row],[Descuento_pct]]))</f>
        <v>10936.784</v>
      </c>
      <c r="P569" s="6" t="n">
        <f aca="false">IF(TablaVentas[[#This Row],[Costo_unitario]]="","PENDIENTE",TablaVentas[[#This Row],[Unidades]]*TablaVentas[[#This Row],[Costo_unitario]])</f>
        <v>9716.16</v>
      </c>
      <c r="Q569" s="6" t="n">
        <f aca="false">IF(OR(TablaVentas[[#This Row],[Ingreso_neto]]="PENDIENTE",TablaVentas[[#This Row],[Costo_total]]="PENDIENTE"),"PENDIENTE",TablaVentas[[#This Row],[Ingreso_neto]]-TablaVentas[[#This Row],[Costo_total]])</f>
        <v>1220.624</v>
      </c>
    </row>
    <row r="570" customFormat="false" ht="13.5" hidden="false" customHeight="false" outlineLevel="0" collapsed="false">
      <c r="A570" s="1" t="s">
        <v>570</v>
      </c>
      <c r="B570" s="1" t="n">
        <v>2</v>
      </c>
      <c r="C570" s="5" t="n">
        <v>46116</v>
      </c>
      <c r="D570" s="6" t="s">
        <v>571</v>
      </c>
      <c r="E570" s="6" t="s">
        <v>240</v>
      </c>
      <c r="F570" s="6" t="s">
        <v>84</v>
      </c>
      <c r="G570" s="6" t="s">
        <v>47</v>
      </c>
      <c r="H570" s="6" t="s">
        <v>48</v>
      </c>
      <c r="I570" s="1" t="n">
        <v>8</v>
      </c>
      <c r="J570" s="7" t="n">
        <v>10501.86</v>
      </c>
      <c r="K570" s="8" t="n">
        <v>0</v>
      </c>
      <c r="L570" s="7" t="n">
        <v>5932.12</v>
      </c>
      <c r="M570" s="6" t="s">
        <v>49</v>
      </c>
      <c r="N570" s="6" t="s">
        <v>50</v>
      </c>
      <c r="O570" s="6" t="n">
        <f aca="false">IF(TablaVentas[[#This Row],[Precio_unitario]]="","PENDIENTE",TablaVentas[[#This Row],[Unidades]]*TablaVentas[[#This Row],[Precio_unitario]]*(1-TablaVentas[[#This Row],[Descuento_pct]]))</f>
        <v>84014.88</v>
      </c>
      <c r="P570" s="6" t="n">
        <f aca="false">IF(TablaVentas[[#This Row],[Costo_unitario]]="","PENDIENTE",TablaVentas[[#This Row],[Unidades]]*TablaVentas[[#This Row],[Costo_unitario]])</f>
        <v>47456.96</v>
      </c>
      <c r="Q570" s="6" t="n">
        <f aca="false">IF(OR(TablaVentas[[#This Row],[Ingreso_neto]]="PENDIENTE",TablaVentas[[#This Row],[Costo_total]]="PENDIENTE"),"PENDIENTE",TablaVentas[[#This Row],[Ingreso_neto]]-TablaVentas[[#This Row],[Costo_total]])</f>
        <v>36557.92</v>
      </c>
    </row>
    <row r="571" customFormat="false" ht="13.5" hidden="false" customHeight="false" outlineLevel="0" collapsed="false">
      <c r="A571" s="1" t="s">
        <v>570</v>
      </c>
      <c r="B571" s="1" t="n">
        <v>3</v>
      </c>
      <c r="C571" s="5" t="n">
        <v>46116</v>
      </c>
      <c r="D571" s="6" t="s">
        <v>571</v>
      </c>
      <c r="E571" s="6" t="s">
        <v>158</v>
      </c>
      <c r="F571" s="6" t="s">
        <v>84</v>
      </c>
      <c r="G571" s="6" t="s">
        <v>47</v>
      </c>
      <c r="H571" s="6" t="s">
        <v>48</v>
      </c>
      <c r="I571" s="1" t="n">
        <v>3</v>
      </c>
      <c r="J571" s="7" t="n">
        <v>17318.95</v>
      </c>
      <c r="K571" s="8" t="n">
        <v>0</v>
      </c>
      <c r="L571" s="7" t="n">
        <v>8963.23</v>
      </c>
      <c r="M571" s="6" t="s">
        <v>49</v>
      </c>
      <c r="N571" s="6" t="s">
        <v>50</v>
      </c>
      <c r="O571" s="6" t="n">
        <f aca="false">IF(TablaVentas[[#This Row],[Precio_unitario]]="","PENDIENTE",TablaVentas[[#This Row],[Unidades]]*TablaVentas[[#This Row],[Precio_unitario]]*(1-TablaVentas[[#This Row],[Descuento_pct]]))</f>
        <v>51956.85</v>
      </c>
      <c r="P571" s="6" t="n">
        <f aca="false">IF(TablaVentas[[#This Row],[Costo_unitario]]="","PENDIENTE",TablaVentas[[#This Row],[Unidades]]*TablaVentas[[#This Row],[Costo_unitario]])</f>
        <v>26889.69</v>
      </c>
      <c r="Q571" s="6" t="n">
        <f aca="false">IF(OR(TablaVentas[[#This Row],[Ingreso_neto]]="PENDIENTE",TablaVentas[[#This Row],[Costo_total]]="PENDIENTE"),"PENDIENTE",TablaVentas[[#This Row],[Ingreso_neto]]-TablaVentas[[#This Row],[Costo_total]])</f>
        <v>25067.16</v>
      </c>
    </row>
    <row r="572" customFormat="false" ht="13.5" hidden="false" customHeight="false" outlineLevel="0" collapsed="false">
      <c r="A572" s="1" t="s">
        <v>570</v>
      </c>
      <c r="B572" s="1" t="n">
        <v>4</v>
      </c>
      <c r="C572" s="5" t="n">
        <v>46116</v>
      </c>
      <c r="D572" s="6" t="s">
        <v>571</v>
      </c>
      <c r="E572" s="6" t="s">
        <v>146</v>
      </c>
      <c r="F572" s="6" t="s">
        <v>84</v>
      </c>
      <c r="G572" s="6" t="s">
        <v>47</v>
      </c>
      <c r="H572" s="6" t="s">
        <v>48</v>
      </c>
      <c r="I572" s="1" t="n">
        <v>4</v>
      </c>
      <c r="J572" s="7" t="n">
        <v>9932.34</v>
      </c>
      <c r="K572" s="8" t="n">
        <v>0</v>
      </c>
      <c r="L572" s="7" t="n">
        <v>8002.16</v>
      </c>
      <c r="M572" s="6" t="s">
        <v>49</v>
      </c>
      <c r="N572" s="6" t="s">
        <v>67</v>
      </c>
      <c r="O572" s="6" t="n">
        <f aca="false">IF(TablaVentas[[#This Row],[Precio_unitario]]="","PENDIENTE",TablaVentas[[#This Row],[Unidades]]*TablaVentas[[#This Row],[Precio_unitario]]*(1-TablaVentas[[#This Row],[Descuento_pct]]))</f>
        <v>39729.36</v>
      </c>
      <c r="P572" s="6" t="n">
        <f aca="false">IF(TablaVentas[[#This Row],[Costo_unitario]]="","PENDIENTE",TablaVentas[[#This Row],[Unidades]]*TablaVentas[[#This Row],[Costo_unitario]])</f>
        <v>32008.64</v>
      </c>
      <c r="Q572" s="6" t="n">
        <f aca="false">IF(OR(TablaVentas[[#This Row],[Ingreso_neto]]="PENDIENTE",TablaVentas[[#This Row],[Costo_total]]="PENDIENTE"),"PENDIENTE",TablaVentas[[#This Row],[Ingreso_neto]]-TablaVentas[[#This Row],[Costo_total]])</f>
        <v>7720.72</v>
      </c>
    </row>
    <row r="573" customFormat="false" ht="13.5" hidden="false" customHeight="false" outlineLevel="0" collapsed="false">
      <c r="A573" s="1" t="s">
        <v>572</v>
      </c>
      <c r="B573" s="1" t="n">
        <v>1</v>
      </c>
      <c r="C573" s="5" t="n">
        <v>46276</v>
      </c>
      <c r="D573" s="6" t="s">
        <v>44</v>
      </c>
      <c r="E573" s="6" t="s">
        <v>145</v>
      </c>
      <c r="F573" s="6" t="s">
        <v>84</v>
      </c>
      <c r="G573" s="6" t="s">
        <v>57</v>
      </c>
      <c r="H573" s="6" t="s">
        <v>136</v>
      </c>
      <c r="I573" s="1" t="n">
        <v>1</v>
      </c>
      <c r="J573" s="7" t="n">
        <v>7102.07</v>
      </c>
      <c r="K573" s="8" t="n">
        <v>0</v>
      </c>
      <c r="L573" s="7" t="n">
        <v>4665.62</v>
      </c>
      <c r="M573" s="6" t="s">
        <v>49</v>
      </c>
      <c r="N573" s="6" t="s">
        <v>59</v>
      </c>
      <c r="O573" s="6" t="n">
        <f aca="false">IF(TablaVentas[[#This Row],[Precio_unitario]]="","PENDIENTE",TablaVentas[[#This Row],[Unidades]]*TablaVentas[[#This Row],[Precio_unitario]]*(1-TablaVentas[[#This Row],[Descuento_pct]]))</f>
        <v>7102.07</v>
      </c>
      <c r="P573" s="6" t="n">
        <f aca="false">IF(TablaVentas[[#This Row],[Costo_unitario]]="","PENDIENTE",TablaVentas[[#This Row],[Unidades]]*TablaVentas[[#This Row],[Costo_unitario]])</f>
        <v>4665.62</v>
      </c>
      <c r="Q573" s="6" t="n">
        <f aca="false">IF(OR(TablaVentas[[#This Row],[Ingreso_neto]]="PENDIENTE",TablaVentas[[#This Row],[Costo_total]]="PENDIENTE"),"PENDIENTE",TablaVentas[[#This Row],[Ingreso_neto]]-TablaVentas[[#This Row],[Costo_total]])</f>
        <v>2436.45</v>
      </c>
    </row>
    <row r="574" customFormat="false" ht="13.5" hidden="false" customHeight="false" outlineLevel="0" collapsed="false">
      <c r="A574" s="1" t="s">
        <v>572</v>
      </c>
      <c r="B574" s="1" t="n">
        <v>2</v>
      </c>
      <c r="C574" s="5" t="n">
        <v>46276</v>
      </c>
      <c r="D574" s="6" t="s">
        <v>44</v>
      </c>
      <c r="E574" s="6" t="s">
        <v>167</v>
      </c>
      <c r="F574" s="6" t="s">
        <v>84</v>
      </c>
      <c r="G574" s="6" t="s">
        <v>57</v>
      </c>
      <c r="H574" s="6" t="s">
        <v>136</v>
      </c>
      <c r="I574" s="1" t="n">
        <v>3</v>
      </c>
      <c r="J574" s="7" t="n">
        <v>6991.29</v>
      </c>
      <c r="K574" s="8" t="n">
        <v>0</v>
      </c>
      <c r="L574" s="7" t="n">
        <v>4082.15</v>
      </c>
      <c r="M574" s="6" t="s">
        <v>49</v>
      </c>
      <c r="N574" s="6" t="s">
        <v>67</v>
      </c>
      <c r="O574" s="6" t="n">
        <f aca="false">IF(TablaVentas[[#This Row],[Precio_unitario]]="","PENDIENTE",TablaVentas[[#This Row],[Unidades]]*TablaVentas[[#This Row],[Precio_unitario]]*(1-TablaVentas[[#This Row],[Descuento_pct]]))</f>
        <v>20973.87</v>
      </c>
      <c r="P574" s="6" t="n">
        <f aca="false">IF(TablaVentas[[#This Row],[Costo_unitario]]="","PENDIENTE",TablaVentas[[#This Row],[Unidades]]*TablaVentas[[#This Row],[Costo_unitario]])</f>
        <v>12246.45</v>
      </c>
      <c r="Q574" s="6" t="n">
        <f aca="false">IF(OR(TablaVentas[[#This Row],[Ingreso_neto]]="PENDIENTE",TablaVentas[[#This Row],[Costo_total]]="PENDIENTE"),"PENDIENTE",TablaVentas[[#This Row],[Ingreso_neto]]-TablaVentas[[#This Row],[Costo_total]])</f>
        <v>8727.42</v>
      </c>
    </row>
    <row r="575" customFormat="false" ht="13.5" hidden="false" customHeight="false" outlineLevel="0" collapsed="false">
      <c r="A575" s="1" t="s">
        <v>572</v>
      </c>
      <c r="B575" s="1" t="n">
        <v>3</v>
      </c>
      <c r="C575" s="5" t="n">
        <v>46276</v>
      </c>
      <c r="D575" s="6" t="s">
        <v>44</v>
      </c>
      <c r="E575" s="6" t="s">
        <v>255</v>
      </c>
      <c r="F575" s="6" t="s">
        <v>84</v>
      </c>
      <c r="G575" s="6" t="s">
        <v>57</v>
      </c>
      <c r="H575" s="6" t="s">
        <v>136</v>
      </c>
      <c r="I575" s="1" t="n">
        <v>2</v>
      </c>
      <c r="J575" s="7" t="n">
        <v>11761.48</v>
      </c>
      <c r="K575" s="8" t="n">
        <v>0</v>
      </c>
      <c r="L575" s="7" t="n">
        <v>6856.4</v>
      </c>
      <c r="M575" s="6" t="s">
        <v>49</v>
      </c>
      <c r="N575" s="6" t="s">
        <v>50</v>
      </c>
      <c r="O575" s="6" t="n">
        <f aca="false">IF(TablaVentas[[#This Row],[Precio_unitario]]="","PENDIENTE",TablaVentas[[#This Row],[Unidades]]*TablaVentas[[#This Row],[Precio_unitario]]*(1-TablaVentas[[#This Row],[Descuento_pct]]))</f>
        <v>23522.96</v>
      </c>
      <c r="P575" s="6" t="n">
        <f aca="false">IF(TablaVentas[[#This Row],[Costo_unitario]]="","PENDIENTE",TablaVentas[[#This Row],[Unidades]]*TablaVentas[[#This Row],[Costo_unitario]])</f>
        <v>13712.8</v>
      </c>
      <c r="Q575" s="6" t="n">
        <f aca="false">IF(OR(TablaVentas[[#This Row],[Ingreso_neto]]="PENDIENTE",TablaVentas[[#This Row],[Costo_total]]="PENDIENTE"),"PENDIENTE",TablaVentas[[#This Row],[Ingreso_neto]]-TablaVentas[[#This Row],[Costo_total]])</f>
        <v>9810.16</v>
      </c>
    </row>
    <row r="576" customFormat="false" ht="13.5" hidden="false" customHeight="false" outlineLevel="0" collapsed="false">
      <c r="A576" s="1" t="s">
        <v>572</v>
      </c>
      <c r="B576" s="1" t="n">
        <v>4</v>
      </c>
      <c r="C576" s="5" t="n">
        <v>46276</v>
      </c>
      <c r="D576" s="6" t="s">
        <v>44</v>
      </c>
      <c r="E576" s="6" t="s">
        <v>75</v>
      </c>
      <c r="F576" s="6" t="s">
        <v>84</v>
      </c>
      <c r="G576" s="6" t="s">
        <v>57</v>
      </c>
      <c r="H576" s="6" t="s">
        <v>136</v>
      </c>
      <c r="I576" s="1" t="n">
        <v>4</v>
      </c>
      <c r="J576" s="7" t="n">
        <v>16036.15</v>
      </c>
      <c r="K576" s="8" t="n">
        <v>0</v>
      </c>
      <c r="L576" s="7" t="n">
        <v>9243.35</v>
      </c>
      <c r="M576" s="6" t="s">
        <v>49</v>
      </c>
      <c r="N576" s="6" t="s">
        <v>50</v>
      </c>
      <c r="O576" s="6" t="n">
        <f aca="false">IF(TablaVentas[[#This Row],[Precio_unitario]]="","PENDIENTE",TablaVentas[[#This Row],[Unidades]]*TablaVentas[[#This Row],[Precio_unitario]]*(1-TablaVentas[[#This Row],[Descuento_pct]]))</f>
        <v>64144.6</v>
      </c>
      <c r="P576" s="6" t="n">
        <f aca="false">IF(TablaVentas[[#This Row],[Costo_unitario]]="","PENDIENTE",TablaVentas[[#This Row],[Unidades]]*TablaVentas[[#This Row],[Costo_unitario]])</f>
        <v>36973.4</v>
      </c>
      <c r="Q576" s="6" t="n">
        <f aca="false">IF(OR(TablaVentas[[#This Row],[Ingreso_neto]]="PENDIENTE",TablaVentas[[#This Row],[Costo_total]]="PENDIENTE"),"PENDIENTE",TablaVentas[[#This Row],[Ingreso_neto]]-TablaVentas[[#This Row],[Costo_total]])</f>
        <v>27171.2</v>
      </c>
    </row>
    <row r="577" customFormat="false" ht="13.5" hidden="false" customHeight="false" outlineLevel="0" collapsed="false">
      <c r="A577" s="1" t="s">
        <v>573</v>
      </c>
      <c r="B577" s="1" t="n">
        <v>1</v>
      </c>
      <c r="C577" s="5" t="n">
        <v>46086</v>
      </c>
      <c r="D577" s="6" t="s">
        <v>549</v>
      </c>
      <c r="E577" s="6" t="s">
        <v>101</v>
      </c>
      <c r="F577" s="6" t="s">
        <v>84</v>
      </c>
      <c r="G577" s="6" t="s">
        <v>57</v>
      </c>
      <c r="H577" s="6" t="s">
        <v>136</v>
      </c>
      <c r="I577" s="1" t="n">
        <v>2</v>
      </c>
      <c r="J577" s="7" t="n">
        <v>7338.12</v>
      </c>
      <c r="K577" s="8" t="n">
        <v>0.15</v>
      </c>
      <c r="L577" s="7" t="n">
        <v>4538.06</v>
      </c>
      <c r="M577" s="6" t="s">
        <v>123</v>
      </c>
      <c r="N577" s="6" t="s">
        <v>52</v>
      </c>
      <c r="O577" s="6" t="n">
        <f aca="false">IF(TablaVentas[[#This Row],[Precio_unitario]]="","PENDIENTE",TablaVentas[[#This Row],[Unidades]]*TablaVentas[[#This Row],[Precio_unitario]]*(1-TablaVentas[[#This Row],[Descuento_pct]]))</f>
        <v>12474.804</v>
      </c>
      <c r="P577" s="6" t="n">
        <f aca="false">IF(TablaVentas[[#This Row],[Costo_unitario]]="","PENDIENTE",TablaVentas[[#This Row],[Unidades]]*TablaVentas[[#This Row],[Costo_unitario]])</f>
        <v>9076.12</v>
      </c>
      <c r="Q577" s="6" t="n">
        <f aca="false">IF(OR(TablaVentas[[#This Row],[Ingreso_neto]]="PENDIENTE",TablaVentas[[#This Row],[Costo_total]]="PENDIENTE"),"PENDIENTE",TablaVentas[[#This Row],[Ingreso_neto]]-TablaVentas[[#This Row],[Costo_total]])</f>
        <v>3398.684</v>
      </c>
    </row>
    <row r="578" customFormat="false" ht="13.5" hidden="false" customHeight="false" outlineLevel="0" collapsed="false">
      <c r="A578" s="1" t="s">
        <v>574</v>
      </c>
      <c r="B578" s="1" t="n">
        <v>1</v>
      </c>
      <c r="C578" s="5" t="n">
        <v>46270</v>
      </c>
      <c r="D578" s="6" t="s">
        <v>575</v>
      </c>
      <c r="E578" s="6" t="s">
        <v>167</v>
      </c>
      <c r="F578" s="6" t="s">
        <v>84</v>
      </c>
      <c r="G578" s="6" t="s">
        <v>47</v>
      </c>
      <c r="H578" s="6" t="s">
        <v>136</v>
      </c>
      <c r="I578" s="1" t="n">
        <v>8</v>
      </c>
      <c r="J578" s="7" t="n">
        <v>7323.28</v>
      </c>
      <c r="K578" s="8" t="n">
        <v>0.15</v>
      </c>
      <c r="L578" s="7" t="n">
        <v>4082.15</v>
      </c>
      <c r="M578" s="6" t="s">
        <v>49</v>
      </c>
      <c r="N578" s="6" t="s">
        <v>59</v>
      </c>
      <c r="O578" s="6" t="n">
        <f aca="false">IF(TablaVentas[[#This Row],[Precio_unitario]]="","PENDIENTE",TablaVentas[[#This Row],[Unidades]]*TablaVentas[[#This Row],[Precio_unitario]]*(1-TablaVentas[[#This Row],[Descuento_pct]]))</f>
        <v>49798.304</v>
      </c>
      <c r="P578" s="6" t="n">
        <f aca="false">IF(TablaVentas[[#This Row],[Costo_unitario]]="","PENDIENTE",TablaVentas[[#This Row],[Unidades]]*TablaVentas[[#This Row],[Costo_unitario]])</f>
        <v>32657.2</v>
      </c>
      <c r="Q578" s="6" t="n">
        <f aca="false">IF(OR(TablaVentas[[#This Row],[Ingreso_neto]]="PENDIENTE",TablaVentas[[#This Row],[Costo_total]]="PENDIENTE"),"PENDIENTE",TablaVentas[[#This Row],[Ingreso_neto]]-TablaVentas[[#This Row],[Costo_total]])</f>
        <v>17141.104</v>
      </c>
    </row>
    <row r="579" customFormat="false" ht="13.5" hidden="false" customHeight="false" outlineLevel="0" collapsed="false">
      <c r="A579" s="1" t="s">
        <v>574</v>
      </c>
      <c r="B579" s="1" t="n">
        <v>2</v>
      </c>
      <c r="C579" s="5" t="n">
        <v>46270</v>
      </c>
      <c r="D579" s="6" t="s">
        <v>575</v>
      </c>
      <c r="E579" s="6" t="s">
        <v>182</v>
      </c>
      <c r="F579" s="6" t="s">
        <v>84</v>
      </c>
      <c r="G579" s="6" t="s">
        <v>47</v>
      </c>
      <c r="H579" s="6" t="s">
        <v>136</v>
      </c>
      <c r="I579" s="1" t="n">
        <v>1</v>
      </c>
      <c r="J579" s="7" t="n">
        <v>2761.87</v>
      </c>
      <c r="K579" s="8" t="n">
        <v>0</v>
      </c>
      <c r="L579" s="7" t="n">
        <v>1857.39</v>
      </c>
      <c r="M579" s="6" t="s">
        <v>49</v>
      </c>
      <c r="N579" s="6" t="s">
        <v>67</v>
      </c>
      <c r="O579" s="6" t="n">
        <f aca="false">IF(TablaVentas[[#This Row],[Precio_unitario]]="","PENDIENTE",TablaVentas[[#This Row],[Unidades]]*TablaVentas[[#This Row],[Precio_unitario]]*(1-TablaVentas[[#This Row],[Descuento_pct]]))</f>
        <v>2761.87</v>
      </c>
      <c r="P579" s="6" t="n">
        <f aca="false">IF(TablaVentas[[#This Row],[Costo_unitario]]="","PENDIENTE",TablaVentas[[#This Row],[Unidades]]*TablaVentas[[#This Row],[Costo_unitario]])</f>
        <v>1857.39</v>
      </c>
      <c r="Q579" s="6" t="n">
        <f aca="false">IF(OR(TablaVentas[[#This Row],[Ingreso_neto]]="PENDIENTE",TablaVentas[[#This Row],[Costo_total]]="PENDIENTE"),"PENDIENTE",TablaVentas[[#This Row],[Ingreso_neto]]-TablaVentas[[#This Row],[Costo_total]])</f>
        <v>904.48</v>
      </c>
    </row>
    <row r="580" customFormat="false" ht="13.5" hidden="false" customHeight="false" outlineLevel="0" collapsed="false">
      <c r="A580" s="1" t="s">
        <v>574</v>
      </c>
      <c r="B580" s="1" t="n">
        <v>3</v>
      </c>
      <c r="C580" s="5" t="n">
        <v>46270</v>
      </c>
      <c r="D580" s="6" t="s">
        <v>575</v>
      </c>
      <c r="E580" s="6" t="s">
        <v>179</v>
      </c>
      <c r="F580" s="6" t="s">
        <v>84</v>
      </c>
      <c r="G580" s="6" t="s">
        <v>47</v>
      </c>
      <c r="H580" s="6" t="s">
        <v>136</v>
      </c>
      <c r="I580" s="1" t="n">
        <v>1</v>
      </c>
      <c r="J580" s="7" t="n">
        <v>15151.59</v>
      </c>
      <c r="K580" s="8" t="n">
        <v>0.15</v>
      </c>
      <c r="L580" s="7" t="n">
        <v>10830.17</v>
      </c>
      <c r="M580" s="6" t="s">
        <v>49</v>
      </c>
      <c r="N580" s="6" t="s">
        <v>67</v>
      </c>
      <c r="O580" s="6" t="n">
        <f aca="false">IF(TablaVentas[[#This Row],[Precio_unitario]]="","PENDIENTE",TablaVentas[[#This Row],[Unidades]]*TablaVentas[[#This Row],[Precio_unitario]]*(1-TablaVentas[[#This Row],[Descuento_pct]]))</f>
        <v>12878.8515</v>
      </c>
      <c r="P580" s="6" t="n">
        <f aca="false">IF(TablaVentas[[#This Row],[Costo_unitario]]="","PENDIENTE",TablaVentas[[#This Row],[Unidades]]*TablaVentas[[#This Row],[Costo_unitario]])</f>
        <v>10830.17</v>
      </c>
      <c r="Q580" s="6" t="n">
        <f aca="false">IF(OR(TablaVentas[[#This Row],[Ingreso_neto]]="PENDIENTE",TablaVentas[[#This Row],[Costo_total]]="PENDIENTE"),"PENDIENTE",TablaVentas[[#This Row],[Ingreso_neto]]-TablaVentas[[#This Row],[Costo_total]])</f>
        <v>2048.6815</v>
      </c>
    </row>
    <row r="581" customFormat="false" ht="13.5" hidden="false" customHeight="false" outlineLevel="0" collapsed="false">
      <c r="A581" s="1" t="s">
        <v>574</v>
      </c>
      <c r="B581" s="1" t="n">
        <v>4</v>
      </c>
      <c r="C581" s="5" t="n">
        <v>46270</v>
      </c>
      <c r="D581" s="6" t="s">
        <v>575</v>
      </c>
      <c r="E581" s="6" t="s">
        <v>360</v>
      </c>
      <c r="F581" s="6" t="s">
        <v>84</v>
      </c>
      <c r="G581" s="6" t="s">
        <v>47</v>
      </c>
      <c r="H581" s="6" t="s">
        <v>136</v>
      </c>
      <c r="I581" s="1" t="n">
        <v>2</v>
      </c>
      <c r="J581" s="7" t="n">
        <v>1967.33</v>
      </c>
      <c r="K581" s="8" t="n">
        <v>0.2</v>
      </c>
      <c r="L581" s="7" t="n">
        <v>1479.71</v>
      </c>
      <c r="M581" s="6" t="s">
        <v>123</v>
      </c>
      <c r="N581" s="6" t="s">
        <v>67</v>
      </c>
      <c r="O581" s="6" t="n">
        <f aca="false">IF(TablaVentas[[#This Row],[Precio_unitario]]="","PENDIENTE",TablaVentas[[#This Row],[Unidades]]*TablaVentas[[#This Row],[Precio_unitario]]*(1-TablaVentas[[#This Row],[Descuento_pct]]))</f>
        <v>3147.728</v>
      </c>
      <c r="P581" s="6" t="n">
        <f aca="false">IF(TablaVentas[[#This Row],[Costo_unitario]]="","PENDIENTE",TablaVentas[[#This Row],[Unidades]]*TablaVentas[[#This Row],[Costo_unitario]])</f>
        <v>2959.42</v>
      </c>
      <c r="Q581" s="6" t="n">
        <f aca="false">IF(OR(TablaVentas[[#This Row],[Ingreso_neto]]="PENDIENTE",TablaVentas[[#This Row],[Costo_total]]="PENDIENTE"),"PENDIENTE",TablaVentas[[#This Row],[Ingreso_neto]]-TablaVentas[[#This Row],[Costo_total]])</f>
        <v>188.308</v>
      </c>
    </row>
    <row r="582" customFormat="false" ht="13.5" hidden="false" customHeight="false" outlineLevel="0" collapsed="false">
      <c r="A582" s="1" t="s">
        <v>576</v>
      </c>
      <c r="B582" s="1" t="n">
        <v>1</v>
      </c>
      <c r="C582" s="5" t="n">
        <v>46161</v>
      </c>
      <c r="D582" s="6" t="s">
        <v>577</v>
      </c>
      <c r="E582" s="6" t="s">
        <v>90</v>
      </c>
      <c r="F582" s="6" t="s">
        <v>63</v>
      </c>
      <c r="G582" s="6" t="s">
        <v>47</v>
      </c>
      <c r="H582" s="6" t="s">
        <v>109</v>
      </c>
      <c r="I582" s="1" t="n">
        <v>1</v>
      </c>
      <c r="J582" s="7" t="n">
        <v>15234.26</v>
      </c>
      <c r="K582" s="8" t="n">
        <v>0</v>
      </c>
      <c r="L582" s="7" t="n">
        <v>12723.77</v>
      </c>
      <c r="M582" s="6" t="s">
        <v>49</v>
      </c>
      <c r="N582" s="6" t="s">
        <v>50</v>
      </c>
      <c r="O582" s="6" t="n">
        <f aca="false">IF(TablaVentas[[#This Row],[Precio_unitario]]="","PENDIENTE",TablaVentas[[#This Row],[Unidades]]*TablaVentas[[#This Row],[Precio_unitario]]*(1-TablaVentas[[#This Row],[Descuento_pct]]))</f>
        <v>15234.26</v>
      </c>
      <c r="P582" s="6" t="n">
        <f aca="false">IF(TablaVentas[[#This Row],[Costo_unitario]]="","PENDIENTE",TablaVentas[[#This Row],[Unidades]]*TablaVentas[[#This Row],[Costo_unitario]])</f>
        <v>12723.77</v>
      </c>
      <c r="Q582" s="6" t="n">
        <f aca="false">IF(OR(TablaVentas[[#This Row],[Ingreso_neto]]="PENDIENTE",TablaVentas[[#This Row],[Costo_total]]="PENDIENTE"),"PENDIENTE",TablaVentas[[#This Row],[Ingreso_neto]]-TablaVentas[[#This Row],[Costo_total]])</f>
        <v>2510.49</v>
      </c>
    </row>
    <row r="583" customFormat="false" ht="13.5" hidden="false" customHeight="false" outlineLevel="0" collapsed="false">
      <c r="A583" s="1" t="s">
        <v>576</v>
      </c>
      <c r="B583" s="1" t="n">
        <v>2</v>
      </c>
      <c r="C583" s="5" t="n">
        <v>46161</v>
      </c>
      <c r="D583" s="6" t="s">
        <v>577</v>
      </c>
      <c r="E583" s="6" t="s">
        <v>96</v>
      </c>
      <c r="F583" s="6" t="s">
        <v>63</v>
      </c>
      <c r="G583" s="6" t="s">
        <v>47</v>
      </c>
      <c r="H583" s="6" t="s">
        <v>109</v>
      </c>
      <c r="I583" s="1" t="n">
        <v>1</v>
      </c>
      <c r="J583" s="7" t="n">
        <v>12041.56</v>
      </c>
      <c r="K583" s="8" t="n">
        <v>0</v>
      </c>
      <c r="L583" s="7" t="n">
        <v>9118.07</v>
      </c>
      <c r="M583" s="6" t="s">
        <v>49</v>
      </c>
      <c r="N583" s="6" t="s">
        <v>67</v>
      </c>
      <c r="O583" s="6" t="n">
        <f aca="false">IF(TablaVentas[[#This Row],[Precio_unitario]]="","PENDIENTE",TablaVentas[[#This Row],[Unidades]]*TablaVentas[[#This Row],[Precio_unitario]]*(1-TablaVentas[[#This Row],[Descuento_pct]]))</f>
        <v>12041.56</v>
      </c>
      <c r="P583" s="6" t="n">
        <f aca="false">IF(TablaVentas[[#This Row],[Costo_unitario]]="","PENDIENTE",TablaVentas[[#This Row],[Unidades]]*TablaVentas[[#This Row],[Costo_unitario]])</f>
        <v>9118.07</v>
      </c>
      <c r="Q583" s="6" t="n">
        <f aca="false">IF(OR(TablaVentas[[#This Row],[Ingreso_neto]]="PENDIENTE",TablaVentas[[#This Row],[Costo_total]]="PENDIENTE"),"PENDIENTE",TablaVentas[[#This Row],[Ingreso_neto]]-TablaVentas[[#This Row],[Costo_total]])</f>
        <v>2923.49</v>
      </c>
    </row>
    <row r="584" customFormat="false" ht="13.5" hidden="false" customHeight="false" outlineLevel="0" collapsed="false">
      <c r="A584" s="1" t="s">
        <v>576</v>
      </c>
      <c r="B584" s="1" t="n">
        <v>3</v>
      </c>
      <c r="C584" s="5" t="n">
        <v>46161</v>
      </c>
      <c r="D584" s="6" t="s">
        <v>577</v>
      </c>
      <c r="E584" s="6" t="s">
        <v>45</v>
      </c>
      <c r="F584" s="6" t="s">
        <v>63</v>
      </c>
      <c r="G584" s="6" t="s">
        <v>47</v>
      </c>
      <c r="H584" s="6" t="s">
        <v>109</v>
      </c>
      <c r="I584" s="1" t="n">
        <v>3</v>
      </c>
      <c r="J584" s="7" t="n">
        <v>5882.22</v>
      </c>
      <c r="K584" s="8" t="n">
        <v>0.15</v>
      </c>
      <c r="L584" s="7" t="n">
        <v>3832.69</v>
      </c>
      <c r="M584" s="6" t="s">
        <v>49</v>
      </c>
      <c r="N584" s="6" t="s">
        <v>50</v>
      </c>
      <c r="O584" s="6" t="n">
        <f aca="false">IF(TablaVentas[[#This Row],[Precio_unitario]]="","PENDIENTE",TablaVentas[[#This Row],[Unidades]]*TablaVentas[[#This Row],[Precio_unitario]]*(1-TablaVentas[[#This Row],[Descuento_pct]]))</f>
        <v>14999.661</v>
      </c>
      <c r="P584" s="6" t="n">
        <f aca="false">IF(TablaVentas[[#This Row],[Costo_unitario]]="","PENDIENTE",TablaVentas[[#This Row],[Unidades]]*TablaVentas[[#This Row],[Costo_unitario]])</f>
        <v>11498.07</v>
      </c>
      <c r="Q584" s="6" t="n">
        <f aca="false">IF(OR(TablaVentas[[#This Row],[Ingreso_neto]]="PENDIENTE",TablaVentas[[#This Row],[Costo_total]]="PENDIENTE"),"PENDIENTE",TablaVentas[[#This Row],[Ingreso_neto]]-TablaVentas[[#This Row],[Costo_total]])</f>
        <v>3501.591</v>
      </c>
    </row>
    <row r="585" customFormat="false" ht="13.5" hidden="false" customHeight="false" outlineLevel="0" collapsed="false">
      <c r="A585" s="1" t="s">
        <v>578</v>
      </c>
      <c r="B585" s="1" t="n">
        <v>1</v>
      </c>
      <c r="C585" s="5" t="n">
        <v>46044</v>
      </c>
      <c r="D585" s="6" t="s">
        <v>579</v>
      </c>
      <c r="E585" s="6" t="s">
        <v>182</v>
      </c>
      <c r="F585" s="6" t="s">
        <v>63</v>
      </c>
      <c r="G585" s="6" t="s">
        <v>57</v>
      </c>
      <c r="H585" s="6" t="s">
        <v>89</v>
      </c>
      <c r="I585" s="1" t="n">
        <v>5</v>
      </c>
      <c r="J585" s="7" t="n">
        <v>2484.17</v>
      </c>
      <c r="K585" s="8" t="n">
        <v>0.1</v>
      </c>
      <c r="L585" s="7" t="n">
        <v>1857.39</v>
      </c>
      <c r="M585" s="6" t="s">
        <v>49</v>
      </c>
      <c r="N585" s="6" t="s">
        <v>50</v>
      </c>
      <c r="O585" s="6" t="n">
        <f aca="false">IF(TablaVentas[[#This Row],[Precio_unitario]]="","PENDIENTE",TablaVentas[[#This Row],[Unidades]]*TablaVentas[[#This Row],[Precio_unitario]]*(1-TablaVentas[[#This Row],[Descuento_pct]]))</f>
        <v>11178.765</v>
      </c>
      <c r="P585" s="6" t="n">
        <f aca="false">IF(TablaVentas[[#This Row],[Costo_unitario]]="","PENDIENTE",TablaVentas[[#This Row],[Unidades]]*TablaVentas[[#This Row],[Costo_unitario]])</f>
        <v>9286.95</v>
      </c>
      <c r="Q585" s="6" t="n">
        <f aca="false">IF(OR(TablaVentas[[#This Row],[Ingreso_neto]]="PENDIENTE",TablaVentas[[#This Row],[Costo_total]]="PENDIENTE"),"PENDIENTE",TablaVentas[[#This Row],[Ingreso_neto]]-TablaVentas[[#This Row],[Costo_total]])</f>
        <v>1891.815</v>
      </c>
    </row>
    <row r="586" customFormat="false" ht="13.5" hidden="false" customHeight="false" outlineLevel="0" collapsed="false">
      <c r="A586" s="1" t="s">
        <v>578</v>
      </c>
      <c r="B586" s="1" t="n">
        <v>2</v>
      </c>
      <c r="C586" s="5" t="n">
        <v>46044</v>
      </c>
      <c r="D586" s="6" t="s">
        <v>579</v>
      </c>
      <c r="E586" s="6" t="s">
        <v>179</v>
      </c>
      <c r="F586" s="6" t="s">
        <v>63</v>
      </c>
      <c r="G586" s="6" t="s">
        <v>57</v>
      </c>
      <c r="H586" s="6" t="s">
        <v>89</v>
      </c>
      <c r="I586" s="1" t="n">
        <v>1</v>
      </c>
      <c r="J586" s="7" t="n">
        <v>14954.99</v>
      </c>
      <c r="K586" s="8" t="n">
        <v>0.2</v>
      </c>
      <c r="L586" s="7" t="n">
        <v>10830.17</v>
      </c>
      <c r="M586" s="6" t="s">
        <v>49</v>
      </c>
      <c r="N586" s="6" t="s">
        <v>52</v>
      </c>
      <c r="O586" s="6" t="n">
        <f aca="false">IF(TablaVentas[[#This Row],[Precio_unitario]]="","PENDIENTE",TablaVentas[[#This Row],[Unidades]]*TablaVentas[[#This Row],[Precio_unitario]]*(1-TablaVentas[[#This Row],[Descuento_pct]]))</f>
        <v>11963.992</v>
      </c>
      <c r="P586" s="6" t="n">
        <f aca="false">IF(TablaVentas[[#This Row],[Costo_unitario]]="","PENDIENTE",TablaVentas[[#This Row],[Unidades]]*TablaVentas[[#This Row],[Costo_unitario]])</f>
        <v>10830.17</v>
      </c>
      <c r="Q586" s="6" t="n">
        <f aca="false">IF(OR(TablaVentas[[#This Row],[Ingreso_neto]]="PENDIENTE",TablaVentas[[#This Row],[Costo_total]]="PENDIENTE"),"PENDIENTE",TablaVentas[[#This Row],[Ingreso_neto]]-TablaVentas[[#This Row],[Costo_total]])</f>
        <v>1133.822</v>
      </c>
    </row>
    <row r="587" customFormat="false" ht="13.5" hidden="false" customHeight="false" outlineLevel="0" collapsed="false">
      <c r="A587" s="1" t="s">
        <v>578</v>
      </c>
      <c r="B587" s="1" t="n">
        <v>3</v>
      </c>
      <c r="C587" s="5" t="n">
        <v>46044</v>
      </c>
      <c r="D587" s="6" t="s">
        <v>579</v>
      </c>
      <c r="E587" s="6" t="s">
        <v>374</v>
      </c>
      <c r="F587" s="6" t="s">
        <v>63</v>
      </c>
      <c r="G587" s="6" t="s">
        <v>57</v>
      </c>
      <c r="H587" s="6" t="s">
        <v>89</v>
      </c>
      <c r="I587" s="1" t="n">
        <v>3</v>
      </c>
      <c r="J587" s="7" t="n">
        <v>10114.59</v>
      </c>
      <c r="K587" s="8" t="n">
        <v>0.15</v>
      </c>
      <c r="L587" s="7" t="n">
        <v>5079.43</v>
      </c>
      <c r="M587" s="6" t="s">
        <v>49</v>
      </c>
      <c r="N587" s="6" t="s">
        <v>52</v>
      </c>
      <c r="O587" s="6" t="n">
        <f aca="false">IF(TablaVentas[[#This Row],[Precio_unitario]]="","PENDIENTE",TablaVentas[[#This Row],[Unidades]]*TablaVentas[[#This Row],[Precio_unitario]]*(1-TablaVentas[[#This Row],[Descuento_pct]]))</f>
        <v>25792.2045</v>
      </c>
      <c r="P587" s="6" t="n">
        <f aca="false">IF(TablaVentas[[#This Row],[Costo_unitario]]="","PENDIENTE",TablaVentas[[#This Row],[Unidades]]*TablaVentas[[#This Row],[Costo_unitario]])</f>
        <v>15238.29</v>
      </c>
      <c r="Q587" s="6" t="n">
        <f aca="false">IF(OR(TablaVentas[[#This Row],[Ingreso_neto]]="PENDIENTE",TablaVentas[[#This Row],[Costo_total]]="PENDIENTE"),"PENDIENTE",TablaVentas[[#This Row],[Ingreso_neto]]-TablaVentas[[#This Row],[Costo_total]])</f>
        <v>10553.9145</v>
      </c>
    </row>
    <row r="588" customFormat="false" ht="13.5" hidden="false" customHeight="false" outlineLevel="0" collapsed="false">
      <c r="A588" s="1" t="s">
        <v>578</v>
      </c>
      <c r="B588" s="1" t="n">
        <v>4</v>
      </c>
      <c r="C588" s="5" t="n">
        <v>46044</v>
      </c>
      <c r="D588" s="6" t="s">
        <v>579</v>
      </c>
      <c r="E588" s="6" t="s">
        <v>140</v>
      </c>
      <c r="F588" s="6" t="s">
        <v>63</v>
      </c>
      <c r="G588" s="6" t="s">
        <v>57</v>
      </c>
      <c r="H588" s="6" t="s">
        <v>89</v>
      </c>
      <c r="I588" s="1" t="n">
        <v>2</v>
      </c>
      <c r="J588" s="7" t="n">
        <v>8046.09</v>
      </c>
      <c r="K588" s="8" t="n">
        <v>0.05</v>
      </c>
      <c r="L588" s="7" t="n">
        <v>4061.34</v>
      </c>
      <c r="M588" s="6" t="s">
        <v>49</v>
      </c>
      <c r="N588" s="6" t="s">
        <v>59</v>
      </c>
      <c r="O588" s="6" t="n">
        <f aca="false">IF(TablaVentas[[#This Row],[Precio_unitario]]="","PENDIENTE",TablaVentas[[#This Row],[Unidades]]*TablaVentas[[#This Row],[Precio_unitario]]*(1-TablaVentas[[#This Row],[Descuento_pct]]))</f>
        <v>15287.571</v>
      </c>
      <c r="P588" s="6" t="n">
        <f aca="false">IF(TablaVentas[[#This Row],[Costo_unitario]]="","PENDIENTE",TablaVentas[[#This Row],[Unidades]]*TablaVentas[[#This Row],[Costo_unitario]])</f>
        <v>8122.68</v>
      </c>
      <c r="Q588" s="6" t="n">
        <f aca="false">IF(OR(TablaVentas[[#This Row],[Ingreso_neto]]="PENDIENTE",TablaVentas[[#This Row],[Costo_total]]="PENDIENTE"),"PENDIENTE",TablaVentas[[#This Row],[Ingreso_neto]]-TablaVentas[[#This Row],[Costo_total]])</f>
        <v>7164.891</v>
      </c>
    </row>
    <row r="589" customFormat="false" ht="13.5" hidden="false" customHeight="false" outlineLevel="0" collapsed="false">
      <c r="A589" s="1" t="s">
        <v>580</v>
      </c>
      <c r="B589" s="1" t="n">
        <v>1</v>
      </c>
      <c r="C589" s="5" t="n">
        <v>46238</v>
      </c>
      <c r="D589" s="6" t="s">
        <v>581</v>
      </c>
      <c r="E589" s="6" t="s">
        <v>224</v>
      </c>
      <c r="F589" s="6" t="s">
        <v>84</v>
      </c>
      <c r="G589" s="6" t="s">
        <v>64</v>
      </c>
      <c r="H589" s="6" t="s">
        <v>58</v>
      </c>
      <c r="I589" s="1" t="n">
        <v>1</v>
      </c>
      <c r="J589" s="7" t="n">
        <v>16443.08</v>
      </c>
      <c r="K589" s="8" t="n">
        <v>0</v>
      </c>
      <c r="L589" s="7" t="n">
        <v>14161.63</v>
      </c>
      <c r="M589" s="6" t="s">
        <v>49</v>
      </c>
      <c r="N589" s="6" t="s">
        <v>50</v>
      </c>
      <c r="O589" s="6" t="n">
        <f aca="false">IF(TablaVentas[[#This Row],[Precio_unitario]]="","PENDIENTE",TablaVentas[[#This Row],[Unidades]]*TablaVentas[[#This Row],[Precio_unitario]]*(1-TablaVentas[[#This Row],[Descuento_pct]]))</f>
        <v>16443.08</v>
      </c>
      <c r="P589" s="6" t="n">
        <f aca="false">IF(TablaVentas[[#This Row],[Costo_unitario]]="","PENDIENTE",TablaVentas[[#This Row],[Unidades]]*TablaVentas[[#This Row],[Costo_unitario]])</f>
        <v>14161.63</v>
      </c>
      <c r="Q589" s="6" t="n">
        <f aca="false">IF(OR(TablaVentas[[#This Row],[Ingreso_neto]]="PENDIENTE",TablaVentas[[#This Row],[Costo_total]]="PENDIENTE"),"PENDIENTE",TablaVentas[[#This Row],[Ingreso_neto]]-TablaVentas[[#This Row],[Costo_total]])</f>
        <v>2281.45</v>
      </c>
    </row>
    <row r="590" customFormat="false" ht="13.5" hidden="false" customHeight="false" outlineLevel="0" collapsed="false">
      <c r="A590" s="1" t="s">
        <v>582</v>
      </c>
      <c r="B590" s="1" t="n">
        <v>1</v>
      </c>
      <c r="C590" s="5" t="n">
        <v>46138</v>
      </c>
      <c r="D590" s="6" t="s">
        <v>309</v>
      </c>
      <c r="E590" s="6" t="s">
        <v>284</v>
      </c>
      <c r="F590" s="6" t="s">
        <v>73</v>
      </c>
      <c r="G590" s="6" t="s">
        <v>57</v>
      </c>
      <c r="H590" s="6" t="s">
        <v>80</v>
      </c>
      <c r="I590" s="1" t="n">
        <v>8</v>
      </c>
      <c r="J590" s="7" t="n">
        <v>6727.62</v>
      </c>
      <c r="K590" s="8" t="n">
        <v>0</v>
      </c>
      <c r="L590" s="7" t="n">
        <v>4858.08</v>
      </c>
      <c r="M590" s="6" t="s">
        <v>49</v>
      </c>
      <c r="N590" s="6" t="s">
        <v>59</v>
      </c>
      <c r="O590" s="6" t="n">
        <f aca="false">IF(TablaVentas[[#This Row],[Precio_unitario]]="","PENDIENTE",TablaVentas[[#This Row],[Unidades]]*TablaVentas[[#This Row],[Precio_unitario]]*(1-TablaVentas[[#This Row],[Descuento_pct]]))</f>
        <v>53820.96</v>
      </c>
      <c r="P590" s="6" t="n">
        <f aca="false">IF(TablaVentas[[#This Row],[Costo_unitario]]="","PENDIENTE",TablaVentas[[#This Row],[Unidades]]*TablaVentas[[#This Row],[Costo_unitario]])</f>
        <v>38864.64</v>
      </c>
      <c r="Q590" s="6" t="n">
        <f aca="false">IF(OR(TablaVentas[[#This Row],[Ingreso_neto]]="PENDIENTE",TablaVentas[[#This Row],[Costo_total]]="PENDIENTE"),"PENDIENTE",TablaVentas[[#This Row],[Ingreso_neto]]-TablaVentas[[#This Row],[Costo_total]])</f>
        <v>14956.32</v>
      </c>
    </row>
    <row r="591" customFormat="false" ht="13.5" hidden="false" customHeight="false" outlineLevel="0" collapsed="false">
      <c r="A591" s="1" t="s">
        <v>582</v>
      </c>
      <c r="B591" s="1" t="n">
        <v>2</v>
      </c>
      <c r="C591" s="5" t="n">
        <v>46138</v>
      </c>
      <c r="D591" s="6" t="s">
        <v>309</v>
      </c>
      <c r="E591" s="6" t="s">
        <v>289</v>
      </c>
      <c r="F591" s="6" t="s">
        <v>73</v>
      </c>
      <c r="G591" s="6" t="s">
        <v>57</v>
      </c>
      <c r="H591" s="6" t="s">
        <v>80</v>
      </c>
      <c r="I591" s="1" t="n">
        <v>1</v>
      </c>
      <c r="J591" s="7" t="n">
        <v>4489.14</v>
      </c>
      <c r="K591" s="8" t="n">
        <v>0.15</v>
      </c>
      <c r="L591" s="7" t="n">
        <v>3399.5</v>
      </c>
      <c r="M591" s="6" t="s">
        <v>49</v>
      </c>
      <c r="N591" s="6" t="s">
        <v>67</v>
      </c>
      <c r="O591" s="6" t="n">
        <f aca="false">IF(TablaVentas[[#This Row],[Precio_unitario]]="","PENDIENTE",TablaVentas[[#This Row],[Unidades]]*TablaVentas[[#This Row],[Precio_unitario]]*(1-TablaVentas[[#This Row],[Descuento_pct]]))</f>
        <v>3815.769</v>
      </c>
      <c r="P591" s="6" t="n">
        <f aca="false">IF(TablaVentas[[#This Row],[Costo_unitario]]="","PENDIENTE",TablaVentas[[#This Row],[Unidades]]*TablaVentas[[#This Row],[Costo_unitario]])</f>
        <v>3399.5</v>
      </c>
      <c r="Q591" s="6" t="n">
        <f aca="false">IF(OR(TablaVentas[[#This Row],[Ingreso_neto]]="PENDIENTE",TablaVentas[[#This Row],[Costo_total]]="PENDIENTE"),"PENDIENTE",TablaVentas[[#This Row],[Ingreso_neto]]-TablaVentas[[#This Row],[Costo_total]])</f>
        <v>416.269</v>
      </c>
    </row>
    <row r="592" customFormat="false" ht="13.5" hidden="false" customHeight="false" outlineLevel="0" collapsed="false">
      <c r="A592" s="1" t="s">
        <v>583</v>
      </c>
      <c r="B592" s="1" t="n">
        <v>1</v>
      </c>
      <c r="C592" s="5" t="n">
        <v>46147</v>
      </c>
      <c r="D592" s="6" t="s">
        <v>87</v>
      </c>
      <c r="E592" s="6" t="s">
        <v>252</v>
      </c>
      <c r="F592" s="6" t="s">
        <v>84</v>
      </c>
      <c r="G592" s="6" t="s">
        <v>57</v>
      </c>
      <c r="H592" s="6" t="s">
        <v>191</v>
      </c>
      <c r="I592" s="1" t="n">
        <v>12</v>
      </c>
      <c r="J592" s="7" t="n">
        <v>17493.53</v>
      </c>
      <c r="K592" s="8" t="n">
        <v>0.2</v>
      </c>
      <c r="L592" s="7" t="n">
        <v>10507.24</v>
      </c>
      <c r="M592" s="6" t="s">
        <v>49</v>
      </c>
      <c r="N592" s="6" t="s">
        <v>67</v>
      </c>
      <c r="O592" s="6" t="n">
        <f aca="false">IF(TablaVentas[[#This Row],[Precio_unitario]]="","PENDIENTE",TablaVentas[[#This Row],[Unidades]]*TablaVentas[[#This Row],[Precio_unitario]]*(1-TablaVentas[[#This Row],[Descuento_pct]]))</f>
        <v>167937.888</v>
      </c>
      <c r="P592" s="6" t="n">
        <f aca="false">IF(TablaVentas[[#This Row],[Costo_unitario]]="","PENDIENTE",TablaVentas[[#This Row],[Unidades]]*TablaVentas[[#This Row],[Costo_unitario]])</f>
        <v>126086.88</v>
      </c>
      <c r="Q592" s="6" t="n">
        <f aca="false">IF(OR(TablaVentas[[#This Row],[Ingreso_neto]]="PENDIENTE",TablaVentas[[#This Row],[Costo_total]]="PENDIENTE"),"PENDIENTE",TablaVentas[[#This Row],[Ingreso_neto]]-TablaVentas[[#This Row],[Costo_total]])</f>
        <v>41851.008</v>
      </c>
    </row>
    <row r="593" customFormat="false" ht="13.5" hidden="false" customHeight="false" outlineLevel="0" collapsed="false">
      <c r="A593" s="1" t="s">
        <v>583</v>
      </c>
      <c r="B593" s="1" t="n">
        <v>2</v>
      </c>
      <c r="C593" s="5" t="n">
        <v>46147</v>
      </c>
      <c r="D593" s="6" t="s">
        <v>87</v>
      </c>
      <c r="E593" s="6" t="s">
        <v>75</v>
      </c>
      <c r="F593" s="6" t="s">
        <v>84</v>
      </c>
      <c r="G593" s="6" t="s">
        <v>57</v>
      </c>
      <c r="H593" s="6" t="s">
        <v>191</v>
      </c>
      <c r="I593" s="1" t="n">
        <v>1</v>
      </c>
      <c r="J593" s="7" t="n">
        <v>16235.6</v>
      </c>
      <c r="K593" s="8" t="n">
        <v>0.2</v>
      </c>
      <c r="L593" s="7" t="n">
        <v>9243.35</v>
      </c>
      <c r="M593" s="6" t="s">
        <v>49</v>
      </c>
      <c r="N593" s="6" t="s">
        <v>67</v>
      </c>
      <c r="O593" s="6" t="n">
        <f aca="false">IF(TablaVentas[[#This Row],[Precio_unitario]]="","PENDIENTE",TablaVentas[[#This Row],[Unidades]]*TablaVentas[[#This Row],[Precio_unitario]]*(1-TablaVentas[[#This Row],[Descuento_pct]]))</f>
        <v>12988.48</v>
      </c>
      <c r="P593" s="6" t="n">
        <f aca="false">IF(TablaVentas[[#This Row],[Costo_unitario]]="","PENDIENTE",TablaVentas[[#This Row],[Unidades]]*TablaVentas[[#This Row],[Costo_unitario]])</f>
        <v>9243.35</v>
      </c>
      <c r="Q593" s="6" t="n">
        <f aca="false">IF(OR(TablaVentas[[#This Row],[Ingreso_neto]]="PENDIENTE",TablaVentas[[#This Row],[Costo_total]]="PENDIENTE"),"PENDIENTE",TablaVentas[[#This Row],[Ingreso_neto]]-TablaVentas[[#This Row],[Costo_total]])</f>
        <v>3745.13</v>
      </c>
    </row>
    <row r="594" customFormat="false" ht="13.5" hidden="false" customHeight="false" outlineLevel="0" collapsed="false">
      <c r="A594" s="1" t="s">
        <v>583</v>
      </c>
      <c r="B594" s="1" t="n">
        <v>3</v>
      </c>
      <c r="C594" s="5" t="n">
        <v>46147</v>
      </c>
      <c r="D594" s="6" t="s">
        <v>87</v>
      </c>
      <c r="E594" s="6" t="s">
        <v>110</v>
      </c>
      <c r="F594" s="6" t="s">
        <v>84</v>
      </c>
      <c r="G594" s="6" t="s">
        <v>57</v>
      </c>
      <c r="H594" s="6" t="s">
        <v>191</v>
      </c>
      <c r="I594" s="1" t="n">
        <v>2</v>
      </c>
      <c r="J594" s="7" t="n">
        <v>12148.38</v>
      </c>
      <c r="K594" s="8" t="n">
        <v>0</v>
      </c>
      <c r="L594" s="7" t="n">
        <v>7549.71</v>
      </c>
      <c r="M594" s="6" t="s">
        <v>69</v>
      </c>
      <c r="N594" s="6" t="s">
        <v>67</v>
      </c>
      <c r="O594" s="6" t="n">
        <f aca="false">IF(TablaVentas[[#This Row],[Precio_unitario]]="","PENDIENTE",TablaVentas[[#This Row],[Unidades]]*TablaVentas[[#This Row],[Precio_unitario]]*(1-TablaVentas[[#This Row],[Descuento_pct]]))</f>
        <v>24296.76</v>
      </c>
      <c r="P594" s="6" t="n">
        <f aca="false">IF(TablaVentas[[#This Row],[Costo_unitario]]="","PENDIENTE",TablaVentas[[#This Row],[Unidades]]*TablaVentas[[#This Row],[Costo_unitario]])</f>
        <v>15099.42</v>
      </c>
      <c r="Q594" s="6" t="n">
        <f aca="false">IF(OR(TablaVentas[[#This Row],[Ingreso_neto]]="PENDIENTE",TablaVentas[[#This Row],[Costo_total]]="PENDIENTE"),"PENDIENTE",TablaVentas[[#This Row],[Ingreso_neto]]-TablaVentas[[#This Row],[Costo_total]])</f>
        <v>9197.34</v>
      </c>
    </row>
    <row r="595" customFormat="false" ht="13.5" hidden="false" customHeight="false" outlineLevel="0" collapsed="false">
      <c r="A595" s="1" t="s">
        <v>583</v>
      </c>
      <c r="B595" s="1" t="n">
        <v>4</v>
      </c>
      <c r="C595" s="5" t="n">
        <v>46147</v>
      </c>
      <c r="D595" s="6" t="s">
        <v>87</v>
      </c>
      <c r="E595" s="6" t="s">
        <v>162</v>
      </c>
      <c r="F595" s="6" t="s">
        <v>84</v>
      </c>
      <c r="G595" s="6" t="s">
        <v>57</v>
      </c>
      <c r="H595" s="6" t="s">
        <v>191</v>
      </c>
      <c r="I595" s="1" t="n">
        <v>1</v>
      </c>
      <c r="J595" s="7" t="n">
        <v>754.98</v>
      </c>
      <c r="K595" s="8" t="n">
        <v>0.2</v>
      </c>
      <c r="L595" s="7" t="n">
        <v>397.1</v>
      </c>
      <c r="M595" s="6" t="s">
        <v>49</v>
      </c>
      <c r="N595" s="6" t="s">
        <v>52</v>
      </c>
      <c r="O595" s="6" t="n">
        <f aca="false">IF(TablaVentas[[#This Row],[Precio_unitario]]="","PENDIENTE",TablaVentas[[#This Row],[Unidades]]*TablaVentas[[#This Row],[Precio_unitario]]*(1-TablaVentas[[#This Row],[Descuento_pct]]))</f>
        <v>603.984</v>
      </c>
      <c r="P595" s="6" t="n">
        <f aca="false">IF(TablaVentas[[#This Row],[Costo_unitario]]="","PENDIENTE",TablaVentas[[#This Row],[Unidades]]*TablaVentas[[#This Row],[Costo_unitario]])</f>
        <v>397.1</v>
      </c>
      <c r="Q595" s="6" t="n">
        <f aca="false">IF(OR(TablaVentas[[#This Row],[Ingreso_neto]]="PENDIENTE",TablaVentas[[#This Row],[Costo_total]]="PENDIENTE"),"PENDIENTE",TablaVentas[[#This Row],[Ingreso_neto]]-TablaVentas[[#This Row],[Costo_total]])</f>
        <v>206.884</v>
      </c>
    </row>
    <row r="596" customFormat="false" ht="13.5" hidden="false" customHeight="false" outlineLevel="0" collapsed="false">
      <c r="A596" s="1" t="s">
        <v>583</v>
      </c>
      <c r="B596" s="1" t="n">
        <v>5</v>
      </c>
      <c r="C596" s="5" t="n">
        <v>46147</v>
      </c>
      <c r="D596" s="6" t="s">
        <v>87</v>
      </c>
      <c r="E596" s="6" t="s">
        <v>279</v>
      </c>
      <c r="F596" s="6" t="s">
        <v>84</v>
      </c>
      <c r="G596" s="6" t="s">
        <v>57</v>
      </c>
      <c r="H596" s="6" t="s">
        <v>191</v>
      </c>
      <c r="I596" s="1" t="n">
        <v>2</v>
      </c>
      <c r="J596" s="7" t="n">
        <v>607.65</v>
      </c>
      <c r="K596" s="8" t="n">
        <v>0</v>
      </c>
      <c r="L596" s="7" t="n">
        <v>443</v>
      </c>
      <c r="M596" s="6" t="s">
        <v>49</v>
      </c>
      <c r="N596" s="6" t="s">
        <v>67</v>
      </c>
      <c r="O596" s="6" t="n">
        <f aca="false">IF(TablaVentas[[#This Row],[Precio_unitario]]="","PENDIENTE",TablaVentas[[#This Row],[Unidades]]*TablaVentas[[#This Row],[Precio_unitario]]*(1-TablaVentas[[#This Row],[Descuento_pct]]))</f>
        <v>1215.3</v>
      </c>
      <c r="P596" s="6" t="n">
        <f aca="false">IF(TablaVentas[[#This Row],[Costo_unitario]]="","PENDIENTE",TablaVentas[[#This Row],[Unidades]]*TablaVentas[[#This Row],[Costo_unitario]])</f>
        <v>886</v>
      </c>
      <c r="Q596" s="6" t="n">
        <f aca="false">IF(OR(TablaVentas[[#This Row],[Ingreso_neto]]="PENDIENTE",TablaVentas[[#This Row],[Costo_total]]="PENDIENTE"),"PENDIENTE",TablaVentas[[#This Row],[Ingreso_neto]]-TablaVentas[[#This Row],[Costo_total]])</f>
        <v>329.3</v>
      </c>
    </row>
    <row r="597" customFormat="false" ht="13.5" hidden="false" customHeight="false" outlineLevel="0" collapsed="false">
      <c r="A597" s="1" t="s">
        <v>584</v>
      </c>
      <c r="B597" s="1" t="n">
        <v>1</v>
      </c>
      <c r="C597" s="5" t="n">
        <v>46198</v>
      </c>
      <c r="D597" s="6" t="s">
        <v>129</v>
      </c>
      <c r="E597" s="6" t="s">
        <v>234</v>
      </c>
      <c r="F597" s="6" t="s">
        <v>63</v>
      </c>
      <c r="G597" s="6" t="s">
        <v>64</v>
      </c>
      <c r="H597" s="6" t="s">
        <v>131</v>
      </c>
      <c r="I597" s="1" t="n">
        <v>2</v>
      </c>
      <c r="J597" s="7" t="n">
        <v>8591.85</v>
      </c>
      <c r="K597" s="8" t="n">
        <v>0</v>
      </c>
      <c r="L597" s="7" t="n">
        <v>6255.13</v>
      </c>
      <c r="M597" s="6" t="s">
        <v>49</v>
      </c>
      <c r="N597" s="6" t="s">
        <v>59</v>
      </c>
      <c r="O597" s="6" t="n">
        <f aca="false">IF(TablaVentas[[#This Row],[Precio_unitario]]="","PENDIENTE",TablaVentas[[#This Row],[Unidades]]*TablaVentas[[#This Row],[Precio_unitario]]*(1-TablaVentas[[#This Row],[Descuento_pct]]))</f>
        <v>17183.7</v>
      </c>
      <c r="P597" s="6" t="n">
        <f aca="false">IF(TablaVentas[[#This Row],[Costo_unitario]]="","PENDIENTE",TablaVentas[[#This Row],[Unidades]]*TablaVentas[[#This Row],[Costo_unitario]])</f>
        <v>12510.26</v>
      </c>
      <c r="Q597" s="6" t="n">
        <f aca="false">IF(OR(TablaVentas[[#This Row],[Ingreso_neto]]="PENDIENTE",TablaVentas[[#This Row],[Costo_total]]="PENDIENTE"),"PENDIENTE",TablaVentas[[#This Row],[Ingreso_neto]]-TablaVentas[[#This Row],[Costo_total]])</f>
        <v>4673.44</v>
      </c>
    </row>
    <row r="598" customFormat="false" ht="13.5" hidden="false" customHeight="false" outlineLevel="0" collapsed="false">
      <c r="A598" s="1" t="s">
        <v>584</v>
      </c>
      <c r="B598" s="1" t="n">
        <v>2</v>
      </c>
      <c r="C598" s="5" t="n">
        <v>46198</v>
      </c>
      <c r="D598" s="6" t="s">
        <v>129</v>
      </c>
      <c r="E598" s="6" t="s">
        <v>200</v>
      </c>
      <c r="F598" s="6" t="s">
        <v>63</v>
      </c>
      <c r="G598" s="6" t="s">
        <v>64</v>
      </c>
      <c r="H598" s="6" t="s">
        <v>131</v>
      </c>
      <c r="I598" s="1" t="n">
        <v>2</v>
      </c>
      <c r="J598" s="7" t="n">
        <v>10433.05</v>
      </c>
      <c r="K598" s="8" t="n">
        <v>0.2</v>
      </c>
      <c r="L598" s="7" t="n">
        <v>5811.72</v>
      </c>
      <c r="M598" s="6" t="s">
        <v>49</v>
      </c>
      <c r="N598" s="6" t="s">
        <v>50</v>
      </c>
      <c r="O598" s="6" t="n">
        <f aca="false">IF(TablaVentas[[#This Row],[Precio_unitario]]="","PENDIENTE",TablaVentas[[#This Row],[Unidades]]*TablaVentas[[#This Row],[Precio_unitario]]*(1-TablaVentas[[#This Row],[Descuento_pct]]))</f>
        <v>16692.88</v>
      </c>
      <c r="P598" s="6" t="n">
        <f aca="false">IF(TablaVentas[[#This Row],[Costo_unitario]]="","PENDIENTE",TablaVentas[[#This Row],[Unidades]]*TablaVentas[[#This Row],[Costo_unitario]])</f>
        <v>11623.44</v>
      </c>
      <c r="Q598" s="6" t="n">
        <f aca="false">IF(OR(TablaVentas[[#This Row],[Ingreso_neto]]="PENDIENTE",TablaVentas[[#This Row],[Costo_total]]="PENDIENTE"),"PENDIENTE",TablaVentas[[#This Row],[Ingreso_neto]]-TablaVentas[[#This Row],[Costo_total]])</f>
        <v>5069.44</v>
      </c>
    </row>
    <row r="599" customFormat="false" ht="13.5" hidden="false" customHeight="false" outlineLevel="0" collapsed="false">
      <c r="A599" s="1" t="s">
        <v>584</v>
      </c>
      <c r="B599" s="1" t="n">
        <v>3</v>
      </c>
      <c r="C599" s="5" t="n">
        <v>46198</v>
      </c>
      <c r="D599" s="6" t="s">
        <v>129</v>
      </c>
      <c r="E599" s="6" t="s">
        <v>117</v>
      </c>
      <c r="F599" s="6" t="s">
        <v>63</v>
      </c>
      <c r="G599" s="6" t="s">
        <v>64</v>
      </c>
      <c r="H599" s="6" t="s">
        <v>131</v>
      </c>
      <c r="I599" s="1" t="n">
        <v>2</v>
      </c>
      <c r="J599" s="7" t="n">
        <v>5639.27</v>
      </c>
      <c r="K599" s="8" t="n">
        <v>0.2</v>
      </c>
      <c r="L599" s="7" t="n">
        <v>4205.69</v>
      </c>
      <c r="M599" s="6" t="s">
        <v>49</v>
      </c>
      <c r="N599" s="6" t="s">
        <v>67</v>
      </c>
      <c r="O599" s="6" t="n">
        <f aca="false">IF(TablaVentas[[#This Row],[Precio_unitario]]="","PENDIENTE",TablaVentas[[#This Row],[Unidades]]*TablaVentas[[#This Row],[Precio_unitario]]*(1-TablaVentas[[#This Row],[Descuento_pct]]))</f>
        <v>9022.832</v>
      </c>
      <c r="P599" s="6" t="n">
        <f aca="false">IF(TablaVentas[[#This Row],[Costo_unitario]]="","PENDIENTE",TablaVentas[[#This Row],[Unidades]]*TablaVentas[[#This Row],[Costo_unitario]])</f>
        <v>8411.38</v>
      </c>
      <c r="Q599" s="6" t="n">
        <f aca="false">IF(OR(TablaVentas[[#This Row],[Ingreso_neto]]="PENDIENTE",TablaVentas[[#This Row],[Costo_total]]="PENDIENTE"),"PENDIENTE",TablaVentas[[#This Row],[Ingreso_neto]]-TablaVentas[[#This Row],[Costo_total]])</f>
        <v>611.452000000001</v>
      </c>
    </row>
    <row r="600" customFormat="false" ht="13.5" hidden="false" customHeight="false" outlineLevel="0" collapsed="false">
      <c r="A600" s="1" t="s">
        <v>584</v>
      </c>
      <c r="B600" s="1" t="n">
        <v>4</v>
      </c>
      <c r="C600" s="5" t="n">
        <v>46198</v>
      </c>
      <c r="D600" s="6" t="s">
        <v>129</v>
      </c>
      <c r="E600" s="6" t="s">
        <v>269</v>
      </c>
      <c r="F600" s="6" t="s">
        <v>63</v>
      </c>
      <c r="G600" s="6" t="s">
        <v>64</v>
      </c>
      <c r="H600" s="6" t="s">
        <v>131</v>
      </c>
      <c r="I600" s="1" t="n">
        <v>12</v>
      </c>
      <c r="J600" s="7" t="n">
        <v>12762.95</v>
      </c>
      <c r="K600" s="8" t="n">
        <v>0</v>
      </c>
      <c r="L600" s="7" t="n">
        <v>8227.46</v>
      </c>
      <c r="M600" s="6" t="s">
        <v>49</v>
      </c>
      <c r="N600" s="6" t="s">
        <v>50</v>
      </c>
      <c r="O600" s="6" t="n">
        <f aca="false">IF(TablaVentas[[#This Row],[Precio_unitario]]="","PENDIENTE",TablaVentas[[#This Row],[Unidades]]*TablaVentas[[#This Row],[Precio_unitario]]*(1-TablaVentas[[#This Row],[Descuento_pct]]))</f>
        <v>153155.4</v>
      </c>
      <c r="P600" s="6" t="n">
        <f aca="false">IF(TablaVentas[[#This Row],[Costo_unitario]]="","PENDIENTE",TablaVentas[[#This Row],[Unidades]]*TablaVentas[[#This Row],[Costo_unitario]])</f>
        <v>98729.52</v>
      </c>
      <c r="Q600" s="6" t="n">
        <f aca="false">IF(OR(TablaVentas[[#This Row],[Ingreso_neto]]="PENDIENTE",TablaVentas[[#This Row],[Costo_total]]="PENDIENTE"),"PENDIENTE",TablaVentas[[#This Row],[Ingreso_neto]]-TablaVentas[[#This Row],[Costo_total]])</f>
        <v>54425.88</v>
      </c>
    </row>
    <row r="601" customFormat="false" ht="13.5" hidden="false" customHeight="false" outlineLevel="0" collapsed="false">
      <c r="A601" s="1" t="s">
        <v>585</v>
      </c>
      <c r="B601" s="1" t="n">
        <v>1</v>
      </c>
      <c r="C601" s="5" t="n">
        <v>46096</v>
      </c>
      <c r="D601" s="6" t="s">
        <v>357</v>
      </c>
      <c r="E601" s="6" t="s">
        <v>210</v>
      </c>
      <c r="F601" s="6" t="s">
        <v>63</v>
      </c>
      <c r="G601" s="6" t="s">
        <v>64</v>
      </c>
      <c r="H601" s="6" t="s">
        <v>58</v>
      </c>
      <c r="I601" s="1" t="n">
        <v>5</v>
      </c>
      <c r="J601" s="7" t="n">
        <v>1824.11</v>
      </c>
      <c r="K601" s="8" t="n">
        <v>0.2</v>
      </c>
      <c r="L601" s="7" t="n">
        <v>1252.84</v>
      </c>
      <c r="M601" s="6" t="s">
        <v>49</v>
      </c>
      <c r="N601" s="6" t="s">
        <v>59</v>
      </c>
      <c r="O601" s="6" t="n">
        <f aca="false">IF(TablaVentas[[#This Row],[Precio_unitario]]="","PENDIENTE",TablaVentas[[#This Row],[Unidades]]*TablaVentas[[#This Row],[Precio_unitario]]*(1-TablaVentas[[#This Row],[Descuento_pct]]))</f>
        <v>7296.44</v>
      </c>
      <c r="P601" s="6" t="n">
        <f aca="false">IF(TablaVentas[[#This Row],[Costo_unitario]]="","PENDIENTE",TablaVentas[[#This Row],[Unidades]]*TablaVentas[[#This Row],[Costo_unitario]])</f>
        <v>6264.2</v>
      </c>
      <c r="Q601" s="6" t="n">
        <f aca="false">IF(OR(TablaVentas[[#This Row],[Ingreso_neto]]="PENDIENTE",TablaVentas[[#This Row],[Costo_total]]="PENDIENTE"),"PENDIENTE",TablaVentas[[#This Row],[Ingreso_neto]]-TablaVentas[[#This Row],[Costo_total]])</f>
        <v>1032.24</v>
      </c>
    </row>
    <row r="602" customFormat="false" ht="13.5" hidden="false" customHeight="false" outlineLevel="0" collapsed="false">
      <c r="A602" s="1" t="s">
        <v>585</v>
      </c>
      <c r="B602" s="1" t="n">
        <v>2</v>
      </c>
      <c r="C602" s="5" t="n">
        <v>46096</v>
      </c>
      <c r="D602" s="6" t="s">
        <v>357</v>
      </c>
      <c r="E602" s="6" t="s">
        <v>263</v>
      </c>
      <c r="F602" s="6" t="s">
        <v>63</v>
      </c>
      <c r="G602" s="6" t="s">
        <v>64</v>
      </c>
      <c r="H602" s="6" t="s">
        <v>58</v>
      </c>
      <c r="I602" s="1" t="n">
        <v>2</v>
      </c>
      <c r="J602" s="7" t="n">
        <v>19764.45</v>
      </c>
      <c r="K602" s="8" t="n">
        <v>0</v>
      </c>
      <c r="L602" s="7" t="n">
        <v>11666.57</v>
      </c>
      <c r="M602" s="6" t="s">
        <v>49</v>
      </c>
      <c r="N602" s="6" t="s">
        <v>67</v>
      </c>
      <c r="O602" s="6" t="n">
        <f aca="false">IF(TablaVentas[[#This Row],[Precio_unitario]]="","PENDIENTE",TablaVentas[[#This Row],[Unidades]]*TablaVentas[[#This Row],[Precio_unitario]]*(1-TablaVentas[[#This Row],[Descuento_pct]]))</f>
        <v>39528.9</v>
      </c>
      <c r="P602" s="6" t="n">
        <f aca="false">IF(TablaVentas[[#This Row],[Costo_unitario]]="","PENDIENTE",TablaVentas[[#This Row],[Unidades]]*TablaVentas[[#This Row],[Costo_unitario]])</f>
        <v>23333.14</v>
      </c>
      <c r="Q602" s="6" t="n">
        <f aca="false">IF(OR(TablaVentas[[#This Row],[Ingreso_neto]]="PENDIENTE",TablaVentas[[#This Row],[Costo_total]]="PENDIENTE"),"PENDIENTE",TablaVentas[[#This Row],[Ingreso_neto]]-TablaVentas[[#This Row],[Costo_total]])</f>
        <v>16195.76</v>
      </c>
    </row>
    <row r="603" customFormat="false" ht="13.5" hidden="false" customHeight="false" outlineLevel="0" collapsed="false">
      <c r="A603" s="1" t="s">
        <v>585</v>
      </c>
      <c r="B603" s="1" t="n">
        <v>3</v>
      </c>
      <c r="C603" s="5" t="n">
        <v>46096</v>
      </c>
      <c r="D603" s="6" t="s">
        <v>357</v>
      </c>
      <c r="E603" s="6" t="s">
        <v>280</v>
      </c>
      <c r="F603" s="6" t="s">
        <v>63</v>
      </c>
      <c r="G603" s="6" t="s">
        <v>64</v>
      </c>
      <c r="H603" s="6" t="s">
        <v>58</v>
      </c>
      <c r="I603" s="1" t="n">
        <v>1</v>
      </c>
      <c r="J603" s="7" t="n">
        <v>1467.44</v>
      </c>
      <c r="K603" s="8" t="n">
        <v>0</v>
      </c>
      <c r="L603" s="7" t="n">
        <v>716.26</v>
      </c>
      <c r="M603" s="6" t="s">
        <v>49</v>
      </c>
      <c r="N603" s="6" t="s">
        <v>59</v>
      </c>
      <c r="O603" s="6" t="n">
        <f aca="false">IF(TablaVentas[[#This Row],[Precio_unitario]]="","PENDIENTE",TablaVentas[[#This Row],[Unidades]]*TablaVentas[[#This Row],[Precio_unitario]]*(1-TablaVentas[[#This Row],[Descuento_pct]]))</f>
        <v>1467.44</v>
      </c>
      <c r="P603" s="6" t="n">
        <f aca="false">IF(TablaVentas[[#This Row],[Costo_unitario]]="","PENDIENTE",TablaVentas[[#This Row],[Unidades]]*TablaVentas[[#This Row],[Costo_unitario]])</f>
        <v>716.26</v>
      </c>
      <c r="Q603" s="6" t="n">
        <f aca="false">IF(OR(TablaVentas[[#This Row],[Ingreso_neto]]="PENDIENTE",TablaVentas[[#This Row],[Costo_total]]="PENDIENTE"),"PENDIENTE",TablaVentas[[#This Row],[Ingreso_neto]]-TablaVentas[[#This Row],[Costo_total]])</f>
        <v>751.18</v>
      </c>
    </row>
    <row r="604" customFormat="false" ht="13.5" hidden="false" customHeight="false" outlineLevel="0" collapsed="false">
      <c r="A604" s="1" t="s">
        <v>585</v>
      </c>
      <c r="B604" s="1" t="n">
        <v>4</v>
      </c>
      <c r="C604" s="5" t="n">
        <v>46096</v>
      </c>
      <c r="D604" s="6" t="s">
        <v>357</v>
      </c>
      <c r="E604" s="6" t="s">
        <v>233</v>
      </c>
      <c r="F604" s="6" t="s">
        <v>63</v>
      </c>
      <c r="G604" s="6" t="s">
        <v>64</v>
      </c>
      <c r="H604" s="6" t="s">
        <v>58</v>
      </c>
      <c r="I604" s="1" t="n">
        <v>1</v>
      </c>
      <c r="J604" s="7" t="n">
        <v>17463.79</v>
      </c>
      <c r="K604" s="8" t="n">
        <v>0</v>
      </c>
      <c r="L604" s="7" t="n">
        <v>9976.68</v>
      </c>
      <c r="M604" s="6" t="s">
        <v>49</v>
      </c>
      <c r="N604" s="6" t="s">
        <v>52</v>
      </c>
      <c r="O604" s="6" t="n">
        <f aca="false">IF(TablaVentas[[#This Row],[Precio_unitario]]="","PENDIENTE",TablaVentas[[#This Row],[Unidades]]*TablaVentas[[#This Row],[Precio_unitario]]*(1-TablaVentas[[#This Row],[Descuento_pct]]))</f>
        <v>17463.79</v>
      </c>
      <c r="P604" s="6" t="n">
        <f aca="false">IF(TablaVentas[[#This Row],[Costo_unitario]]="","PENDIENTE",TablaVentas[[#This Row],[Unidades]]*TablaVentas[[#This Row],[Costo_unitario]])</f>
        <v>9976.68</v>
      </c>
      <c r="Q604" s="6" t="n">
        <f aca="false">IF(OR(TablaVentas[[#This Row],[Ingreso_neto]]="PENDIENTE",TablaVentas[[#This Row],[Costo_total]]="PENDIENTE"),"PENDIENTE",TablaVentas[[#This Row],[Ingreso_neto]]-TablaVentas[[#This Row],[Costo_total]])</f>
        <v>7487.11</v>
      </c>
    </row>
    <row r="605" customFormat="false" ht="13.5" hidden="false" customHeight="false" outlineLevel="0" collapsed="false">
      <c r="A605" s="1" t="s">
        <v>586</v>
      </c>
      <c r="B605" s="1" t="n">
        <v>1</v>
      </c>
      <c r="C605" s="5" t="n">
        <v>46157</v>
      </c>
      <c r="D605" s="6" t="s">
        <v>587</v>
      </c>
      <c r="E605" s="6" t="s">
        <v>333</v>
      </c>
      <c r="F605" s="6" t="s">
        <v>46</v>
      </c>
      <c r="G605" s="6" t="s">
        <v>57</v>
      </c>
      <c r="H605" s="6" t="s">
        <v>65</v>
      </c>
      <c r="I605" s="1" t="n">
        <v>3</v>
      </c>
      <c r="J605" s="7" t="n">
        <v>8092.97</v>
      </c>
      <c r="K605" s="8" t="n">
        <v>0</v>
      </c>
      <c r="L605" s="7" t="n">
        <v>4044.16</v>
      </c>
      <c r="M605" s="6" t="s">
        <v>49</v>
      </c>
      <c r="N605" s="6" t="s">
        <v>50</v>
      </c>
      <c r="O605" s="6" t="n">
        <f aca="false">IF(TablaVentas[[#This Row],[Precio_unitario]]="","PENDIENTE",TablaVentas[[#This Row],[Unidades]]*TablaVentas[[#This Row],[Precio_unitario]]*(1-TablaVentas[[#This Row],[Descuento_pct]]))</f>
        <v>24278.91</v>
      </c>
      <c r="P605" s="6" t="n">
        <f aca="false">IF(TablaVentas[[#This Row],[Costo_unitario]]="","PENDIENTE",TablaVentas[[#This Row],[Unidades]]*TablaVentas[[#This Row],[Costo_unitario]])</f>
        <v>12132.48</v>
      </c>
      <c r="Q605" s="6" t="n">
        <f aca="false">IF(OR(TablaVentas[[#This Row],[Ingreso_neto]]="PENDIENTE",TablaVentas[[#This Row],[Costo_total]]="PENDIENTE"),"PENDIENTE",TablaVentas[[#This Row],[Ingreso_neto]]-TablaVentas[[#This Row],[Costo_total]])</f>
        <v>12146.43</v>
      </c>
    </row>
    <row r="606" customFormat="false" ht="13.5" hidden="false" customHeight="false" outlineLevel="0" collapsed="false">
      <c r="A606" s="1" t="s">
        <v>586</v>
      </c>
      <c r="B606" s="1" t="n">
        <v>2</v>
      </c>
      <c r="C606" s="5" t="n">
        <v>46157</v>
      </c>
      <c r="D606" s="6" t="s">
        <v>587</v>
      </c>
      <c r="E606" s="6" t="s">
        <v>243</v>
      </c>
      <c r="F606" s="6" t="s">
        <v>46</v>
      </c>
      <c r="G606" s="6" t="s">
        <v>57</v>
      </c>
      <c r="H606" s="6" t="s">
        <v>65</v>
      </c>
      <c r="I606" s="1" t="n">
        <v>1</v>
      </c>
      <c r="J606" s="7" t="n">
        <v>9444.79</v>
      </c>
      <c r="K606" s="8" t="n">
        <v>0.2</v>
      </c>
      <c r="L606" s="7" t="n">
        <v>8061.7</v>
      </c>
      <c r="M606" s="6" t="s">
        <v>49</v>
      </c>
      <c r="N606" s="6" t="s">
        <v>50</v>
      </c>
      <c r="O606" s="6" t="n">
        <f aca="false">IF(TablaVentas[[#This Row],[Precio_unitario]]="","PENDIENTE",TablaVentas[[#This Row],[Unidades]]*TablaVentas[[#This Row],[Precio_unitario]]*(1-TablaVentas[[#This Row],[Descuento_pct]]))</f>
        <v>7555.832</v>
      </c>
      <c r="P606" s="6" t="n">
        <f aca="false">IF(TablaVentas[[#This Row],[Costo_unitario]]="","PENDIENTE",TablaVentas[[#This Row],[Unidades]]*TablaVentas[[#This Row],[Costo_unitario]])</f>
        <v>8061.7</v>
      </c>
      <c r="Q606" s="6" t="n">
        <f aca="false">IF(OR(TablaVentas[[#This Row],[Ingreso_neto]]="PENDIENTE",TablaVentas[[#This Row],[Costo_total]]="PENDIENTE"),"PENDIENTE",TablaVentas[[#This Row],[Ingreso_neto]]-TablaVentas[[#This Row],[Costo_total]])</f>
        <v>-505.867999999999</v>
      </c>
    </row>
    <row r="607" customFormat="false" ht="13.5" hidden="false" customHeight="false" outlineLevel="0" collapsed="false">
      <c r="A607" s="1" t="s">
        <v>586</v>
      </c>
      <c r="B607" s="1" t="n">
        <v>3</v>
      </c>
      <c r="C607" s="5" t="n">
        <v>46157</v>
      </c>
      <c r="D607" s="6" t="s">
        <v>587</v>
      </c>
      <c r="E607" s="6" t="s">
        <v>269</v>
      </c>
      <c r="F607" s="6" t="s">
        <v>46</v>
      </c>
      <c r="G607" s="6" t="s">
        <v>57</v>
      </c>
      <c r="H607" s="6" t="s">
        <v>65</v>
      </c>
      <c r="I607" s="1" t="n">
        <v>3</v>
      </c>
      <c r="J607" s="7" t="n">
        <v>13997.54</v>
      </c>
      <c r="K607" s="8" t="n">
        <v>0.15</v>
      </c>
      <c r="L607" s="7" t="n">
        <v>8227.46</v>
      </c>
      <c r="M607" s="6" t="s">
        <v>123</v>
      </c>
      <c r="N607" s="6" t="s">
        <v>59</v>
      </c>
      <c r="O607" s="6" t="n">
        <f aca="false">IF(TablaVentas[[#This Row],[Precio_unitario]]="","PENDIENTE",TablaVentas[[#This Row],[Unidades]]*TablaVentas[[#This Row],[Precio_unitario]]*(1-TablaVentas[[#This Row],[Descuento_pct]]))</f>
        <v>35693.727</v>
      </c>
      <c r="P607" s="6" t="n">
        <f aca="false">IF(TablaVentas[[#This Row],[Costo_unitario]]="","PENDIENTE",TablaVentas[[#This Row],[Unidades]]*TablaVentas[[#This Row],[Costo_unitario]])</f>
        <v>24682.38</v>
      </c>
      <c r="Q607" s="6" t="n">
        <f aca="false">IF(OR(TablaVentas[[#This Row],[Ingreso_neto]]="PENDIENTE",TablaVentas[[#This Row],[Costo_total]]="PENDIENTE"),"PENDIENTE",TablaVentas[[#This Row],[Ingreso_neto]]-TablaVentas[[#This Row],[Costo_total]])</f>
        <v>11011.347</v>
      </c>
    </row>
    <row r="608" customFormat="false" ht="13.5" hidden="false" customHeight="false" outlineLevel="0" collapsed="false">
      <c r="A608" s="1" t="s">
        <v>588</v>
      </c>
      <c r="B608" s="1" t="n">
        <v>1</v>
      </c>
      <c r="C608" s="5" t="n">
        <v>46094</v>
      </c>
      <c r="D608" s="6" t="s">
        <v>184</v>
      </c>
      <c r="E608" s="6" t="s">
        <v>269</v>
      </c>
      <c r="F608" s="6" t="s">
        <v>84</v>
      </c>
      <c r="G608" s="6" t="s">
        <v>57</v>
      </c>
      <c r="H608" s="6" t="s">
        <v>131</v>
      </c>
      <c r="I608" s="1" t="n">
        <v>1</v>
      </c>
      <c r="J608" s="7" t="n">
        <v>12939.11</v>
      </c>
      <c r="K608" s="8" t="n">
        <v>0</v>
      </c>
      <c r="L608" s="7" t="n">
        <v>8227.46</v>
      </c>
      <c r="M608" s="6" t="s">
        <v>49</v>
      </c>
      <c r="N608" s="6" t="s">
        <v>59</v>
      </c>
      <c r="O608" s="6" t="n">
        <f aca="false">IF(TablaVentas[[#This Row],[Precio_unitario]]="","PENDIENTE",TablaVentas[[#This Row],[Unidades]]*TablaVentas[[#This Row],[Precio_unitario]]*(1-TablaVentas[[#This Row],[Descuento_pct]]))</f>
        <v>12939.11</v>
      </c>
      <c r="P608" s="6" t="n">
        <f aca="false">IF(TablaVentas[[#This Row],[Costo_unitario]]="","PENDIENTE",TablaVentas[[#This Row],[Unidades]]*TablaVentas[[#This Row],[Costo_unitario]])</f>
        <v>8227.46</v>
      </c>
      <c r="Q608" s="6" t="n">
        <f aca="false">IF(OR(TablaVentas[[#This Row],[Ingreso_neto]]="PENDIENTE",TablaVentas[[#This Row],[Costo_total]]="PENDIENTE"),"PENDIENTE",TablaVentas[[#This Row],[Ingreso_neto]]-TablaVentas[[#This Row],[Costo_total]])</f>
        <v>4711.65</v>
      </c>
    </row>
    <row r="609" customFormat="false" ht="13.5" hidden="false" customHeight="false" outlineLevel="0" collapsed="false">
      <c r="A609" s="1" t="s">
        <v>589</v>
      </c>
      <c r="B609" s="1" t="n">
        <v>1</v>
      </c>
      <c r="C609" s="5" t="n">
        <v>46151</v>
      </c>
      <c r="D609" s="6" t="s">
        <v>357</v>
      </c>
      <c r="E609" s="6" t="s">
        <v>215</v>
      </c>
      <c r="F609" s="6" t="s">
        <v>73</v>
      </c>
      <c r="G609" s="6" t="s">
        <v>64</v>
      </c>
      <c r="H609" s="6" t="s">
        <v>48</v>
      </c>
      <c r="I609" s="1" t="n">
        <v>2</v>
      </c>
      <c r="J609" s="7" t="n">
        <v>10214.23</v>
      </c>
      <c r="K609" s="8" t="n">
        <v>0</v>
      </c>
      <c r="L609" s="7" t="n">
        <v>5535.31</v>
      </c>
      <c r="M609" s="6" t="s">
        <v>49</v>
      </c>
      <c r="N609" s="6" t="s">
        <v>59</v>
      </c>
      <c r="O609" s="6" t="n">
        <f aca="false">IF(TablaVentas[[#This Row],[Precio_unitario]]="","PENDIENTE",TablaVentas[[#This Row],[Unidades]]*TablaVentas[[#This Row],[Precio_unitario]]*(1-TablaVentas[[#This Row],[Descuento_pct]]))</f>
        <v>20428.46</v>
      </c>
      <c r="P609" s="6" t="n">
        <f aca="false">IF(TablaVentas[[#This Row],[Costo_unitario]]="","PENDIENTE",TablaVentas[[#This Row],[Unidades]]*TablaVentas[[#This Row],[Costo_unitario]])</f>
        <v>11070.62</v>
      </c>
      <c r="Q609" s="6" t="n">
        <f aca="false">IF(OR(TablaVentas[[#This Row],[Ingreso_neto]]="PENDIENTE",TablaVentas[[#This Row],[Costo_total]]="PENDIENTE"),"PENDIENTE",TablaVentas[[#This Row],[Ingreso_neto]]-TablaVentas[[#This Row],[Costo_total]])</f>
        <v>9357.84</v>
      </c>
    </row>
    <row r="610" customFormat="false" ht="13.5" hidden="false" customHeight="false" outlineLevel="0" collapsed="false">
      <c r="A610" s="1" t="s">
        <v>589</v>
      </c>
      <c r="B610" s="1" t="n">
        <v>2</v>
      </c>
      <c r="C610" s="5" t="n">
        <v>46151</v>
      </c>
      <c r="D610" s="6" t="s">
        <v>357</v>
      </c>
      <c r="E610" s="6" t="s">
        <v>182</v>
      </c>
      <c r="F610" s="6" t="s">
        <v>73</v>
      </c>
      <c r="G610" s="6" t="s">
        <v>64</v>
      </c>
      <c r="H610" s="6" t="s">
        <v>48</v>
      </c>
      <c r="I610" s="1" t="n">
        <v>4</v>
      </c>
      <c r="J610" s="7" t="n">
        <v>2840.47</v>
      </c>
      <c r="K610" s="8" t="n">
        <v>0</v>
      </c>
      <c r="L610" s="7" t="n">
        <v>1857.39</v>
      </c>
      <c r="M610" s="6" t="s">
        <v>49</v>
      </c>
      <c r="N610" s="6" t="s">
        <v>67</v>
      </c>
      <c r="O610" s="6" t="n">
        <f aca="false">IF(TablaVentas[[#This Row],[Precio_unitario]]="","PENDIENTE",TablaVentas[[#This Row],[Unidades]]*TablaVentas[[#This Row],[Precio_unitario]]*(1-TablaVentas[[#This Row],[Descuento_pct]]))</f>
        <v>11361.88</v>
      </c>
      <c r="P610" s="6" t="n">
        <f aca="false">IF(TablaVentas[[#This Row],[Costo_unitario]]="","PENDIENTE",TablaVentas[[#This Row],[Unidades]]*TablaVentas[[#This Row],[Costo_unitario]])</f>
        <v>7429.56</v>
      </c>
      <c r="Q610" s="6" t="n">
        <f aca="false">IF(OR(TablaVentas[[#This Row],[Ingreso_neto]]="PENDIENTE",TablaVentas[[#This Row],[Costo_total]]="PENDIENTE"),"PENDIENTE",TablaVentas[[#This Row],[Ingreso_neto]]-TablaVentas[[#This Row],[Costo_total]])</f>
        <v>3932.32</v>
      </c>
    </row>
    <row r="611" customFormat="false" ht="13.5" hidden="false" customHeight="false" outlineLevel="0" collapsed="false">
      <c r="A611" s="1" t="s">
        <v>590</v>
      </c>
      <c r="B611" s="1" t="n">
        <v>1</v>
      </c>
      <c r="C611" s="5" t="n">
        <v>46275</v>
      </c>
      <c r="D611" s="6" t="s">
        <v>591</v>
      </c>
      <c r="E611" s="6" t="s">
        <v>162</v>
      </c>
      <c r="F611" s="6" t="s">
        <v>84</v>
      </c>
      <c r="G611" s="6" t="s">
        <v>57</v>
      </c>
      <c r="H611" s="6" t="s">
        <v>131</v>
      </c>
      <c r="I611" s="1" t="n">
        <v>1</v>
      </c>
      <c r="J611" s="7" t="n">
        <v>721.3</v>
      </c>
      <c r="K611" s="8" t="n">
        <v>0</v>
      </c>
      <c r="L611" s="7" t="n">
        <v>397.1</v>
      </c>
      <c r="M611" s="6" t="s">
        <v>49</v>
      </c>
      <c r="N611" s="6" t="s">
        <v>59</v>
      </c>
      <c r="O611" s="6" t="n">
        <f aca="false">IF(TablaVentas[[#This Row],[Precio_unitario]]="","PENDIENTE",TablaVentas[[#This Row],[Unidades]]*TablaVentas[[#This Row],[Precio_unitario]]*(1-TablaVentas[[#This Row],[Descuento_pct]]))</f>
        <v>721.3</v>
      </c>
      <c r="P611" s="6" t="n">
        <f aca="false">IF(TablaVentas[[#This Row],[Costo_unitario]]="","PENDIENTE",TablaVentas[[#This Row],[Unidades]]*TablaVentas[[#This Row],[Costo_unitario]])</f>
        <v>397.1</v>
      </c>
      <c r="Q611" s="6" t="n">
        <f aca="false">IF(OR(TablaVentas[[#This Row],[Ingreso_neto]]="PENDIENTE",TablaVentas[[#This Row],[Costo_total]]="PENDIENTE"),"PENDIENTE",TablaVentas[[#This Row],[Ingreso_neto]]-TablaVentas[[#This Row],[Costo_total]])</f>
        <v>324.2</v>
      </c>
    </row>
    <row r="612" customFormat="false" ht="13.5" hidden="false" customHeight="false" outlineLevel="0" collapsed="false">
      <c r="A612" s="1" t="s">
        <v>590</v>
      </c>
      <c r="B612" s="1" t="n">
        <v>2</v>
      </c>
      <c r="C612" s="5" t="n">
        <v>46275</v>
      </c>
      <c r="D612" s="6" t="s">
        <v>591</v>
      </c>
      <c r="E612" s="6" t="s">
        <v>56</v>
      </c>
      <c r="F612" s="6" t="s">
        <v>84</v>
      </c>
      <c r="G612" s="6" t="s">
        <v>57</v>
      </c>
      <c r="H612" s="6" t="s">
        <v>131</v>
      </c>
      <c r="I612" s="1" t="n">
        <v>1</v>
      </c>
      <c r="J612" s="7" t="n">
        <v>4292.8</v>
      </c>
      <c r="K612" s="8" t="n">
        <v>0</v>
      </c>
      <c r="L612" s="7" t="n">
        <v>2950.52</v>
      </c>
      <c r="M612" s="6" t="s">
        <v>49</v>
      </c>
      <c r="N612" s="6" t="s">
        <v>50</v>
      </c>
      <c r="O612" s="6" t="n">
        <f aca="false">IF(TablaVentas[[#This Row],[Precio_unitario]]="","PENDIENTE",TablaVentas[[#This Row],[Unidades]]*TablaVentas[[#This Row],[Precio_unitario]]*(1-TablaVentas[[#This Row],[Descuento_pct]]))</f>
        <v>4292.8</v>
      </c>
      <c r="P612" s="6" t="n">
        <f aca="false">IF(TablaVentas[[#This Row],[Costo_unitario]]="","PENDIENTE",TablaVentas[[#This Row],[Unidades]]*TablaVentas[[#This Row],[Costo_unitario]])</f>
        <v>2950.52</v>
      </c>
      <c r="Q612" s="6" t="n">
        <f aca="false">IF(OR(TablaVentas[[#This Row],[Ingreso_neto]]="PENDIENTE",TablaVentas[[#This Row],[Costo_total]]="PENDIENTE"),"PENDIENTE",TablaVentas[[#This Row],[Ingreso_neto]]-TablaVentas[[#This Row],[Costo_total]])</f>
        <v>1342.28</v>
      </c>
    </row>
    <row r="613" customFormat="false" ht="13.5" hidden="false" customHeight="false" outlineLevel="0" collapsed="false">
      <c r="A613" s="1" t="s">
        <v>590</v>
      </c>
      <c r="B613" s="1" t="n">
        <v>3</v>
      </c>
      <c r="C613" s="5" t="n">
        <v>46275</v>
      </c>
      <c r="D613" s="6" t="s">
        <v>591</v>
      </c>
      <c r="E613" s="6" t="s">
        <v>113</v>
      </c>
      <c r="F613" s="6" t="s">
        <v>84</v>
      </c>
      <c r="G613" s="6" t="s">
        <v>57</v>
      </c>
      <c r="H613" s="6" t="s">
        <v>131</v>
      </c>
      <c r="I613" s="1" t="n">
        <v>2</v>
      </c>
      <c r="J613" s="7" t="n">
        <v>10156.58</v>
      </c>
      <c r="K613" s="8" t="n">
        <v>0.05</v>
      </c>
      <c r="L613" s="7" t="n">
        <v>8276.74</v>
      </c>
      <c r="M613" s="6" t="s">
        <v>49</v>
      </c>
      <c r="N613" s="6" t="s">
        <v>50</v>
      </c>
      <c r="O613" s="6" t="n">
        <f aca="false">IF(TablaVentas[[#This Row],[Precio_unitario]]="","PENDIENTE",TablaVentas[[#This Row],[Unidades]]*TablaVentas[[#This Row],[Precio_unitario]]*(1-TablaVentas[[#This Row],[Descuento_pct]]))</f>
        <v>19297.502</v>
      </c>
      <c r="P613" s="6" t="n">
        <f aca="false">IF(TablaVentas[[#This Row],[Costo_unitario]]="","PENDIENTE",TablaVentas[[#This Row],[Unidades]]*TablaVentas[[#This Row],[Costo_unitario]])</f>
        <v>16553.48</v>
      </c>
      <c r="Q613" s="6" t="n">
        <f aca="false">IF(OR(TablaVentas[[#This Row],[Ingreso_neto]]="PENDIENTE",TablaVentas[[#This Row],[Costo_total]]="PENDIENTE"),"PENDIENTE",TablaVentas[[#This Row],[Ingreso_neto]]-TablaVentas[[#This Row],[Costo_total]])</f>
        <v>2744.022</v>
      </c>
    </row>
    <row r="614" customFormat="false" ht="13.5" hidden="false" customHeight="false" outlineLevel="0" collapsed="false">
      <c r="A614" s="1" t="s">
        <v>590</v>
      </c>
      <c r="B614" s="1" t="n">
        <v>4</v>
      </c>
      <c r="C614" s="5" t="n">
        <v>46275</v>
      </c>
      <c r="D614" s="6" t="s">
        <v>591</v>
      </c>
      <c r="E614" s="6" t="s">
        <v>385</v>
      </c>
      <c r="F614" s="6" t="s">
        <v>84</v>
      </c>
      <c r="G614" s="6" t="s">
        <v>57</v>
      </c>
      <c r="H614" s="6" t="s">
        <v>131</v>
      </c>
      <c r="I614" s="1" t="n">
        <v>1</v>
      </c>
      <c r="J614" s="7" t="n">
        <v>3401.04</v>
      </c>
      <c r="K614" s="8" t="n">
        <v>0</v>
      </c>
      <c r="L614" s="7" t="n">
        <v>2864.64</v>
      </c>
      <c r="M614" s="6" t="s">
        <v>49</v>
      </c>
      <c r="N614" s="6" t="s">
        <v>59</v>
      </c>
      <c r="O614" s="6" t="n">
        <f aca="false">IF(TablaVentas[[#This Row],[Precio_unitario]]="","PENDIENTE",TablaVentas[[#This Row],[Unidades]]*TablaVentas[[#This Row],[Precio_unitario]]*(1-TablaVentas[[#This Row],[Descuento_pct]]))</f>
        <v>3401.04</v>
      </c>
      <c r="P614" s="6" t="n">
        <f aca="false">IF(TablaVentas[[#This Row],[Costo_unitario]]="","PENDIENTE",TablaVentas[[#This Row],[Unidades]]*TablaVentas[[#This Row],[Costo_unitario]])</f>
        <v>2864.64</v>
      </c>
      <c r="Q614" s="6" t="n">
        <f aca="false">IF(OR(TablaVentas[[#This Row],[Ingreso_neto]]="PENDIENTE",TablaVentas[[#This Row],[Costo_total]]="PENDIENTE"),"PENDIENTE",TablaVentas[[#This Row],[Ingreso_neto]]-TablaVentas[[#This Row],[Costo_total]])</f>
        <v>536.4</v>
      </c>
    </row>
    <row r="615" customFormat="false" ht="13.5" hidden="false" customHeight="false" outlineLevel="0" collapsed="false">
      <c r="A615" s="1" t="s">
        <v>592</v>
      </c>
      <c r="B615" s="1" t="n">
        <v>1</v>
      </c>
      <c r="C615" s="5" t="n">
        <v>46039</v>
      </c>
      <c r="D615" s="6" t="s">
        <v>323</v>
      </c>
      <c r="E615" s="6" t="s">
        <v>77</v>
      </c>
      <c r="F615" s="6" t="s">
        <v>84</v>
      </c>
      <c r="G615" s="6" t="s">
        <v>57</v>
      </c>
      <c r="H615" s="6" t="s">
        <v>89</v>
      </c>
      <c r="I615" s="1" t="n">
        <v>1</v>
      </c>
      <c r="J615" s="7" t="n">
        <v>15535.05</v>
      </c>
      <c r="K615" s="8" t="n">
        <v>0.15</v>
      </c>
      <c r="L615" s="7" t="n">
        <v>10571.25</v>
      </c>
      <c r="M615" s="6" t="s">
        <v>49</v>
      </c>
      <c r="N615" s="6" t="s">
        <v>59</v>
      </c>
      <c r="O615" s="6" t="n">
        <f aca="false">IF(TablaVentas[[#This Row],[Precio_unitario]]="","PENDIENTE",TablaVentas[[#This Row],[Unidades]]*TablaVentas[[#This Row],[Precio_unitario]]*(1-TablaVentas[[#This Row],[Descuento_pct]]))</f>
        <v>13204.7925</v>
      </c>
      <c r="P615" s="6" t="n">
        <f aca="false">IF(TablaVentas[[#This Row],[Costo_unitario]]="","PENDIENTE",TablaVentas[[#This Row],[Unidades]]*TablaVentas[[#This Row],[Costo_unitario]])</f>
        <v>10571.25</v>
      </c>
      <c r="Q615" s="6" t="n">
        <f aca="false">IF(OR(TablaVentas[[#This Row],[Ingreso_neto]]="PENDIENTE",TablaVentas[[#This Row],[Costo_total]]="PENDIENTE"),"PENDIENTE",TablaVentas[[#This Row],[Ingreso_neto]]-TablaVentas[[#This Row],[Costo_total]])</f>
        <v>2633.5425</v>
      </c>
    </row>
    <row r="616" customFormat="false" ht="13.5" hidden="false" customHeight="false" outlineLevel="0" collapsed="false">
      <c r="A616" s="1" t="s">
        <v>592</v>
      </c>
      <c r="B616" s="1" t="n">
        <v>2</v>
      </c>
      <c r="C616" s="5" t="n">
        <v>46039</v>
      </c>
      <c r="D616" s="6" t="s">
        <v>323</v>
      </c>
      <c r="E616" s="6" t="s">
        <v>252</v>
      </c>
      <c r="F616" s="6" t="s">
        <v>84</v>
      </c>
      <c r="G616" s="6" t="s">
        <v>57</v>
      </c>
      <c r="H616" s="6" t="s">
        <v>89</v>
      </c>
      <c r="I616" s="1" t="n">
        <v>1</v>
      </c>
      <c r="J616" s="7" t="n">
        <v>18573.42</v>
      </c>
      <c r="K616" s="8" t="n">
        <v>0.15</v>
      </c>
      <c r="L616" s="7" t="n">
        <v>10507.24</v>
      </c>
      <c r="M616" s="6" t="s">
        <v>49</v>
      </c>
      <c r="N616" s="6" t="s">
        <v>50</v>
      </c>
      <c r="O616" s="6" t="n">
        <f aca="false">IF(TablaVentas[[#This Row],[Precio_unitario]]="","PENDIENTE",TablaVentas[[#This Row],[Unidades]]*TablaVentas[[#This Row],[Precio_unitario]]*(1-TablaVentas[[#This Row],[Descuento_pct]]))</f>
        <v>15787.407</v>
      </c>
      <c r="P616" s="6" t="n">
        <f aca="false">IF(TablaVentas[[#This Row],[Costo_unitario]]="","PENDIENTE",TablaVentas[[#This Row],[Unidades]]*TablaVentas[[#This Row],[Costo_unitario]])</f>
        <v>10507.24</v>
      </c>
      <c r="Q616" s="6" t="n">
        <f aca="false">IF(OR(TablaVentas[[#This Row],[Ingreso_neto]]="PENDIENTE",TablaVentas[[#This Row],[Costo_total]]="PENDIENTE"),"PENDIENTE",TablaVentas[[#This Row],[Ingreso_neto]]-TablaVentas[[#This Row],[Costo_total]])</f>
        <v>5280.167</v>
      </c>
    </row>
    <row r="617" customFormat="false" ht="13.5" hidden="false" customHeight="false" outlineLevel="0" collapsed="false">
      <c r="A617" s="1" t="s">
        <v>592</v>
      </c>
      <c r="B617" s="1" t="n">
        <v>3</v>
      </c>
      <c r="C617" s="5" t="n">
        <v>46039</v>
      </c>
      <c r="D617" s="6" t="s">
        <v>323</v>
      </c>
      <c r="E617" s="6" t="s">
        <v>121</v>
      </c>
      <c r="F617" s="6" t="s">
        <v>84</v>
      </c>
      <c r="G617" s="6" t="s">
        <v>57</v>
      </c>
      <c r="H617" s="6" t="s">
        <v>89</v>
      </c>
      <c r="I617" s="1" t="n">
        <v>1</v>
      </c>
      <c r="J617" s="7" t="n">
        <v>13530.66</v>
      </c>
      <c r="K617" s="8" t="n">
        <v>0.1</v>
      </c>
      <c r="L617" s="7" t="n">
        <v>8239.48</v>
      </c>
      <c r="M617" s="6" t="s">
        <v>49</v>
      </c>
      <c r="N617" s="6" t="s">
        <v>67</v>
      </c>
      <c r="O617" s="6" t="n">
        <f aca="false">IF(TablaVentas[[#This Row],[Precio_unitario]]="","PENDIENTE",TablaVentas[[#This Row],[Unidades]]*TablaVentas[[#This Row],[Precio_unitario]]*(1-TablaVentas[[#This Row],[Descuento_pct]]))</f>
        <v>12177.594</v>
      </c>
      <c r="P617" s="6" t="n">
        <f aca="false">IF(TablaVentas[[#This Row],[Costo_unitario]]="","PENDIENTE",TablaVentas[[#This Row],[Unidades]]*TablaVentas[[#This Row],[Costo_unitario]])</f>
        <v>8239.48</v>
      </c>
      <c r="Q617" s="6" t="n">
        <f aca="false">IF(OR(TablaVentas[[#This Row],[Ingreso_neto]]="PENDIENTE",TablaVentas[[#This Row],[Costo_total]]="PENDIENTE"),"PENDIENTE",TablaVentas[[#This Row],[Ingreso_neto]]-TablaVentas[[#This Row],[Costo_total]])</f>
        <v>3938.114</v>
      </c>
    </row>
    <row r="618" customFormat="false" ht="13.5" hidden="false" customHeight="false" outlineLevel="0" collapsed="false">
      <c r="A618" s="1" t="s">
        <v>593</v>
      </c>
      <c r="B618" s="1" t="n">
        <v>1</v>
      </c>
      <c r="C618" s="5" t="n">
        <v>46186</v>
      </c>
      <c r="D618" s="6" t="s">
        <v>467</v>
      </c>
      <c r="E618" s="6" t="s">
        <v>166</v>
      </c>
      <c r="F618" s="6" t="s">
        <v>84</v>
      </c>
      <c r="G618" s="6" t="s">
        <v>57</v>
      </c>
      <c r="H618" s="6" t="s">
        <v>74</v>
      </c>
      <c r="I618" s="1" t="n">
        <v>1</v>
      </c>
      <c r="J618" s="7" t="n">
        <v>12334.83</v>
      </c>
      <c r="K618" s="8" t="n">
        <v>0</v>
      </c>
      <c r="L618" s="7" t="n">
        <v>9317.37</v>
      </c>
      <c r="M618" s="6" t="s">
        <v>69</v>
      </c>
      <c r="N618" s="6" t="s">
        <v>52</v>
      </c>
      <c r="O618" s="6" t="n">
        <f aca="false">IF(TablaVentas[[#This Row],[Precio_unitario]]="","PENDIENTE",TablaVentas[[#This Row],[Unidades]]*TablaVentas[[#This Row],[Precio_unitario]]*(1-TablaVentas[[#This Row],[Descuento_pct]]))</f>
        <v>12334.83</v>
      </c>
      <c r="P618" s="6" t="n">
        <f aca="false">IF(TablaVentas[[#This Row],[Costo_unitario]]="","PENDIENTE",TablaVentas[[#This Row],[Unidades]]*TablaVentas[[#This Row],[Costo_unitario]])</f>
        <v>9317.37</v>
      </c>
      <c r="Q618" s="6" t="n">
        <f aca="false">IF(OR(TablaVentas[[#This Row],[Ingreso_neto]]="PENDIENTE",TablaVentas[[#This Row],[Costo_total]]="PENDIENTE"),"PENDIENTE",TablaVentas[[#This Row],[Ingreso_neto]]-TablaVentas[[#This Row],[Costo_total]])</f>
        <v>3017.46</v>
      </c>
    </row>
    <row r="619" customFormat="false" ht="13.5" hidden="false" customHeight="false" outlineLevel="0" collapsed="false">
      <c r="A619" s="1" t="s">
        <v>593</v>
      </c>
      <c r="B619" s="1" t="n">
        <v>2</v>
      </c>
      <c r="C619" s="5" t="n">
        <v>46186</v>
      </c>
      <c r="D619" s="6" t="s">
        <v>467</v>
      </c>
      <c r="E619" s="6" t="s">
        <v>234</v>
      </c>
      <c r="F619" s="6" t="s">
        <v>84</v>
      </c>
      <c r="G619" s="6" t="s">
        <v>57</v>
      </c>
      <c r="H619" s="6" t="s">
        <v>74</v>
      </c>
      <c r="I619" s="1" t="n">
        <v>1</v>
      </c>
      <c r="J619" s="7" t="n">
        <v>7617.91</v>
      </c>
      <c r="K619" s="8" t="n">
        <v>0</v>
      </c>
      <c r="L619" s="7" t="n">
        <v>6255.13</v>
      </c>
      <c r="M619" s="6" t="s">
        <v>49</v>
      </c>
      <c r="N619" s="6" t="s">
        <v>67</v>
      </c>
      <c r="O619" s="6" t="n">
        <f aca="false">IF(TablaVentas[[#This Row],[Precio_unitario]]="","PENDIENTE",TablaVentas[[#This Row],[Unidades]]*TablaVentas[[#This Row],[Precio_unitario]]*(1-TablaVentas[[#This Row],[Descuento_pct]]))</f>
        <v>7617.91</v>
      </c>
      <c r="P619" s="6" t="n">
        <f aca="false">IF(TablaVentas[[#This Row],[Costo_unitario]]="","PENDIENTE",TablaVentas[[#This Row],[Unidades]]*TablaVentas[[#This Row],[Costo_unitario]])</f>
        <v>6255.13</v>
      </c>
      <c r="Q619" s="6" t="n">
        <f aca="false">IF(OR(TablaVentas[[#This Row],[Ingreso_neto]]="PENDIENTE",TablaVentas[[#This Row],[Costo_total]]="PENDIENTE"),"PENDIENTE",TablaVentas[[#This Row],[Ingreso_neto]]-TablaVentas[[#This Row],[Costo_total]])</f>
        <v>1362.78</v>
      </c>
    </row>
    <row r="620" customFormat="false" ht="13.5" hidden="false" customHeight="false" outlineLevel="0" collapsed="false">
      <c r="A620" s="1" t="s">
        <v>593</v>
      </c>
      <c r="B620" s="1" t="n">
        <v>3</v>
      </c>
      <c r="C620" s="5" t="n">
        <v>46186</v>
      </c>
      <c r="D620" s="6" t="s">
        <v>467</v>
      </c>
      <c r="E620" s="6" t="s">
        <v>404</v>
      </c>
      <c r="F620" s="6" t="s">
        <v>84</v>
      </c>
      <c r="G620" s="6" t="s">
        <v>57</v>
      </c>
      <c r="H620" s="6" t="s">
        <v>74</v>
      </c>
      <c r="I620" s="1" t="n">
        <v>2</v>
      </c>
      <c r="J620" s="7" t="n">
        <v>6458.81</v>
      </c>
      <c r="K620" s="8" t="n">
        <v>0</v>
      </c>
      <c r="L620" s="7" t="n">
        <v>3640.56</v>
      </c>
      <c r="M620" s="6" t="s">
        <v>49</v>
      </c>
      <c r="N620" s="6" t="s">
        <v>67</v>
      </c>
      <c r="O620" s="6" t="n">
        <f aca="false">IF(TablaVentas[[#This Row],[Precio_unitario]]="","PENDIENTE",TablaVentas[[#This Row],[Unidades]]*TablaVentas[[#This Row],[Precio_unitario]]*(1-TablaVentas[[#This Row],[Descuento_pct]]))</f>
        <v>12917.62</v>
      </c>
      <c r="P620" s="6" t="n">
        <f aca="false">IF(TablaVentas[[#This Row],[Costo_unitario]]="","PENDIENTE",TablaVentas[[#This Row],[Unidades]]*TablaVentas[[#This Row],[Costo_unitario]])</f>
        <v>7281.12</v>
      </c>
      <c r="Q620" s="6" t="n">
        <f aca="false">IF(OR(TablaVentas[[#This Row],[Ingreso_neto]]="PENDIENTE",TablaVentas[[#This Row],[Costo_total]]="PENDIENTE"),"PENDIENTE",TablaVentas[[#This Row],[Ingreso_neto]]-TablaVentas[[#This Row],[Costo_total]])</f>
        <v>5636.5</v>
      </c>
    </row>
    <row r="621" customFormat="false" ht="13.5" hidden="false" customHeight="false" outlineLevel="0" collapsed="false">
      <c r="A621" s="1" t="s">
        <v>593</v>
      </c>
      <c r="B621" s="1" t="n">
        <v>4</v>
      </c>
      <c r="C621" s="5" t="n">
        <v>46186</v>
      </c>
      <c r="D621" s="6" t="s">
        <v>467</v>
      </c>
      <c r="E621" s="6" t="s">
        <v>179</v>
      </c>
      <c r="F621" s="6" t="s">
        <v>84</v>
      </c>
      <c r="G621" s="6" t="s">
        <v>57</v>
      </c>
      <c r="H621" s="6" t="s">
        <v>74</v>
      </c>
      <c r="I621" s="1" t="n">
        <v>3</v>
      </c>
      <c r="J621" s="7" t="n">
        <v>17672.73</v>
      </c>
      <c r="K621" s="8" t="n">
        <v>0</v>
      </c>
      <c r="L621" s="7" t="n">
        <v>10830.17</v>
      </c>
      <c r="M621" s="6" t="s">
        <v>49</v>
      </c>
      <c r="N621" s="6" t="s">
        <v>52</v>
      </c>
      <c r="O621" s="6" t="n">
        <f aca="false">IF(TablaVentas[[#This Row],[Precio_unitario]]="","PENDIENTE",TablaVentas[[#This Row],[Unidades]]*TablaVentas[[#This Row],[Precio_unitario]]*(1-TablaVentas[[#This Row],[Descuento_pct]]))</f>
        <v>53018.19</v>
      </c>
      <c r="P621" s="6" t="n">
        <f aca="false">IF(TablaVentas[[#This Row],[Costo_unitario]]="","PENDIENTE",TablaVentas[[#This Row],[Unidades]]*TablaVentas[[#This Row],[Costo_unitario]])</f>
        <v>32490.51</v>
      </c>
      <c r="Q621" s="6" t="n">
        <f aca="false">IF(OR(TablaVentas[[#This Row],[Ingreso_neto]]="PENDIENTE",TablaVentas[[#This Row],[Costo_total]]="PENDIENTE"),"PENDIENTE",TablaVentas[[#This Row],[Ingreso_neto]]-TablaVentas[[#This Row],[Costo_total]])</f>
        <v>20527.68</v>
      </c>
    </row>
    <row r="622" customFormat="false" ht="13.5" hidden="false" customHeight="false" outlineLevel="0" collapsed="false">
      <c r="A622" s="1" t="s">
        <v>593</v>
      </c>
      <c r="B622" s="1" t="n">
        <v>5</v>
      </c>
      <c r="C622" s="5" t="n">
        <v>46186</v>
      </c>
      <c r="D622" s="6" t="s">
        <v>467</v>
      </c>
      <c r="E622" s="6" t="s">
        <v>116</v>
      </c>
      <c r="F622" s="6" t="s">
        <v>84</v>
      </c>
      <c r="G622" s="6" t="s">
        <v>57</v>
      </c>
      <c r="H622" s="6" t="s">
        <v>74</v>
      </c>
      <c r="I622" s="1" t="n">
        <v>8</v>
      </c>
      <c r="J622" s="7" t="n">
        <v>14778.26</v>
      </c>
      <c r="K622" s="8" t="n">
        <v>0</v>
      </c>
      <c r="L622" s="7" t="n">
        <v>9880.77</v>
      </c>
      <c r="M622" s="6" t="s">
        <v>69</v>
      </c>
      <c r="N622" s="6" t="s">
        <v>52</v>
      </c>
      <c r="O622" s="6" t="n">
        <f aca="false">IF(TablaVentas[[#This Row],[Precio_unitario]]="","PENDIENTE",TablaVentas[[#This Row],[Unidades]]*TablaVentas[[#This Row],[Precio_unitario]]*(1-TablaVentas[[#This Row],[Descuento_pct]]))</f>
        <v>118226.08</v>
      </c>
      <c r="P622" s="6" t="n">
        <f aca="false">IF(TablaVentas[[#This Row],[Costo_unitario]]="","PENDIENTE",TablaVentas[[#This Row],[Unidades]]*TablaVentas[[#This Row],[Costo_unitario]])</f>
        <v>79046.16</v>
      </c>
      <c r="Q622" s="6" t="n">
        <f aca="false">IF(OR(TablaVentas[[#This Row],[Ingreso_neto]]="PENDIENTE",TablaVentas[[#This Row],[Costo_total]]="PENDIENTE"),"PENDIENTE",TablaVentas[[#This Row],[Ingreso_neto]]-TablaVentas[[#This Row],[Costo_total]])</f>
        <v>39179.92</v>
      </c>
    </row>
    <row r="623" customFormat="false" ht="13.5" hidden="false" customHeight="false" outlineLevel="0" collapsed="false">
      <c r="A623" s="1" t="s">
        <v>594</v>
      </c>
      <c r="B623" s="1" t="n">
        <v>1</v>
      </c>
      <c r="C623" s="5" t="n">
        <v>46253</v>
      </c>
      <c r="D623" s="6" t="s">
        <v>481</v>
      </c>
      <c r="E623" s="6" t="s">
        <v>77</v>
      </c>
      <c r="F623" s="6" t="s">
        <v>73</v>
      </c>
      <c r="G623" s="6" t="s">
        <v>47</v>
      </c>
      <c r="H623" s="6" t="s">
        <v>58</v>
      </c>
      <c r="I623" s="1" t="n">
        <v>3</v>
      </c>
      <c r="J623" s="7" t="n">
        <v>14545.08</v>
      </c>
      <c r="K623" s="8" t="n">
        <v>0.05</v>
      </c>
      <c r="L623" s="7" t="n">
        <v>10571.25</v>
      </c>
      <c r="M623" s="6" t="s">
        <v>123</v>
      </c>
      <c r="N623" s="6" t="s">
        <v>50</v>
      </c>
      <c r="O623" s="6" t="n">
        <f aca="false">IF(TablaVentas[[#This Row],[Precio_unitario]]="","PENDIENTE",TablaVentas[[#This Row],[Unidades]]*TablaVentas[[#This Row],[Precio_unitario]]*(1-TablaVentas[[#This Row],[Descuento_pct]]))</f>
        <v>41453.478</v>
      </c>
      <c r="P623" s="6" t="n">
        <f aca="false">IF(TablaVentas[[#This Row],[Costo_unitario]]="","PENDIENTE",TablaVentas[[#This Row],[Unidades]]*TablaVentas[[#This Row],[Costo_unitario]])</f>
        <v>31713.75</v>
      </c>
      <c r="Q623" s="6" t="n">
        <f aca="false">IF(OR(TablaVentas[[#This Row],[Ingreso_neto]]="PENDIENTE",TablaVentas[[#This Row],[Costo_total]]="PENDIENTE"),"PENDIENTE",TablaVentas[[#This Row],[Ingreso_neto]]-TablaVentas[[#This Row],[Costo_total]])</f>
        <v>9739.728</v>
      </c>
    </row>
    <row r="624" customFormat="false" ht="13.5" hidden="false" customHeight="false" outlineLevel="0" collapsed="false">
      <c r="A624" s="1" t="s">
        <v>594</v>
      </c>
      <c r="B624" s="1" t="n">
        <v>2</v>
      </c>
      <c r="C624" s="5" t="n">
        <v>46253</v>
      </c>
      <c r="D624" s="6" t="s">
        <v>481</v>
      </c>
      <c r="E624" s="6" t="s">
        <v>151</v>
      </c>
      <c r="F624" s="6" t="s">
        <v>73</v>
      </c>
      <c r="G624" s="6" t="s">
        <v>47</v>
      </c>
      <c r="H624" s="6" t="s">
        <v>58</v>
      </c>
      <c r="I624" s="1" t="n">
        <v>2</v>
      </c>
      <c r="J624" s="7" t="n">
        <v>10079.74</v>
      </c>
      <c r="K624" s="8" t="n">
        <v>0.15</v>
      </c>
      <c r="L624" s="7" t="n">
        <v>5125.36</v>
      </c>
      <c r="M624" s="6" t="s">
        <v>49</v>
      </c>
      <c r="N624" s="6" t="s">
        <v>52</v>
      </c>
      <c r="O624" s="6" t="n">
        <f aca="false">IF(TablaVentas[[#This Row],[Precio_unitario]]="","PENDIENTE",TablaVentas[[#This Row],[Unidades]]*TablaVentas[[#This Row],[Precio_unitario]]*(1-TablaVentas[[#This Row],[Descuento_pct]]))</f>
        <v>17135.558</v>
      </c>
      <c r="P624" s="6" t="n">
        <f aca="false">IF(TablaVentas[[#This Row],[Costo_unitario]]="","PENDIENTE",TablaVentas[[#This Row],[Unidades]]*TablaVentas[[#This Row],[Costo_unitario]])</f>
        <v>10250.72</v>
      </c>
      <c r="Q624" s="6" t="n">
        <f aca="false">IF(OR(TablaVentas[[#This Row],[Ingreso_neto]]="PENDIENTE",TablaVentas[[#This Row],[Costo_total]]="PENDIENTE"),"PENDIENTE",TablaVentas[[#This Row],[Ingreso_neto]]-TablaVentas[[#This Row],[Costo_total]])</f>
        <v>6884.838</v>
      </c>
    </row>
    <row r="625" customFormat="false" ht="13.5" hidden="false" customHeight="false" outlineLevel="0" collapsed="false">
      <c r="A625" s="1" t="s">
        <v>594</v>
      </c>
      <c r="B625" s="1" t="n">
        <v>3</v>
      </c>
      <c r="C625" s="5" t="n">
        <v>46253</v>
      </c>
      <c r="D625" s="6" t="s">
        <v>481</v>
      </c>
      <c r="E625" s="6" t="s">
        <v>595</v>
      </c>
      <c r="F625" s="6" t="s">
        <v>73</v>
      </c>
      <c r="G625" s="6" t="s">
        <v>47</v>
      </c>
      <c r="H625" s="6" t="s">
        <v>58</v>
      </c>
      <c r="I625" s="1" t="n">
        <v>2</v>
      </c>
      <c r="J625" s="7" t="n">
        <v>8480.74</v>
      </c>
      <c r="K625" s="8" t="n">
        <v>0.2</v>
      </c>
      <c r="L625" s="7" t="n">
        <v>6255.13</v>
      </c>
      <c r="M625" s="6" t="s">
        <v>49</v>
      </c>
      <c r="N625" s="6" t="s">
        <v>67</v>
      </c>
      <c r="O625" s="6" t="n">
        <f aca="false">IF(TablaVentas[[#This Row],[Precio_unitario]]="","PENDIENTE",TablaVentas[[#This Row],[Unidades]]*TablaVentas[[#This Row],[Precio_unitario]]*(1-TablaVentas[[#This Row],[Descuento_pct]]))</f>
        <v>13569.184</v>
      </c>
      <c r="P625" s="6" t="n">
        <f aca="false">IF(TablaVentas[[#This Row],[Costo_unitario]]="","PENDIENTE",TablaVentas[[#This Row],[Unidades]]*TablaVentas[[#This Row],[Costo_unitario]])</f>
        <v>12510.26</v>
      </c>
      <c r="Q625" s="6" t="n">
        <f aca="false">IF(OR(TablaVentas[[#This Row],[Ingreso_neto]]="PENDIENTE",TablaVentas[[#This Row],[Costo_total]]="PENDIENTE"),"PENDIENTE",TablaVentas[[#This Row],[Ingreso_neto]]-TablaVentas[[#This Row],[Costo_total]])</f>
        <v>1058.924</v>
      </c>
      <c r="R625" s="6" t="s">
        <v>596</v>
      </c>
    </row>
    <row r="626" customFormat="false" ht="13.5" hidden="false" customHeight="false" outlineLevel="0" collapsed="false">
      <c r="A626" s="1" t="s">
        <v>597</v>
      </c>
      <c r="B626" s="1" t="n">
        <v>1</v>
      </c>
      <c r="C626" s="5" t="n">
        <v>46137</v>
      </c>
      <c r="D626" s="6" t="s">
        <v>357</v>
      </c>
      <c r="E626" s="6" t="s">
        <v>120</v>
      </c>
      <c r="F626" s="6" t="s">
        <v>73</v>
      </c>
      <c r="G626" s="6" t="s">
        <v>47</v>
      </c>
      <c r="H626" s="6" t="s">
        <v>89</v>
      </c>
      <c r="I626" s="1" t="n">
        <v>8</v>
      </c>
      <c r="J626" s="7" t="n">
        <v>2892.1</v>
      </c>
      <c r="K626" s="8" t="n">
        <v>0</v>
      </c>
      <c r="L626" s="7" t="n">
        <v>2196.34</v>
      </c>
      <c r="M626" s="6" t="s">
        <v>123</v>
      </c>
      <c r="N626" s="6" t="s">
        <v>50</v>
      </c>
      <c r="O626" s="6" t="n">
        <f aca="false">IF(TablaVentas[[#This Row],[Precio_unitario]]="","PENDIENTE",TablaVentas[[#This Row],[Unidades]]*TablaVentas[[#This Row],[Precio_unitario]]*(1-TablaVentas[[#This Row],[Descuento_pct]]))</f>
        <v>23136.8</v>
      </c>
      <c r="P626" s="6" t="n">
        <f aca="false">IF(TablaVentas[[#This Row],[Costo_unitario]]="","PENDIENTE",TablaVentas[[#This Row],[Unidades]]*TablaVentas[[#This Row],[Costo_unitario]])</f>
        <v>17570.72</v>
      </c>
      <c r="Q626" s="6" t="n">
        <f aca="false">IF(OR(TablaVentas[[#This Row],[Ingreso_neto]]="PENDIENTE",TablaVentas[[#This Row],[Costo_total]]="PENDIENTE"),"PENDIENTE",TablaVentas[[#This Row],[Ingreso_neto]]-TablaVentas[[#This Row],[Costo_total]])</f>
        <v>5566.08</v>
      </c>
    </row>
    <row r="627" customFormat="false" ht="13.5" hidden="false" customHeight="false" outlineLevel="0" collapsed="false">
      <c r="A627" s="1" t="s">
        <v>597</v>
      </c>
      <c r="B627" s="1" t="n">
        <v>2</v>
      </c>
      <c r="C627" s="5" t="n">
        <v>46137</v>
      </c>
      <c r="D627" s="6" t="s">
        <v>357</v>
      </c>
      <c r="E627" s="6" t="s">
        <v>122</v>
      </c>
      <c r="F627" s="6" t="s">
        <v>73</v>
      </c>
      <c r="G627" s="6" t="s">
        <v>47</v>
      </c>
      <c r="H627" s="6" t="s">
        <v>89</v>
      </c>
      <c r="I627" s="1" t="n">
        <v>1</v>
      </c>
      <c r="J627" s="7" t="n">
        <v>1341.46</v>
      </c>
      <c r="K627" s="8" t="n">
        <v>0.15</v>
      </c>
      <c r="L627" s="7" t="n">
        <v>705.87</v>
      </c>
      <c r="M627" s="6" t="s">
        <v>49</v>
      </c>
      <c r="N627" s="6" t="s">
        <v>52</v>
      </c>
      <c r="O627" s="6" t="n">
        <f aca="false">IF(TablaVentas[[#This Row],[Precio_unitario]]="","PENDIENTE",TablaVentas[[#This Row],[Unidades]]*TablaVentas[[#This Row],[Precio_unitario]]*(1-TablaVentas[[#This Row],[Descuento_pct]]))</f>
        <v>1140.241</v>
      </c>
      <c r="P627" s="6" t="n">
        <f aca="false">IF(TablaVentas[[#This Row],[Costo_unitario]]="","PENDIENTE",TablaVentas[[#This Row],[Unidades]]*TablaVentas[[#This Row],[Costo_unitario]])</f>
        <v>705.87</v>
      </c>
      <c r="Q627" s="6" t="n">
        <f aca="false">IF(OR(TablaVentas[[#This Row],[Ingreso_neto]]="PENDIENTE",TablaVentas[[#This Row],[Costo_total]]="PENDIENTE"),"PENDIENTE",TablaVentas[[#This Row],[Ingreso_neto]]-TablaVentas[[#This Row],[Costo_total]])</f>
        <v>434.371</v>
      </c>
    </row>
    <row r="628" customFormat="false" ht="13.5" hidden="false" customHeight="false" outlineLevel="0" collapsed="false">
      <c r="A628" s="1" t="s">
        <v>598</v>
      </c>
      <c r="B628" s="1" t="n">
        <v>1</v>
      </c>
      <c r="C628" s="5" t="n">
        <v>46090</v>
      </c>
      <c r="D628" s="6" t="s">
        <v>543</v>
      </c>
      <c r="E628" s="6" t="s">
        <v>269</v>
      </c>
      <c r="F628" s="6" t="s">
        <v>73</v>
      </c>
      <c r="G628" s="6" t="s">
        <v>64</v>
      </c>
      <c r="H628" s="6" t="s">
        <v>89</v>
      </c>
      <c r="I628" s="1" t="n">
        <v>2</v>
      </c>
      <c r="J628" s="7" t="n">
        <v>12629.32</v>
      </c>
      <c r="K628" s="8" t="n">
        <v>0</v>
      </c>
      <c r="L628" s="7" t="n">
        <v>8227.46</v>
      </c>
      <c r="M628" s="6" t="s">
        <v>49</v>
      </c>
      <c r="N628" s="6" t="s">
        <v>52</v>
      </c>
      <c r="O628" s="6" t="n">
        <f aca="false">IF(TablaVentas[[#This Row],[Precio_unitario]]="","PENDIENTE",TablaVentas[[#This Row],[Unidades]]*TablaVentas[[#This Row],[Precio_unitario]]*(1-TablaVentas[[#This Row],[Descuento_pct]]))</f>
        <v>25258.64</v>
      </c>
      <c r="P628" s="6" t="n">
        <f aca="false">IF(TablaVentas[[#This Row],[Costo_unitario]]="","PENDIENTE",TablaVentas[[#This Row],[Unidades]]*TablaVentas[[#This Row],[Costo_unitario]])</f>
        <v>16454.92</v>
      </c>
      <c r="Q628" s="6" t="n">
        <f aca="false">IF(OR(TablaVentas[[#This Row],[Ingreso_neto]]="PENDIENTE",TablaVentas[[#This Row],[Costo_total]]="PENDIENTE"),"PENDIENTE",TablaVentas[[#This Row],[Ingreso_neto]]-TablaVentas[[#This Row],[Costo_total]])</f>
        <v>8803.72</v>
      </c>
    </row>
    <row r="629" customFormat="false" ht="13.5" hidden="false" customHeight="false" outlineLevel="0" collapsed="false">
      <c r="A629" s="1" t="s">
        <v>598</v>
      </c>
      <c r="B629" s="1" t="n">
        <v>2</v>
      </c>
      <c r="C629" s="5" t="n">
        <v>46090</v>
      </c>
      <c r="D629" s="6" t="s">
        <v>543</v>
      </c>
      <c r="E629" s="6" t="s">
        <v>151</v>
      </c>
      <c r="F629" s="6" t="s">
        <v>73</v>
      </c>
      <c r="G629" s="6" t="s">
        <v>64</v>
      </c>
      <c r="H629" s="6" t="s">
        <v>89</v>
      </c>
      <c r="I629" s="1" t="n">
        <v>1</v>
      </c>
      <c r="J629" s="7" t="n">
        <v>8932.64</v>
      </c>
      <c r="K629" s="8" t="n">
        <v>0</v>
      </c>
      <c r="L629" s="7" t="n">
        <v>5125.36</v>
      </c>
      <c r="M629" s="6" t="s">
        <v>123</v>
      </c>
      <c r="N629" s="6" t="s">
        <v>67</v>
      </c>
      <c r="O629" s="6" t="n">
        <f aca="false">IF(TablaVentas[[#This Row],[Precio_unitario]]="","PENDIENTE",TablaVentas[[#This Row],[Unidades]]*TablaVentas[[#This Row],[Precio_unitario]]*(1-TablaVentas[[#This Row],[Descuento_pct]]))</f>
        <v>8932.64</v>
      </c>
      <c r="P629" s="6" t="n">
        <f aca="false">IF(TablaVentas[[#This Row],[Costo_unitario]]="","PENDIENTE",TablaVentas[[#This Row],[Unidades]]*TablaVentas[[#This Row],[Costo_unitario]])</f>
        <v>5125.36</v>
      </c>
      <c r="Q629" s="6" t="n">
        <f aca="false">IF(OR(TablaVentas[[#This Row],[Ingreso_neto]]="PENDIENTE",TablaVentas[[#This Row],[Costo_total]]="PENDIENTE"),"PENDIENTE",TablaVentas[[#This Row],[Ingreso_neto]]-TablaVentas[[#This Row],[Costo_total]])</f>
        <v>3807.28</v>
      </c>
    </row>
    <row r="630" customFormat="false" ht="13.5" hidden="false" customHeight="false" outlineLevel="0" collapsed="false">
      <c r="A630" s="1" t="s">
        <v>598</v>
      </c>
      <c r="B630" s="1" t="n">
        <v>3</v>
      </c>
      <c r="C630" s="5" t="n">
        <v>46090</v>
      </c>
      <c r="D630" s="6" t="s">
        <v>543</v>
      </c>
      <c r="E630" s="6" t="s">
        <v>171</v>
      </c>
      <c r="F630" s="6" t="s">
        <v>73</v>
      </c>
      <c r="G630" s="6" t="s">
        <v>64</v>
      </c>
      <c r="H630" s="6" t="s">
        <v>89</v>
      </c>
      <c r="I630" s="1" t="n">
        <v>1</v>
      </c>
      <c r="J630" s="7" t="n">
        <v>5875.07</v>
      </c>
      <c r="K630" s="8" t="n">
        <v>0</v>
      </c>
      <c r="L630" s="7" t="n">
        <v>5050.04</v>
      </c>
      <c r="M630" s="6" t="s">
        <v>49</v>
      </c>
      <c r="N630" s="6" t="s">
        <v>67</v>
      </c>
      <c r="O630" s="6" t="n">
        <f aca="false">IF(TablaVentas[[#This Row],[Precio_unitario]]="","PENDIENTE",TablaVentas[[#This Row],[Unidades]]*TablaVentas[[#This Row],[Precio_unitario]]*(1-TablaVentas[[#This Row],[Descuento_pct]]))</f>
        <v>5875.07</v>
      </c>
      <c r="P630" s="6" t="n">
        <f aca="false">IF(TablaVentas[[#This Row],[Costo_unitario]]="","PENDIENTE",TablaVentas[[#This Row],[Unidades]]*TablaVentas[[#This Row],[Costo_unitario]])</f>
        <v>5050.04</v>
      </c>
      <c r="Q630" s="6" t="n">
        <f aca="false">IF(OR(TablaVentas[[#This Row],[Ingreso_neto]]="PENDIENTE",TablaVentas[[#This Row],[Costo_total]]="PENDIENTE"),"PENDIENTE",TablaVentas[[#This Row],[Ingreso_neto]]-TablaVentas[[#This Row],[Costo_total]])</f>
        <v>825.03</v>
      </c>
    </row>
    <row r="631" customFormat="false" ht="13.5" hidden="false" customHeight="false" outlineLevel="0" collapsed="false">
      <c r="A631" s="1" t="s">
        <v>599</v>
      </c>
      <c r="B631" s="1" t="n">
        <v>1</v>
      </c>
      <c r="C631" s="5" t="n">
        <v>46188</v>
      </c>
      <c r="D631" s="6" t="s">
        <v>600</v>
      </c>
      <c r="E631" s="6" t="s">
        <v>116</v>
      </c>
      <c r="F631" s="6" t="s">
        <v>73</v>
      </c>
      <c r="G631" s="6" t="s">
        <v>57</v>
      </c>
      <c r="H631" s="6" t="s">
        <v>65</v>
      </c>
      <c r="I631" s="1" t="n">
        <v>1</v>
      </c>
      <c r="J631" s="7" t="n">
        <v>14928.6</v>
      </c>
      <c r="K631" s="8" t="n">
        <v>0</v>
      </c>
      <c r="L631" s="7" t="n">
        <v>9880.77</v>
      </c>
      <c r="M631" s="6" t="s">
        <v>49</v>
      </c>
      <c r="N631" s="6" t="s">
        <v>50</v>
      </c>
      <c r="O631" s="6" t="n">
        <f aca="false">IF(TablaVentas[[#This Row],[Precio_unitario]]="","PENDIENTE",TablaVentas[[#This Row],[Unidades]]*TablaVentas[[#This Row],[Precio_unitario]]*(1-TablaVentas[[#This Row],[Descuento_pct]]))</f>
        <v>14928.6</v>
      </c>
      <c r="P631" s="6" t="n">
        <f aca="false">IF(TablaVentas[[#This Row],[Costo_unitario]]="","PENDIENTE",TablaVentas[[#This Row],[Unidades]]*TablaVentas[[#This Row],[Costo_unitario]])</f>
        <v>9880.77</v>
      </c>
      <c r="Q631" s="6" t="n">
        <f aca="false">IF(OR(TablaVentas[[#This Row],[Ingreso_neto]]="PENDIENTE",TablaVentas[[#This Row],[Costo_total]]="PENDIENTE"),"PENDIENTE",TablaVentas[[#This Row],[Ingreso_neto]]-TablaVentas[[#This Row],[Costo_total]])</f>
        <v>5047.83</v>
      </c>
    </row>
    <row r="632" customFormat="false" ht="13.5" hidden="false" customHeight="false" outlineLevel="0" collapsed="false">
      <c r="A632" s="1" t="s">
        <v>599</v>
      </c>
      <c r="B632" s="1" t="n">
        <v>2</v>
      </c>
      <c r="C632" s="5" t="n">
        <v>46188</v>
      </c>
      <c r="D632" s="6" t="s">
        <v>600</v>
      </c>
      <c r="E632" s="6" t="s">
        <v>162</v>
      </c>
      <c r="F632" s="6" t="s">
        <v>73</v>
      </c>
      <c r="G632" s="6" t="s">
        <v>57</v>
      </c>
      <c r="H632" s="6" t="s">
        <v>65</v>
      </c>
      <c r="I632" s="1" t="n">
        <v>2</v>
      </c>
      <c r="J632" s="7" t="n">
        <v>773.2</v>
      </c>
      <c r="K632" s="8" t="n">
        <v>0</v>
      </c>
      <c r="L632" s="7" t="n">
        <v>397.1</v>
      </c>
      <c r="M632" s="6" t="s">
        <v>49</v>
      </c>
      <c r="N632" s="6" t="s">
        <v>67</v>
      </c>
      <c r="O632" s="6" t="n">
        <f aca="false">IF(TablaVentas[[#This Row],[Precio_unitario]]="","PENDIENTE",TablaVentas[[#This Row],[Unidades]]*TablaVentas[[#This Row],[Precio_unitario]]*(1-TablaVentas[[#This Row],[Descuento_pct]]))</f>
        <v>1546.4</v>
      </c>
      <c r="P632" s="6" t="n">
        <f aca="false">IF(TablaVentas[[#This Row],[Costo_unitario]]="","PENDIENTE",TablaVentas[[#This Row],[Unidades]]*TablaVentas[[#This Row],[Costo_unitario]])</f>
        <v>794.2</v>
      </c>
      <c r="Q632" s="6" t="n">
        <f aca="false">IF(OR(TablaVentas[[#This Row],[Ingreso_neto]]="PENDIENTE",TablaVentas[[#This Row],[Costo_total]]="PENDIENTE"),"PENDIENTE",TablaVentas[[#This Row],[Ingreso_neto]]-TablaVentas[[#This Row],[Costo_total]])</f>
        <v>752.2</v>
      </c>
    </row>
    <row r="633" customFormat="false" ht="13.5" hidden="false" customHeight="false" outlineLevel="0" collapsed="false">
      <c r="A633" s="1" t="s">
        <v>601</v>
      </c>
      <c r="B633" s="1" t="n">
        <v>1</v>
      </c>
      <c r="C633" s="5" t="n">
        <v>46203</v>
      </c>
      <c r="D633" s="6" t="s">
        <v>502</v>
      </c>
      <c r="E633" s="6" t="s">
        <v>170</v>
      </c>
      <c r="F633" s="6" t="s">
        <v>63</v>
      </c>
      <c r="G633" s="6" t="s">
        <v>64</v>
      </c>
      <c r="H633" s="6" t="s">
        <v>80</v>
      </c>
      <c r="I633" s="1" t="n">
        <v>1</v>
      </c>
      <c r="J633" s="7" t="n">
        <v>17817.03</v>
      </c>
      <c r="K633" s="8" t="n">
        <v>0.1</v>
      </c>
      <c r="L633" s="7" t="n">
        <v>12141.44</v>
      </c>
      <c r="M633" s="6" t="s">
        <v>49</v>
      </c>
      <c r="N633" s="6" t="s">
        <v>50</v>
      </c>
      <c r="O633" s="6" t="n">
        <f aca="false">IF(TablaVentas[[#This Row],[Precio_unitario]]="","PENDIENTE",TablaVentas[[#This Row],[Unidades]]*TablaVentas[[#This Row],[Precio_unitario]]*(1-TablaVentas[[#This Row],[Descuento_pct]]))</f>
        <v>16035.327</v>
      </c>
      <c r="P633" s="6" t="n">
        <f aca="false">IF(TablaVentas[[#This Row],[Costo_unitario]]="","PENDIENTE",TablaVentas[[#This Row],[Unidades]]*TablaVentas[[#This Row],[Costo_unitario]])</f>
        <v>12141.44</v>
      </c>
      <c r="Q633" s="6" t="n">
        <f aca="false">IF(OR(TablaVentas[[#This Row],[Ingreso_neto]]="PENDIENTE",TablaVentas[[#This Row],[Costo_total]]="PENDIENTE"),"PENDIENTE",TablaVentas[[#This Row],[Ingreso_neto]]-TablaVentas[[#This Row],[Costo_total]])</f>
        <v>3893.887</v>
      </c>
    </row>
    <row r="634" customFormat="false" ht="13.5" hidden="false" customHeight="false" outlineLevel="0" collapsed="false">
      <c r="A634" s="1" t="s">
        <v>601</v>
      </c>
      <c r="B634" s="1" t="n">
        <v>2</v>
      </c>
      <c r="C634" s="5" t="n">
        <v>46203</v>
      </c>
      <c r="D634" s="6" t="s">
        <v>502</v>
      </c>
      <c r="E634" s="6" t="s">
        <v>45</v>
      </c>
      <c r="F634" s="6" t="s">
        <v>63</v>
      </c>
      <c r="G634" s="6" t="s">
        <v>64</v>
      </c>
      <c r="H634" s="6" t="s">
        <v>80</v>
      </c>
      <c r="I634" s="1" t="n">
        <v>4</v>
      </c>
      <c r="J634" s="7" t="n">
        <v>6012.34</v>
      </c>
      <c r="K634" s="8" t="n">
        <v>0</v>
      </c>
      <c r="L634" s="7" t="n">
        <v>3832.69</v>
      </c>
      <c r="M634" s="6" t="s">
        <v>49</v>
      </c>
      <c r="N634" s="6" t="s">
        <v>50</v>
      </c>
      <c r="O634" s="6" t="n">
        <f aca="false">IF(TablaVentas[[#This Row],[Precio_unitario]]="","PENDIENTE",TablaVentas[[#This Row],[Unidades]]*TablaVentas[[#This Row],[Precio_unitario]]*(1-TablaVentas[[#This Row],[Descuento_pct]]))</f>
        <v>24049.36</v>
      </c>
      <c r="P634" s="6" t="n">
        <f aca="false">IF(TablaVentas[[#This Row],[Costo_unitario]]="","PENDIENTE",TablaVentas[[#This Row],[Unidades]]*TablaVentas[[#This Row],[Costo_unitario]])</f>
        <v>15330.76</v>
      </c>
      <c r="Q634" s="6" t="n">
        <f aca="false">IF(OR(TablaVentas[[#This Row],[Ingreso_neto]]="PENDIENTE",TablaVentas[[#This Row],[Costo_total]]="PENDIENTE"),"PENDIENTE",TablaVentas[[#This Row],[Ingreso_neto]]-TablaVentas[[#This Row],[Costo_total]])</f>
        <v>8718.6</v>
      </c>
    </row>
    <row r="635" customFormat="false" ht="13.5" hidden="false" customHeight="false" outlineLevel="0" collapsed="false">
      <c r="A635" s="1" t="s">
        <v>601</v>
      </c>
      <c r="B635" s="1" t="n">
        <v>3</v>
      </c>
      <c r="C635" s="5" t="n">
        <v>46203</v>
      </c>
      <c r="D635" s="6" t="s">
        <v>502</v>
      </c>
      <c r="E635" s="6" t="s">
        <v>159</v>
      </c>
      <c r="F635" s="6" t="s">
        <v>63</v>
      </c>
      <c r="G635" s="6" t="s">
        <v>64</v>
      </c>
      <c r="H635" s="6" t="s">
        <v>80</v>
      </c>
      <c r="I635" s="1" t="n">
        <v>1</v>
      </c>
      <c r="J635" s="7" t="n">
        <v>2881.26</v>
      </c>
      <c r="K635" s="8" t="n">
        <v>0</v>
      </c>
      <c r="L635" s="7" t="n">
        <v>1962.3</v>
      </c>
      <c r="M635" s="6" t="s">
        <v>49</v>
      </c>
      <c r="N635" s="6" t="s">
        <v>67</v>
      </c>
      <c r="O635" s="6" t="n">
        <f aca="false">IF(TablaVentas[[#This Row],[Precio_unitario]]="","PENDIENTE",TablaVentas[[#This Row],[Unidades]]*TablaVentas[[#This Row],[Precio_unitario]]*(1-TablaVentas[[#This Row],[Descuento_pct]]))</f>
        <v>2881.26</v>
      </c>
      <c r="P635" s="6" t="n">
        <f aca="false">IF(TablaVentas[[#This Row],[Costo_unitario]]="","PENDIENTE",TablaVentas[[#This Row],[Unidades]]*TablaVentas[[#This Row],[Costo_unitario]])</f>
        <v>1962.3</v>
      </c>
      <c r="Q635" s="6" t="n">
        <f aca="false">IF(OR(TablaVentas[[#This Row],[Ingreso_neto]]="PENDIENTE",TablaVentas[[#This Row],[Costo_total]]="PENDIENTE"),"PENDIENTE",TablaVentas[[#This Row],[Ingreso_neto]]-TablaVentas[[#This Row],[Costo_total]])</f>
        <v>918.96</v>
      </c>
    </row>
    <row r="636" customFormat="false" ht="13.5" hidden="false" customHeight="false" outlineLevel="0" collapsed="false">
      <c r="A636" s="1" t="s">
        <v>601</v>
      </c>
      <c r="B636" s="1" t="n">
        <v>4</v>
      </c>
      <c r="C636" s="5" t="n">
        <v>46203</v>
      </c>
      <c r="D636" s="6" t="s">
        <v>502</v>
      </c>
      <c r="E636" s="6" t="s">
        <v>83</v>
      </c>
      <c r="F636" s="6" t="s">
        <v>63</v>
      </c>
      <c r="G636" s="6" t="s">
        <v>64</v>
      </c>
      <c r="H636" s="6" t="s">
        <v>80</v>
      </c>
      <c r="I636" s="1" t="n">
        <v>1</v>
      </c>
      <c r="J636" s="7" t="n">
        <v>13506.77</v>
      </c>
      <c r="K636" s="8" t="n">
        <v>0</v>
      </c>
      <c r="L636" s="7" t="n">
        <v>7748.44</v>
      </c>
      <c r="M636" s="6" t="s">
        <v>49</v>
      </c>
      <c r="N636" s="6" t="s">
        <v>52</v>
      </c>
      <c r="O636" s="6" t="n">
        <f aca="false">IF(TablaVentas[[#This Row],[Precio_unitario]]="","PENDIENTE",TablaVentas[[#This Row],[Unidades]]*TablaVentas[[#This Row],[Precio_unitario]]*(1-TablaVentas[[#This Row],[Descuento_pct]]))</f>
        <v>13506.77</v>
      </c>
      <c r="P636" s="6" t="n">
        <f aca="false">IF(TablaVentas[[#This Row],[Costo_unitario]]="","PENDIENTE",TablaVentas[[#This Row],[Unidades]]*TablaVentas[[#This Row],[Costo_unitario]])</f>
        <v>7748.44</v>
      </c>
      <c r="Q636" s="6" t="n">
        <f aca="false">IF(OR(TablaVentas[[#This Row],[Ingreso_neto]]="PENDIENTE",TablaVentas[[#This Row],[Costo_total]]="PENDIENTE"),"PENDIENTE",TablaVentas[[#This Row],[Ingreso_neto]]-TablaVentas[[#This Row],[Costo_total]])</f>
        <v>5758.33</v>
      </c>
    </row>
    <row r="637" customFormat="false" ht="13.5" hidden="false" customHeight="false" outlineLevel="0" collapsed="false">
      <c r="A637" s="1" t="s">
        <v>602</v>
      </c>
      <c r="B637" s="1" t="n">
        <v>1</v>
      </c>
      <c r="C637" s="5" t="n">
        <v>46024</v>
      </c>
      <c r="D637" s="6" t="s">
        <v>349</v>
      </c>
      <c r="E637" s="6" t="s">
        <v>75</v>
      </c>
      <c r="F637" s="6" t="s">
        <v>84</v>
      </c>
      <c r="G637" s="6" t="s">
        <v>64</v>
      </c>
      <c r="H637" s="6" t="s">
        <v>48</v>
      </c>
      <c r="I637" s="1" t="n">
        <v>5</v>
      </c>
      <c r="J637" s="7" t="n">
        <v>16257.94</v>
      </c>
      <c r="K637" s="8" t="n">
        <v>0.2</v>
      </c>
      <c r="L637" s="7" t="n">
        <v>9243.35</v>
      </c>
      <c r="M637" s="6" t="s">
        <v>49</v>
      </c>
      <c r="N637" s="6" t="s">
        <v>52</v>
      </c>
      <c r="O637" s="6" t="n">
        <f aca="false">IF(TablaVentas[[#This Row],[Precio_unitario]]="","PENDIENTE",TablaVentas[[#This Row],[Unidades]]*TablaVentas[[#This Row],[Precio_unitario]]*(1-TablaVentas[[#This Row],[Descuento_pct]]))</f>
        <v>65031.76</v>
      </c>
      <c r="P637" s="6" t="n">
        <f aca="false">IF(TablaVentas[[#This Row],[Costo_unitario]]="","PENDIENTE",TablaVentas[[#This Row],[Unidades]]*TablaVentas[[#This Row],[Costo_unitario]])</f>
        <v>46216.75</v>
      </c>
      <c r="Q637" s="6" t="n">
        <f aca="false">IF(OR(TablaVentas[[#This Row],[Ingreso_neto]]="PENDIENTE",TablaVentas[[#This Row],[Costo_total]]="PENDIENTE"),"PENDIENTE",TablaVentas[[#This Row],[Ingreso_neto]]-TablaVentas[[#This Row],[Costo_total]])</f>
        <v>18815.01</v>
      </c>
    </row>
    <row r="638" customFormat="false" ht="13.5" hidden="false" customHeight="false" outlineLevel="0" collapsed="false">
      <c r="A638" s="1" t="s">
        <v>602</v>
      </c>
      <c r="B638" s="1" t="n">
        <v>2</v>
      </c>
      <c r="C638" s="5" t="n">
        <v>46024</v>
      </c>
      <c r="D638" s="6" t="s">
        <v>349</v>
      </c>
      <c r="E638" s="6" t="s">
        <v>117</v>
      </c>
      <c r="F638" s="6" t="s">
        <v>84</v>
      </c>
      <c r="G638" s="6" t="s">
        <v>64</v>
      </c>
      <c r="H638" s="6" t="s">
        <v>48</v>
      </c>
      <c r="I638" s="1" t="n">
        <v>4</v>
      </c>
      <c r="J638" s="7" t="n">
        <v>5891.9</v>
      </c>
      <c r="K638" s="8" t="n">
        <v>0</v>
      </c>
      <c r="L638" s="7" t="n">
        <v>4205.69</v>
      </c>
      <c r="M638" s="6" t="s">
        <v>49</v>
      </c>
      <c r="N638" s="6" t="s">
        <v>52</v>
      </c>
      <c r="O638" s="6" t="n">
        <f aca="false">IF(TablaVentas[[#This Row],[Precio_unitario]]="","PENDIENTE",TablaVentas[[#This Row],[Unidades]]*TablaVentas[[#This Row],[Precio_unitario]]*(1-TablaVentas[[#This Row],[Descuento_pct]]))</f>
        <v>23567.6</v>
      </c>
      <c r="P638" s="6" t="n">
        <f aca="false">IF(TablaVentas[[#This Row],[Costo_unitario]]="","PENDIENTE",TablaVentas[[#This Row],[Unidades]]*TablaVentas[[#This Row],[Costo_unitario]])</f>
        <v>16822.76</v>
      </c>
      <c r="Q638" s="6" t="n">
        <f aca="false">IF(OR(TablaVentas[[#This Row],[Ingreso_neto]]="PENDIENTE",TablaVentas[[#This Row],[Costo_total]]="PENDIENTE"),"PENDIENTE",TablaVentas[[#This Row],[Ingreso_neto]]-TablaVentas[[#This Row],[Costo_total]])</f>
        <v>6744.84</v>
      </c>
    </row>
    <row r="639" customFormat="false" ht="13.5" hidden="false" customHeight="false" outlineLevel="0" collapsed="false">
      <c r="A639" s="1" t="s">
        <v>602</v>
      </c>
      <c r="B639" s="1" t="n">
        <v>3</v>
      </c>
      <c r="C639" s="5" t="n">
        <v>46024</v>
      </c>
      <c r="D639" s="6" t="s">
        <v>349</v>
      </c>
      <c r="E639" s="6" t="s">
        <v>151</v>
      </c>
      <c r="F639" s="6" t="s">
        <v>84</v>
      </c>
      <c r="G639" s="6" t="s">
        <v>64</v>
      </c>
      <c r="H639" s="6" t="s">
        <v>48</v>
      </c>
      <c r="I639" s="1" t="n">
        <v>8</v>
      </c>
      <c r="J639" s="7" t="n">
        <v>9066.87</v>
      </c>
      <c r="K639" s="8" t="n">
        <v>0</v>
      </c>
      <c r="L639" s="7" t="n">
        <v>5125.36</v>
      </c>
      <c r="M639" s="6" t="s">
        <v>49</v>
      </c>
      <c r="N639" s="6" t="s">
        <v>59</v>
      </c>
      <c r="O639" s="6" t="n">
        <f aca="false">IF(TablaVentas[[#This Row],[Precio_unitario]]="","PENDIENTE",TablaVentas[[#This Row],[Unidades]]*TablaVentas[[#This Row],[Precio_unitario]]*(1-TablaVentas[[#This Row],[Descuento_pct]]))</f>
        <v>72534.96</v>
      </c>
      <c r="P639" s="6" t="n">
        <f aca="false">IF(TablaVentas[[#This Row],[Costo_unitario]]="","PENDIENTE",TablaVentas[[#This Row],[Unidades]]*TablaVentas[[#This Row],[Costo_unitario]])</f>
        <v>41002.88</v>
      </c>
      <c r="Q639" s="6" t="n">
        <f aca="false">IF(OR(TablaVentas[[#This Row],[Ingreso_neto]]="PENDIENTE",TablaVentas[[#This Row],[Costo_total]]="PENDIENTE"),"PENDIENTE",TablaVentas[[#This Row],[Ingreso_neto]]-TablaVentas[[#This Row],[Costo_total]])</f>
        <v>31532.08</v>
      </c>
    </row>
    <row r="640" customFormat="false" ht="13.5" hidden="false" customHeight="false" outlineLevel="0" collapsed="false">
      <c r="A640" s="1" t="s">
        <v>603</v>
      </c>
      <c r="B640" s="1" t="n">
        <v>1</v>
      </c>
      <c r="C640" s="5" t="n">
        <v>46024</v>
      </c>
      <c r="D640" s="6" t="s">
        <v>382</v>
      </c>
      <c r="E640" s="6" t="s">
        <v>83</v>
      </c>
      <c r="F640" s="6" t="s">
        <v>73</v>
      </c>
      <c r="G640" s="6" t="s">
        <v>47</v>
      </c>
      <c r="H640" s="6" t="s">
        <v>136</v>
      </c>
      <c r="I640" s="1" t="n">
        <v>1</v>
      </c>
      <c r="J640" s="7" t="n">
        <v>13307.61</v>
      </c>
      <c r="K640" s="8" t="n">
        <v>0.1</v>
      </c>
      <c r="L640" s="7" t="n">
        <v>7748.44</v>
      </c>
      <c r="M640" s="6" t="s">
        <v>49</v>
      </c>
      <c r="N640" s="6" t="s">
        <v>50</v>
      </c>
      <c r="O640" s="6" t="n">
        <f aca="false">IF(TablaVentas[[#This Row],[Precio_unitario]]="","PENDIENTE",TablaVentas[[#This Row],[Unidades]]*TablaVentas[[#This Row],[Precio_unitario]]*(1-TablaVentas[[#This Row],[Descuento_pct]]))</f>
        <v>11976.849</v>
      </c>
      <c r="P640" s="6" t="n">
        <f aca="false">IF(TablaVentas[[#This Row],[Costo_unitario]]="","PENDIENTE",TablaVentas[[#This Row],[Unidades]]*TablaVentas[[#This Row],[Costo_unitario]])</f>
        <v>7748.44</v>
      </c>
      <c r="Q640" s="6" t="n">
        <f aca="false">IF(OR(TablaVentas[[#This Row],[Ingreso_neto]]="PENDIENTE",TablaVentas[[#This Row],[Costo_total]]="PENDIENTE"),"PENDIENTE",TablaVentas[[#This Row],[Ingreso_neto]]-TablaVentas[[#This Row],[Costo_total]])</f>
        <v>4228.409</v>
      </c>
    </row>
    <row r="641" customFormat="false" ht="13.5" hidden="false" customHeight="false" outlineLevel="0" collapsed="false">
      <c r="A641" s="1" t="s">
        <v>603</v>
      </c>
      <c r="B641" s="1" t="n">
        <v>2</v>
      </c>
      <c r="C641" s="5" t="n">
        <v>46024</v>
      </c>
      <c r="D641" s="6" t="s">
        <v>382</v>
      </c>
      <c r="E641" s="6" t="s">
        <v>289</v>
      </c>
      <c r="F641" s="6" t="s">
        <v>73</v>
      </c>
      <c r="G641" s="6" t="s">
        <v>47</v>
      </c>
      <c r="H641" s="6" t="s">
        <v>136</v>
      </c>
      <c r="I641" s="1" t="n">
        <v>4</v>
      </c>
      <c r="J641" s="7" t="n">
        <v>4337.78</v>
      </c>
      <c r="K641" s="8" t="n">
        <v>0</v>
      </c>
      <c r="L641" s="7" t="n">
        <v>3399.5</v>
      </c>
      <c r="M641" s="6" t="s">
        <v>49</v>
      </c>
      <c r="N641" s="6" t="s">
        <v>59</v>
      </c>
      <c r="O641" s="6" t="n">
        <f aca="false">IF(TablaVentas[[#This Row],[Precio_unitario]]="","PENDIENTE",TablaVentas[[#This Row],[Unidades]]*TablaVentas[[#This Row],[Precio_unitario]]*(1-TablaVentas[[#This Row],[Descuento_pct]]))</f>
        <v>17351.12</v>
      </c>
      <c r="P641" s="6" t="n">
        <f aca="false">IF(TablaVentas[[#This Row],[Costo_unitario]]="","PENDIENTE",TablaVentas[[#This Row],[Unidades]]*TablaVentas[[#This Row],[Costo_unitario]])</f>
        <v>13598</v>
      </c>
      <c r="Q641" s="6" t="n">
        <f aca="false">IF(OR(TablaVentas[[#This Row],[Ingreso_neto]]="PENDIENTE",TablaVentas[[#This Row],[Costo_total]]="PENDIENTE"),"PENDIENTE",TablaVentas[[#This Row],[Ingreso_neto]]-TablaVentas[[#This Row],[Costo_total]])</f>
        <v>3753.12</v>
      </c>
    </row>
    <row r="642" customFormat="false" ht="13.5" hidden="false" customHeight="false" outlineLevel="0" collapsed="false">
      <c r="A642" s="1" t="s">
        <v>603</v>
      </c>
      <c r="B642" s="1" t="n">
        <v>3</v>
      </c>
      <c r="C642" s="5" t="n">
        <v>46024</v>
      </c>
      <c r="D642" s="6" t="s">
        <v>382</v>
      </c>
      <c r="E642" s="6" t="s">
        <v>108</v>
      </c>
      <c r="F642" s="6" t="s">
        <v>73</v>
      </c>
      <c r="G642" s="6" t="s">
        <v>47</v>
      </c>
      <c r="H642" s="6" t="s">
        <v>136</v>
      </c>
      <c r="I642" s="1" t="n">
        <v>3</v>
      </c>
      <c r="J642" s="7" t="n">
        <v>4569.77</v>
      </c>
      <c r="K642" s="8" t="n">
        <v>0.15</v>
      </c>
      <c r="L642" s="7" t="n">
        <v>2865.24</v>
      </c>
      <c r="M642" s="6" t="s">
        <v>49</v>
      </c>
      <c r="N642" s="6" t="s">
        <v>67</v>
      </c>
      <c r="O642" s="6" t="n">
        <f aca="false">IF(TablaVentas[[#This Row],[Precio_unitario]]="","PENDIENTE",TablaVentas[[#This Row],[Unidades]]*TablaVentas[[#This Row],[Precio_unitario]]*(1-TablaVentas[[#This Row],[Descuento_pct]]))</f>
        <v>11652.9135</v>
      </c>
      <c r="P642" s="6" t="n">
        <f aca="false">IF(TablaVentas[[#This Row],[Costo_unitario]]="","PENDIENTE",TablaVentas[[#This Row],[Unidades]]*TablaVentas[[#This Row],[Costo_unitario]])</f>
        <v>8595.72</v>
      </c>
      <c r="Q642" s="6" t="n">
        <f aca="false">IF(OR(TablaVentas[[#This Row],[Ingreso_neto]]="PENDIENTE",TablaVentas[[#This Row],[Costo_total]]="PENDIENTE"),"PENDIENTE",TablaVentas[[#This Row],[Ingreso_neto]]-TablaVentas[[#This Row],[Costo_total]])</f>
        <v>3057.1935</v>
      </c>
    </row>
    <row r="643" customFormat="false" ht="13.5" hidden="false" customHeight="false" outlineLevel="0" collapsed="false">
      <c r="A643" s="1" t="s">
        <v>603</v>
      </c>
      <c r="B643" s="1" t="n">
        <v>4</v>
      </c>
      <c r="C643" s="5" t="n">
        <v>46024</v>
      </c>
      <c r="D643" s="6" t="s">
        <v>382</v>
      </c>
      <c r="E643" s="6" t="s">
        <v>75</v>
      </c>
      <c r="F643" s="6" t="s">
        <v>73</v>
      </c>
      <c r="G643" s="6" t="s">
        <v>47</v>
      </c>
      <c r="H643" s="6" t="s">
        <v>136</v>
      </c>
      <c r="I643" s="1" t="n">
        <v>1</v>
      </c>
      <c r="J643" s="7" t="n">
        <v>15642.24</v>
      </c>
      <c r="K643" s="8" t="n">
        <v>0</v>
      </c>
      <c r="L643" s="7" t="n">
        <v>9243.35</v>
      </c>
      <c r="M643" s="6" t="s">
        <v>49</v>
      </c>
      <c r="N643" s="6" t="s">
        <v>67</v>
      </c>
      <c r="O643" s="6" t="n">
        <f aca="false">IF(TablaVentas[[#This Row],[Precio_unitario]]="","PENDIENTE",TablaVentas[[#This Row],[Unidades]]*TablaVentas[[#This Row],[Precio_unitario]]*(1-TablaVentas[[#This Row],[Descuento_pct]]))</f>
        <v>15642.24</v>
      </c>
      <c r="P643" s="6" t="n">
        <f aca="false">IF(TablaVentas[[#This Row],[Costo_unitario]]="","PENDIENTE",TablaVentas[[#This Row],[Unidades]]*TablaVentas[[#This Row],[Costo_unitario]])</f>
        <v>9243.35</v>
      </c>
      <c r="Q643" s="6" t="n">
        <f aca="false">IF(OR(TablaVentas[[#This Row],[Ingreso_neto]]="PENDIENTE",TablaVentas[[#This Row],[Costo_total]]="PENDIENTE"),"PENDIENTE",TablaVentas[[#This Row],[Ingreso_neto]]-TablaVentas[[#This Row],[Costo_total]])</f>
        <v>6398.89</v>
      </c>
    </row>
    <row r="644" customFormat="false" ht="13.5" hidden="false" customHeight="false" outlineLevel="0" collapsed="false">
      <c r="A644" s="1" t="s">
        <v>603</v>
      </c>
      <c r="B644" s="1" t="n">
        <v>5</v>
      </c>
      <c r="C644" s="5" t="n">
        <v>46024</v>
      </c>
      <c r="D644" s="6" t="s">
        <v>382</v>
      </c>
      <c r="E644" s="6" t="s">
        <v>151</v>
      </c>
      <c r="F644" s="6" t="s">
        <v>73</v>
      </c>
      <c r="G644" s="6" t="s">
        <v>47</v>
      </c>
      <c r="H644" s="6" t="s">
        <v>136</v>
      </c>
      <c r="I644" s="1" t="n">
        <v>1</v>
      </c>
      <c r="J644" s="7" t="n">
        <v>8572.38</v>
      </c>
      <c r="K644" s="8" t="n">
        <v>0</v>
      </c>
      <c r="L644" s="7" t="n">
        <v>5125.36</v>
      </c>
      <c r="M644" s="6" t="s">
        <v>49</v>
      </c>
      <c r="N644" s="6" t="s">
        <v>59</v>
      </c>
      <c r="O644" s="6" t="n">
        <f aca="false">IF(TablaVentas[[#This Row],[Precio_unitario]]="","PENDIENTE",TablaVentas[[#This Row],[Unidades]]*TablaVentas[[#This Row],[Precio_unitario]]*(1-TablaVentas[[#This Row],[Descuento_pct]]))</f>
        <v>8572.38</v>
      </c>
      <c r="P644" s="6" t="n">
        <f aca="false">IF(TablaVentas[[#This Row],[Costo_unitario]]="","PENDIENTE",TablaVentas[[#This Row],[Unidades]]*TablaVentas[[#This Row],[Costo_unitario]])</f>
        <v>5125.36</v>
      </c>
      <c r="Q644" s="6" t="n">
        <f aca="false">IF(OR(TablaVentas[[#This Row],[Ingreso_neto]]="PENDIENTE",TablaVentas[[#This Row],[Costo_total]]="PENDIENTE"),"PENDIENTE",TablaVentas[[#This Row],[Ingreso_neto]]-TablaVentas[[#This Row],[Costo_total]])</f>
        <v>3447.02</v>
      </c>
    </row>
    <row r="645" customFormat="false" ht="13.5" hidden="false" customHeight="false" outlineLevel="0" collapsed="false">
      <c r="A645" s="1" t="s">
        <v>604</v>
      </c>
      <c r="B645" s="1" t="n">
        <v>1</v>
      </c>
      <c r="C645" s="5" t="n">
        <v>46031</v>
      </c>
      <c r="D645" s="6" t="s">
        <v>298</v>
      </c>
      <c r="E645" s="6" t="s">
        <v>192</v>
      </c>
      <c r="F645" s="6" t="s">
        <v>46</v>
      </c>
      <c r="G645" s="6" t="s">
        <v>47</v>
      </c>
      <c r="H645" s="6" t="s">
        <v>65</v>
      </c>
      <c r="I645" s="1" t="n">
        <v>3</v>
      </c>
      <c r="J645" s="7" t="n">
        <v>15837.27</v>
      </c>
      <c r="K645" s="8" t="n">
        <v>0</v>
      </c>
      <c r="L645" s="7" t="n">
        <v>11904.09</v>
      </c>
      <c r="M645" s="6" t="s">
        <v>49</v>
      </c>
      <c r="N645" s="6" t="s">
        <v>50</v>
      </c>
      <c r="O645" s="6" t="n">
        <f aca="false">IF(TablaVentas[[#This Row],[Precio_unitario]]="","PENDIENTE",TablaVentas[[#This Row],[Unidades]]*TablaVentas[[#This Row],[Precio_unitario]]*(1-TablaVentas[[#This Row],[Descuento_pct]]))</f>
        <v>47511.81</v>
      </c>
      <c r="P645" s="6" t="n">
        <f aca="false">IF(TablaVentas[[#This Row],[Costo_unitario]]="","PENDIENTE",TablaVentas[[#This Row],[Unidades]]*TablaVentas[[#This Row],[Costo_unitario]])</f>
        <v>35712.27</v>
      </c>
      <c r="Q645" s="6" t="n">
        <f aca="false">IF(OR(TablaVentas[[#This Row],[Ingreso_neto]]="PENDIENTE",TablaVentas[[#This Row],[Costo_total]]="PENDIENTE"),"PENDIENTE",TablaVentas[[#This Row],[Ingreso_neto]]-TablaVentas[[#This Row],[Costo_total]])</f>
        <v>11799.54</v>
      </c>
    </row>
    <row r="646" customFormat="false" ht="13.5" hidden="false" customHeight="false" outlineLevel="0" collapsed="false">
      <c r="A646" s="1" t="s">
        <v>604</v>
      </c>
      <c r="B646" s="1" t="n">
        <v>2</v>
      </c>
      <c r="C646" s="5" t="n">
        <v>46031</v>
      </c>
      <c r="D646" s="6" t="s">
        <v>298</v>
      </c>
      <c r="E646" s="6" t="s">
        <v>279</v>
      </c>
      <c r="F646" s="6" t="s">
        <v>46</v>
      </c>
      <c r="G646" s="6" t="s">
        <v>47</v>
      </c>
      <c r="H646" s="6" t="s">
        <v>65</v>
      </c>
      <c r="I646" s="1" t="n">
        <v>5</v>
      </c>
      <c r="J646" s="7" t="n">
        <v>698.38</v>
      </c>
      <c r="K646" s="8" t="n">
        <v>0.15</v>
      </c>
      <c r="L646" s="7" t="n">
        <v>443</v>
      </c>
      <c r="M646" s="6" t="s">
        <v>49</v>
      </c>
      <c r="N646" s="6" t="s">
        <v>59</v>
      </c>
      <c r="O646" s="6" t="n">
        <f aca="false">IF(TablaVentas[[#This Row],[Precio_unitario]]="","PENDIENTE",TablaVentas[[#This Row],[Unidades]]*TablaVentas[[#This Row],[Precio_unitario]]*(1-TablaVentas[[#This Row],[Descuento_pct]]))</f>
        <v>2968.115</v>
      </c>
      <c r="P646" s="6" t="n">
        <f aca="false">IF(TablaVentas[[#This Row],[Costo_unitario]]="","PENDIENTE",TablaVentas[[#This Row],[Unidades]]*TablaVentas[[#This Row],[Costo_unitario]])</f>
        <v>2215</v>
      </c>
      <c r="Q646" s="6" t="n">
        <f aca="false">IF(OR(TablaVentas[[#This Row],[Ingreso_neto]]="PENDIENTE",TablaVentas[[#This Row],[Costo_total]]="PENDIENTE"),"PENDIENTE",TablaVentas[[#This Row],[Ingreso_neto]]-TablaVentas[[#This Row],[Costo_total]])</f>
        <v>753.115</v>
      </c>
    </row>
    <row r="647" customFormat="false" ht="13.5" hidden="false" customHeight="false" outlineLevel="0" collapsed="false">
      <c r="A647" s="1" t="s">
        <v>604</v>
      </c>
      <c r="B647" s="1" t="n">
        <v>3</v>
      </c>
      <c r="C647" s="5" t="n">
        <v>46031</v>
      </c>
      <c r="D647" s="6" t="s">
        <v>298</v>
      </c>
      <c r="E647" s="6" t="s">
        <v>147</v>
      </c>
      <c r="F647" s="6" t="s">
        <v>46</v>
      </c>
      <c r="G647" s="6" t="s">
        <v>47</v>
      </c>
      <c r="H647" s="6" t="s">
        <v>65</v>
      </c>
      <c r="I647" s="1" t="n">
        <v>2</v>
      </c>
      <c r="J647" s="7" t="n">
        <v>3190.61</v>
      </c>
      <c r="K647" s="8" t="n">
        <v>0</v>
      </c>
      <c r="L647" s="7" t="n">
        <v>2427.63</v>
      </c>
      <c r="M647" s="6" t="s">
        <v>49</v>
      </c>
      <c r="N647" s="6" t="s">
        <v>52</v>
      </c>
      <c r="O647" s="6" t="n">
        <f aca="false">IF(TablaVentas[[#This Row],[Precio_unitario]]="","PENDIENTE",TablaVentas[[#This Row],[Unidades]]*TablaVentas[[#This Row],[Precio_unitario]]*(1-TablaVentas[[#This Row],[Descuento_pct]]))</f>
        <v>6381.22</v>
      </c>
      <c r="P647" s="6" t="n">
        <f aca="false">IF(TablaVentas[[#This Row],[Costo_unitario]]="","PENDIENTE",TablaVentas[[#This Row],[Unidades]]*TablaVentas[[#This Row],[Costo_unitario]])</f>
        <v>4855.26</v>
      </c>
      <c r="Q647" s="6" t="n">
        <f aca="false">IF(OR(TablaVentas[[#This Row],[Ingreso_neto]]="PENDIENTE",TablaVentas[[#This Row],[Costo_total]]="PENDIENTE"),"PENDIENTE",TablaVentas[[#This Row],[Ingreso_neto]]-TablaVentas[[#This Row],[Costo_total]])</f>
        <v>1525.96</v>
      </c>
    </row>
    <row r="648" customFormat="false" ht="13.5" hidden="false" customHeight="false" outlineLevel="0" collapsed="false">
      <c r="A648" s="1" t="s">
        <v>605</v>
      </c>
      <c r="B648" s="1" t="n">
        <v>1</v>
      </c>
      <c r="C648" s="5" t="n">
        <v>46040</v>
      </c>
      <c r="D648" s="6" t="s">
        <v>399</v>
      </c>
      <c r="E648" s="6" t="s">
        <v>210</v>
      </c>
      <c r="F648" s="6" t="s">
        <v>73</v>
      </c>
      <c r="G648" s="6" t="s">
        <v>64</v>
      </c>
      <c r="H648" s="6" t="s">
        <v>109</v>
      </c>
      <c r="I648" s="1" t="n">
        <v>2</v>
      </c>
      <c r="J648" s="7" t="n">
        <v>2060.19</v>
      </c>
      <c r="K648" s="8" t="n">
        <v>0</v>
      </c>
      <c r="L648" s="7" t="n">
        <v>1252.84</v>
      </c>
      <c r="M648" s="6" t="s">
        <v>49</v>
      </c>
      <c r="N648" s="6" t="s">
        <v>52</v>
      </c>
      <c r="O648" s="6" t="n">
        <f aca="false">IF(TablaVentas[[#This Row],[Precio_unitario]]="","PENDIENTE",TablaVentas[[#This Row],[Unidades]]*TablaVentas[[#This Row],[Precio_unitario]]*(1-TablaVentas[[#This Row],[Descuento_pct]]))</f>
        <v>4120.38</v>
      </c>
      <c r="P648" s="6" t="n">
        <f aca="false">IF(TablaVentas[[#This Row],[Costo_unitario]]="","PENDIENTE",TablaVentas[[#This Row],[Unidades]]*TablaVentas[[#This Row],[Costo_unitario]])</f>
        <v>2505.68</v>
      </c>
      <c r="Q648" s="6" t="n">
        <f aca="false">IF(OR(TablaVentas[[#This Row],[Ingreso_neto]]="PENDIENTE",TablaVentas[[#This Row],[Costo_total]]="PENDIENTE"),"PENDIENTE",TablaVentas[[#This Row],[Ingreso_neto]]-TablaVentas[[#This Row],[Costo_total]])</f>
        <v>1614.7</v>
      </c>
    </row>
    <row r="649" customFormat="false" ht="13.5" hidden="false" customHeight="false" outlineLevel="0" collapsed="false">
      <c r="A649" s="1" t="s">
        <v>606</v>
      </c>
      <c r="B649" s="1" t="n">
        <v>1</v>
      </c>
      <c r="C649" s="5" t="n">
        <v>46176</v>
      </c>
      <c r="D649" s="6" t="s">
        <v>403</v>
      </c>
      <c r="E649" s="6" t="s">
        <v>110</v>
      </c>
      <c r="F649" s="6" t="s">
        <v>46</v>
      </c>
      <c r="G649" s="6" t="s">
        <v>57</v>
      </c>
      <c r="H649" s="6" t="s">
        <v>109</v>
      </c>
      <c r="I649" s="1" t="n">
        <v>1</v>
      </c>
      <c r="J649" s="7" t="n">
        <v>13624.43</v>
      </c>
      <c r="K649" s="8" t="n">
        <v>0.15</v>
      </c>
      <c r="L649" s="7" t="n">
        <v>7549.71</v>
      </c>
      <c r="M649" s="6" t="s">
        <v>49</v>
      </c>
      <c r="N649" s="6" t="s">
        <v>52</v>
      </c>
      <c r="O649" s="6" t="n">
        <f aca="false">IF(TablaVentas[[#This Row],[Precio_unitario]]="","PENDIENTE",TablaVentas[[#This Row],[Unidades]]*TablaVentas[[#This Row],[Precio_unitario]]*(1-TablaVentas[[#This Row],[Descuento_pct]]))</f>
        <v>11580.7655</v>
      </c>
      <c r="P649" s="6" t="n">
        <f aca="false">IF(TablaVentas[[#This Row],[Costo_unitario]]="","PENDIENTE",TablaVentas[[#This Row],[Unidades]]*TablaVentas[[#This Row],[Costo_unitario]])</f>
        <v>7549.71</v>
      </c>
      <c r="Q649" s="6" t="n">
        <f aca="false">IF(OR(TablaVentas[[#This Row],[Ingreso_neto]]="PENDIENTE",TablaVentas[[#This Row],[Costo_total]]="PENDIENTE"),"PENDIENTE",TablaVentas[[#This Row],[Ingreso_neto]]-TablaVentas[[#This Row],[Costo_total]])</f>
        <v>4031.0555</v>
      </c>
    </row>
    <row r="650" customFormat="false" ht="13.5" hidden="false" customHeight="false" outlineLevel="0" collapsed="false">
      <c r="A650" s="1" t="s">
        <v>606</v>
      </c>
      <c r="B650" s="1" t="n">
        <v>2</v>
      </c>
      <c r="C650" s="5" t="n">
        <v>46176</v>
      </c>
      <c r="D650" s="6" t="s">
        <v>403</v>
      </c>
      <c r="E650" s="6" t="s">
        <v>100</v>
      </c>
      <c r="F650" s="6" t="s">
        <v>46</v>
      </c>
      <c r="G650" s="6" t="s">
        <v>57</v>
      </c>
      <c r="H650" s="6" t="s">
        <v>109</v>
      </c>
      <c r="I650" s="1" t="n">
        <v>3</v>
      </c>
      <c r="J650" s="7" t="n">
        <v>14153.95</v>
      </c>
      <c r="K650" s="8" t="n">
        <v>0.05</v>
      </c>
      <c r="L650" s="7" t="n">
        <v>8788.79</v>
      </c>
      <c r="M650" s="6" t="s">
        <v>49</v>
      </c>
      <c r="N650" s="6" t="s">
        <v>50</v>
      </c>
      <c r="O650" s="6" t="n">
        <f aca="false">IF(TablaVentas[[#This Row],[Precio_unitario]]="","PENDIENTE",TablaVentas[[#This Row],[Unidades]]*TablaVentas[[#This Row],[Precio_unitario]]*(1-TablaVentas[[#This Row],[Descuento_pct]]))</f>
        <v>40338.7575</v>
      </c>
      <c r="P650" s="6" t="n">
        <f aca="false">IF(TablaVentas[[#This Row],[Costo_unitario]]="","PENDIENTE",TablaVentas[[#This Row],[Unidades]]*TablaVentas[[#This Row],[Costo_unitario]])</f>
        <v>26366.37</v>
      </c>
      <c r="Q650" s="6" t="n">
        <f aca="false">IF(OR(TablaVentas[[#This Row],[Ingreso_neto]]="PENDIENTE",TablaVentas[[#This Row],[Costo_total]]="PENDIENTE"),"PENDIENTE",TablaVentas[[#This Row],[Ingreso_neto]]-TablaVentas[[#This Row],[Costo_total]])</f>
        <v>13972.3875</v>
      </c>
    </row>
    <row r="651" customFormat="false" ht="13.5" hidden="false" customHeight="false" outlineLevel="0" collapsed="false">
      <c r="A651" s="1" t="s">
        <v>606</v>
      </c>
      <c r="B651" s="1" t="n">
        <v>3</v>
      </c>
      <c r="C651" s="5" t="n">
        <v>46176</v>
      </c>
      <c r="D651" s="6" t="s">
        <v>403</v>
      </c>
      <c r="E651" s="6" t="s">
        <v>91</v>
      </c>
      <c r="F651" s="6" t="s">
        <v>46</v>
      </c>
      <c r="G651" s="6" t="s">
        <v>57</v>
      </c>
      <c r="H651" s="6" t="s">
        <v>109</v>
      </c>
      <c r="I651" s="1" t="n">
        <v>2</v>
      </c>
      <c r="J651" s="7" t="n">
        <v>15718.66</v>
      </c>
      <c r="K651" s="8" t="n">
        <v>0</v>
      </c>
      <c r="L651" s="7" t="n">
        <v>8576.05</v>
      </c>
      <c r="M651" s="6" t="s">
        <v>49</v>
      </c>
      <c r="N651" s="6" t="s">
        <v>50</v>
      </c>
      <c r="O651" s="6" t="n">
        <f aca="false">IF(TablaVentas[[#This Row],[Precio_unitario]]="","PENDIENTE",TablaVentas[[#This Row],[Unidades]]*TablaVentas[[#This Row],[Precio_unitario]]*(1-TablaVentas[[#This Row],[Descuento_pct]]))</f>
        <v>31437.32</v>
      </c>
      <c r="P651" s="6" t="n">
        <f aca="false">IF(TablaVentas[[#This Row],[Costo_unitario]]="","PENDIENTE",TablaVentas[[#This Row],[Unidades]]*TablaVentas[[#This Row],[Costo_unitario]])</f>
        <v>17152.1</v>
      </c>
      <c r="Q651" s="6" t="n">
        <f aca="false">IF(OR(TablaVentas[[#This Row],[Ingreso_neto]]="PENDIENTE",TablaVentas[[#This Row],[Costo_total]]="PENDIENTE"),"PENDIENTE",TablaVentas[[#This Row],[Ingreso_neto]]-TablaVentas[[#This Row],[Costo_total]])</f>
        <v>14285.22</v>
      </c>
    </row>
    <row r="652" customFormat="false" ht="13.5" hidden="false" customHeight="false" outlineLevel="0" collapsed="false">
      <c r="A652" s="1" t="s">
        <v>606</v>
      </c>
      <c r="B652" s="1" t="n">
        <v>4</v>
      </c>
      <c r="C652" s="5" t="n">
        <v>46176</v>
      </c>
      <c r="D652" s="6" t="s">
        <v>403</v>
      </c>
      <c r="E652" s="6" t="s">
        <v>150</v>
      </c>
      <c r="F652" s="6" t="s">
        <v>46</v>
      </c>
      <c r="G652" s="6" t="s">
        <v>57</v>
      </c>
      <c r="H652" s="6" t="s">
        <v>109</v>
      </c>
      <c r="I652" s="1" t="n">
        <v>2</v>
      </c>
      <c r="J652" s="7" t="n">
        <v>9414.91</v>
      </c>
      <c r="K652" s="8" t="n">
        <v>0</v>
      </c>
      <c r="L652" s="7" t="n">
        <v>6815.42</v>
      </c>
      <c r="M652" s="6" t="s">
        <v>49</v>
      </c>
      <c r="N652" s="6" t="s">
        <v>59</v>
      </c>
      <c r="O652" s="6" t="n">
        <f aca="false">IF(TablaVentas[[#This Row],[Precio_unitario]]="","PENDIENTE",TablaVentas[[#This Row],[Unidades]]*TablaVentas[[#This Row],[Precio_unitario]]*(1-TablaVentas[[#This Row],[Descuento_pct]]))</f>
        <v>18829.82</v>
      </c>
      <c r="P652" s="6" t="n">
        <f aca="false">IF(TablaVentas[[#This Row],[Costo_unitario]]="","PENDIENTE",TablaVentas[[#This Row],[Unidades]]*TablaVentas[[#This Row],[Costo_unitario]])</f>
        <v>13630.84</v>
      </c>
      <c r="Q652" s="6" t="n">
        <f aca="false">IF(OR(TablaVentas[[#This Row],[Ingreso_neto]]="PENDIENTE",TablaVentas[[#This Row],[Costo_total]]="PENDIENTE"),"PENDIENTE",TablaVentas[[#This Row],[Ingreso_neto]]-TablaVentas[[#This Row],[Costo_total]])</f>
        <v>5198.98</v>
      </c>
    </row>
    <row r="653" customFormat="false" ht="13.5" hidden="false" customHeight="false" outlineLevel="0" collapsed="false">
      <c r="A653" s="1" t="s">
        <v>606</v>
      </c>
      <c r="B653" s="1" t="n">
        <v>5</v>
      </c>
      <c r="C653" s="5" t="n">
        <v>46176</v>
      </c>
      <c r="D653" s="6" t="s">
        <v>403</v>
      </c>
      <c r="E653" s="6" t="s">
        <v>279</v>
      </c>
      <c r="F653" s="6" t="s">
        <v>46</v>
      </c>
      <c r="G653" s="6" t="s">
        <v>57</v>
      </c>
      <c r="H653" s="6" t="s">
        <v>109</v>
      </c>
      <c r="I653" s="1" t="n">
        <v>4</v>
      </c>
      <c r="J653" s="7" t="n">
        <v>704.3</v>
      </c>
      <c r="K653" s="8" t="n">
        <v>0</v>
      </c>
      <c r="L653" s="7" t="n">
        <v>443</v>
      </c>
      <c r="M653" s="6" t="s">
        <v>49</v>
      </c>
      <c r="N653" s="6" t="s">
        <v>52</v>
      </c>
      <c r="O653" s="6" t="n">
        <f aca="false">IF(TablaVentas[[#This Row],[Precio_unitario]]="","PENDIENTE",TablaVentas[[#This Row],[Unidades]]*TablaVentas[[#This Row],[Precio_unitario]]*(1-TablaVentas[[#This Row],[Descuento_pct]]))</f>
        <v>2817.2</v>
      </c>
      <c r="P653" s="6" t="n">
        <f aca="false">IF(TablaVentas[[#This Row],[Costo_unitario]]="","PENDIENTE",TablaVentas[[#This Row],[Unidades]]*TablaVentas[[#This Row],[Costo_unitario]])</f>
        <v>1772</v>
      </c>
      <c r="Q653" s="6" t="n">
        <f aca="false">IF(OR(TablaVentas[[#This Row],[Ingreso_neto]]="PENDIENTE",TablaVentas[[#This Row],[Costo_total]]="PENDIENTE"),"PENDIENTE",TablaVentas[[#This Row],[Ingreso_neto]]-TablaVentas[[#This Row],[Costo_total]])</f>
        <v>1045.2</v>
      </c>
    </row>
    <row r="654" customFormat="false" ht="13.5" hidden="false" customHeight="false" outlineLevel="0" collapsed="false">
      <c r="A654" s="1" t="s">
        <v>607</v>
      </c>
      <c r="B654" s="1" t="n">
        <v>1</v>
      </c>
      <c r="C654" s="5" t="n">
        <v>46092</v>
      </c>
      <c r="D654" s="6" t="s">
        <v>608</v>
      </c>
      <c r="E654" s="6" t="s">
        <v>265</v>
      </c>
      <c r="F654" s="6" t="s">
        <v>84</v>
      </c>
      <c r="G654" s="6" t="s">
        <v>57</v>
      </c>
      <c r="H654" s="6" t="s">
        <v>136</v>
      </c>
      <c r="I654" s="1" t="n">
        <v>1</v>
      </c>
      <c r="J654" s="7" t="n">
        <v>3817.35</v>
      </c>
      <c r="K654" s="8" t="n">
        <v>0</v>
      </c>
      <c r="L654" s="7" t="n">
        <v>2008.57</v>
      </c>
      <c r="M654" s="6" t="s">
        <v>49</v>
      </c>
      <c r="N654" s="6" t="s">
        <v>50</v>
      </c>
      <c r="O654" s="6" t="n">
        <f aca="false">IF(TablaVentas[[#This Row],[Precio_unitario]]="","PENDIENTE",TablaVentas[[#This Row],[Unidades]]*TablaVentas[[#This Row],[Precio_unitario]]*(1-TablaVentas[[#This Row],[Descuento_pct]]))</f>
        <v>3817.35</v>
      </c>
      <c r="P654" s="6" t="n">
        <f aca="false">IF(TablaVentas[[#This Row],[Costo_unitario]]="","PENDIENTE",TablaVentas[[#This Row],[Unidades]]*TablaVentas[[#This Row],[Costo_unitario]])</f>
        <v>2008.57</v>
      </c>
      <c r="Q654" s="6" t="n">
        <f aca="false">IF(OR(TablaVentas[[#This Row],[Ingreso_neto]]="PENDIENTE",TablaVentas[[#This Row],[Costo_total]]="PENDIENTE"),"PENDIENTE",TablaVentas[[#This Row],[Ingreso_neto]]-TablaVentas[[#This Row],[Costo_total]])</f>
        <v>1808.78</v>
      </c>
    </row>
    <row r="655" customFormat="false" ht="13.5" hidden="false" customHeight="false" outlineLevel="0" collapsed="false">
      <c r="A655" s="1" t="s">
        <v>607</v>
      </c>
      <c r="B655" s="1" t="n">
        <v>2</v>
      </c>
      <c r="C655" s="5" t="n">
        <v>46092</v>
      </c>
      <c r="D655" s="6" t="s">
        <v>608</v>
      </c>
      <c r="E655" s="6" t="s">
        <v>170</v>
      </c>
      <c r="F655" s="6" t="s">
        <v>84</v>
      </c>
      <c r="G655" s="6" t="s">
        <v>57</v>
      </c>
      <c r="H655" s="6" t="s">
        <v>136</v>
      </c>
      <c r="I655" s="1" t="n">
        <v>1</v>
      </c>
      <c r="J655" s="7" t="n">
        <v>15905.2</v>
      </c>
      <c r="K655" s="8" t="n">
        <v>0.1</v>
      </c>
      <c r="L655" s="7" t="n">
        <v>12141.44</v>
      </c>
      <c r="M655" s="6" t="s">
        <v>123</v>
      </c>
      <c r="N655" s="6" t="s">
        <v>52</v>
      </c>
      <c r="O655" s="6" t="n">
        <f aca="false">IF(TablaVentas[[#This Row],[Precio_unitario]]="","PENDIENTE",TablaVentas[[#This Row],[Unidades]]*TablaVentas[[#This Row],[Precio_unitario]]*(1-TablaVentas[[#This Row],[Descuento_pct]]))</f>
        <v>14314.68</v>
      </c>
      <c r="P655" s="6" t="n">
        <f aca="false">IF(TablaVentas[[#This Row],[Costo_unitario]]="","PENDIENTE",TablaVentas[[#This Row],[Unidades]]*TablaVentas[[#This Row],[Costo_unitario]])</f>
        <v>12141.44</v>
      </c>
      <c r="Q655" s="6" t="n">
        <f aca="false">IF(OR(TablaVentas[[#This Row],[Ingreso_neto]]="PENDIENTE",TablaVentas[[#This Row],[Costo_total]]="PENDIENTE"),"PENDIENTE",TablaVentas[[#This Row],[Ingreso_neto]]-TablaVentas[[#This Row],[Costo_total]])</f>
        <v>2173.24</v>
      </c>
    </row>
    <row r="656" customFormat="false" ht="13.5" hidden="false" customHeight="false" outlineLevel="0" collapsed="false">
      <c r="A656" s="1" t="s">
        <v>609</v>
      </c>
      <c r="B656" s="1" t="n">
        <v>1</v>
      </c>
      <c r="C656" s="5" t="n">
        <v>46251</v>
      </c>
      <c r="D656" s="6" t="s">
        <v>245</v>
      </c>
      <c r="E656" s="6" t="s">
        <v>92</v>
      </c>
      <c r="F656" s="6" t="s">
        <v>84</v>
      </c>
      <c r="G656" s="6" t="s">
        <v>64</v>
      </c>
      <c r="H656" s="6" t="s">
        <v>48</v>
      </c>
      <c r="I656" s="1" t="n">
        <v>2</v>
      </c>
      <c r="J656" s="7" t="n">
        <v>482.46</v>
      </c>
      <c r="K656" s="8" t="n">
        <v>0</v>
      </c>
      <c r="L656" s="7" t="n">
        <v>307.75</v>
      </c>
      <c r="M656" s="6" t="s">
        <v>49</v>
      </c>
      <c r="N656" s="6" t="s">
        <v>50</v>
      </c>
      <c r="O656" s="6" t="n">
        <f aca="false">IF(TablaVentas[[#This Row],[Precio_unitario]]="","PENDIENTE",TablaVentas[[#This Row],[Unidades]]*TablaVentas[[#This Row],[Precio_unitario]]*(1-TablaVentas[[#This Row],[Descuento_pct]]))</f>
        <v>964.92</v>
      </c>
      <c r="P656" s="6" t="n">
        <f aca="false">IF(TablaVentas[[#This Row],[Costo_unitario]]="","PENDIENTE",TablaVentas[[#This Row],[Unidades]]*TablaVentas[[#This Row],[Costo_unitario]])</f>
        <v>615.5</v>
      </c>
      <c r="Q656" s="6" t="n">
        <f aca="false">IF(OR(TablaVentas[[#This Row],[Ingreso_neto]]="PENDIENTE",TablaVentas[[#This Row],[Costo_total]]="PENDIENTE"),"PENDIENTE",TablaVentas[[#This Row],[Ingreso_neto]]-TablaVentas[[#This Row],[Costo_total]])</f>
        <v>349.42</v>
      </c>
    </row>
    <row r="657" customFormat="false" ht="13.5" hidden="false" customHeight="false" outlineLevel="0" collapsed="false">
      <c r="A657" s="1" t="s">
        <v>609</v>
      </c>
      <c r="B657" s="1" t="n">
        <v>2</v>
      </c>
      <c r="C657" s="5" t="n">
        <v>46251</v>
      </c>
      <c r="D657" s="6" t="s">
        <v>245</v>
      </c>
      <c r="E657" s="6" t="s">
        <v>113</v>
      </c>
      <c r="F657" s="6" t="s">
        <v>84</v>
      </c>
      <c r="G657" s="6" t="s">
        <v>64</v>
      </c>
      <c r="H657" s="6" t="s">
        <v>48</v>
      </c>
      <c r="I657" s="1" t="n">
        <v>2</v>
      </c>
      <c r="J657" s="7" t="n">
        <v>10654.46</v>
      </c>
      <c r="K657" s="8" t="n">
        <v>0</v>
      </c>
      <c r="L657" s="7" t="n">
        <v>8276.74</v>
      </c>
      <c r="M657" s="6" t="s">
        <v>49</v>
      </c>
      <c r="N657" s="6" t="s">
        <v>52</v>
      </c>
      <c r="O657" s="6" t="n">
        <f aca="false">IF(TablaVentas[[#This Row],[Precio_unitario]]="","PENDIENTE",TablaVentas[[#This Row],[Unidades]]*TablaVentas[[#This Row],[Precio_unitario]]*(1-TablaVentas[[#This Row],[Descuento_pct]]))</f>
        <v>21308.92</v>
      </c>
      <c r="P657" s="6" t="n">
        <f aca="false">IF(TablaVentas[[#This Row],[Costo_unitario]]="","PENDIENTE",TablaVentas[[#This Row],[Unidades]]*TablaVentas[[#This Row],[Costo_unitario]])</f>
        <v>16553.48</v>
      </c>
      <c r="Q657" s="6" t="n">
        <f aca="false">IF(OR(TablaVentas[[#This Row],[Ingreso_neto]]="PENDIENTE",TablaVentas[[#This Row],[Costo_total]]="PENDIENTE"),"PENDIENTE",TablaVentas[[#This Row],[Ingreso_neto]]-TablaVentas[[#This Row],[Costo_total]])</f>
        <v>4755.44</v>
      </c>
    </row>
    <row r="658" customFormat="false" ht="13.5" hidden="false" customHeight="false" outlineLevel="0" collapsed="false">
      <c r="A658" s="1" t="s">
        <v>610</v>
      </c>
      <c r="B658" s="1" t="n">
        <v>1</v>
      </c>
      <c r="C658" s="5" t="n">
        <v>46248</v>
      </c>
      <c r="D658" s="6" t="s">
        <v>611</v>
      </c>
      <c r="E658" s="6" t="s">
        <v>360</v>
      </c>
      <c r="F658" s="6" t="s">
        <v>46</v>
      </c>
      <c r="G658" s="6" t="s">
        <v>47</v>
      </c>
      <c r="H658" s="6" t="s">
        <v>48</v>
      </c>
      <c r="I658" s="1" t="n">
        <v>2</v>
      </c>
      <c r="J658" s="7" t="n">
        <v>2044.4</v>
      </c>
      <c r="K658" s="8" t="n">
        <v>0</v>
      </c>
      <c r="L658" s="7" t="n">
        <v>1479.71</v>
      </c>
      <c r="M658" s="6" t="s">
        <v>49</v>
      </c>
      <c r="N658" s="6" t="s">
        <v>50</v>
      </c>
      <c r="O658" s="6" t="n">
        <f aca="false">IF(TablaVentas[[#This Row],[Precio_unitario]]="","PENDIENTE",TablaVentas[[#This Row],[Unidades]]*TablaVentas[[#This Row],[Precio_unitario]]*(1-TablaVentas[[#This Row],[Descuento_pct]]))</f>
        <v>4088.8</v>
      </c>
      <c r="P658" s="6" t="n">
        <f aca="false">IF(TablaVentas[[#This Row],[Costo_unitario]]="","PENDIENTE",TablaVentas[[#This Row],[Unidades]]*TablaVentas[[#This Row],[Costo_unitario]])</f>
        <v>2959.42</v>
      </c>
      <c r="Q658" s="6" t="n">
        <f aca="false">IF(OR(TablaVentas[[#This Row],[Ingreso_neto]]="PENDIENTE",TablaVentas[[#This Row],[Costo_total]]="PENDIENTE"),"PENDIENTE",TablaVentas[[#This Row],[Ingreso_neto]]-TablaVentas[[#This Row],[Costo_total]])</f>
        <v>1129.38</v>
      </c>
    </row>
    <row r="659" customFormat="false" ht="13.5" hidden="false" customHeight="false" outlineLevel="0" collapsed="false">
      <c r="A659" s="1" t="s">
        <v>610</v>
      </c>
      <c r="B659" s="1" t="n">
        <v>2</v>
      </c>
      <c r="C659" s="5" t="n">
        <v>46248</v>
      </c>
      <c r="D659" s="6" t="s">
        <v>611</v>
      </c>
      <c r="E659" s="6" t="s">
        <v>93</v>
      </c>
      <c r="F659" s="6" t="s">
        <v>46</v>
      </c>
      <c r="G659" s="6" t="s">
        <v>47</v>
      </c>
      <c r="H659" s="6" t="s">
        <v>48</v>
      </c>
      <c r="I659" s="1" t="n">
        <v>1</v>
      </c>
      <c r="J659" s="7" t="n">
        <v>15766.37</v>
      </c>
      <c r="K659" s="8" t="n">
        <v>0.2</v>
      </c>
      <c r="L659" s="7" t="n">
        <v>11166.03</v>
      </c>
      <c r="M659" s="6" t="s">
        <v>49</v>
      </c>
      <c r="N659" s="6" t="s">
        <v>50</v>
      </c>
      <c r="O659" s="6" t="n">
        <f aca="false">IF(TablaVentas[[#This Row],[Precio_unitario]]="","PENDIENTE",TablaVentas[[#This Row],[Unidades]]*TablaVentas[[#This Row],[Precio_unitario]]*(1-TablaVentas[[#This Row],[Descuento_pct]]))</f>
        <v>12613.096</v>
      </c>
      <c r="P659" s="6" t="n">
        <f aca="false">IF(TablaVentas[[#This Row],[Costo_unitario]]="","PENDIENTE",TablaVentas[[#This Row],[Unidades]]*TablaVentas[[#This Row],[Costo_unitario]])</f>
        <v>11166.03</v>
      </c>
      <c r="Q659" s="6" t="n">
        <f aca="false">IF(OR(TablaVentas[[#This Row],[Ingreso_neto]]="PENDIENTE",TablaVentas[[#This Row],[Costo_total]]="PENDIENTE"),"PENDIENTE",TablaVentas[[#This Row],[Ingreso_neto]]-TablaVentas[[#This Row],[Costo_total]])</f>
        <v>1447.066</v>
      </c>
    </row>
    <row r="660" customFormat="false" ht="13.5" hidden="false" customHeight="false" outlineLevel="0" collapsed="false">
      <c r="A660" s="1" t="s">
        <v>612</v>
      </c>
      <c r="B660" s="1" t="n">
        <v>1</v>
      </c>
      <c r="C660" s="5" t="n">
        <v>46232</v>
      </c>
      <c r="D660" s="6" t="s">
        <v>613</v>
      </c>
      <c r="E660" s="6" t="s">
        <v>121</v>
      </c>
      <c r="F660" s="6" t="s">
        <v>46</v>
      </c>
      <c r="G660" s="6" t="s">
        <v>47</v>
      </c>
      <c r="H660" s="6" t="s">
        <v>131</v>
      </c>
      <c r="I660" s="1" t="n">
        <v>2</v>
      </c>
      <c r="J660" s="7" t="n">
        <v>14963.31</v>
      </c>
      <c r="K660" s="8" t="n">
        <v>0.05</v>
      </c>
      <c r="L660" s="7" t="n">
        <v>8239.48</v>
      </c>
      <c r="M660" s="6" t="s">
        <v>49</v>
      </c>
      <c r="N660" s="6" t="s">
        <v>50</v>
      </c>
      <c r="O660" s="6" t="n">
        <f aca="false">IF(TablaVentas[[#This Row],[Precio_unitario]]="","PENDIENTE",TablaVentas[[#This Row],[Unidades]]*TablaVentas[[#This Row],[Precio_unitario]]*(1-TablaVentas[[#This Row],[Descuento_pct]]))</f>
        <v>28430.289</v>
      </c>
      <c r="P660" s="6" t="n">
        <f aca="false">IF(TablaVentas[[#This Row],[Costo_unitario]]="","PENDIENTE",TablaVentas[[#This Row],[Unidades]]*TablaVentas[[#This Row],[Costo_unitario]])</f>
        <v>16478.96</v>
      </c>
      <c r="Q660" s="6" t="n">
        <f aca="false">IF(OR(TablaVentas[[#This Row],[Ingreso_neto]]="PENDIENTE",TablaVentas[[#This Row],[Costo_total]]="PENDIENTE"),"PENDIENTE",TablaVentas[[#This Row],[Ingreso_neto]]-TablaVentas[[#This Row],[Costo_total]])</f>
        <v>11951.329</v>
      </c>
    </row>
    <row r="661" customFormat="false" ht="13.5" hidden="false" customHeight="false" outlineLevel="0" collapsed="false">
      <c r="A661" s="1" t="s">
        <v>614</v>
      </c>
      <c r="B661" s="1" t="n">
        <v>1</v>
      </c>
      <c r="C661" s="5" t="n">
        <v>46272</v>
      </c>
      <c r="D661" s="6" t="s">
        <v>321</v>
      </c>
      <c r="E661" s="6" t="s">
        <v>122</v>
      </c>
      <c r="F661" s="6" t="s">
        <v>46</v>
      </c>
      <c r="G661" s="6" t="s">
        <v>57</v>
      </c>
      <c r="H661" s="6" t="s">
        <v>109</v>
      </c>
      <c r="I661" s="1" t="n">
        <v>5</v>
      </c>
      <c r="J661" s="7" t="n">
        <v>1326.46</v>
      </c>
      <c r="K661" s="8" t="n">
        <v>0.2</v>
      </c>
      <c r="L661" s="7" t="n">
        <v>705.87</v>
      </c>
      <c r="M661" s="6" t="s">
        <v>49</v>
      </c>
      <c r="N661" s="6" t="s">
        <v>59</v>
      </c>
      <c r="O661" s="6" t="n">
        <f aca="false">IF(TablaVentas[[#This Row],[Precio_unitario]]="","PENDIENTE",TablaVentas[[#This Row],[Unidades]]*TablaVentas[[#This Row],[Precio_unitario]]*(1-TablaVentas[[#This Row],[Descuento_pct]]))</f>
        <v>5305.84</v>
      </c>
      <c r="P661" s="6" t="n">
        <f aca="false">IF(TablaVentas[[#This Row],[Costo_unitario]]="","PENDIENTE",TablaVentas[[#This Row],[Unidades]]*TablaVentas[[#This Row],[Costo_unitario]])</f>
        <v>3529.35</v>
      </c>
      <c r="Q661" s="6" t="n">
        <f aca="false">IF(OR(TablaVentas[[#This Row],[Ingreso_neto]]="PENDIENTE",TablaVentas[[#This Row],[Costo_total]]="PENDIENTE"),"PENDIENTE",TablaVentas[[#This Row],[Ingreso_neto]]-TablaVentas[[#This Row],[Costo_total]])</f>
        <v>1776.49</v>
      </c>
    </row>
    <row r="662" customFormat="false" ht="13.5" hidden="false" customHeight="false" outlineLevel="0" collapsed="false">
      <c r="A662" s="1" t="s">
        <v>615</v>
      </c>
      <c r="B662" s="1" t="n">
        <v>1</v>
      </c>
      <c r="C662" s="5" t="n">
        <v>46084</v>
      </c>
      <c r="D662" s="6" t="s">
        <v>496</v>
      </c>
      <c r="E662" s="6" t="s">
        <v>162</v>
      </c>
      <c r="F662" s="6" t="s">
        <v>46</v>
      </c>
      <c r="G662" s="6" t="s">
        <v>64</v>
      </c>
      <c r="H662" s="6" t="s">
        <v>80</v>
      </c>
      <c r="I662" s="1" t="n">
        <v>5</v>
      </c>
      <c r="J662" s="7" t="n">
        <v>800.36</v>
      </c>
      <c r="K662" s="8" t="n">
        <v>0.2</v>
      </c>
      <c r="L662" s="7" t="n">
        <v>397.1</v>
      </c>
      <c r="M662" s="6" t="s">
        <v>49</v>
      </c>
      <c r="N662" s="6" t="s">
        <v>67</v>
      </c>
      <c r="O662" s="6" t="n">
        <f aca="false">IF(TablaVentas[[#This Row],[Precio_unitario]]="","PENDIENTE",TablaVentas[[#This Row],[Unidades]]*TablaVentas[[#This Row],[Precio_unitario]]*(1-TablaVentas[[#This Row],[Descuento_pct]]))</f>
        <v>3201.44</v>
      </c>
      <c r="P662" s="6" t="n">
        <f aca="false">IF(TablaVentas[[#This Row],[Costo_unitario]]="","PENDIENTE",TablaVentas[[#This Row],[Unidades]]*TablaVentas[[#This Row],[Costo_unitario]])</f>
        <v>1985.5</v>
      </c>
      <c r="Q662" s="6" t="n">
        <f aca="false">IF(OR(TablaVentas[[#This Row],[Ingreso_neto]]="PENDIENTE",TablaVentas[[#This Row],[Costo_total]]="PENDIENTE"),"PENDIENTE",TablaVentas[[#This Row],[Ingreso_neto]]-TablaVentas[[#This Row],[Costo_total]])</f>
        <v>1215.94</v>
      </c>
    </row>
    <row r="663" customFormat="false" ht="13.5" hidden="false" customHeight="false" outlineLevel="0" collapsed="false">
      <c r="A663" s="1" t="s">
        <v>615</v>
      </c>
      <c r="B663" s="1" t="n">
        <v>2</v>
      </c>
      <c r="C663" s="5" t="n">
        <v>46084</v>
      </c>
      <c r="D663" s="6" t="s">
        <v>496</v>
      </c>
      <c r="E663" s="6" t="s">
        <v>289</v>
      </c>
      <c r="F663" s="6" t="s">
        <v>46</v>
      </c>
      <c r="G663" s="6" t="s">
        <v>64</v>
      </c>
      <c r="H663" s="6" t="s">
        <v>80</v>
      </c>
      <c r="I663" s="1" t="n">
        <v>3</v>
      </c>
      <c r="J663" s="7" t="n">
        <v>3859.48</v>
      </c>
      <c r="K663" s="8" t="n">
        <v>0</v>
      </c>
      <c r="L663" s="7" t="n">
        <v>3399.5</v>
      </c>
      <c r="M663" s="6" t="s">
        <v>49</v>
      </c>
      <c r="N663" s="6" t="s">
        <v>67</v>
      </c>
      <c r="O663" s="6" t="n">
        <f aca="false">IF(TablaVentas[[#This Row],[Precio_unitario]]="","PENDIENTE",TablaVentas[[#This Row],[Unidades]]*TablaVentas[[#This Row],[Precio_unitario]]*(1-TablaVentas[[#This Row],[Descuento_pct]]))</f>
        <v>11578.44</v>
      </c>
      <c r="P663" s="6" t="n">
        <f aca="false">IF(TablaVentas[[#This Row],[Costo_unitario]]="","PENDIENTE",TablaVentas[[#This Row],[Unidades]]*TablaVentas[[#This Row],[Costo_unitario]])</f>
        <v>10198.5</v>
      </c>
      <c r="Q663" s="6" t="n">
        <f aca="false">IF(OR(TablaVentas[[#This Row],[Ingreso_neto]]="PENDIENTE",TablaVentas[[#This Row],[Costo_total]]="PENDIENTE"),"PENDIENTE",TablaVentas[[#This Row],[Ingreso_neto]]-TablaVentas[[#This Row],[Costo_total]])</f>
        <v>1379.94</v>
      </c>
    </row>
    <row r="664" customFormat="false" ht="13.5" hidden="false" customHeight="false" outlineLevel="0" collapsed="false">
      <c r="A664" s="1" t="s">
        <v>615</v>
      </c>
      <c r="B664" s="1" t="n">
        <v>3</v>
      </c>
      <c r="C664" s="5" t="n">
        <v>46084</v>
      </c>
      <c r="D664" s="6" t="s">
        <v>496</v>
      </c>
      <c r="E664" s="6" t="s">
        <v>75</v>
      </c>
      <c r="F664" s="6" t="s">
        <v>46</v>
      </c>
      <c r="G664" s="6" t="s">
        <v>64</v>
      </c>
      <c r="H664" s="6" t="s">
        <v>80</v>
      </c>
      <c r="I664" s="1" t="n">
        <v>1</v>
      </c>
      <c r="J664" s="7" t="n">
        <v>15880.09</v>
      </c>
      <c r="K664" s="8" t="n">
        <v>0</v>
      </c>
      <c r="L664" s="7" t="n">
        <v>9243.35</v>
      </c>
      <c r="M664" s="6" t="s">
        <v>49</v>
      </c>
      <c r="N664" s="6" t="s">
        <v>67</v>
      </c>
      <c r="O664" s="6" t="n">
        <f aca="false">IF(TablaVentas[[#This Row],[Precio_unitario]]="","PENDIENTE",TablaVentas[[#This Row],[Unidades]]*TablaVentas[[#This Row],[Precio_unitario]]*(1-TablaVentas[[#This Row],[Descuento_pct]]))</f>
        <v>15880.09</v>
      </c>
      <c r="P664" s="6" t="n">
        <f aca="false">IF(TablaVentas[[#This Row],[Costo_unitario]]="","PENDIENTE",TablaVentas[[#This Row],[Unidades]]*TablaVentas[[#This Row],[Costo_unitario]])</f>
        <v>9243.35</v>
      </c>
      <c r="Q664" s="6" t="n">
        <f aca="false">IF(OR(TablaVentas[[#This Row],[Ingreso_neto]]="PENDIENTE",TablaVentas[[#This Row],[Costo_total]]="PENDIENTE"),"PENDIENTE",TablaVentas[[#This Row],[Ingreso_neto]]-TablaVentas[[#This Row],[Costo_total]])</f>
        <v>6636.74</v>
      </c>
    </row>
    <row r="665" customFormat="false" ht="13.5" hidden="false" customHeight="false" outlineLevel="0" collapsed="false">
      <c r="A665" s="1" t="s">
        <v>616</v>
      </c>
      <c r="B665" s="1" t="n">
        <v>1</v>
      </c>
      <c r="C665" s="5" t="n">
        <v>46236</v>
      </c>
      <c r="D665" s="6" t="s">
        <v>115</v>
      </c>
      <c r="E665" s="6" t="s">
        <v>360</v>
      </c>
      <c r="F665" s="6" t="s">
        <v>46</v>
      </c>
      <c r="G665" s="6" t="s">
        <v>57</v>
      </c>
      <c r="H665" s="6" t="s">
        <v>131</v>
      </c>
      <c r="I665" s="1" t="n">
        <v>3</v>
      </c>
      <c r="J665" s="7" t="n">
        <v>2293.79</v>
      </c>
      <c r="K665" s="8" t="n">
        <v>0</v>
      </c>
      <c r="L665" s="7" t="n">
        <v>1479.71</v>
      </c>
      <c r="M665" s="6" t="s">
        <v>49</v>
      </c>
      <c r="N665" s="6" t="s">
        <v>67</v>
      </c>
      <c r="O665" s="6" t="n">
        <f aca="false">IF(TablaVentas[[#This Row],[Precio_unitario]]="","PENDIENTE",TablaVentas[[#This Row],[Unidades]]*TablaVentas[[#This Row],[Precio_unitario]]*(1-TablaVentas[[#This Row],[Descuento_pct]]))</f>
        <v>6881.37</v>
      </c>
      <c r="P665" s="6" t="n">
        <f aca="false">IF(TablaVentas[[#This Row],[Costo_unitario]]="","PENDIENTE",TablaVentas[[#This Row],[Unidades]]*TablaVentas[[#This Row],[Costo_unitario]])</f>
        <v>4439.13</v>
      </c>
      <c r="Q665" s="6" t="n">
        <f aca="false">IF(OR(TablaVentas[[#This Row],[Ingreso_neto]]="PENDIENTE",TablaVentas[[#This Row],[Costo_total]]="PENDIENTE"),"PENDIENTE",TablaVentas[[#This Row],[Ingreso_neto]]-TablaVentas[[#This Row],[Costo_total]])</f>
        <v>2442.24</v>
      </c>
    </row>
    <row r="666" customFormat="false" ht="13.5" hidden="false" customHeight="false" outlineLevel="0" collapsed="false">
      <c r="A666" s="1" t="s">
        <v>616</v>
      </c>
      <c r="B666" s="1" t="n">
        <v>2</v>
      </c>
      <c r="C666" s="5" t="n">
        <v>46236</v>
      </c>
      <c r="D666" s="6" t="s">
        <v>115</v>
      </c>
      <c r="E666" s="6" t="s">
        <v>240</v>
      </c>
      <c r="F666" s="6" t="s">
        <v>46</v>
      </c>
      <c r="G666" s="6" t="s">
        <v>57</v>
      </c>
      <c r="H666" s="6" t="s">
        <v>131</v>
      </c>
      <c r="I666" s="1" t="n">
        <v>1</v>
      </c>
      <c r="J666" s="7" t="n">
        <v>9349.67</v>
      </c>
      <c r="K666" s="8" t="n">
        <v>0.2</v>
      </c>
      <c r="L666" s="7" t="n">
        <v>5932.12</v>
      </c>
      <c r="M666" s="6" t="s">
        <v>49</v>
      </c>
      <c r="N666" s="6" t="s">
        <v>67</v>
      </c>
      <c r="O666" s="6" t="n">
        <f aca="false">IF(TablaVentas[[#This Row],[Precio_unitario]]="","PENDIENTE",TablaVentas[[#This Row],[Unidades]]*TablaVentas[[#This Row],[Precio_unitario]]*(1-TablaVentas[[#This Row],[Descuento_pct]]))</f>
        <v>7479.736</v>
      </c>
      <c r="P666" s="6" t="n">
        <f aca="false">IF(TablaVentas[[#This Row],[Costo_unitario]]="","PENDIENTE",TablaVentas[[#This Row],[Unidades]]*TablaVentas[[#This Row],[Costo_unitario]])</f>
        <v>5932.12</v>
      </c>
      <c r="Q666" s="6" t="n">
        <f aca="false">IF(OR(TablaVentas[[#This Row],[Ingreso_neto]]="PENDIENTE",TablaVentas[[#This Row],[Costo_total]]="PENDIENTE"),"PENDIENTE",TablaVentas[[#This Row],[Ingreso_neto]]-TablaVentas[[#This Row],[Costo_total]])</f>
        <v>1547.616</v>
      </c>
    </row>
    <row r="667" customFormat="false" ht="13.5" hidden="false" customHeight="false" outlineLevel="0" collapsed="false">
      <c r="A667" s="1" t="s">
        <v>616</v>
      </c>
      <c r="B667" s="1" t="n">
        <v>3</v>
      </c>
      <c r="C667" s="5" t="n">
        <v>46236</v>
      </c>
      <c r="D667" s="6" t="s">
        <v>115</v>
      </c>
      <c r="E667" s="6" t="s">
        <v>544</v>
      </c>
      <c r="F667" s="6" t="s">
        <v>46</v>
      </c>
      <c r="G667" s="6" t="s">
        <v>57</v>
      </c>
      <c r="H667" s="6" t="s">
        <v>131</v>
      </c>
      <c r="I667" s="1" t="n">
        <v>5</v>
      </c>
      <c r="J667" s="7" t="n">
        <v>5114.78</v>
      </c>
      <c r="K667" s="8" t="n">
        <v>0.05</v>
      </c>
      <c r="L667" s="7" t="n">
        <v>4556.23</v>
      </c>
      <c r="M667" s="6" t="s">
        <v>49</v>
      </c>
      <c r="N667" s="6" t="s">
        <v>50</v>
      </c>
      <c r="O667" s="6" t="n">
        <f aca="false">IF(TablaVentas[[#This Row],[Precio_unitario]]="","PENDIENTE",TablaVentas[[#This Row],[Unidades]]*TablaVentas[[#This Row],[Precio_unitario]]*(1-TablaVentas[[#This Row],[Descuento_pct]]))</f>
        <v>24295.205</v>
      </c>
      <c r="P667" s="6" t="n">
        <f aca="false">IF(TablaVentas[[#This Row],[Costo_unitario]]="","PENDIENTE",TablaVentas[[#This Row],[Unidades]]*TablaVentas[[#This Row],[Costo_unitario]])</f>
        <v>22781.15</v>
      </c>
      <c r="Q667" s="6" t="n">
        <f aca="false">IF(OR(TablaVentas[[#This Row],[Ingreso_neto]]="PENDIENTE",TablaVentas[[#This Row],[Costo_total]]="PENDIENTE"),"PENDIENTE",TablaVentas[[#This Row],[Ingreso_neto]]-TablaVentas[[#This Row],[Costo_total]])</f>
        <v>1514.055</v>
      </c>
    </row>
    <row r="668" customFormat="false" ht="13.5" hidden="false" customHeight="false" outlineLevel="0" collapsed="false">
      <c r="A668" s="1" t="s">
        <v>617</v>
      </c>
      <c r="B668" s="1" t="n">
        <v>1</v>
      </c>
      <c r="C668" s="5" t="n">
        <v>46076</v>
      </c>
      <c r="D668" s="6" t="s">
        <v>464</v>
      </c>
      <c r="E668" s="6" t="s">
        <v>116</v>
      </c>
      <c r="F668" s="6" t="s">
        <v>84</v>
      </c>
      <c r="G668" s="6" t="s">
        <v>64</v>
      </c>
      <c r="H668" s="6" t="s">
        <v>191</v>
      </c>
      <c r="I668" s="1" t="n">
        <v>1</v>
      </c>
      <c r="J668" s="7" t="n">
        <v>14318.7</v>
      </c>
      <c r="K668" s="8" t="n">
        <v>0.05</v>
      </c>
      <c r="L668" s="7" t="n">
        <v>9880.77</v>
      </c>
      <c r="M668" s="6" t="s">
        <v>49</v>
      </c>
      <c r="N668" s="6" t="s">
        <v>59</v>
      </c>
      <c r="O668" s="6" t="n">
        <f aca="false">IF(TablaVentas[[#This Row],[Precio_unitario]]="","PENDIENTE",TablaVentas[[#This Row],[Unidades]]*TablaVentas[[#This Row],[Precio_unitario]]*(1-TablaVentas[[#This Row],[Descuento_pct]]))</f>
        <v>13602.765</v>
      </c>
      <c r="P668" s="6" t="n">
        <f aca="false">IF(TablaVentas[[#This Row],[Costo_unitario]]="","PENDIENTE",TablaVentas[[#This Row],[Unidades]]*TablaVentas[[#This Row],[Costo_unitario]])</f>
        <v>9880.77</v>
      </c>
      <c r="Q668" s="6" t="n">
        <f aca="false">IF(OR(TablaVentas[[#This Row],[Ingreso_neto]]="PENDIENTE",TablaVentas[[#This Row],[Costo_total]]="PENDIENTE"),"PENDIENTE",TablaVentas[[#This Row],[Ingreso_neto]]-TablaVentas[[#This Row],[Costo_total]])</f>
        <v>3721.995</v>
      </c>
    </row>
    <row r="669" customFormat="false" ht="13.5" hidden="false" customHeight="false" outlineLevel="0" collapsed="false">
      <c r="A669" s="1" t="s">
        <v>617</v>
      </c>
      <c r="B669" s="1" t="n">
        <v>2</v>
      </c>
      <c r="C669" s="5" t="n">
        <v>46076</v>
      </c>
      <c r="D669" s="6" t="s">
        <v>464</v>
      </c>
      <c r="E669" s="6" t="s">
        <v>162</v>
      </c>
      <c r="F669" s="6" t="s">
        <v>84</v>
      </c>
      <c r="G669" s="6" t="s">
        <v>64</v>
      </c>
      <c r="H669" s="6" t="s">
        <v>191</v>
      </c>
      <c r="I669" s="1" t="n">
        <v>1</v>
      </c>
      <c r="J669" s="7" t="n">
        <v>761.3</v>
      </c>
      <c r="K669" s="8" t="n">
        <v>0</v>
      </c>
      <c r="L669" s="7" t="n">
        <v>397.1</v>
      </c>
      <c r="M669" s="6" t="s">
        <v>49</v>
      </c>
      <c r="N669" s="6" t="s">
        <v>67</v>
      </c>
      <c r="O669" s="6" t="n">
        <f aca="false">IF(TablaVentas[[#This Row],[Precio_unitario]]="","PENDIENTE",TablaVentas[[#This Row],[Unidades]]*TablaVentas[[#This Row],[Precio_unitario]]*(1-TablaVentas[[#This Row],[Descuento_pct]]))</f>
        <v>761.3</v>
      </c>
      <c r="P669" s="6" t="n">
        <f aca="false">IF(TablaVentas[[#This Row],[Costo_unitario]]="","PENDIENTE",TablaVentas[[#This Row],[Unidades]]*TablaVentas[[#This Row],[Costo_unitario]])</f>
        <v>397.1</v>
      </c>
      <c r="Q669" s="6" t="n">
        <f aca="false">IF(OR(TablaVentas[[#This Row],[Ingreso_neto]]="PENDIENTE",TablaVentas[[#This Row],[Costo_total]]="PENDIENTE"),"PENDIENTE",TablaVentas[[#This Row],[Ingreso_neto]]-TablaVentas[[#This Row],[Costo_total]])</f>
        <v>364.2</v>
      </c>
    </row>
    <row r="670" customFormat="false" ht="13.5" hidden="false" customHeight="false" outlineLevel="0" collapsed="false">
      <c r="A670" s="1" t="s">
        <v>617</v>
      </c>
      <c r="B670" s="1" t="n">
        <v>3</v>
      </c>
      <c r="C670" s="5" t="n">
        <v>46076</v>
      </c>
      <c r="D670" s="6" t="s">
        <v>464</v>
      </c>
      <c r="E670" s="6" t="s">
        <v>90</v>
      </c>
      <c r="F670" s="6" t="s">
        <v>84</v>
      </c>
      <c r="G670" s="6" t="s">
        <v>64</v>
      </c>
      <c r="H670" s="6" t="s">
        <v>191</v>
      </c>
      <c r="I670" s="1" t="n">
        <v>5</v>
      </c>
      <c r="J670" s="7" t="n">
        <v>15811.87</v>
      </c>
      <c r="K670" s="8" t="n">
        <v>0</v>
      </c>
      <c r="L670" s="7" t="n">
        <v>12723.77</v>
      </c>
      <c r="M670" s="6" t="s">
        <v>49</v>
      </c>
      <c r="N670" s="6" t="s">
        <v>59</v>
      </c>
      <c r="O670" s="6" t="n">
        <f aca="false">IF(TablaVentas[[#This Row],[Precio_unitario]]="","PENDIENTE",TablaVentas[[#This Row],[Unidades]]*TablaVentas[[#This Row],[Precio_unitario]]*(1-TablaVentas[[#This Row],[Descuento_pct]]))</f>
        <v>79059.35</v>
      </c>
      <c r="P670" s="6" t="n">
        <f aca="false">IF(TablaVentas[[#This Row],[Costo_unitario]]="","PENDIENTE",TablaVentas[[#This Row],[Unidades]]*TablaVentas[[#This Row],[Costo_unitario]])</f>
        <v>63618.85</v>
      </c>
      <c r="Q670" s="6" t="n">
        <f aca="false">IF(OR(TablaVentas[[#This Row],[Ingreso_neto]]="PENDIENTE",TablaVentas[[#This Row],[Costo_total]]="PENDIENTE"),"PENDIENTE",TablaVentas[[#This Row],[Ingreso_neto]]-TablaVentas[[#This Row],[Costo_total]])</f>
        <v>15440.5</v>
      </c>
    </row>
    <row r="671" customFormat="false" ht="13.5" hidden="false" customHeight="false" outlineLevel="0" collapsed="false">
      <c r="A671" s="1" t="s">
        <v>617</v>
      </c>
      <c r="B671" s="1" t="n">
        <v>4</v>
      </c>
      <c r="C671" s="5" t="n">
        <v>46076</v>
      </c>
      <c r="D671" s="6" t="s">
        <v>464</v>
      </c>
      <c r="E671" s="6" t="s">
        <v>417</v>
      </c>
      <c r="F671" s="6" t="s">
        <v>84</v>
      </c>
      <c r="G671" s="6" t="s">
        <v>64</v>
      </c>
      <c r="H671" s="6" t="s">
        <v>191</v>
      </c>
      <c r="I671" s="1" t="n">
        <v>1</v>
      </c>
      <c r="J671" s="7" t="n">
        <v>8026.13</v>
      </c>
      <c r="K671" s="8" t="n">
        <v>0</v>
      </c>
      <c r="L671" s="7" t="n">
        <v>5874.17</v>
      </c>
      <c r="M671" s="6" t="s">
        <v>49</v>
      </c>
      <c r="N671" s="6" t="s">
        <v>67</v>
      </c>
      <c r="O671" s="6" t="n">
        <f aca="false">IF(TablaVentas[[#This Row],[Precio_unitario]]="","PENDIENTE",TablaVentas[[#This Row],[Unidades]]*TablaVentas[[#This Row],[Precio_unitario]]*(1-TablaVentas[[#This Row],[Descuento_pct]]))</f>
        <v>8026.13</v>
      </c>
      <c r="P671" s="6" t="n">
        <f aca="false">IF(TablaVentas[[#This Row],[Costo_unitario]]="","PENDIENTE",TablaVentas[[#This Row],[Unidades]]*TablaVentas[[#This Row],[Costo_unitario]])</f>
        <v>5874.17</v>
      </c>
      <c r="Q671" s="6" t="n">
        <f aca="false">IF(OR(TablaVentas[[#This Row],[Ingreso_neto]]="PENDIENTE",TablaVentas[[#This Row],[Costo_total]]="PENDIENTE"),"PENDIENTE",TablaVentas[[#This Row],[Ingreso_neto]]-TablaVentas[[#This Row],[Costo_total]])</f>
        <v>2151.96</v>
      </c>
    </row>
    <row r="672" customFormat="false" ht="13.5" hidden="false" customHeight="false" outlineLevel="0" collapsed="false">
      <c r="A672" s="1" t="s">
        <v>618</v>
      </c>
      <c r="B672" s="1" t="n">
        <v>1</v>
      </c>
      <c r="C672" s="5" t="n">
        <v>46224</v>
      </c>
      <c r="D672" s="6" t="s">
        <v>539</v>
      </c>
      <c r="E672" s="6" t="s">
        <v>218</v>
      </c>
      <c r="F672" s="6" t="s">
        <v>73</v>
      </c>
      <c r="G672" s="6" t="s">
        <v>64</v>
      </c>
      <c r="H672" s="6" t="s">
        <v>109</v>
      </c>
      <c r="I672" s="1" t="n">
        <v>3</v>
      </c>
      <c r="J672" s="7" t="n">
        <v>18084.42</v>
      </c>
      <c r="K672" s="8" t="n">
        <v>0</v>
      </c>
      <c r="L672" s="7" t="n">
        <v>13760.53</v>
      </c>
      <c r="M672" s="6" t="s">
        <v>49</v>
      </c>
      <c r="N672" s="6" t="s">
        <v>50</v>
      </c>
      <c r="O672" s="6" t="n">
        <f aca="false">IF(TablaVentas[[#This Row],[Precio_unitario]]="","PENDIENTE",TablaVentas[[#This Row],[Unidades]]*TablaVentas[[#This Row],[Precio_unitario]]*(1-TablaVentas[[#This Row],[Descuento_pct]]))</f>
        <v>54253.26</v>
      </c>
      <c r="P672" s="6" t="n">
        <f aca="false">IF(TablaVentas[[#This Row],[Costo_unitario]]="","PENDIENTE",TablaVentas[[#This Row],[Unidades]]*TablaVentas[[#This Row],[Costo_unitario]])</f>
        <v>41281.59</v>
      </c>
      <c r="Q672" s="6" t="n">
        <f aca="false">IF(OR(TablaVentas[[#This Row],[Ingreso_neto]]="PENDIENTE",TablaVentas[[#This Row],[Costo_total]]="PENDIENTE"),"PENDIENTE",TablaVentas[[#This Row],[Ingreso_neto]]-TablaVentas[[#This Row],[Costo_total]])</f>
        <v>12971.67</v>
      </c>
    </row>
    <row r="673" customFormat="false" ht="13.5" hidden="false" customHeight="false" outlineLevel="0" collapsed="false">
      <c r="A673" s="1" t="s">
        <v>618</v>
      </c>
      <c r="B673" s="1" t="n">
        <v>2</v>
      </c>
      <c r="C673" s="5" t="n">
        <v>46224</v>
      </c>
      <c r="D673" s="6" t="s">
        <v>539</v>
      </c>
      <c r="E673" s="6" t="s">
        <v>121</v>
      </c>
      <c r="F673" s="6" t="s">
        <v>73</v>
      </c>
      <c r="G673" s="6" t="s">
        <v>64</v>
      </c>
      <c r="H673" s="6" t="s">
        <v>109</v>
      </c>
      <c r="I673" s="1" t="n">
        <v>1</v>
      </c>
      <c r="J673" s="7" t="n">
        <v>15658.61</v>
      </c>
      <c r="K673" s="8" t="n">
        <v>0.05</v>
      </c>
      <c r="L673" s="7" t="n">
        <v>8239.48</v>
      </c>
      <c r="M673" s="6" t="s">
        <v>49</v>
      </c>
      <c r="N673" s="6" t="s">
        <v>59</v>
      </c>
      <c r="O673" s="6" t="n">
        <f aca="false">IF(TablaVentas[[#This Row],[Precio_unitario]]="","PENDIENTE",TablaVentas[[#This Row],[Unidades]]*TablaVentas[[#This Row],[Precio_unitario]]*(1-TablaVentas[[#This Row],[Descuento_pct]]))</f>
        <v>14875.6795</v>
      </c>
      <c r="P673" s="6" t="n">
        <f aca="false">IF(TablaVentas[[#This Row],[Costo_unitario]]="","PENDIENTE",TablaVentas[[#This Row],[Unidades]]*TablaVentas[[#This Row],[Costo_unitario]])</f>
        <v>8239.48</v>
      </c>
      <c r="Q673" s="6" t="n">
        <f aca="false">IF(OR(TablaVentas[[#This Row],[Ingreso_neto]]="PENDIENTE",TablaVentas[[#This Row],[Costo_total]]="PENDIENTE"),"PENDIENTE",TablaVentas[[#This Row],[Ingreso_neto]]-TablaVentas[[#This Row],[Costo_total]])</f>
        <v>6636.1995</v>
      </c>
    </row>
    <row r="674" customFormat="false" ht="13.5" hidden="false" customHeight="false" outlineLevel="0" collapsed="false">
      <c r="A674" s="1" t="s">
        <v>619</v>
      </c>
      <c r="B674" s="1" t="n">
        <v>1</v>
      </c>
      <c r="C674" s="5" t="n">
        <v>46154</v>
      </c>
      <c r="D674" s="6" t="s">
        <v>620</v>
      </c>
      <c r="E674" s="6" t="s">
        <v>88</v>
      </c>
      <c r="F674" s="6" t="s">
        <v>73</v>
      </c>
      <c r="G674" s="6" t="s">
        <v>57</v>
      </c>
      <c r="H674" s="6" t="s">
        <v>136</v>
      </c>
      <c r="I674" s="1" t="n">
        <v>4</v>
      </c>
      <c r="J674" s="7" t="n">
        <v>17713.85</v>
      </c>
      <c r="K674" s="8" t="n">
        <v>0.15</v>
      </c>
      <c r="L674" s="7" t="n">
        <v>11614.87</v>
      </c>
      <c r="M674" s="6" t="s">
        <v>49</v>
      </c>
      <c r="N674" s="6" t="s">
        <v>50</v>
      </c>
      <c r="O674" s="6" t="n">
        <f aca="false">IF(TablaVentas[[#This Row],[Precio_unitario]]="","PENDIENTE",TablaVentas[[#This Row],[Unidades]]*TablaVentas[[#This Row],[Precio_unitario]]*(1-TablaVentas[[#This Row],[Descuento_pct]]))</f>
        <v>60227.09</v>
      </c>
      <c r="P674" s="6" t="n">
        <f aca="false">IF(TablaVentas[[#This Row],[Costo_unitario]]="","PENDIENTE",TablaVentas[[#This Row],[Unidades]]*TablaVentas[[#This Row],[Costo_unitario]])</f>
        <v>46459.48</v>
      </c>
      <c r="Q674" s="6" t="n">
        <f aca="false">IF(OR(TablaVentas[[#This Row],[Ingreso_neto]]="PENDIENTE",TablaVentas[[#This Row],[Costo_total]]="PENDIENTE"),"PENDIENTE",TablaVentas[[#This Row],[Ingreso_neto]]-TablaVentas[[#This Row],[Costo_total]])</f>
        <v>13767.61</v>
      </c>
    </row>
    <row r="675" customFormat="false" ht="13.5" hidden="false" customHeight="false" outlineLevel="0" collapsed="false">
      <c r="A675" s="1" t="s">
        <v>619</v>
      </c>
      <c r="B675" s="1" t="n">
        <v>2</v>
      </c>
      <c r="C675" s="5" t="n">
        <v>46154</v>
      </c>
      <c r="D675" s="6" t="s">
        <v>620</v>
      </c>
      <c r="E675" s="6" t="s">
        <v>163</v>
      </c>
      <c r="F675" s="6" t="s">
        <v>73</v>
      </c>
      <c r="G675" s="6" t="s">
        <v>57</v>
      </c>
      <c r="H675" s="6" t="s">
        <v>136</v>
      </c>
      <c r="I675" s="1" t="n">
        <v>2</v>
      </c>
      <c r="J675" s="7" t="n">
        <v>17201.9</v>
      </c>
      <c r="K675" s="8" t="n">
        <v>0.1</v>
      </c>
      <c r="L675" s="7" t="n">
        <v>13981.13</v>
      </c>
      <c r="M675" s="6" t="s">
        <v>49</v>
      </c>
      <c r="N675" s="6" t="s">
        <v>59</v>
      </c>
      <c r="O675" s="6" t="n">
        <f aca="false">IF(TablaVentas[[#This Row],[Precio_unitario]]="","PENDIENTE",TablaVentas[[#This Row],[Unidades]]*TablaVentas[[#This Row],[Precio_unitario]]*(1-TablaVentas[[#This Row],[Descuento_pct]]))</f>
        <v>30963.42</v>
      </c>
      <c r="P675" s="6" t="n">
        <f aca="false">IF(TablaVentas[[#This Row],[Costo_unitario]]="","PENDIENTE",TablaVentas[[#This Row],[Unidades]]*TablaVentas[[#This Row],[Costo_unitario]])</f>
        <v>27962.26</v>
      </c>
      <c r="Q675" s="6" t="n">
        <f aca="false">IF(OR(TablaVentas[[#This Row],[Ingreso_neto]]="PENDIENTE",TablaVentas[[#This Row],[Costo_total]]="PENDIENTE"),"PENDIENTE",TablaVentas[[#This Row],[Ingreso_neto]]-TablaVentas[[#This Row],[Costo_total]])</f>
        <v>3001.16</v>
      </c>
    </row>
    <row r="676" customFormat="false" ht="13.5" hidden="false" customHeight="false" outlineLevel="0" collapsed="false">
      <c r="A676" s="1" t="s">
        <v>621</v>
      </c>
      <c r="B676" s="1" t="n">
        <v>1</v>
      </c>
      <c r="C676" s="5" t="n">
        <v>46138</v>
      </c>
      <c r="D676" s="6" t="s">
        <v>622</v>
      </c>
      <c r="E676" s="6" t="s">
        <v>121</v>
      </c>
      <c r="F676" s="6" t="s">
        <v>46</v>
      </c>
      <c r="G676" s="6" t="s">
        <v>47</v>
      </c>
      <c r="H676" s="6" t="s">
        <v>65</v>
      </c>
      <c r="I676" s="1" t="n">
        <v>1</v>
      </c>
      <c r="J676" s="7" t="n">
        <v>14922.08</v>
      </c>
      <c r="K676" s="8" t="n">
        <v>0</v>
      </c>
      <c r="L676" s="7" t="n">
        <v>8239.48</v>
      </c>
      <c r="M676" s="6" t="s">
        <v>49</v>
      </c>
      <c r="N676" s="6" t="s">
        <v>67</v>
      </c>
      <c r="O676" s="6" t="n">
        <f aca="false">IF(TablaVentas[[#This Row],[Precio_unitario]]="","PENDIENTE",TablaVentas[[#This Row],[Unidades]]*TablaVentas[[#This Row],[Precio_unitario]]*(1-TablaVentas[[#This Row],[Descuento_pct]]))</f>
        <v>14922.08</v>
      </c>
      <c r="P676" s="6" t="n">
        <f aca="false">IF(TablaVentas[[#This Row],[Costo_unitario]]="","PENDIENTE",TablaVentas[[#This Row],[Unidades]]*TablaVentas[[#This Row],[Costo_unitario]])</f>
        <v>8239.48</v>
      </c>
      <c r="Q676" s="6" t="n">
        <f aca="false">IF(OR(TablaVentas[[#This Row],[Ingreso_neto]]="PENDIENTE",TablaVentas[[#This Row],[Costo_total]]="PENDIENTE"),"PENDIENTE",TablaVentas[[#This Row],[Ingreso_neto]]-TablaVentas[[#This Row],[Costo_total]])</f>
        <v>6682.6</v>
      </c>
    </row>
    <row r="677" customFormat="false" ht="13.5" hidden="false" customHeight="false" outlineLevel="0" collapsed="false">
      <c r="A677" s="1" t="s">
        <v>621</v>
      </c>
      <c r="B677" s="1" t="n">
        <v>2</v>
      </c>
      <c r="C677" s="5" t="n">
        <v>46138</v>
      </c>
      <c r="D677" s="6" t="s">
        <v>622</v>
      </c>
      <c r="E677" s="6" t="s">
        <v>166</v>
      </c>
      <c r="F677" s="6" t="s">
        <v>46</v>
      </c>
      <c r="G677" s="6" t="s">
        <v>47</v>
      </c>
      <c r="H677" s="6" t="s">
        <v>65</v>
      </c>
      <c r="I677" s="1" t="n">
        <v>8</v>
      </c>
      <c r="J677" s="7" t="n">
        <v>12856.85</v>
      </c>
      <c r="K677" s="8" t="n">
        <v>0.1</v>
      </c>
      <c r="L677" s="7" t="n">
        <v>9317.37</v>
      </c>
      <c r="M677" s="6" t="s">
        <v>49</v>
      </c>
      <c r="N677" s="6" t="s">
        <v>67</v>
      </c>
      <c r="O677" s="6" t="n">
        <f aca="false">IF(TablaVentas[[#This Row],[Precio_unitario]]="","PENDIENTE",TablaVentas[[#This Row],[Unidades]]*TablaVentas[[#This Row],[Precio_unitario]]*(1-TablaVentas[[#This Row],[Descuento_pct]]))</f>
        <v>92569.32</v>
      </c>
      <c r="P677" s="6" t="n">
        <f aca="false">IF(TablaVentas[[#This Row],[Costo_unitario]]="","PENDIENTE",TablaVentas[[#This Row],[Unidades]]*TablaVentas[[#This Row],[Costo_unitario]])</f>
        <v>74538.96</v>
      </c>
      <c r="Q677" s="6" t="n">
        <f aca="false">IF(OR(TablaVentas[[#This Row],[Ingreso_neto]]="PENDIENTE",TablaVentas[[#This Row],[Costo_total]]="PENDIENTE"),"PENDIENTE",TablaVentas[[#This Row],[Ingreso_neto]]-TablaVentas[[#This Row],[Costo_total]])</f>
        <v>18030.36</v>
      </c>
    </row>
    <row r="678" customFormat="false" ht="13.5" hidden="false" customHeight="false" outlineLevel="0" collapsed="false">
      <c r="A678" s="1" t="s">
        <v>621</v>
      </c>
      <c r="B678" s="1" t="n">
        <v>3</v>
      </c>
      <c r="C678" s="5" t="n">
        <v>46138</v>
      </c>
      <c r="D678" s="6" t="s">
        <v>622</v>
      </c>
      <c r="E678" s="6" t="s">
        <v>62</v>
      </c>
      <c r="F678" s="6" t="s">
        <v>46</v>
      </c>
      <c r="G678" s="6" t="s">
        <v>47</v>
      </c>
      <c r="H678" s="6" t="s">
        <v>65</v>
      </c>
      <c r="I678" s="1" t="n">
        <v>4</v>
      </c>
      <c r="J678" s="7" t="n">
        <v>11321.56</v>
      </c>
      <c r="K678" s="8" t="n">
        <v>0</v>
      </c>
      <c r="L678" s="7" t="n">
        <v>6407.85</v>
      </c>
      <c r="M678" s="6" t="s">
        <v>49</v>
      </c>
      <c r="N678" s="6" t="s">
        <v>67</v>
      </c>
      <c r="O678" s="6" t="n">
        <f aca="false">IF(TablaVentas[[#This Row],[Precio_unitario]]="","PENDIENTE",TablaVentas[[#This Row],[Unidades]]*TablaVentas[[#This Row],[Precio_unitario]]*(1-TablaVentas[[#This Row],[Descuento_pct]]))</f>
        <v>45286.24</v>
      </c>
      <c r="P678" s="6" t="n">
        <f aca="false">IF(TablaVentas[[#This Row],[Costo_unitario]]="","PENDIENTE",TablaVentas[[#This Row],[Unidades]]*TablaVentas[[#This Row],[Costo_unitario]])</f>
        <v>25631.4</v>
      </c>
      <c r="Q678" s="6" t="n">
        <f aca="false">IF(OR(TablaVentas[[#This Row],[Ingreso_neto]]="PENDIENTE",TablaVentas[[#This Row],[Costo_total]]="PENDIENTE"),"PENDIENTE",TablaVentas[[#This Row],[Ingreso_neto]]-TablaVentas[[#This Row],[Costo_total]])</f>
        <v>19654.84</v>
      </c>
    </row>
    <row r="679" customFormat="false" ht="13.5" hidden="false" customHeight="false" outlineLevel="0" collapsed="false">
      <c r="A679" s="1" t="s">
        <v>623</v>
      </c>
      <c r="B679" s="1" t="n">
        <v>1</v>
      </c>
      <c r="C679" s="5" t="n">
        <v>46104</v>
      </c>
      <c r="D679" s="6" t="s">
        <v>71</v>
      </c>
      <c r="E679" s="6" t="s">
        <v>110</v>
      </c>
      <c r="F679" s="6" t="s">
        <v>84</v>
      </c>
      <c r="G679" s="6" t="s">
        <v>57</v>
      </c>
      <c r="H679" s="6" t="s">
        <v>80</v>
      </c>
      <c r="I679" s="1" t="n">
        <v>1</v>
      </c>
      <c r="J679" s="7" t="n">
        <v>13733.8</v>
      </c>
      <c r="K679" s="8" t="n">
        <v>0.2</v>
      </c>
      <c r="L679" s="7" t="n">
        <v>7549.71</v>
      </c>
      <c r="M679" s="6" t="s">
        <v>49</v>
      </c>
      <c r="N679" s="6" t="s">
        <v>67</v>
      </c>
      <c r="O679" s="6" t="n">
        <f aca="false">IF(TablaVentas[[#This Row],[Precio_unitario]]="","PENDIENTE",TablaVentas[[#This Row],[Unidades]]*TablaVentas[[#This Row],[Precio_unitario]]*(1-TablaVentas[[#This Row],[Descuento_pct]]))</f>
        <v>10987.04</v>
      </c>
      <c r="P679" s="6" t="n">
        <f aca="false">IF(TablaVentas[[#This Row],[Costo_unitario]]="","PENDIENTE",TablaVentas[[#This Row],[Unidades]]*TablaVentas[[#This Row],[Costo_unitario]])</f>
        <v>7549.71</v>
      </c>
      <c r="Q679" s="6" t="n">
        <f aca="false">IF(OR(TablaVentas[[#This Row],[Ingreso_neto]]="PENDIENTE",TablaVentas[[#This Row],[Costo_total]]="PENDIENTE"),"PENDIENTE",TablaVentas[[#This Row],[Ingreso_neto]]-TablaVentas[[#This Row],[Costo_total]])</f>
        <v>3437.33</v>
      </c>
    </row>
    <row r="680" customFormat="false" ht="13.5" hidden="false" customHeight="false" outlineLevel="0" collapsed="false">
      <c r="A680" s="1" t="s">
        <v>624</v>
      </c>
      <c r="B680" s="1" t="n">
        <v>1</v>
      </c>
      <c r="C680" s="5" t="n">
        <v>46197</v>
      </c>
      <c r="D680" s="6" t="s">
        <v>625</v>
      </c>
      <c r="E680" s="6" t="s">
        <v>150</v>
      </c>
      <c r="F680" s="6" t="s">
        <v>46</v>
      </c>
      <c r="G680" s="6" t="s">
        <v>47</v>
      </c>
      <c r="H680" s="6" t="s">
        <v>74</v>
      </c>
      <c r="I680" s="1" t="n">
        <v>1</v>
      </c>
      <c r="J680" s="7" t="n">
        <v>8789.43</v>
      </c>
      <c r="K680" s="8" t="n">
        <v>0</v>
      </c>
      <c r="L680" s="7" t="n">
        <v>6815.42</v>
      </c>
      <c r="M680" s="6" t="s">
        <v>123</v>
      </c>
      <c r="N680" s="6" t="s">
        <v>52</v>
      </c>
      <c r="O680" s="6" t="n">
        <f aca="false">IF(TablaVentas[[#This Row],[Precio_unitario]]="","PENDIENTE",TablaVentas[[#This Row],[Unidades]]*TablaVentas[[#This Row],[Precio_unitario]]*(1-TablaVentas[[#This Row],[Descuento_pct]]))</f>
        <v>8789.43</v>
      </c>
      <c r="P680" s="6" t="n">
        <f aca="false">IF(TablaVentas[[#This Row],[Costo_unitario]]="","PENDIENTE",TablaVentas[[#This Row],[Unidades]]*TablaVentas[[#This Row],[Costo_unitario]])</f>
        <v>6815.42</v>
      </c>
      <c r="Q680" s="6" t="n">
        <f aca="false">IF(OR(TablaVentas[[#This Row],[Ingreso_neto]]="PENDIENTE",TablaVentas[[#This Row],[Costo_total]]="PENDIENTE"),"PENDIENTE",TablaVentas[[#This Row],[Ingreso_neto]]-TablaVentas[[#This Row],[Costo_total]])</f>
        <v>1974.01</v>
      </c>
    </row>
    <row r="681" customFormat="false" ht="13.5" hidden="false" customHeight="false" outlineLevel="0" collapsed="false">
      <c r="A681" s="1" t="s">
        <v>624</v>
      </c>
      <c r="B681" s="1" t="n">
        <v>2</v>
      </c>
      <c r="C681" s="5" t="n">
        <v>46197</v>
      </c>
      <c r="D681" s="6" t="s">
        <v>625</v>
      </c>
      <c r="E681" s="6" t="s">
        <v>269</v>
      </c>
      <c r="F681" s="6" t="s">
        <v>46</v>
      </c>
      <c r="G681" s="6" t="s">
        <v>47</v>
      </c>
      <c r="H681" s="6" t="s">
        <v>74</v>
      </c>
      <c r="I681" s="1" t="n">
        <v>1</v>
      </c>
      <c r="J681" s="7" t="n">
        <v>13257.48</v>
      </c>
      <c r="K681" s="8" t="n">
        <v>0</v>
      </c>
      <c r="L681" s="7" t="n">
        <v>8227.46</v>
      </c>
      <c r="M681" s="6" t="s">
        <v>49</v>
      </c>
      <c r="N681" s="6" t="s">
        <v>67</v>
      </c>
      <c r="O681" s="6" t="n">
        <f aca="false">IF(TablaVentas[[#This Row],[Precio_unitario]]="","PENDIENTE",TablaVentas[[#This Row],[Unidades]]*TablaVentas[[#This Row],[Precio_unitario]]*(1-TablaVentas[[#This Row],[Descuento_pct]]))</f>
        <v>13257.48</v>
      </c>
      <c r="P681" s="6" t="n">
        <f aca="false">IF(TablaVentas[[#This Row],[Costo_unitario]]="","PENDIENTE",TablaVentas[[#This Row],[Unidades]]*TablaVentas[[#This Row],[Costo_unitario]])</f>
        <v>8227.46</v>
      </c>
      <c r="Q681" s="6" t="n">
        <f aca="false">IF(OR(TablaVentas[[#This Row],[Ingreso_neto]]="PENDIENTE",TablaVentas[[#This Row],[Costo_total]]="PENDIENTE"),"PENDIENTE",TablaVentas[[#This Row],[Ingreso_neto]]-TablaVentas[[#This Row],[Costo_total]])</f>
        <v>5030.02</v>
      </c>
    </row>
    <row r="682" customFormat="false" ht="13.5" hidden="false" customHeight="false" outlineLevel="0" collapsed="false">
      <c r="A682" s="1" t="s">
        <v>624</v>
      </c>
      <c r="B682" s="1" t="n">
        <v>3</v>
      </c>
      <c r="C682" s="5" t="n">
        <v>46197</v>
      </c>
      <c r="D682" s="6" t="s">
        <v>625</v>
      </c>
      <c r="E682" s="6" t="s">
        <v>120</v>
      </c>
      <c r="F682" s="6" t="s">
        <v>46</v>
      </c>
      <c r="G682" s="6" t="s">
        <v>47</v>
      </c>
      <c r="H682" s="6" t="s">
        <v>74</v>
      </c>
      <c r="I682" s="1" t="n">
        <v>1</v>
      </c>
      <c r="J682" s="7" t="n">
        <v>2940.04</v>
      </c>
      <c r="K682" s="8" t="n">
        <v>0.05</v>
      </c>
      <c r="L682" s="7" t="n">
        <v>2196.34</v>
      </c>
      <c r="M682" s="6" t="s">
        <v>49</v>
      </c>
      <c r="N682" s="6" t="s">
        <v>67</v>
      </c>
      <c r="O682" s="6" t="n">
        <f aca="false">IF(TablaVentas[[#This Row],[Precio_unitario]]="","PENDIENTE",TablaVentas[[#This Row],[Unidades]]*TablaVentas[[#This Row],[Precio_unitario]]*(1-TablaVentas[[#This Row],[Descuento_pct]]))</f>
        <v>2793.038</v>
      </c>
      <c r="P682" s="6" t="n">
        <f aca="false">IF(TablaVentas[[#This Row],[Costo_unitario]]="","PENDIENTE",TablaVentas[[#This Row],[Unidades]]*TablaVentas[[#This Row],[Costo_unitario]])</f>
        <v>2196.34</v>
      </c>
      <c r="Q682" s="6" t="n">
        <f aca="false">IF(OR(TablaVentas[[#This Row],[Ingreso_neto]]="PENDIENTE",TablaVentas[[#This Row],[Costo_total]]="PENDIENTE"),"PENDIENTE",TablaVentas[[#This Row],[Ingreso_neto]]-TablaVentas[[#This Row],[Costo_total]])</f>
        <v>596.698</v>
      </c>
    </row>
    <row r="683" customFormat="false" ht="13.5" hidden="false" customHeight="false" outlineLevel="0" collapsed="false">
      <c r="A683" s="1" t="s">
        <v>626</v>
      </c>
      <c r="B683" s="1" t="n">
        <v>1</v>
      </c>
      <c r="C683" s="5" t="n">
        <v>46051</v>
      </c>
      <c r="D683" s="6" t="s">
        <v>627</v>
      </c>
      <c r="E683" s="6" t="s">
        <v>56</v>
      </c>
      <c r="F683" s="6" t="s">
        <v>84</v>
      </c>
      <c r="G683" s="6" t="s">
        <v>47</v>
      </c>
      <c r="H683" s="6" t="s">
        <v>89</v>
      </c>
      <c r="I683" s="1" t="n">
        <v>2</v>
      </c>
      <c r="J683" s="7" t="n">
        <v>4149.47</v>
      </c>
      <c r="K683" s="8" t="n">
        <v>0</v>
      </c>
      <c r="L683" s="7" t="n">
        <v>2950.52</v>
      </c>
      <c r="M683" s="6" t="s">
        <v>49</v>
      </c>
      <c r="N683" s="6" t="s">
        <v>52</v>
      </c>
      <c r="O683" s="6" t="n">
        <f aca="false">IF(TablaVentas[[#This Row],[Precio_unitario]]="","PENDIENTE",TablaVentas[[#This Row],[Unidades]]*TablaVentas[[#This Row],[Precio_unitario]]*(1-TablaVentas[[#This Row],[Descuento_pct]]))</f>
        <v>8298.94</v>
      </c>
      <c r="P683" s="6" t="n">
        <f aca="false">IF(TablaVentas[[#This Row],[Costo_unitario]]="","PENDIENTE",TablaVentas[[#This Row],[Unidades]]*TablaVentas[[#This Row],[Costo_unitario]])</f>
        <v>5901.04</v>
      </c>
      <c r="Q683" s="6" t="n">
        <f aca="false">IF(OR(TablaVentas[[#This Row],[Ingreso_neto]]="PENDIENTE",TablaVentas[[#This Row],[Costo_total]]="PENDIENTE"),"PENDIENTE",TablaVentas[[#This Row],[Ingreso_neto]]-TablaVentas[[#This Row],[Costo_total]])</f>
        <v>2397.9</v>
      </c>
    </row>
    <row r="684" customFormat="false" ht="13.5" hidden="false" customHeight="false" outlineLevel="0" collapsed="false">
      <c r="A684" s="1" t="s">
        <v>626</v>
      </c>
      <c r="B684" s="1" t="n">
        <v>2</v>
      </c>
      <c r="C684" s="5" t="n">
        <v>46051</v>
      </c>
      <c r="D684" s="6" t="s">
        <v>627</v>
      </c>
      <c r="E684" s="6" t="s">
        <v>145</v>
      </c>
      <c r="F684" s="6" t="s">
        <v>84</v>
      </c>
      <c r="G684" s="6" t="s">
        <v>47</v>
      </c>
      <c r="H684" s="6" t="s">
        <v>89</v>
      </c>
      <c r="I684" s="1" t="n">
        <v>3</v>
      </c>
      <c r="J684" s="7" t="n">
        <v>6523.09</v>
      </c>
      <c r="K684" s="8" t="n">
        <v>0.15</v>
      </c>
      <c r="L684" s="7" t="n">
        <v>4665.62</v>
      </c>
      <c r="M684" s="6" t="s">
        <v>49</v>
      </c>
      <c r="N684" s="6" t="s">
        <v>67</v>
      </c>
      <c r="O684" s="6" t="n">
        <f aca="false">IF(TablaVentas[[#This Row],[Precio_unitario]]="","PENDIENTE",TablaVentas[[#This Row],[Unidades]]*TablaVentas[[#This Row],[Precio_unitario]]*(1-TablaVentas[[#This Row],[Descuento_pct]]))</f>
        <v>16633.8795</v>
      </c>
      <c r="P684" s="6" t="n">
        <f aca="false">IF(TablaVentas[[#This Row],[Costo_unitario]]="","PENDIENTE",TablaVentas[[#This Row],[Unidades]]*TablaVentas[[#This Row],[Costo_unitario]])</f>
        <v>13996.86</v>
      </c>
      <c r="Q684" s="6" t="n">
        <f aca="false">IF(OR(TablaVentas[[#This Row],[Ingreso_neto]]="PENDIENTE",TablaVentas[[#This Row],[Costo_total]]="PENDIENTE"),"PENDIENTE",TablaVentas[[#This Row],[Ingreso_neto]]-TablaVentas[[#This Row],[Costo_total]])</f>
        <v>2637.0195</v>
      </c>
    </row>
    <row r="685" customFormat="false" ht="13.5" hidden="false" customHeight="false" outlineLevel="0" collapsed="false">
      <c r="A685" s="1" t="s">
        <v>626</v>
      </c>
      <c r="B685" s="1" t="n">
        <v>3</v>
      </c>
      <c r="C685" s="5" t="n">
        <v>46051</v>
      </c>
      <c r="D685" s="6" t="s">
        <v>627</v>
      </c>
      <c r="E685" s="6" t="s">
        <v>135</v>
      </c>
      <c r="F685" s="6" t="s">
        <v>84</v>
      </c>
      <c r="G685" s="6" t="s">
        <v>47</v>
      </c>
      <c r="H685" s="6" t="s">
        <v>89</v>
      </c>
      <c r="I685" s="1" t="n">
        <v>8</v>
      </c>
      <c r="J685" s="7" t="n">
        <v>1721.88</v>
      </c>
      <c r="K685" s="8" t="n">
        <v>0</v>
      </c>
      <c r="L685" s="7" t="n">
        <v>900.08</v>
      </c>
      <c r="M685" s="6" t="s">
        <v>49</v>
      </c>
      <c r="N685" s="6" t="s">
        <v>52</v>
      </c>
      <c r="O685" s="6" t="n">
        <f aca="false">IF(TablaVentas[[#This Row],[Precio_unitario]]="","PENDIENTE",TablaVentas[[#This Row],[Unidades]]*TablaVentas[[#This Row],[Precio_unitario]]*(1-TablaVentas[[#This Row],[Descuento_pct]]))</f>
        <v>13775.04</v>
      </c>
      <c r="P685" s="6" t="n">
        <f aca="false">IF(TablaVentas[[#This Row],[Costo_unitario]]="","PENDIENTE",TablaVentas[[#This Row],[Unidades]]*TablaVentas[[#This Row],[Costo_unitario]])</f>
        <v>7200.64</v>
      </c>
      <c r="Q685" s="6" t="n">
        <f aca="false">IF(OR(TablaVentas[[#This Row],[Ingreso_neto]]="PENDIENTE",TablaVentas[[#This Row],[Costo_total]]="PENDIENTE"),"PENDIENTE",TablaVentas[[#This Row],[Ingreso_neto]]-TablaVentas[[#This Row],[Costo_total]])</f>
        <v>6574.4</v>
      </c>
    </row>
    <row r="686" customFormat="false" ht="13.5" hidden="false" customHeight="false" outlineLevel="0" collapsed="false">
      <c r="A686" s="1" t="s">
        <v>626</v>
      </c>
      <c r="B686" s="1" t="n">
        <v>4</v>
      </c>
      <c r="C686" s="5" t="n">
        <v>46051</v>
      </c>
      <c r="D686" s="6" t="s">
        <v>627</v>
      </c>
      <c r="E686" s="6" t="s">
        <v>147</v>
      </c>
      <c r="F686" s="6" t="s">
        <v>84</v>
      </c>
      <c r="G686" s="6" t="s">
        <v>47</v>
      </c>
      <c r="H686" s="6" t="s">
        <v>89</v>
      </c>
      <c r="I686" s="1" t="n">
        <v>8</v>
      </c>
      <c r="J686" s="7" t="n">
        <v>2855.92</v>
      </c>
      <c r="K686" s="8" t="n">
        <v>0.2</v>
      </c>
      <c r="L686" s="7" t="n">
        <v>2427.63</v>
      </c>
      <c r="M686" s="6" t="s">
        <v>49</v>
      </c>
      <c r="N686" s="6" t="s">
        <v>50</v>
      </c>
      <c r="O686" s="6" t="n">
        <f aca="false">IF(TablaVentas[[#This Row],[Precio_unitario]]="","PENDIENTE",TablaVentas[[#This Row],[Unidades]]*TablaVentas[[#This Row],[Precio_unitario]]*(1-TablaVentas[[#This Row],[Descuento_pct]]))</f>
        <v>18277.888</v>
      </c>
      <c r="P686" s="6" t="n">
        <f aca="false">IF(TablaVentas[[#This Row],[Costo_unitario]]="","PENDIENTE",TablaVentas[[#This Row],[Unidades]]*TablaVentas[[#This Row],[Costo_unitario]])</f>
        <v>19421.04</v>
      </c>
      <c r="Q686" s="6" t="n">
        <f aca="false">IF(OR(TablaVentas[[#This Row],[Ingreso_neto]]="PENDIENTE",TablaVentas[[#This Row],[Costo_total]]="PENDIENTE"),"PENDIENTE",TablaVentas[[#This Row],[Ingreso_neto]]-TablaVentas[[#This Row],[Costo_total]])</f>
        <v>-1143.152</v>
      </c>
    </row>
    <row r="687" customFormat="false" ht="13.5" hidden="false" customHeight="false" outlineLevel="0" collapsed="false">
      <c r="A687" s="1" t="s">
        <v>628</v>
      </c>
      <c r="B687" s="1" t="n">
        <v>1</v>
      </c>
      <c r="C687" s="5" t="n">
        <v>46067</v>
      </c>
      <c r="D687" s="6" t="s">
        <v>629</v>
      </c>
      <c r="E687" s="6" t="s">
        <v>53</v>
      </c>
      <c r="F687" s="6" t="s">
        <v>46</v>
      </c>
      <c r="G687" s="6" t="s">
        <v>57</v>
      </c>
      <c r="H687" s="6" t="s">
        <v>80</v>
      </c>
      <c r="I687" s="1" t="n">
        <v>1</v>
      </c>
      <c r="J687" s="7" t="n">
        <v>3847.83</v>
      </c>
      <c r="K687" s="8" t="n">
        <v>0</v>
      </c>
      <c r="L687" s="7" t="n">
        <v>2957.6</v>
      </c>
      <c r="M687" s="6" t="s">
        <v>49</v>
      </c>
      <c r="N687" s="6" t="s">
        <v>67</v>
      </c>
      <c r="O687" s="6" t="n">
        <f aca="false">IF(TablaVentas[[#This Row],[Precio_unitario]]="","PENDIENTE",TablaVentas[[#This Row],[Unidades]]*TablaVentas[[#This Row],[Precio_unitario]]*(1-TablaVentas[[#This Row],[Descuento_pct]]))</f>
        <v>3847.83</v>
      </c>
      <c r="P687" s="6" t="n">
        <f aca="false">IF(TablaVentas[[#This Row],[Costo_unitario]]="","PENDIENTE",TablaVentas[[#This Row],[Unidades]]*TablaVentas[[#This Row],[Costo_unitario]])</f>
        <v>2957.6</v>
      </c>
      <c r="Q687" s="6" t="n">
        <f aca="false">IF(OR(TablaVentas[[#This Row],[Ingreso_neto]]="PENDIENTE",TablaVentas[[#This Row],[Costo_total]]="PENDIENTE"),"PENDIENTE",TablaVentas[[#This Row],[Ingreso_neto]]-TablaVentas[[#This Row],[Costo_total]])</f>
        <v>890.23</v>
      </c>
    </row>
    <row r="688" customFormat="false" ht="13.5" hidden="false" customHeight="false" outlineLevel="0" collapsed="false">
      <c r="A688" s="1" t="s">
        <v>628</v>
      </c>
      <c r="B688" s="1" t="n">
        <v>2</v>
      </c>
      <c r="C688" s="5" t="n">
        <v>46067</v>
      </c>
      <c r="D688" s="6" t="s">
        <v>629</v>
      </c>
      <c r="E688" s="6" t="s">
        <v>120</v>
      </c>
      <c r="F688" s="6" t="s">
        <v>46</v>
      </c>
      <c r="G688" s="6" t="s">
        <v>57</v>
      </c>
      <c r="H688" s="6" t="s">
        <v>80</v>
      </c>
      <c r="I688" s="1" t="n">
        <v>2</v>
      </c>
      <c r="J688" s="7" t="n">
        <v>2963.64</v>
      </c>
      <c r="K688" s="8" t="n">
        <v>0.1</v>
      </c>
      <c r="L688" s="7" t="n">
        <v>2196.34</v>
      </c>
      <c r="M688" s="6" t="s">
        <v>49</v>
      </c>
      <c r="N688" s="6" t="s">
        <v>50</v>
      </c>
      <c r="O688" s="6" t="n">
        <f aca="false">IF(TablaVentas[[#This Row],[Precio_unitario]]="","PENDIENTE",TablaVentas[[#This Row],[Unidades]]*TablaVentas[[#This Row],[Precio_unitario]]*(1-TablaVentas[[#This Row],[Descuento_pct]]))</f>
        <v>5334.552</v>
      </c>
      <c r="P688" s="6" t="n">
        <f aca="false">IF(TablaVentas[[#This Row],[Costo_unitario]]="","PENDIENTE",TablaVentas[[#This Row],[Unidades]]*TablaVentas[[#This Row],[Costo_unitario]])</f>
        <v>4392.68</v>
      </c>
      <c r="Q688" s="6" t="n">
        <f aca="false">IF(OR(TablaVentas[[#This Row],[Ingreso_neto]]="PENDIENTE",TablaVentas[[#This Row],[Costo_total]]="PENDIENTE"),"PENDIENTE",TablaVentas[[#This Row],[Ingreso_neto]]-TablaVentas[[#This Row],[Costo_total]])</f>
        <v>941.871999999999</v>
      </c>
    </row>
    <row r="689" customFormat="false" ht="13.5" hidden="false" customHeight="false" outlineLevel="0" collapsed="false">
      <c r="A689" s="1" t="s">
        <v>630</v>
      </c>
      <c r="B689" s="1" t="n">
        <v>1</v>
      </c>
      <c r="C689" s="5" t="n">
        <v>46245</v>
      </c>
      <c r="D689" s="6" t="s">
        <v>309</v>
      </c>
      <c r="E689" s="6" t="s">
        <v>374</v>
      </c>
      <c r="F689" s="6" t="s">
        <v>63</v>
      </c>
      <c r="G689" s="6" t="s">
        <v>64</v>
      </c>
      <c r="H689" s="6" t="s">
        <v>80</v>
      </c>
      <c r="I689" s="1" t="n">
        <v>1</v>
      </c>
      <c r="J689" s="7" t="n">
        <v>8963.88</v>
      </c>
      <c r="K689" s="8" t="n">
        <v>0.05</v>
      </c>
      <c r="L689" s="7" t="n">
        <v>5079.43</v>
      </c>
      <c r="M689" s="6" t="s">
        <v>49</v>
      </c>
      <c r="N689" s="6" t="s">
        <v>67</v>
      </c>
      <c r="O689" s="6" t="n">
        <f aca="false">IF(TablaVentas[[#This Row],[Precio_unitario]]="","PENDIENTE",TablaVentas[[#This Row],[Unidades]]*TablaVentas[[#This Row],[Precio_unitario]]*(1-TablaVentas[[#This Row],[Descuento_pct]]))</f>
        <v>8515.686</v>
      </c>
      <c r="P689" s="6" t="n">
        <f aca="false">IF(TablaVentas[[#This Row],[Costo_unitario]]="","PENDIENTE",TablaVentas[[#This Row],[Unidades]]*TablaVentas[[#This Row],[Costo_unitario]])</f>
        <v>5079.43</v>
      </c>
      <c r="Q689" s="6" t="n">
        <f aca="false">IF(OR(TablaVentas[[#This Row],[Ingreso_neto]]="PENDIENTE",TablaVentas[[#This Row],[Costo_total]]="PENDIENTE"),"PENDIENTE",TablaVentas[[#This Row],[Ingreso_neto]]-TablaVentas[[#This Row],[Costo_total]])</f>
        <v>3436.256</v>
      </c>
    </row>
    <row r="690" customFormat="false" ht="13.5" hidden="false" customHeight="false" outlineLevel="0" collapsed="false">
      <c r="A690" s="1" t="s">
        <v>630</v>
      </c>
      <c r="B690" s="1" t="n">
        <v>2</v>
      </c>
      <c r="C690" s="5" t="n">
        <v>46245</v>
      </c>
      <c r="D690" s="6" t="s">
        <v>309</v>
      </c>
      <c r="E690" s="6" t="s">
        <v>45</v>
      </c>
      <c r="F690" s="6" t="s">
        <v>63</v>
      </c>
      <c r="G690" s="6" t="s">
        <v>64</v>
      </c>
      <c r="H690" s="6" t="s">
        <v>80</v>
      </c>
      <c r="I690" s="1" t="n">
        <v>1</v>
      </c>
      <c r="J690" s="7" t="n">
        <v>5585.38</v>
      </c>
      <c r="K690" s="8" t="n">
        <v>0</v>
      </c>
      <c r="L690" s="7" t="n">
        <v>3832.69</v>
      </c>
      <c r="M690" s="6" t="s">
        <v>49</v>
      </c>
      <c r="N690" s="6" t="s">
        <v>67</v>
      </c>
      <c r="O690" s="6" t="n">
        <f aca="false">IF(TablaVentas[[#This Row],[Precio_unitario]]="","PENDIENTE",TablaVentas[[#This Row],[Unidades]]*TablaVentas[[#This Row],[Precio_unitario]]*(1-TablaVentas[[#This Row],[Descuento_pct]]))</f>
        <v>5585.38</v>
      </c>
      <c r="P690" s="6" t="n">
        <f aca="false">IF(TablaVentas[[#This Row],[Costo_unitario]]="","PENDIENTE",TablaVentas[[#This Row],[Unidades]]*TablaVentas[[#This Row],[Costo_unitario]])</f>
        <v>3832.69</v>
      </c>
      <c r="Q690" s="6" t="n">
        <f aca="false">IF(OR(TablaVentas[[#This Row],[Ingreso_neto]]="PENDIENTE",TablaVentas[[#This Row],[Costo_total]]="PENDIENTE"),"PENDIENTE",TablaVentas[[#This Row],[Ingreso_neto]]-TablaVentas[[#This Row],[Costo_total]])</f>
        <v>1752.69</v>
      </c>
    </row>
    <row r="691" customFormat="false" ht="13.5" hidden="false" customHeight="false" outlineLevel="0" collapsed="false">
      <c r="A691" s="1" t="s">
        <v>630</v>
      </c>
      <c r="B691" s="1" t="n">
        <v>3</v>
      </c>
      <c r="C691" s="5" t="n">
        <v>46245</v>
      </c>
      <c r="D691" s="6" t="s">
        <v>309</v>
      </c>
      <c r="E691" s="6" t="s">
        <v>200</v>
      </c>
      <c r="F691" s="6" t="s">
        <v>63</v>
      </c>
      <c r="G691" s="6" t="s">
        <v>64</v>
      </c>
      <c r="H691" s="6" t="s">
        <v>80</v>
      </c>
      <c r="I691" s="1" t="n">
        <v>2</v>
      </c>
      <c r="J691" s="7" t="n">
        <v>11872</v>
      </c>
      <c r="K691" s="8" t="n">
        <v>0</v>
      </c>
      <c r="L691" s="7" t="n">
        <v>5811.72</v>
      </c>
      <c r="M691" s="6" t="s">
        <v>49</v>
      </c>
      <c r="N691" s="6" t="s">
        <v>50</v>
      </c>
      <c r="O691" s="6" t="n">
        <f aca="false">IF(TablaVentas[[#This Row],[Precio_unitario]]="","PENDIENTE",TablaVentas[[#This Row],[Unidades]]*TablaVentas[[#This Row],[Precio_unitario]]*(1-TablaVentas[[#This Row],[Descuento_pct]]))</f>
        <v>23744</v>
      </c>
      <c r="P691" s="6" t="n">
        <f aca="false">IF(TablaVentas[[#This Row],[Costo_unitario]]="","PENDIENTE",TablaVentas[[#This Row],[Unidades]]*TablaVentas[[#This Row],[Costo_unitario]])</f>
        <v>11623.44</v>
      </c>
      <c r="Q691" s="6" t="n">
        <f aca="false">IF(OR(TablaVentas[[#This Row],[Ingreso_neto]]="PENDIENTE",TablaVentas[[#This Row],[Costo_total]]="PENDIENTE"),"PENDIENTE",TablaVentas[[#This Row],[Ingreso_neto]]-TablaVentas[[#This Row],[Costo_total]])</f>
        <v>12120.56</v>
      </c>
    </row>
    <row r="692" customFormat="false" ht="13.5" hidden="false" customHeight="false" outlineLevel="0" collapsed="false">
      <c r="A692" s="1" t="s">
        <v>630</v>
      </c>
      <c r="B692" s="1" t="n">
        <v>4</v>
      </c>
      <c r="C692" s="5" t="n">
        <v>46245</v>
      </c>
      <c r="D692" s="6" t="s">
        <v>309</v>
      </c>
      <c r="E692" s="6" t="s">
        <v>192</v>
      </c>
      <c r="F692" s="6" t="s">
        <v>63</v>
      </c>
      <c r="G692" s="6" t="s">
        <v>64</v>
      </c>
      <c r="H692" s="6" t="s">
        <v>80</v>
      </c>
      <c r="I692" s="1" t="n">
        <v>1</v>
      </c>
      <c r="J692" s="7" t="n">
        <v>16997.6</v>
      </c>
      <c r="K692" s="8" t="n">
        <v>0</v>
      </c>
      <c r="L692" s="7" t="n">
        <v>11904.09</v>
      </c>
      <c r="M692" s="6" t="s">
        <v>49</v>
      </c>
      <c r="N692" s="6" t="s">
        <v>67</v>
      </c>
      <c r="O692" s="6" t="n">
        <f aca="false">IF(TablaVentas[[#This Row],[Precio_unitario]]="","PENDIENTE",TablaVentas[[#This Row],[Unidades]]*TablaVentas[[#This Row],[Precio_unitario]]*(1-TablaVentas[[#This Row],[Descuento_pct]]))</f>
        <v>16997.6</v>
      </c>
      <c r="P692" s="6" t="n">
        <f aca="false">IF(TablaVentas[[#This Row],[Costo_unitario]]="","PENDIENTE",TablaVentas[[#This Row],[Unidades]]*TablaVentas[[#This Row],[Costo_unitario]])</f>
        <v>11904.09</v>
      </c>
      <c r="Q692" s="6" t="n">
        <f aca="false">IF(OR(TablaVentas[[#This Row],[Ingreso_neto]]="PENDIENTE",TablaVentas[[#This Row],[Costo_total]]="PENDIENTE"),"PENDIENTE",TablaVentas[[#This Row],[Ingreso_neto]]-TablaVentas[[#This Row],[Costo_total]])</f>
        <v>5093.51</v>
      </c>
    </row>
    <row r="693" customFormat="false" ht="13.5" hidden="false" customHeight="false" outlineLevel="0" collapsed="false">
      <c r="A693" s="1" t="s">
        <v>630</v>
      </c>
      <c r="B693" s="1" t="n">
        <v>5</v>
      </c>
      <c r="C693" s="5" t="n">
        <v>46245</v>
      </c>
      <c r="D693" s="6" t="s">
        <v>309</v>
      </c>
      <c r="E693" s="6" t="s">
        <v>96</v>
      </c>
      <c r="F693" s="6" t="s">
        <v>63</v>
      </c>
      <c r="G693" s="6" t="s">
        <v>64</v>
      </c>
      <c r="H693" s="6" t="s">
        <v>80</v>
      </c>
      <c r="I693" s="1" t="n">
        <v>1</v>
      </c>
      <c r="J693" s="7" t="n">
        <v>12425.59</v>
      </c>
      <c r="K693" s="8" t="n">
        <v>0.1</v>
      </c>
      <c r="L693" s="7" t="n">
        <v>9118.07</v>
      </c>
      <c r="M693" s="6" t="s">
        <v>49</v>
      </c>
      <c r="N693" s="6" t="s">
        <v>52</v>
      </c>
      <c r="O693" s="6" t="n">
        <f aca="false">IF(TablaVentas[[#This Row],[Precio_unitario]]="","PENDIENTE",TablaVentas[[#This Row],[Unidades]]*TablaVentas[[#This Row],[Precio_unitario]]*(1-TablaVentas[[#This Row],[Descuento_pct]]))</f>
        <v>11183.031</v>
      </c>
      <c r="P693" s="6" t="n">
        <f aca="false">IF(TablaVentas[[#This Row],[Costo_unitario]]="","PENDIENTE",TablaVentas[[#This Row],[Unidades]]*TablaVentas[[#This Row],[Costo_unitario]])</f>
        <v>9118.07</v>
      </c>
      <c r="Q693" s="6" t="n">
        <f aca="false">IF(OR(TablaVentas[[#This Row],[Ingreso_neto]]="PENDIENTE",TablaVentas[[#This Row],[Costo_total]]="PENDIENTE"),"PENDIENTE",TablaVentas[[#This Row],[Ingreso_neto]]-TablaVentas[[#This Row],[Costo_total]])</f>
        <v>2064.961</v>
      </c>
    </row>
    <row r="694" customFormat="false" ht="13.5" hidden="false" customHeight="false" outlineLevel="0" collapsed="false">
      <c r="A694" s="1" t="s">
        <v>631</v>
      </c>
      <c r="B694" s="1" t="n">
        <v>1</v>
      </c>
      <c r="C694" s="5" t="n">
        <v>46071</v>
      </c>
      <c r="D694" s="6" t="s">
        <v>632</v>
      </c>
      <c r="E694" s="6" t="s">
        <v>162</v>
      </c>
      <c r="F694" s="6" t="s">
        <v>73</v>
      </c>
      <c r="G694" s="6" t="s">
        <v>57</v>
      </c>
      <c r="H694" s="6" t="s">
        <v>136</v>
      </c>
      <c r="I694" s="1" t="n">
        <v>1</v>
      </c>
      <c r="J694" s="7" t="n">
        <v>762.23</v>
      </c>
      <c r="K694" s="8" t="n">
        <v>0.15</v>
      </c>
      <c r="L694" s="7" t="n">
        <v>397.1</v>
      </c>
      <c r="M694" s="6" t="s">
        <v>49</v>
      </c>
      <c r="N694" s="6" t="s">
        <v>67</v>
      </c>
      <c r="O694" s="6" t="n">
        <f aca="false">IF(TablaVentas[[#This Row],[Precio_unitario]]="","PENDIENTE",TablaVentas[[#This Row],[Unidades]]*TablaVentas[[#This Row],[Precio_unitario]]*(1-TablaVentas[[#This Row],[Descuento_pct]]))</f>
        <v>647.8955</v>
      </c>
      <c r="P694" s="6" t="n">
        <f aca="false">IF(TablaVentas[[#This Row],[Costo_unitario]]="","PENDIENTE",TablaVentas[[#This Row],[Unidades]]*TablaVentas[[#This Row],[Costo_unitario]])</f>
        <v>397.1</v>
      </c>
      <c r="Q694" s="6" t="n">
        <f aca="false">IF(OR(TablaVentas[[#This Row],[Ingreso_neto]]="PENDIENTE",TablaVentas[[#This Row],[Costo_total]]="PENDIENTE"),"PENDIENTE",TablaVentas[[#This Row],[Ingreso_neto]]-TablaVentas[[#This Row],[Costo_total]])</f>
        <v>250.7955</v>
      </c>
    </row>
    <row r="695" customFormat="false" ht="13.5" hidden="false" customHeight="false" outlineLevel="0" collapsed="false">
      <c r="A695" s="1" t="s">
        <v>631</v>
      </c>
      <c r="B695" s="1" t="n">
        <v>2</v>
      </c>
      <c r="C695" s="5" t="n">
        <v>46071</v>
      </c>
      <c r="D695" s="6" t="s">
        <v>632</v>
      </c>
      <c r="E695" s="6" t="s">
        <v>85</v>
      </c>
      <c r="F695" s="6" t="s">
        <v>73</v>
      </c>
      <c r="G695" s="6" t="s">
        <v>57</v>
      </c>
      <c r="H695" s="6" t="s">
        <v>136</v>
      </c>
      <c r="I695" s="1" t="n">
        <v>2</v>
      </c>
      <c r="J695" s="7" t="n">
        <v>9099.98</v>
      </c>
      <c r="K695" s="8" t="n">
        <v>0</v>
      </c>
      <c r="L695" s="7" t="n">
        <v>5033.47</v>
      </c>
      <c r="M695" s="6" t="s">
        <v>49</v>
      </c>
      <c r="N695" s="6" t="s">
        <v>67</v>
      </c>
      <c r="O695" s="6" t="n">
        <f aca="false">IF(TablaVentas[[#This Row],[Precio_unitario]]="","PENDIENTE",TablaVentas[[#This Row],[Unidades]]*TablaVentas[[#This Row],[Precio_unitario]]*(1-TablaVentas[[#This Row],[Descuento_pct]]))</f>
        <v>18199.96</v>
      </c>
      <c r="P695" s="6" t="n">
        <f aca="false">IF(TablaVentas[[#This Row],[Costo_unitario]]="","PENDIENTE",TablaVentas[[#This Row],[Unidades]]*TablaVentas[[#This Row],[Costo_unitario]])</f>
        <v>10066.94</v>
      </c>
      <c r="Q695" s="6" t="n">
        <f aca="false">IF(OR(TablaVentas[[#This Row],[Ingreso_neto]]="PENDIENTE",TablaVentas[[#This Row],[Costo_total]]="PENDIENTE"),"PENDIENTE",TablaVentas[[#This Row],[Ingreso_neto]]-TablaVentas[[#This Row],[Costo_total]])</f>
        <v>8133.02</v>
      </c>
    </row>
    <row r="696" customFormat="false" ht="13.5" hidden="false" customHeight="false" outlineLevel="0" collapsed="false">
      <c r="A696" s="1" t="s">
        <v>631</v>
      </c>
      <c r="B696" s="1" t="n">
        <v>3</v>
      </c>
      <c r="C696" s="5" t="n">
        <v>46071</v>
      </c>
      <c r="D696" s="6" t="s">
        <v>632</v>
      </c>
      <c r="E696" s="6" t="s">
        <v>203</v>
      </c>
      <c r="F696" s="6" t="s">
        <v>73</v>
      </c>
      <c r="G696" s="6" t="s">
        <v>57</v>
      </c>
      <c r="H696" s="6" t="s">
        <v>136</v>
      </c>
      <c r="I696" s="1" t="n">
        <v>1</v>
      </c>
      <c r="J696" s="7" t="n">
        <v>769.63</v>
      </c>
      <c r="K696" s="8" t="n">
        <v>0.15</v>
      </c>
      <c r="L696" s="7" t="n">
        <v>485.16</v>
      </c>
      <c r="M696" s="6" t="s">
        <v>49</v>
      </c>
      <c r="N696" s="6" t="s">
        <v>67</v>
      </c>
      <c r="O696" s="6" t="n">
        <f aca="false">IF(TablaVentas[[#This Row],[Precio_unitario]]="","PENDIENTE",TablaVentas[[#This Row],[Unidades]]*TablaVentas[[#This Row],[Precio_unitario]]*(1-TablaVentas[[#This Row],[Descuento_pct]]))</f>
        <v>654.1855</v>
      </c>
      <c r="P696" s="6" t="n">
        <f aca="false">IF(TablaVentas[[#This Row],[Costo_unitario]]="","PENDIENTE",TablaVentas[[#This Row],[Unidades]]*TablaVentas[[#This Row],[Costo_unitario]])</f>
        <v>485.16</v>
      </c>
      <c r="Q696" s="6" t="n">
        <f aca="false">IF(OR(TablaVentas[[#This Row],[Ingreso_neto]]="PENDIENTE",TablaVentas[[#This Row],[Costo_total]]="PENDIENTE"),"PENDIENTE",TablaVentas[[#This Row],[Ingreso_neto]]-TablaVentas[[#This Row],[Costo_total]])</f>
        <v>169.0255</v>
      </c>
    </row>
    <row r="697" customFormat="false" ht="13.5" hidden="false" customHeight="false" outlineLevel="0" collapsed="false">
      <c r="A697" s="1" t="s">
        <v>631</v>
      </c>
      <c r="B697" s="1" t="n">
        <v>4</v>
      </c>
      <c r="C697" s="5" t="n">
        <v>46071</v>
      </c>
      <c r="D697" s="6" t="s">
        <v>632</v>
      </c>
      <c r="E697" s="6" t="s">
        <v>385</v>
      </c>
      <c r="F697" s="6" t="s">
        <v>73</v>
      </c>
      <c r="G697" s="6" t="s">
        <v>57</v>
      </c>
      <c r="H697" s="6" t="s">
        <v>136</v>
      </c>
      <c r="I697" s="1" t="n">
        <v>12</v>
      </c>
      <c r="J697" s="7" t="n">
        <v>3361.13</v>
      </c>
      <c r="K697" s="8" t="n">
        <v>0.2</v>
      </c>
      <c r="L697" s="7" t="n">
        <v>2864.64</v>
      </c>
      <c r="M697" s="6" t="s">
        <v>49</v>
      </c>
      <c r="N697" s="6" t="s">
        <v>59</v>
      </c>
      <c r="O697" s="6" t="n">
        <f aca="false">IF(TablaVentas[[#This Row],[Precio_unitario]]="","PENDIENTE",TablaVentas[[#This Row],[Unidades]]*TablaVentas[[#This Row],[Precio_unitario]]*(1-TablaVentas[[#This Row],[Descuento_pct]]))</f>
        <v>32266.848</v>
      </c>
      <c r="P697" s="6" t="n">
        <f aca="false">IF(TablaVentas[[#This Row],[Costo_unitario]]="","PENDIENTE",TablaVentas[[#This Row],[Unidades]]*TablaVentas[[#This Row],[Costo_unitario]])</f>
        <v>34375.68</v>
      </c>
      <c r="Q697" s="6" t="n">
        <f aca="false">IF(OR(TablaVentas[[#This Row],[Ingreso_neto]]="PENDIENTE",TablaVentas[[#This Row],[Costo_total]]="PENDIENTE"),"PENDIENTE",TablaVentas[[#This Row],[Ingreso_neto]]-TablaVentas[[#This Row],[Costo_total]])</f>
        <v>-2108.832</v>
      </c>
    </row>
    <row r="698" customFormat="false" ht="13.5" hidden="false" customHeight="false" outlineLevel="0" collapsed="false">
      <c r="A698" s="1" t="s">
        <v>631</v>
      </c>
      <c r="B698" s="1" t="n">
        <v>5</v>
      </c>
      <c r="C698" s="5" t="n">
        <v>46071</v>
      </c>
      <c r="D698" s="6" t="s">
        <v>632</v>
      </c>
      <c r="E698" s="6" t="s">
        <v>218</v>
      </c>
      <c r="F698" s="6" t="s">
        <v>73</v>
      </c>
      <c r="G698" s="6" t="s">
        <v>57</v>
      </c>
      <c r="H698" s="6" t="s">
        <v>136</v>
      </c>
      <c r="I698" s="1" t="n">
        <v>2</v>
      </c>
      <c r="J698" s="7" t="n">
        <v>16644.58</v>
      </c>
      <c r="K698" s="8" t="n">
        <v>0</v>
      </c>
      <c r="L698" s="7" t="n">
        <v>13760.53</v>
      </c>
      <c r="M698" s="6" t="s">
        <v>49</v>
      </c>
      <c r="N698" s="6" t="s">
        <v>52</v>
      </c>
      <c r="O698" s="6" t="n">
        <f aca="false">IF(TablaVentas[[#This Row],[Precio_unitario]]="","PENDIENTE",TablaVentas[[#This Row],[Unidades]]*TablaVentas[[#This Row],[Precio_unitario]]*(1-TablaVentas[[#This Row],[Descuento_pct]]))</f>
        <v>33289.16</v>
      </c>
      <c r="P698" s="6" t="n">
        <f aca="false">IF(TablaVentas[[#This Row],[Costo_unitario]]="","PENDIENTE",TablaVentas[[#This Row],[Unidades]]*TablaVentas[[#This Row],[Costo_unitario]])</f>
        <v>27521.06</v>
      </c>
      <c r="Q698" s="6" t="n">
        <f aca="false">IF(OR(TablaVentas[[#This Row],[Ingreso_neto]]="PENDIENTE",TablaVentas[[#This Row],[Costo_total]]="PENDIENTE"),"PENDIENTE",TablaVentas[[#This Row],[Ingreso_neto]]-TablaVentas[[#This Row],[Costo_total]])</f>
        <v>5768.1</v>
      </c>
    </row>
    <row r="699" customFormat="false" ht="13.5" hidden="false" customHeight="false" outlineLevel="0" collapsed="false">
      <c r="A699" s="1" t="s">
        <v>633</v>
      </c>
      <c r="B699" s="1" t="n">
        <v>1</v>
      </c>
      <c r="C699" s="5" t="n">
        <v>46112</v>
      </c>
      <c r="D699" s="6" t="s">
        <v>634</v>
      </c>
      <c r="E699" s="6" t="s">
        <v>269</v>
      </c>
      <c r="F699" s="6" t="s">
        <v>84</v>
      </c>
      <c r="G699" s="6" t="s">
        <v>64</v>
      </c>
      <c r="H699" s="6" t="s">
        <v>58</v>
      </c>
      <c r="I699" s="1" t="n">
        <v>5</v>
      </c>
      <c r="J699" s="7" t="n">
        <v>13018.47</v>
      </c>
      <c r="K699" s="8" t="n">
        <v>0.1</v>
      </c>
      <c r="L699" s="7" t="n">
        <v>8227.46</v>
      </c>
      <c r="M699" s="6" t="s">
        <v>49</v>
      </c>
      <c r="N699" s="6" t="s">
        <v>67</v>
      </c>
      <c r="O699" s="6" t="n">
        <f aca="false">IF(TablaVentas[[#This Row],[Precio_unitario]]="","PENDIENTE",TablaVentas[[#This Row],[Unidades]]*TablaVentas[[#This Row],[Precio_unitario]]*(1-TablaVentas[[#This Row],[Descuento_pct]]))</f>
        <v>58583.115</v>
      </c>
      <c r="P699" s="6" t="n">
        <f aca="false">IF(TablaVentas[[#This Row],[Costo_unitario]]="","PENDIENTE",TablaVentas[[#This Row],[Unidades]]*TablaVentas[[#This Row],[Costo_unitario]])</f>
        <v>41137.3</v>
      </c>
      <c r="Q699" s="6" t="n">
        <f aca="false">IF(OR(TablaVentas[[#This Row],[Ingreso_neto]]="PENDIENTE",TablaVentas[[#This Row],[Costo_total]]="PENDIENTE"),"PENDIENTE",TablaVentas[[#This Row],[Ingreso_neto]]-TablaVentas[[#This Row],[Costo_total]])</f>
        <v>17445.815</v>
      </c>
    </row>
    <row r="700" customFormat="false" ht="13.5" hidden="false" customHeight="false" outlineLevel="0" collapsed="false">
      <c r="A700" s="1" t="s">
        <v>633</v>
      </c>
      <c r="B700" s="1" t="n">
        <v>2</v>
      </c>
      <c r="C700" s="5" t="n">
        <v>46112</v>
      </c>
      <c r="D700" s="6" t="s">
        <v>634</v>
      </c>
      <c r="E700" s="6" t="s">
        <v>260</v>
      </c>
      <c r="F700" s="6" t="s">
        <v>84</v>
      </c>
      <c r="G700" s="6" t="s">
        <v>64</v>
      </c>
      <c r="H700" s="6" t="s">
        <v>58</v>
      </c>
      <c r="I700" s="1" t="n">
        <v>2</v>
      </c>
      <c r="J700" s="7" t="n">
        <v>3091.55</v>
      </c>
      <c r="K700" s="8" t="n">
        <v>0</v>
      </c>
      <c r="L700" s="7" t="n">
        <v>2486.18</v>
      </c>
      <c r="M700" s="6" t="s">
        <v>49</v>
      </c>
      <c r="N700" s="6" t="s">
        <v>59</v>
      </c>
      <c r="O700" s="6" t="n">
        <f aca="false">IF(TablaVentas[[#This Row],[Precio_unitario]]="","PENDIENTE",TablaVentas[[#This Row],[Unidades]]*TablaVentas[[#This Row],[Precio_unitario]]*(1-TablaVentas[[#This Row],[Descuento_pct]]))</f>
        <v>6183.1</v>
      </c>
      <c r="P700" s="6" t="n">
        <f aca="false">IF(TablaVentas[[#This Row],[Costo_unitario]]="","PENDIENTE",TablaVentas[[#This Row],[Unidades]]*TablaVentas[[#This Row],[Costo_unitario]])</f>
        <v>4972.36</v>
      </c>
      <c r="Q700" s="6" t="n">
        <f aca="false">IF(OR(TablaVentas[[#This Row],[Ingreso_neto]]="PENDIENTE",TablaVentas[[#This Row],[Costo_total]]="PENDIENTE"),"PENDIENTE",TablaVentas[[#This Row],[Ingreso_neto]]-TablaVentas[[#This Row],[Costo_total]])</f>
        <v>1210.74</v>
      </c>
    </row>
    <row r="701" customFormat="false" ht="13.5" hidden="false" customHeight="false" outlineLevel="0" collapsed="false">
      <c r="A701" s="1" t="s">
        <v>633</v>
      </c>
      <c r="B701" s="1" t="n">
        <v>3</v>
      </c>
      <c r="C701" s="5" t="n">
        <v>46112</v>
      </c>
      <c r="D701" s="6" t="s">
        <v>634</v>
      </c>
      <c r="E701" s="6" t="s">
        <v>170</v>
      </c>
      <c r="F701" s="6" t="s">
        <v>84</v>
      </c>
      <c r="G701" s="6" t="s">
        <v>64</v>
      </c>
      <c r="H701" s="6" t="s">
        <v>58</v>
      </c>
      <c r="I701" s="1" t="n">
        <v>1</v>
      </c>
      <c r="J701" s="7" t="n">
        <v>17086.08</v>
      </c>
      <c r="K701" s="8" t="n">
        <v>0</v>
      </c>
      <c r="L701" s="7" t="n">
        <v>12141.44</v>
      </c>
      <c r="M701" s="6" t="s">
        <v>49</v>
      </c>
      <c r="N701" s="6" t="s">
        <v>50</v>
      </c>
      <c r="O701" s="6" t="n">
        <f aca="false">IF(TablaVentas[[#This Row],[Precio_unitario]]="","PENDIENTE",TablaVentas[[#This Row],[Unidades]]*TablaVentas[[#This Row],[Precio_unitario]]*(1-TablaVentas[[#This Row],[Descuento_pct]]))</f>
        <v>17086.08</v>
      </c>
      <c r="P701" s="6" t="n">
        <f aca="false">IF(TablaVentas[[#This Row],[Costo_unitario]]="","PENDIENTE",TablaVentas[[#This Row],[Unidades]]*TablaVentas[[#This Row],[Costo_unitario]])</f>
        <v>12141.44</v>
      </c>
      <c r="Q701" s="6" t="n">
        <f aca="false">IF(OR(TablaVentas[[#This Row],[Ingreso_neto]]="PENDIENTE",TablaVentas[[#This Row],[Costo_total]]="PENDIENTE"),"PENDIENTE",TablaVentas[[#This Row],[Ingreso_neto]]-TablaVentas[[#This Row],[Costo_total]])</f>
        <v>4944.64</v>
      </c>
    </row>
    <row r="702" customFormat="false" ht="13.5" hidden="false" customHeight="false" outlineLevel="0" collapsed="false">
      <c r="A702" s="1" t="s">
        <v>633</v>
      </c>
      <c r="B702" s="1" t="n">
        <v>4</v>
      </c>
      <c r="C702" s="5" t="n">
        <v>46112</v>
      </c>
      <c r="D702" s="6" t="s">
        <v>634</v>
      </c>
      <c r="E702" s="6" t="s">
        <v>141</v>
      </c>
      <c r="F702" s="6" t="s">
        <v>84</v>
      </c>
      <c r="G702" s="6" t="s">
        <v>64</v>
      </c>
      <c r="H702" s="6" t="s">
        <v>58</v>
      </c>
      <c r="I702" s="1" t="n">
        <v>1</v>
      </c>
      <c r="J702" s="7" t="n">
        <v>249.31</v>
      </c>
      <c r="K702" s="8" t="n">
        <v>0.05</v>
      </c>
      <c r="L702" s="7" t="n">
        <v>176.47</v>
      </c>
      <c r="M702" s="6" t="s">
        <v>49</v>
      </c>
      <c r="N702" s="6" t="s">
        <v>59</v>
      </c>
      <c r="O702" s="6" t="n">
        <f aca="false">IF(TablaVentas[[#This Row],[Precio_unitario]]="","PENDIENTE",TablaVentas[[#This Row],[Unidades]]*TablaVentas[[#This Row],[Precio_unitario]]*(1-TablaVentas[[#This Row],[Descuento_pct]]))</f>
        <v>236.8445</v>
      </c>
      <c r="P702" s="6" t="n">
        <f aca="false">IF(TablaVentas[[#This Row],[Costo_unitario]]="","PENDIENTE",TablaVentas[[#This Row],[Unidades]]*TablaVentas[[#This Row],[Costo_unitario]])</f>
        <v>176.47</v>
      </c>
      <c r="Q702" s="6" t="n">
        <f aca="false">IF(OR(TablaVentas[[#This Row],[Ingreso_neto]]="PENDIENTE",TablaVentas[[#This Row],[Costo_total]]="PENDIENTE"),"PENDIENTE",TablaVentas[[#This Row],[Ingreso_neto]]-TablaVentas[[#This Row],[Costo_total]])</f>
        <v>60.3745</v>
      </c>
    </row>
    <row r="703" customFormat="false" ht="13.5" hidden="false" customHeight="false" outlineLevel="0" collapsed="false">
      <c r="A703" s="1" t="s">
        <v>633</v>
      </c>
      <c r="B703" s="1" t="n">
        <v>5</v>
      </c>
      <c r="C703" s="5" t="n">
        <v>46112</v>
      </c>
      <c r="D703" s="6" t="s">
        <v>634</v>
      </c>
      <c r="E703" s="6" t="s">
        <v>263</v>
      </c>
      <c r="F703" s="6" t="s">
        <v>84</v>
      </c>
      <c r="G703" s="6" t="s">
        <v>64</v>
      </c>
      <c r="H703" s="6" t="s">
        <v>58</v>
      </c>
      <c r="I703" s="1" t="n">
        <v>3</v>
      </c>
      <c r="J703" s="7" t="n">
        <v>18251.8</v>
      </c>
      <c r="K703" s="8" t="n">
        <v>0.1</v>
      </c>
      <c r="L703" s="7" t="n">
        <v>11666.57</v>
      </c>
      <c r="M703" s="6" t="s">
        <v>49</v>
      </c>
      <c r="N703" s="6" t="s">
        <v>50</v>
      </c>
      <c r="O703" s="6" t="n">
        <f aca="false">IF(TablaVentas[[#This Row],[Precio_unitario]]="","PENDIENTE",TablaVentas[[#This Row],[Unidades]]*TablaVentas[[#This Row],[Precio_unitario]]*(1-TablaVentas[[#This Row],[Descuento_pct]]))</f>
        <v>49279.86</v>
      </c>
      <c r="P703" s="6" t="n">
        <f aca="false">IF(TablaVentas[[#This Row],[Costo_unitario]]="","PENDIENTE",TablaVentas[[#This Row],[Unidades]]*TablaVentas[[#This Row],[Costo_unitario]])</f>
        <v>34999.71</v>
      </c>
      <c r="Q703" s="6" t="n">
        <f aca="false">IF(OR(TablaVentas[[#This Row],[Ingreso_neto]]="PENDIENTE",TablaVentas[[#This Row],[Costo_total]]="PENDIENTE"),"PENDIENTE",TablaVentas[[#This Row],[Ingreso_neto]]-TablaVentas[[#This Row],[Costo_total]])</f>
        <v>14280.15</v>
      </c>
    </row>
    <row r="704" customFormat="false" ht="13.5" hidden="false" customHeight="false" outlineLevel="0" collapsed="false">
      <c r="A704" s="1" t="s">
        <v>635</v>
      </c>
      <c r="B704" s="1" t="n">
        <v>1</v>
      </c>
      <c r="C704" s="5" t="n">
        <v>46145</v>
      </c>
      <c r="D704" s="6" t="s">
        <v>212</v>
      </c>
      <c r="E704" s="6" t="s">
        <v>166</v>
      </c>
      <c r="F704" s="6" t="s">
        <v>63</v>
      </c>
      <c r="G704" s="6" t="s">
        <v>64</v>
      </c>
      <c r="H704" s="6" t="s">
        <v>48</v>
      </c>
      <c r="I704" s="1" t="n">
        <v>1</v>
      </c>
      <c r="J704" s="7" t="n">
        <v>13052.66</v>
      </c>
      <c r="K704" s="8" t="n">
        <v>0.2</v>
      </c>
      <c r="L704" s="7" t="n">
        <v>9317.37</v>
      </c>
      <c r="M704" s="6" t="s">
        <v>49</v>
      </c>
      <c r="N704" s="6" t="s">
        <v>59</v>
      </c>
      <c r="O704" s="6" t="n">
        <f aca="false">IF(TablaVentas[[#This Row],[Precio_unitario]]="","PENDIENTE",TablaVentas[[#This Row],[Unidades]]*TablaVentas[[#This Row],[Precio_unitario]]*(1-TablaVentas[[#This Row],[Descuento_pct]]))</f>
        <v>10442.128</v>
      </c>
      <c r="P704" s="6" t="n">
        <f aca="false">IF(TablaVentas[[#This Row],[Costo_unitario]]="","PENDIENTE",TablaVentas[[#This Row],[Unidades]]*TablaVentas[[#This Row],[Costo_unitario]])</f>
        <v>9317.37</v>
      </c>
      <c r="Q704" s="6" t="n">
        <f aca="false">IF(OR(TablaVentas[[#This Row],[Ingreso_neto]]="PENDIENTE",TablaVentas[[#This Row],[Costo_total]]="PENDIENTE"),"PENDIENTE",TablaVentas[[#This Row],[Ingreso_neto]]-TablaVentas[[#This Row],[Costo_total]])</f>
        <v>1124.758</v>
      </c>
    </row>
    <row r="705" customFormat="false" ht="13.5" hidden="false" customHeight="false" outlineLevel="0" collapsed="false">
      <c r="A705" s="1" t="s">
        <v>635</v>
      </c>
      <c r="B705" s="1" t="n">
        <v>2</v>
      </c>
      <c r="C705" s="5" t="n">
        <v>46145</v>
      </c>
      <c r="D705" s="6" t="s">
        <v>212</v>
      </c>
      <c r="E705" s="6" t="s">
        <v>278</v>
      </c>
      <c r="F705" s="6" t="s">
        <v>63</v>
      </c>
      <c r="G705" s="6" t="s">
        <v>64</v>
      </c>
      <c r="H705" s="6" t="s">
        <v>48</v>
      </c>
      <c r="I705" s="1" t="n">
        <v>2</v>
      </c>
      <c r="J705" s="7" t="n">
        <v>1029.94</v>
      </c>
      <c r="K705" s="8" t="n">
        <v>0.2</v>
      </c>
      <c r="L705" s="7" t="n">
        <v>759.03</v>
      </c>
      <c r="M705" s="6" t="s">
        <v>49</v>
      </c>
      <c r="N705" s="6" t="s">
        <v>50</v>
      </c>
      <c r="O705" s="6" t="n">
        <f aca="false">IF(TablaVentas[[#This Row],[Precio_unitario]]="","PENDIENTE",TablaVentas[[#This Row],[Unidades]]*TablaVentas[[#This Row],[Precio_unitario]]*(1-TablaVentas[[#This Row],[Descuento_pct]]))</f>
        <v>1647.904</v>
      </c>
      <c r="P705" s="6" t="n">
        <f aca="false">IF(TablaVentas[[#This Row],[Costo_unitario]]="","PENDIENTE",TablaVentas[[#This Row],[Unidades]]*TablaVentas[[#This Row],[Costo_unitario]])</f>
        <v>1518.06</v>
      </c>
      <c r="Q705" s="6" t="n">
        <f aca="false">IF(OR(TablaVentas[[#This Row],[Ingreso_neto]]="PENDIENTE",TablaVentas[[#This Row],[Costo_total]]="PENDIENTE"),"PENDIENTE",TablaVentas[[#This Row],[Ingreso_neto]]-TablaVentas[[#This Row],[Costo_total]])</f>
        <v>129.844</v>
      </c>
    </row>
    <row r="706" customFormat="false" ht="13.5" hidden="false" customHeight="false" outlineLevel="0" collapsed="false">
      <c r="A706" s="1" t="s">
        <v>635</v>
      </c>
      <c r="B706" s="1" t="n">
        <v>3</v>
      </c>
      <c r="C706" s="5" t="n">
        <v>46145</v>
      </c>
      <c r="D706" s="6" t="s">
        <v>212</v>
      </c>
      <c r="E706" s="6" t="s">
        <v>213</v>
      </c>
      <c r="F706" s="6" t="s">
        <v>63</v>
      </c>
      <c r="G706" s="6" t="s">
        <v>64</v>
      </c>
      <c r="H706" s="6" t="s">
        <v>48</v>
      </c>
      <c r="I706" s="1" t="n">
        <v>2</v>
      </c>
      <c r="J706" s="7" t="n">
        <v>5886.88</v>
      </c>
      <c r="K706" s="8" t="n">
        <v>0.2</v>
      </c>
      <c r="L706" s="7" t="n">
        <v>4008.77</v>
      </c>
      <c r="M706" s="6" t="s">
        <v>49</v>
      </c>
      <c r="N706" s="6" t="s">
        <v>52</v>
      </c>
      <c r="O706" s="6" t="n">
        <f aca="false">IF(TablaVentas[[#This Row],[Precio_unitario]]="","PENDIENTE",TablaVentas[[#This Row],[Unidades]]*TablaVentas[[#This Row],[Precio_unitario]]*(1-TablaVentas[[#This Row],[Descuento_pct]]))</f>
        <v>9419.008</v>
      </c>
      <c r="P706" s="6" t="n">
        <f aca="false">IF(TablaVentas[[#This Row],[Costo_unitario]]="","PENDIENTE",TablaVentas[[#This Row],[Unidades]]*TablaVentas[[#This Row],[Costo_unitario]])</f>
        <v>8017.54</v>
      </c>
      <c r="Q706" s="6" t="n">
        <f aca="false">IF(OR(TablaVentas[[#This Row],[Ingreso_neto]]="PENDIENTE",TablaVentas[[#This Row],[Costo_total]]="PENDIENTE"),"PENDIENTE",TablaVentas[[#This Row],[Ingreso_neto]]-TablaVentas[[#This Row],[Costo_total]])</f>
        <v>1401.468</v>
      </c>
    </row>
    <row r="707" customFormat="false" ht="13.5" hidden="false" customHeight="false" outlineLevel="0" collapsed="false">
      <c r="A707" s="1" t="s">
        <v>636</v>
      </c>
      <c r="B707" s="1" t="n">
        <v>1</v>
      </c>
      <c r="C707" s="5" t="n">
        <v>46114</v>
      </c>
      <c r="D707" s="6" t="s">
        <v>637</v>
      </c>
      <c r="E707" s="6" t="s">
        <v>269</v>
      </c>
      <c r="F707" s="6" t="s">
        <v>46</v>
      </c>
      <c r="G707" s="6" t="s">
        <v>64</v>
      </c>
      <c r="H707" s="6" t="s">
        <v>48</v>
      </c>
      <c r="I707" s="1" t="n">
        <v>5</v>
      </c>
      <c r="J707" s="7" t="n">
        <v>13174.32</v>
      </c>
      <c r="K707" s="8" t="n">
        <v>0.2</v>
      </c>
      <c r="L707" s="7" t="n">
        <v>8227.46</v>
      </c>
      <c r="M707" s="6" t="s">
        <v>49</v>
      </c>
      <c r="N707" s="6" t="s">
        <v>67</v>
      </c>
      <c r="O707" s="6" t="n">
        <f aca="false">IF(TablaVentas[[#This Row],[Precio_unitario]]="","PENDIENTE",TablaVentas[[#This Row],[Unidades]]*TablaVentas[[#This Row],[Precio_unitario]]*(1-TablaVentas[[#This Row],[Descuento_pct]]))</f>
        <v>52697.28</v>
      </c>
      <c r="P707" s="6" t="n">
        <f aca="false">IF(TablaVentas[[#This Row],[Costo_unitario]]="","PENDIENTE",TablaVentas[[#This Row],[Unidades]]*TablaVentas[[#This Row],[Costo_unitario]])</f>
        <v>41137.3</v>
      </c>
      <c r="Q707" s="6" t="n">
        <f aca="false">IF(OR(TablaVentas[[#This Row],[Ingreso_neto]]="PENDIENTE",TablaVentas[[#This Row],[Costo_total]]="PENDIENTE"),"PENDIENTE",TablaVentas[[#This Row],[Ingreso_neto]]-TablaVentas[[#This Row],[Costo_total]])</f>
        <v>11559.98</v>
      </c>
    </row>
    <row r="708" customFormat="false" ht="13.5" hidden="false" customHeight="false" outlineLevel="0" collapsed="false">
      <c r="A708" s="1" t="s">
        <v>638</v>
      </c>
      <c r="B708" s="1" t="n">
        <v>1</v>
      </c>
      <c r="C708" s="5" t="n">
        <v>46259</v>
      </c>
      <c r="D708" s="6" t="s">
        <v>401</v>
      </c>
      <c r="E708" s="6" t="s">
        <v>417</v>
      </c>
      <c r="F708" s="6" t="s">
        <v>84</v>
      </c>
      <c r="G708" s="6" t="s">
        <v>64</v>
      </c>
      <c r="H708" s="6" t="s">
        <v>58</v>
      </c>
      <c r="I708" s="1" t="n">
        <v>1</v>
      </c>
      <c r="J708" s="7" t="n">
        <v>8352.65</v>
      </c>
      <c r="K708" s="8" t="n">
        <v>0.2</v>
      </c>
      <c r="L708" s="7" t="n">
        <v>5874.17</v>
      </c>
      <c r="M708" s="6" t="s">
        <v>49</v>
      </c>
      <c r="N708" s="6" t="s">
        <v>67</v>
      </c>
      <c r="O708" s="6" t="n">
        <f aca="false">IF(TablaVentas[[#This Row],[Precio_unitario]]="","PENDIENTE",TablaVentas[[#This Row],[Unidades]]*TablaVentas[[#This Row],[Precio_unitario]]*(1-TablaVentas[[#This Row],[Descuento_pct]]))</f>
        <v>6682.12</v>
      </c>
      <c r="P708" s="6" t="n">
        <f aca="false">IF(TablaVentas[[#This Row],[Costo_unitario]]="","PENDIENTE",TablaVentas[[#This Row],[Unidades]]*TablaVentas[[#This Row],[Costo_unitario]])</f>
        <v>5874.17</v>
      </c>
      <c r="Q708" s="6" t="n">
        <f aca="false">IF(OR(TablaVentas[[#This Row],[Ingreso_neto]]="PENDIENTE",TablaVentas[[#This Row],[Costo_total]]="PENDIENTE"),"PENDIENTE",TablaVentas[[#This Row],[Ingreso_neto]]-TablaVentas[[#This Row],[Costo_total]])</f>
        <v>807.95</v>
      </c>
    </row>
    <row r="709" customFormat="false" ht="13.5" hidden="false" customHeight="false" outlineLevel="0" collapsed="false">
      <c r="A709" s="1" t="s">
        <v>638</v>
      </c>
      <c r="B709" s="1" t="n">
        <v>2</v>
      </c>
      <c r="C709" s="5" t="n">
        <v>46259</v>
      </c>
      <c r="D709" s="6" t="s">
        <v>401</v>
      </c>
      <c r="E709" s="6" t="s">
        <v>51</v>
      </c>
      <c r="F709" s="6" t="s">
        <v>84</v>
      </c>
      <c r="G709" s="6" t="s">
        <v>64</v>
      </c>
      <c r="H709" s="6" t="s">
        <v>58</v>
      </c>
      <c r="I709" s="1" t="n">
        <v>5</v>
      </c>
      <c r="J709" s="7" t="n">
        <v>13718.19</v>
      </c>
      <c r="K709" s="8" t="n">
        <v>0</v>
      </c>
      <c r="L709" s="7" t="n">
        <v>8980.68</v>
      </c>
      <c r="M709" s="6" t="s">
        <v>49</v>
      </c>
      <c r="N709" s="6" t="s">
        <v>50</v>
      </c>
      <c r="O709" s="6" t="n">
        <f aca="false">IF(TablaVentas[[#This Row],[Precio_unitario]]="","PENDIENTE",TablaVentas[[#This Row],[Unidades]]*TablaVentas[[#This Row],[Precio_unitario]]*(1-TablaVentas[[#This Row],[Descuento_pct]]))</f>
        <v>68590.95</v>
      </c>
      <c r="P709" s="6" t="n">
        <f aca="false">IF(TablaVentas[[#This Row],[Costo_unitario]]="","PENDIENTE",TablaVentas[[#This Row],[Unidades]]*TablaVentas[[#This Row],[Costo_unitario]])</f>
        <v>44903.4</v>
      </c>
      <c r="Q709" s="6" t="n">
        <f aca="false">IF(OR(TablaVentas[[#This Row],[Ingreso_neto]]="PENDIENTE",TablaVentas[[#This Row],[Costo_total]]="PENDIENTE"),"PENDIENTE",TablaVentas[[#This Row],[Ingreso_neto]]-TablaVentas[[#This Row],[Costo_total]])</f>
        <v>23687.55</v>
      </c>
    </row>
    <row r="710" customFormat="false" ht="13.5" hidden="false" customHeight="false" outlineLevel="0" collapsed="false">
      <c r="A710" s="1" t="s">
        <v>638</v>
      </c>
      <c r="B710" s="1" t="n">
        <v>3</v>
      </c>
      <c r="C710" s="5" t="n">
        <v>46259</v>
      </c>
      <c r="D710" s="6" t="s">
        <v>401</v>
      </c>
      <c r="E710" s="6" t="s">
        <v>360</v>
      </c>
      <c r="F710" s="6" t="s">
        <v>84</v>
      </c>
      <c r="G710" s="6" t="s">
        <v>64</v>
      </c>
      <c r="H710" s="6" t="s">
        <v>58</v>
      </c>
      <c r="I710" s="1" t="n">
        <v>2</v>
      </c>
      <c r="J710" s="7" t="n">
        <v>2208.86</v>
      </c>
      <c r="K710" s="8" t="n">
        <v>0</v>
      </c>
      <c r="L710" s="7" t="n">
        <v>1479.71</v>
      </c>
      <c r="M710" s="6" t="s">
        <v>49</v>
      </c>
      <c r="N710" s="6" t="s">
        <v>52</v>
      </c>
      <c r="O710" s="6" t="n">
        <f aca="false">IF(TablaVentas[[#This Row],[Precio_unitario]]="","PENDIENTE",TablaVentas[[#This Row],[Unidades]]*TablaVentas[[#This Row],[Precio_unitario]]*(1-TablaVentas[[#This Row],[Descuento_pct]]))</f>
        <v>4417.72</v>
      </c>
      <c r="P710" s="6" t="n">
        <f aca="false">IF(TablaVentas[[#This Row],[Costo_unitario]]="","PENDIENTE",TablaVentas[[#This Row],[Unidades]]*TablaVentas[[#This Row],[Costo_unitario]])</f>
        <v>2959.42</v>
      </c>
      <c r="Q710" s="6" t="n">
        <f aca="false">IF(OR(TablaVentas[[#This Row],[Ingreso_neto]]="PENDIENTE",TablaVentas[[#This Row],[Costo_total]]="PENDIENTE"),"PENDIENTE",TablaVentas[[#This Row],[Ingreso_neto]]-TablaVentas[[#This Row],[Costo_total]])</f>
        <v>1458.3</v>
      </c>
    </row>
    <row r="711" customFormat="false" ht="13.5" hidden="false" customHeight="false" outlineLevel="0" collapsed="false">
      <c r="A711" s="1" t="s">
        <v>638</v>
      </c>
      <c r="B711" s="1" t="n">
        <v>4</v>
      </c>
      <c r="C711" s="5" t="n">
        <v>46259</v>
      </c>
      <c r="D711" s="6" t="s">
        <v>401</v>
      </c>
      <c r="E711" s="6" t="s">
        <v>182</v>
      </c>
      <c r="F711" s="6" t="s">
        <v>84</v>
      </c>
      <c r="G711" s="6" t="s">
        <v>64</v>
      </c>
      <c r="H711" s="6" t="s">
        <v>58</v>
      </c>
      <c r="I711" s="1" t="n">
        <v>4</v>
      </c>
      <c r="J711" s="7" t="n">
        <v>2863.09</v>
      </c>
      <c r="K711" s="8" t="n">
        <v>0.2</v>
      </c>
      <c r="L711" s="7" t="n">
        <v>1857.39</v>
      </c>
      <c r="M711" s="6" t="s">
        <v>49</v>
      </c>
      <c r="N711" s="6" t="s">
        <v>59</v>
      </c>
      <c r="O711" s="6" t="n">
        <f aca="false">IF(TablaVentas[[#This Row],[Precio_unitario]]="","PENDIENTE",TablaVentas[[#This Row],[Unidades]]*TablaVentas[[#This Row],[Precio_unitario]]*(1-TablaVentas[[#This Row],[Descuento_pct]]))</f>
        <v>9161.888</v>
      </c>
      <c r="P711" s="6" t="n">
        <f aca="false">IF(TablaVentas[[#This Row],[Costo_unitario]]="","PENDIENTE",TablaVentas[[#This Row],[Unidades]]*TablaVentas[[#This Row],[Costo_unitario]])</f>
        <v>7429.56</v>
      </c>
      <c r="Q711" s="6" t="n">
        <f aca="false">IF(OR(TablaVentas[[#This Row],[Ingreso_neto]]="PENDIENTE",TablaVentas[[#This Row],[Costo_total]]="PENDIENTE"),"PENDIENTE",TablaVentas[[#This Row],[Ingreso_neto]]-TablaVentas[[#This Row],[Costo_total]])</f>
        <v>1732.328</v>
      </c>
    </row>
    <row r="712" customFormat="false" ht="13.5" hidden="false" customHeight="false" outlineLevel="0" collapsed="false">
      <c r="A712" s="1" t="s">
        <v>639</v>
      </c>
      <c r="B712" s="1" t="n">
        <v>1</v>
      </c>
      <c r="C712" s="5" t="n">
        <v>46288</v>
      </c>
      <c r="D712" s="6" t="s">
        <v>640</v>
      </c>
      <c r="E712" s="6" t="s">
        <v>233</v>
      </c>
      <c r="F712" s="6" t="s">
        <v>73</v>
      </c>
      <c r="G712" s="6" t="s">
        <v>57</v>
      </c>
      <c r="H712" s="6" t="s">
        <v>131</v>
      </c>
      <c r="I712" s="1" t="n">
        <v>12</v>
      </c>
      <c r="J712" s="7" t="n">
        <v>16509.56</v>
      </c>
      <c r="K712" s="8" t="n">
        <v>0.05</v>
      </c>
      <c r="L712" s="7" t="n">
        <v>9976.68</v>
      </c>
      <c r="M712" s="6" t="s">
        <v>49</v>
      </c>
      <c r="N712" s="6" t="s">
        <v>67</v>
      </c>
      <c r="O712" s="6" t="n">
        <f aca="false">IF(TablaVentas[[#This Row],[Precio_unitario]]="","PENDIENTE",TablaVentas[[#This Row],[Unidades]]*TablaVentas[[#This Row],[Precio_unitario]]*(1-TablaVentas[[#This Row],[Descuento_pct]]))</f>
        <v>188208.984</v>
      </c>
      <c r="P712" s="6" t="n">
        <f aca="false">IF(TablaVentas[[#This Row],[Costo_unitario]]="","PENDIENTE",TablaVentas[[#This Row],[Unidades]]*TablaVentas[[#This Row],[Costo_unitario]])</f>
        <v>119720.16</v>
      </c>
      <c r="Q712" s="6" t="n">
        <f aca="false">IF(OR(TablaVentas[[#This Row],[Ingreso_neto]]="PENDIENTE",TablaVentas[[#This Row],[Costo_total]]="PENDIENTE"),"PENDIENTE",TablaVentas[[#This Row],[Ingreso_neto]]-TablaVentas[[#This Row],[Costo_total]])</f>
        <v>68488.824</v>
      </c>
    </row>
    <row r="713" customFormat="false" ht="13.5" hidden="false" customHeight="false" outlineLevel="0" collapsed="false">
      <c r="A713" s="1" t="s">
        <v>639</v>
      </c>
      <c r="B713" s="1" t="n">
        <v>2</v>
      </c>
      <c r="C713" s="5" t="n">
        <v>46288</v>
      </c>
      <c r="D713" s="6" t="s">
        <v>640</v>
      </c>
      <c r="E713" s="6" t="s">
        <v>333</v>
      </c>
      <c r="F713" s="6" t="s">
        <v>73</v>
      </c>
      <c r="G713" s="6" t="s">
        <v>57</v>
      </c>
      <c r="H713" s="6" t="s">
        <v>131</v>
      </c>
      <c r="I713" s="1" t="n">
        <v>1</v>
      </c>
      <c r="J713" s="7" t="n">
        <v>7542.67</v>
      </c>
      <c r="K713" s="8" t="n">
        <v>0</v>
      </c>
      <c r="L713" s="7" t="n">
        <v>4044.16</v>
      </c>
      <c r="M713" s="6" t="s">
        <v>49</v>
      </c>
      <c r="N713" s="6" t="s">
        <v>52</v>
      </c>
      <c r="O713" s="6" t="n">
        <f aca="false">IF(TablaVentas[[#This Row],[Precio_unitario]]="","PENDIENTE",TablaVentas[[#This Row],[Unidades]]*TablaVentas[[#This Row],[Precio_unitario]]*(1-TablaVentas[[#This Row],[Descuento_pct]]))</f>
        <v>7542.67</v>
      </c>
      <c r="P713" s="6" t="n">
        <f aca="false">IF(TablaVentas[[#This Row],[Costo_unitario]]="","PENDIENTE",TablaVentas[[#This Row],[Unidades]]*TablaVentas[[#This Row],[Costo_unitario]])</f>
        <v>4044.16</v>
      </c>
      <c r="Q713" s="6" t="n">
        <f aca="false">IF(OR(TablaVentas[[#This Row],[Ingreso_neto]]="PENDIENTE",TablaVentas[[#This Row],[Costo_total]]="PENDIENTE"),"PENDIENTE",TablaVentas[[#This Row],[Ingreso_neto]]-TablaVentas[[#This Row],[Costo_total]])</f>
        <v>3498.51</v>
      </c>
    </row>
    <row r="714" customFormat="false" ht="13.5" hidden="false" customHeight="false" outlineLevel="0" collapsed="false">
      <c r="A714" s="1" t="s">
        <v>639</v>
      </c>
      <c r="B714" s="1" t="n">
        <v>3</v>
      </c>
      <c r="C714" s="5" t="n">
        <v>46288</v>
      </c>
      <c r="D714" s="6" t="s">
        <v>640</v>
      </c>
      <c r="E714" s="6" t="s">
        <v>68</v>
      </c>
      <c r="F714" s="6" t="s">
        <v>73</v>
      </c>
      <c r="G714" s="6" t="s">
        <v>57</v>
      </c>
      <c r="H714" s="6" t="s">
        <v>131</v>
      </c>
      <c r="I714" s="1" t="n">
        <v>4</v>
      </c>
      <c r="J714" s="7" t="n">
        <v>4867.35</v>
      </c>
      <c r="K714" s="8" t="n">
        <v>0.1</v>
      </c>
      <c r="L714" s="7" t="n">
        <v>2554.06</v>
      </c>
      <c r="M714" s="6" t="s">
        <v>49</v>
      </c>
      <c r="N714" s="6" t="s">
        <v>50</v>
      </c>
      <c r="O714" s="6" t="n">
        <f aca="false">IF(TablaVentas[[#This Row],[Precio_unitario]]="","PENDIENTE",TablaVentas[[#This Row],[Unidades]]*TablaVentas[[#This Row],[Precio_unitario]]*(1-TablaVentas[[#This Row],[Descuento_pct]]))</f>
        <v>17522.46</v>
      </c>
      <c r="P714" s="6" t="n">
        <f aca="false">IF(TablaVentas[[#This Row],[Costo_unitario]]="","PENDIENTE",TablaVentas[[#This Row],[Unidades]]*TablaVentas[[#This Row],[Costo_unitario]])</f>
        <v>10216.24</v>
      </c>
      <c r="Q714" s="6" t="n">
        <f aca="false">IF(OR(TablaVentas[[#This Row],[Ingreso_neto]]="PENDIENTE",TablaVentas[[#This Row],[Costo_total]]="PENDIENTE"),"PENDIENTE",TablaVentas[[#This Row],[Ingreso_neto]]-TablaVentas[[#This Row],[Costo_total]])</f>
        <v>7306.22</v>
      </c>
    </row>
    <row r="715" customFormat="false" ht="13.5" hidden="false" customHeight="false" outlineLevel="0" collapsed="false">
      <c r="A715" s="1" t="s">
        <v>639</v>
      </c>
      <c r="B715" s="1" t="n">
        <v>4</v>
      </c>
      <c r="C715" s="5" t="n">
        <v>46288</v>
      </c>
      <c r="D715" s="6" t="s">
        <v>640</v>
      </c>
      <c r="E715" s="6" t="s">
        <v>122</v>
      </c>
      <c r="F715" s="6" t="s">
        <v>73</v>
      </c>
      <c r="G715" s="6" t="s">
        <v>57</v>
      </c>
      <c r="H715" s="6" t="s">
        <v>131</v>
      </c>
      <c r="I715" s="1" t="n">
        <v>2</v>
      </c>
      <c r="J715" s="7" t="n">
        <v>1281.54</v>
      </c>
      <c r="K715" s="8" t="n">
        <v>0.15</v>
      </c>
      <c r="L715" s="7" t="n">
        <v>705.87</v>
      </c>
      <c r="M715" s="6" t="s">
        <v>49</v>
      </c>
      <c r="N715" s="6" t="s">
        <v>52</v>
      </c>
      <c r="O715" s="6" t="n">
        <f aca="false">IF(TablaVentas[[#This Row],[Precio_unitario]]="","PENDIENTE",TablaVentas[[#This Row],[Unidades]]*TablaVentas[[#This Row],[Precio_unitario]]*(1-TablaVentas[[#This Row],[Descuento_pct]]))</f>
        <v>2178.618</v>
      </c>
      <c r="P715" s="6" t="n">
        <f aca="false">IF(TablaVentas[[#This Row],[Costo_unitario]]="","PENDIENTE",TablaVentas[[#This Row],[Unidades]]*TablaVentas[[#This Row],[Costo_unitario]])</f>
        <v>1411.74</v>
      </c>
      <c r="Q715" s="6" t="n">
        <f aca="false">IF(OR(TablaVentas[[#This Row],[Ingreso_neto]]="PENDIENTE",TablaVentas[[#This Row],[Costo_total]]="PENDIENTE"),"PENDIENTE",TablaVentas[[#This Row],[Ingreso_neto]]-TablaVentas[[#This Row],[Costo_total]])</f>
        <v>766.878</v>
      </c>
    </row>
    <row r="716" customFormat="false" ht="13.5" hidden="false" customHeight="false" outlineLevel="0" collapsed="false">
      <c r="A716" s="1" t="s">
        <v>641</v>
      </c>
      <c r="B716" s="1" t="n">
        <v>1</v>
      </c>
      <c r="C716" s="5" t="n">
        <v>46139</v>
      </c>
      <c r="D716" s="6" t="s">
        <v>642</v>
      </c>
      <c r="E716" s="6" t="s">
        <v>116</v>
      </c>
      <c r="F716" s="6" t="s">
        <v>73</v>
      </c>
      <c r="G716" s="6" t="s">
        <v>57</v>
      </c>
      <c r="H716" s="6" t="s">
        <v>80</v>
      </c>
      <c r="I716" s="1" t="n">
        <v>3</v>
      </c>
      <c r="J716" s="7" t="n">
        <v>15622</v>
      </c>
      <c r="K716" s="8" t="n">
        <v>0</v>
      </c>
      <c r="L716" s="7" t="n">
        <v>9880.77</v>
      </c>
      <c r="M716" s="6" t="s">
        <v>49</v>
      </c>
      <c r="N716" s="6" t="s">
        <v>50</v>
      </c>
      <c r="O716" s="6" t="n">
        <f aca="false">IF(TablaVentas[[#This Row],[Precio_unitario]]="","PENDIENTE",TablaVentas[[#This Row],[Unidades]]*TablaVentas[[#This Row],[Precio_unitario]]*(1-TablaVentas[[#This Row],[Descuento_pct]]))</f>
        <v>46866</v>
      </c>
      <c r="P716" s="6" t="n">
        <f aca="false">IF(TablaVentas[[#This Row],[Costo_unitario]]="","PENDIENTE",TablaVentas[[#This Row],[Unidades]]*TablaVentas[[#This Row],[Costo_unitario]])</f>
        <v>29642.31</v>
      </c>
      <c r="Q716" s="6" t="n">
        <f aca="false">IF(OR(TablaVentas[[#This Row],[Ingreso_neto]]="PENDIENTE",TablaVentas[[#This Row],[Costo_total]]="PENDIENTE"),"PENDIENTE",TablaVentas[[#This Row],[Ingreso_neto]]-TablaVentas[[#This Row],[Costo_total]])</f>
        <v>17223.69</v>
      </c>
    </row>
    <row r="717" customFormat="false" ht="13.5" hidden="false" customHeight="false" outlineLevel="0" collapsed="false">
      <c r="A717" s="1" t="s">
        <v>641</v>
      </c>
      <c r="B717" s="1" t="n">
        <v>2</v>
      </c>
      <c r="C717" s="5" t="n">
        <v>46139</v>
      </c>
      <c r="D717" s="6" t="s">
        <v>642</v>
      </c>
      <c r="E717" s="6" t="s">
        <v>151</v>
      </c>
      <c r="F717" s="6" t="s">
        <v>73</v>
      </c>
      <c r="G717" s="6" t="s">
        <v>57</v>
      </c>
      <c r="H717" s="6" t="s">
        <v>80</v>
      </c>
      <c r="I717" s="1" t="n">
        <v>1</v>
      </c>
      <c r="J717" s="7" t="n">
        <v>9666.99</v>
      </c>
      <c r="K717" s="8" t="n">
        <v>0.1</v>
      </c>
      <c r="L717" s="7" t="n">
        <v>5125.36</v>
      </c>
      <c r="M717" s="6" t="s">
        <v>49</v>
      </c>
      <c r="N717" s="6" t="s">
        <v>59</v>
      </c>
      <c r="O717" s="6" t="n">
        <f aca="false">IF(TablaVentas[[#This Row],[Precio_unitario]]="","PENDIENTE",TablaVentas[[#This Row],[Unidades]]*TablaVentas[[#This Row],[Precio_unitario]]*(1-TablaVentas[[#This Row],[Descuento_pct]]))</f>
        <v>8700.291</v>
      </c>
      <c r="P717" s="6" t="n">
        <f aca="false">IF(TablaVentas[[#This Row],[Costo_unitario]]="","PENDIENTE",TablaVentas[[#This Row],[Unidades]]*TablaVentas[[#This Row],[Costo_unitario]])</f>
        <v>5125.36</v>
      </c>
      <c r="Q717" s="6" t="n">
        <f aca="false">IF(OR(TablaVentas[[#This Row],[Ingreso_neto]]="PENDIENTE",TablaVentas[[#This Row],[Costo_total]]="PENDIENTE"),"PENDIENTE",TablaVentas[[#This Row],[Ingreso_neto]]-TablaVentas[[#This Row],[Costo_total]])</f>
        <v>3574.931</v>
      </c>
    </row>
    <row r="718" customFormat="false" ht="13.5" hidden="false" customHeight="false" outlineLevel="0" collapsed="false">
      <c r="A718" s="1" t="s">
        <v>641</v>
      </c>
      <c r="B718" s="1" t="n">
        <v>3</v>
      </c>
      <c r="C718" s="5" t="n">
        <v>46139</v>
      </c>
      <c r="D718" s="6" t="s">
        <v>642</v>
      </c>
      <c r="E718" s="6" t="s">
        <v>328</v>
      </c>
      <c r="F718" s="6" t="s">
        <v>73</v>
      </c>
      <c r="G718" s="6" t="s">
        <v>57</v>
      </c>
      <c r="H718" s="6" t="s">
        <v>80</v>
      </c>
      <c r="I718" s="1" t="n">
        <v>2</v>
      </c>
      <c r="J718" s="7" t="n">
        <v>1266.18</v>
      </c>
      <c r="K718" s="8" t="n">
        <v>0.2</v>
      </c>
      <c r="L718" s="7" t="n">
        <v>679.37</v>
      </c>
      <c r="M718" s="6" t="s">
        <v>49</v>
      </c>
      <c r="N718" s="6" t="s">
        <v>67</v>
      </c>
      <c r="O718" s="6" t="n">
        <f aca="false">IF(TablaVentas[[#This Row],[Precio_unitario]]="","PENDIENTE",TablaVentas[[#This Row],[Unidades]]*TablaVentas[[#This Row],[Precio_unitario]]*(1-TablaVentas[[#This Row],[Descuento_pct]]))</f>
        <v>2025.888</v>
      </c>
      <c r="P718" s="6" t="n">
        <f aca="false">IF(TablaVentas[[#This Row],[Costo_unitario]]="","PENDIENTE",TablaVentas[[#This Row],[Unidades]]*TablaVentas[[#This Row],[Costo_unitario]])</f>
        <v>1358.74</v>
      </c>
      <c r="Q718" s="6" t="n">
        <f aca="false">IF(OR(TablaVentas[[#This Row],[Ingreso_neto]]="PENDIENTE",TablaVentas[[#This Row],[Costo_total]]="PENDIENTE"),"PENDIENTE",TablaVentas[[#This Row],[Ingreso_neto]]-TablaVentas[[#This Row],[Costo_total]])</f>
        <v>667.148</v>
      </c>
    </row>
    <row r="719" customFormat="false" ht="13.5" hidden="false" customHeight="false" outlineLevel="0" collapsed="false">
      <c r="A719" s="1" t="s">
        <v>643</v>
      </c>
      <c r="B719" s="1" t="n">
        <v>1</v>
      </c>
      <c r="C719" s="5" t="n">
        <v>46064</v>
      </c>
      <c r="D719" s="6" t="s">
        <v>82</v>
      </c>
      <c r="E719" s="6" t="s">
        <v>132</v>
      </c>
      <c r="F719" s="6" t="s">
        <v>73</v>
      </c>
      <c r="G719" s="6" t="s">
        <v>47</v>
      </c>
      <c r="H719" s="6" t="s">
        <v>136</v>
      </c>
      <c r="I719" s="1" t="n">
        <v>1</v>
      </c>
      <c r="J719" s="7" t="n">
        <v>1667.46</v>
      </c>
      <c r="K719" s="8" t="n">
        <v>0</v>
      </c>
      <c r="L719" s="7" t="n">
        <v>1044.32</v>
      </c>
      <c r="M719" s="6" t="s">
        <v>49</v>
      </c>
      <c r="N719" s="6" t="s">
        <v>52</v>
      </c>
      <c r="O719" s="6" t="n">
        <f aca="false">IF(TablaVentas[[#This Row],[Precio_unitario]]="","PENDIENTE",TablaVentas[[#This Row],[Unidades]]*TablaVentas[[#This Row],[Precio_unitario]]*(1-TablaVentas[[#This Row],[Descuento_pct]]))</f>
        <v>1667.46</v>
      </c>
      <c r="P719" s="6" t="n">
        <f aca="false">IF(TablaVentas[[#This Row],[Costo_unitario]]="","PENDIENTE",TablaVentas[[#This Row],[Unidades]]*TablaVentas[[#This Row],[Costo_unitario]])</f>
        <v>1044.32</v>
      </c>
      <c r="Q719" s="6" t="n">
        <f aca="false">IF(OR(TablaVentas[[#This Row],[Ingreso_neto]]="PENDIENTE",TablaVentas[[#This Row],[Costo_total]]="PENDIENTE"),"PENDIENTE",TablaVentas[[#This Row],[Ingreso_neto]]-TablaVentas[[#This Row],[Costo_total]])</f>
        <v>623.14</v>
      </c>
    </row>
    <row r="720" customFormat="false" ht="13.5" hidden="false" customHeight="false" outlineLevel="0" collapsed="false">
      <c r="A720" s="1" t="s">
        <v>643</v>
      </c>
      <c r="B720" s="1" t="n">
        <v>2</v>
      </c>
      <c r="C720" s="5" t="n">
        <v>46064</v>
      </c>
      <c r="D720" s="6" t="s">
        <v>82</v>
      </c>
      <c r="E720" s="6" t="s">
        <v>97</v>
      </c>
      <c r="F720" s="6" t="s">
        <v>73</v>
      </c>
      <c r="G720" s="6" t="s">
        <v>47</v>
      </c>
      <c r="H720" s="6" t="s">
        <v>136</v>
      </c>
      <c r="I720" s="1" t="n">
        <v>1</v>
      </c>
      <c r="J720" s="7" t="n">
        <v>10778.55</v>
      </c>
      <c r="K720" s="8" t="n">
        <v>0</v>
      </c>
      <c r="L720" s="7" t="n">
        <v>8174.87</v>
      </c>
      <c r="M720" s="6" t="s">
        <v>49</v>
      </c>
      <c r="N720" s="6" t="s">
        <v>67</v>
      </c>
      <c r="O720" s="6" t="n">
        <f aca="false">IF(TablaVentas[[#This Row],[Precio_unitario]]="","PENDIENTE",TablaVentas[[#This Row],[Unidades]]*TablaVentas[[#This Row],[Precio_unitario]]*(1-TablaVentas[[#This Row],[Descuento_pct]]))</f>
        <v>10778.55</v>
      </c>
      <c r="P720" s="6" t="n">
        <f aca="false">IF(TablaVentas[[#This Row],[Costo_unitario]]="","PENDIENTE",TablaVentas[[#This Row],[Unidades]]*TablaVentas[[#This Row],[Costo_unitario]])</f>
        <v>8174.87</v>
      </c>
      <c r="Q720" s="6" t="n">
        <f aca="false">IF(OR(TablaVentas[[#This Row],[Ingreso_neto]]="PENDIENTE",TablaVentas[[#This Row],[Costo_total]]="PENDIENTE"),"PENDIENTE",TablaVentas[[#This Row],[Ingreso_neto]]-TablaVentas[[#This Row],[Costo_total]])</f>
        <v>2603.68</v>
      </c>
    </row>
    <row r="721" customFormat="false" ht="13.5" hidden="false" customHeight="false" outlineLevel="0" collapsed="false">
      <c r="A721" s="1" t="s">
        <v>644</v>
      </c>
      <c r="B721" s="1" t="n">
        <v>1</v>
      </c>
      <c r="C721" s="5" t="n">
        <v>46236</v>
      </c>
      <c r="D721" s="6" t="s">
        <v>376</v>
      </c>
      <c r="E721" s="6" t="s">
        <v>182</v>
      </c>
      <c r="F721" s="6" t="s">
        <v>63</v>
      </c>
      <c r="G721" s="6" t="s">
        <v>64</v>
      </c>
      <c r="H721" s="6" t="s">
        <v>191</v>
      </c>
      <c r="I721" s="1" t="n">
        <v>1</v>
      </c>
      <c r="J721" s="7" t="n">
        <v>2502.91</v>
      </c>
      <c r="K721" s="8" t="n">
        <v>0</v>
      </c>
      <c r="L721" s="7" t="n">
        <v>1857.39</v>
      </c>
      <c r="M721" s="6" t="s">
        <v>49</v>
      </c>
      <c r="N721" s="6" t="s">
        <v>59</v>
      </c>
      <c r="O721" s="6" t="n">
        <f aca="false">IF(TablaVentas[[#This Row],[Precio_unitario]]="","PENDIENTE",TablaVentas[[#This Row],[Unidades]]*TablaVentas[[#This Row],[Precio_unitario]]*(1-TablaVentas[[#This Row],[Descuento_pct]]))</f>
        <v>2502.91</v>
      </c>
      <c r="P721" s="6" t="n">
        <f aca="false">IF(TablaVentas[[#This Row],[Costo_unitario]]="","PENDIENTE",TablaVentas[[#This Row],[Unidades]]*TablaVentas[[#This Row],[Costo_unitario]])</f>
        <v>1857.39</v>
      </c>
      <c r="Q721" s="6" t="n">
        <f aca="false">IF(OR(TablaVentas[[#This Row],[Ingreso_neto]]="PENDIENTE",TablaVentas[[#This Row],[Costo_total]]="PENDIENTE"),"PENDIENTE",TablaVentas[[#This Row],[Ingreso_neto]]-TablaVentas[[#This Row],[Costo_total]])</f>
        <v>645.52</v>
      </c>
    </row>
    <row r="722" customFormat="false" ht="13.5" hidden="false" customHeight="false" outlineLevel="0" collapsed="false">
      <c r="A722" s="1" t="s">
        <v>645</v>
      </c>
      <c r="B722" s="1" t="n">
        <v>1</v>
      </c>
      <c r="C722" s="5" t="n">
        <v>46169</v>
      </c>
      <c r="D722" s="6" t="s">
        <v>646</v>
      </c>
      <c r="E722" s="6" t="s">
        <v>385</v>
      </c>
      <c r="F722" s="6" t="s">
        <v>46</v>
      </c>
      <c r="G722" s="6" t="s">
        <v>57</v>
      </c>
      <c r="H722" s="6" t="s">
        <v>58</v>
      </c>
      <c r="I722" s="1" t="n">
        <v>1</v>
      </c>
      <c r="J722" s="7" t="n">
        <v>3636.53</v>
      </c>
      <c r="K722" s="8" t="n">
        <v>0.1</v>
      </c>
      <c r="L722" s="7" t="n">
        <v>2864.64</v>
      </c>
      <c r="M722" s="6" t="s">
        <v>49</v>
      </c>
      <c r="N722" s="6" t="s">
        <v>52</v>
      </c>
      <c r="O722" s="6" t="n">
        <f aca="false">IF(TablaVentas[[#This Row],[Precio_unitario]]="","PENDIENTE",TablaVentas[[#This Row],[Unidades]]*TablaVentas[[#This Row],[Precio_unitario]]*(1-TablaVentas[[#This Row],[Descuento_pct]]))</f>
        <v>3272.877</v>
      </c>
      <c r="P722" s="6" t="n">
        <f aca="false">IF(TablaVentas[[#This Row],[Costo_unitario]]="","PENDIENTE",TablaVentas[[#This Row],[Unidades]]*TablaVentas[[#This Row],[Costo_unitario]])</f>
        <v>2864.64</v>
      </c>
      <c r="Q722" s="6" t="n">
        <f aca="false">IF(OR(TablaVentas[[#This Row],[Ingreso_neto]]="PENDIENTE",TablaVentas[[#This Row],[Costo_total]]="PENDIENTE"),"PENDIENTE",TablaVentas[[#This Row],[Ingreso_neto]]-TablaVentas[[#This Row],[Costo_total]])</f>
        <v>408.237000000001</v>
      </c>
    </row>
    <row r="723" customFormat="false" ht="13.5" hidden="false" customHeight="false" outlineLevel="0" collapsed="false">
      <c r="A723" s="1" t="s">
        <v>645</v>
      </c>
      <c r="B723" s="1" t="n">
        <v>2</v>
      </c>
      <c r="C723" s="5" t="n">
        <v>46169</v>
      </c>
      <c r="D723" s="6" t="s">
        <v>646</v>
      </c>
      <c r="E723" s="6" t="s">
        <v>167</v>
      </c>
      <c r="F723" s="6" t="s">
        <v>46</v>
      </c>
      <c r="G723" s="6" t="s">
        <v>57</v>
      </c>
      <c r="H723" s="6" t="s">
        <v>58</v>
      </c>
      <c r="I723" s="1" t="n">
        <v>3</v>
      </c>
      <c r="J723" s="7" t="n">
        <v>7311.25</v>
      </c>
      <c r="K723" s="8" t="n">
        <v>0</v>
      </c>
      <c r="L723" s="7" t="n">
        <v>4082.15</v>
      </c>
      <c r="M723" s="6" t="s">
        <v>49</v>
      </c>
      <c r="N723" s="6" t="s">
        <v>50</v>
      </c>
      <c r="O723" s="6" t="n">
        <f aca="false">IF(TablaVentas[[#This Row],[Precio_unitario]]="","PENDIENTE",TablaVentas[[#This Row],[Unidades]]*TablaVentas[[#This Row],[Precio_unitario]]*(1-TablaVentas[[#This Row],[Descuento_pct]]))</f>
        <v>21933.75</v>
      </c>
      <c r="P723" s="6" t="n">
        <f aca="false">IF(TablaVentas[[#This Row],[Costo_unitario]]="","PENDIENTE",TablaVentas[[#This Row],[Unidades]]*TablaVentas[[#This Row],[Costo_unitario]])</f>
        <v>12246.45</v>
      </c>
      <c r="Q723" s="6" t="n">
        <f aca="false">IF(OR(TablaVentas[[#This Row],[Ingreso_neto]]="PENDIENTE",TablaVentas[[#This Row],[Costo_total]]="PENDIENTE"),"PENDIENTE",TablaVentas[[#This Row],[Ingreso_neto]]-TablaVentas[[#This Row],[Costo_total]])</f>
        <v>9687.3</v>
      </c>
    </row>
    <row r="724" customFormat="false" ht="13.5" hidden="false" customHeight="false" outlineLevel="0" collapsed="false">
      <c r="A724" s="1" t="s">
        <v>647</v>
      </c>
      <c r="B724" s="1" t="n">
        <v>1</v>
      </c>
      <c r="C724" s="5" t="n">
        <v>46222</v>
      </c>
      <c r="D724" s="6" t="s">
        <v>232</v>
      </c>
      <c r="E724" s="6" t="s">
        <v>224</v>
      </c>
      <c r="F724" s="6" t="s">
        <v>46</v>
      </c>
      <c r="G724" s="6" t="s">
        <v>64</v>
      </c>
      <c r="H724" s="6" t="s">
        <v>48</v>
      </c>
      <c r="I724" s="1" t="n">
        <v>3</v>
      </c>
      <c r="J724" s="7" t="n">
        <v>15649.61</v>
      </c>
      <c r="K724" s="8" t="n">
        <v>0.05</v>
      </c>
      <c r="L724" s="7" t="n">
        <v>14161.63</v>
      </c>
      <c r="M724" s="6" t="s">
        <v>49</v>
      </c>
      <c r="N724" s="6" t="s">
        <v>59</v>
      </c>
      <c r="O724" s="6" t="n">
        <f aca="false">IF(TablaVentas[[#This Row],[Precio_unitario]]="","PENDIENTE",TablaVentas[[#This Row],[Unidades]]*TablaVentas[[#This Row],[Precio_unitario]]*(1-TablaVentas[[#This Row],[Descuento_pct]]))</f>
        <v>44601.3885</v>
      </c>
      <c r="P724" s="6" t="n">
        <f aca="false">IF(TablaVentas[[#This Row],[Costo_unitario]]="","PENDIENTE",TablaVentas[[#This Row],[Unidades]]*TablaVentas[[#This Row],[Costo_unitario]])</f>
        <v>42484.89</v>
      </c>
      <c r="Q724" s="6" t="n">
        <f aca="false">IF(OR(TablaVentas[[#This Row],[Ingreso_neto]]="PENDIENTE",TablaVentas[[#This Row],[Costo_total]]="PENDIENTE"),"PENDIENTE",TablaVentas[[#This Row],[Ingreso_neto]]-TablaVentas[[#This Row],[Costo_total]])</f>
        <v>2116.4985</v>
      </c>
    </row>
    <row r="725" customFormat="false" ht="13.5" hidden="false" customHeight="false" outlineLevel="0" collapsed="false">
      <c r="A725" s="1" t="s">
        <v>647</v>
      </c>
      <c r="B725" s="1" t="n">
        <v>2</v>
      </c>
      <c r="C725" s="5" t="n">
        <v>46222</v>
      </c>
      <c r="D725" s="6" t="s">
        <v>232</v>
      </c>
      <c r="E725" s="6" t="s">
        <v>417</v>
      </c>
      <c r="F725" s="6" t="s">
        <v>46</v>
      </c>
      <c r="G725" s="6" t="s">
        <v>64</v>
      </c>
      <c r="H725" s="6" t="s">
        <v>48</v>
      </c>
      <c r="I725" s="1" t="n">
        <v>1</v>
      </c>
      <c r="J725" s="7" t="n">
        <v>8112.26</v>
      </c>
      <c r="K725" s="8" t="n">
        <v>0.1</v>
      </c>
      <c r="L725" s="7" t="n">
        <v>5874.17</v>
      </c>
      <c r="M725" s="6" t="s">
        <v>49</v>
      </c>
      <c r="N725" s="6" t="s">
        <v>52</v>
      </c>
      <c r="O725" s="6" t="n">
        <f aca="false">IF(TablaVentas[[#This Row],[Precio_unitario]]="","PENDIENTE",TablaVentas[[#This Row],[Unidades]]*TablaVentas[[#This Row],[Precio_unitario]]*(1-TablaVentas[[#This Row],[Descuento_pct]]))</f>
        <v>7301.034</v>
      </c>
      <c r="P725" s="6" t="n">
        <f aca="false">IF(TablaVentas[[#This Row],[Costo_unitario]]="","PENDIENTE",TablaVentas[[#This Row],[Unidades]]*TablaVentas[[#This Row],[Costo_unitario]])</f>
        <v>5874.17</v>
      </c>
      <c r="Q725" s="6" t="n">
        <f aca="false">IF(OR(TablaVentas[[#This Row],[Ingreso_neto]]="PENDIENTE",TablaVentas[[#This Row],[Costo_total]]="PENDIENTE"),"PENDIENTE",TablaVentas[[#This Row],[Ingreso_neto]]-TablaVentas[[#This Row],[Costo_total]])</f>
        <v>1426.864</v>
      </c>
    </row>
    <row r="726" customFormat="false" ht="13.5" hidden="false" customHeight="false" outlineLevel="0" collapsed="false">
      <c r="A726" s="1" t="s">
        <v>648</v>
      </c>
      <c r="B726" s="1" t="n">
        <v>1</v>
      </c>
      <c r="C726" s="5" t="n">
        <v>46081</v>
      </c>
      <c r="D726" s="6" t="s">
        <v>387</v>
      </c>
      <c r="E726" s="6" t="s">
        <v>96</v>
      </c>
      <c r="F726" s="6" t="s">
        <v>63</v>
      </c>
      <c r="G726" s="6" t="s">
        <v>57</v>
      </c>
      <c r="H726" s="6" t="s">
        <v>65</v>
      </c>
      <c r="I726" s="1" t="n">
        <v>5</v>
      </c>
      <c r="J726" s="7" t="n">
        <v>10984.78</v>
      </c>
      <c r="K726" s="8" t="n">
        <v>0</v>
      </c>
      <c r="L726" s="7" t="n">
        <v>9118.07</v>
      </c>
      <c r="M726" s="6" t="s">
        <v>49</v>
      </c>
      <c r="N726" s="6" t="s">
        <v>59</v>
      </c>
      <c r="O726" s="6" t="n">
        <f aca="false">IF(TablaVentas[[#This Row],[Precio_unitario]]="","PENDIENTE",TablaVentas[[#This Row],[Unidades]]*TablaVentas[[#This Row],[Precio_unitario]]*(1-TablaVentas[[#This Row],[Descuento_pct]]))</f>
        <v>54923.9</v>
      </c>
      <c r="P726" s="6" t="n">
        <f aca="false">IF(TablaVentas[[#This Row],[Costo_unitario]]="","PENDIENTE",TablaVentas[[#This Row],[Unidades]]*TablaVentas[[#This Row],[Costo_unitario]])</f>
        <v>45590.35</v>
      </c>
      <c r="Q726" s="6" t="n">
        <f aca="false">IF(OR(TablaVentas[[#This Row],[Ingreso_neto]]="PENDIENTE",TablaVentas[[#This Row],[Costo_total]]="PENDIENTE"),"PENDIENTE",TablaVentas[[#This Row],[Ingreso_neto]]-TablaVentas[[#This Row],[Costo_total]])</f>
        <v>9333.55</v>
      </c>
    </row>
    <row r="727" customFormat="false" ht="13.5" hidden="false" customHeight="false" outlineLevel="0" collapsed="false">
      <c r="A727" s="1" t="s">
        <v>648</v>
      </c>
      <c r="B727" s="1" t="n">
        <v>2</v>
      </c>
      <c r="C727" s="5" t="n">
        <v>46081</v>
      </c>
      <c r="D727" s="6" t="s">
        <v>387</v>
      </c>
      <c r="E727" s="6" t="s">
        <v>182</v>
      </c>
      <c r="F727" s="6" t="s">
        <v>63</v>
      </c>
      <c r="G727" s="6" t="s">
        <v>57</v>
      </c>
      <c r="H727" s="6" t="s">
        <v>65</v>
      </c>
      <c r="I727" s="1" t="n">
        <v>1</v>
      </c>
      <c r="J727" s="7" t="n">
        <v>2813.65</v>
      </c>
      <c r="K727" s="8" t="n">
        <v>0</v>
      </c>
      <c r="L727" s="7" t="n">
        <v>1857.39</v>
      </c>
      <c r="M727" s="6" t="s">
        <v>69</v>
      </c>
      <c r="N727" s="6" t="s">
        <v>50</v>
      </c>
      <c r="O727" s="6" t="n">
        <f aca="false">IF(TablaVentas[[#This Row],[Precio_unitario]]="","PENDIENTE",TablaVentas[[#This Row],[Unidades]]*TablaVentas[[#This Row],[Precio_unitario]]*(1-TablaVentas[[#This Row],[Descuento_pct]]))</f>
        <v>2813.65</v>
      </c>
      <c r="P727" s="6" t="n">
        <f aca="false">IF(TablaVentas[[#This Row],[Costo_unitario]]="","PENDIENTE",TablaVentas[[#This Row],[Unidades]]*TablaVentas[[#This Row],[Costo_unitario]])</f>
        <v>1857.39</v>
      </c>
      <c r="Q727" s="6" t="n">
        <f aca="false">IF(OR(TablaVentas[[#This Row],[Ingreso_neto]]="PENDIENTE",TablaVentas[[#This Row],[Costo_total]]="PENDIENTE"),"PENDIENTE",TablaVentas[[#This Row],[Ingreso_neto]]-TablaVentas[[#This Row],[Costo_total]])</f>
        <v>956.26</v>
      </c>
    </row>
    <row r="728" customFormat="false" ht="13.5" hidden="false" customHeight="false" outlineLevel="0" collapsed="false">
      <c r="A728" s="1" t="s">
        <v>648</v>
      </c>
      <c r="B728" s="1" t="n">
        <v>3</v>
      </c>
      <c r="C728" s="5" t="n">
        <v>46081</v>
      </c>
      <c r="D728" s="6" t="s">
        <v>387</v>
      </c>
      <c r="E728" s="6" t="s">
        <v>233</v>
      </c>
      <c r="F728" s="6" t="s">
        <v>63</v>
      </c>
      <c r="G728" s="6" t="s">
        <v>57</v>
      </c>
      <c r="H728" s="6" t="s">
        <v>65</v>
      </c>
      <c r="I728" s="1" t="n">
        <v>2</v>
      </c>
      <c r="J728" s="7" t="n">
        <v>18392.74</v>
      </c>
      <c r="K728" s="8" t="n">
        <v>0.1</v>
      </c>
      <c r="L728" s="7" t="n">
        <v>9976.68</v>
      </c>
      <c r="M728" s="6" t="s">
        <v>49</v>
      </c>
      <c r="N728" s="6" t="s">
        <v>67</v>
      </c>
      <c r="O728" s="6" t="n">
        <f aca="false">IF(TablaVentas[[#This Row],[Precio_unitario]]="","PENDIENTE",TablaVentas[[#This Row],[Unidades]]*TablaVentas[[#This Row],[Precio_unitario]]*(1-TablaVentas[[#This Row],[Descuento_pct]]))</f>
        <v>33106.932</v>
      </c>
      <c r="P728" s="6" t="n">
        <f aca="false">IF(TablaVentas[[#This Row],[Costo_unitario]]="","PENDIENTE",TablaVentas[[#This Row],[Unidades]]*TablaVentas[[#This Row],[Costo_unitario]])</f>
        <v>19953.36</v>
      </c>
      <c r="Q728" s="6" t="n">
        <f aca="false">IF(OR(TablaVentas[[#This Row],[Ingreso_neto]]="PENDIENTE",TablaVentas[[#This Row],[Costo_total]]="PENDIENTE"),"PENDIENTE",TablaVentas[[#This Row],[Ingreso_neto]]-TablaVentas[[#This Row],[Costo_total]])</f>
        <v>13153.572</v>
      </c>
    </row>
    <row r="729" customFormat="false" ht="13.5" hidden="false" customHeight="false" outlineLevel="0" collapsed="false">
      <c r="A729" s="1" t="s">
        <v>648</v>
      </c>
      <c r="B729" s="1" t="n">
        <v>4</v>
      </c>
      <c r="C729" s="5" t="n">
        <v>46081</v>
      </c>
      <c r="D729" s="6" t="s">
        <v>387</v>
      </c>
      <c r="E729" s="6" t="s">
        <v>200</v>
      </c>
      <c r="F729" s="6" t="s">
        <v>63</v>
      </c>
      <c r="G729" s="6" t="s">
        <v>57</v>
      </c>
      <c r="H729" s="6" t="s">
        <v>65</v>
      </c>
      <c r="I729" s="1" t="n">
        <v>3</v>
      </c>
      <c r="J729" s="7" t="n">
        <v>10851.74</v>
      </c>
      <c r="K729" s="8" t="n">
        <v>0.15</v>
      </c>
      <c r="L729" s="7" t="n">
        <v>5811.72</v>
      </c>
      <c r="M729" s="6" t="s">
        <v>49</v>
      </c>
      <c r="N729" s="6" t="s">
        <v>59</v>
      </c>
      <c r="O729" s="6" t="n">
        <f aca="false">IF(TablaVentas[[#This Row],[Precio_unitario]]="","PENDIENTE",TablaVentas[[#This Row],[Unidades]]*TablaVentas[[#This Row],[Precio_unitario]]*(1-TablaVentas[[#This Row],[Descuento_pct]]))</f>
        <v>27671.937</v>
      </c>
      <c r="P729" s="6" t="n">
        <f aca="false">IF(TablaVentas[[#This Row],[Costo_unitario]]="","PENDIENTE",TablaVentas[[#This Row],[Unidades]]*TablaVentas[[#This Row],[Costo_unitario]])</f>
        <v>17435.16</v>
      </c>
      <c r="Q729" s="6" t="n">
        <f aca="false">IF(OR(TablaVentas[[#This Row],[Ingreso_neto]]="PENDIENTE",TablaVentas[[#This Row],[Costo_total]]="PENDIENTE"),"PENDIENTE",TablaVentas[[#This Row],[Ingreso_neto]]-TablaVentas[[#This Row],[Costo_total]])</f>
        <v>10236.777</v>
      </c>
    </row>
    <row r="730" customFormat="false" ht="13.5" hidden="false" customHeight="false" outlineLevel="0" collapsed="false">
      <c r="A730" s="1" t="s">
        <v>649</v>
      </c>
      <c r="B730" s="1" t="n">
        <v>1</v>
      </c>
      <c r="C730" s="5" t="n">
        <v>46087</v>
      </c>
      <c r="D730" s="6" t="s">
        <v>459</v>
      </c>
      <c r="E730" s="6" t="s">
        <v>230</v>
      </c>
      <c r="F730" s="6" t="s">
        <v>84</v>
      </c>
      <c r="G730" s="6" t="s">
        <v>47</v>
      </c>
      <c r="H730" s="6" t="s">
        <v>58</v>
      </c>
      <c r="I730" s="1" t="n">
        <v>8</v>
      </c>
      <c r="J730" s="7" t="n">
        <v>6764.88</v>
      </c>
      <c r="K730" s="8" t="n">
        <v>0.2</v>
      </c>
      <c r="L730" s="7" t="n">
        <v>3298.19</v>
      </c>
      <c r="M730" s="6" t="s">
        <v>69</v>
      </c>
      <c r="N730" s="6" t="s">
        <v>52</v>
      </c>
      <c r="O730" s="6" t="n">
        <f aca="false">IF(TablaVentas[[#This Row],[Precio_unitario]]="","PENDIENTE",TablaVentas[[#This Row],[Unidades]]*TablaVentas[[#This Row],[Precio_unitario]]*(1-TablaVentas[[#This Row],[Descuento_pct]]))</f>
        <v>43295.232</v>
      </c>
      <c r="P730" s="6" t="n">
        <f aca="false">IF(TablaVentas[[#This Row],[Costo_unitario]]="","PENDIENTE",TablaVentas[[#This Row],[Unidades]]*TablaVentas[[#This Row],[Costo_unitario]])</f>
        <v>26385.52</v>
      </c>
      <c r="Q730" s="6" t="n">
        <f aca="false">IF(OR(TablaVentas[[#This Row],[Ingreso_neto]]="PENDIENTE",TablaVentas[[#This Row],[Costo_total]]="PENDIENTE"),"PENDIENTE",TablaVentas[[#This Row],[Ingreso_neto]]-TablaVentas[[#This Row],[Costo_total]])</f>
        <v>16909.712</v>
      </c>
    </row>
    <row r="731" customFormat="false" ht="13.5" hidden="false" customHeight="false" outlineLevel="0" collapsed="false">
      <c r="A731" s="1" t="s">
        <v>650</v>
      </c>
      <c r="B731" s="1" t="n">
        <v>1</v>
      </c>
      <c r="C731" s="5" t="n">
        <v>46151</v>
      </c>
      <c r="D731" s="6" t="s">
        <v>651</v>
      </c>
      <c r="E731" s="6" t="s">
        <v>167</v>
      </c>
      <c r="F731" s="6" t="s">
        <v>73</v>
      </c>
      <c r="G731" s="6" t="s">
        <v>47</v>
      </c>
      <c r="H731" s="6" t="s">
        <v>89</v>
      </c>
      <c r="I731" s="1" t="n">
        <v>2</v>
      </c>
      <c r="J731" s="7" t="n">
        <v>8174.86</v>
      </c>
      <c r="K731" s="8" t="n">
        <v>0.1</v>
      </c>
      <c r="L731" s="7" t="n">
        <v>4082.15</v>
      </c>
      <c r="M731" s="6" t="s">
        <v>49</v>
      </c>
      <c r="N731" s="6" t="s">
        <v>59</v>
      </c>
      <c r="O731" s="6" t="n">
        <f aca="false">IF(TablaVentas[[#This Row],[Precio_unitario]]="","PENDIENTE",TablaVentas[[#This Row],[Unidades]]*TablaVentas[[#This Row],[Precio_unitario]]*(1-TablaVentas[[#This Row],[Descuento_pct]]))</f>
        <v>14714.748</v>
      </c>
      <c r="P731" s="6" t="n">
        <f aca="false">IF(TablaVentas[[#This Row],[Costo_unitario]]="","PENDIENTE",TablaVentas[[#This Row],[Unidades]]*TablaVentas[[#This Row],[Costo_unitario]])</f>
        <v>8164.3</v>
      </c>
      <c r="Q731" s="6" t="n">
        <f aca="false">IF(OR(TablaVentas[[#This Row],[Ingreso_neto]]="PENDIENTE",TablaVentas[[#This Row],[Costo_total]]="PENDIENTE"),"PENDIENTE",TablaVentas[[#This Row],[Ingreso_neto]]-TablaVentas[[#This Row],[Costo_total]])</f>
        <v>6550.448</v>
      </c>
    </row>
    <row r="732" customFormat="false" ht="13.5" hidden="false" customHeight="false" outlineLevel="0" collapsed="false">
      <c r="A732" s="1" t="s">
        <v>650</v>
      </c>
      <c r="B732" s="1" t="n">
        <v>2</v>
      </c>
      <c r="C732" s="5" t="n">
        <v>46151</v>
      </c>
      <c r="D732" s="6" t="s">
        <v>651</v>
      </c>
      <c r="E732" s="6" t="s">
        <v>182</v>
      </c>
      <c r="F732" s="6" t="s">
        <v>73</v>
      </c>
      <c r="G732" s="6" t="s">
        <v>47</v>
      </c>
      <c r="H732" s="6" t="s">
        <v>89</v>
      </c>
      <c r="I732" s="1" t="n">
        <v>1</v>
      </c>
      <c r="J732" s="7" t="n">
        <v>2686.39</v>
      </c>
      <c r="K732" s="8" t="n">
        <v>0</v>
      </c>
      <c r="L732" s="7" t="n">
        <v>1857.39</v>
      </c>
      <c r="M732" s="6" t="s">
        <v>49</v>
      </c>
      <c r="N732" s="6" t="s">
        <v>67</v>
      </c>
      <c r="O732" s="6" t="n">
        <f aca="false">IF(TablaVentas[[#This Row],[Precio_unitario]]="","PENDIENTE",TablaVentas[[#This Row],[Unidades]]*TablaVentas[[#This Row],[Precio_unitario]]*(1-TablaVentas[[#This Row],[Descuento_pct]]))</f>
        <v>2686.39</v>
      </c>
      <c r="P732" s="6" t="n">
        <f aca="false">IF(TablaVentas[[#This Row],[Costo_unitario]]="","PENDIENTE",TablaVentas[[#This Row],[Unidades]]*TablaVentas[[#This Row],[Costo_unitario]])</f>
        <v>1857.39</v>
      </c>
      <c r="Q732" s="6" t="n">
        <f aca="false">IF(OR(TablaVentas[[#This Row],[Ingreso_neto]]="PENDIENTE",TablaVentas[[#This Row],[Costo_total]]="PENDIENTE"),"PENDIENTE",TablaVentas[[#This Row],[Ingreso_neto]]-TablaVentas[[#This Row],[Costo_total]])</f>
        <v>829</v>
      </c>
    </row>
    <row r="733" customFormat="false" ht="13.5" hidden="false" customHeight="false" outlineLevel="0" collapsed="false">
      <c r="A733" s="1" t="s">
        <v>650</v>
      </c>
      <c r="B733" s="1" t="n">
        <v>3</v>
      </c>
      <c r="C733" s="5" t="n">
        <v>46151</v>
      </c>
      <c r="D733" s="6" t="s">
        <v>651</v>
      </c>
      <c r="E733" s="6" t="s">
        <v>132</v>
      </c>
      <c r="F733" s="6" t="s">
        <v>73</v>
      </c>
      <c r="G733" s="6" t="s">
        <v>47</v>
      </c>
      <c r="H733" s="6" t="s">
        <v>89</v>
      </c>
      <c r="I733" s="1" t="n">
        <v>8</v>
      </c>
      <c r="J733" s="7" t="n">
        <v>1741.61</v>
      </c>
      <c r="K733" s="8" t="n">
        <v>0.1</v>
      </c>
      <c r="L733" s="7" t="n">
        <v>1044.32</v>
      </c>
      <c r="M733" s="6" t="s">
        <v>123</v>
      </c>
      <c r="N733" s="6" t="s">
        <v>50</v>
      </c>
      <c r="O733" s="6" t="n">
        <f aca="false">IF(TablaVentas[[#This Row],[Precio_unitario]]="","PENDIENTE",TablaVentas[[#This Row],[Unidades]]*TablaVentas[[#This Row],[Precio_unitario]]*(1-TablaVentas[[#This Row],[Descuento_pct]]))</f>
        <v>12539.592</v>
      </c>
      <c r="P733" s="6" t="n">
        <f aca="false">IF(TablaVentas[[#This Row],[Costo_unitario]]="","PENDIENTE",TablaVentas[[#This Row],[Unidades]]*TablaVentas[[#This Row],[Costo_unitario]])</f>
        <v>8354.56</v>
      </c>
      <c r="Q733" s="6" t="n">
        <f aca="false">IF(OR(TablaVentas[[#This Row],[Ingreso_neto]]="PENDIENTE",TablaVentas[[#This Row],[Costo_total]]="PENDIENTE"),"PENDIENTE",TablaVentas[[#This Row],[Ingreso_neto]]-TablaVentas[[#This Row],[Costo_total]])</f>
        <v>4185.032</v>
      </c>
    </row>
    <row r="734" customFormat="false" ht="13.5" hidden="false" customHeight="false" outlineLevel="0" collapsed="false">
      <c r="A734" s="1" t="s">
        <v>652</v>
      </c>
      <c r="B734" s="1" t="n">
        <v>1</v>
      </c>
      <c r="C734" s="5" t="n">
        <v>46046</v>
      </c>
      <c r="D734" s="6" t="s">
        <v>502</v>
      </c>
      <c r="E734" s="6" t="s">
        <v>190</v>
      </c>
      <c r="F734" s="6" t="s">
        <v>84</v>
      </c>
      <c r="G734" s="6" t="s">
        <v>47</v>
      </c>
      <c r="H734" s="6" t="s">
        <v>109</v>
      </c>
      <c r="I734" s="1" t="n">
        <v>1</v>
      </c>
      <c r="J734" s="7" t="n">
        <v>4988.1</v>
      </c>
      <c r="K734" s="8" t="n">
        <v>0.1</v>
      </c>
      <c r="L734" s="7" t="n">
        <v>4325.73</v>
      </c>
      <c r="M734" s="6" t="s">
        <v>49</v>
      </c>
      <c r="N734" s="6" t="s">
        <v>52</v>
      </c>
      <c r="O734" s="6" t="n">
        <f aca="false">IF(TablaVentas[[#This Row],[Precio_unitario]]="","PENDIENTE",TablaVentas[[#This Row],[Unidades]]*TablaVentas[[#This Row],[Precio_unitario]]*(1-TablaVentas[[#This Row],[Descuento_pct]]))</f>
        <v>4489.29</v>
      </c>
      <c r="P734" s="6" t="n">
        <f aca="false">IF(TablaVentas[[#This Row],[Costo_unitario]]="","PENDIENTE",TablaVentas[[#This Row],[Unidades]]*TablaVentas[[#This Row],[Costo_unitario]])</f>
        <v>4325.73</v>
      </c>
      <c r="Q734" s="6" t="n">
        <f aca="false">IF(OR(TablaVentas[[#This Row],[Ingreso_neto]]="PENDIENTE",TablaVentas[[#This Row],[Costo_total]]="PENDIENTE"),"PENDIENTE",TablaVentas[[#This Row],[Ingreso_neto]]-TablaVentas[[#This Row],[Costo_total]])</f>
        <v>163.560000000001</v>
      </c>
    </row>
    <row r="735" customFormat="false" ht="13.5" hidden="false" customHeight="false" outlineLevel="0" collapsed="false">
      <c r="A735" s="1" t="s">
        <v>652</v>
      </c>
      <c r="B735" s="1" t="n">
        <v>2</v>
      </c>
      <c r="C735" s="5" t="n">
        <v>46046</v>
      </c>
      <c r="D735" s="6" t="s">
        <v>502</v>
      </c>
      <c r="E735" s="6" t="s">
        <v>155</v>
      </c>
      <c r="F735" s="6" t="s">
        <v>84</v>
      </c>
      <c r="G735" s="6" t="s">
        <v>47</v>
      </c>
      <c r="H735" s="6" t="s">
        <v>109</v>
      </c>
      <c r="I735" s="1" t="n">
        <v>2</v>
      </c>
      <c r="J735" s="7" t="n">
        <v>2829.45</v>
      </c>
      <c r="K735" s="8" t="n">
        <v>0</v>
      </c>
      <c r="L735" s="7" t="n">
        <v>2459.34</v>
      </c>
      <c r="M735" s="6" t="s">
        <v>49</v>
      </c>
      <c r="N735" s="6" t="s">
        <v>59</v>
      </c>
      <c r="O735" s="6" t="n">
        <f aca="false">IF(TablaVentas[[#This Row],[Precio_unitario]]="","PENDIENTE",TablaVentas[[#This Row],[Unidades]]*TablaVentas[[#This Row],[Precio_unitario]]*(1-TablaVentas[[#This Row],[Descuento_pct]]))</f>
        <v>5658.9</v>
      </c>
      <c r="P735" s="6" t="n">
        <f aca="false">IF(TablaVentas[[#This Row],[Costo_unitario]]="","PENDIENTE",TablaVentas[[#This Row],[Unidades]]*TablaVentas[[#This Row],[Costo_unitario]])</f>
        <v>4918.68</v>
      </c>
      <c r="Q735" s="6" t="n">
        <f aca="false">IF(OR(TablaVentas[[#This Row],[Ingreso_neto]]="PENDIENTE",TablaVentas[[#This Row],[Costo_total]]="PENDIENTE"),"PENDIENTE",TablaVentas[[#This Row],[Ingreso_neto]]-TablaVentas[[#This Row],[Costo_total]])</f>
        <v>740.219999999999</v>
      </c>
    </row>
    <row r="736" customFormat="false" ht="13.5" hidden="false" customHeight="false" outlineLevel="0" collapsed="false">
      <c r="A736" s="1" t="s">
        <v>652</v>
      </c>
      <c r="B736" s="1" t="n">
        <v>3</v>
      </c>
      <c r="C736" s="5" t="n">
        <v>46046</v>
      </c>
      <c r="D736" s="6" t="s">
        <v>502</v>
      </c>
      <c r="E736" s="6" t="s">
        <v>215</v>
      </c>
      <c r="F736" s="6" t="s">
        <v>84</v>
      </c>
      <c r="G736" s="6" t="s">
        <v>47</v>
      </c>
      <c r="H736" s="6" t="s">
        <v>109</v>
      </c>
      <c r="I736" s="1" t="n">
        <v>2</v>
      </c>
      <c r="J736" s="7" t="n">
        <v>10322.33</v>
      </c>
      <c r="K736" s="8" t="n">
        <v>0</v>
      </c>
      <c r="L736" s="7" t="n">
        <v>5535.31</v>
      </c>
      <c r="M736" s="6" t="s">
        <v>123</v>
      </c>
      <c r="N736" s="6" t="s">
        <v>67</v>
      </c>
      <c r="O736" s="6" t="n">
        <f aca="false">IF(TablaVentas[[#This Row],[Precio_unitario]]="","PENDIENTE",TablaVentas[[#This Row],[Unidades]]*TablaVentas[[#This Row],[Precio_unitario]]*(1-TablaVentas[[#This Row],[Descuento_pct]]))</f>
        <v>20644.66</v>
      </c>
      <c r="P736" s="6" t="n">
        <f aca="false">IF(TablaVentas[[#This Row],[Costo_unitario]]="","PENDIENTE",TablaVentas[[#This Row],[Unidades]]*TablaVentas[[#This Row],[Costo_unitario]])</f>
        <v>11070.62</v>
      </c>
      <c r="Q736" s="6" t="n">
        <f aca="false">IF(OR(TablaVentas[[#This Row],[Ingreso_neto]]="PENDIENTE",TablaVentas[[#This Row],[Costo_total]]="PENDIENTE"),"PENDIENTE",TablaVentas[[#This Row],[Ingreso_neto]]-TablaVentas[[#This Row],[Costo_total]])</f>
        <v>9574.04</v>
      </c>
    </row>
    <row r="737" customFormat="false" ht="13.5" hidden="false" customHeight="false" outlineLevel="0" collapsed="false">
      <c r="A737" s="1" t="s">
        <v>653</v>
      </c>
      <c r="B737" s="1" t="n">
        <v>1</v>
      </c>
      <c r="C737" s="5" t="n">
        <v>46123</v>
      </c>
      <c r="D737" s="6" t="s">
        <v>221</v>
      </c>
      <c r="E737" s="6" t="s">
        <v>417</v>
      </c>
      <c r="F737" s="6" t="s">
        <v>73</v>
      </c>
      <c r="G737" s="6" t="s">
        <v>57</v>
      </c>
      <c r="H737" s="6" t="s">
        <v>89</v>
      </c>
      <c r="I737" s="1" t="n">
        <v>2</v>
      </c>
      <c r="J737" s="7" t="n">
        <v>7916.3</v>
      </c>
      <c r="K737" s="8" t="n">
        <v>0</v>
      </c>
      <c r="L737" s="7" t="n">
        <v>5874.17</v>
      </c>
      <c r="M737" s="6" t="s">
        <v>49</v>
      </c>
      <c r="N737" s="6" t="s">
        <v>52</v>
      </c>
      <c r="O737" s="6" t="n">
        <f aca="false">IF(TablaVentas[[#This Row],[Precio_unitario]]="","PENDIENTE",TablaVentas[[#This Row],[Unidades]]*TablaVentas[[#This Row],[Precio_unitario]]*(1-TablaVentas[[#This Row],[Descuento_pct]]))</f>
        <v>15832.6</v>
      </c>
      <c r="P737" s="6" t="n">
        <f aca="false">IF(TablaVentas[[#This Row],[Costo_unitario]]="","PENDIENTE",TablaVentas[[#This Row],[Unidades]]*TablaVentas[[#This Row],[Costo_unitario]])</f>
        <v>11748.34</v>
      </c>
      <c r="Q737" s="6" t="n">
        <f aca="false">IF(OR(TablaVentas[[#This Row],[Ingreso_neto]]="PENDIENTE",TablaVentas[[#This Row],[Costo_total]]="PENDIENTE"),"PENDIENTE",TablaVentas[[#This Row],[Ingreso_neto]]-TablaVentas[[#This Row],[Costo_total]])</f>
        <v>4084.26</v>
      </c>
    </row>
    <row r="738" customFormat="false" ht="13.5" hidden="false" customHeight="false" outlineLevel="0" collapsed="false">
      <c r="A738" s="1" t="s">
        <v>654</v>
      </c>
      <c r="B738" s="1" t="n">
        <v>1</v>
      </c>
      <c r="C738" s="5" t="n">
        <v>46292</v>
      </c>
      <c r="D738" s="6" t="s">
        <v>655</v>
      </c>
      <c r="E738" s="6" t="s">
        <v>139</v>
      </c>
      <c r="F738" s="6" t="s">
        <v>63</v>
      </c>
      <c r="G738" s="6" t="s">
        <v>47</v>
      </c>
      <c r="H738" s="6" t="s">
        <v>80</v>
      </c>
      <c r="I738" s="1" t="n">
        <v>4</v>
      </c>
      <c r="J738" s="7" t="n">
        <v>17383.75</v>
      </c>
      <c r="K738" s="8" t="n">
        <v>0.1</v>
      </c>
      <c r="L738" s="7" t="n">
        <v>11036.95</v>
      </c>
      <c r="M738" s="6" t="s">
        <v>49</v>
      </c>
      <c r="N738" s="6" t="s">
        <v>52</v>
      </c>
      <c r="O738" s="6" t="n">
        <f aca="false">IF(TablaVentas[[#This Row],[Precio_unitario]]="","PENDIENTE",TablaVentas[[#This Row],[Unidades]]*TablaVentas[[#This Row],[Precio_unitario]]*(1-TablaVentas[[#This Row],[Descuento_pct]]))</f>
        <v>62581.5</v>
      </c>
      <c r="P738" s="6" t="n">
        <f aca="false">IF(TablaVentas[[#This Row],[Costo_unitario]]="","PENDIENTE",TablaVentas[[#This Row],[Unidades]]*TablaVentas[[#This Row],[Costo_unitario]])</f>
        <v>44147.8</v>
      </c>
      <c r="Q738" s="6" t="n">
        <f aca="false">IF(OR(TablaVentas[[#This Row],[Ingreso_neto]]="PENDIENTE",TablaVentas[[#This Row],[Costo_total]]="PENDIENTE"),"PENDIENTE",TablaVentas[[#This Row],[Ingreso_neto]]-TablaVentas[[#This Row],[Costo_total]])</f>
        <v>18433.7</v>
      </c>
    </row>
    <row r="739" customFormat="false" ht="13.5" hidden="false" customHeight="false" outlineLevel="0" collapsed="false">
      <c r="A739" s="1" t="s">
        <v>656</v>
      </c>
      <c r="B739" s="1" t="n">
        <v>1</v>
      </c>
      <c r="C739" s="5" t="n">
        <v>46293</v>
      </c>
      <c r="D739" s="6" t="s">
        <v>302</v>
      </c>
      <c r="E739" s="6" t="s">
        <v>174</v>
      </c>
      <c r="F739" s="6" t="s">
        <v>84</v>
      </c>
      <c r="G739" s="6" t="s">
        <v>57</v>
      </c>
      <c r="H739" s="6" t="s">
        <v>74</v>
      </c>
      <c r="I739" s="1" t="n">
        <v>1</v>
      </c>
      <c r="J739" s="7" t="n">
        <v>15664.49</v>
      </c>
      <c r="K739" s="8" t="n">
        <v>0.05</v>
      </c>
      <c r="L739" s="7" t="n">
        <v>8704.4</v>
      </c>
      <c r="M739" s="6" t="s">
        <v>69</v>
      </c>
      <c r="N739" s="6" t="s">
        <v>59</v>
      </c>
      <c r="O739" s="6" t="n">
        <f aca="false">IF(TablaVentas[[#This Row],[Precio_unitario]]="","PENDIENTE",TablaVentas[[#This Row],[Unidades]]*TablaVentas[[#This Row],[Precio_unitario]]*(1-TablaVentas[[#This Row],[Descuento_pct]]))</f>
        <v>14881.2655</v>
      </c>
      <c r="P739" s="6" t="n">
        <f aca="false">IF(TablaVentas[[#This Row],[Costo_unitario]]="","PENDIENTE",TablaVentas[[#This Row],[Unidades]]*TablaVentas[[#This Row],[Costo_unitario]])</f>
        <v>8704.4</v>
      </c>
      <c r="Q739" s="6" t="n">
        <f aca="false">IF(OR(TablaVentas[[#This Row],[Ingreso_neto]]="PENDIENTE",TablaVentas[[#This Row],[Costo_total]]="PENDIENTE"),"PENDIENTE",TablaVentas[[#This Row],[Ingreso_neto]]-TablaVentas[[#This Row],[Costo_total]])</f>
        <v>6176.8655</v>
      </c>
    </row>
    <row r="740" customFormat="false" ht="13.5" hidden="false" customHeight="false" outlineLevel="0" collapsed="false">
      <c r="A740" s="1" t="s">
        <v>656</v>
      </c>
      <c r="B740" s="1" t="n">
        <v>2</v>
      </c>
      <c r="C740" s="5" t="n">
        <v>46293</v>
      </c>
      <c r="D740" s="6" t="s">
        <v>302</v>
      </c>
      <c r="E740" s="6" t="s">
        <v>145</v>
      </c>
      <c r="F740" s="6" t="s">
        <v>84</v>
      </c>
      <c r="G740" s="6" t="s">
        <v>57</v>
      </c>
      <c r="H740" s="6" t="s">
        <v>74</v>
      </c>
      <c r="I740" s="1" t="n">
        <v>1</v>
      </c>
      <c r="J740" s="7" t="n">
        <v>7173.17</v>
      </c>
      <c r="K740" s="8" t="n">
        <v>0</v>
      </c>
      <c r="L740" s="7" t="n">
        <v>4665.62</v>
      </c>
      <c r="M740" s="6" t="s">
        <v>49</v>
      </c>
      <c r="N740" s="6" t="s">
        <v>50</v>
      </c>
      <c r="O740" s="6" t="n">
        <f aca="false">IF(TablaVentas[[#This Row],[Precio_unitario]]="","PENDIENTE",TablaVentas[[#This Row],[Unidades]]*TablaVentas[[#This Row],[Precio_unitario]]*(1-TablaVentas[[#This Row],[Descuento_pct]]))</f>
        <v>7173.17</v>
      </c>
      <c r="P740" s="6" t="n">
        <f aca="false">IF(TablaVentas[[#This Row],[Costo_unitario]]="","PENDIENTE",TablaVentas[[#This Row],[Unidades]]*TablaVentas[[#This Row],[Costo_unitario]])</f>
        <v>4665.62</v>
      </c>
      <c r="Q740" s="6" t="n">
        <f aca="false">IF(OR(TablaVentas[[#This Row],[Ingreso_neto]]="PENDIENTE",TablaVentas[[#This Row],[Costo_total]]="PENDIENTE"),"PENDIENTE",TablaVentas[[#This Row],[Ingreso_neto]]-TablaVentas[[#This Row],[Costo_total]])</f>
        <v>2507.55</v>
      </c>
    </row>
    <row r="741" customFormat="false" ht="13.5" hidden="false" customHeight="false" outlineLevel="0" collapsed="false">
      <c r="A741" s="1" t="s">
        <v>657</v>
      </c>
      <c r="B741" s="1" t="n">
        <v>1</v>
      </c>
      <c r="C741" s="5" t="n">
        <v>46183</v>
      </c>
      <c r="D741" s="6" t="s">
        <v>445</v>
      </c>
      <c r="E741" s="6" t="s">
        <v>146</v>
      </c>
      <c r="F741" s="6" t="s">
        <v>84</v>
      </c>
      <c r="G741" s="6" t="s">
        <v>64</v>
      </c>
      <c r="H741" s="6" t="s">
        <v>109</v>
      </c>
      <c r="I741" s="1" t="n">
        <v>5</v>
      </c>
      <c r="J741" s="7" t="n">
        <v>10388.23</v>
      </c>
      <c r="K741" s="8" t="n">
        <v>0.05</v>
      </c>
      <c r="L741" s="7" t="n">
        <v>8002.16</v>
      </c>
      <c r="M741" s="6" t="s">
        <v>123</v>
      </c>
      <c r="N741" s="6" t="s">
        <v>59</v>
      </c>
      <c r="O741" s="6" t="n">
        <f aca="false">IF(TablaVentas[[#This Row],[Precio_unitario]]="","PENDIENTE",TablaVentas[[#This Row],[Unidades]]*TablaVentas[[#This Row],[Precio_unitario]]*(1-TablaVentas[[#This Row],[Descuento_pct]]))</f>
        <v>49344.0925</v>
      </c>
      <c r="P741" s="6" t="n">
        <f aca="false">IF(TablaVentas[[#This Row],[Costo_unitario]]="","PENDIENTE",TablaVentas[[#This Row],[Unidades]]*TablaVentas[[#This Row],[Costo_unitario]])</f>
        <v>40010.8</v>
      </c>
      <c r="Q741" s="6" t="n">
        <f aca="false">IF(OR(TablaVentas[[#This Row],[Ingreso_neto]]="PENDIENTE",TablaVentas[[#This Row],[Costo_total]]="PENDIENTE"),"PENDIENTE",TablaVentas[[#This Row],[Ingreso_neto]]-TablaVentas[[#This Row],[Costo_total]])</f>
        <v>9333.29249999999</v>
      </c>
    </row>
    <row r="742" customFormat="false" ht="13.5" hidden="false" customHeight="false" outlineLevel="0" collapsed="false">
      <c r="A742" s="1" t="s">
        <v>657</v>
      </c>
      <c r="B742" s="1" t="n">
        <v>2</v>
      </c>
      <c r="C742" s="5" t="n">
        <v>46183</v>
      </c>
      <c r="D742" s="6" t="s">
        <v>445</v>
      </c>
      <c r="E742" s="6" t="s">
        <v>190</v>
      </c>
      <c r="F742" s="6" t="s">
        <v>84</v>
      </c>
      <c r="G742" s="6" t="s">
        <v>64</v>
      </c>
      <c r="H742" s="6" t="s">
        <v>109</v>
      </c>
      <c r="I742" s="1" t="n">
        <v>3</v>
      </c>
      <c r="J742" s="7" t="n">
        <v>5562.88</v>
      </c>
      <c r="K742" s="8" t="n">
        <v>0</v>
      </c>
      <c r="L742" s="7" t="n">
        <v>4325.73</v>
      </c>
      <c r="M742" s="6" t="s">
        <v>49</v>
      </c>
      <c r="N742" s="6" t="s">
        <v>52</v>
      </c>
      <c r="O742" s="6" t="n">
        <f aca="false">IF(TablaVentas[[#This Row],[Precio_unitario]]="","PENDIENTE",TablaVentas[[#This Row],[Unidades]]*TablaVentas[[#This Row],[Precio_unitario]]*(1-TablaVentas[[#This Row],[Descuento_pct]]))</f>
        <v>16688.64</v>
      </c>
      <c r="P742" s="6" t="n">
        <f aca="false">IF(TablaVentas[[#This Row],[Costo_unitario]]="","PENDIENTE",TablaVentas[[#This Row],[Unidades]]*TablaVentas[[#This Row],[Costo_unitario]])</f>
        <v>12977.19</v>
      </c>
      <c r="Q742" s="6" t="n">
        <f aca="false">IF(OR(TablaVentas[[#This Row],[Ingreso_neto]]="PENDIENTE",TablaVentas[[#This Row],[Costo_total]]="PENDIENTE"),"PENDIENTE",TablaVentas[[#This Row],[Ingreso_neto]]-TablaVentas[[#This Row],[Costo_total]])</f>
        <v>3711.45</v>
      </c>
    </row>
    <row r="743" customFormat="false" ht="13.5" hidden="false" customHeight="false" outlineLevel="0" collapsed="false">
      <c r="A743" s="1" t="s">
        <v>657</v>
      </c>
      <c r="B743" s="1" t="n">
        <v>3</v>
      </c>
      <c r="C743" s="5" t="n">
        <v>46183</v>
      </c>
      <c r="D743" s="6" t="s">
        <v>445</v>
      </c>
      <c r="E743" s="6" t="s">
        <v>300</v>
      </c>
      <c r="F743" s="6" t="s">
        <v>84</v>
      </c>
      <c r="G743" s="6" t="s">
        <v>64</v>
      </c>
      <c r="H743" s="6" t="s">
        <v>109</v>
      </c>
      <c r="I743" s="1" t="n">
        <v>3</v>
      </c>
      <c r="J743" s="7" t="n">
        <v>1094.66</v>
      </c>
      <c r="K743" s="8" t="n">
        <v>0.1</v>
      </c>
      <c r="L743" s="7" t="n">
        <v>936.52</v>
      </c>
      <c r="M743" s="6" t="s">
        <v>49</v>
      </c>
      <c r="N743" s="6" t="s">
        <v>52</v>
      </c>
      <c r="O743" s="6" t="n">
        <f aca="false">IF(TablaVentas[[#This Row],[Precio_unitario]]="","PENDIENTE",TablaVentas[[#This Row],[Unidades]]*TablaVentas[[#This Row],[Precio_unitario]]*(1-TablaVentas[[#This Row],[Descuento_pct]]))</f>
        <v>2955.582</v>
      </c>
      <c r="P743" s="6" t="n">
        <f aca="false">IF(TablaVentas[[#This Row],[Costo_unitario]]="","PENDIENTE",TablaVentas[[#This Row],[Unidades]]*TablaVentas[[#This Row],[Costo_unitario]])</f>
        <v>2809.56</v>
      </c>
      <c r="Q743" s="6" t="n">
        <f aca="false">IF(OR(TablaVentas[[#This Row],[Ingreso_neto]]="PENDIENTE",TablaVentas[[#This Row],[Costo_total]]="PENDIENTE"),"PENDIENTE",TablaVentas[[#This Row],[Ingreso_neto]]-TablaVentas[[#This Row],[Costo_total]])</f>
        <v>146.022</v>
      </c>
    </row>
    <row r="744" customFormat="false" ht="13.5" hidden="false" customHeight="false" outlineLevel="0" collapsed="false">
      <c r="A744" s="1" t="s">
        <v>658</v>
      </c>
      <c r="B744" s="1" t="n">
        <v>1</v>
      </c>
      <c r="C744" s="5" t="n">
        <v>46285</v>
      </c>
      <c r="D744" s="6" t="s">
        <v>229</v>
      </c>
      <c r="E744" s="6" t="s">
        <v>155</v>
      </c>
      <c r="F744" s="6" t="s">
        <v>63</v>
      </c>
      <c r="G744" s="6" t="s">
        <v>57</v>
      </c>
      <c r="H744" s="6" t="s">
        <v>89</v>
      </c>
      <c r="I744" s="1" t="n">
        <v>3</v>
      </c>
      <c r="J744" s="7" t="n">
        <v>3094.35</v>
      </c>
      <c r="K744" s="8" t="n">
        <v>0</v>
      </c>
      <c r="L744" s="7" t="n">
        <v>2459.34</v>
      </c>
      <c r="M744" s="6" t="s">
        <v>49</v>
      </c>
      <c r="N744" s="6" t="s">
        <v>52</v>
      </c>
      <c r="O744" s="6" t="n">
        <f aca="false">IF(TablaVentas[[#This Row],[Precio_unitario]]="","PENDIENTE",TablaVentas[[#This Row],[Unidades]]*TablaVentas[[#This Row],[Precio_unitario]]*(1-TablaVentas[[#This Row],[Descuento_pct]]))</f>
        <v>9283.05</v>
      </c>
      <c r="P744" s="6" t="n">
        <f aca="false">IF(TablaVentas[[#This Row],[Costo_unitario]]="","PENDIENTE",TablaVentas[[#This Row],[Unidades]]*TablaVentas[[#This Row],[Costo_unitario]])</f>
        <v>7378.02</v>
      </c>
      <c r="Q744" s="6" t="n">
        <f aca="false">IF(OR(TablaVentas[[#This Row],[Ingreso_neto]]="PENDIENTE",TablaVentas[[#This Row],[Costo_total]]="PENDIENTE"),"PENDIENTE",TablaVentas[[#This Row],[Ingreso_neto]]-TablaVentas[[#This Row],[Costo_total]])</f>
        <v>1905.03</v>
      </c>
    </row>
    <row r="745" customFormat="false" ht="13.5" hidden="false" customHeight="false" outlineLevel="0" collapsed="false">
      <c r="A745" s="1" t="s">
        <v>658</v>
      </c>
      <c r="B745" s="1" t="n">
        <v>2</v>
      </c>
      <c r="C745" s="5" t="n">
        <v>46285</v>
      </c>
      <c r="D745" s="6" t="s">
        <v>229</v>
      </c>
      <c r="E745" s="6" t="s">
        <v>127</v>
      </c>
      <c r="F745" s="6" t="s">
        <v>63</v>
      </c>
      <c r="G745" s="6" t="s">
        <v>57</v>
      </c>
      <c r="H745" s="6" t="s">
        <v>89</v>
      </c>
      <c r="I745" s="1" t="n">
        <v>1</v>
      </c>
      <c r="J745" s="7" t="n">
        <v>12696.14</v>
      </c>
      <c r="K745" s="8" t="n">
        <v>0</v>
      </c>
      <c r="L745" s="7" t="n">
        <v>7975.26</v>
      </c>
      <c r="M745" s="6" t="s">
        <v>123</v>
      </c>
      <c r="N745" s="6" t="s">
        <v>59</v>
      </c>
      <c r="O745" s="6" t="n">
        <f aca="false">IF(TablaVentas[[#This Row],[Precio_unitario]]="","PENDIENTE",TablaVentas[[#This Row],[Unidades]]*TablaVentas[[#This Row],[Precio_unitario]]*(1-TablaVentas[[#This Row],[Descuento_pct]]))</f>
        <v>12696.14</v>
      </c>
      <c r="P745" s="6" t="n">
        <f aca="false">IF(TablaVentas[[#This Row],[Costo_unitario]]="","PENDIENTE",TablaVentas[[#This Row],[Unidades]]*TablaVentas[[#This Row],[Costo_unitario]])</f>
        <v>7975.26</v>
      </c>
      <c r="Q745" s="6" t="n">
        <f aca="false">IF(OR(TablaVentas[[#This Row],[Ingreso_neto]]="PENDIENTE",TablaVentas[[#This Row],[Costo_total]]="PENDIENTE"),"PENDIENTE",TablaVentas[[#This Row],[Ingreso_neto]]-TablaVentas[[#This Row],[Costo_total]])</f>
        <v>4720.88</v>
      </c>
    </row>
    <row r="746" customFormat="false" ht="13.5" hidden="false" customHeight="false" outlineLevel="0" collapsed="false">
      <c r="A746" s="1" t="s">
        <v>658</v>
      </c>
      <c r="B746" s="1" t="n">
        <v>3</v>
      </c>
      <c r="C746" s="5" t="n">
        <v>46285</v>
      </c>
      <c r="D746" s="6" t="s">
        <v>229</v>
      </c>
      <c r="E746" s="6" t="s">
        <v>139</v>
      </c>
      <c r="F746" s="6" t="s">
        <v>63</v>
      </c>
      <c r="G746" s="6" t="s">
        <v>57</v>
      </c>
      <c r="H746" s="6" t="s">
        <v>89</v>
      </c>
      <c r="I746" s="1" t="n">
        <v>1</v>
      </c>
      <c r="J746" s="7" t="n">
        <v>16618.11</v>
      </c>
      <c r="K746" s="8" t="n">
        <v>0.15</v>
      </c>
      <c r="L746" s="7" t="n">
        <v>11036.95</v>
      </c>
      <c r="M746" s="6" t="s">
        <v>49</v>
      </c>
      <c r="N746" s="6" t="s">
        <v>52</v>
      </c>
      <c r="O746" s="6" t="n">
        <f aca="false">IF(TablaVentas[[#This Row],[Precio_unitario]]="","PENDIENTE",TablaVentas[[#This Row],[Unidades]]*TablaVentas[[#This Row],[Precio_unitario]]*(1-TablaVentas[[#This Row],[Descuento_pct]]))</f>
        <v>14125.3935</v>
      </c>
      <c r="P746" s="6" t="n">
        <f aca="false">IF(TablaVentas[[#This Row],[Costo_unitario]]="","PENDIENTE",TablaVentas[[#This Row],[Unidades]]*TablaVentas[[#This Row],[Costo_unitario]])</f>
        <v>11036.95</v>
      </c>
      <c r="Q746" s="6" t="n">
        <f aca="false">IF(OR(TablaVentas[[#This Row],[Ingreso_neto]]="PENDIENTE",TablaVentas[[#This Row],[Costo_total]]="PENDIENTE"),"PENDIENTE",TablaVentas[[#This Row],[Ingreso_neto]]-TablaVentas[[#This Row],[Costo_total]])</f>
        <v>3088.4435</v>
      </c>
    </row>
    <row r="747" customFormat="false" ht="13.5" hidden="false" customHeight="false" outlineLevel="0" collapsed="false">
      <c r="A747" s="1" t="s">
        <v>658</v>
      </c>
      <c r="B747" s="1" t="n">
        <v>4</v>
      </c>
      <c r="C747" s="5" t="n">
        <v>46285</v>
      </c>
      <c r="D747" s="6" t="s">
        <v>229</v>
      </c>
      <c r="E747" s="6" t="s">
        <v>385</v>
      </c>
      <c r="F747" s="6" t="s">
        <v>63</v>
      </c>
      <c r="G747" s="6" t="s">
        <v>57</v>
      </c>
      <c r="H747" s="6" t="s">
        <v>89</v>
      </c>
      <c r="I747" s="1" t="n">
        <v>2</v>
      </c>
      <c r="J747" s="7" t="n">
        <v>3605.54</v>
      </c>
      <c r="K747" s="8" t="n">
        <v>0.2</v>
      </c>
      <c r="L747" s="7" t="n">
        <v>2864.64</v>
      </c>
      <c r="M747" s="6" t="s">
        <v>49</v>
      </c>
      <c r="N747" s="6" t="s">
        <v>52</v>
      </c>
      <c r="O747" s="6" t="n">
        <f aca="false">IF(TablaVentas[[#This Row],[Precio_unitario]]="","PENDIENTE",TablaVentas[[#This Row],[Unidades]]*TablaVentas[[#This Row],[Precio_unitario]]*(1-TablaVentas[[#This Row],[Descuento_pct]]))</f>
        <v>5768.864</v>
      </c>
      <c r="P747" s="6" t="n">
        <f aca="false">IF(TablaVentas[[#This Row],[Costo_unitario]]="","PENDIENTE",TablaVentas[[#This Row],[Unidades]]*TablaVentas[[#This Row],[Costo_unitario]])</f>
        <v>5729.28</v>
      </c>
      <c r="Q747" s="6" t="n">
        <f aca="false">IF(OR(TablaVentas[[#This Row],[Ingreso_neto]]="PENDIENTE",TablaVentas[[#This Row],[Costo_total]]="PENDIENTE"),"PENDIENTE",TablaVentas[[#This Row],[Ingreso_neto]]-TablaVentas[[#This Row],[Costo_total]])</f>
        <v>39.5840000000007</v>
      </c>
    </row>
    <row r="748" customFormat="false" ht="13.5" hidden="false" customHeight="false" outlineLevel="0" collapsed="false">
      <c r="A748" s="1" t="s">
        <v>658</v>
      </c>
      <c r="B748" s="1" t="n">
        <v>5</v>
      </c>
      <c r="C748" s="5" t="n">
        <v>46285</v>
      </c>
      <c r="D748" s="6" t="s">
        <v>229</v>
      </c>
      <c r="E748" s="6" t="s">
        <v>269</v>
      </c>
      <c r="F748" s="6" t="s">
        <v>63</v>
      </c>
      <c r="G748" s="6" t="s">
        <v>57</v>
      </c>
      <c r="H748" s="6" t="s">
        <v>89</v>
      </c>
      <c r="I748" s="1" t="n">
        <v>5</v>
      </c>
      <c r="J748" s="7" t="n">
        <v>13731.22</v>
      </c>
      <c r="K748" s="8" t="n">
        <v>0.15</v>
      </c>
      <c r="L748" s="7" t="n">
        <v>8227.46</v>
      </c>
      <c r="M748" s="6" t="s">
        <v>49</v>
      </c>
      <c r="N748" s="6" t="s">
        <v>50</v>
      </c>
      <c r="O748" s="6" t="n">
        <f aca="false">IF(TablaVentas[[#This Row],[Precio_unitario]]="","PENDIENTE",TablaVentas[[#This Row],[Unidades]]*TablaVentas[[#This Row],[Precio_unitario]]*(1-TablaVentas[[#This Row],[Descuento_pct]]))</f>
        <v>58357.685</v>
      </c>
      <c r="P748" s="6" t="n">
        <f aca="false">IF(TablaVentas[[#This Row],[Costo_unitario]]="","PENDIENTE",TablaVentas[[#This Row],[Unidades]]*TablaVentas[[#This Row],[Costo_unitario]])</f>
        <v>41137.3</v>
      </c>
      <c r="Q748" s="6" t="n">
        <f aca="false">IF(OR(TablaVentas[[#This Row],[Ingreso_neto]]="PENDIENTE",TablaVentas[[#This Row],[Costo_total]]="PENDIENTE"),"PENDIENTE",TablaVentas[[#This Row],[Ingreso_neto]]-TablaVentas[[#This Row],[Costo_total]])</f>
        <v>17220.385</v>
      </c>
    </row>
    <row r="749" customFormat="false" ht="13.5" hidden="false" customHeight="false" outlineLevel="0" collapsed="false">
      <c r="A749" s="1" t="s">
        <v>659</v>
      </c>
      <c r="B749" s="1" t="n">
        <v>1</v>
      </c>
      <c r="C749" s="5" t="n">
        <v>46168</v>
      </c>
      <c r="D749" s="6" t="s">
        <v>564</v>
      </c>
      <c r="E749" s="6" t="s">
        <v>218</v>
      </c>
      <c r="F749" s="6" t="s">
        <v>84</v>
      </c>
      <c r="G749" s="6" t="s">
        <v>64</v>
      </c>
      <c r="H749" s="6" t="s">
        <v>136</v>
      </c>
      <c r="I749" s="1" t="n">
        <v>3</v>
      </c>
      <c r="J749" s="7" t="n">
        <v>16812.29</v>
      </c>
      <c r="K749" s="8" t="n">
        <v>0</v>
      </c>
      <c r="L749" s="7" t="n">
        <v>13760.53</v>
      </c>
      <c r="M749" s="6" t="s">
        <v>49</v>
      </c>
      <c r="N749" s="6" t="s">
        <v>52</v>
      </c>
      <c r="O749" s="6" t="n">
        <f aca="false">IF(TablaVentas[[#This Row],[Precio_unitario]]="","PENDIENTE",TablaVentas[[#This Row],[Unidades]]*TablaVentas[[#This Row],[Precio_unitario]]*(1-TablaVentas[[#This Row],[Descuento_pct]]))</f>
        <v>50436.87</v>
      </c>
      <c r="P749" s="6" t="n">
        <f aca="false">IF(TablaVentas[[#This Row],[Costo_unitario]]="","PENDIENTE",TablaVentas[[#This Row],[Unidades]]*TablaVentas[[#This Row],[Costo_unitario]])</f>
        <v>41281.59</v>
      </c>
      <c r="Q749" s="6" t="n">
        <f aca="false">IF(OR(TablaVentas[[#This Row],[Ingreso_neto]]="PENDIENTE",TablaVentas[[#This Row],[Costo_total]]="PENDIENTE"),"PENDIENTE",TablaVentas[[#This Row],[Ingreso_neto]]-TablaVentas[[#This Row],[Costo_total]])</f>
        <v>9155.28</v>
      </c>
    </row>
    <row r="750" customFormat="false" ht="13.5" hidden="false" customHeight="false" outlineLevel="0" collapsed="false">
      <c r="A750" s="1" t="s">
        <v>660</v>
      </c>
      <c r="B750" s="1" t="n">
        <v>1</v>
      </c>
      <c r="C750" s="5" t="n">
        <v>46265</v>
      </c>
      <c r="D750" s="6" t="s">
        <v>366</v>
      </c>
      <c r="E750" s="6" t="s">
        <v>385</v>
      </c>
      <c r="F750" s="6" t="s">
        <v>63</v>
      </c>
      <c r="G750" s="6" t="s">
        <v>64</v>
      </c>
      <c r="H750" s="6" t="s">
        <v>136</v>
      </c>
      <c r="I750" s="1" t="n">
        <v>3</v>
      </c>
      <c r="J750" s="7" t="n">
        <v>3294.88</v>
      </c>
      <c r="K750" s="8" t="n">
        <v>0.1</v>
      </c>
      <c r="L750" s="7" t="n">
        <v>2864.64</v>
      </c>
      <c r="M750" s="6" t="s">
        <v>49</v>
      </c>
      <c r="N750" s="6" t="s">
        <v>52</v>
      </c>
      <c r="O750" s="6" t="n">
        <f aca="false">IF(TablaVentas[[#This Row],[Precio_unitario]]="","PENDIENTE",TablaVentas[[#This Row],[Unidades]]*TablaVentas[[#This Row],[Precio_unitario]]*(1-TablaVentas[[#This Row],[Descuento_pct]]))</f>
        <v>8896.176</v>
      </c>
      <c r="P750" s="6" t="n">
        <f aca="false">IF(TablaVentas[[#This Row],[Costo_unitario]]="","PENDIENTE",TablaVentas[[#This Row],[Unidades]]*TablaVentas[[#This Row],[Costo_unitario]])</f>
        <v>8593.92</v>
      </c>
      <c r="Q750" s="6" t="n">
        <f aca="false">IF(OR(TablaVentas[[#This Row],[Ingreso_neto]]="PENDIENTE",TablaVentas[[#This Row],[Costo_total]]="PENDIENTE"),"PENDIENTE",TablaVentas[[#This Row],[Ingreso_neto]]-TablaVentas[[#This Row],[Costo_total]])</f>
        <v>302.255999999999</v>
      </c>
    </row>
    <row r="751" customFormat="false" ht="13.5" hidden="false" customHeight="false" outlineLevel="0" collapsed="false">
      <c r="A751" s="1" t="s">
        <v>660</v>
      </c>
      <c r="B751" s="1" t="n">
        <v>2</v>
      </c>
      <c r="C751" s="5" t="n">
        <v>46265</v>
      </c>
      <c r="D751" s="6" t="s">
        <v>366</v>
      </c>
      <c r="E751" s="6" t="s">
        <v>225</v>
      </c>
      <c r="F751" s="6" t="s">
        <v>63</v>
      </c>
      <c r="G751" s="6" t="s">
        <v>64</v>
      </c>
      <c r="H751" s="6" t="s">
        <v>136</v>
      </c>
      <c r="I751" s="1" t="n">
        <v>1</v>
      </c>
      <c r="J751" s="7" t="n">
        <v>4726.13</v>
      </c>
      <c r="K751" s="8" t="n">
        <v>0</v>
      </c>
      <c r="L751" s="7" t="n">
        <v>2833.97</v>
      </c>
      <c r="M751" s="6" t="s">
        <v>49</v>
      </c>
      <c r="N751" s="6" t="s">
        <v>59</v>
      </c>
      <c r="O751" s="6" t="n">
        <f aca="false">IF(TablaVentas[[#This Row],[Precio_unitario]]="","PENDIENTE",TablaVentas[[#This Row],[Unidades]]*TablaVentas[[#This Row],[Precio_unitario]]*(1-TablaVentas[[#This Row],[Descuento_pct]]))</f>
        <v>4726.13</v>
      </c>
      <c r="P751" s="6" t="n">
        <f aca="false">IF(TablaVentas[[#This Row],[Costo_unitario]]="","PENDIENTE",TablaVentas[[#This Row],[Unidades]]*TablaVentas[[#This Row],[Costo_unitario]])</f>
        <v>2833.97</v>
      </c>
      <c r="Q751" s="6" t="n">
        <f aca="false">IF(OR(TablaVentas[[#This Row],[Ingreso_neto]]="PENDIENTE",TablaVentas[[#This Row],[Costo_total]]="PENDIENTE"),"PENDIENTE",TablaVentas[[#This Row],[Ingreso_neto]]-TablaVentas[[#This Row],[Costo_total]])</f>
        <v>1892.16</v>
      </c>
    </row>
    <row r="752" customFormat="false" ht="13.5" hidden="false" customHeight="false" outlineLevel="0" collapsed="false">
      <c r="A752" s="1" t="s">
        <v>661</v>
      </c>
      <c r="B752" s="1" t="n">
        <v>1</v>
      </c>
      <c r="C752" s="5" t="n">
        <v>46214</v>
      </c>
      <c r="D752" s="6" t="s">
        <v>662</v>
      </c>
      <c r="E752" s="6" t="s">
        <v>91</v>
      </c>
      <c r="F752" s="6" t="s">
        <v>84</v>
      </c>
      <c r="G752" s="6" t="s">
        <v>47</v>
      </c>
      <c r="H752" s="6" t="s">
        <v>65</v>
      </c>
      <c r="I752" s="1" t="n">
        <v>1</v>
      </c>
      <c r="J752" s="7" t="n">
        <v>14579.02</v>
      </c>
      <c r="K752" s="8" t="n">
        <v>0</v>
      </c>
      <c r="L752" s="7" t="n">
        <v>8576.05</v>
      </c>
      <c r="M752" s="6" t="s">
        <v>49</v>
      </c>
      <c r="N752" s="6" t="s">
        <v>52</v>
      </c>
      <c r="O752" s="6" t="n">
        <f aca="false">IF(TablaVentas[[#This Row],[Precio_unitario]]="","PENDIENTE",TablaVentas[[#This Row],[Unidades]]*TablaVentas[[#This Row],[Precio_unitario]]*(1-TablaVentas[[#This Row],[Descuento_pct]]))</f>
        <v>14579.02</v>
      </c>
      <c r="P752" s="6" t="n">
        <f aca="false">IF(TablaVentas[[#This Row],[Costo_unitario]]="","PENDIENTE",TablaVentas[[#This Row],[Unidades]]*TablaVentas[[#This Row],[Costo_unitario]])</f>
        <v>8576.05</v>
      </c>
      <c r="Q752" s="6" t="n">
        <f aca="false">IF(OR(TablaVentas[[#This Row],[Ingreso_neto]]="PENDIENTE",TablaVentas[[#This Row],[Costo_total]]="PENDIENTE"),"PENDIENTE",TablaVentas[[#This Row],[Ingreso_neto]]-TablaVentas[[#This Row],[Costo_total]])</f>
        <v>6002.97</v>
      </c>
    </row>
    <row r="753" customFormat="false" ht="13.5" hidden="false" customHeight="false" outlineLevel="0" collapsed="false">
      <c r="A753" s="1" t="s">
        <v>663</v>
      </c>
      <c r="B753" s="1" t="n">
        <v>1</v>
      </c>
      <c r="C753" s="5" t="n">
        <v>46130</v>
      </c>
      <c r="D753" s="6" t="s">
        <v>79</v>
      </c>
      <c r="E753" s="6" t="s">
        <v>104</v>
      </c>
      <c r="F753" s="6" t="s">
        <v>63</v>
      </c>
      <c r="G753" s="6" t="s">
        <v>47</v>
      </c>
      <c r="H753" s="6" t="s">
        <v>74</v>
      </c>
      <c r="I753" s="1" t="n">
        <v>2</v>
      </c>
      <c r="J753" s="7" t="n">
        <v>16105.64</v>
      </c>
      <c r="K753" s="8" t="n">
        <v>0.05</v>
      </c>
      <c r="L753" s="7" t="n">
        <v>11424.77</v>
      </c>
      <c r="M753" s="6" t="s">
        <v>49</v>
      </c>
      <c r="N753" s="6" t="s">
        <v>59</v>
      </c>
      <c r="O753" s="6" t="n">
        <f aca="false">IF(TablaVentas[[#This Row],[Precio_unitario]]="","PENDIENTE",TablaVentas[[#This Row],[Unidades]]*TablaVentas[[#This Row],[Precio_unitario]]*(1-TablaVentas[[#This Row],[Descuento_pct]]))</f>
        <v>30600.716</v>
      </c>
      <c r="P753" s="6" t="n">
        <f aca="false">IF(TablaVentas[[#This Row],[Costo_unitario]]="","PENDIENTE",TablaVentas[[#This Row],[Unidades]]*TablaVentas[[#This Row],[Costo_unitario]])</f>
        <v>22849.54</v>
      </c>
      <c r="Q753" s="6" t="n">
        <f aca="false">IF(OR(TablaVentas[[#This Row],[Ingreso_neto]]="PENDIENTE",TablaVentas[[#This Row],[Costo_total]]="PENDIENTE"),"PENDIENTE",TablaVentas[[#This Row],[Ingreso_neto]]-TablaVentas[[#This Row],[Costo_total]])</f>
        <v>7751.176</v>
      </c>
    </row>
    <row r="754" customFormat="false" ht="13.5" hidden="false" customHeight="false" outlineLevel="0" collapsed="false">
      <c r="A754" s="1" t="s">
        <v>663</v>
      </c>
      <c r="B754" s="1" t="n">
        <v>2</v>
      </c>
      <c r="C754" s="5" t="n">
        <v>46130</v>
      </c>
      <c r="D754" s="6" t="s">
        <v>79</v>
      </c>
      <c r="E754" s="6" t="s">
        <v>45</v>
      </c>
      <c r="F754" s="6" t="s">
        <v>63</v>
      </c>
      <c r="G754" s="6" t="s">
        <v>47</v>
      </c>
      <c r="H754" s="6" t="s">
        <v>74</v>
      </c>
      <c r="I754" s="1" t="n">
        <v>1</v>
      </c>
      <c r="J754" s="7" t="n">
        <v>6028</v>
      </c>
      <c r="K754" s="8" t="n">
        <v>0</v>
      </c>
      <c r="L754" s="7" t="n">
        <v>3832.69</v>
      </c>
      <c r="M754" s="6" t="s">
        <v>49</v>
      </c>
      <c r="N754" s="6" t="s">
        <v>52</v>
      </c>
      <c r="O754" s="6" t="n">
        <f aca="false">IF(TablaVentas[[#This Row],[Precio_unitario]]="","PENDIENTE",TablaVentas[[#This Row],[Unidades]]*TablaVentas[[#This Row],[Precio_unitario]]*(1-TablaVentas[[#This Row],[Descuento_pct]]))</f>
        <v>6028</v>
      </c>
      <c r="P754" s="6" t="n">
        <f aca="false">IF(TablaVentas[[#This Row],[Costo_unitario]]="","PENDIENTE",TablaVentas[[#This Row],[Unidades]]*TablaVentas[[#This Row],[Costo_unitario]])</f>
        <v>3832.69</v>
      </c>
      <c r="Q754" s="6" t="n">
        <f aca="false">IF(OR(TablaVentas[[#This Row],[Ingreso_neto]]="PENDIENTE",TablaVentas[[#This Row],[Costo_total]]="PENDIENTE"),"PENDIENTE",TablaVentas[[#This Row],[Ingreso_neto]]-TablaVentas[[#This Row],[Costo_total]])</f>
        <v>2195.31</v>
      </c>
    </row>
    <row r="755" customFormat="false" ht="13.5" hidden="false" customHeight="false" outlineLevel="0" collapsed="false">
      <c r="A755" s="1" t="s">
        <v>663</v>
      </c>
      <c r="B755" s="1" t="n">
        <v>3</v>
      </c>
      <c r="C755" s="5" t="n">
        <v>46130</v>
      </c>
      <c r="D755" s="6" t="s">
        <v>79</v>
      </c>
      <c r="E755" s="6" t="s">
        <v>145</v>
      </c>
      <c r="F755" s="6" t="s">
        <v>63</v>
      </c>
      <c r="G755" s="6" t="s">
        <v>47</v>
      </c>
      <c r="H755" s="6" t="s">
        <v>74</v>
      </c>
      <c r="I755" s="1" t="n">
        <v>5</v>
      </c>
      <c r="J755" s="7" t="n">
        <v>6503.41</v>
      </c>
      <c r="K755" s="8" t="n">
        <v>0</v>
      </c>
      <c r="L755" s="7" t="n">
        <v>4665.62</v>
      </c>
      <c r="M755" s="6" t="s">
        <v>49</v>
      </c>
      <c r="N755" s="6" t="s">
        <v>67</v>
      </c>
      <c r="O755" s="6" t="n">
        <f aca="false">IF(TablaVentas[[#This Row],[Precio_unitario]]="","PENDIENTE",TablaVentas[[#This Row],[Unidades]]*TablaVentas[[#This Row],[Precio_unitario]]*(1-TablaVentas[[#This Row],[Descuento_pct]]))</f>
        <v>32517.05</v>
      </c>
      <c r="P755" s="6" t="n">
        <f aca="false">IF(TablaVentas[[#This Row],[Costo_unitario]]="","PENDIENTE",TablaVentas[[#This Row],[Unidades]]*TablaVentas[[#This Row],[Costo_unitario]])</f>
        <v>23328.1</v>
      </c>
      <c r="Q755" s="6" t="n">
        <f aca="false">IF(OR(TablaVentas[[#This Row],[Ingreso_neto]]="PENDIENTE",TablaVentas[[#This Row],[Costo_total]]="PENDIENTE"),"PENDIENTE",TablaVentas[[#This Row],[Ingreso_neto]]-TablaVentas[[#This Row],[Costo_total]])</f>
        <v>9188.95</v>
      </c>
    </row>
    <row r="756" customFormat="false" ht="13.5" hidden="false" customHeight="false" outlineLevel="0" collapsed="false">
      <c r="A756" s="1" t="s">
        <v>664</v>
      </c>
      <c r="B756" s="1" t="n">
        <v>1</v>
      </c>
      <c r="C756" s="5" t="n">
        <v>46023</v>
      </c>
      <c r="D756" s="6" t="s">
        <v>296</v>
      </c>
      <c r="E756" s="6" t="s">
        <v>179</v>
      </c>
      <c r="F756" s="6" t="s">
        <v>46</v>
      </c>
      <c r="G756" s="6" t="s">
        <v>57</v>
      </c>
      <c r="H756" s="6" t="s">
        <v>109</v>
      </c>
      <c r="I756" s="1" t="n">
        <v>2</v>
      </c>
      <c r="J756" s="7" t="n">
        <v>16887.99</v>
      </c>
      <c r="K756" s="8" t="n">
        <v>0.1</v>
      </c>
      <c r="L756" s="7" t="n">
        <v>10830.17</v>
      </c>
      <c r="M756" s="6" t="s">
        <v>49</v>
      </c>
      <c r="N756" s="6" t="s">
        <v>67</v>
      </c>
      <c r="O756" s="6" t="n">
        <f aca="false">IF(TablaVentas[[#This Row],[Precio_unitario]]="","PENDIENTE",TablaVentas[[#This Row],[Unidades]]*TablaVentas[[#This Row],[Precio_unitario]]*(1-TablaVentas[[#This Row],[Descuento_pct]]))</f>
        <v>30398.382</v>
      </c>
      <c r="P756" s="6" t="n">
        <f aca="false">IF(TablaVentas[[#This Row],[Costo_unitario]]="","PENDIENTE",TablaVentas[[#This Row],[Unidades]]*TablaVentas[[#This Row],[Costo_unitario]])</f>
        <v>21660.34</v>
      </c>
      <c r="Q756" s="6" t="n">
        <f aca="false">IF(OR(TablaVentas[[#This Row],[Ingreso_neto]]="PENDIENTE",TablaVentas[[#This Row],[Costo_total]]="PENDIENTE"),"PENDIENTE",TablaVentas[[#This Row],[Ingreso_neto]]-TablaVentas[[#This Row],[Costo_total]])</f>
        <v>8738.04200000001</v>
      </c>
    </row>
    <row r="757" customFormat="false" ht="13.5" hidden="false" customHeight="false" outlineLevel="0" collapsed="false">
      <c r="A757" s="1" t="s">
        <v>664</v>
      </c>
      <c r="B757" s="1" t="n">
        <v>2</v>
      </c>
      <c r="C757" s="5" t="n">
        <v>46023</v>
      </c>
      <c r="D757" s="6" t="s">
        <v>296</v>
      </c>
      <c r="E757" s="6" t="s">
        <v>53</v>
      </c>
      <c r="F757" s="6" t="s">
        <v>46</v>
      </c>
      <c r="G757" s="6" t="s">
        <v>57</v>
      </c>
      <c r="H757" s="6" t="s">
        <v>109</v>
      </c>
      <c r="I757" s="1" t="n">
        <v>2</v>
      </c>
      <c r="J757" s="7" t="n">
        <v>4097.68</v>
      </c>
      <c r="K757" s="8" t="n">
        <v>0</v>
      </c>
      <c r="L757" s="7" t="n">
        <v>2957.6</v>
      </c>
      <c r="M757" s="6" t="s">
        <v>49</v>
      </c>
      <c r="N757" s="6" t="s">
        <v>52</v>
      </c>
      <c r="O757" s="6" t="n">
        <f aca="false">IF(TablaVentas[[#This Row],[Precio_unitario]]="","PENDIENTE",TablaVentas[[#This Row],[Unidades]]*TablaVentas[[#This Row],[Precio_unitario]]*(1-TablaVentas[[#This Row],[Descuento_pct]]))</f>
        <v>8195.36</v>
      </c>
      <c r="P757" s="6" t="n">
        <f aca="false">IF(TablaVentas[[#This Row],[Costo_unitario]]="","PENDIENTE",TablaVentas[[#This Row],[Unidades]]*TablaVentas[[#This Row],[Costo_unitario]])</f>
        <v>5915.2</v>
      </c>
      <c r="Q757" s="6" t="n">
        <f aca="false">IF(OR(TablaVentas[[#This Row],[Ingreso_neto]]="PENDIENTE",TablaVentas[[#This Row],[Costo_total]]="PENDIENTE"),"PENDIENTE",TablaVentas[[#This Row],[Ingreso_neto]]-TablaVentas[[#This Row],[Costo_total]])</f>
        <v>2280.16</v>
      </c>
    </row>
    <row r="758" customFormat="false" ht="13.5" hidden="false" customHeight="false" outlineLevel="0" collapsed="false">
      <c r="A758" s="1" t="s">
        <v>665</v>
      </c>
      <c r="B758" s="1" t="n">
        <v>1</v>
      </c>
      <c r="C758" s="5" t="n">
        <v>46195</v>
      </c>
      <c r="D758" s="6" t="s">
        <v>178</v>
      </c>
      <c r="E758" s="6" t="s">
        <v>113</v>
      </c>
      <c r="F758" s="6" t="s">
        <v>46</v>
      </c>
      <c r="G758" s="6" t="s">
        <v>57</v>
      </c>
      <c r="H758" s="6" t="s">
        <v>74</v>
      </c>
      <c r="I758" s="1" t="n">
        <v>2</v>
      </c>
      <c r="J758" s="7" t="n">
        <v>9328.87</v>
      </c>
      <c r="K758" s="8" t="n">
        <v>0</v>
      </c>
      <c r="L758" s="7" t="n">
        <v>8276.74</v>
      </c>
      <c r="M758" s="6" t="s">
        <v>49</v>
      </c>
      <c r="N758" s="6" t="s">
        <v>67</v>
      </c>
      <c r="O758" s="6" t="n">
        <f aca="false">IF(TablaVentas[[#This Row],[Precio_unitario]]="","PENDIENTE",TablaVentas[[#This Row],[Unidades]]*TablaVentas[[#This Row],[Precio_unitario]]*(1-TablaVentas[[#This Row],[Descuento_pct]]))</f>
        <v>18657.74</v>
      </c>
      <c r="P758" s="6" t="n">
        <f aca="false">IF(TablaVentas[[#This Row],[Costo_unitario]]="","PENDIENTE",TablaVentas[[#This Row],[Unidades]]*TablaVentas[[#This Row],[Costo_unitario]])</f>
        <v>16553.48</v>
      </c>
      <c r="Q758" s="6" t="n">
        <f aca="false">IF(OR(TablaVentas[[#This Row],[Ingreso_neto]]="PENDIENTE",TablaVentas[[#This Row],[Costo_total]]="PENDIENTE"),"PENDIENTE",TablaVentas[[#This Row],[Ingreso_neto]]-TablaVentas[[#This Row],[Costo_total]])</f>
        <v>2104.26</v>
      </c>
    </row>
    <row r="759" customFormat="false" ht="13.5" hidden="false" customHeight="false" outlineLevel="0" collapsed="false">
      <c r="A759" s="1" t="s">
        <v>666</v>
      </c>
      <c r="B759" s="1" t="n">
        <v>1</v>
      </c>
      <c r="C759" s="5" t="n">
        <v>46272</v>
      </c>
      <c r="D759" s="6" t="s">
        <v>134</v>
      </c>
      <c r="E759" s="6" t="s">
        <v>51</v>
      </c>
      <c r="F759" s="6" t="s">
        <v>84</v>
      </c>
      <c r="G759" s="6" t="s">
        <v>47</v>
      </c>
      <c r="H759" s="6" t="s">
        <v>89</v>
      </c>
      <c r="I759" s="1" t="n">
        <v>3</v>
      </c>
      <c r="J759" s="7" t="n">
        <v>14448.45</v>
      </c>
      <c r="K759" s="8" t="n">
        <v>0</v>
      </c>
      <c r="L759" s="7" t="n">
        <v>8980.68</v>
      </c>
      <c r="M759" s="6" t="s">
        <v>49</v>
      </c>
      <c r="N759" s="6" t="s">
        <v>59</v>
      </c>
      <c r="O759" s="6" t="n">
        <f aca="false">IF(TablaVentas[[#This Row],[Precio_unitario]]="","PENDIENTE",TablaVentas[[#This Row],[Unidades]]*TablaVentas[[#This Row],[Precio_unitario]]*(1-TablaVentas[[#This Row],[Descuento_pct]]))</f>
        <v>43345.35</v>
      </c>
      <c r="P759" s="6" t="n">
        <f aca="false">IF(TablaVentas[[#This Row],[Costo_unitario]]="","PENDIENTE",TablaVentas[[#This Row],[Unidades]]*TablaVentas[[#This Row],[Costo_unitario]])</f>
        <v>26942.04</v>
      </c>
      <c r="Q759" s="6" t="n">
        <f aca="false">IF(OR(TablaVentas[[#This Row],[Ingreso_neto]]="PENDIENTE",TablaVentas[[#This Row],[Costo_total]]="PENDIENTE"),"PENDIENTE",TablaVentas[[#This Row],[Ingreso_neto]]-TablaVentas[[#This Row],[Costo_total]])</f>
        <v>16403.31</v>
      </c>
    </row>
    <row r="760" customFormat="false" ht="13.5" hidden="false" customHeight="false" outlineLevel="0" collapsed="false">
      <c r="A760" s="1" t="s">
        <v>666</v>
      </c>
      <c r="B760" s="1" t="n">
        <v>2</v>
      </c>
      <c r="C760" s="5" t="n">
        <v>46272</v>
      </c>
      <c r="D760" s="6" t="s">
        <v>134</v>
      </c>
      <c r="E760" s="6" t="s">
        <v>72</v>
      </c>
      <c r="F760" s="6" t="s">
        <v>84</v>
      </c>
      <c r="G760" s="6" t="s">
        <v>47</v>
      </c>
      <c r="H760" s="6" t="s">
        <v>89</v>
      </c>
      <c r="I760" s="1" t="n">
        <v>1</v>
      </c>
      <c r="J760" s="7" t="n">
        <v>12056.6</v>
      </c>
      <c r="K760" s="8" t="n">
        <v>0.15</v>
      </c>
      <c r="L760" s="7" t="n">
        <v>7328.02</v>
      </c>
      <c r="M760" s="6" t="s">
        <v>49</v>
      </c>
      <c r="N760" s="6" t="s">
        <v>50</v>
      </c>
      <c r="O760" s="6" t="n">
        <f aca="false">IF(TablaVentas[[#This Row],[Precio_unitario]]="","PENDIENTE",TablaVentas[[#This Row],[Unidades]]*TablaVentas[[#This Row],[Precio_unitario]]*(1-TablaVentas[[#This Row],[Descuento_pct]]))</f>
        <v>10248.11</v>
      </c>
      <c r="P760" s="6" t="n">
        <f aca="false">IF(TablaVentas[[#This Row],[Costo_unitario]]="","PENDIENTE",TablaVentas[[#This Row],[Unidades]]*TablaVentas[[#This Row],[Costo_unitario]])</f>
        <v>7328.02</v>
      </c>
      <c r="Q760" s="6" t="n">
        <f aca="false">IF(OR(TablaVentas[[#This Row],[Ingreso_neto]]="PENDIENTE",TablaVentas[[#This Row],[Costo_total]]="PENDIENTE"),"PENDIENTE",TablaVentas[[#This Row],[Ingreso_neto]]-TablaVentas[[#This Row],[Costo_total]])</f>
        <v>2920.09</v>
      </c>
    </row>
    <row r="761" customFormat="false" ht="13.5" hidden="false" customHeight="false" outlineLevel="0" collapsed="false">
      <c r="A761" s="1" t="s">
        <v>666</v>
      </c>
      <c r="B761" s="1" t="n">
        <v>3</v>
      </c>
      <c r="C761" s="5" t="n">
        <v>46272</v>
      </c>
      <c r="D761" s="6" t="s">
        <v>134</v>
      </c>
      <c r="E761" s="6" t="s">
        <v>417</v>
      </c>
      <c r="F761" s="6" t="s">
        <v>84</v>
      </c>
      <c r="G761" s="6" t="s">
        <v>47</v>
      </c>
      <c r="H761" s="6" t="s">
        <v>89</v>
      </c>
      <c r="I761" s="1" t="n">
        <v>4</v>
      </c>
      <c r="J761" s="7" t="n">
        <v>8552.58</v>
      </c>
      <c r="K761" s="8" t="n">
        <v>0.2</v>
      </c>
      <c r="L761" s="7" t="n">
        <v>5874.17</v>
      </c>
      <c r="M761" s="6" t="s">
        <v>49</v>
      </c>
      <c r="N761" s="6" t="s">
        <v>52</v>
      </c>
      <c r="O761" s="6" t="n">
        <f aca="false">IF(TablaVentas[[#This Row],[Precio_unitario]]="","PENDIENTE",TablaVentas[[#This Row],[Unidades]]*TablaVentas[[#This Row],[Precio_unitario]]*(1-TablaVentas[[#This Row],[Descuento_pct]]))</f>
        <v>27368.256</v>
      </c>
      <c r="P761" s="6" t="n">
        <f aca="false">IF(TablaVentas[[#This Row],[Costo_unitario]]="","PENDIENTE",TablaVentas[[#This Row],[Unidades]]*TablaVentas[[#This Row],[Costo_unitario]])</f>
        <v>23496.68</v>
      </c>
      <c r="Q761" s="6" t="n">
        <f aca="false">IF(OR(TablaVentas[[#This Row],[Ingreso_neto]]="PENDIENTE",TablaVentas[[#This Row],[Costo_total]]="PENDIENTE"),"PENDIENTE",TablaVentas[[#This Row],[Ingreso_neto]]-TablaVentas[[#This Row],[Costo_total]])</f>
        <v>3871.576</v>
      </c>
    </row>
    <row r="762" customFormat="false" ht="13.5" hidden="false" customHeight="false" outlineLevel="0" collapsed="false">
      <c r="A762" s="1" t="s">
        <v>667</v>
      </c>
      <c r="B762" s="1" t="n">
        <v>1</v>
      </c>
      <c r="C762" s="5" t="n">
        <v>46048</v>
      </c>
      <c r="D762" s="6" t="s">
        <v>668</v>
      </c>
      <c r="E762" s="6" t="s">
        <v>158</v>
      </c>
      <c r="F762" s="6" t="s">
        <v>46</v>
      </c>
      <c r="G762" s="6" t="s">
        <v>57</v>
      </c>
      <c r="H762" s="6" t="s">
        <v>191</v>
      </c>
      <c r="I762" s="1" t="n">
        <v>3</v>
      </c>
      <c r="J762" s="7" t="n">
        <v>16650.06</v>
      </c>
      <c r="K762" s="8" t="n">
        <v>0</v>
      </c>
      <c r="L762" s="7" t="n">
        <v>8963.23</v>
      </c>
      <c r="M762" s="6" t="s">
        <v>49</v>
      </c>
      <c r="N762" s="6" t="s">
        <v>67</v>
      </c>
      <c r="O762" s="6" t="n">
        <f aca="false">IF(TablaVentas[[#This Row],[Precio_unitario]]="","PENDIENTE",TablaVentas[[#This Row],[Unidades]]*TablaVentas[[#This Row],[Precio_unitario]]*(1-TablaVentas[[#This Row],[Descuento_pct]]))</f>
        <v>49950.18</v>
      </c>
      <c r="P762" s="6" t="n">
        <f aca="false">IF(TablaVentas[[#This Row],[Costo_unitario]]="","PENDIENTE",TablaVentas[[#This Row],[Unidades]]*TablaVentas[[#This Row],[Costo_unitario]])</f>
        <v>26889.69</v>
      </c>
      <c r="Q762" s="6" t="n">
        <f aca="false">IF(OR(TablaVentas[[#This Row],[Ingreso_neto]]="PENDIENTE",TablaVentas[[#This Row],[Costo_total]]="PENDIENTE"),"PENDIENTE",TablaVentas[[#This Row],[Ingreso_neto]]-TablaVentas[[#This Row],[Costo_total]])</f>
        <v>23060.49</v>
      </c>
    </row>
    <row r="763" customFormat="false" ht="13.5" hidden="false" customHeight="false" outlineLevel="0" collapsed="false">
      <c r="A763" s="1" t="s">
        <v>669</v>
      </c>
      <c r="B763" s="1" t="n">
        <v>1</v>
      </c>
      <c r="C763" s="5" t="n">
        <v>46056</v>
      </c>
      <c r="D763" s="6" t="s">
        <v>670</v>
      </c>
      <c r="E763" s="6" t="s">
        <v>117</v>
      </c>
      <c r="F763" s="6" t="s">
        <v>63</v>
      </c>
      <c r="G763" s="6" t="s">
        <v>64</v>
      </c>
      <c r="H763" s="6" t="s">
        <v>48</v>
      </c>
      <c r="I763" s="1" t="n">
        <v>1</v>
      </c>
      <c r="J763" s="7" t="n">
        <v>5888.22</v>
      </c>
      <c r="K763" s="8" t="n">
        <v>0</v>
      </c>
      <c r="L763" s="7" t="n">
        <v>4205.69</v>
      </c>
      <c r="M763" s="6" t="s">
        <v>49</v>
      </c>
      <c r="N763" s="6" t="s">
        <v>67</v>
      </c>
      <c r="O763" s="6" t="n">
        <f aca="false">IF(TablaVentas[[#This Row],[Precio_unitario]]="","PENDIENTE",TablaVentas[[#This Row],[Unidades]]*TablaVentas[[#This Row],[Precio_unitario]]*(1-TablaVentas[[#This Row],[Descuento_pct]]))</f>
        <v>5888.22</v>
      </c>
      <c r="P763" s="6" t="n">
        <f aca="false">IF(TablaVentas[[#This Row],[Costo_unitario]]="","PENDIENTE",TablaVentas[[#This Row],[Unidades]]*TablaVentas[[#This Row],[Costo_unitario]])</f>
        <v>4205.69</v>
      </c>
      <c r="Q763" s="6" t="n">
        <f aca="false">IF(OR(TablaVentas[[#This Row],[Ingreso_neto]]="PENDIENTE",TablaVentas[[#This Row],[Costo_total]]="PENDIENTE"),"PENDIENTE",TablaVentas[[#This Row],[Ingreso_neto]]-TablaVentas[[#This Row],[Costo_total]])</f>
        <v>1682.53</v>
      </c>
    </row>
    <row r="764" customFormat="false" ht="13.5" hidden="false" customHeight="false" outlineLevel="0" collapsed="false">
      <c r="A764" s="1" t="s">
        <v>669</v>
      </c>
      <c r="B764" s="1" t="n">
        <v>2</v>
      </c>
      <c r="C764" s="5" t="n">
        <v>46056</v>
      </c>
      <c r="D764" s="6" t="s">
        <v>670</v>
      </c>
      <c r="E764" s="6" t="s">
        <v>122</v>
      </c>
      <c r="F764" s="6" t="s">
        <v>63</v>
      </c>
      <c r="G764" s="6" t="s">
        <v>64</v>
      </c>
      <c r="H764" s="6" t="s">
        <v>48</v>
      </c>
      <c r="I764" s="1" t="n">
        <v>1</v>
      </c>
      <c r="J764" s="7" t="n">
        <v>1339.6</v>
      </c>
      <c r="K764" s="8" t="n">
        <v>0</v>
      </c>
      <c r="L764" s="7" t="n">
        <v>705.87</v>
      </c>
      <c r="M764" s="6" t="s">
        <v>49</v>
      </c>
      <c r="N764" s="6" t="s">
        <v>50</v>
      </c>
      <c r="O764" s="6" t="n">
        <f aca="false">IF(TablaVentas[[#This Row],[Precio_unitario]]="","PENDIENTE",TablaVentas[[#This Row],[Unidades]]*TablaVentas[[#This Row],[Precio_unitario]]*(1-TablaVentas[[#This Row],[Descuento_pct]]))</f>
        <v>1339.6</v>
      </c>
      <c r="P764" s="6" t="n">
        <f aca="false">IF(TablaVentas[[#This Row],[Costo_unitario]]="","PENDIENTE",TablaVentas[[#This Row],[Unidades]]*TablaVentas[[#This Row],[Costo_unitario]])</f>
        <v>705.87</v>
      </c>
      <c r="Q764" s="6" t="n">
        <f aca="false">IF(OR(TablaVentas[[#This Row],[Ingreso_neto]]="PENDIENTE",TablaVentas[[#This Row],[Costo_total]]="PENDIENTE"),"PENDIENTE",TablaVentas[[#This Row],[Ingreso_neto]]-TablaVentas[[#This Row],[Costo_total]])</f>
        <v>633.73</v>
      </c>
    </row>
    <row r="765" customFormat="false" ht="13.5" hidden="false" customHeight="false" outlineLevel="0" collapsed="false">
      <c r="A765" s="1" t="s">
        <v>669</v>
      </c>
      <c r="B765" s="1" t="n">
        <v>3</v>
      </c>
      <c r="C765" s="5" t="n">
        <v>46056</v>
      </c>
      <c r="D765" s="6" t="s">
        <v>670</v>
      </c>
      <c r="E765" s="6" t="s">
        <v>75</v>
      </c>
      <c r="F765" s="6" t="s">
        <v>63</v>
      </c>
      <c r="G765" s="6" t="s">
        <v>64</v>
      </c>
      <c r="H765" s="6" t="s">
        <v>48</v>
      </c>
      <c r="I765" s="1" t="n">
        <v>1</v>
      </c>
      <c r="J765" s="7" t="n">
        <v>15151.1</v>
      </c>
      <c r="K765" s="8" t="n">
        <v>0</v>
      </c>
      <c r="L765" s="7" t="n">
        <v>9243.35</v>
      </c>
      <c r="M765" s="6" t="s">
        <v>49</v>
      </c>
      <c r="N765" s="6" t="s">
        <v>50</v>
      </c>
      <c r="O765" s="6" t="n">
        <f aca="false">IF(TablaVentas[[#This Row],[Precio_unitario]]="","PENDIENTE",TablaVentas[[#This Row],[Unidades]]*TablaVentas[[#This Row],[Precio_unitario]]*(1-TablaVentas[[#This Row],[Descuento_pct]]))</f>
        <v>15151.1</v>
      </c>
      <c r="P765" s="6" t="n">
        <f aca="false">IF(TablaVentas[[#This Row],[Costo_unitario]]="","PENDIENTE",TablaVentas[[#This Row],[Unidades]]*TablaVentas[[#This Row],[Costo_unitario]])</f>
        <v>9243.35</v>
      </c>
      <c r="Q765" s="6" t="n">
        <f aca="false">IF(OR(TablaVentas[[#This Row],[Ingreso_neto]]="PENDIENTE",TablaVentas[[#This Row],[Costo_total]]="PENDIENTE"),"PENDIENTE",TablaVentas[[#This Row],[Ingreso_neto]]-TablaVentas[[#This Row],[Costo_total]])</f>
        <v>5907.75</v>
      </c>
    </row>
    <row r="766" customFormat="false" ht="13.5" hidden="false" customHeight="false" outlineLevel="0" collapsed="false">
      <c r="A766" s="1" t="s">
        <v>671</v>
      </c>
      <c r="B766" s="1" t="n">
        <v>1</v>
      </c>
      <c r="C766" s="5" t="n">
        <v>46188</v>
      </c>
      <c r="D766" s="6" t="s">
        <v>672</v>
      </c>
      <c r="E766" s="6" t="s">
        <v>142</v>
      </c>
      <c r="F766" s="6" t="s">
        <v>46</v>
      </c>
      <c r="G766" s="6" t="s">
        <v>47</v>
      </c>
      <c r="H766" s="6" t="s">
        <v>191</v>
      </c>
      <c r="I766" s="1" t="n">
        <v>1</v>
      </c>
      <c r="J766" s="7" t="n">
        <v>1945.83</v>
      </c>
      <c r="K766" s="8" t="n">
        <v>0</v>
      </c>
      <c r="L766" s="7" t="n">
        <v>1529.93</v>
      </c>
      <c r="M766" s="6" t="s">
        <v>49</v>
      </c>
      <c r="N766" s="6" t="s">
        <v>52</v>
      </c>
      <c r="O766" s="6" t="n">
        <f aca="false">IF(TablaVentas[[#This Row],[Precio_unitario]]="","PENDIENTE",TablaVentas[[#This Row],[Unidades]]*TablaVentas[[#This Row],[Precio_unitario]]*(1-TablaVentas[[#This Row],[Descuento_pct]]))</f>
        <v>1945.83</v>
      </c>
      <c r="P766" s="6" t="n">
        <f aca="false">IF(TablaVentas[[#This Row],[Costo_unitario]]="","PENDIENTE",TablaVentas[[#This Row],[Unidades]]*TablaVentas[[#This Row],[Costo_unitario]])</f>
        <v>1529.93</v>
      </c>
      <c r="Q766" s="6" t="n">
        <f aca="false">IF(OR(TablaVentas[[#This Row],[Ingreso_neto]]="PENDIENTE",TablaVentas[[#This Row],[Costo_total]]="PENDIENTE"),"PENDIENTE",TablaVentas[[#This Row],[Ingreso_neto]]-TablaVentas[[#This Row],[Costo_total]])</f>
        <v>415.9</v>
      </c>
    </row>
    <row r="767" customFormat="false" ht="13.5" hidden="false" customHeight="false" outlineLevel="0" collapsed="false">
      <c r="A767" s="1" t="s">
        <v>671</v>
      </c>
      <c r="B767" s="1" t="n">
        <v>2</v>
      </c>
      <c r="C767" s="5" t="n">
        <v>46188</v>
      </c>
      <c r="D767" s="6" t="s">
        <v>672</v>
      </c>
      <c r="E767" s="6" t="s">
        <v>225</v>
      </c>
      <c r="F767" s="6" t="s">
        <v>46</v>
      </c>
      <c r="G767" s="6" t="s">
        <v>47</v>
      </c>
      <c r="H767" s="6" t="s">
        <v>191</v>
      </c>
      <c r="I767" s="1" t="n">
        <v>1</v>
      </c>
      <c r="J767" s="7" t="n">
        <v>4779.31</v>
      </c>
      <c r="K767" s="8" t="n">
        <v>0</v>
      </c>
      <c r="L767" s="7" t="n">
        <v>2833.97</v>
      </c>
      <c r="M767" s="6" t="s">
        <v>69</v>
      </c>
      <c r="N767" s="6" t="s">
        <v>50</v>
      </c>
      <c r="O767" s="6" t="n">
        <f aca="false">IF(TablaVentas[[#This Row],[Precio_unitario]]="","PENDIENTE",TablaVentas[[#This Row],[Unidades]]*TablaVentas[[#This Row],[Precio_unitario]]*(1-TablaVentas[[#This Row],[Descuento_pct]]))</f>
        <v>4779.31</v>
      </c>
      <c r="P767" s="6" t="n">
        <f aca="false">IF(TablaVentas[[#This Row],[Costo_unitario]]="","PENDIENTE",TablaVentas[[#This Row],[Unidades]]*TablaVentas[[#This Row],[Costo_unitario]])</f>
        <v>2833.97</v>
      </c>
      <c r="Q767" s="6" t="n">
        <f aca="false">IF(OR(TablaVentas[[#This Row],[Ingreso_neto]]="PENDIENTE",TablaVentas[[#This Row],[Costo_total]]="PENDIENTE"),"PENDIENTE",TablaVentas[[#This Row],[Ingreso_neto]]-TablaVentas[[#This Row],[Costo_total]])</f>
        <v>1945.34</v>
      </c>
    </row>
    <row r="768" customFormat="false" ht="13.5" hidden="false" customHeight="false" outlineLevel="0" collapsed="false">
      <c r="A768" s="1" t="s">
        <v>671</v>
      </c>
      <c r="B768" s="1" t="n">
        <v>3</v>
      </c>
      <c r="C768" s="5" t="n">
        <v>46188</v>
      </c>
      <c r="D768" s="6" t="s">
        <v>672</v>
      </c>
      <c r="E768" s="6" t="s">
        <v>66</v>
      </c>
      <c r="F768" s="6" t="s">
        <v>46</v>
      </c>
      <c r="G768" s="6" t="s">
        <v>47</v>
      </c>
      <c r="H768" s="6" t="s">
        <v>191</v>
      </c>
      <c r="I768" s="1" t="n">
        <v>2</v>
      </c>
      <c r="J768" s="7" t="n">
        <v>14898.55</v>
      </c>
      <c r="K768" s="8" t="n">
        <v>0.1</v>
      </c>
      <c r="L768" s="7" t="n">
        <v>10170.29</v>
      </c>
      <c r="M768" s="6" t="s">
        <v>49</v>
      </c>
      <c r="N768" s="6" t="s">
        <v>67</v>
      </c>
      <c r="O768" s="6" t="n">
        <f aca="false">IF(TablaVentas[[#This Row],[Precio_unitario]]="","PENDIENTE",TablaVentas[[#This Row],[Unidades]]*TablaVentas[[#This Row],[Precio_unitario]]*(1-TablaVentas[[#This Row],[Descuento_pct]]))</f>
        <v>26817.39</v>
      </c>
      <c r="P768" s="6" t="n">
        <f aca="false">IF(TablaVentas[[#This Row],[Costo_unitario]]="","PENDIENTE",TablaVentas[[#This Row],[Unidades]]*TablaVentas[[#This Row],[Costo_unitario]])</f>
        <v>20340.58</v>
      </c>
      <c r="Q768" s="6" t="n">
        <f aca="false">IF(OR(TablaVentas[[#This Row],[Ingreso_neto]]="PENDIENTE",TablaVentas[[#This Row],[Costo_total]]="PENDIENTE"),"PENDIENTE",TablaVentas[[#This Row],[Ingreso_neto]]-TablaVentas[[#This Row],[Costo_total]])</f>
        <v>6476.81</v>
      </c>
    </row>
    <row r="769" customFormat="false" ht="13.5" hidden="false" customHeight="false" outlineLevel="0" collapsed="false">
      <c r="A769" s="1" t="s">
        <v>671</v>
      </c>
      <c r="B769" s="1" t="n">
        <v>4</v>
      </c>
      <c r="C769" s="5" t="n">
        <v>46188</v>
      </c>
      <c r="D769" s="6" t="s">
        <v>672</v>
      </c>
      <c r="E769" s="6" t="s">
        <v>213</v>
      </c>
      <c r="F769" s="6" t="s">
        <v>46</v>
      </c>
      <c r="G769" s="6" t="s">
        <v>47</v>
      </c>
      <c r="H769" s="6" t="s">
        <v>191</v>
      </c>
      <c r="I769" s="1" t="n">
        <v>8</v>
      </c>
      <c r="J769" s="7" t="n">
        <v>5318.86</v>
      </c>
      <c r="K769" s="8" t="n">
        <v>0</v>
      </c>
      <c r="L769" s="7" t="n">
        <v>4008.77</v>
      </c>
      <c r="M769" s="6" t="s">
        <v>49</v>
      </c>
      <c r="N769" s="6" t="s">
        <v>52</v>
      </c>
      <c r="O769" s="6" t="n">
        <f aca="false">IF(TablaVentas[[#This Row],[Precio_unitario]]="","PENDIENTE",TablaVentas[[#This Row],[Unidades]]*TablaVentas[[#This Row],[Precio_unitario]]*(1-TablaVentas[[#This Row],[Descuento_pct]]))</f>
        <v>42550.88</v>
      </c>
      <c r="P769" s="6" t="n">
        <f aca="false">IF(TablaVentas[[#This Row],[Costo_unitario]]="","PENDIENTE",TablaVentas[[#This Row],[Unidades]]*TablaVentas[[#This Row],[Costo_unitario]])</f>
        <v>32070.16</v>
      </c>
      <c r="Q769" s="6" t="n">
        <f aca="false">IF(OR(TablaVentas[[#This Row],[Ingreso_neto]]="PENDIENTE",TablaVentas[[#This Row],[Costo_total]]="PENDIENTE"),"PENDIENTE",TablaVentas[[#This Row],[Ingreso_neto]]-TablaVentas[[#This Row],[Costo_total]])</f>
        <v>10480.72</v>
      </c>
    </row>
    <row r="770" customFormat="false" ht="13.5" hidden="false" customHeight="false" outlineLevel="0" collapsed="false">
      <c r="A770" s="1" t="s">
        <v>673</v>
      </c>
      <c r="B770" s="1" t="n">
        <v>1</v>
      </c>
      <c r="C770" s="5" t="n">
        <v>46288</v>
      </c>
      <c r="D770" s="6" t="s">
        <v>674</v>
      </c>
      <c r="E770" s="6" t="s">
        <v>260</v>
      </c>
      <c r="F770" s="6" t="s">
        <v>84</v>
      </c>
      <c r="G770" s="6" t="s">
        <v>47</v>
      </c>
      <c r="H770" s="6" t="s">
        <v>89</v>
      </c>
      <c r="I770" s="1" t="n">
        <v>1</v>
      </c>
      <c r="J770" s="7" t="n">
        <v>2972.54</v>
      </c>
      <c r="K770" s="8" t="n">
        <v>0.15</v>
      </c>
      <c r="L770" s="7" t="n">
        <v>2486.18</v>
      </c>
      <c r="M770" s="6" t="s">
        <v>49</v>
      </c>
      <c r="N770" s="6" t="s">
        <v>50</v>
      </c>
      <c r="O770" s="6" t="n">
        <f aca="false">IF(TablaVentas[[#This Row],[Precio_unitario]]="","PENDIENTE",TablaVentas[[#This Row],[Unidades]]*TablaVentas[[#This Row],[Precio_unitario]]*(1-TablaVentas[[#This Row],[Descuento_pct]]))</f>
        <v>2526.659</v>
      </c>
      <c r="P770" s="6" t="n">
        <f aca="false">IF(TablaVentas[[#This Row],[Costo_unitario]]="","PENDIENTE",TablaVentas[[#This Row],[Unidades]]*TablaVentas[[#This Row],[Costo_unitario]])</f>
        <v>2486.18</v>
      </c>
      <c r="Q770" s="6" t="n">
        <f aca="false">IF(OR(TablaVentas[[#This Row],[Ingreso_neto]]="PENDIENTE",TablaVentas[[#This Row],[Costo_total]]="PENDIENTE"),"PENDIENTE",TablaVentas[[#This Row],[Ingreso_neto]]-TablaVentas[[#This Row],[Costo_total]])</f>
        <v>40.4790000000003</v>
      </c>
    </row>
    <row r="771" customFormat="false" ht="13.5" hidden="false" customHeight="false" outlineLevel="0" collapsed="false">
      <c r="A771" s="1" t="s">
        <v>673</v>
      </c>
      <c r="B771" s="1" t="n">
        <v>2</v>
      </c>
      <c r="C771" s="5" t="n">
        <v>46288</v>
      </c>
      <c r="D771" s="6" t="s">
        <v>674</v>
      </c>
      <c r="E771" s="6" t="s">
        <v>243</v>
      </c>
      <c r="F771" s="6" t="s">
        <v>84</v>
      </c>
      <c r="G771" s="6" t="s">
        <v>47</v>
      </c>
      <c r="H771" s="6" t="s">
        <v>89</v>
      </c>
      <c r="I771" s="1" t="n">
        <v>4</v>
      </c>
      <c r="J771" s="7" t="n">
        <v>10380.42</v>
      </c>
      <c r="K771" s="8" t="n">
        <v>0.05</v>
      </c>
      <c r="L771" s="7" t="n">
        <v>8061.7</v>
      </c>
      <c r="M771" s="6" t="s">
        <v>49</v>
      </c>
      <c r="N771" s="6" t="s">
        <v>52</v>
      </c>
      <c r="O771" s="6" t="n">
        <f aca="false">IF(TablaVentas[[#This Row],[Precio_unitario]]="","PENDIENTE",TablaVentas[[#This Row],[Unidades]]*TablaVentas[[#This Row],[Precio_unitario]]*(1-TablaVentas[[#This Row],[Descuento_pct]]))</f>
        <v>39445.596</v>
      </c>
      <c r="P771" s="6" t="n">
        <f aca="false">IF(TablaVentas[[#This Row],[Costo_unitario]]="","PENDIENTE",TablaVentas[[#This Row],[Unidades]]*TablaVentas[[#This Row],[Costo_unitario]])</f>
        <v>32246.8</v>
      </c>
      <c r="Q771" s="6" t="n">
        <f aca="false">IF(OR(TablaVentas[[#This Row],[Ingreso_neto]]="PENDIENTE",TablaVentas[[#This Row],[Costo_total]]="PENDIENTE"),"PENDIENTE",TablaVentas[[#This Row],[Ingreso_neto]]-TablaVentas[[#This Row],[Costo_total]])</f>
        <v>7198.796</v>
      </c>
    </row>
    <row r="772" customFormat="false" ht="13.5" hidden="false" customHeight="false" outlineLevel="0" collapsed="false">
      <c r="A772" s="1" t="s">
        <v>673</v>
      </c>
      <c r="B772" s="1" t="n">
        <v>3</v>
      </c>
      <c r="C772" s="5" t="n">
        <v>46288</v>
      </c>
      <c r="D772" s="6" t="s">
        <v>674</v>
      </c>
      <c r="E772" s="6" t="s">
        <v>93</v>
      </c>
      <c r="F772" s="6" t="s">
        <v>84</v>
      </c>
      <c r="G772" s="6" t="s">
        <v>47</v>
      </c>
      <c r="H772" s="6" t="s">
        <v>89</v>
      </c>
      <c r="I772" s="1" t="n">
        <v>1</v>
      </c>
      <c r="J772" s="7" t="n">
        <v>14446.53</v>
      </c>
      <c r="K772" s="8" t="n">
        <v>0.1</v>
      </c>
      <c r="L772" s="7" t="n">
        <v>11166.03</v>
      </c>
      <c r="M772" s="6" t="s">
        <v>49</v>
      </c>
      <c r="N772" s="6" t="s">
        <v>59</v>
      </c>
      <c r="O772" s="6" t="n">
        <f aca="false">IF(TablaVentas[[#This Row],[Precio_unitario]]="","PENDIENTE",TablaVentas[[#This Row],[Unidades]]*TablaVentas[[#This Row],[Precio_unitario]]*(1-TablaVentas[[#This Row],[Descuento_pct]]))</f>
        <v>13001.877</v>
      </c>
      <c r="P772" s="6" t="n">
        <f aca="false">IF(TablaVentas[[#This Row],[Costo_unitario]]="","PENDIENTE",TablaVentas[[#This Row],[Unidades]]*TablaVentas[[#This Row],[Costo_unitario]])</f>
        <v>11166.03</v>
      </c>
      <c r="Q772" s="6" t="n">
        <f aca="false">IF(OR(TablaVentas[[#This Row],[Ingreso_neto]]="PENDIENTE",TablaVentas[[#This Row],[Costo_total]]="PENDIENTE"),"PENDIENTE",TablaVentas[[#This Row],[Ingreso_neto]]-TablaVentas[[#This Row],[Costo_total]])</f>
        <v>1835.847</v>
      </c>
    </row>
    <row r="773" customFormat="false" ht="13.5" hidden="false" customHeight="false" outlineLevel="0" collapsed="false">
      <c r="A773" s="1" t="s">
        <v>675</v>
      </c>
      <c r="B773" s="1" t="n">
        <v>1</v>
      </c>
      <c r="C773" s="5" t="n">
        <v>46160</v>
      </c>
      <c r="D773" s="6" t="s">
        <v>676</v>
      </c>
      <c r="E773" s="6" t="s">
        <v>132</v>
      </c>
      <c r="F773" s="6" t="s">
        <v>73</v>
      </c>
      <c r="G773" s="6" t="s">
        <v>64</v>
      </c>
      <c r="H773" s="6" t="s">
        <v>89</v>
      </c>
      <c r="I773" s="1" t="n">
        <v>1</v>
      </c>
      <c r="J773" s="7" t="n">
        <v>1842.79</v>
      </c>
      <c r="K773" s="8" t="n">
        <v>0</v>
      </c>
      <c r="L773" s="7" t="n">
        <v>1044.32</v>
      </c>
      <c r="M773" s="6" t="s">
        <v>49</v>
      </c>
      <c r="N773" s="6" t="s">
        <v>50</v>
      </c>
      <c r="O773" s="6" t="n">
        <f aca="false">IF(TablaVentas[[#This Row],[Precio_unitario]]="","PENDIENTE",TablaVentas[[#This Row],[Unidades]]*TablaVentas[[#This Row],[Precio_unitario]]*(1-TablaVentas[[#This Row],[Descuento_pct]]))</f>
        <v>1842.79</v>
      </c>
      <c r="P773" s="6" t="n">
        <f aca="false">IF(TablaVentas[[#This Row],[Costo_unitario]]="","PENDIENTE",TablaVentas[[#This Row],[Unidades]]*TablaVentas[[#This Row],[Costo_unitario]])</f>
        <v>1044.32</v>
      </c>
      <c r="Q773" s="6" t="n">
        <f aca="false">IF(OR(TablaVentas[[#This Row],[Ingreso_neto]]="PENDIENTE",TablaVentas[[#This Row],[Costo_total]]="PENDIENTE"),"PENDIENTE",TablaVentas[[#This Row],[Ingreso_neto]]-TablaVentas[[#This Row],[Costo_total]])</f>
        <v>798.47</v>
      </c>
    </row>
    <row r="774" customFormat="false" ht="13.5" hidden="false" customHeight="false" outlineLevel="0" collapsed="false">
      <c r="A774" s="1" t="s">
        <v>677</v>
      </c>
      <c r="B774" s="1" t="n">
        <v>1</v>
      </c>
      <c r="C774" s="5" t="n">
        <v>46098</v>
      </c>
      <c r="D774" s="6" t="s">
        <v>502</v>
      </c>
      <c r="E774" s="6" t="s">
        <v>342</v>
      </c>
      <c r="F774" s="6" t="s">
        <v>63</v>
      </c>
      <c r="G774" s="6" t="s">
        <v>47</v>
      </c>
      <c r="H774" s="6" t="s">
        <v>191</v>
      </c>
      <c r="I774" s="1" t="n">
        <v>2</v>
      </c>
      <c r="J774" s="7" t="n">
        <v>7097.18</v>
      </c>
      <c r="K774" s="8" t="n">
        <v>0.1</v>
      </c>
      <c r="L774" s="7" t="n">
        <v>5587.31</v>
      </c>
      <c r="M774" s="6" t="s">
        <v>49</v>
      </c>
      <c r="N774" s="6" t="s">
        <v>52</v>
      </c>
      <c r="O774" s="6" t="n">
        <f aca="false">IF(TablaVentas[[#This Row],[Precio_unitario]]="","PENDIENTE",TablaVentas[[#This Row],[Unidades]]*TablaVentas[[#This Row],[Precio_unitario]]*(1-TablaVentas[[#This Row],[Descuento_pct]]))</f>
        <v>12774.924</v>
      </c>
      <c r="P774" s="6" t="n">
        <f aca="false">IF(TablaVentas[[#This Row],[Costo_unitario]]="","PENDIENTE",TablaVentas[[#This Row],[Unidades]]*TablaVentas[[#This Row],[Costo_unitario]])</f>
        <v>11174.62</v>
      </c>
      <c r="Q774" s="6" t="n">
        <f aca="false">IF(OR(TablaVentas[[#This Row],[Ingreso_neto]]="PENDIENTE",TablaVentas[[#This Row],[Costo_total]]="PENDIENTE"),"PENDIENTE",TablaVentas[[#This Row],[Ingreso_neto]]-TablaVentas[[#This Row],[Costo_total]])</f>
        <v>1600.304</v>
      </c>
    </row>
    <row r="775" customFormat="false" ht="13.5" hidden="false" customHeight="false" outlineLevel="0" collapsed="false">
      <c r="A775" s="1" t="s">
        <v>677</v>
      </c>
      <c r="B775" s="1" t="n">
        <v>2</v>
      </c>
      <c r="C775" s="5" t="n">
        <v>46098</v>
      </c>
      <c r="D775" s="6" t="s">
        <v>502</v>
      </c>
      <c r="E775" s="6" t="s">
        <v>289</v>
      </c>
      <c r="F775" s="6" t="s">
        <v>63</v>
      </c>
      <c r="G775" s="6" t="s">
        <v>47</v>
      </c>
      <c r="H775" s="6" t="s">
        <v>191</v>
      </c>
      <c r="I775" s="1" t="n">
        <v>2</v>
      </c>
      <c r="J775" s="7" t="n">
        <v>4143.42</v>
      </c>
      <c r="K775" s="8" t="n">
        <v>0.1</v>
      </c>
      <c r="L775" s="7" t="n">
        <v>3399.5</v>
      </c>
      <c r="M775" s="6" t="s">
        <v>49</v>
      </c>
      <c r="N775" s="6" t="s">
        <v>52</v>
      </c>
      <c r="O775" s="6" t="n">
        <f aca="false">IF(TablaVentas[[#This Row],[Precio_unitario]]="","PENDIENTE",TablaVentas[[#This Row],[Unidades]]*TablaVentas[[#This Row],[Precio_unitario]]*(1-TablaVentas[[#This Row],[Descuento_pct]]))</f>
        <v>7458.156</v>
      </c>
      <c r="P775" s="6" t="n">
        <f aca="false">IF(TablaVentas[[#This Row],[Costo_unitario]]="","PENDIENTE",TablaVentas[[#This Row],[Unidades]]*TablaVentas[[#This Row],[Costo_unitario]])</f>
        <v>6799</v>
      </c>
      <c r="Q775" s="6" t="n">
        <f aca="false">IF(OR(TablaVentas[[#This Row],[Ingreso_neto]]="PENDIENTE",TablaVentas[[#This Row],[Costo_total]]="PENDIENTE"),"PENDIENTE",TablaVentas[[#This Row],[Ingreso_neto]]-TablaVentas[[#This Row],[Costo_total]])</f>
        <v>659.156</v>
      </c>
    </row>
    <row r="776" customFormat="false" ht="13.5" hidden="false" customHeight="false" outlineLevel="0" collapsed="false">
      <c r="A776" s="1" t="s">
        <v>678</v>
      </c>
      <c r="B776" s="1" t="n">
        <v>1</v>
      </c>
      <c r="C776" s="5" t="n">
        <v>46101</v>
      </c>
      <c r="D776" s="6" t="s">
        <v>679</v>
      </c>
      <c r="E776" s="6" t="s">
        <v>126</v>
      </c>
      <c r="F776" s="6" t="s">
        <v>84</v>
      </c>
      <c r="G776" s="6" t="s">
        <v>47</v>
      </c>
      <c r="H776" s="6" t="s">
        <v>65</v>
      </c>
      <c r="I776" s="1" t="n">
        <v>2</v>
      </c>
      <c r="J776" s="7" t="n">
        <v>8903.17</v>
      </c>
      <c r="K776" s="8" t="n">
        <v>0.15</v>
      </c>
      <c r="L776" s="7" t="n">
        <v>6981.94</v>
      </c>
      <c r="M776" s="6" t="s">
        <v>49</v>
      </c>
      <c r="N776" s="6" t="s">
        <v>67</v>
      </c>
      <c r="O776" s="6" t="n">
        <f aca="false">IF(TablaVentas[[#This Row],[Precio_unitario]]="","PENDIENTE",TablaVentas[[#This Row],[Unidades]]*TablaVentas[[#This Row],[Precio_unitario]]*(1-TablaVentas[[#This Row],[Descuento_pct]]))</f>
        <v>15135.389</v>
      </c>
      <c r="P776" s="6" t="n">
        <f aca="false">IF(TablaVentas[[#This Row],[Costo_unitario]]="","PENDIENTE",TablaVentas[[#This Row],[Unidades]]*TablaVentas[[#This Row],[Costo_unitario]])</f>
        <v>13963.88</v>
      </c>
      <c r="Q776" s="6" t="n">
        <f aca="false">IF(OR(TablaVentas[[#This Row],[Ingreso_neto]]="PENDIENTE",TablaVentas[[#This Row],[Costo_total]]="PENDIENTE"),"PENDIENTE",TablaVentas[[#This Row],[Ingreso_neto]]-TablaVentas[[#This Row],[Costo_total]])</f>
        <v>1171.509</v>
      </c>
    </row>
    <row r="777" customFormat="false" ht="13.5" hidden="false" customHeight="false" outlineLevel="0" collapsed="false">
      <c r="A777" s="1" t="s">
        <v>678</v>
      </c>
      <c r="B777" s="1" t="n">
        <v>2</v>
      </c>
      <c r="C777" s="5" t="n">
        <v>46101</v>
      </c>
      <c r="D777" s="6" t="s">
        <v>679</v>
      </c>
      <c r="E777" s="6" t="s">
        <v>121</v>
      </c>
      <c r="F777" s="6" t="s">
        <v>84</v>
      </c>
      <c r="G777" s="6" t="s">
        <v>47</v>
      </c>
      <c r="H777" s="6" t="s">
        <v>65</v>
      </c>
      <c r="I777" s="1" t="n">
        <v>1</v>
      </c>
      <c r="J777" s="7" t="n">
        <v>15621.65</v>
      </c>
      <c r="K777" s="8" t="n">
        <v>0.2</v>
      </c>
      <c r="L777" s="7" t="n">
        <v>8239.48</v>
      </c>
      <c r="M777" s="6" t="s">
        <v>49</v>
      </c>
      <c r="N777" s="6" t="s">
        <v>52</v>
      </c>
      <c r="O777" s="6" t="n">
        <f aca="false">IF(TablaVentas[[#This Row],[Precio_unitario]]="","PENDIENTE",TablaVentas[[#This Row],[Unidades]]*TablaVentas[[#This Row],[Precio_unitario]]*(1-TablaVentas[[#This Row],[Descuento_pct]]))</f>
        <v>12497.32</v>
      </c>
      <c r="P777" s="6" t="n">
        <f aca="false">IF(TablaVentas[[#This Row],[Costo_unitario]]="","PENDIENTE",TablaVentas[[#This Row],[Unidades]]*TablaVentas[[#This Row],[Costo_unitario]])</f>
        <v>8239.48</v>
      </c>
      <c r="Q777" s="6" t="n">
        <f aca="false">IF(OR(TablaVentas[[#This Row],[Ingreso_neto]]="PENDIENTE",TablaVentas[[#This Row],[Costo_total]]="PENDIENTE"),"PENDIENTE",TablaVentas[[#This Row],[Ingreso_neto]]-TablaVentas[[#This Row],[Costo_total]])</f>
        <v>4257.84</v>
      </c>
    </row>
    <row r="778" customFormat="false" ht="13.5" hidden="false" customHeight="false" outlineLevel="0" collapsed="false">
      <c r="A778" s="1" t="s">
        <v>678</v>
      </c>
      <c r="B778" s="1" t="n">
        <v>3</v>
      </c>
      <c r="C778" s="5" t="n">
        <v>46101</v>
      </c>
      <c r="D778" s="6" t="s">
        <v>679</v>
      </c>
      <c r="E778" s="6" t="s">
        <v>410</v>
      </c>
      <c r="F778" s="6" t="s">
        <v>84</v>
      </c>
      <c r="G778" s="6" t="s">
        <v>47</v>
      </c>
      <c r="H778" s="6" t="s">
        <v>65</v>
      </c>
      <c r="I778" s="1" t="n">
        <v>3</v>
      </c>
      <c r="J778" s="7" t="n">
        <v>2889.13</v>
      </c>
      <c r="K778" s="8" t="n">
        <v>0.1</v>
      </c>
      <c r="L778" s="7" t="n">
        <v>1801.83</v>
      </c>
      <c r="M778" s="6" t="s">
        <v>49</v>
      </c>
      <c r="N778" s="6" t="s">
        <v>67</v>
      </c>
      <c r="O778" s="6" t="n">
        <f aca="false">IF(TablaVentas[[#This Row],[Precio_unitario]]="","PENDIENTE",TablaVentas[[#This Row],[Unidades]]*TablaVentas[[#This Row],[Precio_unitario]]*(1-TablaVentas[[#This Row],[Descuento_pct]]))</f>
        <v>7800.651</v>
      </c>
      <c r="P778" s="6" t="n">
        <f aca="false">IF(TablaVentas[[#This Row],[Costo_unitario]]="","PENDIENTE",TablaVentas[[#This Row],[Unidades]]*TablaVentas[[#This Row],[Costo_unitario]])</f>
        <v>5405.49</v>
      </c>
      <c r="Q778" s="6" t="n">
        <f aca="false">IF(OR(TablaVentas[[#This Row],[Ingreso_neto]]="PENDIENTE",TablaVentas[[#This Row],[Costo_total]]="PENDIENTE"),"PENDIENTE",TablaVentas[[#This Row],[Ingreso_neto]]-TablaVentas[[#This Row],[Costo_total]])</f>
        <v>2395.161</v>
      </c>
    </row>
    <row r="779" customFormat="false" ht="13.5" hidden="false" customHeight="false" outlineLevel="0" collapsed="false">
      <c r="A779" s="1" t="s">
        <v>680</v>
      </c>
      <c r="B779" s="1" t="n">
        <v>1</v>
      </c>
      <c r="C779" s="5" t="n">
        <v>46285</v>
      </c>
      <c r="D779" s="6" t="s">
        <v>307</v>
      </c>
      <c r="E779" s="6" t="s">
        <v>68</v>
      </c>
      <c r="F779" s="6" t="s">
        <v>73</v>
      </c>
      <c r="G779" s="6" t="s">
        <v>57</v>
      </c>
      <c r="H779" s="6" t="s">
        <v>65</v>
      </c>
      <c r="I779" s="1" t="n">
        <v>2</v>
      </c>
      <c r="J779" s="7" t="n">
        <v>4574.67</v>
      </c>
      <c r="K779" s="8" t="n">
        <v>0.05</v>
      </c>
      <c r="L779" s="7" t="n">
        <v>2554.06</v>
      </c>
      <c r="M779" s="6" t="s">
        <v>49</v>
      </c>
      <c r="N779" s="6" t="s">
        <v>67</v>
      </c>
      <c r="O779" s="6" t="n">
        <f aca="false">IF(TablaVentas[[#This Row],[Precio_unitario]]="","PENDIENTE",TablaVentas[[#This Row],[Unidades]]*TablaVentas[[#This Row],[Precio_unitario]]*(1-TablaVentas[[#This Row],[Descuento_pct]]))</f>
        <v>8691.873</v>
      </c>
      <c r="P779" s="6" t="n">
        <f aca="false">IF(TablaVentas[[#This Row],[Costo_unitario]]="","PENDIENTE",TablaVentas[[#This Row],[Unidades]]*TablaVentas[[#This Row],[Costo_unitario]])</f>
        <v>5108.12</v>
      </c>
      <c r="Q779" s="6" t="n">
        <f aca="false">IF(OR(TablaVentas[[#This Row],[Ingreso_neto]]="PENDIENTE",TablaVentas[[#This Row],[Costo_total]]="PENDIENTE"),"PENDIENTE",TablaVentas[[#This Row],[Ingreso_neto]]-TablaVentas[[#This Row],[Costo_total]])</f>
        <v>3583.753</v>
      </c>
    </row>
    <row r="780" customFormat="false" ht="13.5" hidden="false" customHeight="false" outlineLevel="0" collapsed="false">
      <c r="A780" s="1" t="s">
        <v>680</v>
      </c>
      <c r="B780" s="1" t="n">
        <v>2</v>
      </c>
      <c r="C780" s="5" t="n">
        <v>46285</v>
      </c>
      <c r="D780" s="6" t="s">
        <v>307</v>
      </c>
      <c r="E780" s="6" t="s">
        <v>166</v>
      </c>
      <c r="F780" s="6" t="s">
        <v>73</v>
      </c>
      <c r="G780" s="6" t="s">
        <v>57</v>
      </c>
      <c r="H780" s="6" t="s">
        <v>65</v>
      </c>
      <c r="I780" s="1" t="n">
        <v>12</v>
      </c>
      <c r="J780" s="7" t="n">
        <v>11613.67</v>
      </c>
      <c r="K780" s="8" t="n">
        <v>0.1</v>
      </c>
      <c r="L780" s="7" t="n">
        <v>9317.37</v>
      </c>
      <c r="M780" s="6" t="s">
        <v>49</v>
      </c>
      <c r="N780" s="6" t="s">
        <v>52</v>
      </c>
      <c r="O780" s="6" t="n">
        <f aca="false">IF(TablaVentas[[#This Row],[Precio_unitario]]="","PENDIENTE",TablaVentas[[#This Row],[Unidades]]*TablaVentas[[#This Row],[Precio_unitario]]*(1-TablaVentas[[#This Row],[Descuento_pct]]))</f>
        <v>125427.636</v>
      </c>
      <c r="P780" s="6" t="n">
        <f aca="false">IF(TablaVentas[[#This Row],[Costo_unitario]]="","PENDIENTE",TablaVentas[[#This Row],[Unidades]]*TablaVentas[[#This Row],[Costo_unitario]])</f>
        <v>111808.44</v>
      </c>
      <c r="Q780" s="6" t="n">
        <f aca="false">IF(OR(TablaVentas[[#This Row],[Ingreso_neto]]="PENDIENTE",TablaVentas[[#This Row],[Costo_total]]="PENDIENTE"),"PENDIENTE",TablaVentas[[#This Row],[Ingreso_neto]]-TablaVentas[[#This Row],[Costo_total]])</f>
        <v>13619.196</v>
      </c>
    </row>
    <row r="781" customFormat="false" ht="13.5" hidden="false" customHeight="false" outlineLevel="0" collapsed="false">
      <c r="A781" s="1" t="s">
        <v>680</v>
      </c>
      <c r="B781" s="1" t="n">
        <v>3</v>
      </c>
      <c r="C781" s="5" t="n">
        <v>46285</v>
      </c>
      <c r="D781" s="6" t="s">
        <v>307</v>
      </c>
      <c r="E781" s="6" t="s">
        <v>101</v>
      </c>
      <c r="F781" s="6" t="s">
        <v>73</v>
      </c>
      <c r="G781" s="6" t="s">
        <v>57</v>
      </c>
      <c r="H781" s="6" t="s">
        <v>65</v>
      </c>
      <c r="I781" s="1" t="n">
        <v>2</v>
      </c>
      <c r="J781" s="7" t="n">
        <v>7239.12</v>
      </c>
      <c r="K781" s="8" t="n">
        <v>0</v>
      </c>
      <c r="L781" s="7" t="n">
        <v>4538.06</v>
      </c>
      <c r="M781" s="6" t="s">
        <v>49</v>
      </c>
      <c r="N781" s="6" t="s">
        <v>67</v>
      </c>
      <c r="O781" s="6" t="n">
        <f aca="false">IF(TablaVentas[[#This Row],[Precio_unitario]]="","PENDIENTE",TablaVentas[[#This Row],[Unidades]]*TablaVentas[[#This Row],[Precio_unitario]]*(1-TablaVentas[[#This Row],[Descuento_pct]]))</f>
        <v>14478.24</v>
      </c>
      <c r="P781" s="6" t="n">
        <f aca="false">IF(TablaVentas[[#This Row],[Costo_unitario]]="","PENDIENTE",TablaVentas[[#This Row],[Unidades]]*TablaVentas[[#This Row],[Costo_unitario]])</f>
        <v>9076.12</v>
      </c>
      <c r="Q781" s="6" t="n">
        <f aca="false">IF(OR(TablaVentas[[#This Row],[Ingreso_neto]]="PENDIENTE",TablaVentas[[#This Row],[Costo_total]]="PENDIENTE"),"PENDIENTE",TablaVentas[[#This Row],[Ingreso_neto]]-TablaVentas[[#This Row],[Costo_total]])</f>
        <v>5402.12</v>
      </c>
    </row>
    <row r="782" customFormat="false" ht="13.5" hidden="false" customHeight="false" outlineLevel="0" collapsed="false">
      <c r="A782" s="1" t="s">
        <v>680</v>
      </c>
      <c r="B782" s="1" t="n">
        <v>4</v>
      </c>
      <c r="C782" s="5" t="n">
        <v>46285</v>
      </c>
      <c r="D782" s="6" t="s">
        <v>307</v>
      </c>
      <c r="E782" s="6" t="s">
        <v>230</v>
      </c>
      <c r="F782" s="6" t="s">
        <v>73</v>
      </c>
      <c r="G782" s="6" t="s">
        <v>57</v>
      </c>
      <c r="H782" s="6" t="s">
        <v>65</v>
      </c>
      <c r="I782" s="1" t="n">
        <v>1</v>
      </c>
      <c r="J782" s="7" t="n">
        <v>6839.06</v>
      </c>
      <c r="K782" s="8" t="n">
        <v>0</v>
      </c>
      <c r="L782" s="7" t="n">
        <v>3298.19</v>
      </c>
      <c r="M782" s="6" t="s">
        <v>49</v>
      </c>
      <c r="N782" s="6" t="s">
        <v>50</v>
      </c>
      <c r="O782" s="6" t="n">
        <f aca="false">IF(TablaVentas[[#This Row],[Precio_unitario]]="","PENDIENTE",TablaVentas[[#This Row],[Unidades]]*TablaVentas[[#This Row],[Precio_unitario]]*(1-TablaVentas[[#This Row],[Descuento_pct]]))</f>
        <v>6839.06</v>
      </c>
      <c r="P782" s="6" t="n">
        <f aca="false">IF(TablaVentas[[#This Row],[Costo_unitario]]="","PENDIENTE",TablaVentas[[#This Row],[Unidades]]*TablaVentas[[#This Row],[Costo_unitario]])</f>
        <v>3298.19</v>
      </c>
      <c r="Q782" s="6" t="n">
        <f aca="false">IF(OR(TablaVentas[[#This Row],[Ingreso_neto]]="PENDIENTE",TablaVentas[[#This Row],[Costo_total]]="PENDIENTE"),"PENDIENTE",TablaVentas[[#This Row],[Ingreso_neto]]-TablaVentas[[#This Row],[Costo_total]])</f>
        <v>3540.87</v>
      </c>
    </row>
    <row r="783" customFormat="false" ht="13.5" hidden="false" customHeight="false" outlineLevel="0" collapsed="false">
      <c r="A783" s="1" t="s">
        <v>681</v>
      </c>
      <c r="B783" s="1" t="n">
        <v>1</v>
      </c>
      <c r="C783" s="5" t="n">
        <v>46248</v>
      </c>
      <c r="D783" s="6" t="s">
        <v>496</v>
      </c>
      <c r="E783" s="6" t="s">
        <v>243</v>
      </c>
      <c r="F783" s="6" t="s">
        <v>46</v>
      </c>
      <c r="G783" s="6" t="s">
        <v>47</v>
      </c>
      <c r="H783" s="6" t="s">
        <v>58</v>
      </c>
      <c r="I783" s="1" t="n">
        <v>2</v>
      </c>
      <c r="J783" s="7" t="n">
        <v>10058.05</v>
      </c>
      <c r="K783" s="8" t="n">
        <v>0</v>
      </c>
      <c r="L783" s="7" t="n">
        <v>8061.7</v>
      </c>
      <c r="M783" s="6" t="s">
        <v>49</v>
      </c>
      <c r="N783" s="6" t="s">
        <v>52</v>
      </c>
      <c r="O783" s="6" t="n">
        <f aca="false">IF(TablaVentas[[#This Row],[Precio_unitario]]="","PENDIENTE",TablaVentas[[#This Row],[Unidades]]*TablaVentas[[#This Row],[Precio_unitario]]*(1-TablaVentas[[#This Row],[Descuento_pct]]))</f>
        <v>20116.1</v>
      </c>
      <c r="P783" s="6" t="n">
        <f aca="false">IF(TablaVentas[[#This Row],[Costo_unitario]]="","PENDIENTE",TablaVentas[[#This Row],[Unidades]]*TablaVentas[[#This Row],[Costo_unitario]])</f>
        <v>16123.4</v>
      </c>
      <c r="Q783" s="6" t="n">
        <f aca="false">IF(OR(TablaVentas[[#This Row],[Ingreso_neto]]="PENDIENTE",TablaVentas[[#This Row],[Costo_total]]="PENDIENTE"),"PENDIENTE",TablaVentas[[#This Row],[Ingreso_neto]]-TablaVentas[[#This Row],[Costo_total]])</f>
        <v>3992.7</v>
      </c>
    </row>
    <row r="784" customFormat="false" ht="13.5" hidden="false" customHeight="false" outlineLevel="0" collapsed="false">
      <c r="A784" s="1" t="s">
        <v>682</v>
      </c>
      <c r="B784" s="1" t="n">
        <v>1</v>
      </c>
      <c r="C784" s="5" t="n">
        <v>46273</v>
      </c>
      <c r="D784" s="6" t="s">
        <v>683</v>
      </c>
      <c r="E784" s="6" t="s">
        <v>265</v>
      </c>
      <c r="F784" s="6" t="s">
        <v>73</v>
      </c>
      <c r="G784" s="6" t="s">
        <v>47</v>
      </c>
      <c r="H784" s="6" t="s">
        <v>191</v>
      </c>
      <c r="I784" s="1" t="n">
        <v>2</v>
      </c>
      <c r="J784" s="7" t="n">
        <v>3814.25</v>
      </c>
      <c r="K784" s="8" t="n">
        <v>0</v>
      </c>
      <c r="L784" s="7" t="n">
        <v>2008.57</v>
      </c>
      <c r="M784" s="6" t="s">
        <v>49</v>
      </c>
      <c r="N784" s="6" t="s">
        <v>52</v>
      </c>
      <c r="O784" s="6" t="n">
        <f aca="false">IF(TablaVentas[[#This Row],[Precio_unitario]]="","PENDIENTE",TablaVentas[[#This Row],[Unidades]]*TablaVentas[[#This Row],[Precio_unitario]]*(1-TablaVentas[[#This Row],[Descuento_pct]]))</f>
        <v>7628.5</v>
      </c>
      <c r="P784" s="6" t="n">
        <f aca="false">IF(TablaVentas[[#This Row],[Costo_unitario]]="","PENDIENTE",TablaVentas[[#This Row],[Unidades]]*TablaVentas[[#This Row],[Costo_unitario]])</f>
        <v>4017.14</v>
      </c>
      <c r="Q784" s="6" t="n">
        <f aca="false">IF(OR(TablaVentas[[#This Row],[Ingreso_neto]]="PENDIENTE",TablaVentas[[#This Row],[Costo_total]]="PENDIENTE"),"PENDIENTE",TablaVentas[[#This Row],[Ingreso_neto]]-TablaVentas[[#This Row],[Costo_total]])</f>
        <v>3611.36</v>
      </c>
    </row>
    <row r="785" customFormat="false" ht="13.5" hidden="false" customHeight="false" outlineLevel="0" collapsed="false">
      <c r="A785" s="1" t="s">
        <v>682</v>
      </c>
      <c r="B785" s="1" t="n">
        <v>2</v>
      </c>
      <c r="C785" s="5" t="n">
        <v>46273</v>
      </c>
      <c r="D785" s="6" t="s">
        <v>683</v>
      </c>
      <c r="E785" s="6" t="s">
        <v>53</v>
      </c>
      <c r="F785" s="6" t="s">
        <v>73</v>
      </c>
      <c r="G785" s="6" t="s">
        <v>47</v>
      </c>
      <c r="H785" s="6" t="s">
        <v>191</v>
      </c>
      <c r="I785" s="1" t="n">
        <v>8</v>
      </c>
      <c r="J785" s="7" t="n">
        <v>4205.02</v>
      </c>
      <c r="K785" s="8" t="n">
        <v>0</v>
      </c>
      <c r="L785" s="7" t="n">
        <v>2957.6</v>
      </c>
      <c r="M785" s="6" t="s">
        <v>49</v>
      </c>
      <c r="N785" s="6" t="s">
        <v>52</v>
      </c>
      <c r="O785" s="6" t="n">
        <f aca="false">IF(TablaVentas[[#This Row],[Precio_unitario]]="","PENDIENTE",TablaVentas[[#This Row],[Unidades]]*TablaVentas[[#This Row],[Precio_unitario]]*(1-TablaVentas[[#This Row],[Descuento_pct]]))</f>
        <v>33640.16</v>
      </c>
      <c r="P785" s="6" t="n">
        <f aca="false">IF(TablaVentas[[#This Row],[Costo_unitario]]="","PENDIENTE",TablaVentas[[#This Row],[Unidades]]*TablaVentas[[#This Row],[Costo_unitario]])</f>
        <v>23660.8</v>
      </c>
      <c r="Q785" s="6" t="n">
        <f aca="false">IF(OR(TablaVentas[[#This Row],[Ingreso_neto]]="PENDIENTE",TablaVentas[[#This Row],[Costo_total]]="PENDIENTE"),"PENDIENTE",TablaVentas[[#This Row],[Ingreso_neto]]-TablaVentas[[#This Row],[Costo_total]])</f>
        <v>9979.36</v>
      </c>
    </row>
    <row r="786" customFormat="false" ht="13.5" hidden="false" customHeight="false" outlineLevel="0" collapsed="false">
      <c r="A786" s="1" t="s">
        <v>684</v>
      </c>
      <c r="B786" s="1" t="n">
        <v>1</v>
      </c>
      <c r="C786" s="5" t="n">
        <v>46231</v>
      </c>
      <c r="D786" s="6" t="s">
        <v>469</v>
      </c>
      <c r="E786" s="6" t="s">
        <v>83</v>
      </c>
      <c r="F786" s="6" t="s">
        <v>84</v>
      </c>
      <c r="G786" s="6" t="s">
        <v>64</v>
      </c>
      <c r="H786" s="6" t="s">
        <v>65</v>
      </c>
      <c r="I786" s="1" t="n">
        <v>1</v>
      </c>
      <c r="J786" s="7" t="n">
        <v>13310.29</v>
      </c>
      <c r="K786" s="8" t="n">
        <v>0.1</v>
      </c>
      <c r="L786" s="7" t="n">
        <v>7748.44</v>
      </c>
      <c r="M786" s="6" t="s">
        <v>49</v>
      </c>
      <c r="N786" s="6" t="s">
        <v>52</v>
      </c>
      <c r="O786" s="6" t="n">
        <f aca="false">IF(TablaVentas[[#This Row],[Precio_unitario]]="","PENDIENTE",TablaVentas[[#This Row],[Unidades]]*TablaVentas[[#This Row],[Precio_unitario]]*(1-TablaVentas[[#This Row],[Descuento_pct]]))</f>
        <v>11979.261</v>
      </c>
      <c r="P786" s="6" t="n">
        <f aca="false">IF(TablaVentas[[#This Row],[Costo_unitario]]="","PENDIENTE",TablaVentas[[#This Row],[Unidades]]*TablaVentas[[#This Row],[Costo_unitario]])</f>
        <v>7748.44</v>
      </c>
      <c r="Q786" s="6" t="n">
        <f aca="false">IF(OR(TablaVentas[[#This Row],[Ingreso_neto]]="PENDIENTE",TablaVentas[[#This Row],[Costo_total]]="PENDIENTE"),"PENDIENTE",TablaVentas[[#This Row],[Ingreso_neto]]-TablaVentas[[#This Row],[Costo_total]])</f>
        <v>4230.821</v>
      </c>
    </row>
    <row r="787" customFormat="false" ht="13.5" hidden="false" customHeight="false" outlineLevel="0" collapsed="false">
      <c r="A787" s="1" t="s">
        <v>684</v>
      </c>
      <c r="B787" s="1" t="n">
        <v>2</v>
      </c>
      <c r="C787" s="5" t="n">
        <v>46231</v>
      </c>
      <c r="D787" s="6" t="s">
        <v>469</v>
      </c>
      <c r="E787" s="6" t="s">
        <v>190</v>
      </c>
      <c r="F787" s="6" t="s">
        <v>84</v>
      </c>
      <c r="G787" s="6" t="s">
        <v>64</v>
      </c>
      <c r="H787" s="6" t="s">
        <v>65</v>
      </c>
      <c r="I787" s="1" t="n">
        <v>4</v>
      </c>
      <c r="J787" s="7" t="n">
        <v>5404.72</v>
      </c>
      <c r="K787" s="8" t="n">
        <v>0.2</v>
      </c>
      <c r="L787" s="7" t="n">
        <v>4325.73</v>
      </c>
      <c r="M787" s="6" t="s">
        <v>69</v>
      </c>
      <c r="N787" s="6" t="s">
        <v>50</v>
      </c>
      <c r="O787" s="6" t="n">
        <f aca="false">IF(TablaVentas[[#This Row],[Precio_unitario]]="","PENDIENTE",TablaVentas[[#This Row],[Unidades]]*TablaVentas[[#This Row],[Precio_unitario]]*(1-TablaVentas[[#This Row],[Descuento_pct]]))</f>
        <v>17295.104</v>
      </c>
      <c r="P787" s="6" t="n">
        <f aca="false">IF(TablaVentas[[#This Row],[Costo_unitario]]="","PENDIENTE",TablaVentas[[#This Row],[Unidades]]*TablaVentas[[#This Row],[Costo_unitario]])</f>
        <v>17302.92</v>
      </c>
      <c r="Q787" s="6" t="n">
        <f aca="false">IF(OR(TablaVentas[[#This Row],[Ingreso_neto]]="PENDIENTE",TablaVentas[[#This Row],[Costo_total]]="PENDIENTE"),"PENDIENTE",TablaVentas[[#This Row],[Ingreso_neto]]-TablaVentas[[#This Row],[Costo_total]])</f>
        <v>-7.81599999999526</v>
      </c>
    </row>
    <row r="788" customFormat="false" ht="13.5" hidden="false" customHeight="false" outlineLevel="0" collapsed="false">
      <c r="A788" s="1" t="s">
        <v>685</v>
      </c>
      <c r="B788" s="1" t="n">
        <v>1</v>
      </c>
      <c r="C788" s="5" t="n">
        <v>46261</v>
      </c>
      <c r="D788" s="6" t="s">
        <v>407</v>
      </c>
      <c r="E788" s="6" t="s">
        <v>68</v>
      </c>
      <c r="F788" s="6" t="s">
        <v>63</v>
      </c>
      <c r="G788" s="6" t="s">
        <v>64</v>
      </c>
      <c r="H788" s="6" t="s">
        <v>89</v>
      </c>
      <c r="I788" s="1" t="n">
        <v>3</v>
      </c>
      <c r="J788" s="7" t="n">
        <v>4293.3</v>
      </c>
      <c r="K788" s="8" t="n">
        <v>0.15</v>
      </c>
      <c r="L788" s="7" t="n">
        <v>2554.06</v>
      </c>
      <c r="M788" s="6" t="s">
        <v>49</v>
      </c>
      <c r="N788" s="6" t="s">
        <v>59</v>
      </c>
      <c r="O788" s="6" t="n">
        <f aca="false">IF(TablaVentas[[#This Row],[Precio_unitario]]="","PENDIENTE",TablaVentas[[#This Row],[Unidades]]*TablaVentas[[#This Row],[Precio_unitario]]*(1-TablaVentas[[#This Row],[Descuento_pct]]))</f>
        <v>10947.915</v>
      </c>
      <c r="P788" s="6" t="n">
        <f aca="false">IF(TablaVentas[[#This Row],[Costo_unitario]]="","PENDIENTE",TablaVentas[[#This Row],[Unidades]]*TablaVentas[[#This Row],[Costo_unitario]])</f>
        <v>7662.18</v>
      </c>
      <c r="Q788" s="6" t="n">
        <f aca="false">IF(OR(TablaVentas[[#This Row],[Ingreso_neto]]="PENDIENTE",TablaVentas[[#This Row],[Costo_total]]="PENDIENTE"),"PENDIENTE",TablaVentas[[#This Row],[Ingreso_neto]]-TablaVentas[[#This Row],[Costo_total]])</f>
        <v>3285.735</v>
      </c>
    </row>
    <row r="789" customFormat="false" ht="13.5" hidden="false" customHeight="false" outlineLevel="0" collapsed="false">
      <c r="A789" s="1" t="s">
        <v>686</v>
      </c>
      <c r="B789" s="1" t="n">
        <v>1</v>
      </c>
      <c r="C789" s="5" t="n">
        <v>46155</v>
      </c>
      <c r="D789" s="6" t="s">
        <v>687</v>
      </c>
      <c r="E789" s="6" t="s">
        <v>159</v>
      </c>
      <c r="F789" s="6" t="s">
        <v>63</v>
      </c>
      <c r="G789" s="6" t="s">
        <v>47</v>
      </c>
      <c r="H789" s="6" t="s">
        <v>131</v>
      </c>
      <c r="I789" s="1" t="n">
        <v>1</v>
      </c>
      <c r="J789" s="7" t="n">
        <v>2503.97</v>
      </c>
      <c r="K789" s="8" t="n">
        <v>0.15</v>
      </c>
      <c r="L789" s="7" t="n">
        <v>1962.3</v>
      </c>
      <c r="M789" s="6" t="s">
        <v>49</v>
      </c>
      <c r="N789" s="6" t="s">
        <v>52</v>
      </c>
      <c r="O789" s="6" t="n">
        <f aca="false">IF(TablaVentas[[#This Row],[Precio_unitario]]="","PENDIENTE",TablaVentas[[#This Row],[Unidades]]*TablaVentas[[#This Row],[Precio_unitario]]*(1-TablaVentas[[#This Row],[Descuento_pct]]))</f>
        <v>2128.3745</v>
      </c>
      <c r="P789" s="6" t="n">
        <f aca="false">IF(TablaVentas[[#This Row],[Costo_unitario]]="","PENDIENTE",TablaVentas[[#This Row],[Unidades]]*TablaVentas[[#This Row],[Costo_unitario]])</f>
        <v>1962.3</v>
      </c>
      <c r="Q789" s="6" t="n">
        <f aca="false">IF(OR(TablaVentas[[#This Row],[Ingreso_neto]]="PENDIENTE",TablaVentas[[#This Row],[Costo_total]]="PENDIENTE"),"PENDIENTE",TablaVentas[[#This Row],[Ingreso_neto]]-TablaVentas[[#This Row],[Costo_total]])</f>
        <v>166.0745</v>
      </c>
    </row>
    <row r="790" customFormat="false" ht="13.5" hidden="false" customHeight="false" outlineLevel="0" collapsed="false">
      <c r="A790" s="1" t="s">
        <v>686</v>
      </c>
      <c r="B790" s="1" t="n">
        <v>2</v>
      </c>
      <c r="C790" s="5" t="n">
        <v>46155</v>
      </c>
      <c r="D790" s="6" t="s">
        <v>687</v>
      </c>
      <c r="E790" s="6" t="s">
        <v>76</v>
      </c>
      <c r="F790" s="6" t="s">
        <v>63</v>
      </c>
      <c r="G790" s="6" t="s">
        <v>47</v>
      </c>
      <c r="H790" s="6" t="s">
        <v>131</v>
      </c>
      <c r="I790" s="1" t="n">
        <v>1</v>
      </c>
      <c r="J790" s="7" t="n">
        <v>12668.68</v>
      </c>
      <c r="K790" s="8" t="n">
        <v>0.15</v>
      </c>
      <c r="L790" s="7" t="n">
        <v>10094.26</v>
      </c>
      <c r="M790" s="6" t="s">
        <v>49</v>
      </c>
      <c r="N790" s="6" t="s">
        <v>50</v>
      </c>
      <c r="O790" s="6" t="n">
        <f aca="false">IF(TablaVentas[[#This Row],[Precio_unitario]]="","PENDIENTE",TablaVentas[[#This Row],[Unidades]]*TablaVentas[[#This Row],[Precio_unitario]]*(1-TablaVentas[[#This Row],[Descuento_pct]]))</f>
        <v>10768.378</v>
      </c>
      <c r="P790" s="6" t="n">
        <f aca="false">IF(TablaVentas[[#This Row],[Costo_unitario]]="","PENDIENTE",TablaVentas[[#This Row],[Unidades]]*TablaVentas[[#This Row],[Costo_unitario]])</f>
        <v>10094.26</v>
      </c>
      <c r="Q790" s="6" t="n">
        <f aca="false">IF(OR(TablaVentas[[#This Row],[Ingreso_neto]]="PENDIENTE",TablaVentas[[#This Row],[Costo_total]]="PENDIENTE"),"PENDIENTE",TablaVentas[[#This Row],[Ingreso_neto]]-TablaVentas[[#This Row],[Costo_total]])</f>
        <v>674.118</v>
      </c>
    </row>
    <row r="791" customFormat="false" ht="13.5" hidden="false" customHeight="false" outlineLevel="0" collapsed="false">
      <c r="A791" s="1" t="s">
        <v>686</v>
      </c>
      <c r="B791" s="1" t="n">
        <v>3</v>
      </c>
      <c r="C791" s="5" t="n">
        <v>46155</v>
      </c>
      <c r="D791" s="6" t="s">
        <v>687</v>
      </c>
      <c r="E791" s="6" t="s">
        <v>150</v>
      </c>
      <c r="F791" s="6" t="s">
        <v>63</v>
      </c>
      <c r="G791" s="6" t="s">
        <v>47</v>
      </c>
      <c r="H791" s="6" t="s">
        <v>131</v>
      </c>
      <c r="I791" s="1" t="n">
        <v>1</v>
      </c>
      <c r="J791" s="7" t="n">
        <v>8637.35</v>
      </c>
      <c r="K791" s="8" t="n">
        <v>0.15</v>
      </c>
      <c r="L791" s="7" t="n">
        <v>6815.42</v>
      </c>
      <c r="M791" s="6" t="s">
        <v>123</v>
      </c>
      <c r="N791" s="6" t="s">
        <v>67</v>
      </c>
      <c r="O791" s="6" t="n">
        <f aca="false">IF(TablaVentas[[#This Row],[Precio_unitario]]="","PENDIENTE",TablaVentas[[#This Row],[Unidades]]*TablaVentas[[#This Row],[Precio_unitario]]*(1-TablaVentas[[#This Row],[Descuento_pct]]))</f>
        <v>7341.7475</v>
      </c>
      <c r="P791" s="6" t="n">
        <f aca="false">IF(TablaVentas[[#This Row],[Costo_unitario]]="","PENDIENTE",TablaVentas[[#This Row],[Unidades]]*TablaVentas[[#This Row],[Costo_unitario]])</f>
        <v>6815.42</v>
      </c>
      <c r="Q791" s="6" t="n">
        <f aca="false">IF(OR(TablaVentas[[#This Row],[Ingreso_neto]]="PENDIENTE",TablaVentas[[#This Row],[Costo_total]]="PENDIENTE"),"PENDIENTE",TablaVentas[[#This Row],[Ingreso_neto]]-TablaVentas[[#This Row],[Costo_total]])</f>
        <v>526.3275</v>
      </c>
    </row>
    <row r="792" customFormat="false" ht="13.5" hidden="false" customHeight="false" outlineLevel="0" collapsed="false">
      <c r="A792" s="1" t="s">
        <v>688</v>
      </c>
      <c r="B792" s="1" t="n">
        <v>1</v>
      </c>
      <c r="C792" s="5" t="n">
        <v>46148</v>
      </c>
      <c r="D792" s="6" t="s">
        <v>82</v>
      </c>
      <c r="E792" s="6" t="s">
        <v>163</v>
      </c>
      <c r="F792" s="6" t="s">
        <v>84</v>
      </c>
      <c r="G792" s="6" t="s">
        <v>57</v>
      </c>
      <c r="H792" s="6" t="s">
        <v>131</v>
      </c>
      <c r="I792" s="1" t="n">
        <v>1</v>
      </c>
      <c r="J792" s="7" t="n">
        <v>20269.49</v>
      </c>
      <c r="K792" s="8" t="n">
        <v>0</v>
      </c>
      <c r="L792" s="7" t="n">
        <v>13981.13</v>
      </c>
      <c r="M792" s="6" t="s">
        <v>49</v>
      </c>
      <c r="N792" s="6" t="s">
        <v>50</v>
      </c>
      <c r="O792" s="6" t="n">
        <f aca="false">IF(TablaVentas[[#This Row],[Precio_unitario]]="","PENDIENTE",TablaVentas[[#This Row],[Unidades]]*TablaVentas[[#This Row],[Precio_unitario]]*(1-TablaVentas[[#This Row],[Descuento_pct]]))</f>
        <v>20269.49</v>
      </c>
      <c r="P792" s="6" t="n">
        <f aca="false">IF(TablaVentas[[#This Row],[Costo_unitario]]="","PENDIENTE",TablaVentas[[#This Row],[Unidades]]*TablaVentas[[#This Row],[Costo_unitario]])</f>
        <v>13981.13</v>
      </c>
      <c r="Q792" s="6" t="n">
        <f aca="false">IF(OR(TablaVentas[[#This Row],[Ingreso_neto]]="PENDIENTE",TablaVentas[[#This Row],[Costo_total]]="PENDIENTE"),"PENDIENTE",TablaVentas[[#This Row],[Ingreso_neto]]-TablaVentas[[#This Row],[Costo_total]])</f>
        <v>6288.36</v>
      </c>
    </row>
    <row r="793" customFormat="false" ht="13.5" hidden="false" customHeight="false" outlineLevel="0" collapsed="false">
      <c r="A793" s="1" t="s">
        <v>688</v>
      </c>
      <c r="B793" s="1" t="n">
        <v>2</v>
      </c>
      <c r="C793" s="5" t="n">
        <v>46148</v>
      </c>
      <c r="D793" s="6" t="s">
        <v>82</v>
      </c>
      <c r="E793" s="6" t="s">
        <v>150</v>
      </c>
      <c r="F793" s="6" t="s">
        <v>84</v>
      </c>
      <c r="G793" s="6" t="s">
        <v>57</v>
      </c>
      <c r="H793" s="6" t="s">
        <v>131</v>
      </c>
      <c r="I793" s="1" t="n">
        <v>2</v>
      </c>
      <c r="J793" s="7" t="n">
        <v>10129.67</v>
      </c>
      <c r="K793" s="8" t="n">
        <v>0</v>
      </c>
      <c r="L793" s="7" t="n">
        <v>6815.42</v>
      </c>
      <c r="M793" s="6" t="s">
        <v>49</v>
      </c>
      <c r="N793" s="6" t="s">
        <v>50</v>
      </c>
      <c r="O793" s="6" t="n">
        <f aca="false">IF(TablaVentas[[#This Row],[Precio_unitario]]="","PENDIENTE",TablaVentas[[#This Row],[Unidades]]*TablaVentas[[#This Row],[Precio_unitario]]*(1-TablaVentas[[#This Row],[Descuento_pct]]))</f>
        <v>20259.34</v>
      </c>
      <c r="P793" s="6" t="n">
        <f aca="false">IF(TablaVentas[[#This Row],[Costo_unitario]]="","PENDIENTE",TablaVentas[[#This Row],[Unidades]]*TablaVentas[[#This Row],[Costo_unitario]])</f>
        <v>13630.84</v>
      </c>
      <c r="Q793" s="6" t="n">
        <f aca="false">IF(OR(TablaVentas[[#This Row],[Ingreso_neto]]="PENDIENTE",TablaVentas[[#This Row],[Costo_total]]="PENDIENTE"),"PENDIENTE",TablaVentas[[#This Row],[Ingreso_neto]]-TablaVentas[[#This Row],[Costo_total]])</f>
        <v>6628.5</v>
      </c>
    </row>
    <row r="794" customFormat="false" ht="13.5" hidden="false" customHeight="false" outlineLevel="0" collapsed="false">
      <c r="A794" s="1" t="s">
        <v>689</v>
      </c>
      <c r="B794" s="1" t="n">
        <v>1</v>
      </c>
      <c r="C794" s="5" t="n">
        <v>46216</v>
      </c>
      <c r="D794" s="6" t="s">
        <v>561</v>
      </c>
      <c r="E794" s="6" t="s">
        <v>187</v>
      </c>
      <c r="F794" s="6" t="s">
        <v>73</v>
      </c>
      <c r="G794" s="6" t="s">
        <v>57</v>
      </c>
      <c r="H794" s="6" t="s">
        <v>48</v>
      </c>
      <c r="I794" s="1" t="n">
        <v>8</v>
      </c>
      <c r="J794" s="7" t="n">
        <v>6143.68</v>
      </c>
      <c r="K794" s="8" t="n">
        <v>0.1</v>
      </c>
      <c r="L794" s="7" t="n">
        <v>3824.92</v>
      </c>
      <c r="M794" s="6" t="s">
        <v>49</v>
      </c>
      <c r="N794" s="6" t="s">
        <v>67</v>
      </c>
      <c r="O794" s="6" t="n">
        <f aca="false">IF(TablaVentas[[#This Row],[Precio_unitario]]="","PENDIENTE",TablaVentas[[#This Row],[Unidades]]*TablaVentas[[#This Row],[Precio_unitario]]*(1-TablaVentas[[#This Row],[Descuento_pct]]))</f>
        <v>44234.496</v>
      </c>
      <c r="P794" s="6" t="n">
        <f aca="false">IF(TablaVentas[[#This Row],[Costo_unitario]]="","PENDIENTE",TablaVentas[[#This Row],[Unidades]]*TablaVentas[[#This Row],[Costo_unitario]])</f>
        <v>30599.36</v>
      </c>
      <c r="Q794" s="6" t="n">
        <f aca="false">IF(OR(TablaVentas[[#This Row],[Ingreso_neto]]="PENDIENTE",TablaVentas[[#This Row],[Costo_total]]="PENDIENTE"),"PENDIENTE",TablaVentas[[#This Row],[Ingreso_neto]]-TablaVentas[[#This Row],[Costo_total]])</f>
        <v>13635.136</v>
      </c>
    </row>
    <row r="795" customFormat="false" ht="13.5" hidden="false" customHeight="false" outlineLevel="0" collapsed="false">
      <c r="A795" s="1" t="s">
        <v>689</v>
      </c>
      <c r="B795" s="1" t="n">
        <v>2</v>
      </c>
      <c r="C795" s="5" t="n">
        <v>46216</v>
      </c>
      <c r="D795" s="6" t="s">
        <v>561</v>
      </c>
      <c r="E795" s="6" t="s">
        <v>150</v>
      </c>
      <c r="F795" s="6" t="s">
        <v>73</v>
      </c>
      <c r="G795" s="6" t="s">
        <v>57</v>
      </c>
      <c r="H795" s="6" t="s">
        <v>48</v>
      </c>
      <c r="I795" s="1" t="n">
        <v>2</v>
      </c>
      <c r="J795" s="7" t="n">
        <v>10188.68</v>
      </c>
      <c r="K795" s="8" t="n">
        <v>0.1</v>
      </c>
      <c r="L795" s="7" t="n">
        <v>6815.42</v>
      </c>
      <c r="M795" s="6" t="s">
        <v>49</v>
      </c>
      <c r="N795" s="6" t="s">
        <v>52</v>
      </c>
      <c r="O795" s="6" t="n">
        <f aca="false">IF(TablaVentas[[#This Row],[Precio_unitario]]="","PENDIENTE",TablaVentas[[#This Row],[Unidades]]*TablaVentas[[#This Row],[Precio_unitario]]*(1-TablaVentas[[#This Row],[Descuento_pct]]))</f>
        <v>18339.624</v>
      </c>
      <c r="P795" s="6" t="n">
        <f aca="false">IF(TablaVentas[[#This Row],[Costo_unitario]]="","PENDIENTE",TablaVentas[[#This Row],[Unidades]]*TablaVentas[[#This Row],[Costo_unitario]])</f>
        <v>13630.84</v>
      </c>
      <c r="Q795" s="6" t="n">
        <f aca="false">IF(OR(TablaVentas[[#This Row],[Ingreso_neto]]="PENDIENTE",TablaVentas[[#This Row],[Costo_total]]="PENDIENTE"),"PENDIENTE",TablaVentas[[#This Row],[Ingreso_neto]]-TablaVentas[[#This Row],[Costo_total]])</f>
        <v>4708.784</v>
      </c>
    </row>
    <row r="796" customFormat="false" ht="13.5" hidden="false" customHeight="false" outlineLevel="0" collapsed="false">
      <c r="A796" s="1" t="s">
        <v>690</v>
      </c>
      <c r="B796" s="1" t="n">
        <v>1</v>
      </c>
      <c r="C796" s="5" t="n">
        <v>46116</v>
      </c>
      <c r="D796" s="6" t="s">
        <v>472</v>
      </c>
      <c r="E796" s="6" t="s">
        <v>327</v>
      </c>
      <c r="F796" s="6" t="s">
        <v>46</v>
      </c>
      <c r="G796" s="6" t="s">
        <v>47</v>
      </c>
      <c r="H796" s="6" t="s">
        <v>48</v>
      </c>
      <c r="I796" s="1" t="n">
        <v>1</v>
      </c>
      <c r="J796" s="7" t="n">
        <v>5067.42</v>
      </c>
      <c r="K796" s="8" t="n">
        <v>0.15</v>
      </c>
      <c r="L796" s="7" t="n">
        <v>3065.66</v>
      </c>
      <c r="M796" s="6" t="s">
        <v>49</v>
      </c>
      <c r="N796" s="6" t="s">
        <v>59</v>
      </c>
      <c r="O796" s="6" t="n">
        <f aca="false">IF(TablaVentas[[#This Row],[Precio_unitario]]="","PENDIENTE",TablaVentas[[#This Row],[Unidades]]*TablaVentas[[#This Row],[Precio_unitario]]*(1-TablaVentas[[#This Row],[Descuento_pct]]))</f>
        <v>4307.307</v>
      </c>
      <c r="P796" s="6" t="n">
        <f aca="false">IF(TablaVentas[[#This Row],[Costo_unitario]]="","PENDIENTE",TablaVentas[[#This Row],[Unidades]]*TablaVentas[[#This Row],[Costo_unitario]])</f>
        <v>3065.66</v>
      </c>
      <c r="Q796" s="6" t="n">
        <f aca="false">IF(OR(TablaVentas[[#This Row],[Ingreso_neto]]="PENDIENTE",TablaVentas[[#This Row],[Costo_total]]="PENDIENTE"),"PENDIENTE",TablaVentas[[#This Row],[Ingreso_neto]]-TablaVentas[[#This Row],[Costo_total]])</f>
        <v>1241.647</v>
      </c>
    </row>
    <row r="797" customFormat="false" ht="13.5" hidden="false" customHeight="false" outlineLevel="0" collapsed="false">
      <c r="A797" s="1" t="s">
        <v>691</v>
      </c>
      <c r="B797" s="1" t="n">
        <v>1</v>
      </c>
      <c r="C797" s="5" t="n">
        <v>46187</v>
      </c>
      <c r="D797" s="6" t="s">
        <v>395</v>
      </c>
      <c r="E797" s="6" t="s">
        <v>53</v>
      </c>
      <c r="F797" s="6" t="s">
        <v>46</v>
      </c>
      <c r="G797" s="6" t="s">
        <v>57</v>
      </c>
      <c r="H797" s="6" t="s">
        <v>80</v>
      </c>
      <c r="I797" s="1" t="n">
        <v>2</v>
      </c>
      <c r="J797" s="7" t="n">
        <v>4113.07</v>
      </c>
      <c r="K797" s="8" t="n">
        <v>0.15</v>
      </c>
      <c r="L797" s="7" t="n">
        <v>2957.6</v>
      </c>
      <c r="M797" s="6" t="s">
        <v>49</v>
      </c>
      <c r="N797" s="6" t="s">
        <v>50</v>
      </c>
      <c r="O797" s="6" t="n">
        <f aca="false">IF(TablaVentas[[#This Row],[Precio_unitario]]="","PENDIENTE",TablaVentas[[#This Row],[Unidades]]*TablaVentas[[#This Row],[Precio_unitario]]*(1-TablaVentas[[#This Row],[Descuento_pct]]))</f>
        <v>6992.219</v>
      </c>
      <c r="P797" s="6" t="n">
        <f aca="false">IF(TablaVentas[[#This Row],[Costo_unitario]]="","PENDIENTE",TablaVentas[[#This Row],[Unidades]]*TablaVentas[[#This Row],[Costo_unitario]])</f>
        <v>5915.2</v>
      </c>
      <c r="Q797" s="6" t="n">
        <f aca="false">IF(OR(TablaVentas[[#This Row],[Ingreso_neto]]="PENDIENTE",TablaVentas[[#This Row],[Costo_total]]="PENDIENTE"),"PENDIENTE",TablaVentas[[#This Row],[Ingreso_neto]]-TablaVentas[[#This Row],[Costo_total]])</f>
        <v>1077.019</v>
      </c>
    </row>
    <row r="798" customFormat="false" ht="13.5" hidden="false" customHeight="false" outlineLevel="0" collapsed="false">
      <c r="A798" s="1" t="s">
        <v>691</v>
      </c>
      <c r="B798" s="1" t="n">
        <v>2</v>
      </c>
      <c r="C798" s="5" t="n">
        <v>46187</v>
      </c>
      <c r="D798" s="6" t="s">
        <v>395</v>
      </c>
      <c r="E798" s="6" t="s">
        <v>93</v>
      </c>
      <c r="F798" s="6" t="s">
        <v>46</v>
      </c>
      <c r="G798" s="6" t="s">
        <v>57</v>
      </c>
      <c r="H798" s="6" t="s">
        <v>80</v>
      </c>
      <c r="I798" s="1" t="n">
        <v>2</v>
      </c>
      <c r="J798" s="7" t="n">
        <v>15569.43</v>
      </c>
      <c r="K798" s="8" t="n">
        <v>0.2</v>
      </c>
      <c r="L798" s="7" t="n">
        <v>11166.03</v>
      </c>
      <c r="M798" s="6" t="s">
        <v>49</v>
      </c>
      <c r="N798" s="6" t="s">
        <v>52</v>
      </c>
      <c r="O798" s="6" t="n">
        <f aca="false">IF(TablaVentas[[#This Row],[Precio_unitario]]="","PENDIENTE",TablaVentas[[#This Row],[Unidades]]*TablaVentas[[#This Row],[Precio_unitario]]*(1-TablaVentas[[#This Row],[Descuento_pct]]))</f>
        <v>24911.088</v>
      </c>
      <c r="P798" s="6" t="n">
        <f aca="false">IF(TablaVentas[[#This Row],[Costo_unitario]]="","PENDIENTE",TablaVentas[[#This Row],[Unidades]]*TablaVentas[[#This Row],[Costo_unitario]])</f>
        <v>22332.06</v>
      </c>
      <c r="Q798" s="6" t="n">
        <f aca="false">IF(OR(TablaVentas[[#This Row],[Ingreso_neto]]="PENDIENTE",TablaVentas[[#This Row],[Costo_total]]="PENDIENTE"),"PENDIENTE",TablaVentas[[#This Row],[Ingreso_neto]]-TablaVentas[[#This Row],[Costo_total]])</f>
        <v>2579.028</v>
      </c>
    </row>
    <row r="799" customFormat="false" ht="13.5" hidden="false" customHeight="false" outlineLevel="0" collapsed="false">
      <c r="A799" s="1" t="s">
        <v>692</v>
      </c>
      <c r="B799" s="1" t="n">
        <v>1</v>
      </c>
      <c r="C799" s="5" t="n">
        <v>46295</v>
      </c>
      <c r="D799" s="6" t="s">
        <v>409</v>
      </c>
      <c r="E799" s="6" t="s">
        <v>213</v>
      </c>
      <c r="F799" s="6" t="s">
        <v>84</v>
      </c>
      <c r="G799" s="6" t="s">
        <v>57</v>
      </c>
      <c r="H799" s="6" t="s">
        <v>74</v>
      </c>
      <c r="I799" s="1" t="n">
        <v>1</v>
      </c>
      <c r="J799" s="7" t="n">
        <v>5290.89</v>
      </c>
      <c r="K799" s="8" t="n">
        <v>0</v>
      </c>
      <c r="L799" s="7" t="n">
        <v>4008.77</v>
      </c>
      <c r="M799" s="6" t="s">
        <v>49</v>
      </c>
      <c r="N799" s="6" t="s">
        <v>50</v>
      </c>
      <c r="O799" s="6" t="n">
        <f aca="false">IF(TablaVentas[[#This Row],[Precio_unitario]]="","PENDIENTE",TablaVentas[[#This Row],[Unidades]]*TablaVentas[[#This Row],[Precio_unitario]]*(1-TablaVentas[[#This Row],[Descuento_pct]]))</f>
        <v>5290.89</v>
      </c>
      <c r="P799" s="6" t="n">
        <f aca="false">IF(TablaVentas[[#This Row],[Costo_unitario]]="","PENDIENTE",TablaVentas[[#This Row],[Unidades]]*TablaVentas[[#This Row],[Costo_unitario]])</f>
        <v>4008.77</v>
      </c>
      <c r="Q799" s="6" t="n">
        <f aca="false">IF(OR(TablaVentas[[#This Row],[Ingreso_neto]]="PENDIENTE",TablaVentas[[#This Row],[Costo_total]]="PENDIENTE"),"PENDIENTE",TablaVentas[[#This Row],[Ingreso_neto]]-TablaVentas[[#This Row],[Costo_total]])</f>
        <v>1282.12</v>
      </c>
    </row>
    <row r="800" customFormat="false" ht="13.5" hidden="false" customHeight="false" outlineLevel="0" collapsed="false">
      <c r="A800" s="1" t="s">
        <v>692</v>
      </c>
      <c r="B800" s="1" t="n">
        <v>2</v>
      </c>
      <c r="C800" s="5" t="n">
        <v>46295</v>
      </c>
      <c r="D800" s="6" t="s">
        <v>409</v>
      </c>
      <c r="E800" s="6" t="s">
        <v>410</v>
      </c>
      <c r="F800" s="6" t="s">
        <v>84</v>
      </c>
      <c r="G800" s="6" t="s">
        <v>57</v>
      </c>
      <c r="H800" s="6" t="s">
        <v>74</v>
      </c>
      <c r="I800" s="1" t="n">
        <v>3</v>
      </c>
      <c r="J800" s="7" t="n">
        <v>2809.28</v>
      </c>
      <c r="K800" s="8" t="n">
        <v>0</v>
      </c>
      <c r="L800" s="7" t="n">
        <v>1801.83</v>
      </c>
      <c r="M800" s="6" t="s">
        <v>49</v>
      </c>
      <c r="N800" s="6" t="s">
        <v>52</v>
      </c>
      <c r="O800" s="6" t="n">
        <f aca="false">IF(TablaVentas[[#This Row],[Precio_unitario]]="","PENDIENTE",TablaVentas[[#This Row],[Unidades]]*TablaVentas[[#This Row],[Precio_unitario]]*(1-TablaVentas[[#This Row],[Descuento_pct]]))</f>
        <v>8427.84</v>
      </c>
      <c r="P800" s="6" t="n">
        <f aca="false">IF(TablaVentas[[#This Row],[Costo_unitario]]="","PENDIENTE",TablaVentas[[#This Row],[Unidades]]*TablaVentas[[#This Row],[Costo_unitario]])</f>
        <v>5405.49</v>
      </c>
      <c r="Q800" s="6" t="n">
        <f aca="false">IF(OR(TablaVentas[[#This Row],[Ingreso_neto]]="PENDIENTE",TablaVentas[[#This Row],[Costo_total]]="PENDIENTE"),"PENDIENTE",TablaVentas[[#This Row],[Ingreso_neto]]-TablaVentas[[#This Row],[Costo_total]])</f>
        <v>3022.35</v>
      </c>
    </row>
    <row r="801" customFormat="false" ht="13.5" hidden="false" customHeight="false" outlineLevel="0" collapsed="false">
      <c r="A801" s="1" t="s">
        <v>693</v>
      </c>
      <c r="B801" s="1" t="n">
        <v>1</v>
      </c>
      <c r="C801" s="5" t="n">
        <v>46086</v>
      </c>
      <c r="D801" s="6" t="s">
        <v>189</v>
      </c>
      <c r="E801" s="6" t="s">
        <v>385</v>
      </c>
      <c r="F801" s="6" t="s">
        <v>63</v>
      </c>
      <c r="G801" s="6" t="s">
        <v>57</v>
      </c>
      <c r="H801" s="6" t="s">
        <v>58</v>
      </c>
      <c r="I801" s="1" t="n">
        <v>1</v>
      </c>
      <c r="J801" s="7" t="n">
        <v>3322.61</v>
      </c>
      <c r="K801" s="8" t="n">
        <v>0</v>
      </c>
      <c r="L801" s="7" t="n">
        <v>2864.64</v>
      </c>
      <c r="M801" s="6" t="s">
        <v>49</v>
      </c>
      <c r="N801" s="6" t="s">
        <v>67</v>
      </c>
      <c r="O801" s="6" t="n">
        <f aca="false">IF(TablaVentas[[#This Row],[Precio_unitario]]="","PENDIENTE",TablaVentas[[#This Row],[Unidades]]*TablaVentas[[#This Row],[Precio_unitario]]*(1-TablaVentas[[#This Row],[Descuento_pct]]))</f>
        <v>3322.61</v>
      </c>
      <c r="P801" s="6" t="n">
        <f aca="false">IF(TablaVentas[[#This Row],[Costo_unitario]]="","PENDIENTE",TablaVentas[[#This Row],[Unidades]]*TablaVentas[[#This Row],[Costo_unitario]])</f>
        <v>2864.64</v>
      </c>
      <c r="Q801" s="6" t="n">
        <f aca="false">IF(OR(TablaVentas[[#This Row],[Ingreso_neto]]="PENDIENTE",TablaVentas[[#This Row],[Costo_total]]="PENDIENTE"),"PENDIENTE",TablaVentas[[#This Row],[Ingreso_neto]]-TablaVentas[[#This Row],[Costo_total]])</f>
        <v>457.97</v>
      </c>
    </row>
    <row r="802" customFormat="false" ht="13.5" hidden="false" customHeight="false" outlineLevel="0" collapsed="false">
      <c r="A802" s="1" t="s">
        <v>693</v>
      </c>
      <c r="B802" s="1" t="n">
        <v>2</v>
      </c>
      <c r="C802" s="5" t="n">
        <v>46086</v>
      </c>
      <c r="D802" s="6" t="s">
        <v>189</v>
      </c>
      <c r="E802" s="6" t="s">
        <v>171</v>
      </c>
      <c r="F802" s="6" t="s">
        <v>63</v>
      </c>
      <c r="G802" s="6" t="s">
        <v>57</v>
      </c>
      <c r="H802" s="6" t="s">
        <v>58</v>
      </c>
      <c r="I802" s="1" t="n">
        <v>1</v>
      </c>
      <c r="J802" s="7" t="n">
        <v>5921.92</v>
      </c>
      <c r="K802" s="8" t="n">
        <v>0.05</v>
      </c>
      <c r="L802" s="7" t="n">
        <v>5050.04</v>
      </c>
      <c r="M802" s="6" t="s">
        <v>49</v>
      </c>
      <c r="N802" s="6" t="s">
        <v>67</v>
      </c>
      <c r="O802" s="6" t="n">
        <f aca="false">IF(TablaVentas[[#This Row],[Precio_unitario]]="","PENDIENTE",TablaVentas[[#This Row],[Unidades]]*TablaVentas[[#This Row],[Precio_unitario]]*(1-TablaVentas[[#This Row],[Descuento_pct]]))</f>
        <v>5625.824</v>
      </c>
      <c r="P802" s="6" t="n">
        <f aca="false">IF(TablaVentas[[#This Row],[Costo_unitario]]="","PENDIENTE",TablaVentas[[#This Row],[Unidades]]*TablaVentas[[#This Row],[Costo_unitario]])</f>
        <v>5050.04</v>
      </c>
      <c r="Q802" s="6" t="n">
        <f aca="false">IF(OR(TablaVentas[[#This Row],[Ingreso_neto]]="PENDIENTE",TablaVentas[[#This Row],[Costo_total]]="PENDIENTE"),"PENDIENTE",TablaVentas[[#This Row],[Ingreso_neto]]-TablaVentas[[#This Row],[Costo_total]])</f>
        <v>575.784</v>
      </c>
    </row>
    <row r="803" customFormat="false" ht="13.5" hidden="false" customHeight="false" outlineLevel="0" collapsed="false">
      <c r="A803" s="1" t="s">
        <v>694</v>
      </c>
      <c r="B803" s="1" t="n">
        <v>1</v>
      </c>
      <c r="C803" s="5" t="n">
        <v>46239</v>
      </c>
      <c r="D803" s="6" t="s">
        <v>695</v>
      </c>
      <c r="E803" s="6" t="s">
        <v>223</v>
      </c>
      <c r="F803" s="6" t="s">
        <v>73</v>
      </c>
      <c r="G803" s="6" t="s">
        <v>64</v>
      </c>
      <c r="H803" s="6" t="s">
        <v>191</v>
      </c>
      <c r="I803" s="1" t="n">
        <v>4</v>
      </c>
      <c r="J803" s="7" t="n">
        <v>16120.49</v>
      </c>
      <c r="K803" s="8" t="n">
        <v>0</v>
      </c>
      <c r="L803" s="7" t="n">
        <v>12064.41</v>
      </c>
      <c r="M803" s="6" t="s">
        <v>49</v>
      </c>
      <c r="N803" s="6" t="s">
        <v>50</v>
      </c>
      <c r="O803" s="6" t="n">
        <f aca="false">IF(TablaVentas[[#This Row],[Precio_unitario]]="","PENDIENTE",TablaVentas[[#This Row],[Unidades]]*TablaVentas[[#This Row],[Precio_unitario]]*(1-TablaVentas[[#This Row],[Descuento_pct]]))</f>
        <v>64481.96</v>
      </c>
      <c r="P803" s="6" t="n">
        <f aca="false">IF(TablaVentas[[#This Row],[Costo_unitario]]="","PENDIENTE",TablaVentas[[#This Row],[Unidades]]*TablaVentas[[#This Row],[Costo_unitario]])</f>
        <v>48257.64</v>
      </c>
      <c r="Q803" s="6" t="n">
        <f aca="false">IF(OR(TablaVentas[[#This Row],[Ingreso_neto]]="PENDIENTE",TablaVentas[[#This Row],[Costo_total]]="PENDIENTE"),"PENDIENTE",TablaVentas[[#This Row],[Ingreso_neto]]-TablaVentas[[#This Row],[Costo_total]])</f>
        <v>16224.32</v>
      </c>
    </row>
    <row r="804" customFormat="false" ht="13.5" hidden="false" customHeight="false" outlineLevel="0" collapsed="false">
      <c r="A804" s="1" t="s">
        <v>696</v>
      </c>
      <c r="B804" s="1" t="n">
        <v>1</v>
      </c>
      <c r="C804" s="5" t="n">
        <v>46288</v>
      </c>
      <c r="D804" s="6" t="s">
        <v>697</v>
      </c>
      <c r="E804" s="6" t="s">
        <v>76</v>
      </c>
      <c r="F804" s="6" t="s">
        <v>73</v>
      </c>
      <c r="G804" s="6" t="s">
        <v>57</v>
      </c>
      <c r="H804" s="6" t="s">
        <v>74</v>
      </c>
      <c r="I804" s="1" t="n">
        <v>1</v>
      </c>
      <c r="J804" s="7" t="n">
        <v>11714.68</v>
      </c>
      <c r="K804" s="8" t="n">
        <v>0.15</v>
      </c>
      <c r="L804" s="7" t="n">
        <v>10094.26</v>
      </c>
      <c r="M804" s="6" t="s">
        <v>123</v>
      </c>
      <c r="N804" s="6" t="s">
        <v>59</v>
      </c>
      <c r="O804" s="6" t="n">
        <f aca="false">IF(TablaVentas[[#This Row],[Precio_unitario]]="","PENDIENTE",TablaVentas[[#This Row],[Unidades]]*TablaVentas[[#This Row],[Precio_unitario]]*(1-TablaVentas[[#This Row],[Descuento_pct]]))</f>
        <v>9957.478</v>
      </c>
      <c r="P804" s="6" t="n">
        <f aca="false">IF(TablaVentas[[#This Row],[Costo_unitario]]="","PENDIENTE",TablaVentas[[#This Row],[Unidades]]*TablaVentas[[#This Row],[Costo_unitario]])</f>
        <v>10094.26</v>
      </c>
      <c r="Q804" s="6" t="n">
        <f aca="false">IF(OR(TablaVentas[[#This Row],[Ingreso_neto]]="PENDIENTE",TablaVentas[[#This Row],[Costo_total]]="PENDIENTE"),"PENDIENTE",TablaVentas[[#This Row],[Ingreso_neto]]-TablaVentas[[#This Row],[Costo_total]])</f>
        <v>-136.782000000001</v>
      </c>
    </row>
    <row r="805" customFormat="false" ht="13.5" hidden="false" customHeight="false" outlineLevel="0" collapsed="false">
      <c r="A805" s="1" t="s">
        <v>696</v>
      </c>
      <c r="B805" s="1" t="n">
        <v>2</v>
      </c>
      <c r="C805" s="5" t="n">
        <v>46288</v>
      </c>
      <c r="D805" s="6" t="s">
        <v>697</v>
      </c>
      <c r="E805" s="6" t="s">
        <v>404</v>
      </c>
      <c r="F805" s="6" t="s">
        <v>73</v>
      </c>
      <c r="G805" s="6" t="s">
        <v>57</v>
      </c>
      <c r="H805" s="6" t="s">
        <v>74</v>
      </c>
      <c r="I805" s="1" t="n">
        <v>1</v>
      </c>
      <c r="J805" s="7" t="n">
        <v>5819.19</v>
      </c>
      <c r="K805" s="8" t="n">
        <v>0</v>
      </c>
      <c r="L805" s="7" t="n">
        <v>3640.56</v>
      </c>
      <c r="M805" s="6" t="s">
        <v>49</v>
      </c>
      <c r="N805" s="6" t="s">
        <v>67</v>
      </c>
      <c r="O805" s="6" t="n">
        <f aca="false">IF(TablaVentas[[#This Row],[Precio_unitario]]="","PENDIENTE",TablaVentas[[#This Row],[Unidades]]*TablaVentas[[#This Row],[Precio_unitario]]*(1-TablaVentas[[#This Row],[Descuento_pct]]))</f>
        <v>5819.19</v>
      </c>
      <c r="P805" s="6" t="n">
        <f aca="false">IF(TablaVentas[[#This Row],[Costo_unitario]]="","PENDIENTE",TablaVentas[[#This Row],[Unidades]]*TablaVentas[[#This Row],[Costo_unitario]])</f>
        <v>3640.56</v>
      </c>
      <c r="Q805" s="6" t="n">
        <f aca="false">IF(OR(TablaVentas[[#This Row],[Ingreso_neto]]="PENDIENTE",TablaVentas[[#This Row],[Costo_total]]="PENDIENTE"),"PENDIENTE",TablaVentas[[#This Row],[Ingreso_neto]]-TablaVentas[[#This Row],[Costo_total]])</f>
        <v>2178.63</v>
      </c>
    </row>
    <row r="806" customFormat="false" ht="13.5" hidden="false" customHeight="false" outlineLevel="0" collapsed="false">
      <c r="A806" s="1" t="s">
        <v>698</v>
      </c>
      <c r="B806" s="1" t="n">
        <v>1</v>
      </c>
      <c r="C806" s="5" t="n">
        <v>46290</v>
      </c>
      <c r="D806" s="6" t="s">
        <v>499</v>
      </c>
      <c r="E806" s="6" t="s">
        <v>179</v>
      </c>
      <c r="F806" s="6" t="s">
        <v>84</v>
      </c>
      <c r="G806" s="6" t="s">
        <v>64</v>
      </c>
      <c r="H806" s="6" t="s">
        <v>89</v>
      </c>
      <c r="I806" s="1" t="n">
        <v>2</v>
      </c>
      <c r="J806" s="7" t="n">
        <v>15042.22</v>
      </c>
      <c r="K806" s="8" t="n">
        <v>0.2</v>
      </c>
      <c r="L806" s="7" t="n">
        <v>10830.17</v>
      </c>
      <c r="M806" s="6" t="s">
        <v>49</v>
      </c>
      <c r="N806" s="6" t="s">
        <v>67</v>
      </c>
      <c r="O806" s="6" t="n">
        <f aca="false">IF(TablaVentas[[#This Row],[Precio_unitario]]="","PENDIENTE",TablaVentas[[#This Row],[Unidades]]*TablaVentas[[#This Row],[Precio_unitario]]*(1-TablaVentas[[#This Row],[Descuento_pct]]))</f>
        <v>24067.552</v>
      </c>
      <c r="P806" s="6" t="n">
        <f aca="false">IF(TablaVentas[[#This Row],[Costo_unitario]]="","PENDIENTE",TablaVentas[[#This Row],[Unidades]]*TablaVentas[[#This Row],[Costo_unitario]])</f>
        <v>21660.34</v>
      </c>
      <c r="Q806" s="6" t="n">
        <f aca="false">IF(OR(TablaVentas[[#This Row],[Ingreso_neto]]="PENDIENTE",TablaVentas[[#This Row],[Costo_total]]="PENDIENTE"),"PENDIENTE",TablaVentas[[#This Row],[Ingreso_neto]]-TablaVentas[[#This Row],[Costo_total]])</f>
        <v>2407.212</v>
      </c>
    </row>
    <row r="807" customFormat="false" ht="13.5" hidden="false" customHeight="false" outlineLevel="0" collapsed="false">
      <c r="A807" s="1" t="s">
        <v>699</v>
      </c>
      <c r="B807" s="1" t="n">
        <v>1</v>
      </c>
      <c r="C807" s="5" t="n">
        <v>46149</v>
      </c>
      <c r="D807" s="6" t="s">
        <v>316</v>
      </c>
      <c r="E807" s="6" t="s">
        <v>385</v>
      </c>
      <c r="F807" s="6" t="s">
        <v>84</v>
      </c>
      <c r="G807" s="6" t="s">
        <v>64</v>
      </c>
      <c r="H807" s="6" t="s">
        <v>74</v>
      </c>
      <c r="I807" s="1" t="n">
        <v>1</v>
      </c>
      <c r="J807" s="7" t="n">
        <v>3615.33</v>
      </c>
      <c r="K807" s="8" t="n">
        <v>0</v>
      </c>
      <c r="L807" s="7" t="n">
        <v>2864.64</v>
      </c>
      <c r="M807" s="6" t="s">
        <v>49</v>
      </c>
      <c r="N807" s="6" t="s">
        <v>59</v>
      </c>
      <c r="O807" s="6" t="n">
        <f aca="false">IF(TablaVentas[[#This Row],[Precio_unitario]]="","PENDIENTE",TablaVentas[[#This Row],[Unidades]]*TablaVentas[[#This Row],[Precio_unitario]]*(1-TablaVentas[[#This Row],[Descuento_pct]]))</f>
        <v>3615.33</v>
      </c>
      <c r="P807" s="6" t="n">
        <f aca="false">IF(TablaVentas[[#This Row],[Costo_unitario]]="","PENDIENTE",TablaVentas[[#This Row],[Unidades]]*TablaVentas[[#This Row],[Costo_unitario]])</f>
        <v>2864.64</v>
      </c>
      <c r="Q807" s="6" t="n">
        <f aca="false">IF(OR(TablaVentas[[#This Row],[Ingreso_neto]]="PENDIENTE",TablaVentas[[#This Row],[Costo_total]]="PENDIENTE"),"PENDIENTE",TablaVentas[[#This Row],[Ingreso_neto]]-TablaVentas[[#This Row],[Costo_total]])</f>
        <v>750.69</v>
      </c>
    </row>
    <row r="808" customFormat="false" ht="13.5" hidden="false" customHeight="false" outlineLevel="0" collapsed="false">
      <c r="A808" s="1" t="s">
        <v>699</v>
      </c>
      <c r="B808" s="1" t="n">
        <v>2</v>
      </c>
      <c r="C808" s="5" t="n">
        <v>46149</v>
      </c>
      <c r="D808" s="6" t="s">
        <v>316</v>
      </c>
      <c r="E808" s="6" t="s">
        <v>147</v>
      </c>
      <c r="F808" s="6" t="s">
        <v>84</v>
      </c>
      <c r="G808" s="6" t="s">
        <v>64</v>
      </c>
      <c r="H808" s="6" t="s">
        <v>74</v>
      </c>
      <c r="I808" s="1" t="n">
        <v>12</v>
      </c>
      <c r="J808" s="7" t="n">
        <v>3190.46</v>
      </c>
      <c r="K808" s="8" t="n">
        <v>0</v>
      </c>
      <c r="L808" s="7" t="n">
        <v>2427.63</v>
      </c>
      <c r="M808" s="6" t="s">
        <v>69</v>
      </c>
      <c r="N808" s="6" t="s">
        <v>67</v>
      </c>
      <c r="O808" s="6" t="n">
        <f aca="false">IF(TablaVentas[[#This Row],[Precio_unitario]]="","PENDIENTE",TablaVentas[[#This Row],[Unidades]]*TablaVentas[[#This Row],[Precio_unitario]]*(1-TablaVentas[[#This Row],[Descuento_pct]]))</f>
        <v>38285.52</v>
      </c>
      <c r="P808" s="6" t="n">
        <f aca="false">IF(TablaVentas[[#This Row],[Costo_unitario]]="","PENDIENTE",TablaVentas[[#This Row],[Unidades]]*TablaVentas[[#This Row],[Costo_unitario]])</f>
        <v>29131.56</v>
      </c>
      <c r="Q808" s="6" t="n">
        <f aca="false">IF(OR(TablaVentas[[#This Row],[Ingreso_neto]]="PENDIENTE",TablaVentas[[#This Row],[Costo_total]]="PENDIENTE"),"PENDIENTE",TablaVentas[[#This Row],[Ingreso_neto]]-TablaVentas[[#This Row],[Costo_total]])</f>
        <v>9153.96</v>
      </c>
    </row>
    <row r="809" customFormat="false" ht="13.5" hidden="false" customHeight="false" outlineLevel="0" collapsed="false">
      <c r="A809" s="1" t="s">
        <v>700</v>
      </c>
      <c r="B809" s="1" t="n">
        <v>1</v>
      </c>
      <c r="C809" s="5" t="n">
        <v>46129</v>
      </c>
      <c r="D809" s="6" t="s">
        <v>196</v>
      </c>
      <c r="E809" s="6" t="s">
        <v>68</v>
      </c>
      <c r="F809" s="6" t="s">
        <v>73</v>
      </c>
      <c r="G809" s="6" t="s">
        <v>57</v>
      </c>
      <c r="H809" s="6" t="s">
        <v>109</v>
      </c>
      <c r="I809" s="1" t="n">
        <v>4</v>
      </c>
      <c r="J809" s="7" t="n">
        <v>4951.02</v>
      </c>
      <c r="K809" s="8" t="n">
        <v>0</v>
      </c>
      <c r="L809" s="7" t="n">
        <v>2554.06</v>
      </c>
      <c r="M809" s="6" t="s">
        <v>49</v>
      </c>
      <c r="N809" s="6" t="s">
        <v>59</v>
      </c>
      <c r="O809" s="6" t="n">
        <f aca="false">IF(TablaVentas[[#This Row],[Precio_unitario]]="","PENDIENTE",TablaVentas[[#This Row],[Unidades]]*TablaVentas[[#This Row],[Precio_unitario]]*(1-TablaVentas[[#This Row],[Descuento_pct]]))</f>
        <v>19804.08</v>
      </c>
      <c r="P809" s="6" t="n">
        <f aca="false">IF(TablaVentas[[#This Row],[Costo_unitario]]="","PENDIENTE",TablaVentas[[#This Row],[Unidades]]*TablaVentas[[#This Row],[Costo_unitario]])</f>
        <v>10216.24</v>
      </c>
      <c r="Q809" s="6" t="n">
        <f aca="false">IF(OR(TablaVentas[[#This Row],[Ingreso_neto]]="PENDIENTE",TablaVentas[[#This Row],[Costo_total]]="PENDIENTE"),"PENDIENTE",TablaVentas[[#This Row],[Ingreso_neto]]-TablaVentas[[#This Row],[Costo_total]])</f>
        <v>9587.84</v>
      </c>
    </row>
    <row r="810" customFormat="false" ht="13.5" hidden="false" customHeight="false" outlineLevel="0" collapsed="false">
      <c r="A810" s="1" t="s">
        <v>700</v>
      </c>
      <c r="B810" s="1" t="n">
        <v>2</v>
      </c>
      <c r="C810" s="5" t="n">
        <v>46129</v>
      </c>
      <c r="D810" s="6" t="s">
        <v>196</v>
      </c>
      <c r="E810" s="6" t="s">
        <v>101</v>
      </c>
      <c r="F810" s="6" t="s">
        <v>73</v>
      </c>
      <c r="G810" s="6" t="s">
        <v>57</v>
      </c>
      <c r="H810" s="6" t="s">
        <v>109</v>
      </c>
      <c r="I810" s="1" t="n">
        <v>4</v>
      </c>
      <c r="J810" s="7" t="n">
        <v>8031.38</v>
      </c>
      <c r="K810" s="8" t="n">
        <v>0.1</v>
      </c>
      <c r="L810" s="7" t="n">
        <v>4538.06</v>
      </c>
      <c r="M810" s="6" t="s">
        <v>49</v>
      </c>
      <c r="N810" s="6" t="s">
        <v>59</v>
      </c>
      <c r="O810" s="6" t="n">
        <f aca="false">IF(TablaVentas[[#This Row],[Precio_unitario]]="","PENDIENTE",TablaVentas[[#This Row],[Unidades]]*TablaVentas[[#This Row],[Precio_unitario]]*(1-TablaVentas[[#This Row],[Descuento_pct]]))</f>
        <v>28912.968</v>
      </c>
      <c r="P810" s="6" t="n">
        <f aca="false">IF(TablaVentas[[#This Row],[Costo_unitario]]="","PENDIENTE",TablaVentas[[#This Row],[Unidades]]*TablaVentas[[#This Row],[Costo_unitario]])</f>
        <v>18152.24</v>
      </c>
      <c r="Q810" s="6" t="n">
        <f aca="false">IF(OR(TablaVentas[[#This Row],[Ingreso_neto]]="PENDIENTE",TablaVentas[[#This Row],[Costo_total]]="PENDIENTE"),"PENDIENTE",TablaVentas[[#This Row],[Ingreso_neto]]-TablaVentas[[#This Row],[Costo_total]])</f>
        <v>10760.728</v>
      </c>
    </row>
    <row r="811" customFormat="false" ht="13.5" hidden="false" customHeight="false" outlineLevel="0" collapsed="false">
      <c r="A811" s="1" t="s">
        <v>700</v>
      </c>
      <c r="B811" s="1" t="n">
        <v>3</v>
      </c>
      <c r="C811" s="5" t="n">
        <v>46129</v>
      </c>
      <c r="D811" s="6" t="s">
        <v>196</v>
      </c>
      <c r="E811" s="6" t="s">
        <v>150</v>
      </c>
      <c r="F811" s="6" t="s">
        <v>73</v>
      </c>
      <c r="G811" s="6" t="s">
        <v>57</v>
      </c>
      <c r="H811" s="6" t="s">
        <v>109</v>
      </c>
      <c r="I811" s="1" t="n">
        <v>2</v>
      </c>
      <c r="J811" s="7" t="n">
        <v>8998.65</v>
      </c>
      <c r="K811" s="8" t="n">
        <v>0</v>
      </c>
      <c r="L811" s="7" t="n">
        <v>6815.42</v>
      </c>
      <c r="M811" s="6" t="s">
        <v>49</v>
      </c>
      <c r="N811" s="6" t="s">
        <v>52</v>
      </c>
      <c r="O811" s="6" t="n">
        <f aca="false">IF(TablaVentas[[#This Row],[Precio_unitario]]="","PENDIENTE",TablaVentas[[#This Row],[Unidades]]*TablaVentas[[#This Row],[Precio_unitario]]*(1-TablaVentas[[#This Row],[Descuento_pct]]))</f>
        <v>17997.3</v>
      </c>
      <c r="P811" s="6" t="n">
        <f aca="false">IF(TablaVentas[[#This Row],[Costo_unitario]]="","PENDIENTE",TablaVentas[[#This Row],[Unidades]]*TablaVentas[[#This Row],[Costo_unitario]])</f>
        <v>13630.84</v>
      </c>
      <c r="Q811" s="6" t="n">
        <f aca="false">IF(OR(TablaVentas[[#This Row],[Ingreso_neto]]="PENDIENTE",TablaVentas[[#This Row],[Costo_total]]="PENDIENTE"),"PENDIENTE",TablaVentas[[#This Row],[Ingreso_neto]]-TablaVentas[[#This Row],[Costo_total]])</f>
        <v>4366.46</v>
      </c>
    </row>
    <row r="812" customFormat="false" ht="13.5" hidden="false" customHeight="false" outlineLevel="0" collapsed="false">
      <c r="A812" s="1" t="s">
        <v>701</v>
      </c>
      <c r="B812" s="1" t="n">
        <v>1</v>
      </c>
      <c r="C812" s="5" t="n">
        <v>46245</v>
      </c>
      <c r="D812" s="6" t="s">
        <v>144</v>
      </c>
      <c r="E812" s="6" t="s">
        <v>139</v>
      </c>
      <c r="F812" s="6" t="s">
        <v>46</v>
      </c>
      <c r="G812" s="6" t="s">
        <v>57</v>
      </c>
      <c r="H812" s="6" t="s">
        <v>48</v>
      </c>
      <c r="I812" s="1" t="n">
        <v>3</v>
      </c>
      <c r="J812" s="7" t="n">
        <v>17448.07</v>
      </c>
      <c r="K812" s="8" t="n">
        <v>0</v>
      </c>
      <c r="L812" s="7" t="n">
        <v>11036.95</v>
      </c>
      <c r="M812" s="6" t="s">
        <v>49</v>
      </c>
      <c r="N812" s="6" t="s">
        <v>67</v>
      </c>
      <c r="O812" s="6" t="n">
        <f aca="false">IF(TablaVentas[[#This Row],[Precio_unitario]]="","PENDIENTE",TablaVentas[[#This Row],[Unidades]]*TablaVentas[[#This Row],[Precio_unitario]]*(1-TablaVentas[[#This Row],[Descuento_pct]]))</f>
        <v>52344.21</v>
      </c>
      <c r="P812" s="6" t="n">
        <f aca="false">IF(TablaVentas[[#This Row],[Costo_unitario]]="","PENDIENTE",TablaVentas[[#This Row],[Unidades]]*TablaVentas[[#This Row],[Costo_unitario]])</f>
        <v>33110.85</v>
      </c>
      <c r="Q812" s="6" t="n">
        <f aca="false">IF(OR(TablaVentas[[#This Row],[Ingreso_neto]]="PENDIENTE",TablaVentas[[#This Row],[Costo_total]]="PENDIENTE"),"PENDIENTE",TablaVentas[[#This Row],[Ingreso_neto]]-TablaVentas[[#This Row],[Costo_total]])</f>
        <v>19233.36</v>
      </c>
    </row>
    <row r="813" customFormat="false" ht="13.5" hidden="false" customHeight="false" outlineLevel="0" collapsed="false">
      <c r="A813" s="1" t="s">
        <v>701</v>
      </c>
      <c r="B813" s="1" t="n">
        <v>2</v>
      </c>
      <c r="C813" s="5" t="n">
        <v>46245</v>
      </c>
      <c r="D813" s="6" t="s">
        <v>144</v>
      </c>
      <c r="E813" s="6" t="s">
        <v>360</v>
      </c>
      <c r="F813" s="6" t="s">
        <v>46</v>
      </c>
      <c r="G813" s="6" t="s">
        <v>57</v>
      </c>
      <c r="H813" s="6" t="s">
        <v>48</v>
      </c>
      <c r="I813" s="1" t="n">
        <v>4</v>
      </c>
      <c r="J813" s="7" t="n">
        <v>2255.29</v>
      </c>
      <c r="K813" s="8" t="n">
        <v>0</v>
      </c>
      <c r="L813" s="7" t="n">
        <v>1479.71</v>
      </c>
      <c r="M813" s="6" t="s">
        <v>49</v>
      </c>
      <c r="N813" s="6" t="s">
        <v>59</v>
      </c>
      <c r="O813" s="6" t="n">
        <f aca="false">IF(TablaVentas[[#This Row],[Precio_unitario]]="","PENDIENTE",TablaVentas[[#This Row],[Unidades]]*TablaVentas[[#This Row],[Precio_unitario]]*(1-TablaVentas[[#This Row],[Descuento_pct]]))</f>
        <v>9021.16</v>
      </c>
      <c r="P813" s="6" t="n">
        <f aca="false">IF(TablaVentas[[#This Row],[Costo_unitario]]="","PENDIENTE",TablaVentas[[#This Row],[Unidades]]*TablaVentas[[#This Row],[Costo_unitario]])</f>
        <v>5918.84</v>
      </c>
      <c r="Q813" s="6" t="n">
        <f aca="false">IF(OR(TablaVentas[[#This Row],[Ingreso_neto]]="PENDIENTE",TablaVentas[[#This Row],[Costo_total]]="PENDIENTE"),"PENDIENTE",TablaVentas[[#This Row],[Ingreso_neto]]-TablaVentas[[#This Row],[Costo_total]])</f>
        <v>3102.32</v>
      </c>
    </row>
    <row r="814" customFormat="false" ht="13.5" hidden="false" customHeight="false" outlineLevel="0" collapsed="false">
      <c r="A814" s="1" t="s">
        <v>701</v>
      </c>
      <c r="B814" s="1" t="n">
        <v>3</v>
      </c>
      <c r="C814" s="5" t="n">
        <v>46245</v>
      </c>
      <c r="D814" s="6" t="s">
        <v>144</v>
      </c>
      <c r="E814" s="6" t="s">
        <v>182</v>
      </c>
      <c r="F814" s="6" t="s">
        <v>46</v>
      </c>
      <c r="G814" s="6" t="s">
        <v>57</v>
      </c>
      <c r="H814" s="6" t="s">
        <v>48</v>
      </c>
      <c r="I814" s="1" t="n">
        <v>2</v>
      </c>
      <c r="J814" s="7" t="n">
        <v>2750.77</v>
      </c>
      <c r="K814" s="8" t="n">
        <v>0</v>
      </c>
      <c r="L814" s="7" t="n">
        <v>1857.39</v>
      </c>
      <c r="M814" s="6" t="s">
        <v>49</v>
      </c>
      <c r="N814" s="6" t="s">
        <v>50</v>
      </c>
      <c r="O814" s="6" t="n">
        <f aca="false">IF(TablaVentas[[#This Row],[Precio_unitario]]="","PENDIENTE",TablaVentas[[#This Row],[Unidades]]*TablaVentas[[#This Row],[Precio_unitario]]*(1-TablaVentas[[#This Row],[Descuento_pct]]))</f>
        <v>5501.54</v>
      </c>
      <c r="P814" s="6" t="n">
        <f aca="false">IF(TablaVentas[[#This Row],[Costo_unitario]]="","PENDIENTE",TablaVentas[[#This Row],[Unidades]]*TablaVentas[[#This Row],[Costo_unitario]])</f>
        <v>3714.78</v>
      </c>
      <c r="Q814" s="6" t="n">
        <f aca="false">IF(OR(TablaVentas[[#This Row],[Ingreso_neto]]="PENDIENTE",TablaVentas[[#This Row],[Costo_total]]="PENDIENTE"),"PENDIENTE",TablaVentas[[#This Row],[Ingreso_neto]]-TablaVentas[[#This Row],[Costo_total]])</f>
        <v>1786.76</v>
      </c>
    </row>
    <row r="815" customFormat="false" ht="13.5" hidden="false" customHeight="false" outlineLevel="0" collapsed="false">
      <c r="A815" s="1" t="s">
        <v>701</v>
      </c>
      <c r="B815" s="1" t="n">
        <v>4</v>
      </c>
      <c r="C815" s="5" t="n">
        <v>46245</v>
      </c>
      <c r="D815" s="6" t="s">
        <v>144</v>
      </c>
      <c r="E815" s="6" t="s">
        <v>83</v>
      </c>
      <c r="F815" s="6" t="s">
        <v>46</v>
      </c>
      <c r="G815" s="6" t="s">
        <v>57</v>
      </c>
      <c r="H815" s="6" t="s">
        <v>48</v>
      </c>
      <c r="I815" s="1" t="n">
        <v>3</v>
      </c>
      <c r="J815" s="7" t="n">
        <v>14453.85</v>
      </c>
      <c r="K815" s="8" t="n">
        <v>0</v>
      </c>
      <c r="L815" s="7" t="n">
        <v>7748.44</v>
      </c>
      <c r="M815" s="6" t="s">
        <v>49</v>
      </c>
      <c r="N815" s="6" t="s">
        <v>50</v>
      </c>
      <c r="O815" s="6" t="n">
        <f aca="false">IF(TablaVentas[[#This Row],[Precio_unitario]]="","PENDIENTE",TablaVentas[[#This Row],[Unidades]]*TablaVentas[[#This Row],[Precio_unitario]]*(1-TablaVentas[[#This Row],[Descuento_pct]]))</f>
        <v>43361.55</v>
      </c>
      <c r="P815" s="6" t="n">
        <f aca="false">IF(TablaVentas[[#This Row],[Costo_unitario]]="","PENDIENTE",TablaVentas[[#This Row],[Unidades]]*TablaVentas[[#This Row],[Costo_unitario]])</f>
        <v>23245.32</v>
      </c>
      <c r="Q815" s="6" t="n">
        <f aca="false">IF(OR(TablaVentas[[#This Row],[Ingreso_neto]]="PENDIENTE",TablaVentas[[#This Row],[Costo_total]]="PENDIENTE"),"PENDIENTE",TablaVentas[[#This Row],[Ingreso_neto]]-TablaVentas[[#This Row],[Costo_total]])</f>
        <v>20116.23</v>
      </c>
    </row>
    <row r="816" customFormat="false" ht="13.5" hidden="false" customHeight="false" outlineLevel="0" collapsed="false">
      <c r="A816" s="1" t="s">
        <v>702</v>
      </c>
      <c r="B816" s="1" t="n">
        <v>1</v>
      </c>
      <c r="C816" s="5" t="n">
        <v>46276</v>
      </c>
      <c r="D816" s="6" t="s">
        <v>221</v>
      </c>
      <c r="E816" s="6" t="s">
        <v>100</v>
      </c>
      <c r="F816" s="6" t="s">
        <v>84</v>
      </c>
      <c r="G816" s="6" t="s">
        <v>64</v>
      </c>
      <c r="H816" s="6" t="s">
        <v>131</v>
      </c>
      <c r="I816" s="1" t="n">
        <v>5</v>
      </c>
      <c r="J816" s="7" t="n">
        <v>15613.58</v>
      </c>
      <c r="K816" s="8" t="n">
        <v>0</v>
      </c>
      <c r="L816" s="7" t="n">
        <v>8788.79</v>
      </c>
      <c r="M816" s="6" t="s">
        <v>49</v>
      </c>
      <c r="N816" s="6" t="s">
        <v>52</v>
      </c>
      <c r="O816" s="6" t="n">
        <f aca="false">IF(TablaVentas[[#This Row],[Precio_unitario]]="","PENDIENTE",TablaVentas[[#This Row],[Unidades]]*TablaVentas[[#This Row],[Precio_unitario]]*(1-TablaVentas[[#This Row],[Descuento_pct]]))</f>
        <v>78067.9</v>
      </c>
      <c r="P816" s="6" t="n">
        <f aca="false">IF(TablaVentas[[#This Row],[Costo_unitario]]="","PENDIENTE",TablaVentas[[#This Row],[Unidades]]*TablaVentas[[#This Row],[Costo_unitario]])</f>
        <v>43943.95</v>
      </c>
      <c r="Q816" s="6" t="n">
        <f aca="false">IF(OR(TablaVentas[[#This Row],[Ingreso_neto]]="PENDIENTE",TablaVentas[[#This Row],[Costo_total]]="PENDIENTE"),"PENDIENTE",TablaVentas[[#This Row],[Ingreso_neto]]-TablaVentas[[#This Row],[Costo_total]])</f>
        <v>34123.95</v>
      </c>
    </row>
    <row r="817" customFormat="false" ht="13.5" hidden="false" customHeight="false" outlineLevel="0" collapsed="false">
      <c r="A817" s="1" t="s">
        <v>702</v>
      </c>
      <c r="B817" s="1" t="n">
        <v>2</v>
      </c>
      <c r="C817" s="5" t="n">
        <v>46276</v>
      </c>
      <c r="D817" s="6" t="s">
        <v>221</v>
      </c>
      <c r="E817" s="6" t="s">
        <v>151</v>
      </c>
      <c r="F817" s="6" t="s">
        <v>84</v>
      </c>
      <c r="G817" s="6" t="s">
        <v>64</v>
      </c>
      <c r="H817" s="6" t="s">
        <v>131</v>
      </c>
      <c r="I817" s="1" t="n">
        <v>4</v>
      </c>
      <c r="J817" s="7" t="n">
        <v>8786.97</v>
      </c>
      <c r="K817" s="8" t="n">
        <v>0</v>
      </c>
      <c r="L817" s="7" t="n">
        <v>5125.36</v>
      </c>
      <c r="M817" s="6" t="s">
        <v>49</v>
      </c>
      <c r="N817" s="6" t="s">
        <v>67</v>
      </c>
      <c r="O817" s="6" t="n">
        <f aca="false">IF(TablaVentas[[#This Row],[Precio_unitario]]="","PENDIENTE",TablaVentas[[#This Row],[Unidades]]*TablaVentas[[#This Row],[Precio_unitario]]*(1-TablaVentas[[#This Row],[Descuento_pct]]))</f>
        <v>35147.88</v>
      </c>
      <c r="P817" s="6" t="n">
        <f aca="false">IF(TablaVentas[[#This Row],[Costo_unitario]]="","PENDIENTE",TablaVentas[[#This Row],[Unidades]]*TablaVentas[[#This Row],[Costo_unitario]])</f>
        <v>20501.44</v>
      </c>
      <c r="Q817" s="6" t="n">
        <f aca="false">IF(OR(TablaVentas[[#This Row],[Ingreso_neto]]="PENDIENTE",TablaVentas[[#This Row],[Costo_total]]="PENDIENTE"),"PENDIENTE",TablaVentas[[#This Row],[Ingreso_neto]]-TablaVentas[[#This Row],[Costo_total]])</f>
        <v>14646.44</v>
      </c>
    </row>
    <row r="818" customFormat="false" ht="13.5" hidden="false" customHeight="false" outlineLevel="0" collapsed="false">
      <c r="A818" s="1" t="s">
        <v>702</v>
      </c>
      <c r="B818" s="1" t="n">
        <v>3</v>
      </c>
      <c r="C818" s="5" t="n">
        <v>46276</v>
      </c>
      <c r="D818" s="6" t="s">
        <v>221</v>
      </c>
      <c r="E818" s="6" t="s">
        <v>113</v>
      </c>
      <c r="F818" s="6" t="s">
        <v>84</v>
      </c>
      <c r="G818" s="6" t="s">
        <v>64</v>
      </c>
      <c r="H818" s="6" t="s">
        <v>131</v>
      </c>
      <c r="I818" s="1" t="n">
        <v>12</v>
      </c>
      <c r="J818" s="7" t="n">
        <v>9029.95</v>
      </c>
      <c r="K818" s="8" t="n">
        <v>0</v>
      </c>
      <c r="L818" s="7" t="n">
        <v>8276.74</v>
      </c>
      <c r="M818" s="6" t="s">
        <v>49</v>
      </c>
      <c r="N818" s="6" t="s">
        <v>52</v>
      </c>
      <c r="O818" s="6" t="n">
        <f aca="false">IF(TablaVentas[[#This Row],[Precio_unitario]]="","PENDIENTE",TablaVentas[[#This Row],[Unidades]]*TablaVentas[[#This Row],[Precio_unitario]]*(1-TablaVentas[[#This Row],[Descuento_pct]]))</f>
        <v>108359.4</v>
      </c>
      <c r="P818" s="6" t="n">
        <f aca="false">IF(TablaVentas[[#This Row],[Costo_unitario]]="","PENDIENTE",TablaVentas[[#This Row],[Unidades]]*TablaVentas[[#This Row],[Costo_unitario]])</f>
        <v>99320.88</v>
      </c>
      <c r="Q818" s="6" t="n">
        <f aca="false">IF(OR(TablaVentas[[#This Row],[Ingreso_neto]]="PENDIENTE",TablaVentas[[#This Row],[Costo_total]]="PENDIENTE"),"PENDIENTE",TablaVentas[[#This Row],[Ingreso_neto]]-TablaVentas[[#This Row],[Costo_total]])</f>
        <v>9038.52</v>
      </c>
    </row>
    <row r="819" customFormat="false" ht="13.5" hidden="false" customHeight="false" outlineLevel="0" collapsed="false">
      <c r="A819" s="1" t="s">
        <v>703</v>
      </c>
      <c r="B819" s="1" t="n">
        <v>1</v>
      </c>
      <c r="C819" s="5" t="n">
        <v>46236</v>
      </c>
      <c r="D819" s="6" t="s">
        <v>485</v>
      </c>
      <c r="E819" s="6" t="s">
        <v>141</v>
      </c>
      <c r="F819" s="6" t="s">
        <v>84</v>
      </c>
      <c r="G819" s="6" t="s">
        <v>47</v>
      </c>
      <c r="H819" s="6" t="s">
        <v>131</v>
      </c>
      <c r="I819" s="1" t="n">
        <v>8</v>
      </c>
      <c r="J819" s="7" t="n">
        <v>262.8</v>
      </c>
      <c r="K819" s="8" t="n">
        <v>0</v>
      </c>
      <c r="L819" s="7" t="n">
        <v>176.47</v>
      </c>
      <c r="M819" s="6" t="s">
        <v>49</v>
      </c>
      <c r="N819" s="6" t="s">
        <v>52</v>
      </c>
      <c r="O819" s="6" t="n">
        <f aca="false">IF(TablaVentas[[#This Row],[Precio_unitario]]="","PENDIENTE",TablaVentas[[#This Row],[Unidades]]*TablaVentas[[#This Row],[Precio_unitario]]*(1-TablaVentas[[#This Row],[Descuento_pct]]))</f>
        <v>2102.4</v>
      </c>
      <c r="P819" s="6" t="n">
        <f aca="false">IF(TablaVentas[[#This Row],[Costo_unitario]]="","PENDIENTE",TablaVentas[[#This Row],[Unidades]]*TablaVentas[[#This Row],[Costo_unitario]])</f>
        <v>1411.76</v>
      </c>
      <c r="Q819" s="6" t="n">
        <f aca="false">IF(OR(TablaVentas[[#This Row],[Ingreso_neto]]="PENDIENTE",TablaVentas[[#This Row],[Costo_total]]="PENDIENTE"),"PENDIENTE",TablaVentas[[#This Row],[Ingreso_neto]]-TablaVentas[[#This Row],[Costo_total]])</f>
        <v>690.64</v>
      </c>
    </row>
    <row r="820" customFormat="false" ht="13.5" hidden="false" customHeight="false" outlineLevel="0" collapsed="false">
      <c r="A820" s="1" t="s">
        <v>703</v>
      </c>
      <c r="B820" s="1" t="n">
        <v>2</v>
      </c>
      <c r="C820" s="5" t="n">
        <v>46236</v>
      </c>
      <c r="D820" s="6" t="s">
        <v>485</v>
      </c>
      <c r="E820" s="6" t="s">
        <v>187</v>
      </c>
      <c r="F820" s="6" t="s">
        <v>84</v>
      </c>
      <c r="G820" s="6" t="s">
        <v>47</v>
      </c>
      <c r="H820" s="6" t="s">
        <v>131</v>
      </c>
      <c r="I820" s="1" t="n">
        <v>1</v>
      </c>
      <c r="J820" s="7" t="n">
        <v>6836.42</v>
      </c>
      <c r="K820" s="8" t="n">
        <v>0.2</v>
      </c>
      <c r="L820" s="7" t="n">
        <v>3824.92</v>
      </c>
      <c r="M820" s="6" t="s">
        <v>49</v>
      </c>
      <c r="N820" s="6" t="s">
        <v>59</v>
      </c>
      <c r="O820" s="6" t="n">
        <f aca="false">IF(TablaVentas[[#This Row],[Precio_unitario]]="","PENDIENTE",TablaVentas[[#This Row],[Unidades]]*TablaVentas[[#This Row],[Precio_unitario]]*(1-TablaVentas[[#This Row],[Descuento_pct]]))</f>
        <v>5469.136</v>
      </c>
      <c r="P820" s="6" t="n">
        <f aca="false">IF(TablaVentas[[#This Row],[Costo_unitario]]="","PENDIENTE",TablaVentas[[#This Row],[Unidades]]*TablaVentas[[#This Row],[Costo_unitario]])</f>
        <v>3824.92</v>
      </c>
      <c r="Q820" s="6" t="n">
        <f aca="false">IF(OR(TablaVentas[[#This Row],[Ingreso_neto]]="PENDIENTE",TablaVentas[[#This Row],[Costo_total]]="PENDIENTE"),"PENDIENTE",TablaVentas[[#This Row],[Ingreso_neto]]-TablaVentas[[#This Row],[Costo_total]])</f>
        <v>1644.216</v>
      </c>
    </row>
    <row r="821" customFormat="false" ht="13.5" hidden="false" customHeight="false" outlineLevel="0" collapsed="false">
      <c r="A821" s="1" t="s">
        <v>704</v>
      </c>
      <c r="B821" s="1" t="n">
        <v>1</v>
      </c>
      <c r="C821" s="5" t="n">
        <v>46175</v>
      </c>
      <c r="D821" s="6" t="s">
        <v>525</v>
      </c>
      <c r="E821" s="6" t="s">
        <v>120</v>
      </c>
      <c r="F821" s="6" t="s">
        <v>73</v>
      </c>
      <c r="G821" s="6" t="s">
        <v>57</v>
      </c>
      <c r="H821" s="6" t="s">
        <v>58</v>
      </c>
      <c r="I821" s="1" t="n">
        <v>2</v>
      </c>
      <c r="J821" s="7" t="n">
        <v>3157.34</v>
      </c>
      <c r="K821" s="8" t="n">
        <v>0.2</v>
      </c>
      <c r="L821" s="7" t="n">
        <v>2196.34</v>
      </c>
      <c r="M821" s="6" t="s">
        <v>49</v>
      </c>
      <c r="N821" s="6" t="s">
        <v>52</v>
      </c>
      <c r="O821" s="6" t="n">
        <f aca="false">IF(TablaVentas[[#This Row],[Precio_unitario]]="","PENDIENTE",TablaVentas[[#This Row],[Unidades]]*TablaVentas[[#This Row],[Precio_unitario]]*(1-TablaVentas[[#This Row],[Descuento_pct]]))</f>
        <v>5051.744</v>
      </c>
      <c r="P821" s="6" t="n">
        <f aca="false">IF(TablaVentas[[#This Row],[Costo_unitario]]="","PENDIENTE",TablaVentas[[#This Row],[Unidades]]*TablaVentas[[#This Row],[Costo_unitario]])</f>
        <v>4392.68</v>
      </c>
      <c r="Q821" s="6" t="n">
        <f aca="false">IF(OR(TablaVentas[[#This Row],[Ingreso_neto]]="PENDIENTE",TablaVentas[[#This Row],[Costo_total]]="PENDIENTE"),"PENDIENTE",TablaVentas[[#This Row],[Ingreso_neto]]-TablaVentas[[#This Row],[Costo_total]])</f>
        <v>659.064</v>
      </c>
    </row>
    <row r="822" customFormat="false" ht="13.5" hidden="false" customHeight="false" outlineLevel="0" collapsed="false">
      <c r="A822" s="1" t="s">
        <v>705</v>
      </c>
      <c r="B822" s="1" t="n">
        <v>1</v>
      </c>
      <c r="C822" s="5" t="n">
        <v>46095</v>
      </c>
      <c r="D822" s="6" t="s">
        <v>421</v>
      </c>
      <c r="E822" s="6" t="s">
        <v>117</v>
      </c>
      <c r="F822" s="6" t="s">
        <v>84</v>
      </c>
      <c r="G822" s="6" t="s">
        <v>47</v>
      </c>
      <c r="H822" s="6" t="s">
        <v>136</v>
      </c>
      <c r="I822" s="1" t="n">
        <v>2</v>
      </c>
      <c r="J822" s="7" t="n">
        <v>5328.89</v>
      </c>
      <c r="K822" s="8" t="n">
        <v>0</v>
      </c>
      <c r="L822" s="7" t="n">
        <v>4205.69</v>
      </c>
      <c r="M822" s="6" t="s">
        <v>49</v>
      </c>
      <c r="N822" s="6" t="s">
        <v>67</v>
      </c>
      <c r="O822" s="6" t="n">
        <f aca="false">IF(TablaVentas[[#This Row],[Precio_unitario]]="","PENDIENTE",TablaVentas[[#This Row],[Unidades]]*TablaVentas[[#This Row],[Precio_unitario]]*(1-TablaVentas[[#This Row],[Descuento_pct]]))</f>
        <v>10657.78</v>
      </c>
      <c r="P822" s="6" t="n">
        <f aca="false">IF(TablaVentas[[#This Row],[Costo_unitario]]="","PENDIENTE",TablaVentas[[#This Row],[Unidades]]*TablaVentas[[#This Row],[Costo_unitario]])</f>
        <v>8411.38</v>
      </c>
      <c r="Q822" s="6" t="n">
        <f aca="false">IF(OR(TablaVentas[[#This Row],[Ingreso_neto]]="PENDIENTE",TablaVentas[[#This Row],[Costo_total]]="PENDIENTE"),"PENDIENTE",TablaVentas[[#This Row],[Ingreso_neto]]-TablaVentas[[#This Row],[Costo_total]])</f>
        <v>2246.4</v>
      </c>
    </row>
    <row r="823" customFormat="false" ht="13.5" hidden="false" customHeight="false" outlineLevel="0" collapsed="false">
      <c r="A823" s="1" t="s">
        <v>705</v>
      </c>
      <c r="B823" s="1" t="n">
        <v>2</v>
      </c>
      <c r="C823" s="5" t="n">
        <v>46095</v>
      </c>
      <c r="D823" s="6" t="s">
        <v>421</v>
      </c>
      <c r="E823" s="6" t="s">
        <v>110</v>
      </c>
      <c r="F823" s="6" t="s">
        <v>84</v>
      </c>
      <c r="G823" s="6" t="s">
        <v>47</v>
      </c>
      <c r="H823" s="6" t="s">
        <v>136</v>
      </c>
      <c r="I823" s="1" t="n">
        <v>5</v>
      </c>
      <c r="J823" s="7" t="n">
        <v>11773.76</v>
      </c>
      <c r="K823" s="8" t="n">
        <v>0.1</v>
      </c>
      <c r="L823" s="7" t="n">
        <v>7549.71</v>
      </c>
      <c r="M823" s="6" t="s">
        <v>49</v>
      </c>
      <c r="N823" s="6" t="s">
        <v>52</v>
      </c>
      <c r="O823" s="6" t="n">
        <f aca="false">IF(TablaVentas[[#This Row],[Precio_unitario]]="","PENDIENTE",TablaVentas[[#This Row],[Unidades]]*TablaVentas[[#This Row],[Precio_unitario]]*(1-TablaVentas[[#This Row],[Descuento_pct]]))</f>
        <v>52981.92</v>
      </c>
      <c r="P823" s="6" t="n">
        <f aca="false">IF(TablaVentas[[#This Row],[Costo_unitario]]="","PENDIENTE",TablaVentas[[#This Row],[Unidades]]*TablaVentas[[#This Row],[Costo_unitario]])</f>
        <v>37748.55</v>
      </c>
      <c r="Q823" s="6" t="n">
        <f aca="false">IF(OR(TablaVentas[[#This Row],[Ingreso_neto]]="PENDIENTE",TablaVentas[[#This Row],[Costo_total]]="PENDIENTE"),"PENDIENTE",TablaVentas[[#This Row],[Ingreso_neto]]-TablaVentas[[#This Row],[Costo_total]])</f>
        <v>15233.37</v>
      </c>
    </row>
    <row r="824" customFormat="false" ht="13.5" hidden="false" customHeight="false" outlineLevel="0" collapsed="false">
      <c r="A824" s="1" t="s">
        <v>705</v>
      </c>
      <c r="B824" s="1" t="n">
        <v>3</v>
      </c>
      <c r="C824" s="5" t="n">
        <v>46095</v>
      </c>
      <c r="D824" s="6" t="s">
        <v>421</v>
      </c>
      <c r="E824" s="6" t="s">
        <v>385</v>
      </c>
      <c r="F824" s="6" t="s">
        <v>84</v>
      </c>
      <c r="G824" s="6" t="s">
        <v>47</v>
      </c>
      <c r="H824" s="6" t="s">
        <v>136</v>
      </c>
      <c r="I824" s="1" t="n">
        <v>1</v>
      </c>
      <c r="J824" s="7" t="n">
        <v>3472.33</v>
      </c>
      <c r="K824" s="8" t="n">
        <v>0</v>
      </c>
      <c r="L824" s="7" t="n">
        <v>2864.64</v>
      </c>
      <c r="M824" s="6" t="s">
        <v>49</v>
      </c>
      <c r="N824" s="6" t="s">
        <v>67</v>
      </c>
      <c r="O824" s="6" t="n">
        <f aca="false">IF(TablaVentas[[#This Row],[Precio_unitario]]="","PENDIENTE",TablaVentas[[#This Row],[Unidades]]*TablaVentas[[#This Row],[Precio_unitario]]*(1-TablaVentas[[#This Row],[Descuento_pct]]))</f>
        <v>3472.33</v>
      </c>
      <c r="P824" s="6" t="n">
        <f aca="false">IF(TablaVentas[[#This Row],[Costo_unitario]]="","PENDIENTE",TablaVentas[[#This Row],[Unidades]]*TablaVentas[[#This Row],[Costo_unitario]])</f>
        <v>2864.64</v>
      </c>
      <c r="Q824" s="6" t="n">
        <f aca="false">IF(OR(TablaVentas[[#This Row],[Ingreso_neto]]="PENDIENTE",TablaVentas[[#This Row],[Costo_total]]="PENDIENTE"),"PENDIENTE",TablaVentas[[#This Row],[Ingreso_neto]]-TablaVentas[[#This Row],[Costo_total]])</f>
        <v>607.69</v>
      </c>
    </row>
    <row r="825" customFormat="false" ht="13.5" hidden="false" customHeight="false" outlineLevel="0" collapsed="false">
      <c r="A825" s="1" t="s">
        <v>705</v>
      </c>
      <c r="B825" s="1" t="n">
        <v>4</v>
      </c>
      <c r="C825" s="5" t="n">
        <v>46095</v>
      </c>
      <c r="D825" s="6" t="s">
        <v>421</v>
      </c>
      <c r="E825" s="6" t="s">
        <v>163</v>
      </c>
      <c r="F825" s="6" t="s">
        <v>84</v>
      </c>
      <c r="G825" s="6" t="s">
        <v>47</v>
      </c>
      <c r="H825" s="6" t="s">
        <v>136</v>
      </c>
      <c r="I825" s="1" t="n">
        <v>1</v>
      </c>
      <c r="J825" s="7" t="n">
        <v>17179.25</v>
      </c>
      <c r="K825" s="8" t="n">
        <v>0</v>
      </c>
      <c r="L825" s="7" t="n">
        <v>13981.13</v>
      </c>
      <c r="M825" s="6" t="s">
        <v>49</v>
      </c>
      <c r="N825" s="6" t="s">
        <v>50</v>
      </c>
      <c r="O825" s="6" t="n">
        <f aca="false">IF(TablaVentas[[#This Row],[Precio_unitario]]="","PENDIENTE",TablaVentas[[#This Row],[Unidades]]*TablaVentas[[#This Row],[Precio_unitario]]*(1-TablaVentas[[#This Row],[Descuento_pct]]))</f>
        <v>17179.25</v>
      </c>
      <c r="P825" s="6" t="n">
        <f aca="false">IF(TablaVentas[[#This Row],[Costo_unitario]]="","PENDIENTE",TablaVentas[[#This Row],[Unidades]]*TablaVentas[[#This Row],[Costo_unitario]])</f>
        <v>13981.13</v>
      </c>
      <c r="Q825" s="6" t="n">
        <f aca="false">IF(OR(TablaVentas[[#This Row],[Ingreso_neto]]="PENDIENTE",TablaVentas[[#This Row],[Costo_total]]="PENDIENTE"),"PENDIENTE",TablaVentas[[#This Row],[Ingreso_neto]]-TablaVentas[[#This Row],[Costo_total]])</f>
        <v>3198.12</v>
      </c>
    </row>
    <row r="826" customFormat="false" ht="13.5" hidden="false" customHeight="false" outlineLevel="0" collapsed="false">
      <c r="A826" s="1" t="s">
        <v>706</v>
      </c>
      <c r="B826" s="1" t="n">
        <v>1</v>
      </c>
      <c r="C826" s="5" t="n">
        <v>46122</v>
      </c>
      <c r="D826" s="6" t="s">
        <v>298</v>
      </c>
      <c r="E826" s="6" t="s">
        <v>342</v>
      </c>
      <c r="F826" s="6" t="s">
        <v>63</v>
      </c>
      <c r="G826" s="6" t="s">
        <v>47</v>
      </c>
      <c r="H826" s="6" t="s">
        <v>58</v>
      </c>
      <c r="I826" s="1" t="n">
        <v>5</v>
      </c>
      <c r="J826" s="7" t="n">
        <v>7600.44</v>
      </c>
      <c r="K826" s="8" t="n">
        <v>0.2</v>
      </c>
      <c r="L826" s="7" t="n">
        <v>5587.31</v>
      </c>
      <c r="M826" s="6" t="s">
        <v>49</v>
      </c>
      <c r="N826" s="6" t="s">
        <v>50</v>
      </c>
      <c r="O826" s="6" t="n">
        <f aca="false">IF(TablaVentas[[#This Row],[Precio_unitario]]="","PENDIENTE",TablaVentas[[#This Row],[Unidades]]*TablaVentas[[#This Row],[Precio_unitario]]*(1-TablaVentas[[#This Row],[Descuento_pct]]))</f>
        <v>30401.76</v>
      </c>
      <c r="P826" s="6" t="n">
        <f aca="false">IF(TablaVentas[[#This Row],[Costo_unitario]]="","PENDIENTE",TablaVentas[[#This Row],[Unidades]]*TablaVentas[[#This Row],[Costo_unitario]])</f>
        <v>27936.55</v>
      </c>
      <c r="Q826" s="6" t="n">
        <f aca="false">IF(OR(TablaVentas[[#This Row],[Ingreso_neto]]="PENDIENTE",TablaVentas[[#This Row],[Costo_total]]="PENDIENTE"),"PENDIENTE",TablaVentas[[#This Row],[Ingreso_neto]]-TablaVentas[[#This Row],[Costo_total]])</f>
        <v>2465.21</v>
      </c>
    </row>
    <row r="827" customFormat="false" ht="13.5" hidden="false" customHeight="false" outlineLevel="0" collapsed="false">
      <c r="A827" s="1" t="s">
        <v>706</v>
      </c>
      <c r="B827" s="1" t="n">
        <v>2</v>
      </c>
      <c r="C827" s="5" t="n">
        <v>46122</v>
      </c>
      <c r="D827" s="6" t="s">
        <v>298</v>
      </c>
      <c r="E827" s="6" t="s">
        <v>328</v>
      </c>
      <c r="F827" s="6" t="s">
        <v>63</v>
      </c>
      <c r="G827" s="6" t="s">
        <v>47</v>
      </c>
      <c r="H827" s="6" t="s">
        <v>58</v>
      </c>
      <c r="I827" s="1" t="n">
        <v>5</v>
      </c>
      <c r="J827" s="7" t="n">
        <v>1305.72</v>
      </c>
      <c r="K827" s="8" t="n">
        <v>0.05</v>
      </c>
      <c r="L827" s="7" t="n">
        <v>679.37</v>
      </c>
      <c r="M827" s="6" t="s">
        <v>49</v>
      </c>
      <c r="N827" s="6" t="s">
        <v>59</v>
      </c>
      <c r="O827" s="6" t="n">
        <f aca="false">IF(TablaVentas[[#This Row],[Precio_unitario]]="","PENDIENTE",TablaVentas[[#This Row],[Unidades]]*TablaVentas[[#This Row],[Precio_unitario]]*(1-TablaVentas[[#This Row],[Descuento_pct]]))</f>
        <v>6202.17</v>
      </c>
      <c r="P827" s="6" t="n">
        <f aca="false">IF(TablaVentas[[#This Row],[Costo_unitario]]="","PENDIENTE",TablaVentas[[#This Row],[Unidades]]*TablaVentas[[#This Row],[Costo_unitario]])</f>
        <v>3396.85</v>
      </c>
      <c r="Q827" s="6" t="n">
        <f aca="false">IF(OR(TablaVentas[[#This Row],[Ingreso_neto]]="PENDIENTE",TablaVentas[[#This Row],[Costo_total]]="PENDIENTE"),"PENDIENTE",TablaVentas[[#This Row],[Ingreso_neto]]-TablaVentas[[#This Row],[Costo_total]])</f>
        <v>2805.32</v>
      </c>
    </row>
    <row r="828" customFormat="false" ht="13.5" hidden="false" customHeight="false" outlineLevel="0" collapsed="false">
      <c r="A828" s="1" t="s">
        <v>707</v>
      </c>
      <c r="B828" s="1" t="n">
        <v>1</v>
      </c>
      <c r="C828" s="5" t="n">
        <v>46177</v>
      </c>
      <c r="D828" s="6" t="s">
        <v>487</v>
      </c>
      <c r="E828" s="6" t="s">
        <v>219</v>
      </c>
      <c r="F828" s="6" t="s">
        <v>46</v>
      </c>
      <c r="G828" s="6" t="s">
        <v>57</v>
      </c>
      <c r="H828" s="6" t="s">
        <v>131</v>
      </c>
      <c r="I828" s="1" t="n">
        <v>5</v>
      </c>
      <c r="J828" s="7" t="n">
        <v>3657.58</v>
      </c>
      <c r="K828" s="8" t="n">
        <v>0.15</v>
      </c>
      <c r="L828" s="7" t="n">
        <v>2157.55</v>
      </c>
      <c r="M828" s="6" t="s">
        <v>49</v>
      </c>
      <c r="N828" s="6" t="s">
        <v>67</v>
      </c>
      <c r="O828" s="6" t="n">
        <f aca="false">IF(TablaVentas[[#This Row],[Precio_unitario]]="","PENDIENTE",TablaVentas[[#This Row],[Unidades]]*TablaVentas[[#This Row],[Precio_unitario]]*(1-TablaVentas[[#This Row],[Descuento_pct]]))</f>
        <v>15544.715</v>
      </c>
      <c r="P828" s="6" t="n">
        <f aca="false">IF(TablaVentas[[#This Row],[Costo_unitario]]="","PENDIENTE",TablaVentas[[#This Row],[Unidades]]*TablaVentas[[#This Row],[Costo_unitario]])</f>
        <v>10787.75</v>
      </c>
      <c r="Q828" s="6" t="n">
        <f aca="false">IF(OR(TablaVentas[[#This Row],[Ingreso_neto]]="PENDIENTE",TablaVentas[[#This Row],[Costo_total]]="PENDIENTE"),"PENDIENTE",TablaVentas[[#This Row],[Ingreso_neto]]-TablaVentas[[#This Row],[Costo_total]])</f>
        <v>4756.965</v>
      </c>
    </row>
    <row r="829" customFormat="false" ht="13.5" hidden="false" customHeight="false" outlineLevel="0" collapsed="false">
      <c r="A829" s="1" t="s">
        <v>707</v>
      </c>
      <c r="B829" s="1" t="n">
        <v>2</v>
      </c>
      <c r="C829" s="5" t="n">
        <v>46177</v>
      </c>
      <c r="D829" s="6" t="s">
        <v>487</v>
      </c>
      <c r="E829" s="6" t="s">
        <v>224</v>
      </c>
      <c r="F829" s="6" t="s">
        <v>46</v>
      </c>
      <c r="G829" s="6" t="s">
        <v>57</v>
      </c>
      <c r="H829" s="6" t="s">
        <v>131</v>
      </c>
      <c r="I829" s="1" t="n">
        <v>1</v>
      </c>
      <c r="J829" s="7" t="n">
        <v>17414.62</v>
      </c>
      <c r="K829" s="8" t="n">
        <v>0.05</v>
      </c>
      <c r="L829" s="7" t="n">
        <v>14161.63</v>
      </c>
      <c r="M829" s="6" t="s">
        <v>49</v>
      </c>
      <c r="N829" s="6" t="s">
        <v>67</v>
      </c>
      <c r="O829" s="6" t="n">
        <f aca="false">IF(TablaVentas[[#This Row],[Precio_unitario]]="","PENDIENTE",TablaVentas[[#This Row],[Unidades]]*TablaVentas[[#This Row],[Precio_unitario]]*(1-TablaVentas[[#This Row],[Descuento_pct]]))</f>
        <v>16543.889</v>
      </c>
      <c r="P829" s="6" t="n">
        <f aca="false">IF(TablaVentas[[#This Row],[Costo_unitario]]="","PENDIENTE",TablaVentas[[#This Row],[Unidades]]*TablaVentas[[#This Row],[Costo_unitario]])</f>
        <v>14161.63</v>
      </c>
      <c r="Q829" s="6" t="n">
        <f aca="false">IF(OR(TablaVentas[[#This Row],[Ingreso_neto]]="PENDIENTE",TablaVentas[[#This Row],[Costo_total]]="PENDIENTE"),"PENDIENTE",TablaVentas[[#This Row],[Ingreso_neto]]-TablaVentas[[#This Row],[Costo_total]])</f>
        <v>2382.259</v>
      </c>
    </row>
    <row r="830" customFormat="false" ht="13.5" hidden="false" customHeight="false" outlineLevel="0" collapsed="false">
      <c r="A830" s="1" t="s">
        <v>707</v>
      </c>
      <c r="B830" s="1" t="n">
        <v>3</v>
      </c>
      <c r="C830" s="5" t="n">
        <v>46177</v>
      </c>
      <c r="D830" s="6" t="s">
        <v>487</v>
      </c>
      <c r="E830" s="6" t="s">
        <v>234</v>
      </c>
      <c r="F830" s="6" t="s">
        <v>46</v>
      </c>
      <c r="G830" s="6" t="s">
        <v>57</v>
      </c>
      <c r="H830" s="6" t="s">
        <v>131</v>
      </c>
      <c r="I830" s="1" t="n">
        <v>4</v>
      </c>
      <c r="J830" s="7" t="n">
        <v>8784.7</v>
      </c>
      <c r="K830" s="8" t="n">
        <v>0</v>
      </c>
      <c r="L830" s="7" t="n">
        <v>6255.13</v>
      </c>
      <c r="M830" s="6" t="s">
        <v>49</v>
      </c>
      <c r="N830" s="6" t="s">
        <v>50</v>
      </c>
      <c r="O830" s="6" t="n">
        <f aca="false">IF(TablaVentas[[#This Row],[Precio_unitario]]="","PENDIENTE",TablaVentas[[#This Row],[Unidades]]*TablaVentas[[#This Row],[Precio_unitario]]*(1-TablaVentas[[#This Row],[Descuento_pct]]))</f>
        <v>35138.8</v>
      </c>
      <c r="P830" s="6" t="n">
        <f aca="false">IF(TablaVentas[[#This Row],[Costo_unitario]]="","PENDIENTE",TablaVentas[[#This Row],[Unidades]]*TablaVentas[[#This Row],[Costo_unitario]])</f>
        <v>25020.52</v>
      </c>
      <c r="Q830" s="6" t="n">
        <f aca="false">IF(OR(TablaVentas[[#This Row],[Ingreso_neto]]="PENDIENTE",TablaVentas[[#This Row],[Costo_total]]="PENDIENTE"),"PENDIENTE",TablaVentas[[#This Row],[Ingreso_neto]]-TablaVentas[[#This Row],[Costo_total]])</f>
        <v>10118.28</v>
      </c>
    </row>
    <row r="831" customFormat="false" ht="13.5" hidden="false" customHeight="false" outlineLevel="0" collapsed="false">
      <c r="A831" s="1" t="s">
        <v>708</v>
      </c>
      <c r="B831" s="1" t="n">
        <v>1</v>
      </c>
      <c r="C831" s="5" t="n">
        <v>46273</v>
      </c>
      <c r="D831" s="6" t="s">
        <v>646</v>
      </c>
      <c r="E831" s="6" t="s">
        <v>167</v>
      </c>
      <c r="F831" s="6" t="s">
        <v>46</v>
      </c>
      <c r="G831" s="6" t="s">
        <v>57</v>
      </c>
      <c r="H831" s="6" t="s">
        <v>74</v>
      </c>
      <c r="I831" s="1" t="n">
        <v>2</v>
      </c>
      <c r="J831" s="7" t="n">
        <v>7417.45</v>
      </c>
      <c r="K831" s="8" t="n">
        <v>0.15</v>
      </c>
      <c r="L831" s="7" t="n">
        <v>4082.15</v>
      </c>
      <c r="M831" s="6" t="s">
        <v>49</v>
      </c>
      <c r="N831" s="6" t="s">
        <v>67</v>
      </c>
      <c r="O831" s="6" t="n">
        <f aca="false">IF(TablaVentas[[#This Row],[Precio_unitario]]="","PENDIENTE",TablaVentas[[#This Row],[Unidades]]*TablaVentas[[#This Row],[Precio_unitario]]*(1-TablaVentas[[#This Row],[Descuento_pct]]))</f>
        <v>12609.665</v>
      </c>
      <c r="P831" s="6" t="n">
        <f aca="false">IF(TablaVentas[[#This Row],[Costo_unitario]]="","PENDIENTE",TablaVentas[[#This Row],[Unidades]]*TablaVentas[[#This Row],[Costo_unitario]])</f>
        <v>8164.3</v>
      </c>
      <c r="Q831" s="6" t="n">
        <f aca="false">IF(OR(TablaVentas[[#This Row],[Ingreso_neto]]="PENDIENTE",TablaVentas[[#This Row],[Costo_total]]="PENDIENTE"),"PENDIENTE",TablaVentas[[#This Row],[Ingreso_neto]]-TablaVentas[[#This Row],[Costo_total]])</f>
        <v>4445.365</v>
      </c>
    </row>
    <row r="832" customFormat="false" ht="13.5" hidden="false" customHeight="false" outlineLevel="0" collapsed="false">
      <c r="A832" s="1" t="s">
        <v>708</v>
      </c>
      <c r="B832" s="1" t="n">
        <v>2</v>
      </c>
      <c r="C832" s="5" t="n">
        <v>46273</v>
      </c>
      <c r="D832" s="6" t="s">
        <v>646</v>
      </c>
      <c r="E832" s="6" t="s">
        <v>240</v>
      </c>
      <c r="F832" s="6" t="s">
        <v>46</v>
      </c>
      <c r="G832" s="6" t="s">
        <v>57</v>
      </c>
      <c r="H832" s="6" t="s">
        <v>74</v>
      </c>
      <c r="I832" s="1" t="n">
        <v>1</v>
      </c>
      <c r="J832" s="7" t="n">
        <v>9421.54</v>
      </c>
      <c r="K832" s="8" t="n">
        <v>0.15</v>
      </c>
      <c r="L832" s="7" t="n">
        <v>5932.12</v>
      </c>
      <c r="M832" s="6" t="s">
        <v>49</v>
      </c>
      <c r="N832" s="6" t="s">
        <v>52</v>
      </c>
      <c r="O832" s="6" t="n">
        <f aca="false">IF(TablaVentas[[#This Row],[Precio_unitario]]="","PENDIENTE",TablaVentas[[#This Row],[Unidades]]*TablaVentas[[#This Row],[Precio_unitario]]*(1-TablaVentas[[#This Row],[Descuento_pct]]))</f>
        <v>8008.309</v>
      </c>
      <c r="P832" s="6" t="n">
        <f aca="false">IF(TablaVentas[[#This Row],[Costo_unitario]]="","PENDIENTE",TablaVentas[[#This Row],[Unidades]]*TablaVentas[[#This Row],[Costo_unitario]])</f>
        <v>5932.12</v>
      </c>
      <c r="Q832" s="6" t="n">
        <f aca="false">IF(OR(TablaVentas[[#This Row],[Ingreso_neto]]="PENDIENTE",TablaVentas[[#This Row],[Costo_total]]="PENDIENTE"),"PENDIENTE",TablaVentas[[#This Row],[Ingreso_neto]]-TablaVentas[[#This Row],[Costo_total]])</f>
        <v>2076.189</v>
      </c>
    </row>
    <row r="833" customFormat="false" ht="13.5" hidden="false" customHeight="false" outlineLevel="0" collapsed="false">
      <c r="A833" s="1" t="s">
        <v>708</v>
      </c>
      <c r="B833" s="1" t="n">
        <v>3</v>
      </c>
      <c r="C833" s="5" t="n">
        <v>46273</v>
      </c>
      <c r="D833" s="6" t="s">
        <v>646</v>
      </c>
      <c r="E833" s="6" t="s">
        <v>374</v>
      </c>
      <c r="F833" s="6" t="s">
        <v>46</v>
      </c>
      <c r="G833" s="6" t="s">
        <v>57</v>
      </c>
      <c r="H833" s="6" t="s">
        <v>74</v>
      </c>
      <c r="I833" s="1" t="n">
        <v>8</v>
      </c>
      <c r="J833" s="7" t="n">
        <v>8818.5</v>
      </c>
      <c r="K833" s="8" t="n">
        <v>0.15</v>
      </c>
      <c r="L833" s="7" t="n">
        <v>5079.43</v>
      </c>
      <c r="M833" s="6" t="s">
        <v>49</v>
      </c>
      <c r="N833" s="6" t="s">
        <v>59</v>
      </c>
      <c r="O833" s="6" t="n">
        <f aca="false">IF(TablaVentas[[#This Row],[Precio_unitario]]="","PENDIENTE",TablaVentas[[#This Row],[Unidades]]*TablaVentas[[#This Row],[Precio_unitario]]*(1-TablaVentas[[#This Row],[Descuento_pct]]))</f>
        <v>59965.8</v>
      </c>
      <c r="P833" s="6" t="n">
        <f aca="false">IF(TablaVentas[[#This Row],[Costo_unitario]]="","PENDIENTE",TablaVentas[[#This Row],[Unidades]]*TablaVentas[[#This Row],[Costo_unitario]])</f>
        <v>40635.44</v>
      </c>
      <c r="Q833" s="6" t="n">
        <f aca="false">IF(OR(TablaVentas[[#This Row],[Ingreso_neto]]="PENDIENTE",TablaVentas[[#This Row],[Costo_total]]="PENDIENTE"),"PENDIENTE",TablaVentas[[#This Row],[Ingreso_neto]]-TablaVentas[[#This Row],[Costo_total]])</f>
        <v>19330.36</v>
      </c>
    </row>
    <row r="834" customFormat="false" ht="13.5" hidden="false" customHeight="false" outlineLevel="0" collapsed="false">
      <c r="A834" s="1" t="s">
        <v>709</v>
      </c>
      <c r="B834" s="1" t="n">
        <v>1</v>
      </c>
      <c r="C834" s="5" t="n">
        <v>46109</v>
      </c>
      <c r="D834" s="6" t="s">
        <v>710</v>
      </c>
      <c r="E834" s="6" t="s">
        <v>284</v>
      </c>
      <c r="F834" s="6" t="s">
        <v>46</v>
      </c>
      <c r="G834" s="6" t="s">
        <v>47</v>
      </c>
      <c r="H834" s="6" t="s">
        <v>80</v>
      </c>
      <c r="I834" s="1" t="n">
        <v>1</v>
      </c>
      <c r="J834" s="7" t="n">
        <v>6827.31</v>
      </c>
      <c r="K834" s="8" t="n">
        <v>0</v>
      </c>
      <c r="L834" s="7" t="n">
        <v>4858.08</v>
      </c>
      <c r="M834" s="6" t="s">
        <v>49</v>
      </c>
      <c r="N834" s="6" t="s">
        <v>59</v>
      </c>
      <c r="O834" s="6" t="n">
        <f aca="false">IF(TablaVentas[[#This Row],[Precio_unitario]]="","PENDIENTE",TablaVentas[[#This Row],[Unidades]]*TablaVentas[[#This Row],[Precio_unitario]]*(1-TablaVentas[[#This Row],[Descuento_pct]]))</f>
        <v>6827.31</v>
      </c>
      <c r="P834" s="6" t="n">
        <f aca="false">IF(TablaVentas[[#This Row],[Costo_unitario]]="","PENDIENTE",TablaVentas[[#This Row],[Unidades]]*TablaVentas[[#This Row],[Costo_unitario]])</f>
        <v>4858.08</v>
      </c>
      <c r="Q834" s="6" t="n">
        <f aca="false">IF(OR(TablaVentas[[#This Row],[Ingreso_neto]]="PENDIENTE",TablaVentas[[#This Row],[Costo_total]]="PENDIENTE"),"PENDIENTE",TablaVentas[[#This Row],[Ingreso_neto]]-TablaVentas[[#This Row],[Costo_total]])</f>
        <v>1969.23</v>
      </c>
    </row>
    <row r="835" customFormat="false" ht="13.5" hidden="false" customHeight="false" outlineLevel="0" collapsed="false">
      <c r="A835" s="1" t="s">
        <v>709</v>
      </c>
      <c r="B835" s="1" t="n">
        <v>2</v>
      </c>
      <c r="C835" s="5" t="n">
        <v>46109</v>
      </c>
      <c r="D835" s="6" t="s">
        <v>710</v>
      </c>
      <c r="E835" s="6" t="s">
        <v>140</v>
      </c>
      <c r="F835" s="6" t="s">
        <v>46</v>
      </c>
      <c r="G835" s="6" t="s">
        <v>47</v>
      </c>
      <c r="H835" s="6" t="s">
        <v>80</v>
      </c>
      <c r="I835" s="1" t="n">
        <v>1</v>
      </c>
      <c r="J835" s="7" t="n">
        <v>7114.74</v>
      </c>
      <c r="K835" s="8" t="n">
        <v>0.2</v>
      </c>
      <c r="L835" s="7" t="n">
        <v>4061.34</v>
      </c>
      <c r="M835" s="6" t="s">
        <v>69</v>
      </c>
      <c r="N835" s="6" t="s">
        <v>52</v>
      </c>
      <c r="O835" s="6" t="n">
        <f aca="false">IF(TablaVentas[[#This Row],[Precio_unitario]]="","PENDIENTE",TablaVentas[[#This Row],[Unidades]]*TablaVentas[[#This Row],[Precio_unitario]]*(1-TablaVentas[[#This Row],[Descuento_pct]]))</f>
        <v>5691.792</v>
      </c>
      <c r="P835" s="6" t="n">
        <f aca="false">IF(TablaVentas[[#This Row],[Costo_unitario]]="","PENDIENTE",TablaVentas[[#This Row],[Unidades]]*TablaVentas[[#This Row],[Costo_unitario]])</f>
        <v>4061.34</v>
      </c>
      <c r="Q835" s="6" t="n">
        <f aca="false">IF(OR(TablaVentas[[#This Row],[Ingreso_neto]]="PENDIENTE",TablaVentas[[#This Row],[Costo_total]]="PENDIENTE"),"PENDIENTE",TablaVentas[[#This Row],[Ingreso_neto]]-TablaVentas[[#This Row],[Costo_total]])</f>
        <v>1630.452</v>
      </c>
    </row>
    <row r="836" customFormat="false" ht="13.5" hidden="false" customHeight="false" outlineLevel="0" collapsed="false">
      <c r="A836" s="1" t="s">
        <v>709</v>
      </c>
      <c r="B836" s="1" t="n">
        <v>3</v>
      </c>
      <c r="C836" s="5" t="n">
        <v>46109</v>
      </c>
      <c r="D836" s="6" t="s">
        <v>710</v>
      </c>
      <c r="E836" s="6" t="s">
        <v>278</v>
      </c>
      <c r="F836" s="6" t="s">
        <v>46</v>
      </c>
      <c r="G836" s="6" t="s">
        <v>47</v>
      </c>
      <c r="H836" s="6" t="s">
        <v>80</v>
      </c>
      <c r="I836" s="1" t="n">
        <v>3</v>
      </c>
      <c r="J836" s="7" t="n">
        <v>1081.45</v>
      </c>
      <c r="K836" s="8" t="n">
        <v>0</v>
      </c>
      <c r="L836" s="7" t="n">
        <v>759.03</v>
      </c>
      <c r="M836" s="6" t="s">
        <v>49</v>
      </c>
      <c r="N836" s="6" t="s">
        <v>50</v>
      </c>
      <c r="O836" s="6" t="n">
        <f aca="false">IF(TablaVentas[[#This Row],[Precio_unitario]]="","PENDIENTE",TablaVentas[[#This Row],[Unidades]]*TablaVentas[[#This Row],[Precio_unitario]]*(1-TablaVentas[[#This Row],[Descuento_pct]]))</f>
        <v>3244.35</v>
      </c>
      <c r="P836" s="6" t="n">
        <f aca="false">IF(TablaVentas[[#This Row],[Costo_unitario]]="","PENDIENTE",TablaVentas[[#This Row],[Unidades]]*TablaVentas[[#This Row],[Costo_unitario]])</f>
        <v>2277.09</v>
      </c>
      <c r="Q836" s="6" t="n">
        <f aca="false">IF(OR(TablaVentas[[#This Row],[Ingreso_neto]]="PENDIENTE",TablaVentas[[#This Row],[Costo_total]]="PENDIENTE"),"PENDIENTE",TablaVentas[[#This Row],[Ingreso_neto]]-TablaVentas[[#This Row],[Costo_total]])</f>
        <v>967.26</v>
      </c>
    </row>
    <row r="837" customFormat="false" ht="13.5" hidden="false" customHeight="false" outlineLevel="0" collapsed="false">
      <c r="A837" s="1" t="s">
        <v>709</v>
      </c>
      <c r="B837" s="1" t="n">
        <v>4</v>
      </c>
      <c r="C837" s="5" t="n">
        <v>46109</v>
      </c>
      <c r="D837" s="6" t="s">
        <v>710</v>
      </c>
      <c r="E837" s="6" t="s">
        <v>162</v>
      </c>
      <c r="F837" s="6" t="s">
        <v>46</v>
      </c>
      <c r="G837" s="6" t="s">
        <v>47</v>
      </c>
      <c r="H837" s="6" t="s">
        <v>80</v>
      </c>
      <c r="I837" s="1" t="n">
        <v>4</v>
      </c>
      <c r="J837" s="7" t="n">
        <v>701.05</v>
      </c>
      <c r="K837" s="8" t="n">
        <v>0</v>
      </c>
      <c r="L837" s="7" t="n">
        <v>397.1</v>
      </c>
      <c r="M837" s="6" t="s">
        <v>49</v>
      </c>
      <c r="N837" s="6" t="s">
        <v>52</v>
      </c>
      <c r="O837" s="6" t="n">
        <f aca="false">IF(TablaVentas[[#This Row],[Precio_unitario]]="","PENDIENTE",TablaVentas[[#This Row],[Unidades]]*TablaVentas[[#This Row],[Precio_unitario]]*(1-TablaVentas[[#This Row],[Descuento_pct]]))</f>
        <v>2804.2</v>
      </c>
      <c r="P837" s="6" t="n">
        <f aca="false">IF(TablaVentas[[#This Row],[Costo_unitario]]="","PENDIENTE",TablaVentas[[#This Row],[Unidades]]*TablaVentas[[#This Row],[Costo_unitario]])</f>
        <v>1588.4</v>
      </c>
      <c r="Q837" s="6" t="n">
        <f aca="false">IF(OR(TablaVentas[[#This Row],[Ingreso_neto]]="PENDIENTE",TablaVentas[[#This Row],[Costo_total]]="PENDIENTE"),"PENDIENTE",TablaVentas[[#This Row],[Ingreso_neto]]-TablaVentas[[#This Row],[Costo_total]])</f>
        <v>1215.8</v>
      </c>
    </row>
    <row r="838" customFormat="false" ht="13.5" hidden="false" customHeight="false" outlineLevel="0" collapsed="false">
      <c r="A838" s="1" t="s">
        <v>711</v>
      </c>
      <c r="B838" s="1" t="n">
        <v>1</v>
      </c>
      <c r="C838" s="5" t="n">
        <v>46057</v>
      </c>
      <c r="D838" s="6" t="s">
        <v>227</v>
      </c>
      <c r="E838" s="6" t="s">
        <v>269</v>
      </c>
      <c r="F838" s="6" t="s">
        <v>73</v>
      </c>
      <c r="G838" s="6" t="s">
        <v>64</v>
      </c>
      <c r="H838" s="6" t="s">
        <v>89</v>
      </c>
      <c r="I838" s="1" t="n">
        <v>4</v>
      </c>
      <c r="J838" s="7" t="n">
        <v>12733.08</v>
      </c>
      <c r="K838" s="8" t="n">
        <v>0</v>
      </c>
      <c r="L838" s="7" t="n">
        <v>8227.46</v>
      </c>
      <c r="M838" s="6" t="s">
        <v>49</v>
      </c>
      <c r="N838" s="6" t="s">
        <v>59</v>
      </c>
      <c r="O838" s="6" t="n">
        <f aca="false">IF(TablaVentas[[#This Row],[Precio_unitario]]="","PENDIENTE",TablaVentas[[#This Row],[Unidades]]*TablaVentas[[#This Row],[Precio_unitario]]*(1-TablaVentas[[#This Row],[Descuento_pct]]))</f>
        <v>50932.32</v>
      </c>
      <c r="P838" s="6" t="n">
        <f aca="false">IF(TablaVentas[[#This Row],[Costo_unitario]]="","PENDIENTE",TablaVentas[[#This Row],[Unidades]]*TablaVentas[[#This Row],[Costo_unitario]])</f>
        <v>32909.84</v>
      </c>
      <c r="Q838" s="6" t="n">
        <f aca="false">IF(OR(TablaVentas[[#This Row],[Ingreso_neto]]="PENDIENTE",TablaVentas[[#This Row],[Costo_total]]="PENDIENTE"),"PENDIENTE",TablaVentas[[#This Row],[Ingreso_neto]]-TablaVentas[[#This Row],[Costo_total]])</f>
        <v>18022.48</v>
      </c>
    </row>
    <row r="839" customFormat="false" ht="13.5" hidden="false" customHeight="false" outlineLevel="0" collapsed="false">
      <c r="A839" s="1" t="s">
        <v>711</v>
      </c>
      <c r="B839" s="1" t="n">
        <v>2</v>
      </c>
      <c r="C839" s="5" t="n">
        <v>46057</v>
      </c>
      <c r="D839" s="6" t="s">
        <v>227</v>
      </c>
      <c r="E839" s="6" t="s">
        <v>120</v>
      </c>
      <c r="F839" s="6" t="s">
        <v>73</v>
      </c>
      <c r="G839" s="6" t="s">
        <v>64</v>
      </c>
      <c r="H839" s="6" t="s">
        <v>89</v>
      </c>
      <c r="I839" s="1" t="n">
        <v>2</v>
      </c>
      <c r="J839" s="7" t="n">
        <v>2872.39</v>
      </c>
      <c r="K839" s="8" t="n">
        <v>0</v>
      </c>
      <c r="L839" s="7" t="n">
        <v>2196.34</v>
      </c>
      <c r="M839" s="6" t="s">
        <v>49</v>
      </c>
      <c r="N839" s="6" t="s">
        <v>59</v>
      </c>
      <c r="O839" s="6" t="n">
        <f aca="false">IF(TablaVentas[[#This Row],[Precio_unitario]]="","PENDIENTE",TablaVentas[[#This Row],[Unidades]]*TablaVentas[[#This Row],[Precio_unitario]]*(1-TablaVentas[[#This Row],[Descuento_pct]]))</f>
        <v>5744.78</v>
      </c>
      <c r="P839" s="6" t="n">
        <f aca="false">IF(TablaVentas[[#This Row],[Costo_unitario]]="","PENDIENTE",TablaVentas[[#This Row],[Unidades]]*TablaVentas[[#This Row],[Costo_unitario]])</f>
        <v>4392.68</v>
      </c>
      <c r="Q839" s="6" t="n">
        <f aca="false">IF(OR(TablaVentas[[#This Row],[Ingreso_neto]]="PENDIENTE",TablaVentas[[#This Row],[Costo_total]]="PENDIENTE"),"PENDIENTE",TablaVentas[[#This Row],[Ingreso_neto]]-TablaVentas[[#This Row],[Costo_total]])</f>
        <v>1352.1</v>
      </c>
    </row>
    <row r="840" customFormat="false" ht="13.5" hidden="false" customHeight="false" outlineLevel="0" collapsed="false">
      <c r="A840" s="1" t="s">
        <v>711</v>
      </c>
      <c r="B840" s="1" t="n">
        <v>3</v>
      </c>
      <c r="C840" s="5" t="n">
        <v>46057</v>
      </c>
      <c r="D840" s="6" t="s">
        <v>227</v>
      </c>
      <c r="E840" s="6" t="s">
        <v>225</v>
      </c>
      <c r="F840" s="6" t="s">
        <v>73</v>
      </c>
      <c r="G840" s="6" t="s">
        <v>64</v>
      </c>
      <c r="H840" s="6" t="s">
        <v>89</v>
      </c>
      <c r="I840" s="1" t="n">
        <v>3</v>
      </c>
      <c r="J840" s="7" t="n">
        <v>4969.08</v>
      </c>
      <c r="K840" s="8" t="n">
        <v>0.1</v>
      </c>
      <c r="L840" s="7" t="n">
        <v>2833.97</v>
      </c>
      <c r="M840" s="6" t="s">
        <v>49</v>
      </c>
      <c r="N840" s="6" t="s">
        <v>59</v>
      </c>
      <c r="O840" s="6" t="n">
        <f aca="false">IF(TablaVentas[[#This Row],[Precio_unitario]]="","PENDIENTE",TablaVentas[[#This Row],[Unidades]]*TablaVentas[[#This Row],[Precio_unitario]]*(1-TablaVentas[[#This Row],[Descuento_pct]]))</f>
        <v>13416.516</v>
      </c>
      <c r="P840" s="6" t="n">
        <f aca="false">IF(TablaVentas[[#This Row],[Costo_unitario]]="","PENDIENTE",TablaVentas[[#This Row],[Unidades]]*TablaVentas[[#This Row],[Costo_unitario]])</f>
        <v>8501.91</v>
      </c>
      <c r="Q840" s="6" t="n">
        <f aca="false">IF(OR(TablaVentas[[#This Row],[Ingreso_neto]]="PENDIENTE",TablaVentas[[#This Row],[Costo_total]]="PENDIENTE"),"PENDIENTE",TablaVentas[[#This Row],[Ingreso_neto]]-TablaVentas[[#This Row],[Costo_total]])</f>
        <v>4914.606</v>
      </c>
    </row>
    <row r="841" customFormat="false" ht="13.5" hidden="false" customHeight="false" outlineLevel="0" collapsed="false">
      <c r="A841" s="1" t="s">
        <v>711</v>
      </c>
      <c r="B841" s="1" t="n">
        <v>4</v>
      </c>
      <c r="C841" s="5" t="n">
        <v>46057</v>
      </c>
      <c r="D841" s="6" t="s">
        <v>227</v>
      </c>
      <c r="E841" s="6" t="s">
        <v>182</v>
      </c>
      <c r="F841" s="6" t="s">
        <v>73</v>
      </c>
      <c r="G841" s="6" t="s">
        <v>64</v>
      </c>
      <c r="H841" s="6" t="s">
        <v>89</v>
      </c>
      <c r="I841" s="1" t="n">
        <v>4</v>
      </c>
      <c r="J841" s="7" t="n">
        <v>2660.25</v>
      </c>
      <c r="K841" s="8" t="n">
        <v>0.05</v>
      </c>
      <c r="L841" s="7" t="n">
        <v>1857.39</v>
      </c>
      <c r="M841" s="6" t="s">
        <v>49</v>
      </c>
      <c r="N841" s="6" t="s">
        <v>52</v>
      </c>
      <c r="O841" s="6" t="n">
        <f aca="false">IF(TablaVentas[[#This Row],[Precio_unitario]]="","PENDIENTE",TablaVentas[[#This Row],[Unidades]]*TablaVentas[[#This Row],[Precio_unitario]]*(1-TablaVentas[[#This Row],[Descuento_pct]]))</f>
        <v>10108.95</v>
      </c>
      <c r="P841" s="6" t="n">
        <f aca="false">IF(TablaVentas[[#This Row],[Costo_unitario]]="","PENDIENTE",TablaVentas[[#This Row],[Unidades]]*TablaVentas[[#This Row],[Costo_unitario]])</f>
        <v>7429.56</v>
      </c>
      <c r="Q841" s="6" t="n">
        <f aca="false">IF(OR(TablaVentas[[#This Row],[Ingreso_neto]]="PENDIENTE",TablaVentas[[#This Row],[Costo_total]]="PENDIENTE"),"PENDIENTE",TablaVentas[[#This Row],[Ingreso_neto]]-TablaVentas[[#This Row],[Costo_total]])</f>
        <v>2679.39</v>
      </c>
    </row>
    <row r="842" customFormat="false" ht="13.5" hidden="false" customHeight="false" outlineLevel="0" collapsed="false">
      <c r="A842" s="1" t="s">
        <v>712</v>
      </c>
      <c r="B842" s="1" t="n">
        <v>1</v>
      </c>
      <c r="C842" s="5" t="n">
        <v>46256</v>
      </c>
      <c r="D842" s="6" t="s">
        <v>613</v>
      </c>
      <c r="E842" s="6" t="s">
        <v>269</v>
      </c>
      <c r="F842" s="6" t="s">
        <v>73</v>
      </c>
      <c r="G842" s="6" t="s">
        <v>57</v>
      </c>
      <c r="H842" s="6" t="s">
        <v>65</v>
      </c>
      <c r="I842" s="1" t="n">
        <v>2</v>
      </c>
      <c r="J842" s="7" t="n">
        <v>13666.44</v>
      </c>
      <c r="K842" s="8" t="n">
        <v>0.2</v>
      </c>
      <c r="L842" s="7" t="n">
        <v>8227.46</v>
      </c>
      <c r="M842" s="6" t="s">
        <v>49</v>
      </c>
      <c r="N842" s="6" t="s">
        <v>67</v>
      </c>
      <c r="O842" s="6" t="n">
        <f aca="false">IF(TablaVentas[[#This Row],[Precio_unitario]]="","PENDIENTE",TablaVentas[[#This Row],[Unidades]]*TablaVentas[[#This Row],[Precio_unitario]]*(1-TablaVentas[[#This Row],[Descuento_pct]]))</f>
        <v>21866.304</v>
      </c>
      <c r="P842" s="6" t="n">
        <f aca="false">IF(TablaVentas[[#This Row],[Costo_unitario]]="","PENDIENTE",TablaVentas[[#This Row],[Unidades]]*TablaVentas[[#This Row],[Costo_unitario]])</f>
        <v>16454.92</v>
      </c>
      <c r="Q842" s="6" t="n">
        <f aca="false">IF(OR(TablaVentas[[#This Row],[Ingreso_neto]]="PENDIENTE",TablaVentas[[#This Row],[Costo_total]]="PENDIENTE"),"PENDIENTE",TablaVentas[[#This Row],[Ingreso_neto]]-TablaVentas[[#This Row],[Costo_total]])</f>
        <v>5411.38400000001</v>
      </c>
    </row>
    <row r="843" customFormat="false" ht="13.5" hidden="false" customHeight="false" outlineLevel="0" collapsed="false">
      <c r="A843" s="1" t="s">
        <v>712</v>
      </c>
      <c r="B843" s="1" t="n">
        <v>2</v>
      </c>
      <c r="C843" s="5" t="n">
        <v>46256</v>
      </c>
      <c r="D843" s="6" t="s">
        <v>613</v>
      </c>
      <c r="E843" s="6" t="s">
        <v>155</v>
      </c>
      <c r="F843" s="6" t="s">
        <v>73</v>
      </c>
      <c r="G843" s="6" t="s">
        <v>57</v>
      </c>
      <c r="H843" s="6" t="s">
        <v>65</v>
      </c>
      <c r="I843" s="1" t="n">
        <v>2</v>
      </c>
      <c r="J843" s="7" t="n">
        <v>2957.04</v>
      </c>
      <c r="K843" s="8" t="n">
        <v>0.05</v>
      </c>
      <c r="L843" s="7" t="n">
        <v>2459.34</v>
      </c>
      <c r="M843" s="6" t="s">
        <v>49</v>
      </c>
      <c r="N843" s="6" t="s">
        <v>67</v>
      </c>
      <c r="O843" s="6" t="n">
        <f aca="false">IF(TablaVentas[[#This Row],[Precio_unitario]]="","PENDIENTE",TablaVentas[[#This Row],[Unidades]]*TablaVentas[[#This Row],[Precio_unitario]]*(1-TablaVentas[[#This Row],[Descuento_pct]]))</f>
        <v>5618.376</v>
      </c>
      <c r="P843" s="6" t="n">
        <f aca="false">IF(TablaVentas[[#This Row],[Costo_unitario]]="","PENDIENTE",TablaVentas[[#This Row],[Unidades]]*TablaVentas[[#This Row],[Costo_unitario]])</f>
        <v>4918.68</v>
      </c>
      <c r="Q843" s="6" t="n">
        <f aca="false">IF(OR(TablaVentas[[#This Row],[Ingreso_neto]]="PENDIENTE",TablaVentas[[#This Row],[Costo_total]]="PENDIENTE"),"PENDIENTE",TablaVentas[[#This Row],[Ingreso_neto]]-TablaVentas[[#This Row],[Costo_total]])</f>
        <v>699.695999999999</v>
      </c>
    </row>
    <row r="844" customFormat="false" ht="13.5" hidden="false" customHeight="false" outlineLevel="0" collapsed="false">
      <c r="A844" s="1" t="s">
        <v>713</v>
      </c>
      <c r="B844" s="1" t="n">
        <v>1</v>
      </c>
      <c r="C844" s="5" t="n">
        <v>46292</v>
      </c>
      <c r="D844" s="6" t="s">
        <v>695</v>
      </c>
      <c r="E844" s="6" t="s">
        <v>97</v>
      </c>
      <c r="F844" s="6" t="s">
        <v>84</v>
      </c>
      <c r="G844" s="6" t="s">
        <v>64</v>
      </c>
      <c r="H844" s="6" t="s">
        <v>109</v>
      </c>
      <c r="I844" s="1" t="n">
        <v>1</v>
      </c>
      <c r="J844" s="7" t="n">
        <v>10821.8</v>
      </c>
      <c r="K844" s="8" t="n">
        <v>0.2</v>
      </c>
      <c r="L844" s="7" t="n">
        <v>8174.87</v>
      </c>
      <c r="M844" s="6" t="s">
        <v>49</v>
      </c>
      <c r="N844" s="6" t="s">
        <v>59</v>
      </c>
      <c r="O844" s="6" t="n">
        <f aca="false">IF(TablaVentas[[#This Row],[Precio_unitario]]="","PENDIENTE",TablaVentas[[#This Row],[Unidades]]*TablaVentas[[#This Row],[Precio_unitario]]*(1-TablaVentas[[#This Row],[Descuento_pct]]))</f>
        <v>8657.44</v>
      </c>
      <c r="P844" s="6" t="n">
        <f aca="false">IF(TablaVentas[[#This Row],[Costo_unitario]]="","PENDIENTE",TablaVentas[[#This Row],[Unidades]]*TablaVentas[[#This Row],[Costo_unitario]])</f>
        <v>8174.87</v>
      </c>
      <c r="Q844" s="6" t="n">
        <f aca="false">IF(OR(TablaVentas[[#This Row],[Ingreso_neto]]="PENDIENTE",TablaVentas[[#This Row],[Costo_total]]="PENDIENTE"),"PENDIENTE",TablaVentas[[#This Row],[Ingreso_neto]]-TablaVentas[[#This Row],[Costo_total]])</f>
        <v>482.570000000001</v>
      </c>
    </row>
    <row r="845" customFormat="false" ht="13.5" hidden="false" customHeight="false" outlineLevel="0" collapsed="false">
      <c r="A845" s="1" t="s">
        <v>713</v>
      </c>
      <c r="B845" s="1" t="n">
        <v>2</v>
      </c>
      <c r="C845" s="5" t="n">
        <v>46292</v>
      </c>
      <c r="D845" s="6" t="s">
        <v>695</v>
      </c>
      <c r="E845" s="6" t="s">
        <v>92</v>
      </c>
      <c r="F845" s="6" t="s">
        <v>84</v>
      </c>
      <c r="G845" s="6" t="s">
        <v>64</v>
      </c>
      <c r="H845" s="6" t="s">
        <v>109</v>
      </c>
      <c r="I845" s="1" t="n">
        <v>1</v>
      </c>
      <c r="J845" s="7" t="n">
        <v>486.89</v>
      </c>
      <c r="K845" s="8" t="n">
        <v>0</v>
      </c>
      <c r="L845" s="7" t="n">
        <v>307.75</v>
      </c>
      <c r="M845" s="6" t="s">
        <v>49</v>
      </c>
      <c r="N845" s="6" t="s">
        <v>59</v>
      </c>
      <c r="O845" s="6" t="n">
        <f aca="false">IF(TablaVentas[[#This Row],[Precio_unitario]]="","PENDIENTE",TablaVentas[[#This Row],[Unidades]]*TablaVentas[[#This Row],[Precio_unitario]]*(1-TablaVentas[[#This Row],[Descuento_pct]]))</f>
        <v>486.89</v>
      </c>
      <c r="P845" s="6" t="n">
        <f aca="false">IF(TablaVentas[[#This Row],[Costo_unitario]]="","PENDIENTE",TablaVentas[[#This Row],[Unidades]]*TablaVentas[[#This Row],[Costo_unitario]])</f>
        <v>307.75</v>
      </c>
      <c r="Q845" s="6" t="n">
        <f aca="false">IF(OR(TablaVentas[[#This Row],[Ingreso_neto]]="PENDIENTE",TablaVentas[[#This Row],[Costo_total]]="PENDIENTE"),"PENDIENTE",TablaVentas[[#This Row],[Ingreso_neto]]-TablaVentas[[#This Row],[Costo_total]])</f>
        <v>179.14</v>
      </c>
    </row>
    <row r="846" customFormat="false" ht="13.5" hidden="false" customHeight="false" outlineLevel="0" collapsed="false">
      <c r="A846" s="1" t="s">
        <v>713</v>
      </c>
      <c r="B846" s="1" t="n">
        <v>3</v>
      </c>
      <c r="C846" s="5" t="n">
        <v>46292</v>
      </c>
      <c r="D846" s="6" t="s">
        <v>695</v>
      </c>
      <c r="E846" s="6" t="s">
        <v>77</v>
      </c>
      <c r="F846" s="6" t="s">
        <v>84</v>
      </c>
      <c r="G846" s="6" t="s">
        <v>64</v>
      </c>
      <c r="H846" s="6" t="s">
        <v>109</v>
      </c>
      <c r="I846" s="1" t="n">
        <v>2</v>
      </c>
      <c r="J846" s="7" t="n">
        <v>15501.01</v>
      </c>
      <c r="K846" s="8" t="n">
        <v>0</v>
      </c>
      <c r="L846" s="7" t="n">
        <v>10571.25</v>
      </c>
      <c r="M846" s="6" t="s">
        <v>49</v>
      </c>
      <c r="N846" s="6" t="s">
        <v>50</v>
      </c>
      <c r="O846" s="6" t="n">
        <f aca="false">IF(TablaVentas[[#This Row],[Precio_unitario]]="","PENDIENTE",TablaVentas[[#This Row],[Unidades]]*TablaVentas[[#This Row],[Precio_unitario]]*(1-TablaVentas[[#This Row],[Descuento_pct]]))</f>
        <v>31002.02</v>
      </c>
      <c r="P846" s="6" t="n">
        <f aca="false">IF(TablaVentas[[#This Row],[Costo_unitario]]="","PENDIENTE",TablaVentas[[#This Row],[Unidades]]*TablaVentas[[#This Row],[Costo_unitario]])</f>
        <v>21142.5</v>
      </c>
      <c r="Q846" s="6" t="n">
        <f aca="false">IF(OR(TablaVentas[[#This Row],[Ingreso_neto]]="PENDIENTE",TablaVentas[[#This Row],[Costo_total]]="PENDIENTE"),"PENDIENTE",TablaVentas[[#This Row],[Ingreso_neto]]-TablaVentas[[#This Row],[Costo_total]])</f>
        <v>9859.52</v>
      </c>
    </row>
    <row r="847" customFormat="false" ht="13.5" hidden="false" customHeight="false" outlineLevel="0" collapsed="false">
      <c r="A847" s="1" t="s">
        <v>714</v>
      </c>
      <c r="B847" s="1" t="n">
        <v>1</v>
      </c>
      <c r="C847" s="5" t="n">
        <v>46204</v>
      </c>
      <c r="D847" s="6" t="s">
        <v>349</v>
      </c>
      <c r="E847" s="6" t="s">
        <v>145</v>
      </c>
      <c r="F847" s="6" t="s">
        <v>73</v>
      </c>
      <c r="G847" s="6" t="s">
        <v>64</v>
      </c>
      <c r="H847" s="6" t="s">
        <v>131</v>
      </c>
      <c r="I847" s="1" t="n">
        <v>3</v>
      </c>
      <c r="J847" s="7" t="n">
        <v>7201</v>
      </c>
      <c r="K847" s="8" t="n">
        <v>0</v>
      </c>
      <c r="L847" s="7" t="n">
        <v>4665.62</v>
      </c>
      <c r="M847" s="6" t="s">
        <v>49</v>
      </c>
      <c r="N847" s="6" t="s">
        <v>59</v>
      </c>
      <c r="O847" s="6" t="n">
        <f aca="false">IF(TablaVentas[[#This Row],[Precio_unitario]]="","PENDIENTE",TablaVentas[[#This Row],[Unidades]]*TablaVentas[[#This Row],[Precio_unitario]]*(1-TablaVentas[[#This Row],[Descuento_pct]]))</f>
        <v>21603</v>
      </c>
      <c r="P847" s="6" t="n">
        <f aca="false">IF(TablaVentas[[#This Row],[Costo_unitario]]="","PENDIENTE",TablaVentas[[#This Row],[Unidades]]*TablaVentas[[#This Row],[Costo_unitario]])</f>
        <v>13996.86</v>
      </c>
      <c r="Q847" s="6" t="n">
        <f aca="false">IF(OR(TablaVentas[[#This Row],[Ingreso_neto]]="PENDIENTE",TablaVentas[[#This Row],[Costo_total]]="PENDIENTE"),"PENDIENTE",TablaVentas[[#This Row],[Ingreso_neto]]-TablaVentas[[#This Row],[Costo_total]])</f>
        <v>7606.14</v>
      </c>
    </row>
    <row r="848" customFormat="false" ht="13.5" hidden="false" customHeight="false" outlineLevel="0" collapsed="false">
      <c r="A848" s="1" t="s">
        <v>714</v>
      </c>
      <c r="B848" s="1" t="n">
        <v>2</v>
      </c>
      <c r="C848" s="5" t="n">
        <v>46204</v>
      </c>
      <c r="D848" s="6" t="s">
        <v>349</v>
      </c>
      <c r="E848" s="6" t="s">
        <v>162</v>
      </c>
      <c r="F848" s="6" t="s">
        <v>73</v>
      </c>
      <c r="G848" s="6" t="s">
        <v>64</v>
      </c>
      <c r="H848" s="6" t="s">
        <v>131</v>
      </c>
      <c r="I848" s="1" t="n">
        <v>2</v>
      </c>
      <c r="J848" s="7" t="n">
        <v>791.09</v>
      </c>
      <c r="K848" s="8" t="n">
        <v>0.1</v>
      </c>
      <c r="L848" s="7" t="n">
        <v>397.1</v>
      </c>
      <c r="M848" s="6" t="s">
        <v>49</v>
      </c>
      <c r="N848" s="6" t="s">
        <v>67</v>
      </c>
      <c r="O848" s="6" t="n">
        <f aca="false">IF(TablaVentas[[#This Row],[Precio_unitario]]="","PENDIENTE",TablaVentas[[#This Row],[Unidades]]*TablaVentas[[#This Row],[Precio_unitario]]*(1-TablaVentas[[#This Row],[Descuento_pct]]))</f>
        <v>1423.962</v>
      </c>
      <c r="P848" s="6" t="n">
        <f aca="false">IF(TablaVentas[[#This Row],[Costo_unitario]]="","PENDIENTE",TablaVentas[[#This Row],[Unidades]]*TablaVentas[[#This Row],[Costo_unitario]])</f>
        <v>794.2</v>
      </c>
      <c r="Q848" s="6" t="n">
        <f aca="false">IF(OR(TablaVentas[[#This Row],[Ingreso_neto]]="PENDIENTE",TablaVentas[[#This Row],[Costo_total]]="PENDIENTE"),"PENDIENTE",TablaVentas[[#This Row],[Ingreso_neto]]-TablaVentas[[#This Row],[Costo_total]])</f>
        <v>629.762</v>
      </c>
    </row>
    <row r="849" customFormat="false" ht="13.5" hidden="false" customHeight="false" outlineLevel="0" collapsed="false">
      <c r="A849" s="1" t="s">
        <v>715</v>
      </c>
      <c r="B849" s="1" t="n">
        <v>1</v>
      </c>
      <c r="C849" s="5" t="n">
        <v>46117</v>
      </c>
      <c r="D849" s="6" t="s">
        <v>716</v>
      </c>
      <c r="E849" s="6" t="s">
        <v>100</v>
      </c>
      <c r="F849" s="6" t="s">
        <v>84</v>
      </c>
      <c r="G849" s="6" t="s">
        <v>64</v>
      </c>
      <c r="H849" s="6" t="s">
        <v>58</v>
      </c>
      <c r="I849" s="1" t="n">
        <v>5</v>
      </c>
      <c r="J849" s="7" t="n">
        <v>15125.67</v>
      </c>
      <c r="K849" s="8" t="n">
        <v>0.1</v>
      </c>
      <c r="L849" s="7" t="n">
        <v>8788.79</v>
      </c>
      <c r="M849" s="6" t="s">
        <v>49</v>
      </c>
      <c r="N849" s="6" t="s">
        <v>50</v>
      </c>
      <c r="O849" s="6" t="n">
        <f aca="false">IF(TablaVentas[[#This Row],[Precio_unitario]]="","PENDIENTE",TablaVentas[[#This Row],[Unidades]]*TablaVentas[[#This Row],[Precio_unitario]]*(1-TablaVentas[[#This Row],[Descuento_pct]]))</f>
        <v>68065.515</v>
      </c>
      <c r="P849" s="6" t="n">
        <f aca="false">IF(TablaVentas[[#This Row],[Costo_unitario]]="","PENDIENTE",TablaVentas[[#This Row],[Unidades]]*TablaVentas[[#This Row],[Costo_unitario]])</f>
        <v>43943.95</v>
      </c>
      <c r="Q849" s="6" t="n">
        <f aca="false">IF(OR(TablaVentas[[#This Row],[Ingreso_neto]]="PENDIENTE",TablaVentas[[#This Row],[Costo_total]]="PENDIENTE"),"PENDIENTE",TablaVentas[[#This Row],[Ingreso_neto]]-TablaVentas[[#This Row],[Costo_total]])</f>
        <v>24121.565</v>
      </c>
    </row>
    <row r="850" customFormat="false" ht="13.5" hidden="false" customHeight="false" outlineLevel="0" collapsed="false">
      <c r="A850" s="1" t="s">
        <v>715</v>
      </c>
      <c r="B850" s="1" t="n">
        <v>2</v>
      </c>
      <c r="C850" s="5" t="n">
        <v>46117</v>
      </c>
      <c r="D850" s="6" t="s">
        <v>716</v>
      </c>
      <c r="E850" s="6" t="s">
        <v>265</v>
      </c>
      <c r="F850" s="6" t="s">
        <v>84</v>
      </c>
      <c r="G850" s="6" t="s">
        <v>64</v>
      </c>
      <c r="H850" s="6" t="s">
        <v>58</v>
      </c>
      <c r="I850" s="1" t="n">
        <v>3</v>
      </c>
      <c r="J850" s="7" t="n">
        <v>3806.11</v>
      </c>
      <c r="K850" s="8" t="n">
        <v>0.15</v>
      </c>
      <c r="L850" s="7" t="n">
        <v>2008.57</v>
      </c>
      <c r="M850" s="6" t="s">
        <v>49</v>
      </c>
      <c r="N850" s="6" t="s">
        <v>50</v>
      </c>
      <c r="O850" s="6" t="n">
        <f aca="false">IF(TablaVentas[[#This Row],[Precio_unitario]]="","PENDIENTE",TablaVentas[[#This Row],[Unidades]]*TablaVentas[[#This Row],[Precio_unitario]]*(1-TablaVentas[[#This Row],[Descuento_pct]]))</f>
        <v>9705.5805</v>
      </c>
      <c r="P850" s="6" t="n">
        <f aca="false">IF(TablaVentas[[#This Row],[Costo_unitario]]="","PENDIENTE",TablaVentas[[#This Row],[Unidades]]*TablaVentas[[#This Row],[Costo_unitario]])</f>
        <v>6025.71</v>
      </c>
      <c r="Q850" s="6" t="n">
        <f aca="false">IF(OR(TablaVentas[[#This Row],[Ingreso_neto]]="PENDIENTE",TablaVentas[[#This Row],[Costo_total]]="PENDIENTE"),"PENDIENTE",TablaVentas[[#This Row],[Ingreso_neto]]-TablaVentas[[#This Row],[Costo_total]])</f>
        <v>3679.8705</v>
      </c>
    </row>
    <row r="851" customFormat="false" ht="13.5" hidden="false" customHeight="false" outlineLevel="0" collapsed="false">
      <c r="A851" s="1" t="s">
        <v>715</v>
      </c>
      <c r="B851" s="1" t="n">
        <v>3</v>
      </c>
      <c r="C851" s="5" t="n">
        <v>46117</v>
      </c>
      <c r="D851" s="6" t="s">
        <v>716</v>
      </c>
      <c r="E851" s="6" t="s">
        <v>77</v>
      </c>
      <c r="F851" s="6" t="s">
        <v>84</v>
      </c>
      <c r="G851" s="6" t="s">
        <v>64</v>
      </c>
      <c r="H851" s="6" t="s">
        <v>58</v>
      </c>
      <c r="I851" s="1" t="n">
        <v>1</v>
      </c>
      <c r="J851" s="7" t="n">
        <v>14404.79</v>
      </c>
      <c r="K851" s="8" t="n">
        <v>0</v>
      </c>
      <c r="L851" s="7" t="n">
        <v>10571.25</v>
      </c>
      <c r="M851" s="6" t="s">
        <v>49</v>
      </c>
      <c r="N851" s="6" t="s">
        <v>67</v>
      </c>
      <c r="O851" s="6" t="n">
        <f aca="false">IF(TablaVentas[[#This Row],[Precio_unitario]]="","PENDIENTE",TablaVentas[[#This Row],[Unidades]]*TablaVentas[[#This Row],[Precio_unitario]]*(1-TablaVentas[[#This Row],[Descuento_pct]]))</f>
        <v>14404.79</v>
      </c>
      <c r="P851" s="6" t="n">
        <f aca="false">IF(TablaVentas[[#This Row],[Costo_unitario]]="","PENDIENTE",TablaVentas[[#This Row],[Unidades]]*TablaVentas[[#This Row],[Costo_unitario]])</f>
        <v>10571.25</v>
      </c>
      <c r="Q851" s="6" t="n">
        <f aca="false">IF(OR(TablaVentas[[#This Row],[Ingreso_neto]]="PENDIENTE",TablaVentas[[#This Row],[Costo_total]]="PENDIENTE"),"PENDIENTE",TablaVentas[[#This Row],[Ingreso_neto]]-TablaVentas[[#This Row],[Costo_total]])</f>
        <v>3833.54</v>
      </c>
    </row>
    <row r="852" customFormat="false" ht="13.5" hidden="false" customHeight="false" outlineLevel="0" collapsed="false">
      <c r="A852" s="1" t="s">
        <v>717</v>
      </c>
      <c r="B852" s="1" t="n">
        <v>1</v>
      </c>
      <c r="C852" s="5" t="n">
        <v>46131</v>
      </c>
      <c r="D852" s="6" t="s">
        <v>309</v>
      </c>
      <c r="E852" s="6" t="s">
        <v>130</v>
      </c>
      <c r="F852" s="6" t="s">
        <v>46</v>
      </c>
      <c r="G852" s="6" t="s">
        <v>57</v>
      </c>
      <c r="H852" s="6" t="s">
        <v>89</v>
      </c>
      <c r="I852" s="1" t="n">
        <v>8</v>
      </c>
      <c r="J852" s="7" t="n">
        <v>18644.13</v>
      </c>
      <c r="K852" s="8" t="n">
        <v>0.05</v>
      </c>
      <c r="L852" s="7" t="n">
        <v>12679.41</v>
      </c>
      <c r="M852" s="6" t="s">
        <v>49</v>
      </c>
      <c r="N852" s="6" t="s">
        <v>52</v>
      </c>
      <c r="O852" s="6" t="n">
        <f aca="false">IF(TablaVentas[[#This Row],[Precio_unitario]]="","PENDIENTE",TablaVentas[[#This Row],[Unidades]]*TablaVentas[[#This Row],[Precio_unitario]]*(1-TablaVentas[[#This Row],[Descuento_pct]]))</f>
        <v>141695.388</v>
      </c>
      <c r="P852" s="6" t="n">
        <f aca="false">IF(TablaVentas[[#This Row],[Costo_unitario]]="","PENDIENTE",TablaVentas[[#This Row],[Unidades]]*TablaVentas[[#This Row],[Costo_unitario]])</f>
        <v>101435.28</v>
      </c>
      <c r="Q852" s="6" t="n">
        <f aca="false">IF(OR(TablaVentas[[#This Row],[Ingreso_neto]]="PENDIENTE",TablaVentas[[#This Row],[Costo_total]]="PENDIENTE"),"PENDIENTE",TablaVentas[[#This Row],[Ingreso_neto]]-TablaVentas[[#This Row],[Costo_total]])</f>
        <v>40260.108</v>
      </c>
    </row>
    <row r="853" customFormat="false" ht="13.5" hidden="false" customHeight="false" outlineLevel="0" collapsed="false">
      <c r="A853" s="1" t="s">
        <v>717</v>
      </c>
      <c r="B853" s="1" t="n">
        <v>2</v>
      </c>
      <c r="C853" s="5" t="n">
        <v>46131</v>
      </c>
      <c r="D853" s="6" t="s">
        <v>309</v>
      </c>
      <c r="E853" s="6" t="s">
        <v>97</v>
      </c>
      <c r="F853" s="6" t="s">
        <v>46</v>
      </c>
      <c r="G853" s="6" t="s">
        <v>57</v>
      </c>
      <c r="H853" s="6" t="s">
        <v>89</v>
      </c>
      <c r="I853" s="1" t="n">
        <v>1</v>
      </c>
      <c r="J853" s="7" t="n">
        <v>9928.77</v>
      </c>
      <c r="K853" s="8" t="n">
        <v>0</v>
      </c>
      <c r="L853" s="7" t="n">
        <v>8174.87</v>
      </c>
      <c r="M853" s="6" t="s">
        <v>49</v>
      </c>
      <c r="N853" s="6" t="s">
        <v>67</v>
      </c>
      <c r="O853" s="6" t="n">
        <f aca="false">IF(TablaVentas[[#This Row],[Precio_unitario]]="","PENDIENTE",TablaVentas[[#This Row],[Unidades]]*TablaVentas[[#This Row],[Precio_unitario]]*(1-TablaVentas[[#This Row],[Descuento_pct]]))</f>
        <v>9928.77</v>
      </c>
      <c r="P853" s="6" t="n">
        <f aca="false">IF(TablaVentas[[#This Row],[Costo_unitario]]="","PENDIENTE",TablaVentas[[#This Row],[Unidades]]*TablaVentas[[#This Row],[Costo_unitario]])</f>
        <v>8174.87</v>
      </c>
      <c r="Q853" s="6" t="n">
        <f aca="false">IF(OR(TablaVentas[[#This Row],[Ingreso_neto]]="PENDIENTE",TablaVentas[[#This Row],[Costo_total]]="PENDIENTE"),"PENDIENTE",TablaVentas[[#This Row],[Ingreso_neto]]-TablaVentas[[#This Row],[Costo_total]])</f>
        <v>1753.9</v>
      </c>
    </row>
    <row r="854" customFormat="false" ht="13.5" hidden="false" customHeight="false" outlineLevel="0" collapsed="false">
      <c r="A854" s="1" t="s">
        <v>717</v>
      </c>
      <c r="B854" s="1" t="n">
        <v>3</v>
      </c>
      <c r="C854" s="5" t="n">
        <v>46131</v>
      </c>
      <c r="D854" s="6" t="s">
        <v>309</v>
      </c>
      <c r="E854" s="6" t="s">
        <v>210</v>
      </c>
      <c r="F854" s="6" t="s">
        <v>46</v>
      </c>
      <c r="G854" s="6" t="s">
        <v>57</v>
      </c>
      <c r="H854" s="6" t="s">
        <v>89</v>
      </c>
      <c r="I854" s="1" t="n">
        <v>2</v>
      </c>
      <c r="J854" s="7" t="n">
        <v>1896.44</v>
      </c>
      <c r="K854" s="8" t="n">
        <v>0.05</v>
      </c>
      <c r="L854" s="7" t="n">
        <v>1252.84</v>
      </c>
      <c r="M854" s="6" t="s">
        <v>49</v>
      </c>
      <c r="N854" s="6" t="s">
        <v>67</v>
      </c>
      <c r="O854" s="6" t="n">
        <f aca="false">IF(TablaVentas[[#This Row],[Precio_unitario]]="","PENDIENTE",TablaVentas[[#This Row],[Unidades]]*TablaVentas[[#This Row],[Precio_unitario]]*(1-TablaVentas[[#This Row],[Descuento_pct]]))</f>
        <v>3603.236</v>
      </c>
      <c r="P854" s="6" t="n">
        <f aca="false">IF(TablaVentas[[#This Row],[Costo_unitario]]="","PENDIENTE",TablaVentas[[#This Row],[Unidades]]*TablaVentas[[#This Row],[Costo_unitario]])</f>
        <v>2505.68</v>
      </c>
      <c r="Q854" s="6" t="n">
        <f aca="false">IF(OR(TablaVentas[[#This Row],[Ingreso_neto]]="PENDIENTE",TablaVentas[[#This Row],[Costo_total]]="PENDIENTE"),"PENDIENTE",TablaVentas[[#This Row],[Ingreso_neto]]-TablaVentas[[#This Row],[Costo_total]])</f>
        <v>1097.556</v>
      </c>
    </row>
    <row r="855" customFormat="false" ht="13.5" hidden="false" customHeight="false" outlineLevel="0" collapsed="false">
      <c r="A855" s="1" t="s">
        <v>718</v>
      </c>
      <c r="B855" s="1" t="n">
        <v>1</v>
      </c>
      <c r="C855" s="5" t="n">
        <v>46051</v>
      </c>
      <c r="D855" s="6" t="s">
        <v>271</v>
      </c>
      <c r="E855" s="6" t="s">
        <v>230</v>
      </c>
      <c r="F855" s="6" t="s">
        <v>63</v>
      </c>
      <c r="G855" s="6" t="s">
        <v>57</v>
      </c>
      <c r="H855" s="6" t="s">
        <v>131</v>
      </c>
      <c r="I855" s="1" t="n">
        <v>5</v>
      </c>
      <c r="J855" s="7" t="n">
        <v>6021.42</v>
      </c>
      <c r="K855" s="8" t="n">
        <v>0.15</v>
      </c>
      <c r="L855" s="7" t="n">
        <v>3298.19</v>
      </c>
      <c r="M855" s="6" t="s">
        <v>49</v>
      </c>
      <c r="N855" s="6" t="s">
        <v>52</v>
      </c>
      <c r="O855" s="6" t="n">
        <f aca="false">IF(TablaVentas[[#This Row],[Precio_unitario]]="","PENDIENTE",TablaVentas[[#This Row],[Unidades]]*TablaVentas[[#This Row],[Precio_unitario]]*(1-TablaVentas[[#This Row],[Descuento_pct]]))</f>
        <v>25591.035</v>
      </c>
      <c r="P855" s="6" t="n">
        <f aca="false">IF(TablaVentas[[#This Row],[Costo_unitario]]="","PENDIENTE",TablaVentas[[#This Row],[Unidades]]*TablaVentas[[#This Row],[Costo_unitario]])</f>
        <v>16490.95</v>
      </c>
      <c r="Q855" s="6" t="n">
        <f aca="false">IF(OR(TablaVentas[[#This Row],[Ingreso_neto]]="PENDIENTE",TablaVentas[[#This Row],[Costo_total]]="PENDIENTE"),"PENDIENTE",TablaVentas[[#This Row],[Ingreso_neto]]-TablaVentas[[#This Row],[Costo_total]])</f>
        <v>9100.085</v>
      </c>
    </row>
    <row r="856" customFormat="false" ht="13.5" hidden="false" customHeight="false" outlineLevel="0" collapsed="false">
      <c r="A856" s="1" t="s">
        <v>718</v>
      </c>
      <c r="B856" s="1" t="n">
        <v>2</v>
      </c>
      <c r="C856" s="5" t="n">
        <v>46051</v>
      </c>
      <c r="D856" s="6" t="s">
        <v>271</v>
      </c>
      <c r="E856" s="6" t="s">
        <v>218</v>
      </c>
      <c r="F856" s="6" t="s">
        <v>63</v>
      </c>
      <c r="G856" s="6" t="s">
        <v>57</v>
      </c>
      <c r="H856" s="6" t="s">
        <v>131</v>
      </c>
      <c r="I856" s="1" t="n">
        <v>1</v>
      </c>
      <c r="J856" s="7" t="n">
        <v>19617</v>
      </c>
      <c r="K856" s="8" t="n">
        <v>0</v>
      </c>
      <c r="L856" s="7" t="n">
        <v>13760.53</v>
      </c>
      <c r="M856" s="6" t="s">
        <v>49</v>
      </c>
      <c r="N856" s="6" t="s">
        <v>50</v>
      </c>
      <c r="O856" s="6" t="n">
        <f aca="false">IF(TablaVentas[[#This Row],[Precio_unitario]]="","PENDIENTE",TablaVentas[[#This Row],[Unidades]]*TablaVentas[[#This Row],[Precio_unitario]]*(1-TablaVentas[[#This Row],[Descuento_pct]]))</f>
        <v>19617</v>
      </c>
      <c r="P856" s="6" t="n">
        <f aca="false">IF(TablaVentas[[#This Row],[Costo_unitario]]="","PENDIENTE",TablaVentas[[#This Row],[Unidades]]*TablaVentas[[#This Row],[Costo_unitario]])</f>
        <v>13760.53</v>
      </c>
      <c r="Q856" s="6" t="n">
        <f aca="false">IF(OR(TablaVentas[[#This Row],[Ingreso_neto]]="PENDIENTE",TablaVentas[[#This Row],[Costo_total]]="PENDIENTE"),"PENDIENTE",TablaVentas[[#This Row],[Ingreso_neto]]-TablaVentas[[#This Row],[Costo_total]])</f>
        <v>5856.47</v>
      </c>
    </row>
    <row r="857" customFormat="false" ht="13.5" hidden="false" customHeight="false" outlineLevel="0" collapsed="false">
      <c r="A857" s="1" t="s">
        <v>719</v>
      </c>
      <c r="B857" s="1" t="n">
        <v>1</v>
      </c>
      <c r="C857" s="5" t="n">
        <v>46042</v>
      </c>
      <c r="D857" s="6" t="s">
        <v>232</v>
      </c>
      <c r="E857" s="6" t="s">
        <v>142</v>
      </c>
      <c r="F857" s="6" t="s">
        <v>63</v>
      </c>
      <c r="G857" s="6" t="s">
        <v>64</v>
      </c>
      <c r="H857" s="6" t="s">
        <v>131</v>
      </c>
      <c r="I857" s="1" t="n">
        <v>5</v>
      </c>
      <c r="J857" s="7" t="n">
        <v>2111.63</v>
      </c>
      <c r="K857" s="8" t="n">
        <v>0.05</v>
      </c>
      <c r="L857" s="7" t="n">
        <v>1529.93</v>
      </c>
      <c r="M857" s="6" t="s">
        <v>49</v>
      </c>
      <c r="N857" s="6" t="s">
        <v>52</v>
      </c>
      <c r="O857" s="6" t="n">
        <f aca="false">IF(TablaVentas[[#This Row],[Precio_unitario]]="","PENDIENTE",TablaVentas[[#This Row],[Unidades]]*TablaVentas[[#This Row],[Precio_unitario]]*(1-TablaVentas[[#This Row],[Descuento_pct]]))</f>
        <v>10030.2425</v>
      </c>
      <c r="P857" s="6" t="n">
        <f aca="false">IF(TablaVentas[[#This Row],[Costo_unitario]]="","PENDIENTE",TablaVentas[[#This Row],[Unidades]]*TablaVentas[[#This Row],[Costo_unitario]])</f>
        <v>7649.65</v>
      </c>
      <c r="Q857" s="6" t="n">
        <f aca="false">IF(OR(TablaVentas[[#This Row],[Ingreso_neto]]="PENDIENTE",TablaVentas[[#This Row],[Costo_total]]="PENDIENTE"),"PENDIENTE",TablaVentas[[#This Row],[Ingreso_neto]]-TablaVentas[[#This Row],[Costo_total]])</f>
        <v>2380.5925</v>
      </c>
    </row>
    <row r="858" customFormat="false" ht="13.5" hidden="false" customHeight="false" outlineLevel="0" collapsed="false">
      <c r="A858" s="1" t="s">
        <v>720</v>
      </c>
      <c r="B858" s="1" t="n">
        <v>1</v>
      </c>
      <c r="C858" s="5" t="n">
        <v>46247</v>
      </c>
      <c r="D858" s="6" t="s">
        <v>314</v>
      </c>
      <c r="E858" s="6" t="s">
        <v>544</v>
      </c>
      <c r="F858" s="6" t="s">
        <v>46</v>
      </c>
      <c r="G858" s="6" t="s">
        <v>47</v>
      </c>
      <c r="H858" s="6" t="s">
        <v>48</v>
      </c>
      <c r="I858" s="1" t="n">
        <v>2</v>
      </c>
      <c r="J858" s="7" t="n">
        <v>5514.07</v>
      </c>
      <c r="K858" s="8" t="n">
        <v>0</v>
      </c>
      <c r="L858" s="7" t="n">
        <v>4556.23</v>
      </c>
      <c r="M858" s="6" t="s">
        <v>49</v>
      </c>
      <c r="N858" s="6" t="s">
        <v>52</v>
      </c>
      <c r="O858" s="6" t="n">
        <f aca="false">IF(TablaVentas[[#This Row],[Precio_unitario]]="","PENDIENTE",TablaVentas[[#This Row],[Unidades]]*TablaVentas[[#This Row],[Precio_unitario]]*(1-TablaVentas[[#This Row],[Descuento_pct]]))</f>
        <v>11028.14</v>
      </c>
      <c r="P858" s="6" t="n">
        <f aca="false">IF(TablaVentas[[#This Row],[Costo_unitario]]="","PENDIENTE",TablaVentas[[#This Row],[Unidades]]*TablaVentas[[#This Row],[Costo_unitario]])</f>
        <v>9112.46</v>
      </c>
      <c r="Q858" s="6" t="n">
        <f aca="false">IF(OR(TablaVentas[[#This Row],[Ingreso_neto]]="PENDIENTE",TablaVentas[[#This Row],[Costo_total]]="PENDIENTE"),"PENDIENTE",TablaVentas[[#This Row],[Ingreso_neto]]-TablaVentas[[#This Row],[Costo_total]])</f>
        <v>1915.68</v>
      </c>
    </row>
    <row r="859" customFormat="false" ht="13.5" hidden="false" customHeight="false" outlineLevel="0" collapsed="false">
      <c r="A859" s="1" t="s">
        <v>721</v>
      </c>
      <c r="B859" s="1" t="n">
        <v>1</v>
      </c>
      <c r="C859" s="5" t="n">
        <v>46239</v>
      </c>
      <c r="D859" s="6" t="s">
        <v>499</v>
      </c>
      <c r="E859" s="6" t="s">
        <v>139</v>
      </c>
      <c r="F859" s="6" t="s">
        <v>63</v>
      </c>
      <c r="G859" s="6" t="s">
        <v>64</v>
      </c>
      <c r="H859" s="6" t="s">
        <v>109</v>
      </c>
      <c r="I859" s="1" t="n">
        <v>1</v>
      </c>
      <c r="J859" s="7" t="n">
        <v>17921.2</v>
      </c>
      <c r="K859" s="8" t="n">
        <v>0</v>
      </c>
      <c r="L859" s="7" t="n">
        <v>11036.95</v>
      </c>
      <c r="M859" s="6" t="s">
        <v>49</v>
      </c>
      <c r="N859" s="6" t="s">
        <v>52</v>
      </c>
      <c r="O859" s="6" t="n">
        <f aca="false">IF(TablaVentas[[#This Row],[Precio_unitario]]="","PENDIENTE",TablaVentas[[#This Row],[Unidades]]*TablaVentas[[#This Row],[Precio_unitario]]*(1-TablaVentas[[#This Row],[Descuento_pct]]))</f>
        <v>17921.2</v>
      </c>
      <c r="P859" s="6" t="n">
        <f aca="false">IF(TablaVentas[[#This Row],[Costo_unitario]]="","PENDIENTE",TablaVentas[[#This Row],[Unidades]]*TablaVentas[[#This Row],[Costo_unitario]])</f>
        <v>11036.95</v>
      </c>
      <c r="Q859" s="6" t="n">
        <f aca="false">IF(OR(TablaVentas[[#This Row],[Ingreso_neto]]="PENDIENTE",TablaVentas[[#This Row],[Costo_total]]="PENDIENTE"),"PENDIENTE",TablaVentas[[#This Row],[Ingreso_neto]]-TablaVentas[[#This Row],[Costo_total]])</f>
        <v>6884.25</v>
      </c>
    </row>
    <row r="860" customFormat="false" ht="13.5" hidden="false" customHeight="false" outlineLevel="0" collapsed="false">
      <c r="A860" s="1" t="s">
        <v>721</v>
      </c>
      <c r="B860" s="1" t="n">
        <v>2</v>
      </c>
      <c r="C860" s="5" t="n">
        <v>46239</v>
      </c>
      <c r="D860" s="6" t="s">
        <v>499</v>
      </c>
      <c r="E860" s="6" t="s">
        <v>101</v>
      </c>
      <c r="F860" s="6" t="s">
        <v>63</v>
      </c>
      <c r="G860" s="6" t="s">
        <v>64</v>
      </c>
      <c r="H860" s="6" t="s">
        <v>109</v>
      </c>
      <c r="I860" s="1" t="n">
        <v>12</v>
      </c>
      <c r="J860" s="7" t="n">
        <v>8146.49</v>
      </c>
      <c r="K860" s="8" t="n">
        <v>0</v>
      </c>
      <c r="L860" s="7" t="n">
        <v>4538.06</v>
      </c>
      <c r="M860" s="6" t="s">
        <v>49</v>
      </c>
      <c r="N860" s="6" t="s">
        <v>52</v>
      </c>
      <c r="O860" s="6" t="n">
        <f aca="false">IF(TablaVentas[[#This Row],[Precio_unitario]]="","PENDIENTE",TablaVentas[[#This Row],[Unidades]]*TablaVentas[[#This Row],[Precio_unitario]]*(1-TablaVentas[[#This Row],[Descuento_pct]]))</f>
        <v>97757.88</v>
      </c>
      <c r="P860" s="6" t="n">
        <f aca="false">IF(TablaVentas[[#This Row],[Costo_unitario]]="","PENDIENTE",TablaVentas[[#This Row],[Unidades]]*TablaVentas[[#This Row],[Costo_unitario]])</f>
        <v>54456.72</v>
      </c>
      <c r="Q860" s="6" t="n">
        <f aca="false">IF(OR(TablaVentas[[#This Row],[Ingreso_neto]]="PENDIENTE",TablaVentas[[#This Row],[Costo_total]]="PENDIENTE"),"PENDIENTE",TablaVentas[[#This Row],[Ingreso_neto]]-TablaVentas[[#This Row],[Costo_total]])</f>
        <v>43301.16</v>
      </c>
    </row>
    <row r="861" customFormat="false" ht="13.5" hidden="false" customHeight="false" outlineLevel="0" collapsed="false">
      <c r="A861" s="1" t="s">
        <v>721</v>
      </c>
      <c r="B861" s="1" t="n">
        <v>3</v>
      </c>
      <c r="C861" s="5" t="n">
        <v>46239</v>
      </c>
      <c r="D861" s="6" t="s">
        <v>499</v>
      </c>
      <c r="E861" s="6" t="s">
        <v>105</v>
      </c>
      <c r="F861" s="6" t="s">
        <v>63</v>
      </c>
      <c r="G861" s="6" t="s">
        <v>64</v>
      </c>
      <c r="H861" s="6" t="s">
        <v>109</v>
      </c>
      <c r="I861" s="1" t="n">
        <v>5</v>
      </c>
      <c r="J861" s="7" t="n">
        <v>15930.26</v>
      </c>
      <c r="K861" s="8" t="n">
        <v>0.05</v>
      </c>
      <c r="L861" s="7" t="n">
        <v>9881</v>
      </c>
      <c r="M861" s="6" t="s">
        <v>49</v>
      </c>
      <c r="N861" s="6" t="s">
        <v>67</v>
      </c>
      <c r="O861" s="6" t="n">
        <f aca="false">IF(TablaVentas[[#This Row],[Precio_unitario]]="","PENDIENTE",TablaVentas[[#This Row],[Unidades]]*TablaVentas[[#This Row],[Precio_unitario]]*(1-TablaVentas[[#This Row],[Descuento_pct]]))</f>
        <v>75668.735</v>
      </c>
      <c r="P861" s="6" t="n">
        <f aca="false">IF(TablaVentas[[#This Row],[Costo_unitario]]="","PENDIENTE",TablaVentas[[#This Row],[Unidades]]*TablaVentas[[#This Row],[Costo_unitario]])</f>
        <v>49405</v>
      </c>
      <c r="Q861" s="6" t="n">
        <f aca="false">IF(OR(TablaVentas[[#This Row],[Ingreso_neto]]="PENDIENTE",TablaVentas[[#This Row],[Costo_total]]="PENDIENTE"),"PENDIENTE",TablaVentas[[#This Row],[Ingreso_neto]]-TablaVentas[[#This Row],[Costo_total]])</f>
        <v>26263.735</v>
      </c>
    </row>
    <row r="862" customFormat="false" ht="13.5" hidden="false" customHeight="false" outlineLevel="0" collapsed="false">
      <c r="A862" s="1" t="s">
        <v>721</v>
      </c>
      <c r="B862" s="1" t="n">
        <v>4</v>
      </c>
      <c r="C862" s="5" t="n">
        <v>46239</v>
      </c>
      <c r="D862" s="6" t="s">
        <v>499</v>
      </c>
      <c r="E862" s="6" t="s">
        <v>417</v>
      </c>
      <c r="F862" s="6" t="s">
        <v>63</v>
      </c>
      <c r="G862" s="6" t="s">
        <v>64</v>
      </c>
      <c r="H862" s="6" t="s">
        <v>109</v>
      </c>
      <c r="I862" s="1" t="n">
        <v>3</v>
      </c>
      <c r="J862" s="7" t="n">
        <v>8193.99</v>
      </c>
      <c r="K862" s="8" t="n">
        <v>0.1</v>
      </c>
      <c r="L862" s="7" t="n">
        <v>5874.17</v>
      </c>
      <c r="M862" s="6" t="s">
        <v>49</v>
      </c>
      <c r="N862" s="6" t="s">
        <v>59</v>
      </c>
      <c r="O862" s="6" t="n">
        <f aca="false">IF(TablaVentas[[#This Row],[Precio_unitario]]="","PENDIENTE",TablaVentas[[#This Row],[Unidades]]*TablaVentas[[#This Row],[Precio_unitario]]*(1-TablaVentas[[#This Row],[Descuento_pct]]))</f>
        <v>22123.773</v>
      </c>
      <c r="P862" s="6" t="n">
        <f aca="false">IF(TablaVentas[[#This Row],[Costo_unitario]]="","PENDIENTE",TablaVentas[[#This Row],[Unidades]]*TablaVentas[[#This Row],[Costo_unitario]])</f>
        <v>17622.51</v>
      </c>
      <c r="Q862" s="6" t="n">
        <f aca="false">IF(OR(TablaVentas[[#This Row],[Ingreso_neto]]="PENDIENTE",TablaVentas[[#This Row],[Costo_total]]="PENDIENTE"),"PENDIENTE",TablaVentas[[#This Row],[Ingreso_neto]]-TablaVentas[[#This Row],[Costo_total]])</f>
        <v>4501.263</v>
      </c>
    </row>
    <row r="863" customFormat="false" ht="13.5" hidden="false" customHeight="false" outlineLevel="0" collapsed="false">
      <c r="A863" s="1" t="s">
        <v>722</v>
      </c>
      <c r="B863" s="1" t="n">
        <v>1</v>
      </c>
      <c r="C863" s="5" t="n">
        <v>46174</v>
      </c>
      <c r="D863" s="6" t="s">
        <v>55</v>
      </c>
      <c r="E863" s="6" t="s">
        <v>360</v>
      </c>
      <c r="F863" s="6" t="s">
        <v>84</v>
      </c>
      <c r="G863" s="6" t="s">
        <v>47</v>
      </c>
      <c r="H863" s="6" t="s">
        <v>58</v>
      </c>
      <c r="I863" s="1" t="n">
        <v>3</v>
      </c>
      <c r="J863" s="7" t="n">
        <v>2202.53</v>
      </c>
      <c r="K863" s="8" t="n">
        <v>0</v>
      </c>
      <c r="L863" s="7" t="n">
        <v>1479.71</v>
      </c>
      <c r="M863" s="6" t="s">
        <v>49</v>
      </c>
      <c r="N863" s="6" t="s">
        <v>59</v>
      </c>
      <c r="O863" s="6" t="n">
        <f aca="false">IF(TablaVentas[[#This Row],[Precio_unitario]]="","PENDIENTE",TablaVentas[[#This Row],[Unidades]]*TablaVentas[[#This Row],[Precio_unitario]]*(1-TablaVentas[[#This Row],[Descuento_pct]]))</f>
        <v>6607.59</v>
      </c>
      <c r="P863" s="6" t="n">
        <f aca="false">IF(TablaVentas[[#This Row],[Costo_unitario]]="","PENDIENTE",TablaVentas[[#This Row],[Unidades]]*TablaVentas[[#This Row],[Costo_unitario]])</f>
        <v>4439.13</v>
      </c>
      <c r="Q863" s="6" t="n">
        <f aca="false">IF(OR(TablaVentas[[#This Row],[Ingreso_neto]]="PENDIENTE",TablaVentas[[#This Row],[Costo_total]]="PENDIENTE"),"PENDIENTE",TablaVentas[[#This Row],[Ingreso_neto]]-TablaVentas[[#This Row],[Costo_total]])</f>
        <v>2168.46</v>
      </c>
    </row>
    <row r="864" customFormat="false" ht="13.5" hidden="false" customHeight="false" outlineLevel="0" collapsed="false">
      <c r="A864" s="1" t="s">
        <v>722</v>
      </c>
      <c r="B864" s="1" t="n">
        <v>2</v>
      </c>
      <c r="C864" s="5" t="n">
        <v>46174</v>
      </c>
      <c r="D864" s="6" t="s">
        <v>55</v>
      </c>
      <c r="E864" s="6" t="s">
        <v>417</v>
      </c>
      <c r="F864" s="6" t="s">
        <v>84</v>
      </c>
      <c r="G864" s="6" t="s">
        <v>47</v>
      </c>
      <c r="H864" s="6" t="s">
        <v>58</v>
      </c>
      <c r="I864" s="1" t="n">
        <v>1</v>
      </c>
      <c r="J864" s="7" t="n">
        <v>7357.5</v>
      </c>
      <c r="K864" s="8" t="n">
        <v>0.15</v>
      </c>
      <c r="L864" s="7" t="n">
        <v>5874.17</v>
      </c>
      <c r="M864" s="6" t="s">
        <v>49</v>
      </c>
      <c r="N864" s="6" t="s">
        <v>50</v>
      </c>
      <c r="O864" s="6" t="n">
        <f aca="false">IF(TablaVentas[[#This Row],[Precio_unitario]]="","PENDIENTE",TablaVentas[[#This Row],[Unidades]]*TablaVentas[[#This Row],[Precio_unitario]]*(1-TablaVentas[[#This Row],[Descuento_pct]]))</f>
        <v>6253.875</v>
      </c>
      <c r="P864" s="6" t="n">
        <f aca="false">IF(TablaVentas[[#This Row],[Costo_unitario]]="","PENDIENTE",TablaVentas[[#This Row],[Unidades]]*TablaVentas[[#This Row],[Costo_unitario]])</f>
        <v>5874.17</v>
      </c>
      <c r="Q864" s="6" t="n">
        <f aca="false">IF(OR(TablaVentas[[#This Row],[Ingreso_neto]]="PENDIENTE",TablaVentas[[#This Row],[Costo_total]]="PENDIENTE"),"PENDIENTE",TablaVentas[[#This Row],[Ingreso_neto]]-TablaVentas[[#This Row],[Costo_total]])</f>
        <v>379.705</v>
      </c>
    </row>
    <row r="865" customFormat="false" ht="13.5" hidden="false" customHeight="false" outlineLevel="0" collapsed="false">
      <c r="A865" s="1" t="s">
        <v>723</v>
      </c>
      <c r="B865" s="1" t="n">
        <v>1</v>
      </c>
      <c r="C865" s="5" t="n">
        <v>46234</v>
      </c>
      <c r="D865" s="6" t="s">
        <v>296</v>
      </c>
      <c r="E865" s="6" t="s">
        <v>544</v>
      </c>
      <c r="F865" s="6" t="s">
        <v>63</v>
      </c>
      <c r="G865" s="6" t="s">
        <v>47</v>
      </c>
      <c r="H865" s="6" t="s">
        <v>109</v>
      </c>
      <c r="I865" s="1" t="n">
        <v>1</v>
      </c>
      <c r="J865" s="7" t="n">
        <v>5348.06</v>
      </c>
      <c r="K865" s="8" t="n">
        <v>0.15</v>
      </c>
      <c r="L865" s="7" t="n">
        <v>4556.23</v>
      </c>
      <c r="M865" s="6" t="s">
        <v>49</v>
      </c>
      <c r="N865" s="6" t="s">
        <v>67</v>
      </c>
      <c r="O865" s="6" t="n">
        <f aca="false">IF(TablaVentas[[#This Row],[Precio_unitario]]="","PENDIENTE",TablaVentas[[#This Row],[Unidades]]*TablaVentas[[#This Row],[Precio_unitario]]*(1-TablaVentas[[#This Row],[Descuento_pct]]))</f>
        <v>4545.851</v>
      </c>
      <c r="P865" s="6" t="n">
        <f aca="false">IF(TablaVentas[[#This Row],[Costo_unitario]]="","PENDIENTE",TablaVentas[[#This Row],[Unidades]]*TablaVentas[[#This Row],[Costo_unitario]])</f>
        <v>4556.23</v>
      </c>
      <c r="Q865" s="6" t="n">
        <f aca="false">IF(OR(TablaVentas[[#This Row],[Ingreso_neto]]="PENDIENTE",TablaVentas[[#This Row],[Costo_total]]="PENDIENTE"),"PENDIENTE",TablaVentas[[#This Row],[Ingreso_neto]]-TablaVentas[[#This Row],[Costo_total]])</f>
        <v>-10.378999999999</v>
      </c>
    </row>
    <row r="866" customFormat="false" ht="13.5" hidden="false" customHeight="false" outlineLevel="0" collapsed="false">
      <c r="A866" s="1" t="s">
        <v>723</v>
      </c>
      <c r="B866" s="1" t="n">
        <v>2</v>
      </c>
      <c r="C866" s="5" t="n">
        <v>46234</v>
      </c>
      <c r="D866" s="6" t="s">
        <v>296</v>
      </c>
      <c r="E866" s="6" t="s">
        <v>170</v>
      </c>
      <c r="F866" s="6" t="s">
        <v>63</v>
      </c>
      <c r="G866" s="6" t="s">
        <v>47</v>
      </c>
      <c r="H866" s="6" t="s">
        <v>109</v>
      </c>
      <c r="I866" s="1" t="n">
        <v>1</v>
      </c>
      <c r="J866" s="7" t="n">
        <v>16320.55</v>
      </c>
      <c r="K866" s="8" t="n">
        <v>0.1</v>
      </c>
      <c r="L866" s="7" t="n">
        <v>12141.44</v>
      </c>
      <c r="M866" s="6" t="s">
        <v>49</v>
      </c>
      <c r="N866" s="6" t="s">
        <v>52</v>
      </c>
      <c r="O866" s="6" t="n">
        <f aca="false">IF(TablaVentas[[#This Row],[Precio_unitario]]="","PENDIENTE",TablaVentas[[#This Row],[Unidades]]*TablaVentas[[#This Row],[Precio_unitario]]*(1-TablaVentas[[#This Row],[Descuento_pct]]))</f>
        <v>14688.495</v>
      </c>
      <c r="P866" s="6" t="n">
        <f aca="false">IF(TablaVentas[[#This Row],[Costo_unitario]]="","PENDIENTE",TablaVentas[[#This Row],[Unidades]]*TablaVentas[[#This Row],[Costo_unitario]])</f>
        <v>12141.44</v>
      </c>
      <c r="Q866" s="6" t="n">
        <f aca="false">IF(OR(TablaVentas[[#This Row],[Ingreso_neto]]="PENDIENTE",TablaVentas[[#This Row],[Costo_total]]="PENDIENTE"),"PENDIENTE",TablaVentas[[#This Row],[Ingreso_neto]]-TablaVentas[[#This Row],[Costo_total]])</f>
        <v>2547.055</v>
      </c>
    </row>
    <row r="867" customFormat="false" ht="13.5" hidden="false" customHeight="false" outlineLevel="0" collapsed="false">
      <c r="A867" s="1" t="s">
        <v>723</v>
      </c>
      <c r="B867" s="1" t="n">
        <v>3</v>
      </c>
      <c r="C867" s="5" t="n">
        <v>46234</v>
      </c>
      <c r="D867" s="6" t="s">
        <v>296</v>
      </c>
      <c r="E867" s="6" t="s">
        <v>100</v>
      </c>
      <c r="F867" s="6" t="s">
        <v>63</v>
      </c>
      <c r="G867" s="6" t="s">
        <v>47</v>
      </c>
      <c r="H867" s="6" t="s">
        <v>109</v>
      </c>
      <c r="I867" s="1" t="n">
        <v>1</v>
      </c>
      <c r="J867" s="7" t="n">
        <v>15348.24</v>
      </c>
      <c r="K867" s="8" t="n">
        <v>0.15</v>
      </c>
      <c r="L867" s="7" t="n">
        <v>8788.79</v>
      </c>
      <c r="M867" s="6" t="s">
        <v>49</v>
      </c>
      <c r="N867" s="6" t="s">
        <v>67</v>
      </c>
      <c r="O867" s="6" t="n">
        <f aca="false">IF(TablaVentas[[#This Row],[Precio_unitario]]="","PENDIENTE",TablaVentas[[#This Row],[Unidades]]*TablaVentas[[#This Row],[Precio_unitario]]*(1-TablaVentas[[#This Row],[Descuento_pct]]))</f>
        <v>13046.004</v>
      </c>
      <c r="P867" s="6" t="n">
        <f aca="false">IF(TablaVentas[[#This Row],[Costo_unitario]]="","PENDIENTE",TablaVentas[[#This Row],[Unidades]]*TablaVentas[[#This Row],[Costo_unitario]])</f>
        <v>8788.79</v>
      </c>
      <c r="Q867" s="6" t="n">
        <f aca="false">IF(OR(TablaVentas[[#This Row],[Ingreso_neto]]="PENDIENTE",TablaVentas[[#This Row],[Costo_total]]="PENDIENTE"),"PENDIENTE",TablaVentas[[#This Row],[Ingreso_neto]]-TablaVentas[[#This Row],[Costo_total]])</f>
        <v>4257.214</v>
      </c>
    </row>
    <row r="868" customFormat="false" ht="13.5" hidden="false" customHeight="false" outlineLevel="0" collapsed="false">
      <c r="A868" s="1" t="s">
        <v>724</v>
      </c>
      <c r="B868" s="1" t="n">
        <v>1</v>
      </c>
      <c r="C868" s="5" t="n">
        <v>46163</v>
      </c>
      <c r="D868" s="6" t="s">
        <v>119</v>
      </c>
      <c r="E868" s="6" t="s">
        <v>255</v>
      </c>
      <c r="F868" s="6" t="s">
        <v>84</v>
      </c>
      <c r="G868" s="6" t="s">
        <v>47</v>
      </c>
      <c r="H868" s="6" t="s">
        <v>74</v>
      </c>
      <c r="I868" s="1" t="n">
        <v>3</v>
      </c>
      <c r="J868" s="7" t="n">
        <v>13522.89</v>
      </c>
      <c r="K868" s="8" t="n">
        <v>0</v>
      </c>
      <c r="L868" s="7" t="n">
        <v>6856.4</v>
      </c>
      <c r="M868" s="6" t="s">
        <v>49</v>
      </c>
      <c r="N868" s="6" t="s">
        <v>50</v>
      </c>
      <c r="O868" s="6" t="n">
        <f aca="false">IF(TablaVentas[[#This Row],[Precio_unitario]]="","PENDIENTE",TablaVentas[[#This Row],[Unidades]]*TablaVentas[[#This Row],[Precio_unitario]]*(1-TablaVentas[[#This Row],[Descuento_pct]]))</f>
        <v>40568.67</v>
      </c>
      <c r="P868" s="6" t="n">
        <f aca="false">IF(TablaVentas[[#This Row],[Costo_unitario]]="","PENDIENTE",TablaVentas[[#This Row],[Unidades]]*TablaVentas[[#This Row],[Costo_unitario]])</f>
        <v>20569.2</v>
      </c>
      <c r="Q868" s="6" t="n">
        <f aca="false">IF(OR(TablaVentas[[#This Row],[Ingreso_neto]]="PENDIENTE",TablaVentas[[#This Row],[Costo_total]]="PENDIENTE"),"PENDIENTE",TablaVentas[[#This Row],[Ingreso_neto]]-TablaVentas[[#This Row],[Costo_total]])</f>
        <v>19999.47</v>
      </c>
    </row>
    <row r="869" customFormat="false" ht="13.5" hidden="false" customHeight="false" outlineLevel="0" collapsed="false">
      <c r="A869" s="1" t="s">
        <v>724</v>
      </c>
      <c r="B869" s="1" t="n">
        <v>2</v>
      </c>
      <c r="C869" s="5" t="n">
        <v>46163</v>
      </c>
      <c r="D869" s="6" t="s">
        <v>119</v>
      </c>
      <c r="E869" s="6" t="s">
        <v>230</v>
      </c>
      <c r="F869" s="6" t="s">
        <v>84</v>
      </c>
      <c r="G869" s="6" t="s">
        <v>47</v>
      </c>
      <c r="H869" s="6" t="s">
        <v>74</v>
      </c>
      <c r="I869" s="1" t="n">
        <v>1</v>
      </c>
      <c r="J869" s="7" t="n">
        <v>6461.81</v>
      </c>
      <c r="K869" s="8" t="n">
        <v>0.1</v>
      </c>
      <c r="L869" s="7" t="n">
        <v>3298.19</v>
      </c>
      <c r="M869" s="6" t="s">
        <v>69</v>
      </c>
      <c r="N869" s="6" t="s">
        <v>67</v>
      </c>
      <c r="O869" s="6" t="n">
        <f aca="false">IF(TablaVentas[[#This Row],[Precio_unitario]]="","PENDIENTE",TablaVentas[[#This Row],[Unidades]]*TablaVentas[[#This Row],[Precio_unitario]]*(1-TablaVentas[[#This Row],[Descuento_pct]]))</f>
        <v>5815.629</v>
      </c>
      <c r="P869" s="6" t="n">
        <f aca="false">IF(TablaVentas[[#This Row],[Costo_unitario]]="","PENDIENTE",TablaVentas[[#This Row],[Unidades]]*TablaVentas[[#This Row],[Costo_unitario]])</f>
        <v>3298.19</v>
      </c>
      <c r="Q869" s="6" t="n">
        <f aca="false">IF(OR(TablaVentas[[#This Row],[Ingreso_neto]]="PENDIENTE",TablaVentas[[#This Row],[Costo_total]]="PENDIENTE"),"PENDIENTE",TablaVentas[[#This Row],[Ingreso_neto]]-TablaVentas[[#This Row],[Costo_total]])</f>
        <v>2517.439</v>
      </c>
    </row>
    <row r="870" customFormat="false" ht="13.5" hidden="false" customHeight="false" outlineLevel="0" collapsed="false">
      <c r="A870" s="1" t="s">
        <v>724</v>
      </c>
      <c r="B870" s="1" t="n">
        <v>3</v>
      </c>
      <c r="C870" s="5" t="n">
        <v>46163</v>
      </c>
      <c r="D870" s="6" t="s">
        <v>119</v>
      </c>
      <c r="E870" s="6" t="s">
        <v>284</v>
      </c>
      <c r="F870" s="6" t="s">
        <v>84</v>
      </c>
      <c r="G870" s="6" t="s">
        <v>47</v>
      </c>
      <c r="H870" s="6" t="s">
        <v>74</v>
      </c>
      <c r="I870" s="1" t="n">
        <v>12</v>
      </c>
      <c r="J870" s="7" t="n">
        <v>6983.39</v>
      </c>
      <c r="K870" s="8" t="n">
        <v>0.1</v>
      </c>
      <c r="L870" s="7" t="n">
        <v>4858.08</v>
      </c>
      <c r="M870" s="6" t="s">
        <v>69</v>
      </c>
      <c r="N870" s="6" t="s">
        <v>52</v>
      </c>
      <c r="O870" s="6" t="n">
        <f aca="false">IF(TablaVentas[[#This Row],[Precio_unitario]]="","PENDIENTE",TablaVentas[[#This Row],[Unidades]]*TablaVentas[[#This Row],[Precio_unitario]]*(1-TablaVentas[[#This Row],[Descuento_pct]]))</f>
        <v>75420.612</v>
      </c>
      <c r="P870" s="6" t="n">
        <f aca="false">IF(TablaVentas[[#This Row],[Costo_unitario]]="","PENDIENTE",TablaVentas[[#This Row],[Unidades]]*TablaVentas[[#This Row],[Costo_unitario]])</f>
        <v>58296.96</v>
      </c>
      <c r="Q870" s="6" t="n">
        <f aca="false">IF(OR(TablaVentas[[#This Row],[Ingreso_neto]]="PENDIENTE",TablaVentas[[#This Row],[Costo_total]]="PENDIENTE"),"PENDIENTE",TablaVentas[[#This Row],[Ingreso_neto]]-TablaVentas[[#This Row],[Costo_total]])</f>
        <v>17123.652</v>
      </c>
    </row>
    <row r="871" customFormat="false" ht="13.5" hidden="false" customHeight="false" outlineLevel="0" collapsed="false">
      <c r="A871" s="1" t="s">
        <v>725</v>
      </c>
      <c r="B871" s="1" t="n">
        <v>1</v>
      </c>
      <c r="C871" s="5" t="n">
        <v>46101</v>
      </c>
      <c r="D871" s="6" t="s">
        <v>608</v>
      </c>
      <c r="E871" s="6" t="s">
        <v>167</v>
      </c>
      <c r="F871" s="6" t="s">
        <v>46</v>
      </c>
      <c r="G871" s="6" t="s">
        <v>64</v>
      </c>
      <c r="H871" s="6" t="s">
        <v>191</v>
      </c>
      <c r="I871" s="1" t="n">
        <v>2</v>
      </c>
      <c r="J871" s="7" t="n">
        <v>7678.12</v>
      </c>
      <c r="K871" s="8" t="n">
        <v>0</v>
      </c>
      <c r="L871" s="7" t="n">
        <v>4082.15</v>
      </c>
      <c r="M871" s="6" t="s">
        <v>49</v>
      </c>
      <c r="N871" s="6" t="s">
        <v>50</v>
      </c>
      <c r="O871" s="6" t="n">
        <f aca="false">IF(TablaVentas[[#This Row],[Precio_unitario]]="","PENDIENTE",TablaVentas[[#This Row],[Unidades]]*TablaVentas[[#This Row],[Precio_unitario]]*(1-TablaVentas[[#This Row],[Descuento_pct]]))</f>
        <v>15356.24</v>
      </c>
      <c r="P871" s="6" t="n">
        <f aca="false">IF(TablaVentas[[#This Row],[Costo_unitario]]="","PENDIENTE",TablaVentas[[#This Row],[Unidades]]*TablaVentas[[#This Row],[Costo_unitario]])</f>
        <v>8164.3</v>
      </c>
      <c r="Q871" s="6" t="n">
        <f aca="false">IF(OR(TablaVentas[[#This Row],[Ingreso_neto]]="PENDIENTE",TablaVentas[[#This Row],[Costo_total]]="PENDIENTE"),"PENDIENTE",TablaVentas[[#This Row],[Ingreso_neto]]-TablaVentas[[#This Row],[Costo_total]])</f>
        <v>7191.94</v>
      </c>
    </row>
    <row r="872" customFormat="false" ht="13.5" hidden="false" customHeight="false" outlineLevel="0" collapsed="false">
      <c r="A872" s="1" t="s">
        <v>725</v>
      </c>
      <c r="B872" s="1" t="n">
        <v>2</v>
      </c>
      <c r="C872" s="5" t="n">
        <v>46101</v>
      </c>
      <c r="D872" s="6" t="s">
        <v>608</v>
      </c>
      <c r="E872" s="6" t="s">
        <v>135</v>
      </c>
      <c r="F872" s="6" t="s">
        <v>46</v>
      </c>
      <c r="G872" s="6" t="s">
        <v>64</v>
      </c>
      <c r="H872" s="6" t="s">
        <v>191</v>
      </c>
      <c r="I872" s="1" t="n">
        <v>3</v>
      </c>
      <c r="J872" s="7" t="n">
        <v>1529.75</v>
      </c>
      <c r="K872" s="8" t="n">
        <v>0</v>
      </c>
      <c r="L872" s="7" t="n">
        <v>900.08</v>
      </c>
      <c r="M872" s="6" t="s">
        <v>69</v>
      </c>
      <c r="N872" s="6" t="s">
        <v>59</v>
      </c>
      <c r="O872" s="6" t="n">
        <f aca="false">IF(TablaVentas[[#This Row],[Precio_unitario]]="","PENDIENTE",TablaVentas[[#This Row],[Unidades]]*TablaVentas[[#This Row],[Precio_unitario]]*(1-TablaVentas[[#This Row],[Descuento_pct]]))</f>
        <v>4589.25</v>
      </c>
      <c r="P872" s="6" t="n">
        <f aca="false">IF(TablaVentas[[#This Row],[Costo_unitario]]="","PENDIENTE",TablaVentas[[#This Row],[Unidades]]*TablaVentas[[#This Row],[Costo_unitario]])</f>
        <v>2700.24</v>
      </c>
      <c r="Q872" s="6" t="n">
        <f aca="false">IF(OR(TablaVentas[[#This Row],[Ingreso_neto]]="PENDIENTE",TablaVentas[[#This Row],[Costo_total]]="PENDIENTE"),"PENDIENTE",TablaVentas[[#This Row],[Ingreso_neto]]-TablaVentas[[#This Row],[Costo_total]])</f>
        <v>1889.01</v>
      </c>
    </row>
    <row r="873" customFormat="false" ht="13.5" hidden="false" customHeight="false" outlineLevel="0" collapsed="false">
      <c r="A873" s="1" t="s">
        <v>725</v>
      </c>
      <c r="B873" s="1" t="n">
        <v>3</v>
      </c>
      <c r="C873" s="5" t="n">
        <v>46101</v>
      </c>
      <c r="D873" s="6" t="s">
        <v>608</v>
      </c>
      <c r="E873" s="6" t="s">
        <v>88</v>
      </c>
      <c r="F873" s="6" t="s">
        <v>46</v>
      </c>
      <c r="G873" s="6" t="s">
        <v>64</v>
      </c>
      <c r="H873" s="6" t="s">
        <v>191</v>
      </c>
      <c r="I873" s="1" t="n">
        <v>2</v>
      </c>
      <c r="J873" s="7" t="n">
        <v>15179.59</v>
      </c>
      <c r="K873" s="8" t="n">
        <v>0.05</v>
      </c>
      <c r="L873" s="7" t="n">
        <v>11614.87</v>
      </c>
      <c r="M873" s="6" t="s">
        <v>49</v>
      </c>
      <c r="N873" s="6" t="s">
        <v>50</v>
      </c>
      <c r="O873" s="6" t="n">
        <f aca="false">IF(TablaVentas[[#This Row],[Precio_unitario]]="","PENDIENTE",TablaVentas[[#This Row],[Unidades]]*TablaVentas[[#This Row],[Precio_unitario]]*(1-TablaVentas[[#This Row],[Descuento_pct]]))</f>
        <v>28841.221</v>
      </c>
      <c r="P873" s="6" t="n">
        <f aca="false">IF(TablaVentas[[#This Row],[Costo_unitario]]="","PENDIENTE",TablaVentas[[#This Row],[Unidades]]*TablaVentas[[#This Row],[Costo_unitario]])</f>
        <v>23229.74</v>
      </c>
      <c r="Q873" s="6" t="n">
        <f aca="false">IF(OR(TablaVentas[[#This Row],[Ingreso_neto]]="PENDIENTE",TablaVentas[[#This Row],[Costo_total]]="PENDIENTE"),"PENDIENTE",TablaVentas[[#This Row],[Ingreso_neto]]-TablaVentas[[#This Row],[Costo_total]])</f>
        <v>5611.481</v>
      </c>
    </row>
    <row r="874" customFormat="false" ht="13.5" hidden="false" customHeight="false" outlineLevel="0" collapsed="false">
      <c r="A874" s="1" t="s">
        <v>726</v>
      </c>
      <c r="B874" s="1" t="n">
        <v>1</v>
      </c>
      <c r="C874" s="5" t="n">
        <v>46240</v>
      </c>
      <c r="D874" s="6" t="s">
        <v>727</v>
      </c>
      <c r="E874" s="6" t="s">
        <v>218</v>
      </c>
      <c r="F874" s="6" t="s">
        <v>84</v>
      </c>
      <c r="G874" s="6" t="s">
        <v>57</v>
      </c>
      <c r="H874" s="6" t="s">
        <v>131</v>
      </c>
      <c r="I874" s="1" t="n">
        <v>1</v>
      </c>
      <c r="J874" s="7" t="n">
        <v>19519.71</v>
      </c>
      <c r="K874" s="8" t="n">
        <v>0</v>
      </c>
      <c r="L874" s="7" t="n">
        <v>13760.53</v>
      </c>
      <c r="M874" s="6" t="s">
        <v>49</v>
      </c>
      <c r="N874" s="6" t="s">
        <v>50</v>
      </c>
      <c r="O874" s="6" t="n">
        <f aca="false">IF(TablaVentas[[#This Row],[Precio_unitario]]="","PENDIENTE",TablaVentas[[#This Row],[Unidades]]*TablaVentas[[#This Row],[Precio_unitario]]*(1-TablaVentas[[#This Row],[Descuento_pct]]))</f>
        <v>19519.71</v>
      </c>
      <c r="P874" s="6" t="n">
        <f aca="false">IF(TablaVentas[[#This Row],[Costo_unitario]]="","PENDIENTE",TablaVentas[[#This Row],[Unidades]]*TablaVentas[[#This Row],[Costo_unitario]])</f>
        <v>13760.53</v>
      </c>
      <c r="Q874" s="6" t="n">
        <f aca="false">IF(OR(TablaVentas[[#This Row],[Ingreso_neto]]="PENDIENTE",TablaVentas[[#This Row],[Costo_total]]="PENDIENTE"),"PENDIENTE",TablaVentas[[#This Row],[Ingreso_neto]]-TablaVentas[[#This Row],[Costo_total]])</f>
        <v>5759.18</v>
      </c>
    </row>
    <row r="875" customFormat="false" ht="13.5" hidden="false" customHeight="false" outlineLevel="0" collapsed="false">
      <c r="A875" s="1" t="s">
        <v>726</v>
      </c>
      <c r="B875" s="1" t="n">
        <v>2</v>
      </c>
      <c r="C875" s="5" t="n">
        <v>46240</v>
      </c>
      <c r="D875" s="6" t="s">
        <v>727</v>
      </c>
      <c r="E875" s="6" t="s">
        <v>56</v>
      </c>
      <c r="F875" s="6" t="s">
        <v>84</v>
      </c>
      <c r="G875" s="6" t="s">
        <v>57</v>
      </c>
      <c r="H875" s="6" t="s">
        <v>131</v>
      </c>
      <c r="I875" s="1" t="n">
        <v>5</v>
      </c>
      <c r="J875" s="7" t="n">
        <v>3978.33</v>
      </c>
      <c r="K875" s="8" t="n">
        <v>0.2</v>
      </c>
      <c r="L875" s="7" t="n">
        <v>2950.52</v>
      </c>
      <c r="M875" s="6" t="s">
        <v>69</v>
      </c>
      <c r="N875" s="6" t="s">
        <v>67</v>
      </c>
      <c r="O875" s="6" t="n">
        <f aca="false">IF(TablaVentas[[#This Row],[Precio_unitario]]="","PENDIENTE",TablaVentas[[#This Row],[Unidades]]*TablaVentas[[#This Row],[Precio_unitario]]*(1-TablaVentas[[#This Row],[Descuento_pct]]))</f>
        <v>15913.32</v>
      </c>
      <c r="P875" s="6" t="n">
        <f aca="false">IF(TablaVentas[[#This Row],[Costo_unitario]]="","PENDIENTE",TablaVentas[[#This Row],[Unidades]]*TablaVentas[[#This Row],[Costo_unitario]])</f>
        <v>14752.6</v>
      </c>
      <c r="Q875" s="6" t="n">
        <f aca="false">IF(OR(TablaVentas[[#This Row],[Ingreso_neto]]="PENDIENTE",TablaVentas[[#This Row],[Costo_total]]="PENDIENTE"),"PENDIENTE",TablaVentas[[#This Row],[Ingreso_neto]]-TablaVentas[[#This Row],[Costo_total]])</f>
        <v>1160.72</v>
      </c>
    </row>
    <row r="876" customFormat="false" ht="13.5" hidden="false" customHeight="false" outlineLevel="0" collapsed="false">
      <c r="A876" s="1" t="s">
        <v>728</v>
      </c>
      <c r="B876" s="1" t="n">
        <v>1</v>
      </c>
      <c r="C876" s="5" t="n">
        <v>46266</v>
      </c>
      <c r="D876" s="6" t="s">
        <v>672</v>
      </c>
      <c r="E876" s="6" t="s">
        <v>146</v>
      </c>
      <c r="F876" s="6" t="s">
        <v>73</v>
      </c>
      <c r="G876" s="6" t="s">
        <v>64</v>
      </c>
      <c r="H876" s="6" t="s">
        <v>131</v>
      </c>
      <c r="I876" s="1" t="n">
        <v>2</v>
      </c>
      <c r="J876" s="7" t="n">
        <v>10623.54</v>
      </c>
      <c r="K876" s="8" t="n">
        <v>0.05</v>
      </c>
      <c r="L876" s="7" t="n">
        <v>8002.16</v>
      </c>
      <c r="M876" s="6" t="s">
        <v>49</v>
      </c>
      <c r="N876" s="6" t="s">
        <v>52</v>
      </c>
      <c r="O876" s="6" t="n">
        <f aca="false">IF(TablaVentas[[#This Row],[Precio_unitario]]="","PENDIENTE",TablaVentas[[#This Row],[Unidades]]*TablaVentas[[#This Row],[Precio_unitario]]*(1-TablaVentas[[#This Row],[Descuento_pct]]))</f>
        <v>20184.726</v>
      </c>
      <c r="P876" s="6" t="n">
        <f aca="false">IF(TablaVentas[[#This Row],[Costo_unitario]]="","PENDIENTE",TablaVentas[[#This Row],[Unidades]]*TablaVentas[[#This Row],[Costo_unitario]])</f>
        <v>16004.32</v>
      </c>
      <c r="Q876" s="6" t="n">
        <f aca="false">IF(OR(TablaVentas[[#This Row],[Ingreso_neto]]="PENDIENTE",TablaVentas[[#This Row],[Costo_total]]="PENDIENTE"),"PENDIENTE",TablaVentas[[#This Row],[Ingreso_neto]]-TablaVentas[[#This Row],[Costo_total]])</f>
        <v>4180.406</v>
      </c>
    </row>
    <row r="877" customFormat="false" ht="13.5" hidden="false" customHeight="false" outlineLevel="0" collapsed="false">
      <c r="A877" s="1" t="s">
        <v>728</v>
      </c>
      <c r="B877" s="1" t="n">
        <v>2</v>
      </c>
      <c r="C877" s="5" t="n">
        <v>46266</v>
      </c>
      <c r="D877" s="6" t="s">
        <v>672</v>
      </c>
      <c r="E877" s="6" t="s">
        <v>174</v>
      </c>
      <c r="F877" s="6" t="s">
        <v>73</v>
      </c>
      <c r="G877" s="6" t="s">
        <v>64</v>
      </c>
      <c r="H877" s="6" t="s">
        <v>131</v>
      </c>
      <c r="I877" s="1" t="n">
        <v>1</v>
      </c>
      <c r="J877" s="7" t="n">
        <v>17524.48</v>
      </c>
      <c r="K877" s="8" t="n">
        <v>0</v>
      </c>
      <c r="L877" s="7" t="n">
        <v>8704.4</v>
      </c>
      <c r="M877" s="6" t="s">
        <v>49</v>
      </c>
      <c r="N877" s="6" t="s">
        <v>59</v>
      </c>
      <c r="O877" s="6" t="n">
        <f aca="false">IF(TablaVentas[[#This Row],[Precio_unitario]]="","PENDIENTE",TablaVentas[[#This Row],[Unidades]]*TablaVentas[[#This Row],[Precio_unitario]]*(1-TablaVentas[[#This Row],[Descuento_pct]]))</f>
        <v>17524.48</v>
      </c>
      <c r="P877" s="6" t="n">
        <f aca="false">IF(TablaVentas[[#This Row],[Costo_unitario]]="","PENDIENTE",TablaVentas[[#This Row],[Unidades]]*TablaVentas[[#This Row],[Costo_unitario]])</f>
        <v>8704.4</v>
      </c>
      <c r="Q877" s="6" t="n">
        <f aca="false">IF(OR(TablaVentas[[#This Row],[Ingreso_neto]]="PENDIENTE",TablaVentas[[#This Row],[Costo_total]]="PENDIENTE"),"PENDIENTE",TablaVentas[[#This Row],[Ingreso_neto]]-TablaVentas[[#This Row],[Costo_total]])</f>
        <v>8820.08</v>
      </c>
    </row>
    <row r="878" customFormat="false" ht="13.5" hidden="false" customHeight="false" outlineLevel="0" collapsed="false">
      <c r="A878" s="1" t="s">
        <v>728</v>
      </c>
      <c r="B878" s="1" t="n">
        <v>3</v>
      </c>
      <c r="C878" s="5" t="n">
        <v>46266</v>
      </c>
      <c r="D878" s="6" t="s">
        <v>672</v>
      </c>
      <c r="E878" s="6" t="s">
        <v>142</v>
      </c>
      <c r="F878" s="6" t="s">
        <v>73</v>
      </c>
      <c r="G878" s="6" t="s">
        <v>64</v>
      </c>
      <c r="H878" s="6" t="s">
        <v>131</v>
      </c>
      <c r="I878" s="1" t="n">
        <v>4</v>
      </c>
      <c r="J878" s="7" t="n">
        <v>1813.27</v>
      </c>
      <c r="K878" s="8" t="n">
        <v>0</v>
      </c>
      <c r="L878" s="7" t="n">
        <v>1529.93</v>
      </c>
      <c r="M878" s="6" t="s">
        <v>49</v>
      </c>
      <c r="N878" s="6" t="s">
        <v>59</v>
      </c>
      <c r="O878" s="6" t="n">
        <f aca="false">IF(TablaVentas[[#This Row],[Precio_unitario]]="","PENDIENTE",TablaVentas[[#This Row],[Unidades]]*TablaVentas[[#This Row],[Precio_unitario]]*(1-TablaVentas[[#This Row],[Descuento_pct]]))</f>
        <v>7253.08</v>
      </c>
      <c r="P878" s="6" t="n">
        <f aca="false">IF(TablaVentas[[#This Row],[Costo_unitario]]="","PENDIENTE",TablaVentas[[#This Row],[Unidades]]*TablaVentas[[#This Row],[Costo_unitario]])</f>
        <v>6119.72</v>
      </c>
      <c r="Q878" s="6" t="n">
        <f aca="false">IF(OR(TablaVentas[[#This Row],[Ingreso_neto]]="PENDIENTE",TablaVentas[[#This Row],[Costo_total]]="PENDIENTE"),"PENDIENTE",TablaVentas[[#This Row],[Ingreso_neto]]-TablaVentas[[#This Row],[Costo_total]])</f>
        <v>1133.36</v>
      </c>
    </row>
    <row r="879" customFormat="false" ht="13.5" hidden="false" customHeight="false" outlineLevel="0" collapsed="false">
      <c r="A879" s="1" t="s">
        <v>728</v>
      </c>
      <c r="B879" s="1" t="n">
        <v>4</v>
      </c>
      <c r="C879" s="5" t="n">
        <v>46266</v>
      </c>
      <c r="D879" s="6" t="s">
        <v>672</v>
      </c>
      <c r="E879" s="6" t="s">
        <v>187</v>
      </c>
      <c r="F879" s="6" t="s">
        <v>73</v>
      </c>
      <c r="G879" s="6" t="s">
        <v>64</v>
      </c>
      <c r="H879" s="6" t="s">
        <v>131</v>
      </c>
      <c r="I879" s="1" t="n">
        <v>1</v>
      </c>
      <c r="J879" s="7" t="n">
        <v>6872.75</v>
      </c>
      <c r="K879" s="8" t="n">
        <v>0</v>
      </c>
      <c r="L879" s="7" t="n">
        <v>3824.92</v>
      </c>
      <c r="M879" s="6" t="s">
        <v>49</v>
      </c>
      <c r="N879" s="6" t="s">
        <v>59</v>
      </c>
      <c r="O879" s="6" t="n">
        <f aca="false">IF(TablaVentas[[#This Row],[Precio_unitario]]="","PENDIENTE",TablaVentas[[#This Row],[Unidades]]*TablaVentas[[#This Row],[Precio_unitario]]*(1-TablaVentas[[#This Row],[Descuento_pct]]))</f>
        <v>6872.75</v>
      </c>
      <c r="P879" s="6" t="n">
        <f aca="false">IF(TablaVentas[[#This Row],[Costo_unitario]]="","PENDIENTE",TablaVentas[[#This Row],[Unidades]]*TablaVentas[[#This Row],[Costo_unitario]])</f>
        <v>3824.92</v>
      </c>
      <c r="Q879" s="6" t="n">
        <f aca="false">IF(OR(TablaVentas[[#This Row],[Ingreso_neto]]="PENDIENTE",TablaVentas[[#This Row],[Costo_total]]="PENDIENTE"),"PENDIENTE",TablaVentas[[#This Row],[Ingreso_neto]]-TablaVentas[[#This Row],[Costo_total]])</f>
        <v>3047.83</v>
      </c>
    </row>
    <row r="880" customFormat="false" ht="13.5" hidden="false" customHeight="false" outlineLevel="0" collapsed="false">
      <c r="A880" s="1" t="s">
        <v>728</v>
      </c>
      <c r="B880" s="1" t="n">
        <v>5</v>
      </c>
      <c r="C880" s="5" t="n">
        <v>46266</v>
      </c>
      <c r="D880" s="6" t="s">
        <v>672</v>
      </c>
      <c r="E880" s="6" t="s">
        <v>213</v>
      </c>
      <c r="F880" s="6" t="s">
        <v>73</v>
      </c>
      <c r="G880" s="6" t="s">
        <v>64</v>
      </c>
      <c r="H880" s="6" t="s">
        <v>131</v>
      </c>
      <c r="I880" s="1" t="n">
        <v>2</v>
      </c>
      <c r="J880" s="7" t="n">
        <v>5645.27</v>
      </c>
      <c r="K880" s="8" t="n">
        <v>0</v>
      </c>
      <c r="L880" s="7" t="n">
        <v>4008.77</v>
      </c>
      <c r="M880" s="6" t="s">
        <v>123</v>
      </c>
      <c r="N880" s="6" t="s">
        <v>50</v>
      </c>
      <c r="O880" s="6" t="n">
        <f aca="false">IF(TablaVentas[[#This Row],[Precio_unitario]]="","PENDIENTE",TablaVentas[[#This Row],[Unidades]]*TablaVentas[[#This Row],[Precio_unitario]]*(1-TablaVentas[[#This Row],[Descuento_pct]]))</f>
        <v>11290.54</v>
      </c>
      <c r="P880" s="6" t="n">
        <f aca="false">IF(TablaVentas[[#This Row],[Costo_unitario]]="","PENDIENTE",TablaVentas[[#This Row],[Unidades]]*TablaVentas[[#This Row],[Costo_unitario]])</f>
        <v>8017.54</v>
      </c>
      <c r="Q880" s="6" t="n">
        <f aca="false">IF(OR(TablaVentas[[#This Row],[Ingreso_neto]]="PENDIENTE",TablaVentas[[#This Row],[Costo_total]]="PENDIENTE"),"PENDIENTE",TablaVentas[[#This Row],[Ingreso_neto]]-TablaVentas[[#This Row],[Costo_total]])</f>
        <v>3273</v>
      </c>
    </row>
    <row r="881" customFormat="false" ht="13.5" hidden="false" customHeight="false" outlineLevel="0" collapsed="false">
      <c r="A881" s="1" t="s">
        <v>729</v>
      </c>
      <c r="B881" s="1" t="n">
        <v>1</v>
      </c>
      <c r="C881" s="5" t="n">
        <v>46027</v>
      </c>
      <c r="D881" s="6" t="s">
        <v>61</v>
      </c>
      <c r="E881" s="6" t="s">
        <v>174</v>
      </c>
      <c r="F881" s="6" t="s">
        <v>84</v>
      </c>
      <c r="G881" s="6" t="s">
        <v>57</v>
      </c>
      <c r="H881" s="6" t="s">
        <v>89</v>
      </c>
      <c r="I881" s="1" t="n">
        <v>1</v>
      </c>
      <c r="J881" s="7" t="n">
        <v>16325.36</v>
      </c>
      <c r="K881" s="8" t="n">
        <v>0.15</v>
      </c>
      <c r="L881" s="7" t="n">
        <v>8704.4</v>
      </c>
      <c r="M881" s="6" t="s">
        <v>69</v>
      </c>
      <c r="N881" s="6" t="s">
        <v>59</v>
      </c>
      <c r="O881" s="6" t="n">
        <f aca="false">IF(TablaVentas[[#This Row],[Precio_unitario]]="","PENDIENTE",TablaVentas[[#This Row],[Unidades]]*TablaVentas[[#This Row],[Precio_unitario]]*(1-TablaVentas[[#This Row],[Descuento_pct]]))</f>
        <v>13876.556</v>
      </c>
      <c r="P881" s="6" t="n">
        <f aca="false">IF(TablaVentas[[#This Row],[Costo_unitario]]="","PENDIENTE",TablaVentas[[#This Row],[Unidades]]*TablaVentas[[#This Row],[Costo_unitario]])</f>
        <v>8704.4</v>
      </c>
      <c r="Q881" s="6" t="n">
        <f aca="false">IF(OR(TablaVentas[[#This Row],[Ingreso_neto]]="PENDIENTE",TablaVentas[[#This Row],[Costo_total]]="PENDIENTE"),"PENDIENTE",TablaVentas[[#This Row],[Ingreso_neto]]-TablaVentas[[#This Row],[Costo_total]])</f>
        <v>5172.156</v>
      </c>
    </row>
    <row r="882" customFormat="false" ht="13.5" hidden="false" customHeight="false" outlineLevel="0" collapsed="false">
      <c r="A882" s="1" t="s">
        <v>729</v>
      </c>
      <c r="B882" s="1" t="n">
        <v>2</v>
      </c>
      <c r="C882" s="5" t="n">
        <v>46027</v>
      </c>
      <c r="D882" s="6" t="s">
        <v>61</v>
      </c>
      <c r="E882" s="6" t="s">
        <v>151</v>
      </c>
      <c r="F882" s="6" t="s">
        <v>84</v>
      </c>
      <c r="G882" s="6" t="s">
        <v>57</v>
      </c>
      <c r="H882" s="6" t="s">
        <v>89</v>
      </c>
      <c r="I882" s="1" t="n">
        <v>2</v>
      </c>
      <c r="J882" s="7" t="n">
        <v>9035.48</v>
      </c>
      <c r="K882" s="8" t="n">
        <v>0</v>
      </c>
      <c r="L882" s="7" t="n">
        <v>5125.36</v>
      </c>
      <c r="M882" s="6" t="s">
        <v>49</v>
      </c>
      <c r="N882" s="6" t="s">
        <v>50</v>
      </c>
      <c r="O882" s="6" t="n">
        <f aca="false">IF(TablaVentas[[#This Row],[Precio_unitario]]="","PENDIENTE",TablaVentas[[#This Row],[Unidades]]*TablaVentas[[#This Row],[Precio_unitario]]*(1-TablaVentas[[#This Row],[Descuento_pct]]))</f>
        <v>18070.96</v>
      </c>
      <c r="P882" s="6" t="n">
        <f aca="false">IF(TablaVentas[[#This Row],[Costo_unitario]]="","PENDIENTE",TablaVentas[[#This Row],[Unidades]]*TablaVentas[[#This Row],[Costo_unitario]])</f>
        <v>10250.72</v>
      </c>
      <c r="Q882" s="6" t="n">
        <f aca="false">IF(OR(TablaVentas[[#This Row],[Ingreso_neto]]="PENDIENTE",TablaVentas[[#This Row],[Costo_total]]="PENDIENTE"),"PENDIENTE",TablaVentas[[#This Row],[Ingreso_neto]]-TablaVentas[[#This Row],[Costo_total]])</f>
        <v>7820.24</v>
      </c>
    </row>
    <row r="883" customFormat="false" ht="13.5" hidden="false" customHeight="false" outlineLevel="0" collapsed="false">
      <c r="A883" s="1" t="s">
        <v>729</v>
      </c>
      <c r="B883" s="1" t="n">
        <v>3</v>
      </c>
      <c r="C883" s="5" t="n">
        <v>46027</v>
      </c>
      <c r="D883" s="6" t="s">
        <v>61</v>
      </c>
      <c r="E883" s="6" t="s">
        <v>92</v>
      </c>
      <c r="F883" s="6" t="s">
        <v>84</v>
      </c>
      <c r="G883" s="6" t="s">
        <v>57</v>
      </c>
      <c r="H883" s="6" t="s">
        <v>89</v>
      </c>
      <c r="I883" s="1" t="n">
        <v>3</v>
      </c>
      <c r="J883" s="7" t="n">
        <v>506.9</v>
      </c>
      <c r="K883" s="8" t="n">
        <v>0</v>
      </c>
      <c r="L883" s="7" t="n">
        <v>307.75</v>
      </c>
      <c r="M883" s="6" t="s">
        <v>49</v>
      </c>
      <c r="N883" s="6" t="s">
        <v>52</v>
      </c>
      <c r="O883" s="6" t="n">
        <f aca="false">IF(TablaVentas[[#This Row],[Precio_unitario]]="","PENDIENTE",TablaVentas[[#This Row],[Unidades]]*TablaVentas[[#This Row],[Precio_unitario]]*(1-TablaVentas[[#This Row],[Descuento_pct]]))</f>
        <v>1520.7</v>
      </c>
      <c r="P883" s="6" t="n">
        <f aca="false">IF(TablaVentas[[#This Row],[Costo_unitario]]="","PENDIENTE",TablaVentas[[#This Row],[Unidades]]*TablaVentas[[#This Row],[Costo_unitario]])</f>
        <v>923.25</v>
      </c>
      <c r="Q883" s="6" t="n">
        <f aca="false">IF(OR(TablaVentas[[#This Row],[Ingreso_neto]]="PENDIENTE",TablaVentas[[#This Row],[Costo_total]]="PENDIENTE"),"PENDIENTE",TablaVentas[[#This Row],[Ingreso_neto]]-TablaVentas[[#This Row],[Costo_total]])</f>
        <v>597.45</v>
      </c>
    </row>
    <row r="884" customFormat="false" ht="13.5" hidden="false" customHeight="false" outlineLevel="0" collapsed="false">
      <c r="A884" s="1" t="s">
        <v>729</v>
      </c>
      <c r="B884" s="1" t="n">
        <v>4</v>
      </c>
      <c r="C884" s="5" t="n">
        <v>46027</v>
      </c>
      <c r="D884" s="6" t="s">
        <v>61</v>
      </c>
      <c r="E884" s="6" t="s">
        <v>210</v>
      </c>
      <c r="F884" s="6" t="s">
        <v>84</v>
      </c>
      <c r="G884" s="6" t="s">
        <v>57</v>
      </c>
      <c r="H884" s="6" t="s">
        <v>89</v>
      </c>
      <c r="I884" s="1" t="n">
        <v>3</v>
      </c>
      <c r="J884" s="7" t="n">
        <v>2034.78</v>
      </c>
      <c r="K884" s="8" t="n">
        <v>0.2</v>
      </c>
      <c r="L884" s="7" t="n">
        <v>1252.84</v>
      </c>
      <c r="M884" s="6" t="s">
        <v>49</v>
      </c>
      <c r="N884" s="6" t="s">
        <v>52</v>
      </c>
      <c r="O884" s="6" t="n">
        <f aca="false">IF(TablaVentas[[#This Row],[Precio_unitario]]="","PENDIENTE",TablaVentas[[#This Row],[Unidades]]*TablaVentas[[#This Row],[Precio_unitario]]*(1-TablaVentas[[#This Row],[Descuento_pct]]))</f>
        <v>4883.472</v>
      </c>
      <c r="P884" s="6" t="n">
        <f aca="false">IF(TablaVentas[[#This Row],[Costo_unitario]]="","PENDIENTE",TablaVentas[[#This Row],[Unidades]]*TablaVentas[[#This Row],[Costo_unitario]])</f>
        <v>3758.52</v>
      </c>
      <c r="Q884" s="6" t="n">
        <f aca="false">IF(OR(TablaVentas[[#This Row],[Ingreso_neto]]="PENDIENTE",TablaVentas[[#This Row],[Costo_total]]="PENDIENTE"),"PENDIENTE",TablaVentas[[#This Row],[Ingreso_neto]]-TablaVentas[[#This Row],[Costo_total]])</f>
        <v>1124.952</v>
      </c>
    </row>
    <row r="885" customFormat="false" ht="13.5" hidden="false" customHeight="false" outlineLevel="0" collapsed="false">
      <c r="A885" s="1" t="s">
        <v>730</v>
      </c>
      <c r="B885" s="1" t="n">
        <v>1</v>
      </c>
      <c r="C885" s="5" t="n">
        <v>46191</v>
      </c>
      <c r="D885" s="6" t="s">
        <v>629</v>
      </c>
      <c r="E885" s="6" t="s">
        <v>255</v>
      </c>
      <c r="F885" s="6" t="s">
        <v>46</v>
      </c>
      <c r="G885" s="6" t="s">
        <v>47</v>
      </c>
      <c r="H885" s="6" t="s">
        <v>131</v>
      </c>
      <c r="I885" s="1" t="n">
        <v>1</v>
      </c>
      <c r="J885" s="7" t="n">
        <v>13348.9</v>
      </c>
      <c r="K885" s="8" t="n">
        <v>0.15</v>
      </c>
      <c r="L885" s="7" t="n">
        <v>6856.4</v>
      </c>
      <c r="M885" s="6" t="s">
        <v>49</v>
      </c>
      <c r="N885" s="6" t="s">
        <v>50</v>
      </c>
      <c r="O885" s="6" t="n">
        <f aca="false">IF(TablaVentas[[#This Row],[Precio_unitario]]="","PENDIENTE",TablaVentas[[#This Row],[Unidades]]*TablaVentas[[#This Row],[Precio_unitario]]*(1-TablaVentas[[#This Row],[Descuento_pct]]))</f>
        <v>11346.565</v>
      </c>
      <c r="P885" s="6" t="n">
        <f aca="false">IF(TablaVentas[[#This Row],[Costo_unitario]]="","PENDIENTE",TablaVentas[[#This Row],[Unidades]]*TablaVentas[[#This Row],[Costo_unitario]])</f>
        <v>6856.4</v>
      </c>
      <c r="Q885" s="6" t="n">
        <f aca="false">IF(OR(TablaVentas[[#This Row],[Ingreso_neto]]="PENDIENTE",TablaVentas[[#This Row],[Costo_total]]="PENDIENTE"),"PENDIENTE",TablaVentas[[#This Row],[Ingreso_neto]]-TablaVentas[[#This Row],[Costo_total]])</f>
        <v>4490.165</v>
      </c>
    </row>
    <row r="886" customFormat="false" ht="13.5" hidden="false" customHeight="false" outlineLevel="0" collapsed="false">
      <c r="A886" s="1" t="s">
        <v>730</v>
      </c>
      <c r="B886" s="1" t="n">
        <v>2</v>
      </c>
      <c r="C886" s="5" t="n">
        <v>46191</v>
      </c>
      <c r="D886" s="6" t="s">
        <v>629</v>
      </c>
      <c r="E886" s="6" t="s">
        <v>88</v>
      </c>
      <c r="F886" s="6" t="s">
        <v>46</v>
      </c>
      <c r="G886" s="6" t="s">
        <v>47</v>
      </c>
      <c r="H886" s="6" t="s">
        <v>131</v>
      </c>
      <c r="I886" s="1" t="n">
        <v>2</v>
      </c>
      <c r="J886" s="7" t="n">
        <v>18082.9</v>
      </c>
      <c r="K886" s="8" t="n">
        <v>0</v>
      </c>
      <c r="L886" s="7" t="n">
        <v>11614.87</v>
      </c>
      <c r="M886" s="6" t="s">
        <v>49</v>
      </c>
      <c r="N886" s="6" t="s">
        <v>59</v>
      </c>
      <c r="O886" s="6" t="n">
        <f aca="false">IF(TablaVentas[[#This Row],[Precio_unitario]]="","PENDIENTE",TablaVentas[[#This Row],[Unidades]]*TablaVentas[[#This Row],[Precio_unitario]]*(1-TablaVentas[[#This Row],[Descuento_pct]]))</f>
        <v>36165.8</v>
      </c>
      <c r="P886" s="6" t="n">
        <f aca="false">IF(TablaVentas[[#This Row],[Costo_unitario]]="","PENDIENTE",TablaVentas[[#This Row],[Unidades]]*TablaVentas[[#This Row],[Costo_unitario]])</f>
        <v>23229.74</v>
      </c>
      <c r="Q886" s="6" t="n">
        <f aca="false">IF(OR(TablaVentas[[#This Row],[Ingreso_neto]]="PENDIENTE",TablaVentas[[#This Row],[Costo_total]]="PENDIENTE"),"PENDIENTE",TablaVentas[[#This Row],[Ingreso_neto]]-TablaVentas[[#This Row],[Costo_total]])</f>
        <v>12936.06</v>
      </c>
    </row>
    <row r="887" customFormat="false" ht="13.5" hidden="false" customHeight="false" outlineLevel="0" collapsed="false">
      <c r="A887" s="1" t="s">
        <v>730</v>
      </c>
      <c r="B887" s="1" t="n">
        <v>3</v>
      </c>
      <c r="C887" s="5" t="n">
        <v>46191</v>
      </c>
      <c r="D887" s="6" t="s">
        <v>629</v>
      </c>
      <c r="E887" s="6" t="s">
        <v>141</v>
      </c>
      <c r="F887" s="6" t="s">
        <v>46</v>
      </c>
      <c r="G887" s="6" t="s">
        <v>47</v>
      </c>
      <c r="H887" s="6" t="s">
        <v>131</v>
      </c>
      <c r="I887" s="1" t="n">
        <v>1</v>
      </c>
      <c r="J887" s="7" t="n">
        <v>269.91</v>
      </c>
      <c r="K887" s="8" t="n">
        <v>0</v>
      </c>
      <c r="L887" s="7" t="n">
        <v>176.47</v>
      </c>
      <c r="M887" s="6" t="s">
        <v>49</v>
      </c>
      <c r="N887" s="6" t="s">
        <v>52</v>
      </c>
      <c r="O887" s="6" t="n">
        <f aca="false">IF(TablaVentas[[#This Row],[Precio_unitario]]="","PENDIENTE",TablaVentas[[#This Row],[Unidades]]*TablaVentas[[#This Row],[Precio_unitario]]*(1-TablaVentas[[#This Row],[Descuento_pct]]))</f>
        <v>269.91</v>
      </c>
      <c r="P887" s="6" t="n">
        <f aca="false">IF(TablaVentas[[#This Row],[Costo_unitario]]="","PENDIENTE",TablaVentas[[#This Row],[Unidades]]*TablaVentas[[#This Row],[Costo_unitario]])</f>
        <v>176.47</v>
      </c>
      <c r="Q887" s="6" t="n">
        <f aca="false">IF(OR(TablaVentas[[#This Row],[Ingreso_neto]]="PENDIENTE",TablaVentas[[#This Row],[Costo_total]]="PENDIENTE"),"PENDIENTE",TablaVentas[[#This Row],[Ingreso_neto]]-TablaVentas[[#This Row],[Costo_total]])</f>
        <v>93.44</v>
      </c>
    </row>
    <row r="888" customFormat="false" ht="13.5" hidden="false" customHeight="false" outlineLevel="0" collapsed="false">
      <c r="A888" s="1" t="s">
        <v>731</v>
      </c>
      <c r="B888" s="1" t="n">
        <v>1</v>
      </c>
      <c r="C888" s="5" t="n">
        <v>46085</v>
      </c>
      <c r="D888" s="6" t="s">
        <v>581</v>
      </c>
      <c r="E888" s="6" t="s">
        <v>360</v>
      </c>
      <c r="F888" s="6" t="s">
        <v>63</v>
      </c>
      <c r="G888" s="6" t="s">
        <v>64</v>
      </c>
      <c r="H888" s="6" t="s">
        <v>131</v>
      </c>
      <c r="I888" s="1" t="n">
        <v>2</v>
      </c>
      <c r="J888" s="7" t="n">
        <v>2030.74</v>
      </c>
      <c r="K888" s="8" t="n">
        <v>0</v>
      </c>
      <c r="L888" s="7" t="n">
        <v>1479.71</v>
      </c>
      <c r="M888" s="6" t="s">
        <v>49</v>
      </c>
      <c r="N888" s="6" t="s">
        <v>50</v>
      </c>
      <c r="O888" s="6" t="n">
        <f aca="false">IF(TablaVentas[[#This Row],[Precio_unitario]]="","PENDIENTE",TablaVentas[[#This Row],[Unidades]]*TablaVentas[[#This Row],[Precio_unitario]]*(1-TablaVentas[[#This Row],[Descuento_pct]]))</f>
        <v>4061.48</v>
      </c>
      <c r="P888" s="6" t="n">
        <f aca="false">IF(TablaVentas[[#This Row],[Costo_unitario]]="","PENDIENTE",TablaVentas[[#This Row],[Unidades]]*TablaVentas[[#This Row],[Costo_unitario]])</f>
        <v>2959.42</v>
      </c>
      <c r="Q888" s="6" t="n">
        <f aca="false">IF(OR(TablaVentas[[#This Row],[Ingreso_neto]]="PENDIENTE",TablaVentas[[#This Row],[Costo_total]]="PENDIENTE"),"PENDIENTE",TablaVentas[[#This Row],[Ingreso_neto]]-TablaVentas[[#This Row],[Costo_total]])</f>
        <v>1102.06</v>
      </c>
    </row>
    <row r="889" customFormat="false" ht="13.5" hidden="false" customHeight="false" outlineLevel="0" collapsed="false">
      <c r="A889" s="1" t="s">
        <v>731</v>
      </c>
      <c r="B889" s="1" t="n">
        <v>2</v>
      </c>
      <c r="C889" s="5" t="n">
        <v>46085</v>
      </c>
      <c r="D889" s="6" t="s">
        <v>581</v>
      </c>
      <c r="E889" s="6" t="s">
        <v>210</v>
      </c>
      <c r="F889" s="6" t="s">
        <v>63</v>
      </c>
      <c r="G889" s="6" t="s">
        <v>64</v>
      </c>
      <c r="H889" s="6" t="s">
        <v>131</v>
      </c>
      <c r="I889" s="1" t="n">
        <v>2</v>
      </c>
      <c r="J889" s="7" t="n">
        <v>1897.22</v>
      </c>
      <c r="K889" s="8" t="n">
        <v>0.1</v>
      </c>
      <c r="L889" s="7" t="n">
        <v>1252.84</v>
      </c>
      <c r="M889" s="6" t="s">
        <v>49</v>
      </c>
      <c r="N889" s="6" t="s">
        <v>67</v>
      </c>
      <c r="O889" s="6" t="n">
        <f aca="false">IF(TablaVentas[[#This Row],[Precio_unitario]]="","PENDIENTE",TablaVentas[[#This Row],[Unidades]]*TablaVentas[[#This Row],[Precio_unitario]]*(1-TablaVentas[[#This Row],[Descuento_pct]]))</f>
        <v>3414.996</v>
      </c>
      <c r="P889" s="6" t="n">
        <f aca="false">IF(TablaVentas[[#This Row],[Costo_unitario]]="","PENDIENTE",TablaVentas[[#This Row],[Unidades]]*TablaVentas[[#This Row],[Costo_unitario]])</f>
        <v>2505.68</v>
      </c>
      <c r="Q889" s="6" t="n">
        <f aca="false">IF(OR(TablaVentas[[#This Row],[Ingreso_neto]]="PENDIENTE",TablaVentas[[#This Row],[Costo_total]]="PENDIENTE"),"PENDIENTE",TablaVentas[[#This Row],[Ingreso_neto]]-TablaVentas[[#This Row],[Costo_total]])</f>
        <v>909.316</v>
      </c>
    </row>
    <row r="890" customFormat="false" ht="13.5" hidden="false" customHeight="false" outlineLevel="0" collapsed="false">
      <c r="A890" s="1" t="s">
        <v>732</v>
      </c>
      <c r="B890" s="1" t="n">
        <v>1</v>
      </c>
      <c r="C890" s="5" t="n">
        <v>46026</v>
      </c>
      <c r="D890" s="6" t="s">
        <v>401</v>
      </c>
      <c r="E890" s="6" t="s">
        <v>233</v>
      </c>
      <c r="F890" s="6" t="s">
        <v>46</v>
      </c>
      <c r="G890" s="6" t="s">
        <v>57</v>
      </c>
      <c r="H890" s="6" t="s">
        <v>131</v>
      </c>
      <c r="I890" s="1" t="n">
        <v>1</v>
      </c>
      <c r="J890" s="7" t="n">
        <v>17166.65</v>
      </c>
      <c r="K890" s="8" t="n">
        <v>0.1</v>
      </c>
      <c r="L890" s="7" t="n">
        <v>9976.68</v>
      </c>
      <c r="M890" s="6" t="s">
        <v>49</v>
      </c>
      <c r="N890" s="6" t="s">
        <v>50</v>
      </c>
      <c r="O890" s="6" t="n">
        <f aca="false">IF(TablaVentas[[#This Row],[Precio_unitario]]="","PENDIENTE",TablaVentas[[#This Row],[Unidades]]*TablaVentas[[#This Row],[Precio_unitario]]*(1-TablaVentas[[#This Row],[Descuento_pct]]))</f>
        <v>15449.985</v>
      </c>
      <c r="P890" s="6" t="n">
        <f aca="false">IF(TablaVentas[[#This Row],[Costo_unitario]]="","PENDIENTE",TablaVentas[[#This Row],[Unidades]]*TablaVentas[[#This Row],[Costo_unitario]])</f>
        <v>9976.68</v>
      </c>
      <c r="Q890" s="6" t="n">
        <f aca="false">IF(OR(TablaVentas[[#This Row],[Ingreso_neto]]="PENDIENTE",TablaVentas[[#This Row],[Costo_total]]="PENDIENTE"),"PENDIENTE",TablaVentas[[#This Row],[Ingreso_neto]]-TablaVentas[[#This Row],[Costo_total]])</f>
        <v>5473.305</v>
      </c>
    </row>
    <row r="891" customFormat="false" ht="13.5" hidden="false" customHeight="false" outlineLevel="0" collapsed="false">
      <c r="A891" s="1" t="s">
        <v>733</v>
      </c>
      <c r="B891" s="1" t="n">
        <v>1</v>
      </c>
      <c r="C891" s="5" t="n">
        <v>46244</v>
      </c>
      <c r="D891" s="6" t="s">
        <v>543</v>
      </c>
      <c r="E891" s="6" t="s">
        <v>135</v>
      </c>
      <c r="F891" s="6" t="s">
        <v>46</v>
      </c>
      <c r="G891" s="6" t="s">
        <v>47</v>
      </c>
      <c r="H891" s="6" t="s">
        <v>109</v>
      </c>
      <c r="I891" s="1" t="n">
        <v>1</v>
      </c>
      <c r="J891" s="7" t="n">
        <v>1688.12</v>
      </c>
      <c r="K891" s="8" t="n">
        <v>0</v>
      </c>
      <c r="L891" s="7" t="n">
        <v>900.08</v>
      </c>
      <c r="M891" s="6" t="s">
        <v>49</v>
      </c>
      <c r="N891" s="6" t="s">
        <v>59</v>
      </c>
      <c r="O891" s="6" t="n">
        <f aca="false">IF(TablaVentas[[#This Row],[Precio_unitario]]="","PENDIENTE",TablaVentas[[#This Row],[Unidades]]*TablaVentas[[#This Row],[Precio_unitario]]*(1-TablaVentas[[#This Row],[Descuento_pct]]))</f>
        <v>1688.12</v>
      </c>
      <c r="P891" s="6" t="n">
        <f aca="false">IF(TablaVentas[[#This Row],[Costo_unitario]]="","PENDIENTE",TablaVentas[[#This Row],[Unidades]]*TablaVentas[[#This Row],[Costo_unitario]])</f>
        <v>900.08</v>
      </c>
      <c r="Q891" s="6" t="n">
        <f aca="false">IF(OR(TablaVentas[[#This Row],[Ingreso_neto]]="PENDIENTE",TablaVentas[[#This Row],[Costo_total]]="PENDIENTE"),"PENDIENTE",TablaVentas[[#This Row],[Ingreso_neto]]-TablaVentas[[#This Row],[Costo_total]])</f>
        <v>788.04</v>
      </c>
    </row>
    <row r="892" customFormat="false" ht="13.5" hidden="false" customHeight="false" outlineLevel="0" collapsed="false">
      <c r="A892" s="1" t="s">
        <v>733</v>
      </c>
      <c r="B892" s="1" t="n">
        <v>2</v>
      </c>
      <c r="C892" s="5" t="n">
        <v>46244</v>
      </c>
      <c r="D892" s="6" t="s">
        <v>543</v>
      </c>
      <c r="E892" s="6" t="s">
        <v>179</v>
      </c>
      <c r="F892" s="6" t="s">
        <v>46</v>
      </c>
      <c r="G892" s="6" t="s">
        <v>47</v>
      </c>
      <c r="H892" s="6" t="s">
        <v>109</v>
      </c>
      <c r="I892" s="1" t="n">
        <v>1</v>
      </c>
      <c r="J892" s="7" t="n">
        <v>16998.66</v>
      </c>
      <c r="K892" s="8" t="n">
        <v>0.15</v>
      </c>
      <c r="L892" s="7" t="n">
        <v>10830.17</v>
      </c>
      <c r="M892" s="6" t="s">
        <v>49</v>
      </c>
      <c r="N892" s="6" t="s">
        <v>59</v>
      </c>
      <c r="O892" s="6" t="n">
        <f aca="false">IF(TablaVentas[[#This Row],[Precio_unitario]]="","PENDIENTE",TablaVentas[[#This Row],[Unidades]]*TablaVentas[[#This Row],[Precio_unitario]]*(1-TablaVentas[[#This Row],[Descuento_pct]]))</f>
        <v>14448.861</v>
      </c>
      <c r="P892" s="6" t="n">
        <f aca="false">IF(TablaVentas[[#This Row],[Costo_unitario]]="","PENDIENTE",TablaVentas[[#This Row],[Unidades]]*TablaVentas[[#This Row],[Costo_unitario]])</f>
        <v>10830.17</v>
      </c>
      <c r="Q892" s="6" t="n">
        <f aca="false">IF(OR(TablaVentas[[#This Row],[Ingreso_neto]]="PENDIENTE",TablaVentas[[#This Row],[Costo_total]]="PENDIENTE"),"PENDIENTE",TablaVentas[[#This Row],[Ingreso_neto]]-TablaVentas[[#This Row],[Costo_total]])</f>
        <v>3618.691</v>
      </c>
    </row>
    <row r="893" customFormat="false" ht="13.5" hidden="false" customHeight="false" outlineLevel="0" collapsed="false">
      <c r="A893" s="1" t="s">
        <v>734</v>
      </c>
      <c r="B893" s="1" t="n">
        <v>1</v>
      </c>
      <c r="C893" s="5" t="n">
        <v>46099</v>
      </c>
      <c r="D893" s="6" t="s">
        <v>627</v>
      </c>
      <c r="E893" s="6" t="s">
        <v>88</v>
      </c>
      <c r="F893" s="6" t="s">
        <v>73</v>
      </c>
      <c r="G893" s="6" t="s">
        <v>64</v>
      </c>
      <c r="H893" s="6" t="s">
        <v>191</v>
      </c>
      <c r="I893" s="1" t="n">
        <v>2</v>
      </c>
      <c r="J893" s="7" t="n">
        <v>16026.02</v>
      </c>
      <c r="K893" s="8" t="n">
        <v>0.15</v>
      </c>
      <c r="L893" s="7"/>
      <c r="M893" s="6" t="s">
        <v>49</v>
      </c>
      <c r="N893" s="6" t="s">
        <v>59</v>
      </c>
      <c r="O893" s="6" t="n">
        <f aca="false">IF(TablaVentas[[#This Row],[Precio_unitario]]="","PENDIENTE",TablaVentas[[#This Row],[Unidades]]*TablaVentas[[#This Row],[Precio_unitario]]*(1-TablaVentas[[#This Row],[Descuento_pct]]))</f>
        <v>27244.234</v>
      </c>
      <c r="P893" s="1" t="str">
        <f aca="false">IF(TablaVentas[[#This Row],[Costo_unitario]]="","PENDIENTE",TablaVentas[[#This Row],[Unidades]]*TablaVentas[[#This Row],[Costo_unitario]])</f>
        <v>PENDIENTE</v>
      </c>
      <c r="Q893" s="1" t="str">
        <f aca="false">IF(OR(TablaVentas[[#This Row],[Ingreso_neto]]="PENDIENTE",TablaVentas[[#This Row],[Costo_total]]="PENDIENTE"),"PENDIENTE",TablaVentas[[#This Row],[Ingreso_neto]]-TablaVentas[[#This Row],[Costo_total]])</f>
        <v>PENDIENTE</v>
      </c>
      <c r="R893" s="6" t="s">
        <v>217</v>
      </c>
    </row>
    <row r="894" customFormat="false" ht="13.5" hidden="false" customHeight="false" outlineLevel="0" collapsed="false">
      <c r="A894" s="1" t="s">
        <v>734</v>
      </c>
      <c r="B894" s="1" t="n">
        <v>2</v>
      </c>
      <c r="C894" s="5" t="n">
        <v>46099</v>
      </c>
      <c r="D894" s="6" t="s">
        <v>627</v>
      </c>
      <c r="E894" s="6" t="s">
        <v>374</v>
      </c>
      <c r="F894" s="6" t="s">
        <v>73</v>
      </c>
      <c r="G894" s="6" t="s">
        <v>64</v>
      </c>
      <c r="H894" s="6" t="s">
        <v>191</v>
      </c>
      <c r="I894" s="1" t="n">
        <v>2</v>
      </c>
      <c r="J894" s="7" t="n">
        <v>9018.89</v>
      </c>
      <c r="K894" s="8" t="n">
        <v>0.15</v>
      </c>
      <c r="L894" s="7" t="n">
        <v>5079.43</v>
      </c>
      <c r="M894" s="6" t="s">
        <v>49</v>
      </c>
      <c r="N894" s="6" t="s">
        <v>67</v>
      </c>
      <c r="O894" s="6" t="n">
        <f aca="false">IF(TablaVentas[[#This Row],[Precio_unitario]]="","PENDIENTE",TablaVentas[[#This Row],[Unidades]]*TablaVentas[[#This Row],[Precio_unitario]]*(1-TablaVentas[[#This Row],[Descuento_pct]]))</f>
        <v>15332.113</v>
      </c>
      <c r="P894" s="6" t="n">
        <f aca="false">IF(TablaVentas[[#This Row],[Costo_unitario]]="","PENDIENTE",TablaVentas[[#This Row],[Unidades]]*TablaVentas[[#This Row],[Costo_unitario]])</f>
        <v>10158.86</v>
      </c>
      <c r="Q894" s="6" t="n">
        <f aca="false">IF(OR(TablaVentas[[#This Row],[Ingreso_neto]]="PENDIENTE",TablaVentas[[#This Row],[Costo_total]]="PENDIENTE"),"PENDIENTE",TablaVentas[[#This Row],[Ingreso_neto]]-TablaVentas[[#This Row],[Costo_total]])</f>
        <v>5173.253</v>
      </c>
    </row>
    <row r="895" customFormat="false" ht="13.5" hidden="false" customHeight="false" outlineLevel="0" collapsed="false">
      <c r="A895" s="1" t="s">
        <v>734</v>
      </c>
      <c r="B895" s="1" t="n">
        <v>3</v>
      </c>
      <c r="C895" s="5" t="n">
        <v>46099</v>
      </c>
      <c r="D895" s="6" t="s">
        <v>627</v>
      </c>
      <c r="E895" s="6" t="s">
        <v>108</v>
      </c>
      <c r="F895" s="6" t="s">
        <v>73</v>
      </c>
      <c r="G895" s="6" t="s">
        <v>64</v>
      </c>
      <c r="H895" s="6" t="s">
        <v>191</v>
      </c>
      <c r="I895" s="1" t="n">
        <v>4</v>
      </c>
      <c r="J895" s="7" t="n">
        <v>4788.24</v>
      </c>
      <c r="K895" s="8" t="n">
        <v>0.05</v>
      </c>
      <c r="L895" s="7" t="n">
        <v>2865.24</v>
      </c>
      <c r="M895" s="6" t="s">
        <v>49</v>
      </c>
      <c r="N895" s="6" t="s">
        <v>67</v>
      </c>
      <c r="O895" s="6" t="n">
        <f aca="false">IF(TablaVentas[[#This Row],[Precio_unitario]]="","PENDIENTE",TablaVentas[[#This Row],[Unidades]]*TablaVentas[[#This Row],[Precio_unitario]]*(1-TablaVentas[[#This Row],[Descuento_pct]]))</f>
        <v>18195.312</v>
      </c>
      <c r="P895" s="6" t="n">
        <f aca="false">IF(TablaVentas[[#This Row],[Costo_unitario]]="","PENDIENTE",TablaVentas[[#This Row],[Unidades]]*TablaVentas[[#This Row],[Costo_unitario]])</f>
        <v>11460.96</v>
      </c>
      <c r="Q895" s="6" t="n">
        <f aca="false">IF(OR(TablaVentas[[#This Row],[Ingreso_neto]]="PENDIENTE",TablaVentas[[#This Row],[Costo_total]]="PENDIENTE"),"PENDIENTE",TablaVentas[[#This Row],[Ingreso_neto]]-TablaVentas[[#This Row],[Costo_total]])</f>
        <v>6734.352</v>
      </c>
    </row>
    <row r="896" customFormat="false" ht="13.5" hidden="false" customHeight="false" outlineLevel="0" collapsed="false">
      <c r="A896" s="1" t="s">
        <v>735</v>
      </c>
      <c r="B896" s="1" t="n">
        <v>1</v>
      </c>
      <c r="C896" s="5" t="n">
        <v>46072</v>
      </c>
      <c r="D896" s="6" t="s">
        <v>61</v>
      </c>
      <c r="E896" s="6" t="s">
        <v>170</v>
      </c>
      <c r="F896" s="6" t="s">
        <v>63</v>
      </c>
      <c r="G896" s="6" t="s">
        <v>64</v>
      </c>
      <c r="H896" s="6" t="s">
        <v>191</v>
      </c>
      <c r="I896" s="1" t="n">
        <v>1</v>
      </c>
      <c r="J896" s="7" t="n">
        <v>17831.75</v>
      </c>
      <c r="K896" s="8" t="n">
        <v>0</v>
      </c>
      <c r="L896" s="7" t="n">
        <v>12141.44</v>
      </c>
      <c r="M896" s="6" t="s">
        <v>49</v>
      </c>
      <c r="N896" s="6" t="s">
        <v>50</v>
      </c>
      <c r="O896" s="6" t="n">
        <f aca="false">IF(TablaVentas[[#This Row],[Precio_unitario]]="","PENDIENTE",TablaVentas[[#This Row],[Unidades]]*TablaVentas[[#This Row],[Precio_unitario]]*(1-TablaVentas[[#This Row],[Descuento_pct]]))</f>
        <v>17831.75</v>
      </c>
      <c r="P896" s="6" t="n">
        <f aca="false">IF(TablaVentas[[#This Row],[Costo_unitario]]="","PENDIENTE",TablaVentas[[#This Row],[Unidades]]*TablaVentas[[#This Row],[Costo_unitario]])</f>
        <v>12141.44</v>
      </c>
      <c r="Q896" s="6" t="n">
        <f aca="false">IF(OR(TablaVentas[[#This Row],[Ingreso_neto]]="PENDIENTE",TablaVentas[[#This Row],[Costo_total]]="PENDIENTE"),"PENDIENTE",TablaVentas[[#This Row],[Ingreso_neto]]-TablaVentas[[#This Row],[Costo_total]])</f>
        <v>5690.31</v>
      </c>
    </row>
    <row r="897" customFormat="false" ht="13.5" hidden="false" customHeight="false" outlineLevel="0" collapsed="false">
      <c r="A897" s="1" t="s">
        <v>736</v>
      </c>
      <c r="B897" s="1" t="n">
        <v>1</v>
      </c>
      <c r="C897" s="5" t="n">
        <v>46225</v>
      </c>
      <c r="D897" s="6" t="s">
        <v>529</v>
      </c>
      <c r="E897" s="6" t="s">
        <v>56</v>
      </c>
      <c r="F897" s="6" t="s">
        <v>84</v>
      </c>
      <c r="G897" s="6" t="s">
        <v>64</v>
      </c>
      <c r="H897" s="6" t="s">
        <v>131</v>
      </c>
      <c r="I897" s="1" t="n">
        <v>3</v>
      </c>
      <c r="J897" s="7" t="n">
        <v>4144.31</v>
      </c>
      <c r="K897" s="8" t="n">
        <v>0</v>
      </c>
      <c r="L897" s="7" t="n">
        <v>2950.52</v>
      </c>
      <c r="M897" s="6" t="s">
        <v>49</v>
      </c>
      <c r="N897" s="6" t="s">
        <v>52</v>
      </c>
      <c r="O897" s="6" t="n">
        <f aca="false">IF(TablaVentas[[#This Row],[Precio_unitario]]="","PENDIENTE",TablaVentas[[#This Row],[Unidades]]*TablaVentas[[#This Row],[Precio_unitario]]*(1-TablaVentas[[#This Row],[Descuento_pct]]))</f>
        <v>12432.93</v>
      </c>
      <c r="P897" s="6" t="n">
        <f aca="false">IF(TablaVentas[[#This Row],[Costo_unitario]]="","PENDIENTE",TablaVentas[[#This Row],[Unidades]]*TablaVentas[[#This Row],[Costo_unitario]])</f>
        <v>8851.56</v>
      </c>
      <c r="Q897" s="6" t="n">
        <f aca="false">IF(OR(TablaVentas[[#This Row],[Ingreso_neto]]="PENDIENTE",TablaVentas[[#This Row],[Costo_total]]="PENDIENTE"),"PENDIENTE",TablaVentas[[#This Row],[Ingreso_neto]]-TablaVentas[[#This Row],[Costo_total]])</f>
        <v>3581.37</v>
      </c>
    </row>
    <row r="898" customFormat="false" ht="13.5" hidden="false" customHeight="false" outlineLevel="0" collapsed="false">
      <c r="A898" s="1" t="s">
        <v>736</v>
      </c>
      <c r="B898" s="1" t="n">
        <v>2</v>
      </c>
      <c r="C898" s="5" t="n">
        <v>46225</v>
      </c>
      <c r="D898" s="6" t="s">
        <v>529</v>
      </c>
      <c r="E898" s="6" t="s">
        <v>121</v>
      </c>
      <c r="F898" s="6" t="s">
        <v>84</v>
      </c>
      <c r="G898" s="6" t="s">
        <v>64</v>
      </c>
      <c r="H898" s="6" t="s">
        <v>131</v>
      </c>
      <c r="I898" s="1" t="n">
        <v>4</v>
      </c>
      <c r="J898" s="7" t="n">
        <v>14802.65</v>
      </c>
      <c r="K898" s="8" t="n">
        <v>0.2</v>
      </c>
      <c r="L898" s="7" t="n">
        <v>8239.48</v>
      </c>
      <c r="M898" s="6" t="s">
        <v>49</v>
      </c>
      <c r="N898" s="6" t="s">
        <v>67</v>
      </c>
      <c r="O898" s="6" t="n">
        <f aca="false">IF(TablaVentas[[#This Row],[Precio_unitario]]="","PENDIENTE",TablaVentas[[#This Row],[Unidades]]*TablaVentas[[#This Row],[Precio_unitario]]*(1-TablaVentas[[#This Row],[Descuento_pct]]))</f>
        <v>47368.48</v>
      </c>
      <c r="P898" s="6" t="n">
        <f aca="false">IF(TablaVentas[[#This Row],[Costo_unitario]]="","PENDIENTE",TablaVentas[[#This Row],[Unidades]]*TablaVentas[[#This Row],[Costo_unitario]])</f>
        <v>32957.92</v>
      </c>
      <c r="Q898" s="6" t="n">
        <f aca="false">IF(OR(TablaVentas[[#This Row],[Ingreso_neto]]="PENDIENTE",TablaVentas[[#This Row],[Costo_total]]="PENDIENTE"),"PENDIENTE",TablaVentas[[#This Row],[Ingreso_neto]]-TablaVentas[[#This Row],[Costo_total]])</f>
        <v>14410.56</v>
      </c>
    </row>
    <row r="899" customFormat="false" ht="13.5" hidden="false" customHeight="false" outlineLevel="0" collapsed="false">
      <c r="A899" s="1" t="s">
        <v>736</v>
      </c>
      <c r="B899" s="1" t="n">
        <v>3</v>
      </c>
      <c r="C899" s="5" t="n">
        <v>46225</v>
      </c>
      <c r="D899" s="6" t="s">
        <v>529</v>
      </c>
      <c r="E899" s="6" t="s">
        <v>66</v>
      </c>
      <c r="F899" s="6" t="s">
        <v>84</v>
      </c>
      <c r="G899" s="6" t="s">
        <v>64</v>
      </c>
      <c r="H899" s="6" t="s">
        <v>131</v>
      </c>
      <c r="I899" s="1" t="n">
        <v>1</v>
      </c>
      <c r="J899" s="7" t="n">
        <v>13315.5</v>
      </c>
      <c r="K899" s="8" t="n">
        <v>0</v>
      </c>
      <c r="L899" s="7" t="n">
        <v>10170.29</v>
      </c>
      <c r="M899" s="6" t="s">
        <v>49</v>
      </c>
      <c r="N899" s="6" t="s">
        <v>59</v>
      </c>
      <c r="O899" s="6" t="n">
        <f aca="false">IF(TablaVentas[[#This Row],[Precio_unitario]]="","PENDIENTE",TablaVentas[[#This Row],[Unidades]]*TablaVentas[[#This Row],[Precio_unitario]]*(1-TablaVentas[[#This Row],[Descuento_pct]]))</f>
        <v>13315.5</v>
      </c>
      <c r="P899" s="6" t="n">
        <f aca="false">IF(TablaVentas[[#This Row],[Costo_unitario]]="","PENDIENTE",TablaVentas[[#This Row],[Unidades]]*TablaVentas[[#This Row],[Costo_unitario]])</f>
        <v>10170.29</v>
      </c>
      <c r="Q899" s="6" t="n">
        <f aca="false">IF(OR(TablaVentas[[#This Row],[Ingreso_neto]]="PENDIENTE",TablaVentas[[#This Row],[Costo_total]]="PENDIENTE"),"PENDIENTE",TablaVentas[[#This Row],[Ingreso_neto]]-TablaVentas[[#This Row],[Costo_total]])</f>
        <v>3145.21</v>
      </c>
    </row>
    <row r="900" customFormat="false" ht="13.5" hidden="false" customHeight="false" outlineLevel="0" collapsed="false">
      <c r="A900" s="1" t="s">
        <v>736</v>
      </c>
      <c r="B900" s="1" t="n">
        <v>4</v>
      </c>
      <c r="C900" s="5" t="n">
        <v>46225</v>
      </c>
      <c r="D900" s="6" t="s">
        <v>529</v>
      </c>
      <c r="E900" s="6" t="s">
        <v>167</v>
      </c>
      <c r="F900" s="6" t="s">
        <v>84</v>
      </c>
      <c r="G900" s="6" t="s">
        <v>64</v>
      </c>
      <c r="H900" s="6" t="s">
        <v>131</v>
      </c>
      <c r="I900" s="1" t="n">
        <v>3</v>
      </c>
      <c r="J900" s="7" t="n">
        <v>7965.11</v>
      </c>
      <c r="K900" s="8" t="n">
        <v>0.2</v>
      </c>
      <c r="L900" s="7" t="n">
        <v>4082.15</v>
      </c>
      <c r="M900" s="6" t="s">
        <v>49</v>
      </c>
      <c r="N900" s="6" t="s">
        <v>50</v>
      </c>
      <c r="O900" s="6" t="n">
        <f aca="false">IF(TablaVentas[[#This Row],[Precio_unitario]]="","PENDIENTE",TablaVentas[[#This Row],[Unidades]]*TablaVentas[[#This Row],[Precio_unitario]]*(1-TablaVentas[[#This Row],[Descuento_pct]]))</f>
        <v>19116.264</v>
      </c>
      <c r="P900" s="6" t="n">
        <f aca="false">IF(TablaVentas[[#This Row],[Costo_unitario]]="","PENDIENTE",TablaVentas[[#This Row],[Unidades]]*TablaVentas[[#This Row],[Costo_unitario]])</f>
        <v>12246.45</v>
      </c>
      <c r="Q900" s="6" t="n">
        <f aca="false">IF(OR(TablaVentas[[#This Row],[Ingreso_neto]]="PENDIENTE",TablaVentas[[#This Row],[Costo_total]]="PENDIENTE"),"PENDIENTE",TablaVentas[[#This Row],[Ingreso_neto]]-TablaVentas[[#This Row],[Costo_total]])</f>
        <v>6869.814</v>
      </c>
    </row>
    <row r="901" customFormat="false" ht="13.5" hidden="false" customHeight="false" outlineLevel="0" collapsed="false">
      <c r="A901" s="1" t="s">
        <v>737</v>
      </c>
      <c r="B901" s="1" t="n">
        <v>1</v>
      </c>
      <c r="C901" s="5" t="n">
        <v>46173</v>
      </c>
      <c r="D901" s="6" t="s">
        <v>625</v>
      </c>
      <c r="E901" s="6" t="s">
        <v>155</v>
      </c>
      <c r="F901" s="6" t="s">
        <v>46</v>
      </c>
      <c r="G901" s="6" t="s">
        <v>64</v>
      </c>
      <c r="H901" s="6" t="s">
        <v>58</v>
      </c>
      <c r="I901" s="1" t="n">
        <v>1</v>
      </c>
      <c r="J901" s="7" t="n">
        <v>2745.97</v>
      </c>
      <c r="K901" s="8" t="n">
        <v>0</v>
      </c>
      <c r="L901" s="7" t="n">
        <v>2459.34</v>
      </c>
      <c r="M901" s="6" t="s">
        <v>49</v>
      </c>
      <c r="N901" s="6" t="s">
        <v>67</v>
      </c>
      <c r="O901" s="6" t="n">
        <f aca="false">IF(TablaVentas[[#This Row],[Precio_unitario]]="","PENDIENTE",TablaVentas[[#This Row],[Unidades]]*TablaVentas[[#This Row],[Precio_unitario]]*(1-TablaVentas[[#This Row],[Descuento_pct]]))</f>
        <v>2745.97</v>
      </c>
      <c r="P901" s="6" t="n">
        <f aca="false">IF(TablaVentas[[#This Row],[Costo_unitario]]="","PENDIENTE",TablaVentas[[#This Row],[Unidades]]*TablaVentas[[#This Row],[Costo_unitario]])</f>
        <v>2459.34</v>
      </c>
      <c r="Q901" s="6" t="n">
        <f aca="false">IF(OR(TablaVentas[[#This Row],[Ingreso_neto]]="PENDIENTE",TablaVentas[[#This Row],[Costo_total]]="PENDIENTE"),"PENDIENTE",TablaVentas[[#This Row],[Ingreso_neto]]-TablaVentas[[#This Row],[Costo_total]])</f>
        <v>286.63</v>
      </c>
    </row>
    <row r="902" customFormat="false" ht="13.5" hidden="false" customHeight="false" outlineLevel="0" collapsed="false">
      <c r="A902" s="1" t="s">
        <v>737</v>
      </c>
      <c r="B902" s="1" t="n">
        <v>2</v>
      </c>
      <c r="C902" s="5" t="n">
        <v>46173</v>
      </c>
      <c r="D902" s="6" t="s">
        <v>625</v>
      </c>
      <c r="E902" s="6" t="s">
        <v>240</v>
      </c>
      <c r="F902" s="6" t="s">
        <v>46</v>
      </c>
      <c r="G902" s="6" t="s">
        <v>64</v>
      </c>
      <c r="H902" s="6" t="s">
        <v>58</v>
      </c>
      <c r="I902" s="1" t="n">
        <v>2</v>
      </c>
      <c r="J902" s="7" t="n">
        <v>10180.53</v>
      </c>
      <c r="K902" s="8" t="n">
        <v>0.2</v>
      </c>
      <c r="L902" s="7" t="n">
        <v>5932.12</v>
      </c>
      <c r="M902" s="6" t="s">
        <v>49</v>
      </c>
      <c r="N902" s="6" t="s">
        <v>59</v>
      </c>
      <c r="O902" s="6" t="n">
        <f aca="false">IF(TablaVentas[[#This Row],[Precio_unitario]]="","PENDIENTE",TablaVentas[[#This Row],[Unidades]]*TablaVentas[[#This Row],[Precio_unitario]]*(1-TablaVentas[[#This Row],[Descuento_pct]]))</f>
        <v>16288.848</v>
      </c>
      <c r="P902" s="6" t="n">
        <f aca="false">IF(TablaVentas[[#This Row],[Costo_unitario]]="","PENDIENTE",TablaVentas[[#This Row],[Unidades]]*TablaVentas[[#This Row],[Costo_unitario]])</f>
        <v>11864.24</v>
      </c>
      <c r="Q902" s="6" t="n">
        <f aca="false">IF(OR(TablaVentas[[#This Row],[Ingreso_neto]]="PENDIENTE",TablaVentas[[#This Row],[Costo_total]]="PENDIENTE"),"PENDIENTE",TablaVentas[[#This Row],[Ingreso_neto]]-TablaVentas[[#This Row],[Costo_total]])</f>
        <v>4424.608</v>
      </c>
    </row>
    <row r="903" customFormat="false" ht="13.5" hidden="false" customHeight="false" outlineLevel="0" collapsed="false">
      <c r="A903" s="1" t="s">
        <v>737</v>
      </c>
      <c r="B903" s="1" t="n">
        <v>3</v>
      </c>
      <c r="C903" s="5" t="n">
        <v>46173</v>
      </c>
      <c r="D903" s="6" t="s">
        <v>625</v>
      </c>
      <c r="E903" s="6" t="s">
        <v>289</v>
      </c>
      <c r="F903" s="6" t="s">
        <v>46</v>
      </c>
      <c r="G903" s="6" t="s">
        <v>64</v>
      </c>
      <c r="H903" s="6" t="s">
        <v>58</v>
      </c>
      <c r="I903" s="1" t="n">
        <v>1</v>
      </c>
      <c r="J903" s="7" t="n">
        <v>4371.29</v>
      </c>
      <c r="K903" s="8" t="n">
        <v>0.05</v>
      </c>
      <c r="L903" s="7" t="n">
        <v>3399.5</v>
      </c>
      <c r="M903" s="6" t="s">
        <v>69</v>
      </c>
      <c r="N903" s="6" t="s">
        <v>59</v>
      </c>
      <c r="O903" s="6" t="n">
        <f aca="false">IF(TablaVentas[[#This Row],[Precio_unitario]]="","PENDIENTE",TablaVentas[[#This Row],[Unidades]]*TablaVentas[[#This Row],[Precio_unitario]]*(1-TablaVentas[[#This Row],[Descuento_pct]]))</f>
        <v>4152.7255</v>
      </c>
      <c r="P903" s="6" t="n">
        <f aca="false">IF(TablaVentas[[#This Row],[Costo_unitario]]="","PENDIENTE",TablaVentas[[#This Row],[Unidades]]*TablaVentas[[#This Row],[Costo_unitario]])</f>
        <v>3399.5</v>
      </c>
      <c r="Q903" s="6" t="n">
        <f aca="false">IF(OR(TablaVentas[[#This Row],[Ingreso_neto]]="PENDIENTE",TablaVentas[[#This Row],[Costo_total]]="PENDIENTE"),"PENDIENTE",TablaVentas[[#This Row],[Ingreso_neto]]-TablaVentas[[#This Row],[Costo_total]])</f>
        <v>753.2255</v>
      </c>
    </row>
    <row r="904" customFormat="false" ht="13.5" hidden="false" customHeight="false" outlineLevel="0" collapsed="false">
      <c r="A904" s="1" t="s">
        <v>737</v>
      </c>
      <c r="B904" s="1" t="n">
        <v>4</v>
      </c>
      <c r="C904" s="5" t="n">
        <v>46173</v>
      </c>
      <c r="D904" s="6" t="s">
        <v>625</v>
      </c>
      <c r="E904" s="6" t="s">
        <v>93</v>
      </c>
      <c r="F904" s="6" t="s">
        <v>46</v>
      </c>
      <c r="G904" s="6" t="s">
        <v>64</v>
      </c>
      <c r="H904" s="6" t="s">
        <v>58</v>
      </c>
      <c r="I904" s="1" t="n">
        <v>8</v>
      </c>
      <c r="J904" s="7" t="n">
        <v>15761.32</v>
      </c>
      <c r="K904" s="8" t="n">
        <v>0.1</v>
      </c>
      <c r="L904" s="7" t="n">
        <v>11166.03</v>
      </c>
      <c r="M904" s="6" t="s">
        <v>49</v>
      </c>
      <c r="N904" s="6" t="s">
        <v>50</v>
      </c>
      <c r="O904" s="6" t="n">
        <f aca="false">IF(TablaVentas[[#This Row],[Precio_unitario]]="","PENDIENTE",TablaVentas[[#This Row],[Unidades]]*TablaVentas[[#This Row],[Precio_unitario]]*(1-TablaVentas[[#This Row],[Descuento_pct]]))</f>
        <v>113481.504</v>
      </c>
      <c r="P904" s="6" t="n">
        <f aca="false">IF(TablaVentas[[#This Row],[Costo_unitario]]="","PENDIENTE",TablaVentas[[#This Row],[Unidades]]*TablaVentas[[#This Row],[Costo_unitario]])</f>
        <v>89328.24</v>
      </c>
      <c r="Q904" s="6" t="n">
        <f aca="false">IF(OR(TablaVentas[[#This Row],[Ingreso_neto]]="PENDIENTE",TablaVentas[[#This Row],[Costo_total]]="PENDIENTE"),"PENDIENTE",TablaVentas[[#This Row],[Ingreso_neto]]-TablaVentas[[#This Row],[Costo_total]])</f>
        <v>24153.264</v>
      </c>
    </row>
    <row r="905" customFormat="false" ht="13.5" hidden="false" customHeight="false" outlineLevel="0" collapsed="false">
      <c r="A905" s="1" t="s">
        <v>738</v>
      </c>
      <c r="B905" s="1" t="n">
        <v>1</v>
      </c>
      <c r="C905" s="5" t="n">
        <v>46091</v>
      </c>
      <c r="D905" s="6" t="s">
        <v>479</v>
      </c>
      <c r="E905" s="6" t="s">
        <v>72</v>
      </c>
      <c r="F905" s="6" t="s">
        <v>46</v>
      </c>
      <c r="G905" s="6" t="s">
        <v>64</v>
      </c>
      <c r="H905" s="6" t="s">
        <v>80</v>
      </c>
      <c r="I905" s="1" t="n">
        <v>8</v>
      </c>
      <c r="J905" s="7" t="n">
        <v>10490.7</v>
      </c>
      <c r="K905" s="8" t="n">
        <v>0</v>
      </c>
      <c r="L905" s="7" t="n">
        <v>7328.02</v>
      </c>
      <c r="M905" s="6" t="s">
        <v>49</v>
      </c>
      <c r="N905" s="6" t="s">
        <v>52</v>
      </c>
      <c r="O905" s="6" t="n">
        <f aca="false">IF(TablaVentas[[#This Row],[Precio_unitario]]="","PENDIENTE",TablaVentas[[#This Row],[Unidades]]*TablaVentas[[#This Row],[Precio_unitario]]*(1-TablaVentas[[#This Row],[Descuento_pct]]))</f>
        <v>83925.6</v>
      </c>
      <c r="P905" s="6" t="n">
        <f aca="false">IF(TablaVentas[[#This Row],[Costo_unitario]]="","PENDIENTE",TablaVentas[[#This Row],[Unidades]]*TablaVentas[[#This Row],[Costo_unitario]])</f>
        <v>58624.16</v>
      </c>
      <c r="Q905" s="6" t="n">
        <f aca="false">IF(OR(TablaVentas[[#This Row],[Ingreso_neto]]="PENDIENTE",TablaVentas[[#This Row],[Costo_total]]="PENDIENTE"),"PENDIENTE",TablaVentas[[#This Row],[Ingreso_neto]]-TablaVentas[[#This Row],[Costo_total]])</f>
        <v>25301.44</v>
      </c>
    </row>
    <row r="906" customFormat="false" ht="13.5" hidden="false" customHeight="false" outlineLevel="0" collapsed="false">
      <c r="A906" s="1" t="s">
        <v>738</v>
      </c>
      <c r="B906" s="1" t="n">
        <v>2</v>
      </c>
      <c r="C906" s="5" t="n">
        <v>46091</v>
      </c>
      <c r="D906" s="6" t="s">
        <v>479</v>
      </c>
      <c r="E906" s="6" t="s">
        <v>280</v>
      </c>
      <c r="F906" s="6" t="s">
        <v>46</v>
      </c>
      <c r="G906" s="6" t="s">
        <v>64</v>
      </c>
      <c r="H906" s="6" t="s">
        <v>80</v>
      </c>
      <c r="I906" s="1" t="n">
        <v>3</v>
      </c>
      <c r="J906" s="7" t="n">
        <v>1466.31</v>
      </c>
      <c r="K906" s="8" t="n">
        <v>0.1</v>
      </c>
      <c r="L906" s="7" t="n">
        <v>716.26</v>
      </c>
      <c r="M906" s="6" t="s">
        <v>49</v>
      </c>
      <c r="N906" s="6" t="s">
        <v>67</v>
      </c>
      <c r="O906" s="6" t="n">
        <f aca="false">IF(TablaVentas[[#This Row],[Precio_unitario]]="","PENDIENTE",TablaVentas[[#This Row],[Unidades]]*TablaVentas[[#This Row],[Precio_unitario]]*(1-TablaVentas[[#This Row],[Descuento_pct]]))</f>
        <v>3959.037</v>
      </c>
      <c r="P906" s="6" t="n">
        <f aca="false">IF(TablaVentas[[#This Row],[Costo_unitario]]="","PENDIENTE",TablaVentas[[#This Row],[Unidades]]*TablaVentas[[#This Row],[Costo_unitario]])</f>
        <v>2148.78</v>
      </c>
      <c r="Q906" s="6" t="n">
        <f aca="false">IF(OR(TablaVentas[[#This Row],[Ingreso_neto]]="PENDIENTE",TablaVentas[[#This Row],[Costo_total]]="PENDIENTE"),"PENDIENTE",TablaVentas[[#This Row],[Ingreso_neto]]-TablaVentas[[#This Row],[Costo_total]])</f>
        <v>1810.257</v>
      </c>
    </row>
    <row r="907" customFormat="false" ht="13.5" hidden="false" customHeight="false" outlineLevel="0" collapsed="false">
      <c r="A907" s="1" t="s">
        <v>738</v>
      </c>
      <c r="B907" s="1" t="n">
        <v>3</v>
      </c>
      <c r="C907" s="5" t="n">
        <v>46091</v>
      </c>
      <c r="D907" s="6" t="s">
        <v>479</v>
      </c>
      <c r="E907" s="6" t="s">
        <v>269</v>
      </c>
      <c r="F907" s="6" t="s">
        <v>46</v>
      </c>
      <c r="G907" s="6" t="s">
        <v>64</v>
      </c>
      <c r="H907" s="6" t="s">
        <v>80</v>
      </c>
      <c r="I907" s="1" t="n">
        <v>1</v>
      </c>
      <c r="J907" s="7" t="n">
        <v>12558.36</v>
      </c>
      <c r="K907" s="8" t="n">
        <v>0.15</v>
      </c>
      <c r="L907" s="7" t="n">
        <v>8227.46</v>
      </c>
      <c r="M907" s="6" t="s">
        <v>49</v>
      </c>
      <c r="N907" s="6" t="s">
        <v>67</v>
      </c>
      <c r="O907" s="6" t="n">
        <f aca="false">IF(TablaVentas[[#This Row],[Precio_unitario]]="","PENDIENTE",TablaVentas[[#This Row],[Unidades]]*TablaVentas[[#This Row],[Precio_unitario]]*(1-TablaVentas[[#This Row],[Descuento_pct]]))</f>
        <v>10674.606</v>
      </c>
      <c r="P907" s="6" t="n">
        <f aca="false">IF(TablaVentas[[#This Row],[Costo_unitario]]="","PENDIENTE",TablaVentas[[#This Row],[Unidades]]*TablaVentas[[#This Row],[Costo_unitario]])</f>
        <v>8227.46</v>
      </c>
      <c r="Q907" s="6" t="n">
        <f aca="false">IF(OR(TablaVentas[[#This Row],[Ingreso_neto]]="PENDIENTE",TablaVentas[[#This Row],[Costo_total]]="PENDIENTE"),"PENDIENTE",TablaVentas[[#This Row],[Ingreso_neto]]-TablaVentas[[#This Row],[Costo_total]])</f>
        <v>2447.146</v>
      </c>
    </row>
    <row r="908" customFormat="false" ht="13.5" hidden="false" customHeight="false" outlineLevel="0" collapsed="false">
      <c r="A908" s="1" t="s">
        <v>739</v>
      </c>
      <c r="B908" s="1" t="n">
        <v>1</v>
      </c>
      <c r="C908" s="5" t="n">
        <v>46223</v>
      </c>
      <c r="D908" s="6" t="s">
        <v>620</v>
      </c>
      <c r="E908" s="6" t="s">
        <v>53</v>
      </c>
      <c r="F908" s="6" t="s">
        <v>73</v>
      </c>
      <c r="G908" s="6" t="s">
        <v>64</v>
      </c>
      <c r="H908" s="6" t="s">
        <v>48</v>
      </c>
      <c r="I908" s="1" t="n">
        <v>4</v>
      </c>
      <c r="J908" s="7" t="n">
        <v>4007.46</v>
      </c>
      <c r="K908" s="8" t="n">
        <v>0</v>
      </c>
      <c r="L908" s="7" t="n">
        <v>2957.6</v>
      </c>
      <c r="M908" s="6" t="s">
        <v>49</v>
      </c>
      <c r="N908" s="6" t="s">
        <v>52</v>
      </c>
      <c r="O908" s="6" t="n">
        <f aca="false">IF(TablaVentas[[#This Row],[Precio_unitario]]="","PENDIENTE",TablaVentas[[#This Row],[Unidades]]*TablaVentas[[#This Row],[Precio_unitario]]*(1-TablaVentas[[#This Row],[Descuento_pct]]))</f>
        <v>16029.84</v>
      </c>
      <c r="P908" s="6" t="n">
        <f aca="false">IF(TablaVentas[[#This Row],[Costo_unitario]]="","PENDIENTE",TablaVentas[[#This Row],[Unidades]]*TablaVentas[[#This Row],[Costo_unitario]])</f>
        <v>11830.4</v>
      </c>
      <c r="Q908" s="6" t="n">
        <f aca="false">IF(OR(TablaVentas[[#This Row],[Ingreso_neto]]="PENDIENTE",TablaVentas[[#This Row],[Costo_total]]="PENDIENTE"),"PENDIENTE",TablaVentas[[#This Row],[Ingreso_neto]]-TablaVentas[[#This Row],[Costo_total]])</f>
        <v>4199.44</v>
      </c>
    </row>
    <row r="909" customFormat="false" ht="13.5" hidden="false" customHeight="false" outlineLevel="0" collapsed="false">
      <c r="A909" s="1" t="s">
        <v>739</v>
      </c>
      <c r="B909" s="1" t="n">
        <v>2</v>
      </c>
      <c r="C909" s="5" t="n">
        <v>46223</v>
      </c>
      <c r="D909" s="6" t="s">
        <v>620</v>
      </c>
      <c r="E909" s="6" t="s">
        <v>155</v>
      </c>
      <c r="F909" s="6" t="s">
        <v>73</v>
      </c>
      <c r="G909" s="6" t="s">
        <v>64</v>
      </c>
      <c r="H909" s="6" t="s">
        <v>48</v>
      </c>
      <c r="I909" s="1" t="n">
        <v>3</v>
      </c>
      <c r="J909" s="7" t="n">
        <v>3084.53</v>
      </c>
      <c r="K909" s="8" t="n">
        <v>0.1</v>
      </c>
      <c r="L909" s="7" t="n">
        <v>2459.34</v>
      </c>
      <c r="M909" s="6" t="s">
        <v>123</v>
      </c>
      <c r="N909" s="6" t="s">
        <v>59</v>
      </c>
      <c r="O909" s="6" t="n">
        <f aca="false">IF(TablaVentas[[#This Row],[Precio_unitario]]="","PENDIENTE",TablaVentas[[#This Row],[Unidades]]*TablaVentas[[#This Row],[Precio_unitario]]*(1-TablaVentas[[#This Row],[Descuento_pct]]))</f>
        <v>8328.231</v>
      </c>
      <c r="P909" s="6" t="n">
        <f aca="false">IF(TablaVentas[[#This Row],[Costo_unitario]]="","PENDIENTE",TablaVentas[[#This Row],[Unidades]]*TablaVentas[[#This Row],[Costo_unitario]])</f>
        <v>7378.02</v>
      </c>
      <c r="Q909" s="6" t="n">
        <f aca="false">IF(OR(TablaVentas[[#This Row],[Ingreso_neto]]="PENDIENTE",TablaVentas[[#This Row],[Costo_total]]="PENDIENTE"),"PENDIENTE",TablaVentas[[#This Row],[Ingreso_neto]]-TablaVentas[[#This Row],[Costo_total]])</f>
        <v>950.210999999999</v>
      </c>
    </row>
    <row r="910" customFormat="false" ht="13.5" hidden="false" customHeight="false" outlineLevel="0" collapsed="false">
      <c r="A910" s="1" t="s">
        <v>740</v>
      </c>
      <c r="B910" s="1" t="n">
        <v>1</v>
      </c>
      <c r="C910" s="5" t="n">
        <v>46177</v>
      </c>
      <c r="D910" s="6" t="s">
        <v>508</v>
      </c>
      <c r="E910" s="6" t="s">
        <v>170</v>
      </c>
      <c r="F910" s="6" t="s">
        <v>46</v>
      </c>
      <c r="G910" s="6" t="s">
        <v>64</v>
      </c>
      <c r="H910" s="6" t="s">
        <v>89</v>
      </c>
      <c r="I910" s="1" t="n">
        <v>1</v>
      </c>
      <c r="J910" s="7" t="n">
        <v>17042.19</v>
      </c>
      <c r="K910" s="8" t="n">
        <v>0.15</v>
      </c>
      <c r="L910" s="7" t="n">
        <v>12141.44</v>
      </c>
      <c r="M910" s="6" t="s">
        <v>49</v>
      </c>
      <c r="N910" s="6" t="s">
        <v>67</v>
      </c>
      <c r="O910" s="6" t="n">
        <f aca="false">IF(TablaVentas[[#This Row],[Precio_unitario]]="","PENDIENTE",TablaVentas[[#This Row],[Unidades]]*TablaVentas[[#This Row],[Precio_unitario]]*(1-TablaVentas[[#This Row],[Descuento_pct]]))</f>
        <v>14485.8615</v>
      </c>
      <c r="P910" s="6" t="n">
        <f aca="false">IF(TablaVentas[[#This Row],[Costo_unitario]]="","PENDIENTE",TablaVentas[[#This Row],[Unidades]]*TablaVentas[[#This Row],[Costo_unitario]])</f>
        <v>12141.44</v>
      </c>
      <c r="Q910" s="6" t="n">
        <f aca="false">IF(OR(TablaVentas[[#This Row],[Ingreso_neto]]="PENDIENTE",TablaVentas[[#This Row],[Costo_total]]="PENDIENTE"),"PENDIENTE",TablaVentas[[#This Row],[Ingreso_neto]]-TablaVentas[[#This Row],[Costo_total]])</f>
        <v>2344.4215</v>
      </c>
    </row>
    <row r="911" customFormat="false" ht="13.5" hidden="false" customHeight="false" outlineLevel="0" collapsed="false">
      <c r="A911" s="1" t="s">
        <v>741</v>
      </c>
      <c r="B911" s="1" t="n">
        <v>1</v>
      </c>
      <c r="C911" s="5" t="n">
        <v>46190</v>
      </c>
      <c r="D911" s="6" t="s">
        <v>362</v>
      </c>
      <c r="E911" s="6" t="s">
        <v>66</v>
      </c>
      <c r="F911" s="6" t="s">
        <v>46</v>
      </c>
      <c r="G911" s="6" t="s">
        <v>64</v>
      </c>
      <c r="H911" s="6" t="s">
        <v>80</v>
      </c>
      <c r="I911" s="1" t="n">
        <v>1</v>
      </c>
      <c r="J911" s="7" t="n">
        <v>15252.19</v>
      </c>
      <c r="K911" s="8" t="n">
        <v>0</v>
      </c>
      <c r="L911" s="7" t="n">
        <v>10170.29</v>
      </c>
      <c r="M911" s="6" t="s">
        <v>49</v>
      </c>
      <c r="N911" s="6" t="s">
        <v>67</v>
      </c>
      <c r="O911" s="6" t="n">
        <f aca="false">IF(TablaVentas[[#This Row],[Precio_unitario]]="","PENDIENTE",TablaVentas[[#This Row],[Unidades]]*TablaVentas[[#This Row],[Precio_unitario]]*(1-TablaVentas[[#This Row],[Descuento_pct]]))</f>
        <v>15252.19</v>
      </c>
      <c r="P911" s="6" t="n">
        <f aca="false">IF(TablaVentas[[#This Row],[Costo_unitario]]="","PENDIENTE",TablaVentas[[#This Row],[Unidades]]*TablaVentas[[#This Row],[Costo_unitario]])</f>
        <v>10170.29</v>
      </c>
      <c r="Q911" s="6" t="n">
        <f aca="false">IF(OR(TablaVentas[[#This Row],[Ingreso_neto]]="PENDIENTE",TablaVentas[[#This Row],[Costo_total]]="PENDIENTE"),"PENDIENTE",TablaVentas[[#This Row],[Ingreso_neto]]-TablaVentas[[#This Row],[Costo_total]])</f>
        <v>5081.9</v>
      </c>
    </row>
    <row r="912" customFormat="false" ht="13.5" hidden="false" customHeight="false" outlineLevel="0" collapsed="false">
      <c r="A912" s="1" t="s">
        <v>741</v>
      </c>
      <c r="B912" s="1" t="n">
        <v>2</v>
      </c>
      <c r="C912" s="5" t="n">
        <v>46190</v>
      </c>
      <c r="D912" s="6" t="s">
        <v>362</v>
      </c>
      <c r="E912" s="6" t="s">
        <v>100</v>
      </c>
      <c r="F912" s="6" t="s">
        <v>46</v>
      </c>
      <c r="G912" s="6" t="s">
        <v>64</v>
      </c>
      <c r="H912" s="6" t="s">
        <v>80</v>
      </c>
      <c r="I912" s="1" t="n">
        <v>4</v>
      </c>
      <c r="J912" s="7" t="n">
        <v>15089.24</v>
      </c>
      <c r="K912" s="8" t="n">
        <v>0</v>
      </c>
      <c r="L912" s="7" t="n">
        <v>8788.79</v>
      </c>
      <c r="M912" s="6" t="s">
        <v>49</v>
      </c>
      <c r="N912" s="6" t="s">
        <v>50</v>
      </c>
      <c r="O912" s="6" t="n">
        <f aca="false">IF(TablaVentas[[#This Row],[Precio_unitario]]="","PENDIENTE",TablaVentas[[#This Row],[Unidades]]*TablaVentas[[#This Row],[Precio_unitario]]*(1-TablaVentas[[#This Row],[Descuento_pct]]))</f>
        <v>60356.96</v>
      </c>
      <c r="P912" s="6" t="n">
        <f aca="false">IF(TablaVentas[[#This Row],[Costo_unitario]]="","PENDIENTE",TablaVentas[[#This Row],[Unidades]]*TablaVentas[[#This Row],[Costo_unitario]])</f>
        <v>35155.16</v>
      </c>
      <c r="Q912" s="6" t="n">
        <f aca="false">IF(OR(TablaVentas[[#This Row],[Ingreso_neto]]="PENDIENTE",TablaVentas[[#This Row],[Costo_total]]="PENDIENTE"),"PENDIENTE",TablaVentas[[#This Row],[Ingreso_neto]]-TablaVentas[[#This Row],[Costo_total]])</f>
        <v>25201.8</v>
      </c>
    </row>
    <row r="913" customFormat="false" ht="13.5" hidden="false" customHeight="false" outlineLevel="0" collapsed="false">
      <c r="A913" s="1" t="s">
        <v>741</v>
      </c>
      <c r="B913" s="1" t="n">
        <v>3</v>
      </c>
      <c r="C913" s="5" t="n">
        <v>46190</v>
      </c>
      <c r="D913" s="6" t="s">
        <v>362</v>
      </c>
      <c r="E913" s="6" t="s">
        <v>215</v>
      </c>
      <c r="F913" s="6" t="s">
        <v>46</v>
      </c>
      <c r="G913" s="6" t="s">
        <v>64</v>
      </c>
      <c r="H913" s="6" t="s">
        <v>80</v>
      </c>
      <c r="I913" s="1" t="n">
        <v>2</v>
      </c>
      <c r="J913" s="7" t="n">
        <v>10719.81</v>
      </c>
      <c r="K913" s="8" t="n">
        <v>0</v>
      </c>
      <c r="L913" s="7" t="n">
        <v>5535.31</v>
      </c>
      <c r="M913" s="6" t="s">
        <v>49</v>
      </c>
      <c r="N913" s="6" t="s">
        <v>59</v>
      </c>
      <c r="O913" s="6" t="n">
        <f aca="false">IF(TablaVentas[[#This Row],[Precio_unitario]]="","PENDIENTE",TablaVentas[[#This Row],[Unidades]]*TablaVentas[[#This Row],[Precio_unitario]]*(1-TablaVentas[[#This Row],[Descuento_pct]]))</f>
        <v>21439.62</v>
      </c>
      <c r="P913" s="6" t="n">
        <f aca="false">IF(TablaVentas[[#This Row],[Costo_unitario]]="","PENDIENTE",TablaVentas[[#This Row],[Unidades]]*TablaVentas[[#This Row],[Costo_unitario]])</f>
        <v>11070.62</v>
      </c>
      <c r="Q913" s="6" t="n">
        <f aca="false">IF(OR(TablaVentas[[#This Row],[Ingreso_neto]]="PENDIENTE",TablaVentas[[#This Row],[Costo_total]]="PENDIENTE"),"PENDIENTE",TablaVentas[[#This Row],[Ingreso_neto]]-TablaVentas[[#This Row],[Costo_total]])</f>
        <v>10369</v>
      </c>
    </row>
    <row r="914" customFormat="false" ht="13.5" hidden="false" customHeight="false" outlineLevel="0" collapsed="false">
      <c r="A914" s="1" t="s">
        <v>742</v>
      </c>
      <c r="B914" s="1" t="n">
        <v>1</v>
      </c>
      <c r="C914" s="5" t="n">
        <v>46126</v>
      </c>
      <c r="D914" s="6" t="s">
        <v>205</v>
      </c>
      <c r="E914" s="6" t="s">
        <v>327</v>
      </c>
      <c r="F914" s="6" t="s">
        <v>63</v>
      </c>
      <c r="G914" s="6" t="s">
        <v>47</v>
      </c>
      <c r="H914" s="6" t="s">
        <v>48</v>
      </c>
      <c r="I914" s="1" t="n">
        <v>3</v>
      </c>
      <c r="J914" s="7" t="n">
        <v>4953.46</v>
      </c>
      <c r="K914" s="8" t="n">
        <v>0.05</v>
      </c>
      <c r="L914" s="7" t="n">
        <v>3065.66</v>
      </c>
      <c r="M914" s="6" t="s">
        <v>123</v>
      </c>
      <c r="N914" s="6" t="s">
        <v>50</v>
      </c>
      <c r="O914" s="6" t="n">
        <f aca="false">IF(TablaVentas[[#This Row],[Precio_unitario]]="","PENDIENTE",TablaVentas[[#This Row],[Unidades]]*TablaVentas[[#This Row],[Precio_unitario]]*(1-TablaVentas[[#This Row],[Descuento_pct]]))</f>
        <v>14117.361</v>
      </c>
      <c r="P914" s="6" t="n">
        <f aca="false">IF(TablaVentas[[#This Row],[Costo_unitario]]="","PENDIENTE",TablaVentas[[#This Row],[Unidades]]*TablaVentas[[#This Row],[Costo_unitario]])</f>
        <v>9196.98</v>
      </c>
      <c r="Q914" s="6" t="n">
        <f aca="false">IF(OR(TablaVentas[[#This Row],[Ingreso_neto]]="PENDIENTE",TablaVentas[[#This Row],[Costo_total]]="PENDIENTE"),"PENDIENTE",TablaVentas[[#This Row],[Ingreso_neto]]-TablaVentas[[#This Row],[Costo_total]])</f>
        <v>4920.381</v>
      </c>
    </row>
    <row r="915" customFormat="false" ht="13.5" hidden="false" customHeight="false" outlineLevel="0" collapsed="false">
      <c r="A915" s="1" t="s">
        <v>742</v>
      </c>
      <c r="B915" s="1" t="n">
        <v>2</v>
      </c>
      <c r="C915" s="5" t="n">
        <v>46126</v>
      </c>
      <c r="D915" s="6" t="s">
        <v>205</v>
      </c>
      <c r="E915" s="6" t="s">
        <v>56</v>
      </c>
      <c r="F915" s="6" t="s">
        <v>63</v>
      </c>
      <c r="G915" s="6" t="s">
        <v>47</v>
      </c>
      <c r="H915" s="6" t="s">
        <v>48</v>
      </c>
      <c r="I915" s="1" t="n">
        <v>5</v>
      </c>
      <c r="J915" s="7" t="n">
        <v>3996.71</v>
      </c>
      <c r="K915" s="8" t="n">
        <v>0</v>
      </c>
      <c r="L915" s="7" t="n">
        <v>2950.52</v>
      </c>
      <c r="M915" s="6" t="s">
        <v>49</v>
      </c>
      <c r="N915" s="6" t="s">
        <v>52</v>
      </c>
      <c r="O915" s="6" t="n">
        <f aca="false">IF(TablaVentas[[#This Row],[Precio_unitario]]="","PENDIENTE",TablaVentas[[#This Row],[Unidades]]*TablaVentas[[#This Row],[Precio_unitario]]*(1-TablaVentas[[#This Row],[Descuento_pct]]))</f>
        <v>19983.55</v>
      </c>
      <c r="P915" s="6" t="n">
        <f aca="false">IF(TablaVentas[[#This Row],[Costo_unitario]]="","PENDIENTE",TablaVentas[[#This Row],[Unidades]]*TablaVentas[[#This Row],[Costo_unitario]])</f>
        <v>14752.6</v>
      </c>
      <c r="Q915" s="6" t="n">
        <f aca="false">IF(OR(TablaVentas[[#This Row],[Ingreso_neto]]="PENDIENTE",TablaVentas[[#This Row],[Costo_total]]="PENDIENTE"),"PENDIENTE",TablaVentas[[#This Row],[Ingreso_neto]]-TablaVentas[[#This Row],[Costo_total]])</f>
        <v>5230.95</v>
      </c>
    </row>
    <row r="916" customFormat="false" ht="13.5" hidden="false" customHeight="false" outlineLevel="0" collapsed="false">
      <c r="A916" s="1" t="s">
        <v>742</v>
      </c>
      <c r="B916" s="1" t="n">
        <v>3</v>
      </c>
      <c r="C916" s="5" t="n">
        <v>46126</v>
      </c>
      <c r="D916" s="6" t="s">
        <v>205</v>
      </c>
      <c r="E916" s="6" t="s">
        <v>66</v>
      </c>
      <c r="F916" s="6" t="s">
        <v>63</v>
      </c>
      <c r="G916" s="6" t="s">
        <v>47</v>
      </c>
      <c r="H916" s="6" t="s">
        <v>48</v>
      </c>
      <c r="I916" s="1" t="n">
        <v>4</v>
      </c>
      <c r="J916" s="7" t="n">
        <v>13508.94</v>
      </c>
      <c r="K916" s="8" t="n">
        <v>0</v>
      </c>
      <c r="L916" s="7" t="n">
        <v>10170.29</v>
      </c>
      <c r="M916" s="6" t="s">
        <v>49</v>
      </c>
      <c r="N916" s="6" t="s">
        <v>50</v>
      </c>
      <c r="O916" s="6" t="n">
        <f aca="false">IF(TablaVentas[[#This Row],[Precio_unitario]]="","PENDIENTE",TablaVentas[[#This Row],[Unidades]]*TablaVentas[[#This Row],[Precio_unitario]]*(1-TablaVentas[[#This Row],[Descuento_pct]]))</f>
        <v>54035.76</v>
      </c>
      <c r="P916" s="6" t="n">
        <f aca="false">IF(TablaVentas[[#This Row],[Costo_unitario]]="","PENDIENTE",TablaVentas[[#This Row],[Unidades]]*TablaVentas[[#This Row],[Costo_unitario]])</f>
        <v>40681.16</v>
      </c>
      <c r="Q916" s="6" t="n">
        <f aca="false">IF(OR(TablaVentas[[#This Row],[Ingreso_neto]]="PENDIENTE",TablaVentas[[#This Row],[Costo_total]]="PENDIENTE"),"PENDIENTE",TablaVentas[[#This Row],[Ingreso_neto]]-TablaVentas[[#This Row],[Costo_total]])</f>
        <v>13354.6</v>
      </c>
    </row>
    <row r="917" customFormat="false" ht="13.5" hidden="false" customHeight="false" outlineLevel="0" collapsed="false">
      <c r="A917" s="1" t="s">
        <v>743</v>
      </c>
      <c r="B917" s="1" t="n">
        <v>1</v>
      </c>
      <c r="C917" s="5" t="n">
        <v>46217</v>
      </c>
      <c r="D917" s="6" t="s">
        <v>744</v>
      </c>
      <c r="E917" s="6" t="s">
        <v>91</v>
      </c>
      <c r="F917" s="6" t="s">
        <v>84</v>
      </c>
      <c r="G917" s="6" t="s">
        <v>64</v>
      </c>
      <c r="H917" s="6" t="s">
        <v>48</v>
      </c>
      <c r="I917" s="1" t="n">
        <v>1</v>
      </c>
      <c r="J917" s="7" t="n">
        <v>15813.26</v>
      </c>
      <c r="K917" s="8" t="n">
        <v>0.1</v>
      </c>
      <c r="L917" s="7" t="n">
        <v>8576.05</v>
      </c>
      <c r="M917" s="6" t="s">
        <v>49</v>
      </c>
      <c r="N917" s="6" t="s">
        <v>52</v>
      </c>
      <c r="O917" s="6" t="n">
        <f aca="false">IF(TablaVentas[[#This Row],[Precio_unitario]]="","PENDIENTE",TablaVentas[[#This Row],[Unidades]]*TablaVentas[[#This Row],[Precio_unitario]]*(1-TablaVentas[[#This Row],[Descuento_pct]]))</f>
        <v>14231.934</v>
      </c>
      <c r="P917" s="6" t="n">
        <f aca="false">IF(TablaVentas[[#This Row],[Costo_unitario]]="","PENDIENTE",TablaVentas[[#This Row],[Unidades]]*TablaVentas[[#This Row],[Costo_unitario]])</f>
        <v>8576.05</v>
      </c>
      <c r="Q917" s="6" t="n">
        <f aca="false">IF(OR(TablaVentas[[#This Row],[Ingreso_neto]]="PENDIENTE",TablaVentas[[#This Row],[Costo_total]]="PENDIENTE"),"PENDIENTE",TablaVentas[[#This Row],[Ingreso_neto]]-TablaVentas[[#This Row],[Costo_total]])</f>
        <v>5655.884</v>
      </c>
    </row>
    <row r="918" customFormat="false" ht="13.5" hidden="false" customHeight="false" outlineLevel="0" collapsed="false">
      <c r="A918" s="1" t="s">
        <v>743</v>
      </c>
      <c r="B918" s="1" t="n">
        <v>2</v>
      </c>
      <c r="C918" s="5" t="n">
        <v>46217</v>
      </c>
      <c r="D918" s="6" t="s">
        <v>744</v>
      </c>
      <c r="E918" s="6" t="s">
        <v>117</v>
      </c>
      <c r="F918" s="6" t="s">
        <v>84</v>
      </c>
      <c r="G918" s="6" t="s">
        <v>64</v>
      </c>
      <c r="H918" s="6" t="s">
        <v>48</v>
      </c>
      <c r="I918" s="1" t="n">
        <v>3</v>
      </c>
      <c r="J918" s="7" t="n">
        <v>5050.44</v>
      </c>
      <c r="K918" s="8" t="n">
        <v>0.2</v>
      </c>
      <c r="L918" s="7" t="n">
        <v>4205.69</v>
      </c>
      <c r="M918" s="6" t="s">
        <v>123</v>
      </c>
      <c r="N918" s="6" t="s">
        <v>59</v>
      </c>
      <c r="O918" s="6" t="n">
        <f aca="false">IF(TablaVentas[[#This Row],[Precio_unitario]]="","PENDIENTE",TablaVentas[[#This Row],[Unidades]]*TablaVentas[[#This Row],[Precio_unitario]]*(1-TablaVentas[[#This Row],[Descuento_pct]]))</f>
        <v>12121.056</v>
      </c>
      <c r="P918" s="6" t="n">
        <f aca="false">IF(TablaVentas[[#This Row],[Costo_unitario]]="","PENDIENTE",TablaVentas[[#This Row],[Unidades]]*TablaVentas[[#This Row],[Costo_unitario]])</f>
        <v>12617.07</v>
      </c>
      <c r="Q918" s="6" t="n">
        <f aca="false">IF(OR(TablaVentas[[#This Row],[Ingreso_neto]]="PENDIENTE",TablaVentas[[#This Row],[Costo_total]]="PENDIENTE"),"PENDIENTE",TablaVentas[[#This Row],[Ingreso_neto]]-TablaVentas[[#This Row],[Costo_total]])</f>
        <v>-496.013999999999</v>
      </c>
    </row>
    <row r="919" customFormat="false" ht="13.5" hidden="false" customHeight="false" outlineLevel="0" collapsed="false">
      <c r="A919" s="1" t="s">
        <v>745</v>
      </c>
      <c r="B919" s="1" t="n">
        <v>1</v>
      </c>
      <c r="C919" s="5" t="n">
        <v>46099</v>
      </c>
      <c r="D919" s="6" t="s">
        <v>746</v>
      </c>
      <c r="E919" s="6" t="s">
        <v>187</v>
      </c>
      <c r="F919" s="6" t="s">
        <v>84</v>
      </c>
      <c r="G919" s="6" t="s">
        <v>64</v>
      </c>
      <c r="H919" s="6" t="s">
        <v>58</v>
      </c>
      <c r="I919" s="1" t="n">
        <v>2</v>
      </c>
      <c r="J919" s="7" t="n">
        <v>5943.55</v>
      </c>
      <c r="K919" s="8" t="n">
        <v>0</v>
      </c>
      <c r="L919" s="7" t="n">
        <v>3824.92</v>
      </c>
      <c r="M919" s="6" t="s">
        <v>49</v>
      </c>
      <c r="N919" s="6" t="s">
        <v>50</v>
      </c>
      <c r="O919" s="6" t="n">
        <f aca="false">IF(TablaVentas[[#This Row],[Precio_unitario]]="","PENDIENTE",TablaVentas[[#This Row],[Unidades]]*TablaVentas[[#This Row],[Precio_unitario]]*(1-TablaVentas[[#This Row],[Descuento_pct]]))</f>
        <v>11887.1</v>
      </c>
      <c r="P919" s="6" t="n">
        <f aca="false">IF(TablaVentas[[#This Row],[Costo_unitario]]="","PENDIENTE",TablaVentas[[#This Row],[Unidades]]*TablaVentas[[#This Row],[Costo_unitario]])</f>
        <v>7649.84</v>
      </c>
      <c r="Q919" s="6" t="n">
        <f aca="false">IF(OR(TablaVentas[[#This Row],[Ingreso_neto]]="PENDIENTE",TablaVentas[[#This Row],[Costo_total]]="PENDIENTE"),"PENDIENTE",TablaVentas[[#This Row],[Ingreso_neto]]-TablaVentas[[#This Row],[Costo_total]])</f>
        <v>4237.26</v>
      </c>
    </row>
    <row r="920" customFormat="false" ht="13.5" hidden="false" customHeight="false" outlineLevel="0" collapsed="false">
      <c r="A920" s="1" t="s">
        <v>745</v>
      </c>
      <c r="B920" s="1" t="n">
        <v>2</v>
      </c>
      <c r="C920" s="5" t="n">
        <v>46099</v>
      </c>
      <c r="D920" s="6" t="s">
        <v>746</v>
      </c>
      <c r="E920" s="6" t="s">
        <v>263</v>
      </c>
      <c r="F920" s="6" t="s">
        <v>84</v>
      </c>
      <c r="G920" s="6" t="s">
        <v>64</v>
      </c>
      <c r="H920" s="6" t="s">
        <v>58</v>
      </c>
      <c r="I920" s="1" t="n">
        <v>2</v>
      </c>
      <c r="J920" s="7" t="n">
        <v>17545.87</v>
      </c>
      <c r="K920" s="8" t="n">
        <v>0.1</v>
      </c>
      <c r="L920" s="7" t="n">
        <v>11666.57</v>
      </c>
      <c r="M920" s="6" t="s">
        <v>49</v>
      </c>
      <c r="N920" s="6" t="s">
        <v>50</v>
      </c>
      <c r="O920" s="6" t="n">
        <f aca="false">IF(TablaVentas[[#This Row],[Precio_unitario]]="","PENDIENTE",TablaVentas[[#This Row],[Unidades]]*TablaVentas[[#This Row],[Precio_unitario]]*(1-TablaVentas[[#This Row],[Descuento_pct]]))</f>
        <v>31582.566</v>
      </c>
      <c r="P920" s="6" t="n">
        <f aca="false">IF(TablaVentas[[#This Row],[Costo_unitario]]="","PENDIENTE",TablaVentas[[#This Row],[Unidades]]*TablaVentas[[#This Row],[Costo_unitario]])</f>
        <v>23333.14</v>
      </c>
      <c r="Q920" s="6" t="n">
        <f aca="false">IF(OR(TablaVentas[[#This Row],[Ingreso_neto]]="PENDIENTE",TablaVentas[[#This Row],[Costo_total]]="PENDIENTE"),"PENDIENTE",TablaVentas[[#This Row],[Ingreso_neto]]-TablaVentas[[#This Row],[Costo_total]])</f>
        <v>8249.426</v>
      </c>
    </row>
    <row r="921" customFormat="false" ht="13.5" hidden="false" customHeight="false" outlineLevel="0" collapsed="false">
      <c r="A921" s="1" t="s">
        <v>745</v>
      </c>
      <c r="B921" s="1" t="n">
        <v>3</v>
      </c>
      <c r="C921" s="5" t="n">
        <v>46099</v>
      </c>
      <c r="D921" s="6" t="s">
        <v>746</v>
      </c>
      <c r="E921" s="6" t="s">
        <v>200</v>
      </c>
      <c r="F921" s="6" t="s">
        <v>84</v>
      </c>
      <c r="G921" s="6" t="s">
        <v>64</v>
      </c>
      <c r="H921" s="6" t="s">
        <v>58</v>
      </c>
      <c r="I921" s="1" t="n">
        <v>3</v>
      </c>
      <c r="J921" s="7" t="n">
        <v>10980.61</v>
      </c>
      <c r="K921" s="8" t="n">
        <v>0</v>
      </c>
      <c r="L921" s="7" t="n">
        <v>5811.72</v>
      </c>
      <c r="M921" s="6" t="s">
        <v>49</v>
      </c>
      <c r="N921" s="6" t="s">
        <v>52</v>
      </c>
      <c r="O921" s="6" t="n">
        <f aca="false">IF(TablaVentas[[#This Row],[Precio_unitario]]="","PENDIENTE",TablaVentas[[#This Row],[Unidades]]*TablaVentas[[#This Row],[Precio_unitario]]*(1-TablaVentas[[#This Row],[Descuento_pct]]))</f>
        <v>32941.83</v>
      </c>
      <c r="P921" s="6" t="n">
        <f aca="false">IF(TablaVentas[[#This Row],[Costo_unitario]]="","PENDIENTE",TablaVentas[[#This Row],[Unidades]]*TablaVentas[[#This Row],[Costo_unitario]])</f>
        <v>17435.16</v>
      </c>
      <c r="Q921" s="6" t="n">
        <f aca="false">IF(OR(TablaVentas[[#This Row],[Ingreso_neto]]="PENDIENTE",TablaVentas[[#This Row],[Costo_total]]="PENDIENTE"),"PENDIENTE",TablaVentas[[#This Row],[Ingreso_neto]]-TablaVentas[[#This Row],[Costo_total]])</f>
        <v>15506.67</v>
      </c>
    </row>
    <row r="922" customFormat="false" ht="13.5" hidden="false" customHeight="false" outlineLevel="0" collapsed="false">
      <c r="A922" s="1" t="s">
        <v>745</v>
      </c>
      <c r="B922" s="1" t="n">
        <v>4</v>
      </c>
      <c r="C922" s="5" t="n">
        <v>46099</v>
      </c>
      <c r="D922" s="6" t="s">
        <v>746</v>
      </c>
      <c r="E922" s="6" t="s">
        <v>77</v>
      </c>
      <c r="F922" s="6" t="s">
        <v>84</v>
      </c>
      <c r="G922" s="6" t="s">
        <v>64</v>
      </c>
      <c r="H922" s="6" t="s">
        <v>58</v>
      </c>
      <c r="I922" s="1" t="n">
        <v>1</v>
      </c>
      <c r="J922" s="7" t="n">
        <v>14560.24</v>
      </c>
      <c r="K922" s="8" t="n">
        <v>0.15</v>
      </c>
      <c r="L922" s="7" t="n">
        <v>10571.25</v>
      </c>
      <c r="M922" s="6" t="s">
        <v>49</v>
      </c>
      <c r="N922" s="6" t="s">
        <v>50</v>
      </c>
      <c r="O922" s="6" t="n">
        <f aca="false">IF(TablaVentas[[#This Row],[Precio_unitario]]="","PENDIENTE",TablaVentas[[#This Row],[Unidades]]*TablaVentas[[#This Row],[Precio_unitario]]*(1-TablaVentas[[#This Row],[Descuento_pct]]))</f>
        <v>12376.204</v>
      </c>
      <c r="P922" s="6" t="n">
        <f aca="false">IF(TablaVentas[[#This Row],[Costo_unitario]]="","PENDIENTE",TablaVentas[[#This Row],[Unidades]]*TablaVentas[[#This Row],[Costo_unitario]])</f>
        <v>10571.25</v>
      </c>
      <c r="Q922" s="6" t="n">
        <f aca="false">IF(OR(TablaVentas[[#This Row],[Ingreso_neto]]="PENDIENTE",TablaVentas[[#This Row],[Costo_total]]="PENDIENTE"),"PENDIENTE",TablaVentas[[#This Row],[Ingreso_neto]]-TablaVentas[[#This Row],[Costo_total]])</f>
        <v>1804.954</v>
      </c>
    </row>
    <row r="923" customFormat="false" ht="13.5" hidden="false" customHeight="false" outlineLevel="0" collapsed="false">
      <c r="A923" s="1" t="s">
        <v>747</v>
      </c>
      <c r="B923" s="1" t="n">
        <v>1</v>
      </c>
      <c r="C923" s="5" t="n">
        <v>46157</v>
      </c>
      <c r="D923" s="6" t="s">
        <v>483</v>
      </c>
      <c r="E923" s="6" t="s">
        <v>75</v>
      </c>
      <c r="F923" s="6" t="s">
        <v>73</v>
      </c>
      <c r="G923" s="6" t="s">
        <v>64</v>
      </c>
      <c r="H923" s="6" t="s">
        <v>89</v>
      </c>
      <c r="I923" s="1" t="n">
        <v>5</v>
      </c>
      <c r="J923" s="7" t="n">
        <v>16139.4</v>
      </c>
      <c r="K923" s="8" t="n">
        <v>0</v>
      </c>
      <c r="L923" s="7" t="n">
        <v>9243.35</v>
      </c>
      <c r="M923" s="6" t="s">
        <v>49</v>
      </c>
      <c r="N923" s="6" t="s">
        <v>50</v>
      </c>
      <c r="O923" s="6" t="n">
        <f aca="false">IF(TablaVentas[[#This Row],[Precio_unitario]]="","PENDIENTE",TablaVentas[[#This Row],[Unidades]]*TablaVentas[[#This Row],[Precio_unitario]]*(1-TablaVentas[[#This Row],[Descuento_pct]]))</f>
        <v>80697</v>
      </c>
      <c r="P923" s="6" t="n">
        <f aca="false">IF(TablaVentas[[#This Row],[Costo_unitario]]="","PENDIENTE",TablaVentas[[#This Row],[Unidades]]*TablaVentas[[#This Row],[Costo_unitario]])</f>
        <v>46216.75</v>
      </c>
      <c r="Q923" s="6" t="n">
        <f aca="false">IF(OR(TablaVentas[[#This Row],[Ingreso_neto]]="PENDIENTE",TablaVentas[[#This Row],[Costo_total]]="PENDIENTE"),"PENDIENTE",TablaVentas[[#This Row],[Ingreso_neto]]-TablaVentas[[#This Row],[Costo_total]])</f>
        <v>34480.25</v>
      </c>
    </row>
    <row r="924" customFormat="false" ht="13.5" hidden="false" customHeight="false" outlineLevel="0" collapsed="false">
      <c r="A924" s="1" t="s">
        <v>747</v>
      </c>
      <c r="B924" s="1" t="n">
        <v>2</v>
      </c>
      <c r="C924" s="5" t="n">
        <v>46157</v>
      </c>
      <c r="D924" s="6" t="s">
        <v>483</v>
      </c>
      <c r="E924" s="6" t="s">
        <v>233</v>
      </c>
      <c r="F924" s="6" t="s">
        <v>73</v>
      </c>
      <c r="G924" s="6" t="s">
        <v>64</v>
      </c>
      <c r="H924" s="6" t="s">
        <v>89</v>
      </c>
      <c r="I924" s="1" t="n">
        <v>2</v>
      </c>
      <c r="J924" s="7" t="n">
        <v>16934.21</v>
      </c>
      <c r="K924" s="8" t="n">
        <v>0</v>
      </c>
      <c r="L924" s="7" t="n">
        <v>9976.68</v>
      </c>
      <c r="M924" s="6" t="s">
        <v>49</v>
      </c>
      <c r="N924" s="6" t="s">
        <v>67</v>
      </c>
      <c r="O924" s="6" t="n">
        <f aca="false">IF(TablaVentas[[#This Row],[Precio_unitario]]="","PENDIENTE",TablaVentas[[#This Row],[Unidades]]*TablaVentas[[#This Row],[Precio_unitario]]*(1-TablaVentas[[#This Row],[Descuento_pct]]))</f>
        <v>33868.42</v>
      </c>
      <c r="P924" s="6" t="n">
        <f aca="false">IF(TablaVentas[[#This Row],[Costo_unitario]]="","PENDIENTE",TablaVentas[[#This Row],[Unidades]]*TablaVentas[[#This Row],[Costo_unitario]])</f>
        <v>19953.36</v>
      </c>
      <c r="Q924" s="6" t="n">
        <f aca="false">IF(OR(TablaVentas[[#This Row],[Ingreso_neto]]="PENDIENTE",TablaVentas[[#This Row],[Costo_total]]="PENDIENTE"),"PENDIENTE",TablaVentas[[#This Row],[Ingreso_neto]]-TablaVentas[[#This Row],[Costo_total]])</f>
        <v>13915.06</v>
      </c>
    </row>
    <row r="925" customFormat="false" ht="13.5" hidden="false" customHeight="false" outlineLevel="0" collapsed="false">
      <c r="A925" s="1" t="s">
        <v>747</v>
      </c>
      <c r="B925" s="1" t="n">
        <v>3</v>
      </c>
      <c r="C925" s="5" t="n">
        <v>46157</v>
      </c>
      <c r="D925" s="6" t="s">
        <v>483</v>
      </c>
      <c r="E925" s="6" t="s">
        <v>280</v>
      </c>
      <c r="F925" s="6" t="s">
        <v>73</v>
      </c>
      <c r="G925" s="6" t="s">
        <v>64</v>
      </c>
      <c r="H925" s="6" t="s">
        <v>89</v>
      </c>
      <c r="I925" s="1" t="n">
        <v>1</v>
      </c>
      <c r="J925" s="7" t="n">
        <v>1327.83</v>
      </c>
      <c r="K925" s="8" t="n">
        <v>0.05</v>
      </c>
      <c r="L925" s="7" t="n">
        <v>716.26</v>
      </c>
      <c r="M925" s="6" t="s">
        <v>49</v>
      </c>
      <c r="N925" s="6" t="s">
        <v>52</v>
      </c>
      <c r="O925" s="6" t="n">
        <f aca="false">IF(TablaVentas[[#This Row],[Precio_unitario]]="","PENDIENTE",TablaVentas[[#This Row],[Unidades]]*TablaVentas[[#This Row],[Precio_unitario]]*(1-TablaVentas[[#This Row],[Descuento_pct]]))</f>
        <v>1261.4385</v>
      </c>
      <c r="P925" s="6" t="n">
        <f aca="false">IF(TablaVentas[[#This Row],[Costo_unitario]]="","PENDIENTE",TablaVentas[[#This Row],[Unidades]]*TablaVentas[[#This Row],[Costo_unitario]])</f>
        <v>716.26</v>
      </c>
      <c r="Q925" s="6" t="n">
        <f aca="false">IF(OR(TablaVentas[[#This Row],[Ingreso_neto]]="PENDIENTE",TablaVentas[[#This Row],[Costo_total]]="PENDIENTE"),"PENDIENTE",TablaVentas[[#This Row],[Ingreso_neto]]-TablaVentas[[#This Row],[Costo_total]])</f>
        <v>545.1785</v>
      </c>
    </row>
    <row r="926" customFormat="false" ht="13.5" hidden="false" customHeight="false" outlineLevel="0" collapsed="false">
      <c r="A926" s="1" t="s">
        <v>747</v>
      </c>
      <c r="B926" s="1" t="n">
        <v>4</v>
      </c>
      <c r="C926" s="5" t="n">
        <v>46157</v>
      </c>
      <c r="D926" s="6" t="s">
        <v>483</v>
      </c>
      <c r="E926" s="6" t="s">
        <v>240</v>
      </c>
      <c r="F926" s="6" t="s">
        <v>73</v>
      </c>
      <c r="G926" s="6" t="s">
        <v>64</v>
      </c>
      <c r="H926" s="6" t="s">
        <v>89</v>
      </c>
      <c r="I926" s="1" t="n">
        <v>2</v>
      </c>
      <c r="J926" s="7" t="n">
        <v>10596.08</v>
      </c>
      <c r="K926" s="8" t="n">
        <v>0</v>
      </c>
      <c r="L926" s="7" t="n">
        <v>5932.12</v>
      </c>
      <c r="M926" s="6" t="s">
        <v>49</v>
      </c>
      <c r="N926" s="6" t="s">
        <v>67</v>
      </c>
      <c r="O926" s="6" t="n">
        <f aca="false">IF(TablaVentas[[#This Row],[Precio_unitario]]="","PENDIENTE",TablaVentas[[#This Row],[Unidades]]*TablaVentas[[#This Row],[Precio_unitario]]*(1-TablaVentas[[#This Row],[Descuento_pct]]))</f>
        <v>21192.16</v>
      </c>
      <c r="P926" s="6" t="n">
        <f aca="false">IF(TablaVentas[[#This Row],[Costo_unitario]]="","PENDIENTE",TablaVentas[[#This Row],[Unidades]]*TablaVentas[[#This Row],[Costo_unitario]])</f>
        <v>11864.24</v>
      </c>
      <c r="Q926" s="6" t="n">
        <f aca="false">IF(OR(TablaVentas[[#This Row],[Ingreso_neto]]="PENDIENTE",TablaVentas[[#This Row],[Costo_total]]="PENDIENTE"),"PENDIENTE",TablaVentas[[#This Row],[Ingreso_neto]]-TablaVentas[[#This Row],[Costo_total]])</f>
        <v>9327.92</v>
      </c>
    </row>
    <row r="927" customFormat="false" ht="13.5" hidden="false" customHeight="false" outlineLevel="0" collapsed="false">
      <c r="A927" s="1" t="s">
        <v>748</v>
      </c>
      <c r="B927" s="1" t="n">
        <v>1</v>
      </c>
      <c r="C927" s="5" t="n">
        <v>46168</v>
      </c>
      <c r="D927" s="6" t="s">
        <v>749</v>
      </c>
      <c r="E927" s="6" t="s">
        <v>91</v>
      </c>
      <c r="F927" s="6" t="s">
        <v>84</v>
      </c>
      <c r="G927" s="6" t="s">
        <v>57</v>
      </c>
      <c r="H927" s="6" t="s">
        <v>136</v>
      </c>
      <c r="I927" s="1" t="n">
        <v>5</v>
      </c>
      <c r="J927" s="7" t="n">
        <v>15069.1</v>
      </c>
      <c r="K927" s="8" t="n">
        <v>0</v>
      </c>
      <c r="L927" s="7" t="n">
        <v>8576.05</v>
      </c>
      <c r="M927" s="6" t="s">
        <v>49</v>
      </c>
      <c r="N927" s="6" t="s">
        <v>50</v>
      </c>
      <c r="O927" s="6" t="n">
        <f aca="false">IF(TablaVentas[[#This Row],[Precio_unitario]]="","PENDIENTE",TablaVentas[[#This Row],[Unidades]]*TablaVentas[[#This Row],[Precio_unitario]]*(1-TablaVentas[[#This Row],[Descuento_pct]]))</f>
        <v>75345.5</v>
      </c>
      <c r="P927" s="6" t="n">
        <f aca="false">IF(TablaVentas[[#This Row],[Costo_unitario]]="","PENDIENTE",TablaVentas[[#This Row],[Unidades]]*TablaVentas[[#This Row],[Costo_unitario]])</f>
        <v>42880.25</v>
      </c>
      <c r="Q927" s="6" t="n">
        <f aca="false">IF(OR(TablaVentas[[#This Row],[Ingreso_neto]]="PENDIENTE",TablaVentas[[#This Row],[Costo_total]]="PENDIENTE"),"PENDIENTE",TablaVentas[[#This Row],[Ingreso_neto]]-TablaVentas[[#This Row],[Costo_total]])</f>
        <v>32465.25</v>
      </c>
    </row>
    <row r="928" customFormat="false" ht="13.5" hidden="false" customHeight="false" outlineLevel="0" collapsed="false">
      <c r="A928" s="1" t="s">
        <v>748</v>
      </c>
      <c r="B928" s="1" t="n">
        <v>2</v>
      </c>
      <c r="C928" s="5" t="n">
        <v>46168</v>
      </c>
      <c r="D928" s="6" t="s">
        <v>749</v>
      </c>
      <c r="E928" s="6" t="s">
        <v>88</v>
      </c>
      <c r="F928" s="6" t="s">
        <v>84</v>
      </c>
      <c r="G928" s="6" t="s">
        <v>57</v>
      </c>
      <c r="H928" s="6" t="s">
        <v>136</v>
      </c>
      <c r="I928" s="1" t="n">
        <v>1</v>
      </c>
      <c r="J928" s="7" t="n">
        <v>17314.43</v>
      </c>
      <c r="K928" s="8" t="n">
        <v>0.1</v>
      </c>
      <c r="L928" s="7" t="n">
        <v>11614.87</v>
      </c>
      <c r="M928" s="6" t="s">
        <v>49</v>
      </c>
      <c r="N928" s="6" t="s">
        <v>67</v>
      </c>
      <c r="O928" s="6" t="n">
        <f aca="false">IF(TablaVentas[[#This Row],[Precio_unitario]]="","PENDIENTE",TablaVentas[[#This Row],[Unidades]]*TablaVentas[[#This Row],[Precio_unitario]]*(1-TablaVentas[[#This Row],[Descuento_pct]]))</f>
        <v>15582.987</v>
      </c>
      <c r="P928" s="6" t="n">
        <f aca="false">IF(TablaVentas[[#This Row],[Costo_unitario]]="","PENDIENTE",TablaVentas[[#This Row],[Unidades]]*TablaVentas[[#This Row],[Costo_unitario]])</f>
        <v>11614.87</v>
      </c>
      <c r="Q928" s="6" t="n">
        <f aca="false">IF(OR(TablaVentas[[#This Row],[Ingreso_neto]]="PENDIENTE",TablaVentas[[#This Row],[Costo_total]]="PENDIENTE"),"PENDIENTE",TablaVentas[[#This Row],[Ingreso_neto]]-TablaVentas[[#This Row],[Costo_total]])</f>
        <v>3968.117</v>
      </c>
    </row>
    <row r="929" customFormat="false" ht="13.5" hidden="false" customHeight="false" outlineLevel="0" collapsed="false">
      <c r="A929" s="1" t="s">
        <v>748</v>
      </c>
      <c r="B929" s="1" t="n">
        <v>3</v>
      </c>
      <c r="C929" s="5" t="n">
        <v>46168</v>
      </c>
      <c r="D929" s="6" t="s">
        <v>749</v>
      </c>
      <c r="E929" s="6" t="s">
        <v>167</v>
      </c>
      <c r="F929" s="6" t="s">
        <v>84</v>
      </c>
      <c r="G929" s="6" t="s">
        <v>57</v>
      </c>
      <c r="H929" s="6" t="s">
        <v>136</v>
      </c>
      <c r="I929" s="1" t="n">
        <v>5</v>
      </c>
      <c r="J929" s="7" t="n">
        <v>8000.16</v>
      </c>
      <c r="K929" s="8" t="n">
        <v>0.05</v>
      </c>
      <c r="L929" s="7" t="n">
        <v>4082.15</v>
      </c>
      <c r="M929" s="6" t="s">
        <v>49</v>
      </c>
      <c r="N929" s="6" t="s">
        <v>50</v>
      </c>
      <c r="O929" s="6" t="n">
        <f aca="false">IF(TablaVentas[[#This Row],[Precio_unitario]]="","PENDIENTE",TablaVentas[[#This Row],[Unidades]]*TablaVentas[[#This Row],[Precio_unitario]]*(1-TablaVentas[[#This Row],[Descuento_pct]]))</f>
        <v>38000.76</v>
      </c>
      <c r="P929" s="6" t="n">
        <f aca="false">IF(TablaVentas[[#This Row],[Costo_unitario]]="","PENDIENTE",TablaVentas[[#This Row],[Unidades]]*TablaVentas[[#This Row],[Costo_unitario]])</f>
        <v>20410.75</v>
      </c>
      <c r="Q929" s="6" t="n">
        <f aca="false">IF(OR(TablaVentas[[#This Row],[Ingreso_neto]]="PENDIENTE",TablaVentas[[#This Row],[Costo_total]]="PENDIENTE"),"PENDIENTE",TablaVentas[[#This Row],[Ingreso_neto]]-TablaVentas[[#This Row],[Costo_total]])</f>
        <v>17590.01</v>
      </c>
    </row>
    <row r="930" customFormat="false" ht="13.5" hidden="false" customHeight="false" outlineLevel="0" collapsed="false">
      <c r="A930" s="1" t="s">
        <v>748</v>
      </c>
      <c r="B930" s="1" t="n">
        <v>4</v>
      </c>
      <c r="C930" s="5" t="n">
        <v>46168</v>
      </c>
      <c r="D930" s="6" t="s">
        <v>749</v>
      </c>
      <c r="E930" s="6" t="s">
        <v>121</v>
      </c>
      <c r="F930" s="6" t="s">
        <v>84</v>
      </c>
      <c r="G930" s="6" t="s">
        <v>57</v>
      </c>
      <c r="H930" s="6" t="s">
        <v>136</v>
      </c>
      <c r="I930" s="1" t="n">
        <v>2</v>
      </c>
      <c r="J930" s="7" t="n">
        <v>15041.04</v>
      </c>
      <c r="K930" s="8" t="n">
        <v>0.15</v>
      </c>
      <c r="L930" s="7" t="n">
        <v>8239.48</v>
      </c>
      <c r="M930" s="6" t="s">
        <v>49</v>
      </c>
      <c r="N930" s="6" t="s">
        <v>67</v>
      </c>
      <c r="O930" s="6" t="n">
        <f aca="false">IF(TablaVentas[[#This Row],[Precio_unitario]]="","PENDIENTE",TablaVentas[[#This Row],[Unidades]]*TablaVentas[[#This Row],[Precio_unitario]]*(1-TablaVentas[[#This Row],[Descuento_pct]]))</f>
        <v>25569.768</v>
      </c>
      <c r="P930" s="6" t="n">
        <f aca="false">IF(TablaVentas[[#This Row],[Costo_unitario]]="","PENDIENTE",TablaVentas[[#This Row],[Unidades]]*TablaVentas[[#This Row],[Costo_unitario]])</f>
        <v>16478.96</v>
      </c>
      <c r="Q930" s="6" t="n">
        <f aca="false">IF(OR(TablaVentas[[#This Row],[Ingreso_neto]]="PENDIENTE",TablaVentas[[#This Row],[Costo_total]]="PENDIENTE"),"PENDIENTE",TablaVentas[[#This Row],[Ingreso_neto]]-TablaVentas[[#This Row],[Costo_total]])</f>
        <v>9090.808</v>
      </c>
    </row>
    <row r="931" customFormat="false" ht="13.5" hidden="false" customHeight="false" outlineLevel="0" collapsed="false">
      <c r="A931" s="1" t="s">
        <v>750</v>
      </c>
      <c r="B931" s="1" t="n">
        <v>1</v>
      </c>
      <c r="C931" s="5" t="n">
        <v>46147</v>
      </c>
      <c r="D931" s="6" t="s">
        <v>227</v>
      </c>
      <c r="E931" s="6" t="s">
        <v>224</v>
      </c>
      <c r="F931" s="6" t="s">
        <v>84</v>
      </c>
      <c r="G931" s="6" t="s">
        <v>64</v>
      </c>
      <c r="H931" s="6" t="s">
        <v>74</v>
      </c>
      <c r="I931" s="1" t="n">
        <v>2</v>
      </c>
      <c r="J931" s="7" t="n">
        <v>17327.11</v>
      </c>
      <c r="K931" s="8" t="n">
        <v>0.1</v>
      </c>
      <c r="L931" s="7" t="n">
        <v>14161.63</v>
      </c>
      <c r="M931" s="6" t="s">
        <v>123</v>
      </c>
      <c r="N931" s="6" t="s">
        <v>50</v>
      </c>
      <c r="O931" s="6" t="n">
        <f aca="false">IF(TablaVentas[[#This Row],[Precio_unitario]]="","PENDIENTE",TablaVentas[[#This Row],[Unidades]]*TablaVentas[[#This Row],[Precio_unitario]]*(1-TablaVentas[[#This Row],[Descuento_pct]]))</f>
        <v>31188.798</v>
      </c>
      <c r="P931" s="6" t="n">
        <f aca="false">IF(TablaVentas[[#This Row],[Costo_unitario]]="","PENDIENTE",TablaVentas[[#This Row],[Unidades]]*TablaVentas[[#This Row],[Costo_unitario]])</f>
        <v>28323.26</v>
      </c>
      <c r="Q931" s="6" t="n">
        <f aca="false">IF(OR(TablaVentas[[#This Row],[Ingreso_neto]]="PENDIENTE",TablaVentas[[#This Row],[Costo_total]]="PENDIENTE"),"PENDIENTE",TablaVentas[[#This Row],[Ingreso_neto]]-TablaVentas[[#This Row],[Costo_total]])</f>
        <v>2865.538</v>
      </c>
    </row>
    <row r="932" customFormat="false" ht="13.5" hidden="false" customHeight="false" outlineLevel="0" collapsed="false">
      <c r="A932" s="1" t="s">
        <v>750</v>
      </c>
      <c r="B932" s="1" t="n">
        <v>2</v>
      </c>
      <c r="C932" s="5" t="n">
        <v>46147</v>
      </c>
      <c r="D932" s="6" t="s">
        <v>227</v>
      </c>
      <c r="E932" s="6" t="s">
        <v>219</v>
      </c>
      <c r="F932" s="6" t="s">
        <v>84</v>
      </c>
      <c r="G932" s="6" t="s">
        <v>64</v>
      </c>
      <c r="H932" s="6" t="s">
        <v>74</v>
      </c>
      <c r="I932" s="1" t="n">
        <v>2</v>
      </c>
      <c r="J932" s="7" t="n">
        <v>3756.05</v>
      </c>
      <c r="K932" s="8" t="n">
        <v>0</v>
      </c>
      <c r="L932" s="7" t="n">
        <v>2157.55</v>
      </c>
      <c r="M932" s="6" t="s">
        <v>49</v>
      </c>
      <c r="N932" s="6" t="s">
        <v>52</v>
      </c>
      <c r="O932" s="6" t="n">
        <f aca="false">IF(TablaVentas[[#This Row],[Precio_unitario]]="","PENDIENTE",TablaVentas[[#This Row],[Unidades]]*TablaVentas[[#This Row],[Precio_unitario]]*(1-TablaVentas[[#This Row],[Descuento_pct]]))</f>
        <v>7512.1</v>
      </c>
      <c r="P932" s="6" t="n">
        <f aca="false">IF(TablaVentas[[#This Row],[Costo_unitario]]="","PENDIENTE",TablaVentas[[#This Row],[Unidades]]*TablaVentas[[#This Row],[Costo_unitario]])</f>
        <v>4315.1</v>
      </c>
      <c r="Q932" s="6" t="n">
        <f aca="false">IF(OR(TablaVentas[[#This Row],[Ingreso_neto]]="PENDIENTE",TablaVentas[[#This Row],[Costo_total]]="PENDIENTE"),"PENDIENTE",TablaVentas[[#This Row],[Ingreso_neto]]-TablaVentas[[#This Row],[Costo_total]])</f>
        <v>3197</v>
      </c>
    </row>
    <row r="933" customFormat="false" ht="13.5" hidden="false" customHeight="false" outlineLevel="0" collapsed="false">
      <c r="A933" s="1" t="s">
        <v>751</v>
      </c>
      <c r="B933" s="1" t="n">
        <v>1</v>
      </c>
      <c r="C933" s="5" t="n">
        <v>46029</v>
      </c>
      <c r="D933" s="6" t="s">
        <v>521</v>
      </c>
      <c r="E933" s="6" t="s">
        <v>210</v>
      </c>
      <c r="F933" s="6" t="s">
        <v>46</v>
      </c>
      <c r="G933" s="6" t="s">
        <v>47</v>
      </c>
      <c r="H933" s="6" t="s">
        <v>191</v>
      </c>
      <c r="I933" s="1" t="n">
        <v>1</v>
      </c>
      <c r="J933" s="7" t="n">
        <v>2007.51</v>
      </c>
      <c r="K933" s="8" t="n">
        <v>0.2</v>
      </c>
      <c r="L933" s="7" t="n">
        <v>1252.84</v>
      </c>
      <c r="M933" s="6" t="s">
        <v>49</v>
      </c>
      <c r="N933" s="6" t="s">
        <v>50</v>
      </c>
      <c r="O933" s="6" t="n">
        <f aca="false">IF(TablaVentas[[#This Row],[Precio_unitario]]="","PENDIENTE",TablaVentas[[#This Row],[Unidades]]*TablaVentas[[#This Row],[Precio_unitario]]*(1-TablaVentas[[#This Row],[Descuento_pct]]))</f>
        <v>1606.008</v>
      </c>
      <c r="P933" s="6" t="n">
        <f aca="false">IF(TablaVentas[[#This Row],[Costo_unitario]]="","PENDIENTE",TablaVentas[[#This Row],[Unidades]]*TablaVentas[[#This Row],[Costo_unitario]])</f>
        <v>1252.84</v>
      </c>
      <c r="Q933" s="6" t="n">
        <f aca="false">IF(OR(TablaVentas[[#This Row],[Ingreso_neto]]="PENDIENTE",TablaVentas[[#This Row],[Costo_total]]="PENDIENTE"),"PENDIENTE",TablaVentas[[#This Row],[Ingreso_neto]]-TablaVentas[[#This Row],[Costo_total]])</f>
        <v>353.168</v>
      </c>
    </row>
    <row r="934" customFormat="false" ht="13.5" hidden="false" customHeight="false" outlineLevel="0" collapsed="false">
      <c r="A934" s="1" t="s">
        <v>751</v>
      </c>
      <c r="B934" s="1" t="n">
        <v>2</v>
      </c>
      <c r="C934" s="5" t="n">
        <v>46029</v>
      </c>
      <c r="D934" s="6" t="s">
        <v>521</v>
      </c>
      <c r="E934" s="6" t="s">
        <v>142</v>
      </c>
      <c r="F934" s="6" t="s">
        <v>46</v>
      </c>
      <c r="G934" s="6" t="s">
        <v>47</v>
      </c>
      <c r="H934" s="6" t="s">
        <v>191</v>
      </c>
      <c r="I934" s="1" t="n">
        <v>2</v>
      </c>
      <c r="J934" s="7" t="n">
        <v>1889.62</v>
      </c>
      <c r="K934" s="8" t="n">
        <v>0.2</v>
      </c>
      <c r="L934" s="7" t="n">
        <v>1529.93</v>
      </c>
      <c r="M934" s="6" t="s">
        <v>49</v>
      </c>
      <c r="N934" s="6" t="s">
        <v>50</v>
      </c>
      <c r="O934" s="6" t="n">
        <f aca="false">IF(TablaVentas[[#This Row],[Precio_unitario]]="","PENDIENTE",TablaVentas[[#This Row],[Unidades]]*TablaVentas[[#This Row],[Precio_unitario]]*(1-TablaVentas[[#This Row],[Descuento_pct]]))</f>
        <v>3023.392</v>
      </c>
      <c r="P934" s="6" t="n">
        <f aca="false">IF(TablaVentas[[#This Row],[Costo_unitario]]="","PENDIENTE",TablaVentas[[#This Row],[Unidades]]*TablaVentas[[#This Row],[Costo_unitario]])</f>
        <v>3059.86</v>
      </c>
      <c r="Q934" s="6" t="n">
        <f aca="false">IF(OR(TablaVentas[[#This Row],[Ingreso_neto]]="PENDIENTE",TablaVentas[[#This Row],[Costo_total]]="PENDIENTE"),"PENDIENTE",TablaVentas[[#This Row],[Ingreso_neto]]-TablaVentas[[#This Row],[Costo_total]])</f>
        <v>-36.4680000000003</v>
      </c>
    </row>
    <row r="935" customFormat="false" ht="13.5" hidden="false" customHeight="false" outlineLevel="0" collapsed="false">
      <c r="A935" s="1" t="s">
        <v>752</v>
      </c>
      <c r="B935" s="1" t="n">
        <v>1</v>
      </c>
      <c r="C935" s="5" t="n">
        <v>46028</v>
      </c>
      <c r="D935" s="6" t="s">
        <v>391</v>
      </c>
      <c r="E935" s="6" t="s">
        <v>263</v>
      </c>
      <c r="F935" s="6" t="s">
        <v>73</v>
      </c>
      <c r="G935" s="6" t="s">
        <v>57</v>
      </c>
      <c r="H935" s="6" t="s">
        <v>80</v>
      </c>
      <c r="I935" s="1" t="n">
        <v>1</v>
      </c>
      <c r="J935" s="7" t="n">
        <v>19604.29</v>
      </c>
      <c r="K935" s="8" t="n">
        <v>0.2</v>
      </c>
      <c r="L935" s="7" t="n">
        <v>11666.57</v>
      </c>
      <c r="M935" s="6" t="s">
        <v>49</v>
      </c>
      <c r="N935" s="6" t="s">
        <v>59</v>
      </c>
      <c r="O935" s="6" t="n">
        <f aca="false">IF(TablaVentas[[#This Row],[Precio_unitario]]="","PENDIENTE",TablaVentas[[#This Row],[Unidades]]*TablaVentas[[#This Row],[Precio_unitario]]*(1-TablaVentas[[#This Row],[Descuento_pct]]))</f>
        <v>15683.432</v>
      </c>
      <c r="P935" s="6" t="n">
        <f aca="false">IF(TablaVentas[[#This Row],[Costo_unitario]]="","PENDIENTE",TablaVentas[[#This Row],[Unidades]]*TablaVentas[[#This Row],[Costo_unitario]])</f>
        <v>11666.57</v>
      </c>
      <c r="Q935" s="6" t="n">
        <f aca="false">IF(OR(TablaVentas[[#This Row],[Ingreso_neto]]="PENDIENTE",TablaVentas[[#This Row],[Costo_total]]="PENDIENTE"),"PENDIENTE",TablaVentas[[#This Row],[Ingreso_neto]]-TablaVentas[[#This Row],[Costo_total]])</f>
        <v>4016.862</v>
      </c>
    </row>
    <row r="936" customFormat="false" ht="13.5" hidden="false" customHeight="false" outlineLevel="0" collapsed="false">
      <c r="A936" s="1" t="s">
        <v>753</v>
      </c>
      <c r="B936" s="1" t="n">
        <v>1</v>
      </c>
      <c r="C936" s="5" t="n">
        <v>46048</v>
      </c>
      <c r="D936" s="6" t="s">
        <v>489</v>
      </c>
      <c r="E936" s="6" t="s">
        <v>233</v>
      </c>
      <c r="F936" s="6" t="s">
        <v>84</v>
      </c>
      <c r="G936" s="6" t="s">
        <v>47</v>
      </c>
      <c r="H936" s="6" t="s">
        <v>80</v>
      </c>
      <c r="I936" s="1" t="n">
        <v>1</v>
      </c>
      <c r="J936" s="7" t="n">
        <v>16506.33</v>
      </c>
      <c r="K936" s="8" t="n">
        <v>0.15</v>
      </c>
      <c r="L936" s="7" t="n">
        <v>9976.68</v>
      </c>
      <c r="M936" s="6" t="s">
        <v>49</v>
      </c>
      <c r="N936" s="6" t="s">
        <v>52</v>
      </c>
      <c r="O936" s="6" t="n">
        <f aca="false">IF(TablaVentas[[#This Row],[Precio_unitario]]="","PENDIENTE",TablaVentas[[#This Row],[Unidades]]*TablaVentas[[#This Row],[Precio_unitario]]*(1-TablaVentas[[#This Row],[Descuento_pct]]))</f>
        <v>14030.3805</v>
      </c>
      <c r="P936" s="6" t="n">
        <f aca="false">IF(TablaVentas[[#This Row],[Costo_unitario]]="","PENDIENTE",TablaVentas[[#This Row],[Unidades]]*TablaVentas[[#This Row],[Costo_unitario]])</f>
        <v>9976.68</v>
      </c>
      <c r="Q936" s="6" t="n">
        <f aca="false">IF(OR(TablaVentas[[#This Row],[Ingreso_neto]]="PENDIENTE",TablaVentas[[#This Row],[Costo_total]]="PENDIENTE"),"PENDIENTE",TablaVentas[[#This Row],[Ingreso_neto]]-TablaVentas[[#This Row],[Costo_total]])</f>
        <v>4053.7005</v>
      </c>
    </row>
    <row r="937" customFormat="false" ht="13.5" hidden="false" customHeight="false" outlineLevel="0" collapsed="false">
      <c r="A937" s="1" t="s">
        <v>754</v>
      </c>
      <c r="B937" s="1" t="n">
        <v>1</v>
      </c>
      <c r="C937" s="5" t="n">
        <v>46121</v>
      </c>
      <c r="D937" s="6" t="s">
        <v>445</v>
      </c>
      <c r="E937" s="6" t="s">
        <v>417</v>
      </c>
      <c r="F937" s="6" t="s">
        <v>73</v>
      </c>
      <c r="G937" s="6" t="s">
        <v>57</v>
      </c>
      <c r="H937" s="6" t="s">
        <v>58</v>
      </c>
      <c r="I937" s="1" t="n">
        <v>1</v>
      </c>
      <c r="J937" s="7" t="n">
        <v>8265.87</v>
      </c>
      <c r="K937" s="8" t="n">
        <v>0.05</v>
      </c>
      <c r="L937" s="7" t="n">
        <v>5874.17</v>
      </c>
      <c r="M937" s="6" t="s">
        <v>49</v>
      </c>
      <c r="N937" s="6" t="s">
        <v>59</v>
      </c>
      <c r="O937" s="6" t="n">
        <f aca="false">IF(TablaVentas[[#This Row],[Precio_unitario]]="","PENDIENTE",TablaVentas[[#This Row],[Unidades]]*TablaVentas[[#This Row],[Precio_unitario]]*(1-TablaVentas[[#This Row],[Descuento_pct]]))</f>
        <v>7852.5765</v>
      </c>
      <c r="P937" s="6" t="n">
        <f aca="false">IF(TablaVentas[[#This Row],[Costo_unitario]]="","PENDIENTE",TablaVentas[[#This Row],[Unidades]]*TablaVentas[[#This Row],[Costo_unitario]])</f>
        <v>5874.17</v>
      </c>
      <c r="Q937" s="6" t="n">
        <f aca="false">IF(OR(TablaVentas[[#This Row],[Ingreso_neto]]="PENDIENTE",TablaVentas[[#This Row],[Costo_total]]="PENDIENTE"),"PENDIENTE",TablaVentas[[#This Row],[Ingreso_neto]]-TablaVentas[[#This Row],[Costo_total]])</f>
        <v>1978.4065</v>
      </c>
    </row>
    <row r="938" customFormat="false" ht="13.5" hidden="false" customHeight="false" outlineLevel="0" collapsed="false">
      <c r="A938" s="1" t="s">
        <v>754</v>
      </c>
      <c r="B938" s="1" t="n">
        <v>2</v>
      </c>
      <c r="C938" s="5" t="n">
        <v>46121</v>
      </c>
      <c r="D938" s="6" t="s">
        <v>445</v>
      </c>
      <c r="E938" s="6" t="s">
        <v>45</v>
      </c>
      <c r="F938" s="6" t="s">
        <v>73</v>
      </c>
      <c r="G938" s="6" t="s">
        <v>57</v>
      </c>
      <c r="H938" s="6" t="s">
        <v>58</v>
      </c>
      <c r="I938" s="1" t="n">
        <v>4</v>
      </c>
      <c r="J938" s="7" t="n">
        <v>5517.4</v>
      </c>
      <c r="K938" s="8" t="n">
        <v>0.05</v>
      </c>
      <c r="L938" s="7" t="n">
        <v>3832.69</v>
      </c>
      <c r="M938" s="6" t="s">
        <v>123</v>
      </c>
      <c r="N938" s="6" t="s">
        <v>50</v>
      </c>
      <c r="O938" s="6" t="n">
        <f aca="false">IF(TablaVentas[[#This Row],[Precio_unitario]]="","PENDIENTE",TablaVentas[[#This Row],[Unidades]]*TablaVentas[[#This Row],[Precio_unitario]]*(1-TablaVentas[[#This Row],[Descuento_pct]]))</f>
        <v>20966.12</v>
      </c>
      <c r="P938" s="6" t="n">
        <f aca="false">IF(TablaVentas[[#This Row],[Costo_unitario]]="","PENDIENTE",TablaVentas[[#This Row],[Unidades]]*TablaVentas[[#This Row],[Costo_unitario]])</f>
        <v>15330.76</v>
      </c>
      <c r="Q938" s="6" t="n">
        <f aca="false">IF(OR(TablaVentas[[#This Row],[Ingreso_neto]]="PENDIENTE",TablaVentas[[#This Row],[Costo_total]]="PENDIENTE"),"PENDIENTE",TablaVentas[[#This Row],[Ingreso_neto]]-TablaVentas[[#This Row],[Costo_total]])</f>
        <v>5635.36</v>
      </c>
    </row>
    <row r="939" customFormat="false" ht="13.5" hidden="false" customHeight="false" outlineLevel="0" collapsed="false">
      <c r="A939" s="1" t="s">
        <v>754</v>
      </c>
      <c r="B939" s="1" t="n">
        <v>3</v>
      </c>
      <c r="C939" s="5" t="n">
        <v>46121</v>
      </c>
      <c r="D939" s="6" t="s">
        <v>445</v>
      </c>
      <c r="E939" s="6" t="s">
        <v>233</v>
      </c>
      <c r="F939" s="6" t="s">
        <v>73</v>
      </c>
      <c r="G939" s="6" t="s">
        <v>57</v>
      </c>
      <c r="H939" s="6" t="s">
        <v>58</v>
      </c>
      <c r="I939" s="1" t="n">
        <v>5</v>
      </c>
      <c r="J939" s="7" t="n">
        <v>18194.17</v>
      </c>
      <c r="K939" s="8" t="n">
        <v>0</v>
      </c>
      <c r="L939" s="7" t="n">
        <v>9976.68</v>
      </c>
      <c r="M939" s="6" t="s">
        <v>49</v>
      </c>
      <c r="N939" s="6" t="s">
        <v>52</v>
      </c>
      <c r="O939" s="6" t="n">
        <f aca="false">IF(TablaVentas[[#This Row],[Precio_unitario]]="","PENDIENTE",TablaVentas[[#This Row],[Unidades]]*TablaVentas[[#This Row],[Precio_unitario]]*(1-TablaVentas[[#This Row],[Descuento_pct]]))</f>
        <v>90970.85</v>
      </c>
      <c r="P939" s="6" t="n">
        <f aca="false">IF(TablaVentas[[#This Row],[Costo_unitario]]="","PENDIENTE",TablaVentas[[#This Row],[Unidades]]*TablaVentas[[#This Row],[Costo_unitario]])</f>
        <v>49883.4</v>
      </c>
      <c r="Q939" s="6" t="n">
        <f aca="false">IF(OR(TablaVentas[[#This Row],[Ingreso_neto]]="PENDIENTE",TablaVentas[[#This Row],[Costo_total]]="PENDIENTE"),"PENDIENTE",TablaVentas[[#This Row],[Ingreso_neto]]-TablaVentas[[#This Row],[Costo_total]])</f>
        <v>41087.45</v>
      </c>
    </row>
    <row r="940" customFormat="false" ht="13.5" hidden="false" customHeight="false" outlineLevel="0" collapsed="false">
      <c r="A940" s="1" t="s">
        <v>754</v>
      </c>
      <c r="B940" s="1" t="n">
        <v>4</v>
      </c>
      <c r="C940" s="5" t="n">
        <v>46121</v>
      </c>
      <c r="D940" s="6" t="s">
        <v>445</v>
      </c>
      <c r="E940" s="6" t="s">
        <v>544</v>
      </c>
      <c r="F940" s="6" t="s">
        <v>73</v>
      </c>
      <c r="G940" s="6" t="s">
        <v>57</v>
      </c>
      <c r="H940" s="6" t="s">
        <v>58</v>
      </c>
      <c r="I940" s="1" t="n">
        <v>1</v>
      </c>
      <c r="J940" s="7" t="n">
        <v>5324.65</v>
      </c>
      <c r="K940" s="8" t="n">
        <v>0.15</v>
      </c>
      <c r="L940" s="7" t="n">
        <v>4556.23</v>
      </c>
      <c r="M940" s="6" t="s">
        <v>49</v>
      </c>
      <c r="N940" s="6" t="s">
        <v>50</v>
      </c>
      <c r="O940" s="6" t="n">
        <f aca="false">IF(TablaVentas[[#This Row],[Precio_unitario]]="","PENDIENTE",TablaVentas[[#This Row],[Unidades]]*TablaVentas[[#This Row],[Precio_unitario]]*(1-TablaVentas[[#This Row],[Descuento_pct]]))</f>
        <v>4525.9525</v>
      </c>
      <c r="P940" s="6" t="n">
        <f aca="false">IF(TablaVentas[[#This Row],[Costo_unitario]]="","PENDIENTE",TablaVentas[[#This Row],[Unidades]]*TablaVentas[[#This Row],[Costo_unitario]])</f>
        <v>4556.23</v>
      </c>
      <c r="Q940" s="6" t="n">
        <f aca="false">IF(OR(TablaVentas[[#This Row],[Ingreso_neto]]="PENDIENTE",TablaVentas[[#This Row],[Costo_total]]="PENDIENTE"),"PENDIENTE",TablaVentas[[#This Row],[Ingreso_neto]]-TablaVentas[[#This Row],[Costo_total]])</f>
        <v>-30.2775000000001</v>
      </c>
    </row>
    <row r="941" customFormat="false" ht="13.5" hidden="false" customHeight="false" outlineLevel="0" collapsed="false">
      <c r="A941" s="1" t="s">
        <v>755</v>
      </c>
      <c r="B941" s="1" t="n">
        <v>1</v>
      </c>
      <c r="C941" s="5" t="n">
        <v>46236</v>
      </c>
      <c r="D941" s="6" t="s">
        <v>756</v>
      </c>
      <c r="E941" s="6" t="s">
        <v>130</v>
      </c>
      <c r="F941" s="6" t="s">
        <v>46</v>
      </c>
      <c r="G941" s="6" t="s">
        <v>47</v>
      </c>
      <c r="H941" s="6" t="s">
        <v>131</v>
      </c>
      <c r="I941" s="1" t="n">
        <v>8</v>
      </c>
      <c r="J941" s="7" t="n">
        <v>16392.59</v>
      </c>
      <c r="K941" s="8" t="n">
        <v>0.1</v>
      </c>
      <c r="L941" s="7" t="n">
        <v>12679.41</v>
      </c>
      <c r="M941" s="6" t="s">
        <v>49</v>
      </c>
      <c r="N941" s="6" t="s">
        <v>50</v>
      </c>
      <c r="O941" s="6" t="n">
        <f aca="false">IF(TablaVentas[[#This Row],[Precio_unitario]]="","PENDIENTE",TablaVentas[[#This Row],[Unidades]]*TablaVentas[[#This Row],[Precio_unitario]]*(1-TablaVentas[[#This Row],[Descuento_pct]]))</f>
        <v>118026.648</v>
      </c>
      <c r="P941" s="6" t="n">
        <f aca="false">IF(TablaVentas[[#This Row],[Costo_unitario]]="","PENDIENTE",TablaVentas[[#This Row],[Unidades]]*TablaVentas[[#This Row],[Costo_unitario]])</f>
        <v>101435.28</v>
      </c>
      <c r="Q941" s="6" t="n">
        <f aca="false">IF(OR(TablaVentas[[#This Row],[Ingreso_neto]]="PENDIENTE",TablaVentas[[#This Row],[Costo_total]]="PENDIENTE"),"PENDIENTE",TablaVentas[[#This Row],[Ingreso_neto]]-TablaVentas[[#This Row],[Costo_total]])</f>
        <v>16591.368</v>
      </c>
    </row>
    <row r="942" customFormat="false" ht="13.5" hidden="false" customHeight="false" outlineLevel="0" collapsed="false">
      <c r="A942" s="1" t="s">
        <v>755</v>
      </c>
      <c r="B942" s="1" t="n">
        <v>2</v>
      </c>
      <c r="C942" s="5" t="n">
        <v>46236</v>
      </c>
      <c r="D942" s="6" t="s">
        <v>756</v>
      </c>
      <c r="E942" s="6" t="s">
        <v>117</v>
      </c>
      <c r="F942" s="6" t="s">
        <v>46</v>
      </c>
      <c r="G942" s="6" t="s">
        <v>47</v>
      </c>
      <c r="H942" s="6" t="s">
        <v>131</v>
      </c>
      <c r="I942" s="1" t="n">
        <v>2</v>
      </c>
      <c r="J942" s="7" t="n">
        <v>5595.02</v>
      </c>
      <c r="K942" s="8" t="n">
        <v>0</v>
      </c>
      <c r="L942" s="7" t="n">
        <v>4205.69</v>
      </c>
      <c r="M942" s="6" t="s">
        <v>123</v>
      </c>
      <c r="N942" s="6" t="s">
        <v>67</v>
      </c>
      <c r="O942" s="6" t="n">
        <f aca="false">IF(TablaVentas[[#This Row],[Precio_unitario]]="","PENDIENTE",TablaVentas[[#This Row],[Unidades]]*TablaVentas[[#This Row],[Precio_unitario]]*(1-TablaVentas[[#This Row],[Descuento_pct]]))</f>
        <v>11190.04</v>
      </c>
      <c r="P942" s="6" t="n">
        <f aca="false">IF(TablaVentas[[#This Row],[Costo_unitario]]="","PENDIENTE",TablaVentas[[#This Row],[Unidades]]*TablaVentas[[#This Row],[Costo_unitario]])</f>
        <v>8411.38</v>
      </c>
      <c r="Q942" s="6" t="n">
        <f aca="false">IF(OR(TablaVentas[[#This Row],[Ingreso_neto]]="PENDIENTE",TablaVentas[[#This Row],[Costo_total]]="PENDIENTE"),"PENDIENTE",TablaVentas[[#This Row],[Ingreso_neto]]-TablaVentas[[#This Row],[Costo_total]])</f>
        <v>2778.66</v>
      </c>
    </row>
    <row r="943" customFormat="false" ht="13.5" hidden="false" customHeight="false" outlineLevel="0" collapsed="false">
      <c r="A943" s="1" t="s">
        <v>755</v>
      </c>
      <c r="B943" s="1" t="n">
        <v>3</v>
      </c>
      <c r="C943" s="5" t="n">
        <v>46236</v>
      </c>
      <c r="D943" s="6" t="s">
        <v>756</v>
      </c>
      <c r="E943" s="6" t="s">
        <v>51</v>
      </c>
      <c r="F943" s="6" t="s">
        <v>46</v>
      </c>
      <c r="G943" s="6" t="s">
        <v>47</v>
      </c>
      <c r="H943" s="6" t="s">
        <v>131</v>
      </c>
      <c r="I943" s="1" t="n">
        <v>2</v>
      </c>
      <c r="J943" s="7" t="n">
        <v>14847.53</v>
      </c>
      <c r="K943" s="8" t="n">
        <v>0.05</v>
      </c>
      <c r="L943" s="7" t="n">
        <v>8980.68</v>
      </c>
      <c r="M943" s="6" t="s">
        <v>49</v>
      </c>
      <c r="N943" s="6" t="s">
        <v>59</v>
      </c>
      <c r="O943" s="6" t="n">
        <f aca="false">IF(TablaVentas[[#This Row],[Precio_unitario]]="","PENDIENTE",TablaVentas[[#This Row],[Unidades]]*TablaVentas[[#This Row],[Precio_unitario]]*(1-TablaVentas[[#This Row],[Descuento_pct]]))</f>
        <v>28210.307</v>
      </c>
      <c r="P943" s="6" t="n">
        <f aca="false">IF(TablaVentas[[#This Row],[Costo_unitario]]="","PENDIENTE",TablaVentas[[#This Row],[Unidades]]*TablaVentas[[#This Row],[Costo_unitario]])</f>
        <v>17961.36</v>
      </c>
      <c r="Q943" s="6" t="n">
        <f aca="false">IF(OR(TablaVentas[[#This Row],[Ingreso_neto]]="PENDIENTE",TablaVentas[[#This Row],[Costo_total]]="PENDIENTE"),"PENDIENTE",TablaVentas[[#This Row],[Ingreso_neto]]-TablaVentas[[#This Row],[Costo_total]])</f>
        <v>10248.947</v>
      </c>
    </row>
    <row r="944" customFormat="false" ht="13.5" hidden="false" customHeight="false" outlineLevel="0" collapsed="false">
      <c r="A944" s="1" t="s">
        <v>757</v>
      </c>
      <c r="B944" s="1" t="n">
        <v>1</v>
      </c>
      <c r="C944" s="5" t="n">
        <v>46062</v>
      </c>
      <c r="D944" s="6" t="s">
        <v>357</v>
      </c>
      <c r="E944" s="6" t="s">
        <v>140</v>
      </c>
      <c r="F944" s="6" t="s">
        <v>84</v>
      </c>
      <c r="G944" s="6" t="s">
        <v>64</v>
      </c>
      <c r="H944" s="6" t="s">
        <v>58</v>
      </c>
      <c r="I944" s="1" t="n">
        <v>2</v>
      </c>
      <c r="J944" s="7" t="n">
        <v>7805.91</v>
      </c>
      <c r="K944" s="8" t="n">
        <v>0.2</v>
      </c>
      <c r="L944" s="7" t="n">
        <v>4061.34</v>
      </c>
      <c r="M944" s="6" t="s">
        <v>49</v>
      </c>
      <c r="N944" s="6" t="s">
        <v>52</v>
      </c>
      <c r="O944" s="6" t="n">
        <f aca="false">IF(TablaVentas[[#This Row],[Precio_unitario]]="","PENDIENTE",TablaVentas[[#This Row],[Unidades]]*TablaVentas[[#This Row],[Precio_unitario]]*(1-TablaVentas[[#This Row],[Descuento_pct]]))</f>
        <v>12489.456</v>
      </c>
      <c r="P944" s="6" t="n">
        <f aca="false">IF(TablaVentas[[#This Row],[Costo_unitario]]="","PENDIENTE",TablaVentas[[#This Row],[Unidades]]*TablaVentas[[#This Row],[Costo_unitario]])</f>
        <v>8122.68</v>
      </c>
      <c r="Q944" s="6" t="n">
        <f aca="false">IF(OR(TablaVentas[[#This Row],[Ingreso_neto]]="PENDIENTE",TablaVentas[[#This Row],[Costo_total]]="PENDIENTE"),"PENDIENTE",TablaVentas[[#This Row],[Ingreso_neto]]-TablaVentas[[#This Row],[Costo_total]])</f>
        <v>4366.776</v>
      </c>
    </row>
    <row r="945" customFormat="false" ht="13.5" hidden="false" customHeight="false" outlineLevel="0" collapsed="false">
      <c r="A945" s="1" t="s">
        <v>757</v>
      </c>
      <c r="B945" s="1" t="n">
        <v>2</v>
      </c>
      <c r="C945" s="5" t="n">
        <v>46062</v>
      </c>
      <c r="D945" s="6" t="s">
        <v>357</v>
      </c>
      <c r="E945" s="6" t="s">
        <v>92</v>
      </c>
      <c r="F945" s="6" t="s">
        <v>84</v>
      </c>
      <c r="G945" s="6" t="s">
        <v>64</v>
      </c>
      <c r="H945" s="6" t="s">
        <v>58</v>
      </c>
      <c r="I945" s="1" t="n">
        <v>4</v>
      </c>
      <c r="J945" s="7" t="n">
        <v>485.75</v>
      </c>
      <c r="K945" s="8" t="n">
        <v>0</v>
      </c>
      <c r="L945" s="7" t="n">
        <v>307.75</v>
      </c>
      <c r="M945" s="6" t="s">
        <v>49</v>
      </c>
      <c r="N945" s="6" t="s">
        <v>52</v>
      </c>
      <c r="O945" s="6" t="n">
        <f aca="false">IF(TablaVentas[[#This Row],[Precio_unitario]]="","PENDIENTE",TablaVentas[[#This Row],[Unidades]]*TablaVentas[[#This Row],[Precio_unitario]]*(1-TablaVentas[[#This Row],[Descuento_pct]]))</f>
        <v>1943</v>
      </c>
      <c r="P945" s="6" t="n">
        <f aca="false">IF(TablaVentas[[#This Row],[Costo_unitario]]="","PENDIENTE",TablaVentas[[#This Row],[Unidades]]*TablaVentas[[#This Row],[Costo_unitario]])</f>
        <v>1231</v>
      </c>
      <c r="Q945" s="6" t="n">
        <f aca="false">IF(OR(TablaVentas[[#This Row],[Ingreso_neto]]="PENDIENTE",TablaVentas[[#This Row],[Costo_total]]="PENDIENTE"),"PENDIENTE",TablaVentas[[#This Row],[Ingreso_neto]]-TablaVentas[[#This Row],[Costo_total]])</f>
        <v>712</v>
      </c>
    </row>
    <row r="946" customFormat="false" ht="13.5" hidden="false" customHeight="false" outlineLevel="0" collapsed="false">
      <c r="A946" s="1" t="s">
        <v>757</v>
      </c>
      <c r="B946" s="1" t="n">
        <v>3</v>
      </c>
      <c r="C946" s="5" t="n">
        <v>46062</v>
      </c>
      <c r="D946" s="6" t="s">
        <v>357</v>
      </c>
      <c r="E946" s="6" t="s">
        <v>187</v>
      </c>
      <c r="F946" s="6" t="s">
        <v>84</v>
      </c>
      <c r="G946" s="6" t="s">
        <v>64</v>
      </c>
      <c r="H946" s="6" t="s">
        <v>58</v>
      </c>
      <c r="I946" s="1" t="n">
        <v>4</v>
      </c>
      <c r="J946" s="7" t="n">
        <v>5870.49</v>
      </c>
      <c r="K946" s="8" t="n">
        <v>0.05</v>
      </c>
      <c r="L946" s="7" t="n">
        <v>3824.92</v>
      </c>
      <c r="M946" s="6" t="s">
        <v>49</v>
      </c>
      <c r="N946" s="6" t="s">
        <v>67</v>
      </c>
      <c r="O946" s="6" t="n">
        <f aca="false">IF(TablaVentas[[#This Row],[Precio_unitario]]="","PENDIENTE",TablaVentas[[#This Row],[Unidades]]*TablaVentas[[#This Row],[Precio_unitario]]*(1-TablaVentas[[#This Row],[Descuento_pct]]))</f>
        <v>22307.862</v>
      </c>
      <c r="P946" s="6" t="n">
        <f aca="false">IF(TablaVentas[[#This Row],[Costo_unitario]]="","PENDIENTE",TablaVentas[[#This Row],[Unidades]]*TablaVentas[[#This Row],[Costo_unitario]])</f>
        <v>15299.68</v>
      </c>
      <c r="Q946" s="6" t="n">
        <f aca="false">IF(OR(TablaVentas[[#This Row],[Ingreso_neto]]="PENDIENTE",TablaVentas[[#This Row],[Costo_total]]="PENDIENTE"),"PENDIENTE",TablaVentas[[#This Row],[Ingreso_neto]]-TablaVentas[[#This Row],[Costo_total]])</f>
        <v>7008.182</v>
      </c>
    </row>
    <row r="947" customFormat="false" ht="13.5" hidden="false" customHeight="false" outlineLevel="0" collapsed="false">
      <c r="A947" s="1" t="s">
        <v>758</v>
      </c>
      <c r="B947" s="1" t="n">
        <v>1</v>
      </c>
      <c r="C947" s="5" t="n">
        <v>46277</v>
      </c>
      <c r="D947" s="6" t="s">
        <v>759</v>
      </c>
      <c r="E947" s="6" t="s">
        <v>333</v>
      </c>
      <c r="F947" s="6" t="s">
        <v>46</v>
      </c>
      <c r="G947" s="6" t="s">
        <v>47</v>
      </c>
      <c r="H947" s="6" t="s">
        <v>48</v>
      </c>
      <c r="I947" s="1" t="n">
        <v>5</v>
      </c>
      <c r="J947" s="7" t="n">
        <v>7657.11</v>
      </c>
      <c r="K947" s="8" t="n">
        <v>0</v>
      </c>
      <c r="L947" s="7" t="n">
        <v>4044.16</v>
      </c>
      <c r="M947" s="6" t="s">
        <v>49</v>
      </c>
      <c r="N947" s="6" t="s">
        <v>59</v>
      </c>
      <c r="O947" s="6" t="n">
        <f aca="false">IF(TablaVentas[[#This Row],[Precio_unitario]]="","PENDIENTE",TablaVentas[[#This Row],[Unidades]]*TablaVentas[[#This Row],[Precio_unitario]]*(1-TablaVentas[[#This Row],[Descuento_pct]]))</f>
        <v>38285.55</v>
      </c>
      <c r="P947" s="6" t="n">
        <f aca="false">IF(TablaVentas[[#This Row],[Costo_unitario]]="","PENDIENTE",TablaVentas[[#This Row],[Unidades]]*TablaVentas[[#This Row],[Costo_unitario]])</f>
        <v>20220.8</v>
      </c>
      <c r="Q947" s="6" t="n">
        <f aca="false">IF(OR(TablaVentas[[#This Row],[Ingreso_neto]]="PENDIENTE",TablaVentas[[#This Row],[Costo_total]]="PENDIENTE"),"PENDIENTE",TablaVentas[[#This Row],[Ingreso_neto]]-TablaVentas[[#This Row],[Costo_total]])</f>
        <v>18064.75</v>
      </c>
    </row>
    <row r="948" customFormat="false" ht="13.5" hidden="false" customHeight="false" outlineLevel="0" collapsed="false">
      <c r="A948" s="1" t="s">
        <v>758</v>
      </c>
      <c r="B948" s="1" t="n">
        <v>2</v>
      </c>
      <c r="C948" s="5" t="n">
        <v>46277</v>
      </c>
      <c r="D948" s="6" t="s">
        <v>759</v>
      </c>
      <c r="E948" s="6" t="s">
        <v>53</v>
      </c>
      <c r="F948" s="6" t="s">
        <v>46</v>
      </c>
      <c r="G948" s="6" t="s">
        <v>47</v>
      </c>
      <c r="H948" s="6" t="s">
        <v>48</v>
      </c>
      <c r="I948" s="1" t="n">
        <v>4</v>
      </c>
      <c r="J948" s="7" t="n">
        <v>4029.51</v>
      </c>
      <c r="K948" s="8" t="n">
        <v>0</v>
      </c>
      <c r="L948" s="7" t="n">
        <v>2957.6</v>
      </c>
      <c r="M948" s="6" t="s">
        <v>49</v>
      </c>
      <c r="N948" s="6" t="s">
        <v>67</v>
      </c>
      <c r="O948" s="6" t="n">
        <f aca="false">IF(TablaVentas[[#This Row],[Precio_unitario]]="","PENDIENTE",TablaVentas[[#This Row],[Unidades]]*TablaVentas[[#This Row],[Precio_unitario]]*(1-TablaVentas[[#This Row],[Descuento_pct]]))</f>
        <v>16118.04</v>
      </c>
      <c r="P948" s="6" t="n">
        <f aca="false">IF(TablaVentas[[#This Row],[Costo_unitario]]="","PENDIENTE",TablaVentas[[#This Row],[Unidades]]*TablaVentas[[#This Row],[Costo_unitario]])</f>
        <v>11830.4</v>
      </c>
      <c r="Q948" s="6" t="n">
        <f aca="false">IF(OR(TablaVentas[[#This Row],[Ingreso_neto]]="PENDIENTE",TablaVentas[[#This Row],[Costo_total]]="PENDIENTE"),"PENDIENTE",TablaVentas[[#This Row],[Ingreso_neto]]-TablaVentas[[#This Row],[Costo_total]])</f>
        <v>4287.64</v>
      </c>
    </row>
    <row r="949" customFormat="false" ht="13.5" hidden="false" customHeight="false" outlineLevel="0" collapsed="false">
      <c r="A949" s="1" t="s">
        <v>760</v>
      </c>
      <c r="B949" s="1" t="n">
        <v>1</v>
      </c>
      <c r="C949" s="5" t="n">
        <v>46100</v>
      </c>
      <c r="D949" s="6" t="s">
        <v>430</v>
      </c>
      <c r="E949" s="6" t="s">
        <v>260</v>
      </c>
      <c r="F949" s="6" t="s">
        <v>46</v>
      </c>
      <c r="G949" s="6" t="s">
        <v>47</v>
      </c>
      <c r="H949" s="6" t="s">
        <v>80</v>
      </c>
      <c r="I949" s="1" t="n">
        <v>1</v>
      </c>
      <c r="J949" s="7" t="n">
        <v>3208</v>
      </c>
      <c r="K949" s="8" t="n">
        <v>0.1</v>
      </c>
      <c r="L949" s="7" t="n">
        <v>2486.18</v>
      </c>
      <c r="M949" s="6" t="s">
        <v>49</v>
      </c>
      <c r="N949" s="6" t="s">
        <v>59</v>
      </c>
      <c r="O949" s="6" t="n">
        <f aca="false">IF(TablaVentas[[#This Row],[Precio_unitario]]="","PENDIENTE",TablaVentas[[#This Row],[Unidades]]*TablaVentas[[#This Row],[Precio_unitario]]*(1-TablaVentas[[#This Row],[Descuento_pct]]))</f>
        <v>2887.2</v>
      </c>
      <c r="P949" s="6" t="n">
        <f aca="false">IF(TablaVentas[[#This Row],[Costo_unitario]]="","PENDIENTE",TablaVentas[[#This Row],[Unidades]]*TablaVentas[[#This Row],[Costo_unitario]])</f>
        <v>2486.18</v>
      </c>
      <c r="Q949" s="6" t="n">
        <f aca="false">IF(OR(TablaVentas[[#This Row],[Ingreso_neto]]="PENDIENTE",TablaVentas[[#This Row],[Costo_total]]="PENDIENTE"),"PENDIENTE",TablaVentas[[#This Row],[Ingreso_neto]]-TablaVentas[[#This Row],[Costo_total]])</f>
        <v>401.02</v>
      </c>
    </row>
    <row r="950" customFormat="false" ht="13.5" hidden="false" customHeight="false" outlineLevel="0" collapsed="false">
      <c r="A950" s="1" t="s">
        <v>760</v>
      </c>
      <c r="B950" s="1" t="n">
        <v>2</v>
      </c>
      <c r="C950" s="5" t="n">
        <v>46100</v>
      </c>
      <c r="D950" s="6" t="s">
        <v>430</v>
      </c>
      <c r="E950" s="6" t="s">
        <v>200</v>
      </c>
      <c r="F950" s="6" t="s">
        <v>46</v>
      </c>
      <c r="G950" s="6" t="s">
        <v>47</v>
      </c>
      <c r="H950" s="6" t="s">
        <v>80</v>
      </c>
      <c r="I950" s="1" t="n">
        <v>1</v>
      </c>
      <c r="J950" s="7" t="n">
        <v>10907.02</v>
      </c>
      <c r="K950" s="8" t="n">
        <v>0.2</v>
      </c>
      <c r="L950" s="7" t="n">
        <v>5811.72</v>
      </c>
      <c r="M950" s="6" t="s">
        <v>49</v>
      </c>
      <c r="N950" s="6" t="s">
        <v>50</v>
      </c>
      <c r="O950" s="6" t="n">
        <f aca="false">IF(TablaVentas[[#This Row],[Precio_unitario]]="","PENDIENTE",TablaVentas[[#This Row],[Unidades]]*TablaVentas[[#This Row],[Precio_unitario]]*(1-TablaVentas[[#This Row],[Descuento_pct]]))</f>
        <v>8725.616</v>
      </c>
      <c r="P950" s="6" t="n">
        <f aca="false">IF(TablaVentas[[#This Row],[Costo_unitario]]="","PENDIENTE",TablaVentas[[#This Row],[Unidades]]*TablaVentas[[#This Row],[Costo_unitario]])</f>
        <v>5811.72</v>
      </c>
      <c r="Q950" s="6" t="n">
        <f aca="false">IF(OR(TablaVentas[[#This Row],[Ingreso_neto]]="PENDIENTE",TablaVentas[[#This Row],[Costo_total]]="PENDIENTE"),"PENDIENTE",TablaVentas[[#This Row],[Ingreso_neto]]-TablaVentas[[#This Row],[Costo_total]])</f>
        <v>2913.896</v>
      </c>
    </row>
    <row r="951" customFormat="false" ht="13.5" hidden="false" customHeight="false" outlineLevel="0" collapsed="false">
      <c r="A951" s="1" t="s">
        <v>760</v>
      </c>
      <c r="B951" s="1" t="n">
        <v>3</v>
      </c>
      <c r="C951" s="5" t="n">
        <v>46100</v>
      </c>
      <c r="D951" s="6" t="s">
        <v>430</v>
      </c>
      <c r="E951" s="6" t="s">
        <v>284</v>
      </c>
      <c r="F951" s="6" t="s">
        <v>46</v>
      </c>
      <c r="G951" s="6" t="s">
        <v>47</v>
      </c>
      <c r="H951" s="6" t="s">
        <v>80</v>
      </c>
      <c r="I951" s="1" t="n">
        <v>5</v>
      </c>
      <c r="J951" s="7" t="n">
        <v>7037.93</v>
      </c>
      <c r="K951" s="8" t="n">
        <v>0</v>
      </c>
      <c r="L951" s="7" t="n">
        <v>4858.08</v>
      </c>
      <c r="M951" s="6" t="s">
        <v>49</v>
      </c>
      <c r="N951" s="6" t="s">
        <v>52</v>
      </c>
      <c r="O951" s="6" t="n">
        <f aca="false">IF(TablaVentas[[#This Row],[Precio_unitario]]="","PENDIENTE",TablaVentas[[#This Row],[Unidades]]*TablaVentas[[#This Row],[Precio_unitario]]*(1-TablaVentas[[#This Row],[Descuento_pct]]))</f>
        <v>35189.65</v>
      </c>
      <c r="P951" s="6" t="n">
        <f aca="false">IF(TablaVentas[[#This Row],[Costo_unitario]]="","PENDIENTE",TablaVentas[[#This Row],[Unidades]]*TablaVentas[[#This Row],[Costo_unitario]])</f>
        <v>24290.4</v>
      </c>
      <c r="Q951" s="6" t="n">
        <f aca="false">IF(OR(TablaVentas[[#This Row],[Ingreso_neto]]="PENDIENTE",TablaVentas[[#This Row],[Costo_total]]="PENDIENTE"),"PENDIENTE",TablaVentas[[#This Row],[Ingreso_neto]]-TablaVentas[[#This Row],[Costo_total]])</f>
        <v>10899.25</v>
      </c>
    </row>
    <row r="952" customFormat="false" ht="13.5" hidden="false" customHeight="false" outlineLevel="0" collapsed="false">
      <c r="A952" s="1" t="s">
        <v>761</v>
      </c>
      <c r="B952" s="1" t="n">
        <v>1</v>
      </c>
      <c r="C952" s="5" t="n">
        <v>46086</v>
      </c>
      <c r="D952" s="6" t="s">
        <v>622</v>
      </c>
      <c r="E952" s="6" t="s">
        <v>85</v>
      </c>
      <c r="F952" s="6" t="s">
        <v>84</v>
      </c>
      <c r="G952" s="6" t="s">
        <v>57</v>
      </c>
      <c r="H952" s="6" t="s">
        <v>109</v>
      </c>
      <c r="I952" s="1" t="n">
        <v>2</v>
      </c>
      <c r="J952" s="7" t="n">
        <v>9322.34</v>
      </c>
      <c r="K952" s="8" t="n">
        <v>0.1</v>
      </c>
      <c r="L952" s="7" t="n">
        <v>5033.47</v>
      </c>
      <c r="M952" s="6" t="s">
        <v>49</v>
      </c>
      <c r="N952" s="6" t="s">
        <v>52</v>
      </c>
      <c r="O952" s="6" t="n">
        <f aca="false">IF(TablaVentas[[#This Row],[Precio_unitario]]="","PENDIENTE",TablaVentas[[#This Row],[Unidades]]*TablaVentas[[#This Row],[Precio_unitario]]*(1-TablaVentas[[#This Row],[Descuento_pct]]))</f>
        <v>16780.212</v>
      </c>
      <c r="P952" s="6" t="n">
        <f aca="false">IF(TablaVentas[[#This Row],[Costo_unitario]]="","PENDIENTE",TablaVentas[[#This Row],[Unidades]]*TablaVentas[[#This Row],[Costo_unitario]])</f>
        <v>10066.94</v>
      </c>
      <c r="Q952" s="6" t="n">
        <f aca="false">IF(OR(TablaVentas[[#This Row],[Ingreso_neto]]="PENDIENTE",TablaVentas[[#This Row],[Costo_total]]="PENDIENTE"),"PENDIENTE",TablaVentas[[#This Row],[Ingreso_neto]]-TablaVentas[[#This Row],[Costo_total]])</f>
        <v>6713.272</v>
      </c>
    </row>
    <row r="953" customFormat="false" ht="13.5" hidden="false" customHeight="false" outlineLevel="0" collapsed="false">
      <c r="A953" s="1" t="s">
        <v>762</v>
      </c>
      <c r="B953" s="1" t="n">
        <v>1</v>
      </c>
      <c r="C953" s="5" t="n">
        <v>46103</v>
      </c>
      <c r="D953" s="6" t="s">
        <v>409</v>
      </c>
      <c r="E953" s="6" t="s">
        <v>97</v>
      </c>
      <c r="F953" s="6" t="s">
        <v>46</v>
      </c>
      <c r="G953" s="6" t="s">
        <v>57</v>
      </c>
      <c r="H953" s="6" t="s">
        <v>80</v>
      </c>
      <c r="I953" s="1" t="n">
        <v>4</v>
      </c>
      <c r="J953" s="7" t="n">
        <v>10171.91</v>
      </c>
      <c r="K953" s="8" t="n">
        <v>0</v>
      </c>
      <c r="L953" s="7" t="n">
        <v>8174.87</v>
      </c>
      <c r="M953" s="6" t="s">
        <v>49</v>
      </c>
      <c r="N953" s="6" t="s">
        <v>50</v>
      </c>
      <c r="O953" s="6" t="n">
        <f aca="false">IF(TablaVentas[[#This Row],[Precio_unitario]]="","PENDIENTE",TablaVentas[[#This Row],[Unidades]]*TablaVentas[[#This Row],[Precio_unitario]]*(1-TablaVentas[[#This Row],[Descuento_pct]]))</f>
        <v>40687.64</v>
      </c>
      <c r="P953" s="6" t="n">
        <f aca="false">IF(TablaVentas[[#This Row],[Costo_unitario]]="","PENDIENTE",TablaVentas[[#This Row],[Unidades]]*TablaVentas[[#This Row],[Costo_unitario]])</f>
        <v>32699.48</v>
      </c>
      <c r="Q953" s="6" t="n">
        <f aca="false">IF(OR(TablaVentas[[#This Row],[Ingreso_neto]]="PENDIENTE",TablaVentas[[#This Row],[Costo_total]]="PENDIENTE"),"PENDIENTE",TablaVentas[[#This Row],[Ingreso_neto]]-TablaVentas[[#This Row],[Costo_total]])</f>
        <v>7988.16</v>
      </c>
    </row>
    <row r="954" customFormat="false" ht="13.5" hidden="false" customHeight="false" outlineLevel="0" collapsed="false">
      <c r="A954" s="1" t="s">
        <v>763</v>
      </c>
      <c r="B954" s="1" t="n">
        <v>1</v>
      </c>
      <c r="C954" s="5" t="n">
        <v>46208</v>
      </c>
      <c r="D954" s="6" t="s">
        <v>430</v>
      </c>
      <c r="E954" s="6" t="s">
        <v>300</v>
      </c>
      <c r="F954" s="6" t="s">
        <v>63</v>
      </c>
      <c r="G954" s="6" t="s">
        <v>57</v>
      </c>
      <c r="H954" s="6" t="s">
        <v>58</v>
      </c>
      <c r="I954" s="1" t="n">
        <v>3</v>
      </c>
      <c r="J954" s="7" t="n">
        <v>1227.58</v>
      </c>
      <c r="K954" s="8" t="n">
        <v>0.15</v>
      </c>
      <c r="L954" s="7" t="n">
        <v>936.52</v>
      </c>
      <c r="M954" s="6" t="s">
        <v>49</v>
      </c>
      <c r="N954" s="6" t="s">
        <v>59</v>
      </c>
      <c r="O954" s="6" t="n">
        <f aca="false">IF(TablaVentas[[#This Row],[Precio_unitario]]="","PENDIENTE",TablaVentas[[#This Row],[Unidades]]*TablaVentas[[#This Row],[Precio_unitario]]*(1-TablaVentas[[#This Row],[Descuento_pct]]))</f>
        <v>3130.329</v>
      </c>
      <c r="P954" s="6" t="n">
        <f aca="false">IF(TablaVentas[[#This Row],[Costo_unitario]]="","PENDIENTE",TablaVentas[[#This Row],[Unidades]]*TablaVentas[[#This Row],[Costo_unitario]])</f>
        <v>2809.56</v>
      </c>
      <c r="Q954" s="6" t="n">
        <f aca="false">IF(OR(TablaVentas[[#This Row],[Ingreso_neto]]="PENDIENTE",TablaVentas[[#This Row],[Costo_total]]="PENDIENTE"),"PENDIENTE",TablaVentas[[#This Row],[Ingreso_neto]]-TablaVentas[[#This Row],[Costo_total]])</f>
        <v>320.769</v>
      </c>
    </row>
    <row r="955" customFormat="false" ht="13.5" hidden="false" customHeight="false" outlineLevel="0" collapsed="false">
      <c r="A955" s="1" t="s">
        <v>763</v>
      </c>
      <c r="B955" s="1" t="n">
        <v>2</v>
      </c>
      <c r="C955" s="5" t="n">
        <v>46208</v>
      </c>
      <c r="D955" s="6" t="s">
        <v>430</v>
      </c>
      <c r="E955" s="6" t="s">
        <v>179</v>
      </c>
      <c r="F955" s="6" t="s">
        <v>63</v>
      </c>
      <c r="G955" s="6" t="s">
        <v>57</v>
      </c>
      <c r="H955" s="6" t="s">
        <v>58</v>
      </c>
      <c r="I955" s="1" t="n">
        <v>1</v>
      </c>
      <c r="J955" s="7" t="n">
        <v>17016.06</v>
      </c>
      <c r="K955" s="8" t="n">
        <v>0</v>
      </c>
      <c r="L955" s="7" t="n">
        <v>10830.17</v>
      </c>
      <c r="M955" s="6" t="s">
        <v>49</v>
      </c>
      <c r="N955" s="6" t="s">
        <v>52</v>
      </c>
      <c r="O955" s="6" t="n">
        <f aca="false">IF(TablaVentas[[#This Row],[Precio_unitario]]="","PENDIENTE",TablaVentas[[#This Row],[Unidades]]*TablaVentas[[#This Row],[Precio_unitario]]*(1-TablaVentas[[#This Row],[Descuento_pct]]))</f>
        <v>17016.06</v>
      </c>
      <c r="P955" s="6" t="n">
        <f aca="false">IF(TablaVentas[[#This Row],[Costo_unitario]]="","PENDIENTE",TablaVentas[[#This Row],[Unidades]]*TablaVentas[[#This Row],[Costo_unitario]])</f>
        <v>10830.17</v>
      </c>
      <c r="Q955" s="6" t="n">
        <f aca="false">IF(OR(TablaVentas[[#This Row],[Ingreso_neto]]="PENDIENTE",TablaVentas[[#This Row],[Costo_total]]="PENDIENTE"),"PENDIENTE",TablaVentas[[#This Row],[Ingreso_neto]]-TablaVentas[[#This Row],[Costo_total]])</f>
        <v>6185.89</v>
      </c>
    </row>
    <row r="956" customFormat="false" ht="13.5" hidden="false" customHeight="false" outlineLevel="0" collapsed="false">
      <c r="A956" s="1" t="s">
        <v>764</v>
      </c>
      <c r="B956" s="1" t="n">
        <v>1</v>
      </c>
      <c r="C956" s="5" t="n">
        <v>46242</v>
      </c>
      <c r="D956" s="6" t="s">
        <v>259</v>
      </c>
      <c r="E956" s="6" t="s">
        <v>374</v>
      </c>
      <c r="F956" s="6" t="s">
        <v>84</v>
      </c>
      <c r="G956" s="6" t="s">
        <v>57</v>
      </c>
      <c r="H956" s="6" t="s">
        <v>109</v>
      </c>
      <c r="I956" s="1" t="n">
        <v>1</v>
      </c>
      <c r="J956" s="7" t="n">
        <v>10304.43</v>
      </c>
      <c r="K956" s="8" t="n">
        <v>0</v>
      </c>
      <c r="L956" s="7" t="n">
        <v>5079.43</v>
      </c>
      <c r="M956" s="6" t="s">
        <v>49</v>
      </c>
      <c r="N956" s="6" t="s">
        <v>52</v>
      </c>
      <c r="O956" s="6" t="n">
        <f aca="false">IF(TablaVentas[[#This Row],[Precio_unitario]]="","PENDIENTE",TablaVentas[[#This Row],[Unidades]]*TablaVentas[[#This Row],[Precio_unitario]]*(1-TablaVentas[[#This Row],[Descuento_pct]]))</f>
        <v>10304.43</v>
      </c>
      <c r="P956" s="6" t="n">
        <f aca="false">IF(TablaVentas[[#This Row],[Costo_unitario]]="","PENDIENTE",TablaVentas[[#This Row],[Unidades]]*TablaVentas[[#This Row],[Costo_unitario]])</f>
        <v>5079.43</v>
      </c>
      <c r="Q956" s="6" t="n">
        <f aca="false">IF(OR(TablaVentas[[#This Row],[Ingreso_neto]]="PENDIENTE",TablaVentas[[#This Row],[Costo_total]]="PENDIENTE"),"PENDIENTE",TablaVentas[[#This Row],[Ingreso_neto]]-TablaVentas[[#This Row],[Costo_total]])</f>
        <v>5225</v>
      </c>
    </row>
    <row r="957" customFormat="false" ht="13.5" hidden="false" customHeight="false" outlineLevel="0" collapsed="false">
      <c r="A957" s="1" t="s">
        <v>765</v>
      </c>
      <c r="B957" s="1" t="n">
        <v>1</v>
      </c>
      <c r="C957" s="5" t="n">
        <v>46036</v>
      </c>
      <c r="D957" s="6" t="s">
        <v>165</v>
      </c>
      <c r="E957" s="6" t="s">
        <v>56</v>
      </c>
      <c r="F957" s="6" t="s">
        <v>73</v>
      </c>
      <c r="G957" s="6" t="s">
        <v>47</v>
      </c>
      <c r="H957" s="6" t="s">
        <v>48</v>
      </c>
      <c r="I957" s="1" t="n">
        <v>3</v>
      </c>
      <c r="J957" s="7" t="n">
        <v>3967.26</v>
      </c>
      <c r="K957" s="8" t="n">
        <v>0</v>
      </c>
      <c r="L957" s="7" t="n">
        <v>2950.52</v>
      </c>
      <c r="M957" s="6" t="s">
        <v>69</v>
      </c>
      <c r="N957" s="6" t="s">
        <v>59</v>
      </c>
      <c r="O957" s="6" t="n">
        <f aca="false">IF(TablaVentas[[#This Row],[Precio_unitario]]="","PENDIENTE",TablaVentas[[#This Row],[Unidades]]*TablaVentas[[#This Row],[Precio_unitario]]*(1-TablaVentas[[#This Row],[Descuento_pct]]))</f>
        <v>11901.78</v>
      </c>
      <c r="P957" s="6" t="n">
        <f aca="false">IF(TablaVentas[[#This Row],[Costo_unitario]]="","PENDIENTE",TablaVentas[[#This Row],[Unidades]]*TablaVentas[[#This Row],[Costo_unitario]])</f>
        <v>8851.56</v>
      </c>
      <c r="Q957" s="6" t="n">
        <f aca="false">IF(OR(TablaVentas[[#This Row],[Ingreso_neto]]="PENDIENTE",TablaVentas[[#This Row],[Costo_total]]="PENDIENTE"),"PENDIENTE",TablaVentas[[#This Row],[Ingreso_neto]]-TablaVentas[[#This Row],[Costo_total]])</f>
        <v>3050.22</v>
      </c>
    </row>
    <row r="958" customFormat="false" ht="13.5" hidden="false" customHeight="false" outlineLevel="0" collapsed="false">
      <c r="A958" s="1" t="s">
        <v>766</v>
      </c>
      <c r="B958" s="1" t="n">
        <v>1</v>
      </c>
      <c r="C958" s="5" t="n">
        <v>46261</v>
      </c>
      <c r="D958" s="6" t="s">
        <v>107</v>
      </c>
      <c r="E958" s="6" t="s">
        <v>213</v>
      </c>
      <c r="F958" s="6" t="s">
        <v>73</v>
      </c>
      <c r="G958" s="6" t="s">
        <v>57</v>
      </c>
      <c r="H958" s="6" t="s">
        <v>65</v>
      </c>
      <c r="I958" s="1" t="n">
        <v>3</v>
      </c>
      <c r="J958" s="7" t="n">
        <v>5105.42</v>
      </c>
      <c r="K958" s="8" t="n">
        <v>0</v>
      </c>
      <c r="L958" s="7" t="n">
        <v>4008.77</v>
      </c>
      <c r="M958" s="6" t="s">
        <v>49</v>
      </c>
      <c r="N958" s="6" t="s">
        <v>50</v>
      </c>
      <c r="O958" s="6" t="n">
        <f aca="false">IF(TablaVentas[[#This Row],[Precio_unitario]]="","PENDIENTE",TablaVentas[[#This Row],[Unidades]]*TablaVentas[[#This Row],[Precio_unitario]]*(1-TablaVentas[[#This Row],[Descuento_pct]]))</f>
        <v>15316.26</v>
      </c>
      <c r="P958" s="6" t="n">
        <f aca="false">IF(TablaVentas[[#This Row],[Costo_unitario]]="","PENDIENTE",TablaVentas[[#This Row],[Unidades]]*TablaVentas[[#This Row],[Costo_unitario]])</f>
        <v>12026.31</v>
      </c>
      <c r="Q958" s="6" t="n">
        <f aca="false">IF(OR(TablaVentas[[#This Row],[Ingreso_neto]]="PENDIENTE",TablaVentas[[#This Row],[Costo_total]]="PENDIENTE"),"PENDIENTE",TablaVentas[[#This Row],[Ingreso_neto]]-TablaVentas[[#This Row],[Costo_total]])</f>
        <v>3289.95</v>
      </c>
    </row>
    <row r="959" customFormat="false" ht="13.5" hidden="false" customHeight="false" outlineLevel="0" collapsed="false">
      <c r="A959" s="1" t="s">
        <v>767</v>
      </c>
      <c r="B959" s="1" t="n">
        <v>1</v>
      </c>
      <c r="C959" s="5" t="n">
        <v>46256</v>
      </c>
      <c r="D959" s="6" t="s">
        <v>768</v>
      </c>
      <c r="E959" s="6" t="s">
        <v>75</v>
      </c>
      <c r="F959" s="6" t="s">
        <v>46</v>
      </c>
      <c r="G959" s="6" t="s">
        <v>57</v>
      </c>
      <c r="H959" s="6" t="s">
        <v>74</v>
      </c>
      <c r="I959" s="1" t="n">
        <v>2</v>
      </c>
      <c r="J959" s="7" t="n">
        <v>14618.2</v>
      </c>
      <c r="K959" s="8" t="n">
        <v>0.05</v>
      </c>
      <c r="L959" s="7" t="n">
        <v>9243.35</v>
      </c>
      <c r="M959" s="6" t="s">
        <v>49</v>
      </c>
      <c r="N959" s="6" t="s">
        <v>59</v>
      </c>
      <c r="O959" s="6" t="n">
        <f aca="false">IF(TablaVentas[[#This Row],[Precio_unitario]]="","PENDIENTE",TablaVentas[[#This Row],[Unidades]]*TablaVentas[[#This Row],[Precio_unitario]]*(1-TablaVentas[[#This Row],[Descuento_pct]]))</f>
        <v>27774.58</v>
      </c>
      <c r="P959" s="6" t="n">
        <f aca="false">IF(TablaVentas[[#This Row],[Costo_unitario]]="","PENDIENTE",TablaVentas[[#This Row],[Unidades]]*TablaVentas[[#This Row],[Costo_unitario]])</f>
        <v>18486.7</v>
      </c>
      <c r="Q959" s="6" t="n">
        <f aca="false">IF(OR(TablaVentas[[#This Row],[Ingreso_neto]]="PENDIENTE",TablaVentas[[#This Row],[Costo_total]]="PENDIENTE"),"PENDIENTE",TablaVentas[[#This Row],[Ingreso_neto]]-TablaVentas[[#This Row],[Costo_total]])</f>
        <v>9287.88</v>
      </c>
    </row>
    <row r="960" customFormat="false" ht="13.5" hidden="false" customHeight="false" outlineLevel="0" collapsed="false">
      <c r="A960" s="1" t="s">
        <v>769</v>
      </c>
      <c r="B960" s="1" t="n">
        <v>1</v>
      </c>
      <c r="C960" s="5" t="n">
        <v>46154</v>
      </c>
      <c r="D960" s="6" t="s">
        <v>271</v>
      </c>
      <c r="E960" s="6" t="s">
        <v>158</v>
      </c>
      <c r="F960" s="6" t="s">
        <v>46</v>
      </c>
      <c r="G960" s="6" t="s">
        <v>47</v>
      </c>
      <c r="H960" s="6" t="s">
        <v>48</v>
      </c>
      <c r="I960" s="1" t="n">
        <v>2</v>
      </c>
      <c r="J960" s="7" t="n">
        <v>15897.24</v>
      </c>
      <c r="K960" s="8" t="n">
        <v>0</v>
      </c>
      <c r="L960" s="7" t="n">
        <v>8963.23</v>
      </c>
      <c r="M960" s="6" t="s">
        <v>49</v>
      </c>
      <c r="N960" s="6" t="s">
        <v>50</v>
      </c>
      <c r="O960" s="6" t="n">
        <f aca="false">IF(TablaVentas[[#This Row],[Precio_unitario]]="","PENDIENTE",TablaVentas[[#This Row],[Unidades]]*TablaVentas[[#This Row],[Precio_unitario]]*(1-TablaVentas[[#This Row],[Descuento_pct]]))</f>
        <v>31794.48</v>
      </c>
      <c r="P960" s="6" t="n">
        <f aca="false">IF(TablaVentas[[#This Row],[Costo_unitario]]="","PENDIENTE",TablaVentas[[#This Row],[Unidades]]*TablaVentas[[#This Row],[Costo_unitario]])</f>
        <v>17926.46</v>
      </c>
      <c r="Q960" s="6" t="n">
        <f aca="false">IF(OR(TablaVentas[[#This Row],[Ingreso_neto]]="PENDIENTE",TablaVentas[[#This Row],[Costo_total]]="PENDIENTE"),"PENDIENTE",TablaVentas[[#This Row],[Ingreso_neto]]-TablaVentas[[#This Row],[Costo_total]])</f>
        <v>13868.02</v>
      </c>
    </row>
    <row r="961" customFormat="false" ht="13.5" hidden="false" customHeight="false" outlineLevel="0" collapsed="false">
      <c r="A961" s="1" t="s">
        <v>769</v>
      </c>
      <c r="B961" s="1" t="n">
        <v>2</v>
      </c>
      <c r="C961" s="5" t="n">
        <v>46154</v>
      </c>
      <c r="D961" s="6" t="s">
        <v>271</v>
      </c>
      <c r="E961" s="6" t="s">
        <v>51</v>
      </c>
      <c r="F961" s="6" t="s">
        <v>46</v>
      </c>
      <c r="G961" s="6" t="s">
        <v>47</v>
      </c>
      <c r="H961" s="6" t="s">
        <v>48</v>
      </c>
      <c r="I961" s="1" t="n">
        <v>1</v>
      </c>
      <c r="J961" s="7" t="n">
        <v>13948.51</v>
      </c>
      <c r="K961" s="8" t="n">
        <v>0</v>
      </c>
      <c r="L961" s="7" t="n">
        <v>8980.68</v>
      </c>
      <c r="M961" s="6" t="s">
        <v>49</v>
      </c>
      <c r="N961" s="6" t="s">
        <v>67</v>
      </c>
      <c r="O961" s="6" t="n">
        <f aca="false">IF(TablaVentas[[#This Row],[Precio_unitario]]="","PENDIENTE",TablaVentas[[#This Row],[Unidades]]*TablaVentas[[#This Row],[Precio_unitario]]*(1-TablaVentas[[#This Row],[Descuento_pct]]))</f>
        <v>13948.51</v>
      </c>
      <c r="P961" s="6" t="n">
        <f aca="false">IF(TablaVentas[[#This Row],[Costo_unitario]]="","PENDIENTE",TablaVentas[[#This Row],[Unidades]]*TablaVentas[[#This Row],[Costo_unitario]])</f>
        <v>8980.68</v>
      </c>
      <c r="Q961" s="6" t="n">
        <f aca="false">IF(OR(TablaVentas[[#This Row],[Ingreso_neto]]="PENDIENTE",TablaVentas[[#This Row],[Costo_total]]="PENDIENTE"),"PENDIENTE",TablaVentas[[#This Row],[Ingreso_neto]]-TablaVentas[[#This Row],[Costo_total]])</f>
        <v>4967.83</v>
      </c>
    </row>
    <row r="962" customFormat="false" ht="13.5" hidden="false" customHeight="false" outlineLevel="0" collapsed="false">
      <c r="A962" s="1" t="s">
        <v>770</v>
      </c>
      <c r="B962" s="1" t="n">
        <v>1</v>
      </c>
      <c r="C962" s="5" t="n">
        <v>46148</v>
      </c>
      <c r="D962" s="6" t="s">
        <v>326</v>
      </c>
      <c r="E962" s="6" t="s">
        <v>96</v>
      </c>
      <c r="F962" s="6" t="s">
        <v>73</v>
      </c>
      <c r="G962" s="6" t="s">
        <v>57</v>
      </c>
      <c r="H962" s="6" t="s">
        <v>58</v>
      </c>
      <c r="I962" s="1" t="n">
        <v>12</v>
      </c>
      <c r="J962" s="7" t="n">
        <v>11135.26</v>
      </c>
      <c r="K962" s="8" t="n">
        <v>0</v>
      </c>
      <c r="L962" s="7" t="n">
        <v>9118.07</v>
      </c>
      <c r="M962" s="6" t="s">
        <v>49</v>
      </c>
      <c r="N962" s="6" t="s">
        <v>52</v>
      </c>
      <c r="O962" s="6" t="n">
        <f aca="false">IF(TablaVentas[[#This Row],[Precio_unitario]]="","PENDIENTE",TablaVentas[[#This Row],[Unidades]]*TablaVentas[[#This Row],[Precio_unitario]]*(1-TablaVentas[[#This Row],[Descuento_pct]]))</f>
        <v>133623.12</v>
      </c>
      <c r="P962" s="6" t="n">
        <f aca="false">IF(TablaVentas[[#This Row],[Costo_unitario]]="","PENDIENTE",TablaVentas[[#This Row],[Unidades]]*TablaVentas[[#This Row],[Costo_unitario]])</f>
        <v>109416.84</v>
      </c>
      <c r="Q962" s="6" t="n">
        <f aca="false">IF(OR(TablaVentas[[#This Row],[Ingreso_neto]]="PENDIENTE",TablaVentas[[#This Row],[Costo_total]]="PENDIENTE"),"PENDIENTE",TablaVentas[[#This Row],[Ingreso_neto]]-TablaVentas[[#This Row],[Costo_total]])</f>
        <v>24206.28</v>
      </c>
    </row>
    <row r="963" customFormat="false" ht="13.5" hidden="false" customHeight="false" outlineLevel="0" collapsed="false">
      <c r="A963" s="1" t="s">
        <v>770</v>
      </c>
      <c r="B963" s="1" t="n">
        <v>2</v>
      </c>
      <c r="C963" s="5" t="n">
        <v>46148</v>
      </c>
      <c r="D963" s="6" t="s">
        <v>326</v>
      </c>
      <c r="E963" s="6" t="s">
        <v>88</v>
      </c>
      <c r="F963" s="6" t="s">
        <v>73</v>
      </c>
      <c r="G963" s="6" t="s">
        <v>57</v>
      </c>
      <c r="H963" s="6" t="s">
        <v>58</v>
      </c>
      <c r="I963" s="1" t="n">
        <v>3</v>
      </c>
      <c r="J963" s="7" t="n">
        <v>15541.04</v>
      </c>
      <c r="K963" s="8" t="n">
        <v>0.2</v>
      </c>
      <c r="L963" s="7" t="n">
        <v>11614.87</v>
      </c>
      <c r="M963" s="6" t="s">
        <v>49</v>
      </c>
      <c r="N963" s="6" t="s">
        <v>59</v>
      </c>
      <c r="O963" s="6" t="n">
        <f aca="false">IF(TablaVentas[[#This Row],[Precio_unitario]]="","PENDIENTE",TablaVentas[[#This Row],[Unidades]]*TablaVentas[[#This Row],[Precio_unitario]]*(1-TablaVentas[[#This Row],[Descuento_pct]]))</f>
        <v>37298.496</v>
      </c>
      <c r="P963" s="6" t="n">
        <f aca="false">IF(TablaVentas[[#This Row],[Costo_unitario]]="","PENDIENTE",TablaVentas[[#This Row],[Unidades]]*TablaVentas[[#This Row],[Costo_unitario]])</f>
        <v>34844.61</v>
      </c>
      <c r="Q963" s="6" t="n">
        <f aca="false">IF(OR(TablaVentas[[#This Row],[Ingreso_neto]]="PENDIENTE",TablaVentas[[#This Row],[Costo_total]]="PENDIENTE"),"PENDIENTE",TablaVentas[[#This Row],[Ingreso_neto]]-TablaVentas[[#This Row],[Costo_total]])</f>
        <v>2453.88600000001</v>
      </c>
    </row>
    <row r="964" customFormat="false" ht="13.5" hidden="false" customHeight="false" outlineLevel="0" collapsed="false">
      <c r="A964" s="1" t="s">
        <v>770</v>
      </c>
      <c r="B964" s="1" t="n">
        <v>3</v>
      </c>
      <c r="C964" s="5" t="n">
        <v>46148</v>
      </c>
      <c r="D964" s="6" t="s">
        <v>326</v>
      </c>
      <c r="E964" s="6" t="s">
        <v>116</v>
      </c>
      <c r="F964" s="6" t="s">
        <v>73</v>
      </c>
      <c r="G964" s="6" t="s">
        <v>57</v>
      </c>
      <c r="H964" s="6" t="s">
        <v>58</v>
      </c>
      <c r="I964" s="1" t="n">
        <v>2</v>
      </c>
      <c r="J964" s="7" t="n">
        <v>14843.67</v>
      </c>
      <c r="K964" s="8" t="n">
        <v>0</v>
      </c>
      <c r="L964" s="7" t="n">
        <v>9880.77</v>
      </c>
      <c r="M964" s="6" t="s">
        <v>49</v>
      </c>
      <c r="N964" s="6" t="s">
        <v>50</v>
      </c>
      <c r="O964" s="6" t="n">
        <f aca="false">IF(TablaVentas[[#This Row],[Precio_unitario]]="","PENDIENTE",TablaVentas[[#This Row],[Unidades]]*TablaVentas[[#This Row],[Precio_unitario]]*(1-TablaVentas[[#This Row],[Descuento_pct]]))</f>
        <v>29687.34</v>
      </c>
      <c r="P964" s="6" t="n">
        <f aca="false">IF(TablaVentas[[#This Row],[Costo_unitario]]="","PENDIENTE",TablaVentas[[#This Row],[Unidades]]*TablaVentas[[#This Row],[Costo_unitario]])</f>
        <v>19761.54</v>
      </c>
      <c r="Q964" s="6" t="n">
        <f aca="false">IF(OR(TablaVentas[[#This Row],[Ingreso_neto]]="PENDIENTE",TablaVentas[[#This Row],[Costo_total]]="PENDIENTE"),"PENDIENTE",TablaVentas[[#This Row],[Ingreso_neto]]-TablaVentas[[#This Row],[Costo_total]])</f>
        <v>9925.8</v>
      </c>
    </row>
    <row r="965" customFormat="false" ht="13.5" hidden="false" customHeight="false" outlineLevel="0" collapsed="false">
      <c r="A965" s="1" t="s">
        <v>771</v>
      </c>
      <c r="B965" s="1" t="n">
        <v>1</v>
      </c>
      <c r="C965" s="5" t="n">
        <v>46256</v>
      </c>
      <c r="D965" s="6" t="s">
        <v>525</v>
      </c>
      <c r="E965" s="6" t="s">
        <v>85</v>
      </c>
      <c r="F965" s="6" t="s">
        <v>84</v>
      </c>
      <c r="G965" s="6" t="s">
        <v>57</v>
      </c>
      <c r="H965" s="6" t="s">
        <v>65</v>
      </c>
      <c r="I965" s="1" t="n">
        <v>1</v>
      </c>
      <c r="J965" s="7" t="n">
        <v>9038.01</v>
      </c>
      <c r="K965" s="8" t="n">
        <v>0.15</v>
      </c>
      <c r="L965" s="7" t="n">
        <v>5033.47</v>
      </c>
      <c r="M965" s="6" t="s">
        <v>49</v>
      </c>
      <c r="N965" s="6" t="s">
        <v>67</v>
      </c>
      <c r="O965" s="6" t="n">
        <f aca="false">IF(TablaVentas[[#This Row],[Precio_unitario]]="","PENDIENTE",TablaVentas[[#This Row],[Unidades]]*TablaVentas[[#This Row],[Precio_unitario]]*(1-TablaVentas[[#This Row],[Descuento_pct]]))</f>
        <v>7682.3085</v>
      </c>
      <c r="P965" s="6" t="n">
        <f aca="false">IF(TablaVentas[[#This Row],[Costo_unitario]]="","PENDIENTE",TablaVentas[[#This Row],[Unidades]]*TablaVentas[[#This Row],[Costo_unitario]])</f>
        <v>5033.47</v>
      </c>
      <c r="Q965" s="6" t="n">
        <f aca="false">IF(OR(TablaVentas[[#This Row],[Ingreso_neto]]="PENDIENTE",TablaVentas[[#This Row],[Costo_total]]="PENDIENTE"),"PENDIENTE",TablaVentas[[#This Row],[Ingreso_neto]]-TablaVentas[[#This Row],[Costo_total]])</f>
        <v>2648.8385</v>
      </c>
    </row>
    <row r="966" customFormat="false" ht="13.5" hidden="false" customHeight="false" outlineLevel="0" collapsed="false">
      <c r="A966" s="1" t="s">
        <v>771</v>
      </c>
      <c r="B966" s="1" t="n">
        <v>2</v>
      </c>
      <c r="C966" s="5" t="n">
        <v>46256</v>
      </c>
      <c r="D966" s="6" t="s">
        <v>525</v>
      </c>
      <c r="E966" s="6" t="s">
        <v>252</v>
      </c>
      <c r="F966" s="6" t="s">
        <v>84</v>
      </c>
      <c r="G966" s="6" t="s">
        <v>57</v>
      </c>
      <c r="H966" s="6" t="s">
        <v>65</v>
      </c>
      <c r="I966" s="1" t="n">
        <v>1</v>
      </c>
      <c r="J966" s="7" t="n">
        <v>18219.21</v>
      </c>
      <c r="K966" s="8" t="n">
        <v>0</v>
      </c>
      <c r="L966" s="7" t="n">
        <v>10507.24</v>
      </c>
      <c r="M966" s="6" t="s">
        <v>49</v>
      </c>
      <c r="N966" s="6" t="s">
        <v>59</v>
      </c>
      <c r="O966" s="6" t="n">
        <f aca="false">IF(TablaVentas[[#This Row],[Precio_unitario]]="","PENDIENTE",TablaVentas[[#This Row],[Unidades]]*TablaVentas[[#This Row],[Precio_unitario]]*(1-TablaVentas[[#This Row],[Descuento_pct]]))</f>
        <v>18219.21</v>
      </c>
      <c r="P966" s="6" t="n">
        <f aca="false">IF(TablaVentas[[#This Row],[Costo_unitario]]="","PENDIENTE",TablaVentas[[#This Row],[Unidades]]*TablaVentas[[#This Row],[Costo_unitario]])</f>
        <v>10507.24</v>
      </c>
      <c r="Q966" s="6" t="n">
        <f aca="false">IF(OR(TablaVentas[[#This Row],[Ingreso_neto]]="PENDIENTE",TablaVentas[[#This Row],[Costo_total]]="PENDIENTE"),"PENDIENTE",TablaVentas[[#This Row],[Ingreso_neto]]-TablaVentas[[#This Row],[Costo_total]])</f>
        <v>7711.97</v>
      </c>
    </row>
    <row r="967" customFormat="false" ht="13.5" hidden="false" customHeight="false" outlineLevel="0" collapsed="false">
      <c r="A967" s="1" t="s">
        <v>771</v>
      </c>
      <c r="B967" s="1" t="n">
        <v>3</v>
      </c>
      <c r="C967" s="5" t="n">
        <v>46256</v>
      </c>
      <c r="D967" s="6" t="s">
        <v>525</v>
      </c>
      <c r="E967" s="6" t="s">
        <v>76</v>
      </c>
      <c r="F967" s="6" t="s">
        <v>84</v>
      </c>
      <c r="G967" s="6" t="s">
        <v>57</v>
      </c>
      <c r="H967" s="6" t="s">
        <v>65</v>
      </c>
      <c r="I967" s="1" t="n">
        <v>1</v>
      </c>
      <c r="J967" s="7" t="n">
        <v>12572.08</v>
      </c>
      <c r="K967" s="8" t="n">
        <v>0</v>
      </c>
      <c r="L967" s="7" t="n">
        <v>10094.26</v>
      </c>
      <c r="M967" s="6" t="s">
        <v>123</v>
      </c>
      <c r="N967" s="6" t="s">
        <v>67</v>
      </c>
      <c r="O967" s="6" t="n">
        <f aca="false">IF(TablaVentas[[#This Row],[Precio_unitario]]="","PENDIENTE",TablaVentas[[#This Row],[Unidades]]*TablaVentas[[#This Row],[Precio_unitario]]*(1-TablaVentas[[#This Row],[Descuento_pct]]))</f>
        <v>12572.08</v>
      </c>
      <c r="P967" s="6" t="n">
        <f aca="false">IF(TablaVentas[[#This Row],[Costo_unitario]]="","PENDIENTE",TablaVentas[[#This Row],[Unidades]]*TablaVentas[[#This Row],[Costo_unitario]])</f>
        <v>10094.26</v>
      </c>
      <c r="Q967" s="6" t="n">
        <f aca="false">IF(OR(TablaVentas[[#This Row],[Ingreso_neto]]="PENDIENTE",TablaVentas[[#This Row],[Costo_total]]="PENDIENTE"),"PENDIENTE",TablaVentas[[#This Row],[Ingreso_neto]]-TablaVentas[[#This Row],[Costo_total]])</f>
        <v>2477.82</v>
      </c>
    </row>
    <row r="968" customFormat="false" ht="13.5" hidden="false" customHeight="false" outlineLevel="0" collapsed="false">
      <c r="A968" s="1" t="s">
        <v>772</v>
      </c>
      <c r="B968" s="1" t="n">
        <v>1</v>
      </c>
      <c r="C968" s="5" t="n">
        <v>46118</v>
      </c>
      <c r="D968" s="6" t="s">
        <v>773</v>
      </c>
      <c r="E968" s="6" t="s">
        <v>97</v>
      </c>
      <c r="F968" s="6" t="s">
        <v>73</v>
      </c>
      <c r="G968" s="6" t="s">
        <v>64</v>
      </c>
      <c r="H968" s="6" t="s">
        <v>131</v>
      </c>
      <c r="I968" s="1" t="n">
        <v>1</v>
      </c>
      <c r="J968" s="7" t="n">
        <v>10354.84</v>
      </c>
      <c r="K968" s="8" t="n">
        <v>0.05</v>
      </c>
      <c r="L968" s="7" t="n">
        <v>8174.87</v>
      </c>
      <c r="M968" s="6" t="s">
        <v>49</v>
      </c>
      <c r="N968" s="6" t="s">
        <v>59</v>
      </c>
      <c r="O968" s="6" t="n">
        <f aca="false">IF(TablaVentas[[#This Row],[Precio_unitario]]="","PENDIENTE",TablaVentas[[#This Row],[Unidades]]*TablaVentas[[#This Row],[Precio_unitario]]*(1-TablaVentas[[#This Row],[Descuento_pct]]))</f>
        <v>9837.098</v>
      </c>
      <c r="P968" s="6" t="n">
        <f aca="false">IF(TablaVentas[[#This Row],[Costo_unitario]]="","PENDIENTE",TablaVentas[[#This Row],[Unidades]]*TablaVentas[[#This Row],[Costo_unitario]])</f>
        <v>8174.87</v>
      </c>
      <c r="Q968" s="6" t="n">
        <f aca="false">IF(OR(TablaVentas[[#This Row],[Ingreso_neto]]="PENDIENTE",TablaVentas[[#This Row],[Costo_total]]="PENDIENTE"),"PENDIENTE",TablaVentas[[#This Row],[Ingreso_neto]]-TablaVentas[[#This Row],[Costo_total]])</f>
        <v>1662.228</v>
      </c>
    </row>
    <row r="969" customFormat="false" ht="13.5" hidden="false" customHeight="false" outlineLevel="0" collapsed="false">
      <c r="A969" s="1" t="s">
        <v>772</v>
      </c>
      <c r="B969" s="1" t="n">
        <v>2</v>
      </c>
      <c r="C969" s="5" t="n">
        <v>46118</v>
      </c>
      <c r="D969" s="6" t="s">
        <v>773</v>
      </c>
      <c r="E969" s="6" t="s">
        <v>113</v>
      </c>
      <c r="F969" s="6" t="s">
        <v>73</v>
      </c>
      <c r="G969" s="6" t="s">
        <v>64</v>
      </c>
      <c r="H969" s="6" t="s">
        <v>131</v>
      </c>
      <c r="I969" s="1" t="n">
        <v>1</v>
      </c>
      <c r="J969" s="7" t="n">
        <v>9931.07</v>
      </c>
      <c r="K969" s="8" t="n">
        <v>0</v>
      </c>
      <c r="L969" s="7" t="n">
        <v>8276.74</v>
      </c>
      <c r="M969" s="6" t="s">
        <v>49</v>
      </c>
      <c r="N969" s="6" t="s">
        <v>67</v>
      </c>
      <c r="O969" s="6" t="n">
        <f aca="false">IF(TablaVentas[[#This Row],[Precio_unitario]]="","PENDIENTE",TablaVentas[[#This Row],[Unidades]]*TablaVentas[[#This Row],[Precio_unitario]]*(1-TablaVentas[[#This Row],[Descuento_pct]]))</f>
        <v>9931.07</v>
      </c>
      <c r="P969" s="6" t="n">
        <f aca="false">IF(TablaVentas[[#This Row],[Costo_unitario]]="","PENDIENTE",TablaVentas[[#This Row],[Unidades]]*TablaVentas[[#This Row],[Costo_unitario]])</f>
        <v>8276.74</v>
      </c>
      <c r="Q969" s="6" t="n">
        <f aca="false">IF(OR(TablaVentas[[#This Row],[Ingreso_neto]]="PENDIENTE",TablaVentas[[#This Row],[Costo_total]]="PENDIENTE"),"PENDIENTE",TablaVentas[[#This Row],[Ingreso_neto]]-TablaVentas[[#This Row],[Costo_total]])</f>
        <v>1654.33</v>
      </c>
    </row>
    <row r="970" customFormat="false" ht="13.5" hidden="false" customHeight="false" outlineLevel="0" collapsed="false">
      <c r="A970" s="1" t="s">
        <v>774</v>
      </c>
      <c r="B970" s="1" t="n">
        <v>1</v>
      </c>
      <c r="C970" s="5" t="n">
        <v>46188</v>
      </c>
      <c r="D970" s="6" t="s">
        <v>186</v>
      </c>
      <c r="E970" s="6" t="s">
        <v>51</v>
      </c>
      <c r="F970" s="6" t="s">
        <v>73</v>
      </c>
      <c r="G970" s="6" t="s">
        <v>57</v>
      </c>
      <c r="H970" s="6" t="s">
        <v>136</v>
      </c>
      <c r="I970" s="1" t="n">
        <v>2</v>
      </c>
      <c r="J970" s="7" t="n">
        <v>13178.69</v>
      </c>
      <c r="K970" s="8" t="n">
        <v>0</v>
      </c>
      <c r="L970" s="7" t="n">
        <v>8980.68</v>
      </c>
      <c r="M970" s="6" t="s">
        <v>49</v>
      </c>
      <c r="N970" s="6" t="s">
        <v>59</v>
      </c>
      <c r="O970" s="6" t="n">
        <f aca="false">IF(TablaVentas[[#This Row],[Precio_unitario]]="","PENDIENTE",TablaVentas[[#This Row],[Unidades]]*TablaVentas[[#This Row],[Precio_unitario]]*(1-TablaVentas[[#This Row],[Descuento_pct]]))</f>
        <v>26357.38</v>
      </c>
      <c r="P970" s="6" t="n">
        <f aca="false">IF(TablaVentas[[#This Row],[Costo_unitario]]="","PENDIENTE",TablaVentas[[#This Row],[Unidades]]*TablaVentas[[#This Row],[Costo_unitario]])</f>
        <v>17961.36</v>
      </c>
      <c r="Q970" s="6" t="n">
        <f aca="false">IF(OR(TablaVentas[[#This Row],[Ingreso_neto]]="PENDIENTE",TablaVentas[[#This Row],[Costo_total]]="PENDIENTE"),"PENDIENTE",TablaVentas[[#This Row],[Ingreso_neto]]-TablaVentas[[#This Row],[Costo_total]])</f>
        <v>8396.02</v>
      </c>
    </row>
    <row r="971" customFormat="false" ht="13.5" hidden="false" customHeight="false" outlineLevel="0" collapsed="false">
      <c r="A971" s="1" t="s">
        <v>774</v>
      </c>
      <c r="B971" s="1" t="n">
        <v>2</v>
      </c>
      <c r="C971" s="5" t="n">
        <v>46188</v>
      </c>
      <c r="D971" s="6" t="s">
        <v>186</v>
      </c>
      <c r="E971" s="6" t="s">
        <v>142</v>
      </c>
      <c r="F971" s="6" t="s">
        <v>73</v>
      </c>
      <c r="G971" s="6" t="s">
        <v>57</v>
      </c>
      <c r="H971" s="6" t="s">
        <v>136</v>
      </c>
      <c r="I971" s="1" t="n">
        <v>1</v>
      </c>
      <c r="J971" s="7" t="n">
        <v>1970.52</v>
      </c>
      <c r="K971" s="8" t="n">
        <v>0</v>
      </c>
      <c r="L971" s="7" t="n">
        <v>1529.93</v>
      </c>
      <c r="M971" s="6" t="s">
        <v>49</v>
      </c>
      <c r="N971" s="6" t="s">
        <v>50</v>
      </c>
      <c r="O971" s="6" t="n">
        <f aca="false">IF(TablaVentas[[#This Row],[Precio_unitario]]="","PENDIENTE",TablaVentas[[#This Row],[Unidades]]*TablaVentas[[#This Row],[Precio_unitario]]*(1-TablaVentas[[#This Row],[Descuento_pct]]))</f>
        <v>1970.52</v>
      </c>
      <c r="P971" s="6" t="n">
        <f aca="false">IF(TablaVentas[[#This Row],[Costo_unitario]]="","PENDIENTE",TablaVentas[[#This Row],[Unidades]]*TablaVentas[[#This Row],[Costo_unitario]])</f>
        <v>1529.93</v>
      </c>
      <c r="Q971" s="6" t="n">
        <f aca="false">IF(OR(TablaVentas[[#This Row],[Ingreso_neto]]="PENDIENTE",TablaVentas[[#This Row],[Costo_total]]="PENDIENTE"),"PENDIENTE",TablaVentas[[#This Row],[Ingreso_neto]]-TablaVentas[[#This Row],[Costo_total]])</f>
        <v>440.59</v>
      </c>
    </row>
    <row r="972" customFormat="false" ht="13.5" hidden="false" customHeight="false" outlineLevel="0" collapsed="false">
      <c r="A972" s="1" t="s">
        <v>775</v>
      </c>
      <c r="B972" s="1" t="n">
        <v>1</v>
      </c>
      <c r="C972" s="5" t="n">
        <v>46241</v>
      </c>
      <c r="D972" s="6" t="s">
        <v>499</v>
      </c>
      <c r="E972" s="6" t="s">
        <v>130</v>
      </c>
      <c r="F972" s="6" t="s">
        <v>84</v>
      </c>
      <c r="G972" s="6" t="s">
        <v>64</v>
      </c>
      <c r="H972" s="6" t="s">
        <v>48</v>
      </c>
      <c r="I972" s="1" t="n">
        <v>8</v>
      </c>
      <c r="J972" s="7" t="n">
        <v>16179.91</v>
      </c>
      <c r="K972" s="8" t="n">
        <v>0.15</v>
      </c>
      <c r="L972" s="7" t="n">
        <v>12679.41</v>
      </c>
      <c r="M972" s="6" t="s">
        <v>49</v>
      </c>
      <c r="N972" s="6" t="s">
        <v>52</v>
      </c>
      <c r="O972" s="6" t="n">
        <f aca="false">IF(TablaVentas[[#This Row],[Precio_unitario]]="","PENDIENTE",TablaVentas[[#This Row],[Unidades]]*TablaVentas[[#This Row],[Precio_unitario]]*(1-TablaVentas[[#This Row],[Descuento_pct]]))</f>
        <v>110023.388</v>
      </c>
      <c r="P972" s="6" t="n">
        <f aca="false">IF(TablaVentas[[#This Row],[Costo_unitario]]="","PENDIENTE",TablaVentas[[#This Row],[Unidades]]*TablaVentas[[#This Row],[Costo_unitario]])</f>
        <v>101435.28</v>
      </c>
      <c r="Q972" s="6" t="n">
        <f aca="false">IF(OR(TablaVentas[[#This Row],[Ingreso_neto]]="PENDIENTE",TablaVentas[[#This Row],[Costo_total]]="PENDIENTE"),"PENDIENTE",TablaVentas[[#This Row],[Ingreso_neto]]-TablaVentas[[#This Row],[Costo_total]])</f>
        <v>8588.10799999999</v>
      </c>
    </row>
    <row r="973" customFormat="false" ht="13.5" hidden="false" customHeight="false" outlineLevel="0" collapsed="false">
      <c r="A973" s="1" t="s">
        <v>775</v>
      </c>
      <c r="B973" s="1" t="n">
        <v>2</v>
      </c>
      <c r="C973" s="5" t="n">
        <v>46241</v>
      </c>
      <c r="D973" s="6" t="s">
        <v>499</v>
      </c>
      <c r="E973" s="6" t="s">
        <v>230</v>
      </c>
      <c r="F973" s="6" t="s">
        <v>84</v>
      </c>
      <c r="G973" s="6" t="s">
        <v>64</v>
      </c>
      <c r="H973" s="6" t="s">
        <v>48</v>
      </c>
      <c r="I973" s="1" t="n">
        <v>12</v>
      </c>
      <c r="J973" s="7" t="n">
        <v>6659.96</v>
      </c>
      <c r="K973" s="8" t="n">
        <v>0</v>
      </c>
      <c r="L973" s="7" t="n">
        <v>3298.19</v>
      </c>
      <c r="M973" s="6" t="s">
        <v>49</v>
      </c>
      <c r="N973" s="6" t="s">
        <v>67</v>
      </c>
      <c r="O973" s="6" t="n">
        <f aca="false">IF(TablaVentas[[#This Row],[Precio_unitario]]="","PENDIENTE",TablaVentas[[#This Row],[Unidades]]*TablaVentas[[#This Row],[Precio_unitario]]*(1-TablaVentas[[#This Row],[Descuento_pct]]))</f>
        <v>79919.52</v>
      </c>
      <c r="P973" s="6" t="n">
        <f aca="false">IF(TablaVentas[[#This Row],[Costo_unitario]]="","PENDIENTE",TablaVentas[[#This Row],[Unidades]]*TablaVentas[[#This Row],[Costo_unitario]])</f>
        <v>39578.28</v>
      </c>
      <c r="Q973" s="6" t="n">
        <f aca="false">IF(OR(TablaVentas[[#This Row],[Ingreso_neto]]="PENDIENTE",TablaVentas[[#This Row],[Costo_total]]="PENDIENTE"),"PENDIENTE",TablaVentas[[#This Row],[Ingreso_neto]]-TablaVentas[[#This Row],[Costo_total]])</f>
        <v>40341.24</v>
      </c>
    </row>
    <row r="974" customFormat="false" ht="13.5" hidden="false" customHeight="false" outlineLevel="0" collapsed="false">
      <c r="A974" s="1" t="s">
        <v>776</v>
      </c>
      <c r="B974" s="1" t="n">
        <v>1</v>
      </c>
      <c r="C974" s="5" t="n">
        <v>46031</v>
      </c>
      <c r="D974" s="6" t="s">
        <v>777</v>
      </c>
      <c r="E974" s="6" t="s">
        <v>132</v>
      </c>
      <c r="F974" s="6" t="s">
        <v>46</v>
      </c>
      <c r="G974" s="6" t="s">
        <v>47</v>
      </c>
      <c r="H974" s="6" t="s">
        <v>89</v>
      </c>
      <c r="I974" s="1" t="n">
        <v>1</v>
      </c>
      <c r="J974" s="7" t="n">
        <v>1752.21</v>
      </c>
      <c r="K974" s="8" t="n">
        <v>0</v>
      </c>
      <c r="L974" s="7" t="n">
        <v>1044.32</v>
      </c>
      <c r="M974" s="6" t="s">
        <v>49</v>
      </c>
      <c r="N974" s="6" t="s">
        <v>67</v>
      </c>
      <c r="O974" s="6" t="n">
        <f aca="false">IF(TablaVentas[[#This Row],[Precio_unitario]]="","PENDIENTE",TablaVentas[[#This Row],[Unidades]]*TablaVentas[[#This Row],[Precio_unitario]]*(1-TablaVentas[[#This Row],[Descuento_pct]]))</f>
        <v>1752.21</v>
      </c>
      <c r="P974" s="6" t="n">
        <f aca="false">IF(TablaVentas[[#This Row],[Costo_unitario]]="","PENDIENTE",TablaVentas[[#This Row],[Unidades]]*TablaVentas[[#This Row],[Costo_unitario]])</f>
        <v>1044.32</v>
      </c>
      <c r="Q974" s="6" t="n">
        <f aca="false">IF(OR(TablaVentas[[#This Row],[Ingreso_neto]]="PENDIENTE",TablaVentas[[#This Row],[Costo_total]]="PENDIENTE"),"PENDIENTE",TablaVentas[[#This Row],[Ingreso_neto]]-TablaVentas[[#This Row],[Costo_total]])</f>
        <v>707.89</v>
      </c>
    </row>
    <row r="975" customFormat="false" ht="13.5" hidden="false" customHeight="false" outlineLevel="0" collapsed="false">
      <c r="A975" s="1" t="s">
        <v>776</v>
      </c>
      <c r="B975" s="1" t="n">
        <v>2</v>
      </c>
      <c r="C975" s="5" t="n">
        <v>46031</v>
      </c>
      <c r="D975" s="6" t="s">
        <v>777</v>
      </c>
      <c r="E975" s="6" t="s">
        <v>126</v>
      </c>
      <c r="F975" s="6" t="s">
        <v>46</v>
      </c>
      <c r="G975" s="6" t="s">
        <v>47</v>
      </c>
      <c r="H975" s="6" t="s">
        <v>89</v>
      </c>
      <c r="I975" s="1" t="n">
        <v>1</v>
      </c>
      <c r="J975" s="7" t="n">
        <v>8974.43</v>
      </c>
      <c r="K975" s="8" t="n">
        <v>0.05</v>
      </c>
      <c r="L975" s="7" t="n">
        <v>6981.94</v>
      </c>
      <c r="M975" s="6" t="s">
        <v>123</v>
      </c>
      <c r="N975" s="6" t="s">
        <v>59</v>
      </c>
      <c r="O975" s="6" t="n">
        <f aca="false">IF(TablaVentas[[#This Row],[Precio_unitario]]="","PENDIENTE",TablaVentas[[#This Row],[Unidades]]*TablaVentas[[#This Row],[Precio_unitario]]*(1-TablaVentas[[#This Row],[Descuento_pct]]))</f>
        <v>8525.7085</v>
      </c>
      <c r="P975" s="6" t="n">
        <f aca="false">IF(TablaVentas[[#This Row],[Costo_unitario]]="","PENDIENTE",TablaVentas[[#This Row],[Unidades]]*TablaVentas[[#This Row],[Costo_unitario]])</f>
        <v>6981.94</v>
      </c>
      <c r="Q975" s="6" t="n">
        <f aca="false">IF(OR(TablaVentas[[#This Row],[Ingreso_neto]]="PENDIENTE",TablaVentas[[#This Row],[Costo_total]]="PENDIENTE"),"PENDIENTE",TablaVentas[[#This Row],[Ingreso_neto]]-TablaVentas[[#This Row],[Costo_total]])</f>
        <v>1543.7685</v>
      </c>
    </row>
    <row r="976" customFormat="false" ht="13.5" hidden="false" customHeight="false" outlineLevel="0" collapsed="false">
      <c r="A976" s="1" t="s">
        <v>776</v>
      </c>
      <c r="B976" s="1" t="n">
        <v>3</v>
      </c>
      <c r="C976" s="5" t="n">
        <v>46031</v>
      </c>
      <c r="D976" s="6" t="s">
        <v>777</v>
      </c>
      <c r="E976" s="6" t="s">
        <v>328</v>
      </c>
      <c r="F976" s="6" t="s">
        <v>46</v>
      </c>
      <c r="G976" s="6" t="s">
        <v>47</v>
      </c>
      <c r="H976" s="6" t="s">
        <v>89</v>
      </c>
      <c r="I976" s="1" t="n">
        <v>1</v>
      </c>
      <c r="J976" s="7" t="n">
        <v>1275.13</v>
      </c>
      <c r="K976" s="8" t="n">
        <v>0.1</v>
      </c>
      <c r="L976" s="7" t="n">
        <v>679.37</v>
      </c>
      <c r="M976" s="6" t="s">
        <v>49</v>
      </c>
      <c r="N976" s="6" t="s">
        <v>50</v>
      </c>
      <c r="O976" s="6" t="n">
        <f aca="false">IF(TablaVentas[[#This Row],[Precio_unitario]]="","PENDIENTE",TablaVentas[[#This Row],[Unidades]]*TablaVentas[[#This Row],[Precio_unitario]]*(1-TablaVentas[[#This Row],[Descuento_pct]]))</f>
        <v>1147.617</v>
      </c>
      <c r="P976" s="6" t="n">
        <f aca="false">IF(TablaVentas[[#This Row],[Costo_unitario]]="","PENDIENTE",TablaVentas[[#This Row],[Unidades]]*TablaVentas[[#This Row],[Costo_unitario]])</f>
        <v>679.37</v>
      </c>
      <c r="Q976" s="6" t="n">
        <f aca="false">IF(OR(TablaVentas[[#This Row],[Ingreso_neto]]="PENDIENTE",TablaVentas[[#This Row],[Costo_total]]="PENDIENTE"),"PENDIENTE",TablaVentas[[#This Row],[Ingreso_neto]]-TablaVentas[[#This Row],[Costo_total]])</f>
        <v>468.247</v>
      </c>
    </row>
    <row r="977" customFormat="false" ht="13.5" hidden="false" customHeight="false" outlineLevel="0" collapsed="false">
      <c r="A977" s="1" t="s">
        <v>778</v>
      </c>
      <c r="B977" s="1" t="n">
        <v>1</v>
      </c>
      <c r="C977" s="5" t="n">
        <v>46094</v>
      </c>
      <c r="D977" s="6" t="s">
        <v>779</v>
      </c>
      <c r="E977" s="6" t="s">
        <v>130</v>
      </c>
      <c r="F977" s="6" t="s">
        <v>63</v>
      </c>
      <c r="G977" s="6" t="s">
        <v>57</v>
      </c>
      <c r="H977" s="6" t="s">
        <v>89</v>
      </c>
      <c r="I977" s="1" t="n">
        <v>1</v>
      </c>
      <c r="J977" s="7" t="n">
        <v>17164.97</v>
      </c>
      <c r="K977" s="8" t="n">
        <v>0.2</v>
      </c>
      <c r="L977" s="7" t="n">
        <v>12679.41</v>
      </c>
      <c r="M977" s="6" t="s">
        <v>69</v>
      </c>
      <c r="N977" s="6" t="s">
        <v>50</v>
      </c>
      <c r="O977" s="6" t="n">
        <f aca="false">IF(TablaVentas[[#This Row],[Precio_unitario]]="","PENDIENTE",TablaVentas[[#This Row],[Unidades]]*TablaVentas[[#This Row],[Precio_unitario]]*(1-TablaVentas[[#This Row],[Descuento_pct]]))</f>
        <v>13731.976</v>
      </c>
      <c r="P977" s="6" t="n">
        <f aca="false">IF(TablaVentas[[#This Row],[Costo_unitario]]="","PENDIENTE",TablaVentas[[#This Row],[Unidades]]*TablaVentas[[#This Row],[Costo_unitario]])</f>
        <v>12679.41</v>
      </c>
      <c r="Q977" s="6" t="n">
        <f aca="false">IF(OR(TablaVentas[[#This Row],[Ingreso_neto]]="PENDIENTE",TablaVentas[[#This Row],[Costo_total]]="PENDIENTE"),"PENDIENTE",TablaVentas[[#This Row],[Ingreso_neto]]-TablaVentas[[#This Row],[Costo_total]])</f>
        <v>1052.566</v>
      </c>
    </row>
    <row r="978" customFormat="false" ht="13.5" hidden="false" customHeight="false" outlineLevel="0" collapsed="false">
      <c r="A978" s="1" t="s">
        <v>778</v>
      </c>
      <c r="B978" s="1" t="n">
        <v>2</v>
      </c>
      <c r="C978" s="5" t="n">
        <v>46094</v>
      </c>
      <c r="D978" s="6" t="s">
        <v>779</v>
      </c>
      <c r="E978" s="6" t="s">
        <v>132</v>
      </c>
      <c r="F978" s="6" t="s">
        <v>63</v>
      </c>
      <c r="G978" s="6" t="s">
        <v>57</v>
      </c>
      <c r="H978" s="6" t="s">
        <v>89</v>
      </c>
      <c r="I978" s="1" t="n">
        <v>3</v>
      </c>
      <c r="J978" s="7" t="n">
        <v>1690.56</v>
      </c>
      <c r="K978" s="8" t="n">
        <v>0</v>
      </c>
      <c r="L978" s="7" t="n">
        <v>1044.32</v>
      </c>
      <c r="M978" s="6" t="s">
        <v>49</v>
      </c>
      <c r="N978" s="6" t="s">
        <v>50</v>
      </c>
      <c r="O978" s="6" t="n">
        <f aca="false">IF(TablaVentas[[#This Row],[Precio_unitario]]="","PENDIENTE",TablaVentas[[#This Row],[Unidades]]*TablaVentas[[#This Row],[Precio_unitario]]*(1-TablaVentas[[#This Row],[Descuento_pct]]))</f>
        <v>5071.68</v>
      </c>
      <c r="P978" s="6" t="n">
        <f aca="false">IF(TablaVentas[[#This Row],[Costo_unitario]]="","PENDIENTE",TablaVentas[[#This Row],[Unidades]]*TablaVentas[[#This Row],[Costo_unitario]])</f>
        <v>3132.96</v>
      </c>
      <c r="Q978" s="6" t="n">
        <f aca="false">IF(OR(TablaVentas[[#This Row],[Ingreso_neto]]="PENDIENTE",TablaVentas[[#This Row],[Costo_total]]="PENDIENTE"),"PENDIENTE",TablaVentas[[#This Row],[Ingreso_neto]]-TablaVentas[[#This Row],[Costo_total]])</f>
        <v>1938.72</v>
      </c>
    </row>
    <row r="979" customFormat="false" ht="13.5" hidden="false" customHeight="false" outlineLevel="0" collapsed="false">
      <c r="A979" s="1" t="s">
        <v>778</v>
      </c>
      <c r="B979" s="1" t="n">
        <v>3</v>
      </c>
      <c r="C979" s="5" t="n">
        <v>46094</v>
      </c>
      <c r="D979" s="6" t="s">
        <v>779</v>
      </c>
      <c r="E979" s="6" t="s">
        <v>147</v>
      </c>
      <c r="F979" s="6" t="s">
        <v>63</v>
      </c>
      <c r="G979" s="6" t="s">
        <v>57</v>
      </c>
      <c r="H979" s="6" t="s">
        <v>89</v>
      </c>
      <c r="I979" s="1" t="n">
        <v>1</v>
      </c>
      <c r="J979" s="7" t="n">
        <v>3220.33</v>
      </c>
      <c r="K979" s="8" t="n">
        <v>0</v>
      </c>
      <c r="L979" s="7" t="n">
        <v>2427.63</v>
      </c>
      <c r="M979" s="6" t="s">
        <v>49</v>
      </c>
      <c r="N979" s="6" t="s">
        <v>67</v>
      </c>
      <c r="O979" s="6" t="n">
        <f aca="false">IF(TablaVentas[[#This Row],[Precio_unitario]]="","PENDIENTE",TablaVentas[[#This Row],[Unidades]]*TablaVentas[[#This Row],[Precio_unitario]]*(1-TablaVentas[[#This Row],[Descuento_pct]]))</f>
        <v>3220.33</v>
      </c>
      <c r="P979" s="6" t="n">
        <f aca="false">IF(TablaVentas[[#This Row],[Costo_unitario]]="","PENDIENTE",TablaVentas[[#This Row],[Unidades]]*TablaVentas[[#This Row],[Costo_unitario]])</f>
        <v>2427.63</v>
      </c>
      <c r="Q979" s="6" t="n">
        <f aca="false">IF(OR(TablaVentas[[#This Row],[Ingreso_neto]]="PENDIENTE",TablaVentas[[#This Row],[Costo_total]]="PENDIENTE"),"PENDIENTE",TablaVentas[[#This Row],[Ingreso_neto]]-TablaVentas[[#This Row],[Costo_total]])</f>
        <v>792.7</v>
      </c>
    </row>
    <row r="980" customFormat="false" ht="13.5" hidden="false" customHeight="false" outlineLevel="0" collapsed="false">
      <c r="A980" s="1" t="s">
        <v>780</v>
      </c>
      <c r="B980" s="1" t="n">
        <v>1</v>
      </c>
      <c r="C980" s="5" t="n">
        <v>46125</v>
      </c>
      <c r="D980" s="6" t="s">
        <v>620</v>
      </c>
      <c r="E980" s="6" t="s">
        <v>333</v>
      </c>
      <c r="F980" s="6" t="s">
        <v>73</v>
      </c>
      <c r="G980" s="6" t="s">
        <v>64</v>
      </c>
      <c r="H980" s="6" t="s">
        <v>65</v>
      </c>
      <c r="I980" s="1" t="n">
        <v>4</v>
      </c>
      <c r="J980" s="7" t="n">
        <v>7000.66</v>
      </c>
      <c r="K980" s="8" t="n">
        <v>0.1</v>
      </c>
      <c r="L980" s="7" t="n">
        <v>4044.16</v>
      </c>
      <c r="M980" s="6" t="s">
        <v>49</v>
      </c>
      <c r="N980" s="6" t="s">
        <v>52</v>
      </c>
      <c r="O980" s="6" t="n">
        <f aca="false">IF(TablaVentas[[#This Row],[Precio_unitario]]="","PENDIENTE",TablaVentas[[#This Row],[Unidades]]*TablaVentas[[#This Row],[Precio_unitario]]*(1-TablaVentas[[#This Row],[Descuento_pct]]))</f>
        <v>25202.376</v>
      </c>
      <c r="P980" s="6" t="n">
        <f aca="false">IF(TablaVentas[[#This Row],[Costo_unitario]]="","PENDIENTE",TablaVentas[[#This Row],[Unidades]]*TablaVentas[[#This Row],[Costo_unitario]])</f>
        <v>16176.64</v>
      </c>
      <c r="Q980" s="6" t="n">
        <f aca="false">IF(OR(TablaVentas[[#This Row],[Ingreso_neto]]="PENDIENTE",TablaVentas[[#This Row],[Costo_total]]="PENDIENTE"),"PENDIENTE",TablaVentas[[#This Row],[Ingreso_neto]]-TablaVentas[[#This Row],[Costo_total]])</f>
        <v>9025.736</v>
      </c>
    </row>
    <row r="981" customFormat="false" ht="13.5" hidden="false" customHeight="false" outlineLevel="0" collapsed="false">
      <c r="A981" s="1" t="s">
        <v>780</v>
      </c>
      <c r="B981" s="1" t="n">
        <v>2</v>
      </c>
      <c r="C981" s="5" t="n">
        <v>46125</v>
      </c>
      <c r="D981" s="6" t="s">
        <v>620</v>
      </c>
      <c r="E981" s="6" t="s">
        <v>166</v>
      </c>
      <c r="F981" s="6" t="s">
        <v>73</v>
      </c>
      <c r="G981" s="6" t="s">
        <v>64</v>
      </c>
      <c r="H981" s="6" t="s">
        <v>65</v>
      </c>
      <c r="I981" s="1" t="n">
        <v>1</v>
      </c>
      <c r="J981" s="7" t="n">
        <v>11666.46</v>
      </c>
      <c r="K981" s="8" t="n">
        <v>0.2</v>
      </c>
      <c r="L981" s="7" t="n">
        <v>9317.37</v>
      </c>
      <c r="M981" s="6" t="s">
        <v>49</v>
      </c>
      <c r="N981" s="6" t="s">
        <v>59</v>
      </c>
      <c r="O981" s="6" t="n">
        <f aca="false">IF(TablaVentas[[#This Row],[Precio_unitario]]="","PENDIENTE",TablaVentas[[#This Row],[Unidades]]*TablaVentas[[#This Row],[Precio_unitario]]*(1-TablaVentas[[#This Row],[Descuento_pct]]))</f>
        <v>9333.168</v>
      </c>
      <c r="P981" s="6" t="n">
        <f aca="false">IF(TablaVentas[[#This Row],[Costo_unitario]]="","PENDIENTE",TablaVentas[[#This Row],[Unidades]]*TablaVentas[[#This Row],[Costo_unitario]])</f>
        <v>9317.37</v>
      </c>
      <c r="Q981" s="6" t="n">
        <f aca="false">IF(OR(TablaVentas[[#This Row],[Ingreso_neto]]="PENDIENTE",TablaVentas[[#This Row],[Costo_total]]="PENDIENTE"),"PENDIENTE",TablaVentas[[#This Row],[Ingreso_neto]]-TablaVentas[[#This Row],[Costo_total]])</f>
        <v>15.7979999999989</v>
      </c>
    </row>
    <row r="982" customFormat="false" ht="13.5" hidden="false" customHeight="false" outlineLevel="0" collapsed="false">
      <c r="A982" s="1" t="s">
        <v>781</v>
      </c>
      <c r="B982" s="1" t="n">
        <v>1</v>
      </c>
      <c r="C982" s="5" t="n">
        <v>46277</v>
      </c>
      <c r="D982" s="6" t="s">
        <v>561</v>
      </c>
      <c r="E982" s="6" t="s">
        <v>203</v>
      </c>
      <c r="F982" s="6" t="s">
        <v>73</v>
      </c>
      <c r="G982" s="6" t="s">
        <v>57</v>
      </c>
      <c r="H982" s="6" t="s">
        <v>136</v>
      </c>
      <c r="I982" s="1" t="n">
        <v>1</v>
      </c>
      <c r="J982" s="7" t="n">
        <v>783.4</v>
      </c>
      <c r="K982" s="8" t="n">
        <v>0</v>
      </c>
      <c r="L982" s="7" t="n">
        <v>485.16</v>
      </c>
      <c r="M982" s="6" t="s">
        <v>49</v>
      </c>
      <c r="N982" s="6" t="s">
        <v>67</v>
      </c>
      <c r="O982" s="6" t="n">
        <f aca="false">IF(TablaVentas[[#This Row],[Precio_unitario]]="","PENDIENTE",TablaVentas[[#This Row],[Unidades]]*TablaVentas[[#This Row],[Precio_unitario]]*(1-TablaVentas[[#This Row],[Descuento_pct]]))</f>
        <v>783.4</v>
      </c>
      <c r="P982" s="6" t="n">
        <f aca="false">IF(TablaVentas[[#This Row],[Costo_unitario]]="","PENDIENTE",TablaVentas[[#This Row],[Unidades]]*TablaVentas[[#This Row],[Costo_unitario]])</f>
        <v>485.16</v>
      </c>
      <c r="Q982" s="6" t="n">
        <f aca="false">IF(OR(TablaVentas[[#This Row],[Ingreso_neto]]="PENDIENTE",TablaVentas[[#This Row],[Costo_total]]="PENDIENTE"),"PENDIENTE",TablaVentas[[#This Row],[Ingreso_neto]]-TablaVentas[[#This Row],[Costo_total]])</f>
        <v>298.24</v>
      </c>
    </row>
    <row r="983" customFormat="false" ht="13.5" hidden="false" customHeight="false" outlineLevel="0" collapsed="false">
      <c r="A983" s="1" t="s">
        <v>781</v>
      </c>
      <c r="B983" s="1" t="n">
        <v>2</v>
      </c>
      <c r="C983" s="5" t="n">
        <v>46277</v>
      </c>
      <c r="D983" s="6" t="s">
        <v>561</v>
      </c>
      <c r="E983" s="6" t="s">
        <v>120</v>
      </c>
      <c r="F983" s="6" t="s">
        <v>73</v>
      </c>
      <c r="G983" s="6" t="s">
        <v>57</v>
      </c>
      <c r="H983" s="6" t="s">
        <v>136</v>
      </c>
      <c r="I983" s="1" t="n">
        <v>1</v>
      </c>
      <c r="J983" s="7" t="n">
        <v>2811.59</v>
      </c>
      <c r="K983" s="8" t="n">
        <v>0.15</v>
      </c>
      <c r="L983" s="7" t="n">
        <v>2196.34</v>
      </c>
      <c r="M983" s="6" t="s">
        <v>49</v>
      </c>
      <c r="N983" s="6" t="s">
        <v>59</v>
      </c>
      <c r="O983" s="6" t="n">
        <f aca="false">IF(TablaVentas[[#This Row],[Precio_unitario]]="","PENDIENTE",TablaVentas[[#This Row],[Unidades]]*TablaVentas[[#This Row],[Precio_unitario]]*(1-TablaVentas[[#This Row],[Descuento_pct]]))</f>
        <v>2389.8515</v>
      </c>
      <c r="P983" s="6" t="n">
        <f aca="false">IF(TablaVentas[[#This Row],[Costo_unitario]]="","PENDIENTE",TablaVentas[[#This Row],[Unidades]]*TablaVentas[[#This Row],[Costo_unitario]])</f>
        <v>2196.34</v>
      </c>
      <c r="Q983" s="6" t="n">
        <f aca="false">IF(OR(TablaVentas[[#This Row],[Ingreso_neto]]="PENDIENTE",TablaVentas[[#This Row],[Costo_total]]="PENDIENTE"),"PENDIENTE",TablaVentas[[#This Row],[Ingreso_neto]]-TablaVentas[[#This Row],[Costo_total]])</f>
        <v>193.5115</v>
      </c>
    </row>
    <row r="984" customFormat="false" ht="13.5" hidden="false" customHeight="false" outlineLevel="0" collapsed="false">
      <c r="A984" s="1" t="s">
        <v>782</v>
      </c>
      <c r="B984" s="1" t="n">
        <v>1</v>
      </c>
      <c r="C984" s="5" t="n">
        <v>46214</v>
      </c>
      <c r="D984" s="6" t="s">
        <v>481</v>
      </c>
      <c r="E984" s="6" t="s">
        <v>75</v>
      </c>
      <c r="F984" s="6" t="s">
        <v>46</v>
      </c>
      <c r="G984" s="6" t="s">
        <v>64</v>
      </c>
      <c r="H984" s="6" t="s">
        <v>191</v>
      </c>
      <c r="I984" s="1" t="n">
        <v>4</v>
      </c>
      <c r="J984" s="7" t="n">
        <v>15942.43</v>
      </c>
      <c r="K984" s="8" t="n">
        <v>0.1</v>
      </c>
      <c r="L984" s="7" t="n">
        <v>9243.35</v>
      </c>
      <c r="M984" s="6" t="s">
        <v>123</v>
      </c>
      <c r="N984" s="6" t="s">
        <v>50</v>
      </c>
      <c r="O984" s="6" t="n">
        <f aca="false">IF(TablaVentas[[#This Row],[Precio_unitario]]="","PENDIENTE",TablaVentas[[#This Row],[Unidades]]*TablaVentas[[#This Row],[Precio_unitario]]*(1-TablaVentas[[#This Row],[Descuento_pct]]))</f>
        <v>57392.748</v>
      </c>
      <c r="P984" s="6" t="n">
        <f aca="false">IF(TablaVentas[[#This Row],[Costo_unitario]]="","PENDIENTE",TablaVentas[[#This Row],[Unidades]]*TablaVentas[[#This Row],[Costo_unitario]])</f>
        <v>36973.4</v>
      </c>
      <c r="Q984" s="6" t="n">
        <f aca="false">IF(OR(TablaVentas[[#This Row],[Ingreso_neto]]="PENDIENTE",TablaVentas[[#This Row],[Costo_total]]="PENDIENTE"),"PENDIENTE",TablaVentas[[#This Row],[Ingreso_neto]]-TablaVentas[[#This Row],[Costo_total]])</f>
        <v>20419.348</v>
      </c>
    </row>
    <row r="985" customFormat="false" ht="13.5" hidden="false" customHeight="false" outlineLevel="0" collapsed="false">
      <c r="A985" s="1" t="s">
        <v>782</v>
      </c>
      <c r="B985" s="1" t="n">
        <v>2</v>
      </c>
      <c r="C985" s="5" t="n">
        <v>46214</v>
      </c>
      <c r="D985" s="6" t="s">
        <v>481</v>
      </c>
      <c r="E985" s="6" t="s">
        <v>179</v>
      </c>
      <c r="F985" s="6" t="s">
        <v>46</v>
      </c>
      <c r="G985" s="6" t="s">
        <v>64</v>
      </c>
      <c r="H985" s="6" t="s">
        <v>191</v>
      </c>
      <c r="I985" s="1" t="n">
        <v>1</v>
      </c>
      <c r="J985" s="7" t="n">
        <v>17230.4</v>
      </c>
      <c r="K985" s="8" t="n">
        <v>0.05</v>
      </c>
      <c r="L985" s="7" t="n">
        <v>10830.17</v>
      </c>
      <c r="M985" s="6" t="s">
        <v>49</v>
      </c>
      <c r="N985" s="6" t="s">
        <v>50</v>
      </c>
      <c r="O985" s="6" t="n">
        <f aca="false">IF(TablaVentas[[#This Row],[Precio_unitario]]="","PENDIENTE",TablaVentas[[#This Row],[Unidades]]*TablaVentas[[#This Row],[Precio_unitario]]*(1-TablaVentas[[#This Row],[Descuento_pct]]))</f>
        <v>16368.88</v>
      </c>
      <c r="P985" s="6" t="n">
        <f aca="false">IF(TablaVentas[[#This Row],[Costo_unitario]]="","PENDIENTE",TablaVentas[[#This Row],[Unidades]]*TablaVentas[[#This Row],[Costo_unitario]])</f>
        <v>10830.17</v>
      </c>
      <c r="Q985" s="6" t="n">
        <f aca="false">IF(OR(TablaVentas[[#This Row],[Ingreso_neto]]="PENDIENTE",TablaVentas[[#This Row],[Costo_total]]="PENDIENTE"),"PENDIENTE",TablaVentas[[#This Row],[Ingreso_neto]]-TablaVentas[[#This Row],[Costo_total]])</f>
        <v>5538.71</v>
      </c>
    </row>
    <row r="986" customFormat="false" ht="13.5" hidden="false" customHeight="false" outlineLevel="0" collapsed="false">
      <c r="A986" s="1" t="s">
        <v>782</v>
      </c>
      <c r="B986" s="1" t="n">
        <v>3</v>
      </c>
      <c r="C986" s="5" t="n">
        <v>46214</v>
      </c>
      <c r="D986" s="6" t="s">
        <v>481</v>
      </c>
      <c r="E986" s="6" t="s">
        <v>135</v>
      </c>
      <c r="F986" s="6" t="s">
        <v>46</v>
      </c>
      <c r="G986" s="6" t="s">
        <v>64</v>
      </c>
      <c r="H986" s="6" t="s">
        <v>191</v>
      </c>
      <c r="I986" s="1" t="n">
        <v>1</v>
      </c>
      <c r="J986" s="7" t="n">
        <v>1459.26</v>
      </c>
      <c r="K986" s="8" t="n">
        <v>0</v>
      </c>
      <c r="L986" s="7" t="n">
        <v>900.08</v>
      </c>
      <c r="M986" s="6" t="s">
        <v>49</v>
      </c>
      <c r="N986" s="6" t="s">
        <v>50</v>
      </c>
      <c r="O986" s="6" t="n">
        <f aca="false">IF(TablaVentas[[#This Row],[Precio_unitario]]="","PENDIENTE",TablaVentas[[#This Row],[Unidades]]*TablaVentas[[#This Row],[Precio_unitario]]*(1-TablaVentas[[#This Row],[Descuento_pct]]))</f>
        <v>1459.26</v>
      </c>
      <c r="P986" s="6" t="n">
        <f aca="false">IF(TablaVentas[[#This Row],[Costo_unitario]]="","PENDIENTE",TablaVentas[[#This Row],[Unidades]]*TablaVentas[[#This Row],[Costo_unitario]])</f>
        <v>900.08</v>
      </c>
      <c r="Q986" s="6" t="n">
        <f aca="false">IF(OR(TablaVentas[[#This Row],[Ingreso_neto]]="PENDIENTE",TablaVentas[[#This Row],[Costo_total]]="PENDIENTE"),"PENDIENTE",TablaVentas[[#This Row],[Ingreso_neto]]-TablaVentas[[#This Row],[Costo_total]])</f>
        <v>559.18</v>
      </c>
    </row>
    <row r="987" customFormat="false" ht="13.5" hidden="false" customHeight="false" outlineLevel="0" collapsed="false">
      <c r="A987" s="1" t="s">
        <v>782</v>
      </c>
      <c r="B987" s="1" t="n">
        <v>4</v>
      </c>
      <c r="C987" s="5" t="n">
        <v>46214</v>
      </c>
      <c r="D987" s="6" t="s">
        <v>481</v>
      </c>
      <c r="E987" s="6" t="s">
        <v>163</v>
      </c>
      <c r="F987" s="6" t="s">
        <v>46</v>
      </c>
      <c r="G987" s="6" t="s">
        <v>64</v>
      </c>
      <c r="H987" s="6" t="s">
        <v>191</v>
      </c>
      <c r="I987" s="1" t="n">
        <v>2</v>
      </c>
      <c r="J987" s="7" t="n">
        <v>18447.99</v>
      </c>
      <c r="K987" s="8" t="n">
        <v>0.05</v>
      </c>
      <c r="L987" s="7" t="n">
        <v>13981.13</v>
      </c>
      <c r="M987" s="6" t="s">
        <v>49</v>
      </c>
      <c r="N987" s="6" t="s">
        <v>59</v>
      </c>
      <c r="O987" s="6" t="n">
        <f aca="false">IF(TablaVentas[[#This Row],[Precio_unitario]]="","PENDIENTE",TablaVentas[[#This Row],[Unidades]]*TablaVentas[[#This Row],[Precio_unitario]]*(1-TablaVentas[[#This Row],[Descuento_pct]]))</f>
        <v>35051.181</v>
      </c>
      <c r="P987" s="6" t="n">
        <f aca="false">IF(TablaVentas[[#This Row],[Costo_unitario]]="","PENDIENTE",TablaVentas[[#This Row],[Unidades]]*TablaVentas[[#This Row],[Costo_unitario]])</f>
        <v>27962.26</v>
      </c>
      <c r="Q987" s="6" t="n">
        <f aca="false">IF(OR(TablaVentas[[#This Row],[Ingreso_neto]]="PENDIENTE",TablaVentas[[#This Row],[Costo_total]]="PENDIENTE"),"PENDIENTE",TablaVentas[[#This Row],[Ingreso_neto]]-TablaVentas[[#This Row],[Costo_total]])</f>
        <v>7088.92100000001</v>
      </c>
    </row>
    <row r="988" customFormat="false" ht="13.5" hidden="false" customHeight="false" outlineLevel="0" collapsed="false">
      <c r="A988" s="1" t="s">
        <v>783</v>
      </c>
      <c r="B988" s="1" t="n">
        <v>1</v>
      </c>
      <c r="C988" s="5" t="n">
        <v>46093</v>
      </c>
      <c r="D988" s="6" t="s">
        <v>784</v>
      </c>
      <c r="E988" s="6" t="s">
        <v>328</v>
      </c>
      <c r="F988" s="6" t="s">
        <v>46</v>
      </c>
      <c r="G988" s="6" t="s">
        <v>57</v>
      </c>
      <c r="H988" s="6" t="s">
        <v>109</v>
      </c>
      <c r="I988" s="1" t="n">
        <v>4</v>
      </c>
      <c r="J988" s="7" t="n">
        <v>1356.15</v>
      </c>
      <c r="K988" s="8" t="n">
        <v>0.05</v>
      </c>
      <c r="L988" s="7" t="n">
        <v>679.37</v>
      </c>
      <c r="M988" s="6" t="s">
        <v>123</v>
      </c>
      <c r="N988" s="6" t="s">
        <v>52</v>
      </c>
      <c r="O988" s="6" t="n">
        <f aca="false">IF(TablaVentas[[#This Row],[Precio_unitario]]="","PENDIENTE",TablaVentas[[#This Row],[Unidades]]*TablaVentas[[#This Row],[Precio_unitario]]*(1-TablaVentas[[#This Row],[Descuento_pct]]))</f>
        <v>5153.37</v>
      </c>
      <c r="P988" s="6" t="n">
        <f aca="false">IF(TablaVentas[[#This Row],[Costo_unitario]]="","PENDIENTE",TablaVentas[[#This Row],[Unidades]]*TablaVentas[[#This Row],[Costo_unitario]])</f>
        <v>2717.48</v>
      </c>
      <c r="Q988" s="6" t="n">
        <f aca="false">IF(OR(TablaVentas[[#This Row],[Ingreso_neto]]="PENDIENTE",TablaVentas[[#This Row],[Costo_total]]="PENDIENTE"),"PENDIENTE",TablaVentas[[#This Row],[Ingreso_neto]]-TablaVentas[[#This Row],[Costo_total]])</f>
        <v>2435.89</v>
      </c>
    </row>
    <row r="989" customFormat="false" ht="13.5" hidden="false" customHeight="false" outlineLevel="0" collapsed="false">
      <c r="A989" s="1" t="s">
        <v>783</v>
      </c>
      <c r="B989" s="1" t="n">
        <v>2</v>
      </c>
      <c r="C989" s="5" t="n">
        <v>46093</v>
      </c>
      <c r="D989" s="6" t="s">
        <v>784</v>
      </c>
      <c r="E989" s="6" t="s">
        <v>121</v>
      </c>
      <c r="F989" s="6" t="s">
        <v>46</v>
      </c>
      <c r="G989" s="6" t="s">
        <v>57</v>
      </c>
      <c r="H989" s="6" t="s">
        <v>109</v>
      </c>
      <c r="I989" s="1" t="n">
        <v>3</v>
      </c>
      <c r="J989" s="7" t="n">
        <v>15261.05</v>
      </c>
      <c r="K989" s="8" t="n">
        <v>0</v>
      </c>
      <c r="L989" s="7" t="n">
        <v>8239.48</v>
      </c>
      <c r="M989" s="6" t="s">
        <v>49</v>
      </c>
      <c r="N989" s="6" t="s">
        <v>59</v>
      </c>
      <c r="O989" s="6" t="n">
        <f aca="false">IF(TablaVentas[[#This Row],[Precio_unitario]]="","PENDIENTE",TablaVentas[[#This Row],[Unidades]]*TablaVentas[[#This Row],[Precio_unitario]]*(1-TablaVentas[[#This Row],[Descuento_pct]]))</f>
        <v>45783.15</v>
      </c>
      <c r="P989" s="6" t="n">
        <f aca="false">IF(TablaVentas[[#This Row],[Costo_unitario]]="","PENDIENTE",TablaVentas[[#This Row],[Unidades]]*TablaVentas[[#This Row],[Costo_unitario]])</f>
        <v>24718.44</v>
      </c>
      <c r="Q989" s="6" t="n">
        <f aca="false">IF(OR(TablaVentas[[#This Row],[Ingreso_neto]]="PENDIENTE",TablaVentas[[#This Row],[Costo_total]]="PENDIENTE"),"PENDIENTE",TablaVentas[[#This Row],[Ingreso_neto]]-TablaVentas[[#This Row],[Costo_total]])</f>
        <v>21064.71</v>
      </c>
    </row>
    <row r="990" customFormat="false" ht="13.5" hidden="false" customHeight="false" outlineLevel="0" collapsed="false">
      <c r="A990" s="1" t="s">
        <v>785</v>
      </c>
      <c r="B990" s="1" t="n">
        <v>1</v>
      </c>
      <c r="C990" s="5" t="n">
        <v>46140</v>
      </c>
      <c r="D990" s="6" t="s">
        <v>786</v>
      </c>
      <c r="E990" s="6" t="s">
        <v>53</v>
      </c>
      <c r="F990" s="6" t="s">
        <v>63</v>
      </c>
      <c r="G990" s="6" t="s">
        <v>57</v>
      </c>
      <c r="H990" s="6" t="s">
        <v>80</v>
      </c>
      <c r="I990" s="1" t="n">
        <v>1</v>
      </c>
      <c r="J990" s="7" t="n">
        <v>4225.88</v>
      </c>
      <c r="K990" s="8" t="n">
        <v>0</v>
      </c>
      <c r="L990" s="7" t="n">
        <v>2957.6</v>
      </c>
      <c r="M990" s="6" t="s">
        <v>49</v>
      </c>
      <c r="N990" s="6" t="s">
        <v>67</v>
      </c>
      <c r="O990" s="6" t="n">
        <f aca="false">IF(TablaVentas[[#This Row],[Precio_unitario]]="","PENDIENTE",TablaVentas[[#This Row],[Unidades]]*TablaVentas[[#This Row],[Precio_unitario]]*(1-TablaVentas[[#This Row],[Descuento_pct]]))</f>
        <v>4225.88</v>
      </c>
      <c r="P990" s="6" t="n">
        <f aca="false">IF(TablaVentas[[#This Row],[Costo_unitario]]="","PENDIENTE",TablaVentas[[#This Row],[Unidades]]*TablaVentas[[#This Row],[Costo_unitario]])</f>
        <v>2957.6</v>
      </c>
      <c r="Q990" s="6" t="n">
        <f aca="false">IF(OR(TablaVentas[[#This Row],[Ingreso_neto]]="PENDIENTE",TablaVentas[[#This Row],[Costo_total]]="PENDIENTE"),"PENDIENTE",TablaVentas[[#This Row],[Ingreso_neto]]-TablaVentas[[#This Row],[Costo_total]])</f>
        <v>1268.28</v>
      </c>
    </row>
    <row r="991" customFormat="false" ht="13.5" hidden="false" customHeight="false" outlineLevel="0" collapsed="false">
      <c r="A991" s="1" t="s">
        <v>785</v>
      </c>
      <c r="B991" s="1" t="n">
        <v>2</v>
      </c>
      <c r="C991" s="5" t="n">
        <v>46140</v>
      </c>
      <c r="D991" s="6" t="s">
        <v>786</v>
      </c>
      <c r="E991" s="6" t="s">
        <v>142</v>
      </c>
      <c r="F991" s="6" t="s">
        <v>63</v>
      </c>
      <c r="G991" s="6" t="s">
        <v>57</v>
      </c>
      <c r="H991" s="6" t="s">
        <v>80</v>
      </c>
      <c r="I991" s="1" t="n">
        <v>5</v>
      </c>
      <c r="J991" s="7" t="n">
        <v>2076</v>
      </c>
      <c r="K991" s="8" t="n">
        <v>0</v>
      </c>
      <c r="L991" s="7" t="n">
        <v>1529.93</v>
      </c>
      <c r="M991" s="6" t="s">
        <v>49</v>
      </c>
      <c r="N991" s="6" t="s">
        <v>59</v>
      </c>
      <c r="O991" s="6" t="n">
        <f aca="false">IF(TablaVentas[[#This Row],[Precio_unitario]]="","PENDIENTE",TablaVentas[[#This Row],[Unidades]]*TablaVentas[[#This Row],[Precio_unitario]]*(1-TablaVentas[[#This Row],[Descuento_pct]]))</f>
        <v>10380</v>
      </c>
      <c r="P991" s="6" t="n">
        <f aca="false">IF(TablaVentas[[#This Row],[Costo_unitario]]="","PENDIENTE",TablaVentas[[#This Row],[Unidades]]*TablaVentas[[#This Row],[Costo_unitario]])</f>
        <v>7649.65</v>
      </c>
      <c r="Q991" s="6" t="n">
        <f aca="false">IF(OR(TablaVentas[[#This Row],[Ingreso_neto]]="PENDIENTE",TablaVentas[[#This Row],[Costo_total]]="PENDIENTE"),"PENDIENTE",TablaVentas[[#This Row],[Ingreso_neto]]-TablaVentas[[#This Row],[Costo_total]])</f>
        <v>2730.35</v>
      </c>
    </row>
    <row r="992" customFormat="false" ht="13.5" hidden="false" customHeight="false" outlineLevel="0" collapsed="false">
      <c r="A992" s="1" t="s">
        <v>785</v>
      </c>
      <c r="B992" s="1" t="n">
        <v>3</v>
      </c>
      <c r="C992" s="5" t="n">
        <v>46140</v>
      </c>
      <c r="D992" s="6" t="s">
        <v>786</v>
      </c>
      <c r="E992" s="6" t="s">
        <v>179</v>
      </c>
      <c r="F992" s="6" t="s">
        <v>63</v>
      </c>
      <c r="G992" s="6" t="s">
        <v>57</v>
      </c>
      <c r="H992" s="6" t="s">
        <v>80</v>
      </c>
      <c r="I992" s="1" t="n">
        <v>2</v>
      </c>
      <c r="J992" s="7" t="n">
        <v>15808.83</v>
      </c>
      <c r="K992" s="8" t="n">
        <v>0</v>
      </c>
      <c r="L992" s="7" t="n">
        <v>10830.17</v>
      </c>
      <c r="M992" s="6" t="s">
        <v>49</v>
      </c>
      <c r="N992" s="6" t="s">
        <v>67</v>
      </c>
      <c r="O992" s="6" t="n">
        <f aca="false">IF(TablaVentas[[#This Row],[Precio_unitario]]="","PENDIENTE",TablaVentas[[#This Row],[Unidades]]*TablaVentas[[#This Row],[Precio_unitario]]*(1-TablaVentas[[#This Row],[Descuento_pct]]))</f>
        <v>31617.66</v>
      </c>
      <c r="P992" s="6" t="n">
        <f aca="false">IF(TablaVentas[[#This Row],[Costo_unitario]]="","PENDIENTE",TablaVentas[[#This Row],[Unidades]]*TablaVentas[[#This Row],[Costo_unitario]])</f>
        <v>21660.34</v>
      </c>
      <c r="Q992" s="6" t="n">
        <f aca="false">IF(OR(TablaVentas[[#This Row],[Ingreso_neto]]="PENDIENTE",TablaVentas[[#This Row],[Costo_total]]="PENDIENTE"),"PENDIENTE",TablaVentas[[#This Row],[Ingreso_neto]]-TablaVentas[[#This Row],[Costo_total]])</f>
        <v>9957.32</v>
      </c>
    </row>
    <row r="993" customFormat="false" ht="13.5" hidden="false" customHeight="false" outlineLevel="0" collapsed="false">
      <c r="A993" s="1" t="s">
        <v>787</v>
      </c>
      <c r="B993" s="1" t="n">
        <v>1</v>
      </c>
      <c r="C993" s="5" t="n">
        <v>46225</v>
      </c>
      <c r="D993" s="6" t="s">
        <v>551</v>
      </c>
      <c r="E993" s="6" t="s">
        <v>252</v>
      </c>
      <c r="F993" s="6" t="s">
        <v>84</v>
      </c>
      <c r="G993" s="6" t="s">
        <v>57</v>
      </c>
      <c r="H993" s="6" t="s">
        <v>74</v>
      </c>
      <c r="I993" s="1" t="n">
        <v>1</v>
      </c>
      <c r="J993" s="7" t="n">
        <v>18592.46</v>
      </c>
      <c r="K993" s="8" t="n">
        <v>0.15</v>
      </c>
      <c r="L993" s="7" t="n">
        <v>10507.24</v>
      </c>
      <c r="M993" s="6" t="s">
        <v>49</v>
      </c>
      <c r="N993" s="6" t="s">
        <v>52</v>
      </c>
      <c r="O993" s="6" t="n">
        <f aca="false">IF(TablaVentas[[#This Row],[Precio_unitario]]="","PENDIENTE",TablaVentas[[#This Row],[Unidades]]*TablaVentas[[#This Row],[Precio_unitario]]*(1-TablaVentas[[#This Row],[Descuento_pct]]))</f>
        <v>15803.591</v>
      </c>
      <c r="P993" s="6" t="n">
        <f aca="false">IF(TablaVentas[[#This Row],[Costo_unitario]]="","PENDIENTE",TablaVentas[[#This Row],[Unidades]]*TablaVentas[[#This Row],[Costo_unitario]])</f>
        <v>10507.24</v>
      </c>
      <c r="Q993" s="6" t="n">
        <f aca="false">IF(OR(TablaVentas[[#This Row],[Ingreso_neto]]="PENDIENTE",TablaVentas[[#This Row],[Costo_total]]="PENDIENTE"),"PENDIENTE",TablaVentas[[#This Row],[Ingreso_neto]]-TablaVentas[[#This Row],[Costo_total]])</f>
        <v>5296.351</v>
      </c>
    </row>
    <row r="994" customFormat="false" ht="13.5" hidden="false" customHeight="false" outlineLevel="0" collapsed="false">
      <c r="A994" s="1" t="s">
        <v>787</v>
      </c>
      <c r="B994" s="1" t="n">
        <v>2</v>
      </c>
      <c r="C994" s="5" t="n">
        <v>46225</v>
      </c>
      <c r="D994" s="6" t="s">
        <v>551</v>
      </c>
      <c r="E994" s="6" t="s">
        <v>77</v>
      </c>
      <c r="F994" s="6" t="s">
        <v>84</v>
      </c>
      <c r="G994" s="6" t="s">
        <v>57</v>
      </c>
      <c r="H994" s="6" t="s">
        <v>74</v>
      </c>
      <c r="I994" s="1" t="n">
        <v>1</v>
      </c>
      <c r="J994" s="7" t="n">
        <v>16004.19</v>
      </c>
      <c r="K994" s="8" t="n">
        <v>0.05</v>
      </c>
      <c r="L994" s="7" t="n">
        <v>10571.25</v>
      </c>
      <c r="M994" s="6" t="s">
        <v>49</v>
      </c>
      <c r="N994" s="6" t="s">
        <v>67</v>
      </c>
      <c r="O994" s="6" t="n">
        <f aca="false">IF(TablaVentas[[#This Row],[Precio_unitario]]="","PENDIENTE",TablaVentas[[#This Row],[Unidades]]*TablaVentas[[#This Row],[Precio_unitario]]*(1-TablaVentas[[#This Row],[Descuento_pct]]))</f>
        <v>15203.9805</v>
      </c>
      <c r="P994" s="6" t="n">
        <f aca="false">IF(TablaVentas[[#This Row],[Costo_unitario]]="","PENDIENTE",TablaVentas[[#This Row],[Unidades]]*TablaVentas[[#This Row],[Costo_unitario]])</f>
        <v>10571.25</v>
      </c>
      <c r="Q994" s="6" t="n">
        <f aca="false">IF(OR(TablaVentas[[#This Row],[Ingreso_neto]]="PENDIENTE",TablaVentas[[#This Row],[Costo_total]]="PENDIENTE"),"PENDIENTE",TablaVentas[[#This Row],[Ingreso_neto]]-TablaVentas[[#This Row],[Costo_total]])</f>
        <v>4632.7305</v>
      </c>
    </row>
    <row r="995" customFormat="false" ht="13.5" hidden="false" customHeight="false" outlineLevel="0" collapsed="false">
      <c r="A995" s="1" t="s">
        <v>787</v>
      </c>
      <c r="B995" s="1" t="n">
        <v>3</v>
      </c>
      <c r="C995" s="5" t="n">
        <v>46225</v>
      </c>
      <c r="D995" s="6" t="s">
        <v>551</v>
      </c>
      <c r="E995" s="6" t="s">
        <v>132</v>
      </c>
      <c r="F995" s="6" t="s">
        <v>84</v>
      </c>
      <c r="G995" s="6" t="s">
        <v>57</v>
      </c>
      <c r="H995" s="6" t="s">
        <v>74</v>
      </c>
      <c r="I995" s="1" t="n">
        <v>1</v>
      </c>
      <c r="J995" s="7" t="n">
        <v>1706.59</v>
      </c>
      <c r="K995" s="8" t="n">
        <v>0</v>
      </c>
      <c r="L995" s="7" t="n">
        <v>1044.32</v>
      </c>
      <c r="M995" s="6" t="s">
        <v>49</v>
      </c>
      <c r="N995" s="6" t="s">
        <v>50</v>
      </c>
      <c r="O995" s="6" t="n">
        <f aca="false">IF(TablaVentas[[#This Row],[Precio_unitario]]="","PENDIENTE",TablaVentas[[#This Row],[Unidades]]*TablaVentas[[#This Row],[Precio_unitario]]*(1-TablaVentas[[#This Row],[Descuento_pct]]))</f>
        <v>1706.59</v>
      </c>
      <c r="P995" s="6" t="n">
        <f aca="false">IF(TablaVentas[[#This Row],[Costo_unitario]]="","PENDIENTE",TablaVentas[[#This Row],[Unidades]]*TablaVentas[[#This Row],[Costo_unitario]])</f>
        <v>1044.32</v>
      </c>
      <c r="Q995" s="6" t="n">
        <f aca="false">IF(OR(TablaVentas[[#This Row],[Ingreso_neto]]="PENDIENTE",TablaVentas[[#This Row],[Costo_total]]="PENDIENTE"),"PENDIENTE",TablaVentas[[#This Row],[Ingreso_neto]]-TablaVentas[[#This Row],[Costo_total]])</f>
        <v>662.27</v>
      </c>
    </row>
    <row r="996" customFormat="false" ht="13.5" hidden="false" customHeight="false" outlineLevel="0" collapsed="false">
      <c r="A996" s="1" t="s">
        <v>787</v>
      </c>
      <c r="B996" s="1" t="n">
        <v>4</v>
      </c>
      <c r="C996" s="5" t="n">
        <v>46225</v>
      </c>
      <c r="D996" s="6" t="s">
        <v>551</v>
      </c>
      <c r="E996" s="6" t="s">
        <v>203</v>
      </c>
      <c r="F996" s="6" t="s">
        <v>84</v>
      </c>
      <c r="G996" s="6" t="s">
        <v>57</v>
      </c>
      <c r="H996" s="6" t="s">
        <v>74</v>
      </c>
      <c r="I996" s="1" t="n">
        <v>3</v>
      </c>
      <c r="J996" s="7" t="n">
        <v>811.79</v>
      </c>
      <c r="K996" s="8" t="n">
        <v>0.1</v>
      </c>
      <c r="L996" s="7" t="n">
        <v>485.16</v>
      </c>
      <c r="M996" s="6" t="s">
        <v>49</v>
      </c>
      <c r="N996" s="6" t="s">
        <v>67</v>
      </c>
      <c r="O996" s="6" t="n">
        <f aca="false">IF(TablaVentas[[#This Row],[Precio_unitario]]="","PENDIENTE",TablaVentas[[#This Row],[Unidades]]*TablaVentas[[#This Row],[Precio_unitario]]*(1-TablaVentas[[#This Row],[Descuento_pct]]))</f>
        <v>2191.833</v>
      </c>
      <c r="P996" s="6" t="n">
        <f aca="false">IF(TablaVentas[[#This Row],[Costo_unitario]]="","PENDIENTE",TablaVentas[[#This Row],[Unidades]]*TablaVentas[[#This Row],[Costo_unitario]])</f>
        <v>1455.48</v>
      </c>
      <c r="Q996" s="6" t="n">
        <f aca="false">IF(OR(TablaVentas[[#This Row],[Ingreso_neto]]="PENDIENTE",TablaVentas[[#This Row],[Costo_total]]="PENDIENTE"),"PENDIENTE",TablaVentas[[#This Row],[Ingreso_neto]]-TablaVentas[[#This Row],[Costo_total]])</f>
        <v>736.353</v>
      </c>
    </row>
    <row r="997" customFormat="false" ht="13.5" hidden="false" customHeight="false" outlineLevel="0" collapsed="false">
      <c r="A997" s="1" t="s">
        <v>788</v>
      </c>
      <c r="B997" s="1" t="n">
        <v>1</v>
      </c>
      <c r="C997" s="5" t="n">
        <v>46184</v>
      </c>
      <c r="D997" s="6" t="s">
        <v>789</v>
      </c>
      <c r="E997" s="6" t="s">
        <v>159</v>
      </c>
      <c r="F997" s="6" t="s">
        <v>63</v>
      </c>
      <c r="G997" s="6" t="s">
        <v>47</v>
      </c>
      <c r="H997" s="6" t="s">
        <v>89</v>
      </c>
      <c r="I997" s="1" t="n">
        <v>3</v>
      </c>
      <c r="J997" s="7" t="n">
        <v>2485.1</v>
      </c>
      <c r="K997" s="8" t="n">
        <v>0</v>
      </c>
      <c r="L997" s="7" t="n">
        <v>1962.3</v>
      </c>
      <c r="M997" s="6" t="s">
        <v>49</v>
      </c>
      <c r="N997" s="6" t="s">
        <v>52</v>
      </c>
      <c r="O997" s="6" t="n">
        <f aca="false">IF(TablaVentas[[#This Row],[Precio_unitario]]="","PENDIENTE",TablaVentas[[#This Row],[Unidades]]*TablaVentas[[#This Row],[Precio_unitario]]*(1-TablaVentas[[#This Row],[Descuento_pct]]))</f>
        <v>7455.3</v>
      </c>
      <c r="P997" s="6" t="n">
        <f aca="false">IF(TablaVentas[[#This Row],[Costo_unitario]]="","PENDIENTE",TablaVentas[[#This Row],[Unidades]]*TablaVentas[[#This Row],[Costo_unitario]])</f>
        <v>5886.9</v>
      </c>
      <c r="Q997" s="6" t="n">
        <f aca="false">IF(OR(TablaVentas[[#This Row],[Ingreso_neto]]="PENDIENTE",TablaVentas[[#This Row],[Costo_total]]="PENDIENTE"),"PENDIENTE",TablaVentas[[#This Row],[Ingreso_neto]]-TablaVentas[[#This Row],[Costo_total]])</f>
        <v>1568.4</v>
      </c>
    </row>
    <row r="998" customFormat="false" ht="13.5" hidden="false" customHeight="false" outlineLevel="0" collapsed="false">
      <c r="A998" s="1" t="s">
        <v>788</v>
      </c>
      <c r="B998" s="1" t="n">
        <v>2</v>
      </c>
      <c r="C998" s="5" t="n">
        <v>46184</v>
      </c>
      <c r="D998" s="6" t="s">
        <v>789</v>
      </c>
      <c r="E998" s="6" t="s">
        <v>170</v>
      </c>
      <c r="F998" s="6" t="s">
        <v>63</v>
      </c>
      <c r="G998" s="6" t="s">
        <v>47</v>
      </c>
      <c r="H998" s="6" t="s">
        <v>89</v>
      </c>
      <c r="I998" s="1" t="n">
        <v>4</v>
      </c>
      <c r="J998" s="7" t="n">
        <v>15362.74</v>
      </c>
      <c r="K998" s="8" t="n">
        <v>0</v>
      </c>
      <c r="L998" s="7" t="n">
        <v>12141.44</v>
      </c>
      <c r="M998" s="6" t="s">
        <v>49</v>
      </c>
      <c r="N998" s="6" t="s">
        <v>59</v>
      </c>
      <c r="O998" s="6" t="n">
        <f aca="false">IF(TablaVentas[[#This Row],[Precio_unitario]]="","PENDIENTE",TablaVentas[[#This Row],[Unidades]]*TablaVentas[[#This Row],[Precio_unitario]]*(1-TablaVentas[[#This Row],[Descuento_pct]]))</f>
        <v>61450.96</v>
      </c>
      <c r="P998" s="6" t="n">
        <f aca="false">IF(TablaVentas[[#This Row],[Costo_unitario]]="","PENDIENTE",TablaVentas[[#This Row],[Unidades]]*TablaVentas[[#This Row],[Costo_unitario]])</f>
        <v>48565.76</v>
      </c>
      <c r="Q998" s="6" t="n">
        <f aca="false">IF(OR(TablaVentas[[#This Row],[Ingreso_neto]]="PENDIENTE",TablaVentas[[#This Row],[Costo_total]]="PENDIENTE"),"PENDIENTE",TablaVentas[[#This Row],[Ingreso_neto]]-TablaVentas[[#This Row],[Costo_total]])</f>
        <v>12885.2</v>
      </c>
    </row>
    <row r="999" customFormat="false" ht="13.5" hidden="false" customHeight="false" outlineLevel="0" collapsed="false">
      <c r="A999" s="1" t="s">
        <v>790</v>
      </c>
      <c r="B999" s="1" t="n">
        <v>1</v>
      </c>
      <c r="C999" s="5" t="n">
        <v>46134</v>
      </c>
      <c r="D999" s="6" t="s">
        <v>87</v>
      </c>
      <c r="E999" s="6" t="s">
        <v>328</v>
      </c>
      <c r="F999" s="6" t="s">
        <v>73</v>
      </c>
      <c r="G999" s="6" t="s">
        <v>57</v>
      </c>
      <c r="H999" s="6" t="s">
        <v>109</v>
      </c>
      <c r="I999" s="1" t="n">
        <v>3</v>
      </c>
      <c r="J999" s="7" t="n">
        <v>1352.89</v>
      </c>
      <c r="K999" s="8" t="n">
        <v>0.05</v>
      </c>
      <c r="L999" s="7" t="n">
        <v>679.37</v>
      </c>
      <c r="M999" s="6" t="s">
        <v>49</v>
      </c>
      <c r="N999" s="6" t="s">
        <v>50</v>
      </c>
      <c r="O999" s="6" t="n">
        <f aca="false">IF(TablaVentas[[#This Row],[Precio_unitario]]="","PENDIENTE",TablaVentas[[#This Row],[Unidades]]*TablaVentas[[#This Row],[Precio_unitario]]*(1-TablaVentas[[#This Row],[Descuento_pct]]))</f>
        <v>3855.7365</v>
      </c>
      <c r="P999" s="6" t="n">
        <f aca="false">IF(TablaVentas[[#This Row],[Costo_unitario]]="","PENDIENTE",TablaVentas[[#This Row],[Unidades]]*TablaVentas[[#This Row],[Costo_unitario]])</f>
        <v>2038.11</v>
      </c>
      <c r="Q999" s="6" t="n">
        <f aca="false">IF(OR(TablaVentas[[#This Row],[Ingreso_neto]]="PENDIENTE",TablaVentas[[#This Row],[Costo_total]]="PENDIENTE"),"PENDIENTE",TablaVentas[[#This Row],[Ingreso_neto]]-TablaVentas[[#This Row],[Costo_total]])</f>
        <v>1817.6265</v>
      </c>
    </row>
    <row r="1000" customFormat="false" ht="13.5" hidden="false" customHeight="false" outlineLevel="0" collapsed="false">
      <c r="A1000" s="1" t="s">
        <v>791</v>
      </c>
      <c r="B1000" s="1" t="n">
        <v>1</v>
      </c>
      <c r="C1000" s="5" t="n">
        <v>46281</v>
      </c>
      <c r="D1000" s="6" t="s">
        <v>296</v>
      </c>
      <c r="E1000" s="6" t="s">
        <v>342</v>
      </c>
      <c r="F1000" s="6" t="s">
        <v>63</v>
      </c>
      <c r="G1000" s="6" t="s">
        <v>57</v>
      </c>
      <c r="H1000" s="6" t="s">
        <v>74</v>
      </c>
      <c r="I1000" s="1" t="n">
        <v>3</v>
      </c>
      <c r="J1000" s="7" t="n">
        <v>6622.29</v>
      </c>
      <c r="K1000" s="8" t="n">
        <v>0.15</v>
      </c>
      <c r="L1000" s="7" t="n">
        <v>5587.31</v>
      </c>
      <c r="M1000" s="6" t="s">
        <v>123</v>
      </c>
      <c r="N1000" s="6" t="s">
        <v>67</v>
      </c>
      <c r="O1000" s="6" t="n">
        <f aca="false">IF(TablaVentas[[#This Row],[Precio_unitario]]="","PENDIENTE",TablaVentas[[#This Row],[Unidades]]*TablaVentas[[#This Row],[Precio_unitario]]*(1-TablaVentas[[#This Row],[Descuento_pct]]))</f>
        <v>16886.8395</v>
      </c>
      <c r="P1000" s="6" t="n">
        <f aca="false">IF(TablaVentas[[#This Row],[Costo_unitario]]="","PENDIENTE",TablaVentas[[#This Row],[Unidades]]*TablaVentas[[#This Row],[Costo_unitario]])</f>
        <v>16761.93</v>
      </c>
      <c r="Q1000" s="6" t="n">
        <f aca="false">IF(OR(TablaVentas[[#This Row],[Ingreso_neto]]="PENDIENTE",TablaVentas[[#This Row],[Costo_total]]="PENDIENTE"),"PENDIENTE",TablaVentas[[#This Row],[Ingreso_neto]]-TablaVentas[[#This Row],[Costo_total]])</f>
        <v>124.909499999998</v>
      </c>
    </row>
    <row r="1001" customFormat="false" ht="13.5" hidden="false" customHeight="false" outlineLevel="0" collapsed="false">
      <c r="A1001" s="1" t="s">
        <v>791</v>
      </c>
      <c r="B1001" s="1" t="n">
        <v>2</v>
      </c>
      <c r="C1001" s="5" t="n">
        <v>46281</v>
      </c>
      <c r="D1001" s="6" t="s">
        <v>296</v>
      </c>
      <c r="E1001" s="6" t="s">
        <v>110</v>
      </c>
      <c r="F1001" s="6" t="s">
        <v>63</v>
      </c>
      <c r="G1001" s="6" t="s">
        <v>57</v>
      </c>
      <c r="H1001" s="6" t="s">
        <v>74</v>
      </c>
      <c r="I1001" s="1" t="n">
        <v>8</v>
      </c>
      <c r="J1001" s="7" t="n">
        <v>12141.09</v>
      </c>
      <c r="K1001" s="8" t="n">
        <v>0.2</v>
      </c>
      <c r="L1001" s="7" t="n">
        <v>7549.71</v>
      </c>
      <c r="M1001" s="6" t="s">
        <v>49</v>
      </c>
      <c r="N1001" s="6" t="s">
        <v>59</v>
      </c>
      <c r="O1001" s="6" t="n">
        <f aca="false">IF(TablaVentas[[#This Row],[Precio_unitario]]="","PENDIENTE",TablaVentas[[#This Row],[Unidades]]*TablaVentas[[#This Row],[Precio_unitario]]*(1-TablaVentas[[#This Row],[Descuento_pct]]))</f>
        <v>77702.976</v>
      </c>
      <c r="P1001" s="6" t="n">
        <f aca="false">IF(TablaVentas[[#This Row],[Costo_unitario]]="","PENDIENTE",TablaVentas[[#This Row],[Unidades]]*TablaVentas[[#This Row],[Costo_unitario]])</f>
        <v>60397.68</v>
      </c>
      <c r="Q1001" s="6" t="n">
        <f aca="false">IF(OR(TablaVentas[[#This Row],[Ingreso_neto]]="PENDIENTE",TablaVentas[[#This Row],[Costo_total]]="PENDIENTE"),"PENDIENTE",TablaVentas[[#This Row],[Ingreso_neto]]-TablaVentas[[#This Row],[Costo_total]])</f>
        <v>17305.296</v>
      </c>
    </row>
    <row r="1002" customFormat="false" ht="13.5" hidden="false" customHeight="false" outlineLevel="0" collapsed="false">
      <c r="A1002" s="1" t="s">
        <v>791</v>
      </c>
      <c r="B1002" s="1" t="n">
        <v>3</v>
      </c>
      <c r="C1002" s="5" t="n">
        <v>46281</v>
      </c>
      <c r="D1002" s="6" t="s">
        <v>296</v>
      </c>
      <c r="E1002" s="6" t="s">
        <v>224</v>
      </c>
      <c r="F1002" s="6" t="s">
        <v>63</v>
      </c>
      <c r="G1002" s="6" t="s">
        <v>57</v>
      </c>
      <c r="H1002" s="6" t="s">
        <v>74</v>
      </c>
      <c r="I1002" s="1" t="n">
        <v>1</v>
      </c>
      <c r="J1002" s="7" t="n">
        <v>15883.32</v>
      </c>
      <c r="K1002" s="8" t="n">
        <v>0.15</v>
      </c>
      <c r="L1002" s="7" t="n">
        <v>14161.63</v>
      </c>
      <c r="M1002" s="6" t="s">
        <v>49</v>
      </c>
      <c r="N1002" s="6" t="s">
        <v>67</v>
      </c>
      <c r="O1002" s="6" t="n">
        <f aca="false">IF(TablaVentas[[#This Row],[Precio_unitario]]="","PENDIENTE",TablaVentas[[#This Row],[Unidades]]*TablaVentas[[#This Row],[Precio_unitario]]*(1-TablaVentas[[#This Row],[Descuento_pct]]))</f>
        <v>13500.822</v>
      </c>
      <c r="P1002" s="6" t="n">
        <f aca="false">IF(TablaVentas[[#This Row],[Costo_unitario]]="","PENDIENTE",TablaVentas[[#This Row],[Unidades]]*TablaVentas[[#This Row],[Costo_unitario]])</f>
        <v>14161.63</v>
      </c>
      <c r="Q1002" s="6" t="n">
        <f aca="false">IF(OR(TablaVentas[[#This Row],[Ingreso_neto]]="PENDIENTE",TablaVentas[[#This Row],[Costo_total]]="PENDIENTE"),"PENDIENTE",TablaVentas[[#This Row],[Ingreso_neto]]-TablaVentas[[#This Row],[Costo_total]])</f>
        <v>-660.807999999999</v>
      </c>
    </row>
    <row r="1003" customFormat="false" ht="13.5" hidden="false" customHeight="false" outlineLevel="0" collapsed="false">
      <c r="A1003" s="1" t="s">
        <v>792</v>
      </c>
      <c r="B1003" s="1" t="n">
        <v>1</v>
      </c>
      <c r="C1003" s="5" t="n">
        <v>46105</v>
      </c>
      <c r="D1003" s="6" t="s">
        <v>512</v>
      </c>
      <c r="E1003" s="6" t="s">
        <v>159</v>
      </c>
      <c r="F1003" s="6" t="s">
        <v>63</v>
      </c>
      <c r="G1003" s="6" t="s">
        <v>57</v>
      </c>
      <c r="H1003" s="6" t="s">
        <v>131</v>
      </c>
      <c r="I1003" s="1" t="n">
        <v>2</v>
      </c>
      <c r="J1003" s="7" t="n">
        <v>2645.38</v>
      </c>
      <c r="K1003" s="8" t="n">
        <v>0</v>
      </c>
      <c r="L1003" s="7" t="n">
        <v>1962.3</v>
      </c>
      <c r="M1003" s="6" t="s">
        <v>49</v>
      </c>
      <c r="N1003" s="6" t="s">
        <v>52</v>
      </c>
      <c r="O1003" s="6" t="n">
        <f aca="false">IF(TablaVentas[[#This Row],[Precio_unitario]]="","PENDIENTE",TablaVentas[[#This Row],[Unidades]]*TablaVentas[[#This Row],[Precio_unitario]]*(1-TablaVentas[[#This Row],[Descuento_pct]]))</f>
        <v>5290.76</v>
      </c>
      <c r="P1003" s="6" t="n">
        <f aca="false">IF(TablaVentas[[#This Row],[Costo_unitario]]="","PENDIENTE",TablaVentas[[#This Row],[Unidades]]*TablaVentas[[#This Row],[Costo_unitario]])</f>
        <v>3924.6</v>
      </c>
      <c r="Q1003" s="6" t="n">
        <f aca="false">IF(OR(TablaVentas[[#This Row],[Ingreso_neto]]="PENDIENTE",TablaVentas[[#This Row],[Costo_total]]="PENDIENTE"),"PENDIENTE",TablaVentas[[#This Row],[Ingreso_neto]]-TablaVentas[[#This Row],[Costo_total]])</f>
        <v>1366.16</v>
      </c>
    </row>
    <row r="1004" customFormat="false" ht="13.5" hidden="false" customHeight="false" outlineLevel="0" collapsed="false">
      <c r="A1004" s="1" t="s">
        <v>793</v>
      </c>
      <c r="B1004" s="1" t="n">
        <v>1</v>
      </c>
      <c r="C1004" s="5" t="n">
        <v>46124</v>
      </c>
      <c r="D1004" s="6" t="s">
        <v>525</v>
      </c>
      <c r="E1004" s="6" t="s">
        <v>179</v>
      </c>
      <c r="F1004" s="6" t="s">
        <v>73</v>
      </c>
      <c r="G1004" s="6" t="s">
        <v>57</v>
      </c>
      <c r="H1004" s="6" t="s">
        <v>191</v>
      </c>
      <c r="I1004" s="1" t="n">
        <v>2</v>
      </c>
      <c r="J1004" s="7" t="n">
        <v>17708.33</v>
      </c>
      <c r="K1004" s="8" t="n">
        <v>0.05</v>
      </c>
      <c r="L1004" s="7" t="n">
        <v>10830.17</v>
      </c>
      <c r="M1004" s="6" t="s">
        <v>49</v>
      </c>
      <c r="N1004" s="6" t="s">
        <v>67</v>
      </c>
      <c r="O1004" s="6" t="n">
        <f aca="false">IF(TablaVentas[[#This Row],[Precio_unitario]]="","PENDIENTE",TablaVentas[[#This Row],[Unidades]]*TablaVentas[[#This Row],[Precio_unitario]]*(1-TablaVentas[[#This Row],[Descuento_pct]]))</f>
        <v>33645.827</v>
      </c>
      <c r="P1004" s="6" t="n">
        <f aca="false">IF(TablaVentas[[#This Row],[Costo_unitario]]="","PENDIENTE",TablaVentas[[#This Row],[Unidades]]*TablaVentas[[#This Row],[Costo_unitario]])</f>
        <v>21660.34</v>
      </c>
      <c r="Q1004" s="6" t="n">
        <f aca="false">IF(OR(TablaVentas[[#This Row],[Ingreso_neto]]="PENDIENTE",TablaVentas[[#This Row],[Costo_total]]="PENDIENTE"),"PENDIENTE",TablaVentas[[#This Row],[Ingreso_neto]]-TablaVentas[[#This Row],[Costo_total]])</f>
        <v>11985.487</v>
      </c>
    </row>
    <row r="1005" customFormat="false" ht="13.5" hidden="false" customHeight="false" outlineLevel="0" collapsed="false">
      <c r="A1005" s="1" t="s">
        <v>793</v>
      </c>
      <c r="B1005" s="1" t="n">
        <v>2</v>
      </c>
      <c r="C1005" s="5" t="n">
        <v>46124</v>
      </c>
      <c r="D1005" s="6" t="s">
        <v>525</v>
      </c>
      <c r="E1005" s="6" t="s">
        <v>108</v>
      </c>
      <c r="F1005" s="6" t="s">
        <v>73</v>
      </c>
      <c r="G1005" s="6" t="s">
        <v>57</v>
      </c>
      <c r="H1005" s="6" t="s">
        <v>191</v>
      </c>
      <c r="I1005" s="1" t="n">
        <v>1</v>
      </c>
      <c r="J1005" s="7" t="n">
        <v>4464.62</v>
      </c>
      <c r="K1005" s="8" t="n">
        <v>0</v>
      </c>
      <c r="L1005" s="7" t="n">
        <v>2865.24</v>
      </c>
      <c r="M1005" s="6" t="s">
        <v>49</v>
      </c>
      <c r="N1005" s="6" t="s">
        <v>50</v>
      </c>
      <c r="O1005" s="6" t="n">
        <f aca="false">IF(TablaVentas[[#This Row],[Precio_unitario]]="","PENDIENTE",TablaVentas[[#This Row],[Unidades]]*TablaVentas[[#This Row],[Precio_unitario]]*(1-TablaVentas[[#This Row],[Descuento_pct]]))</f>
        <v>4464.62</v>
      </c>
      <c r="P1005" s="6" t="n">
        <f aca="false">IF(TablaVentas[[#This Row],[Costo_unitario]]="","PENDIENTE",TablaVentas[[#This Row],[Unidades]]*TablaVentas[[#This Row],[Costo_unitario]])</f>
        <v>2865.24</v>
      </c>
      <c r="Q1005" s="6" t="n">
        <f aca="false">IF(OR(TablaVentas[[#This Row],[Ingreso_neto]]="PENDIENTE",TablaVentas[[#This Row],[Costo_total]]="PENDIENTE"),"PENDIENTE",TablaVentas[[#This Row],[Ingreso_neto]]-TablaVentas[[#This Row],[Costo_total]])</f>
        <v>1599.38</v>
      </c>
    </row>
    <row r="1006" customFormat="false" ht="13.5" hidden="false" customHeight="false" outlineLevel="0" collapsed="false">
      <c r="A1006" s="1" t="s">
        <v>794</v>
      </c>
      <c r="B1006" s="1" t="n">
        <v>1</v>
      </c>
      <c r="C1006" s="5" t="n">
        <v>46251</v>
      </c>
      <c r="D1006" s="6" t="s">
        <v>307</v>
      </c>
      <c r="E1006" s="6" t="s">
        <v>104</v>
      </c>
      <c r="F1006" s="6" t="s">
        <v>46</v>
      </c>
      <c r="G1006" s="6" t="s">
        <v>64</v>
      </c>
      <c r="H1006" s="6" t="s">
        <v>80</v>
      </c>
      <c r="I1006" s="1" t="n">
        <v>2</v>
      </c>
      <c r="J1006" s="7" t="n">
        <v>16148.93</v>
      </c>
      <c r="K1006" s="8" t="n">
        <v>0.15</v>
      </c>
      <c r="L1006" s="7" t="n">
        <v>11424.77</v>
      </c>
      <c r="M1006" s="6" t="s">
        <v>69</v>
      </c>
      <c r="N1006" s="6" t="s">
        <v>50</v>
      </c>
      <c r="O1006" s="6" t="n">
        <f aca="false">IF(TablaVentas[[#This Row],[Precio_unitario]]="","PENDIENTE",TablaVentas[[#This Row],[Unidades]]*TablaVentas[[#This Row],[Precio_unitario]]*(1-TablaVentas[[#This Row],[Descuento_pct]]))</f>
        <v>27453.181</v>
      </c>
      <c r="P1006" s="6" t="n">
        <f aca="false">IF(TablaVentas[[#This Row],[Costo_unitario]]="","PENDIENTE",TablaVentas[[#This Row],[Unidades]]*TablaVentas[[#This Row],[Costo_unitario]])</f>
        <v>22849.54</v>
      </c>
      <c r="Q1006" s="6" t="n">
        <f aca="false">IF(OR(TablaVentas[[#This Row],[Ingreso_neto]]="PENDIENTE",TablaVentas[[#This Row],[Costo_total]]="PENDIENTE"),"PENDIENTE",TablaVentas[[#This Row],[Ingreso_neto]]-TablaVentas[[#This Row],[Costo_total]])</f>
        <v>4603.641</v>
      </c>
    </row>
    <row r="1007" customFormat="false" ht="13.5" hidden="false" customHeight="false" outlineLevel="0" collapsed="false">
      <c r="A1007" s="1" t="s">
        <v>794</v>
      </c>
      <c r="B1007" s="1" t="n">
        <v>2</v>
      </c>
      <c r="C1007" s="5" t="n">
        <v>46251</v>
      </c>
      <c r="D1007" s="6" t="s">
        <v>307</v>
      </c>
      <c r="E1007" s="6" t="s">
        <v>223</v>
      </c>
      <c r="F1007" s="6" t="s">
        <v>46</v>
      </c>
      <c r="G1007" s="6" t="s">
        <v>64</v>
      </c>
      <c r="H1007" s="6" t="s">
        <v>80</v>
      </c>
      <c r="I1007" s="1" t="n">
        <v>3</v>
      </c>
      <c r="J1007" s="7" t="n">
        <v>14918.13</v>
      </c>
      <c r="K1007" s="8" t="n">
        <v>0.1</v>
      </c>
      <c r="L1007" s="7" t="n">
        <v>12064.41</v>
      </c>
      <c r="M1007" s="6" t="s">
        <v>49</v>
      </c>
      <c r="N1007" s="6" t="s">
        <v>50</v>
      </c>
      <c r="O1007" s="6" t="n">
        <f aca="false">IF(TablaVentas[[#This Row],[Precio_unitario]]="","PENDIENTE",TablaVentas[[#This Row],[Unidades]]*TablaVentas[[#This Row],[Precio_unitario]]*(1-TablaVentas[[#This Row],[Descuento_pct]]))</f>
        <v>40278.951</v>
      </c>
      <c r="P1007" s="6" t="n">
        <f aca="false">IF(TablaVentas[[#This Row],[Costo_unitario]]="","PENDIENTE",TablaVentas[[#This Row],[Unidades]]*TablaVentas[[#This Row],[Costo_unitario]])</f>
        <v>36193.23</v>
      </c>
      <c r="Q1007" s="6" t="n">
        <f aca="false">IF(OR(TablaVentas[[#This Row],[Ingreso_neto]]="PENDIENTE",TablaVentas[[#This Row],[Costo_total]]="PENDIENTE"),"PENDIENTE",TablaVentas[[#This Row],[Ingreso_neto]]-TablaVentas[[#This Row],[Costo_total]])</f>
        <v>4085.72100000001</v>
      </c>
    </row>
    <row r="1008" customFormat="false" ht="13.5" hidden="false" customHeight="false" outlineLevel="0" collapsed="false">
      <c r="A1008" s="1" t="s">
        <v>794</v>
      </c>
      <c r="B1008" s="1" t="n">
        <v>3</v>
      </c>
      <c r="C1008" s="5" t="n">
        <v>46251</v>
      </c>
      <c r="D1008" s="6" t="s">
        <v>307</v>
      </c>
      <c r="E1008" s="6" t="s">
        <v>179</v>
      </c>
      <c r="F1008" s="6" t="s">
        <v>46</v>
      </c>
      <c r="G1008" s="6" t="s">
        <v>64</v>
      </c>
      <c r="H1008" s="6" t="s">
        <v>80</v>
      </c>
      <c r="I1008" s="1" t="n">
        <v>1</v>
      </c>
      <c r="J1008" s="7" t="n">
        <v>17174.74</v>
      </c>
      <c r="K1008" s="8" t="n">
        <v>0</v>
      </c>
      <c r="L1008" s="7" t="n">
        <v>10830.17</v>
      </c>
      <c r="M1008" s="6" t="s">
        <v>49</v>
      </c>
      <c r="N1008" s="6" t="s">
        <v>59</v>
      </c>
      <c r="O1008" s="6" t="n">
        <f aca="false">IF(TablaVentas[[#This Row],[Precio_unitario]]="","PENDIENTE",TablaVentas[[#This Row],[Unidades]]*TablaVentas[[#This Row],[Precio_unitario]]*(1-TablaVentas[[#This Row],[Descuento_pct]]))</f>
        <v>17174.74</v>
      </c>
      <c r="P1008" s="6" t="n">
        <f aca="false">IF(TablaVentas[[#This Row],[Costo_unitario]]="","PENDIENTE",TablaVentas[[#This Row],[Unidades]]*TablaVentas[[#This Row],[Costo_unitario]])</f>
        <v>10830.17</v>
      </c>
      <c r="Q1008" s="6" t="n">
        <f aca="false">IF(OR(TablaVentas[[#This Row],[Ingreso_neto]]="PENDIENTE",TablaVentas[[#This Row],[Costo_total]]="PENDIENTE"),"PENDIENTE",TablaVentas[[#This Row],[Ingreso_neto]]-TablaVentas[[#This Row],[Costo_total]])</f>
        <v>6344.57</v>
      </c>
    </row>
    <row r="1009" customFormat="false" ht="13.5" hidden="false" customHeight="false" outlineLevel="0" collapsed="false">
      <c r="A1009" s="1" t="s">
        <v>795</v>
      </c>
      <c r="B1009" s="1" t="n">
        <v>1</v>
      </c>
      <c r="C1009" s="5" t="n">
        <v>46186</v>
      </c>
      <c r="D1009" s="6" t="s">
        <v>642</v>
      </c>
      <c r="E1009" s="6" t="s">
        <v>218</v>
      </c>
      <c r="F1009" s="6" t="s">
        <v>84</v>
      </c>
      <c r="G1009" s="6" t="s">
        <v>57</v>
      </c>
      <c r="H1009" s="6" t="s">
        <v>109</v>
      </c>
      <c r="I1009" s="1" t="n">
        <v>1</v>
      </c>
      <c r="J1009" s="7" t="n">
        <v>18847.91</v>
      </c>
      <c r="K1009" s="8" t="n">
        <v>0</v>
      </c>
      <c r="L1009" s="7" t="n">
        <v>13760.53</v>
      </c>
      <c r="M1009" s="6" t="s">
        <v>49</v>
      </c>
      <c r="N1009" s="6" t="s">
        <v>67</v>
      </c>
      <c r="O1009" s="6" t="n">
        <f aca="false">IF(TablaVentas[[#This Row],[Precio_unitario]]="","PENDIENTE",TablaVentas[[#This Row],[Unidades]]*TablaVentas[[#This Row],[Precio_unitario]]*(1-TablaVentas[[#This Row],[Descuento_pct]]))</f>
        <v>18847.91</v>
      </c>
      <c r="P1009" s="6" t="n">
        <f aca="false">IF(TablaVentas[[#This Row],[Costo_unitario]]="","PENDIENTE",TablaVentas[[#This Row],[Unidades]]*TablaVentas[[#This Row],[Costo_unitario]])</f>
        <v>13760.53</v>
      </c>
      <c r="Q1009" s="6" t="n">
        <f aca="false">IF(OR(TablaVentas[[#This Row],[Ingreso_neto]]="PENDIENTE",TablaVentas[[#This Row],[Costo_total]]="PENDIENTE"),"PENDIENTE",TablaVentas[[#This Row],[Ingreso_neto]]-TablaVentas[[#This Row],[Costo_total]])</f>
        <v>5087.38</v>
      </c>
    </row>
    <row r="1010" customFormat="false" ht="13.5" hidden="false" customHeight="false" outlineLevel="0" collapsed="false">
      <c r="A1010" s="1" t="s">
        <v>795</v>
      </c>
      <c r="B1010" s="1" t="n">
        <v>2</v>
      </c>
      <c r="C1010" s="5" t="n">
        <v>46186</v>
      </c>
      <c r="D1010" s="6" t="s">
        <v>642</v>
      </c>
      <c r="E1010" s="6" t="s">
        <v>72</v>
      </c>
      <c r="F1010" s="6" t="s">
        <v>84</v>
      </c>
      <c r="G1010" s="6" t="s">
        <v>57</v>
      </c>
      <c r="H1010" s="6" t="s">
        <v>109</v>
      </c>
      <c r="I1010" s="1" t="n">
        <v>1</v>
      </c>
      <c r="J1010" s="7" t="n">
        <v>12027.89</v>
      </c>
      <c r="K1010" s="8" t="n">
        <v>0</v>
      </c>
      <c r="L1010" s="7" t="n">
        <v>7328.02</v>
      </c>
      <c r="M1010" s="6" t="s">
        <v>123</v>
      </c>
      <c r="N1010" s="6" t="s">
        <v>50</v>
      </c>
      <c r="O1010" s="6" t="n">
        <f aca="false">IF(TablaVentas[[#This Row],[Precio_unitario]]="","PENDIENTE",TablaVentas[[#This Row],[Unidades]]*TablaVentas[[#This Row],[Precio_unitario]]*(1-TablaVentas[[#This Row],[Descuento_pct]]))</f>
        <v>12027.89</v>
      </c>
      <c r="P1010" s="6" t="n">
        <f aca="false">IF(TablaVentas[[#This Row],[Costo_unitario]]="","PENDIENTE",TablaVentas[[#This Row],[Unidades]]*TablaVentas[[#This Row],[Costo_unitario]])</f>
        <v>7328.02</v>
      </c>
      <c r="Q1010" s="6" t="n">
        <f aca="false">IF(OR(TablaVentas[[#This Row],[Ingreso_neto]]="PENDIENTE",TablaVentas[[#This Row],[Costo_total]]="PENDIENTE"),"PENDIENTE",TablaVentas[[#This Row],[Ingreso_neto]]-TablaVentas[[#This Row],[Costo_total]])</f>
        <v>4699.87</v>
      </c>
    </row>
    <row r="1011" customFormat="false" ht="13.5" hidden="false" customHeight="false" outlineLevel="0" collapsed="false">
      <c r="A1011" s="1" t="s">
        <v>796</v>
      </c>
      <c r="B1011" s="1" t="n">
        <v>1</v>
      </c>
      <c r="C1011" s="5" t="n">
        <v>46091</v>
      </c>
      <c r="D1011" s="6" t="s">
        <v>797</v>
      </c>
      <c r="E1011" s="6" t="s">
        <v>223</v>
      </c>
      <c r="F1011" s="6" t="s">
        <v>73</v>
      </c>
      <c r="G1011" s="6" t="s">
        <v>47</v>
      </c>
      <c r="H1011" s="6" t="s">
        <v>58</v>
      </c>
      <c r="I1011" s="1" t="n">
        <v>2</v>
      </c>
      <c r="J1011" s="7" t="n">
        <v>16150.8</v>
      </c>
      <c r="K1011" s="8" t="n">
        <v>0</v>
      </c>
      <c r="L1011" s="7" t="n">
        <v>12064.41</v>
      </c>
      <c r="M1011" s="6" t="s">
        <v>49</v>
      </c>
      <c r="N1011" s="6" t="s">
        <v>52</v>
      </c>
      <c r="O1011" s="6" t="n">
        <f aca="false">IF(TablaVentas[[#This Row],[Precio_unitario]]="","PENDIENTE",TablaVentas[[#This Row],[Unidades]]*TablaVentas[[#This Row],[Precio_unitario]]*(1-TablaVentas[[#This Row],[Descuento_pct]]))</f>
        <v>32301.6</v>
      </c>
      <c r="P1011" s="6" t="n">
        <f aca="false">IF(TablaVentas[[#This Row],[Costo_unitario]]="","PENDIENTE",TablaVentas[[#This Row],[Unidades]]*TablaVentas[[#This Row],[Costo_unitario]])</f>
        <v>24128.82</v>
      </c>
      <c r="Q1011" s="6" t="n">
        <f aca="false">IF(OR(TablaVentas[[#This Row],[Ingreso_neto]]="PENDIENTE",TablaVentas[[#This Row],[Costo_total]]="PENDIENTE"),"PENDIENTE",TablaVentas[[#This Row],[Ingreso_neto]]-TablaVentas[[#This Row],[Costo_total]])</f>
        <v>8172.78</v>
      </c>
    </row>
    <row r="1012" customFormat="false" ht="13.5" hidden="false" customHeight="false" outlineLevel="0" collapsed="false">
      <c r="A1012" s="1" t="s">
        <v>798</v>
      </c>
      <c r="B1012" s="1" t="n">
        <v>1</v>
      </c>
      <c r="C1012" s="5" t="n">
        <v>46274</v>
      </c>
      <c r="D1012" s="6" t="s">
        <v>799</v>
      </c>
      <c r="E1012" s="6" t="s">
        <v>342</v>
      </c>
      <c r="F1012" s="6" t="s">
        <v>46</v>
      </c>
      <c r="G1012" s="6" t="s">
        <v>47</v>
      </c>
      <c r="H1012" s="6" t="s">
        <v>80</v>
      </c>
      <c r="I1012" s="1" t="n">
        <v>3</v>
      </c>
      <c r="J1012" s="7" t="n">
        <v>6647.7</v>
      </c>
      <c r="K1012" s="8" t="n">
        <v>0.15</v>
      </c>
      <c r="L1012" s="7" t="n">
        <v>5587.31</v>
      </c>
      <c r="M1012" s="6" t="s">
        <v>49</v>
      </c>
      <c r="N1012" s="6" t="s">
        <v>59</v>
      </c>
      <c r="O1012" s="6" t="n">
        <f aca="false">IF(TablaVentas[[#This Row],[Precio_unitario]]="","PENDIENTE",TablaVentas[[#This Row],[Unidades]]*TablaVentas[[#This Row],[Precio_unitario]]*(1-TablaVentas[[#This Row],[Descuento_pct]]))</f>
        <v>16951.635</v>
      </c>
      <c r="P1012" s="6" t="n">
        <f aca="false">IF(TablaVentas[[#This Row],[Costo_unitario]]="","PENDIENTE",TablaVentas[[#This Row],[Unidades]]*TablaVentas[[#This Row],[Costo_unitario]])</f>
        <v>16761.93</v>
      </c>
      <c r="Q1012" s="6" t="n">
        <f aca="false">IF(OR(TablaVentas[[#This Row],[Ingreso_neto]]="PENDIENTE",TablaVentas[[#This Row],[Costo_total]]="PENDIENTE"),"PENDIENTE",TablaVentas[[#This Row],[Ingreso_neto]]-TablaVentas[[#This Row],[Costo_total]])</f>
        <v>189.704999999998</v>
      </c>
    </row>
    <row r="1013" customFormat="false" ht="13.5" hidden="false" customHeight="false" outlineLevel="0" collapsed="false">
      <c r="A1013" s="1" t="s">
        <v>798</v>
      </c>
      <c r="B1013" s="1" t="n">
        <v>2</v>
      </c>
      <c r="C1013" s="5" t="n">
        <v>46274</v>
      </c>
      <c r="D1013" s="6" t="s">
        <v>799</v>
      </c>
      <c r="E1013" s="6" t="s">
        <v>252</v>
      </c>
      <c r="F1013" s="6" t="s">
        <v>46</v>
      </c>
      <c r="G1013" s="6" t="s">
        <v>47</v>
      </c>
      <c r="H1013" s="6" t="s">
        <v>80</v>
      </c>
      <c r="I1013" s="1" t="n">
        <v>2</v>
      </c>
      <c r="J1013" s="7" t="n">
        <v>18105.47</v>
      </c>
      <c r="K1013" s="8" t="n">
        <v>0</v>
      </c>
      <c r="L1013" s="7" t="n">
        <v>10507.24</v>
      </c>
      <c r="M1013" s="6" t="s">
        <v>49</v>
      </c>
      <c r="N1013" s="6" t="s">
        <v>67</v>
      </c>
      <c r="O1013" s="6" t="n">
        <f aca="false">IF(TablaVentas[[#This Row],[Precio_unitario]]="","PENDIENTE",TablaVentas[[#This Row],[Unidades]]*TablaVentas[[#This Row],[Precio_unitario]]*(1-TablaVentas[[#This Row],[Descuento_pct]]))</f>
        <v>36210.94</v>
      </c>
      <c r="P1013" s="6" t="n">
        <f aca="false">IF(TablaVentas[[#This Row],[Costo_unitario]]="","PENDIENTE",TablaVentas[[#This Row],[Unidades]]*TablaVentas[[#This Row],[Costo_unitario]])</f>
        <v>21014.48</v>
      </c>
      <c r="Q1013" s="6" t="n">
        <f aca="false">IF(OR(TablaVentas[[#This Row],[Ingreso_neto]]="PENDIENTE",TablaVentas[[#This Row],[Costo_total]]="PENDIENTE"),"PENDIENTE",TablaVentas[[#This Row],[Ingreso_neto]]-TablaVentas[[#This Row],[Costo_total]])</f>
        <v>15196.46</v>
      </c>
    </row>
    <row r="1014" customFormat="false" ht="13.5" hidden="false" customHeight="false" outlineLevel="0" collapsed="false">
      <c r="A1014" s="1" t="s">
        <v>798</v>
      </c>
      <c r="B1014" s="1" t="n">
        <v>3</v>
      </c>
      <c r="C1014" s="5" t="n">
        <v>46274</v>
      </c>
      <c r="D1014" s="6" t="s">
        <v>799</v>
      </c>
      <c r="E1014" s="6" t="s">
        <v>278</v>
      </c>
      <c r="F1014" s="6" t="s">
        <v>46</v>
      </c>
      <c r="G1014" s="6" t="s">
        <v>47</v>
      </c>
      <c r="H1014" s="6" t="s">
        <v>80</v>
      </c>
      <c r="I1014" s="1" t="n">
        <v>5</v>
      </c>
      <c r="J1014" s="7" t="n">
        <v>1160.17</v>
      </c>
      <c r="K1014" s="8" t="n">
        <v>0.1</v>
      </c>
      <c r="L1014" s="7" t="n">
        <v>759.03</v>
      </c>
      <c r="M1014" s="6" t="s">
        <v>49</v>
      </c>
      <c r="N1014" s="6" t="s">
        <v>50</v>
      </c>
      <c r="O1014" s="6" t="n">
        <f aca="false">IF(TablaVentas[[#This Row],[Precio_unitario]]="","PENDIENTE",TablaVentas[[#This Row],[Unidades]]*TablaVentas[[#This Row],[Precio_unitario]]*(1-TablaVentas[[#This Row],[Descuento_pct]]))</f>
        <v>5220.765</v>
      </c>
      <c r="P1014" s="6" t="n">
        <f aca="false">IF(TablaVentas[[#This Row],[Costo_unitario]]="","PENDIENTE",TablaVentas[[#This Row],[Unidades]]*TablaVentas[[#This Row],[Costo_unitario]])</f>
        <v>3795.15</v>
      </c>
      <c r="Q1014" s="6" t="n">
        <f aca="false">IF(OR(TablaVentas[[#This Row],[Ingreso_neto]]="PENDIENTE",TablaVentas[[#This Row],[Costo_total]]="PENDIENTE"),"PENDIENTE",TablaVentas[[#This Row],[Ingreso_neto]]-TablaVentas[[#This Row],[Costo_total]])</f>
        <v>1425.615</v>
      </c>
    </row>
    <row r="1015" customFormat="false" ht="13.5" hidden="false" customHeight="false" outlineLevel="0" collapsed="false">
      <c r="A1015" s="1" t="s">
        <v>798</v>
      </c>
      <c r="B1015" s="1" t="n">
        <v>4</v>
      </c>
      <c r="C1015" s="5" t="n">
        <v>46274</v>
      </c>
      <c r="D1015" s="6" t="s">
        <v>799</v>
      </c>
      <c r="E1015" s="6" t="s">
        <v>219</v>
      </c>
      <c r="F1015" s="6" t="s">
        <v>46</v>
      </c>
      <c r="G1015" s="6" t="s">
        <v>47</v>
      </c>
      <c r="H1015" s="6" t="s">
        <v>80</v>
      </c>
      <c r="I1015" s="1" t="n">
        <v>2</v>
      </c>
      <c r="J1015" s="7" t="n">
        <v>3607.1</v>
      </c>
      <c r="K1015" s="8" t="n">
        <v>0.15</v>
      </c>
      <c r="L1015" s="7" t="n">
        <v>2157.55</v>
      </c>
      <c r="M1015" s="6" t="s">
        <v>49</v>
      </c>
      <c r="N1015" s="6" t="s">
        <v>59</v>
      </c>
      <c r="O1015" s="6" t="n">
        <f aca="false">IF(TablaVentas[[#This Row],[Precio_unitario]]="","PENDIENTE",TablaVentas[[#This Row],[Unidades]]*TablaVentas[[#This Row],[Precio_unitario]]*(1-TablaVentas[[#This Row],[Descuento_pct]]))</f>
        <v>6132.07</v>
      </c>
      <c r="P1015" s="6" t="n">
        <f aca="false">IF(TablaVentas[[#This Row],[Costo_unitario]]="","PENDIENTE",TablaVentas[[#This Row],[Unidades]]*TablaVentas[[#This Row],[Costo_unitario]])</f>
        <v>4315.1</v>
      </c>
      <c r="Q1015" s="6" t="n">
        <f aca="false">IF(OR(TablaVentas[[#This Row],[Ingreso_neto]]="PENDIENTE",TablaVentas[[#This Row],[Costo_total]]="PENDIENTE"),"PENDIENTE",TablaVentas[[#This Row],[Ingreso_neto]]-TablaVentas[[#This Row],[Costo_total]])</f>
        <v>1816.97</v>
      </c>
    </row>
    <row r="1016" customFormat="false" ht="13.5" hidden="false" customHeight="false" outlineLevel="0" collapsed="false">
      <c r="A1016" s="1" t="s">
        <v>798</v>
      </c>
      <c r="B1016" s="1" t="n">
        <v>5</v>
      </c>
      <c r="C1016" s="5" t="n">
        <v>46274</v>
      </c>
      <c r="D1016" s="6" t="s">
        <v>799</v>
      </c>
      <c r="E1016" s="6" t="s">
        <v>145</v>
      </c>
      <c r="F1016" s="6" t="s">
        <v>46</v>
      </c>
      <c r="G1016" s="6" t="s">
        <v>47</v>
      </c>
      <c r="H1016" s="6" t="s">
        <v>80</v>
      </c>
      <c r="I1016" s="1" t="n">
        <v>4</v>
      </c>
      <c r="J1016" s="7" t="n">
        <v>7059.01</v>
      </c>
      <c r="K1016" s="8" t="n">
        <v>0</v>
      </c>
      <c r="L1016" s="7" t="n">
        <v>4665.62</v>
      </c>
      <c r="M1016" s="6" t="s">
        <v>49</v>
      </c>
      <c r="N1016" s="6" t="s">
        <v>59</v>
      </c>
      <c r="O1016" s="6" t="n">
        <f aca="false">IF(TablaVentas[[#This Row],[Precio_unitario]]="","PENDIENTE",TablaVentas[[#This Row],[Unidades]]*TablaVentas[[#This Row],[Precio_unitario]]*(1-TablaVentas[[#This Row],[Descuento_pct]]))</f>
        <v>28236.04</v>
      </c>
      <c r="P1016" s="6" t="n">
        <f aca="false">IF(TablaVentas[[#This Row],[Costo_unitario]]="","PENDIENTE",TablaVentas[[#This Row],[Unidades]]*TablaVentas[[#This Row],[Costo_unitario]])</f>
        <v>18662.48</v>
      </c>
      <c r="Q1016" s="6" t="n">
        <f aca="false">IF(OR(TablaVentas[[#This Row],[Ingreso_neto]]="PENDIENTE",TablaVentas[[#This Row],[Costo_total]]="PENDIENTE"),"PENDIENTE",TablaVentas[[#This Row],[Ingreso_neto]]-TablaVentas[[#This Row],[Costo_total]])</f>
        <v>9573.56</v>
      </c>
    </row>
    <row r="1017" customFormat="false" ht="13.5" hidden="false" customHeight="false" outlineLevel="0" collapsed="false">
      <c r="A1017" s="1" t="s">
        <v>800</v>
      </c>
      <c r="B1017" s="1" t="n">
        <v>1</v>
      </c>
      <c r="C1017" s="5" t="n">
        <v>46034</v>
      </c>
      <c r="D1017" s="6" t="s">
        <v>744</v>
      </c>
      <c r="E1017" s="6" t="s">
        <v>155</v>
      </c>
      <c r="F1017" s="6" t="s">
        <v>46</v>
      </c>
      <c r="G1017" s="6" t="s">
        <v>47</v>
      </c>
      <c r="H1017" s="6" t="s">
        <v>89</v>
      </c>
      <c r="I1017" s="1" t="n">
        <v>1</v>
      </c>
      <c r="J1017" s="7" t="n">
        <v>2744.99</v>
      </c>
      <c r="K1017" s="8" t="n">
        <v>0.1</v>
      </c>
      <c r="L1017" s="7" t="n">
        <v>2459.34</v>
      </c>
      <c r="M1017" s="6" t="s">
        <v>123</v>
      </c>
      <c r="N1017" s="6" t="s">
        <v>52</v>
      </c>
      <c r="O1017" s="6" t="n">
        <f aca="false">IF(TablaVentas[[#This Row],[Precio_unitario]]="","PENDIENTE",TablaVentas[[#This Row],[Unidades]]*TablaVentas[[#This Row],[Precio_unitario]]*(1-TablaVentas[[#This Row],[Descuento_pct]]))</f>
        <v>2470.491</v>
      </c>
      <c r="P1017" s="6" t="n">
        <f aca="false">IF(TablaVentas[[#This Row],[Costo_unitario]]="","PENDIENTE",TablaVentas[[#This Row],[Unidades]]*TablaVentas[[#This Row],[Costo_unitario]])</f>
        <v>2459.34</v>
      </c>
      <c r="Q1017" s="6" t="n">
        <f aca="false">IF(OR(TablaVentas[[#This Row],[Ingreso_neto]]="PENDIENTE",TablaVentas[[#This Row],[Costo_total]]="PENDIENTE"),"PENDIENTE",TablaVentas[[#This Row],[Ingreso_neto]]-TablaVentas[[#This Row],[Costo_total]])</f>
        <v>11.1509999999998</v>
      </c>
    </row>
    <row r="1018" customFormat="false" ht="13.5" hidden="false" customHeight="false" outlineLevel="0" collapsed="false">
      <c r="A1018" s="1" t="s">
        <v>800</v>
      </c>
      <c r="B1018" s="1" t="n">
        <v>2</v>
      </c>
      <c r="C1018" s="5" t="n">
        <v>46034</v>
      </c>
      <c r="D1018" s="6" t="s">
        <v>744</v>
      </c>
      <c r="E1018" s="6" t="s">
        <v>353</v>
      </c>
      <c r="F1018" s="6" t="s">
        <v>46</v>
      </c>
      <c r="G1018" s="6" t="s">
        <v>47</v>
      </c>
      <c r="H1018" s="6" t="s">
        <v>89</v>
      </c>
      <c r="I1018" s="1" t="n">
        <v>1</v>
      </c>
      <c r="J1018" s="7" t="n">
        <v>2424.85</v>
      </c>
      <c r="K1018" s="8" t="n">
        <v>0.2</v>
      </c>
      <c r="L1018" s="7" t="n">
        <v>1175.74</v>
      </c>
      <c r="M1018" s="6" t="s">
        <v>49</v>
      </c>
      <c r="N1018" s="6" t="s">
        <v>52</v>
      </c>
      <c r="O1018" s="6" t="n">
        <f aca="false">IF(TablaVentas[[#This Row],[Precio_unitario]]="","PENDIENTE",TablaVentas[[#This Row],[Unidades]]*TablaVentas[[#This Row],[Precio_unitario]]*(1-TablaVentas[[#This Row],[Descuento_pct]]))</f>
        <v>1939.88</v>
      </c>
      <c r="P1018" s="6" t="n">
        <f aca="false">IF(TablaVentas[[#This Row],[Costo_unitario]]="","PENDIENTE",TablaVentas[[#This Row],[Unidades]]*TablaVentas[[#This Row],[Costo_unitario]])</f>
        <v>1175.74</v>
      </c>
      <c r="Q1018" s="6" t="n">
        <f aca="false">IF(OR(TablaVentas[[#This Row],[Ingreso_neto]]="PENDIENTE",TablaVentas[[#This Row],[Costo_total]]="PENDIENTE"),"PENDIENTE",TablaVentas[[#This Row],[Ingreso_neto]]-TablaVentas[[#This Row],[Costo_total]])</f>
        <v>764.14</v>
      </c>
    </row>
    <row r="1019" customFormat="false" ht="13.5" hidden="false" customHeight="false" outlineLevel="0" collapsed="false">
      <c r="A1019" s="1" t="s">
        <v>800</v>
      </c>
      <c r="B1019" s="1" t="n">
        <v>3</v>
      </c>
      <c r="C1019" s="5" t="n">
        <v>46034</v>
      </c>
      <c r="D1019" s="6" t="s">
        <v>744</v>
      </c>
      <c r="E1019" s="6" t="s">
        <v>122</v>
      </c>
      <c r="F1019" s="6" t="s">
        <v>46</v>
      </c>
      <c r="G1019" s="6" t="s">
        <v>47</v>
      </c>
      <c r="H1019" s="6" t="s">
        <v>89</v>
      </c>
      <c r="I1019" s="1" t="n">
        <v>3</v>
      </c>
      <c r="J1019" s="7" t="n">
        <v>1331.9</v>
      </c>
      <c r="K1019" s="8" t="n">
        <v>0.2</v>
      </c>
      <c r="L1019" s="7" t="n">
        <v>705.87</v>
      </c>
      <c r="M1019" s="6" t="s">
        <v>49</v>
      </c>
      <c r="N1019" s="6" t="s">
        <v>67</v>
      </c>
      <c r="O1019" s="6" t="n">
        <f aca="false">IF(TablaVentas[[#This Row],[Precio_unitario]]="","PENDIENTE",TablaVentas[[#This Row],[Unidades]]*TablaVentas[[#This Row],[Precio_unitario]]*(1-TablaVentas[[#This Row],[Descuento_pct]]))</f>
        <v>3196.56</v>
      </c>
      <c r="P1019" s="6" t="n">
        <f aca="false">IF(TablaVentas[[#This Row],[Costo_unitario]]="","PENDIENTE",TablaVentas[[#This Row],[Unidades]]*TablaVentas[[#This Row],[Costo_unitario]])</f>
        <v>2117.61</v>
      </c>
      <c r="Q1019" s="6" t="n">
        <f aca="false">IF(OR(TablaVentas[[#This Row],[Ingreso_neto]]="PENDIENTE",TablaVentas[[#This Row],[Costo_total]]="PENDIENTE"),"PENDIENTE",TablaVentas[[#This Row],[Ingreso_neto]]-TablaVentas[[#This Row],[Costo_total]])</f>
        <v>1078.95</v>
      </c>
    </row>
    <row r="1020" customFormat="false" ht="13.5" hidden="false" customHeight="false" outlineLevel="0" collapsed="false">
      <c r="A1020" s="1" t="s">
        <v>801</v>
      </c>
      <c r="B1020" s="1" t="n">
        <v>1</v>
      </c>
      <c r="C1020" s="5" t="n">
        <v>46265</v>
      </c>
      <c r="D1020" s="6" t="s">
        <v>87</v>
      </c>
      <c r="E1020" s="6" t="s">
        <v>243</v>
      </c>
      <c r="F1020" s="6" t="s">
        <v>46</v>
      </c>
      <c r="G1020" s="6" t="s">
        <v>47</v>
      </c>
      <c r="H1020" s="6" t="s">
        <v>65</v>
      </c>
      <c r="I1020" s="1" t="n">
        <v>1</v>
      </c>
      <c r="J1020" s="7" t="n">
        <v>10381.24</v>
      </c>
      <c r="K1020" s="8" t="n">
        <v>0.2</v>
      </c>
      <c r="L1020" s="7" t="n">
        <v>8061.7</v>
      </c>
      <c r="M1020" s="6" t="s">
        <v>49</v>
      </c>
      <c r="N1020" s="6" t="s">
        <v>59</v>
      </c>
      <c r="O1020" s="6" t="n">
        <f aca="false">IF(TablaVentas[[#This Row],[Precio_unitario]]="","PENDIENTE",TablaVentas[[#This Row],[Unidades]]*TablaVentas[[#This Row],[Precio_unitario]]*(1-TablaVentas[[#This Row],[Descuento_pct]]))</f>
        <v>8304.992</v>
      </c>
      <c r="P1020" s="6" t="n">
        <f aca="false">IF(TablaVentas[[#This Row],[Costo_unitario]]="","PENDIENTE",TablaVentas[[#This Row],[Unidades]]*TablaVentas[[#This Row],[Costo_unitario]])</f>
        <v>8061.7</v>
      </c>
      <c r="Q1020" s="6" t="n">
        <f aca="false">IF(OR(TablaVentas[[#This Row],[Ingreso_neto]]="PENDIENTE",TablaVentas[[#This Row],[Costo_total]]="PENDIENTE"),"PENDIENTE",TablaVentas[[#This Row],[Ingreso_neto]]-TablaVentas[[#This Row],[Costo_total]])</f>
        <v>243.292</v>
      </c>
    </row>
    <row r="1021" customFormat="false" ht="13.5" hidden="false" customHeight="false" outlineLevel="0" collapsed="false">
      <c r="A1021" s="1" t="s">
        <v>802</v>
      </c>
      <c r="B1021" s="1" t="n">
        <v>1</v>
      </c>
      <c r="C1021" s="5" t="n">
        <v>46290</v>
      </c>
      <c r="D1021" s="6" t="s">
        <v>803</v>
      </c>
      <c r="E1021" s="6" t="s">
        <v>88</v>
      </c>
      <c r="F1021" s="6" t="s">
        <v>84</v>
      </c>
      <c r="G1021" s="6" t="s">
        <v>47</v>
      </c>
      <c r="H1021" s="6" t="s">
        <v>89</v>
      </c>
      <c r="I1021" s="1" t="n">
        <v>4</v>
      </c>
      <c r="J1021" s="7" t="n">
        <v>17293.37</v>
      </c>
      <c r="K1021" s="8" t="n">
        <v>0</v>
      </c>
      <c r="L1021" s="7" t="n">
        <v>11614.87</v>
      </c>
      <c r="M1021" s="6" t="s">
        <v>49</v>
      </c>
      <c r="N1021" s="6" t="s">
        <v>67</v>
      </c>
      <c r="O1021" s="6" t="n">
        <f aca="false">IF(TablaVentas[[#This Row],[Precio_unitario]]="","PENDIENTE",TablaVentas[[#This Row],[Unidades]]*TablaVentas[[#This Row],[Precio_unitario]]*(1-TablaVentas[[#This Row],[Descuento_pct]]))</f>
        <v>69173.48</v>
      </c>
      <c r="P1021" s="6" t="n">
        <f aca="false">IF(TablaVentas[[#This Row],[Costo_unitario]]="","PENDIENTE",TablaVentas[[#This Row],[Unidades]]*TablaVentas[[#This Row],[Costo_unitario]])</f>
        <v>46459.48</v>
      </c>
      <c r="Q1021" s="6" t="n">
        <f aca="false">IF(OR(TablaVentas[[#This Row],[Ingreso_neto]]="PENDIENTE",TablaVentas[[#This Row],[Costo_total]]="PENDIENTE"),"PENDIENTE",TablaVentas[[#This Row],[Ingreso_neto]]-TablaVentas[[#This Row],[Costo_total]])</f>
        <v>22714</v>
      </c>
    </row>
    <row r="1022" customFormat="false" ht="13.5" hidden="false" customHeight="false" outlineLevel="0" collapsed="false">
      <c r="A1022" s="1" t="s">
        <v>802</v>
      </c>
      <c r="B1022" s="1" t="n">
        <v>2</v>
      </c>
      <c r="C1022" s="5" t="n">
        <v>46290</v>
      </c>
      <c r="D1022" s="6" t="s">
        <v>803</v>
      </c>
      <c r="E1022" s="6" t="s">
        <v>151</v>
      </c>
      <c r="F1022" s="6" t="s">
        <v>84</v>
      </c>
      <c r="G1022" s="6" t="s">
        <v>47</v>
      </c>
      <c r="H1022" s="6" t="s">
        <v>89</v>
      </c>
      <c r="I1022" s="1" t="n">
        <v>1</v>
      </c>
      <c r="J1022" s="7" t="n">
        <v>8857.36</v>
      </c>
      <c r="K1022" s="8" t="n">
        <v>0.2</v>
      </c>
      <c r="L1022" s="7" t="n">
        <v>5125.36</v>
      </c>
      <c r="M1022" s="6" t="s">
        <v>49</v>
      </c>
      <c r="N1022" s="6" t="s">
        <v>59</v>
      </c>
      <c r="O1022" s="6" t="n">
        <f aca="false">IF(TablaVentas[[#This Row],[Precio_unitario]]="","PENDIENTE",TablaVentas[[#This Row],[Unidades]]*TablaVentas[[#This Row],[Precio_unitario]]*(1-TablaVentas[[#This Row],[Descuento_pct]]))</f>
        <v>7085.888</v>
      </c>
      <c r="P1022" s="6" t="n">
        <f aca="false">IF(TablaVentas[[#This Row],[Costo_unitario]]="","PENDIENTE",TablaVentas[[#This Row],[Unidades]]*TablaVentas[[#This Row],[Costo_unitario]])</f>
        <v>5125.36</v>
      </c>
      <c r="Q1022" s="6" t="n">
        <f aca="false">IF(OR(TablaVentas[[#This Row],[Ingreso_neto]]="PENDIENTE",TablaVentas[[#This Row],[Costo_total]]="PENDIENTE"),"PENDIENTE",TablaVentas[[#This Row],[Ingreso_neto]]-TablaVentas[[#This Row],[Costo_total]])</f>
        <v>1960.528</v>
      </c>
    </row>
    <row r="1023" customFormat="false" ht="13.5" hidden="false" customHeight="false" outlineLevel="0" collapsed="false">
      <c r="A1023" s="1" t="s">
        <v>804</v>
      </c>
      <c r="B1023" s="1" t="n">
        <v>1</v>
      </c>
      <c r="C1023" s="5" t="n">
        <v>46024</v>
      </c>
      <c r="D1023" s="6" t="s">
        <v>611</v>
      </c>
      <c r="E1023" s="6" t="s">
        <v>163</v>
      </c>
      <c r="F1023" s="6" t="s">
        <v>63</v>
      </c>
      <c r="G1023" s="6" t="s">
        <v>47</v>
      </c>
      <c r="H1023" s="6" t="s">
        <v>65</v>
      </c>
      <c r="I1023" s="1" t="n">
        <v>1</v>
      </c>
      <c r="J1023" s="7" t="n">
        <v>17277.29</v>
      </c>
      <c r="K1023" s="8" t="n">
        <v>0</v>
      </c>
      <c r="L1023" s="7" t="n">
        <v>13981.13</v>
      </c>
      <c r="M1023" s="6" t="s">
        <v>49</v>
      </c>
      <c r="N1023" s="6" t="s">
        <v>59</v>
      </c>
      <c r="O1023" s="6" t="n">
        <f aca="false">IF(TablaVentas[[#This Row],[Precio_unitario]]="","PENDIENTE",TablaVentas[[#This Row],[Unidades]]*TablaVentas[[#This Row],[Precio_unitario]]*(1-TablaVentas[[#This Row],[Descuento_pct]]))</f>
        <v>17277.29</v>
      </c>
      <c r="P1023" s="6" t="n">
        <f aca="false">IF(TablaVentas[[#This Row],[Costo_unitario]]="","PENDIENTE",TablaVentas[[#This Row],[Unidades]]*TablaVentas[[#This Row],[Costo_unitario]])</f>
        <v>13981.13</v>
      </c>
      <c r="Q1023" s="6" t="n">
        <f aca="false">IF(OR(TablaVentas[[#This Row],[Ingreso_neto]]="PENDIENTE",TablaVentas[[#This Row],[Costo_total]]="PENDIENTE"),"PENDIENTE",TablaVentas[[#This Row],[Ingreso_neto]]-TablaVentas[[#This Row],[Costo_total]])</f>
        <v>3296.16</v>
      </c>
    </row>
    <row r="1024" customFormat="false" ht="13.5" hidden="false" customHeight="false" outlineLevel="0" collapsed="false">
      <c r="A1024" s="1" t="s">
        <v>805</v>
      </c>
      <c r="B1024" s="1" t="n">
        <v>1</v>
      </c>
      <c r="C1024" s="5" t="n">
        <v>46130</v>
      </c>
      <c r="D1024" s="6" t="s">
        <v>262</v>
      </c>
      <c r="E1024" s="6" t="s">
        <v>85</v>
      </c>
      <c r="F1024" s="6" t="s">
        <v>63</v>
      </c>
      <c r="G1024" s="6" t="s">
        <v>64</v>
      </c>
      <c r="H1024" s="6" t="s">
        <v>131</v>
      </c>
      <c r="I1024" s="1" t="n">
        <v>2</v>
      </c>
      <c r="J1024" s="7" t="n">
        <v>9099.94</v>
      </c>
      <c r="K1024" s="8" t="n">
        <v>0.15</v>
      </c>
      <c r="L1024" s="7" t="n">
        <v>5033.47</v>
      </c>
      <c r="M1024" s="6" t="s">
        <v>49</v>
      </c>
      <c r="N1024" s="6" t="s">
        <v>67</v>
      </c>
      <c r="O1024" s="6" t="n">
        <f aca="false">IF(TablaVentas[[#This Row],[Precio_unitario]]="","PENDIENTE",TablaVentas[[#This Row],[Unidades]]*TablaVentas[[#This Row],[Precio_unitario]]*(1-TablaVentas[[#This Row],[Descuento_pct]]))</f>
        <v>15469.898</v>
      </c>
      <c r="P1024" s="6" t="n">
        <f aca="false">IF(TablaVentas[[#This Row],[Costo_unitario]]="","PENDIENTE",TablaVentas[[#This Row],[Unidades]]*TablaVentas[[#This Row],[Costo_unitario]])</f>
        <v>10066.94</v>
      </c>
      <c r="Q1024" s="6" t="n">
        <f aca="false">IF(OR(TablaVentas[[#This Row],[Ingreso_neto]]="PENDIENTE",TablaVentas[[#This Row],[Costo_total]]="PENDIENTE"),"PENDIENTE",TablaVentas[[#This Row],[Ingreso_neto]]-TablaVentas[[#This Row],[Costo_total]])</f>
        <v>5402.958</v>
      </c>
    </row>
    <row r="1025" customFormat="false" ht="13.5" hidden="false" customHeight="false" outlineLevel="0" collapsed="false">
      <c r="A1025" s="1" t="s">
        <v>805</v>
      </c>
      <c r="B1025" s="1" t="n">
        <v>2</v>
      </c>
      <c r="C1025" s="5" t="n">
        <v>46130</v>
      </c>
      <c r="D1025" s="6" t="s">
        <v>262</v>
      </c>
      <c r="E1025" s="6" t="s">
        <v>75</v>
      </c>
      <c r="F1025" s="6" t="s">
        <v>63</v>
      </c>
      <c r="G1025" s="6" t="s">
        <v>64</v>
      </c>
      <c r="H1025" s="6" t="s">
        <v>131</v>
      </c>
      <c r="I1025" s="1" t="n">
        <v>3</v>
      </c>
      <c r="J1025" s="7" t="n">
        <v>14746.1</v>
      </c>
      <c r="K1025" s="8" t="n">
        <v>0.05</v>
      </c>
      <c r="L1025" s="7" t="n">
        <v>9243.35</v>
      </c>
      <c r="M1025" s="6" t="s">
        <v>49</v>
      </c>
      <c r="N1025" s="6" t="s">
        <v>67</v>
      </c>
      <c r="O1025" s="6" t="n">
        <f aca="false">IF(TablaVentas[[#This Row],[Precio_unitario]]="","PENDIENTE",TablaVentas[[#This Row],[Unidades]]*TablaVentas[[#This Row],[Precio_unitario]]*(1-TablaVentas[[#This Row],[Descuento_pct]]))</f>
        <v>42026.385</v>
      </c>
      <c r="P1025" s="6" t="n">
        <f aca="false">IF(TablaVentas[[#This Row],[Costo_unitario]]="","PENDIENTE",TablaVentas[[#This Row],[Unidades]]*TablaVentas[[#This Row],[Costo_unitario]])</f>
        <v>27730.05</v>
      </c>
      <c r="Q1025" s="6" t="n">
        <f aca="false">IF(OR(TablaVentas[[#This Row],[Ingreso_neto]]="PENDIENTE",TablaVentas[[#This Row],[Costo_total]]="PENDIENTE"),"PENDIENTE",TablaVentas[[#This Row],[Ingreso_neto]]-TablaVentas[[#This Row],[Costo_total]])</f>
        <v>14296.335</v>
      </c>
    </row>
    <row r="1026" customFormat="false" ht="13.5" hidden="false" customHeight="false" outlineLevel="0" collapsed="false">
      <c r="A1026" s="1" t="s">
        <v>806</v>
      </c>
      <c r="B1026" s="1" t="n">
        <v>1</v>
      </c>
      <c r="C1026" s="5" t="n">
        <v>46131</v>
      </c>
      <c r="D1026" s="6" t="s">
        <v>807</v>
      </c>
      <c r="E1026" s="6" t="s">
        <v>174</v>
      </c>
      <c r="F1026" s="6" t="s">
        <v>63</v>
      </c>
      <c r="G1026" s="6" t="s">
        <v>47</v>
      </c>
      <c r="H1026" s="6" t="s">
        <v>109</v>
      </c>
      <c r="I1026" s="1" t="n">
        <v>2</v>
      </c>
      <c r="J1026" s="7" t="n">
        <v>17848.5</v>
      </c>
      <c r="K1026" s="8" t="n">
        <v>0.2</v>
      </c>
      <c r="L1026" s="7" t="n">
        <v>8704.4</v>
      </c>
      <c r="M1026" s="6" t="s">
        <v>49</v>
      </c>
      <c r="N1026" s="6" t="s">
        <v>50</v>
      </c>
      <c r="O1026" s="6" t="n">
        <f aca="false">IF(TablaVentas[[#This Row],[Precio_unitario]]="","PENDIENTE",TablaVentas[[#This Row],[Unidades]]*TablaVentas[[#This Row],[Precio_unitario]]*(1-TablaVentas[[#This Row],[Descuento_pct]]))</f>
        <v>28557.6</v>
      </c>
      <c r="P1026" s="6" t="n">
        <f aca="false">IF(TablaVentas[[#This Row],[Costo_unitario]]="","PENDIENTE",TablaVentas[[#This Row],[Unidades]]*TablaVentas[[#This Row],[Costo_unitario]])</f>
        <v>17408.8</v>
      </c>
      <c r="Q1026" s="6" t="n">
        <f aca="false">IF(OR(TablaVentas[[#This Row],[Ingreso_neto]]="PENDIENTE",TablaVentas[[#This Row],[Costo_total]]="PENDIENTE"),"PENDIENTE",TablaVentas[[#This Row],[Ingreso_neto]]-TablaVentas[[#This Row],[Costo_total]])</f>
        <v>11148.8</v>
      </c>
    </row>
    <row r="1027" customFormat="false" ht="13.5" hidden="false" customHeight="false" outlineLevel="0" collapsed="false">
      <c r="A1027" s="1" t="s">
        <v>806</v>
      </c>
      <c r="B1027" s="1" t="n">
        <v>2</v>
      </c>
      <c r="C1027" s="5" t="n">
        <v>46131</v>
      </c>
      <c r="D1027" s="6" t="s">
        <v>807</v>
      </c>
      <c r="E1027" s="6" t="s">
        <v>150</v>
      </c>
      <c r="F1027" s="6" t="s">
        <v>63</v>
      </c>
      <c r="G1027" s="6" t="s">
        <v>47</v>
      </c>
      <c r="H1027" s="6" t="s">
        <v>109</v>
      </c>
      <c r="I1027" s="1" t="n">
        <v>5</v>
      </c>
      <c r="J1027" s="7" t="n">
        <v>8530.57</v>
      </c>
      <c r="K1027" s="8" t="n">
        <v>0.15</v>
      </c>
      <c r="L1027" s="7" t="n">
        <v>6815.42</v>
      </c>
      <c r="M1027" s="6" t="s">
        <v>49</v>
      </c>
      <c r="N1027" s="6" t="s">
        <v>59</v>
      </c>
      <c r="O1027" s="6" t="n">
        <f aca="false">IF(TablaVentas[[#This Row],[Precio_unitario]]="","PENDIENTE",TablaVentas[[#This Row],[Unidades]]*TablaVentas[[#This Row],[Precio_unitario]]*(1-TablaVentas[[#This Row],[Descuento_pct]]))</f>
        <v>36254.9225</v>
      </c>
      <c r="P1027" s="6" t="n">
        <f aca="false">IF(TablaVentas[[#This Row],[Costo_unitario]]="","PENDIENTE",TablaVentas[[#This Row],[Unidades]]*TablaVentas[[#This Row],[Costo_unitario]])</f>
        <v>34077.1</v>
      </c>
      <c r="Q1027" s="6" t="n">
        <f aca="false">IF(OR(TablaVentas[[#This Row],[Ingreso_neto]]="PENDIENTE",TablaVentas[[#This Row],[Costo_total]]="PENDIENTE"),"PENDIENTE",TablaVentas[[#This Row],[Ingreso_neto]]-TablaVentas[[#This Row],[Costo_total]])</f>
        <v>2177.8225</v>
      </c>
    </row>
    <row r="1028" customFormat="false" ht="13.5" hidden="false" customHeight="false" outlineLevel="0" collapsed="false">
      <c r="A1028" s="1" t="s">
        <v>806</v>
      </c>
      <c r="B1028" s="1" t="n">
        <v>3</v>
      </c>
      <c r="C1028" s="5" t="n">
        <v>46131</v>
      </c>
      <c r="D1028" s="6" t="s">
        <v>807</v>
      </c>
      <c r="E1028" s="6" t="s">
        <v>182</v>
      </c>
      <c r="F1028" s="6" t="s">
        <v>63</v>
      </c>
      <c r="G1028" s="6" t="s">
        <v>47</v>
      </c>
      <c r="H1028" s="6" t="s">
        <v>109</v>
      </c>
      <c r="I1028" s="1" t="n">
        <v>1</v>
      </c>
      <c r="J1028" s="7" t="n">
        <v>2737.5</v>
      </c>
      <c r="K1028" s="8" t="n">
        <v>0</v>
      </c>
      <c r="L1028" s="7" t="n">
        <v>1857.39</v>
      </c>
      <c r="M1028" s="6" t="s">
        <v>49</v>
      </c>
      <c r="N1028" s="6" t="s">
        <v>59</v>
      </c>
      <c r="O1028" s="6" t="n">
        <f aca="false">IF(TablaVentas[[#This Row],[Precio_unitario]]="","PENDIENTE",TablaVentas[[#This Row],[Unidades]]*TablaVentas[[#This Row],[Precio_unitario]]*(1-TablaVentas[[#This Row],[Descuento_pct]]))</f>
        <v>2737.5</v>
      </c>
      <c r="P1028" s="6" t="n">
        <f aca="false">IF(TablaVentas[[#This Row],[Costo_unitario]]="","PENDIENTE",TablaVentas[[#This Row],[Unidades]]*TablaVentas[[#This Row],[Costo_unitario]])</f>
        <v>1857.39</v>
      </c>
      <c r="Q1028" s="6" t="n">
        <f aca="false">IF(OR(TablaVentas[[#This Row],[Ingreso_neto]]="PENDIENTE",TablaVentas[[#This Row],[Costo_total]]="PENDIENTE"),"PENDIENTE",TablaVentas[[#This Row],[Ingreso_neto]]-TablaVentas[[#This Row],[Costo_total]])</f>
        <v>880.11</v>
      </c>
    </row>
    <row r="1029" customFormat="false" ht="13.5" hidden="false" customHeight="false" outlineLevel="0" collapsed="false">
      <c r="A1029" s="1" t="s">
        <v>806</v>
      </c>
      <c r="B1029" s="1" t="n">
        <v>4</v>
      </c>
      <c r="C1029" s="5" t="n">
        <v>46131</v>
      </c>
      <c r="D1029" s="6" t="s">
        <v>807</v>
      </c>
      <c r="E1029" s="6" t="s">
        <v>360</v>
      </c>
      <c r="F1029" s="6" t="s">
        <v>63</v>
      </c>
      <c r="G1029" s="6" t="s">
        <v>47</v>
      </c>
      <c r="H1029" s="6" t="s">
        <v>109</v>
      </c>
      <c r="I1029" s="1" t="n">
        <v>2</v>
      </c>
      <c r="J1029" s="7" t="n">
        <v>2299.04</v>
      </c>
      <c r="K1029" s="8" t="n">
        <v>0</v>
      </c>
      <c r="L1029" s="7" t="n">
        <v>1479.71</v>
      </c>
      <c r="M1029" s="6" t="s">
        <v>49</v>
      </c>
      <c r="N1029" s="6" t="s">
        <v>50</v>
      </c>
      <c r="O1029" s="6" t="n">
        <f aca="false">IF(TablaVentas[[#This Row],[Precio_unitario]]="","PENDIENTE",TablaVentas[[#This Row],[Unidades]]*TablaVentas[[#This Row],[Precio_unitario]]*(1-TablaVentas[[#This Row],[Descuento_pct]]))</f>
        <v>4598.08</v>
      </c>
      <c r="P1029" s="6" t="n">
        <f aca="false">IF(TablaVentas[[#This Row],[Costo_unitario]]="","PENDIENTE",TablaVentas[[#This Row],[Unidades]]*TablaVentas[[#This Row],[Costo_unitario]])</f>
        <v>2959.42</v>
      </c>
      <c r="Q1029" s="6" t="n">
        <f aca="false">IF(OR(TablaVentas[[#This Row],[Ingreso_neto]]="PENDIENTE",TablaVentas[[#This Row],[Costo_total]]="PENDIENTE"),"PENDIENTE",TablaVentas[[#This Row],[Ingreso_neto]]-TablaVentas[[#This Row],[Costo_total]])</f>
        <v>1638.66</v>
      </c>
    </row>
    <row r="1030" customFormat="false" ht="13.5" hidden="false" customHeight="false" outlineLevel="0" collapsed="false">
      <c r="A1030" s="1" t="s">
        <v>808</v>
      </c>
      <c r="B1030" s="1" t="n">
        <v>1</v>
      </c>
      <c r="C1030" s="5" t="n">
        <v>46140</v>
      </c>
      <c r="D1030" s="6" t="s">
        <v>625</v>
      </c>
      <c r="E1030" s="6" t="s">
        <v>135</v>
      </c>
      <c r="F1030" s="6" t="s">
        <v>84</v>
      </c>
      <c r="G1030" s="6" t="s">
        <v>57</v>
      </c>
      <c r="H1030" s="6" t="s">
        <v>48</v>
      </c>
      <c r="I1030" s="1" t="n">
        <v>1</v>
      </c>
      <c r="J1030" s="7" t="n">
        <v>1469.84</v>
      </c>
      <c r="K1030" s="8" t="n">
        <v>0.15</v>
      </c>
      <c r="L1030" s="7" t="n">
        <v>900.08</v>
      </c>
      <c r="M1030" s="6" t="s">
        <v>49</v>
      </c>
      <c r="N1030" s="6" t="s">
        <v>67</v>
      </c>
      <c r="O1030" s="6" t="n">
        <f aca="false">IF(TablaVentas[[#This Row],[Precio_unitario]]="","PENDIENTE",TablaVentas[[#This Row],[Unidades]]*TablaVentas[[#This Row],[Precio_unitario]]*(1-TablaVentas[[#This Row],[Descuento_pct]]))</f>
        <v>1249.364</v>
      </c>
      <c r="P1030" s="6" t="n">
        <f aca="false">IF(TablaVentas[[#This Row],[Costo_unitario]]="","PENDIENTE",TablaVentas[[#This Row],[Unidades]]*TablaVentas[[#This Row],[Costo_unitario]])</f>
        <v>900.08</v>
      </c>
      <c r="Q1030" s="6" t="n">
        <f aca="false">IF(OR(TablaVentas[[#This Row],[Ingreso_neto]]="PENDIENTE",TablaVentas[[#This Row],[Costo_total]]="PENDIENTE"),"PENDIENTE",TablaVentas[[#This Row],[Ingreso_neto]]-TablaVentas[[#This Row],[Costo_total]])</f>
        <v>349.284</v>
      </c>
    </row>
    <row r="1031" customFormat="false" ht="13.5" hidden="false" customHeight="false" outlineLevel="0" collapsed="false">
      <c r="A1031" s="1" t="s">
        <v>808</v>
      </c>
      <c r="B1031" s="1" t="n">
        <v>2</v>
      </c>
      <c r="C1031" s="5" t="n">
        <v>46140</v>
      </c>
      <c r="D1031" s="6" t="s">
        <v>625</v>
      </c>
      <c r="E1031" s="6" t="s">
        <v>174</v>
      </c>
      <c r="F1031" s="6" t="s">
        <v>84</v>
      </c>
      <c r="G1031" s="6" t="s">
        <v>57</v>
      </c>
      <c r="H1031" s="6" t="s">
        <v>48</v>
      </c>
      <c r="I1031" s="1" t="n">
        <v>2</v>
      </c>
      <c r="J1031" s="7" t="n">
        <v>18047.12</v>
      </c>
      <c r="K1031" s="8" t="n">
        <v>0.15</v>
      </c>
      <c r="L1031" s="7" t="n">
        <v>8704.4</v>
      </c>
      <c r="M1031" s="6" t="s">
        <v>69</v>
      </c>
      <c r="N1031" s="6" t="s">
        <v>59</v>
      </c>
      <c r="O1031" s="6" t="n">
        <f aca="false">IF(TablaVentas[[#This Row],[Precio_unitario]]="","PENDIENTE",TablaVentas[[#This Row],[Unidades]]*TablaVentas[[#This Row],[Precio_unitario]]*(1-TablaVentas[[#This Row],[Descuento_pct]]))</f>
        <v>30680.104</v>
      </c>
      <c r="P1031" s="6" t="n">
        <f aca="false">IF(TablaVentas[[#This Row],[Costo_unitario]]="","PENDIENTE",TablaVentas[[#This Row],[Unidades]]*TablaVentas[[#This Row],[Costo_unitario]])</f>
        <v>17408.8</v>
      </c>
      <c r="Q1031" s="6" t="n">
        <f aca="false">IF(OR(TablaVentas[[#This Row],[Ingreso_neto]]="PENDIENTE",TablaVentas[[#This Row],[Costo_total]]="PENDIENTE"),"PENDIENTE",TablaVentas[[#This Row],[Ingreso_neto]]-TablaVentas[[#This Row],[Costo_total]])</f>
        <v>13271.304</v>
      </c>
    </row>
    <row r="1032" customFormat="false" ht="13.5" hidden="false" customHeight="false" outlineLevel="0" collapsed="false">
      <c r="A1032" s="1" t="s">
        <v>808</v>
      </c>
      <c r="B1032" s="1" t="n">
        <v>3</v>
      </c>
      <c r="C1032" s="5" t="n">
        <v>46140</v>
      </c>
      <c r="D1032" s="6" t="s">
        <v>625</v>
      </c>
      <c r="E1032" s="6" t="s">
        <v>210</v>
      </c>
      <c r="F1032" s="6" t="s">
        <v>84</v>
      </c>
      <c r="G1032" s="6" t="s">
        <v>57</v>
      </c>
      <c r="H1032" s="6" t="s">
        <v>48</v>
      </c>
      <c r="I1032" s="1" t="n">
        <v>2</v>
      </c>
      <c r="J1032" s="7" t="n">
        <v>1754.45</v>
      </c>
      <c r="K1032" s="8" t="n">
        <v>0.1</v>
      </c>
      <c r="L1032" s="7" t="n">
        <v>1252.84</v>
      </c>
      <c r="M1032" s="6" t="s">
        <v>49</v>
      </c>
      <c r="N1032" s="6" t="s">
        <v>59</v>
      </c>
      <c r="O1032" s="6" t="n">
        <f aca="false">IF(TablaVentas[[#This Row],[Precio_unitario]]="","PENDIENTE",TablaVentas[[#This Row],[Unidades]]*TablaVentas[[#This Row],[Precio_unitario]]*(1-TablaVentas[[#This Row],[Descuento_pct]]))</f>
        <v>3158.01</v>
      </c>
      <c r="P1032" s="6" t="n">
        <f aca="false">IF(TablaVentas[[#This Row],[Costo_unitario]]="","PENDIENTE",TablaVentas[[#This Row],[Unidades]]*TablaVentas[[#This Row],[Costo_unitario]])</f>
        <v>2505.68</v>
      </c>
      <c r="Q1032" s="6" t="n">
        <f aca="false">IF(OR(TablaVentas[[#This Row],[Ingreso_neto]]="PENDIENTE",TablaVentas[[#This Row],[Costo_total]]="PENDIENTE"),"PENDIENTE",TablaVentas[[#This Row],[Ingreso_neto]]-TablaVentas[[#This Row],[Costo_total]])</f>
        <v>652.33</v>
      </c>
    </row>
    <row r="1033" customFormat="false" ht="13.5" hidden="false" customHeight="false" outlineLevel="0" collapsed="false">
      <c r="A1033" s="1" t="s">
        <v>809</v>
      </c>
      <c r="B1033" s="1" t="n">
        <v>1</v>
      </c>
      <c r="C1033" s="5" t="n">
        <v>46239</v>
      </c>
      <c r="D1033" s="6" t="s">
        <v>232</v>
      </c>
      <c r="E1033" s="6" t="s">
        <v>68</v>
      </c>
      <c r="F1033" s="6" t="s">
        <v>73</v>
      </c>
      <c r="G1033" s="6" t="s">
        <v>47</v>
      </c>
      <c r="H1033" s="6" t="s">
        <v>58</v>
      </c>
      <c r="I1033" s="1" t="n">
        <v>1</v>
      </c>
      <c r="J1033" s="7" t="n">
        <v>4715.05</v>
      </c>
      <c r="K1033" s="8" t="n">
        <v>0.1</v>
      </c>
      <c r="L1033" s="7" t="n">
        <v>2554.06</v>
      </c>
      <c r="M1033" s="6" t="s">
        <v>49</v>
      </c>
      <c r="N1033" s="6" t="s">
        <v>67</v>
      </c>
      <c r="O1033" s="6" t="n">
        <f aca="false">IF(TablaVentas[[#This Row],[Precio_unitario]]="","PENDIENTE",TablaVentas[[#This Row],[Unidades]]*TablaVentas[[#This Row],[Precio_unitario]]*(1-TablaVentas[[#This Row],[Descuento_pct]]))</f>
        <v>4243.545</v>
      </c>
      <c r="P1033" s="6" t="n">
        <f aca="false">IF(TablaVentas[[#This Row],[Costo_unitario]]="","PENDIENTE",TablaVentas[[#This Row],[Unidades]]*TablaVentas[[#This Row],[Costo_unitario]])</f>
        <v>2554.06</v>
      </c>
      <c r="Q1033" s="6" t="n">
        <f aca="false">IF(OR(TablaVentas[[#This Row],[Ingreso_neto]]="PENDIENTE",TablaVentas[[#This Row],[Costo_total]]="PENDIENTE"),"PENDIENTE",TablaVentas[[#This Row],[Ingreso_neto]]-TablaVentas[[#This Row],[Costo_total]])</f>
        <v>1689.485</v>
      </c>
    </row>
    <row r="1034" customFormat="false" ht="13.5" hidden="false" customHeight="false" outlineLevel="0" collapsed="false">
      <c r="A1034" s="1" t="s">
        <v>809</v>
      </c>
      <c r="B1034" s="1" t="n">
        <v>2</v>
      </c>
      <c r="C1034" s="5" t="n">
        <v>46239</v>
      </c>
      <c r="D1034" s="6" t="s">
        <v>232</v>
      </c>
      <c r="E1034" s="6" t="s">
        <v>97</v>
      </c>
      <c r="F1034" s="6" t="s">
        <v>73</v>
      </c>
      <c r="G1034" s="6" t="s">
        <v>47</v>
      </c>
      <c r="H1034" s="6" t="s">
        <v>58</v>
      </c>
      <c r="I1034" s="1" t="n">
        <v>3</v>
      </c>
      <c r="J1034" s="7" t="n">
        <v>10116.61</v>
      </c>
      <c r="K1034" s="8" t="n">
        <v>0</v>
      </c>
      <c r="L1034" s="7" t="n">
        <v>8174.87</v>
      </c>
      <c r="M1034" s="6" t="s">
        <v>49</v>
      </c>
      <c r="N1034" s="6" t="s">
        <v>52</v>
      </c>
      <c r="O1034" s="6" t="n">
        <f aca="false">IF(TablaVentas[[#This Row],[Precio_unitario]]="","PENDIENTE",TablaVentas[[#This Row],[Unidades]]*TablaVentas[[#This Row],[Precio_unitario]]*(1-TablaVentas[[#This Row],[Descuento_pct]]))</f>
        <v>30349.83</v>
      </c>
      <c r="P1034" s="6" t="n">
        <f aca="false">IF(TablaVentas[[#This Row],[Costo_unitario]]="","PENDIENTE",TablaVentas[[#This Row],[Unidades]]*TablaVentas[[#This Row],[Costo_unitario]])</f>
        <v>24524.61</v>
      </c>
      <c r="Q1034" s="6" t="n">
        <f aca="false">IF(OR(TablaVentas[[#This Row],[Ingreso_neto]]="PENDIENTE",TablaVentas[[#This Row],[Costo_total]]="PENDIENTE"),"PENDIENTE",TablaVentas[[#This Row],[Ingreso_neto]]-TablaVentas[[#This Row],[Costo_total]])</f>
        <v>5825.22</v>
      </c>
    </row>
    <row r="1035" customFormat="false" ht="13.5" hidden="false" customHeight="false" outlineLevel="0" collapsed="false">
      <c r="A1035" s="1" t="s">
        <v>810</v>
      </c>
      <c r="B1035" s="1" t="n">
        <v>1</v>
      </c>
      <c r="C1035" s="5" t="n">
        <v>46245</v>
      </c>
      <c r="D1035" s="6" t="s">
        <v>811</v>
      </c>
      <c r="E1035" s="6" t="s">
        <v>127</v>
      </c>
      <c r="F1035" s="6" t="s">
        <v>73</v>
      </c>
      <c r="G1035" s="6" t="s">
        <v>47</v>
      </c>
      <c r="H1035" s="6" t="s">
        <v>58</v>
      </c>
      <c r="I1035" s="1" t="n">
        <v>2</v>
      </c>
      <c r="J1035" s="7" t="n">
        <v>13673.02</v>
      </c>
      <c r="K1035" s="8" t="n">
        <v>0.2</v>
      </c>
      <c r="L1035" s="7" t="n">
        <v>7975.26</v>
      </c>
      <c r="M1035" s="6" t="s">
        <v>49</v>
      </c>
      <c r="N1035" s="6" t="s">
        <v>52</v>
      </c>
      <c r="O1035" s="6" t="n">
        <f aca="false">IF(TablaVentas[[#This Row],[Precio_unitario]]="","PENDIENTE",TablaVentas[[#This Row],[Unidades]]*TablaVentas[[#This Row],[Precio_unitario]]*(1-TablaVentas[[#This Row],[Descuento_pct]]))</f>
        <v>21876.832</v>
      </c>
      <c r="P1035" s="6" t="n">
        <f aca="false">IF(TablaVentas[[#This Row],[Costo_unitario]]="","PENDIENTE",TablaVentas[[#This Row],[Unidades]]*TablaVentas[[#This Row],[Costo_unitario]])</f>
        <v>15950.52</v>
      </c>
      <c r="Q1035" s="6" t="n">
        <f aca="false">IF(OR(TablaVentas[[#This Row],[Ingreso_neto]]="PENDIENTE",TablaVentas[[#This Row],[Costo_total]]="PENDIENTE"),"PENDIENTE",TablaVentas[[#This Row],[Ingreso_neto]]-TablaVentas[[#This Row],[Costo_total]])</f>
        <v>5926.312</v>
      </c>
    </row>
    <row r="1036" customFormat="false" ht="13.5" hidden="false" customHeight="false" outlineLevel="0" collapsed="false">
      <c r="A1036" s="1" t="s">
        <v>810</v>
      </c>
      <c r="B1036" s="1" t="n">
        <v>2</v>
      </c>
      <c r="C1036" s="5" t="n">
        <v>46245</v>
      </c>
      <c r="D1036" s="6" t="s">
        <v>811</v>
      </c>
      <c r="E1036" s="6" t="s">
        <v>92</v>
      </c>
      <c r="F1036" s="6" t="s">
        <v>73</v>
      </c>
      <c r="G1036" s="6" t="s">
        <v>47</v>
      </c>
      <c r="H1036" s="6" t="s">
        <v>58</v>
      </c>
      <c r="I1036" s="1" t="n">
        <v>4</v>
      </c>
      <c r="J1036" s="7" t="n">
        <v>495.24</v>
      </c>
      <c r="K1036" s="8" t="n">
        <v>0.15</v>
      </c>
      <c r="L1036" s="7" t="n">
        <v>307.75</v>
      </c>
      <c r="M1036" s="6" t="s">
        <v>49</v>
      </c>
      <c r="N1036" s="6" t="s">
        <v>67</v>
      </c>
      <c r="O1036" s="6" t="n">
        <f aca="false">IF(TablaVentas[[#This Row],[Precio_unitario]]="","PENDIENTE",TablaVentas[[#This Row],[Unidades]]*TablaVentas[[#This Row],[Precio_unitario]]*(1-TablaVentas[[#This Row],[Descuento_pct]]))</f>
        <v>1683.816</v>
      </c>
      <c r="P1036" s="6" t="n">
        <f aca="false">IF(TablaVentas[[#This Row],[Costo_unitario]]="","PENDIENTE",TablaVentas[[#This Row],[Unidades]]*TablaVentas[[#This Row],[Costo_unitario]])</f>
        <v>1231</v>
      </c>
      <c r="Q1036" s="6" t="n">
        <f aca="false">IF(OR(TablaVentas[[#This Row],[Ingreso_neto]]="PENDIENTE",TablaVentas[[#This Row],[Costo_total]]="PENDIENTE"),"PENDIENTE",TablaVentas[[#This Row],[Ingreso_neto]]-TablaVentas[[#This Row],[Costo_total]])</f>
        <v>452.816</v>
      </c>
    </row>
    <row r="1037" customFormat="false" ht="13.5" hidden="false" customHeight="false" outlineLevel="0" collapsed="false">
      <c r="A1037" s="1" t="s">
        <v>810</v>
      </c>
      <c r="B1037" s="1" t="n">
        <v>3</v>
      </c>
      <c r="C1037" s="5" t="n">
        <v>46245</v>
      </c>
      <c r="D1037" s="6" t="s">
        <v>811</v>
      </c>
      <c r="E1037" s="6" t="s">
        <v>116</v>
      </c>
      <c r="F1037" s="6" t="s">
        <v>73</v>
      </c>
      <c r="G1037" s="6" t="s">
        <v>47</v>
      </c>
      <c r="H1037" s="6" t="s">
        <v>58</v>
      </c>
      <c r="I1037" s="1" t="n">
        <v>4</v>
      </c>
      <c r="J1037" s="7" t="n">
        <v>15691.03</v>
      </c>
      <c r="K1037" s="8" t="n">
        <v>0.05</v>
      </c>
      <c r="L1037" s="7" t="n">
        <v>9880.77</v>
      </c>
      <c r="M1037" s="6" t="s">
        <v>49</v>
      </c>
      <c r="N1037" s="6" t="s">
        <v>67</v>
      </c>
      <c r="O1037" s="6" t="n">
        <f aca="false">IF(TablaVentas[[#This Row],[Precio_unitario]]="","PENDIENTE",TablaVentas[[#This Row],[Unidades]]*TablaVentas[[#This Row],[Precio_unitario]]*(1-TablaVentas[[#This Row],[Descuento_pct]]))</f>
        <v>59625.914</v>
      </c>
      <c r="P1037" s="6" t="n">
        <f aca="false">IF(TablaVentas[[#This Row],[Costo_unitario]]="","PENDIENTE",TablaVentas[[#This Row],[Unidades]]*TablaVentas[[#This Row],[Costo_unitario]])</f>
        <v>39523.08</v>
      </c>
      <c r="Q1037" s="6" t="n">
        <f aca="false">IF(OR(TablaVentas[[#This Row],[Ingreso_neto]]="PENDIENTE",TablaVentas[[#This Row],[Costo_total]]="PENDIENTE"),"PENDIENTE",TablaVentas[[#This Row],[Ingreso_neto]]-TablaVentas[[#This Row],[Costo_total]])</f>
        <v>20102.834</v>
      </c>
    </row>
    <row r="1038" customFormat="false" ht="13.5" hidden="false" customHeight="false" outlineLevel="0" collapsed="false">
      <c r="A1038" s="1" t="s">
        <v>812</v>
      </c>
      <c r="B1038" s="1" t="n">
        <v>1</v>
      </c>
      <c r="C1038" s="5" t="n">
        <v>46182</v>
      </c>
      <c r="D1038" s="6" t="s">
        <v>251</v>
      </c>
      <c r="E1038" s="6" t="s">
        <v>167</v>
      </c>
      <c r="F1038" s="6" t="s">
        <v>73</v>
      </c>
      <c r="G1038" s="6" t="s">
        <v>47</v>
      </c>
      <c r="H1038" s="6" t="s">
        <v>89</v>
      </c>
      <c r="I1038" s="1" t="n">
        <v>1</v>
      </c>
      <c r="J1038" s="7" t="n">
        <v>8179.54</v>
      </c>
      <c r="K1038" s="8" t="n">
        <v>0</v>
      </c>
      <c r="L1038" s="7" t="n">
        <v>4082.15</v>
      </c>
      <c r="M1038" s="6" t="s">
        <v>49</v>
      </c>
      <c r="N1038" s="6" t="s">
        <v>67</v>
      </c>
      <c r="O1038" s="6" t="n">
        <f aca="false">IF(TablaVentas[[#This Row],[Precio_unitario]]="","PENDIENTE",TablaVentas[[#This Row],[Unidades]]*TablaVentas[[#This Row],[Precio_unitario]]*(1-TablaVentas[[#This Row],[Descuento_pct]]))</f>
        <v>8179.54</v>
      </c>
      <c r="P1038" s="6" t="n">
        <f aca="false">IF(TablaVentas[[#This Row],[Costo_unitario]]="","PENDIENTE",TablaVentas[[#This Row],[Unidades]]*TablaVentas[[#This Row],[Costo_unitario]])</f>
        <v>4082.15</v>
      </c>
      <c r="Q1038" s="6" t="n">
        <f aca="false">IF(OR(TablaVentas[[#This Row],[Ingreso_neto]]="PENDIENTE",TablaVentas[[#This Row],[Costo_total]]="PENDIENTE"),"PENDIENTE",TablaVentas[[#This Row],[Ingreso_neto]]-TablaVentas[[#This Row],[Costo_total]])</f>
        <v>4097.39</v>
      </c>
    </row>
    <row r="1039" customFormat="false" ht="13.5" hidden="false" customHeight="false" outlineLevel="0" collapsed="false">
      <c r="A1039" s="1" t="s">
        <v>812</v>
      </c>
      <c r="B1039" s="1" t="n">
        <v>2</v>
      </c>
      <c r="C1039" s="5" t="n">
        <v>46182</v>
      </c>
      <c r="D1039" s="6" t="s">
        <v>251</v>
      </c>
      <c r="E1039" s="6" t="s">
        <v>141</v>
      </c>
      <c r="F1039" s="6" t="s">
        <v>73</v>
      </c>
      <c r="G1039" s="6" t="s">
        <v>47</v>
      </c>
      <c r="H1039" s="6" t="s">
        <v>89</v>
      </c>
      <c r="I1039" s="1" t="n">
        <v>1</v>
      </c>
      <c r="J1039" s="7" t="n">
        <v>270.59</v>
      </c>
      <c r="K1039" s="8" t="n">
        <v>0</v>
      </c>
      <c r="L1039" s="7" t="n">
        <v>176.47</v>
      </c>
      <c r="M1039" s="6" t="s">
        <v>49</v>
      </c>
      <c r="N1039" s="6" t="s">
        <v>52</v>
      </c>
      <c r="O1039" s="6" t="n">
        <f aca="false">IF(TablaVentas[[#This Row],[Precio_unitario]]="","PENDIENTE",TablaVentas[[#This Row],[Unidades]]*TablaVentas[[#This Row],[Precio_unitario]]*(1-TablaVentas[[#This Row],[Descuento_pct]]))</f>
        <v>270.59</v>
      </c>
      <c r="P1039" s="6" t="n">
        <f aca="false">IF(TablaVentas[[#This Row],[Costo_unitario]]="","PENDIENTE",TablaVentas[[#This Row],[Unidades]]*TablaVentas[[#This Row],[Costo_unitario]])</f>
        <v>176.47</v>
      </c>
      <c r="Q1039" s="6" t="n">
        <f aca="false">IF(OR(TablaVentas[[#This Row],[Ingreso_neto]]="PENDIENTE",TablaVentas[[#This Row],[Costo_total]]="PENDIENTE"),"PENDIENTE",TablaVentas[[#This Row],[Ingreso_neto]]-TablaVentas[[#This Row],[Costo_total]])</f>
        <v>94.12</v>
      </c>
    </row>
    <row r="1040" customFormat="false" ht="13.5" hidden="false" customHeight="false" outlineLevel="0" collapsed="false">
      <c r="A1040" s="1" t="s">
        <v>812</v>
      </c>
      <c r="B1040" s="1" t="n">
        <v>3</v>
      </c>
      <c r="C1040" s="5" t="n">
        <v>46182</v>
      </c>
      <c r="D1040" s="6" t="s">
        <v>251</v>
      </c>
      <c r="E1040" s="6" t="s">
        <v>417</v>
      </c>
      <c r="F1040" s="6" t="s">
        <v>73</v>
      </c>
      <c r="G1040" s="6" t="s">
        <v>47</v>
      </c>
      <c r="H1040" s="6" t="s">
        <v>89</v>
      </c>
      <c r="I1040" s="1" t="n">
        <v>12</v>
      </c>
      <c r="J1040" s="7" t="n">
        <v>8048.59</v>
      </c>
      <c r="K1040" s="8" t="n">
        <v>0</v>
      </c>
      <c r="L1040" s="7" t="n">
        <v>5874.17</v>
      </c>
      <c r="M1040" s="6" t="s">
        <v>49</v>
      </c>
      <c r="N1040" s="6" t="s">
        <v>52</v>
      </c>
      <c r="O1040" s="6" t="n">
        <f aca="false">IF(TablaVentas[[#This Row],[Precio_unitario]]="","PENDIENTE",TablaVentas[[#This Row],[Unidades]]*TablaVentas[[#This Row],[Precio_unitario]]*(1-TablaVentas[[#This Row],[Descuento_pct]]))</f>
        <v>96583.08</v>
      </c>
      <c r="P1040" s="6" t="n">
        <f aca="false">IF(TablaVentas[[#This Row],[Costo_unitario]]="","PENDIENTE",TablaVentas[[#This Row],[Unidades]]*TablaVentas[[#This Row],[Costo_unitario]])</f>
        <v>70490.04</v>
      </c>
      <c r="Q1040" s="6" t="n">
        <f aca="false">IF(OR(TablaVentas[[#This Row],[Ingreso_neto]]="PENDIENTE",TablaVentas[[#This Row],[Costo_total]]="PENDIENTE"),"PENDIENTE",TablaVentas[[#This Row],[Ingreso_neto]]-TablaVentas[[#This Row],[Costo_total]])</f>
        <v>26093.04</v>
      </c>
    </row>
    <row r="1041" customFormat="false" ht="13.5" hidden="false" customHeight="false" outlineLevel="0" collapsed="false">
      <c r="A1041" s="1" t="s">
        <v>812</v>
      </c>
      <c r="B1041" s="1" t="n">
        <v>4</v>
      </c>
      <c r="C1041" s="5" t="n">
        <v>46182</v>
      </c>
      <c r="D1041" s="6" t="s">
        <v>251</v>
      </c>
      <c r="E1041" s="6" t="s">
        <v>210</v>
      </c>
      <c r="F1041" s="6" t="s">
        <v>73</v>
      </c>
      <c r="G1041" s="6" t="s">
        <v>47</v>
      </c>
      <c r="H1041" s="6" t="s">
        <v>89</v>
      </c>
      <c r="I1041" s="1" t="n">
        <v>4</v>
      </c>
      <c r="J1041" s="7" t="n">
        <v>1777.91</v>
      </c>
      <c r="K1041" s="8" t="n">
        <v>0.15</v>
      </c>
      <c r="L1041" s="7" t="n">
        <v>1252.84</v>
      </c>
      <c r="M1041" s="6" t="s">
        <v>49</v>
      </c>
      <c r="N1041" s="6" t="s">
        <v>52</v>
      </c>
      <c r="O1041" s="6" t="n">
        <f aca="false">IF(TablaVentas[[#This Row],[Precio_unitario]]="","PENDIENTE",TablaVentas[[#This Row],[Unidades]]*TablaVentas[[#This Row],[Precio_unitario]]*(1-TablaVentas[[#This Row],[Descuento_pct]]))</f>
        <v>6044.894</v>
      </c>
      <c r="P1041" s="6" t="n">
        <f aca="false">IF(TablaVentas[[#This Row],[Costo_unitario]]="","PENDIENTE",TablaVentas[[#This Row],[Unidades]]*TablaVentas[[#This Row],[Costo_unitario]])</f>
        <v>5011.36</v>
      </c>
      <c r="Q1041" s="6" t="n">
        <f aca="false">IF(OR(TablaVentas[[#This Row],[Ingreso_neto]]="PENDIENTE",TablaVentas[[#This Row],[Costo_total]]="PENDIENTE"),"PENDIENTE",TablaVentas[[#This Row],[Ingreso_neto]]-TablaVentas[[#This Row],[Costo_total]])</f>
        <v>1033.534</v>
      </c>
    </row>
    <row r="1042" customFormat="false" ht="13.5" hidden="false" customHeight="false" outlineLevel="0" collapsed="false">
      <c r="A1042" s="1" t="s">
        <v>812</v>
      </c>
      <c r="B1042" s="1" t="n">
        <v>5</v>
      </c>
      <c r="C1042" s="5" t="n">
        <v>46182</v>
      </c>
      <c r="D1042" s="6" t="s">
        <v>251</v>
      </c>
      <c r="E1042" s="6" t="s">
        <v>113</v>
      </c>
      <c r="F1042" s="6" t="s">
        <v>73</v>
      </c>
      <c r="G1042" s="6" t="s">
        <v>47</v>
      </c>
      <c r="H1042" s="6" t="s">
        <v>89</v>
      </c>
      <c r="I1042" s="1" t="n">
        <v>2</v>
      </c>
      <c r="J1042" s="7" t="n">
        <v>9373.31</v>
      </c>
      <c r="K1042" s="8" t="n">
        <v>0.15</v>
      </c>
      <c r="L1042" s="7" t="n">
        <v>8276.74</v>
      </c>
      <c r="M1042" s="6" t="s">
        <v>49</v>
      </c>
      <c r="N1042" s="6" t="s">
        <v>67</v>
      </c>
      <c r="O1042" s="6" t="n">
        <f aca="false">IF(TablaVentas[[#This Row],[Precio_unitario]]="","PENDIENTE",TablaVentas[[#This Row],[Unidades]]*TablaVentas[[#This Row],[Precio_unitario]]*(1-TablaVentas[[#This Row],[Descuento_pct]]))</f>
        <v>15934.627</v>
      </c>
      <c r="P1042" s="6" t="n">
        <f aca="false">IF(TablaVentas[[#This Row],[Costo_unitario]]="","PENDIENTE",TablaVentas[[#This Row],[Unidades]]*TablaVentas[[#This Row],[Costo_unitario]])</f>
        <v>16553.48</v>
      </c>
      <c r="Q1042" s="6" t="n">
        <f aca="false">IF(OR(TablaVentas[[#This Row],[Ingreso_neto]]="PENDIENTE",TablaVentas[[#This Row],[Costo_total]]="PENDIENTE"),"PENDIENTE",TablaVentas[[#This Row],[Ingreso_neto]]-TablaVentas[[#This Row],[Costo_total]])</f>
        <v>-618.853000000001</v>
      </c>
    </row>
    <row r="1043" customFormat="false" ht="13.5" hidden="false" customHeight="false" outlineLevel="0" collapsed="false">
      <c r="A1043" s="1" t="s">
        <v>813</v>
      </c>
      <c r="B1043" s="1" t="n">
        <v>1</v>
      </c>
      <c r="C1043" s="5" t="n">
        <v>46267</v>
      </c>
      <c r="D1043" s="6" t="s">
        <v>531</v>
      </c>
      <c r="E1043" s="6" t="s">
        <v>77</v>
      </c>
      <c r="F1043" s="6" t="s">
        <v>73</v>
      </c>
      <c r="G1043" s="6" t="s">
        <v>64</v>
      </c>
      <c r="H1043" s="6" t="s">
        <v>89</v>
      </c>
      <c r="I1043" s="1" t="n">
        <v>1</v>
      </c>
      <c r="J1043" s="7" t="n">
        <v>15895.02</v>
      </c>
      <c r="K1043" s="8" t="n">
        <v>0.1</v>
      </c>
      <c r="L1043" s="7" t="n">
        <v>10571.25</v>
      </c>
      <c r="M1043" s="6" t="s">
        <v>123</v>
      </c>
      <c r="N1043" s="6" t="s">
        <v>59</v>
      </c>
      <c r="O1043" s="6" t="n">
        <f aca="false">IF(TablaVentas[[#This Row],[Precio_unitario]]="","PENDIENTE",TablaVentas[[#This Row],[Unidades]]*TablaVentas[[#This Row],[Precio_unitario]]*(1-TablaVentas[[#This Row],[Descuento_pct]]))</f>
        <v>14305.518</v>
      </c>
      <c r="P1043" s="6" t="n">
        <f aca="false">IF(TablaVentas[[#This Row],[Costo_unitario]]="","PENDIENTE",TablaVentas[[#This Row],[Unidades]]*TablaVentas[[#This Row],[Costo_unitario]])</f>
        <v>10571.25</v>
      </c>
      <c r="Q1043" s="6" t="n">
        <f aca="false">IF(OR(TablaVentas[[#This Row],[Ingreso_neto]]="PENDIENTE",TablaVentas[[#This Row],[Costo_total]]="PENDIENTE"),"PENDIENTE",TablaVentas[[#This Row],[Ingreso_neto]]-TablaVentas[[#This Row],[Costo_total]])</f>
        <v>3734.268</v>
      </c>
    </row>
    <row r="1044" customFormat="false" ht="13.5" hidden="false" customHeight="false" outlineLevel="0" collapsed="false">
      <c r="A1044" s="1" t="s">
        <v>813</v>
      </c>
      <c r="B1044" s="1" t="n">
        <v>2</v>
      </c>
      <c r="C1044" s="5" t="n">
        <v>46267</v>
      </c>
      <c r="D1044" s="6" t="s">
        <v>531</v>
      </c>
      <c r="E1044" s="6" t="s">
        <v>417</v>
      </c>
      <c r="F1044" s="6" t="s">
        <v>73</v>
      </c>
      <c r="G1044" s="6" t="s">
        <v>64</v>
      </c>
      <c r="H1044" s="6" t="s">
        <v>89</v>
      </c>
      <c r="I1044" s="1" t="n">
        <v>2</v>
      </c>
      <c r="J1044" s="7" t="n">
        <v>7525.09</v>
      </c>
      <c r="K1044" s="8" t="n">
        <v>0</v>
      </c>
      <c r="L1044" s="7" t="n">
        <v>5874.17</v>
      </c>
      <c r="M1044" s="6" t="s">
        <v>49</v>
      </c>
      <c r="N1044" s="6" t="s">
        <v>52</v>
      </c>
      <c r="O1044" s="6" t="n">
        <f aca="false">IF(TablaVentas[[#This Row],[Precio_unitario]]="","PENDIENTE",TablaVentas[[#This Row],[Unidades]]*TablaVentas[[#This Row],[Precio_unitario]]*(1-TablaVentas[[#This Row],[Descuento_pct]]))</f>
        <v>15050.18</v>
      </c>
      <c r="P1044" s="6" t="n">
        <f aca="false">IF(TablaVentas[[#This Row],[Costo_unitario]]="","PENDIENTE",TablaVentas[[#This Row],[Unidades]]*TablaVentas[[#This Row],[Costo_unitario]])</f>
        <v>11748.34</v>
      </c>
      <c r="Q1044" s="6" t="n">
        <f aca="false">IF(OR(TablaVentas[[#This Row],[Ingreso_neto]]="PENDIENTE",TablaVentas[[#This Row],[Costo_total]]="PENDIENTE"),"PENDIENTE",TablaVentas[[#This Row],[Ingreso_neto]]-TablaVentas[[#This Row],[Costo_total]])</f>
        <v>3301.84</v>
      </c>
    </row>
    <row r="1045" customFormat="false" ht="13.5" hidden="false" customHeight="false" outlineLevel="0" collapsed="false">
      <c r="A1045" s="1" t="s">
        <v>813</v>
      </c>
      <c r="B1045" s="1" t="n">
        <v>3</v>
      </c>
      <c r="C1045" s="5" t="n">
        <v>46267</v>
      </c>
      <c r="D1045" s="6" t="s">
        <v>531</v>
      </c>
      <c r="E1045" s="6" t="s">
        <v>179</v>
      </c>
      <c r="F1045" s="6" t="s">
        <v>73</v>
      </c>
      <c r="G1045" s="6" t="s">
        <v>64</v>
      </c>
      <c r="H1045" s="6" t="s">
        <v>89</v>
      </c>
      <c r="I1045" s="1" t="n">
        <v>2</v>
      </c>
      <c r="J1045" s="7" t="n">
        <v>17360.14</v>
      </c>
      <c r="K1045" s="8" t="n">
        <v>0.05</v>
      </c>
      <c r="L1045" s="7" t="n">
        <v>10830.17</v>
      </c>
      <c r="M1045" s="6" t="s">
        <v>49</v>
      </c>
      <c r="N1045" s="6" t="s">
        <v>59</v>
      </c>
      <c r="O1045" s="6" t="n">
        <f aca="false">IF(TablaVentas[[#This Row],[Precio_unitario]]="","PENDIENTE",TablaVentas[[#This Row],[Unidades]]*TablaVentas[[#This Row],[Precio_unitario]]*(1-TablaVentas[[#This Row],[Descuento_pct]]))</f>
        <v>32984.266</v>
      </c>
      <c r="P1045" s="6" t="n">
        <f aca="false">IF(TablaVentas[[#This Row],[Costo_unitario]]="","PENDIENTE",TablaVentas[[#This Row],[Unidades]]*TablaVentas[[#This Row],[Costo_unitario]])</f>
        <v>21660.34</v>
      </c>
      <c r="Q1045" s="6" t="n">
        <f aca="false">IF(OR(TablaVentas[[#This Row],[Ingreso_neto]]="PENDIENTE",TablaVentas[[#This Row],[Costo_total]]="PENDIENTE"),"PENDIENTE",TablaVentas[[#This Row],[Ingreso_neto]]-TablaVentas[[#This Row],[Costo_total]])</f>
        <v>11323.926</v>
      </c>
    </row>
    <row r="1046" customFormat="false" ht="13.5" hidden="false" customHeight="false" outlineLevel="0" collapsed="false">
      <c r="A1046" s="1" t="s">
        <v>814</v>
      </c>
      <c r="B1046" s="1" t="n">
        <v>1</v>
      </c>
      <c r="C1046" s="5" t="n">
        <v>46104</v>
      </c>
      <c r="D1046" s="6" t="s">
        <v>296</v>
      </c>
      <c r="E1046" s="6" t="s">
        <v>159</v>
      </c>
      <c r="F1046" s="6" t="s">
        <v>46</v>
      </c>
      <c r="G1046" s="6" t="s">
        <v>57</v>
      </c>
      <c r="H1046" s="6" t="s">
        <v>74</v>
      </c>
      <c r="I1046" s="1" t="n">
        <v>5</v>
      </c>
      <c r="J1046" s="7" t="n">
        <v>2750.35</v>
      </c>
      <c r="K1046" s="8" t="n">
        <v>0.2</v>
      </c>
      <c r="L1046" s="7" t="n">
        <v>1962.3</v>
      </c>
      <c r="M1046" s="6" t="s">
        <v>49</v>
      </c>
      <c r="N1046" s="6" t="s">
        <v>52</v>
      </c>
      <c r="O1046" s="6" t="n">
        <f aca="false">IF(TablaVentas[[#This Row],[Precio_unitario]]="","PENDIENTE",TablaVentas[[#This Row],[Unidades]]*TablaVentas[[#This Row],[Precio_unitario]]*(1-TablaVentas[[#This Row],[Descuento_pct]]))</f>
        <v>11001.4</v>
      </c>
      <c r="P1046" s="6" t="n">
        <f aca="false">IF(TablaVentas[[#This Row],[Costo_unitario]]="","PENDIENTE",TablaVentas[[#This Row],[Unidades]]*TablaVentas[[#This Row],[Costo_unitario]])</f>
        <v>9811.5</v>
      </c>
      <c r="Q1046" s="6" t="n">
        <f aca="false">IF(OR(TablaVentas[[#This Row],[Ingreso_neto]]="PENDIENTE",TablaVentas[[#This Row],[Costo_total]]="PENDIENTE"),"PENDIENTE",TablaVentas[[#This Row],[Ingreso_neto]]-TablaVentas[[#This Row],[Costo_total]])</f>
        <v>1189.9</v>
      </c>
    </row>
    <row r="1047" customFormat="false" ht="13.5" hidden="false" customHeight="false" outlineLevel="0" collapsed="false">
      <c r="A1047" s="1" t="s">
        <v>815</v>
      </c>
      <c r="B1047" s="1" t="n">
        <v>1</v>
      </c>
      <c r="C1047" s="5" t="n">
        <v>46159</v>
      </c>
      <c r="D1047" s="6" t="s">
        <v>178</v>
      </c>
      <c r="E1047" s="6" t="s">
        <v>223</v>
      </c>
      <c r="F1047" s="6" t="s">
        <v>46</v>
      </c>
      <c r="G1047" s="6" t="s">
        <v>64</v>
      </c>
      <c r="H1047" s="6" t="s">
        <v>89</v>
      </c>
      <c r="I1047" s="1" t="n">
        <v>4</v>
      </c>
      <c r="J1047" s="7" t="n">
        <v>15616.32</v>
      </c>
      <c r="K1047" s="8" t="n">
        <v>0.1</v>
      </c>
      <c r="L1047" s="7" t="n">
        <v>12064.41</v>
      </c>
      <c r="M1047" s="6" t="s">
        <v>49</v>
      </c>
      <c r="N1047" s="6" t="s">
        <v>59</v>
      </c>
      <c r="O1047" s="6" t="n">
        <f aca="false">IF(TablaVentas[[#This Row],[Precio_unitario]]="","PENDIENTE",TablaVentas[[#This Row],[Unidades]]*TablaVentas[[#This Row],[Precio_unitario]]*(1-TablaVentas[[#This Row],[Descuento_pct]]))</f>
        <v>56218.752</v>
      </c>
      <c r="P1047" s="6" t="n">
        <f aca="false">IF(TablaVentas[[#This Row],[Costo_unitario]]="","PENDIENTE",TablaVentas[[#This Row],[Unidades]]*TablaVentas[[#This Row],[Costo_unitario]])</f>
        <v>48257.64</v>
      </c>
      <c r="Q1047" s="6" t="n">
        <f aca="false">IF(OR(TablaVentas[[#This Row],[Ingreso_neto]]="PENDIENTE",TablaVentas[[#This Row],[Costo_total]]="PENDIENTE"),"PENDIENTE",TablaVentas[[#This Row],[Ingreso_neto]]-TablaVentas[[#This Row],[Costo_total]])</f>
        <v>7961.112</v>
      </c>
    </row>
    <row r="1048" customFormat="false" ht="13.5" hidden="false" customHeight="false" outlineLevel="0" collapsed="false">
      <c r="A1048" s="1" t="s">
        <v>815</v>
      </c>
      <c r="B1048" s="1" t="n">
        <v>2</v>
      </c>
      <c r="C1048" s="5" t="n">
        <v>46159</v>
      </c>
      <c r="D1048" s="6" t="s">
        <v>178</v>
      </c>
      <c r="E1048" s="6" t="s">
        <v>68</v>
      </c>
      <c r="F1048" s="6" t="s">
        <v>46</v>
      </c>
      <c r="G1048" s="6" t="s">
        <v>64</v>
      </c>
      <c r="H1048" s="6" t="s">
        <v>89</v>
      </c>
      <c r="I1048" s="1" t="n">
        <v>3</v>
      </c>
      <c r="J1048" s="7" t="n">
        <v>4913.31</v>
      </c>
      <c r="K1048" s="8" t="n">
        <v>0.1</v>
      </c>
      <c r="L1048" s="7" t="n">
        <v>2554.06</v>
      </c>
      <c r="M1048" s="6" t="s">
        <v>49</v>
      </c>
      <c r="N1048" s="6" t="s">
        <v>67</v>
      </c>
      <c r="O1048" s="6" t="n">
        <f aca="false">IF(TablaVentas[[#This Row],[Precio_unitario]]="","PENDIENTE",TablaVentas[[#This Row],[Unidades]]*TablaVentas[[#This Row],[Precio_unitario]]*(1-TablaVentas[[#This Row],[Descuento_pct]]))</f>
        <v>13265.937</v>
      </c>
      <c r="P1048" s="6" t="n">
        <f aca="false">IF(TablaVentas[[#This Row],[Costo_unitario]]="","PENDIENTE",TablaVentas[[#This Row],[Unidades]]*TablaVentas[[#This Row],[Costo_unitario]])</f>
        <v>7662.18</v>
      </c>
      <c r="Q1048" s="6" t="n">
        <f aca="false">IF(OR(TablaVentas[[#This Row],[Ingreso_neto]]="PENDIENTE",TablaVentas[[#This Row],[Costo_total]]="PENDIENTE"),"PENDIENTE",TablaVentas[[#This Row],[Ingreso_neto]]-TablaVentas[[#This Row],[Costo_total]])</f>
        <v>5603.757</v>
      </c>
    </row>
    <row r="1049" customFormat="false" ht="13.5" hidden="false" customHeight="false" outlineLevel="0" collapsed="false">
      <c r="A1049" s="1" t="s">
        <v>815</v>
      </c>
      <c r="B1049" s="1" t="n">
        <v>3</v>
      </c>
      <c r="C1049" s="5" t="n">
        <v>46159</v>
      </c>
      <c r="D1049" s="6" t="s">
        <v>178</v>
      </c>
      <c r="E1049" s="6" t="s">
        <v>110</v>
      </c>
      <c r="F1049" s="6" t="s">
        <v>46</v>
      </c>
      <c r="G1049" s="6" t="s">
        <v>64</v>
      </c>
      <c r="H1049" s="6" t="s">
        <v>89</v>
      </c>
      <c r="I1049" s="1" t="n">
        <v>2</v>
      </c>
      <c r="J1049" s="7" t="n">
        <v>12818.12</v>
      </c>
      <c r="K1049" s="8" t="n">
        <v>0</v>
      </c>
      <c r="L1049" s="7" t="n">
        <v>7549.71</v>
      </c>
      <c r="M1049" s="6" t="s">
        <v>69</v>
      </c>
      <c r="N1049" s="6" t="s">
        <v>52</v>
      </c>
      <c r="O1049" s="6" t="n">
        <f aca="false">IF(TablaVentas[[#This Row],[Precio_unitario]]="","PENDIENTE",TablaVentas[[#This Row],[Unidades]]*TablaVentas[[#This Row],[Precio_unitario]]*(1-TablaVentas[[#This Row],[Descuento_pct]]))</f>
        <v>25636.24</v>
      </c>
      <c r="P1049" s="6" t="n">
        <f aca="false">IF(TablaVentas[[#This Row],[Costo_unitario]]="","PENDIENTE",TablaVentas[[#This Row],[Unidades]]*TablaVentas[[#This Row],[Costo_unitario]])</f>
        <v>15099.42</v>
      </c>
      <c r="Q1049" s="6" t="n">
        <f aca="false">IF(OR(TablaVentas[[#This Row],[Ingreso_neto]]="PENDIENTE",TablaVentas[[#This Row],[Costo_total]]="PENDIENTE"),"PENDIENTE",TablaVentas[[#This Row],[Ingreso_neto]]-TablaVentas[[#This Row],[Costo_total]])</f>
        <v>10536.82</v>
      </c>
    </row>
    <row r="1050" customFormat="false" ht="13.5" hidden="false" customHeight="false" outlineLevel="0" collapsed="false">
      <c r="A1050" s="1" t="s">
        <v>816</v>
      </c>
      <c r="B1050" s="1" t="n">
        <v>1</v>
      </c>
      <c r="C1050" s="5" t="n">
        <v>46189</v>
      </c>
      <c r="D1050" s="6" t="s">
        <v>521</v>
      </c>
      <c r="E1050" s="6" t="s">
        <v>141</v>
      </c>
      <c r="F1050" s="6" t="s">
        <v>73</v>
      </c>
      <c r="G1050" s="6" t="s">
        <v>64</v>
      </c>
      <c r="H1050" s="6" t="s">
        <v>109</v>
      </c>
      <c r="I1050" s="1" t="n">
        <v>3</v>
      </c>
      <c r="J1050" s="7" t="n">
        <v>253.8</v>
      </c>
      <c r="K1050" s="8" t="n">
        <v>0.05</v>
      </c>
      <c r="L1050" s="7" t="n">
        <v>176.47</v>
      </c>
      <c r="M1050" s="6" t="s">
        <v>123</v>
      </c>
      <c r="N1050" s="6" t="s">
        <v>59</v>
      </c>
      <c r="O1050" s="6" t="n">
        <f aca="false">IF(TablaVentas[[#This Row],[Precio_unitario]]="","PENDIENTE",TablaVentas[[#This Row],[Unidades]]*TablaVentas[[#This Row],[Precio_unitario]]*(1-TablaVentas[[#This Row],[Descuento_pct]]))</f>
        <v>723.33</v>
      </c>
      <c r="P1050" s="6" t="n">
        <f aca="false">IF(TablaVentas[[#This Row],[Costo_unitario]]="","PENDIENTE",TablaVentas[[#This Row],[Unidades]]*TablaVentas[[#This Row],[Costo_unitario]])</f>
        <v>529.41</v>
      </c>
      <c r="Q1050" s="6" t="n">
        <f aca="false">IF(OR(TablaVentas[[#This Row],[Ingreso_neto]]="PENDIENTE",TablaVentas[[#This Row],[Costo_total]]="PENDIENTE"),"PENDIENTE",TablaVentas[[#This Row],[Ingreso_neto]]-TablaVentas[[#This Row],[Costo_total]])</f>
        <v>193.92</v>
      </c>
    </row>
    <row r="1051" customFormat="false" ht="13.5" hidden="false" customHeight="false" outlineLevel="0" collapsed="false">
      <c r="A1051" s="1" t="s">
        <v>816</v>
      </c>
      <c r="B1051" s="1" t="n">
        <v>2</v>
      </c>
      <c r="C1051" s="5" t="n">
        <v>46189</v>
      </c>
      <c r="D1051" s="6" t="s">
        <v>521</v>
      </c>
      <c r="E1051" s="6" t="s">
        <v>92</v>
      </c>
      <c r="F1051" s="6" t="s">
        <v>73</v>
      </c>
      <c r="G1051" s="6" t="s">
        <v>64</v>
      </c>
      <c r="H1051" s="6" t="s">
        <v>109</v>
      </c>
      <c r="I1051" s="1" t="n">
        <v>1</v>
      </c>
      <c r="J1051" s="7" t="n">
        <v>474.85</v>
      </c>
      <c r="K1051" s="8" t="n">
        <v>0</v>
      </c>
      <c r="L1051" s="7" t="n">
        <v>307.75</v>
      </c>
      <c r="M1051" s="6" t="s">
        <v>69</v>
      </c>
      <c r="N1051" s="6" t="s">
        <v>67</v>
      </c>
      <c r="O1051" s="6" t="n">
        <f aca="false">IF(TablaVentas[[#This Row],[Precio_unitario]]="","PENDIENTE",TablaVentas[[#This Row],[Unidades]]*TablaVentas[[#This Row],[Precio_unitario]]*(1-TablaVentas[[#This Row],[Descuento_pct]]))</f>
        <v>474.85</v>
      </c>
      <c r="P1051" s="6" t="n">
        <f aca="false">IF(TablaVentas[[#This Row],[Costo_unitario]]="","PENDIENTE",TablaVentas[[#This Row],[Unidades]]*TablaVentas[[#This Row],[Costo_unitario]])</f>
        <v>307.75</v>
      </c>
      <c r="Q1051" s="6" t="n">
        <f aca="false">IF(OR(TablaVentas[[#This Row],[Ingreso_neto]]="PENDIENTE",TablaVentas[[#This Row],[Costo_total]]="PENDIENTE"),"PENDIENTE",TablaVentas[[#This Row],[Ingreso_neto]]-TablaVentas[[#This Row],[Costo_total]])</f>
        <v>167.1</v>
      </c>
    </row>
    <row r="1052" customFormat="false" ht="13.5" hidden="false" customHeight="false" outlineLevel="0" collapsed="false">
      <c r="A1052" s="1" t="s">
        <v>817</v>
      </c>
      <c r="B1052" s="1" t="n">
        <v>1</v>
      </c>
      <c r="C1052" s="5" t="n">
        <v>46085</v>
      </c>
      <c r="D1052" s="6" t="s">
        <v>579</v>
      </c>
      <c r="E1052" s="6" t="s">
        <v>190</v>
      </c>
      <c r="F1052" s="6" t="s">
        <v>84</v>
      </c>
      <c r="G1052" s="6" t="s">
        <v>47</v>
      </c>
      <c r="H1052" s="6" t="s">
        <v>58</v>
      </c>
      <c r="I1052" s="1" t="n">
        <v>1</v>
      </c>
      <c r="J1052" s="7" t="n">
        <v>5206.87</v>
      </c>
      <c r="K1052" s="8" t="n">
        <v>0.05</v>
      </c>
      <c r="L1052" s="7" t="n">
        <v>4325.73</v>
      </c>
      <c r="M1052" s="6" t="s">
        <v>49</v>
      </c>
      <c r="N1052" s="6" t="s">
        <v>67</v>
      </c>
      <c r="O1052" s="6" t="n">
        <f aca="false">IF(TablaVentas[[#This Row],[Precio_unitario]]="","PENDIENTE",TablaVentas[[#This Row],[Unidades]]*TablaVentas[[#This Row],[Precio_unitario]]*(1-TablaVentas[[#This Row],[Descuento_pct]]))</f>
        <v>4946.5265</v>
      </c>
      <c r="P1052" s="6" t="n">
        <f aca="false">IF(TablaVentas[[#This Row],[Costo_unitario]]="","PENDIENTE",TablaVentas[[#This Row],[Unidades]]*TablaVentas[[#This Row],[Costo_unitario]])</f>
        <v>4325.73</v>
      </c>
      <c r="Q1052" s="6" t="n">
        <f aca="false">IF(OR(TablaVentas[[#This Row],[Ingreso_neto]]="PENDIENTE",TablaVentas[[#This Row],[Costo_total]]="PENDIENTE"),"PENDIENTE",TablaVentas[[#This Row],[Ingreso_neto]]-TablaVentas[[#This Row],[Costo_total]])</f>
        <v>620.7965</v>
      </c>
    </row>
    <row r="1053" customFormat="false" ht="13.5" hidden="false" customHeight="false" outlineLevel="0" collapsed="false">
      <c r="A1053" s="1" t="s">
        <v>818</v>
      </c>
      <c r="B1053" s="1" t="n">
        <v>1</v>
      </c>
      <c r="C1053" s="5" t="n">
        <v>46064</v>
      </c>
      <c r="D1053" s="6" t="s">
        <v>176</v>
      </c>
      <c r="E1053" s="6" t="s">
        <v>255</v>
      </c>
      <c r="F1053" s="6" t="s">
        <v>73</v>
      </c>
      <c r="G1053" s="6" t="s">
        <v>57</v>
      </c>
      <c r="H1053" s="6" t="s">
        <v>65</v>
      </c>
      <c r="I1053" s="1" t="n">
        <v>1</v>
      </c>
      <c r="J1053" s="7" t="n">
        <v>12461.57</v>
      </c>
      <c r="K1053" s="8" t="n">
        <v>0.2</v>
      </c>
      <c r="L1053" s="7" t="n">
        <v>6856.4</v>
      </c>
      <c r="M1053" s="6" t="s">
        <v>49</v>
      </c>
      <c r="N1053" s="6" t="s">
        <v>59</v>
      </c>
      <c r="O1053" s="6" t="n">
        <f aca="false">IF(TablaVentas[[#This Row],[Precio_unitario]]="","PENDIENTE",TablaVentas[[#This Row],[Unidades]]*TablaVentas[[#This Row],[Precio_unitario]]*(1-TablaVentas[[#This Row],[Descuento_pct]]))</f>
        <v>9969.256</v>
      </c>
      <c r="P1053" s="6" t="n">
        <f aca="false">IF(TablaVentas[[#This Row],[Costo_unitario]]="","PENDIENTE",TablaVentas[[#This Row],[Unidades]]*TablaVentas[[#This Row],[Costo_unitario]])</f>
        <v>6856.4</v>
      </c>
      <c r="Q1053" s="6" t="n">
        <f aca="false">IF(OR(TablaVentas[[#This Row],[Ingreso_neto]]="PENDIENTE",TablaVentas[[#This Row],[Costo_total]]="PENDIENTE"),"PENDIENTE",TablaVentas[[#This Row],[Ingreso_neto]]-TablaVentas[[#This Row],[Costo_total]])</f>
        <v>3112.856</v>
      </c>
    </row>
    <row r="1054" customFormat="false" ht="13.5" hidden="false" customHeight="false" outlineLevel="0" collapsed="false">
      <c r="A1054" s="1" t="s">
        <v>818</v>
      </c>
      <c r="B1054" s="1" t="n">
        <v>2</v>
      </c>
      <c r="C1054" s="5" t="n">
        <v>46064</v>
      </c>
      <c r="D1054" s="6" t="s">
        <v>176</v>
      </c>
      <c r="E1054" s="6" t="s">
        <v>105</v>
      </c>
      <c r="F1054" s="6" t="s">
        <v>73</v>
      </c>
      <c r="G1054" s="6" t="s">
        <v>57</v>
      </c>
      <c r="H1054" s="6" t="s">
        <v>65</v>
      </c>
      <c r="I1054" s="1" t="n">
        <v>2</v>
      </c>
      <c r="J1054" s="7" t="n">
        <v>16960.62</v>
      </c>
      <c r="K1054" s="8" t="n">
        <v>0</v>
      </c>
      <c r="L1054" s="7" t="n">
        <v>9881</v>
      </c>
      <c r="M1054" s="6" t="s">
        <v>49</v>
      </c>
      <c r="N1054" s="6" t="s">
        <v>50</v>
      </c>
      <c r="O1054" s="6" t="n">
        <f aca="false">IF(TablaVentas[[#This Row],[Precio_unitario]]="","PENDIENTE",TablaVentas[[#This Row],[Unidades]]*TablaVentas[[#This Row],[Precio_unitario]]*(1-TablaVentas[[#This Row],[Descuento_pct]]))</f>
        <v>33921.24</v>
      </c>
      <c r="P1054" s="6" t="n">
        <f aca="false">IF(TablaVentas[[#This Row],[Costo_unitario]]="","PENDIENTE",TablaVentas[[#This Row],[Unidades]]*TablaVentas[[#This Row],[Costo_unitario]])</f>
        <v>19762</v>
      </c>
      <c r="Q1054" s="6" t="n">
        <f aca="false">IF(OR(TablaVentas[[#This Row],[Ingreso_neto]]="PENDIENTE",TablaVentas[[#This Row],[Costo_total]]="PENDIENTE"),"PENDIENTE",TablaVentas[[#This Row],[Ingreso_neto]]-TablaVentas[[#This Row],[Costo_total]])</f>
        <v>14159.24</v>
      </c>
    </row>
    <row r="1055" customFormat="false" ht="13.5" hidden="false" customHeight="false" outlineLevel="0" collapsed="false">
      <c r="A1055" s="1" t="s">
        <v>818</v>
      </c>
      <c r="B1055" s="1" t="n">
        <v>3</v>
      </c>
      <c r="C1055" s="5" t="n">
        <v>46064</v>
      </c>
      <c r="D1055" s="6" t="s">
        <v>176</v>
      </c>
      <c r="E1055" s="6" t="s">
        <v>145</v>
      </c>
      <c r="F1055" s="6" t="s">
        <v>73</v>
      </c>
      <c r="G1055" s="6" t="s">
        <v>57</v>
      </c>
      <c r="H1055" s="6" t="s">
        <v>65</v>
      </c>
      <c r="I1055" s="1" t="n">
        <v>2</v>
      </c>
      <c r="J1055" s="7" t="n">
        <v>6724.05</v>
      </c>
      <c r="K1055" s="8" t="n">
        <v>0.05</v>
      </c>
      <c r="L1055" s="7" t="n">
        <v>4665.62</v>
      </c>
      <c r="M1055" s="6" t="s">
        <v>49</v>
      </c>
      <c r="N1055" s="6" t="s">
        <v>59</v>
      </c>
      <c r="O1055" s="6" t="n">
        <f aca="false">IF(TablaVentas[[#This Row],[Precio_unitario]]="","PENDIENTE",TablaVentas[[#This Row],[Unidades]]*TablaVentas[[#This Row],[Precio_unitario]]*(1-TablaVentas[[#This Row],[Descuento_pct]]))</f>
        <v>12775.695</v>
      </c>
      <c r="P1055" s="6" t="n">
        <f aca="false">IF(TablaVentas[[#This Row],[Costo_unitario]]="","PENDIENTE",TablaVentas[[#This Row],[Unidades]]*TablaVentas[[#This Row],[Costo_unitario]])</f>
        <v>9331.24</v>
      </c>
      <c r="Q1055" s="6" t="n">
        <f aca="false">IF(OR(TablaVentas[[#This Row],[Ingreso_neto]]="PENDIENTE",TablaVentas[[#This Row],[Costo_total]]="PENDIENTE"),"PENDIENTE",TablaVentas[[#This Row],[Ingreso_neto]]-TablaVentas[[#This Row],[Costo_total]])</f>
        <v>3444.455</v>
      </c>
    </row>
    <row r="1056" customFormat="false" ht="13.5" hidden="false" customHeight="false" outlineLevel="0" collapsed="false">
      <c r="A1056" s="1" t="s">
        <v>818</v>
      </c>
      <c r="B1056" s="1" t="n">
        <v>4</v>
      </c>
      <c r="C1056" s="5" t="n">
        <v>46064</v>
      </c>
      <c r="D1056" s="6" t="s">
        <v>176</v>
      </c>
      <c r="E1056" s="6" t="s">
        <v>66</v>
      </c>
      <c r="F1056" s="6" t="s">
        <v>73</v>
      </c>
      <c r="G1056" s="6" t="s">
        <v>57</v>
      </c>
      <c r="H1056" s="6" t="s">
        <v>65</v>
      </c>
      <c r="I1056" s="1" t="n">
        <v>1</v>
      </c>
      <c r="J1056" s="7" t="n">
        <v>14082.78</v>
      </c>
      <c r="K1056" s="8" t="n">
        <v>0</v>
      </c>
      <c r="L1056" s="7" t="n">
        <v>10170.29</v>
      </c>
      <c r="M1056" s="6" t="s">
        <v>49</v>
      </c>
      <c r="N1056" s="6" t="s">
        <v>59</v>
      </c>
      <c r="O1056" s="6" t="n">
        <f aca="false">IF(TablaVentas[[#This Row],[Precio_unitario]]="","PENDIENTE",TablaVentas[[#This Row],[Unidades]]*TablaVentas[[#This Row],[Precio_unitario]]*(1-TablaVentas[[#This Row],[Descuento_pct]]))</f>
        <v>14082.78</v>
      </c>
      <c r="P1056" s="6" t="n">
        <f aca="false">IF(TablaVentas[[#This Row],[Costo_unitario]]="","PENDIENTE",TablaVentas[[#This Row],[Unidades]]*TablaVentas[[#This Row],[Costo_unitario]])</f>
        <v>10170.29</v>
      </c>
      <c r="Q1056" s="6" t="n">
        <f aca="false">IF(OR(TablaVentas[[#This Row],[Ingreso_neto]]="PENDIENTE",TablaVentas[[#This Row],[Costo_total]]="PENDIENTE"),"PENDIENTE",TablaVentas[[#This Row],[Ingreso_neto]]-TablaVentas[[#This Row],[Costo_total]])</f>
        <v>3912.49</v>
      </c>
    </row>
    <row r="1057" customFormat="false" ht="13.5" hidden="false" customHeight="false" outlineLevel="0" collapsed="false">
      <c r="A1057" s="1" t="s">
        <v>819</v>
      </c>
      <c r="B1057" s="1" t="n">
        <v>1</v>
      </c>
      <c r="C1057" s="5" t="n">
        <v>46289</v>
      </c>
      <c r="D1057" s="6" t="s">
        <v>483</v>
      </c>
      <c r="E1057" s="6" t="s">
        <v>142</v>
      </c>
      <c r="F1057" s="6" t="s">
        <v>46</v>
      </c>
      <c r="G1057" s="6" t="s">
        <v>47</v>
      </c>
      <c r="H1057" s="6" t="s">
        <v>65</v>
      </c>
      <c r="I1057" s="1" t="n">
        <v>3</v>
      </c>
      <c r="J1057" s="7" t="n">
        <v>1832.14</v>
      </c>
      <c r="K1057" s="8" t="n">
        <v>0.1</v>
      </c>
      <c r="L1057" s="7" t="n">
        <v>1529.93</v>
      </c>
      <c r="M1057" s="6" t="s">
        <v>49</v>
      </c>
      <c r="N1057" s="6" t="s">
        <v>67</v>
      </c>
      <c r="O1057" s="6" t="n">
        <f aca="false">IF(TablaVentas[[#This Row],[Precio_unitario]]="","PENDIENTE",TablaVentas[[#This Row],[Unidades]]*TablaVentas[[#This Row],[Precio_unitario]]*(1-TablaVentas[[#This Row],[Descuento_pct]]))</f>
        <v>4946.778</v>
      </c>
      <c r="P1057" s="6" t="n">
        <f aca="false">IF(TablaVentas[[#This Row],[Costo_unitario]]="","PENDIENTE",TablaVentas[[#This Row],[Unidades]]*TablaVentas[[#This Row],[Costo_unitario]])</f>
        <v>4589.79</v>
      </c>
      <c r="Q1057" s="6" t="n">
        <f aca="false">IF(OR(TablaVentas[[#This Row],[Ingreso_neto]]="PENDIENTE",TablaVentas[[#This Row],[Costo_total]]="PENDIENTE"),"PENDIENTE",TablaVentas[[#This Row],[Ingreso_neto]]-TablaVentas[[#This Row],[Costo_total]])</f>
        <v>356.988</v>
      </c>
    </row>
    <row r="1058" customFormat="false" ht="13.5" hidden="false" customHeight="false" outlineLevel="0" collapsed="false">
      <c r="A1058" s="1" t="s">
        <v>819</v>
      </c>
      <c r="B1058" s="1" t="n">
        <v>2</v>
      </c>
      <c r="C1058" s="5" t="n">
        <v>46289</v>
      </c>
      <c r="D1058" s="6" t="s">
        <v>483</v>
      </c>
      <c r="E1058" s="6" t="s">
        <v>544</v>
      </c>
      <c r="F1058" s="6" t="s">
        <v>46</v>
      </c>
      <c r="G1058" s="6" t="s">
        <v>47</v>
      </c>
      <c r="H1058" s="6" t="s">
        <v>65</v>
      </c>
      <c r="I1058" s="1" t="n">
        <v>4</v>
      </c>
      <c r="J1058" s="7" t="n">
        <v>5264.49</v>
      </c>
      <c r="K1058" s="8" t="n">
        <v>0</v>
      </c>
      <c r="L1058" s="7" t="n">
        <v>4556.23</v>
      </c>
      <c r="M1058" s="6" t="s">
        <v>49</v>
      </c>
      <c r="N1058" s="6" t="s">
        <v>52</v>
      </c>
      <c r="O1058" s="6" t="n">
        <f aca="false">IF(TablaVentas[[#This Row],[Precio_unitario]]="","PENDIENTE",TablaVentas[[#This Row],[Unidades]]*TablaVentas[[#This Row],[Precio_unitario]]*(1-TablaVentas[[#This Row],[Descuento_pct]]))</f>
        <v>21057.96</v>
      </c>
      <c r="P1058" s="6" t="n">
        <f aca="false">IF(TablaVentas[[#This Row],[Costo_unitario]]="","PENDIENTE",TablaVentas[[#This Row],[Unidades]]*TablaVentas[[#This Row],[Costo_unitario]])</f>
        <v>18224.92</v>
      </c>
      <c r="Q1058" s="6" t="n">
        <f aca="false">IF(OR(TablaVentas[[#This Row],[Ingreso_neto]]="PENDIENTE",TablaVentas[[#This Row],[Costo_total]]="PENDIENTE"),"PENDIENTE",TablaVentas[[#This Row],[Ingreso_neto]]-TablaVentas[[#This Row],[Costo_total]])</f>
        <v>2833.04</v>
      </c>
    </row>
    <row r="1059" customFormat="false" ht="13.5" hidden="false" customHeight="false" outlineLevel="0" collapsed="false">
      <c r="A1059" s="1" t="s">
        <v>819</v>
      </c>
      <c r="B1059" s="1" t="n">
        <v>3</v>
      </c>
      <c r="C1059" s="5" t="n">
        <v>46289</v>
      </c>
      <c r="D1059" s="6" t="s">
        <v>483</v>
      </c>
      <c r="E1059" s="6" t="s">
        <v>170</v>
      </c>
      <c r="F1059" s="6" t="s">
        <v>46</v>
      </c>
      <c r="G1059" s="6" t="s">
        <v>47</v>
      </c>
      <c r="H1059" s="6" t="s">
        <v>65</v>
      </c>
      <c r="I1059" s="1" t="n">
        <v>3</v>
      </c>
      <c r="J1059" s="7" t="n">
        <v>15262.92</v>
      </c>
      <c r="K1059" s="8" t="n">
        <v>0</v>
      </c>
      <c r="L1059" s="7" t="n">
        <v>12141.44</v>
      </c>
      <c r="M1059" s="6" t="s">
        <v>49</v>
      </c>
      <c r="N1059" s="6" t="s">
        <v>59</v>
      </c>
      <c r="O1059" s="6" t="n">
        <f aca="false">IF(TablaVentas[[#This Row],[Precio_unitario]]="","PENDIENTE",TablaVentas[[#This Row],[Unidades]]*TablaVentas[[#This Row],[Precio_unitario]]*(1-TablaVentas[[#This Row],[Descuento_pct]]))</f>
        <v>45788.76</v>
      </c>
      <c r="P1059" s="6" t="n">
        <f aca="false">IF(TablaVentas[[#This Row],[Costo_unitario]]="","PENDIENTE",TablaVentas[[#This Row],[Unidades]]*TablaVentas[[#This Row],[Costo_unitario]])</f>
        <v>36424.32</v>
      </c>
      <c r="Q1059" s="6" t="n">
        <f aca="false">IF(OR(TablaVentas[[#This Row],[Ingreso_neto]]="PENDIENTE",TablaVentas[[#This Row],[Costo_total]]="PENDIENTE"),"PENDIENTE",TablaVentas[[#This Row],[Ingreso_neto]]-TablaVentas[[#This Row],[Costo_total]])</f>
        <v>9364.44</v>
      </c>
    </row>
    <row r="1060" customFormat="false" ht="13.5" hidden="false" customHeight="false" outlineLevel="0" collapsed="false">
      <c r="A1060" s="1" t="s">
        <v>820</v>
      </c>
      <c r="B1060" s="1" t="n">
        <v>1</v>
      </c>
      <c r="C1060" s="5" t="n">
        <v>46164</v>
      </c>
      <c r="D1060" s="6" t="s">
        <v>291</v>
      </c>
      <c r="E1060" s="6" t="s">
        <v>158</v>
      </c>
      <c r="F1060" s="6" t="s">
        <v>73</v>
      </c>
      <c r="G1060" s="6" t="s">
        <v>47</v>
      </c>
      <c r="H1060" s="6" t="s">
        <v>80</v>
      </c>
      <c r="I1060" s="1" t="n">
        <v>2</v>
      </c>
      <c r="J1060" s="7" t="n">
        <v>17967.8</v>
      </c>
      <c r="K1060" s="8" t="n">
        <v>0</v>
      </c>
      <c r="L1060" s="7" t="n">
        <v>8963.23</v>
      </c>
      <c r="M1060" s="6" t="s">
        <v>49</v>
      </c>
      <c r="N1060" s="6" t="s">
        <v>52</v>
      </c>
      <c r="O1060" s="6" t="n">
        <f aca="false">IF(TablaVentas[[#This Row],[Precio_unitario]]="","PENDIENTE",TablaVentas[[#This Row],[Unidades]]*TablaVentas[[#This Row],[Precio_unitario]]*(1-TablaVentas[[#This Row],[Descuento_pct]]))</f>
        <v>35935.6</v>
      </c>
      <c r="P1060" s="6" t="n">
        <f aca="false">IF(TablaVentas[[#This Row],[Costo_unitario]]="","PENDIENTE",TablaVentas[[#This Row],[Unidades]]*TablaVentas[[#This Row],[Costo_unitario]])</f>
        <v>17926.46</v>
      </c>
      <c r="Q1060" s="6" t="n">
        <f aca="false">IF(OR(TablaVentas[[#This Row],[Ingreso_neto]]="PENDIENTE",TablaVentas[[#This Row],[Costo_total]]="PENDIENTE"),"PENDIENTE",TablaVentas[[#This Row],[Ingreso_neto]]-TablaVentas[[#This Row],[Costo_total]])</f>
        <v>18009.14</v>
      </c>
    </row>
    <row r="1061" customFormat="false" ht="13.5" hidden="false" customHeight="false" outlineLevel="0" collapsed="false">
      <c r="A1061" s="1" t="s">
        <v>821</v>
      </c>
      <c r="B1061" s="1" t="n">
        <v>1</v>
      </c>
      <c r="C1061" s="5" t="n">
        <v>46052</v>
      </c>
      <c r="D1061" s="6" t="s">
        <v>822</v>
      </c>
      <c r="E1061" s="6" t="s">
        <v>140</v>
      </c>
      <c r="F1061" s="6" t="s">
        <v>84</v>
      </c>
      <c r="G1061" s="6" t="s">
        <v>64</v>
      </c>
      <c r="H1061" s="6" t="s">
        <v>48</v>
      </c>
      <c r="I1061" s="1" t="n">
        <v>1</v>
      </c>
      <c r="J1061" s="7" t="n">
        <v>7536.64</v>
      </c>
      <c r="K1061" s="8" t="n">
        <v>0</v>
      </c>
      <c r="L1061" s="7" t="n">
        <v>4061.34</v>
      </c>
      <c r="M1061" s="6" t="s">
        <v>49</v>
      </c>
      <c r="N1061" s="6" t="s">
        <v>67</v>
      </c>
      <c r="O1061" s="6" t="n">
        <f aca="false">IF(TablaVentas[[#This Row],[Precio_unitario]]="","PENDIENTE",TablaVentas[[#This Row],[Unidades]]*TablaVentas[[#This Row],[Precio_unitario]]*(1-TablaVentas[[#This Row],[Descuento_pct]]))</f>
        <v>7536.64</v>
      </c>
      <c r="P1061" s="6" t="n">
        <f aca="false">IF(TablaVentas[[#This Row],[Costo_unitario]]="","PENDIENTE",TablaVentas[[#This Row],[Unidades]]*TablaVentas[[#This Row],[Costo_unitario]])</f>
        <v>4061.34</v>
      </c>
      <c r="Q1061" s="6" t="n">
        <f aca="false">IF(OR(TablaVentas[[#This Row],[Ingreso_neto]]="PENDIENTE",TablaVentas[[#This Row],[Costo_total]]="PENDIENTE"),"PENDIENTE",TablaVentas[[#This Row],[Ingreso_neto]]-TablaVentas[[#This Row],[Costo_total]])</f>
        <v>3475.3</v>
      </c>
    </row>
    <row r="1062" customFormat="false" ht="13.5" hidden="false" customHeight="false" outlineLevel="0" collapsed="false">
      <c r="A1062" s="1" t="s">
        <v>823</v>
      </c>
      <c r="B1062" s="1" t="n">
        <v>1</v>
      </c>
      <c r="C1062" s="5" t="n">
        <v>46225</v>
      </c>
      <c r="D1062" s="6" t="s">
        <v>824</v>
      </c>
      <c r="E1062" s="6" t="s">
        <v>108</v>
      </c>
      <c r="F1062" s="6" t="s">
        <v>46</v>
      </c>
      <c r="G1062" s="6" t="s">
        <v>57</v>
      </c>
      <c r="H1062" s="6" t="s">
        <v>80</v>
      </c>
      <c r="I1062" s="1" t="n">
        <v>2</v>
      </c>
      <c r="J1062" s="7" t="n">
        <v>5132.93</v>
      </c>
      <c r="K1062" s="8" t="n">
        <v>0.1</v>
      </c>
      <c r="L1062" s="7" t="n">
        <v>2865.24</v>
      </c>
      <c r="M1062" s="6" t="s">
        <v>49</v>
      </c>
      <c r="N1062" s="6" t="s">
        <v>50</v>
      </c>
      <c r="O1062" s="6" t="n">
        <f aca="false">IF(TablaVentas[[#This Row],[Precio_unitario]]="","PENDIENTE",TablaVentas[[#This Row],[Unidades]]*TablaVentas[[#This Row],[Precio_unitario]]*(1-TablaVentas[[#This Row],[Descuento_pct]]))</f>
        <v>9239.274</v>
      </c>
      <c r="P1062" s="6" t="n">
        <f aca="false">IF(TablaVentas[[#This Row],[Costo_unitario]]="","PENDIENTE",TablaVentas[[#This Row],[Unidades]]*TablaVentas[[#This Row],[Costo_unitario]])</f>
        <v>5730.48</v>
      </c>
      <c r="Q1062" s="6" t="n">
        <f aca="false">IF(OR(TablaVentas[[#This Row],[Ingreso_neto]]="PENDIENTE",TablaVentas[[#This Row],[Costo_total]]="PENDIENTE"),"PENDIENTE",TablaVentas[[#This Row],[Ingreso_neto]]-TablaVentas[[#This Row],[Costo_total]])</f>
        <v>3508.794</v>
      </c>
    </row>
    <row r="1063" customFormat="false" ht="13.5" hidden="false" customHeight="false" outlineLevel="0" collapsed="false">
      <c r="A1063" s="1" t="s">
        <v>823</v>
      </c>
      <c r="B1063" s="1" t="n">
        <v>2</v>
      </c>
      <c r="C1063" s="5" t="n">
        <v>46225</v>
      </c>
      <c r="D1063" s="6" t="s">
        <v>824</v>
      </c>
      <c r="E1063" s="6" t="s">
        <v>145</v>
      </c>
      <c r="F1063" s="6" t="s">
        <v>46</v>
      </c>
      <c r="G1063" s="6" t="s">
        <v>57</v>
      </c>
      <c r="H1063" s="6" t="s">
        <v>80</v>
      </c>
      <c r="I1063" s="1" t="n">
        <v>2</v>
      </c>
      <c r="J1063" s="7" t="n">
        <v>6650.98</v>
      </c>
      <c r="K1063" s="8" t="n">
        <v>0.2</v>
      </c>
      <c r="L1063" s="7" t="n">
        <v>4665.62</v>
      </c>
      <c r="M1063" s="6" t="s">
        <v>49</v>
      </c>
      <c r="N1063" s="6" t="s">
        <v>50</v>
      </c>
      <c r="O1063" s="6" t="n">
        <f aca="false">IF(TablaVentas[[#This Row],[Precio_unitario]]="","PENDIENTE",TablaVentas[[#This Row],[Unidades]]*TablaVentas[[#This Row],[Precio_unitario]]*(1-TablaVentas[[#This Row],[Descuento_pct]]))</f>
        <v>10641.568</v>
      </c>
      <c r="P1063" s="6" t="n">
        <f aca="false">IF(TablaVentas[[#This Row],[Costo_unitario]]="","PENDIENTE",TablaVentas[[#This Row],[Unidades]]*TablaVentas[[#This Row],[Costo_unitario]])</f>
        <v>9331.24</v>
      </c>
      <c r="Q1063" s="6" t="n">
        <f aca="false">IF(OR(TablaVentas[[#This Row],[Ingreso_neto]]="PENDIENTE",TablaVentas[[#This Row],[Costo_total]]="PENDIENTE"),"PENDIENTE",TablaVentas[[#This Row],[Ingreso_neto]]-TablaVentas[[#This Row],[Costo_total]])</f>
        <v>1310.328</v>
      </c>
    </row>
    <row r="1064" customFormat="false" ht="13.5" hidden="false" customHeight="false" outlineLevel="0" collapsed="false">
      <c r="A1064" s="1" t="s">
        <v>825</v>
      </c>
      <c r="B1064" s="1" t="n">
        <v>1</v>
      </c>
      <c r="C1064" s="5" t="n">
        <v>46150</v>
      </c>
      <c r="D1064" s="6" t="s">
        <v>504</v>
      </c>
      <c r="E1064" s="6" t="s">
        <v>233</v>
      </c>
      <c r="F1064" s="6" t="s">
        <v>73</v>
      </c>
      <c r="G1064" s="6" t="s">
        <v>57</v>
      </c>
      <c r="H1064" s="6" t="s">
        <v>65</v>
      </c>
      <c r="I1064" s="1" t="n">
        <v>1</v>
      </c>
      <c r="J1064" s="7" t="n">
        <v>17625.71</v>
      </c>
      <c r="K1064" s="8" t="n">
        <v>0.15</v>
      </c>
      <c r="L1064" s="7" t="n">
        <v>9976.68</v>
      </c>
      <c r="M1064" s="6" t="s">
        <v>49</v>
      </c>
      <c r="N1064" s="6" t="s">
        <v>52</v>
      </c>
      <c r="O1064" s="6" t="n">
        <f aca="false">IF(TablaVentas[[#This Row],[Precio_unitario]]="","PENDIENTE",TablaVentas[[#This Row],[Unidades]]*TablaVentas[[#This Row],[Precio_unitario]]*(1-TablaVentas[[#This Row],[Descuento_pct]]))</f>
        <v>14981.8535</v>
      </c>
      <c r="P1064" s="6" t="n">
        <f aca="false">IF(TablaVentas[[#This Row],[Costo_unitario]]="","PENDIENTE",TablaVentas[[#This Row],[Unidades]]*TablaVentas[[#This Row],[Costo_unitario]])</f>
        <v>9976.68</v>
      </c>
      <c r="Q1064" s="6" t="n">
        <f aca="false">IF(OR(TablaVentas[[#This Row],[Ingreso_neto]]="PENDIENTE",TablaVentas[[#This Row],[Costo_total]]="PENDIENTE"),"PENDIENTE",TablaVentas[[#This Row],[Ingreso_neto]]-TablaVentas[[#This Row],[Costo_total]])</f>
        <v>5005.1735</v>
      </c>
    </row>
    <row r="1065" customFormat="false" ht="13.5" hidden="false" customHeight="false" outlineLevel="0" collapsed="false">
      <c r="A1065" s="1" t="s">
        <v>825</v>
      </c>
      <c r="B1065" s="1" t="n">
        <v>2</v>
      </c>
      <c r="C1065" s="5" t="n">
        <v>46150</v>
      </c>
      <c r="D1065" s="6" t="s">
        <v>504</v>
      </c>
      <c r="E1065" s="6" t="s">
        <v>120</v>
      </c>
      <c r="F1065" s="6" t="s">
        <v>73</v>
      </c>
      <c r="G1065" s="6" t="s">
        <v>57</v>
      </c>
      <c r="H1065" s="6" t="s">
        <v>65</v>
      </c>
      <c r="I1065" s="1" t="n">
        <v>2</v>
      </c>
      <c r="J1065" s="7" t="n">
        <v>3241.62</v>
      </c>
      <c r="K1065" s="8" t="n">
        <v>0</v>
      </c>
      <c r="L1065" s="7" t="n">
        <v>2196.34</v>
      </c>
      <c r="M1065" s="6" t="s">
        <v>49</v>
      </c>
      <c r="N1065" s="6" t="s">
        <v>52</v>
      </c>
      <c r="O1065" s="6" t="n">
        <f aca="false">IF(TablaVentas[[#This Row],[Precio_unitario]]="","PENDIENTE",TablaVentas[[#This Row],[Unidades]]*TablaVentas[[#This Row],[Precio_unitario]]*(1-TablaVentas[[#This Row],[Descuento_pct]]))</f>
        <v>6483.24</v>
      </c>
      <c r="P1065" s="6" t="n">
        <f aca="false">IF(TablaVentas[[#This Row],[Costo_unitario]]="","PENDIENTE",TablaVentas[[#This Row],[Unidades]]*TablaVentas[[#This Row],[Costo_unitario]])</f>
        <v>4392.68</v>
      </c>
      <c r="Q1065" s="6" t="n">
        <f aca="false">IF(OR(TablaVentas[[#This Row],[Ingreso_neto]]="PENDIENTE",TablaVentas[[#This Row],[Costo_total]]="PENDIENTE"),"PENDIENTE",TablaVentas[[#This Row],[Ingreso_neto]]-TablaVentas[[#This Row],[Costo_total]])</f>
        <v>2090.56</v>
      </c>
    </row>
    <row r="1066" customFormat="false" ht="13.5" hidden="false" customHeight="false" outlineLevel="0" collapsed="false">
      <c r="A1066" s="1" t="s">
        <v>826</v>
      </c>
      <c r="B1066" s="1" t="n">
        <v>1</v>
      </c>
      <c r="C1066" s="5" t="n">
        <v>46223</v>
      </c>
      <c r="D1066" s="6" t="s">
        <v>273</v>
      </c>
      <c r="E1066" s="6" t="s">
        <v>77</v>
      </c>
      <c r="F1066" s="6" t="s">
        <v>63</v>
      </c>
      <c r="G1066" s="6" t="s">
        <v>57</v>
      </c>
      <c r="H1066" s="6" t="s">
        <v>191</v>
      </c>
      <c r="I1066" s="1" t="n">
        <v>5</v>
      </c>
      <c r="J1066" s="7" t="n">
        <v>15717.28</v>
      </c>
      <c r="K1066" s="8" t="n">
        <v>0</v>
      </c>
      <c r="L1066" s="7" t="n">
        <v>10571.25</v>
      </c>
      <c r="M1066" s="6" t="s">
        <v>69</v>
      </c>
      <c r="N1066" s="6" t="s">
        <v>59</v>
      </c>
      <c r="O1066" s="6" t="n">
        <f aca="false">IF(TablaVentas[[#This Row],[Precio_unitario]]="","PENDIENTE",TablaVentas[[#This Row],[Unidades]]*TablaVentas[[#This Row],[Precio_unitario]]*(1-TablaVentas[[#This Row],[Descuento_pct]]))</f>
        <v>78586.4</v>
      </c>
      <c r="P1066" s="6" t="n">
        <f aca="false">IF(TablaVentas[[#This Row],[Costo_unitario]]="","PENDIENTE",TablaVentas[[#This Row],[Unidades]]*TablaVentas[[#This Row],[Costo_unitario]])</f>
        <v>52856.25</v>
      </c>
      <c r="Q1066" s="6" t="n">
        <f aca="false">IF(OR(TablaVentas[[#This Row],[Ingreso_neto]]="PENDIENTE",TablaVentas[[#This Row],[Costo_total]]="PENDIENTE"),"PENDIENTE",TablaVentas[[#This Row],[Ingreso_neto]]-TablaVentas[[#This Row],[Costo_total]])</f>
        <v>25730.15</v>
      </c>
    </row>
    <row r="1067" customFormat="false" ht="13.5" hidden="false" customHeight="false" outlineLevel="0" collapsed="false">
      <c r="A1067" s="1" t="s">
        <v>826</v>
      </c>
      <c r="B1067" s="1" t="n">
        <v>2</v>
      </c>
      <c r="C1067" s="5" t="n">
        <v>46223</v>
      </c>
      <c r="D1067" s="6" t="s">
        <v>273</v>
      </c>
      <c r="E1067" s="6" t="s">
        <v>203</v>
      </c>
      <c r="F1067" s="6" t="s">
        <v>63</v>
      </c>
      <c r="G1067" s="6" t="s">
        <v>57</v>
      </c>
      <c r="H1067" s="6" t="s">
        <v>191</v>
      </c>
      <c r="I1067" s="1" t="n">
        <v>2</v>
      </c>
      <c r="J1067" s="7" t="n">
        <v>690.64</v>
      </c>
      <c r="K1067" s="8" t="n">
        <v>0.1</v>
      </c>
      <c r="L1067" s="7" t="n">
        <v>485.16</v>
      </c>
      <c r="M1067" s="6" t="s">
        <v>49</v>
      </c>
      <c r="N1067" s="6" t="s">
        <v>52</v>
      </c>
      <c r="O1067" s="6" t="n">
        <f aca="false">IF(TablaVentas[[#This Row],[Precio_unitario]]="","PENDIENTE",TablaVentas[[#This Row],[Unidades]]*TablaVentas[[#This Row],[Precio_unitario]]*(1-TablaVentas[[#This Row],[Descuento_pct]]))</f>
        <v>1243.152</v>
      </c>
      <c r="P1067" s="6" t="n">
        <f aca="false">IF(TablaVentas[[#This Row],[Costo_unitario]]="","PENDIENTE",TablaVentas[[#This Row],[Unidades]]*TablaVentas[[#This Row],[Costo_unitario]])</f>
        <v>970.32</v>
      </c>
      <c r="Q1067" s="6" t="n">
        <f aca="false">IF(OR(TablaVentas[[#This Row],[Ingreso_neto]]="PENDIENTE",TablaVentas[[#This Row],[Costo_total]]="PENDIENTE"),"PENDIENTE",TablaVentas[[#This Row],[Ingreso_neto]]-TablaVentas[[#This Row],[Costo_total]])</f>
        <v>272.832</v>
      </c>
    </row>
    <row r="1068" customFormat="false" ht="13.5" hidden="false" customHeight="false" outlineLevel="0" collapsed="false">
      <c r="A1068" s="1" t="s">
        <v>826</v>
      </c>
      <c r="B1068" s="1" t="n">
        <v>3</v>
      </c>
      <c r="C1068" s="5" t="n">
        <v>46223</v>
      </c>
      <c r="D1068" s="6" t="s">
        <v>273</v>
      </c>
      <c r="E1068" s="6" t="s">
        <v>255</v>
      </c>
      <c r="F1068" s="6" t="s">
        <v>63</v>
      </c>
      <c r="G1068" s="6" t="s">
        <v>57</v>
      </c>
      <c r="H1068" s="6" t="s">
        <v>191</v>
      </c>
      <c r="I1068" s="1" t="n">
        <v>1</v>
      </c>
      <c r="J1068" s="7" t="n">
        <v>13095.55</v>
      </c>
      <c r="K1068" s="8" t="n">
        <v>0.15</v>
      </c>
      <c r="L1068" s="7" t="n">
        <v>6856.4</v>
      </c>
      <c r="M1068" s="6" t="s">
        <v>49</v>
      </c>
      <c r="N1068" s="6" t="s">
        <v>67</v>
      </c>
      <c r="O1068" s="6" t="n">
        <f aca="false">IF(TablaVentas[[#This Row],[Precio_unitario]]="","PENDIENTE",TablaVentas[[#This Row],[Unidades]]*TablaVentas[[#This Row],[Precio_unitario]]*(1-TablaVentas[[#This Row],[Descuento_pct]]))</f>
        <v>11131.2175</v>
      </c>
      <c r="P1068" s="6" t="n">
        <f aca="false">IF(TablaVentas[[#This Row],[Costo_unitario]]="","PENDIENTE",TablaVentas[[#This Row],[Unidades]]*TablaVentas[[#This Row],[Costo_unitario]])</f>
        <v>6856.4</v>
      </c>
      <c r="Q1068" s="6" t="n">
        <f aca="false">IF(OR(TablaVentas[[#This Row],[Ingreso_neto]]="PENDIENTE",TablaVentas[[#This Row],[Costo_total]]="PENDIENTE"),"PENDIENTE",TablaVentas[[#This Row],[Ingreso_neto]]-TablaVentas[[#This Row],[Costo_total]])</f>
        <v>4274.8175</v>
      </c>
    </row>
    <row r="1069" customFormat="false" ht="13.5" hidden="false" customHeight="false" outlineLevel="0" collapsed="false">
      <c r="A1069" s="1" t="s">
        <v>827</v>
      </c>
      <c r="B1069" s="1" t="n">
        <v>1</v>
      </c>
      <c r="C1069" s="5" t="n">
        <v>46201</v>
      </c>
      <c r="D1069" s="6" t="s">
        <v>561</v>
      </c>
      <c r="E1069" s="6" t="s">
        <v>135</v>
      </c>
      <c r="F1069" s="6" t="s">
        <v>73</v>
      </c>
      <c r="G1069" s="6" t="s">
        <v>57</v>
      </c>
      <c r="H1069" s="6" t="s">
        <v>191</v>
      </c>
      <c r="I1069" s="1" t="n">
        <v>2</v>
      </c>
      <c r="J1069" s="7" t="n">
        <v>1480.84</v>
      </c>
      <c r="K1069" s="8" t="n">
        <v>0</v>
      </c>
      <c r="L1069" s="7" t="n">
        <v>900.08</v>
      </c>
      <c r="M1069" s="6" t="s">
        <v>49</v>
      </c>
      <c r="N1069" s="6" t="s">
        <v>50</v>
      </c>
      <c r="O1069" s="6" t="n">
        <f aca="false">IF(TablaVentas[[#This Row],[Precio_unitario]]="","PENDIENTE",TablaVentas[[#This Row],[Unidades]]*TablaVentas[[#This Row],[Precio_unitario]]*(1-TablaVentas[[#This Row],[Descuento_pct]]))</f>
        <v>2961.68</v>
      </c>
      <c r="P1069" s="6" t="n">
        <f aca="false">IF(TablaVentas[[#This Row],[Costo_unitario]]="","PENDIENTE",TablaVentas[[#This Row],[Unidades]]*TablaVentas[[#This Row],[Costo_unitario]])</f>
        <v>1800.16</v>
      </c>
      <c r="Q1069" s="6" t="n">
        <f aca="false">IF(OR(TablaVentas[[#This Row],[Ingreso_neto]]="PENDIENTE",TablaVentas[[#This Row],[Costo_total]]="PENDIENTE"),"PENDIENTE",TablaVentas[[#This Row],[Ingreso_neto]]-TablaVentas[[#This Row],[Costo_total]])</f>
        <v>1161.52</v>
      </c>
    </row>
    <row r="1070" customFormat="false" ht="13.5" hidden="false" customHeight="false" outlineLevel="0" collapsed="false">
      <c r="A1070" s="1" t="s">
        <v>827</v>
      </c>
      <c r="B1070" s="1" t="n">
        <v>2</v>
      </c>
      <c r="C1070" s="5" t="n">
        <v>46201</v>
      </c>
      <c r="D1070" s="6" t="s">
        <v>561</v>
      </c>
      <c r="E1070" s="6" t="s">
        <v>224</v>
      </c>
      <c r="F1070" s="6" t="s">
        <v>73</v>
      </c>
      <c r="G1070" s="6" t="s">
        <v>57</v>
      </c>
      <c r="H1070" s="6" t="s">
        <v>191</v>
      </c>
      <c r="I1070" s="1" t="n">
        <v>1</v>
      </c>
      <c r="J1070" s="7" t="n">
        <v>15835.83</v>
      </c>
      <c r="K1070" s="8" t="n">
        <v>0.2</v>
      </c>
      <c r="L1070" s="7" t="n">
        <v>14161.63</v>
      </c>
      <c r="M1070" s="6" t="s">
        <v>49</v>
      </c>
      <c r="N1070" s="6" t="s">
        <v>52</v>
      </c>
      <c r="O1070" s="6" t="n">
        <f aca="false">IF(TablaVentas[[#This Row],[Precio_unitario]]="","PENDIENTE",TablaVentas[[#This Row],[Unidades]]*TablaVentas[[#This Row],[Precio_unitario]]*(1-TablaVentas[[#This Row],[Descuento_pct]]))</f>
        <v>12668.664</v>
      </c>
      <c r="P1070" s="6" t="n">
        <f aca="false">IF(TablaVentas[[#This Row],[Costo_unitario]]="","PENDIENTE",TablaVentas[[#This Row],[Unidades]]*TablaVentas[[#This Row],[Costo_unitario]])</f>
        <v>14161.63</v>
      </c>
      <c r="Q1070" s="6" t="n">
        <f aca="false">IF(OR(TablaVentas[[#This Row],[Ingreso_neto]]="PENDIENTE",TablaVentas[[#This Row],[Costo_total]]="PENDIENTE"),"PENDIENTE",TablaVentas[[#This Row],[Ingreso_neto]]-TablaVentas[[#This Row],[Costo_total]])</f>
        <v>-1492.966</v>
      </c>
    </row>
    <row r="1071" customFormat="false" ht="13.5" hidden="false" customHeight="false" outlineLevel="0" collapsed="false">
      <c r="A1071" s="1" t="s">
        <v>827</v>
      </c>
      <c r="B1071" s="1" t="n">
        <v>3</v>
      </c>
      <c r="C1071" s="5" t="n">
        <v>46201</v>
      </c>
      <c r="D1071" s="6" t="s">
        <v>561</v>
      </c>
      <c r="E1071" s="6" t="s">
        <v>404</v>
      </c>
      <c r="F1071" s="6" t="s">
        <v>73</v>
      </c>
      <c r="G1071" s="6" t="s">
        <v>57</v>
      </c>
      <c r="H1071" s="6" t="s">
        <v>191</v>
      </c>
      <c r="I1071" s="1" t="n">
        <v>1</v>
      </c>
      <c r="J1071" s="7" t="n">
        <v>6852.09</v>
      </c>
      <c r="K1071" s="8" t="n">
        <v>0</v>
      </c>
      <c r="L1071" s="7" t="n">
        <v>3640.56</v>
      </c>
      <c r="M1071" s="6" t="s">
        <v>49</v>
      </c>
      <c r="N1071" s="6" t="s">
        <v>50</v>
      </c>
      <c r="O1071" s="6" t="n">
        <f aca="false">IF(TablaVentas[[#This Row],[Precio_unitario]]="","PENDIENTE",TablaVentas[[#This Row],[Unidades]]*TablaVentas[[#This Row],[Precio_unitario]]*(1-TablaVentas[[#This Row],[Descuento_pct]]))</f>
        <v>6852.09</v>
      </c>
      <c r="P1071" s="6" t="n">
        <f aca="false">IF(TablaVentas[[#This Row],[Costo_unitario]]="","PENDIENTE",TablaVentas[[#This Row],[Unidades]]*TablaVentas[[#This Row],[Costo_unitario]])</f>
        <v>3640.56</v>
      </c>
      <c r="Q1071" s="6" t="n">
        <f aca="false">IF(OR(TablaVentas[[#This Row],[Ingreso_neto]]="PENDIENTE",TablaVentas[[#This Row],[Costo_total]]="PENDIENTE"),"PENDIENTE",TablaVentas[[#This Row],[Ingreso_neto]]-TablaVentas[[#This Row],[Costo_total]])</f>
        <v>3211.53</v>
      </c>
    </row>
    <row r="1072" customFormat="false" ht="13.5" hidden="false" customHeight="false" outlineLevel="0" collapsed="false">
      <c r="A1072" s="1" t="s">
        <v>828</v>
      </c>
      <c r="B1072" s="1" t="n">
        <v>1</v>
      </c>
      <c r="C1072" s="5" t="n">
        <v>46260</v>
      </c>
      <c r="D1072" s="6" t="s">
        <v>759</v>
      </c>
      <c r="E1072" s="6" t="s">
        <v>68</v>
      </c>
      <c r="F1072" s="6" t="s">
        <v>63</v>
      </c>
      <c r="G1072" s="6" t="s">
        <v>57</v>
      </c>
      <c r="H1072" s="6" t="s">
        <v>74</v>
      </c>
      <c r="I1072" s="1" t="n">
        <v>12</v>
      </c>
      <c r="J1072" s="7" t="n">
        <v>4566.55</v>
      </c>
      <c r="K1072" s="8" t="n">
        <v>0</v>
      </c>
      <c r="L1072" s="7" t="n">
        <v>2554.06</v>
      </c>
      <c r="M1072" s="6" t="s">
        <v>49</v>
      </c>
      <c r="N1072" s="6" t="s">
        <v>59</v>
      </c>
      <c r="O1072" s="6" t="n">
        <f aca="false">IF(TablaVentas[[#This Row],[Precio_unitario]]="","PENDIENTE",TablaVentas[[#This Row],[Unidades]]*TablaVentas[[#This Row],[Precio_unitario]]*(1-TablaVentas[[#This Row],[Descuento_pct]]))</f>
        <v>54798.6</v>
      </c>
      <c r="P1072" s="6" t="n">
        <f aca="false">IF(TablaVentas[[#This Row],[Costo_unitario]]="","PENDIENTE",TablaVentas[[#This Row],[Unidades]]*TablaVentas[[#This Row],[Costo_unitario]])</f>
        <v>30648.72</v>
      </c>
      <c r="Q1072" s="6" t="n">
        <f aca="false">IF(OR(TablaVentas[[#This Row],[Ingreso_neto]]="PENDIENTE",TablaVentas[[#This Row],[Costo_total]]="PENDIENTE"),"PENDIENTE",TablaVentas[[#This Row],[Ingreso_neto]]-TablaVentas[[#This Row],[Costo_total]])</f>
        <v>24149.88</v>
      </c>
    </row>
    <row r="1073" customFormat="false" ht="13.5" hidden="false" customHeight="false" outlineLevel="0" collapsed="false">
      <c r="A1073" s="1" t="s">
        <v>828</v>
      </c>
      <c r="B1073" s="1" t="n">
        <v>2</v>
      </c>
      <c r="C1073" s="5" t="n">
        <v>46260</v>
      </c>
      <c r="D1073" s="6" t="s">
        <v>759</v>
      </c>
      <c r="E1073" s="6" t="s">
        <v>100</v>
      </c>
      <c r="F1073" s="6" t="s">
        <v>63</v>
      </c>
      <c r="G1073" s="6" t="s">
        <v>57</v>
      </c>
      <c r="H1073" s="6" t="s">
        <v>74</v>
      </c>
      <c r="I1073" s="1" t="n">
        <v>1</v>
      </c>
      <c r="J1073" s="7" t="n">
        <v>14430.24</v>
      </c>
      <c r="K1073" s="8" t="n">
        <v>0.15</v>
      </c>
      <c r="L1073" s="7" t="n">
        <v>8788.79</v>
      </c>
      <c r="M1073" s="6" t="s">
        <v>49</v>
      </c>
      <c r="N1073" s="6" t="s">
        <v>50</v>
      </c>
      <c r="O1073" s="6" t="n">
        <f aca="false">IF(TablaVentas[[#This Row],[Precio_unitario]]="","PENDIENTE",TablaVentas[[#This Row],[Unidades]]*TablaVentas[[#This Row],[Precio_unitario]]*(1-TablaVentas[[#This Row],[Descuento_pct]]))</f>
        <v>12265.704</v>
      </c>
      <c r="P1073" s="6" t="n">
        <f aca="false">IF(TablaVentas[[#This Row],[Costo_unitario]]="","PENDIENTE",TablaVentas[[#This Row],[Unidades]]*TablaVentas[[#This Row],[Costo_unitario]])</f>
        <v>8788.79</v>
      </c>
      <c r="Q1073" s="6" t="n">
        <f aca="false">IF(OR(TablaVentas[[#This Row],[Ingreso_neto]]="PENDIENTE",TablaVentas[[#This Row],[Costo_total]]="PENDIENTE"),"PENDIENTE",TablaVentas[[#This Row],[Ingreso_neto]]-TablaVentas[[#This Row],[Costo_total]])</f>
        <v>3476.914</v>
      </c>
    </row>
    <row r="1074" customFormat="false" ht="13.5" hidden="false" customHeight="false" outlineLevel="0" collapsed="false">
      <c r="A1074" s="1" t="s">
        <v>828</v>
      </c>
      <c r="B1074" s="1" t="n">
        <v>3</v>
      </c>
      <c r="C1074" s="5" t="n">
        <v>46260</v>
      </c>
      <c r="D1074" s="6" t="s">
        <v>759</v>
      </c>
      <c r="E1074" s="6" t="s">
        <v>279</v>
      </c>
      <c r="F1074" s="6" t="s">
        <v>63</v>
      </c>
      <c r="G1074" s="6" t="s">
        <v>57</v>
      </c>
      <c r="H1074" s="6" t="s">
        <v>74</v>
      </c>
      <c r="I1074" s="1" t="n">
        <v>8</v>
      </c>
      <c r="J1074" s="7" t="n">
        <v>691.45</v>
      </c>
      <c r="K1074" s="8" t="n">
        <v>0.15</v>
      </c>
      <c r="L1074" s="7" t="n">
        <v>443</v>
      </c>
      <c r="M1074" s="6" t="s">
        <v>49</v>
      </c>
      <c r="N1074" s="6" t="s">
        <v>59</v>
      </c>
      <c r="O1074" s="6" t="n">
        <f aca="false">IF(TablaVentas[[#This Row],[Precio_unitario]]="","PENDIENTE",TablaVentas[[#This Row],[Unidades]]*TablaVentas[[#This Row],[Precio_unitario]]*(1-TablaVentas[[#This Row],[Descuento_pct]]))</f>
        <v>4701.86</v>
      </c>
      <c r="P1074" s="6" t="n">
        <f aca="false">IF(TablaVentas[[#This Row],[Costo_unitario]]="","PENDIENTE",TablaVentas[[#This Row],[Unidades]]*TablaVentas[[#This Row],[Costo_unitario]])</f>
        <v>3544</v>
      </c>
      <c r="Q1074" s="6" t="n">
        <f aca="false">IF(OR(TablaVentas[[#This Row],[Ingreso_neto]]="PENDIENTE",TablaVentas[[#This Row],[Costo_total]]="PENDIENTE"),"PENDIENTE",TablaVentas[[#This Row],[Ingreso_neto]]-TablaVentas[[#This Row],[Costo_total]])</f>
        <v>1157.86</v>
      </c>
    </row>
    <row r="1075" customFormat="false" ht="13.5" hidden="false" customHeight="false" outlineLevel="0" collapsed="false">
      <c r="A1075" s="1" t="s">
        <v>829</v>
      </c>
      <c r="B1075" s="1" t="n">
        <v>1</v>
      </c>
      <c r="C1075" s="5" t="n">
        <v>46082</v>
      </c>
      <c r="D1075" s="6" t="s">
        <v>822</v>
      </c>
      <c r="E1075" s="6" t="s">
        <v>146</v>
      </c>
      <c r="F1075" s="6" t="s">
        <v>73</v>
      </c>
      <c r="G1075" s="6" t="s">
        <v>57</v>
      </c>
      <c r="H1075" s="6" t="s">
        <v>109</v>
      </c>
      <c r="I1075" s="1" t="n">
        <v>3</v>
      </c>
      <c r="J1075" s="7" t="n">
        <v>10385.5</v>
      </c>
      <c r="K1075" s="8" t="n">
        <v>0</v>
      </c>
      <c r="L1075" s="7" t="n">
        <v>8002.16</v>
      </c>
      <c r="M1075" s="6" t="s">
        <v>49</v>
      </c>
      <c r="N1075" s="6" t="s">
        <v>50</v>
      </c>
      <c r="O1075" s="6" t="n">
        <f aca="false">IF(TablaVentas[[#This Row],[Precio_unitario]]="","PENDIENTE",TablaVentas[[#This Row],[Unidades]]*TablaVentas[[#This Row],[Precio_unitario]]*(1-TablaVentas[[#This Row],[Descuento_pct]]))</f>
        <v>31156.5</v>
      </c>
      <c r="P1075" s="6" t="n">
        <f aca="false">IF(TablaVentas[[#This Row],[Costo_unitario]]="","PENDIENTE",TablaVentas[[#This Row],[Unidades]]*TablaVentas[[#This Row],[Costo_unitario]])</f>
        <v>24006.48</v>
      </c>
      <c r="Q1075" s="6" t="n">
        <f aca="false">IF(OR(TablaVentas[[#This Row],[Ingreso_neto]]="PENDIENTE",TablaVentas[[#This Row],[Costo_total]]="PENDIENTE"),"PENDIENTE",TablaVentas[[#This Row],[Ingreso_neto]]-TablaVentas[[#This Row],[Costo_total]])</f>
        <v>7150.02</v>
      </c>
    </row>
    <row r="1076" customFormat="false" ht="13.5" hidden="false" customHeight="false" outlineLevel="0" collapsed="false">
      <c r="A1076" s="1" t="s">
        <v>829</v>
      </c>
      <c r="B1076" s="1" t="n">
        <v>2</v>
      </c>
      <c r="C1076" s="5" t="n">
        <v>46082</v>
      </c>
      <c r="D1076" s="6" t="s">
        <v>822</v>
      </c>
      <c r="E1076" s="6" t="s">
        <v>122</v>
      </c>
      <c r="F1076" s="6" t="s">
        <v>73</v>
      </c>
      <c r="G1076" s="6" t="s">
        <v>57</v>
      </c>
      <c r="H1076" s="6" t="s">
        <v>109</v>
      </c>
      <c r="I1076" s="1" t="n">
        <v>3</v>
      </c>
      <c r="J1076" s="7" t="n">
        <v>1305.14</v>
      </c>
      <c r="K1076" s="8" t="n">
        <v>0</v>
      </c>
      <c r="L1076" s="7" t="n">
        <v>705.87</v>
      </c>
      <c r="M1076" s="6" t="s">
        <v>49</v>
      </c>
      <c r="N1076" s="6" t="s">
        <v>67</v>
      </c>
      <c r="O1076" s="6" t="n">
        <f aca="false">IF(TablaVentas[[#This Row],[Precio_unitario]]="","PENDIENTE",TablaVentas[[#This Row],[Unidades]]*TablaVentas[[#This Row],[Precio_unitario]]*(1-TablaVentas[[#This Row],[Descuento_pct]]))</f>
        <v>3915.42</v>
      </c>
      <c r="P1076" s="6" t="n">
        <f aca="false">IF(TablaVentas[[#This Row],[Costo_unitario]]="","PENDIENTE",TablaVentas[[#This Row],[Unidades]]*TablaVentas[[#This Row],[Costo_unitario]])</f>
        <v>2117.61</v>
      </c>
      <c r="Q1076" s="6" t="n">
        <f aca="false">IF(OR(TablaVentas[[#This Row],[Ingreso_neto]]="PENDIENTE",TablaVentas[[#This Row],[Costo_total]]="PENDIENTE"),"PENDIENTE",TablaVentas[[#This Row],[Ingreso_neto]]-TablaVentas[[#This Row],[Costo_total]])</f>
        <v>1797.81</v>
      </c>
    </row>
    <row r="1077" customFormat="false" ht="13.5" hidden="false" customHeight="false" outlineLevel="0" collapsed="false">
      <c r="A1077" s="1" t="s">
        <v>829</v>
      </c>
      <c r="B1077" s="1" t="n">
        <v>3</v>
      </c>
      <c r="C1077" s="5" t="n">
        <v>46082</v>
      </c>
      <c r="D1077" s="6" t="s">
        <v>822</v>
      </c>
      <c r="E1077" s="6" t="s">
        <v>255</v>
      </c>
      <c r="F1077" s="6" t="s">
        <v>73</v>
      </c>
      <c r="G1077" s="6" t="s">
        <v>57</v>
      </c>
      <c r="H1077" s="6" t="s">
        <v>109</v>
      </c>
      <c r="I1077" s="1" t="n">
        <v>1</v>
      </c>
      <c r="J1077" s="7" t="n">
        <v>11928.38</v>
      </c>
      <c r="K1077" s="8" t="n">
        <v>0</v>
      </c>
      <c r="L1077" s="7" t="n">
        <v>6856.4</v>
      </c>
      <c r="M1077" s="6" t="s">
        <v>49</v>
      </c>
      <c r="N1077" s="6" t="s">
        <v>67</v>
      </c>
      <c r="O1077" s="6" t="n">
        <f aca="false">IF(TablaVentas[[#This Row],[Precio_unitario]]="","PENDIENTE",TablaVentas[[#This Row],[Unidades]]*TablaVentas[[#This Row],[Precio_unitario]]*(1-TablaVentas[[#This Row],[Descuento_pct]]))</f>
        <v>11928.38</v>
      </c>
      <c r="P1077" s="6" t="n">
        <f aca="false">IF(TablaVentas[[#This Row],[Costo_unitario]]="","PENDIENTE",TablaVentas[[#This Row],[Unidades]]*TablaVentas[[#This Row],[Costo_unitario]])</f>
        <v>6856.4</v>
      </c>
      <c r="Q1077" s="6" t="n">
        <f aca="false">IF(OR(TablaVentas[[#This Row],[Ingreso_neto]]="PENDIENTE",TablaVentas[[#This Row],[Costo_total]]="PENDIENTE"),"PENDIENTE",TablaVentas[[#This Row],[Ingreso_neto]]-TablaVentas[[#This Row],[Costo_total]])</f>
        <v>5071.98</v>
      </c>
    </row>
    <row r="1078" customFormat="false" ht="13.5" hidden="false" customHeight="false" outlineLevel="0" collapsed="false">
      <c r="A1078" s="1" t="s">
        <v>830</v>
      </c>
      <c r="B1078" s="1" t="n">
        <v>1</v>
      </c>
      <c r="C1078" s="5" t="n">
        <v>46116</v>
      </c>
      <c r="D1078" s="6" t="s">
        <v>789</v>
      </c>
      <c r="E1078" s="6" t="s">
        <v>77</v>
      </c>
      <c r="F1078" s="6" t="s">
        <v>84</v>
      </c>
      <c r="G1078" s="6" t="s">
        <v>47</v>
      </c>
      <c r="H1078" s="6" t="s">
        <v>65</v>
      </c>
      <c r="I1078" s="1" t="n">
        <v>2</v>
      </c>
      <c r="J1078" s="7" t="n">
        <v>16094.57</v>
      </c>
      <c r="K1078" s="8" t="n">
        <v>0.1</v>
      </c>
      <c r="L1078" s="7" t="n">
        <v>10571.25</v>
      </c>
      <c r="M1078" s="6" t="s">
        <v>49</v>
      </c>
      <c r="N1078" s="6" t="s">
        <v>67</v>
      </c>
      <c r="O1078" s="6" t="n">
        <f aca="false">IF(TablaVentas[[#This Row],[Precio_unitario]]="","PENDIENTE",TablaVentas[[#This Row],[Unidades]]*TablaVentas[[#This Row],[Precio_unitario]]*(1-TablaVentas[[#This Row],[Descuento_pct]]))</f>
        <v>28970.226</v>
      </c>
      <c r="P1078" s="6" t="n">
        <f aca="false">IF(TablaVentas[[#This Row],[Costo_unitario]]="","PENDIENTE",TablaVentas[[#This Row],[Unidades]]*TablaVentas[[#This Row],[Costo_unitario]])</f>
        <v>21142.5</v>
      </c>
      <c r="Q1078" s="6" t="n">
        <f aca="false">IF(OR(TablaVentas[[#This Row],[Ingreso_neto]]="PENDIENTE",TablaVentas[[#This Row],[Costo_total]]="PENDIENTE"),"PENDIENTE",TablaVentas[[#This Row],[Ingreso_neto]]-TablaVentas[[#This Row],[Costo_total]])</f>
        <v>7827.726</v>
      </c>
    </row>
    <row r="1079" customFormat="false" ht="13.5" hidden="false" customHeight="false" outlineLevel="0" collapsed="false">
      <c r="A1079" s="1" t="s">
        <v>830</v>
      </c>
      <c r="B1079" s="1" t="n">
        <v>2</v>
      </c>
      <c r="C1079" s="5" t="n">
        <v>46116</v>
      </c>
      <c r="D1079" s="6" t="s">
        <v>789</v>
      </c>
      <c r="E1079" s="6" t="s">
        <v>151</v>
      </c>
      <c r="F1079" s="6" t="s">
        <v>84</v>
      </c>
      <c r="G1079" s="6" t="s">
        <v>47</v>
      </c>
      <c r="H1079" s="6" t="s">
        <v>65</v>
      </c>
      <c r="I1079" s="1" t="n">
        <v>1</v>
      </c>
      <c r="J1079" s="7" t="n">
        <v>8563.6</v>
      </c>
      <c r="K1079" s="8" t="n">
        <v>0.1</v>
      </c>
      <c r="L1079" s="7" t="n">
        <v>5125.36</v>
      </c>
      <c r="M1079" s="6" t="s">
        <v>49</v>
      </c>
      <c r="N1079" s="6" t="s">
        <v>52</v>
      </c>
      <c r="O1079" s="6" t="n">
        <f aca="false">IF(TablaVentas[[#This Row],[Precio_unitario]]="","PENDIENTE",TablaVentas[[#This Row],[Unidades]]*TablaVentas[[#This Row],[Precio_unitario]]*(1-TablaVentas[[#This Row],[Descuento_pct]]))</f>
        <v>7707.24</v>
      </c>
      <c r="P1079" s="6" t="n">
        <f aca="false">IF(TablaVentas[[#This Row],[Costo_unitario]]="","PENDIENTE",TablaVentas[[#This Row],[Unidades]]*TablaVentas[[#This Row],[Costo_unitario]])</f>
        <v>5125.36</v>
      </c>
      <c r="Q1079" s="6" t="n">
        <f aca="false">IF(OR(TablaVentas[[#This Row],[Ingreso_neto]]="PENDIENTE",TablaVentas[[#This Row],[Costo_total]]="PENDIENTE"),"PENDIENTE",TablaVentas[[#This Row],[Ingreso_neto]]-TablaVentas[[#This Row],[Costo_total]])</f>
        <v>2581.88</v>
      </c>
    </row>
    <row r="1080" customFormat="false" ht="13.5" hidden="false" customHeight="false" outlineLevel="0" collapsed="false">
      <c r="A1080" s="1" t="s">
        <v>830</v>
      </c>
      <c r="B1080" s="1" t="n">
        <v>3</v>
      </c>
      <c r="C1080" s="5" t="n">
        <v>46116</v>
      </c>
      <c r="D1080" s="6" t="s">
        <v>789</v>
      </c>
      <c r="E1080" s="6" t="s">
        <v>190</v>
      </c>
      <c r="F1080" s="6" t="s">
        <v>84</v>
      </c>
      <c r="G1080" s="6" t="s">
        <v>47</v>
      </c>
      <c r="H1080" s="6" t="s">
        <v>65</v>
      </c>
      <c r="I1080" s="1" t="n">
        <v>3</v>
      </c>
      <c r="J1080" s="7" t="n">
        <v>4804.52</v>
      </c>
      <c r="K1080" s="8" t="n">
        <v>0</v>
      </c>
      <c r="L1080" s="7" t="n">
        <v>4325.73</v>
      </c>
      <c r="M1080" s="6" t="s">
        <v>49</v>
      </c>
      <c r="N1080" s="6" t="s">
        <v>67</v>
      </c>
      <c r="O1080" s="6" t="n">
        <f aca="false">IF(TablaVentas[[#This Row],[Precio_unitario]]="","PENDIENTE",TablaVentas[[#This Row],[Unidades]]*TablaVentas[[#This Row],[Precio_unitario]]*(1-TablaVentas[[#This Row],[Descuento_pct]]))</f>
        <v>14413.56</v>
      </c>
      <c r="P1080" s="6" t="n">
        <f aca="false">IF(TablaVentas[[#This Row],[Costo_unitario]]="","PENDIENTE",TablaVentas[[#This Row],[Unidades]]*TablaVentas[[#This Row],[Costo_unitario]])</f>
        <v>12977.19</v>
      </c>
      <c r="Q1080" s="6" t="n">
        <f aca="false">IF(OR(TablaVentas[[#This Row],[Ingreso_neto]]="PENDIENTE",TablaVentas[[#This Row],[Costo_total]]="PENDIENTE"),"PENDIENTE",TablaVentas[[#This Row],[Ingreso_neto]]-TablaVentas[[#This Row],[Costo_total]])</f>
        <v>1436.37</v>
      </c>
    </row>
    <row r="1081" customFormat="false" ht="13.5" hidden="false" customHeight="false" outlineLevel="0" collapsed="false">
      <c r="A1081" s="1" t="s">
        <v>831</v>
      </c>
      <c r="B1081" s="1" t="n">
        <v>1</v>
      </c>
      <c r="C1081" s="5" t="n">
        <v>46069</v>
      </c>
      <c r="D1081" s="6" t="s">
        <v>125</v>
      </c>
      <c r="E1081" s="6" t="s">
        <v>113</v>
      </c>
      <c r="F1081" s="6" t="s">
        <v>63</v>
      </c>
      <c r="G1081" s="6" t="s">
        <v>57</v>
      </c>
      <c r="H1081" s="6" t="s">
        <v>131</v>
      </c>
      <c r="I1081" s="1" t="n">
        <v>2</v>
      </c>
      <c r="J1081" s="7" t="n">
        <v>9065.36</v>
      </c>
      <c r="K1081" s="8" t="n">
        <v>0</v>
      </c>
      <c r="L1081" s="7" t="n">
        <v>8276.74</v>
      </c>
      <c r="M1081" s="6" t="s">
        <v>49</v>
      </c>
      <c r="N1081" s="6" t="s">
        <v>59</v>
      </c>
      <c r="O1081" s="6" t="n">
        <f aca="false">IF(TablaVentas[[#This Row],[Precio_unitario]]="","PENDIENTE",TablaVentas[[#This Row],[Unidades]]*TablaVentas[[#This Row],[Precio_unitario]]*(1-TablaVentas[[#This Row],[Descuento_pct]]))</f>
        <v>18130.72</v>
      </c>
      <c r="P1081" s="6" t="n">
        <f aca="false">IF(TablaVentas[[#This Row],[Costo_unitario]]="","PENDIENTE",TablaVentas[[#This Row],[Unidades]]*TablaVentas[[#This Row],[Costo_unitario]])</f>
        <v>16553.48</v>
      </c>
      <c r="Q1081" s="6" t="n">
        <f aca="false">IF(OR(TablaVentas[[#This Row],[Ingreso_neto]]="PENDIENTE",TablaVentas[[#This Row],[Costo_total]]="PENDIENTE"),"PENDIENTE",TablaVentas[[#This Row],[Ingreso_neto]]-TablaVentas[[#This Row],[Costo_total]])</f>
        <v>1577.24</v>
      </c>
    </row>
    <row r="1082" customFormat="false" ht="13.5" hidden="false" customHeight="false" outlineLevel="0" collapsed="false">
      <c r="A1082" s="1" t="s">
        <v>831</v>
      </c>
      <c r="B1082" s="1" t="n">
        <v>2</v>
      </c>
      <c r="C1082" s="5" t="n">
        <v>46069</v>
      </c>
      <c r="D1082" s="6" t="s">
        <v>125</v>
      </c>
      <c r="E1082" s="6" t="s">
        <v>404</v>
      </c>
      <c r="F1082" s="6" t="s">
        <v>63</v>
      </c>
      <c r="G1082" s="6" t="s">
        <v>57</v>
      </c>
      <c r="H1082" s="6" t="s">
        <v>131</v>
      </c>
      <c r="I1082" s="1" t="n">
        <v>2</v>
      </c>
      <c r="J1082" s="7" t="n">
        <v>6789.81</v>
      </c>
      <c r="K1082" s="8" t="n">
        <v>0</v>
      </c>
      <c r="L1082" s="7" t="n">
        <v>3640.56</v>
      </c>
      <c r="M1082" s="6" t="s">
        <v>49</v>
      </c>
      <c r="N1082" s="6" t="s">
        <v>59</v>
      </c>
      <c r="O1082" s="6" t="n">
        <f aca="false">IF(TablaVentas[[#This Row],[Precio_unitario]]="","PENDIENTE",TablaVentas[[#This Row],[Unidades]]*TablaVentas[[#This Row],[Precio_unitario]]*(1-TablaVentas[[#This Row],[Descuento_pct]]))</f>
        <v>13579.62</v>
      </c>
      <c r="P1082" s="6" t="n">
        <f aca="false">IF(TablaVentas[[#This Row],[Costo_unitario]]="","PENDIENTE",TablaVentas[[#This Row],[Unidades]]*TablaVentas[[#This Row],[Costo_unitario]])</f>
        <v>7281.12</v>
      </c>
      <c r="Q1082" s="6" t="n">
        <f aca="false">IF(OR(TablaVentas[[#This Row],[Ingreso_neto]]="PENDIENTE",TablaVentas[[#This Row],[Costo_total]]="PENDIENTE"),"PENDIENTE",TablaVentas[[#This Row],[Ingreso_neto]]-TablaVentas[[#This Row],[Costo_total]])</f>
        <v>6298.5</v>
      </c>
    </row>
    <row r="1083" customFormat="false" ht="13.5" hidden="false" customHeight="false" outlineLevel="0" collapsed="false">
      <c r="A1083" s="1" t="s">
        <v>832</v>
      </c>
      <c r="B1083" s="1" t="n">
        <v>1</v>
      </c>
      <c r="C1083" s="5" t="n">
        <v>46087</v>
      </c>
      <c r="D1083" s="6" t="s">
        <v>777</v>
      </c>
      <c r="E1083" s="6" t="s">
        <v>88</v>
      </c>
      <c r="F1083" s="6" t="s">
        <v>46</v>
      </c>
      <c r="G1083" s="6" t="s">
        <v>47</v>
      </c>
      <c r="H1083" s="6" t="s">
        <v>109</v>
      </c>
      <c r="I1083" s="1" t="n">
        <v>8</v>
      </c>
      <c r="J1083" s="7" t="n">
        <v>17207.42</v>
      </c>
      <c r="K1083" s="8" t="n">
        <v>0</v>
      </c>
      <c r="L1083" s="7" t="n">
        <v>11614.87</v>
      </c>
      <c r="M1083" s="6" t="s">
        <v>49</v>
      </c>
      <c r="N1083" s="6" t="s">
        <v>67</v>
      </c>
      <c r="O1083" s="6" t="n">
        <f aca="false">IF(TablaVentas[[#This Row],[Precio_unitario]]="","PENDIENTE",TablaVentas[[#This Row],[Unidades]]*TablaVentas[[#This Row],[Precio_unitario]]*(1-TablaVentas[[#This Row],[Descuento_pct]]))</f>
        <v>137659.36</v>
      </c>
      <c r="P1083" s="6" t="n">
        <f aca="false">IF(TablaVentas[[#This Row],[Costo_unitario]]="","PENDIENTE",TablaVentas[[#This Row],[Unidades]]*TablaVentas[[#This Row],[Costo_unitario]])</f>
        <v>92918.96</v>
      </c>
      <c r="Q1083" s="6" t="n">
        <f aca="false">IF(OR(TablaVentas[[#This Row],[Ingreso_neto]]="PENDIENTE",TablaVentas[[#This Row],[Costo_total]]="PENDIENTE"),"PENDIENTE",TablaVentas[[#This Row],[Ingreso_neto]]-TablaVentas[[#This Row],[Costo_total]])</f>
        <v>44740.4</v>
      </c>
    </row>
    <row r="1084" customFormat="false" ht="13.5" hidden="false" customHeight="false" outlineLevel="0" collapsed="false">
      <c r="A1084" s="1" t="s">
        <v>832</v>
      </c>
      <c r="B1084" s="1" t="n">
        <v>2</v>
      </c>
      <c r="C1084" s="5" t="n">
        <v>46087</v>
      </c>
      <c r="D1084" s="6" t="s">
        <v>777</v>
      </c>
      <c r="E1084" s="6" t="s">
        <v>333</v>
      </c>
      <c r="F1084" s="6" t="s">
        <v>46</v>
      </c>
      <c r="G1084" s="6" t="s">
        <v>47</v>
      </c>
      <c r="H1084" s="6" t="s">
        <v>109</v>
      </c>
      <c r="I1084" s="1" t="n">
        <v>4</v>
      </c>
      <c r="J1084" s="7" t="n">
        <v>7484.29</v>
      </c>
      <c r="K1084" s="8" t="n">
        <v>0.15</v>
      </c>
      <c r="L1084" s="7" t="n">
        <v>4044.16</v>
      </c>
      <c r="M1084" s="6" t="s">
        <v>49</v>
      </c>
      <c r="N1084" s="6" t="s">
        <v>59</v>
      </c>
      <c r="O1084" s="6" t="n">
        <f aca="false">IF(TablaVentas[[#This Row],[Precio_unitario]]="","PENDIENTE",TablaVentas[[#This Row],[Unidades]]*TablaVentas[[#This Row],[Precio_unitario]]*(1-TablaVentas[[#This Row],[Descuento_pct]]))</f>
        <v>25446.586</v>
      </c>
      <c r="P1084" s="6" t="n">
        <f aca="false">IF(TablaVentas[[#This Row],[Costo_unitario]]="","PENDIENTE",TablaVentas[[#This Row],[Unidades]]*TablaVentas[[#This Row],[Costo_unitario]])</f>
        <v>16176.64</v>
      </c>
      <c r="Q1084" s="6" t="n">
        <f aca="false">IF(OR(TablaVentas[[#This Row],[Ingreso_neto]]="PENDIENTE",TablaVentas[[#This Row],[Costo_total]]="PENDIENTE"),"PENDIENTE",TablaVentas[[#This Row],[Ingreso_neto]]-TablaVentas[[#This Row],[Costo_total]])</f>
        <v>9269.946</v>
      </c>
    </row>
    <row r="1085" customFormat="false" ht="13.5" hidden="false" customHeight="false" outlineLevel="0" collapsed="false">
      <c r="A1085" s="1" t="s">
        <v>832</v>
      </c>
      <c r="B1085" s="1" t="n">
        <v>3</v>
      </c>
      <c r="C1085" s="5" t="n">
        <v>46087</v>
      </c>
      <c r="D1085" s="6" t="s">
        <v>777</v>
      </c>
      <c r="E1085" s="6" t="s">
        <v>328</v>
      </c>
      <c r="F1085" s="6" t="s">
        <v>46</v>
      </c>
      <c r="G1085" s="6" t="s">
        <v>47</v>
      </c>
      <c r="H1085" s="6" t="s">
        <v>109</v>
      </c>
      <c r="I1085" s="1" t="n">
        <v>3</v>
      </c>
      <c r="J1085" s="7" t="n">
        <v>1315.95</v>
      </c>
      <c r="K1085" s="8" t="n">
        <v>0</v>
      </c>
      <c r="L1085" s="7" t="n">
        <v>679.37</v>
      </c>
      <c r="M1085" s="6" t="s">
        <v>49</v>
      </c>
      <c r="N1085" s="6" t="s">
        <v>67</v>
      </c>
      <c r="O1085" s="6" t="n">
        <f aca="false">IF(TablaVentas[[#This Row],[Precio_unitario]]="","PENDIENTE",TablaVentas[[#This Row],[Unidades]]*TablaVentas[[#This Row],[Precio_unitario]]*(1-TablaVentas[[#This Row],[Descuento_pct]]))</f>
        <v>3947.85</v>
      </c>
      <c r="P1085" s="6" t="n">
        <f aca="false">IF(TablaVentas[[#This Row],[Costo_unitario]]="","PENDIENTE",TablaVentas[[#This Row],[Unidades]]*TablaVentas[[#This Row],[Costo_unitario]])</f>
        <v>2038.11</v>
      </c>
      <c r="Q1085" s="6" t="n">
        <f aca="false">IF(OR(TablaVentas[[#This Row],[Ingreso_neto]]="PENDIENTE",TablaVentas[[#This Row],[Costo_total]]="PENDIENTE"),"PENDIENTE",TablaVentas[[#This Row],[Ingreso_neto]]-TablaVentas[[#This Row],[Costo_total]])</f>
        <v>1909.74</v>
      </c>
    </row>
    <row r="1086" customFormat="false" ht="13.5" hidden="false" customHeight="false" outlineLevel="0" collapsed="false">
      <c r="A1086" s="1" t="s">
        <v>832</v>
      </c>
      <c r="B1086" s="1" t="n">
        <v>4</v>
      </c>
      <c r="C1086" s="5" t="n">
        <v>46087</v>
      </c>
      <c r="D1086" s="6" t="s">
        <v>777</v>
      </c>
      <c r="E1086" s="6" t="s">
        <v>108</v>
      </c>
      <c r="F1086" s="6" t="s">
        <v>46</v>
      </c>
      <c r="G1086" s="6" t="s">
        <v>47</v>
      </c>
      <c r="H1086" s="6" t="s">
        <v>109</v>
      </c>
      <c r="I1086" s="1" t="n">
        <v>1</v>
      </c>
      <c r="J1086" s="7" t="n">
        <v>5329.66</v>
      </c>
      <c r="K1086" s="8" t="n">
        <v>0.15</v>
      </c>
      <c r="L1086" s="7" t="n">
        <v>2865.24</v>
      </c>
      <c r="M1086" s="6" t="s">
        <v>49</v>
      </c>
      <c r="N1086" s="6" t="s">
        <v>50</v>
      </c>
      <c r="O1086" s="6" t="n">
        <f aca="false">IF(TablaVentas[[#This Row],[Precio_unitario]]="","PENDIENTE",TablaVentas[[#This Row],[Unidades]]*TablaVentas[[#This Row],[Precio_unitario]]*(1-TablaVentas[[#This Row],[Descuento_pct]]))</f>
        <v>4530.211</v>
      </c>
      <c r="P1086" s="6" t="n">
        <f aca="false">IF(TablaVentas[[#This Row],[Costo_unitario]]="","PENDIENTE",TablaVentas[[#This Row],[Unidades]]*TablaVentas[[#This Row],[Costo_unitario]])</f>
        <v>2865.24</v>
      </c>
      <c r="Q1086" s="6" t="n">
        <f aca="false">IF(OR(TablaVentas[[#This Row],[Ingreso_neto]]="PENDIENTE",TablaVentas[[#This Row],[Costo_total]]="PENDIENTE"),"PENDIENTE",TablaVentas[[#This Row],[Ingreso_neto]]-TablaVentas[[#This Row],[Costo_total]])</f>
        <v>1664.971</v>
      </c>
    </row>
    <row r="1087" customFormat="false" ht="13.5" hidden="false" customHeight="false" outlineLevel="0" collapsed="false">
      <c r="A1087" s="1" t="s">
        <v>833</v>
      </c>
      <c r="B1087" s="1" t="n">
        <v>1</v>
      </c>
      <c r="C1087" s="5" t="n">
        <v>46164</v>
      </c>
      <c r="D1087" s="6" t="s">
        <v>600</v>
      </c>
      <c r="E1087" s="6" t="s">
        <v>170</v>
      </c>
      <c r="F1087" s="6" t="s">
        <v>63</v>
      </c>
      <c r="G1087" s="6" t="s">
        <v>57</v>
      </c>
      <c r="H1087" s="6" t="s">
        <v>109</v>
      </c>
      <c r="I1087" s="1" t="n">
        <v>1</v>
      </c>
      <c r="J1087" s="7" t="n">
        <v>16036.09</v>
      </c>
      <c r="K1087" s="8" t="n">
        <v>0.15</v>
      </c>
      <c r="L1087" s="7" t="n">
        <v>12141.44</v>
      </c>
      <c r="M1087" s="6" t="s">
        <v>49</v>
      </c>
      <c r="N1087" s="6" t="s">
        <v>59</v>
      </c>
      <c r="O1087" s="6" t="n">
        <f aca="false">IF(TablaVentas[[#This Row],[Precio_unitario]]="","PENDIENTE",TablaVentas[[#This Row],[Unidades]]*TablaVentas[[#This Row],[Precio_unitario]]*(1-TablaVentas[[#This Row],[Descuento_pct]]))</f>
        <v>13630.6765</v>
      </c>
      <c r="P1087" s="6" t="n">
        <f aca="false">IF(TablaVentas[[#This Row],[Costo_unitario]]="","PENDIENTE",TablaVentas[[#This Row],[Unidades]]*TablaVentas[[#This Row],[Costo_unitario]])</f>
        <v>12141.44</v>
      </c>
      <c r="Q1087" s="6" t="n">
        <f aca="false">IF(OR(TablaVentas[[#This Row],[Ingreso_neto]]="PENDIENTE",TablaVentas[[#This Row],[Costo_total]]="PENDIENTE"),"PENDIENTE",TablaVentas[[#This Row],[Ingreso_neto]]-TablaVentas[[#This Row],[Costo_total]])</f>
        <v>1489.2365</v>
      </c>
    </row>
    <row r="1088" customFormat="false" ht="13.5" hidden="false" customHeight="false" outlineLevel="0" collapsed="false">
      <c r="A1088" s="1" t="s">
        <v>833</v>
      </c>
      <c r="B1088" s="1" t="n">
        <v>2</v>
      </c>
      <c r="C1088" s="5" t="n">
        <v>46164</v>
      </c>
      <c r="D1088" s="6" t="s">
        <v>600</v>
      </c>
      <c r="E1088" s="6" t="s">
        <v>139</v>
      </c>
      <c r="F1088" s="6" t="s">
        <v>63</v>
      </c>
      <c r="G1088" s="6" t="s">
        <v>57</v>
      </c>
      <c r="H1088" s="6" t="s">
        <v>109</v>
      </c>
      <c r="I1088" s="1" t="n">
        <v>2</v>
      </c>
      <c r="J1088" s="7" t="n">
        <v>17708.66</v>
      </c>
      <c r="K1088" s="8" t="n">
        <v>0</v>
      </c>
      <c r="L1088" s="7" t="n">
        <v>11036.95</v>
      </c>
      <c r="M1088" s="6" t="s">
        <v>49</v>
      </c>
      <c r="N1088" s="6" t="s">
        <v>50</v>
      </c>
      <c r="O1088" s="6" t="n">
        <f aca="false">IF(TablaVentas[[#This Row],[Precio_unitario]]="","PENDIENTE",TablaVentas[[#This Row],[Unidades]]*TablaVentas[[#This Row],[Precio_unitario]]*(1-TablaVentas[[#This Row],[Descuento_pct]]))</f>
        <v>35417.32</v>
      </c>
      <c r="P1088" s="6" t="n">
        <f aca="false">IF(TablaVentas[[#This Row],[Costo_unitario]]="","PENDIENTE",TablaVentas[[#This Row],[Unidades]]*TablaVentas[[#This Row],[Costo_unitario]])</f>
        <v>22073.9</v>
      </c>
      <c r="Q1088" s="6" t="n">
        <f aca="false">IF(OR(TablaVentas[[#This Row],[Ingreso_neto]]="PENDIENTE",TablaVentas[[#This Row],[Costo_total]]="PENDIENTE"),"PENDIENTE",TablaVentas[[#This Row],[Ingreso_neto]]-TablaVentas[[#This Row],[Costo_total]])</f>
        <v>13343.42</v>
      </c>
    </row>
    <row r="1089" customFormat="false" ht="13.5" hidden="false" customHeight="false" outlineLevel="0" collapsed="false">
      <c r="A1089" s="1" t="s">
        <v>834</v>
      </c>
      <c r="B1089" s="1" t="n">
        <v>1</v>
      </c>
      <c r="C1089" s="5" t="n">
        <v>46183</v>
      </c>
      <c r="D1089" s="6" t="s">
        <v>835</v>
      </c>
      <c r="E1089" s="6" t="s">
        <v>192</v>
      </c>
      <c r="F1089" s="6" t="s">
        <v>73</v>
      </c>
      <c r="G1089" s="6" t="s">
        <v>47</v>
      </c>
      <c r="H1089" s="6" t="s">
        <v>191</v>
      </c>
      <c r="I1089" s="1" t="n">
        <v>1</v>
      </c>
      <c r="J1089" s="7" t="n">
        <v>16249.27</v>
      </c>
      <c r="K1089" s="8" t="n">
        <v>0.2</v>
      </c>
      <c r="L1089" s="7" t="n">
        <v>11904.09</v>
      </c>
      <c r="M1089" s="6" t="s">
        <v>49</v>
      </c>
      <c r="N1089" s="6" t="s">
        <v>59</v>
      </c>
      <c r="O1089" s="6" t="n">
        <f aca="false">IF(TablaVentas[[#This Row],[Precio_unitario]]="","PENDIENTE",TablaVentas[[#This Row],[Unidades]]*TablaVentas[[#This Row],[Precio_unitario]]*(1-TablaVentas[[#This Row],[Descuento_pct]]))</f>
        <v>12999.416</v>
      </c>
      <c r="P1089" s="6" t="n">
        <f aca="false">IF(TablaVentas[[#This Row],[Costo_unitario]]="","PENDIENTE",TablaVentas[[#This Row],[Unidades]]*TablaVentas[[#This Row],[Costo_unitario]])</f>
        <v>11904.09</v>
      </c>
      <c r="Q1089" s="6" t="n">
        <f aca="false">IF(OR(TablaVentas[[#This Row],[Ingreso_neto]]="PENDIENTE",TablaVentas[[#This Row],[Costo_total]]="PENDIENTE"),"PENDIENTE",TablaVentas[[#This Row],[Ingreso_neto]]-TablaVentas[[#This Row],[Costo_total]])</f>
        <v>1095.326</v>
      </c>
    </row>
    <row r="1090" customFormat="false" ht="13.5" hidden="false" customHeight="false" outlineLevel="0" collapsed="false">
      <c r="A1090" s="1" t="s">
        <v>834</v>
      </c>
      <c r="B1090" s="1" t="n">
        <v>2</v>
      </c>
      <c r="C1090" s="5" t="n">
        <v>46183</v>
      </c>
      <c r="D1090" s="6" t="s">
        <v>835</v>
      </c>
      <c r="E1090" s="6" t="s">
        <v>120</v>
      </c>
      <c r="F1090" s="6" t="s">
        <v>73</v>
      </c>
      <c r="G1090" s="6" t="s">
        <v>47</v>
      </c>
      <c r="H1090" s="6" t="s">
        <v>191</v>
      </c>
      <c r="I1090" s="1" t="n">
        <v>4</v>
      </c>
      <c r="J1090" s="7" t="n">
        <v>2932.4</v>
      </c>
      <c r="K1090" s="8" t="n">
        <v>0.15</v>
      </c>
      <c r="L1090" s="7" t="n">
        <v>2196.34</v>
      </c>
      <c r="M1090" s="6" t="s">
        <v>49</v>
      </c>
      <c r="N1090" s="6" t="s">
        <v>67</v>
      </c>
      <c r="O1090" s="6" t="n">
        <f aca="false">IF(TablaVentas[[#This Row],[Precio_unitario]]="","PENDIENTE",TablaVentas[[#This Row],[Unidades]]*TablaVentas[[#This Row],[Precio_unitario]]*(1-TablaVentas[[#This Row],[Descuento_pct]]))</f>
        <v>9970.16</v>
      </c>
      <c r="P1090" s="6" t="n">
        <f aca="false">IF(TablaVentas[[#This Row],[Costo_unitario]]="","PENDIENTE",TablaVentas[[#This Row],[Unidades]]*TablaVentas[[#This Row],[Costo_unitario]])</f>
        <v>8785.36</v>
      </c>
      <c r="Q1090" s="6" t="n">
        <f aca="false">IF(OR(TablaVentas[[#This Row],[Ingreso_neto]]="PENDIENTE",TablaVentas[[#This Row],[Costo_total]]="PENDIENTE"),"PENDIENTE",TablaVentas[[#This Row],[Ingreso_neto]]-TablaVentas[[#This Row],[Costo_total]])</f>
        <v>1184.8</v>
      </c>
    </row>
    <row r="1091" customFormat="false" ht="13.5" hidden="false" customHeight="false" outlineLevel="0" collapsed="false">
      <c r="A1091" s="1" t="s">
        <v>834</v>
      </c>
      <c r="B1091" s="1" t="n">
        <v>3</v>
      </c>
      <c r="C1091" s="5" t="n">
        <v>46183</v>
      </c>
      <c r="D1091" s="6" t="s">
        <v>835</v>
      </c>
      <c r="E1091" s="6" t="s">
        <v>75</v>
      </c>
      <c r="F1091" s="6" t="s">
        <v>73</v>
      </c>
      <c r="G1091" s="6" t="s">
        <v>47</v>
      </c>
      <c r="H1091" s="6" t="s">
        <v>191</v>
      </c>
      <c r="I1091" s="1" t="n">
        <v>1</v>
      </c>
      <c r="J1091" s="7" t="n">
        <v>16773.62</v>
      </c>
      <c r="K1091" s="8" t="n">
        <v>0</v>
      </c>
      <c r="L1091" s="7" t="n">
        <v>9243.35</v>
      </c>
      <c r="M1091" s="6" t="s">
        <v>49</v>
      </c>
      <c r="N1091" s="6" t="s">
        <v>59</v>
      </c>
      <c r="O1091" s="6" t="n">
        <f aca="false">IF(TablaVentas[[#This Row],[Precio_unitario]]="","PENDIENTE",TablaVentas[[#This Row],[Unidades]]*TablaVentas[[#This Row],[Precio_unitario]]*(1-TablaVentas[[#This Row],[Descuento_pct]]))</f>
        <v>16773.62</v>
      </c>
      <c r="P1091" s="6" t="n">
        <f aca="false">IF(TablaVentas[[#This Row],[Costo_unitario]]="","PENDIENTE",TablaVentas[[#This Row],[Unidades]]*TablaVentas[[#This Row],[Costo_unitario]])</f>
        <v>9243.35</v>
      </c>
      <c r="Q1091" s="6" t="n">
        <f aca="false">IF(OR(TablaVentas[[#This Row],[Ingreso_neto]]="PENDIENTE",TablaVentas[[#This Row],[Costo_total]]="PENDIENTE"),"PENDIENTE",TablaVentas[[#This Row],[Ingreso_neto]]-TablaVentas[[#This Row],[Costo_total]])</f>
        <v>7530.27</v>
      </c>
    </row>
    <row r="1092" customFormat="false" ht="13.5" hidden="false" customHeight="false" outlineLevel="0" collapsed="false">
      <c r="A1092" s="1" t="s">
        <v>836</v>
      </c>
      <c r="B1092" s="1" t="n">
        <v>1</v>
      </c>
      <c r="C1092" s="5" t="n">
        <v>46253</v>
      </c>
      <c r="D1092" s="6" t="s">
        <v>82</v>
      </c>
      <c r="E1092" s="6" t="s">
        <v>113</v>
      </c>
      <c r="F1092" s="6" t="s">
        <v>46</v>
      </c>
      <c r="G1092" s="6" t="s">
        <v>47</v>
      </c>
      <c r="H1092" s="6" t="s">
        <v>80</v>
      </c>
      <c r="I1092" s="1" t="n">
        <v>1</v>
      </c>
      <c r="J1092" s="7" t="n">
        <v>10539.42</v>
      </c>
      <c r="K1092" s="8" t="n">
        <v>0</v>
      </c>
      <c r="L1092" s="7" t="n">
        <v>8276.74</v>
      </c>
      <c r="M1092" s="6" t="s">
        <v>49</v>
      </c>
      <c r="N1092" s="6" t="s">
        <v>59</v>
      </c>
      <c r="O1092" s="6" t="n">
        <f aca="false">IF(TablaVentas[[#This Row],[Precio_unitario]]="","PENDIENTE",TablaVentas[[#This Row],[Unidades]]*TablaVentas[[#This Row],[Precio_unitario]]*(1-TablaVentas[[#This Row],[Descuento_pct]]))</f>
        <v>10539.42</v>
      </c>
      <c r="P1092" s="6" t="n">
        <f aca="false">IF(TablaVentas[[#This Row],[Costo_unitario]]="","PENDIENTE",TablaVentas[[#This Row],[Unidades]]*TablaVentas[[#This Row],[Costo_unitario]])</f>
        <v>8276.74</v>
      </c>
      <c r="Q1092" s="6" t="n">
        <f aca="false">IF(OR(TablaVentas[[#This Row],[Ingreso_neto]]="PENDIENTE",TablaVentas[[#This Row],[Costo_total]]="PENDIENTE"),"PENDIENTE",TablaVentas[[#This Row],[Ingreso_neto]]-TablaVentas[[#This Row],[Costo_total]])</f>
        <v>2262.68</v>
      </c>
    </row>
    <row r="1093" customFormat="false" ht="13.5" hidden="false" customHeight="false" outlineLevel="0" collapsed="false">
      <c r="A1093" s="1" t="s">
        <v>836</v>
      </c>
      <c r="B1093" s="1" t="n">
        <v>2</v>
      </c>
      <c r="C1093" s="5" t="n">
        <v>46253</v>
      </c>
      <c r="D1093" s="6" t="s">
        <v>82</v>
      </c>
      <c r="E1093" s="6" t="s">
        <v>127</v>
      </c>
      <c r="F1093" s="6" t="s">
        <v>46</v>
      </c>
      <c r="G1093" s="6" t="s">
        <v>47</v>
      </c>
      <c r="H1093" s="6" t="s">
        <v>80</v>
      </c>
      <c r="I1093" s="1" t="n">
        <v>4</v>
      </c>
      <c r="J1093" s="7" t="n">
        <v>12513.37</v>
      </c>
      <c r="K1093" s="8" t="n">
        <v>0.1</v>
      </c>
      <c r="L1093" s="7" t="n">
        <v>7975.26</v>
      </c>
      <c r="M1093" s="6" t="s">
        <v>49</v>
      </c>
      <c r="N1093" s="6" t="s">
        <v>52</v>
      </c>
      <c r="O1093" s="6" t="n">
        <f aca="false">IF(TablaVentas[[#This Row],[Precio_unitario]]="","PENDIENTE",TablaVentas[[#This Row],[Unidades]]*TablaVentas[[#This Row],[Precio_unitario]]*(1-TablaVentas[[#This Row],[Descuento_pct]]))</f>
        <v>45048.132</v>
      </c>
      <c r="P1093" s="6" t="n">
        <f aca="false">IF(TablaVentas[[#This Row],[Costo_unitario]]="","PENDIENTE",TablaVentas[[#This Row],[Unidades]]*TablaVentas[[#This Row],[Costo_unitario]])</f>
        <v>31901.04</v>
      </c>
      <c r="Q1093" s="6" t="n">
        <f aca="false">IF(OR(TablaVentas[[#This Row],[Ingreso_neto]]="PENDIENTE",TablaVentas[[#This Row],[Costo_total]]="PENDIENTE"),"PENDIENTE",TablaVentas[[#This Row],[Ingreso_neto]]-TablaVentas[[#This Row],[Costo_total]])</f>
        <v>13147.092</v>
      </c>
    </row>
    <row r="1094" customFormat="false" ht="13.5" hidden="false" customHeight="false" outlineLevel="0" collapsed="false">
      <c r="A1094" s="1" t="s">
        <v>836</v>
      </c>
      <c r="B1094" s="1" t="n">
        <v>3</v>
      </c>
      <c r="C1094" s="5" t="n">
        <v>46253</v>
      </c>
      <c r="D1094" s="6" t="s">
        <v>82</v>
      </c>
      <c r="E1094" s="6" t="s">
        <v>385</v>
      </c>
      <c r="F1094" s="6" t="s">
        <v>46</v>
      </c>
      <c r="G1094" s="6" t="s">
        <v>47</v>
      </c>
      <c r="H1094" s="6" t="s">
        <v>80</v>
      </c>
      <c r="I1094" s="1" t="n">
        <v>2</v>
      </c>
      <c r="J1094" s="7" t="n">
        <v>3464.4</v>
      </c>
      <c r="K1094" s="8" t="n">
        <v>0.15</v>
      </c>
      <c r="L1094" s="7" t="n">
        <v>2864.64</v>
      </c>
      <c r="M1094" s="6" t="s">
        <v>49</v>
      </c>
      <c r="N1094" s="6" t="s">
        <v>59</v>
      </c>
      <c r="O1094" s="6" t="n">
        <f aca="false">IF(TablaVentas[[#This Row],[Precio_unitario]]="","PENDIENTE",TablaVentas[[#This Row],[Unidades]]*TablaVentas[[#This Row],[Precio_unitario]]*(1-TablaVentas[[#This Row],[Descuento_pct]]))</f>
        <v>5889.48</v>
      </c>
      <c r="P1094" s="6" t="n">
        <f aca="false">IF(TablaVentas[[#This Row],[Costo_unitario]]="","PENDIENTE",TablaVentas[[#This Row],[Unidades]]*TablaVentas[[#This Row],[Costo_unitario]])</f>
        <v>5729.28</v>
      </c>
      <c r="Q1094" s="6" t="n">
        <f aca="false">IF(OR(TablaVentas[[#This Row],[Ingreso_neto]]="PENDIENTE",TablaVentas[[#This Row],[Costo_total]]="PENDIENTE"),"PENDIENTE",TablaVentas[[#This Row],[Ingreso_neto]]-TablaVentas[[#This Row],[Costo_total]])</f>
        <v>160.2</v>
      </c>
    </row>
    <row r="1095" customFormat="false" ht="13.5" hidden="false" customHeight="false" outlineLevel="0" collapsed="false">
      <c r="A1095" s="1" t="s">
        <v>837</v>
      </c>
      <c r="B1095" s="1" t="n">
        <v>1</v>
      </c>
      <c r="C1095" s="5" t="n">
        <v>46234</v>
      </c>
      <c r="D1095" s="6" t="s">
        <v>61</v>
      </c>
      <c r="E1095" s="6" t="s">
        <v>328</v>
      </c>
      <c r="F1095" s="6" t="s">
        <v>63</v>
      </c>
      <c r="G1095" s="6" t="s">
        <v>57</v>
      </c>
      <c r="H1095" s="6" t="s">
        <v>89</v>
      </c>
      <c r="I1095" s="1" t="n">
        <v>2</v>
      </c>
      <c r="J1095" s="7" t="n">
        <v>1285.23</v>
      </c>
      <c r="K1095" s="8" t="n">
        <v>0</v>
      </c>
      <c r="L1095" s="7" t="n">
        <v>679.37</v>
      </c>
      <c r="M1095" s="6" t="s">
        <v>49</v>
      </c>
      <c r="N1095" s="6" t="s">
        <v>67</v>
      </c>
      <c r="O1095" s="6" t="n">
        <f aca="false">IF(TablaVentas[[#This Row],[Precio_unitario]]="","PENDIENTE",TablaVentas[[#This Row],[Unidades]]*TablaVentas[[#This Row],[Precio_unitario]]*(1-TablaVentas[[#This Row],[Descuento_pct]]))</f>
        <v>2570.46</v>
      </c>
      <c r="P1095" s="6" t="n">
        <f aca="false">IF(TablaVentas[[#This Row],[Costo_unitario]]="","PENDIENTE",TablaVentas[[#This Row],[Unidades]]*TablaVentas[[#This Row],[Costo_unitario]])</f>
        <v>1358.74</v>
      </c>
      <c r="Q1095" s="6" t="n">
        <f aca="false">IF(OR(TablaVentas[[#This Row],[Ingreso_neto]]="PENDIENTE",TablaVentas[[#This Row],[Costo_total]]="PENDIENTE"),"PENDIENTE",TablaVentas[[#This Row],[Ingreso_neto]]-TablaVentas[[#This Row],[Costo_total]])</f>
        <v>1211.72</v>
      </c>
    </row>
    <row r="1096" customFormat="false" ht="13.5" hidden="false" customHeight="false" outlineLevel="0" collapsed="false">
      <c r="A1096" s="1" t="s">
        <v>837</v>
      </c>
      <c r="B1096" s="1" t="n">
        <v>2</v>
      </c>
      <c r="C1096" s="5" t="n">
        <v>46234</v>
      </c>
      <c r="D1096" s="6" t="s">
        <v>61</v>
      </c>
      <c r="E1096" s="6" t="s">
        <v>101</v>
      </c>
      <c r="F1096" s="6" t="s">
        <v>63</v>
      </c>
      <c r="G1096" s="6" t="s">
        <v>57</v>
      </c>
      <c r="H1096" s="6" t="s">
        <v>89</v>
      </c>
      <c r="I1096" s="1" t="n">
        <v>1</v>
      </c>
      <c r="J1096" s="7" t="n">
        <v>7491.8</v>
      </c>
      <c r="K1096" s="8" t="n">
        <v>0</v>
      </c>
      <c r="L1096" s="7" t="n">
        <v>4538.06</v>
      </c>
      <c r="M1096" s="6" t="s">
        <v>49</v>
      </c>
      <c r="N1096" s="6" t="s">
        <v>59</v>
      </c>
      <c r="O1096" s="6" t="n">
        <f aca="false">IF(TablaVentas[[#This Row],[Precio_unitario]]="","PENDIENTE",TablaVentas[[#This Row],[Unidades]]*TablaVentas[[#This Row],[Precio_unitario]]*(1-TablaVentas[[#This Row],[Descuento_pct]]))</f>
        <v>7491.8</v>
      </c>
      <c r="P1096" s="6" t="n">
        <f aca="false">IF(TablaVentas[[#This Row],[Costo_unitario]]="","PENDIENTE",TablaVentas[[#This Row],[Unidades]]*TablaVentas[[#This Row],[Costo_unitario]])</f>
        <v>4538.06</v>
      </c>
      <c r="Q1096" s="6" t="n">
        <f aca="false">IF(OR(TablaVentas[[#This Row],[Ingreso_neto]]="PENDIENTE",TablaVentas[[#This Row],[Costo_total]]="PENDIENTE"),"PENDIENTE",TablaVentas[[#This Row],[Ingreso_neto]]-TablaVentas[[#This Row],[Costo_total]])</f>
        <v>2953.74</v>
      </c>
    </row>
    <row r="1097" customFormat="false" ht="13.5" hidden="false" customHeight="false" outlineLevel="0" collapsed="false">
      <c r="A1097" s="1" t="s">
        <v>837</v>
      </c>
      <c r="B1097" s="1" t="n">
        <v>3</v>
      </c>
      <c r="C1097" s="5" t="n">
        <v>46234</v>
      </c>
      <c r="D1097" s="6" t="s">
        <v>61</v>
      </c>
      <c r="E1097" s="6" t="s">
        <v>171</v>
      </c>
      <c r="F1097" s="6" t="s">
        <v>63</v>
      </c>
      <c r="G1097" s="6" t="s">
        <v>57</v>
      </c>
      <c r="H1097" s="6" t="s">
        <v>89</v>
      </c>
      <c r="I1097" s="1" t="n">
        <v>2</v>
      </c>
      <c r="J1097" s="7" t="n">
        <v>6131.8</v>
      </c>
      <c r="K1097" s="8" t="n">
        <v>0</v>
      </c>
      <c r="L1097" s="7" t="n">
        <v>5050.04</v>
      </c>
      <c r="M1097" s="6" t="s">
        <v>49</v>
      </c>
      <c r="N1097" s="6" t="s">
        <v>50</v>
      </c>
      <c r="O1097" s="6" t="n">
        <f aca="false">IF(TablaVentas[[#This Row],[Precio_unitario]]="","PENDIENTE",TablaVentas[[#This Row],[Unidades]]*TablaVentas[[#This Row],[Precio_unitario]]*(1-TablaVentas[[#This Row],[Descuento_pct]]))</f>
        <v>12263.6</v>
      </c>
      <c r="P1097" s="6" t="n">
        <f aca="false">IF(TablaVentas[[#This Row],[Costo_unitario]]="","PENDIENTE",TablaVentas[[#This Row],[Unidades]]*TablaVentas[[#This Row],[Costo_unitario]])</f>
        <v>10100.08</v>
      </c>
      <c r="Q1097" s="6" t="n">
        <f aca="false">IF(OR(TablaVentas[[#This Row],[Ingreso_neto]]="PENDIENTE",TablaVentas[[#This Row],[Costo_total]]="PENDIENTE"),"PENDIENTE",TablaVentas[[#This Row],[Ingreso_neto]]-TablaVentas[[#This Row],[Costo_total]])</f>
        <v>2163.52</v>
      </c>
    </row>
    <row r="1098" customFormat="false" ht="13.5" hidden="false" customHeight="false" outlineLevel="0" collapsed="false">
      <c r="A1098" s="1" t="s">
        <v>837</v>
      </c>
      <c r="B1098" s="1" t="n">
        <v>4</v>
      </c>
      <c r="C1098" s="5" t="n">
        <v>46234</v>
      </c>
      <c r="D1098" s="6" t="s">
        <v>61</v>
      </c>
      <c r="E1098" s="6" t="s">
        <v>132</v>
      </c>
      <c r="F1098" s="6" t="s">
        <v>63</v>
      </c>
      <c r="G1098" s="6" t="s">
        <v>57</v>
      </c>
      <c r="H1098" s="6" t="s">
        <v>89</v>
      </c>
      <c r="I1098" s="1" t="n">
        <v>5</v>
      </c>
      <c r="J1098" s="7" t="n">
        <v>1717.9</v>
      </c>
      <c r="K1098" s="8" t="n">
        <v>0</v>
      </c>
      <c r="L1098" s="7" t="n">
        <v>1044.32</v>
      </c>
      <c r="M1098" s="6" t="s">
        <v>49</v>
      </c>
      <c r="N1098" s="6" t="s">
        <v>52</v>
      </c>
      <c r="O1098" s="6" t="n">
        <f aca="false">IF(TablaVentas[[#This Row],[Precio_unitario]]="","PENDIENTE",TablaVentas[[#This Row],[Unidades]]*TablaVentas[[#This Row],[Precio_unitario]]*(1-TablaVentas[[#This Row],[Descuento_pct]]))</f>
        <v>8589.5</v>
      </c>
      <c r="P1098" s="6" t="n">
        <f aca="false">IF(TablaVentas[[#This Row],[Costo_unitario]]="","PENDIENTE",TablaVentas[[#This Row],[Unidades]]*TablaVentas[[#This Row],[Costo_unitario]])</f>
        <v>5221.6</v>
      </c>
      <c r="Q1098" s="6" t="n">
        <f aca="false">IF(OR(TablaVentas[[#This Row],[Ingreso_neto]]="PENDIENTE",TablaVentas[[#This Row],[Costo_total]]="PENDIENTE"),"PENDIENTE",TablaVentas[[#This Row],[Ingreso_neto]]-TablaVentas[[#This Row],[Costo_total]])</f>
        <v>3367.9</v>
      </c>
    </row>
    <row r="1099" customFormat="false" ht="13.5" hidden="false" customHeight="false" outlineLevel="0" collapsed="false">
      <c r="A1099" s="1" t="s">
        <v>838</v>
      </c>
      <c r="B1099" s="1" t="n">
        <v>1</v>
      </c>
      <c r="C1099" s="5" t="n">
        <v>46209</v>
      </c>
      <c r="D1099" s="6" t="s">
        <v>632</v>
      </c>
      <c r="E1099" s="6" t="s">
        <v>210</v>
      </c>
      <c r="F1099" s="6" t="s">
        <v>63</v>
      </c>
      <c r="G1099" s="6" t="s">
        <v>47</v>
      </c>
      <c r="H1099" s="6" t="s">
        <v>65</v>
      </c>
      <c r="I1099" s="1" t="n">
        <v>1</v>
      </c>
      <c r="J1099" s="7" t="n">
        <v>1825.97</v>
      </c>
      <c r="K1099" s="8" t="n">
        <v>0</v>
      </c>
      <c r="L1099" s="7" t="n">
        <v>1252.84</v>
      </c>
      <c r="M1099" s="6" t="s">
        <v>49</v>
      </c>
      <c r="N1099" s="6" t="s">
        <v>50</v>
      </c>
      <c r="O1099" s="6" t="n">
        <f aca="false">IF(TablaVentas[[#This Row],[Precio_unitario]]="","PENDIENTE",TablaVentas[[#This Row],[Unidades]]*TablaVentas[[#This Row],[Precio_unitario]]*(1-TablaVentas[[#This Row],[Descuento_pct]]))</f>
        <v>1825.97</v>
      </c>
      <c r="P1099" s="6" t="n">
        <f aca="false">IF(TablaVentas[[#This Row],[Costo_unitario]]="","PENDIENTE",TablaVentas[[#This Row],[Unidades]]*TablaVentas[[#This Row],[Costo_unitario]])</f>
        <v>1252.84</v>
      </c>
      <c r="Q1099" s="6" t="n">
        <f aca="false">IF(OR(TablaVentas[[#This Row],[Ingreso_neto]]="PENDIENTE",TablaVentas[[#This Row],[Costo_total]]="PENDIENTE"),"PENDIENTE",TablaVentas[[#This Row],[Ingreso_neto]]-TablaVentas[[#This Row],[Costo_total]])</f>
        <v>573.13</v>
      </c>
    </row>
    <row r="1100" customFormat="false" ht="13.5" hidden="false" customHeight="false" outlineLevel="0" collapsed="false">
      <c r="A1100" s="1" t="s">
        <v>838</v>
      </c>
      <c r="B1100" s="1" t="n">
        <v>2</v>
      </c>
      <c r="C1100" s="5" t="n">
        <v>46209</v>
      </c>
      <c r="D1100" s="6" t="s">
        <v>632</v>
      </c>
      <c r="E1100" s="6" t="s">
        <v>151</v>
      </c>
      <c r="F1100" s="6" t="s">
        <v>63</v>
      </c>
      <c r="G1100" s="6" t="s">
        <v>47</v>
      </c>
      <c r="H1100" s="6" t="s">
        <v>65</v>
      </c>
      <c r="I1100" s="1" t="n">
        <v>1</v>
      </c>
      <c r="J1100" s="7" t="n">
        <v>8733.58</v>
      </c>
      <c r="K1100" s="8" t="n">
        <v>0</v>
      </c>
      <c r="L1100" s="7" t="n">
        <v>5125.36</v>
      </c>
      <c r="M1100" s="6" t="s">
        <v>123</v>
      </c>
      <c r="N1100" s="6" t="s">
        <v>50</v>
      </c>
      <c r="O1100" s="6" t="n">
        <f aca="false">IF(TablaVentas[[#This Row],[Precio_unitario]]="","PENDIENTE",TablaVentas[[#This Row],[Unidades]]*TablaVentas[[#This Row],[Precio_unitario]]*(1-TablaVentas[[#This Row],[Descuento_pct]]))</f>
        <v>8733.58</v>
      </c>
      <c r="P1100" s="6" t="n">
        <f aca="false">IF(TablaVentas[[#This Row],[Costo_unitario]]="","PENDIENTE",TablaVentas[[#This Row],[Unidades]]*TablaVentas[[#This Row],[Costo_unitario]])</f>
        <v>5125.36</v>
      </c>
      <c r="Q1100" s="6" t="n">
        <f aca="false">IF(OR(TablaVentas[[#This Row],[Ingreso_neto]]="PENDIENTE",TablaVentas[[#This Row],[Costo_total]]="PENDIENTE"),"PENDIENTE",TablaVentas[[#This Row],[Ingreso_neto]]-TablaVentas[[#This Row],[Costo_total]])</f>
        <v>3608.22</v>
      </c>
    </row>
    <row r="1101" customFormat="false" ht="13.5" hidden="false" customHeight="false" outlineLevel="0" collapsed="false">
      <c r="A1101" s="1" t="s">
        <v>838</v>
      </c>
      <c r="B1101" s="1" t="n">
        <v>3</v>
      </c>
      <c r="C1101" s="5" t="n">
        <v>46209</v>
      </c>
      <c r="D1101" s="6" t="s">
        <v>632</v>
      </c>
      <c r="E1101" s="6" t="s">
        <v>333</v>
      </c>
      <c r="F1101" s="6" t="s">
        <v>63</v>
      </c>
      <c r="G1101" s="6" t="s">
        <v>47</v>
      </c>
      <c r="H1101" s="6" t="s">
        <v>65</v>
      </c>
      <c r="I1101" s="1" t="n">
        <v>1</v>
      </c>
      <c r="J1101" s="7" t="n">
        <v>7586.58</v>
      </c>
      <c r="K1101" s="8" t="n">
        <v>0.2</v>
      </c>
      <c r="L1101" s="7" t="n">
        <v>4044.16</v>
      </c>
      <c r="M1101" s="6" t="s">
        <v>49</v>
      </c>
      <c r="N1101" s="6" t="s">
        <v>50</v>
      </c>
      <c r="O1101" s="6" t="n">
        <f aca="false">IF(TablaVentas[[#This Row],[Precio_unitario]]="","PENDIENTE",TablaVentas[[#This Row],[Unidades]]*TablaVentas[[#This Row],[Precio_unitario]]*(1-TablaVentas[[#This Row],[Descuento_pct]]))</f>
        <v>6069.264</v>
      </c>
      <c r="P1101" s="6" t="n">
        <f aca="false">IF(TablaVentas[[#This Row],[Costo_unitario]]="","PENDIENTE",TablaVentas[[#This Row],[Unidades]]*TablaVentas[[#This Row],[Costo_unitario]])</f>
        <v>4044.16</v>
      </c>
      <c r="Q1101" s="6" t="n">
        <f aca="false">IF(OR(TablaVentas[[#This Row],[Ingreso_neto]]="PENDIENTE",TablaVentas[[#This Row],[Costo_total]]="PENDIENTE"),"PENDIENTE",TablaVentas[[#This Row],[Ingreso_neto]]-TablaVentas[[#This Row],[Costo_total]])</f>
        <v>2025.104</v>
      </c>
    </row>
    <row r="1102" customFormat="false" ht="13.5" hidden="false" customHeight="false" outlineLevel="0" collapsed="false">
      <c r="A1102" s="1" t="s">
        <v>839</v>
      </c>
      <c r="B1102" s="1" t="n">
        <v>1</v>
      </c>
      <c r="C1102" s="5" t="n">
        <v>46114</v>
      </c>
      <c r="D1102" s="6" t="s">
        <v>840</v>
      </c>
      <c r="E1102" s="6" t="s">
        <v>146</v>
      </c>
      <c r="F1102" s="6" t="s">
        <v>46</v>
      </c>
      <c r="G1102" s="6" t="s">
        <v>57</v>
      </c>
      <c r="H1102" s="6" t="s">
        <v>58</v>
      </c>
      <c r="I1102" s="1" t="n">
        <v>1</v>
      </c>
      <c r="J1102" s="7" t="n">
        <v>9998.4</v>
      </c>
      <c r="K1102" s="8" t="n">
        <v>0.05</v>
      </c>
      <c r="L1102" s="7" t="n">
        <v>8002.16</v>
      </c>
      <c r="M1102" s="6" t="s">
        <v>49</v>
      </c>
      <c r="N1102" s="6" t="s">
        <v>59</v>
      </c>
      <c r="O1102" s="6" t="n">
        <f aca="false">IF(TablaVentas[[#This Row],[Precio_unitario]]="","PENDIENTE",TablaVentas[[#This Row],[Unidades]]*TablaVentas[[#This Row],[Precio_unitario]]*(1-TablaVentas[[#This Row],[Descuento_pct]]))</f>
        <v>9498.48</v>
      </c>
      <c r="P1102" s="6" t="n">
        <f aca="false">IF(TablaVentas[[#This Row],[Costo_unitario]]="","PENDIENTE",TablaVentas[[#This Row],[Unidades]]*TablaVentas[[#This Row],[Costo_unitario]])</f>
        <v>8002.16</v>
      </c>
      <c r="Q1102" s="6" t="n">
        <f aca="false">IF(OR(TablaVentas[[#This Row],[Ingreso_neto]]="PENDIENTE",TablaVentas[[#This Row],[Costo_total]]="PENDIENTE"),"PENDIENTE",TablaVentas[[#This Row],[Ingreso_neto]]-TablaVentas[[#This Row],[Costo_total]])</f>
        <v>1496.32</v>
      </c>
    </row>
    <row r="1103" customFormat="false" ht="13.5" hidden="false" customHeight="false" outlineLevel="0" collapsed="false">
      <c r="A1103" s="1" t="s">
        <v>841</v>
      </c>
      <c r="B1103" s="1" t="n">
        <v>1</v>
      </c>
      <c r="C1103" s="5" t="n">
        <v>46292</v>
      </c>
      <c r="D1103" s="6" t="s">
        <v>842</v>
      </c>
      <c r="E1103" s="6" t="s">
        <v>192</v>
      </c>
      <c r="F1103" s="6" t="s">
        <v>84</v>
      </c>
      <c r="G1103" s="6" t="s">
        <v>57</v>
      </c>
      <c r="H1103" s="6" t="s">
        <v>74</v>
      </c>
      <c r="I1103" s="1" t="n">
        <v>4</v>
      </c>
      <c r="J1103" s="7" t="n">
        <v>16042.66</v>
      </c>
      <c r="K1103" s="8" t="n">
        <v>0</v>
      </c>
      <c r="L1103" s="7" t="n">
        <v>11904.09</v>
      </c>
      <c r="M1103" s="6" t="s">
        <v>49</v>
      </c>
      <c r="N1103" s="6" t="s">
        <v>52</v>
      </c>
      <c r="O1103" s="6" t="n">
        <f aca="false">IF(TablaVentas[[#This Row],[Precio_unitario]]="","PENDIENTE",TablaVentas[[#This Row],[Unidades]]*TablaVentas[[#This Row],[Precio_unitario]]*(1-TablaVentas[[#This Row],[Descuento_pct]]))</f>
        <v>64170.64</v>
      </c>
      <c r="P1103" s="6" t="n">
        <f aca="false">IF(TablaVentas[[#This Row],[Costo_unitario]]="","PENDIENTE",TablaVentas[[#This Row],[Unidades]]*TablaVentas[[#This Row],[Costo_unitario]])</f>
        <v>47616.36</v>
      </c>
      <c r="Q1103" s="6" t="n">
        <f aca="false">IF(OR(TablaVentas[[#This Row],[Ingreso_neto]]="PENDIENTE",TablaVentas[[#This Row],[Costo_total]]="PENDIENTE"),"PENDIENTE",TablaVentas[[#This Row],[Ingreso_neto]]-TablaVentas[[#This Row],[Costo_total]])</f>
        <v>16554.28</v>
      </c>
    </row>
    <row r="1104" customFormat="false" ht="13.5" hidden="false" customHeight="false" outlineLevel="0" collapsed="false">
      <c r="A1104" s="1" t="s">
        <v>841</v>
      </c>
      <c r="B1104" s="1" t="n">
        <v>2</v>
      </c>
      <c r="C1104" s="5" t="n">
        <v>46292</v>
      </c>
      <c r="D1104" s="6" t="s">
        <v>842</v>
      </c>
      <c r="E1104" s="6" t="s">
        <v>230</v>
      </c>
      <c r="F1104" s="6" t="s">
        <v>84</v>
      </c>
      <c r="G1104" s="6" t="s">
        <v>57</v>
      </c>
      <c r="H1104" s="6" t="s">
        <v>74</v>
      </c>
      <c r="I1104" s="1" t="n">
        <v>12</v>
      </c>
      <c r="J1104" s="7" t="n">
        <v>5933.35</v>
      </c>
      <c r="K1104" s="8" t="n">
        <v>0.05</v>
      </c>
      <c r="L1104" s="7" t="n">
        <v>3298.19</v>
      </c>
      <c r="M1104" s="6" t="s">
        <v>49</v>
      </c>
      <c r="N1104" s="6" t="s">
        <v>50</v>
      </c>
      <c r="O1104" s="6" t="n">
        <f aca="false">IF(TablaVentas[[#This Row],[Precio_unitario]]="","PENDIENTE",TablaVentas[[#This Row],[Unidades]]*TablaVentas[[#This Row],[Precio_unitario]]*(1-TablaVentas[[#This Row],[Descuento_pct]]))</f>
        <v>67640.19</v>
      </c>
      <c r="P1104" s="6" t="n">
        <f aca="false">IF(TablaVentas[[#This Row],[Costo_unitario]]="","PENDIENTE",TablaVentas[[#This Row],[Unidades]]*TablaVentas[[#This Row],[Costo_unitario]])</f>
        <v>39578.28</v>
      </c>
      <c r="Q1104" s="6" t="n">
        <f aca="false">IF(OR(TablaVentas[[#This Row],[Ingreso_neto]]="PENDIENTE",TablaVentas[[#This Row],[Costo_total]]="PENDIENTE"),"PENDIENTE",TablaVentas[[#This Row],[Ingreso_neto]]-TablaVentas[[#This Row],[Costo_total]])</f>
        <v>28061.91</v>
      </c>
    </row>
    <row r="1105" customFormat="false" ht="13.5" hidden="false" customHeight="false" outlineLevel="0" collapsed="false">
      <c r="A1105" s="1" t="s">
        <v>841</v>
      </c>
      <c r="B1105" s="1" t="n">
        <v>3</v>
      </c>
      <c r="C1105" s="5" t="n">
        <v>46292</v>
      </c>
      <c r="D1105" s="6" t="s">
        <v>842</v>
      </c>
      <c r="E1105" s="6" t="s">
        <v>66</v>
      </c>
      <c r="F1105" s="6" t="s">
        <v>84</v>
      </c>
      <c r="G1105" s="6" t="s">
        <v>57</v>
      </c>
      <c r="H1105" s="6" t="s">
        <v>74</v>
      </c>
      <c r="I1105" s="1" t="n">
        <v>1</v>
      </c>
      <c r="J1105" s="7"/>
      <c r="K1105" s="8" t="n">
        <v>0.2</v>
      </c>
      <c r="L1105" s="7" t="n">
        <v>10170.29</v>
      </c>
      <c r="M1105" s="6" t="s">
        <v>49</v>
      </c>
      <c r="N1105" s="6" t="s">
        <v>67</v>
      </c>
      <c r="O1105" s="1" t="str">
        <f aca="false">IF(TablaVentas[[#This Row],[Precio_unitario]]="","PENDIENTE",TablaVentas[[#This Row],[Unidades]]*TablaVentas[[#This Row],[Precio_unitario]]*(1-TablaVentas[[#This Row],[Descuento_pct]]))</f>
        <v>PENDIENTE</v>
      </c>
      <c r="P1105" s="6" t="n">
        <f aca="false">IF(TablaVentas[[#This Row],[Costo_unitario]]="","PENDIENTE",TablaVentas[[#This Row],[Unidades]]*TablaVentas[[#This Row],[Costo_unitario]])</f>
        <v>10170.29</v>
      </c>
      <c r="Q1105" s="1" t="str">
        <f aca="false">IF(OR(TablaVentas[[#This Row],[Ingreso_neto]]="PENDIENTE",TablaVentas[[#This Row],[Costo_total]]="PENDIENTE"),"PENDIENTE",TablaVentas[[#This Row],[Ingreso_neto]]-TablaVentas[[#This Row],[Costo_total]])</f>
        <v>PENDIENTE</v>
      </c>
      <c r="R1105" s="6" t="s">
        <v>152</v>
      </c>
    </row>
    <row r="1106" customFormat="false" ht="13.5" hidden="false" customHeight="false" outlineLevel="0" collapsed="false">
      <c r="A1106" s="1" t="s">
        <v>843</v>
      </c>
      <c r="B1106" s="1" t="n">
        <v>1</v>
      </c>
      <c r="C1106" s="5" t="n">
        <v>46040</v>
      </c>
      <c r="D1106" s="6" t="s">
        <v>531</v>
      </c>
      <c r="E1106" s="6" t="s">
        <v>88</v>
      </c>
      <c r="F1106" s="6" t="s">
        <v>63</v>
      </c>
      <c r="G1106" s="6" t="s">
        <v>57</v>
      </c>
      <c r="H1106" s="6" t="s">
        <v>109</v>
      </c>
      <c r="I1106" s="1" t="n">
        <v>2</v>
      </c>
      <c r="J1106" s="7" t="n">
        <v>15690.53</v>
      </c>
      <c r="K1106" s="8" t="n">
        <v>0</v>
      </c>
      <c r="L1106" s="7" t="n">
        <v>11614.87</v>
      </c>
      <c r="M1106" s="6" t="s">
        <v>49</v>
      </c>
      <c r="N1106" s="6" t="s">
        <v>50</v>
      </c>
      <c r="O1106" s="6" t="n">
        <f aca="false">IF(TablaVentas[[#This Row],[Precio_unitario]]="","PENDIENTE",TablaVentas[[#This Row],[Unidades]]*TablaVentas[[#This Row],[Precio_unitario]]*(1-TablaVentas[[#This Row],[Descuento_pct]]))</f>
        <v>31381.06</v>
      </c>
      <c r="P1106" s="6" t="n">
        <f aca="false">IF(TablaVentas[[#This Row],[Costo_unitario]]="","PENDIENTE",TablaVentas[[#This Row],[Unidades]]*TablaVentas[[#This Row],[Costo_unitario]])</f>
        <v>23229.74</v>
      </c>
      <c r="Q1106" s="6" t="n">
        <f aca="false">IF(OR(TablaVentas[[#This Row],[Ingreso_neto]]="PENDIENTE",TablaVentas[[#This Row],[Costo_total]]="PENDIENTE"),"PENDIENTE",TablaVentas[[#This Row],[Ingreso_neto]]-TablaVentas[[#This Row],[Costo_total]])</f>
        <v>8151.32</v>
      </c>
    </row>
    <row r="1107" customFormat="false" ht="13.5" hidden="false" customHeight="false" outlineLevel="0" collapsed="false">
      <c r="A1107" s="1" t="s">
        <v>843</v>
      </c>
      <c r="B1107" s="1" t="n">
        <v>2</v>
      </c>
      <c r="C1107" s="5" t="n">
        <v>46040</v>
      </c>
      <c r="D1107" s="6" t="s">
        <v>531</v>
      </c>
      <c r="E1107" s="6" t="s">
        <v>92</v>
      </c>
      <c r="F1107" s="6" t="s">
        <v>63</v>
      </c>
      <c r="G1107" s="6" t="s">
        <v>57</v>
      </c>
      <c r="H1107" s="6" t="s">
        <v>109</v>
      </c>
      <c r="I1107" s="1" t="n">
        <v>2</v>
      </c>
      <c r="J1107" s="7" t="n">
        <v>530.8</v>
      </c>
      <c r="K1107" s="8" t="n">
        <v>0</v>
      </c>
      <c r="L1107" s="7" t="n">
        <v>307.75</v>
      </c>
      <c r="M1107" s="6" t="s">
        <v>49</v>
      </c>
      <c r="N1107" s="6" t="s">
        <v>59</v>
      </c>
      <c r="O1107" s="6" t="n">
        <f aca="false">IF(TablaVentas[[#This Row],[Precio_unitario]]="","PENDIENTE",TablaVentas[[#This Row],[Unidades]]*TablaVentas[[#This Row],[Precio_unitario]]*(1-TablaVentas[[#This Row],[Descuento_pct]]))</f>
        <v>1061.6</v>
      </c>
      <c r="P1107" s="6" t="n">
        <f aca="false">IF(TablaVentas[[#This Row],[Costo_unitario]]="","PENDIENTE",TablaVentas[[#This Row],[Unidades]]*TablaVentas[[#This Row],[Costo_unitario]])</f>
        <v>615.5</v>
      </c>
      <c r="Q1107" s="6" t="n">
        <f aca="false">IF(OR(TablaVentas[[#This Row],[Ingreso_neto]]="PENDIENTE",TablaVentas[[#This Row],[Costo_total]]="PENDIENTE"),"PENDIENTE",TablaVentas[[#This Row],[Ingreso_neto]]-TablaVentas[[#This Row],[Costo_total]])</f>
        <v>446.1</v>
      </c>
    </row>
    <row r="1108" customFormat="false" ht="13.5" hidden="false" customHeight="false" outlineLevel="0" collapsed="false">
      <c r="A1108" s="1" t="s">
        <v>843</v>
      </c>
      <c r="B1108" s="1" t="n">
        <v>3</v>
      </c>
      <c r="C1108" s="5" t="n">
        <v>46040</v>
      </c>
      <c r="D1108" s="6" t="s">
        <v>531</v>
      </c>
      <c r="E1108" s="6" t="s">
        <v>122</v>
      </c>
      <c r="F1108" s="6" t="s">
        <v>63</v>
      </c>
      <c r="G1108" s="6" t="s">
        <v>57</v>
      </c>
      <c r="H1108" s="6" t="s">
        <v>109</v>
      </c>
      <c r="I1108" s="1" t="n">
        <v>1</v>
      </c>
      <c r="J1108" s="7" t="n">
        <v>1283.78</v>
      </c>
      <c r="K1108" s="8" t="n">
        <v>0.15</v>
      </c>
      <c r="L1108" s="7" t="n">
        <v>705.87</v>
      </c>
      <c r="M1108" s="6" t="s">
        <v>49</v>
      </c>
      <c r="N1108" s="6" t="s">
        <v>52</v>
      </c>
      <c r="O1108" s="6" t="n">
        <f aca="false">IF(TablaVentas[[#This Row],[Precio_unitario]]="","PENDIENTE",TablaVentas[[#This Row],[Unidades]]*TablaVentas[[#This Row],[Precio_unitario]]*(1-TablaVentas[[#This Row],[Descuento_pct]]))</f>
        <v>1091.213</v>
      </c>
      <c r="P1108" s="6" t="n">
        <f aca="false">IF(TablaVentas[[#This Row],[Costo_unitario]]="","PENDIENTE",TablaVentas[[#This Row],[Unidades]]*TablaVentas[[#This Row],[Costo_unitario]])</f>
        <v>705.87</v>
      </c>
      <c r="Q1108" s="6" t="n">
        <f aca="false">IF(OR(TablaVentas[[#This Row],[Ingreso_neto]]="PENDIENTE",TablaVentas[[#This Row],[Costo_total]]="PENDIENTE"),"PENDIENTE",TablaVentas[[#This Row],[Ingreso_neto]]-TablaVentas[[#This Row],[Costo_total]])</f>
        <v>385.343</v>
      </c>
    </row>
    <row r="1109" customFormat="false" ht="13.5" hidden="false" customHeight="false" outlineLevel="0" collapsed="false">
      <c r="A1109" s="1" t="s">
        <v>843</v>
      </c>
      <c r="B1109" s="1" t="n">
        <v>4</v>
      </c>
      <c r="C1109" s="5" t="n">
        <v>46040</v>
      </c>
      <c r="D1109" s="6" t="s">
        <v>531</v>
      </c>
      <c r="E1109" s="6" t="s">
        <v>233</v>
      </c>
      <c r="F1109" s="6" t="s">
        <v>63</v>
      </c>
      <c r="G1109" s="6" t="s">
        <v>57</v>
      </c>
      <c r="H1109" s="6" t="s">
        <v>109</v>
      </c>
      <c r="I1109" s="1" t="n">
        <v>2</v>
      </c>
      <c r="J1109" s="7" t="n">
        <v>16541.83</v>
      </c>
      <c r="K1109" s="8" t="n">
        <v>0</v>
      </c>
      <c r="L1109" s="7" t="n">
        <v>9976.68</v>
      </c>
      <c r="M1109" s="6" t="s">
        <v>49</v>
      </c>
      <c r="N1109" s="6" t="s">
        <v>52</v>
      </c>
      <c r="O1109" s="6" t="n">
        <f aca="false">IF(TablaVentas[[#This Row],[Precio_unitario]]="","PENDIENTE",TablaVentas[[#This Row],[Unidades]]*TablaVentas[[#This Row],[Precio_unitario]]*(1-TablaVentas[[#This Row],[Descuento_pct]]))</f>
        <v>33083.66</v>
      </c>
      <c r="P1109" s="6" t="n">
        <f aca="false">IF(TablaVentas[[#This Row],[Costo_unitario]]="","PENDIENTE",TablaVentas[[#This Row],[Unidades]]*TablaVentas[[#This Row],[Costo_unitario]])</f>
        <v>19953.36</v>
      </c>
      <c r="Q1109" s="6" t="n">
        <f aca="false">IF(OR(TablaVentas[[#This Row],[Ingreso_neto]]="PENDIENTE",TablaVentas[[#This Row],[Costo_total]]="PENDIENTE"),"PENDIENTE",TablaVentas[[#This Row],[Ingreso_neto]]-TablaVentas[[#This Row],[Costo_total]])</f>
        <v>13130.3</v>
      </c>
    </row>
    <row r="1110" customFormat="false" ht="13.5" hidden="false" customHeight="false" outlineLevel="0" collapsed="false">
      <c r="A1110" s="1" t="s">
        <v>844</v>
      </c>
      <c r="B1110" s="1" t="n">
        <v>1</v>
      </c>
      <c r="C1110" s="5" t="n">
        <v>46223</v>
      </c>
      <c r="D1110" s="6" t="s">
        <v>415</v>
      </c>
      <c r="E1110" s="6" t="s">
        <v>96</v>
      </c>
      <c r="F1110" s="6" t="s">
        <v>46</v>
      </c>
      <c r="G1110" s="6" t="s">
        <v>47</v>
      </c>
      <c r="H1110" s="6" t="s">
        <v>80</v>
      </c>
      <c r="I1110" s="1" t="n">
        <v>2</v>
      </c>
      <c r="J1110" s="7" t="n">
        <v>12174.22</v>
      </c>
      <c r="K1110" s="8" t="n">
        <v>0</v>
      </c>
      <c r="L1110" s="7" t="n">
        <v>9118.07</v>
      </c>
      <c r="M1110" s="6" t="s">
        <v>69</v>
      </c>
      <c r="N1110" s="6" t="s">
        <v>52</v>
      </c>
      <c r="O1110" s="6" t="n">
        <f aca="false">IF(TablaVentas[[#This Row],[Precio_unitario]]="","PENDIENTE",TablaVentas[[#This Row],[Unidades]]*TablaVentas[[#This Row],[Precio_unitario]]*(1-TablaVentas[[#This Row],[Descuento_pct]]))</f>
        <v>24348.44</v>
      </c>
      <c r="P1110" s="6" t="n">
        <f aca="false">IF(TablaVentas[[#This Row],[Costo_unitario]]="","PENDIENTE",TablaVentas[[#This Row],[Unidades]]*TablaVentas[[#This Row],[Costo_unitario]])</f>
        <v>18236.14</v>
      </c>
      <c r="Q1110" s="6" t="n">
        <f aca="false">IF(OR(TablaVentas[[#This Row],[Ingreso_neto]]="PENDIENTE",TablaVentas[[#This Row],[Costo_total]]="PENDIENTE"),"PENDIENTE",TablaVentas[[#This Row],[Ingreso_neto]]-TablaVentas[[#This Row],[Costo_total]])</f>
        <v>6112.3</v>
      </c>
    </row>
    <row r="1111" customFormat="false" ht="13.5" hidden="false" customHeight="false" outlineLevel="0" collapsed="false">
      <c r="A1111" s="1" t="s">
        <v>844</v>
      </c>
      <c r="B1111" s="1" t="n">
        <v>2</v>
      </c>
      <c r="C1111" s="5" t="n">
        <v>46223</v>
      </c>
      <c r="D1111" s="6" t="s">
        <v>415</v>
      </c>
      <c r="E1111" s="6" t="s">
        <v>62</v>
      </c>
      <c r="F1111" s="6" t="s">
        <v>46</v>
      </c>
      <c r="G1111" s="6" t="s">
        <v>47</v>
      </c>
      <c r="H1111" s="6" t="s">
        <v>80</v>
      </c>
      <c r="I1111" s="1" t="n">
        <v>1</v>
      </c>
      <c r="J1111" s="7" t="n">
        <v>11312.91</v>
      </c>
      <c r="K1111" s="8" t="n">
        <v>0.2</v>
      </c>
      <c r="L1111" s="7" t="n">
        <v>6407.85</v>
      </c>
      <c r="M1111" s="6" t="s">
        <v>49</v>
      </c>
      <c r="N1111" s="6" t="s">
        <v>67</v>
      </c>
      <c r="O1111" s="6" t="n">
        <f aca="false">IF(TablaVentas[[#This Row],[Precio_unitario]]="","PENDIENTE",TablaVentas[[#This Row],[Unidades]]*TablaVentas[[#This Row],[Precio_unitario]]*(1-TablaVentas[[#This Row],[Descuento_pct]]))</f>
        <v>9050.328</v>
      </c>
      <c r="P1111" s="6" t="n">
        <f aca="false">IF(TablaVentas[[#This Row],[Costo_unitario]]="","PENDIENTE",TablaVentas[[#This Row],[Unidades]]*TablaVentas[[#This Row],[Costo_unitario]])</f>
        <v>6407.85</v>
      </c>
      <c r="Q1111" s="6" t="n">
        <f aca="false">IF(OR(TablaVentas[[#This Row],[Ingreso_neto]]="PENDIENTE",TablaVentas[[#This Row],[Costo_total]]="PENDIENTE"),"PENDIENTE",TablaVentas[[#This Row],[Ingreso_neto]]-TablaVentas[[#This Row],[Costo_total]])</f>
        <v>2642.478</v>
      </c>
    </row>
    <row r="1112" customFormat="false" ht="13.5" hidden="false" customHeight="false" outlineLevel="0" collapsed="false">
      <c r="A1112" s="1" t="s">
        <v>844</v>
      </c>
      <c r="B1112" s="1" t="n">
        <v>3</v>
      </c>
      <c r="C1112" s="5" t="n">
        <v>46223</v>
      </c>
      <c r="D1112" s="6" t="s">
        <v>415</v>
      </c>
      <c r="E1112" s="6" t="s">
        <v>117</v>
      </c>
      <c r="F1112" s="6" t="s">
        <v>46</v>
      </c>
      <c r="G1112" s="6" t="s">
        <v>47</v>
      </c>
      <c r="H1112" s="6" t="s">
        <v>80</v>
      </c>
      <c r="I1112" s="1" t="n">
        <v>4</v>
      </c>
      <c r="J1112" s="7" t="n">
        <v>5347.21</v>
      </c>
      <c r="K1112" s="8" t="n">
        <v>0</v>
      </c>
      <c r="L1112" s="7" t="n">
        <v>4205.69</v>
      </c>
      <c r="M1112" s="6" t="s">
        <v>69</v>
      </c>
      <c r="N1112" s="6" t="s">
        <v>59</v>
      </c>
      <c r="O1112" s="6" t="n">
        <f aca="false">IF(TablaVentas[[#This Row],[Precio_unitario]]="","PENDIENTE",TablaVentas[[#This Row],[Unidades]]*TablaVentas[[#This Row],[Precio_unitario]]*(1-TablaVentas[[#This Row],[Descuento_pct]]))</f>
        <v>21388.84</v>
      </c>
      <c r="P1112" s="6" t="n">
        <f aca="false">IF(TablaVentas[[#This Row],[Costo_unitario]]="","PENDIENTE",TablaVentas[[#This Row],[Unidades]]*TablaVentas[[#This Row],[Costo_unitario]])</f>
        <v>16822.76</v>
      </c>
      <c r="Q1112" s="6" t="n">
        <f aca="false">IF(OR(TablaVentas[[#This Row],[Ingreso_neto]]="PENDIENTE",TablaVentas[[#This Row],[Costo_total]]="PENDIENTE"),"PENDIENTE",TablaVentas[[#This Row],[Ingreso_neto]]-TablaVentas[[#This Row],[Costo_total]])</f>
        <v>4566.08</v>
      </c>
    </row>
    <row r="1113" customFormat="false" ht="13.5" hidden="false" customHeight="false" outlineLevel="0" collapsed="false">
      <c r="A1113" s="1" t="s">
        <v>845</v>
      </c>
      <c r="B1113" s="1" t="n">
        <v>1</v>
      </c>
      <c r="C1113" s="5" t="n">
        <v>46099</v>
      </c>
      <c r="D1113" s="6" t="s">
        <v>508</v>
      </c>
      <c r="E1113" s="6" t="s">
        <v>278</v>
      </c>
      <c r="F1113" s="6" t="s">
        <v>73</v>
      </c>
      <c r="G1113" s="6" t="s">
        <v>47</v>
      </c>
      <c r="H1113" s="6" t="s">
        <v>89</v>
      </c>
      <c r="I1113" s="1" t="n">
        <v>1</v>
      </c>
      <c r="J1113" s="7" t="n">
        <v>1147.49</v>
      </c>
      <c r="K1113" s="8" t="n">
        <v>0</v>
      </c>
      <c r="L1113" s="7" t="n">
        <v>759.03</v>
      </c>
      <c r="M1113" s="6" t="s">
        <v>49</v>
      </c>
      <c r="N1113" s="6" t="s">
        <v>67</v>
      </c>
      <c r="O1113" s="6" t="n">
        <f aca="false">IF(TablaVentas[[#This Row],[Precio_unitario]]="","PENDIENTE",TablaVentas[[#This Row],[Unidades]]*TablaVentas[[#This Row],[Precio_unitario]]*(1-TablaVentas[[#This Row],[Descuento_pct]]))</f>
        <v>1147.49</v>
      </c>
      <c r="P1113" s="6" t="n">
        <f aca="false">IF(TablaVentas[[#This Row],[Costo_unitario]]="","PENDIENTE",TablaVentas[[#This Row],[Unidades]]*TablaVentas[[#This Row],[Costo_unitario]])</f>
        <v>759.03</v>
      </c>
      <c r="Q1113" s="6" t="n">
        <f aca="false">IF(OR(TablaVentas[[#This Row],[Ingreso_neto]]="PENDIENTE",TablaVentas[[#This Row],[Costo_total]]="PENDIENTE"),"PENDIENTE",TablaVentas[[#This Row],[Ingreso_neto]]-TablaVentas[[#This Row],[Costo_total]])</f>
        <v>388.46</v>
      </c>
    </row>
    <row r="1114" customFormat="false" ht="13.5" hidden="false" customHeight="false" outlineLevel="0" collapsed="false">
      <c r="A1114" s="1" t="s">
        <v>845</v>
      </c>
      <c r="B1114" s="1" t="n">
        <v>2</v>
      </c>
      <c r="C1114" s="5" t="n">
        <v>46099</v>
      </c>
      <c r="D1114" s="6" t="s">
        <v>508</v>
      </c>
      <c r="E1114" s="6" t="s">
        <v>72</v>
      </c>
      <c r="F1114" s="6" t="s">
        <v>73</v>
      </c>
      <c r="G1114" s="6" t="s">
        <v>47</v>
      </c>
      <c r="H1114" s="6" t="s">
        <v>89</v>
      </c>
      <c r="I1114" s="1" t="n">
        <v>2</v>
      </c>
      <c r="J1114" s="7" t="n">
        <v>12034.38</v>
      </c>
      <c r="K1114" s="8" t="n">
        <v>0</v>
      </c>
      <c r="L1114" s="7" t="n">
        <v>7328.02</v>
      </c>
      <c r="M1114" s="6" t="s">
        <v>49</v>
      </c>
      <c r="N1114" s="6" t="s">
        <v>67</v>
      </c>
      <c r="O1114" s="6" t="n">
        <f aca="false">IF(TablaVentas[[#This Row],[Precio_unitario]]="","PENDIENTE",TablaVentas[[#This Row],[Unidades]]*TablaVentas[[#This Row],[Precio_unitario]]*(1-TablaVentas[[#This Row],[Descuento_pct]]))</f>
        <v>24068.76</v>
      </c>
      <c r="P1114" s="6" t="n">
        <f aca="false">IF(TablaVentas[[#This Row],[Costo_unitario]]="","PENDIENTE",TablaVentas[[#This Row],[Unidades]]*TablaVentas[[#This Row],[Costo_unitario]])</f>
        <v>14656.04</v>
      </c>
      <c r="Q1114" s="6" t="n">
        <f aca="false">IF(OR(TablaVentas[[#This Row],[Ingreso_neto]]="PENDIENTE",TablaVentas[[#This Row],[Costo_total]]="PENDIENTE"),"PENDIENTE",TablaVentas[[#This Row],[Ingreso_neto]]-TablaVentas[[#This Row],[Costo_total]])</f>
        <v>9412.72</v>
      </c>
    </row>
    <row r="1115" customFormat="false" ht="13.5" hidden="false" customHeight="false" outlineLevel="0" collapsed="false">
      <c r="A1115" s="1" t="s">
        <v>845</v>
      </c>
      <c r="B1115" s="1" t="n">
        <v>3</v>
      </c>
      <c r="C1115" s="5" t="n">
        <v>46099</v>
      </c>
      <c r="D1115" s="6" t="s">
        <v>508</v>
      </c>
      <c r="E1115" s="6" t="s">
        <v>210</v>
      </c>
      <c r="F1115" s="6" t="s">
        <v>73</v>
      </c>
      <c r="G1115" s="6" t="s">
        <v>47</v>
      </c>
      <c r="H1115" s="6" t="s">
        <v>89</v>
      </c>
      <c r="I1115" s="1" t="n">
        <v>2</v>
      </c>
      <c r="J1115" s="7" t="n">
        <v>2067.18</v>
      </c>
      <c r="K1115" s="8" t="n">
        <v>0.1</v>
      </c>
      <c r="L1115" s="7" t="n">
        <v>1252.84</v>
      </c>
      <c r="M1115" s="6" t="s">
        <v>49</v>
      </c>
      <c r="N1115" s="6" t="s">
        <v>59</v>
      </c>
      <c r="O1115" s="6" t="n">
        <f aca="false">IF(TablaVentas[[#This Row],[Precio_unitario]]="","PENDIENTE",TablaVentas[[#This Row],[Unidades]]*TablaVentas[[#This Row],[Precio_unitario]]*(1-TablaVentas[[#This Row],[Descuento_pct]]))</f>
        <v>3720.924</v>
      </c>
      <c r="P1115" s="6" t="n">
        <f aca="false">IF(TablaVentas[[#This Row],[Costo_unitario]]="","PENDIENTE",TablaVentas[[#This Row],[Unidades]]*TablaVentas[[#This Row],[Costo_unitario]])</f>
        <v>2505.68</v>
      </c>
      <c r="Q1115" s="6" t="n">
        <f aca="false">IF(OR(TablaVentas[[#This Row],[Ingreso_neto]]="PENDIENTE",TablaVentas[[#This Row],[Costo_total]]="PENDIENTE"),"PENDIENTE",TablaVentas[[#This Row],[Ingreso_neto]]-TablaVentas[[#This Row],[Costo_total]])</f>
        <v>1215.244</v>
      </c>
    </row>
    <row r="1116" customFormat="false" ht="13.5" hidden="false" customHeight="false" outlineLevel="0" collapsed="false">
      <c r="A1116" s="1" t="s">
        <v>846</v>
      </c>
      <c r="B1116" s="1" t="n">
        <v>1</v>
      </c>
      <c r="C1116" s="5" t="n">
        <v>46232</v>
      </c>
      <c r="D1116" s="6" t="s">
        <v>847</v>
      </c>
      <c r="E1116" s="6" t="s">
        <v>260</v>
      </c>
      <c r="F1116" s="6" t="s">
        <v>63</v>
      </c>
      <c r="G1116" s="6" t="s">
        <v>64</v>
      </c>
      <c r="H1116" s="6" t="s">
        <v>131</v>
      </c>
      <c r="I1116" s="1" t="n">
        <v>1</v>
      </c>
      <c r="J1116" s="7" t="n">
        <v>2782.77</v>
      </c>
      <c r="K1116" s="8" t="n">
        <v>0</v>
      </c>
      <c r="L1116" s="7" t="n">
        <v>2486.18</v>
      </c>
      <c r="M1116" s="6" t="s">
        <v>49</v>
      </c>
      <c r="N1116" s="6" t="s">
        <v>59</v>
      </c>
      <c r="O1116" s="6" t="n">
        <f aca="false">IF(TablaVentas[[#This Row],[Precio_unitario]]="","PENDIENTE",TablaVentas[[#This Row],[Unidades]]*TablaVentas[[#This Row],[Precio_unitario]]*(1-TablaVentas[[#This Row],[Descuento_pct]]))</f>
        <v>2782.77</v>
      </c>
      <c r="P1116" s="6" t="n">
        <f aca="false">IF(TablaVentas[[#This Row],[Costo_unitario]]="","PENDIENTE",TablaVentas[[#This Row],[Unidades]]*TablaVentas[[#This Row],[Costo_unitario]])</f>
        <v>2486.18</v>
      </c>
      <c r="Q1116" s="6" t="n">
        <f aca="false">IF(OR(TablaVentas[[#This Row],[Ingreso_neto]]="PENDIENTE",TablaVentas[[#This Row],[Costo_total]]="PENDIENTE"),"PENDIENTE",TablaVentas[[#This Row],[Ingreso_neto]]-TablaVentas[[#This Row],[Costo_total]])</f>
        <v>296.59</v>
      </c>
    </row>
    <row r="1117" customFormat="false" ht="13.5" hidden="false" customHeight="false" outlineLevel="0" collapsed="false">
      <c r="A1117" s="1" t="s">
        <v>846</v>
      </c>
      <c r="B1117" s="1" t="n">
        <v>2</v>
      </c>
      <c r="C1117" s="5" t="n">
        <v>46232</v>
      </c>
      <c r="D1117" s="6" t="s">
        <v>847</v>
      </c>
      <c r="E1117" s="6" t="s">
        <v>77</v>
      </c>
      <c r="F1117" s="6" t="s">
        <v>63</v>
      </c>
      <c r="G1117" s="6" t="s">
        <v>64</v>
      </c>
      <c r="H1117" s="6" t="s">
        <v>131</v>
      </c>
      <c r="I1117" s="1" t="n">
        <v>2</v>
      </c>
      <c r="J1117" s="7" t="n">
        <v>16296.72</v>
      </c>
      <c r="K1117" s="8" t="n">
        <v>0.15</v>
      </c>
      <c r="L1117" s="7" t="n">
        <v>10571.25</v>
      </c>
      <c r="M1117" s="6" t="s">
        <v>49</v>
      </c>
      <c r="N1117" s="6" t="s">
        <v>59</v>
      </c>
      <c r="O1117" s="6" t="n">
        <f aca="false">IF(TablaVentas[[#This Row],[Precio_unitario]]="","PENDIENTE",TablaVentas[[#This Row],[Unidades]]*TablaVentas[[#This Row],[Precio_unitario]]*(1-TablaVentas[[#This Row],[Descuento_pct]]))</f>
        <v>27704.424</v>
      </c>
      <c r="P1117" s="6" t="n">
        <f aca="false">IF(TablaVentas[[#This Row],[Costo_unitario]]="","PENDIENTE",TablaVentas[[#This Row],[Unidades]]*TablaVentas[[#This Row],[Costo_unitario]])</f>
        <v>21142.5</v>
      </c>
      <c r="Q1117" s="6" t="n">
        <f aca="false">IF(OR(TablaVentas[[#This Row],[Ingreso_neto]]="PENDIENTE",TablaVentas[[#This Row],[Costo_total]]="PENDIENTE"),"PENDIENTE",TablaVentas[[#This Row],[Ingreso_neto]]-TablaVentas[[#This Row],[Costo_total]])</f>
        <v>6561.924</v>
      </c>
    </row>
    <row r="1118" customFormat="false" ht="13.5" hidden="false" customHeight="false" outlineLevel="0" collapsed="false">
      <c r="A1118" s="1" t="s">
        <v>846</v>
      </c>
      <c r="B1118" s="1" t="n">
        <v>3</v>
      </c>
      <c r="C1118" s="5" t="n">
        <v>46232</v>
      </c>
      <c r="D1118" s="6" t="s">
        <v>847</v>
      </c>
      <c r="E1118" s="6" t="s">
        <v>135</v>
      </c>
      <c r="F1118" s="6" t="s">
        <v>63</v>
      </c>
      <c r="G1118" s="6" t="s">
        <v>64</v>
      </c>
      <c r="H1118" s="6" t="s">
        <v>131</v>
      </c>
      <c r="I1118" s="1" t="n">
        <v>1</v>
      </c>
      <c r="J1118" s="7" t="n">
        <v>1481.42</v>
      </c>
      <c r="K1118" s="8" t="n">
        <v>0.15</v>
      </c>
      <c r="L1118" s="7" t="n">
        <v>900.08</v>
      </c>
      <c r="M1118" s="6" t="s">
        <v>49</v>
      </c>
      <c r="N1118" s="6" t="s">
        <v>59</v>
      </c>
      <c r="O1118" s="6" t="n">
        <f aca="false">IF(TablaVentas[[#This Row],[Precio_unitario]]="","PENDIENTE",TablaVentas[[#This Row],[Unidades]]*TablaVentas[[#This Row],[Precio_unitario]]*(1-TablaVentas[[#This Row],[Descuento_pct]]))</f>
        <v>1259.207</v>
      </c>
      <c r="P1118" s="6" t="n">
        <f aca="false">IF(TablaVentas[[#This Row],[Costo_unitario]]="","PENDIENTE",TablaVentas[[#This Row],[Unidades]]*TablaVentas[[#This Row],[Costo_unitario]])</f>
        <v>900.08</v>
      </c>
      <c r="Q1118" s="6" t="n">
        <f aca="false">IF(OR(TablaVentas[[#This Row],[Ingreso_neto]]="PENDIENTE",TablaVentas[[#This Row],[Costo_total]]="PENDIENTE"),"PENDIENTE",TablaVentas[[#This Row],[Ingreso_neto]]-TablaVentas[[#This Row],[Costo_total]])</f>
        <v>359.127</v>
      </c>
    </row>
    <row r="1119" customFormat="false" ht="13.5" hidden="false" customHeight="false" outlineLevel="0" collapsed="false">
      <c r="A1119" s="1" t="s">
        <v>848</v>
      </c>
      <c r="B1119" s="1" t="n">
        <v>1</v>
      </c>
      <c r="C1119" s="5" t="n">
        <v>46270</v>
      </c>
      <c r="D1119" s="6" t="s">
        <v>346</v>
      </c>
      <c r="E1119" s="6" t="s">
        <v>91</v>
      </c>
      <c r="F1119" s="6" t="s">
        <v>46</v>
      </c>
      <c r="G1119" s="6" t="s">
        <v>47</v>
      </c>
      <c r="H1119" s="6" t="s">
        <v>89</v>
      </c>
      <c r="I1119" s="1" t="n">
        <v>4</v>
      </c>
      <c r="J1119" s="7" t="n">
        <v>14419.09</v>
      </c>
      <c r="K1119" s="8" t="n">
        <v>0.2</v>
      </c>
      <c r="L1119" s="7" t="n">
        <v>8576.05</v>
      </c>
      <c r="M1119" s="6" t="s">
        <v>123</v>
      </c>
      <c r="N1119" s="6" t="s">
        <v>50</v>
      </c>
      <c r="O1119" s="6" t="n">
        <f aca="false">IF(TablaVentas[[#This Row],[Precio_unitario]]="","PENDIENTE",TablaVentas[[#This Row],[Unidades]]*TablaVentas[[#This Row],[Precio_unitario]]*(1-TablaVentas[[#This Row],[Descuento_pct]]))</f>
        <v>46141.088</v>
      </c>
      <c r="P1119" s="6" t="n">
        <f aca="false">IF(TablaVentas[[#This Row],[Costo_unitario]]="","PENDIENTE",TablaVentas[[#This Row],[Unidades]]*TablaVentas[[#This Row],[Costo_unitario]])</f>
        <v>34304.2</v>
      </c>
      <c r="Q1119" s="6" t="n">
        <f aca="false">IF(OR(TablaVentas[[#This Row],[Ingreso_neto]]="PENDIENTE",TablaVentas[[#This Row],[Costo_total]]="PENDIENTE"),"PENDIENTE",TablaVentas[[#This Row],[Ingreso_neto]]-TablaVentas[[#This Row],[Costo_total]])</f>
        <v>11836.888</v>
      </c>
    </row>
    <row r="1120" customFormat="false" ht="13.5" hidden="false" customHeight="false" outlineLevel="0" collapsed="false">
      <c r="A1120" s="1" t="s">
        <v>848</v>
      </c>
      <c r="B1120" s="1" t="n">
        <v>2</v>
      </c>
      <c r="C1120" s="5" t="n">
        <v>46270</v>
      </c>
      <c r="D1120" s="6" t="s">
        <v>346</v>
      </c>
      <c r="E1120" s="6" t="s">
        <v>327</v>
      </c>
      <c r="F1120" s="6" t="s">
        <v>46</v>
      </c>
      <c r="G1120" s="6" t="s">
        <v>47</v>
      </c>
      <c r="H1120" s="6" t="s">
        <v>89</v>
      </c>
      <c r="I1120" s="1" t="n">
        <v>1</v>
      </c>
      <c r="J1120" s="7" t="n">
        <v>4827.89</v>
      </c>
      <c r="K1120" s="8" t="n">
        <v>0.1</v>
      </c>
      <c r="L1120" s="7" t="n">
        <v>3065.66</v>
      </c>
      <c r="M1120" s="6" t="s">
        <v>49</v>
      </c>
      <c r="N1120" s="6" t="s">
        <v>67</v>
      </c>
      <c r="O1120" s="6" t="n">
        <f aca="false">IF(TablaVentas[[#This Row],[Precio_unitario]]="","PENDIENTE",TablaVentas[[#This Row],[Unidades]]*TablaVentas[[#This Row],[Precio_unitario]]*(1-TablaVentas[[#This Row],[Descuento_pct]]))</f>
        <v>4345.101</v>
      </c>
      <c r="P1120" s="6" t="n">
        <f aca="false">IF(TablaVentas[[#This Row],[Costo_unitario]]="","PENDIENTE",TablaVentas[[#This Row],[Unidades]]*TablaVentas[[#This Row],[Costo_unitario]])</f>
        <v>3065.66</v>
      </c>
      <c r="Q1120" s="6" t="n">
        <f aca="false">IF(OR(TablaVentas[[#This Row],[Ingreso_neto]]="PENDIENTE",TablaVentas[[#This Row],[Costo_total]]="PENDIENTE"),"PENDIENTE",TablaVentas[[#This Row],[Ingreso_neto]]-TablaVentas[[#This Row],[Costo_total]])</f>
        <v>1279.441</v>
      </c>
    </row>
    <row r="1121" customFormat="false" ht="13.5" hidden="false" customHeight="false" outlineLevel="0" collapsed="false">
      <c r="A1121" s="1" t="s">
        <v>848</v>
      </c>
      <c r="B1121" s="1" t="n">
        <v>3</v>
      </c>
      <c r="C1121" s="5" t="n">
        <v>46270</v>
      </c>
      <c r="D1121" s="6" t="s">
        <v>346</v>
      </c>
      <c r="E1121" s="6" t="s">
        <v>147</v>
      </c>
      <c r="F1121" s="6" t="s">
        <v>46</v>
      </c>
      <c r="G1121" s="6" t="s">
        <v>47</v>
      </c>
      <c r="H1121" s="6" t="s">
        <v>89</v>
      </c>
      <c r="I1121" s="1" t="n">
        <v>1</v>
      </c>
      <c r="J1121" s="7" t="n">
        <v>3295.59</v>
      </c>
      <c r="K1121" s="8" t="n">
        <v>0</v>
      </c>
      <c r="L1121" s="7" t="n">
        <v>2427.63</v>
      </c>
      <c r="M1121" s="6" t="s">
        <v>49</v>
      </c>
      <c r="N1121" s="6" t="s">
        <v>52</v>
      </c>
      <c r="O1121" s="6" t="n">
        <f aca="false">IF(TablaVentas[[#This Row],[Precio_unitario]]="","PENDIENTE",TablaVentas[[#This Row],[Unidades]]*TablaVentas[[#This Row],[Precio_unitario]]*(1-TablaVentas[[#This Row],[Descuento_pct]]))</f>
        <v>3295.59</v>
      </c>
      <c r="P1121" s="6" t="n">
        <f aca="false">IF(TablaVentas[[#This Row],[Costo_unitario]]="","PENDIENTE",TablaVentas[[#This Row],[Unidades]]*TablaVentas[[#This Row],[Costo_unitario]])</f>
        <v>2427.63</v>
      </c>
      <c r="Q1121" s="6" t="n">
        <f aca="false">IF(OR(TablaVentas[[#This Row],[Ingreso_neto]]="PENDIENTE",TablaVentas[[#This Row],[Costo_total]]="PENDIENTE"),"PENDIENTE",TablaVentas[[#This Row],[Ingreso_neto]]-TablaVentas[[#This Row],[Costo_total]])</f>
        <v>867.96</v>
      </c>
    </row>
    <row r="1122" customFormat="false" ht="13.5" hidden="false" customHeight="false" outlineLevel="0" collapsed="false">
      <c r="A1122" s="1" t="s">
        <v>849</v>
      </c>
      <c r="B1122" s="1" t="n">
        <v>1</v>
      </c>
      <c r="C1122" s="5" t="n">
        <v>46209</v>
      </c>
      <c r="D1122" s="6" t="s">
        <v>746</v>
      </c>
      <c r="E1122" s="6" t="s">
        <v>72</v>
      </c>
      <c r="F1122" s="6" t="s">
        <v>46</v>
      </c>
      <c r="G1122" s="6" t="s">
        <v>57</v>
      </c>
      <c r="H1122" s="6" t="s">
        <v>136</v>
      </c>
      <c r="I1122" s="1" t="n">
        <v>8</v>
      </c>
      <c r="J1122" s="7" t="n">
        <v>12296.13</v>
      </c>
      <c r="K1122" s="8" t="n">
        <v>0</v>
      </c>
      <c r="L1122" s="7" t="n">
        <v>7328.02</v>
      </c>
      <c r="M1122" s="6" t="s">
        <v>49</v>
      </c>
      <c r="N1122" s="6" t="s">
        <v>59</v>
      </c>
      <c r="O1122" s="6" t="n">
        <f aca="false">IF(TablaVentas[[#This Row],[Precio_unitario]]="","PENDIENTE",TablaVentas[[#This Row],[Unidades]]*TablaVentas[[#This Row],[Precio_unitario]]*(1-TablaVentas[[#This Row],[Descuento_pct]]))</f>
        <v>98369.04</v>
      </c>
      <c r="P1122" s="6" t="n">
        <f aca="false">IF(TablaVentas[[#This Row],[Costo_unitario]]="","PENDIENTE",TablaVentas[[#This Row],[Unidades]]*TablaVentas[[#This Row],[Costo_unitario]])</f>
        <v>58624.16</v>
      </c>
      <c r="Q1122" s="6" t="n">
        <f aca="false">IF(OR(TablaVentas[[#This Row],[Ingreso_neto]]="PENDIENTE",TablaVentas[[#This Row],[Costo_total]]="PENDIENTE"),"PENDIENTE",TablaVentas[[#This Row],[Ingreso_neto]]-TablaVentas[[#This Row],[Costo_total]])</f>
        <v>39744.88</v>
      </c>
    </row>
    <row r="1123" customFormat="false" ht="13.5" hidden="false" customHeight="false" outlineLevel="0" collapsed="false">
      <c r="A1123" s="1" t="s">
        <v>849</v>
      </c>
      <c r="B1123" s="1" t="n">
        <v>2</v>
      </c>
      <c r="C1123" s="5" t="n">
        <v>46209</v>
      </c>
      <c r="D1123" s="6" t="s">
        <v>746</v>
      </c>
      <c r="E1123" s="6" t="s">
        <v>76</v>
      </c>
      <c r="F1123" s="6" t="s">
        <v>46</v>
      </c>
      <c r="G1123" s="6" t="s">
        <v>57</v>
      </c>
      <c r="H1123" s="6" t="s">
        <v>136</v>
      </c>
      <c r="I1123" s="1" t="n">
        <v>8</v>
      </c>
      <c r="J1123" s="7" t="n">
        <v>11691</v>
      </c>
      <c r="K1123" s="8" t="n">
        <v>0.15</v>
      </c>
      <c r="L1123" s="7" t="n">
        <v>10094.26</v>
      </c>
      <c r="M1123" s="6" t="s">
        <v>49</v>
      </c>
      <c r="N1123" s="6" t="s">
        <v>67</v>
      </c>
      <c r="O1123" s="6" t="n">
        <f aca="false">IF(TablaVentas[[#This Row],[Precio_unitario]]="","PENDIENTE",TablaVentas[[#This Row],[Unidades]]*TablaVentas[[#This Row],[Precio_unitario]]*(1-TablaVentas[[#This Row],[Descuento_pct]]))</f>
        <v>79498.8</v>
      </c>
      <c r="P1123" s="6" t="n">
        <f aca="false">IF(TablaVentas[[#This Row],[Costo_unitario]]="","PENDIENTE",TablaVentas[[#This Row],[Unidades]]*TablaVentas[[#This Row],[Costo_unitario]])</f>
        <v>80754.08</v>
      </c>
      <c r="Q1123" s="6" t="n">
        <f aca="false">IF(OR(TablaVentas[[#This Row],[Ingreso_neto]]="PENDIENTE",TablaVentas[[#This Row],[Costo_total]]="PENDIENTE"),"PENDIENTE",TablaVentas[[#This Row],[Ingreso_neto]]-TablaVentas[[#This Row],[Costo_total]])</f>
        <v>-1255.28</v>
      </c>
    </row>
    <row r="1124" customFormat="false" ht="13.5" hidden="false" customHeight="false" outlineLevel="0" collapsed="false">
      <c r="A1124" s="1" t="s">
        <v>849</v>
      </c>
      <c r="B1124" s="1" t="n">
        <v>3</v>
      </c>
      <c r="C1124" s="5" t="n">
        <v>46209</v>
      </c>
      <c r="D1124" s="6" t="s">
        <v>746</v>
      </c>
      <c r="E1124" s="6" t="s">
        <v>132</v>
      </c>
      <c r="F1124" s="6" t="s">
        <v>46</v>
      </c>
      <c r="G1124" s="6" t="s">
        <v>57</v>
      </c>
      <c r="H1124" s="6" t="s">
        <v>136</v>
      </c>
      <c r="I1124" s="1" t="n">
        <v>3</v>
      </c>
      <c r="J1124" s="7" t="n">
        <v>1628.31</v>
      </c>
      <c r="K1124" s="8" t="n">
        <v>0</v>
      </c>
      <c r="L1124" s="7" t="n">
        <v>1044.32</v>
      </c>
      <c r="M1124" s="6" t="s">
        <v>49</v>
      </c>
      <c r="N1124" s="6" t="s">
        <v>50</v>
      </c>
      <c r="O1124" s="6" t="n">
        <f aca="false">IF(TablaVentas[[#This Row],[Precio_unitario]]="","PENDIENTE",TablaVentas[[#This Row],[Unidades]]*TablaVentas[[#This Row],[Precio_unitario]]*(1-TablaVentas[[#This Row],[Descuento_pct]]))</f>
        <v>4884.93</v>
      </c>
      <c r="P1124" s="6" t="n">
        <f aca="false">IF(TablaVentas[[#This Row],[Costo_unitario]]="","PENDIENTE",TablaVentas[[#This Row],[Unidades]]*TablaVentas[[#This Row],[Costo_unitario]])</f>
        <v>3132.96</v>
      </c>
      <c r="Q1124" s="6" t="n">
        <f aca="false">IF(OR(TablaVentas[[#This Row],[Ingreso_neto]]="PENDIENTE",TablaVentas[[#This Row],[Costo_total]]="PENDIENTE"),"PENDIENTE",TablaVentas[[#This Row],[Ingreso_neto]]-TablaVentas[[#This Row],[Costo_total]])</f>
        <v>1751.97</v>
      </c>
    </row>
    <row r="1125" customFormat="false" ht="13.5" hidden="false" customHeight="false" outlineLevel="0" collapsed="false">
      <c r="A1125" s="1" t="s">
        <v>849</v>
      </c>
      <c r="B1125" s="1" t="n">
        <v>4</v>
      </c>
      <c r="C1125" s="5" t="n">
        <v>46209</v>
      </c>
      <c r="D1125" s="6" t="s">
        <v>746</v>
      </c>
      <c r="E1125" s="6" t="s">
        <v>327</v>
      </c>
      <c r="F1125" s="6" t="s">
        <v>46</v>
      </c>
      <c r="G1125" s="6" t="s">
        <v>57</v>
      </c>
      <c r="H1125" s="6" t="s">
        <v>136</v>
      </c>
      <c r="I1125" s="1" t="n">
        <v>1</v>
      </c>
      <c r="J1125" s="7" t="n">
        <v>4889.41</v>
      </c>
      <c r="K1125" s="8" t="n">
        <v>0</v>
      </c>
      <c r="L1125" s="7" t="n">
        <v>3065.66</v>
      </c>
      <c r="M1125" s="6" t="s">
        <v>69</v>
      </c>
      <c r="N1125" s="6" t="s">
        <v>59</v>
      </c>
      <c r="O1125" s="6" t="n">
        <f aca="false">IF(TablaVentas[[#This Row],[Precio_unitario]]="","PENDIENTE",TablaVentas[[#This Row],[Unidades]]*TablaVentas[[#This Row],[Precio_unitario]]*(1-TablaVentas[[#This Row],[Descuento_pct]]))</f>
        <v>4889.41</v>
      </c>
      <c r="P1125" s="6" t="n">
        <f aca="false">IF(TablaVentas[[#This Row],[Costo_unitario]]="","PENDIENTE",TablaVentas[[#This Row],[Unidades]]*TablaVentas[[#This Row],[Costo_unitario]])</f>
        <v>3065.66</v>
      </c>
      <c r="Q1125" s="6" t="n">
        <f aca="false">IF(OR(TablaVentas[[#This Row],[Ingreso_neto]]="PENDIENTE",TablaVentas[[#This Row],[Costo_total]]="PENDIENTE"),"PENDIENTE",TablaVentas[[#This Row],[Ingreso_neto]]-TablaVentas[[#This Row],[Costo_total]])</f>
        <v>1823.75</v>
      </c>
    </row>
    <row r="1126" customFormat="false" ht="13.5" hidden="false" customHeight="false" outlineLevel="0" collapsed="false">
      <c r="A1126" s="1" t="s">
        <v>850</v>
      </c>
      <c r="B1126" s="1" t="n">
        <v>1</v>
      </c>
      <c r="C1126" s="5" t="n">
        <v>46034</v>
      </c>
      <c r="D1126" s="6" t="s">
        <v>262</v>
      </c>
      <c r="E1126" s="6" t="s">
        <v>300</v>
      </c>
      <c r="F1126" s="6" t="s">
        <v>73</v>
      </c>
      <c r="G1126" s="6" t="s">
        <v>57</v>
      </c>
      <c r="H1126" s="6" t="s">
        <v>48</v>
      </c>
      <c r="I1126" s="1" t="n">
        <v>3</v>
      </c>
      <c r="J1126" s="7" t="n">
        <v>1075.68</v>
      </c>
      <c r="K1126" s="8" t="n">
        <v>0.1</v>
      </c>
      <c r="L1126" s="7" t="n">
        <v>936.52</v>
      </c>
      <c r="M1126" s="6" t="s">
        <v>49</v>
      </c>
      <c r="N1126" s="6" t="s">
        <v>50</v>
      </c>
      <c r="O1126" s="6" t="n">
        <f aca="false">IF(TablaVentas[[#This Row],[Precio_unitario]]="","PENDIENTE",TablaVentas[[#This Row],[Unidades]]*TablaVentas[[#This Row],[Precio_unitario]]*(1-TablaVentas[[#This Row],[Descuento_pct]]))</f>
        <v>2904.336</v>
      </c>
      <c r="P1126" s="6" t="n">
        <f aca="false">IF(TablaVentas[[#This Row],[Costo_unitario]]="","PENDIENTE",TablaVentas[[#This Row],[Unidades]]*TablaVentas[[#This Row],[Costo_unitario]])</f>
        <v>2809.56</v>
      </c>
      <c r="Q1126" s="6" t="n">
        <f aca="false">IF(OR(TablaVentas[[#This Row],[Ingreso_neto]]="PENDIENTE",TablaVentas[[#This Row],[Costo_total]]="PENDIENTE"),"PENDIENTE",TablaVentas[[#This Row],[Ingreso_neto]]-TablaVentas[[#This Row],[Costo_total]])</f>
        <v>94.7760000000003</v>
      </c>
    </row>
    <row r="1127" customFormat="false" ht="13.5" hidden="false" customHeight="false" outlineLevel="0" collapsed="false">
      <c r="A1127" s="1" t="s">
        <v>851</v>
      </c>
      <c r="B1127" s="1" t="n">
        <v>1</v>
      </c>
      <c r="C1127" s="5" t="n">
        <v>46096</v>
      </c>
      <c r="D1127" s="6" t="s">
        <v>44</v>
      </c>
      <c r="E1127" s="6" t="s">
        <v>126</v>
      </c>
      <c r="F1127" s="6" t="s">
        <v>63</v>
      </c>
      <c r="G1127" s="6" t="s">
        <v>47</v>
      </c>
      <c r="H1127" s="6" t="s">
        <v>109</v>
      </c>
      <c r="I1127" s="1" t="n">
        <v>2</v>
      </c>
      <c r="J1127" s="7" t="n">
        <v>8398.32</v>
      </c>
      <c r="K1127" s="8" t="n">
        <v>0.05</v>
      </c>
      <c r="L1127" s="7" t="n">
        <v>6981.94</v>
      </c>
      <c r="M1127" s="6" t="s">
        <v>49</v>
      </c>
      <c r="N1127" s="6" t="s">
        <v>50</v>
      </c>
      <c r="O1127" s="6" t="n">
        <f aca="false">IF(TablaVentas[[#This Row],[Precio_unitario]]="","PENDIENTE",TablaVentas[[#This Row],[Unidades]]*TablaVentas[[#This Row],[Precio_unitario]]*(1-TablaVentas[[#This Row],[Descuento_pct]]))</f>
        <v>15956.808</v>
      </c>
      <c r="P1127" s="6" t="n">
        <f aca="false">IF(TablaVentas[[#This Row],[Costo_unitario]]="","PENDIENTE",TablaVentas[[#This Row],[Unidades]]*TablaVentas[[#This Row],[Costo_unitario]])</f>
        <v>13963.88</v>
      </c>
      <c r="Q1127" s="6" t="n">
        <f aca="false">IF(OR(TablaVentas[[#This Row],[Ingreso_neto]]="PENDIENTE",TablaVentas[[#This Row],[Costo_total]]="PENDIENTE"),"PENDIENTE",TablaVentas[[#This Row],[Ingreso_neto]]-TablaVentas[[#This Row],[Costo_total]])</f>
        <v>1992.928</v>
      </c>
    </row>
    <row r="1128" customFormat="false" ht="13.5" hidden="false" customHeight="false" outlineLevel="0" collapsed="false">
      <c r="A1128" s="1" t="s">
        <v>852</v>
      </c>
      <c r="B1128" s="1" t="n">
        <v>1</v>
      </c>
      <c r="C1128" s="5" t="n">
        <v>46282</v>
      </c>
      <c r="D1128" s="6" t="s">
        <v>799</v>
      </c>
      <c r="E1128" s="6" t="s">
        <v>96</v>
      </c>
      <c r="F1128" s="6" t="s">
        <v>63</v>
      </c>
      <c r="G1128" s="6" t="s">
        <v>57</v>
      </c>
      <c r="H1128" s="6" t="s">
        <v>131</v>
      </c>
      <c r="I1128" s="1" t="n">
        <v>2</v>
      </c>
      <c r="J1128" s="7" t="n">
        <v>11749.71</v>
      </c>
      <c r="K1128" s="8" t="n">
        <v>0.15</v>
      </c>
      <c r="L1128" s="7" t="n">
        <v>9118.07</v>
      </c>
      <c r="M1128" s="6" t="s">
        <v>123</v>
      </c>
      <c r="N1128" s="6" t="s">
        <v>67</v>
      </c>
      <c r="O1128" s="6" t="n">
        <f aca="false">IF(TablaVentas[[#This Row],[Precio_unitario]]="","PENDIENTE",TablaVentas[[#This Row],[Unidades]]*TablaVentas[[#This Row],[Precio_unitario]]*(1-TablaVentas[[#This Row],[Descuento_pct]]))</f>
        <v>19974.507</v>
      </c>
      <c r="P1128" s="6" t="n">
        <f aca="false">IF(TablaVentas[[#This Row],[Costo_unitario]]="","PENDIENTE",TablaVentas[[#This Row],[Unidades]]*TablaVentas[[#This Row],[Costo_unitario]])</f>
        <v>18236.14</v>
      </c>
      <c r="Q1128" s="6" t="n">
        <f aca="false">IF(OR(TablaVentas[[#This Row],[Ingreso_neto]]="PENDIENTE",TablaVentas[[#This Row],[Costo_total]]="PENDIENTE"),"PENDIENTE",TablaVentas[[#This Row],[Ingreso_neto]]-TablaVentas[[#This Row],[Costo_total]])</f>
        <v>1738.367</v>
      </c>
    </row>
    <row r="1129" customFormat="false" ht="13.5" hidden="false" customHeight="false" outlineLevel="0" collapsed="false">
      <c r="A1129" s="1" t="s">
        <v>853</v>
      </c>
      <c r="B1129" s="1" t="n">
        <v>1</v>
      </c>
      <c r="C1129" s="5" t="n">
        <v>46265</v>
      </c>
      <c r="D1129" s="6" t="s">
        <v>87</v>
      </c>
      <c r="E1129" s="6" t="s">
        <v>105</v>
      </c>
      <c r="F1129" s="6" t="s">
        <v>84</v>
      </c>
      <c r="G1129" s="6" t="s">
        <v>47</v>
      </c>
      <c r="H1129" s="6" t="s">
        <v>109</v>
      </c>
      <c r="I1129" s="1" t="n">
        <v>1</v>
      </c>
      <c r="J1129" s="7" t="n">
        <v>17852.9</v>
      </c>
      <c r="K1129" s="8" t="n">
        <v>0</v>
      </c>
      <c r="L1129" s="7" t="n">
        <v>9881</v>
      </c>
      <c r="M1129" s="6" t="s">
        <v>49</v>
      </c>
      <c r="N1129" s="6" t="s">
        <v>59</v>
      </c>
      <c r="O1129" s="6" t="n">
        <f aca="false">IF(TablaVentas[[#This Row],[Precio_unitario]]="","PENDIENTE",TablaVentas[[#This Row],[Unidades]]*TablaVentas[[#This Row],[Precio_unitario]]*(1-TablaVentas[[#This Row],[Descuento_pct]]))</f>
        <v>17852.9</v>
      </c>
      <c r="P1129" s="6" t="n">
        <f aca="false">IF(TablaVentas[[#This Row],[Costo_unitario]]="","PENDIENTE",TablaVentas[[#This Row],[Unidades]]*TablaVentas[[#This Row],[Costo_unitario]])</f>
        <v>9881</v>
      </c>
      <c r="Q1129" s="6" t="n">
        <f aca="false">IF(OR(TablaVentas[[#This Row],[Ingreso_neto]]="PENDIENTE",TablaVentas[[#This Row],[Costo_total]]="PENDIENTE"),"PENDIENTE",TablaVentas[[#This Row],[Ingreso_neto]]-TablaVentas[[#This Row],[Costo_total]])</f>
        <v>7971.9</v>
      </c>
    </row>
    <row r="1130" customFormat="false" ht="13.5" hidden="false" customHeight="false" outlineLevel="0" collapsed="false">
      <c r="A1130" s="1" t="s">
        <v>853</v>
      </c>
      <c r="B1130" s="1" t="n">
        <v>2</v>
      </c>
      <c r="C1130" s="5" t="n">
        <v>46265</v>
      </c>
      <c r="D1130" s="6" t="s">
        <v>87</v>
      </c>
      <c r="E1130" s="6" t="s">
        <v>147</v>
      </c>
      <c r="F1130" s="6" t="s">
        <v>84</v>
      </c>
      <c r="G1130" s="6" t="s">
        <v>47</v>
      </c>
      <c r="H1130" s="6" t="s">
        <v>109</v>
      </c>
      <c r="I1130" s="1" t="n">
        <v>1</v>
      </c>
      <c r="J1130" s="7" t="n">
        <v>3168.2</v>
      </c>
      <c r="K1130" s="8" t="n">
        <v>0.05</v>
      </c>
      <c r="L1130" s="7" t="n">
        <v>2427.63</v>
      </c>
      <c r="M1130" s="6" t="s">
        <v>49</v>
      </c>
      <c r="N1130" s="6" t="s">
        <v>67</v>
      </c>
      <c r="O1130" s="6" t="n">
        <f aca="false">IF(TablaVentas[[#This Row],[Precio_unitario]]="","PENDIENTE",TablaVentas[[#This Row],[Unidades]]*TablaVentas[[#This Row],[Precio_unitario]]*(1-TablaVentas[[#This Row],[Descuento_pct]]))</f>
        <v>3009.79</v>
      </c>
      <c r="P1130" s="6" t="n">
        <f aca="false">IF(TablaVentas[[#This Row],[Costo_unitario]]="","PENDIENTE",TablaVentas[[#This Row],[Unidades]]*TablaVentas[[#This Row],[Costo_unitario]])</f>
        <v>2427.63</v>
      </c>
      <c r="Q1130" s="6" t="n">
        <f aca="false">IF(OR(TablaVentas[[#This Row],[Ingreso_neto]]="PENDIENTE",TablaVentas[[#This Row],[Costo_total]]="PENDIENTE"),"PENDIENTE",TablaVentas[[#This Row],[Ingreso_neto]]-TablaVentas[[#This Row],[Costo_total]])</f>
        <v>582.159999999999</v>
      </c>
    </row>
    <row r="1131" customFormat="false" ht="13.5" hidden="false" customHeight="false" outlineLevel="0" collapsed="false">
      <c r="A1131" s="1" t="s">
        <v>853</v>
      </c>
      <c r="B1131" s="1" t="n">
        <v>3</v>
      </c>
      <c r="C1131" s="5" t="n">
        <v>46265</v>
      </c>
      <c r="D1131" s="6" t="s">
        <v>87</v>
      </c>
      <c r="E1131" s="6" t="s">
        <v>210</v>
      </c>
      <c r="F1131" s="6" t="s">
        <v>84</v>
      </c>
      <c r="G1131" s="6" t="s">
        <v>47</v>
      </c>
      <c r="H1131" s="6" t="s">
        <v>109</v>
      </c>
      <c r="I1131" s="1" t="n">
        <v>4</v>
      </c>
      <c r="J1131" s="7" t="n">
        <v>1749.93</v>
      </c>
      <c r="K1131" s="8" t="n">
        <v>0.2</v>
      </c>
      <c r="L1131" s="7" t="n">
        <v>1252.84</v>
      </c>
      <c r="M1131" s="6" t="s">
        <v>49</v>
      </c>
      <c r="N1131" s="6" t="s">
        <v>67</v>
      </c>
      <c r="O1131" s="6" t="n">
        <f aca="false">IF(TablaVentas[[#This Row],[Precio_unitario]]="","PENDIENTE",TablaVentas[[#This Row],[Unidades]]*TablaVentas[[#This Row],[Precio_unitario]]*(1-TablaVentas[[#This Row],[Descuento_pct]]))</f>
        <v>5599.776</v>
      </c>
      <c r="P1131" s="6" t="n">
        <f aca="false">IF(TablaVentas[[#This Row],[Costo_unitario]]="","PENDIENTE",TablaVentas[[#This Row],[Unidades]]*TablaVentas[[#This Row],[Costo_unitario]])</f>
        <v>5011.36</v>
      </c>
      <c r="Q1131" s="6" t="n">
        <f aca="false">IF(OR(TablaVentas[[#This Row],[Ingreso_neto]]="PENDIENTE",TablaVentas[[#This Row],[Costo_total]]="PENDIENTE"),"PENDIENTE",TablaVentas[[#This Row],[Ingreso_neto]]-TablaVentas[[#This Row],[Costo_total]])</f>
        <v>588.416000000001</v>
      </c>
    </row>
    <row r="1132" customFormat="false" ht="13.5" hidden="false" customHeight="false" outlineLevel="0" collapsed="false">
      <c r="A1132" s="1" t="s">
        <v>854</v>
      </c>
      <c r="B1132" s="1" t="n">
        <v>1</v>
      </c>
      <c r="C1132" s="5" t="n">
        <v>46061</v>
      </c>
      <c r="D1132" s="6" t="s">
        <v>259</v>
      </c>
      <c r="E1132" s="6" t="s">
        <v>126</v>
      </c>
      <c r="F1132" s="6" t="s">
        <v>84</v>
      </c>
      <c r="G1132" s="6" t="s">
        <v>64</v>
      </c>
      <c r="H1132" s="6" t="s">
        <v>191</v>
      </c>
      <c r="I1132" s="1" t="n">
        <v>3</v>
      </c>
      <c r="J1132" s="7" t="n">
        <v>9072.03</v>
      </c>
      <c r="K1132" s="8" t="n">
        <v>0</v>
      </c>
      <c r="L1132" s="7" t="n">
        <v>6981.94</v>
      </c>
      <c r="M1132" s="6" t="s">
        <v>123</v>
      </c>
      <c r="N1132" s="6" t="s">
        <v>59</v>
      </c>
      <c r="O1132" s="6" t="n">
        <f aca="false">IF(TablaVentas[[#This Row],[Precio_unitario]]="","PENDIENTE",TablaVentas[[#This Row],[Unidades]]*TablaVentas[[#This Row],[Precio_unitario]]*(1-TablaVentas[[#This Row],[Descuento_pct]]))</f>
        <v>27216.09</v>
      </c>
      <c r="P1132" s="6" t="n">
        <f aca="false">IF(TablaVentas[[#This Row],[Costo_unitario]]="","PENDIENTE",TablaVentas[[#This Row],[Unidades]]*TablaVentas[[#This Row],[Costo_unitario]])</f>
        <v>20945.82</v>
      </c>
      <c r="Q1132" s="6" t="n">
        <f aca="false">IF(OR(TablaVentas[[#This Row],[Ingreso_neto]]="PENDIENTE",TablaVentas[[#This Row],[Costo_total]]="PENDIENTE"),"PENDIENTE",TablaVentas[[#This Row],[Ingreso_neto]]-TablaVentas[[#This Row],[Costo_total]])</f>
        <v>6270.27</v>
      </c>
    </row>
    <row r="1133" customFormat="false" ht="13.5" hidden="false" customHeight="false" outlineLevel="0" collapsed="false">
      <c r="A1133" s="1" t="s">
        <v>854</v>
      </c>
      <c r="B1133" s="1" t="n">
        <v>2</v>
      </c>
      <c r="C1133" s="5" t="n">
        <v>46061</v>
      </c>
      <c r="D1133" s="6" t="s">
        <v>259</v>
      </c>
      <c r="E1133" s="6" t="s">
        <v>219</v>
      </c>
      <c r="F1133" s="6" t="s">
        <v>84</v>
      </c>
      <c r="G1133" s="6" t="s">
        <v>64</v>
      </c>
      <c r="H1133" s="6" t="s">
        <v>191</v>
      </c>
      <c r="I1133" s="1" t="n">
        <v>1</v>
      </c>
      <c r="J1133" s="7" t="n">
        <v>3916.72</v>
      </c>
      <c r="K1133" s="8" t="n">
        <v>0</v>
      </c>
      <c r="L1133" s="7" t="n">
        <v>2157.55</v>
      </c>
      <c r="M1133" s="6" t="s">
        <v>49</v>
      </c>
      <c r="N1133" s="6" t="s">
        <v>59</v>
      </c>
      <c r="O1133" s="6" t="n">
        <f aca="false">IF(TablaVentas[[#This Row],[Precio_unitario]]="","PENDIENTE",TablaVentas[[#This Row],[Unidades]]*TablaVentas[[#This Row],[Precio_unitario]]*(1-TablaVentas[[#This Row],[Descuento_pct]]))</f>
        <v>3916.72</v>
      </c>
      <c r="P1133" s="6" t="n">
        <f aca="false">IF(TablaVentas[[#This Row],[Costo_unitario]]="","PENDIENTE",TablaVentas[[#This Row],[Unidades]]*TablaVentas[[#This Row],[Costo_unitario]])</f>
        <v>2157.55</v>
      </c>
      <c r="Q1133" s="6" t="n">
        <f aca="false">IF(OR(TablaVentas[[#This Row],[Ingreso_neto]]="PENDIENTE",TablaVentas[[#This Row],[Costo_total]]="PENDIENTE"),"PENDIENTE",TablaVentas[[#This Row],[Ingreso_neto]]-TablaVentas[[#This Row],[Costo_total]])</f>
        <v>1759.17</v>
      </c>
    </row>
    <row r="1134" customFormat="false" ht="13.5" hidden="false" customHeight="false" outlineLevel="0" collapsed="false">
      <c r="A1134" s="1" t="s">
        <v>855</v>
      </c>
      <c r="B1134" s="1" t="n">
        <v>1</v>
      </c>
      <c r="C1134" s="5" t="n">
        <v>46284</v>
      </c>
      <c r="D1134" s="6" t="s">
        <v>479</v>
      </c>
      <c r="E1134" s="6" t="s">
        <v>68</v>
      </c>
      <c r="F1134" s="6" t="s">
        <v>46</v>
      </c>
      <c r="G1134" s="6" t="s">
        <v>64</v>
      </c>
      <c r="H1134" s="6" t="s">
        <v>109</v>
      </c>
      <c r="I1134" s="1" t="n">
        <v>1</v>
      </c>
      <c r="J1134" s="7" t="n">
        <v>4258.06</v>
      </c>
      <c r="K1134" s="8" t="n">
        <v>0</v>
      </c>
      <c r="L1134" s="7" t="n">
        <v>2554.06</v>
      </c>
      <c r="M1134" s="6" t="s">
        <v>49</v>
      </c>
      <c r="N1134" s="6" t="s">
        <v>59</v>
      </c>
      <c r="O1134" s="6" t="n">
        <f aca="false">IF(TablaVentas[[#This Row],[Precio_unitario]]="","PENDIENTE",TablaVentas[[#This Row],[Unidades]]*TablaVentas[[#This Row],[Precio_unitario]]*(1-TablaVentas[[#This Row],[Descuento_pct]]))</f>
        <v>4258.06</v>
      </c>
      <c r="P1134" s="6" t="n">
        <f aca="false">IF(TablaVentas[[#This Row],[Costo_unitario]]="","PENDIENTE",TablaVentas[[#This Row],[Unidades]]*TablaVentas[[#This Row],[Costo_unitario]])</f>
        <v>2554.06</v>
      </c>
      <c r="Q1134" s="6" t="n">
        <f aca="false">IF(OR(TablaVentas[[#This Row],[Ingreso_neto]]="PENDIENTE",TablaVentas[[#This Row],[Costo_total]]="PENDIENTE"),"PENDIENTE",TablaVentas[[#This Row],[Ingreso_neto]]-TablaVentas[[#This Row],[Costo_total]])</f>
        <v>1704</v>
      </c>
    </row>
    <row r="1135" customFormat="false" ht="13.5" hidden="false" customHeight="false" outlineLevel="0" collapsed="false">
      <c r="A1135" s="1" t="s">
        <v>855</v>
      </c>
      <c r="B1135" s="1" t="n">
        <v>2</v>
      </c>
      <c r="C1135" s="5" t="n">
        <v>46284</v>
      </c>
      <c r="D1135" s="6" t="s">
        <v>479</v>
      </c>
      <c r="E1135" s="6" t="s">
        <v>360</v>
      </c>
      <c r="F1135" s="6" t="s">
        <v>46</v>
      </c>
      <c r="G1135" s="6" t="s">
        <v>64</v>
      </c>
      <c r="H1135" s="6" t="s">
        <v>109</v>
      </c>
      <c r="I1135" s="1" t="n">
        <v>1</v>
      </c>
      <c r="J1135" s="7" t="n">
        <v>2006.19</v>
      </c>
      <c r="K1135" s="8" t="n">
        <v>0</v>
      </c>
      <c r="L1135" s="7" t="n">
        <v>1479.71</v>
      </c>
      <c r="M1135" s="6" t="s">
        <v>49</v>
      </c>
      <c r="N1135" s="6" t="s">
        <v>52</v>
      </c>
      <c r="O1135" s="6" t="n">
        <f aca="false">IF(TablaVentas[[#This Row],[Precio_unitario]]="","PENDIENTE",TablaVentas[[#This Row],[Unidades]]*TablaVentas[[#This Row],[Precio_unitario]]*(1-TablaVentas[[#This Row],[Descuento_pct]]))</f>
        <v>2006.19</v>
      </c>
      <c r="P1135" s="6" t="n">
        <f aca="false">IF(TablaVentas[[#This Row],[Costo_unitario]]="","PENDIENTE",TablaVentas[[#This Row],[Unidades]]*TablaVentas[[#This Row],[Costo_unitario]])</f>
        <v>1479.71</v>
      </c>
      <c r="Q1135" s="6" t="n">
        <f aca="false">IF(OR(TablaVentas[[#This Row],[Ingreso_neto]]="PENDIENTE",TablaVentas[[#This Row],[Costo_total]]="PENDIENTE"),"PENDIENTE",TablaVentas[[#This Row],[Ingreso_neto]]-TablaVentas[[#This Row],[Costo_total]])</f>
        <v>526.48</v>
      </c>
    </row>
    <row r="1136" customFormat="false" ht="13.5" hidden="false" customHeight="false" outlineLevel="0" collapsed="false">
      <c r="A1136" s="1" t="s">
        <v>856</v>
      </c>
      <c r="B1136" s="1" t="n">
        <v>1</v>
      </c>
      <c r="C1136" s="5" t="n">
        <v>46293</v>
      </c>
      <c r="D1136" s="6" t="s">
        <v>620</v>
      </c>
      <c r="E1136" s="6" t="s">
        <v>146</v>
      </c>
      <c r="F1136" s="6" t="s">
        <v>46</v>
      </c>
      <c r="G1136" s="6" t="s">
        <v>47</v>
      </c>
      <c r="H1136" s="6" t="s">
        <v>136</v>
      </c>
      <c r="I1136" s="1" t="n">
        <v>1</v>
      </c>
      <c r="J1136" s="7" t="n">
        <v>9116.29</v>
      </c>
      <c r="K1136" s="8" t="n">
        <v>0.2</v>
      </c>
      <c r="L1136" s="7" t="n">
        <v>8002.16</v>
      </c>
      <c r="M1136" s="6" t="s">
        <v>49</v>
      </c>
      <c r="N1136" s="6" t="s">
        <v>52</v>
      </c>
      <c r="O1136" s="6" t="n">
        <f aca="false">IF(TablaVentas[[#This Row],[Precio_unitario]]="","PENDIENTE",TablaVentas[[#This Row],[Unidades]]*TablaVentas[[#This Row],[Precio_unitario]]*(1-TablaVentas[[#This Row],[Descuento_pct]]))</f>
        <v>7293.032</v>
      </c>
      <c r="P1136" s="6" t="n">
        <f aca="false">IF(TablaVentas[[#This Row],[Costo_unitario]]="","PENDIENTE",TablaVentas[[#This Row],[Unidades]]*TablaVentas[[#This Row],[Costo_unitario]])</f>
        <v>8002.16</v>
      </c>
      <c r="Q1136" s="6" t="n">
        <f aca="false">IF(OR(TablaVentas[[#This Row],[Ingreso_neto]]="PENDIENTE",TablaVentas[[#This Row],[Costo_total]]="PENDIENTE"),"PENDIENTE",TablaVentas[[#This Row],[Ingreso_neto]]-TablaVentas[[#This Row],[Costo_total]])</f>
        <v>-709.127999999999</v>
      </c>
    </row>
    <row r="1137" customFormat="false" ht="13.5" hidden="false" customHeight="false" outlineLevel="0" collapsed="false">
      <c r="A1137" s="1" t="s">
        <v>857</v>
      </c>
      <c r="B1137" s="1" t="n">
        <v>1</v>
      </c>
      <c r="C1137" s="5" t="n">
        <v>46060</v>
      </c>
      <c r="D1137" s="6" t="s">
        <v>485</v>
      </c>
      <c r="E1137" s="6" t="s">
        <v>77</v>
      </c>
      <c r="F1137" s="6" t="s">
        <v>46</v>
      </c>
      <c r="G1137" s="6" t="s">
        <v>64</v>
      </c>
      <c r="H1137" s="6" t="s">
        <v>65</v>
      </c>
      <c r="I1137" s="1" t="n">
        <v>5</v>
      </c>
      <c r="J1137" s="7" t="n">
        <v>14568.28</v>
      </c>
      <c r="K1137" s="8" t="n">
        <v>0</v>
      </c>
      <c r="L1137" s="7" t="n">
        <v>10571.25</v>
      </c>
      <c r="M1137" s="6" t="s">
        <v>49</v>
      </c>
      <c r="N1137" s="6" t="s">
        <v>50</v>
      </c>
      <c r="O1137" s="6" t="n">
        <f aca="false">IF(TablaVentas[[#This Row],[Precio_unitario]]="","PENDIENTE",TablaVentas[[#This Row],[Unidades]]*TablaVentas[[#This Row],[Precio_unitario]]*(1-TablaVentas[[#This Row],[Descuento_pct]]))</f>
        <v>72841.4</v>
      </c>
      <c r="P1137" s="6" t="n">
        <f aca="false">IF(TablaVentas[[#This Row],[Costo_unitario]]="","PENDIENTE",TablaVentas[[#This Row],[Unidades]]*TablaVentas[[#This Row],[Costo_unitario]])</f>
        <v>52856.25</v>
      </c>
      <c r="Q1137" s="6" t="n">
        <f aca="false">IF(OR(TablaVentas[[#This Row],[Ingreso_neto]]="PENDIENTE",TablaVentas[[#This Row],[Costo_total]]="PENDIENTE"),"PENDIENTE",TablaVentas[[#This Row],[Ingreso_neto]]-TablaVentas[[#This Row],[Costo_total]])</f>
        <v>19985.15</v>
      </c>
    </row>
    <row r="1138" customFormat="false" ht="13.5" hidden="false" customHeight="false" outlineLevel="0" collapsed="false">
      <c r="A1138" s="1" t="s">
        <v>857</v>
      </c>
      <c r="B1138" s="1" t="n">
        <v>2</v>
      </c>
      <c r="C1138" s="5" t="n">
        <v>46060</v>
      </c>
      <c r="D1138" s="6" t="s">
        <v>485</v>
      </c>
      <c r="E1138" s="6" t="s">
        <v>234</v>
      </c>
      <c r="F1138" s="6" t="s">
        <v>46</v>
      </c>
      <c r="G1138" s="6" t="s">
        <v>64</v>
      </c>
      <c r="H1138" s="6" t="s">
        <v>65</v>
      </c>
      <c r="I1138" s="1" t="n">
        <v>5</v>
      </c>
      <c r="J1138" s="7" t="n">
        <v>8711.1</v>
      </c>
      <c r="K1138" s="8" t="n">
        <v>0.2</v>
      </c>
      <c r="L1138" s="7" t="n">
        <v>6255.13</v>
      </c>
      <c r="M1138" s="6" t="s">
        <v>49</v>
      </c>
      <c r="N1138" s="6" t="s">
        <v>50</v>
      </c>
      <c r="O1138" s="6" t="n">
        <f aca="false">IF(TablaVentas[[#This Row],[Precio_unitario]]="","PENDIENTE",TablaVentas[[#This Row],[Unidades]]*TablaVentas[[#This Row],[Precio_unitario]]*(1-TablaVentas[[#This Row],[Descuento_pct]]))</f>
        <v>34844.4</v>
      </c>
      <c r="P1138" s="6" t="n">
        <f aca="false">IF(TablaVentas[[#This Row],[Costo_unitario]]="","PENDIENTE",TablaVentas[[#This Row],[Unidades]]*TablaVentas[[#This Row],[Costo_unitario]])</f>
        <v>31275.65</v>
      </c>
      <c r="Q1138" s="6" t="n">
        <f aca="false">IF(OR(TablaVentas[[#This Row],[Ingreso_neto]]="PENDIENTE",TablaVentas[[#This Row],[Costo_total]]="PENDIENTE"),"PENDIENTE",TablaVentas[[#This Row],[Ingreso_neto]]-TablaVentas[[#This Row],[Costo_total]])</f>
        <v>3568.75</v>
      </c>
    </row>
    <row r="1139" customFormat="false" ht="13.5" hidden="false" customHeight="false" outlineLevel="0" collapsed="false">
      <c r="A1139" s="1" t="s">
        <v>857</v>
      </c>
      <c r="B1139" s="1" t="n">
        <v>3</v>
      </c>
      <c r="C1139" s="5" t="n">
        <v>46060</v>
      </c>
      <c r="D1139" s="6" t="s">
        <v>485</v>
      </c>
      <c r="E1139" s="6" t="s">
        <v>260</v>
      </c>
      <c r="F1139" s="6" t="s">
        <v>46</v>
      </c>
      <c r="G1139" s="6" t="s">
        <v>64</v>
      </c>
      <c r="H1139" s="6" t="s">
        <v>65</v>
      </c>
      <c r="I1139" s="1" t="n">
        <v>3</v>
      </c>
      <c r="J1139" s="7" t="n">
        <v>2957.62</v>
      </c>
      <c r="K1139" s="8" t="n">
        <v>0.05</v>
      </c>
      <c r="L1139" s="7" t="n">
        <v>2486.18</v>
      </c>
      <c r="M1139" s="6" t="s">
        <v>49</v>
      </c>
      <c r="N1139" s="6" t="s">
        <v>50</v>
      </c>
      <c r="O1139" s="6" t="n">
        <f aca="false">IF(TablaVentas[[#This Row],[Precio_unitario]]="","PENDIENTE",TablaVentas[[#This Row],[Unidades]]*TablaVentas[[#This Row],[Precio_unitario]]*(1-TablaVentas[[#This Row],[Descuento_pct]]))</f>
        <v>8429.217</v>
      </c>
      <c r="P1139" s="6" t="n">
        <f aca="false">IF(TablaVentas[[#This Row],[Costo_unitario]]="","PENDIENTE",TablaVentas[[#This Row],[Unidades]]*TablaVentas[[#This Row],[Costo_unitario]])</f>
        <v>7458.54</v>
      </c>
      <c r="Q1139" s="6" t="n">
        <f aca="false">IF(OR(TablaVentas[[#This Row],[Ingreso_neto]]="PENDIENTE",TablaVentas[[#This Row],[Costo_total]]="PENDIENTE"),"PENDIENTE",TablaVentas[[#This Row],[Ingreso_neto]]-TablaVentas[[#This Row],[Costo_total]])</f>
        <v>970.677000000002</v>
      </c>
    </row>
    <row r="1140" customFormat="false" ht="13.5" hidden="false" customHeight="false" outlineLevel="0" collapsed="false">
      <c r="A1140" s="1" t="s">
        <v>858</v>
      </c>
      <c r="B1140" s="1" t="n">
        <v>1</v>
      </c>
      <c r="C1140" s="5" t="n">
        <v>46275</v>
      </c>
      <c r="D1140" s="6" t="s">
        <v>344</v>
      </c>
      <c r="E1140" s="6" t="s">
        <v>174</v>
      </c>
      <c r="F1140" s="6" t="s">
        <v>84</v>
      </c>
      <c r="G1140" s="6" t="s">
        <v>57</v>
      </c>
      <c r="H1140" s="6" t="s">
        <v>65</v>
      </c>
      <c r="I1140" s="1" t="n">
        <v>2</v>
      </c>
      <c r="J1140" s="7" t="n">
        <v>17415.51</v>
      </c>
      <c r="K1140" s="8" t="n">
        <v>0</v>
      </c>
      <c r="L1140" s="7" t="n">
        <v>8704.4</v>
      </c>
      <c r="M1140" s="6" t="s">
        <v>49</v>
      </c>
      <c r="N1140" s="6" t="s">
        <v>50</v>
      </c>
      <c r="O1140" s="6" t="n">
        <f aca="false">IF(TablaVentas[[#This Row],[Precio_unitario]]="","PENDIENTE",TablaVentas[[#This Row],[Unidades]]*TablaVentas[[#This Row],[Precio_unitario]]*(1-TablaVentas[[#This Row],[Descuento_pct]]))</f>
        <v>34831.02</v>
      </c>
      <c r="P1140" s="6" t="n">
        <f aca="false">IF(TablaVentas[[#This Row],[Costo_unitario]]="","PENDIENTE",TablaVentas[[#This Row],[Unidades]]*TablaVentas[[#This Row],[Costo_unitario]])</f>
        <v>17408.8</v>
      </c>
      <c r="Q1140" s="6" t="n">
        <f aca="false">IF(OR(TablaVentas[[#This Row],[Ingreso_neto]]="PENDIENTE",TablaVentas[[#This Row],[Costo_total]]="PENDIENTE"),"PENDIENTE",TablaVentas[[#This Row],[Ingreso_neto]]-TablaVentas[[#This Row],[Costo_total]])</f>
        <v>17422.22</v>
      </c>
    </row>
    <row r="1141" customFormat="false" ht="13.5" hidden="false" customHeight="false" outlineLevel="0" collapsed="false">
      <c r="A1141" s="1" t="s">
        <v>859</v>
      </c>
      <c r="B1141" s="1" t="n">
        <v>1</v>
      </c>
      <c r="C1141" s="5" t="n">
        <v>46206</v>
      </c>
      <c r="D1141" s="6" t="s">
        <v>305</v>
      </c>
      <c r="E1141" s="6" t="s">
        <v>243</v>
      </c>
      <c r="F1141" s="6" t="s">
        <v>84</v>
      </c>
      <c r="G1141" s="6" t="s">
        <v>64</v>
      </c>
      <c r="H1141" s="6" t="s">
        <v>89</v>
      </c>
      <c r="I1141" s="1" t="n">
        <v>2</v>
      </c>
      <c r="J1141" s="7" t="n">
        <v>9672.31</v>
      </c>
      <c r="K1141" s="8" t="n">
        <v>0</v>
      </c>
      <c r="L1141" s="7" t="n">
        <v>8061.7</v>
      </c>
      <c r="M1141" s="6" t="s">
        <v>49</v>
      </c>
      <c r="N1141" s="6" t="s">
        <v>52</v>
      </c>
      <c r="O1141" s="6" t="n">
        <f aca="false">IF(TablaVentas[[#This Row],[Precio_unitario]]="","PENDIENTE",TablaVentas[[#This Row],[Unidades]]*TablaVentas[[#This Row],[Precio_unitario]]*(1-TablaVentas[[#This Row],[Descuento_pct]]))</f>
        <v>19344.62</v>
      </c>
      <c r="P1141" s="6" t="n">
        <f aca="false">IF(TablaVentas[[#This Row],[Costo_unitario]]="","PENDIENTE",TablaVentas[[#This Row],[Unidades]]*TablaVentas[[#This Row],[Costo_unitario]])</f>
        <v>16123.4</v>
      </c>
      <c r="Q1141" s="6" t="n">
        <f aca="false">IF(OR(TablaVentas[[#This Row],[Ingreso_neto]]="PENDIENTE",TablaVentas[[#This Row],[Costo_total]]="PENDIENTE"),"PENDIENTE",TablaVentas[[#This Row],[Ingreso_neto]]-TablaVentas[[#This Row],[Costo_total]])</f>
        <v>3221.22</v>
      </c>
    </row>
    <row r="1142" customFormat="false" ht="13.5" hidden="false" customHeight="false" outlineLevel="0" collapsed="false">
      <c r="A1142" s="1" t="s">
        <v>860</v>
      </c>
      <c r="B1142" s="1" t="n">
        <v>1</v>
      </c>
      <c r="C1142" s="5" t="n">
        <v>46064</v>
      </c>
      <c r="D1142" s="6" t="s">
        <v>655</v>
      </c>
      <c r="E1142" s="6" t="s">
        <v>167</v>
      </c>
      <c r="F1142" s="6" t="s">
        <v>73</v>
      </c>
      <c r="G1142" s="6" t="s">
        <v>57</v>
      </c>
      <c r="H1142" s="6" t="s">
        <v>58</v>
      </c>
      <c r="I1142" s="1" t="n">
        <v>2</v>
      </c>
      <c r="J1142" s="7" t="n">
        <v>7692.26</v>
      </c>
      <c r="K1142" s="8" t="n">
        <v>0</v>
      </c>
      <c r="L1142" s="7" t="n">
        <v>4082.15</v>
      </c>
      <c r="M1142" s="6" t="s">
        <v>49</v>
      </c>
      <c r="N1142" s="6" t="s">
        <v>59</v>
      </c>
      <c r="O1142" s="6" t="n">
        <f aca="false">IF(TablaVentas[[#This Row],[Precio_unitario]]="","PENDIENTE",TablaVentas[[#This Row],[Unidades]]*TablaVentas[[#This Row],[Precio_unitario]]*(1-TablaVentas[[#This Row],[Descuento_pct]]))</f>
        <v>15384.52</v>
      </c>
      <c r="P1142" s="6" t="n">
        <f aca="false">IF(TablaVentas[[#This Row],[Costo_unitario]]="","PENDIENTE",TablaVentas[[#This Row],[Unidades]]*TablaVentas[[#This Row],[Costo_unitario]])</f>
        <v>8164.3</v>
      </c>
      <c r="Q1142" s="6" t="n">
        <f aca="false">IF(OR(TablaVentas[[#This Row],[Ingreso_neto]]="PENDIENTE",TablaVentas[[#This Row],[Costo_total]]="PENDIENTE"),"PENDIENTE",TablaVentas[[#This Row],[Ingreso_neto]]-TablaVentas[[#This Row],[Costo_total]])</f>
        <v>7220.22</v>
      </c>
    </row>
    <row r="1143" customFormat="false" ht="13.5" hidden="false" customHeight="false" outlineLevel="0" collapsed="false">
      <c r="A1143" s="1" t="s">
        <v>860</v>
      </c>
      <c r="B1143" s="1" t="n">
        <v>2</v>
      </c>
      <c r="C1143" s="5" t="n">
        <v>46064</v>
      </c>
      <c r="D1143" s="6" t="s">
        <v>655</v>
      </c>
      <c r="E1143" s="6" t="s">
        <v>101</v>
      </c>
      <c r="F1143" s="6" t="s">
        <v>73</v>
      </c>
      <c r="G1143" s="6" t="s">
        <v>57</v>
      </c>
      <c r="H1143" s="6" t="s">
        <v>58</v>
      </c>
      <c r="I1143" s="1" t="n">
        <v>3</v>
      </c>
      <c r="J1143" s="7" t="n">
        <v>7981.63</v>
      </c>
      <c r="K1143" s="8" t="n">
        <v>0</v>
      </c>
      <c r="L1143" s="7" t="n">
        <v>4538.06</v>
      </c>
      <c r="M1143" s="6" t="s">
        <v>49</v>
      </c>
      <c r="N1143" s="6" t="s">
        <v>67</v>
      </c>
      <c r="O1143" s="6" t="n">
        <f aca="false">IF(TablaVentas[[#This Row],[Precio_unitario]]="","PENDIENTE",TablaVentas[[#This Row],[Unidades]]*TablaVentas[[#This Row],[Precio_unitario]]*(1-TablaVentas[[#This Row],[Descuento_pct]]))</f>
        <v>23944.89</v>
      </c>
      <c r="P1143" s="6" t="n">
        <f aca="false">IF(TablaVentas[[#This Row],[Costo_unitario]]="","PENDIENTE",TablaVentas[[#This Row],[Unidades]]*TablaVentas[[#This Row],[Costo_unitario]])</f>
        <v>13614.18</v>
      </c>
      <c r="Q1143" s="6" t="n">
        <f aca="false">IF(OR(TablaVentas[[#This Row],[Ingreso_neto]]="PENDIENTE",TablaVentas[[#This Row],[Costo_total]]="PENDIENTE"),"PENDIENTE",TablaVentas[[#This Row],[Ingreso_neto]]-TablaVentas[[#This Row],[Costo_total]])</f>
        <v>10330.71</v>
      </c>
    </row>
    <row r="1144" customFormat="false" ht="13.5" hidden="false" customHeight="false" outlineLevel="0" collapsed="false">
      <c r="A1144" s="1" t="s">
        <v>860</v>
      </c>
      <c r="B1144" s="1" t="n">
        <v>3</v>
      </c>
      <c r="C1144" s="5" t="n">
        <v>46064</v>
      </c>
      <c r="D1144" s="6" t="s">
        <v>655</v>
      </c>
      <c r="E1144" s="6" t="s">
        <v>215</v>
      </c>
      <c r="F1144" s="6" t="s">
        <v>73</v>
      </c>
      <c r="G1144" s="6" t="s">
        <v>57</v>
      </c>
      <c r="H1144" s="6" t="s">
        <v>58</v>
      </c>
      <c r="I1144" s="1" t="n">
        <v>1</v>
      </c>
      <c r="J1144" s="7" t="n">
        <v>9856.85</v>
      </c>
      <c r="K1144" s="8" t="n">
        <v>0</v>
      </c>
      <c r="L1144" s="7" t="n">
        <v>5535.31</v>
      </c>
      <c r="M1144" s="6" t="s">
        <v>49</v>
      </c>
      <c r="N1144" s="6" t="s">
        <v>50</v>
      </c>
      <c r="O1144" s="6" t="n">
        <f aca="false">IF(TablaVentas[[#This Row],[Precio_unitario]]="","PENDIENTE",TablaVentas[[#This Row],[Unidades]]*TablaVentas[[#This Row],[Precio_unitario]]*(1-TablaVentas[[#This Row],[Descuento_pct]]))</f>
        <v>9856.85</v>
      </c>
      <c r="P1144" s="6" t="n">
        <f aca="false">IF(TablaVentas[[#This Row],[Costo_unitario]]="","PENDIENTE",TablaVentas[[#This Row],[Unidades]]*TablaVentas[[#This Row],[Costo_unitario]])</f>
        <v>5535.31</v>
      </c>
      <c r="Q1144" s="6" t="n">
        <f aca="false">IF(OR(TablaVentas[[#This Row],[Ingreso_neto]]="PENDIENTE",TablaVentas[[#This Row],[Costo_total]]="PENDIENTE"),"PENDIENTE",TablaVentas[[#This Row],[Ingreso_neto]]-TablaVentas[[#This Row],[Costo_total]])</f>
        <v>4321.54</v>
      </c>
    </row>
    <row r="1145" customFormat="false" ht="13.5" hidden="false" customHeight="false" outlineLevel="0" collapsed="false">
      <c r="A1145" s="1" t="s">
        <v>860</v>
      </c>
      <c r="B1145" s="1" t="n">
        <v>4</v>
      </c>
      <c r="C1145" s="5" t="n">
        <v>46064</v>
      </c>
      <c r="D1145" s="6" t="s">
        <v>655</v>
      </c>
      <c r="E1145" s="6" t="s">
        <v>158</v>
      </c>
      <c r="F1145" s="6" t="s">
        <v>73</v>
      </c>
      <c r="G1145" s="6" t="s">
        <v>57</v>
      </c>
      <c r="H1145" s="6" t="s">
        <v>58</v>
      </c>
      <c r="I1145" s="1" t="n">
        <v>2</v>
      </c>
      <c r="J1145" s="7" t="n">
        <v>17636.53</v>
      </c>
      <c r="K1145" s="8" t="n">
        <v>0</v>
      </c>
      <c r="L1145" s="7" t="n">
        <v>8963.23</v>
      </c>
      <c r="M1145" s="6" t="s">
        <v>49</v>
      </c>
      <c r="N1145" s="6" t="s">
        <v>50</v>
      </c>
      <c r="O1145" s="6" t="n">
        <f aca="false">IF(TablaVentas[[#This Row],[Precio_unitario]]="","PENDIENTE",TablaVentas[[#This Row],[Unidades]]*TablaVentas[[#This Row],[Precio_unitario]]*(1-TablaVentas[[#This Row],[Descuento_pct]]))</f>
        <v>35273.06</v>
      </c>
      <c r="P1145" s="6" t="n">
        <f aca="false">IF(TablaVentas[[#This Row],[Costo_unitario]]="","PENDIENTE",TablaVentas[[#This Row],[Unidades]]*TablaVentas[[#This Row],[Costo_unitario]])</f>
        <v>17926.46</v>
      </c>
      <c r="Q1145" s="6" t="n">
        <f aca="false">IF(OR(TablaVentas[[#This Row],[Ingreso_neto]]="PENDIENTE",TablaVentas[[#This Row],[Costo_total]]="PENDIENTE"),"PENDIENTE",TablaVentas[[#This Row],[Ingreso_neto]]-TablaVentas[[#This Row],[Costo_total]])</f>
        <v>17346.6</v>
      </c>
    </row>
    <row r="1146" customFormat="false" ht="13.5" hidden="false" customHeight="false" outlineLevel="0" collapsed="false">
      <c r="A1146" s="1" t="s">
        <v>860</v>
      </c>
      <c r="B1146" s="1" t="n">
        <v>5</v>
      </c>
      <c r="C1146" s="5" t="n">
        <v>46064</v>
      </c>
      <c r="D1146" s="6" t="s">
        <v>655</v>
      </c>
      <c r="E1146" s="6" t="s">
        <v>417</v>
      </c>
      <c r="F1146" s="6" t="s">
        <v>73</v>
      </c>
      <c r="G1146" s="6" t="s">
        <v>57</v>
      </c>
      <c r="H1146" s="6" t="s">
        <v>58</v>
      </c>
      <c r="I1146" s="1" t="n">
        <v>2</v>
      </c>
      <c r="J1146" s="7" t="n">
        <v>7579.74</v>
      </c>
      <c r="K1146" s="8" t="n">
        <v>0.05</v>
      </c>
      <c r="L1146" s="7" t="n">
        <v>5874.17</v>
      </c>
      <c r="M1146" s="6" t="s">
        <v>123</v>
      </c>
      <c r="N1146" s="6" t="s">
        <v>52</v>
      </c>
      <c r="O1146" s="6" t="n">
        <f aca="false">IF(TablaVentas[[#This Row],[Precio_unitario]]="","PENDIENTE",TablaVentas[[#This Row],[Unidades]]*TablaVentas[[#This Row],[Precio_unitario]]*(1-TablaVentas[[#This Row],[Descuento_pct]]))</f>
        <v>14401.506</v>
      </c>
      <c r="P1146" s="6" t="n">
        <f aca="false">IF(TablaVentas[[#This Row],[Costo_unitario]]="","PENDIENTE",TablaVentas[[#This Row],[Unidades]]*TablaVentas[[#This Row],[Costo_unitario]])</f>
        <v>11748.34</v>
      </c>
      <c r="Q1146" s="6" t="n">
        <f aca="false">IF(OR(TablaVentas[[#This Row],[Ingreso_neto]]="PENDIENTE",TablaVentas[[#This Row],[Costo_total]]="PENDIENTE"),"PENDIENTE",TablaVentas[[#This Row],[Ingreso_neto]]-TablaVentas[[#This Row],[Costo_total]])</f>
        <v>2653.166</v>
      </c>
    </row>
    <row r="1147" customFormat="false" ht="13.5" hidden="false" customHeight="false" outlineLevel="0" collapsed="false">
      <c r="A1147" s="1" t="s">
        <v>861</v>
      </c>
      <c r="B1147" s="1" t="n">
        <v>1</v>
      </c>
      <c r="C1147" s="5" t="n">
        <v>46267</v>
      </c>
      <c r="D1147" s="6" t="s">
        <v>862</v>
      </c>
      <c r="E1147" s="6" t="s">
        <v>410</v>
      </c>
      <c r="F1147" s="6" t="s">
        <v>73</v>
      </c>
      <c r="G1147" s="6" t="s">
        <v>47</v>
      </c>
      <c r="H1147" s="6" t="s">
        <v>89</v>
      </c>
      <c r="I1147" s="1" t="n">
        <v>1</v>
      </c>
      <c r="J1147" s="7" t="n">
        <v>2959.84</v>
      </c>
      <c r="K1147" s="8" t="n">
        <v>0.05</v>
      </c>
      <c r="L1147" s="7" t="n">
        <v>1801.83</v>
      </c>
      <c r="M1147" s="6" t="s">
        <v>49</v>
      </c>
      <c r="N1147" s="6" t="s">
        <v>50</v>
      </c>
      <c r="O1147" s="6" t="n">
        <f aca="false">IF(TablaVentas[[#This Row],[Precio_unitario]]="","PENDIENTE",TablaVentas[[#This Row],[Unidades]]*TablaVentas[[#This Row],[Precio_unitario]]*(1-TablaVentas[[#This Row],[Descuento_pct]]))</f>
        <v>2811.848</v>
      </c>
      <c r="P1147" s="6" t="n">
        <f aca="false">IF(TablaVentas[[#This Row],[Costo_unitario]]="","PENDIENTE",TablaVentas[[#This Row],[Unidades]]*TablaVentas[[#This Row],[Costo_unitario]])</f>
        <v>1801.83</v>
      </c>
      <c r="Q1147" s="6" t="n">
        <f aca="false">IF(OR(TablaVentas[[#This Row],[Ingreso_neto]]="PENDIENTE",TablaVentas[[#This Row],[Costo_total]]="PENDIENTE"),"PENDIENTE",TablaVentas[[#This Row],[Ingreso_neto]]-TablaVentas[[#This Row],[Costo_total]])</f>
        <v>1010.018</v>
      </c>
    </row>
    <row r="1148" customFormat="false" ht="13.5" hidden="false" customHeight="false" outlineLevel="0" collapsed="false">
      <c r="A1148" s="1" t="s">
        <v>863</v>
      </c>
      <c r="B1148" s="1" t="n">
        <v>1</v>
      </c>
      <c r="C1148" s="5" t="n">
        <v>46215</v>
      </c>
      <c r="D1148" s="6" t="s">
        <v>864</v>
      </c>
      <c r="E1148" s="6" t="s">
        <v>127</v>
      </c>
      <c r="F1148" s="6" t="s">
        <v>84</v>
      </c>
      <c r="G1148" s="6" t="s">
        <v>47</v>
      </c>
      <c r="H1148" s="6" t="s">
        <v>136</v>
      </c>
      <c r="I1148" s="1" t="n">
        <v>1</v>
      </c>
      <c r="J1148" s="7" t="n">
        <v>13397.27</v>
      </c>
      <c r="K1148" s="8" t="n">
        <v>0.05</v>
      </c>
      <c r="L1148" s="7" t="n">
        <v>7975.26</v>
      </c>
      <c r="M1148" s="6" t="s">
        <v>123</v>
      </c>
      <c r="N1148" s="6" t="s">
        <v>59</v>
      </c>
      <c r="O1148" s="6" t="n">
        <f aca="false">IF(TablaVentas[[#This Row],[Precio_unitario]]="","PENDIENTE",TablaVentas[[#This Row],[Unidades]]*TablaVentas[[#This Row],[Precio_unitario]]*(1-TablaVentas[[#This Row],[Descuento_pct]]))</f>
        <v>12727.4065</v>
      </c>
      <c r="P1148" s="6" t="n">
        <f aca="false">IF(TablaVentas[[#This Row],[Costo_unitario]]="","PENDIENTE",TablaVentas[[#This Row],[Unidades]]*TablaVentas[[#This Row],[Costo_unitario]])</f>
        <v>7975.26</v>
      </c>
      <c r="Q1148" s="6" t="n">
        <f aca="false">IF(OR(TablaVentas[[#This Row],[Ingreso_neto]]="PENDIENTE",TablaVentas[[#This Row],[Costo_total]]="PENDIENTE"),"PENDIENTE",TablaVentas[[#This Row],[Ingreso_neto]]-TablaVentas[[#This Row],[Costo_total]])</f>
        <v>4752.1465</v>
      </c>
    </row>
    <row r="1149" customFormat="false" ht="13.5" hidden="false" customHeight="false" outlineLevel="0" collapsed="false">
      <c r="A1149" s="1" t="s">
        <v>863</v>
      </c>
      <c r="B1149" s="1" t="n">
        <v>2</v>
      </c>
      <c r="C1149" s="5" t="n">
        <v>46215</v>
      </c>
      <c r="D1149" s="6" t="s">
        <v>864</v>
      </c>
      <c r="E1149" s="6" t="s">
        <v>215</v>
      </c>
      <c r="F1149" s="6" t="s">
        <v>84</v>
      </c>
      <c r="G1149" s="6" t="s">
        <v>47</v>
      </c>
      <c r="H1149" s="6" t="s">
        <v>136</v>
      </c>
      <c r="I1149" s="1" t="n">
        <v>8</v>
      </c>
      <c r="J1149" s="7" t="n">
        <v>11222.83</v>
      </c>
      <c r="K1149" s="8" t="n">
        <v>0</v>
      </c>
      <c r="L1149" s="7" t="n">
        <v>5535.31</v>
      </c>
      <c r="M1149" s="6" t="s">
        <v>69</v>
      </c>
      <c r="N1149" s="6" t="s">
        <v>50</v>
      </c>
      <c r="O1149" s="6" t="n">
        <f aca="false">IF(TablaVentas[[#This Row],[Precio_unitario]]="","PENDIENTE",TablaVentas[[#This Row],[Unidades]]*TablaVentas[[#This Row],[Precio_unitario]]*(1-TablaVentas[[#This Row],[Descuento_pct]]))</f>
        <v>89782.64</v>
      </c>
      <c r="P1149" s="6" t="n">
        <f aca="false">IF(TablaVentas[[#This Row],[Costo_unitario]]="","PENDIENTE",TablaVentas[[#This Row],[Unidades]]*TablaVentas[[#This Row],[Costo_unitario]])</f>
        <v>44282.48</v>
      </c>
      <c r="Q1149" s="6" t="n">
        <f aca="false">IF(OR(TablaVentas[[#This Row],[Ingreso_neto]]="PENDIENTE",TablaVentas[[#This Row],[Costo_total]]="PENDIENTE"),"PENDIENTE",TablaVentas[[#This Row],[Ingreso_neto]]-TablaVentas[[#This Row],[Costo_total]])</f>
        <v>45500.16</v>
      </c>
    </row>
    <row r="1150" customFormat="false" ht="13.5" hidden="false" customHeight="false" outlineLevel="0" collapsed="false">
      <c r="A1150" s="1" t="s">
        <v>863</v>
      </c>
      <c r="B1150" s="1" t="n">
        <v>3</v>
      </c>
      <c r="C1150" s="5" t="n">
        <v>46215</v>
      </c>
      <c r="D1150" s="6" t="s">
        <v>864</v>
      </c>
      <c r="E1150" s="6" t="s">
        <v>233</v>
      </c>
      <c r="F1150" s="6" t="s">
        <v>84</v>
      </c>
      <c r="G1150" s="6" t="s">
        <v>47</v>
      </c>
      <c r="H1150" s="6" t="s">
        <v>136</v>
      </c>
      <c r="I1150" s="1" t="n">
        <v>5</v>
      </c>
      <c r="J1150" s="7" t="n">
        <v>18537.18</v>
      </c>
      <c r="K1150" s="8" t="n">
        <v>0</v>
      </c>
      <c r="L1150" s="7" t="n">
        <v>9976.68</v>
      </c>
      <c r="M1150" s="6" t="s">
        <v>49</v>
      </c>
      <c r="N1150" s="6" t="s">
        <v>59</v>
      </c>
      <c r="O1150" s="6" t="n">
        <f aca="false">IF(TablaVentas[[#This Row],[Precio_unitario]]="","PENDIENTE",TablaVentas[[#This Row],[Unidades]]*TablaVentas[[#This Row],[Precio_unitario]]*(1-TablaVentas[[#This Row],[Descuento_pct]]))</f>
        <v>92685.9</v>
      </c>
      <c r="P1150" s="6" t="n">
        <f aca="false">IF(TablaVentas[[#This Row],[Costo_unitario]]="","PENDIENTE",TablaVentas[[#This Row],[Unidades]]*TablaVentas[[#This Row],[Costo_unitario]])</f>
        <v>49883.4</v>
      </c>
      <c r="Q1150" s="6" t="n">
        <f aca="false">IF(OR(TablaVentas[[#This Row],[Ingreso_neto]]="PENDIENTE",TablaVentas[[#This Row],[Costo_total]]="PENDIENTE"),"PENDIENTE",TablaVentas[[#This Row],[Ingreso_neto]]-TablaVentas[[#This Row],[Costo_total]])</f>
        <v>42802.5</v>
      </c>
    </row>
    <row r="1151" customFormat="false" ht="13.5" hidden="false" customHeight="false" outlineLevel="0" collapsed="false">
      <c r="A1151" s="1" t="s">
        <v>865</v>
      </c>
      <c r="B1151" s="1" t="n">
        <v>1</v>
      </c>
      <c r="C1151" s="5" t="n">
        <v>46123</v>
      </c>
      <c r="D1151" s="6" t="s">
        <v>634</v>
      </c>
      <c r="E1151" s="6" t="s">
        <v>243</v>
      </c>
      <c r="F1151" s="6" t="s">
        <v>46</v>
      </c>
      <c r="G1151" s="6" t="s">
        <v>57</v>
      </c>
      <c r="H1151" s="6" t="s">
        <v>191</v>
      </c>
      <c r="I1151" s="1" t="n">
        <v>4</v>
      </c>
      <c r="J1151" s="7" t="n">
        <v>10104.94</v>
      </c>
      <c r="K1151" s="8" t="n">
        <v>0.2</v>
      </c>
      <c r="L1151" s="7" t="n">
        <v>8061.7</v>
      </c>
      <c r="M1151" s="6" t="s">
        <v>49</v>
      </c>
      <c r="N1151" s="6" t="s">
        <v>67</v>
      </c>
      <c r="O1151" s="6" t="n">
        <f aca="false">IF(TablaVentas[[#This Row],[Precio_unitario]]="","PENDIENTE",TablaVentas[[#This Row],[Unidades]]*TablaVentas[[#This Row],[Precio_unitario]]*(1-TablaVentas[[#This Row],[Descuento_pct]]))</f>
        <v>32335.808</v>
      </c>
      <c r="P1151" s="6" t="n">
        <f aca="false">IF(TablaVentas[[#This Row],[Costo_unitario]]="","PENDIENTE",TablaVentas[[#This Row],[Unidades]]*TablaVentas[[#This Row],[Costo_unitario]])</f>
        <v>32246.8</v>
      </c>
      <c r="Q1151" s="6" t="n">
        <f aca="false">IF(OR(TablaVentas[[#This Row],[Ingreso_neto]]="PENDIENTE",TablaVentas[[#This Row],[Costo_total]]="PENDIENTE"),"PENDIENTE",TablaVentas[[#This Row],[Ingreso_neto]]-TablaVentas[[#This Row],[Costo_total]])</f>
        <v>89.0080000000053</v>
      </c>
    </row>
    <row r="1152" customFormat="false" ht="13.5" hidden="false" customHeight="false" outlineLevel="0" collapsed="false">
      <c r="A1152" s="1" t="s">
        <v>866</v>
      </c>
      <c r="B1152" s="1" t="n">
        <v>1</v>
      </c>
      <c r="C1152" s="5" t="n">
        <v>46164</v>
      </c>
      <c r="D1152" s="6" t="s">
        <v>254</v>
      </c>
      <c r="E1152" s="6" t="s">
        <v>278</v>
      </c>
      <c r="F1152" s="6" t="s">
        <v>46</v>
      </c>
      <c r="G1152" s="6" t="s">
        <v>64</v>
      </c>
      <c r="H1152" s="6" t="s">
        <v>48</v>
      </c>
      <c r="I1152" s="1" t="n">
        <v>5</v>
      </c>
      <c r="J1152" s="7" t="n">
        <v>1050.65</v>
      </c>
      <c r="K1152" s="8" t="n">
        <v>0.2</v>
      </c>
      <c r="L1152" s="7" t="n">
        <v>759.03</v>
      </c>
      <c r="M1152" s="6" t="s">
        <v>49</v>
      </c>
      <c r="N1152" s="6" t="s">
        <v>50</v>
      </c>
      <c r="O1152" s="6" t="n">
        <f aca="false">IF(TablaVentas[[#This Row],[Precio_unitario]]="","PENDIENTE",TablaVentas[[#This Row],[Unidades]]*TablaVentas[[#This Row],[Precio_unitario]]*(1-TablaVentas[[#This Row],[Descuento_pct]]))</f>
        <v>4202.6</v>
      </c>
      <c r="P1152" s="6" t="n">
        <f aca="false">IF(TablaVentas[[#This Row],[Costo_unitario]]="","PENDIENTE",TablaVentas[[#This Row],[Unidades]]*TablaVentas[[#This Row],[Costo_unitario]])</f>
        <v>3795.15</v>
      </c>
      <c r="Q1152" s="6" t="n">
        <f aca="false">IF(OR(TablaVentas[[#This Row],[Ingreso_neto]]="PENDIENTE",TablaVentas[[#This Row],[Costo_total]]="PENDIENTE"),"PENDIENTE",TablaVentas[[#This Row],[Ingreso_neto]]-TablaVentas[[#This Row],[Costo_total]])</f>
        <v>407.450000000001</v>
      </c>
    </row>
    <row r="1153" customFormat="false" ht="13.5" hidden="false" customHeight="false" outlineLevel="0" collapsed="false">
      <c r="A1153" s="1" t="s">
        <v>866</v>
      </c>
      <c r="B1153" s="1" t="n">
        <v>2</v>
      </c>
      <c r="C1153" s="5" t="n">
        <v>46164</v>
      </c>
      <c r="D1153" s="6" t="s">
        <v>254</v>
      </c>
      <c r="E1153" s="6" t="s">
        <v>265</v>
      </c>
      <c r="F1153" s="6" t="s">
        <v>46</v>
      </c>
      <c r="G1153" s="6" t="s">
        <v>64</v>
      </c>
      <c r="H1153" s="6" t="s">
        <v>48</v>
      </c>
      <c r="I1153" s="1" t="n">
        <v>1</v>
      </c>
      <c r="J1153" s="7" t="n">
        <v>3727.03</v>
      </c>
      <c r="K1153" s="8" t="n">
        <v>0</v>
      </c>
      <c r="L1153" s="7" t="n">
        <v>2008.57</v>
      </c>
      <c r="M1153" s="6" t="s">
        <v>49</v>
      </c>
      <c r="N1153" s="6" t="s">
        <v>50</v>
      </c>
      <c r="O1153" s="6" t="n">
        <f aca="false">IF(TablaVentas[[#This Row],[Precio_unitario]]="","PENDIENTE",TablaVentas[[#This Row],[Unidades]]*TablaVentas[[#This Row],[Precio_unitario]]*(1-TablaVentas[[#This Row],[Descuento_pct]]))</f>
        <v>3727.03</v>
      </c>
      <c r="P1153" s="6" t="n">
        <f aca="false">IF(TablaVentas[[#This Row],[Costo_unitario]]="","PENDIENTE",TablaVentas[[#This Row],[Unidades]]*TablaVentas[[#This Row],[Costo_unitario]])</f>
        <v>2008.57</v>
      </c>
      <c r="Q1153" s="6" t="n">
        <f aca="false">IF(OR(TablaVentas[[#This Row],[Ingreso_neto]]="PENDIENTE",TablaVentas[[#This Row],[Costo_total]]="PENDIENTE"),"PENDIENTE",TablaVentas[[#This Row],[Ingreso_neto]]-TablaVentas[[#This Row],[Costo_total]])</f>
        <v>1718.46</v>
      </c>
    </row>
    <row r="1154" customFormat="false" ht="13.5" hidden="false" customHeight="false" outlineLevel="0" collapsed="false">
      <c r="A1154" s="1" t="s">
        <v>866</v>
      </c>
      <c r="B1154" s="1" t="n">
        <v>3</v>
      </c>
      <c r="C1154" s="5" t="n">
        <v>46164</v>
      </c>
      <c r="D1154" s="6" t="s">
        <v>254</v>
      </c>
      <c r="E1154" s="6" t="s">
        <v>122</v>
      </c>
      <c r="F1154" s="6" t="s">
        <v>46</v>
      </c>
      <c r="G1154" s="6" t="s">
        <v>64</v>
      </c>
      <c r="H1154" s="6" t="s">
        <v>48</v>
      </c>
      <c r="I1154" s="1" t="n">
        <v>2</v>
      </c>
      <c r="J1154" s="7" t="n">
        <v>1307.54</v>
      </c>
      <c r="K1154" s="8" t="n">
        <v>0.1</v>
      </c>
      <c r="L1154" s="7" t="n">
        <v>705.87</v>
      </c>
      <c r="M1154" s="6" t="s">
        <v>49</v>
      </c>
      <c r="N1154" s="6" t="s">
        <v>50</v>
      </c>
      <c r="O1154" s="6" t="n">
        <f aca="false">IF(TablaVentas[[#This Row],[Precio_unitario]]="","PENDIENTE",TablaVentas[[#This Row],[Unidades]]*TablaVentas[[#This Row],[Precio_unitario]]*(1-TablaVentas[[#This Row],[Descuento_pct]]))</f>
        <v>2353.572</v>
      </c>
      <c r="P1154" s="6" t="n">
        <f aca="false">IF(TablaVentas[[#This Row],[Costo_unitario]]="","PENDIENTE",TablaVentas[[#This Row],[Unidades]]*TablaVentas[[#This Row],[Costo_unitario]])</f>
        <v>1411.74</v>
      </c>
      <c r="Q1154" s="6" t="n">
        <f aca="false">IF(OR(TablaVentas[[#This Row],[Ingreso_neto]]="PENDIENTE",TablaVentas[[#This Row],[Costo_total]]="PENDIENTE"),"PENDIENTE",TablaVentas[[#This Row],[Ingreso_neto]]-TablaVentas[[#This Row],[Costo_total]])</f>
        <v>941.832</v>
      </c>
    </row>
    <row r="1155" customFormat="false" ht="13.5" hidden="false" customHeight="false" outlineLevel="0" collapsed="false">
      <c r="A1155" s="1" t="s">
        <v>866</v>
      </c>
      <c r="B1155" s="1" t="n">
        <v>4</v>
      </c>
      <c r="C1155" s="5" t="n">
        <v>46164</v>
      </c>
      <c r="D1155" s="6" t="s">
        <v>254</v>
      </c>
      <c r="E1155" s="6" t="s">
        <v>224</v>
      </c>
      <c r="F1155" s="6" t="s">
        <v>46</v>
      </c>
      <c r="G1155" s="6" t="s">
        <v>64</v>
      </c>
      <c r="H1155" s="6" t="s">
        <v>48</v>
      </c>
      <c r="I1155" s="1" t="n">
        <v>4</v>
      </c>
      <c r="J1155" s="7" t="n">
        <v>16632.64</v>
      </c>
      <c r="K1155" s="8" t="n">
        <v>0.1</v>
      </c>
      <c r="L1155" s="7" t="n">
        <v>14161.63</v>
      </c>
      <c r="M1155" s="6" t="s">
        <v>49</v>
      </c>
      <c r="N1155" s="6" t="s">
        <v>67</v>
      </c>
      <c r="O1155" s="6" t="n">
        <f aca="false">IF(TablaVentas[[#This Row],[Precio_unitario]]="","PENDIENTE",TablaVentas[[#This Row],[Unidades]]*TablaVentas[[#This Row],[Precio_unitario]]*(1-TablaVentas[[#This Row],[Descuento_pct]]))</f>
        <v>59877.504</v>
      </c>
      <c r="P1155" s="6" t="n">
        <f aca="false">IF(TablaVentas[[#This Row],[Costo_unitario]]="","PENDIENTE",TablaVentas[[#This Row],[Unidades]]*TablaVentas[[#This Row],[Costo_unitario]])</f>
        <v>56646.52</v>
      </c>
      <c r="Q1155" s="6" t="n">
        <f aca="false">IF(OR(TablaVentas[[#This Row],[Ingreso_neto]]="PENDIENTE",TablaVentas[[#This Row],[Costo_total]]="PENDIENTE"),"PENDIENTE",TablaVentas[[#This Row],[Ingreso_neto]]-TablaVentas[[#This Row],[Costo_total]])</f>
        <v>3230.984</v>
      </c>
    </row>
    <row r="1156" customFormat="false" ht="13.5" hidden="false" customHeight="false" outlineLevel="0" collapsed="false">
      <c r="A1156" s="1" t="s">
        <v>866</v>
      </c>
      <c r="B1156" s="1" t="n">
        <v>5</v>
      </c>
      <c r="C1156" s="5" t="n">
        <v>46164</v>
      </c>
      <c r="D1156" s="6" t="s">
        <v>254</v>
      </c>
      <c r="E1156" s="6" t="s">
        <v>141</v>
      </c>
      <c r="F1156" s="6" t="s">
        <v>46</v>
      </c>
      <c r="G1156" s="6" t="s">
        <v>64</v>
      </c>
      <c r="H1156" s="6" t="s">
        <v>48</v>
      </c>
      <c r="I1156" s="1" t="n">
        <v>1</v>
      </c>
      <c r="J1156" s="7" t="n">
        <v>264.44</v>
      </c>
      <c r="K1156" s="8" t="n">
        <v>0</v>
      </c>
      <c r="L1156" s="7" t="n">
        <v>176.47</v>
      </c>
      <c r="M1156" s="6" t="s">
        <v>49</v>
      </c>
      <c r="N1156" s="6" t="s">
        <v>59</v>
      </c>
      <c r="O1156" s="6" t="n">
        <f aca="false">IF(TablaVentas[[#This Row],[Precio_unitario]]="","PENDIENTE",TablaVentas[[#This Row],[Unidades]]*TablaVentas[[#This Row],[Precio_unitario]]*(1-TablaVentas[[#This Row],[Descuento_pct]]))</f>
        <v>264.44</v>
      </c>
      <c r="P1156" s="6" t="n">
        <f aca="false">IF(TablaVentas[[#This Row],[Costo_unitario]]="","PENDIENTE",TablaVentas[[#This Row],[Unidades]]*TablaVentas[[#This Row],[Costo_unitario]])</f>
        <v>176.47</v>
      </c>
      <c r="Q1156" s="6" t="n">
        <f aca="false">IF(OR(TablaVentas[[#This Row],[Ingreso_neto]]="PENDIENTE",TablaVentas[[#This Row],[Costo_total]]="PENDIENTE"),"PENDIENTE",TablaVentas[[#This Row],[Ingreso_neto]]-TablaVentas[[#This Row],[Costo_total]])</f>
        <v>87.97</v>
      </c>
    </row>
    <row r="1157" customFormat="false" ht="13.5" hidden="false" customHeight="false" outlineLevel="0" collapsed="false">
      <c r="A1157" s="1" t="s">
        <v>867</v>
      </c>
      <c r="B1157" s="1" t="n">
        <v>1</v>
      </c>
      <c r="C1157" s="5" t="n">
        <v>46106</v>
      </c>
      <c r="D1157" s="6" t="s">
        <v>184</v>
      </c>
      <c r="E1157" s="6" t="s">
        <v>90</v>
      </c>
      <c r="F1157" s="6" t="s">
        <v>63</v>
      </c>
      <c r="G1157" s="6" t="s">
        <v>47</v>
      </c>
      <c r="H1157" s="6" t="s">
        <v>74</v>
      </c>
      <c r="I1157" s="1" t="n">
        <v>1</v>
      </c>
      <c r="J1157" s="7" t="n">
        <v>17125.81</v>
      </c>
      <c r="K1157" s="8" t="n">
        <v>0</v>
      </c>
      <c r="L1157" s="7" t="n">
        <v>12723.77</v>
      </c>
      <c r="M1157" s="6" t="s">
        <v>69</v>
      </c>
      <c r="N1157" s="6" t="s">
        <v>67</v>
      </c>
      <c r="O1157" s="6" t="n">
        <f aca="false">IF(TablaVentas[[#This Row],[Precio_unitario]]="","PENDIENTE",TablaVentas[[#This Row],[Unidades]]*TablaVentas[[#This Row],[Precio_unitario]]*(1-TablaVentas[[#This Row],[Descuento_pct]]))</f>
        <v>17125.81</v>
      </c>
      <c r="P1157" s="6" t="n">
        <f aca="false">IF(TablaVentas[[#This Row],[Costo_unitario]]="","PENDIENTE",TablaVentas[[#This Row],[Unidades]]*TablaVentas[[#This Row],[Costo_unitario]])</f>
        <v>12723.77</v>
      </c>
      <c r="Q1157" s="6" t="n">
        <f aca="false">IF(OR(TablaVentas[[#This Row],[Ingreso_neto]]="PENDIENTE",TablaVentas[[#This Row],[Costo_total]]="PENDIENTE"),"PENDIENTE",TablaVentas[[#This Row],[Ingreso_neto]]-TablaVentas[[#This Row],[Costo_total]])</f>
        <v>4402.04</v>
      </c>
    </row>
    <row r="1158" customFormat="false" ht="13.5" hidden="false" customHeight="false" outlineLevel="0" collapsed="false">
      <c r="A1158" s="1" t="s">
        <v>867</v>
      </c>
      <c r="B1158" s="1" t="n">
        <v>2</v>
      </c>
      <c r="C1158" s="5" t="n">
        <v>46106</v>
      </c>
      <c r="D1158" s="6" t="s">
        <v>184</v>
      </c>
      <c r="E1158" s="6" t="s">
        <v>97</v>
      </c>
      <c r="F1158" s="6" t="s">
        <v>63</v>
      </c>
      <c r="G1158" s="6" t="s">
        <v>47</v>
      </c>
      <c r="H1158" s="6" t="s">
        <v>74</v>
      </c>
      <c r="I1158" s="1" t="n">
        <v>1</v>
      </c>
      <c r="J1158" s="7" t="n">
        <v>10640.55</v>
      </c>
      <c r="K1158" s="8" t="n">
        <v>0</v>
      </c>
      <c r="L1158" s="7" t="n">
        <v>8174.87</v>
      </c>
      <c r="M1158" s="6" t="s">
        <v>49</v>
      </c>
      <c r="N1158" s="6" t="s">
        <v>50</v>
      </c>
      <c r="O1158" s="6" t="n">
        <f aca="false">IF(TablaVentas[[#This Row],[Precio_unitario]]="","PENDIENTE",TablaVentas[[#This Row],[Unidades]]*TablaVentas[[#This Row],[Precio_unitario]]*(1-TablaVentas[[#This Row],[Descuento_pct]]))</f>
        <v>10640.55</v>
      </c>
      <c r="P1158" s="6" t="n">
        <f aca="false">IF(TablaVentas[[#This Row],[Costo_unitario]]="","PENDIENTE",TablaVentas[[#This Row],[Unidades]]*TablaVentas[[#This Row],[Costo_unitario]])</f>
        <v>8174.87</v>
      </c>
      <c r="Q1158" s="6" t="n">
        <f aca="false">IF(OR(TablaVentas[[#This Row],[Ingreso_neto]]="PENDIENTE",TablaVentas[[#This Row],[Costo_total]]="PENDIENTE"),"PENDIENTE",TablaVentas[[#This Row],[Ingreso_neto]]-TablaVentas[[#This Row],[Costo_total]])</f>
        <v>2465.68</v>
      </c>
    </row>
    <row r="1159" customFormat="false" ht="13.5" hidden="false" customHeight="false" outlineLevel="0" collapsed="false">
      <c r="A1159" s="1" t="s">
        <v>868</v>
      </c>
      <c r="B1159" s="1" t="n">
        <v>1</v>
      </c>
      <c r="C1159" s="5" t="n">
        <v>46106</v>
      </c>
      <c r="D1159" s="6" t="s">
        <v>822</v>
      </c>
      <c r="E1159" s="6" t="s">
        <v>155</v>
      </c>
      <c r="F1159" s="6" t="s">
        <v>63</v>
      </c>
      <c r="G1159" s="6" t="s">
        <v>64</v>
      </c>
      <c r="H1159" s="6" t="s">
        <v>65</v>
      </c>
      <c r="I1159" s="1" t="n">
        <v>5</v>
      </c>
      <c r="J1159" s="7" t="n">
        <v>3261.35</v>
      </c>
      <c r="K1159" s="8" t="n">
        <v>0</v>
      </c>
      <c r="L1159" s="7" t="n">
        <v>2459.34</v>
      </c>
      <c r="M1159" s="6" t="s">
        <v>49</v>
      </c>
      <c r="N1159" s="6" t="s">
        <v>67</v>
      </c>
      <c r="O1159" s="6" t="n">
        <f aca="false">IF(TablaVentas[[#This Row],[Precio_unitario]]="","PENDIENTE",TablaVentas[[#This Row],[Unidades]]*TablaVentas[[#This Row],[Precio_unitario]]*(1-TablaVentas[[#This Row],[Descuento_pct]]))</f>
        <v>16306.75</v>
      </c>
      <c r="P1159" s="6" t="n">
        <f aca="false">IF(TablaVentas[[#This Row],[Costo_unitario]]="","PENDIENTE",TablaVentas[[#This Row],[Unidades]]*TablaVentas[[#This Row],[Costo_unitario]])</f>
        <v>12296.7</v>
      </c>
      <c r="Q1159" s="6" t="n">
        <f aca="false">IF(OR(TablaVentas[[#This Row],[Ingreso_neto]]="PENDIENTE",TablaVentas[[#This Row],[Costo_total]]="PENDIENTE"),"PENDIENTE",TablaVentas[[#This Row],[Ingreso_neto]]-TablaVentas[[#This Row],[Costo_total]])</f>
        <v>4010.05</v>
      </c>
    </row>
    <row r="1160" customFormat="false" ht="13.5" hidden="false" customHeight="false" outlineLevel="0" collapsed="false">
      <c r="A1160" s="1" t="s">
        <v>869</v>
      </c>
      <c r="B1160" s="1" t="n">
        <v>1</v>
      </c>
      <c r="C1160" s="5" t="n">
        <v>46088</v>
      </c>
      <c r="D1160" s="6" t="s">
        <v>421</v>
      </c>
      <c r="E1160" s="6" t="s">
        <v>68</v>
      </c>
      <c r="F1160" s="6" t="s">
        <v>63</v>
      </c>
      <c r="G1160" s="6" t="s">
        <v>47</v>
      </c>
      <c r="H1160" s="6" t="s">
        <v>65</v>
      </c>
      <c r="I1160" s="1" t="n">
        <v>4</v>
      </c>
      <c r="J1160" s="7" t="n">
        <v>4544.76</v>
      </c>
      <c r="K1160" s="8" t="n">
        <v>0</v>
      </c>
      <c r="L1160" s="7" t="n">
        <v>2554.06</v>
      </c>
      <c r="M1160" s="6" t="s">
        <v>49</v>
      </c>
      <c r="N1160" s="6" t="s">
        <v>52</v>
      </c>
      <c r="O1160" s="6" t="n">
        <f aca="false">IF(TablaVentas[[#This Row],[Precio_unitario]]="","PENDIENTE",TablaVentas[[#This Row],[Unidades]]*TablaVentas[[#This Row],[Precio_unitario]]*(1-TablaVentas[[#This Row],[Descuento_pct]]))</f>
        <v>18179.04</v>
      </c>
      <c r="P1160" s="6" t="n">
        <f aca="false">IF(TablaVentas[[#This Row],[Costo_unitario]]="","PENDIENTE",TablaVentas[[#This Row],[Unidades]]*TablaVentas[[#This Row],[Costo_unitario]])</f>
        <v>10216.24</v>
      </c>
      <c r="Q1160" s="6" t="n">
        <f aca="false">IF(OR(TablaVentas[[#This Row],[Ingreso_neto]]="PENDIENTE",TablaVentas[[#This Row],[Costo_total]]="PENDIENTE"),"PENDIENTE",TablaVentas[[#This Row],[Ingreso_neto]]-TablaVentas[[#This Row],[Costo_total]])</f>
        <v>7962.8</v>
      </c>
    </row>
    <row r="1161" customFormat="false" ht="13.5" hidden="false" customHeight="false" outlineLevel="0" collapsed="false">
      <c r="A1161" s="1" t="s">
        <v>869</v>
      </c>
      <c r="B1161" s="1" t="n">
        <v>2</v>
      </c>
      <c r="C1161" s="5" t="n">
        <v>46088</v>
      </c>
      <c r="D1161" s="6" t="s">
        <v>421</v>
      </c>
      <c r="E1161" s="6" t="s">
        <v>122</v>
      </c>
      <c r="F1161" s="6" t="s">
        <v>63</v>
      </c>
      <c r="G1161" s="6" t="s">
        <v>47</v>
      </c>
      <c r="H1161" s="6" t="s">
        <v>65</v>
      </c>
      <c r="I1161" s="1" t="n">
        <v>1</v>
      </c>
      <c r="J1161" s="7" t="n">
        <v>1325.46</v>
      </c>
      <c r="K1161" s="8" t="n">
        <v>0.2</v>
      </c>
      <c r="L1161" s="7" t="n">
        <v>705.87</v>
      </c>
      <c r="M1161" s="6" t="s">
        <v>49</v>
      </c>
      <c r="N1161" s="6" t="s">
        <v>59</v>
      </c>
      <c r="O1161" s="6" t="n">
        <f aca="false">IF(TablaVentas[[#This Row],[Precio_unitario]]="","PENDIENTE",TablaVentas[[#This Row],[Unidades]]*TablaVentas[[#This Row],[Precio_unitario]]*(1-TablaVentas[[#This Row],[Descuento_pct]]))</f>
        <v>1060.368</v>
      </c>
      <c r="P1161" s="6" t="n">
        <f aca="false">IF(TablaVentas[[#This Row],[Costo_unitario]]="","PENDIENTE",TablaVentas[[#This Row],[Unidades]]*TablaVentas[[#This Row],[Costo_unitario]])</f>
        <v>705.87</v>
      </c>
      <c r="Q1161" s="6" t="n">
        <f aca="false">IF(OR(TablaVentas[[#This Row],[Ingreso_neto]]="PENDIENTE",TablaVentas[[#This Row],[Costo_total]]="PENDIENTE"),"PENDIENTE",TablaVentas[[#This Row],[Ingreso_neto]]-TablaVentas[[#This Row],[Costo_total]])</f>
        <v>354.498</v>
      </c>
    </row>
    <row r="1162" customFormat="false" ht="13.5" hidden="false" customHeight="false" outlineLevel="0" collapsed="false">
      <c r="A1162" s="1" t="s">
        <v>869</v>
      </c>
      <c r="B1162" s="1" t="n">
        <v>3</v>
      </c>
      <c r="C1162" s="5" t="n">
        <v>46088</v>
      </c>
      <c r="D1162" s="6" t="s">
        <v>421</v>
      </c>
      <c r="E1162" s="6" t="s">
        <v>280</v>
      </c>
      <c r="F1162" s="6" t="s">
        <v>63</v>
      </c>
      <c r="G1162" s="6" t="s">
        <v>47</v>
      </c>
      <c r="H1162" s="6" t="s">
        <v>65</v>
      </c>
      <c r="I1162" s="1" t="n">
        <v>3</v>
      </c>
      <c r="J1162" s="7" t="n">
        <v>1402.47</v>
      </c>
      <c r="K1162" s="8" t="n">
        <v>0</v>
      </c>
      <c r="L1162" s="7" t="n">
        <v>716.26</v>
      </c>
      <c r="M1162" s="6" t="s">
        <v>49</v>
      </c>
      <c r="N1162" s="6" t="s">
        <v>67</v>
      </c>
      <c r="O1162" s="6" t="n">
        <f aca="false">IF(TablaVentas[[#This Row],[Precio_unitario]]="","PENDIENTE",TablaVentas[[#This Row],[Unidades]]*TablaVentas[[#This Row],[Precio_unitario]]*(1-TablaVentas[[#This Row],[Descuento_pct]]))</f>
        <v>4207.41</v>
      </c>
      <c r="P1162" s="6" t="n">
        <f aca="false">IF(TablaVentas[[#This Row],[Costo_unitario]]="","PENDIENTE",TablaVentas[[#This Row],[Unidades]]*TablaVentas[[#This Row],[Costo_unitario]])</f>
        <v>2148.78</v>
      </c>
      <c r="Q1162" s="6" t="n">
        <f aca="false">IF(OR(TablaVentas[[#This Row],[Ingreso_neto]]="PENDIENTE",TablaVentas[[#This Row],[Costo_total]]="PENDIENTE"),"PENDIENTE",TablaVentas[[#This Row],[Ingreso_neto]]-TablaVentas[[#This Row],[Costo_total]])</f>
        <v>2058.63</v>
      </c>
    </row>
    <row r="1163" customFormat="false" ht="13.5" hidden="false" customHeight="false" outlineLevel="0" collapsed="false">
      <c r="A1163" s="1" t="s">
        <v>870</v>
      </c>
      <c r="B1163" s="1" t="n">
        <v>1</v>
      </c>
      <c r="C1163" s="5" t="n">
        <v>46101</v>
      </c>
      <c r="D1163" s="6" t="s">
        <v>640</v>
      </c>
      <c r="E1163" s="6" t="s">
        <v>174</v>
      </c>
      <c r="F1163" s="6" t="s">
        <v>63</v>
      </c>
      <c r="G1163" s="6" t="s">
        <v>47</v>
      </c>
      <c r="H1163" s="6" t="s">
        <v>74</v>
      </c>
      <c r="I1163" s="1" t="n">
        <v>1</v>
      </c>
      <c r="J1163" s="7" t="n">
        <v>15827.69</v>
      </c>
      <c r="K1163" s="8" t="n">
        <v>0.1</v>
      </c>
      <c r="L1163" s="7" t="n">
        <v>8704.4</v>
      </c>
      <c r="M1163" s="6" t="s">
        <v>49</v>
      </c>
      <c r="N1163" s="6" t="s">
        <v>59</v>
      </c>
      <c r="O1163" s="6" t="n">
        <f aca="false">IF(TablaVentas[[#This Row],[Precio_unitario]]="","PENDIENTE",TablaVentas[[#This Row],[Unidades]]*TablaVentas[[#This Row],[Precio_unitario]]*(1-TablaVentas[[#This Row],[Descuento_pct]]))</f>
        <v>14244.921</v>
      </c>
      <c r="P1163" s="6" t="n">
        <f aca="false">IF(TablaVentas[[#This Row],[Costo_unitario]]="","PENDIENTE",TablaVentas[[#This Row],[Unidades]]*TablaVentas[[#This Row],[Costo_unitario]])</f>
        <v>8704.4</v>
      </c>
      <c r="Q1163" s="6" t="n">
        <f aca="false">IF(OR(TablaVentas[[#This Row],[Ingreso_neto]]="PENDIENTE",TablaVentas[[#This Row],[Costo_total]]="PENDIENTE"),"PENDIENTE",TablaVentas[[#This Row],[Ingreso_neto]]-TablaVentas[[#This Row],[Costo_total]])</f>
        <v>5540.521</v>
      </c>
    </row>
    <row r="1164" customFormat="false" ht="13.5" hidden="false" customHeight="false" outlineLevel="0" collapsed="false">
      <c r="A1164" s="1" t="s">
        <v>870</v>
      </c>
      <c r="B1164" s="1" t="n">
        <v>2</v>
      </c>
      <c r="C1164" s="5" t="n">
        <v>46101</v>
      </c>
      <c r="D1164" s="6" t="s">
        <v>640</v>
      </c>
      <c r="E1164" s="6" t="s">
        <v>404</v>
      </c>
      <c r="F1164" s="6" t="s">
        <v>63</v>
      </c>
      <c r="G1164" s="6" t="s">
        <v>47</v>
      </c>
      <c r="H1164" s="6" t="s">
        <v>74</v>
      </c>
      <c r="I1164" s="1" t="n">
        <v>3</v>
      </c>
      <c r="J1164" s="7" t="n">
        <v>6857.85</v>
      </c>
      <c r="K1164" s="8" t="n">
        <v>0</v>
      </c>
      <c r="L1164" s="7" t="n">
        <v>3640.56</v>
      </c>
      <c r="M1164" s="6" t="s">
        <v>49</v>
      </c>
      <c r="N1164" s="6" t="s">
        <v>59</v>
      </c>
      <c r="O1164" s="6" t="n">
        <f aca="false">IF(TablaVentas[[#This Row],[Precio_unitario]]="","PENDIENTE",TablaVentas[[#This Row],[Unidades]]*TablaVentas[[#This Row],[Precio_unitario]]*(1-TablaVentas[[#This Row],[Descuento_pct]]))</f>
        <v>20573.55</v>
      </c>
      <c r="P1164" s="6" t="n">
        <f aca="false">IF(TablaVentas[[#This Row],[Costo_unitario]]="","PENDIENTE",TablaVentas[[#This Row],[Unidades]]*TablaVentas[[#This Row],[Costo_unitario]])</f>
        <v>10921.68</v>
      </c>
      <c r="Q1164" s="6" t="n">
        <f aca="false">IF(OR(TablaVentas[[#This Row],[Ingreso_neto]]="PENDIENTE",TablaVentas[[#This Row],[Costo_total]]="PENDIENTE"),"PENDIENTE",TablaVentas[[#This Row],[Ingreso_neto]]-TablaVentas[[#This Row],[Costo_total]])</f>
        <v>9651.87</v>
      </c>
    </row>
    <row r="1165" customFormat="false" ht="13.5" hidden="false" customHeight="false" outlineLevel="0" collapsed="false">
      <c r="A1165" s="1" t="s">
        <v>871</v>
      </c>
      <c r="B1165" s="1" t="n">
        <v>1</v>
      </c>
      <c r="C1165" s="5" t="n">
        <v>46073</v>
      </c>
      <c r="D1165" s="6" t="s">
        <v>629</v>
      </c>
      <c r="E1165" s="6" t="s">
        <v>93</v>
      </c>
      <c r="F1165" s="6" t="s">
        <v>73</v>
      </c>
      <c r="G1165" s="6" t="s">
        <v>64</v>
      </c>
      <c r="H1165" s="6" t="s">
        <v>65</v>
      </c>
      <c r="I1165" s="1" t="n">
        <v>2</v>
      </c>
      <c r="J1165" s="7" t="n">
        <v>15406.16</v>
      </c>
      <c r="K1165" s="8" t="n">
        <v>0</v>
      </c>
      <c r="L1165" s="7" t="n">
        <v>11166.03</v>
      </c>
      <c r="M1165" s="6" t="s">
        <v>49</v>
      </c>
      <c r="N1165" s="6" t="s">
        <v>50</v>
      </c>
      <c r="O1165" s="6" t="n">
        <f aca="false">IF(TablaVentas[[#This Row],[Precio_unitario]]="","PENDIENTE",TablaVentas[[#This Row],[Unidades]]*TablaVentas[[#This Row],[Precio_unitario]]*(1-TablaVentas[[#This Row],[Descuento_pct]]))</f>
        <v>30812.32</v>
      </c>
      <c r="P1165" s="6" t="n">
        <f aca="false">IF(TablaVentas[[#This Row],[Costo_unitario]]="","PENDIENTE",TablaVentas[[#This Row],[Unidades]]*TablaVentas[[#This Row],[Costo_unitario]])</f>
        <v>22332.06</v>
      </c>
      <c r="Q1165" s="6" t="n">
        <f aca="false">IF(OR(TablaVentas[[#This Row],[Ingreso_neto]]="PENDIENTE",TablaVentas[[#This Row],[Costo_total]]="PENDIENTE"),"PENDIENTE",TablaVentas[[#This Row],[Ingreso_neto]]-TablaVentas[[#This Row],[Costo_total]])</f>
        <v>8480.26</v>
      </c>
    </row>
    <row r="1166" customFormat="false" ht="13.5" hidden="false" customHeight="false" outlineLevel="0" collapsed="false">
      <c r="A1166" s="1" t="s">
        <v>871</v>
      </c>
      <c r="B1166" s="1" t="n">
        <v>2</v>
      </c>
      <c r="C1166" s="5" t="n">
        <v>46073</v>
      </c>
      <c r="D1166" s="6" t="s">
        <v>629</v>
      </c>
      <c r="E1166" s="6" t="s">
        <v>215</v>
      </c>
      <c r="F1166" s="6" t="s">
        <v>73</v>
      </c>
      <c r="G1166" s="6" t="s">
        <v>64</v>
      </c>
      <c r="H1166" s="6" t="s">
        <v>65</v>
      </c>
      <c r="I1166" s="1" t="n">
        <v>1</v>
      </c>
      <c r="J1166" s="7" t="n">
        <v>10881.12</v>
      </c>
      <c r="K1166" s="8" t="n">
        <v>0.1</v>
      </c>
      <c r="L1166" s="7" t="n">
        <v>5535.31</v>
      </c>
      <c r="M1166" s="6" t="s">
        <v>49</v>
      </c>
      <c r="N1166" s="6" t="s">
        <v>59</v>
      </c>
      <c r="O1166" s="6" t="n">
        <f aca="false">IF(TablaVentas[[#This Row],[Precio_unitario]]="","PENDIENTE",TablaVentas[[#This Row],[Unidades]]*TablaVentas[[#This Row],[Precio_unitario]]*(1-TablaVentas[[#This Row],[Descuento_pct]]))</f>
        <v>9793.008</v>
      </c>
      <c r="P1166" s="6" t="n">
        <f aca="false">IF(TablaVentas[[#This Row],[Costo_unitario]]="","PENDIENTE",TablaVentas[[#This Row],[Unidades]]*TablaVentas[[#This Row],[Costo_unitario]])</f>
        <v>5535.31</v>
      </c>
      <c r="Q1166" s="6" t="n">
        <f aca="false">IF(OR(TablaVentas[[#This Row],[Ingreso_neto]]="PENDIENTE",TablaVentas[[#This Row],[Costo_total]]="PENDIENTE"),"PENDIENTE",TablaVentas[[#This Row],[Ingreso_neto]]-TablaVentas[[#This Row],[Costo_total]])</f>
        <v>4257.698</v>
      </c>
    </row>
    <row r="1167" customFormat="false" ht="13.5" hidden="false" customHeight="false" outlineLevel="0" collapsed="false">
      <c r="A1167" s="1" t="s">
        <v>871</v>
      </c>
      <c r="B1167" s="1" t="n">
        <v>3</v>
      </c>
      <c r="C1167" s="5" t="n">
        <v>46073</v>
      </c>
      <c r="D1167" s="6" t="s">
        <v>629</v>
      </c>
      <c r="E1167" s="6" t="s">
        <v>88</v>
      </c>
      <c r="F1167" s="6" t="s">
        <v>73</v>
      </c>
      <c r="G1167" s="6" t="s">
        <v>64</v>
      </c>
      <c r="H1167" s="6" t="s">
        <v>65</v>
      </c>
      <c r="I1167" s="1" t="n">
        <v>3</v>
      </c>
      <c r="J1167" s="7" t="n">
        <v>16729.98</v>
      </c>
      <c r="K1167" s="8" t="n">
        <v>0.15</v>
      </c>
      <c r="L1167" s="7" t="n">
        <v>11614.87</v>
      </c>
      <c r="M1167" s="6" t="s">
        <v>49</v>
      </c>
      <c r="N1167" s="6" t="s">
        <v>52</v>
      </c>
      <c r="O1167" s="6" t="n">
        <f aca="false">IF(TablaVentas[[#This Row],[Precio_unitario]]="","PENDIENTE",TablaVentas[[#This Row],[Unidades]]*TablaVentas[[#This Row],[Precio_unitario]]*(1-TablaVentas[[#This Row],[Descuento_pct]]))</f>
        <v>42661.449</v>
      </c>
      <c r="P1167" s="6" t="n">
        <f aca="false">IF(TablaVentas[[#This Row],[Costo_unitario]]="","PENDIENTE",TablaVentas[[#This Row],[Unidades]]*TablaVentas[[#This Row],[Costo_unitario]])</f>
        <v>34844.61</v>
      </c>
      <c r="Q1167" s="6" t="n">
        <f aca="false">IF(OR(TablaVentas[[#This Row],[Ingreso_neto]]="PENDIENTE",TablaVentas[[#This Row],[Costo_total]]="PENDIENTE"),"PENDIENTE",TablaVentas[[#This Row],[Ingreso_neto]]-TablaVentas[[#This Row],[Costo_total]])</f>
        <v>7816.839</v>
      </c>
    </row>
    <row r="1168" customFormat="false" ht="13.5" hidden="false" customHeight="false" outlineLevel="0" collapsed="false">
      <c r="A1168" s="1" t="s">
        <v>872</v>
      </c>
      <c r="B1168" s="1" t="n">
        <v>1</v>
      </c>
      <c r="C1168" s="5" t="n">
        <v>46186</v>
      </c>
      <c r="D1168" s="6" t="s">
        <v>873</v>
      </c>
      <c r="E1168" s="6" t="s">
        <v>147</v>
      </c>
      <c r="F1168" s="6" t="s">
        <v>63</v>
      </c>
      <c r="G1168" s="6" t="s">
        <v>57</v>
      </c>
      <c r="H1168" s="6" t="s">
        <v>58</v>
      </c>
      <c r="I1168" s="1" t="n">
        <v>1</v>
      </c>
      <c r="J1168" s="7" t="n">
        <v>3297.65</v>
      </c>
      <c r="K1168" s="8" t="n">
        <v>0.05</v>
      </c>
      <c r="L1168" s="7" t="n">
        <v>2427.63</v>
      </c>
      <c r="M1168" s="6" t="s">
        <v>49</v>
      </c>
      <c r="N1168" s="6" t="s">
        <v>50</v>
      </c>
      <c r="O1168" s="6" t="n">
        <f aca="false">IF(TablaVentas[[#This Row],[Precio_unitario]]="","PENDIENTE",TablaVentas[[#This Row],[Unidades]]*TablaVentas[[#This Row],[Precio_unitario]]*(1-TablaVentas[[#This Row],[Descuento_pct]]))</f>
        <v>3132.7675</v>
      </c>
      <c r="P1168" s="6" t="n">
        <f aca="false">IF(TablaVentas[[#This Row],[Costo_unitario]]="","PENDIENTE",TablaVentas[[#This Row],[Unidades]]*TablaVentas[[#This Row],[Costo_unitario]])</f>
        <v>2427.63</v>
      </c>
      <c r="Q1168" s="6" t="n">
        <f aca="false">IF(OR(TablaVentas[[#This Row],[Ingreso_neto]]="PENDIENTE",TablaVentas[[#This Row],[Costo_total]]="PENDIENTE"),"PENDIENTE",TablaVentas[[#This Row],[Ingreso_neto]]-TablaVentas[[#This Row],[Costo_total]])</f>
        <v>705.1375</v>
      </c>
    </row>
    <row r="1169" customFormat="false" ht="13.5" hidden="false" customHeight="false" outlineLevel="0" collapsed="false">
      <c r="A1169" s="1" t="s">
        <v>872</v>
      </c>
      <c r="B1169" s="1" t="n">
        <v>2</v>
      </c>
      <c r="C1169" s="5" t="n">
        <v>46186</v>
      </c>
      <c r="D1169" s="6" t="s">
        <v>873</v>
      </c>
      <c r="E1169" s="6" t="s">
        <v>45</v>
      </c>
      <c r="F1169" s="6" t="s">
        <v>63</v>
      </c>
      <c r="G1169" s="6" t="s">
        <v>57</v>
      </c>
      <c r="H1169" s="6" t="s">
        <v>58</v>
      </c>
      <c r="I1169" s="1" t="n">
        <v>3</v>
      </c>
      <c r="J1169" s="7" t="n">
        <v>6288.51</v>
      </c>
      <c r="K1169" s="8" t="n">
        <v>0.2</v>
      </c>
      <c r="L1169" s="7" t="n">
        <v>3832.69</v>
      </c>
      <c r="M1169" s="6" t="s">
        <v>49</v>
      </c>
      <c r="N1169" s="6" t="s">
        <v>59</v>
      </c>
      <c r="O1169" s="6" t="n">
        <f aca="false">IF(TablaVentas[[#This Row],[Precio_unitario]]="","PENDIENTE",TablaVentas[[#This Row],[Unidades]]*TablaVentas[[#This Row],[Precio_unitario]]*(1-TablaVentas[[#This Row],[Descuento_pct]]))</f>
        <v>15092.424</v>
      </c>
      <c r="P1169" s="6" t="n">
        <f aca="false">IF(TablaVentas[[#This Row],[Costo_unitario]]="","PENDIENTE",TablaVentas[[#This Row],[Unidades]]*TablaVentas[[#This Row],[Costo_unitario]])</f>
        <v>11498.07</v>
      </c>
      <c r="Q1169" s="6" t="n">
        <f aca="false">IF(OR(TablaVentas[[#This Row],[Ingreso_neto]]="PENDIENTE",TablaVentas[[#This Row],[Costo_total]]="PENDIENTE"),"PENDIENTE",TablaVentas[[#This Row],[Ingreso_neto]]-TablaVentas[[#This Row],[Costo_total]])</f>
        <v>3594.354</v>
      </c>
    </row>
    <row r="1170" customFormat="false" ht="13.5" hidden="false" customHeight="false" outlineLevel="0" collapsed="false">
      <c r="A1170" s="1" t="s">
        <v>872</v>
      </c>
      <c r="B1170" s="1" t="n">
        <v>3</v>
      </c>
      <c r="C1170" s="5" t="n">
        <v>46186</v>
      </c>
      <c r="D1170" s="6" t="s">
        <v>873</v>
      </c>
      <c r="E1170" s="6" t="s">
        <v>132</v>
      </c>
      <c r="F1170" s="6" t="s">
        <v>63</v>
      </c>
      <c r="G1170" s="6" t="s">
        <v>57</v>
      </c>
      <c r="H1170" s="6" t="s">
        <v>58</v>
      </c>
      <c r="I1170" s="1" t="n">
        <v>1</v>
      </c>
      <c r="J1170" s="7" t="n">
        <v>1760.97</v>
      </c>
      <c r="K1170" s="8" t="n">
        <v>0</v>
      </c>
      <c r="L1170" s="7" t="n">
        <v>1044.32</v>
      </c>
      <c r="M1170" s="6" t="s">
        <v>123</v>
      </c>
      <c r="N1170" s="6" t="s">
        <v>52</v>
      </c>
      <c r="O1170" s="6" t="n">
        <f aca="false">IF(TablaVentas[[#This Row],[Precio_unitario]]="","PENDIENTE",TablaVentas[[#This Row],[Unidades]]*TablaVentas[[#This Row],[Precio_unitario]]*(1-TablaVentas[[#This Row],[Descuento_pct]]))</f>
        <v>1760.97</v>
      </c>
      <c r="P1170" s="6" t="n">
        <f aca="false">IF(TablaVentas[[#This Row],[Costo_unitario]]="","PENDIENTE",TablaVentas[[#This Row],[Unidades]]*TablaVentas[[#This Row],[Costo_unitario]])</f>
        <v>1044.32</v>
      </c>
      <c r="Q1170" s="6" t="n">
        <f aca="false">IF(OR(TablaVentas[[#This Row],[Ingreso_neto]]="PENDIENTE",TablaVentas[[#This Row],[Costo_total]]="PENDIENTE"),"PENDIENTE",TablaVentas[[#This Row],[Ingreso_neto]]-TablaVentas[[#This Row],[Costo_total]])</f>
        <v>716.65</v>
      </c>
    </row>
    <row r="1171" customFormat="false" ht="13.5" hidden="false" customHeight="false" outlineLevel="0" collapsed="false">
      <c r="A1171" s="1" t="s">
        <v>874</v>
      </c>
      <c r="B1171" s="1" t="n">
        <v>1</v>
      </c>
      <c r="C1171" s="5" t="n">
        <v>46216</v>
      </c>
      <c r="D1171" s="6" t="s">
        <v>401</v>
      </c>
      <c r="E1171" s="6" t="s">
        <v>170</v>
      </c>
      <c r="F1171" s="6" t="s">
        <v>84</v>
      </c>
      <c r="G1171" s="6" t="s">
        <v>47</v>
      </c>
      <c r="H1171" s="6" t="s">
        <v>65</v>
      </c>
      <c r="I1171" s="1" t="n">
        <v>3</v>
      </c>
      <c r="J1171" s="7" t="n">
        <v>15655.53</v>
      </c>
      <c r="K1171" s="8" t="n">
        <v>0</v>
      </c>
      <c r="L1171" s="7" t="n">
        <v>12141.44</v>
      </c>
      <c r="M1171" s="6" t="s">
        <v>49</v>
      </c>
      <c r="N1171" s="6" t="s">
        <v>59</v>
      </c>
      <c r="O1171" s="6" t="n">
        <f aca="false">IF(TablaVentas[[#This Row],[Precio_unitario]]="","PENDIENTE",TablaVentas[[#This Row],[Unidades]]*TablaVentas[[#This Row],[Precio_unitario]]*(1-TablaVentas[[#This Row],[Descuento_pct]]))</f>
        <v>46966.59</v>
      </c>
      <c r="P1171" s="6" t="n">
        <f aca="false">IF(TablaVentas[[#This Row],[Costo_unitario]]="","PENDIENTE",TablaVentas[[#This Row],[Unidades]]*TablaVentas[[#This Row],[Costo_unitario]])</f>
        <v>36424.32</v>
      </c>
      <c r="Q1171" s="6" t="n">
        <f aca="false">IF(OR(TablaVentas[[#This Row],[Ingreso_neto]]="PENDIENTE",TablaVentas[[#This Row],[Costo_total]]="PENDIENTE"),"PENDIENTE",TablaVentas[[#This Row],[Ingreso_neto]]-TablaVentas[[#This Row],[Costo_total]])</f>
        <v>10542.27</v>
      </c>
    </row>
    <row r="1172" customFormat="false" ht="13.5" hidden="false" customHeight="false" outlineLevel="0" collapsed="false">
      <c r="A1172" s="1" t="s">
        <v>874</v>
      </c>
      <c r="B1172" s="1" t="n">
        <v>2</v>
      </c>
      <c r="C1172" s="5" t="n">
        <v>46216</v>
      </c>
      <c r="D1172" s="6" t="s">
        <v>401</v>
      </c>
      <c r="E1172" s="6" t="s">
        <v>240</v>
      </c>
      <c r="F1172" s="6" t="s">
        <v>84</v>
      </c>
      <c r="G1172" s="6" t="s">
        <v>47</v>
      </c>
      <c r="H1172" s="6" t="s">
        <v>65</v>
      </c>
      <c r="I1172" s="1" t="n">
        <v>1</v>
      </c>
      <c r="J1172" s="7" t="n">
        <v>10051.83</v>
      </c>
      <c r="K1172" s="8" t="n">
        <v>0.2</v>
      </c>
      <c r="L1172" s="7" t="n">
        <v>5932.12</v>
      </c>
      <c r="M1172" s="6" t="s">
        <v>49</v>
      </c>
      <c r="N1172" s="6" t="s">
        <v>50</v>
      </c>
      <c r="O1172" s="6" t="n">
        <f aca="false">IF(TablaVentas[[#This Row],[Precio_unitario]]="","PENDIENTE",TablaVentas[[#This Row],[Unidades]]*TablaVentas[[#This Row],[Precio_unitario]]*(1-TablaVentas[[#This Row],[Descuento_pct]]))</f>
        <v>8041.464</v>
      </c>
      <c r="P1172" s="6" t="n">
        <f aca="false">IF(TablaVentas[[#This Row],[Costo_unitario]]="","PENDIENTE",TablaVentas[[#This Row],[Unidades]]*TablaVentas[[#This Row],[Costo_unitario]])</f>
        <v>5932.12</v>
      </c>
      <c r="Q1172" s="6" t="n">
        <f aca="false">IF(OR(TablaVentas[[#This Row],[Ingreso_neto]]="PENDIENTE",TablaVentas[[#This Row],[Costo_total]]="PENDIENTE"),"PENDIENTE",TablaVentas[[#This Row],[Ingreso_neto]]-TablaVentas[[#This Row],[Costo_total]])</f>
        <v>2109.344</v>
      </c>
    </row>
    <row r="1173" customFormat="false" ht="13.5" hidden="false" customHeight="false" outlineLevel="0" collapsed="false">
      <c r="A1173" s="1" t="s">
        <v>875</v>
      </c>
      <c r="B1173" s="1" t="n">
        <v>1</v>
      </c>
      <c r="C1173" s="5" t="n">
        <v>46102</v>
      </c>
      <c r="D1173" s="6" t="s">
        <v>283</v>
      </c>
      <c r="E1173" s="6" t="s">
        <v>158</v>
      </c>
      <c r="F1173" s="6" t="s">
        <v>73</v>
      </c>
      <c r="G1173" s="6" t="s">
        <v>47</v>
      </c>
      <c r="H1173" s="6" t="s">
        <v>48</v>
      </c>
      <c r="I1173" s="1" t="n">
        <v>3</v>
      </c>
      <c r="J1173" s="7" t="n">
        <v>15050.81</v>
      </c>
      <c r="K1173" s="8" t="n">
        <v>0.15</v>
      </c>
      <c r="L1173" s="7" t="n">
        <v>8963.23</v>
      </c>
      <c r="M1173" s="6" t="s">
        <v>123</v>
      </c>
      <c r="N1173" s="6" t="s">
        <v>52</v>
      </c>
      <c r="O1173" s="6" t="n">
        <f aca="false">IF(TablaVentas[[#This Row],[Precio_unitario]]="","PENDIENTE",TablaVentas[[#This Row],[Unidades]]*TablaVentas[[#This Row],[Precio_unitario]]*(1-TablaVentas[[#This Row],[Descuento_pct]]))</f>
        <v>38379.5655</v>
      </c>
      <c r="P1173" s="6" t="n">
        <f aca="false">IF(TablaVentas[[#This Row],[Costo_unitario]]="","PENDIENTE",TablaVentas[[#This Row],[Unidades]]*TablaVentas[[#This Row],[Costo_unitario]])</f>
        <v>26889.69</v>
      </c>
      <c r="Q1173" s="6" t="n">
        <f aca="false">IF(OR(TablaVentas[[#This Row],[Ingreso_neto]]="PENDIENTE",TablaVentas[[#This Row],[Costo_total]]="PENDIENTE"),"PENDIENTE",TablaVentas[[#This Row],[Ingreso_neto]]-TablaVentas[[#This Row],[Costo_total]])</f>
        <v>11489.8755</v>
      </c>
    </row>
    <row r="1174" customFormat="false" ht="13.5" hidden="false" customHeight="false" outlineLevel="0" collapsed="false">
      <c r="A1174" s="1" t="s">
        <v>876</v>
      </c>
      <c r="B1174" s="1" t="n">
        <v>1</v>
      </c>
      <c r="C1174" s="5" t="n">
        <v>46209</v>
      </c>
      <c r="D1174" s="6" t="s">
        <v>539</v>
      </c>
      <c r="E1174" s="6" t="s">
        <v>333</v>
      </c>
      <c r="F1174" s="6" t="s">
        <v>73</v>
      </c>
      <c r="G1174" s="6" t="s">
        <v>47</v>
      </c>
      <c r="H1174" s="6" t="s">
        <v>89</v>
      </c>
      <c r="I1174" s="1" t="n">
        <v>2</v>
      </c>
      <c r="J1174" s="7" t="n">
        <v>7588.78</v>
      </c>
      <c r="K1174" s="8" t="n">
        <v>0</v>
      </c>
      <c r="L1174" s="7" t="n">
        <v>4044.16</v>
      </c>
      <c r="M1174" s="6" t="s">
        <v>49</v>
      </c>
      <c r="N1174" s="6" t="s">
        <v>50</v>
      </c>
      <c r="O1174" s="6" t="n">
        <f aca="false">IF(TablaVentas[[#This Row],[Precio_unitario]]="","PENDIENTE",TablaVentas[[#This Row],[Unidades]]*TablaVentas[[#This Row],[Precio_unitario]]*(1-TablaVentas[[#This Row],[Descuento_pct]]))</f>
        <v>15177.56</v>
      </c>
      <c r="P1174" s="6" t="n">
        <f aca="false">IF(TablaVentas[[#This Row],[Costo_unitario]]="","PENDIENTE",TablaVentas[[#This Row],[Unidades]]*TablaVentas[[#This Row],[Costo_unitario]])</f>
        <v>8088.32</v>
      </c>
      <c r="Q1174" s="6" t="n">
        <f aca="false">IF(OR(TablaVentas[[#This Row],[Ingreso_neto]]="PENDIENTE",TablaVentas[[#This Row],[Costo_total]]="PENDIENTE"),"PENDIENTE",TablaVentas[[#This Row],[Ingreso_neto]]-TablaVentas[[#This Row],[Costo_total]])</f>
        <v>7089.24</v>
      </c>
    </row>
    <row r="1175" customFormat="false" ht="13.5" hidden="false" customHeight="false" outlineLevel="0" collapsed="false">
      <c r="A1175" s="1" t="s">
        <v>877</v>
      </c>
      <c r="B1175" s="1" t="n">
        <v>1</v>
      </c>
      <c r="C1175" s="5" t="n">
        <v>46216</v>
      </c>
      <c r="D1175" s="6" t="s">
        <v>202</v>
      </c>
      <c r="E1175" s="6" t="s">
        <v>56</v>
      </c>
      <c r="F1175" s="6" t="s">
        <v>84</v>
      </c>
      <c r="G1175" s="6" t="s">
        <v>64</v>
      </c>
      <c r="H1175" s="6" t="s">
        <v>74</v>
      </c>
      <c r="I1175" s="1" t="n">
        <v>1</v>
      </c>
      <c r="J1175" s="7" t="n">
        <v>3730.61</v>
      </c>
      <c r="K1175" s="8" t="n">
        <v>0.05</v>
      </c>
      <c r="L1175" s="7" t="n">
        <v>2950.52</v>
      </c>
      <c r="M1175" s="6" t="s">
        <v>49</v>
      </c>
      <c r="N1175" s="6" t="s">
        <v>52</v>
      </c>
      <c r="O1175" s="6" t="n">
        <f aca="false">IF(TablaVentas[[#This Row],[Precio_unitario]]="","PENDIENTE",TablaVentas[[#This Row],[Unidades]]*TablaVentas[[#This Row],[Precio_unitario]]*(1-TablaVentas[[#This Row],[Descuento_pct]]))</f>
        <v>3544.0795</v>
      </c>
      <c r="P1175" s="6" t="n">
        <f aca="false">IF(TablaVentas[[#This Row],[Costo_unitario]]="","PENDIENTE",TablaVentas[[#This Row],[Unidades]]*TablaVentas[[#This Row],[Costo_unitario]])</f>
        <v>2950.52</v>
      </c>
      <c r="Q1175" s="6" t="n">
        <f aca="false">IF(OR(TablaVentas[[#This Row],[Ingreso_neto]]="PENDIENTE",TablaVentas[[#This Row],[Costo_total]]="PENDIENTE"),"PENDIENTE",TablaVentas[[#This Row],[Ingreso_neto]]-TablaVentas[[#This Row],[Costo_total]])</f>
        <v>593.5595</v>
      </c>
    </row>
    <row r="1176" customFormat="false" ht="13.5" hidden="false" customHeight="false" outlineLevel="0" collapsed="false">
      <c r="A1176" s="1" t="s">
        <v>877</v>
      </c>
      <c r="B1176" s="1" t="n">
        <v>2</v>
      </c>
      <c r="C1176" s="5" t="n">
        <v>46216</v>
      </c>
      <c r="D1176" s="6" t="s">
        <v>202</v>
      </c>
      <c r="E1176" s="6" t="s">
        <v>166</v>
      </c>
      <c r="F1176" s="6" t="s">
        <v>84</v>
      </c>
      <c r="G1176" s="6" t="s">
        <v>64</v>
      </c>
      <c r="H1176" s="6" t="s">
        <v>74</v>
      </c>
      <c r="I1176" s="1" t="n">
        <v>3</v>
      </c>
      <c r="J1176" s="7" t="n">
        <v>12621.82</v>
      </c>
      <c r="K1176" s="8" t="n">
        <v>0</v>
      </c>
      <c r="L1176" s="7" t="n">
        <v>9317.37</v>
      </c>
      <c r="M1176" s="6" t="s">
        <v>49</v>
      </c>
      <c r="N1176" s="6" t="s">
        <v>50</v>
      </c>
      <c r="O1176" s="6" t="n">
        <f aca="false">IF(TablaVentas[[#This Row],[Precio_unitario]]="","PENDIENTE",TablaVentas[[#This Row],[Unidades]]*TablaVentas[[#This Row],[Precio_unitario]]*(1-TablaVentas[[#This Row],[Descuento_pct]]))</f>
        <v>37865.46</v>
      </c>
      <c r="P1176" s="6" t="n">
        <f aca="false">IF(TablaVentas[[#This Row],[Costo_unitario]]="","PENDIENTE",TablaVentas[[#This Row],[Unidades]]*TablaVentas[[#This Row],[Costo_unitario]])</f>
        <v>27952.11</v>
      </c>
      <c r="Q1176" s="6" t="n">
        <f aca="false">IF(OR(TablaVentas[[#This Row],[Ingreso_neto]]="PENDIENTE",TablaVentas[[#This Row],[Costo_total]]="PENDIENTE"),"PENDIENTE",TablaVentas[[#This Row],[Ingreso_neto]]-TablaVentas[[#This Row],[Costo_total]])</f>
        <v>9913.35</v>
      </c>
    </row>
    <row r="1177" customFormat="false" ht="13.5" hidden="false" customHeight="false" outlineLevel="0" collapsed="false">
      <c r="A1177" s="1" t="s">
        <v>877</v>
      </c>
      <c r="B1177" s="1" t="n">
        <v>3</v>
      </c>
      <c r="C1177" s="5" t="n">
        <v>46216</v>
      </c>
      <c r="D1177" s="6" t="s">
        <v>202</v>
      </c>
      <c r="E1177" s="6" t="s">
        <v>96</v>
      </c>
      <c r="F1177" s="6" t="s">
        <v>84</v>
      </c>
      <c r="G1177" s="6" t="s">
        <v>64</v>
      </c>
      <c r="H1177" s="6" t="s">
        <v>74</v>
      </c>
      <c r="I1177" s="1" t="n">
        <v>5</v>
      </c>
      <c r="J1177" s="7" t="n">
        <v>13030.22</v>
      </c>
      <c r="K1177" s="8" t="n">
        <v>0.1</v>
      </c>
      <c r="L1177" s="7" t="n">
        <v>9118.07</v>
      </c>
      <c r="M1177" s="6" t="s">
        <v>49</v>
      </c>
      <c r="N1177" s="6" t="s">
        <v>50</v>
      </c>
      <c r="O1177" s="6" t="n">
        <f aca="false">IF(TablaVentas[[#This Row],[Precio_unitario]]="","PENDIENTE",TablaVentas[[#This Row],[Unidades]]*TablaVentas[[#This Row],[Precio_unitario]]*(1-TablaVentas[[#This Row],[Descuento_pct]]))</f>
        <v>58635.99</v>
      </c>
      <c r="P1177" s="6" t="n">
        <f aca="false">IF(TablaVentas[[#This Row],[Costo_unitario]]="","PENDIENTE",TablaVentas[[#This Row],[Unidades]]*TablaVentas[[#This Row],[Costo_unitario]])</f>
        <v>45590.35</v>
      </c>
      <c r="Q1177" s="6" t="n">
        <f aca="false">IF(OR(TablaVentas[[#This Row],[Ingreso_neto]]="PENDIENTE",TablaVentas[[#This Row],[Costo_total]]="PENDIENTE"),"PENDIENTE",TablaVentas[[#This Row],[Ingreso_neto]]-TablaVentas[[#This Row],[Costo_total]])</f>
        <v>13045.64</v>
      </c>
    </row>
    <row r="1178" customFormat="false" ht="13.5" hidden="false" customHeight="false" outlineLevel="0" collapsed="false">
      <c r="A1178" s="1" t="s">
        <v>877</v>
      </c>
      <c r="B1178" s="1" t="n">
        <v>4</v>
      </c>
      <c r="C1178" s="5" t="n">
        <v>46216</v>
      </c>
      <c r="D1178" s="6" t="s">
        <v>202</v>
      </c>
      <c r="E1178" s="6" t="s">
        <v>110</v>
      </c>
      <c r="F1178" s="6" t="s">
        <v>84</v>
      </c>
      <c r="G1178" s="6" t="s">
        <v>64</v>
      </c>
      <c r="H1178" s="6" t="s">
        <v>74</v>
      </c>
      <c r="I1178" s="1" t="n">
        <v>1</v>
      </c>
      <c r="J1178" s="7" t="n">
        <v>13147.84</v>
      </c>
      <c r="K1178" s="8" t="n">
        <v>0</v>
      </c>
      <c r="L1178" s="7" t="n">
        <v>7549.71</v>
      </c>
      <c r="M1178" s="6" t="s">
        <v>49</v>
      </c>
      <c r="N1178" s="6" t="s">
        <v>67</v>
      </c>
      <c r="O1178" s="6" t="n">
        <f aca="false">IF(TablaVentas[[#This Row],[Precio_unitario]]="","PENDIENTE",TablaVentas[[#This Row],[Unidades]]*TablaVentas[[#This Row],[Precio_unitario]]*(1-TablaVentas[[#This Row],[Descuento_pct]]))</f>
        <v>13147.84</v>
      </c>
      <c r="P1178" s="6" t="n">
        <f aca="false">IF(TablaVentas[[#This Row],[Costo_unitario]]="","PENDIENTE",TablaVentas[[#This Row],[Unidades]]*TablaVentas[[#This Row],[Costo_unitario]])</f>
        <v>7549.71</v>
      </c>
      <c r="Q1178" s="6" t="n">
        <f aca="false">IF(OR(TablaVentas[[#This Row],[Ingreso_neto]]="PENDIENTE",TablaVentas[[#This Row],[Costo_total]]="PENDIENTE"),"PENDIENTE",TablaVentas[[#This Row],[Ingreso_neto]]-TablaVentas[[#This Row],[Costo_total]])</f>
        <v>5598.13</v>
      </c>
    </row>
    <row r="1179" customFormat="false" ht="13.5" hidden="false" customHeight="false" outlineLevel="0" collapsed="false">
      <c r="A1179" s="1" t="s">
        <v>878</v>
      </c>
      <c r="B1179" s="1" t="n">
        <v>1</v>
      </c>
      <c r="C1179" s="5" t="n">
        <v>46107</v>
      </c>
      <c r="D1179" s="6" t="s">
        <v>879</v>
      </c>
      <c r="E1179" s="6" t="s">
        <v>255</v>
      </c>
      <c r="F1179" s="6" t="s">
        <v>84</v>
      </c>
      <c r="G1179" s="6" t="s">
        <v>64</v>
      </c>
      <c r="H1179" s="6" t="s">
        <v>80</v>
      </c>
      <c r="I1179" s="1" t="n">
        <v>2</v>
      </c>
      <c r="J1179" s="7" t="n">
        <v>12617.62</v>
      </c>
      <c r="K1179" s="8" t="n">
        <v>0.05</v>
      </c>
      <c r="L1179" s="7" t="n">
        <v>6856.4</v>
      </c>
      <c r="M1179" s="6" t="s">
        <v>49</v>
      </c>
      <c r="N1179" s="6" t="s">
        <v>52</v>
      </c>
      <c r="O1179" s="6" t="n">
        <f aca="false">IF(TablaVentas[[#This Row],[Precio_unitario]]="","PENDIENTE",TablaVentas[[#This Row],[Unidades]]*TablaVentas[[#This Row],[Precio_unitario]]*(1-TablaVentas[[#This Row],[Descuento_pct]]))</f>
        <v>23973.478</v>
      </c>
      <c r="P1179" s="6" t="n">
        <f aca="false">IF(TablaVentas[[#This Row],[Costo_unitario]]="","PENDIENTE",TablaVentas[[#This Row],[Unidades]]*TablaVentas[[#This Row],[Costo_unitario]])</f>
        <v>13712.8</v>
      </c>
      <c r="Q1179" s="6" t="n">
        <f aca="false">IF(OR(TablaVentas[[#This Row],[Ingreso_neto]]="PENDIENTE",TablaVentas[[#This Row],[Costo_total]]="PENDIENTE"),"PENDIENTE",TablaVentas[[#This Row],[Ingreso_neto]]-TablaVentas[[#This Row],[Costo_total]])</f>
        <v>10260.678</v>
      </c>
    </row>
    <row r="1180" customFormat="false" ht="13.5" hidden="false" customHeight="false" outlineLevel="0" collapsed="false">
      <c r="A1180" s="1" t="s">
        <v>878</v>
      </c>
      <c r="B1180" s="1" t="n">
        <v>2</v>
      </c>
      <c r="C1180" s="5" t="n">
        <v>46107</v>
      </c>
      <c r="D1180" s="6" t="s">
        <v>879</v>
      </c>
      <c r="E1180" s="6" t="s">
        <v>100</v>
      </c>
      <c r="F1180" s="6" t="s">
        <v>84</v>
      </c>
      <c r="G1180" s="6" t="s">
        <v>64</v>
      </c>
      <c r="H1180" s="6" t="s">
        <v>80</v>
      </c>
      <c r="I1180" s="1" t="n">
        <v>8</v>
      </c>
      <c r="J1180" s="7" t="n">
        <v>14409.41</v>
      </c>
      <c r="K1180" s="8" t="n">
        <v>0.05</v>
      </c>
      <c r="L1180" s="7" t="n">
        <v>8788.79</v>
      </c>
      <c r="M1180" s="6" t="s">
        <v>49</v>
      </c>
      <c r="N1180" s="6" t="s">
        <v>52</v>
      </c>
      <c r="O1180" s="6" t="n">
        <f aca="false">IF(TablaVentas[[#This Row],[Precio_unitario]]="","PENDIENTE",TablaVentas[[#This Row],[Unidades]]*TablaVentas[[#This Row],[Precio_unitario]]*(1-TablaVentas[[#This Row],[Descuento_pct]]))</f>
        <v>109511.516</v>
      </c>
      <c r="P1180" s="6" t="n">
        <f aca="false">IF(TablaVentas[[#This Row],[Costo_unitario]]="","PENDIENTE",TablaVentas[[#This Row],[Unidades]]*TablaVentas[[#This Row],[Costo_unitario]])</f>
        <v>70310.32</v>
      </c>
      <c r="Q1180" s="6" t="n">
        <f aca="false">IF(OR(TablaVentas[[#This Row],[Ingreso_neto]]="PENDIENTE",TablaVentas[[#This Row],[Costo_total]]="PENDIENTE"),"PENDIENTE",TablaVentas[[#This Row],[Ingreso_neto]]-TablaVentas[[#This Row],[Costo_total]])</f>
        <v>39201.196</v>
      </c>
    </row>
    <row r="1181" customFormat="false" ht="13.5" hidden="false" customHeight="false" outlineLevel="0" collapsed="false">
      <c r="A1181" s="1" t="s">
        <v>878</v>
      </c>
      <c r="B1181" s="1" t="n">
        <v>3</v>
      </c>
      <c r="C1181" s="5" t="n">
        <v>46107</v>
      </c>
      <c r="D1181" s="6" t="s">
        <v>879</v>
      </c>
      <c r="E1181" s="6" t="s">
        <v>117</v>
      </c>
      <c r="F1181" s="6" t="s">
        <v>84</v>
      </c>
      <c r="G1181" s="6" t="s">
        <v>64</v>
      </c>
      <c r="H1181" s="6" t="s">
        <v>80</v>
      </c>
      <c r="I1181" s="1" t="n">
        <v>5</v>
      </c>
      <c r="J1181" s="7" t="n">
        <v>4984.95</v>
      </c>
      <c r="K1181" s="8" t="n">
        <v>0.05</v>
      </c>
      <c r="L1181" s="7" t="n">
        <v>4205.69</v>
      </c>
      <c r="M1181" s="6" t="s">
        <v>49</v>
      </c>
      <c r="N1181" s="6" t="s">
        <v>67</v>
      </c>
      <c r="O1181" s="6" t="n">
        <f aca="false">IF(TablaVentas[[#This Row],[Precio_unitario]]="","PENDIENTE",TablaVentas[[#This Row],[Unidades]]*TablaVentas[[#This Row],[Precio_unitario]]*(1-TablaVentas[[#This Row],[Descuento_pct]]))</f>
        <v>23678.5125</v>
      </c>
      <c r="P1181" s="6" t="n">
        <f aca="false">IF(TablaVentas[[#This Row],[Costo_unitario]]="","PENDIENTE",TablaVentas[[#This Row],[Unidades]]*TablaVentas[[#This Row],[Costo_unitario]])</f>
        <v>21028.45</v>
      </c>
      <c r="Q1181" s="6" t="n">
        <f aca="false">IF(OR(TablaVentas[[#This Row],[Ingreso_neto]]="PENDIENTE",TablaVentas[[#This Row],[Costo_total]]="PENDIENTE"),"PENDIENTE",TablaVentas[[#This Row],[Ingreso_neto]]-TablaVentas[[#This Row],[Costo_total]])</f>
        <v>2650.0625</v>
      </c>
    </row>
    <row r="1182" customFormat="false" ht="13.5" hidden="false" customHeight="false" outlineLevel="0" collapsed="false">
      <c r="A1182" s="1" t="s">
        <v>878</v>
      </c>
      <c r="B1182" s="1" t="n">
        <v>4</v>
      </c>
      <c r="C1182" s="5" t="n">
        <v>46107</v>
      </c>
      <c r="D1182" s="6" t="s">
        <v>879</v>
      </c>
      <c r="E1182" s="6" t="s">
        <v>151</v>
      </c>
      <c r="F1182" s="6" t="s">
        <v>84</v>
      </c>
      <c r="G1182" s="6" t="s">
        <v>64</v>
      </c>
      <c r="H1182" s="6" t="s">
        <v>80</v>
      </c>
      <c r="I1182" s="1" t="n">
        <v>1</v>
      </c>
      <c r="J1182" s="7" t="n">
        <v>9811.84</v>
      </c>
      <c r="K1182" s="8" t="n">
        <v>0.1</v>
      </c>
      <c r="L1182" s="7" t="n">
        <v>5125.36</v>
      </c>
      <c r="M1182" s="6" t="s">
        <v>49</v>
      </c>
      <c r="N1182" s="6" t="s">
        <v>52</v>
      </c>
      <c r="O1182" s="6" t="n">
        <f aca="false">IF(TablaVentas[[#This Row],[Precio_unitario]]="","PENDIENTE",TablaVentas[[#This Row],[Unidades]]*TablaVentas[[#This Row],[Precio_unitario]]*(1-TablaVentas[[#This Row],[Descuento_pct]]))</f>
        <v>8830.656</v>
      </c>
      <c r="P1182" s="6" t="n">
        <f aca="false">IF(TablaVentas[[#This Row],[Costo_unitario]]="","PENDIENTE",TablaVentas[[#This Row],[Unidades]]*TablaVentas[[#This Row],[Costo_unitario]])</f>
        <v>5125.36</v>
      </c>
      <c r="Q1182" s="6" t="n">
        <f aca="false">IF(OR(TablaVentas[[#This Row],[Ingreso_neto]]="PENDIENTE",TablaVentas[[#This Row],[Costo_total]]="PENDIENTE"),"PENDIENTE",TablaVentas[[#This Row],[Ingreso_neto]]-TablaVentas[[#This Row],[Costo_total]])</f>
        <v>3705.296</v>
      </c>
    </row>
    <row r="1183" customFormat="false" ht="13.5" hidden="false" customHeight="false" outlineLevel="0" collapsed="false">
      <c r="A1183" s="1" t="s">
        <v>880</v>
      </c>
      <c r="B1183" s="1" t="n">
        <v>1</v>
      </c>
      <c r="C1183" s="5" t="n">
        <v>46250</v>
      </c>
      <c r="D1183" s="6" t="s">
        <v>569</v>
      </c>
      <c r="E1183" s="6" t="s">
        <v>135</v>
      </c>
      <c r="F1183" s="6" t="s">
        <v>46</v>
      </c>
      <c r="G1183" s="6" t="s">
        <v>64</v>
      </c>
      <c r="H1183" s="6" t="s">
        <v>74</v>
      </c>
      <c r="I1183" s="1" t="n">
        <v>1</v>
      </c>
      <c r="J1183" s="7" t="n">
        <v>1665.21</v>
      </c>
      <c r="K1183" s="8" t="n">
        <v>0</v>
      </c>
      <c r="L1183" s="7" t="n">
        <v>900.08</v>
      </c>
      <c r="M1183" s="6" t="s">
        <v>49</v>
      </c>
      <c r="N1183" s="6" t="s">
        <v>59</v>
      </c>
      <c r="O1183" s="6" t="n">
        <f aca="false">IF(TablaVentas[[#This Row],[Precio_unitario]]="","PENDIENTE",TablaVentas[[#This Row],[Unidades]]*TablaVentas[[#This Row],[Precio_unitario]]*(1-TablaVentas[[#This Row],[Descuento_pct]]))</f>
        <v>1665.21</v>
      </c>
      <c r="P1183" s="6" t="n">
        <f aca="false">IF(TablaVentas[[#This Row],[Costo_unitario]]="","PENDIENTE",TablaVentas[[#This Row],[Unidades]]*TablaVentas[[#This Row],[Costo_unitario]])</f>
        <v>900.08</v>
      </c>
      <c r="Q1183" s="6" t="n">
        <f aca="false">IF(OR(TablaVentas[[#This Row],[Ingreso_neto]]="PENDIENTE",TablaVentas[[#This Row],[Costo_total]]="PENDIENTE"),"PENDIENTE",TablaVentas[[#This Row],[Ingreso_neto]]-TablaVentas[[#This Row],[Costo_total]])</f>
        <v>765.13</v>
      </c>
    </row>
    <row r="1184" customFormat="false" ht="13.5" hidden="false" customHeight="false" outlineLevel="0" collapsed="false">
      <c r="A1184" s="1" t="s">
        <v>880</v>
      </c>
      <c r="B1184" s="1" t="n">
        <v>2</v>
      </c>
      <c r="C1184" s="5" t="n">
        <v>46250</v>
      </c>
      <c r="D1184" s="6" t="s">
        <v>569</v>
      </c>
      <c r="E1184" s="6" t="s">
        <v>342</v>
      </c>
      <c r="F1184" s="6" t="s">
        <v>46</v>
      </c>
      <c r="G1184" s="6" t="s">
        <v>64</v>
      </c>
      <c r="H1184" s="6" t="s">
        <v>74</v>
      </c>
      <c r="I1184" s="1" t="n">
        <v>4</v>
      </c>
      <c r="J1184" s="7" t="n">
        <v>6705.13</v>
      </c>
      <c r="K1184" s="8" t="n">
        <v>0.15</v>
      </c>
      <c r="L1184" s="7" t="n">
        <v>5587.31</v>
      </c>
      <c r="M1184" s="6" t="s">
        <v>49</v>
      </c>
      <c r="N1184" s="6" t="s">
        <v>67</v>
      </c>
      <c r="O1184" s="6" t="n">
        <f aca="false">IF(TablaVentas[[#This Row],[Precio_unitario]]="","PENDIENTE",TablaVentas[[#This Row],[Unidades]]*TablaVentas[[#This Row],[Precio_unitario]]*(1-TablaVentas[[#This Row],[Descuento_pct]]))</f>
        <v>22797.442</v>
      </c>
      <c r="P1184" s="6" t="n">
        <f aca="false">IF(TablaVentas[[#This Row],[Costo_unitario]]="","PENDIENTE",TablaVentas[[#This Row],[Unidades]]*TablaVentas[[#This Row],[Costo_unitario]])</f>
        <v>22349.24</v>
      </c>
      <c r="Q1184" s="6" t="n">
        <f aca="false">IF(OR(TablaVentas[[#This Row],[Ingreso_neto]]="PENDIENTE",TablaVentas[[#This Row],[Costo_total]]="PENDIENTE"),"PENDIENTE",TablaVentas[[#This Row],[Ingreso_neto]]-TablaVentas[[#This Row],[Costo_total]])</f>
        <v>448.201999999998</v>
      </c>
    </row>
    <row r="1185" customFormat="false" ht="13.5" hidden="false" customHeight="false" outlineLevel="0" collapsed="false">
      <c r="A1185" s="1" t="s">
        <v>880</v>
      </c>
      <c r="B1185" s="1" t="n">
        <v>3</v>
      </c>
      <c r="C1185" s="5" t="n">
        <v>46250</v>
      </c>
      <c r="D1185" s="6" t="s">
        <v>569</v>
      </c>
      <c r="E1185" s="6" t="s">
        <v>151</v>
      </c>
      <c r="F1185" s="6" t="s">
        <v>46</v>
      </c>
      <c r="G1185" s="6" t="s">
        <v>64</v>
      </c>
      <c r="H1185" s="6" t="s">
        <v>74</v>
      </c>
      <c r="I1185" s="1" t="n">
        <v>1</v>
      </c>
      <c r="J1185" s="7" t="n">
        <v>8516.88</v>
      </c>
      <c r="K1185" s="8" t="n">
        <v>0.2</v>
      </c>
      <c r="L1185" s="7" t="n">
        <v>5125.36</v>
      </c>
      <c r="M1185" s="6" t="s">
        <v>49</v>
      </c>
      <c r="N1185" s="6" t="s">
        <v>50</v>
      </c>
      <c r="O1185" s="6" t="n">
        <f aca="false">IF(TablaVentas[[#This Row],[Precio_unitario]]="","PENDIENTE",TablaVentas[[#This Row],[Unidades]]*TablaVentas[[#This Row],[Precio_unitario]]*(1-TablaVentas[[#This Row],[Descuento_pct]]))</f>
        <v>6813.504</v>
      </c>
      <c r="P1185" s="6" t="n">
        <f aca="false">IF(TablaVentas[[#This Row],[Costo_unitario]]="","PENDIENTE",TablaVentas[[#This Row],[Unidades]]*TablaVentas[[#This Row],[Costo_unitario]])</f>
        <v>5125.36</v>
      </c>
      <c r="Q1185" s="6" t="n">
        <f aca="false">IF(OR(TablaVentas[[#This Row],[Ingreso_neto]]="PENDIENTE",TablaVentas[[#This Row],[Costo_total]]="PENDIENTE"),"PENDIENTE",TablaVentas[[#This Row],[Ingreso_neto]]-TablaVentas[[#This Row],[Costo_total]])</f>
        <v>1688.144</v>
      </c>
    </row>
    <row r="1186" customFormat="false" ht="13.5" hidden="false" customHeight="false" outlineLevel="0" collapsed="false">
      <c r="A1186" s="1" t="s">
        <v>880</v>
      </c>
      <c r="B1186" s="1" t="n">
        <v>4</v>
      </c>
      <c r="C1186" s="5" t="n">
        <v>46250</v>
      </c>
      <c r="D1186" s="6" t="s">
        <v>569</v>
      </c>
      <c r="E1186" s="6" t="s">
        <v>360</v>
      </c>
      <c r="F1186" s="6" t="s">
        <v>46</v>
      </c>
      <c r="G1186" s="6" t="s">
        <v>64</v>
      </c>
      <c r="H1186" s="6" t="s">
        <v>74</v>
      </c>
      <c r="I1186" s="1" t="n">
        <v>12</v>
      </c>
      <c r="J1186" s="7" t="n">
        <v>1953.72</v>
      </c>
      <c r="K1186" s="8" t="n">
        <v>0.2</v>
      </c>
      <c r="L1186" s="7" t="n">
        <v>1479.71</v>
      </c>
      <c r="M1186" s="6" t="s">
        <v>49</v>
      </c>
      <c r="N1186" s="6" t="s">
        <v>52</v>
      </c>
      <c r="O1186" s="6" t="n">
        <f aca="false">IF(TablaVentas[[#This Row],[Precio_unitario]]="","PENDIENTE",TablaVentas[[#This Row],[Unidades]]*TablaVentas[[#This Row],[Precio_unitario]]*(1-TablaVentas[[#This Row],[Descuento_pct]]))</f>
        <v>18755.712</v>
      </c>
      <c r="P1186" s="6" t="n">
        <f aca="false">IF(TablaVentas[[#This Row],[Costo_unitario]]="","PENDIENTE",TablaVentas[[#This Row],[Unidades]]*TablaVentas[[#This Row],[Costo_unitario]])</f>
        <v>17756.52</v>
      </c>
      <c r="Q1186" s="6" t="n">
        <f aca="false">IF(OR(TablaVentas[[#This Row],[Ingreso_neto]]="PENDIENTE",TablaVentas[[#This Row],[Costo_total]]="PENDIENTE"),"PENDIENTE",TablaVentas[[#This Row],[Ingreso_neto]]-TablaVentas[[#This Row],[Costo_total]])</f>
        <v>999.191999999999</v>
      </c>
    </row>
    <row r="1187" customFormat="false" ht="13.5" hidden="false" customHeight="false" outlineLevel="0" collapsed="false">
      <c r="A1187" s="1" t="s">
        <v>880</v>
      </c>
      <c r="B1187" s="1" t="n">
        <v>5</v>
      </c>
      <c r="C1187" s="5" t="n">
        <v>46250</v>
      </c>
      <c r="D1187" s="6" t="s">
        <v>569</v>
      </c>
      <c r="E1187" s="6" t="s">
        <v>155</v>
      </c>
      <c r="F1187" s="6" t="s">
        <v>46</v>
      </c>
      <c r="G1187" s="6" t="s">
        <v>64</v>
      </c>
      <c r="H1187" s="6" t="s">
        <v>74</v>
      </c>
      <c r="I1187" s="1" t="n">
        <v>3</v>
      </c>
      <c r="J1187" s="7" t="n">
        <v>2903.94</v>
      </c>
      <c r="K1187" s="8" t="n">
        <v>0.15</v>
      </c>
      <c r="L1187" s="7" t="n">
        <v>2459.34</v>
      </c>
      <c r="M1187" s="6" t="s">
        <v>49</v>
      </c>
      <c r="N1187" s="6" t="s">
        <v>50</v>
      </c>
      <c r="O1187" s="6" t="n">
        <f aca="false">IF(TablaVentas[[#This Row],[Precio_unitario]]="","PENDIENTE",TablaVentas[[#This Row],[Unidades]]*TablaVentas[[#This Row],[Precio_unitario]]*(1-TablaVentas[[#This Row],[Descuento_pct]]))</f>
        <v>7405.047</v>
      </c>
      <c r="P1187" s="6" t="n">
        <f aca="false">IF(TablaVentas[[#This Row],[Costo_unitario]]="","PENDIENTE",TablaVentas[[#This Row],[Unidades]]*TablaVentas[[#This Row],[Costo_unitario]])</f>
        <v>7378.02</v>
      </c>
      <c r="Q1187" s="6" t="n">
        <f aca="false">IF(OR(TablaVentas[[#This Row],[Ingreso_neto]]="PENDIENTE",TablaVentas[[#This Row],[Costo_total]]="PENDIENTE"),"PENDIENTE",TablaVentas[[#This Row],[Ingreso_neto]]-TablaVentas[[#This Row],[Costo_total]])</f>
        <v>27.0269999999991</v>
      </c>
    </row>
    <row r="1188" customFormat="false" ht="13.5" hidden="false" customHeight="false" outlineLevel="0" collapsed="false">
      <c r="A1188" s="1" t="s">
        <v>881</v>
      </c>
      <c r="B1188" s="1" t="n">
        <v>1</v>
      </c>
      <c r="C1188" s="5" t="n">
        <v>46257</v>
      </c>
      <c r="D1188" s="6" t="s">
        <v>55</v>
      </c>
      <c r="E1188" s="6" t="s">
        <v>284</v>
      </c>
      <c r="F1188" s="6" t="s">
        <v>63</v>
      </c>
      <c r="G1188" s="6" t="s">
        <v>57</v>
      </c>
      <c r="H1188" s="6" t="s">
        <v>131</v>
      </c>
      <c r="I1188" s="1" t="n">
        <v>4</v>
      </c>
      <c r="J1188" s="7" t="n">
        <v>7161.44</v>
      </c>
      <c r="K1188" s="8" t="n">
        <v>0</v>
      </c>
      <c r="L1188" s="7" t="n">
        <v>4858.08</v>
      </c>
      <c r="M1188" s="6" t="s">
        <v>49</v>
      </c>
      <c r="N1188" s="6" t="s">
        <v>52</v>
      </c>
      <c r="O1188" s="6" t="n">
        <f aca="false">IF(TablaVentas[[#This Row],[Precio_unitario]]="","PENDIENTE",TablaVentas[[#This Row],[Unidades]]*TablaVentas[[#This Row],[Precio_unitario]]*(1-TablaVentas[[#This Row],[Descuento_pct]]))</f>
        <v>28645.76</v>
      </c>
      <c r="P1188" s="6" t="n">
        <f aca="false">IF(TablaVentas[[#This Row],[Costo_unitario]]="","PENDIENTE",TablaVentas[[#This Row],[Unidades]]*TablaVentas[[#This Row],[Costo_unitario]])</f>
        <v>19432.32</v>
      </c>
      <c r="Q1188" s="6" t="n">
        <f aca="false">IF(OR(TablaVentas[[#This Row],[Ingreso_neto]]="PENDIENTE",TablaVentas[[#This Row],[Costo_total]]="PENDIENTE"),"PENDIENTE",TablaVentas[[#This Row],[Ingreso_neto]]-TablaVentas[[#This Row],[Costo_total]])</f>
        <v>9213.44</v>
      </c>
    </row>
    <row r="1189" customFormat="false" ht="13.5" hidden="false" customHeight="false" outlineLevel="0" collapsed="false">
      <c r="A1189" s="1" t="s">
        <v>881</v>
      </c>
      <c r="B1189" s="1" t="n">
        <v>2</v>
      </c>
      <c r="C1189" s="5" t="n">
        <v>46257</v>
      </c>
      <c r="D1189" s="6" t="s">
        <v>55</v>
      </c>
      <c r="E1189" s="6" t="s">
        <v>163</v>
      </c>
      <c r="F1189" s="6" t="s">
        <v>63</v>
      </c>
      <c r="G1189" s="6" t="s">
        <v>57</v>
      </c>
      <c r="H1189" s="6" t="s">
        <v>131</v>
      </c>
      <c r="I1189" s="1" t="n">
        <v>1</v>
      </c>
      <c r="J1189" s="7" t="n">
        <v>19663.16</v>
      </c>
      <c r="K1189" s="8" t="n">
        <v>0.1</v>
      </c>
      <c r="L1189" s="7" t="n">
        <v>13981.13</v>
      </c>
      <c r="M1189" s="6" t="s">
        <v>49</v>
      </c>
      <c r="N1189" s="6" t="s">
        <v>59</v>
      </c>
      <c r="O1189" s="6" t="n">
        <f aca="false">IF(TablaVentas[[#This Row],[Precio_unitario]]="","PENDIENTE",TablaVentas[[#This Row],[Unidades]]*TablaVentas[[#This Row],[Precio_unitario]]*(1-TablaVentas[[#This Row],[Descuento_pct]]))</f>
        <v>17696.844</v>
      </c>
      <c r="P1189" s="6" t="n">
        <f aca="false">IF(TablaVentas[[#This Row],[Costo_unitario]]="","PENDIENTE",TablaVentas[[#This Row],[Unidades]]*TablaVentas[[#This Row],[Costo_unitario]])</f>
        <v>13981.13</v>
      </c>
      <c r="Q1189" s="6" t="n">
        <f aca="false">IF(OR(TablaVentas[[#This Row],[Ingreso_neto]]="PENDIENTE",TablaVentas[[#This Row],[Costo_total]]="PENDIENTE"),"PENDIENTE",TablaVentas[[#This Row],[Ingreso_neto]]-TablaVentas[[#This Row],[Costo_total]])</f>
        <v>3715.714</v>
      </c>
    </row>
    <row r="1190" customFormat="false" ht="13.5" hidden="false" customHeight="false" outlineLevel="0" collapsed="false">
      <c r="A1190" s="1" t="s">
        <v>881</v>
      </c>
      <c r="B1190" s="1" t="n">
        <v>3</v>
      </c>
      <c r="C1190" s="5" t="n">
        <v>46257</v>
      </c>
      <c r="D1190" s="6" t="s">
        <v>55</v>
      </c>
      <c r="E1190" s="6" t="s">
        <v>327</v>
      </c>
      <c r="F1190" s="6" t="s">
        <v>63</v>
      </c>
      <c r="G1190" s="6" t="s">
        <v>57</v>
      </c>
      <c r="H1190" s="6" t="s">
        <v>131</v>
      </c>
      <c r="I1190" s="1" t="n">
        <v>1</v>
      </c>
      <c r="J1190" s="7" t="n">
        <v>5161.88</v>
      </c>
      <c r="K1190" s="8" t="n">
        <v>0.2</v>
      </c>
      <c r="L1190" s="7" t="n">
        <v>3065.66</v>
      </c>
      <c r="M1190" s="6" t="s">
        <v>49</v>
      </c>
      <c r="N1190" s="6" t="s">
        <v>59</v>
      </c>
      <c r="O1190" s="6" t="n">
        <f aca="false">IF(TablaVentas[[#This Row],[Precio_unitario]]="","PENDIENTE",TablaVentas[[#This Row],[Unidades]]*TablaVentas[[#This Row],[Precio_unitario]]*(1-TablaVentas[[#This Row],[Descuento_pct]]))</f>
        <v>4129.504</v>
      </c>
      <c r="P1190" s="6" t="n">
        <f aca="false">IF(TablaVentas[[#This Row],[Costo_unitario]]="","PENDIENTE",TablaVentas[[#This Row],[Unidades]]*TablaVentas[[#This Row],[Costo_unitario]])</f>
        <v>3065.66</v>
      </c>
      <c r="Q1190" s="6" t="n">
        <f aca="false">IF(OR(TablaVentas[[#This Row],[Ingreso_neto]]="PENDIENTE",TablaVentas[[#This Row],[Costo_total]]="PENDIENTE"),"PENDIENTE",TablaVentas[[#This Row],[Ingreso_neto]]-TablaVentas[[#This Row],[Costo_total]])</f>
        <v>1063.844</v>
      </c>
    </row>
    <row r="1191" customFormat="false" ht="13.5" hidden="false" customHeight="false" outlineLevel="0" collapsed="false">
      <c r="A1191" s="1" t="s">
        <v>881</v>
      </c>
      <c r="B1191" s="1" t="n">
        <v>4</v>
      </c>
      <c r="C1191" s="5" t="n">
        <v>46257</v>
      </c>
      <c r="D1191" s="6" t="s">
        <v>55</v>
      </c>
      <c r="E1191" s="6" t="s">
        <v>170</v>
      </c>
      <c r="F1191" s="6" t="s">
        <v>63</v>
      </c>
      <c r="G1191" s="6" t="s">
        <v>57</v>
      </c>
      <c r="H1191" s="6" t="s">
        <v>131</v>
      </c>
      <c r="I1191" s="1" t="n">
        <v>1</v>
      </c>
      <c r="J1191" s="7" t="n">
        <v>17459.38</v>
      </c>
      <c r="K1191" s="8" t="n">
        <v>0</v>
      </c>
      <c r="L1191" s="7" t="n">
        <v>12141.44</v>
      </c>
      <c r="M1191" s="6" t="s">
        <v>49</v>
      </c>
      <c r="N1191" s="6" t="s">
        <v>67</v>
      </c>
      <c r="O1191" s="6" t="n">
        <f aca="false">IF(TablaVentas[[#This Row],[Precio_unitario]]="","PENDIENTE",TablaVentas[[#This Row],[Unidades]]*TablaVentas[[#This Row],[Precio_unitario]]*(1-TablaVentas[[#This Row],[Descuento_pct]]))</f>
        <v>17459.38</v>
      </c>
      <c r="P1191" s="6" t="n">
        <f aca="false">IF(TablaVentas[[#This Row],[Costo_unitario]]="","PENDIENTE",TablaVentas[[#This Row],[Unidades]]*TablaVentas[[#This Row],[Costo_unitario]])</f>
        <v>12141.44</v>
      </c>
      <c r="Q1191" s="6" t="n">
        <f aca="false">IF(OR(TablaVentas[[#This Row],[Ingreso_neto]]="PENDIENTE",TablaVentas[[#This Row],[Costo_total]]="PENDIENTE"),"PENDIENTE",TablaVentas[[#This Row],[Ingreso_neto]]-TablaVentas[[#This Row],[Costo_total]])</f>
        <v>5317.94</v>
      </c>
    </row>
    <row r="1192" customFormat="false" ht="13.5" hidden="false" customHeight="false" outlineLevel="0" collapsed="false">
      <c r="A1192" s="1" t="s">
        <v>882</v>
      </c>
      <c r="B1192" s="1" t="n">
        <v>1</v>
      </c>
      <c r="C1192" s="5" t="n">
        <v>46185</v>
      </c>
      <c r="D1192" s="6" t="s">
        <v>695</v>
      </c>
      <c r="E1192" s="6" t="s">
        <v>263</v>
      </c>
      <c r="F1192" s="6" t="s">
        <v>84</v>
      </c>
      <c r="G1192" s="6" t="s">
        <v>57</v>
      </c>
      <c r="H1192" s="6" t="s">
        <v>131</v>
      </c>
      <c r="I1192" s="1" t="n">
        <v>2</v>
      </c>
      <c r="J1192" s="7" t="n">
        <v>20264.39</v>
      </c>
      <c r="K1192" s="8" t="n">
        <v>0.1</v>
      </c>
      <c r="L1192" s="7" t="n">
        <v>11666.57</v>
      </c>
      <c r="M1192" s="6" t="s">
        <v>49</v>
      </c>
      <c r="N1192" s="6" t="s">
        <v>50</v>
      </c>
      <c r="O1192" s="6" t="n">
        <f aca="false">IF(TablaVentas[[#This Row],[Precio_unitario]]="","PENDIENTE",TablaVentas[[#This Row],[Unidades]]*TablaVentas[[#This Row],[Precio_unitario]]*(1-TablaVentas[[#This Row],[Descuento_pct]]))</f>
        <v>36475.902</v>
      </c>
      <c r="P1192" s="6" t="n">
        <f aca="false">IF(TablaVentas[[#This Row],[Costo_unitario]]="","PENDIENTE",TablaVentas[[#This Row],[Unidades]]*TablaVentas[[#This Row],[Costo_unitario]])</f>
        <v>23333.14</v>
      </c>
      <c r="Q1192" s="6" t="n">
        <f aca="false">IF(OR(TablaVentas[[#This Row],[Ingreso_neto]]="PENDIENTE",TablaVentas[[#This Row],[Costo_total]]="PENDIENTE"),"PENDIENTE",TablaVentas[[#This Row],[Ingreso_neto]]-TablaVentas[[#This Row],[Costo_total]])</f>
        <v>13142.762</v>
      </c>
    </row>
    <row r="1193" customFormat="false" ht="13.5" hidden="false" customHeight="false" outlineLevel="0" collapsed="false">
      <c r="A1193" s="1" t="s">
        <v>882</v>
      </c>
      <c r="B1193" s="1" t="n">
        <v>2</v>
      </c>
      <c r="C1193" s="5" t="n">
        <v>46185</v>
      </c>
      <c r="D1193" s="6" t="s">
        <v>695</v>
      </c>
      <c r="E1193" s="6" t="s">
        <v>224</v>
      </c>
      <c r="F1193" s="6" t="s">
        <v>84</v>
      </c>
      <c r="G1193" s="6" t="s">
        <v>57</v>
      </c>
      <c r="H1193" s="6" t="s">
        <v>131</v>
      </c>
      <c r="I1193" s="1" t="n">
        <v>2</v>
      </c>
      <c r="J1193" s="7" t="n">
        <v>16413.62</v>
      </c>
      <c r="K1193" s="8" t="n">
        <v>0</v>
      </c>
      <c r="L1193" s="7" t="n">
        <v>14161.63</v>
      </c>
      <c r="M1193" s="6" t="s">
        <v>123</v>
      </c>
      <c r="N1193" s="6" t="s">
        <v>52</v>
      </c>
      <c r="O1193" s="6" t="n">
        <f aca="false">IF(TablaVentas[[#This Row],[Precio_unitario]]="","PENDIENTE",TablaVentas[[#This Row],[Unidades]]*TablaVentas[[#This Row],[Precio_unitario]]*(1-TablaVentas[[#This Row],[Descuento_pct]]))</f>
        <v>32827.24</v>
      </c>
      <c r="P1193" s="6" t="n">
        <f aca="false">IF(TablaVentas[[#This Row],[Costo_unitario]]="","PENDIENTE",TablaVentas[[#This Row],[Unidades]]*TablaVentas[[#This Row],[Costo_unitario]])</f>
        <v>28323.26</v>
      </c>
      <c r="Q1193" s="6" t="n">
        <f aca="false">IF(OR(TablaVentas[[#This Row],[Ingreso_neto]]="PENDIENTE",TablaVentas[[#This Row],[Costo_total]]="PENDIENTE"),"PENDIENTE",TablaVentas[[#This Row],[Ingreso_neto]]-TablaVentas[[#This Row],[Costo_total]])</f>
        <v>4503.98</v>
      </c>
    </row>
    <row r="1194" customFormat="false" ht="13.5" hidden="false" customHeight="false" outlineLevel="0" collapsed="false">
      <c r="A1194" s="1" t="s">
        <v>882</v>
      </c>
      <c r="B1194" s="1" t="n">
        <v>3</v>
      </c>
      <c r="C1194" s="5" t="n">
        <v>46185</v>
      </c>
      <c r="D1194" s="6" t="s">
        <v>695</v>
      </c>
      <c r="E1194" s="6" t="s">
        <v>162</v>
      </c>
      <c r="F1194" s="6" t="s">
        <v>84</v>
      </c>
      <c r="G1194" s="6" t="s">
        <v>57</v>
      </c>
      <c r="H1194" s="6" t="s">
        <v>131</v>
      </c>
      <c r="I1194" s="1" t="n">
        <v>1</v>
      </c>
      <c r="J1194" s="7" t="n">
        <v>812.37</v>
      </c>
      <c r="K1194" s="8" t="n">
        <v>0</v>
      </c>
      <c r="L1194" s="7" t="n">
        <v>397.1</v>
      </c>
      <c r="M1194" s="6" t="s">
        <v>49</v>
      </c>
      <c r="N1194" s="6" t="s">
        <v>52</v>
      </c>
      <c r="O1194" s="6" t="n">
        <f aca="false">IF(TablaVentas[[#This Row],[Precio_unitario]]="","PENDIENTE",TablaVentas[[#This Row],[Unidades]]*TablaVentas[[#This Row],[Precio_unitario]]*(1-TablaVentas[[#This Row],[Descuento_pct]]))</f>
        <v>812.37</v>
      </c>
      <c r="P1194" s="6" t="n">
        <f aca="false">IF(TablaVentas[[#This Row],[Costo_unitario]]="","PENDIENTE",TablaVentas[[#This Row],[Unidades]]*TablaVentas[[#This Row],[Costo_unitario]])</f>
        <v>397.1</v>
      </c>
      <c r="Q1194" s="6" t="n">
        <f aca="false">IF(OR(TablaVentas[[#This Row],[Ingreso_neto]]="PENDIENTE",TablaVentas[[#This Row],[Costo_total]]="PENDIENTE"),"PENDIENTE",TablaVentas[[#This Row],[Ingreso_neto]]-TablaVentas[[#This Row],[Costo_total]])</f>
        <v>415.27</v>
      </c>
    </row>
    <row r="1195" customFormat="false" ht="13.5" hidden="false" customHeight="false" outlineLevel="0" collapsed="false">
      <c r="A1195" s="1" t="s">
        <v>882</v>
      </c>
      <c r="B1195" s="1" t="n">
        <v>4</v>
      </c>
      <c r="C1195" s="5" t="n">
        <v>46185</v>
      </c>
      <c r="D1195" s="6" t="s">
        <v>695</v>
      </c>
      <c r="E1195" s="6" t="s">
        <v>126</v>
      </c>
      <c r="F1195" s="6" t="s">
        <v>84</v>
      </c>
      <c r="G1195" s="6" t="s">
        <v>57</v>
      </c>
      <c r="H1195" s="6" t="s">
        <v>131</v>
      </c>
      <c r="I1195" s="1" t="n">
        <v>2</v>
      </c>
      <c r="J1195" s="7" t="n">
        <v>8747.4</v>
      </c>
      <c r="K1195" s="8" t="n">
        <v>0</v>
      </c>
      <c r="L1195" s="7" t="n">
        <v>6981.94</v>
      </c>
      <c r="M1195" s="6" t="s">
        <v>49</v>
      </c>
      <c r="N1195" s="6" t="s">
        <v>59</v>
      </c>
      <c r="O1195" s="6" t="n">
        <f aca="false">IF(TablaVentas[[#This Row],[Precio_unitario]]="","PENDIENTE",TablaVentas[[#This Row],[Unidades]]*TablaVentas[[#This Row],[Precio_unitario]]*(1-TablaVentas[[#This Row],[Descuento_pct]]))</f>
        <v>17494.8</v>
      </c>
      <c r="P1195" s="6" t="n">
        <f aca="false">IF(TablaVentas[[#This Row],[Costo_unitario]]="","PENDIENTE",TablaVentas[[#This Row],[Unidades]]*TablaVentas[[#This Row],[Costo_unitario]])</f>
        <v>13963.88</v>
      </c>
      <c r="Q1195" s="6" t="n">
        <f aca="false">IF(OR(TablaVentas[[#This Row],[Ingreso_neto]]="PENDIENTE",TablaVentas[[#This Row],[Costo_total]]="PENDIENTE"),"PENDIENTE",TablaVentas[[#This Row],[Ingreso_neto]]-TablaVentas[[#This Row],[Costo_total]])</f>
        <v>3530.92</v>
      </c>
    </row>
    <row r="1196" customFormat="false" ht="13.5" hidden="false" customHeight="false" outlineLevel="0" collapsed="false">
      <c r="A1196" s="1" t="s">
        <v>883</v>
      </c>
      <c r="B1196" s="1" t="n">
        <v>1</v>
      </c>
      <c r="C1196" s="5" t="n">
        <v>46050</v>
      </c>
      <c r="D1196" s="6" t="s">
        <v>575</v>
      </c>
      <c r="E1196" s="6" t="s">
        <v>158</v>
      </c>
      <c r="F1196" s="6" t="s">
        <v>84</v>
      </c>
      <c r="G1196" s="6" t="s">
        <v>64</v>
      </c>
      <c r="H1196" s="6" t="s">
        <v>80</v>
      </c>
      <c r="I1196" s="1" t="n">
        <v>5</v>
      </c>
      <c r="J1196" s="7" t="n">
        <v>15673.26</v>
      </c>
      <c r="K1196" s="8" t="n">
        <v>0</v>
      </c>
      <c r="L1196" s="7" t="n">
        <v>8963.23</v>
      </c>
      <c r="M1196" s="6" t="s">
        <v>49</v>
      </c>
      <c r="N1196" s="6" t="s">
        <v>67</v>
      </c>
      <c r="O1196" s="6" t="n">
        <f aca="false">IF(TablaVentas[[#This Row],[Precio_unitario]]="","PENDIENTE",TablaVentas[[#This Row],[Unidades]]*TablaVentas[[#This Row],[Precio_unitario]]*(1-TablaVentas[[#This Row],[Descuento_pct]]))</f>
        <v>78366.3</v>
      </c>
      <c r="P1196" s="6" t="n">
        <f aca="false">IF(TablaVentas[[#This Row],[Costo_unitario]]="","PENDIENTE",TablaVentas[[#This Row],[Unidades]]*TablaVentas[[#This Row],[Costo_unitario]])</f>
        <v>44816.15</v>
      </c>
      <c r="Q1196" s="6" t="n">
        <f aca="false">IF(OR(TablaVentas[[#This Row],[Ingreso_neto]]="PENDIENTE",TablaVentas[[#This Row],[Costo_total]]="PENDIENTE"),"PENDIENTE",TablaVentas[[#This Row],[Ingreso_neto]]-TablaVentas[[#This Row],[Costo_total]])</f>
        <v>33550.15</v>
      </c>
    </row>
    <row r="1197" customFormat="false" ht="13.5" hidden="false" customHeight="false" outlineLevel="0" collapsed="false">
      <c r="A1197" s="1" t="s">
        <v>884</v>
      </c>
      <c r="B1197" s="1" t="n">
        <v>1</v>
      </c>
      <c r="C1197" s="5" t="n">
        <v>46106</v>
      </c>
      <c r="D1197" s="6" t="s">
        <v>273</v>
      </c>
      <c r="E1197" s="6" t="s">
        <v>68</v>
      </c>
      <c r="F1197" s="6" t="s">
        <v>73</v>
      </c>
      <c r="G1197" s="6" t="s">
        <v>57</v>
      </c>
      <c r="H1197" s="6" t="s">
        <v>58</v>
      </c>
      <c r="I1197" s="1" t="n">
        <v>2</v>
      </c>
      <c r="J1197" s="7" t="n">
        <v>4556.07</v>
      </c>
      <c r="K1197" s="8" t="n">
        <v>0.05</v>
      </c>
      <c r="L1197" s="7" t="n">
        <v>2554.06</v>
      </c>
      <c r="M1197" s="6" t="s">
        <v>49</v>
      </c>
      <c r="N1197" s="6" t="s">
        <v>59</v>
      </c>
      <c r="O1197" s="6" t="n">
        <f aca="false">IF(TablaVentas[[#This Row],[Precio_unitario]]="","PENDIENTE",TablaVentas[[#This Row],[Unidades]]*TablaVentas[[#This Row],[Precio_unitario]]*(1-TablaVentas[[#This Row],[Descuento_pct]]))</f>
        <v>8656.533</v>
      </c>
      <c r="P1197" s="6" t="n">
        <f aca="false">IF(TablaVentas[[#This Row],[Costo_unitario]]="","PENDIENTE",TablaVentas[[#This Row],[Unidades]]*TablaVentas[[#This Row],[Costo_unitario]])</f>
        <v>5108.12</v>
      </c>
      <c r="Q1197" s="6" t="n">
        <f aca="false">IF(OR(TablaVentas[[#This Row],[Ingreso_neto]]="PENDIENTE",TablaVentas[[#This Row],[Costo_total]]="PENDIENTE"),"PENDIENTE",TablaVentas[[#This Row],[Ingreso_neto]]-TablaVentas[[#This Row],[Costo_total]])</f>
        <v>3548.413</v>
      </c>
    </row>
    <row r="1198" customFormat="false" ht="13.5" hidden="false" customHeight="false" outlineLevel="0" collapsed="false">
      <c r="A1198" s="1" t="s">
        <v>884</v>
      </c>
      <c r="B1198" s="1" t="n">
        <v>2</v>
      </c>
      <c r="C1198" s="5" t="n">
        <v>46106</v>
      </c>
      <c r="D1198" s="6" t="s">
        <v>273</v>
      </c>
      <c r="E1198" s="6" t="s">
        <v>243</v>
      </c>
      <c r="F1198" s="6" t="s">
        <v>73</v>
      </c>
      <c r="G1198" s="6" t="s">
        <v>57</v>
      </c>
      <c r="H1198" s="6" t="s">
        <v>58</v>
      </c>
      <c r="I1198" s="1" t="n">
        <v>3</v>
      </c>
      <c r="J1198" s="7" t="n">
        <v>9661.16</v>
      </c>
      <c r="K1198" s="8" t="n">
        <v>0</v>
      </c>
      <c r="L1198" s="7" t="n">
        <v>8061.7</v>
      </c>
      <c r="M1198" s="6" t="s">
        <v>49</v>
      </c>
      <c r="N1198" s="6" t="s">
        <v>50</v>
      </c>
      <c r="O1198" s="6" t="n">
        <f aca="false">IF(TablaVentas[[#This Row],[Precio_unitario]]="","PENDIENTE",TablaVentas[[#This Row],[Unidades]]*TablaVentas[[#This Row],[Precio_unitario]]*(1-TablaVentas[[#This Row],[Descuento_pct]]))</f>
        <v>28983.48</v>
      </c>
      <c r="P1198" s="6" t="n">
        <f aca="false">IF(TablaVentas[[#This Row],[Costo_unitario]]="","PENDIENTE",TablaVentas[[#This Row],[Unidades]]*TablaVentas[[#This Row],[Costo_unitario]])</f>
        <v>24185.1</v>
      </c>
      <c r="Q1198" s="6" t="n">
        <f aca="false">IF(OR(TablaVentas[[#This Row],[Ingreso_neto]]="PENDIENTE",TablaVentas[[#This Row],[Costo_total]]="PENDIENTE"),"PENDIENTE",TablaVentas[[#This Row],[Ingreso_neto]]-TablaVentas[[#This Row],[Costo_total]])</f>
        <v>4798.38</v>
      </c>
    </row>
    <row r="1199" customFormat="false" ht="13.5" hidden="false" customHeight="false" outlineLevel="0" collapsed="false">
      <c r="A1199" s="1" t="s">
        <v>884</v>
      </c>
      <c r="B1199" s="1" t="n">
        <v>3</v>
      </c>
      <c r="C1199" s="5" t="n">
        <v>46106</v>
      </c>
      <c r="D1199" s="6" t="s">
        <v>273</v>
      </c>
      <c r="E1199" s="6" t="s">
        <v>233</v>
      </c>
      <c r="F1199" s="6" t="s">
        <v>73</v>
      </c>
      <c r="G1199" s="6" t="s">
        <v>57</v>
      </c>
      <c r="H1199" s="6" t="s">
        <v>58</v>
      </c>
      <c r="I1199" s="1" t="n">
        <v>8</v>
      </c>
      <c r="J1199" s="7" t="n">
        <v>16813.35</v>
      </c>
      <c r="K1199" s="8" t="n">
        <v>0</v>
      </c>
      <c r="L1199" s="7" t="n">
        <v>9976.68</v>
      </c>
      <c r="M1199" s="6" t="s">
        <v>49</v>
      </c>
      <c r="N1199" s="6" t="s">
        <v>52</v>
      </c>
      <c r="O1199" s="6" t="n">
        <f aca="false">IF(TablaVentas[[#This Row],[Precio_unitario]]="","PENDIENTE",TablaVentas[[#This Row],[Unidades]]*TablaVentas[[#This Row],[Precio_unitario]]*(1-TablaVentas[[#This Row],[Descuento_pct]]))</f>
        <v>134506.8</v>
      </c>
      <c r="P1199" s="6" t="n">
        <f aca="false">IF(TablaVentas[[#This Row],[Costo_unitario]]="","PENDIENTE",TablaVentas[[#This Row],[Unidades]]*TablaVentas[[#This Row],[Costo_unitario]])</f>
        <v>79813.44</v>
      </c>
      <c r="Q1199" s="6" t="n">
        <f aca="false">IF(OR(TablaVentas[[#This Row],[Ingreso_neto]]="PENDIENTE",TablaVentas[[#This Row],[Costo_total]]="PENDIENTE"),"PENDIENTE",TablaVentas[[#This Row],[Ingreso_neto]]-TablaVentas[[#This Row],[Costo_total]])</f>
        <v>54693.36</v>
      </c>
    </row>
    <row r="1200" customFormat="false" ht="13.5" hidden="false" customHeight="false" outlineLevel="0" collapsed="false">
      <c r="A1200" s="1" t="s">
        <v>885</v>
      </c>
      <c r="B1200" s="1" t="n">
        <v>1</v>
      </c>
      <c r="C1200" s="5" t="n">
        <v>46132</v>
      </c>
      <c r="D1200" s="6" t="s">
        <v>525</v>
      </c>
      <c r="E1200" s="6" t="s">
        <v>162</v>
      </c>
      <c r="F1200" s="6" t="s">
        <v>46</v>
      </c>
      <c r="G1200" s="6" t="s">
        <v>64</v>
      </c>
      <c r="H1200" s="6" t="s">
        <v>109</v>
      </c>
      <c r="I1200" s="1" t="n">
        <v>8</v>
      </c>
      <c r="J1200" s="7" t="n">
        <v>745.05</v>
      </c>
      <c r="K1200" s="8" t="n">
        <v>0</v>
      </c>
      <c r="L1200" s="7" t="n">
        <v>397.1</v>
      </c>
      <c r="M1200" s="6" t="s">
        <v>49</v>
      </c>
      <c r="N1200" s="6" t="s">
        <v>59</v>
      </c>
      <c r="O1200" s="6" t="n">
        <f aca="false">IF(TablaVentas[[#This Row],[Precio_unitario]]="","PENDIENTE",TablaVentas[[#This Row],[Unidades]]*TablaVentas[[#This Row],[Precio_unitario]]*(1-TablaVentas[[#This Row],[Descuento_pct]]))</f>
        <v>5960.4</v>
      </c>
      <c r="P1200" s="6" t="n">
        <f aca="false">IF(TablaVentas[[#This Row],[Costo_unitario]]="","PENDIENTE",TablaVentas[[#This Row],[Unidades]]*TablaVentas[[#This Row],[Costo_unitario]])</f>
        <v>3176.8</v>
      </c>
      <c r="Q1200" s="6" t="n">
        <f aca="false">IF(OR(TablaVentas[[#This Row],[Ingreso_neto]]="PENDIENTE",TablaVentas[[#This Row],[Costo_total]]="PENDIENTE"),"PENDIENTE",TablaVentas[[#This Row],[Ingreso_neto]]-TablaVentas[[#This Row],[Costo_total]])</f>
        <v>2783.6</v>
      </c>
    </row>
    <row r="1201" customFormat="false" ht="13.5" hidden="false" customHeight="false" outlineLevel="0" collapsed="false">
      <c r="A1201" s="1" t="s">
        <v>886</v>
      </c>
      <c r="B1201" s="1" t="n">
        <v>1</v>
      </c>
      <c r="C1201" s="5" t="n">
        <v>46077</v>
      </c>
      <c r="D1201" s="6" t="s">
        <v>887</v>
      </c>
      <c r="E1201" s="6" t="s">
        <v>85</v>
      </c>
      <c r="F1201" s="6" t="s">
        <v>46</v>
      </c>
      <c r="G1201" s="6" t="s">
        <v>64</v>
      </c>
      <c r="H1201" s="6" t="s">
        <v>131</v>
      </c>
      <c r="I1201" s="1" t="n">
        <v>1</v>
      </c>
      <c r="J1201" s="7" t="n">
        <v>10074.29</v>
      </c>
      <c r="K1201" s="8" t="n">
        <v>0.2</v>
      </c>
      <c r="L1201" s="7" t="n">
        <v>5033.47</v>
      </c>
      <c r="M1201" s="6" t="s">
        <v>49</v>
      </c>
      <c r="N1201" s="6" t="s">
        <v>67</v>
      </c>
      <c r="O1201" s="6" t="n">
        <f aca="false">IF(TablaVentas[[#This Row],[Precio_unitario]]="","PENDIENTE",TablaVentas[[#This Row],[Unidades]]*TablaVentas[[#This Row],[Precio_unitario]]*(1-TablaVentas[[#This Row],[Descuento_pct]]))</f>
        <v>8059.432</v>
      </c>
      <c r="P1201" s="6" t="n">
        <f aca="false">IF(TablaVentas[[#This Row],[Costo_unitario]]="","PENDIENTE",TablaVentas[[#This Row],[Unidades]]*TablaVentas[[#This Row],[Costo_unitario]])</f>
        <v>5033.47</v>
      </c>
      <c r="Q1201" s="6" t="n">
        <f aca="false">IF(OR(TablaVentas[[#This Row],[Ingreso_neto]]="PENDIENTE",TablaVentas[[#This Row],[Costo_total]]="PENDIENTE"),"PENDIENTE",TablaVentas[[#This Row],[Ingreso_neto]]-TablaVentas[[#This Row],[Costo_total]])</f>
        <v>3025.962</v>
      </c>
    </row>
    <row r="1202" customFormat="false" ht="13.5" hidden="false" customHeight="false" outlineLevel="0" collapsed="false">
      <c r="A1202" s="1" t="s">
        <v>886</v>
      </c>
      <c r="B1202" s="1" t="n">
        <v>2</v>
      </c>
      <c r="C1202" s="5" t="n">
        <v>46077</v>
      </c>
      <c r="D1202" s="6" t="s">
        <v>887</v>
      </c>
      <c r="E1202" s="6" t="s">
        <v>139</v>
      </c>
      <c r="F1202" s="6" t="s">
        <v>46</v>
      </c>
      <c r="G1202" s="6" t="s">
        <v>64</v>
      </c>
      <c r="H1202" s="6" t="s">
        <v>131</v>
      </c>
      <c r="I1202" s="1" t="n">
        <v>8</v>
      </c>
      <c r="J1202" s="7" t="n">
        <v>16862.77</v>
      </c>
      <c r="K1202" s="8" t="n">
        <v>0</v>
      </c>
      <c r="L1202" s="7" t="n">
        <v>11036.95</v>
      </c>
      <c r="M1202" s="6" t="s">
        <v>49</v>
      </c>
      <c r="N1202" s="6" t="s">
        <v>67</v>
      </c>
      <c r="O1202" s="6" t="n">
        <f aca="false">IF(TablaVentas[[#This Row],[Precio_unitario]]="","PENDIENTE",TablaVentas[[#This Row],[Unidades]]*TablaVentas[[#This Row],[Precio_unitario]]*(1-TablaVentas[[#This Row],[Descuento_pct]]))</f>
        <v>134902.16</v>
      </c>
      <c r="P1202" s="6" t="n">
        <f aca="false">IF(TablaVentas[[#This Row],[Costo_unitario]]="","PENDIENTE",TablaVentas[[#This Row],[Unidades]]*TablaVentas[[#This Row],[Costo_unitario]])</f>
        <v>88295.6</v>
      </c>
      <c r="Q1202" s="6" t="n">
        <f aca="false">IF(OR(TablaVentas[[#This Row],[Ingreso_neto]]="PENDIENTE",TablaVentas[[#This Row],[Costo_total]]="PENDIENTE"),"PENDIENTE",TablaVentas[[#This Row],[Ingreso_neto]]-TablaVentas[[#This Row],[Costo_total]])</f>
        <v>46606.56</v>
      </c>
    </row>
    <row r="1203" customFormat="false" ht="13.5" hidden="false" customHeight="false" outlineLevel="0" collapsed="false">
      <c r="A1203" s="1" t="s">
        <v>886</v>
      </c>
      <c r="B1203" s="1" t="n">
        <v>3</v>
      </c>
      <c r="C1203" s="5" t="n">
        <v>46077</v>
      </c>
      <c r="D1203" s="6" t="s">
        <v>887</v>
      </c>
      <c r="E1203" s="6" t="s">
        <v>53</v>
      </c>
      <c r="F1203" s="6" t="s">
        <v>46</v>
      </c>
      <c r="G1203" s="6" t="s">
        <v>64</v>
      </c>
      <c r="H1203" s="6" t="s">
        <v>131</v>
      </c>
      <c r="I1203" s="1" t="n">
        <v>2</v>
      </c>
      <c r="J1203" s="7" t="n">
        <v>4327.94</v>
      </c>
      <c r="K1203" s="8" t="n">
        <v>0.15</v>
      </c>
      <c r="L1203" s="7" t="n">
        <v>2957.6</v>
      </c>
      <c r="M1203" s="6" t="s">
        <v>49</v>
      </c>
      <c r="N1203" s="6" t="s">
        <v>67</v>
      </c>
      <c r="O1203" s="6" t="n">
        <f aca="false">IF(TablaVentas[[#This Row],[Precio_unitario]]="","PENDIENTE",TablaVentas[[#This Row],[Unidades]]*TablaVentas[[#This Row],[Precio_unitario]]*(1-TablaVentas[[#This Row],[Descuento_pct]]))</f>
        <v>7357.498</v>
      </c>
      <c r="P1203" s="6" t="n">
        <f aca="false">IF(TablaVentas[[#This Row],[Costo_unitario]]="","PENDIENTE",TablaVentas[[#This Row],[Unidades]]*TablaVentas[[#This Row],[Costo_unitario]])</f>
        <v>5915.2</v>
      </c>
      <c r="Q1203" s="6" t="n">
        <f aca="false">IF(OR(TablaVentas[[#This Row],[Ingreso_neto]]="PENDIENTE",TablaVentas[[#This Row],[Costo_total]]="PENDIENTE"),"PENDIENTE",TablaVentas[[#This Row],[Ingreso_neto]]-TablaVentas[[#This Row],[Costo_total]])</f>
        <v>1442.298</v>
      </c>
    </row>
    <row r="1204" customFormat="false" ht="13.5" hidden="false" customHeight="false" outlineLevel="0" collapsed="false">
      <c r="A1204" s="1" t="s">
        <v>888</v>
      </c>
      <c r="B1204" s="1" t="n">
        <v>1</v>
      </c>
      <c r="C1204" s="5" t="n">
        <v>46219</v>
      </c>
      <c r="D1204" s="6" t="s">
        <v>889</v>
      </c>
      <c r="E1204" s="6" t="s">
        <v>108</v>
      </c>
      <c r="F1204" s="6" t="s">
        <v>84</v>
      </c>
      <c r="G1204" s="6" t="s">
        <v>57</v>
      </c>
      <c r="H1204" s="6" t="s">
        <v>74</v>
      </c>
      <c r="I1204" s="1" t="n">
        <v>3</v>
      </c>
      <c r="J1204" s="7" t="n">
        <v>4501.82</v>
      </c>
      <c r="K1204" s="8" t="n">
        <v>0</v>
      </c>
      <c r="L1204" s="7" t="n">
        <v>2865.24</v>
      </c>
      <c r="M1204" s="6" t="s">
        <v>49</v>
      </c>
      <c r="N1204" s="6" t="s">
        <v>67</v>
      </c>
      <c r="O1204" s="6" t="n">
        <f aca="false">IF(TablaVentas[[#This Row],[Precio_unitario]]="","PENDIENTE",TablaVentas[[#This Row],[Unidades]]*TablaVentas[[#This Row],[Precio_unitario]]*(1-TablaVentas[[#This Row],[Descuento_pct]]))</f>
        <v>13505.46</v>
      </c>
      <c r="P1204" s="6" t="n">
        <f aca="false">IF(TablaVentas[[#This Row],[Costo_unitario]]="","PENDIENTE",TablaVentas[[#This Row],[Unidades]]*TablaVentas[[#This Row],[Costo_unitario]])</f>
        <v>8595.72</v>
      </c>
      <c r="Q1204" s="6" t="n">
        <f aca="false">IF(OR(TablaVentas[[#This Row],[Ingreso_neto]]="PENDIENTE",TablaVentas[[#This Row],[Costo_total]]="PENDIENTE"),"PENDIENTE",TablaVentas[[#This Row],[Ingreso_neto]]-TablaVentas[[#This Row],[Costo_total]])</f>
        <v>4909.74</v>
      </c>
    </row>
    <row r="1205" customFormat="false" ht="13.5" hidden="false" customHeight="false" outlineLevel="0" collapsed="false">
      <c r="A1205" s="1" t="s">
        <v>888</v>
      </c>
      <c r="B1205" s="1" t="n">
        <v>2</v>
      </c>
      <c r="C1205" s="5" t="n">
        <v>46219</v>
      </c>
      <c r="D1205" s="6" t="s">
        <v>889</v>
      </c>
      <c r="E1205" s="6" t="s">
        <v>233</v>
      </c>
      <c r="F1205" s="6" t="s">
        <v>84</v>
      </c>
      <c r="G1205" s="6" t="s">
        <v>57</v>
      </c>
      <c r="H1205" s="6" t="s">
        <v>74</v>
      </c>
      <c r="I1205" s="1" t="n">
        <v>1</v>
      </c>
      <c r="J1205" s="7" t="n">
        <v>17611.62</v>
      </c>
      <c r="K1205" s="8" t="n">
        <v>0.2</v>
      </c>
      <c r="L1205" s="7" t="n">
        <v>9976.68</v>
      </c>
      <c r="M1205" s="6" t="s">
        <v>49</v>
      </c>
      <c r="N1205" s="6" t="s">
        <v>50</v>
      </c>
      <c r="O1205" s="6" t="n">
        <f aca="false">IF(TablaVentas[[#This Row],[Precio_unitario]]="","PENDIENTE",TablaVentas[[#This Row],[Unidades]]*TablaVentas[[#This Row],[Precio_unitario]]*(1-TablaVentas[[#This Row],[Descuento_pct]]))</f>
        <v>14089.296</v>
      </c>
      <c r="P1205" s="6" t="n">
        <f aca="false">IF(TablaVentas[[#This Row],[Costo_unitario]]="","PENDIENTE",TablaVentas[[#This Row],[Unidades]]*TablaVentas[[#This Row],[Costo_unitario]])</f>
        <v>9976.68</v>
      </c>
      <c r="Q1205" s="6" t="n">
        <f aca="false">IF(OR(TablaVentas[[#This Row],[Ingreso_neto]]="PENDIENTE",TablaVentas[[#This Row],[Costo_total]]="PENDIENTE"),"PENDIENTE",TablaVentas[[#This Row],[Ingreso_neto]]-TablaVentas[[#This Row],[Costo_total]])</f>
        <v>4112.616</v>
      </c>
    </row>
    <row r="1206" customFormat="false" ht="13.5" hidden="false" customHeight="false" outlineLevel="0" collapsed="false">
      <c r="A1206" s="1" t="s">
        <v>888</v>
      </c>
      <c r="B1206" s="1" t="n">
        <v>3</v>
      </c>
      <c r="C1206" s="5" t="n">
        <v>46219</v>
      </c>
      <c r="D1206" s="6" t="s">
        <v>889</v>
      </c>
      <c r="E1206" s="6" t="s">
        <v>269</v>
      </c>
      <c r="F1206" s="6" t="s">
        <v>84</v>
      </c>
      <c r="G1206" s="6" t="s">
        <v>57</v>
      </c>
      <c r="H1206" s="6" t="s">
        <v>74</v>
      </c>
      <c r="I1206" s="1" t="n">
        <v>4</v>
      </c>
      <c r="J1206" s="7" t="n">
        <v>13287.61</v>
      </c>
      <c r="K1206" s="8" t="n">
        <v>0</v>
      </c>
      <c r="L1206" s="7" t="n">
        <v>8227.46</v>
      </c>
      <c r="M1206" s="6" t="s">
        <v>49</v>
      </c>
      <c r="N1206" s="6" t="s">
        <v>59</v>
      </c>
      <c r="O1206" s="6" t="n">
        <f aca="false">IF(TablaVentas[[#This Row],[Precio_unitario]]="","PENDIENTE",TablaVentas[[#This Row],[Unidades]]*TablaVentas[[#This Row],[Precio_unitario]]*(1-TablaVentas[[#This Row],[Descuento_pct]]))</f>
        <v>53150.44</v>
      </c>
      <c r="P1206" s="6" t="n">
        <f aca="false">IF(TablaVentas[[#This Row],[Costo_unitario]]="","PENDIENTE",TablaVentas[[#This Row],[Unidades]]*TablaVentas[[#This Row],[Costo_unitario]])</f>
        <v>32909.84</v>
      </c>
      <c r="Q1206" s="6" t="n">
        <f aca="false">IF(OR(TablaVentas[[#This Row],[Ingreso_neto]]="PENDIENTE",TablaVentas[[#This Row],[Costo_total]]="PENDIENTE"),"PENDIENTE",TablaVentas[[#This Row],[Ingreso_neto]]-TablaVentas[[#This Row],[Costo_total]])</f>
        <v>20240.6</v>
      </c>
    </row>
    <row r="1207" customFormat="false" ht="13.5" hidden="false" customHeight="false" outlineLevel="0" collapsed="false">
      <c r="A1207" s="1" t="s">
        <v>888</v>
      </c>
      <c r="B1207" s="1" t="n">
        <v>4</v>
      </c>
      <c r="C1207" s="5" t="n">
        <v>46219</v>
      </c>
      <c r="D1207" s="6" t="s">
        <v>889</v>
      </c>
      <c r="E1207" s="6" t="s">
        <v>92</v>
      </c>
      <c r="F1207" s="6" t="s">
        <v>84</v>
      </c>
      <c r="G1207" s="6" t="s">
        <v>57</v>
      </c>
      <c r="H1207" s="6" t="s">
        <v>74</v>
      </c>
      <c r="I1207" s="1" t="n">
        <v>4</v>
      </c>
      <c r="J1207" s="7" t="n">
        <v>535.91</v>
      </c>
      <c r="K1207" s="8" t="n">
        <v>0</v>
      </c>
      <c r="L1207" s="7" t="n">
        <v>307.75</v>
      </c>
      <c r="M1207" s="6" t="s">
        <v>49</v>
      </c>
      <c r="N1207" s="6" t="s">
        <v>59</v>
      </c>
      <c r="O1207" s="6" t="n">
        <f aca="false">IF(TablaVentas[[#This Row],[Precio_unitario]]="","PENDIENTE",TablaVentas[[#This Row],[Unidades]]*TablaVentas[[#This Row],[Precio_unitario]]*(1-TablaVentas[[#This Row],[Descuento_pct]]))</f>
        <v>2143.64</v>
      </c>
      <c r="P1207" s="6" t="n">
        <f aca="false">IF(TablaVentas[[#This Row],[Costo_unitario]]="","PENDIENTE",TablaVentas[[#This Row],[Unidades]]*TablaVentas[[#This Row],[Costo_unitario]])</f>
        <v>1231</v>
      </c>
      <c r="Q1207" s="6" t="n">
        <f aca="false">IF(OR(TablaVentas[[#This Row],[Ingreso_neto]]="PENDIENTE",TablaVentas[[#This Row],[Costo_total]]="PENDIENTE"),"PENDIENTE",TablaVentas[[#This Row],[Ingreso_neto]]-TablaVentas[[#This Row],[Costo_total]])</f>
        <v>912.64</v>
      </c>
    </row>
    <row r="1208" customFormat="false" ht="13.5" hidden="false" customHeight="false" outlineLevel="0" collapsed="false">
      <c r="A1208" s="1" t="s">
        <v>888</v>
      </c>
      <c r="B1208" s="1" t="n">
        <v>5</v>
      </c>
      <c r="C1208" s="5" t="n">
        <v>46219</v>
      </c>
      <c r="D1208" s="6" t="s">
        <v>889</v>
      </c>
      <c r="E1208" s="6" t="s">
        <v>200</v>
      </c>
      <c r="F1208" s="6" t="s">
        <v>84</v>
      </c>
      <c r="G1208" s="6" t="s">
        <v>57</v>
      </c>
      <c r="H1208" s="6" t="s">
        <v>74</v>
      </c>
      <c r="I1208" s="1" t="n">
        <v>1</v>
      </c>
      <c r="J1208" s="7" t="n">
        <v>11672.71</v>
      </c>
      <c r="K1208" s="8" t="n">
        <v>0</v>
      </c>
      <c r="L1208" s="7" t="n">
        <v>5811.72</v>
      </c>
      <c r="M1208" s="6" t="s">
        <v>49</v>
      </c>
      <c r="N1208" s="6" t="s">
        <v>52</v>
      </c>
      <c r="O1208" s="6" t="n">
        <f aca="false">IF(TablaVentas[[#This Row],[Precio_unitario]]="","PENDIENTE",TablaVentas[[#This Row],[Unidades]]*TablaVentas[[#This Row],[Precio_unitario]]*(1-TablaVentas[[#This Row],[Descuento_pct]]))</f>
        <v>11672.71</v>
      </c>
      <c r="P1208" s="6" t="n">
        <f aca="false">IF(TablaVentas[[#This Row],[Costo_unitario]]="","PENDIENTE",TablaVentas[[#This Row],[Unidades]]*TablaVentas[[#This Row],[Costo_unitario]])</f>
        <v>5811.72</v>
      </c>
      <c r="Q1208" s="6" t="n">
        <f aca="false">IF(OR(TablaVentas[[#This Row],[Ingreso_neto]]="PENDIENTE",TablaVentas[[#This Row],[Costo_total]]="PENDIENTE"),"PENDIENTE",TablaVentas[[#This Row],[Ingreso_neto]]-TablaVentas[[#This Row],[Costo_total]])</f>
        <v>5860.99</v>
      </c>
    </row>
    <row r="1209" customFormat="false" ht="13.5" hidden="false" customHeight="false" outlineLevel="0" collapsed="false">
      <c r="A1209" s="1" t="s">
        <v>890</v>
      </c>
      <c r="B1209" s="1" t="n">
        <v>1</v>
      </c>
      <c r="C1209" s="5" t="n">
        <v>46194</v>
      </c>
      <c r="D1209" s="6" t="s">
        <v>891</v>
      </c>
      <c r="E1209" s="6" t="s">
        <v>240</v>
      </c>
      <c r="F1209" s="6" t="s">
        <v>63</v>
      </c>
      <c r="G1209" s="6" t="s">
        <v>57</v>
      </c>
      <c r="H1209" s="6" t="s">
        <v>80</v>
      </c>
      <c r="I1209" s="1" t="n">
        <v>4</v>
      </c>
      <c r="J1209" s="7" t="n">
        <v>10750.8</v>
      </c>
      <c r="K1209" s="8" t="n">
        <v>0</v>
      </c>
      <c r="L1209" s="7" t="n">
        <v>5932.12</v>
      </c>
      <c r="M1209" s="6" t="s">
        <v>49</v>
      </c>
      <c r="N1209" s="6" t="s">
        <v>50</v>
      </c>
      <c r="O1209" s="6" t="n">
        <f aca="false">IF(TablaVentas[[#This Row],[Precio_unitario]]="","PENDIENTE",TablaVentas[[#This Row],[Unidades]]*TablaVentas[[#This Row],[Precio_unitario]]*(1-TablaVentas[[#This Row],[Descuento_pct]]))</f>
        <v>43003.2</v>
      </c>
      <c r="P1209" s="6" t="n">
        <f aca="false">IF(TablaVentas[[#This Row],[Costo_unitario]]="","PENDIENTE",TablaVentas[[#This Row],[Unidades]]*TablaVentas[[#This Row],[Costo_unitario]])</f>
        <v>23728.48</v>
      </c>
      <c r="Q1209" s="6" t="n">
        <f aca="false">IF(OR(TablaVentas[[#This Row],[Ingreso_neto]]="PENDIENTE",TablaVentas[[#This Row],[Costo_total]]="PENDIENTE"),"PENDIENTE",TablaVentas[[#This Row],[Ingreso_neto]]-TablaVentas[[#This Row],[Costo_total]])</f>
        <v>19274.72</v>
      </c>
    </row>
    <row r="1210" customFormat="false" ht="13.5" hidden="false" customHeight="false" outlineLevel="0" collapsed="false">
      <c r="A1210" s="1" t="s">
        <v>890</v>
      </c>
      <c r="B1210" s="1" t="n">
        <v>2</v>
      </c>
      <c r="C1210" s="5" t="n">
        <v>46194</v>
      </c>
      <c r="D1210" s="6" t="s">
        <v>891</v>
      </c>
      <c r="E1210" s="6" t="s">
        <v>101</v>
      </c>
      <c r="F1210" s="6" t="s">
        <v>63</v>
      </c>
      <c r="G1210" s="6" t="s">
        <v>57</v>
      </c>
      <c r="H1210" s="6" t="s">
        <v>80</v>
      </c>
      <c r="I1210" s="1" t="n">
        <v>1</v>
      </c>
      <c r="J1210" s="7" t="n">
        <v>8143.16</v>
      </c>
      <c r="K1210" s="8" t="n">
        <v>0</v>
      </c>
      <c r="L1210" s="7" t="n">
        <v>4538.06</v>
      </c>
      <c r="M1210" s="6" t="s">
        <v>49</v>
      </c>
      <c r="N1210" s="6" t="s">
        <v>67</v>
      </c>
      <c r="O1210" s="6" t="n">
        <f aca="false">IF(TablaVentas[[#This Row],[Precio_unitario]]="","PENDIENTE",TablaVentas[[#This Row],[Unidades]]*TablaVentas[[#This Row],[Precio_unitario]]*(1-TablaVentas[[#This Row],[Descuento_pct]]))</f>
        <v>8143.16</v>
      </c>
      <c r="P1210" s="6" t="n">
        <f aca="false">IF(TablaVentas[[#This Row],[Costo_unitario]]="","PENDIENTE",TablaVentas[[#This Row],[Unidades]]*TablaVentas[[#This Row],[Costo_unitario]])</f>
        <v>4538.06</v>
      </c>
      <c r="Q1210" s="6" t="n">
        <f aca="false">IF(OR(TablaVentas[[#This Row],[Ingreso_neto]]="PENDIENTE",TablaVentas[[#This Row],[Costo_total]]="PENDIENTE"),"PENDIENTE",TablaVentas[[#This Row],[Ingreso_neto]]-TablaVentas[[#This Row],[Costo_total]])</f>
        <v>3605.1</v>
      </c>
    </row>
    <row r="1211" customFormat="false" ht="13.5" hidden="false" customHeight="false" outlineLevel="0" collapsed="false">
      <c r="A1211" s="1" t="s">
        <v>890</v>
      </c>
      <c r="B1211" s="1" t="n">
        <v>3</v>
      </c>
      <c r="C1211" s="5" t="n">
        <v>46194</v>
      </c>
      <c r="D1211" s="6" t="s">
        <v>891</v>
      </c>
      <c r="E1211" s="6" t="s">
        <v>260</v>
      </c>
      <c r="F1211" s="6" t="s">
        <v>63</v>
      </c>
      <c r="G1211" s="6" t="s">
        <v>57</v>
      </c>
      <c r="H1211" s="6" t="s">
        <v>80</v>
      </c>
      <c r="I1211" s="1" t="n">
        <v>4</v>
      </c>
      <c r="J1211" s="7" t="n">
        <v>2979.42</v>
      </c>
      <c r="K1211" s="8" t="n">
        <v>0</v>
      </c>
      <c r="L1211" s="7" t="n">
        <v>2486.18</v>
      </c>
      <c r="M1211" s="6" t="s">
        <v>49</v>
      </c>
      <c r="N1211" s="6" t="s">
        <v>67</v>
      </c>
      <c r="O1211" s="6" t="n">
        <f aca="false">IF(TablaVentas[[#This Row],[Precio_unitario]]="","PENDIENTE",TablaVentas[[#This Row],[Unidades]]*TablaVentas[[#This Row],[Precio_unitario]]*(1-TablaVentas[[#This Row],[Descuento_pct]]))</f>
        <v>11917.68</v>
      </c>
      <c r="P1211" s="6" t="n">
        <f aca="false">IF(TablaVentas[[#This Row],[Costo_unitario]]="","PENDIENTE",TablaVentas[[#This Row],[Unidades]]*TablaVentas[[#This Row],[Costo_unitario]])</f>
        <v>9944.72</v>
      </c>
      <c r="Q1211" s="6" t="n">
        <f aca="false">IF(OR(TablaVentas[[#This Row],[Ingreso_neto]]="PENDIENTE",TablaVentas[[#This Row],[Costo_total]]="PENDIENTE"),"PENDIENTE",TablaVentas[[#This Row],[Ingreso_neto]]-TablaVentas[[#This Row],[Costo_total]])</f>
        <v>1972.96</v>
      </c>
    </row>
    <row r="1212" customFormat="false" ht="13.5" hidden="false" customHeight="false" outlineLevel="0" collapsed="false">
      <c r="A1212" s="1" t="s">
        <v>892</v>
      </c>
      <c r="B1212" s="1" t="n">
        <v>1</v>
      </c>
      <c r="C1212" s="5" t="n">
        <v>46068</v>
      </c>
      <c r="D1212" s="6" t="s">
        <v>539</v>
      </c>
      <c r="E1212" s="6" t="s">
        <v>45</v>
      </c>
      <c r="F1212" s="6" t="s">
        <v>84</v>
      </c>
      <c r="G1212" s="6" t="s">
        <v>47</v>
      </c>
      <c r="H1212" s="6" t="s">
        <v>80</v>
      </c>
      <c r="I1212" s="1" t="n">
        <v>1</v>
      </c>
      <c r="J1212" s="7" t="n">
        <v>5394.09</v>
      </c>
      <c r="K1212" s="8" t="n">
        <v>0.2</v>
      </c>
      <c r="L1212" s="7" t="n">
        <v>3832.69</v>
      </c>
      <c r="M1212" s="6" t="s">
        <v>49</v>
      </c>
      <c r="N1212" s="6" t="s">
        <v>67</v>
      </c>
      <c r="O1212" s="6" t="n">
        <f aca="false">IF(TablaVentas[[#This Row],[Precio_unitario]]="","PENDIENTE",TablaVentas[[#This Row],[Unidades]]*TablaVentas[[#This Row],[Precio_unitario]]*(1-TablaVentas[[#This Row],[Descuento_pct]]))</f>
        <v>4315.272</v>
      </c>
      <c r="P1212" s="6" t="n">
        <f aca="false">IF(TablaVentas[[#This Row],[Costo_unitario]]="","PENDIENTE",TablaVentas[[#This Row],[Unidades]]*TablaVentas[[#This Row],[Costo_unitario]])</f>
        <v>3832.69</v>
      </c>
      <c r="Q1212" s="6" t="n">
        <f aca="false">IF(OR(TablaVentas[[#This Row],[Ingreso_neto]]="PENDIENTE",TablaVentas[[#This Row],[Costo_total]]="PENDIENTE"),"PENDIENTE",TablaVentas[[#This Row],[Ingreso_neto]]-TablaVentas[[#This Row],[Costo_total]])</f>
        <v>482.582</v>
      </c>
    </row>
    <row r="1213" customFormat="false" ht="13.5" hidden="false" customHeight="false" outlineLevel="0" collapsed="false">
      <c r="A1213" s="1" t="s">
        <v>892</v>
      </c>
      <c r="B1213" s="1" t="n">
        <v>2</v>
      </c>
      <c r="C1213" s="5" t="n">
        <v>46068</v>
      </c>
      <c r="D1213" s="6" t="s">
        <v>539</v>
      </c>
      <c r="E1213" s="6" t="s">
        <v>167</v>
      </c>
      <c r="F1213" s="6" t="s">
        <v>84</v>
      </c>
      <c r="G1213" s="6" t="s">
        <v>47</v>
      </c>
      <c r="H1213" s="6" t="s">
        <v>80</v>
      </c>
      <c r="I1213" s="1" t="n">
        <v>4</v>
      </c>
      <c r="J1213" s="7" t="n">
        <v>7187.19</v>
      </c>
      <c r="K1213" s="8" t="n">
        <v>0</v>
      </c>
      <c r="L1213" s="7" t="n">
        <v>4082.15</v>
      </c>
      <c r="M1213" s="6" t="s">
        <v>49</v>
      </c>
      <c r="N1213" s="6" t="s">
        <v>52</v>
      </c>
      <c r="O1213" s="6" t="n">
        <f aca="false">IF(TablaVentas[[#This Row],[Precio_unitario]]="","PENDIENTE",TablaVentas[[#This Row],[Unidades]]*TablaVentas[[#This Row],[Precio_unitario]]*(1-TablaVentas[[#This Row],[Descuento_pct]]))</f>
        <v>28748.76</v>
      </c>
      <c r="P1213" s="6" t="n">
        <f aca="false">IF(TablaVentas[[#This Row],[Costo_unitario]]="","PENDIENTE",TablaVentas[[#This Row],[Unidades]]*TablaVentas[[#This Row],[Costo_unitario]])</f>
        <v>16328.6</v>
      </c>
      <c r="Q1213" s="6" t="n">
        <f aca="false">IF(OR(TablaVentas[[#This Row],[Ingreso_neto]]="PENDIENTE",TablaVentas[[#This Row],[Costo_total]]="PENDIENTE"),"PENDIENTE",TablaVentas[[#This Row],[Ingreso_neto]]-TablaVentas[[#This Row],[Costo_total]])</f>
        <v>12420.16</v>
      </c>
    </row>
    <row r="1214" customFormat="false" ht="13.5" hidden="false" customHeight="false" outlineLevel="0" collapsed="false">
      <c r="A1214" s="1" t="s">
        <v>893</v>
      </c>
      <c r="B1214" s="1" t="n">
        <v>1</v>
      </c>
      <c r="C1214" s="5" t="n">
        <v>46098</v>
      </c>
      <c r="D1214" s="6" t="s">
        <v>376</v>
      </c>
      <c r="E1214" s="6" t="s">
        <v>190</v>
      </c>
      <c r="F1214" s="6" t="s">
        <v>63</v>
      </c>
      <c r="G1214" s="6" t="s">
        <v>47</v>
      </c>
      <c r="H1214" s="6" t="s">
        <v>136</v>
      </c>
      <c r="I1214" s="1" t="n">
        <v>1</v>
      </c>
      <c r="J1214" s="7" t="n">
        <v>4757.72</v>
      </c>
      <c r="K1214" s="8" t="n">
        <v>0.1</v>
      </c>
      <c r="L1214" s="7" t="n">
        <v>4325.73</v>
      </c>
      <c r="M1214" s="6" t="s">
        <v>49</v>
      </c>
      <c r="N1214" s="6" t="s">
        <v>59</v>
      </c>
      <c r="O1214" s="6" t="n">
        <f aca="false">IF(TablaVentas[[#This Row],[Precio_unitario]]="","PENDIENTE",TablaVentas[[#This Row],[Unidades]]*TablaVentas[[#This Row],[Precio_unitario]]*(1-TablaVentas[[#This Row],[Descuento_pct]]))</f>
        <v>4281.948</v>
      </c>
      <c r="P1214" s="6" t="n">
        <f aca="false">IF(TablaVentas[[#This Row],[Costo_unitario]]="","PENDIENTE",TablaVentas[[#This Row],[Unidades]]*TablaVentas[[#This Row],[Costo_unitario]])</f>
        <v>4325.73</v>
      </c>
      <c r="Q1214" s="6" t="n">
        <f aca="false">IF(OR(TablaVentas[[#This Row],[Ingreso_neto]]="PENDIENTE",TablaVentas[[#This Row],[Costo_total]]="PENDIENTE"),"PENDIENTE",TablaVentas[[#This Row],[Ingreso_neto]]-TablaVentas[[#This Row],[Costo_total]])</f>
        <v>-43.7819999999992</v>
      </c>
    </row>
    <row r="1215" customFormat="false" ht="13.5" hidden="false" customHeight="false" outlineLevel="0" collapsed="false">
      <c r="A1215" s="1" t="s">
        <v>893</v>
      </c>
      <c r="B1215" s="1" t="n">
        <v>2</v>
      </c>
      <c r="C1215" s="5" t="n">
        <v>46098</v>
      </c>
      <c r="D1215" s="6" t="s">
        <v>376</v>
      </c>
      <c r="E1215" s="6" t="s">
        <v>252</v>
      </c>
      <c r="F1215" s="6" t="s">
        <v>63</v>
      </c>
      <c r="G1215" s="6" t="s">
        <v>47</v>
      </c>
      <c r="H1215" s="6" t="s">
        <v>136</v>
      </c>
      <c r="I1215" s="1" t="n">
        <v>1</v>
      </c>
      <c r="J1215" s="7" t="n">
        <v>17595.76</v>
      </c>
      <c r="K1215" s="8" t="n">
        <v>0</v>
      </c>
      <c r="L1215" s="7" t="n">
        <v>10507.24</v>
      </c>
      <c r="M1215" s="6" t="s">
        <v>49</v>
      </c>
      <c r="N1215" s="6" t="s">
        <v>50</v>
      </c>
      <c r="O1215" s="6" t="n">
        <f aca="false">IF(TablaVentas[[#This Row],[Precio_unitario]]="","PENDIENTE",TablaVentas[[#This Row],[Unidades]]*TablaVentas[[#This Row],[Precio_unitario]]*(1-TablaVentas[[#This Row],[Descuento_pct]]))</f>
        <v>17595.76</v>
      </c>
      <c r="P1215" s="6" t="n">
        <f aca="false">IF(TablaVentas[[#This Row],[Costo_unitario]]="","PENDIENTE",TablaVentas[[#This Row],[Unidades]]*TablaVentas[[#This Row],[Costo_unitario]])</f>
        <v>10507.24</v>
      </c>
      <c r="Q1215" s="6" t="n">
        <f aca="false">IF(OR(TablaVentas[[#This Row],[Ingreso_neto]]="PENDIENTE",TablaVentas[[#This Row],[Costo_total]]="PENDIENTE"),"PENDIENTE",TablaVentas[[#This Row],[Ingreso_neto]]-TablaVentas[[#This Row],[Costo_total]])</f>
        <v>7088.52</v>
      </c>
    </row>
    <row r="1216" customFormat="false" ht="13.5" hidden="false" customHeight="false" outlineLevel="0" collapsed="false">
      <c r="A1216" s="1" t="s">
        <v>893</v>
      </c>
      <c r="B1216" s="1" t="n">
        <v>3</v>
      </c>
      <c r="C1216" s="5" t="n">
        <v>46098</v>
      </c>
      <c r="D1216" s="6" t="s">
        <v>376</v>
      </c>
      <c r="E1216" s="6" t="s">
        <v>150</v>
      </c>
      <c r="F1216" s="6" t="s">
        <v>63</v>
      </c>
      <c r="G1216" s="6" t="s">
        <v>47</v>
      </c>
      <c r="H1216" s="6" t="s">
        <v>136</v>
      </c>
      <c r="I1216" s="1" t="n">
        <v>4</v>
      </c>
      <c r="J1216" s="7" t="n">
        <v>8803.46</v>
      </c>
      <c r="K1216" s="8" t="n">
        <v>0.05</v>
      </c>
      <c r="L1216" s="7" t="n">
        <v>6815.42</v>
      </c>
      <c r="M1216" s="6" t="s">
        <v>49</v>
      </c>
      <c r="N1216" s="6" t="s">
        <v>59</v>
      </c>
      <c r="O1216" s="6" t="n">
        <f aca="false">IF(TablaVentas[[#This Row],[Precio_unitario]]="","PENDIENTE",TablaVentas[[#This Row],[Unidades]]*TablaVentas[[#This Row],[Precio_unitario]]*(1-TablaVentas[[#This Row],[Descuento_pct]]))</f>
        <v>33453.148</v>
      </c>
      <c r="P1216" s="6" t="n">
        <f aca="false">IF(TablaVentas[[#This Row],[Costo_unitario]]="","PENDIENTE",TablaVentas[[#This Row],[Unidades]]*TablaVentas[[#This Row],[Costo_unitario]])</f>
        <v>27261.68</v>
      </c>
      <c r="Q1216" s="6" t="n">
        <f aca="false">IF(OR(TablaVentas[[#This Row],[Ingreso_neto]]="PENDIENTE",TablaVentas[[#This Row],[Costo_total]]="PENDIENTE"),"PENDIENTE",TablaVentas[[#This Row],[Ingreso_neto]]-TablaVentas[[#This Row],[Costo_total]])</f>
        <v>6191.46799999999</v>
      </c>
    </row>
    <row r="1217" customFormat="false" ht="13.5" hidden="false" customHeight="false" outlineLevel="0" collapsed="false">
      <c r="A1217" s="1" t="s">
        <v>893</v>
      </c>
      <c r="B1217" s="1" t="n">
        <v>4</v>
      </c>
      <c r="C1217" s="5" t="n">
        <v>46098</v>
      </c>
      <c r="D1217" s="6" t="s">
        <v>376</v>
      </c>
      <c r="E1217" s="6" t="s">
        <v>171</v>
      </c>
      <c r="F1217" s="6" t="s">
        <v>63</v>
      </c>
      <c r="G1217" s="6" t="s">
        <v>47</v>
      </c>
      <c r="H1217" s="6" t="s">
        <v>136</v>
      </c>
      <c r="I1217" s="1" t="n">
        <v>2</v>
      </c>
      <c r="J1217" s="7" t="n">
        <v>6352.52</v>
      </c>
      <c r="K1217" s="8" t="n">
        <v>0.05</v>
      </c>
      <c r="L1217" s="7" t="n">
        <v>5050.04</v>
      </c>
      <c r="M1217" s="6" t="s">
        <v>49</v>
      </c>
      <c r="N1217" s="6" t="s">
        <v>50</v>
      </c>
      <c r="O1217" s="6" t="n">
        <f aca="false">IF(TablaVentas[[#This Row],[Precio_unitario]]="","PENDIENTE",TablaVentas[[#This Row],[Unidades]]*TablaVentas[[#This Row],[Precio_unitario]]*(1-TablaVentas[[#This Row],[Descuento_pct]]))</f>
        <v>12069.788</v>
      </c>
      <c r="P1217" s="6" t="n">
        <f aca="false">IF(TablaVentas[[#This Row],[Costo_unitario]]="","PENDIENTE",TablaVentas[[#This Row],[Unidades]]*TablaVentas[[#This Row],[Costo_unitario]])</f>
        <v>10100.08</v>
      </c>
      <c r="Q1217" s="6" t="n">
        <f aca="false">IF(OR(TablaVentas[[#This Row],[Ingreso_neto]]="PENDIENTE",TablaVentas[[#This Row],[Costo_total]]="PENDIENTE"),"PENDIENTE",TablaVentas[[#This Row],[Ingreso_neto]]-TablaVentas[[#This Row],[Costo_total]])</f>
        <v>1969.708</v>
      </c>
    </row>
    <row r="1218" customFormat="false" ht="13.5" hidden="false" customHeight="false" outlineLevel="0" collapsed="false">
      <c r="A1218" s="1" t="s">
        <v>893</v>
      </c>
      <c r="B1218" s="1" t="n">
        <v>5</v>
      </c>
      <c r="C1218" s="5" t="n">
        <v>46098</v>
      </c>
      <c r="D1218" s="6" t="s">
        <v>376</v>
      </c>
      <c r="E1218" s="6" t="s">
        <v>170</v>
      </c>
      <c r="F1218" s="6" t="s">
        <v>63</v>
      </c>
      <c r="G1218" s="6" t="s">
        <v>47</v>
      </c>
      <c r="H1218" s="6" t="s">
        <v>136</v>
      </c>
      <c r="I1218" s="1" t="n">
        <v>1</v>
      </c>
      <c r="J1218" s="7" t="n">
        <v>18040.77</v>
      </c>
      <c r="K1218" s="8" t="n">
        <v>0</v>
      </c>
      <c r="L1218" s="7" t="n">
        <v>12141.44</v>
      </c>
      <c r="M1218" s="6" t="s">
        <v>49</v>
      </c>
      <c r="N1218" s="6" t="s">
        <v>50</v>
      </c>
      <c r="O1218" s="6" t="n">
        <f aca="false">IF(TablaVentas[[#This Row],[Precio_unitario]]="","PENDIENTE",TablaVentas[[#This Row],[Unidades]]*TablaVentas[[#This Row],[Precio_unitario]]*(1-TablaVentas[[#This Row],[Descuento_pct]]))</f>
        <v>18040.77</v>
      </c>
      <c r="P1218" s="6" t="n">
        <f aca="false">IF(TablaVentas[[#This Row],[Costo_unitario]]="","PENDIENTE",TablaVentas[[#This Row],[Unidades]]*TablaVentas[[#This Row],[Costo_unitario]])</f>
        <v>12141.44</v>
      </c>
      <c r="Q1218" s="6" t="n">
        <f aca="false">IF(OR(TablaVentas[[#This Row],[Ingreso_neto]]="PENDIENTE",TablaVentas[[#This Row],[Costo_total]]="PENDIENTE"),"PENDIENTE",TablaVentas[[#This Row],[Ingreso_neto]]-TablaVentas[[#This Row],[Costo_total]])</f>
        <v>5899.33</v>
      </c>
    </row>
    <row r="1219" customFormat="false" ht="13.5" hidden="false" customHeight="false" outlineLevel="0" collapsed="false">
      <c r="A1219" s="1" t="s">
        <v>894</v>
      </c>
      <c r="B1219" s="1" t="n">
        <v>1</v>
      </c>
      <c r="C1219" s="5" t="n">
        <v>46075</v>
      </c>
      <c r="D1219" s="6" t="s">
        <v>655</v>
      </c>
      <c r="E1219" s="6" t="s">
        <v>167</v>
      </c>
      <c r="F1219" s="6" t="s">
        <v>73</v>
      </c>
      <c r="G1219" s="6" t="s">
        <v>57</v>
      </c>
      <c r="H1219" s="6" t="s">
        <v>191</v>
      </c>
      <c r="I1219" s="1" t="n">
        <v>1</v>
      </c>
      <c r="J1219" s="7" t="n">
        <v>7191.03</v>
      </c>
      <c r="K1219" s="8" t="n">
        <v>0.05</v>
      </c>
      <c r="L1219" s="7" t="n">
        <v>4082.15</v>
      </c>
      <c r="M1219" s="6" t="s">
        <v>49</v>
      </c>
      <c r="N1219" s="6" t="s">
        <v>67</v>
      </c>
      <c r="O1219" s="6" t="n">
        <f aca="false">IF(TablaVentas[[#This Row],[Precio_unitario]]="","PENDIENTE",TablaVentas[[#This Row],[Unidades]]*TablaVentas[[#This Row],[Precio_unitario]]*(1-TablaVentas[[#This Row],[Descuento_pct]]))</f>
        <v>6831.4785</v>
      </c>
      <c r="P1219" s="6" t="n">
        <f aca="false">IF(TablaVentas[[#This Row],[Costo_unitario]]="","PENDIENTE",TablaVentas[[#This Row],[Unidades]]*TablaVentas[[#This Row],[Costo_unitario]])</f>
        <v>4082.15</v>
      </c>
      <c r="Q1219" s="6" t="n">
        <f aca="false">IF(OR(TablaVentas[[#This Row],[Ingreso_neto]]="PENDIENTE",TablaVentas[[#This Row],[Costo_total]]="PENDIENTE"),"PENDIENTE",TablaVentas[[#This Row],[Ingreso_neto]]-TablaVentas[[#This Row],[Costo_total]])</f>
        <v>2749.3285</v>
      </c>
    </row>
    <row r="1220" customFormat="false" ht="13.5" hidden="false" customHeight="false" outlineLevel="0" collapsed="false">
      <c r="A1220" s="1" t="s">
        <v>894</v>
      </c>
      <c r="B1220" s="1" t="n">
        <v>2</v>
      </c>
      <c r="C1220" s="5" t="n">
        <v>46075</v>
      </c>
      <c r="D1220" s="6" t="s">
        <v>655</v>
      </c>
      <c r="E1220" s="6" t="s">
        <v>327</v>
      </c>
      <c r="F1220" s="6" t="s">
        <v>73</v>
      </c>
      <c r="G1220" s="6" t="s">
        <v>57</v>
      </c>
      <c r="H1220" s="6" t="s">
        <v>191</v>
      </c>
      <c r="I1220" s="1" t="n">
        <v>1</v>
      </c>
      <c r="J1220" s="7" t="n">
        <v>4489.61</v>
      </c>
      <c r="K1220" s="8" t="n">
        <v>0</v>
      </c>
      <c r="L1220" s="7" t="n">
        <v>3065.66</v>
      </c>
      <c r="M1220" s="6" t="s">
        <v>49</v>
      </c>
      <c r="N1220" s="6" t="s">
        <v>52</v>
      </c>
      <c r="O1220" s="6" t="n">
        <f aca="false">IF(TablaVentas[[#This Row],[Precio_unitario]]="","PENDIENTE",TablaVentas[[#This Row],[Unidades]]*TablaVentas[[#This Row],[Precio_unitario]]*(1-TablaVentas[[#This Row],[Descuento_pct]]))</f>
        <v>4489.61</v>
      </c>
      <c r="P1220" s="6" t="n">
        <f aca="false">IF(TablaVentas[[#This Row],[Costo_unitario]]="","PENDIENTE",TablaVentas[[#This Row],[Unidades]]*TablaVentas[[#This Row],[Costo_unitario]])</f>
        <v>3065.66</v>
      </c>
      <c r="Q1220" s="6" t="n">
        <f aca="false">IF(OR(TablaVentas[[#This Row],[Ingreso_neto]]="PENDIENTE",TablaVentas[[#This Row],[Costo_total]]="PENDIENTE"),"PENDIENTE",TablaVentas[[#This Row],[Ingreso_neto]]-TablaVentas[[#This Row],[Costo_total]])</f>
        <v>1423.95</v>
      </c>
    </row>
    <row r="1221" customFormat="false" ht="13.5" hidden="false" customHeight="false" outlineLevel="0" collapsed="false">
      <c r="A1221" s="1" t="s">
        <v>894</v>
      </c>
      <c r="B1221" s="1" t="n">
        <v>3</v>
      </c>
      <c r="C1221" s="5" t="n">
        <v>46075</v>
      </c>
      <c r="D1221" s="6" t="s">
        <v>655</v>
      </c>
      <c r="E1221" s="6" t="s">
        <v>45</v>
      </c>
      <c r="F1221" s="6" t="s">
        <v>73</v>
      </c>
      <c r="G1221" s="6" t="s">
        <v>57</v>
      </c>
      <c r="H1221" s="6" t="s">
        <v>191</v>
      </c>
      <c r="I1221" s="1" t="n">
        <v>2</v>
      </c>
      <c r="J1221" s="7" t="n">
        <v>6198.75</v>
      </c>
      <c r="K1221" s="8" t="n">
        <v>0</v>
      </c>
      <c r="L1221" s="7" t="n">
        <v>3832.69</v>
      </c>
      <c r="M1221" s="6" t="s">
        <v>49</v>
      </c>
      <c r="N1221" s="6" t="s">
        <v>67</v>
      </c>
      <c r="O1221" s="6" t="n">
        <f aca="false">IF(TablaVentas[[#This Row],[Precio_unitario]]="","PENDIENTE",TablaVentas[[#This Row],[Unidades]]*TablaVentas[[#This Row],[Precio_unitario]]*(1-TablaVentas[[#This Row],[Descuento_pct]]))</f>
        <v>12397.5</v>
      </c>
      <c r="P1221" s="6" t="n">
        <f aca="false">IF(TablaVentas[[#This Row],[Costo_unitario]]="","PENDIENTE",TablaVentas[[#This Row],[Unidades]]*TablaVentas[[#This Row],[Costo_unitario]])</f>
        <v>7665.38</v>
      </c>
      <c r="Q1221" s="6" t="n">
        <f aca="false">IF(OR(TablaVentas[[#This Row],[Ingreso_neto]]="PENDIENTE",TablaVentas[[#This Row],[Costo_total]]="PENDIENTE"),"PENDIENTE",TablaVentas[[#This Row],[Ingreso_neto]]-TablaVentas[[#This Row],[Costo_total]])</f>
        <v>4732.12</v>
      </c>
    </row>
    <row r="1222" customFormat="false" ht="13.5" hidden="false" customHeight="false" outlineLevel="0" collapsed="false">
      <c r="A1222" s="1" t="s">
        <v>895</v>
      </c>
      <c r="B1222" s="1" t="n">
        <v>1</v>
      </c>
      <c r="C1222" s="5" t="n">
        <v>46183</v>
      </c>
      <c r="D1222" s="6" t="s">
        <v>341</v>
      </c>
      <c r="E1222" s="6" t="s">
        <v>410</v>
      </c>
      <c r="F1222" s="6" t="s">
        <v>84</v>
      </c>
      <c r="G1222" s="6" t="s">
        <v>64</v>
      </c>
      <c r="H1222" s="6" t="s">
        <v>136</v>
      </c>
      <c r="I1222" s="1" t="n">
        <v>1</v>
      </c>
      <c r="J1222" s="7" t="n">
        <v>2924.06</v>
      </c>
      <c r="K1222" s="8" t="n">
        <v>0</v>
      </c>
      <c r="L1222" s="7" t="n">
        <v>1801.83</v>
      </c>
      <c r="M1222" s="6" t="s">
        <v>49</v>
      </c>
      <c r="N1222" s="6" t="s">
        <v>50</v>
      </c>
      <c r="O1222" s="6" t="n">
        <f aca="false">IF(TablaVentas[[#This Row],[Precio_unitario]]="","PENDIENTE",TablaVentas[[#This Row],[Unidades]]*TablaVentas[[#This Row],[Precio_unitario]]*(1-TablaVentas[[#This Row],[Descuento_pct]]))</f>
        <v>2924.06</v>
      </c>
      <c r="P1222" s="6" t="n">
        <f aca="false">IF(TablaVentas[[#This Row],[Costo_unitario]]="","PENDIENTE",TablaVentas[[#This Row],[Unidades]]*TablaVentas[[#This Row],[Costo_unitario]])</f>
        <v>1801.83</v>
      </c>
      <c r="Q1222" s="6" t="n">
        <f aca="false">IF(OR(TablaVentas[[#This Row],[Ingreso_neto]]="PENDIENTE",TablaVentas[[#This Row],[Costo_total]]="PENDIENTE"),"PENDIENTE",TablaVentas[[#This Row],[Ingreso_neto]]-TablaVentas[[#This Row],[Costo_total]])</f>
        <v>1122.23</v>
      </c>
    </row>
    <row r="1223" customFormat="false" ht="13.5" hidden="false" customHeight="false" outlineLevel="0" collapsed="false">
      <c r="A1223" s="1" t="s">
        <v>895</v>
      </c>
      <c r="B1223" s="1" t="n">
        <v>2</v>
      </c>
      <c r="C1223" s="5" t="n">
        <v>46183</v>
      </c>
      <c r="D1223" s="6" t="s">
        <v>341</v>
      </c>
      <c r="E1223" s="6" t="s">
        <v>260</v>
      </c>
      <c r="F1223" s="6" t="s">
        <v>84</v>
      </c>
      <c r="G1223" s="6" t="s">
        <v>64</v>
      </c>
      <c r="H1223" s="6" t="s">
        <v>136</v>
      </c>
      <c r="I1223" s="1" t="n">
        <v>4</v>
      </c>
      <c r="J1223" s="7" t="n">
        <v>2738.63</v>
      </c>
      <c r="K1223" s="8" t="n">
        <v>0</v>
      </c>
      <c r="L1223" s="7" t="n">
        <v>2486.18</v>
      </c>
      <c r="M1223" s="6" t="s">
        <v>49</v>
      </c>
      <c r="N1223" s="6" t="s">
        <v>59</v>
      </c>
      <c r="O1223" s="6" t="n">
        <f aca="false">IF(TablaVentas[[#This Row],[Precio_unitario]]="","PENDIENTE",TablaVentas[[#This Row],[Unidades]]*TablaVentas[[#This Row],[Precio_unitario]]*(1-TablaVentas[[#This Row],[Descuento_pct]]))</f>
        <v>10954.52</v>
      </c>
      <c r="P1223" s="6" t="n">
        <f aca="false">IF(TablaVentas[[#This Row],[Costo_unitario]]="","PENDIENTE",TablaVentas[[#This Row],[Unidades]]*TablaVentas[[#This Row],[Costo_unitario]])</f>
        <v>9944.72</v>
      </c>
      <c r="Q1223" s="6" t="n">
        <f aca="false">IF(OR(TablaVentas[[#This Row],[Ingreso_neto]]="PENDIENTE",TablaVentas[[#This Row],[Costo_total]]="PENDIENTE"),"PENDIENTE",TablaVentas[[#This Row],[Ingreso_neto]]-TablaVentas[[#This Row],[Costo_total]])</f>
        <v>1009.8</v>
      </c>
    </row>
    <row r="1224" customFormat="false" ht="13.5" hidden="false" customHeight="false" outlineLevel="0" collapsed="false">
      <c r="A1224" s="1" t="s">
        <v>896</v>
      </c>
      <c r="B1224" s="1" t="n">
        <v>1</v>
      </c>
      <c r="C1224" s="5" t="n">
        <v>46124</v>
      </c>
      <c r="D1224" s="6" t="s">
        <v>897</v>
      </c>
      <c r="E1224" s="6" t="s">
        <v>91</v>
      </c>
      <c r="F1224" s="6" t="s">
        <v>63</v>
      </c>
      <c r="G1224" s="6" t="s">
        <v>57</v>
      </c>
      <c r="H1224" s="6" t="s">
        <v>109</v>
      </c>
      <c r="I1224" s="1" t="n">
        <v>1</v>
      </c>
      <c r="J1224" s="7" t="n">
        <v>13891.53</v>
      </c>
      <c r="K1224" s="8" t="n">
        <v>0.15</v>
      </c>
      <c r="L1224" s="7" t="n">
        <v>8576.05</v>
      </c>
      <c r="M1224" s="6" t="s">
        <v>49</v>
      </c>
      <c r="N1224" s="6" t="s">
        <v>59</v>
      </c>
      <c r="O1224" s="6" t="n">
        <f aca="false">IF(TablaVentas[[#This Row],[Precio_unitario]]="","PENDIENTE",TablaVentas[[#This Row],[Unidades]]*TablaVentas[[#This Row],[Precio_unitario]]*(1-TablaVentas[[#This Row],[Descuento_pct]]))</f>
        <v>11807.8005</v>
      </c>
      <c r="P1224" s="6" t="n">
        <f aca="false">IF(TablaVentas[[#This Row],[Costo_unitario]]="","PENDIENTE",TablaVentas[[#This Row],[Unidades]]*TablaVentas[[#This Row],[Costo_unitario]])</f>
        <v>8576.05</v>
      </c>
      <c r="Q1224" s="6" t="n">
        <f aca="false">IF(OR(TablaVentas[[#This Row],[Ingreso_neto]]="PENDIENTE",TablaVentas[[#This Row],[Costo_total]]="PENDIENTE"),"PENDIENTE",TablaVentas[[#This Row],[Ingreso_neto]]-TablaVentas[[#This Row],[Costo_total]])</f>
        <v>3231.7505</v>
      </c>
    </row>
    <row r="1225" customFormat="false" ht="13.5" hidden="false" customHeight="false" outlineLevel="0" collapsed="false">
      <c r="A1225" s="1" t="s">
        <v>896</v>
      </c>
      <c r="B1225" s="1" t="n">
        <v>2</v>
      </c>
      <c r="C1225" s="5" t="n">
        <v>46124</v>
      </c>
      <c r="D1225" s="6" t="s">
        <v>897</v>
      </c>
      <c r="E1225" s="6" t="s">
        <v>255</v>
      </c>
      <c r="F1225" s="6" t="s">
        <v>63</v>
      </c>
      <c r="G1225" s="6" t="s">
        <v>57</v>
      </c>
      <c r="H1225" s="6" t="s">
        <v>109</v>
      </c>
      <c r="I1225" s="1" t="n">
        <v>2</v>
      </c>
      <c r="J1225" s="7" t="n">
        <v>12655.52</v>
      </c>
      <c r="K1225" s="8" t="n">
        <v>0.1</v>
      </c>
      <c r="L1225" s="7" t="n">
        <v>6856.4</v>
      </c>
      <c r="M1225" s="6" t="s">
        <v>49</v>
      </c>
      <c r="N1225" s="6" t="s">
        <v>52</v>
      </c>
      <c r="O1225" s="6" t="n">
        <f aca="false">IF(TablaVentas[[#This Row],[Precio_unitario]]="","PENDIENTE",TablaVentas[[#This Row],[Unidades]]*TablaVentas[[#This Row],[Precio_unitario]]*(1-TablaVentas[[#This Row],[Descuento_pct]]))</f>
        <v>22779.936</v>
      </c>
      <c r="P1225" s="6" t="n">
        <f aca="false">IF(TablaVentas[[#This Row],[Costo_unitario]]="","PENDIENTE",TablaVentas[[#This Row],[Unidades]]*TablaVentas[[#This Row],[Costo_unitario]])</f>
        <v>13712.8</v>
      </c>
      <c r="Q1225" s="6" t="n">
        <f aca="false">IF(OR(TablaVentas[[#This Row],[Ingreso_neto]]="PENDIENTE",TablaVentas[[#This Row],[Costo_total]]="PENDIENTE"),"PENDIENTE",TablaVentas[[#This Row],[Ingreso_neto]]-TablaVentas[[#This Row],[Costo_total]])</f>
        <v>9067.136</v>
      </c>
    </row>
    <row r="1226" customFormat="false" ht="13.5" hidden="false" customHeight="false" outlineLevel="0" collapsed="false">
      <c r="A1226" s="1" t="s">
        <v>898</v>
      </c>
      <c r="B1226" s="1" t="n">
        <v>1</v>
      </c>
      <c r="C1226" s="5" t="n">
        <v>46284</v>
      </c>
      <c r="D1226" s="6" t="s">
        <v>341</v>
      </c>
      <c r="E1226" s="6" t="s">
        <v>179</v>
      </c>
      <c r="F1226" s="6" t="s">
        <v>73</v>
      </c>
      <c r="G1226" s="6" t="s">
        <v>47</v>
      </c>
      <c r="H1226" s="6" t="s">
        <v>109</v>
      </c>
      <c r="I1226" s="1" t="n">
        <v>1</v>
      </c>
      <c r="J1226" s="7" t="n">
        <v>15152.31</v>
      </c>
      <c r="K1226" s="8" t="n">
        <v>0.05</v>
      </c>
      <c r="L1226" s="7" t="n">
        <v>10830.17</v>
      </c>
      <c r="M1226" s="6" t="s">
        <v>49</v>
      </c>
      <c r="N1226" s="6" t="s">
        <v>52</v>
      </c>
      <c r="O1226" s="6" t="n">
        <f aca="false">IF(TablaVentas[[#This Row],[Precio_unitario]]="","PENDIENTE",TablaVentas[[#This Row],[Unidades]]*TablaVentas[[#This Row],[Precio_unitario]]*(1-TablaVentas[[#This Row],[Descuento_pct]]))</f>
        <v>14394.6945</v>
      </c>
      <c r="P1226" s="6" t="n">
        <f aca="false">IF(TablaVentas[[#This Row],[Costo_unitario]]="","PENDIENTE",TablaVentas[[#This Row],[Unidades]]*TablaVentas[[#This Row],[Costo_unitario]])</f>
        <v>10830.17</v>
      </c>
      <c r="Q1226" s="6" t="n">
        <f aca="false">IF(OR(TablaVentas[[#This Row],[Ingreso_neto]]="PENDIENTE",TablaVentas[[#This Row],[Costo_total]]="PENDIENTE"),"PENDIENTE",TablaVentas[[#This Row],[Ingreso_neto]]-TablaVentas[[#This Row],[Costo_total]])</f>
        <v>3564.5245</v>
      </c>
    </row>
    <row r="1227" customFormat="false" ht="13.5" hidden="false" customHeight="false" outlineLevel="0" collapsed="false">
      <c r="A1227" s="1" t="s">
        <v>898</v>
      </c>
      <c r="B1227" s="1" t="n">
        <v>2</v>
      </c>
      <c r="C1227" s="5" t="n">
        <v>46284</v>
      </c>
      <c r="D1227" s="6" t="s">
        <v>341</v>
      </c>
      <c r="E1227" s="6" t="s">
        <v>121</v>
      </c>
      <c r="F1227" s="6" t="s">
        <v>73</v>
      </c>
      <c r="G1227" s="6" t="s">
        <v>47</v>
      </c>
      <c r="H1227" s="6" t="s">
        <v>109</v>
      </c>
      <c r="I1227" s="1" t="n">
        <v>4</v>
      </c>
      <c r="J1227" s="7" t="n">
        <v>14460.16</v>
      </c>
      <c r="K1227" s="8" t="n">
        <v>0</v>
      </c>
      <c r="L1227" s="7" t="n">
        <v>8239.48</v>
      </c>
      <c r="M1227" s="6" t="s">
        <v>49</v>
      </c>
      <c r="N1227" s="6" t="s">
        <v>50</v>
      </c>
      <c r="O1227" s="6" t="n">
        <f aca="false">IF(TablaVentas[[#This Row],[Precio_unitario]]="","PENDIENTE",TablaVentas[[#This Row],[Unidades]]*TablaVentas[[#This Row],[Precio_unitario]]*(1-TablaVentas[[#This Row],[Descuento_pct]]))</f>
        <v>57840.64</v>
      </c>
      <c r="P1227" s="6" t="n">
        <f aca="false">IF(TablaVentas[[#This Row],[Costo_unitario]]="","PENDIENTE",TablaVentas[[#This Row],[Unidades]]*TablaVentas[[#This Row],[Costo_unitario]])</f>
        <v>32957.92</v>
      </c>
      <c r="Q1227" s="6" t="n">
        <f aca="false">IF(OR(TablaVentas[[#This Row],[Ingreso_neto]]="PENDIENTE",TablaVentas[[#This Row],[Costo_total]]="PENDIENTE"),"PENDIENTE",TablaVentas[[#This Row],[Ingreso_neto]]-TablaVentas[[#This Row],[Costo_total]])</f>
        <v>24882.72</v>
      </c>
    </row>
    <row r="1228" customFormat="false" ht="13.5" hidden="false" customHeight="false" outlineLevel="0" collapsed="false">
      <c r="A1228" s="1" t="s">
        <v>898</v>
      </c>
      <c r="B1228" s="1" t="n">
        <v>3</v>
      </c>
      <c r="C1228" s="5" t="n">
        <v>46284</v>
      </c>
      <c r="D1228" s="6" t="s">
        <v>341</v>
      </c>
      <c r="E1228" s="6" t="s">
        <v>72</v>
      </c>
      <c r="F1228" s="6" t="s">
        <v>73</v>
      </c>
      <c r="G1228" s="6" t="s">
        <v>47</v>
      </c>
      <c r="H1228" s="6" t="s">
        <v>109</v>
      </c>
      <c r="I1228" s="1" t="n">
        <v>2</v>
      </c>
      <c r="J1228" s="7" t="n">
        <v>11199.89</v>
      </c>
      <c r="K1228" s="8" t="n">
        <v>0.05</v>
      </c>
      <c r="L1228" s="7" t="n">
        <v>7328.02</v>
      </c>
      <c r="M1228" s="6" t="s">
        <v>49</v>
      </c>
      <c r="N1228" s="6" t="s">
        <v>52</v>
      </c>
      <c r="O1228" s="6" t="n">
        <f aca="false">IF(TablaVentas[[#This Row],[Precio_unitario]]="","PENDIENTE",TablaVentas[[#This Row],[Unidades]]*TablaVentas[[#This Row],[Precio_unitario]]*(1-TablaVentas[[#This Row],[Descuento_pct]]))</f>
        <v>21279.791</v>
      </c>
      <c r="P1228" s="6" t="n">
        <f aca="false">IF(TablaVentas[[#This Row],[Costo_unitario]]="","PENDIENTE",TablaVentas[[#This Row],[Unidades]]*TablaVentas[[#This Row],[Costo_unitario]])</f>
        <v>14656.04</v>
      </c>
      <c r="Q1228" s="6" t="n">
        <f aca="false">IF(OR(TablaVentas[[#This Row],[Ingreso_neto]]="PENDIENTE",TablaVentas[[#This Row],[Costo_total]]="PENDIENTE"),"PENDIENTE",TablaVentas[[#This Row],[Ingreso_neto]]-TablaVentas[[#This Row],[Costo_total]])</f>
        <v>6623.751</v>
      </c>
    </row>
    <row r="1229" customFormat="false" ht="13.5" hidden="false" customHeight="false" outlineLevel="0" collapsed="false">
      <c r="A1229" s="1" t="s">
        <v>898</v>
      </c>
      <c r="B1229" s="1" t="n">
        <v>4</v>
      </c>
      <c r="C1229" s="5" t="n">
        <v>46284</v>
      </c>
      <c r="D1229" s="6" t="s">
        <v>341</v>
      </c>
      <c r="E1229" s="6" t="s">
        <v>162</v>
      </c>
      <c r="F1229" s="6" t="s">
        <v>73</v>
      </c>
      <c r="G1229" s="6" t="s">
        <v>47</v>
      </c>
      <c r="H1229" s="6" t="s">
        <v>109</v>
      </c>
      <c r="I1229" s="1" t="n">
        <v>2</v>
      </c>
      <c r="J1229" s="7" t="n">
        <v>786.9</v>
      </c>
      <c r="K1229" s="8" t="n">
        <v>0</v>
      </c>
      <c r="L1229" s="7" t="n">
        <v>397.1</v>
      </c>
      <c r="M1229" s="6" t="s">
        <v>49</v>
      </c>
      <c r="N1229" s="6" t="s">
        <v>52</v>
      </c>
      <c r="O1229" s="6" t="n">
        <f aca="false">IF(TablaVentas[[#This Row],[Precio_unitario]]="","PENDIENTE",TablaVentas[[#This Row],[Unidades]]*TablaVentas[[#This Row],[Precio_unitario]]*(1-TablaVentas[[#This Row],[Descuento_pct]]))</f>
        <v>1573.8</v>
      </c>
      <c r="P1229" s="6" t="n">
        <f aca="false">IF(TablaVentas[[#This Row],[Costo_unitario]]="","PENDIENTE",TablaVentas[[#This Row],[Unidades]]*TablaVentas[[#This Row],[Costo_unitario]])</f>
        <v>794.2</v>
      </c>
      <c r="Q1229" s="6" t="n">
        <f aca="false">IF(OR(TablaVentas[[#This Row],[Ingreso_neto]]="PENDIENTE",TablaVentas[[#This Row],[Costo_total]]="PENDIENTE"),"PENDIENTE",TablaVentas[[#This Row],[Ingreso_neto]]-TablaVentas[[#This Row],[Costo_total]])</f>
        <v>779.6</v>
      </c>
    </row>
    <row r="1230" customFormat="false" ht="13.5" hidden="false" customHeight="false" outlineLevel="0" collapsed="false">
      <c r="A1230" s="1" t="s">
        <v>898</v>
      </c>
      <c r="B1230" s="1" t="n">
        <v>5</v>
      </c>
      <c r="C1230" s="5" t="n">
        <v>46284</v>
      </c>
      <c r="D1230" s="6" t="s">
        <v>341</v>
      </c>
      <c r="E1230" s="6" t="s">
        <v>101</v>
      </c>
      <c r="F1230" s="6" t="s">
        <v>73</v>
      </c>
      <c r="G1230" s="6" t="s">
        <v>47</v>
      </c>
      <c r="H1230" s="6" t="s">
        <v>109</v>
      </c>
      <c r="I1230" s="1" t="n">
        <v>1</v>
      </c>
      <c r="J1230" s="7" t="n">
        <v>8381.75</v>
      </c>
      <c r="K1230" s="8" t="n">
        <v>0.15</v>
      </c>
      <c r="L1230" s="7" t="n">
        <v>4538.06</v>
      </c>
      <c r="M1230" s="6" t="s">
        <v>49</v>
      </c>
      <c r="N1230" s="6" t="s">
        <v>52</v>
      </c>
      <c r="O1230" s="6" t="n">
        <f aca="false">IF(TablaVentas[[#This Row],[Precio_unitario]]="","PENDIENTE",TablaVentas[[#This Row],[Unidades]]*TablaVentas[[#This Row],[Precio_unitario]]*(1-TablaVentas[[#This Row],[Descuento_pct]]))</f>
        <v>7124.4875</v>
      </c>
      <c r="P1230" s="6" t="n">
        <f aca="false">IF(TablaVentas[[#This Row],[Costo_unitario]]="","PENDIENTE",TablaVentas[[#This Row],[Unidades]]*TablaVentas[[#This Row],[Costo_unitario]])</f>
        <v>4538.06</v>
      </c>
      <c r="Q1230" s="6" t="n">
        <f aca="false">IF(OR(TablaVentas[[#This Row],[Ingreso_neto]]="PENDIENTE",TablaVentas[[#This Row],[Costo_total]]="PENDIENTE"),"PENDIENTE",TablaVentas[[#This Row],[Ingreso_neto]]-TablaVentas[[#This Row],[Costo_total]])</f>
        <v>2586.4275</v>
      </c>
    </row>
    <row r="1231" customFormat="false" ht="13.5" hidden="false" customHeight="false" outlineLevel="0" collapsed="false">
      <c r="A1231" s="1" t="s">
        <v>899</v>
      </c>
      <c r="B1231" s="1" t="n">
        <v>1</v>
      </c>
      <c r="C1231" s="5" t="n">
        <v>46142</v>
      </c>
      <c r="D1231" s="6" t="s">
        <v>727</v>
      </c>
      <c r="E1231" s="6" t="s">
        <v>284</v>
      </c>
      <c r="F1231" s="6" t="s">
        <v>63</v>
      </c>
      <c r="G1231" s="6" t="s">
        <v>47</v>
      </c>
      <c r="H1231" s="6" t="s">
        <v>80</v>
      </c>
      <c r="I1231" s="1" t="n">
        <v>1</v>
      </c>
      <c r="J1231" s="7" t="n">
        <v>6432.6</v>
      </c>
      <c r="K1231" s="8" t="n">
        <v>0.1</v>
      </c>
      <c r="L1231" s="7" t="n">
        <v>4858.08</v>
      </c>
      <c r="M1231" s="6" t="s">
        <v>49</v>
      </c>
      <c r="N1231" s="6" t="s">
        <v>52</v>
      </c>
      <c r="O1231" s="6" t="n">
        <f aca="false">IF(TablaVentas[[#This Row],[Precio_unitario]]="","PENDIENTE",TablaVentas[[#This Row],[Unidades]]*TablaVentas[[#This Row],[Precio_unitario]]*(1-TablaVentas[[#This Row],[Descuento_pct]]))</f>
        <v>5789.34</v>
      </c>
      <c r="P1231" s="6" t="n">
        <f aca="false">IF(TablaVentas[[#This Row],[Costo_unitario]]="","PENDIENTE",TablaVentas[[#This Row],[Unidades]]*TablaVentas[[#This Row],[Costo_unitario]])</f>
        <v>4858.08</v>
      </c>
      <c r="Q1231" s="6" t="n">
        <f aca="false">IF(OR(TablaVentas[[#This Row],[Ingreso_neto]]="PENDIENTE",TablaVentas[[#This Row],[Costo_total]]="PENDIENTE"),"PENDIENTE",TablaVentas[[#This Row],[Ingreso_neto]]-TablaVentas[[#This Row],[Costo_total]])</f>
        <v>931.26</v>
      </c>
    </row>
    <row r="1232" customFormat="false" ht="13.5" hidden="false" customHeight="false" outlineLevel="0" collapsed="false">
      <c r="A1232" s="1" t="s">
        <v>900</v>
      </c>
      <c r="B1232" s="1" t="n">
        <v>1</v>
      </c>
      <c r="C1232" s="5" t="n">
        <v>46270</v>
      </c>
      <c r="D1232" s="6" t="s">
        <v>611</v>
      </c>
      <c r="E1232" s="6" t="s">
        <v>151</v>
      </c>
      <c r="F1232" s="6" t="s">
        <v>73</v>
      </c>
      <c r="G1232" s="6" t="s">
        <v>57</v>
      </c>
      <c r="H1232" s="6" t="s">
        <v>65</v>
      </c>
      <c r="I1232" s="1" t="n">
        <v>5</v>
      </c>
      <c r="J1232" s="7" t="n">
        <v>10001.3</v>
      </c>
      <c r="K1232" s="8" t="n">
        <v>0.15</v>
      </c>
      <c r="L1232" s="7" t="n">
        <v>5125.36</v>
      </c>
      <c r="M1232" s="6" t="s">
        <v>49</v>
      </c>
      <c r="N1232" s="6" t="s">
        <v>59</v>
      </c>
      <c r="O1232" s="6" t="n">
        <f aca="false">IF(TablaVentas[[#This Row],[Precio_unitario]]="","PENDIENTE",TablaVentas[[#This Row],[Unidades]]*TablaVentas[[#This Row],[Precio_unitario]]*(1-TablaVentas[[#This Row],[Descuento_pct]]))</f>
        <v>42505.525</v>
      </c>
      <c r="P1232" s="6" t="n">
        <f aca="false">IF(TablaVentas[[#This Row],[Costo_unitario]]="","PENDIENTE",TablaVentas[[#This Row],[Unidades]]*TablaVentas[[#This Row],[Costo_unitario]])</f>
        <v>25626.8</v>
      </c>
      <c r="Q1232" s="6" t="n">
        <f aca="false">IF(OR(TablaVentas[[#This Row],[Ingreso_neto]]="PENDIENTE",TablaVentas[[#This Row],[Costo_total]]="PENDIENTE"),"PENDIENTE",TablaVentas[[#This Row],[Ingreso_neto]]-TablaVentas[[#This Row],[Costo_total]])</f>
        <v>16878.725</v>
      </c>
    </row>
    <row r="1233" customFormat="false" ht="13.5" hidden="false" customHeight="false" outlineLevel="0" collapsed="false">
      <c r="A1233" s="1" t="s">
        <v>900</v>
      </c>
      <c r="B1233" s="1" t="n">
        <v>2</v>
      </c>
      <c r="C1233" s="5" t="n">
        <v>46270</v>
      </c>
      <c r="D1233" s="6" t="s">
        <v>611</v>
      </c>
      <c r="E1233" s="6" t="s">
        <v>158</v>
      </c>
      <c r="F1233" s="6" t="s">
        <v>73</v>
      </c>
      <c r="G1233" s="6" t="s">
        <v>57</v>
      </c>
      <c r="H1233" s="6" t="s">
        <v>65</v>
      </c>
      <c r="I1233" s="1" t="n">
        <v>8</v>
      </c>
      <c r="J1233" s="7" t="n">
        <v>17707.37</v>
      </c>
      <c r="K1233" s="8" t="n">
        <v>0</v>
      </c>
      <c r="L1233" s="7" t="n">
        <v>8963.23</v>
      </c>
      <c r="M1233" s="6" t="s">
        <v>49</v>
      </c>
      <c r="N1233" s="6" t="s">
        <v>52</v>
      </c>
      <c r="O1233" s="6" t="n">
        <f aca="false">IF(TablaVentas[[#This Row],[Precio_unitario]]="","PENDIENTE",TablaVentas[[#This Row],[Unidades]]*TablaVentas[[#This Row],[Precio_unitario]]*(1-TablaVentas[[#This Row],[Descuento_pct]]))</f>
        <v>141658.96</v>
      </c>
      <c r="P1233" s="6" t="n">
        <f aca="false">IF(TablaVentas[[#This Row],[Costo_unitario]]="","PENDIENTE",TablaVentas[[#This Row],[Unidades]]*TablaVentas[[#This Row],[Costo_unitario]])</f>
        <v>71705.84</v>
      </c>
      <c r="Q1233" s="6" t="n">
        <f aca="false">IF(OR(TablaVentas[[#This Row],[Ingreso_neto]]="PENDIENTE",TablaVentas[[#This Row],[Costo_total]]="PENDIENTE"),"PENDIENTE",TablaVentas[[#This Row],[Ingreso_neto]]-TablaVentas[[#This Row],[Costo_total]])</f>
        <v>69953.12</v>
      </c>
    </row>
    <row r="1234" customFormat="false" ht="13.5" hidden="false" customHeight="false" outlineLevel="0" collapsed="false">
      <c r="A1234" s="1" t="s">
        <v>900</v>
      </c>
      <c r="B1234" s="1" t="n">
        <v>3</v>
      </c>
      <c r="C1234" s="5" t="n">
        <v>46270</v>
      </c>
      <c r="D1234" s="6" t="s">
        <v>611</v>
      </c>
      <c r="E1234" s="6" t="s">
        <v>97</v>
      </c>
      <c r="F1234" s="6" t="s">
        <v>73</v>
      </c>
      <c r="G1234" s="6" t="s">
        <v>57</v>
      </c>
      <c r="H1234" s="6" t="s">
        <v>65</v>
      </c>
      <c r="I1234" s="1" t="n">
        <v>4</v>
      </c>
      <c r="J1234" s="7" t="n">
        <v>10308.26</v>
      </c>
      <c r="K1234" s="8" t="n">
        <v>0</v>
      </c>
      <c r="L1234" s="7" t="n">
        <v>8174.87</v>
      </c>
      <c r="M1234" s="6" t="s">
        <v>49</v>
      </c>
      <c r="N1234" s="6" t="s">
        <v>52</v>
      </c>
      <c r="O1234" s="6" t="n">
        <f aca="false">IF(TablaVentas[[#This Row],[Precio_unitario]]="","PENDIENTE",TablaVentas[[#This Row],[Unidades]]*TablaVentas[[#This Row],[Precio_unitario]]*(1-TablaVentas[[#This Row],[Descuento_pct]]))</f>
        <v>41233.04</v>
      </c>
      <c r="P1234" s="6" t="n">
        <f aca="false">IF(TablaVentas[[#This Row],[Costo_unitario]]="","PENDIENTE",TablaVentas[[#This Row],[Unidades]]*TablaVentas[[#This Row],[Costo_unitario]])</f>
        <v>32699.48</v>
      </c>
      <c r="Q1234" s="6" t="n">
        <f aca="false">IF(OR(TablaVentas[[#This Row],[Ingreso_neto]]="PENDIENTE",TablaVentas[[#This Row],[Costo_total]]="PENDIENTE"),"PENDIENTE",TablaVentas[[#This Row],[Ingreso_neto]]-TablaVentas[[#This Row],[Costo_total]])</f>
        <v>8533.56</v>
      </c>
    </row>
    <row r="1235" customFormat="false" ht="13.5" hidden="false" customHeight="false" outlineLevel="0" collapsed="false">
      <c r="A1235" s="1" t="s">
        <v>901</v>
      </c>
      <c r="B1235" s="1" t="n">
        <v>1</v>
      </c>
      <c r="C1235" s="5" t="n">
        <v>46222</v>
      </c>
      <c r="D1235" s="6" t="s">
        <v>646</v>
      </c>
      <c r="E1235" s="6" t="s">
        <v>215</v>
      </c>
      <c r="F1235" s="6" t="s">
        <v>46</v>
      </c>
      <c r="G1235" s="6" t="s">
        <v>57</v>
      </c>
      <c r="H1235" s="6" t="s">
        <v>74</v>
      </c>
      <c r="I1235" s="1" t="n">
        <v>1</v>
      </c>
      <c r="J1235" s="7" t="n">
        <v>10227.91</v>
      </c>
      <c r="K1235" s="8" t="n">
        <v>0</v>
      </c>
      <c r="L1235" s="7" t="n">
        <v>5535.31</v>
      </c>
      <c r="M1235" s="6" t="s">
        <v>49</v>
      </c>
      <c r="N1235" s="6" t="s">
        <v>50</v>
      </c>
      <c r="O1235" s="6" t="n">
        <f aca="false">IF(TablaVentas[[#This Row],[Precio_unitario]]="","PENDIENTE",TablaVentas[[#This Row],[Unidades]]*TablaVentas[[#This Row],[Precio_unitario]]*(1-TablaVentas[[#This Row],[Descuento_pct]]))</f>
        <v>10227.91</v>
      </c>
      <c r="P1235" s="6" t="n">
        <f aca="false">IF(TablaVentas[[#This Row],[Costo_unitario]]="","PENDIENTE",TablaVentas[[#This Row],[Unidades]]*TablaVentas[[#This Row],[Costo_unitario]])</f>
        <v>5535.31</v>
      </c>
      <c r="Q1235" s="6" t="n">
        <f aca="false">IF(OR(TablaVentas[[#This Row],[Ingreso_neto]]="PENDIENTE",TablaVentas[[#This Row],[Costo_total]]="PENDIENTE"),"PENDIENTE",TablaVentas[[#This Row],[Ingreso_neto]]-TablaVentas[[#This Row],[Costo_total]])</f>
        <v>4692.6</v>
      </c>
    </row>
    <row r="1236" customFormat="false" ht="13.5" hidden="false" customHeight="false" outlineLevel="0" collapsed="false">
      <c r="A1236" s="1" t="s">
        <v>901</v>
      </c>
      <c r="B1236" s="1" t="n">
        <v>2</v>
      </c>
      <c r="C1236" s="5" t="n">
        <v>46222</v>
      </c>
      <c r="D1236" s="6" t="s">
        <v>646</v>
      </c>
      <c r="E1236" s="6" t="s">
        <v>159</v>
      </c>
      <c r="F1236" s="6" t="s">
        <v>46</v>
      </c>
      <c r="G1236" s="6" t="s">
        <v>57</v>
      </c>
      <c r="H1236" s="6" t="s">
        <v>74</v>
      </c>
      <c r="I1236" s="1" t="n">
        <v>2</v>
      </c>
      <c r="J1236" s="7" t="n">
        <v>2788.04</v>
      </c>
      <c r="K1236" s="8" t="n">
        <v>0.2</v>
      </c>
      <c r="L1236" s="7" t="n">
        <v>1962.3</v>
      </c>
      <c r="M1236" s="6" t="s">
        <v>123</v>
      </c>
      <c r="N1236" s="6" t="s">
        <v>59</v>
      </c>
      <c r="O1236" s="6" t="n">
        <f aca="false">IF(TablaVentas[[#This Row],[Precio_unitario]]="","PENDIENTE",TablaVentas[[#This Row],[Unidades]]*TablaVentas[[#This Row],[Precio_unitario]]*(1-TablaVentas[[#This Row],[Descuento_pct]]))</f>
        <v>4460.864</v>
      </c>
      <c r="P1236" s="6" t="n">
        <f aca="false">IF(TablaVentas[[#This Row],[Costo_unitario]]="","PENDIENTE",TablaVentas[[#This Row],[Unidades]]*TablaVentas[[#This Row],[Costo_unitario]])</f>
        <v>3924.6</v>
      </c>
      <c r="Q1236" s="6" t="n">
        <f aca="false">IF(OR(TablaVentas[[#This Row],[Ingreso_neto]]="PENDIENTE",TablaVentas[[#This Row],[Costo_total]]="PENDIENTE"),"PENDIENTE",TablaVentas[[#This Row],[Ingreso_neto]]-TablaVentas[[#This Row],[Costo_total]])</f>
        <v>536.264000000001</v>
      </c>
    </row>
    <row r="1237" customFormat="false" ht="13.5" hidden="false" customHeight="false" outlineLevel="0" collapsed="false">
      <c r="A1237" s="1" t="s">
        <v>901</v>
      </c>
      <c r="B1237" s="1" t="n">
        <v>3</v>
      </c>
      <c r="C1237" s="5" t="n">
        <v>46222</v>
      </c>
      <c r="D1237" s="6" t="s">
        <v>646</v>
      </c>
      <c r="E1237" s="6" t="s">
        <v>219</v>
      </c>
      <c r="F1237" s="6" t="s">
        <v>46</v>
      </c>
      <c r="G1237" s="6" t="s">
        <v>57</v>
      </c>
      <c r="H1237" s="6" t="s">
        <v>74</v>
      </c>
      <c r="I1237" s="1" t="n">
        <v>1</v>
      </c>
      <c r="J1237" s="7" t="n">
        <v>3804.88</v>
      </c>
      <c r="K1237" s="8" t="n">
        <v>0</v>
      </c>
      <c r="L1237" s="7" t="n">
        <v>2157.55</v>
      </c>
      <c r="M1237" s="6" t="s">
        <v>123</v>
      </c>
      <c r="N1237" s="6" t="s">
        <v>52</v>
      </c>
      <c r="O1237" s="6" t="n">
        <f aca="false">IF(TablaVentas[[#This Row],[Precio_unitario]]="","PENDIENTE",TablaVentas[[#This Row],[Unidades]]*TablaVentas[[#This Row],[Precio_unitario]]*(1-TablaVentas[[#This Row],[Descuento_pct]]))</f>
        <v>3804.88</v>
      </c>
      <c r="P1237" s="6" t="n">
        <f aca="false">IF(TablaVentas[[#This Row],[Costo_unitario]]="","PENDIENTE",TablaVentas[[#This Row],[Unidades]]*TablaVentas[[#This Row],[Costo_unitario]])</f>
        <v>2157.55</v>
      </c>
      <c r="Q1237" s="6" t="n">
        <f aca="false">IF(OR(TablaVentas[[#This Row],[Ingreso_neto]]="PENDIENTE",TablaVentas[[#This Row],[Costo_total]]="PENDIENTE"),"PENDIENTE",TablaVentas[[#This Row],[Ingreso_neto]]-TablaVentas[[#This Row],[Costo_total]])</f>
        <v>1647.33</v>
      </c>
    </row>
    <row r="1238" customFormat="false" ht="13.5" hidden="false" customHeight="false" outlineLevel="0" collapsed="false">
      <c r="A1238" s="1" t="s">
        <v>902</v>
      </c>
      <c r="B1238" s="1" t="n">
        <v>1</v>
      </c>
      <c r="C1238" s="5" t="n">
        <v>46247</v>
      </c>
      <c r="D1238" s="6" t="s">
        <v>539</v>
      </c>
      <c r="E1238" s="6" t="s">
        <v>218</v>
      </c>
      <c r="F1238" s="6" t="s">
        <v>46</v>
      </c>
      <c r="G1238" s="6" t="s">
        <v>64</v>
      </c>
      <c r="H1238" s="6" t="s">
        <v>89</v>
      </c>
      <c r="I1238" s="1" t="n">
        <v>8</v>
      </c>
      <c r="J1238" s="7" t="n">
        <v>17986.37</v>
      </c>
      <c r="K1238" s="8" t="n">
        <v>0.2</v>
      </c>
      <c r="L1238" s="7" t="n">
        <v>13760.53</v>
      </c>
      <c r="M1238" s="6" t="s">
        <v>49</v>
      </c>
      <c r="N1238" s="6" t="s">
        <v>67</v>
      </c>
      <c r="O1238" s="6" t="n">
        <f aca="false">IF(TablaVentas[[#This Row],[Precio_unitario]]="","PENDIENTE",TablaVentas[[#This Row],[Unidades]]*TablaVentas[[#This Row],[Precio_unitario]]*(1-TablaVentas[[#This Row],[Descuento_pct]]))</f>
        <v>115112.768</v>
      </c>
      <c r="P1238" s="6" t="n">
        <f aca="false">IF(TablaVentas[[#This Row],[Costo_unitario]]="","PENDIENTE",TablaVentas[[#This Row],[Unidades]]*TablaVentas[[#This Row],[Costo_unitario]])</f>
        <v>110084.24</v>
      </c>
      <c r="Q1238" s="6" t="n">
        <f aca="false">IF(OR(TablaVentas[[#This Row],[Ingreso_neto]]="PENDIENTE",TablaVentas[[#This Row],[Costo_total]]="PENDIENTE"),"PENDIENTE",TablaVentas[[#This Row],[Ingreso_neto]]-TablaVentas[[#This Row],[Costo_total]])</f>
        <v>5028.52799999999</v>
      </c>
    </row>
    <row r="1239" customFormat="false" ht="13.5" hidden="false" customHeight="false" outlineLevel="0" collapsed="false">
      <c r="A1239" s="1" t="s">
        <v>902</v>
      </c>
      <c r="B1239" s="1" t="n">
        <v>2</v>
      </c>
      <c r="C1239" s="5" t="n">
        <v>46247</v>
      </c>
      <c r="D1239" s="6" t="s">
        <v>539</v>
      </c>
      <c r="E1239" s="6" t="s">
        <v>142</v>
      </c>
      <c r="F1239" s="6" t="s">
        <v>46</v>
      </c>
      <c r="G1239" s="6" t="s">
        <v>64</v>
      </c>
      <c r="H1239" s="6" t="s">
        <v>89</v>
      </c>
      <c r="I1239" s="1" t="n">
        <v>2</v>
      </c>
      <c r="J1239" s="7" t="n">
        <v>1967.24</v>
      </c>
      <c r="K1239" s="8" t="n">
        <v>0</v>
      </c>
      <c r="L1239" s="7" t="n">
        <v>1529.93</v>
      </c>
      <c r="M1239" s="6" t="s">
        <v>49</v>
      </c>
      <c r="N1239" s="6" t="s">
        <v>67</v>
      </c>
      <c r="O1239" s="6" t="n">
        <f aca="false">IF(TablaVentas[[#This Row],[Precio_unitario]]="","PENDIENTE",TablaVentas[[#This Row],[Unidades]]*TablaVentas[[#This Row],[Precio_unitario]]*(1-TablaVentas[[#This Row],[Descuento_pct]]))</f>
        <v>3934.48</v>
      </c>
      <c r="P1239" s="6" t="n">
        <f aca="false">IF(TablaVentas[[#This Row],[Costo_unitario]]="","PENDIENTE",TablaVentas[[#This Row],[Unidades]]*TablaVentas[[#This Row],[Costo_unitario]])</f>
        <v>3059.86</v>
      </c>
      <c r="Q1239" s="6" t="n">
        <f aca="false">IF(OR(TablaVentas[[#This Row],[Ingreso_neto]]="PENDIENTE",TablaVentas[[#This Row],[Costo_total]]="PENDIENTE"),"PENDIENTE",TablaVentas[[#This Row],[Ingreso_neto]]-TablaVentas[[#This Row],[Costo_total]])</f>
        <v>874.62</v>
      </c>
    </row>
    <row r="1240" customFormat="false" ht="13.5" hidden="false" customHeight="false" outlineLevel="0" collapsed="false">
      <c r="A1240" s="1" t="s">
        <v>903</v>
      </c>
      <c r="B1240" s="1" t="n">
        <v>1</v>
      </c>
      <c r="C1240" s="5" t="n">
        <v>46065</v>
      </c>
      <c r="D1240" s="6" t="s">
        <v>87</v>
      </c>
      <c r="E1240" s="6" t="s">
        <v>100</v>
      </c>
      <c r="F1240" s="6" t="s">
        <v>73</v>
      </c>
      <c r="G1240" s="6" t="s">
        <v>57</v>
      </c>
      <c r="H1240" s="6" t="s">
        <v>109</v>
      </c>
      <c r="I1240" s="1" t="n">
        <v>3</v>
      </c>
      <c r="J1240" s="7" t="n">
        <v>16376.82</v>
      </c>
      <c r="K1240" s="8" t="n">
        <v>0</v>
      </c>
      <c r="L1240" s="7" t="n">
        <v>8788.79</v>
      </c>
      <c r="M1240" s="6" t="s">
        <v>49</v>
      </c>
      <c r="N1240" s="6" t="s">
        <v>52</v>
      </c>
      <c r="O1240" s="6" t="n">
        <f aca="false">IF(TablaVentas[[#This Row],[Precio_unitario]]="","PENDIENTE",TablaVentas[[#This Row],[Unidades]]*TablaVentas[[#This Row],[Precio_unitario]]*(1-TablaVentas[[#This Row],[Descuento_pct]]))</f>
        <v>49130.46</v>
      </c>
      <c r="P1240" s="6" t="n">
        <f aca="false">IF(TablaVentas[[#This Row],[Costo_unitario]]="","PENDIENTE",TablaVentas[[#This Row],[Unidades]]*TablaVentas[[#This Row],[Costo_unitario]])</f>
        <v>26366.37</v>
      </c>
      <c r="Q1240" s="6" t="n">
        <f aca="false">IF(OR(TablaVentas[[#This Row],[Ingreso_neto]]="PENDIENTE",TablaVentas[[#This Row],[Costo_total]]="PENDIENTE"),"PENDIENTE",TablaVentas[[#This Row],[Ingreso_neto]]-TablaVentas[[#This Row],[Costo_total]])</f>
        <v>22764.09</v>
      </c>
    </row>
    <row r="1241" customFormat="false" ht="13.5" hidden="false" customHeight="false" outlineLevel="0" collapsed="false">
      <c r="A1241" s="1" t="s">
        <v>904</v>
      </c>
      <c r="B1241" s="1" t="n">
        <v>1</v>
      </c>
      <c r="C1241" s="5" t="n">
        <v>46116</v>
      </c>
      <c r="D1241" s="6" t="s">
        <v>627</v>
      </c>
      <c r="E1241" s="6" t="s">
        <v>374</v>
      </c>
      <c r="F1241" s="6" t="s">
        <v>73</v>
      </c>
      <c r="G1241" s="6" t="s">
        <v>64</v>
      </c>
      <c r="H1241" s="6" t="s">
        <v>89</v>
      </c>
      <c r="I1241" s="1" t="n">
        <v>2</v>
      </c>
      <c r="J1241" s="7" t="n">
        <v>9671.46</v>
      </c>
      <c r="K1241" s="8" t="n">
        <v>0</v>
      </c>
      <c r="L1241" s="7" t="n">
        <v>5079.43</v>
      </c>
      <c r="M1241" s="6" t="s">
        <v>49</v>
      </c>
      <c r="N1241" s="6" t="s">
        <v>59</v>
      </c>
      <c r="O1241" s="6" t="n">
        <f aca="false">IF(TablaVentas[[#This Row],[Precio_unitario]]="","PENDIENTE",TablaVentas[[#This Row],[Unidades]]*TablaVentas[[#This Row],[Precio_unitario]]*(1-TablaVentas[[#This Row],[Descuento_pct]]))</f>
        <v>19342.92</v>
      </c>
      <c r="P1241" s="6" t="n">
        <f aca="false">IF(TablaVentas[[#This Row],[Costo_unitario]]="","PENDIENTE",TablaVentas[[#This Row],[Unidades]]*TablaVentas[[#This Row],[Costo_unitario]])</f>
        <v>10158.86</v>
      </c>
      <c r="Q1241" s="6" t="n">
        <f aca="false">IF(OR(TablaVentas[[#This Row],[Ingreso_neto]]="PENDIENTE",TablaVentas[[#This Row],[Costo_total]]="PENDIENTE"),"PENDIENTE",TablaVentas[[#This Row],[Ingreso_neto]]-TablaVentas[[#This Row],[Costo_total]])</f>
        <v>9184.06</v>
      </c>
    </row>
    <row r="1242" customFormat="false" ht="13.5" hidden="false" customHeight="false" outlineLevel="0" collapsed="false">
      <c r="A1242" s="1" t="s">
        <v>905</v>
      </c>
      <c r="B1242" s="1" t="n">
        <v>1</v>
      </c>
      <c r="C1242" s="5" t="n">
        <v>46157</v>
      </c>
      <c r="D1242" s="6" t="s">
        <v>294</v>
      </c>
      <c r="E1242" s="6" t="s">
        <v>96</v>
      </c>
      <c r="F1242" s="6" t="s">
        <v>46</v>
      </c>
      <c r="G1242" s="6" t="s">
        <v>47</v>
      </c>
      <c r="H1242" s="6" t="s">
        <v>48</v>
      </c>
      <c r="I1242" s="1" t="n">
        <v>1</v>
      </c>
      <c r="J1242" s="7" t="n">
        <v>11801.49</v>
      </c>
      <c r="K1242" s="8" t="n">
        <v>0.1</v>
      </c>
      <c r="L1242" s="7" t="n">
        <v>9118.07</v>
      </c>
      <c r="M1242" s="6" t="s">
        <v>49</v>
      </c>
      <c r="N1242" s="6" t="s">
        <v>59</v>
      </c>
      <c r="O1242" s="6" t="n">
        <f aca="false">IF(TablaVentas[[#This Row],[Precio_unitario]]="","PENDIENTE",TablaVentas[[#This Row],[Unidades]]*TablaVentas[[#This Row],[Precio_unitario]]*(1-TablaVentas[[#This Row],[Descuento_pct]]))</f>
        <v>10621.341</v>
      </c>
      <c r="P1242" s="6" t="n">
        <f aca="false">IF(TablaVentas[[#This Row],[Costo_unitario]]="","PENDIENTE",TablaVentas[[#This Row],[Unidades]]*TablaVentas[[#This Row],[Costo_unitario]])</f>
        <v>9118.07</v>
      </c>
      <c r="Q1242" s="6" t="n">
        <f aca="false">IF(OR(TablaVentas[[#This Row],[Ingreso_neto]]="PENDIENTE",TablaVentas[[#This Row],[Costo_total]]="PENDIENTE"),"PENDIENTE",TablaVentas[[#This Row],[Ingreso_neto]]-TablaVentas[[#This Row],[Costo_total]])</f>
        <v>1503.271</v>
      </c>
    </row>
    <row r="1243" customFormat="false" ht="13.5" hidden="false" customHeight="false" outlineLevel="0" collapsed="false">
      <c r="A1243" s="1" t="s">
        <v>906</v>
      </c>
      <c r="B1243" s="1" t="n">
        <v>1</v>
      </c>
      <c r="C1243" s="5" t="n">
        <v>46230</v>
      </c>
      <c r="D1243" s="6" t="s">
        <v>71</v>
      </c>
      <c r="E1243" s="6" t="s">
        <v>360</v>
      </c>
      <c r="F1243" s="6" t="s">
        <v>46</v>
      </c>
      <c r="G1243" s="6" t="s">
        <v>47</v>
      </c>
      <c r="H1243" s="6" t="s">
        <v>89</v>
      </c>
      <c r="I1243" s="1" t="n">
        <v>3</v>
      </c>
      <c r="J1243" s="7" t="n">
        <v>2001.33</v>
      </c>
      <c r="K1243" s="8" t="n">
        <v>0.2</v>
      </c>
      <c r="L1243" s="7" t="n">
        <v>1479.71</v>
      </c>
      <c r="M1243" s="6" t="s">
        <v>49</v>
      </c>
      <c r="N1243" s="6" t="s">
        <v>59</v>
      </c>
      <c r="O1243" s="6" t="n">
        <f aca="false">IF(TablaVentas[[#This Row],[Precio_unitario]]="","PENDIENTE",TablaVentas[[#This Row],[Unidades]]*TablaVentas[[#This Row],[Precio_unitario]]*(1-TablaVentas[[#This Row],[Descuento_pct]]))</f>
        <v>4803.192</v>
      </c>
      <c r="P1243" s="6" t="n">
        <f aca="false">IF(TablaVentas[[#This Row],[Costo_unitario]]="","PENDIENTE",TablaVentas[[#This Row],[Unidades]]*TablaVentas[[#This Row],[Costo_unitario]])</f>
        <v>4439.13</v>
      </c>
      <c r="Q1243" s="6" t="n">
        <f aca="false">IF(OR(TablaVentas[[#This Row],[Ingreso_neto]]="PENDIENTE",TablaVentas[[#This Row],[Costo_total]]="PENDIENTE"),"PENDIENTE",TablaVentas[[#This Row],[Ingreso_neto]]-TablaVentas[[#This Row],[Costo_total]])</f>
        <v>364.062</v>
      </c>
    </row>
    <row r="1244" customFormat="false" ht="13.5" hidden="false" customHeight="false" outlineLevel="0" collapsed="false">
      <c r="A1244" s="1" t="s">
        <v>906</v>
      </c>
      <c r="B1244" s="1" t="n">
        <v>2</v>
      </c>
      <c r="C1244" s="5" t="n">
        <v>46230</v>
      </c>
      <c r="D1244" s="6" t="s">
        <v>71</v>
      </c>
      <c r="E1244" s="6" t="s">
        <v>127</v>
      </c>
      <c r="F1244" s="6" t="s">
        <v>46</v>
      </c>
      <c r="G1244" s="6" t="s">
        <v>47</v>
      </c>
      <c r="H1244" s="6" t="s">
        <v>89</v>
      </c>
      <c r="I1244" s="1" t="n">
        <v>1</v>
      </c>
      <c r="J1244" s="7" t="n">
        <v>14075.51</v>
      </c>
      <c r="K1244" s="8" t="n">
        <v>0.15</v>
      </c>
      <c r="L1244" s="7" t="n">
        <v>7975.26</v>
      </c>
      <c r="M1244" s="6" t="s">
        <v>49</v>
      </c>
      <c r="N1244" s="6" t="s">
        <v>52</v>
      </c>
      <c r="O1244" s="6" t="n">
        <f aca="false">IF(TablaVentas[[#This Row],[Precio_unitario]]="","PENDIENTE",TablaVentas[[#This Row],[Unidades]]*TablaVentas[[#This Row],[Precio_unitario]]*(1-TablaVentas[[#This Row],[Descuento_pct]]))</f>
        <v>11964.1835</v>
      </c>
      <c r="P1244" s="6" t="n">
        <f aca="false">IF(TablaVentas[[#This Row],[Costo_unitario]]="","PENDIENTE",TablaVentas[[#This Row],[Unidades]]*TablaVentas[[#This Row],[Costo_unitario]])</f>
        <v>7975.26</v>
      </c>
      <c r="Q1244" s="6" t="n">
        <f aca="false">IF(OR(TablaVentas[[#This Row],[Ingreso_neto]]="PENDIENTE",TablaVentas[[#This Row],[Costo_total]]="PENDIENTE"),"PENDIENTE",TablaVentas[[#This Row],[Ingreso_neto]]-TablaVentas[[#This Row],[Costo_total]])</f>
        <v>3988.9235</v>
      </c>
    </row>
    <row r="1245" customFormat="false" ht="13.5" hidden="false" customHeight="false" outlineLevel="0" collapsed="false">
      <c r="A1245" s="1" t="s">
        <v>906</v>
      </c>
      <c r="B1245" s="1" t="n">
        <v>3</v>
      </c>
      <c r="C1245" s="5" t="n">
        <v>46230</v>
      </c>
      <c r="D1245" s="6" t="s">
        <v>71</v>
      </c>
      <c r="E1245" s="6" t="s">
        <v>162</v>
      </c>
      <c r="F1245" s="6" t="s">
        <v>46</v>
      </c>
      <c r="G1245" s="6" t="s">
        <v>47</v>
      </c>
      <c r="H1245" s="6" t="s">
        <v>89</v>
      </c>
      <c r="I1245" s="1" t="n">
        <v>8</v>
      </c>
      <c r="J1245" s="7" t="n">
        <v>722.61</v>
      </c>
      <c r="K1245" s="8" t="n">
        <v>0.05</v>
      </c>
      <c r="L1245" s="7" t="n">
        <v>397.1</v>
      </c>
      <c r="M1245" s="6" t="s">
        <v>49</v>
      </c>
      <c r="N1245" s="6" t="s">
        <v>67</v>
      </c>
      <c r="O1245" s="6" t="n">
        <f aca="false">IF(TablaVentas[[#This Row],[Precio_unitario]]="","PENDIENTE",TablaVentas[[#This Row],[Unidades]]*TablaVentas[[#This Row],[Precio_unitario]]*(1-TablaVentas[[#This Row],[Descuento_pct]]))</f>
        <v>5491.836</v>
      </c>
      <c r="P1245" s="6" t="n">
        <f aca="false">IF(TablaVentas[[#This Row],[Costo_unitario]]="","PENDIENTE",TablaVentas[[#This Row],[Unidades]]*TablaVentas[[#This Row],[Costo_unitario]])</f>
        <v>3176.8</v>
      </c>
      <c r="Q1245" s="6" t="n">
        <f aca="false">IF(OR(TablaVentas[[#This Row],[Ingreso_neto]]="PENDIENTE",TablaVentas[[#This Row],[Costo_total]]="PENDIENTE"),"PENDIENTE",TablaVentas[[#This Row],[Ingreso_neto]]-TablaVentas[[#This Row],[Costo_total]])</f>
        <v>2315.036</v>
      </c>
    </row>
    <row r="1246" customFormat="false" ht="13.5" hidden="false" customHeight="false" outlineLevel="0" collapsed="false">
      <c r="A1246" s="1" t="s">
        <v>907</v>
      </c>
      <c r="B1246" s="1" t="n">
        <v>1</v>
      </c>
      <c r="C1246" s="5" t="n">
        <v>46127</v>
      </c>
      <c r="D1246" s="6" t="s">
        <v>125</v>
      </c>
      <c r="E1246" s="6" t="s">
        <v>210</v>
      </c>
      <c r="F1246" s="6" t="s">
        <v>84</v>
      </c>
      <c r="G1246" s="6" t="s">
        <v>47</v>
      </c>
      <c r="H1246" s="6" t="s">
        <v>89</v>
      </c>
      <c r="I1246" s="1" t="n">
        <v>8</v>
      </c>
      <c r="J1246" s="7" t="n">
        <v>1958.31</v>
      </c>
      <c r="K1246" s="8" t="n">
        <v>0</v>
      </c>
      <c r="L1246" s="7" t="n">
        <v>1252.84</v>
      </c>
      <c r="M1246" s="6" t="s">
        <v>69</v>
      </c>
      <c r="N1246" s="6" t="s">
        <v>52</v>
      </c>
      <c r="O1246" s="6" t="n">
        <f aca="false">IF(TablaVentas[[#This Row],[Precio_unitario]]="","PENDIENTE",TablaVentas[[#This Row],[Unidades]]*TablaVentas[[#This Row],[Precio_unitario]]*(1-TablaVentas[[#This Row],[Descuento_pct]]))</f>
        <v>15666.48</v>
      </c>
      <c r="P1246" s="6" t="n">
        <f aca="false">IF(TablaVentas[[#This Row],[Costo_unitario]]="","PENDIENTE",TablaVentas[[#This Row],[Unidades]]*TablaVentas[[#This Row],[Costo_unitario]])</f>
        <v>10022.72</v>
      </c>
      <c r="Q1246" s="6" t="n">
        <f aca="false">IF(OR(TablaVentas[[#This Row],[Ingreso_neto]]="PENDIENTE",TablaVentas[[#This Row],[Costo_total]]="PENDIENTE"),"PENDIENTE",TablaVentas[[#This Row],[Ingreso_neto]]-TablaVentas[[#This Row],[Costo_total]])</f>
        <v>5643.76</v>
      </c>
    </row>
    <row r="1247" customFormat="false" ht="13.5" hidden="false" customHeight="false" outlineLevel="0" collapsed="false">
      <c r="A1247" s="1" t="s">
        <v>907</v>
      </c>
      <c r="B1247" s="1" t="n">
        <v>2</v>
      </c>
      <c r="C1247" s="5" t="n">
        <v>46127</v>
      </c>
      <c r="D1247" s="6" t="s">
        <v>125</v>
      </c>
      <c r="E1247" s="6" t="s">
        <v>120</v>
      </c>
      <c r="F1247" s="6" t="s">
        <v>84</v>
      </c>
      <c r="G1247" s="6" t="s">
        <v>47</v>
      </c>
      <c r="H1247" s="6" t="s">
        <v>89</v>
      </c>
      <c r="I1247" s="1" t="n">
        <v>3</v>
      </c>
      <c r="J1247" s="7" t="n">
        <v>2956.37</v>
      </c>
      <c r="K1247" s="8" t="n">
        <v>0</v>
      </c>
      <c r="L1247" s="7" t="n">
        <v>2196.34</v>
      </c>
      <c r="M1247" s="6" t="s">
        <v>49</v>
      </c>
      <c r="N1247" s="6" t="s">
        <v>50</v>
      </c>
      <c r="O1247" s="6" t="n">
        <f aca="false">IF(TablaVentas[[#This Row],[Precio_unitario]]="","PENDIENTE",TablaVentas[[#This Row],[Unidades]]*TablaVentas[[#This Row],[Precio_unitario]]*(1-TablaVentas[[#This Row],[Descuento_pct]]))</f>
        <v>8869.11</v>
      </c>
      <c r="P1247" s="6" t="n">
        <f aca="false">IF(TablaVentas[[#This Row],[Costo_unitario]]="","PENDIENTE",TablaVentas[[#This Row],[Unidades]]*TablaVentas[[#This Row],[Costo_unitario]])</f>
        <v>6589.02</v>
      </c>
      <c r="Q1247" s="6" t="n">
        <f aca="false">IF(OR(TablaVentas[[#This Row],[Ingreso_neto]]="PENDIENTE",TablaVentas[[#This Row],[Costo_total]]="PENDIENTE"),"PENDIENTE",TablaVentas[[#This Row],[Ingreso_neto]]-TablaVentas[[#This Row],[Costo_total]])</f>
        <v>2280.09</v>
      </c>
    </row>
    <row r="1248" customFormat="false" ht="13.5" hidden="false" customHeight="false" outlineLevel="0" collapsed="false">
      <c r="A1248" s="1" t="s">
        <v>908</v>
      </c>
      <c r="B1248" s="1" t="n">
        <v>1</v>
      </c>
      <c r="C1248" s="5" t="n">
        <v>46100</v>
      </c>
      <c r="D1248" s="6" t="s">
        <v>207</v>
      </c>
      <c r="E1248" s="6" t="s">
        <v>108</v>
      </c>
      <c r="F1248" s="6" t="s">
        <v>63</v>
      </c>
      <c r="G1248" s="6" t="s">
        <v>57</v>
      </c>
      <c r="H1248" s="6" t="s">
        <v>74</v>
      </c>
      <c r="I1248" s="1" t="n">
        <v>1</v>
      </c>
      <c r="J1248" s="7" t="n">
        <v>5336.03</v>
      </c>
      <c r="K1248" s="8" t="n">
        <v>0.2</v>
      </c>
      <c r="L1248" s="7" t="n">
        <v>2865.24</v>
      </c>
      <c r="M1248" s="6" t="s">
        <v>123</v>
      </c>
      <c r="N1248" s="6" t="s">
        <v>67</v>
      </c>
      <c r="O1248" s="6" t="n">
        <f aca="false">IF(TablaVentas[[#This Row],[Precio_unitario]]="","PENDIENTE",TablaVentas[[#This Row],[Unidades]]*TablaVentas[[#This Row],[Precio_unitario]]*(1-TablaVentas[[#This Row],[Descuento_pct]]))</f>
        <v>4268.824</v>
      </c>
      <c r="P1248" s="6" t="n">
        <f aca="false">IF(TablaVentas[[#This Row],[Costo_unitario]]="","PENDIENTE",TablaVentas[[#This Row],[Unidades]]*TablaVentas[[#This Row],[Costo_unitario]])</f>
        <v>2865.24</v>
      </c>
      <c r="Q1248" s="6" t="n">
        <f aca="false">IF(OR(TablaVentas[[#This Row],[Ingreso_neto]]="PENDIENTE",TablaVentas[[#This Row],[Costo_total]]="PENDIENTE"),"PENDIENTE",TablaVentas[[#This Row],[Ingreso_neto]]-TablaVentas[[#This Row],[Costo_total]])</f>
        <v>1403.584</v>
      </c>
    </row>
    <row r="1249" customFormat="false" ht="13.5" hidden="false" customHeight="false" outlineLevel="0" collapsed="false">
      <c r="A1249" s="1" t="s">
        <v>908</v>
      </c>
      <c r="B1249" s="1" t="n">
        <v>2</v>
      </c>
      <c r="C1249" s="5" t="n">
        <v>46100</v>
      </c>
      <c r="D1249" s="6" t="s">
        <v>207</v>
      </c>
      <c r="E1249" s="6" t="s">
        <v>233</v>
      </c>
      <c r="F1249" s="6" t="s">
        <v>63</v>
      </c>
      <c r="G1249" s="6" t="s">
        <v>57</v>
      </c>
      <c r="H1249" s="6" t="s">
        <v>74</v>
      </c>
      <c r="I1249" s="1" t="n">
        <v>1</v>
      </c>
      <c r="J1249" s="7" t="n">
        <v>18855.67</v>
      </c>
      <c r="K1249" s="8" t="n">
        <v>0.1</v>
      </c>
      <c r="L1249" s="7" t="n">
        <v>9976.68</v>
      </c>
      <c r="M1249" s="6" t="s">
        <v>49</v>
      </c>
      <c r="N1249" s="6" t="s">
        <v>52</v>
      </c>
      <c r="O1249" s="6" t="n">
        <f aca="false">IF(TablaVentas[[#This Row],[Precio_unitario]]="","PENDIENTE",TablaVentas[[#This Row],[Unidades]]*TablaVentas[[#This Row],[Precio_unitario]]*(1-TablaVentas[[#This Row],[Descuento_pct]]))</f>
        <v>16970.103</v>
      </c>
      <c r="P1249" s="6" t="n">
        <f aca="false">IF(TablaVentas[[#This Row],[Costo_unitario]]="","PENDIENTE",TablaVentas[[#This Row],[Unidades]]*TablaVentas[[#This Row],[Costo_unitario]])</f>
        <v>9976.68</v>
      </c>
      <c r="Q1249" s="6" t="n">
        <f aca="false">IF(OR(TablaVentas[[#This Row],[Ingreso_neto]]="PENDIENTE",TablaVentas[[#This Row],[Costo_total]]="PENDIENTE"),"PENDIENTE",TablaVentas[[#This Row],[Ingreso_neto]]-TablaVentas[[#This Row],[Costo_total]])</f>
        <v>6993.423</v>
      </c>
    </row>
    <row r="1250" customFormat="false" ht="13.5" hidden="false" customHeight="false" outlineLevel="0" collapsed="false">
      <c r="A1250" s="1" t="s">
        <v>908</v>
      </c>
      <c r="B1250" s="1" t="n">
        <v>3</v>
      </c>
      <c r="C1250" s="5" t="n">
        <v>46100</v>
      </c>
      <c r="D1250" s="6" t="s">
        <v>207</v>
      </c>
      <c r="E1250" s="6" t="s">
        <v>171</v>
      </c>
      <c r="F1250" s="6" t="s">
        <v>63</v>
      </c>
      <c r="G1250" s="6" t="s">
        <v>57</v>
      </c>
      <c r="H1250" s="6" t="s">
        <v>74</v>
      </c>
      <c r="I1250" s="1" t="n">
        <v>3</v>
      </c>
      <c r="J1250" s="7" t="n">
        <v>5769.28</v>
      </c>
      <c r="K1250" s="8" t="n">
        <v>0.15</v>
      </c>
      <c r="L1250" s="7" t="n">
        <v>5050.04</v>
      </c>
      <c r="M1250" s="6" t="s">
        <v>49</v>
      </c>
      <c r="N1250" s="6" t="s">
        <v>50</v>
      </c>
      <c r="O1250" s="6" t="n">
        <f aca="false">IF(TablaVentas[[#This Row],[Precio_unitario]]="","PENDIENTE",TablaVentas[[#This Row],[Unidades]]*TablaVentas[[#This Row],[Precio_unitario]]*(1-TablaVentas[[#This Row],[Descuento_pct]]))</f>
        <v>14711.664</v>
      </c>
      <c r="P1250" s="6" t="n">
        <f aca="false">IF(TablaVentas[[#This Row],[Costo_unitario]]="","PENDIENTE",TablaVentas[[#This Row],[Unidades]]*TablaVentas[[#This Row],[Costo_unitario]])</f>
        <v>15150.12</v>
      </c>
      <c r="Q1250" s="6" t="n">
        <f aca="false">IF(OR(TablaVentas[[#This Row],[Ingreso_neto]]="PENDIENTE",TablaVentas[[#This Row],[Costo_total]]="PENDIENTE"),"PENDIENTE",TablaVentas[[#This Row],[Ingreso_neto]]-TablaVentas[[#This Row],[Costo_total]])</f>
        <v>-438.456</v>
      </c>
    </row>
    <row r="1251" customFormat="false" ht="13.5" hidden="false" customHeight="false" outlineLevel="0" collapsed="false">
      <c r="A1251" s="1" t="s">
        <v>909</v>
      </c>
      <c r="B1251" s="1" t="n">
        <v>1</v>
      </c>
      <c r="C1251" s="5" t="n">
        <v>46163</v>
      </c>
      <c r="D1251" s="6" t="s">
        <v>910</v>
      </c>
      <c r="E1251" s="6" t="s">
        <v>215</v>
      </c>
      <c r="F1251" s="6" t="s">
        <v>73</v>
      </c>
      <c r="G1251" s="6" t="s">
        <v>57</v>
      </c>
      <c r="H1251" s="6" t="s">
        <v>58</v>
      </c>
      <c r="I1251" s="1" t="n">
        <v>4</v>
      </c>
      <c r="J1251" s="7" t="n">
        <v>9645.72</v>
      </c>
      <c r="K1251" s="8" t="n">
        <v>0.2</v>
      </c>
      <c r="L1251" s="7" t="n">
        <v>5535.31</v>
      </c>
      <c r="M1251" s="6" t="s">
        <v>49</v>
      </c>
      <c r="N1251" s="6" t="s">
        <v>67</v>
      </c>
      <c r="O1251" s="6" t="n">
        <f aca="false">IF(TablaVentas[[#This Row],[Precio_unitario]]="","PENDIENTE",TablaVentas[[#This Row],[Unidades]]*TablaVentas[[#This Row],[Precio_unitario]]*(1-TablaVentas[[#This Row],[Descuento_pct]]))</f>
        <v>30866.304</v>
      </c>
      <c r="P1251" s="6" t="n">
        <f aca="false">IF(TablaVentas[[#This Row],[Costo_unitario]]="","PENDIENTE",TablaVentas[[#This Row],[Unidades]]*TablaVentas[[#This Row],[Costo_unitario]])</f>
        <v>22141.24</v>
      </c>
      <c r="Q1251" s="6" t="n">
        <f aca="false">IF(OR(TablaVentas[[#This Row],[Ingreso_neto]]="PENDIENTE",TablaVentas[[#This Row],[Costo_total]]="PENDIENTE"),"PENDIENTE",TablaVentas[[#This Row],[Ingreso_neto]]-TablaVentas[[#This Row],[Costo_total]])</f>
        <v>8725.064</v>
      </c>
    </row>
    <row r="1252" customFormat="false" ht="13.5" hidden="false" customHeight="false" outlineLevel="0" collapsed="false">
      <c r="A1252" s="1" t="s">
        <v>909</v>
      </c>
      <c r="B1252" s="1" t="n">
        <v>2</v>
      </c>
      <c r="C1252" s="5" t="n">
        <v>46163</v>
      </c>
      <c r="D1252" s="6" t="s">
        <v>910</v>
      </c>
      <c r="E1252" s="6" t="s">
        <v>200</v>
      </c>
      <c r="F1252" s="6" t="s">
        <v>73</v>
      </c>
      <c r="G1252" s="6" t="s">
        <v>57</v>
      </c>
      <c r="H1252" s="6" t="s">
        <v>58</v>
      </c>
      <c r="I1252" s="1" t="n">
        <v>1</v>
      </c>
      <c r="J1252" s="7" t="n">
        <v>10655.7</v>
      </c>
      <c r="K1252" s="8" t="n">
        <v>0</v>
      </c>
      <c r="L1252" s="7" t="n">
        <v>5811.72</v>
      </c>
      <c r="M1252" s="6" t="s">
        <v>49</v>
      </c>
      <c r="N1252" s="6" t="s">
        <v>50</v>
      </c>
      <c r="O1252" s="6" t="n">
        <f aca="false">IF(TablaVentas[[#This Row],[Precio_unitario]]="","PENDIENTE",TablaVentas[[#This Row],[Unidades]]*TablaVentas[[#This Row],[Precio_unitario]]*(1-TablaVentas[[#This Row],[Descuento_pct]]))</f>
        <v>10655.7</v>
      </c>
      <c r="P1252" s="6" t="n">
        <f aca="false">IF(TablaVentas[[#This Row],[Costo_unitario]]="","PENDIENTE",TablaVentas[[#This Row],[Unidades]]*TablaVentas[[#This Row],[Costo_unitario]])</f>
        <v>5811.72</v>
      </c>
      <c r="Q1252" s="6" t="n">
        <f aca="false">IF(OR(TablaVentas[[#This Row],[Ingreso_neto]]="PENDIENTE",TablaVentas[[#This Row],[Costo_total]]="PENDIENTE"),"PENDIENTE",TablaVentas[[#This Row],[Ingreso_neto]]-TablaVentas[[#This Row],[Costo_total]])</f>
        <v>4843.98</v>
      </c>
    </row>
    <row r="1253" customFormat="false" ht="13.5" hidden="false" customHeight="false" outlineLevel="0" collapsed="false">
      <c r="A1253" s="1" t="s">
        <v>911</v>
      </c>
      <c r="B1253" s="1" t="n">
        <v>1</v>
      </c>
      <c r="C1253" s="5" t="n">
        <v>46273</v>
      </c>
      <c r="D1253" s="6" t="s">
        <v>82</v>
      </c>
      <c r="E1253" s="6" t="s">
        <v>187</v>
      </c>
      <c r="F1253" s="6" t="s">
        <v>84</v>
      </c>
      <c r="G1253" s="6" t="s">
        <v>64</v>
      </c>
      <c r="H1253" s="6" t="s">
        <v>80</v>
      </c>
      <c r="I1253" s="1" t="n">
        <v>2</v>
      </c>
      <c r="J1253" s="7" t="n">
        <v>6014.21</v>
      </c>
      <c r="K1253" s="8" t="n">
        <v>0</v>
      </c>
      <c r="L1253" s="7" t="n">
        <v>3824.92</v>
      </c>
      <c r="M1253" s="6" t="s">
        <v>49</v>
      </c>
      <c r="N1253" s="6" t="s">
        <v>52</v>
      </c>
      <c r="O1253" s="6" t="n">
        <f aca="false">IF(TablaVentas[[#This Row],[Precio_unitario]]="","PENDIENTE",TablaVentas[[#This Row],[Unidades]]*TablaVentas[[#This Row],[Precio_unitario]]*(1-TablaVentas[[#This Row],[Descuento_pct]]))</f>
        <v>12028.42</v>
      </c>
      <c r="P1253" s="6" t="n">
        <f aca="false">IF(TablaVentas[[#This Row],[Costo_unitario]]="","PENDIENTE",TablaVentas[[#This Row],[Unidades]]*TablaVentas[[#This Row],[Costo_unitario]])</f>
        <v>7649.84</v>
      </c>
      <c r="Q1253" s="6" t="n">
        <f aca="false">IF(OR(TablaVentas[[#This Row],[Ingreso_neto]]="PENDIENTE",TablaVentas[[#This Row],[Costo_total]]="PENDIENTE"),"PENDIENTE",TablaVentas[[#This Row],[Ingreso_neto]]-TablaVentas[[#This Row],[Costo_total]])</f>
        <v>4378.58</v>
      </c>
    </row>
    <row r="1254" customFormat="false" ht="13.5" hidden="false" customHeight="false" outlineLevel="0" collapsed="false">
      <c r="A1254" s="1" t="s">
        <v>911</v>
      </c>
      <c r="B1254" s="1" t="n">
        <v>2</v>
      </c>
      <c r="C1254" s="5" t="n">
        <v>46273</v>
      </c>
      <c r="D1254" s="6" t="s">
        <v>82</v>
      </c>
      <c r="E1254" s="6" t="s">
        <v>104</v>
      </c>
      <c r="F1254" s="6" t="s">
        <v>84</v>
      </c>
      <c r="G1254" s="6" t="s">
        <v>64</v>
      </c>
      <c r="H1254" s="6" t="s">
        <v>80</v>
      </c>
      <c r="I1254" s="1" t="n">
        <v>5</v>
      </c>
      <c r="J1254" s="7" t="n">
        <v>14249.74</v>
      </c>
      <c r="K1254" s="8" t="n">
        <v>0</v>
      </c>
      <c r="L1254" s="7" t="n">
        <v>11424.77</v>
      </c>
      <c r="M1254" s="6" t="s">
        <v>49</v>
      </c>
      <c r="N1254" s="6" t="s">
        <v>67</v>
      </c>
      <c r="O1254" s="6" t="n">
        <f aca="false">IF(TablaVentas[[#This Row],[Precio_unitario]]="","PENDIENTE",TablaVentas[[#This Row],[Unidades]]*TablaVentas[[#This Row],[Precio_unitario]]*(1-TablaVentas[[#This Row],[Descuento_pct]]))</f>
        <v>71248.7</v>
      </c>
      <c r="P1254" s="6" t="n">
        <f aca="false">IF(TablaVentas[[#This Row],[Costo_unitario]]="","PENDIENTE",TablaVentas[[#This Row],[Unidades]]*TablaVentas[[#This Row],[Costo_unitario]])</f>
        <v>57123.85</v>
      </c>
      <c r="Q1254" s="6" t="n">
        <f aca="false">IF(OR(TablaVentas[[#This Row],[Ingreso_neto]]="PENDIENTE",TablaVentas[[#This Row],[Costo_total]]="PENDIENTE"),"PENDIENTE",TablaVentas[[#This Row],[Ingreso_neto]]-TablaVentas[[#This Row],[Costo_total]])</f>
        <v>14124.85</v>
      </c>
    </row>
    <row r="1255" customFormat="false" ht="13.5" hidden="false" customHeight="false" outlineLevel="0" collapsed="false">
      <c r="A1255" s="1" t="s">
        <v>911</v>
      </c>
      <c r="B1255" s="1" t="n">
        <v>3</v>
      </c>
      <c r="C1255" s="5" t="n">
        <v>46273</v>
      </c>
      <c r="D1255" s="6" t="s">
        <v>82</v>
      </c>
      <c r="E1255" s="6" t="s">
        <v>88</v>
      </c>
      <c r="F1255" s="6" t="s">
        <v>84</v>
      </c>
      <c r="G1255" s="6" t="s">
        <v>64</v>
      </c>
      <c r="H1255" s="6" t="s">
        <v>80</v>
      </c>
      <c r="I1255" s="1" t="n">
        <v>2</v>
      </c>
      <c r="J1255" s="7" t="n">
        <v>16608.49</v>
      </c>
      <c r="K1255" s="8" t="n">
        <v>0.1</v>
      </c>
      <c r="L1255" s="7" t="n">
        <v>11614.87</v>
      </c>
      <c r="M1255" s="6" t="s">
        <v>49</v>
      </c>
      <c r="N1255" s="6" t="s">
        <v>50</v>
      </c>
      <c r="O1255" s="6" t="n">
        <f aca="false">IF(TablaVentas[[#This Row],[Precio_unitario]]="","PENDIENTE",TablaVentas[[#This Row],[Unidades]]*TablaVentas[[#This Row],[Precio_unitario]]*(1-TablaVentas[[#This Row],[Descuento_pct]]))</f>
        <v>29895.282</v>
      </c>
      <c r="P1255" s="6" t="n">
        <f aca="false">IF(TablaVentas[[#This Row],[Costo_unitario]]="","PENDIENTE",TablaVentas[[#This Row],[Unidades]]*TablaVentas[[#This Row],[Costo_unitario]])</f>
        <v>23229.74</v>
      </c>
      <c r="Q1255" s="6" t="n">
        <f aca="false">IF(OR(TablaVentas[[#This Row],[Ingreso_neto]]="PENDIENTE",TablaVentas[[#This Row],[Costo_total]]="PENDIENTE"),"PENDIENTE",TablaVentas[[#This Row],[Ingreso_neto]]-TablaVentas[[#This Row],[Costo_total]])</f>
        <v>6665.542</v>
      </c>
    </row>
    <row r="1256" customFormat="false" ht="13.5" hidden="false" customHeight="false" outlineLevel="0" collapsed="false">
      <c r="A1256" s="1" t="s">
        <v>912</v>
      </c>
      <c r="B1256" s="1" t="n">
        <v>1</v>
      </c>
      <c r="C1256" s="5" t="n">
        <v>46214</v>
      </c>
      <c r="D1256" s="6" t="s">
        <v>489</v>
      </c>
      <c r="E1256" s="6" t="s">
        <v>88</v>
      </c>
      <c r="F1256" s="6" t="s">
        <v>73</v>
      </c>
      <c r="G1256" s="6" t="s">
        <v>47</v>
      </c>
      <c r="H1256" s="6" t="s">
        <v>136</v>
      </c>
      <c r="I1256" s="1" t="n">
        <v>8</v>
      </c>
      <c r="J1256" s="7" t="n">
        <v>17364.47</v>
      </c>
      <c r="K1256" s="8" t="n">
        <v>0</v>
      </c>
      <c r="L1256" s="7" t="n">
        <v>11614.87</v>
      </c>
      <c r="M1256" s="6" t="s">
        <v>49</v>
      </c>
      <c r="N1256" s="6" t="s">
        <v>59</v>
      </c>
      <c r="O1256" s="6" t="n">
        <f aca="false">IF(TablaVentas[[#This Row],[Precio_unitario]]="","PENDIENTE",TablaVentas[[#This Row],[Unidades]]*TablaVentas[[#This Row],[Precio_unitario]]*(1-TablaVentas[[#This Row],[Descuento_pct]]))</f>
        <v>138915.76</v>
      </c>
      <c r="P1256" s="6" t="n">
        <f aca="false">IF(TablaVentas[[#This Row],[Costo_unitario]]="","PENDIENTE",TablaVentas[[#This Row],[Unidades]]*TablaVentas[[#This Row],[Costo_unitario]])</f>
        <v>92918.96</v>
      </c>
      <c r="Q1256" s="6" t="n">
        <f aca="false">IF(OR(TablaVentas[[#This Row],[Ingreso_neto]]="PENDIENTE",TablaVentas[[#This Row],[Costo_total]]="PENDIENTE"),"PENDIENTE",TablaVentas[[#This Row],[Ingreso_neto]]-TablaVentas[[#This Row],[Costo_total]])</f>
        <v>45996.8</v>
      </c>
    </row>
    <row r="1257" customFormat="false" ht="13.5" hidden="false" customHeight="false" outlineLevel="0" collapsed="false">
      <c r="A1257" s="1" t="s">
        <v>912</v>
      </c>
      <c r="B1257" s="1" t="n">
        <v>2</v>
      </c>
      <c r="C1257" s="5" t="n">
        <v>46214</v>
      </c>
      <c r="D1257" s="6" t="s">
        <v>489</v>
      </c>
      <c r="E1257" s="6" t="s">
        <v>147</v>
      </c>
      <c r="F1257" s="6" t="s">
        <v>73</v>
      </c>
      <c r="G1257" s="6" t="s">
        <v>47</v>
      </c>
      <c r="H1257" s="6" t="s">
        <v>136</v>
      </c>
      <c r="I1257" s="1" t="n">
        <v>3</v>
      </c>
      <c r="J1257" s="7" t="n">
        <v>2829.86</v>
      </c>
      <c r="K1257" s="8" t="n">
        <v>0</v>
      </c>
      <c r="L1257" s="7" t="n">
        <v>2427.63</v>
      </c>
      <c r="M1257" s="6" t="s">
        <v>49</v>
      </c>
      <c r="N1257" s="6" t="s">
        <v>67</v>
      </c>
      <c r="O1257" s="6" t="n">
        <f aca="false">IF(TablaVentas[[#This Row],[Precio_unitario]]="","PENDIENTE",TablaVentas[[#This Row],[Unidades]]*TablaVentas[[#This Row],[Precio_unitario]]*(1-TablaVentas[[#This Row],[Descuento_pct]]))</f>
        <v>8489.58</v>
      </c>
      <c r="P1257" s="6" t="n">
        <f aca="false">IF(TablaVentas[[#This Row],[Costo_unitario]]="","PENDIENTE",TablaVentas[[#This Row],[Unidades]]*TablaVentas[[#This Row],[Costo_unitario]])</f>
        <v>7282.89</v>
      </c>
      <c r="Q1257" s="6" t="n">
        <f aca="false">IF(OR(TablaVentas[[#This Row],[Ingreso_neto]]="PENDIENTE",TablaVentas[[#This Row],[Costo_total]]="PENDIENTE"),"PENDIENTE",TablaVentas[[#This Row],[Ingreso_neto]]-TablaVentas[[#This Row],[Costo_total]])</f>
        <v>1206.69</v>
      </c>
    </row>
    <row r="1258" customFormat="false" ht="13.5" hidden="false" customHeight="false" outlineLevel="0" collapsed="false">
      <c r="A1258" s="1" t="s">
        <v>913</v>
      </c>
      <c r="B1258" s="1" t="n">
        <v>1</v>
      </c>
      <c r="C1258" s="5" t="n">
        <v>46266</v>
      </c>
      <c r="D1258" s="6" t="s">
        <v>803</v>
      </c>
      <c r="E1258" s="6" t="s">
        <v>404</v>
      </c>
      <c r="F1258" s="6" t="s">
        <v>73</v>
      </c>
      <c r="G1258" s="6" t="s">
        <v>47</v>
      </c>
      <c r="H1258" s="6" t="s">
        <v>109</v>
      </c>
      <c r="I1258" s="1" t="n">
        <v>4</v>
      </c>
      <c r="J1258" s="7" t="n">
        <v>6423.3</v>
      </c>
      <c r="K1258" s="8" t="n">
        <v>0</v>
      </c>
      <c r="L1258" s="7" t="n">
        <v>3640.56</v>
      </c>
      <c r="M1258" s="6" t="s">
        <v>49</v>
      </c>
      <c r="N1258" s="6" t="s">
        <v>59</v>
      </c>
      <c r="O1258" s="6" t="n">
        <f aca="false">IF(TablaVentas[[#This Row],[Precio_unitario]]="","PENDIENTE",TablaVentas[[#This Row],[Unidades]]*TablaVentas[[#This Row],[Precio_unitario]]*(1-TablaVentas[[#This Row],[Descuento_pct]]))</f>
        <v>25693.2</v>
      </c>
      <c r="P1258" s="6" t="n">
        <f aca="false">IF(TablaVentas[[#This Row],[Costo_unitario]]="","PENDIENTE",TablaVentas[[#This Row],[Unidades]]*TablaVentas[[#This Row],[Costo_unitario]])</f>
        <v>14562.24</v>
      </c>
      <c r="Q1258" s="6" t="n">
        <f aca="false">IF(OR(TablaVentas[[#This Row],[Ingreso_neto]]="PENDIENTE",TablaVentas[[#This Row],[Costo_total]]="PENDIENTE"),"PENDIENTE",TablaVentas[[#This Row],[Ingreso_neto]]-TablaVentas[[#This Row],[Costo_total]])</f>
        <v>11130.96</v>
      </c>
    </row>
    <row r="1259" customFormat="false" ht="13.5" hidden="false" customHeight="false" outlineLevel="0" collapsed="false">
      <c r="A1259" s="1" t="s">
        <v>913</v>
      </c>
      <c r="B1259" s="1" t="n">
        <v>2</v>
      </c>
      <c r="C1259" s="5" t="n">
        <v>46266</v>
      </c>
      <c r="D1259" s="6" t="s">
        <v>803</v>
      </c>
      <c r="E1259" s="6" t="s">
        <v>147</v>
      </c>
      <c r="F1259" s="6" t="s">
        <v>73</v>
      </c>
      <c r="G1259" s="6" t="s">
        <v>47</v>
      </c>
      <c r="H1259" s="6" t="s">
        <v>109</v>
      </c>
      <c r="I1259" s="1" t="n">
        <v>1</v>
      </c>
      <c r="J1259" s="7" t="n">
        <v>3139.2</v>
      </c>
      <c r="K1259" s="8" t="n">
        <v>0</v>
      </c>
      <c r="L1259" s="7" t="n">
        <v>2427.63</v>
      </c>
      <c r="M1259" s="6" t="s">
        <v>49</v>
      </c>
      <c r="N1259" s="6" t="s">
        <v>59</v>
      </c>
      <c r="O1259" s="6" t="n">
        <f aca="false">IF(TablaVentas[[#This Row],[Precio_unitario]]="","PENDIENTE",TablaVentas[[#This Row],[Unidades]]*TablaVentas[[#This Row],[Precio_unitario]]*(1-TablaVentas[[#This Row],[Descuento_pct]]))</f>
        <v>3139.2</v>
      </c>
      <c r="P1259" s="6" t="n">
        <f aca="false">IF(TablaVentas[[#This Row],[Costo_unitario]]="","PENDIENTE",TablaVentas[[#This Row],[Unidades]]*TablaVentas[[#This Row],[Costo_unitario]])</f>
        <v>2427.63</v>
      </c>
      <c r="Q1259" s="6" t="n">
        <f aca="false">IF(OR(TablaVentas[[#This Row],[Ingreso_neto]]="PENDIENTE",TablaVentas[[#This Row],[Costo_total]]="PENDIENTE"),"PENDIENTE",TablaVentas[[#This Row],[Ingreso_neto]]-TablaVentas[[#This Row],[Costo_total]])</f>
        <v>711.57</v>
      </c>
    </row>
    <row r="1260" customFormat="false" ht="13.5" hidden="false" customHeight="false" outlineLevel="0" collapsed="false">
      <c r="A1260" s="1" t="s">
        <v>914</v>
      </c>
      <c r="B1260" s="1" t="n">
        <v>1</v>
      </c>
      <c r="C1260" s="5" t="n">
        <v>46042</v>
      </c>
      <c r="D1260" s="6" t="s">
        <v>181</v>
      </c>
      <c r="E1260" s="6" t="s">
        <v>66</v>
      </c>
      <c r="F1260" s="6" t="s">
        <v>46</v>
      </c>
      <c r="G1260" s="6" t="s">
        <v>57</v>
      </c>
      <c r="H1260" s="6" t="s">
        <v>89</v>
      </c>
      <c r="I1260" s="1" t="n">
        <v>3</v>
      </c>
      <c r="J1260" s="7" t="n">
        <v>14852.59</v>
      </c>
      <c r="K1260" s="8" t="n">
        <v>0.05</v>
      </c>
      <c r="L1260" s="7" t="n">
        <v>10170.29</v>
      </c>
      <c r="M1260" s="6" t="s">
        <v>49</v>
      </c>
      <c r="N1260" s="6" t="s">
        <v>52</v>
      </c>
      <c r="O1260" s="6" t="n">
        <f aca="false">IF(TablaVentas[[#This Row],[Precio_unitario]]="","PENDIENTE",TablaVentas[[#This Row],[Unidades]]*TablaVentas[[#This Row],[Precio_unitario]]*(1-TablaVentas[[#This Row],[Descuento_pct]]))</f>
        <v>42329.8815</v>
      </c>
      <c r="P1260" s="6" t="n">
        <f aca="false">IF(TablaVentas[[#This Row],[Costo_unitario]]="","PENDIENTE",TablaVentas[[#This Row],[Unidades]]*TablaVentas[[#This Row],[Costo_unitario]])</f>
        <v>30510.87</v>
      </c>
      <c r="Q1260" s="6" t="n">
        <f aca="false">IF(OR(TablaVentas[[#This Row],[Ingreso_neto]]="PENDIENTE",TablaVentas[[#This Row],[Costo_total]]="PENDIENTE"),"PENDIENTE",TablaVentas[[#This Row],[Ingreso_neto]]-TablaVentas[[#This Row],[Costo_total]])</f>
        <v>11819.0115</v>
      </c>
    </row>
    <row r="1261" customFormat="false" ht="13.5" hidden="false" customHeight="false" outlineLevel="0" collapsed="false">
      <c r="A1261" s="1" t="s">
        <v>914</v>
      </c>
      <c r="B1261" s="1" t="n">
        <v>2</v>
      </c>
      <c r="C1261" s="5" t="n">
        <v>46042</v>
      </c>
      <c r="D1261" s="6" t="s">
        <v>181</v>
      </c>
      <c r="E1261" s="6" t="s">
        <v>360</v>
      </c>
      <c r="F1261" s="6" t="s">
        <v>46</v>
      </c>
      <c r="G1261" s="6" t="s">
        <v>57</v>
      </c>
      <c r="H1261" s="6" t="s">
        <v>89</v>
      </c>
      <c r="I1261" s="1" t="n">
        <v>1</v>
      </c>
      <c r="J1261" s="7" t="n">
        <v>2032.53</v>
      </c>
      <c r="K1261" s="8" t="n">
        <v>0</v>
      </c>
      <c r="L1261" s="7" t="n">
        <v>1479.71</v>
      </c>
      <c r="M1261" s="6" t="s">
        <v>69</v>
      </c>
      <c r="N1261" s="6" t="s">
        <v>67</v>
      </c>
      <c r="O1261" s="6" t="n">
        <f aca="false">IF(TablaVentas[[#This Row],[Precio_unitario]]="","PENDIENTE",TablaVentas[[#This Row],[Unidades]]*TablaVentas[[#This Row],[Precio_unitario]]*(1-TablaVentas[[#This Row],[Descuento_pct]]))</f>
        <v>2032.53</v>
      </c>
      <c r="P1261" s="6" t="n">
        <f aca="false">IF(TablaVentas[[#This Row],[Costo_unitario]]="","PENDIENTE",TablaVentas[[#This Row],[Unidades]]*TablaVentas[[#This Row],[Costo_unitario]])</f>
        <v>1479.71</v>
      </c>
      <c r="Q1261" s="6" t="n">
        <f aca="false">IF(OR(TablaVentas[[#This Row],[Ingreso_neto]]="PENDIENTE",TablaVentas[[#This Row],[Costo_total]]="PENDIENTE"),"PENDIENTE",TablaVentas[[#This Row],[Ingreso_neto]]-TablaVentas[[#This Row],[Costo_total]])</f>
        <v>552.82</v>
      </c>
    </row>
    <row r="1262" customFormat="false" ht="13.5" hidden="false" customHeight="false" outlineLevel="0" collapsed="false">
      <c r="A1262" s="1" t="s">
        <v>914</v>
      </c>
      <c r="B1262" s="1" t="n">
        <v>3</v>
      </c>
      <c r="C1262" s="5" t="n">
        <v>46042</v>
      </c>
      <c r="D1262" s="6" t="s">
        <v>181</v>
      </c>
      <c r="E1262" s="6" t="s">
        <v>219</v>
      </c>
      <c r="F1262" s="6" t="s">
        <v>46</v>
      </c>
      <c r="G1262" s="6" t="s">
        <v>57</v>
      </c>
      <c r="H1262" s="6" t="s">
        <v>89</v>
      </c>
      <c r="I1262" s="1" t="n">
        <v>1</v>
      </c>
      <c r="J1262" s="7" t="n">
        <v>3734.3</v>
      </c>
      <c r="K1262" s="8" t="n">
        <v>0.05</v>
      </c>
      <c r="L1262" s="7" t="n">
        <v>2157.55</v>
      </c>
      <c r="M1262" s="6" t="s">
        <v>123</v>
      </c>
      <c r="N1262" s="6" t="s">
        <v>50</v>
      </c>
      <c r="O1262" s="6" t="n">
        <f aca="false">IF(TablaVentas[[#This Row],[Precio_unitario]]="","PENDIENTE",TablaVentas[[#This Row],[Unidades]]*TablaVentas[[#This Row],[Precio_unitario]]*(1-TablaVentas[[#This Row],[Descuento_pct]]))</f>
        <v>3547.585</v>
      </c>
      <c r="P1262" s="6" t="n">
        <f aca="false">IF(TablaVentas[[#This Row],[Costo_unitario]]="","PENDIENTE",TablaVentas[[#This Row],[Unidades]]*TablaVentas[[#This Row],[Costo_unitario]])</f>
        <v>2157.55</v>
      </c>
      <c r="Q1262" s="6" t="n">
        <f aca="false">IF(OR(TablaVentas[[#This Row],[Ingreso_neto]]="PENDIENTE",TablaVentas[[#This Row],[Costo_total]]="PENDIENTE"),"PENDIENTE",TablaVentas[[#This Row],[Ingreso_neto]]-TablaVentas[[#This Row],[Costo_total]])</f>
        <v>1390.035</v>
      </c>
    </row>
    <row r="1263" customFormat="false" ht="13.5" hidden="false" customHeight="false" outlineLevel="0" collapsed="false">
      <c r="A1263" s="1" t="s">
        <v>914</v>
      </c>
      <c r="B1263" s="1" t="n">
        <v>4</v>
      </c>
      <c r="C1263" s="5" t="n">
        <v>46042</v>
      </c>
      <c r="D1263" s="6" t="s">
        <v>181</v>
      </c>
      <c r="E1263" s="6" t="s">
        <v>116</v>
      </c>
      <c r="F1263" s="6" t="s">
        <v>46</v>
      </c>
      <c r="G1263" s="6" t="s">
        <v>57</v>
      </c>
      <c r="H1263" s="6" t="s">
        <v>89</v>
      </c>
      <c r="I1263" s="1" t="n">
        <v>3</v>
      </c>
      <c r="J1263" s="7" t="n">
        <v>14627.01</v>
      </c>
      <c r="K1263" s="8" t="n">
        <v>0</v>
      </c>
      <c r="L1263" s="7" t="n">
        <v>9880.77</v>
      </c>
      <c r="M1263" s="6" t="s">
        <v>49</v>
      </c>
      <c r="N1263" s="6" t="s">
        <v>59</v>
      </c>
      <c r="O1263" s="6" t="n">
        <f aca="false">IF(TablaVentas[[#This Row],[Precio_unitario]]="","PENDIENTE",TablaVentas[[#This Row],[Unidades]]*TablaVentas[[#This Row],[Precio_unitario]]*(1-TablaVentas[[#This Row],[Descuento_pct]]))</f>
        <v>43881.03</v>
      </c>
      <c r="P1263" s="6" t="n">
        <f aca="false">IF(TablaVentas[[#This Row],[Costo_unitario]]="","PENDIENTE",TablaVentas[[#This Row],[Unidades]]*TablaVentas[[#This Row],[Costo_unitario]])</f>
        <v>29642.31</v>
      </c>
      <c r="Q1263" s="6" t="n">
        <f aca="false">IF(OR(TablaVentas[[#This Row],[Ingreso_neto]]="PENDIENTE",TablaVentas[[#This Row],[Costo_total]]="PENDIENTE"),"PENDIENTE",TablaVentas[[#This Row],[Ingreso_neto]]-TablaVentas[[#This Row],[Costo_total]])</f>
        <v>14238.72</v>
      </c>
    </row>
    <row r="1264" customFormat="false" ht="13.5" hidden="false" customHeight="false" outlineLevel="0" collapsed="false">
      <c r="A1264" s="1" t="s">
        <v>914</v>
      </c>
      <c r="B1264" s="1" t="n">
        <v>5</v>
      </c>
      <c r="C1264" s="5" t="n">
        <v>46042</v>
      </c>
      <c r="D1264" s="6" t="s">
        <v>181</v>
      </c>
      <c r="E1264" s="6" t="s">
        <v>255</v>
      </c>
      <c r="F1264" s="6" t="s">
        <v>46</v>
      </c>
      <c r="G1264" s="6" t="s">
        <v>57</v>
      </c>
      <c r="H1264" s="6" t="s">
        <v>89</v>
      </c>
      <c r="I1264" s="1" t="n">
        <v>1</v>
      </c>
      <c r="J1264" s="7" t="n">
        <v>12460.2</v>
      </c>
      <c r="K1264" s="8" t="n">
        <v>0</v>
      </c>
      <c r="L1264" s="7" t="n">
        <v>6856.4</v>
      </c>
      <c r="M1264" s="6" t="s">
        <v>49</v>
      </c>
      <c r="N1264" s="6" t="s">
        <v>52</v>
      </c>
      <c r="O1264" s="6" t="n">
        <f aca="false">IF(TablaVentas[[#This Row],[Precio_unitario]]="","PENDIENTE",TablaVentas[[#This Row],[Unidades]]*TablaVentas[[#This Row],[Precio_unitario]]*(1-TablaVentas[[#This Row],[Descuento_pct]]))</f>
        <v>12460.2</v>
      </c>
      <c r="P1264" s="6" t="n">
        <f aca="false">IF(TablaVentas[[#This Row],[Costo_unitario]]="","PENDIENTE",TablaVentas[[#This Row],[Unidades]]*TablaVentas[[#This Row],[Costo_unitario]])</f>
        <v>6856.4</v>
      </c>
      <c r="Q1264" s="6" t="n">
        <f aca="false">IF(OR(TablaVentas[[#This Row],[Ingreso_neto]]="PENDIENTE",TablaVentas[[#This Row],[Costo_total]]="PENDIENTE"),"PENDIENTE",TablaVentas[[#This Row],[Ingreso_neto]]-TablaVentas[[#This Row],[Costo_total]])</f>
        <v>5603.8</v>
      </c>
    </row>
    <row r="1265" customFormat="false" ht="13.5" hidden="false" customHeight="false" outlineLevel="0" collapsed="false">
      <c r="A1265" s="1" t="s">
        <v>915</v>
      </c>
      <c r="B1265" s="1" t="n">
        <v>1</v>
      </c>
      <c r="C1265" s="5" t="n">
        <v>46092</v>
      </c>
      <c r="D1265" s="6" t="s">
        <v>262</v>
      </c>
      <c r="E1265" s="6" t="s">
        <v>88</v>
      </c>
      <c r="F1265" s="6" t="s">
        <v>84</v>
      </c>
      <c r="G1265" s="6" t="s">
        <v>47</v>
      </c>
      <c r="H1265" s="6" t="s">
        <v>191</v>
      </c>
      <c r="I1265" s="1" t="n">
        <v>1</v>
      </c>
      <c r="J1265" s="7" t="n">
        <v>17105.55</v>
      </c>
      <c r="K1265" s="8" t="n">
        <v>0.1</v>
      </c>
      <c r="L1265" s="7" t="n">
        <v>11614.87</v>
      </c>
      <c r="M1265" s="6" t="s">
        <v>49</v>
      </c>
      <c r="N1265" s="6" t="s">
        <v>50</v>
      </c>
      <c r="O1265" s="6" t="n">
        <f aca="false">IF(TablaVentas[[#This Row],[Precio_unitario]]="","PENDIENTE",TablaVentas[[#This Row],[Unidades]]*TablaVentas[[#This Row],[Precio_unitario]]*(1-TablaVentas[[#This Row],[Descuento_pct]]))</f>
        <v>15394.995</v>
      </c>
      <c r="P1265" s="6" t="n">
        <f aca="false">IF(TablaVentas[[#This Row],[Costo_unitario]]="","PENDIENTE",TablaVentas[[#This Row],[Unidades]]*TablaVentas[[#This Row],[Costo_unitario]])</f>
        <v>11614.87</v>
      </c>
      <c r="Q1265" s="6" t="n">
        <f aca="false">IF(OR(TablaVentas[[#This Row],[Ingreso_neto]]="PENDIENTE",TablaVentas[[#This Row],[Costo_total]]="PENDIENTE"),"PENDIENTE",TablaVentas[[#This Row],[Ingreso_neto]]-TablaVentas[[#This Row],[Costo_total]])</f>
        <v>3780.125</v>
      </c>
    </row>
    <row r="1266" customFormat="false" ht="13.5" hidden="false" customHeight="false" outlineLevel="0" collapsed="false">
      <c r="A1266" s="1" t="s">
        <v>915</v>
      </c>
      <c r="B1266" s="1" t="n">
        <v>2</v>
      </c>
      <c r="C1266" s="5" t="n">
        <v>46092</v>
      </c>
      <c r="D1266" s="6" t="s">
        <v>262</v>
      </c>
      <c r="E1266" s="6" t="s">
        <v>223</v>
      </c>
      <c r="F1266" s="6" t="s">
        <v>84</v>
      </c>
      <c r="G1266" s="6" t="s">
        <v>47</v>
      </c>
      <c r="H1266" s="6" t="s">
        <v>191</v>
      </c>
      <c r="I1266" s="1" t="n">
        <v>1</v>
      </c>
      <c r="J1266" s="7" t="n">
        <v>16246.81</v>
      </c>
      <c r="K1266" s="8" t="n">
        <v>0.1</v>
      </c>
      <c r="L1266" s="7" t="n">
        <v>12064.41</v>
      </c>
      <c r="M1266" s="6" t="s">
        <v>49</v>
      </c>
      <c r="N1266" s="6" t="s">
        <v>59</v>
      </c>
      <c r="O1266" s="6" t="n">
        <f aca="false">IF(TablaVentas[[#This Row],[Precio_unitario]]="","PENDIENTE",TablaVentas[[#This Row],[Unidades]]*TablaVentas[[#This Row],[Precio_unitario]]*(1-TablaVentas[[#This Row],[Descuento_pct]]))</f>
        <v>14622.129</v>
      </c>
      <c r="P1266" s="6" t="n">
        <f aca="false">IF(TablaVentas[[#This Row],[Costo_unitario]]="","PENDIENTE",TablaVentas[[#This Row],[Unidades]]*TablaVentas[[#This Row],[Costo_unitario]])</f>
        <v>12064.41</v>
      </c>
      <c r="Q1266" s="6" t="n">
        <f aca="false">IF(OR(TablaVentas[[#This Row],[Ingreso_neto]]="PENDIENTE",TablaVentas[[#This Row],[Costo_total]]="PENDIENTE"),"PENDIENTE",TablaVentas[[#This Row],[Ingreso_neto]]-TablaVentas[[#This Row],[Costo_total]])</f>
        <v>2557.719</v>
      </c>
    </row>
    <row r="1267" customFormat="false" ht="13.5" hidden="false" customHeight="false" outlineLevel="0" collapsed="false">
      <c r="A1267" s="1" t="s">
        <v>915</v>
      </c>
      <c r="B1267" s="1" t="n">
        <v>3</v>
      </c>
      <c r="C1267" s="5" t="n">
        <v>46092</v>
      </c>
      <c r="D1267" s="6" t="s">
        <v>262</v>
      </c>
      <c r="E1267" s="6" t="s">
        <v>417</v>
      </c>
      <c r="F1267" s="6" t="s">
        <v>84</v>
      </c>
      <c r="G1267" s="6" t="s">
        <v>47</v>
      </c>
      <c r="H1267" s="6" t="s">
        <v>191</v>
      </c>
      <c r="I1267" s="1" t="n">
        <v>5</v>
      </c>
      <c r="J1267" s="7" t="n">
        <v>7866.16</v>
      </c>
      <c r="K1267" s="8" t="n">
        <v>0.05</v>
      </c>
      <c r="L1267" s="7" t="n">
        <v>5874.17</v>
      </c>
      <c r="M1267" s="6" t="s">
        <v>49</v>
      </c>
      <c r="N1267" s="6" t="s">
        <v>59</v>
      </c>
      <c r="O1267" s="6" t="n">
        <f aca="false">IF(TablaVentas[[#This Row],[Precio_unitario]]="","PENDIENTE",TablaVentas[[#This Row],[Unidades]]*TablaVentas[[#This Row],[Precio_unitario]]*(1-TablaVentas[[#This Row],[Descuento_pct]]))</f>
        <v>37364.26</v>
      </c>
      <c r="P1267" s="6" t="n">
        <f aca="false">IF(TablaVentas[[#This Row],[Costo_unitario]]="","PENDIENTE",TablaVentas[[#This Row],[Unidades]]*TablaVentas[[#This Row],[Costo_unitario]])</f>
        <v>29370.85</v>
      </c>
      <c r="Q1267" s="6" t="n">
        <f aca="false">IF(OR(TablaVentas[[#This Row],[Ingreso_neto]]="PENDIENTE",TablaVentas[[#This Row],[Costo_total]]="PENDIENTE"),"PENDIENTE",TablaVentas[[#This Row],[Ingreso_neto]]-TablaVentas[[#This Row],[Costo_total]])</f>
        <v>7993.41</v>
      </c>
    </row>
    <row r="1268" customFormat="false" ht="13.5" hidden="false" customHeight="false" outlineLevel="0" collapsed="false">
      <c r="A1268" s="1" t="s">
        <v>916</v>
      </c>
      <c r="B1268" s="1" t="n">
        <v>1</v>
      </c>
      <c r="C1268" s="5" t="n">
        <v>46233</v>
      </c>
      <c r="D1268" s="6" t="s">
        <v>917</v>
      </c>
      <c r="E1268" s="6" t="s">
        <v>101</v>
      </c>
      <c r="F1268" s="6" t="s">
        <v>84</v>
      </c>
      <c r="G1268" s="6" t="s">
        <v>47</v>
      </c>
      <c r="H1268" s="6" t="s">
        <v>48</v>
      </c>
      <c r="I1268" s="1" t="n">
        <v>1</v>
      </c>
      <c r="J1268" s="7" t="n">
        <v>8080.68</v>
      </c>
      <c r="K1268" s="8" t="n">
        <v>0.1</v>
      </c>
      <c r="L1268" s="7" t="n">
        <v>4538.06</v>
      </c>
      <c r="M1268" s="6" t="s">
        <v>49</v>
      </c>
      <c r="N1268" s="6" t="s">
        <v>59</v>
      </c>
      <c r="O1268" s="6" t="n">
        <f aca="false">IF(TablaVentas[[#This Row],[Precio_unitario]]="","PENDIENTE",TablaVentas[[#This Row],[Unidades]]*TablaVentas[[#This Row],[Precio_unitario]]*(1-TablaVentas[[#This Row],[Descuento_pct]]))</f>
        <v>7272.612</v>
      </c>
      <c r="P1268" s="6" t="n">
        <f aca="false">IF(TablaVentas[[#This Row],[Costo_unitario]]="","PENDIENTE",TablaVentas[[#This Row],[Unidades]]*TablaVentas[[#This Row],[Costo_unitario]])</f>
        <v>4538.06</v>
      </c>
      <c r="Q1268" s="6" t="n">
        <f aca="false">IF(OR(TablaVentas[[#This Row],[Ingreso_neto]]="PENDIENTE",TablaVentas[[#This Row],[Costo_total]]="PENDIENTE"),"PENDIENTE",TablaVentas[[#This Row],[Ingreso_neto]]-TablaVentas[[#This Row],[Costo_total]])</f>
        <v>2734.552</v>
      </c>
    </row>
    <row r="1269" customFormat="false" ht="13.5" hidden="false" customHeight="false" outlineLevel="0" collapsed="false">
      <c r="A1269" s="1" t="s">
        <v>916</v>
      </c>
      <c r="B1269" s="1" t="n">
        <v>2</v>
      </c>
      <c r="C1269" s="5" t="n">
        <v>46233</v>
      </c>
      <c r="D1269" s="6" t="s">
        <v>917</v>
      </c>
      <c r="E1269" s="6" t="s">
        <v>284</v>
      </c>
      <c r="F1269" s="6" t="s">
        <v>84</v>
      </c>
      <c r="G1269" s="6" t="s">
        <v>47</v>
      </c>
      <c r="H1269" s="6" t="s">
        <v>48</v>
      </c>
      <c r="I1269" s="1" t="n">
        <v>3</v>
      </c>
      <c r="J1269" s="7" t="n">
        <v>6060.96</v>
      </c>
      <c r="K1269" s="8" t="n">
        <v>0</v>
      </c>
      <c r="L1269" s="7" t="n">
        <v>4858.08</v>
      </c>
      <c r="M1269" s="6" t="s">
        <v>49</v>
      </c>
      <c r="N1269" s="6" t="s">
        <v>59</v>
      </c>
      <c r="O1269" s="6" t="n">
        <f aca="false">IF(TablaVentas[[#This Row],[Precio_unitario]]="","PENDIENTE",TablaVentas[[#This Row],[Unidades]]*TablaVentas[[#This Row],[Precio_unitario]]*(1-TablaVentas[[#This Row],[Descuento_pct]]))</f>
        <v>18182.88</v>
      </c>
      <c r="P1269" s="6" t="n">
        <f aca="false">IF(TablaVentas[[#This Row],[Costo_unitario]]="","PENDIENTE",TablaVentas[[#This Row],[Unidades]]*TablaVentas[[#This Row],[Costo_unitario]])</f>
        <v>14574.24</v>
      </c>
      <c r="Q1269" s="6" t="n">
        <f aca="false">IF(OR(TablaVentas[[#This Row],[Ingreso_neto]]="PENDIENTE",TablaVentas[[#This Row],[Costo_total]]="PENDIENTE"),"PENDIENTE",TablaVentas[[#This Row],[Ingreso_neto]]-TablaVentas[[#This Row],[Costo_total]])</f>
        <v>3608.64</v>
      </c>
    </row>
    <row r="1270" customFormat="false" ht="13.5" hidden="false" customHeight="false" outlineLevel="0" collapsed="false">
      <c r="A1270" s="1" t="s">
        <v>916</v>
      </c>
      <c r="B1270" s="1" t="n">
        <v>3</v>
      </c>
      <c r="C1270" s="5" t="n">
        <v>46233</v>
      </c>
      <c r="D1270" s="6" t="s">
        <v>917</v>
      </c>
      <c r="E1270" s="6" t="s">
        <v>327</v>
      </c>
      <c r="F1270" s="6" t="s">
        <v>84</v>
      </c>
      <c r="G1270" s="6" t="s">
        <v>47</v>
      </c>
      <c r="H1270" s="6" t="s">
        <v>48</v>
      </c>
      <c r="I1270" s="1" t="n">
        <v>1</v>
      </c>
      <c r="J1270" s="7" t="n">
        <v>4795.49</v>
      </c>
      <c r="K1270" s="8" t="n">
        <v>0.05</v>
      </c>
      <c r="L1270" s="7" t="n">
        <v>3065.66</v>
      </c>
      <c r="M1270" s="6" t="s">
        <v>49</v>
      </c>
      <c r="N1270" s="6" t="s">
        <v>59</v>
      </c>
      <c r="O1270" s="6" t="n">
        <f aca="false">IF(TablaVentas[[#This Row],[Precio_unitario]]="","PENDIENTE",TablaVentas[[#This Row],[Unidades]]*TablaVentas[[#This Row],[Precio_unitario]]*(1-TablaVentas[[#This Row],[Descuento_pct]]))</f>
        <v>4555.7155</v>
      </c>
      <c r="P1270" s="6" t="n">
        <f aca="false">IF(TablaVentas[[#This Row],[Costo_unitario]]="","PENDIENTE",TablaVentas[[#This Row],[Unidades]]*TablaVentas[[#This Row],[Costo_unitario]])</f>
        <v>3065.66</v>
      </c>
      <c r="Q1270" s="6" t="n">
        <f aca="false">IF(OR(TablaVentas[[#This Row],[Ingreso_neto]]="PENDIENTE",TablaVentas[[#This Row],[Costo_total]]="PENDIENTE"),"PENDIENTE",TablaVentas[[#This Row],[Ingreso_neto]]-TablaVentas[[#This Row],[Costo_total]])</f>
        <v>1490.0555</v>
      </c>
    </row>
    <row r="1271" customFormat="false" ht="13.5" hidden="false" customHeight="false" outlineLevel="0" collapsed="false">
      <c r="A1271" s="1" t="s">
        <v>918</v>
      </c>
      <c r="B1271" s="1" t="n">
        <v>1</v>
      </c>
      <c r="C1271" s="5" t="n">
        <v>46026</v>
      </c>
      <c r="D1271" s="6" t="s">
        <v>366</v>
      </c>
      <c r="E1271" s="6" t="s">
        <v>252</v>
      </c>
      <c r="F1271" s="6" t="s">
        <v>46</v>
      </c>
      <c r="G1271" s="6" t="s">
        <v>47</v>
      </c>
      <c r="H1271" s="6" t="s">
        <v>131</v>
      </c>
      <c r="I1271" s="1" t="n">
        <v>2</v>
      </c>
      <c r="J1271" s="7" t="n">
        <v>19130.67</v>
      </c>
      <c r="K1271" s="8" t="n">
        <v>0</v>
      </c>
      <c r="L1271" s="7" t="n">
        <v>10507.24</v>
      </c>
      <c r="M1271" s="6" t="s">
        <v>123</v>
      </c>
      <c r="N1271" s="6" t="s">
        <v>59</v>
      </c>
      <c r="O1271" s="6" t="n">
        <f aca="false">IF(TablaVentas[[#This Row],[Precio_unitario]]="","PENDIENTE",TablaVentas[[#This Row],[Unidades]]*TablaVentas[[#This Row],[Precio_unitario]]*(1-TablaVentas[[#This Row],[Descuento_pct]]))</f>
        <v>38261.34</v>
      </c>
      <c r="P1271" s="6" t="n">
        <f aca="false">IF(TablaVentas[[#This Row],[Costo_unitario]]="","PENDIENTE",TablaVentas[[#This Row],[Unidades]]*TablaVentas[[#This Row],[Costo_unitario]])</f>
        <v>21014.48</v>
      </c>
      <c r="Q1271" s="6" t="n">
        <f aca="false">IF(OR(TablaVentas[[#This Row],[Ingreso_neto]]="PENDIENTE",TablaVentas[[#This Row],[Costo_total]]="PENDIENTE"),"PENDIENTE",TablaVentas[[#This Row],[Ingreso_neto]]-TablaVentas[[#This Row],[Costo_total]])</f>
        <v>17246.86</v>
      </c>
    </row>
    <row r="1272" customFormat="false" ht="13.5" hidden="false" customHeight="false" outlineLevel="0" collapsed="false">
      <c r="A1272" s="1" t="s">
        <v>919</v>
      </c>
      <c r="B1272" s="1" t="n">
        <v>1</v>
      </c>
      <c r="C1272" s="5" t="n">
        <v>46293</v>
      </c>
      <c r="D1272" s="6" t="s">
        <v>640</v>
      </c>
      <c r="E1272" s="6" t="s">
        <v>410</v>
      </c>
      <c r="F1272" s="6" t="s">
        <v>73</v>
      </c>
      <c r="G1272" s="6" t="s">
        <v>64</v>
      </c>
      <c r="H1272" s="6" t="s">
        <v>65</v>
      </c>
      <c r="I1272" s="1" t="n">
        <v>4</v>
      </c>
      <c r="J1272" s="7" t="n">
        <v>2755.13</v>
      </c>
      <c r="K1272" s="8" t="n">
        <v>0</v>
      </c>
      <c r="L1272" s="7" t="n">
        <v>1801.83</v>
      </c>
      <c r="M1272" s="6" t="s">
        <v>49</v>
      </c>
      <c r="N1272" s="6" t="s">
        <v>59</v>
      </c>
      <c r="O1272" s="6" t="n">
        <f aca="false">IF(TablaVentas[[#This Row],[Precio_unitario]]="","PENDIENTE",TablaVentas[[#This Row],[Unidades]]*TablaVentas[[#This Row],[Precio_unitario]]*(1-TablaVentas[[#This Row],[Descuento_pct]]))</f>
        <v>11020.52</v>
      </c>
      <c r="P1272" s="6" t="n">
        <f aca="false">IF(TablaVentas[[#This Row],[Costo_unitario]]="","PENDIENTE",TablaVentas[[#This Row],[Unidades]]*TablaVentas[[#This Row],[Costo_unitario]])</f>
        <v>7207.32</v>
      </c>
      <c r="Q1272" s="6" t="n">
        <f aca="false">IF(OR(TablaVentas[[#This Row],[Ingreso_neto]]="PENDIENTE",TablaVentas[[#This Row],[Costo_total]]="PENDIENTE"),"PENDIENTE",TablaVentas[[#This Row],[Ingreso_neto]]-TablaVentas[[#This Row],[Costo_total]])</f>
        <v>3813.2</v>
      </c>
    </row>
    <row r="1273" customFormat="false" ht="13.5" hidden="false" customHeight="false" outlineLevel="0" collapsed="false">
      <c r="A1273" s="1" t="s">
        <v>919</v>
      </c>
      <c r="B1273" s="1" t="n">
        <v>2</v>
      </c>
      <c r="C1273" s="5" t="n">
        <v>46293</v>
      </c>
      <c r="D1273" s="6" t="s">
        <v>640</v>
      </c>
      <c r="E1273" s="6" t="s">
        <v>230</v>
      </c>
      <c r="F1273" s="6" t="s">
        <v>73</v>
      </c>
      <c r="G1273" s="6" t="s">
        <v>64</v>
      </c>
      <c r="H1273" s="6" t="s">
        <v>65</v>
      </c>
      <c r="I1273" s="1" t="n">
        <v>1</v>
      </c>
      <c r="J1273" s="7" t="n">
        <v>6470.76</v>
      </c>
      <c r="K1273" s="8" t="n">
        <v>0.1</v>
      </c>
      <c r="L1273" s="7" t="n">
        <v>3298.19</v>
      </c>
      <c r="M1273" s="6" t="s">
        <v>49</v>
      </c>
      <c r="N1273" s="6" t="s">
        <v>59</v>
      </c>
      <c r="O1273" s="6" t="n">
        <f aca="false">IF(TablaVentas[[#This Row],[Precio_unitario]]="","PENDIENTE",TablaVentas[[#This Row],[Unidades]]*TablaVentas[[#This Row],[Precio_unitario]]*(1-TablaVentas[[#This Row],[Descuento_pct]]))</f>
        <v>5823.684</v>
      </c>
      <c r="P1273" s="6" t="n">
        <f aca="false">IF(TablaVentas[[#This Row],[Costo_unitario]]="","PENDIENTE",TablaVentas[[#This Row],[Unidades]]*TablaVentas[[#This Row],[Costo_unitario]])</f>
        <v>3298.19</v>
      </c>
      <c r="Q1273" s="6" t="n">
        <f aca="false">IF(OR(TablaVentas[[#This Row],[Ingreso_neto]]="PENDIENTE",TablaVentas[[#This Row],[Costo_total]]="PENDIENTE"),"PENDIENTE",TablaVentas[[#This Row],[Ingreso_neto]]-TablaVentas[[#This Row],[Costo_total]])</f>
        <v>2525.494</v>
      </c>
    </row>
    <row r="1274" customFormat="false" ht="13.5" hidden="false" customHeight="false" outlineLevel="0" collapsed="false">
      <c r="A1274" s="1" t="s">
        <v>919</v>
      </c>
      <c r="B1274" s="1" t="n">
        <v>3</v>
      </c>
      <c r="C1274" s="5" t="n">
        <v>46293</v>
      </c>
      <c r="D1274" s="6" t="s">
        <v>640</v>
      </c>
      <c r="E1274" s="6" t="s">
        <v>139</v>
      </c>
      <c r="F1274" s="6" t="s">
        <v>73</v>
      </c>
      <c r="G1274" s="6" t="s">
        <v>64</v>
      </c>
      <c r="H1274" s="6" t="s">
        <v>65</v>
      </c>
      <c r="I1274" s="1" t="n">
        <v>2</v>
      </c>
      <c r="J1274" s="7" t="n">
        <v>17432.94</v>
      </c>
      <c r="K1274" s="8" t="n">
        <v>0</v>
      </c>
      <c r="L1274" s="7" t="n">
        <v>11036.95</v>
      </c>
      <c r="M1274" s="6" t="s">
        <v>69</v>
      </c>
      <c r="N1274" s="6" t="s">
        <v>50</v>
      </c>
      <c r="O1274" s="6" t="n">
        <f aca="false">IF(TablaVentas[[#This Row],[Precio_unitario]]="","PENDIENTE",TablaVentas[[#This Row],[Unidades]]*TablaVentas[[#This Row],[Precio_unitario]]*(1-TablaVentas[[#This Row],[Descuento_pct]]))</f>
        <v>34865.88</v>
      </c>
      <c r="P1274" s="6" t="n">
        <f aca="false">IF(TablaVentas[[#This Row],[Costo_unitario]]="","PENDIENTE",TablaVentas[[#This Row],[Unidades]]*TablaVentas[[#This Row],[Costo_unitario]])</f>
        <v>22073.9</v>
      </c>
      <c r="Q1274" s="6" t="n">
        <f aca="false">IF(OR(TablaVentas[[#This Row],[Ingreso_neto]]="PENDIENTE",TablaVentas[[#This Row],[Costo_total]]="PENDIENTE"),"PENDIENTE",TablaVentas[[#This Row],[Ingreso_neto]]-TablaVentas[[#This Row],[Costo_total]])</f>
        <v>12791.98</v>
      </c>
    </row>
    <row r="1275" customFormat="false" ht="13.5" hidden="false" customHeight="false" outlineLevel="0" collapsed="false">
      <c r="A1275" s="1" t="s">
        <v>920</v>
      </c>
      <c r="B1275" s="1" t="n">
        <v>1</v>
      </c>
      <c r="C1275" s="5" t="n">
        <v>46146</v>
      </c>
      <c r="D1275" s="6" t="s">
        <v>600</v>
      </c>
      <c r="E1275" s="6" t="s">
        <v>68</v>
      </c>
      <c r="F1275" s="6" t="s">
        <v>46</v>
      </c>
      <c r="G1275" s="6" t="s">
        <v>47</v>
      </c>
      <c r="H1275" s="6" t="s">
        <v>131</v>
      </c>
      <c r="I1275" s="1" t="n">
        <v>2</v>
      </c>
      <c r="J1275" s="7" t="n">
        <v>4494.14</v>
      </c>
      <c r="K1275" s="8" t="n">
        <v>0.1</v>
      </c>
      <c r="L1275" s="7" t="n">
        <v>2554.06</v>
      </c>
      <c r="M1275" s="6" t="s">
        <v>123</v>
      </c>
      <c r="N1275" s="6" t="s">
        <v>50</v>
      </c>
      <c r="O1275" s="6" t="n">
        <f aca="false">IF(TablaVentas[[#This Row],[Precio_unitario]]="","PENDIENTE",TablaVentas[[#This Row],[Unidades]]*TablaVentas[[#This Row],[Precio_unitario]]*(1-TablaVentas[[#This Row],[Descuento_pct]]))</f>
        <v>8089.452</v>
      </c>
      <c r="P1275" s="6" t="n">
        <f aca="false">IF(TablaVentas[[#This Row],[Costo_unitario]]="","PENDIENTE",TablaVentas[[#This Row],[Unidades]]*TablaVentas[[#This Row],[Costo_unitario]])</f>
        <v>5108.12</v>
      </c>
      <c r="Q1275" s="6" t="n">
        <f aca="false">IF(OR(TablaVentas[[#This Row],[Ingreso_neto]]="PENDIENTE",TablaVentas[[#This Row],[Costo_total]]="PENDIENTE"),"PENDIENTE",TablaVentas[[#This Row],[Ingreso_neto]]-TablaVentas[[#This Row],[Costo_total]])</f>
        <v>2981.332</v>
      </c>
    </row>
    <row r="1276" customFormat="false" ht="13.5" hidden="false" customHeight="false" outlineLevel="0" collapsed="false">
      <c r="A1276" s="1" t="s">
        <v>921</v>
      </c>
      <c r="B1276" s="1" t="n">
        <v>1</v>
      </c>
      <c r="C1276" s="5" t="n">
        <v>46261</v>
      </c>
      <c r="D1276" s="6" t="s">
        <v>557</v>
      </c>
      <c r="E1276" s="6" t="s">
        <v>120</v>
      </c>
      <c r="F1276" s="6" t="s">
        <v>73</v>
      </c>
      <c r="G1276" s="6" t="s">
        <v>64</v>
      </c>
      <c r="H1276" s="6" t="s">
        <v>80</v>
      </c>
      <c r="I1276" s="1" t="n">
        <v>1</v>
      </c>
      <c r="J1276" s="7" t="n">
        <v>2854.62</v>
      </c>
      <c r="K1276" s="8" t="n">
        <v>0.05</v>
      </c>
      <c r="L1276" s="7" t="n">
        <v>2196.34</v>
      </c>
      <c r="M1276" s="6" t="s">
        <v>49</v>
      </c>
      <c r="N1276" s="6" t="s">
        <v>59</v>
      </c>
      <c r="O1276" s="6" t="n">
        <f aca="false">IF(TablaVentas[[#This Row],[Precio_unitario]]="","PENDIENTE",TablaVentas[[#This Row],[Unidades]]*TablaVentas[[#This Row],[Precio_unitario]]*(1-TablaVentas[[#This Row],[Descuento_pct]]))</f>
        <v>2711.889</v>
      </c>
      <c r="P1276" s="6" t="n">
        <f aca="false">IF(TablaVentas[[#This Row],[Costo_unitario]]="","PENDIENTE",TablaVentas[[#This Row],[Unidades]]*TablaVentas[[#This Row],[Costo_unitario]])</f>
        <v>2196.34</v>
      </c>
      <c r="Q1276" s="6" t="n">
        <f aca="false">IF(OR(TablaVentas[[#This Row],[Ingreso_neto]]="PENDIENTE",TablaVentas[[#This Row],[Costo_total]]="PENDIENTE"),"PENDIENTE",TablaVentas[[#This Row],[Ingreso_neto]]-TablaVentas[[#This Row],[Costo_total]])</f>
        <v>515.549</v>
      </c>
    </row>
    <row r="1277" customFormat="false" ht="13.5" hidden="false" customHeight="false" outlineLevel="0" collapsed="false">
      <c r="A1277" s="1" t="s">
        <v>921</v>
      </c>
      <c r="B1277" s="1" t="n">
        <v>2</v>
      </c>
      <c r="C1277" s="5" t="n">
        <v>46261</v>
      </c>
      <c r="D1277" s="6" t="s">
        <v>557</v>
      </c>
      <c r="E1277" s="6" t="s">
        <v>224</v>
      </c>
      <c r="F1277" s="6" t="s">
        <v>73</v>
      </c>
      <c r="G1277" s="6" t="s">
        <v>64</v>
      </c>
      <c r="H1277" s="6" t="s">
        <v>80</v>
      </c>
      <c r="I1277" s="1" t="n">
        <v>1</v>
      </c>
      <c r="J1277" s="7" t="n">
        <v>18032.15</v>
      </c>
      <c r="K1277" s="8" t="n">
        <v>0</v>
      </c>
      <c r="L1277" s="7" t="n">
        <v>14161.63</v>
      </c>
      <c r="M1277" s="6" t="s">
        <v>49</v>
      </c>
      <c r="N1277" s="6" t="s">
        <v>59</v>
      </c>
      <c r="O1277" s="6" t="n">
        <f aca="false">IF(TablaVentas[[#This Row],[Precio_unitario]]="","PENDIENTE",TablaVentas[[#This Row],[Unidades]]*TablaVentas[[#This Row],[Precio_unitario]]*(1-TablaVentas[[#This Row],[Descuento_pct]]))</f>
        <v>18032.15</v>
      </c>
      <c r="P1277" s="6" t="n">
        <f aca="false">IF(TablaVentas[[#This Row],[Costo_unitario]]="","PENDIENTE",TablaVentas[[#This Row],[Unidades]]*TablaVentas[[#This Row],[Costo_unitario]])</f>
        <v>14161.63</v>
      </c>
      <c r="Q1277" s="6" t="n">
        <f aca="false">IF(OR(TablaVentas[[#This Row],[Ingreso_neto]]="PENDIENTE",TablaVentas[[#This Row],[Costo_total]]="PENDIENTE"),"PENDIENTE",TablaVentas[[#This Row],[Ingreso_neto]]-TablaVentas[[#This Row],[Costo_total]])</f>
        <v>3870.52</v>
      </c>
    </row>
    <row r="1278" customFormat="false" ht="13.5" hidden="false" customHeight="false" outlineLevel="0" collapsed="false">
      <c r="A1278" s="1" t="s">
        <v>921</v>
      </c>
      <c r="B1278" s="1" t="n">
        <v>3</v>
      </c>
      <c r="C1278" s="5" t="n">
        <v>46261</v>
      </c>
      <c r="D1278" s="6" t="s">
        <v>557</v>
      </c>
      <c r="E1278" s="6" t="s">
        <v>278</v>
      </c>
      <c r="F1278" s="6" t="s">
        <v>73</v>
      </c>
      <c r="G1278" s="6" t="s">
        <v>64</v>
      </c>
      <c r="H1278" s="6" t="s">
        <v>80</v>
      </c>
      <c r="I1278" s="1" t="n">
        <v>3</v>
      </c>
      <c r="J1278" s="7" t="n">
        <v>1061.5</v>
      </c>
      <c r="K1278" s="8" t="n">
        <v>0.1</v>
      </c>
      <c r="L1278" s="7" t="n">
        <v>759.03</v>
      </c>
      <c r="M1278" s="6" t="s">
        <v>49</v>
      </c>
      <c r="N1278" s="6" t="s">
        <v>59</v>
      </c>
      <c r="O1278" s="6" t="n">
        <f aca="false">IF(TablaVentas[[#This Row],[Precio_unitario]]="","PENDIENTE",TablaVentas[[#This Row],[Unidades]]*TablaVentas[[#This Row],[Precio_unitario]]*(1-TablaVentas[[#This Row],[Descuento_pct]]))</f>
        <v>2866.05</v>
      </c>
      <c r="P1278" s="6" t="n">
        <f aca="false">IF(TablaVentas[[#This Row],[Costo_unitario]]="","PENDIENTE",TablaVentas[[#This Row],[Unidades]]*TablaVentas[[#This Row],[Costo_unitario]])</f>
        <v>2277.09</v>
      </c>
      <c r="Q1278" s="6" t="n">
        <f aca="false">IF(OR(TablaVentas[[#This Row],[Ingreso_neto]]="PENDIENTE",TablaVentas[[#This Row],[Costo_total]]="PENDIENTE"),"PENDIENTE",TablaVentas[[#This Row],[Ingreso_neto]]-TablaVentas[[#This Row],[Costo_total]])</f>
        <v>588.96</v>
      </c>
    </row>
    <row r="1279" customFormat="false" ht="13.5" hidden="false" customHeight="false" outlineLevel="0" collapsed="false">
      <c r="A1279" s="1" t="s">
        <v>921</v>
      </c>
      <c r="B1279" s="1" t="n">
        <v>4</v>
      </c>
      <c r="C1279" s="5" t="n">
        <v>46261</v>
      </c>
      <c r="D1279" s="6" t="s">
        <v>557</v>
      </c>
      <c r="E1279" s="6" t="s">
        <v>417</v>
      </c>
      <c r="F1279" s="6" t="s">
        <v>73</v>
      </c>
      <c r="G1279" s="6" t="s">
        <v>64</v>
      </c>
      <c r="H1279" s="6" t="s">
        <v>80</v>
      </c>
      <c r="I1279" s="1" t="n">
        <v>5</v>
      </c>
      <c r="J1279" s="7" t="n">
        <v>7595.54</v>
      </c>
      <c r="K1279" s="8" t="n">
        <v>0.1</v>
      </c>
      <c r="L1279" s="7" t="n">
        <v>5874.17</v>
      </c>
      <c r="M1279" s="6" t="s">
        <v>49</v>
      </c>
      <c r="N1279" s="6" t="s">
        <v>50</v>
      </c>
      <c r="O1279" s="6" t="n">
        <f aca="false">IF(TablaVentas[[#This Row],[Precio_unitario]]="","PENDIENTE",TablaVentas[[#This Row],[Unidades]]*TablaVentas[[#This Row],[Precio_unitario]]*(1-TablaVentas[[#This Row],[Descuento_pct]]))</f>
        <v>34179.93</v>
      </c>
      <c r="P1279" s="6" t="n">
        <f aca="false">IF(TablaVentas[[#This Row],[Costo_unitario]]="","PENDIENTE",TablaVentas[[#This Row],[Unidades]]*TablaVentas[[#This Row],[Costo_unitario]])</f>
        <v>29370.85</v>
      </c>
      <c r="Q1279" s="6" t="n">
        <f aca="false">IF(OR(TablaVentas[[#This Row],[Ingreso_neto]]="PENDIENTE",TablaVentas[[#This Row],[Costo_total]]="PENDIENTE"),"PENDIENTE",TablaVentas[[#This Row],[Ingreso_neto]]-TablaVentas[[#This Row],[Costo_total]])</f>
        <v>4809.08</v>
      </c>
    </row>
    <row r="1280" customFormat="false" ht="13.5" hidden="false" customHeight="false" outlineLevel="0" collapsed="false">
      <c r="A1280" s="1" t="s">
        <v>921</v>
      </c>
      <c r="B1280" s="1" t="n">
        <v>5</v>
      </c>
      <c r="C1280" s="5" t="n">
        <v>46261</v>
      </c>
      <c r="D1280" s="6" t="s">
        <v>557</v>
      </c>
      <c r="E1280" s="6" t="s">
        <v>200</v>
      </c>
      <c r="F1280" s="6" t="s">
        <v>73</v>
      </c>
      <c r="G1280" s="6" t="s">
        <v>64</v>
      </c>
      <c r="H1280" s="6" t="s">
        <v>80</v>
      </c>
      <c r="I1280" s="1" t="n">
        <v>1</v>
      </c>
      <c r="J1280" s="7" t="n">
        <v>9998.31</v>
      </c>
      <c r="K1280" s="8" t="n">
        <v>0</v>
      </c>
      <c r="L1280" s="7" t="n">
        <v>5811.72</v>
      </c>
      <c r="M1280" s="6" t="s">
        <v>49</v>
      </c>
      <c r="N1280" s="6" t="s">
        <v>59</v>
      </c>
      <c r="O1280" s="6" t="n">
        <f aca="false">IF(TablaVentas[[#This Row],[Precio_unitario]]="","PENDIENTE",TablaVentas[[#This Row],[Unidades]]*TablaVentas[[#This Row],[Precio_unitario]]*(1-TablaVentas[[#This Row],[Descuento_pct]]))</f>
        <v>9998.31</v>
      </c>
      <c r="P1280" s="6" t="n">
        <f aca="false">IF(TablaVentas[[#This Row],[Costo_unitario]]="","PENDIENTE",TablaVentas[[#This Row],[Unidades]]*TablaVentas[[#This Row],[Costo_unitario]])</f>
        <v>5811.72</v>
      </c>
      <c r="Q1280" s="6" t="n">
        <f aca="false">IF(OR(TablaVentas[[#This Row],[Ingreso_neto]]="PENDIENTE",TablaVentas[[#This Row],[Costo_total]]="PENDIENTE"),"PENDIENTE",TablaVentas[[#This Row],[Ingreso_neto]]-TablaVentas[[#This Row],[Costo_total]])</f>
        <v>4186.59</v>
      </c>
    </row>
    <row r="1281" customFormat="false" ht="13.5" hidden="false" customHeight="false" outlineLevel="0" collapsed="false">
      <c r="A1281" s="1" t="s">
        <v>922</v>
      </c>
      <c r="B1281" s="1" t="n">
        <v>1</v>
      </c>
      <c r="C1281" s="5" t="n">
        <v>46292</v>
      </c>
      <c r="D1281" s="6" t="s">
        <v>341</v>
      </c>
      <c r="E1281" s="6" t="s">
        <v>284</v>
      </c>
      <c r="F1281" s="6" t="s">
        <v>46</v>
      </c>
      <c r="G1281" s="6" t="s">
        <v>47</v>
      </c>
      <c r="H1281" s="6" t="s">
        <v>136</v>
      </c>
      <c r="I1281" s="1" t="n">
        <v>1</v>
      </c>
      <c r="J1281" s="7" t="n">
        <v>7022.16</v>
      </c>
      <c r="K1281" s="8" t="n">
        <v>0.1</v>
      </c>
      <c r="L1281" s="7" t="n">
        <v>4858.08</v>
      </c>
      <c r="M1281" s="6" t="s">
        <v>49</v>
      </c>
      <c r="N1281" s="6" t="s">
        <v>52</v>
      </c>
      <c r="O1281" s="6" t="n">
        <f aca="false">IF(TablaVentas[[#This Row],[Precio_unitario]]="","PENDIENTE",TablaVentas[[#This Row],[Unidades]]*TablaVentas[[#This Row],[Precio_unitario]]*(1-TablaVentas[[#This Row],[Descuento_pct]]))</f>
        <v>6319.944</v>
      </c>
      <c r="P1281" s="6" t="n">
        <f aca="false">IF(TablaVentas[[#This Row],[Costo_unitario]]="","PENDIENTE",TablaVentas[[#This Row],[Unidades]]*TablaVentas[[#This Row],[Costo_unitario]])</f>
        <v>4858.08</v>
      </c>
      <c r="Q1281" s="6" t="n">
        <f aca="false">IF(OR(TablaVentas[[#This Row],[Ingreso_neto]]="PENDIENTE",TablaVentas[[#This Row],[Costo_total]]="PENDIENTE"),"PENDIENTE",TablaVentas[[#This Row],[Ingreso_neto]]-TablaVentas[[#This Row],[Costo_total]])</f>
        <v>1461.864</v>
      </c>
    </row>
    <row r="1282" customFormat="false" ht="13.5" hidden="false" customHeight="false" outlineLevel="0" collapsed="false">
      <c r="A1282" s="1" t="s">
        <v>922</v>
      </c>
      <c r="B1282" s="1" t="n">
        <v>2</v>
      </c>
      <c r="C1282" s="5" t="n">
        <v>46292</v>
      </c>
      <c r="D1282" s="6" t="s">
        <v>341</v>
      </c>
      <c r="E1282" s="6" t="s">
        <v>91</v>
      </c>
      <c r="F1282" s="6" t="s">
        <v>46</v>
      </c>
      <c r="G1282" s="6" t="s">
        <v>47</v>
      </c>
      <c r="H1282" s="6" t="s">
        <v>136</v>
      </c>
      <c r="I1282" s="1" t="n">
        <v>4</v>
      </c>
      <c r="J1282" s="7" t="n">
        <v>15174.46</v>
      </c>
      <c r="K1282" s="8" t="n">
        <v>0.05</v>
      </c>
      <c r="L1282" s="7" t="n">
        <v>8576.05</v>
      </c>
      <c r="M1282" s="6" t="s">
        <v>123</v>
      </c>
      <c r="N1282" s="6" t="s">
        <v>50</v>
      </c>
      <c r="O1282" s="6" t="n">
        <f aca="false">IF(TablaVentas[[#This Row],[Precio_unitario]]="","PENDIENTE",TablaVentas[[#This Row],[Unidades]]*TablaVentas[[#This Row],[Precio_unitario]]*(1-TablaVentas[[#This Row],[Descuento_pct]]))</f>
        <v>57662.948</v>
      </c>
      <c r="P1282" s="6" t="n">
        <f aca="false">IF(TablaVentas[[#This Row],[Costo_unitario]]="","PENDIENTE",TablaVentas[[#This Row],[Unidades]]*TablaVentas[[#This Row],[Costo_unitario]])</f>
        <v>34304.2</v>
      </c>
      <c r="Q1282" s="6" t="n">
        <f aca="false">IF(OR(TablaVentas[[#This Row],[Ingreso_neto]]="PENDIENTE",TablaVentas[[#This Row],[Costo_total]]="PENDIENTE"),"PENDIENTE",TablaVentas[[#This Row],[Ingreso_neto]]-TablaVentas[[#This Row],[Costo_total]])</f>
        <v>23358.748</v>
      </c>
    </row>
    <row r="1283" customFormat="false" ht="13.5" hidden="false" customHeight="false" outlineLevel="0" collapsed="false">
      <c r="A1283" s="1" t="s">
        <v>922</v>
      </c>
      <c r="B1283" s="1" t="n">
        <v>3</v>
      </c>
      <c r="C1283" s="5" t="n">
        <v>46292</v>
      </c>
      <c r="D1283" s="6" t="s">
        <v>341</v>
      </c>
      <c r="E1283" s="6" t="s">
        <v>174</v>
      </c>
      <c r="F1283" s="6" t="s">
        <v>46</v>
      </c>
      <c r="G1283" s="6" t="s">
        <v>47</v>
      </c>
      <c r="H1283" s="6" t="s">
        <v>136</v>
      </c>
      <c r="I1283" s="1" t="n">
        <v>3</v>
      </c>
      <c r="J1283" s="7" t="n">
        <v>18308.45</v>
      </c>
      <c r="K1283" s="8" t="n">
        <v>0.15</v>
      </c>
      <c r="L1283" s="7" t="n">
        <v>8704.4</v>
      </c>
      <c r="M1283" s="6" t="s">
        <v>49</v>
      </c>
      <c r="N1283" s="6" t="s">
        <v>50</v>
      </c>
      <c r="O1283" s="6" t="n">
        <f aca="false">IF(TablaVentas[[#This Row],[Precio_unitario]]="","PENDIENTE",TablaVentas[[#This Row],[Unidades]]*TablaVentas[[#This Row],[Precio_unitario]]*(1-TablaVentas[[#This Row],[Descuento_pct]]))</f>
        <v>46686.5475</v>
      </c>
      <c r="P1283" s="6" t="n">
        <f aca="false">IF(TablaVentas[[#This Row],[Costo_unitario]]="","PENDIENTE",TablaVentas[[#This Row],[Unidades]]*TablaVentas[[#This Row],[Costo_unitario]])</f>
        <v>26113.2</v>
      </c>
      <c r="Q1283" s="6" t="n">
        <f aca="false">IF(OR(TablaVentas[[#This Row],[Ingreso_neto]]="PENDIENTE",TablaVentas[[#This Row],[Costo_total]]="PENDIENTE"),"PENDIENTE",TablaVentas[[#This Row],[Ingreso_neto]]-TablaVentas[[#This Row],[Costo_total]])</f>
        <v>20573.3475</v>
      </c>
    </row>
    <row r="1284" customFormat="false" ht="13.5" hidden="false" customHeight="false" outlineLevel="0" collapsed="false">
      <c r="A1284" s="1" t="s">
        <v>922</v>
      </c>
      <c r="B1284" s="1" t="n">
        <v>4</v>
      </c>
      <c r="C1284" s="5" t="n">
        <v>46292</v>
      </c>
      <c r="D1284" s="6" t="s">
        <v>341</v>
      </c>
      <c r="E1284" s="6" t="s">
        <v>225</v>
      </c>
      <c r="F1284" s="6" t="s">
        <v>46</v>
      </c>
      <c r="G1284" s="6" t="s">
        <v>47</v>
      </c>
      <c r="H1284" s="6" t="s">
        <v>136</v>
      </c>
      <c r="I1284" s="1" t="n">
        <v>1</v>
      </c>
      <c r="J1284" s="7" t="n">
        <v>4765.36</v>
      </c>
      <c r="K1284" s="8" t="n">
        <v>0.15</v>
      </c>
      <c r="L1284" s="7" t="n">
        <v>2833.97</v>
      </c>
      <c r="M1284" s="6" t="s">
        <v>49</v>
      </c>
      <c r="N1284" s="6" t="s">
        <v>59</v>
      </c>
      <c r="O1284" s="6" t="n">
        <f aca="false">IF(TablaVentas[[#This Row],[Precio_unitario]]="","PENDIENTE",TablaVentas[[#This Row],[Unidades]]*TablaVentas[[#This Row],[Precio_unitario]]*(1-TablaVentas[[#This Row],[Descuento_pct]]))</f>
        <v>4050.556</v>
      </c>
      <c r="P1284" s="6" t="n">
        <f aca="false">IF(TablaVentas[[#This Row],[Costo_unitario]]="","PENDIENTE",TablaVentas[[#This Row],[Unidades]]*TablaVentas[[#This Row],[Costo_unitario]])</f>
        <v>2833.97</v>
      </c>
      <c r="Q1284" s="6" t="n">
        <f aca="false">IF(OR(TablaVentas[[#This Row],[Ingreso_neto]]="PENDIENTE",TablaVentas[[#This Row],[Costo_total]]="PENDIENTE"),"PENDIENTE",TablaVentas[[#This Row],[Ingreso_neto]]-TablaVentas[[#This Row],[Costo_total]])</f>
        <v>1216.586</v>
      </c>
    </row>
    <row r="1285" customFormat="false" ht="13.5" hidden="false" customHeight="false" outlineLevel="0" collapsed="false">
      <c r="A1285" s="1" t="s">
        <v>922</v>
      </c>
      <c r="B1285" s="1" t="n">
        <v>5</v>
      </c>
      <c r="C1285" s="5" t="n">
        <v>46292</v>
      </c>
      <c r="D1285" s="6" t="s">
        <v>341</v>
      </c>
      <c r="E1285" s="6" t="s">
        <v>243</v>
      </c>
      <c r="F1285" s="6" t="s">
        <v>46</v>
      </c>
      <c r="G1285" s="6" t="s">
        <v>47</v>
      </c>
      <c r="H1285" s="6" t="s">
        <v>136</v>
      </c>
      <c r="I1285" s="1" t="n">
        <v>8</v>
      </c>
      <c r="J1285" s="7" t="n">
        <v>8972.74</v>
      </c>
      <c r="K1285" s="8" t="n">
        <v>0.1</v>
      </c>
      <c r="L1285" s="7" t="n">
        <v>8061.7</v>
      </c>
      <c r="M1285" s="6" t="s">
        <v>49</v>
      </c>
      <c r="N1285" s="6" t="s">
        <v>52</v>
      </c>
      <c r="O1285" s="6" t="n">
        <f aca="false">IF(TablaVentas[[#This Row],[Precio_unitario]]="","PENDIENTE",TablaVentas[[#This Row],[Unidades]]*TablaVentas[[#This Row],[Precio_unitario]]*(1-TablaVentas[[#This Row],[Descuento_pct]]))</f>
        <v>64603.728</v>
      </c>
      <c r="P1285" s="6" t="n">
        <f aca="false">IF(TablaVentas[[#This Row],[Costo_unitario]]="","PENDIENTE",TablaVentas[[#This Row],[Unidades]]*TablaVentas[[#This Row],[Costo_unitario]])</f>
        <v>64493.6</v>
      </c>
      <c r="Q1285" s="6" t="n">
        <f aca="false">IF(OR(TablaVentas[[#This Row],[Ingreso_neto]]="PENDIENTE",TablaVentas[[#This Row],[Costo_total]]="PENDIENTE"),"PENDIENTE",TablaVentas[[#This Row],[Ingreso_neto]]-TablaVentas[[#This Row],[Costo_total]])</f>
        <v>110.128000000004</v>
      </c>
    </row>
    <row r="1286" customFormat="false" ht="13.5" hidden="false" customHeight="false" outlineLevel="0" collapsed="false">
      <c r="A1286" s="1" t="s">
        <v>923</v>
      </c>
      <c r="B1286" s="1" t="n">
        <v>1</v>
      </c>
      <c r="C1286" s="5" t="n">
        <v>46096</v>
      </c>
      <c r="D1286" s="6" t="s">
        <v>679</v>
      </c>
      <c r="E1286" s="6" t="s">
        <v>333</v>
      </c>
      <c r="F1286" s="6" t="s">
        <v>84</v>
      </c>
      <c r="G1286" s="6" t="s">
        <v>47</v>
      </c>
      <c r="H1286" s="6" t="s">
        <v>80</v>
      </c>
      <c r="I1286" s="1" t="n">
        <v>4</v>
      </c>
      <c r="J1286" s="7" t="n">
        <v>7946.3</v>
      </c>
      <c r="K1286" s="8" t="n">
        <v>0</v>
      </c>
      <c r="L1286" s="7" t="n">
        <v>4044.16</v>
      </c>
      <c r="M1286" s="6" t="s">
        <v>49</v>
      </c>
      <c r="N1286" s="6" t="s">
        <v>52</v>
      </c>
      <c r="O1286" s="6" t="n">
        <f aca="false">IF(TablaVentas[[#This Row],[Precio_unitario]]="","PENDIENTE",TablaVentas[[#This Row],[Unidades]]*TablaVentas[[#This Row],[Precio_unitario]]*(1-TablaVentas[[#This Row],[Descuento_pct]]))</f>
        <v>31785.2</v>
      </c>
      <c r="P1286" s="6" t="n">
        <f aca="false">IF(TablaVentas[[#This Row],[Costo_unitario]]="","PENDIENTE",TablaVentas[[#This Row],[Unidades]]*TablaVentas[[#This Row],[Costo_unitario]])</f>
        <v>16176.64</v>
      </c>
      <c r="Q1286" s="6" t="n">
        <f aca="false">IF(OR(TablaVentas[[#This Row],[Ingreso_neto]]="PENDIENTE",TablaVentas[[#This Row],[Costo_total]]="PENDIENTE"),"PENDIENTE",TablaVentas[[#This Row],[Ingreso_neto]]-TablaVentas[[#This Row],[Costo_total]])</f>
        <v>15608.56</v>
      </c>
    </row>
    <row r="1287" customFormat="false" ht="13.5" hidden="false" customHeight="false" outlineLevel="0" collapsed="false">
      <c r="A1287" s="1" t="s">
        <v>924</v>
      </c>
      <c r="B1287" s="1" t="n">
        <v>1</v>
      </c>
      <c r="C1287" s="5" t="n">
        <v>46086</v>
      </c>
      <c r="D1287" s="6" t="s">
        <v>319</v>
      </c>
      <c r="E1287" s="6" t="s">
        <v>210</v>
      </c>
      <c r="F1287" s="6" t="s">
        <v>73</v>
      </c>
      <c r="G1287" s="6" t="s">
        <v>64</v>
      </c>
      <c r="H1287" s="6" t="s">
        <v>136</v>
      </c>
      <c r="I1287" s="1" t="n">
        <v>1</v>
      </c>
      <c r="J1287" s="7" t="n">
        <v>1928.96</v>
      </c>
      <c r="K1287" s="8" t="n">
        <v>0</v>
      </c>
      <c r="L1287" s="7" t="n">
        <v>1252.84</v>
      </c>
      <c r="M1287" s="6" t="s">
        <v>49</v>
      </c>
      <c r="N1287" s="6" t="s">
        <v>50</v>
      </c>
      <c r="O1287" s="6" t="n">
        <f aca="false">IF(TablaVentas[[#This Row],[Precio_unitario]]="","PENDIENTE",TablaVentas[[#This Row],[Unidades]]*TablaVentas[[#This Row],[Precio_unitario]]*(1-TablaVentas[[#This Row],[Descuento_pct]]))</f>
        <v>1928.96</v>
      </c>
      <c r="P1287" s="6" t="n">
        <f aca="false">IF(TablaVentas[[#This Row],[Costo_unitario]]="","PENDIENTE",TablaVentas[[#This Row],[Unidades]]*TablaVentas[[#This Row],[Costo_unitario]])</f>
        <v>1252.84</v>
      </c>
      <c r="Q1287" s="6" t="n">
        <f aca="false">IF(OR(TablaVentas[[#This Row],[Ingreso_neto]]="PENDIENTE",TablaVentas[[#This Row],[Costo_total]]="PENDIENTE"),"PENDIENTE",TablaVentas[[#This Row],[Ingreso_neto]]-TablaVentas[[#This Row],[Costo_total]])</f>
        <v>676.12</v>
      </c>
    </row>
    <row r="1288" customFormat="false" ht="13.5" hidden="false" customHeight="false" outlineLevel="0" collapsed="false">
      <c r="A1288" s="1" t="s">
        <v>925</v>
      </c>
      <c r="B1288" s="1" t="n">
        <v>1</v>
      </c>
      <c r="C1288" s="5" t="n">
        <v>46091</v>
      </c>
      <c r="D1288" s="6" t="s">
        <v>668</v>
      </c>
      <c r="E1288" s="6" t="s">
        <v>544</v>
      </c>
      <c r="F1288" s="6" t="s">
        <v>46</v>
      </c>
      <c r="G1288" s="6" t="s">
        <v>57</v>
      </c>
      <c r="H1288" s="6" t="s">
        <v>136</v>
      </c>
      <c r="I1288" s="1" t="n">
        <v>5</v>
      </c>
      <c r="J1288" s="7" t="n">
        <v>5627.84</v>
      </c>
      <c r="K1288" s="8" t="n">
        <v>0</v>
      </c>
      <c r="L1288" s="7" t="n">
        <v>4556.23</v>
      </c>
      <c r="M1288" s="6" t="s">
        <v>49</v>
      </c>
      <c r="N1288" s="6" t="s">
        <v>67</v>
      </c>
      <c r="O1288" s="6" t="n">
        <f aca="false">IF(TablaVentas[[#This Row],[Precio_unitario]]="","PENDIENTE",TablaVentas[[#This Row],[Unidades]]*TablaVentas[[#This Row],[Precio_unitario]]*(1-TablaVentas[[#This Row],[Descuento_pct]]))</f>
        <v>28139.2</v>
      </c>
      <c r="P1288" s="6" t="n">
        <f aca="false">IF(TablaVentas[[#This Row],[Costo_unitario]]="","PENDIENTE",TablaVentas[[#This Row],[Unidades]]*TablaVentas[[#This Row],[Costo_unitario]])</f>
        <v>22781.15</v>
      </c>
      <c r="Q1288" s="6" t="n">
        <f aca="false">IF(OR(TablaVentas[[#This Row],[Ingreso_neto]]="PENDIENTE",TablaVentas[[#This Row],[Costo_total]]="PENDIENTE"),"PENDIENTE",TablaVentas[[#This Row],[Ingreso_neto]]-TablaVentas[[#This Row],[Costo_total]])</f>
        <v>5358.05</v>
      </c>
    </row>
    <row r="1289" customFormat="false" ht="13.5" hidden="false" customHeight="false" outlineLevel="0" collapsed="false">
      <c r="A1289" s="1" t="s">
        <v>925</v>
      </c>
      <c r="B1289" s="1" t="n">
        <v>2</v>
      </c>
      <c r="C1289" s="5" t="n">
        <v>46091</v>
      </c>
      <c r="D1289" s="6" t="s">
        <v>668</v>
      </c>
      <c r="E1289" s="6" t="s">
        <v>88</v>
      </c>
      <c r="F1289" s="6" t="s">
        <v>46</v>
      </c>
      <c r="G1289" s="6" t="s">
        <v>57</v>
      </c>
      <c r="H1289" s="6" t="s">
        <v>136</v>
      </c>
      <c r="I1289" s="1" t="n">
        <v>4</v>
      </c>
      <c r="J1289" s="7" t="n">
        <v>18203.53</v>
      </c>
      <c r="K1289" s="8" t="n">
        <v>0</v>
      </c>
      <c r="L1289" s="7" t="n">
        <v>11614.87</v>
      </c>
      <c r="M1289" s="6" t="s">
        <v>49</v>
      </c>
      <c r="N1289" s="6" t="s">
        <v>52</v>
      </c>
      <c r="O1289" s="6" t="n">
        <f aca="false">IF(TablaVentas[[#This Row],[Precio_unitario]]="","PENDIENTE",TablaVentas[[#This Row],[Unidades]]*TablaVentas[[#This Row],[Precio_unitario]]*(1-TablaVentas[[#This Row],[Descuento_pct]]))</f>
        <v>72814.12</v>
      </c>
      <c r="P1289" s="6" t="n">
        <f aca="false">IF(TablaVentas[[#This Row],[Costo_unitario]]="","PENDIENTE",TablaVentas[[#This Row],[Unidades]]*TablaVentas[[#This Row],[Costo_unitario]])</f>
        <v>46459.48</v>
      </c>
      <c r="Q1289" s="6" t="n">
        <f aca="false">IF(OR(TablaVentas[[#This Row],[Ingreso_neto]]="PENDIENTE",TablaVentas[[#This Row],[Costo_total]]="PENDIENTE"),"PENDIENTE",TablaVentas[[#This Row],[Ingreso_neto]]-TablaVentas[[#This Row],[Costo_total]])</f>
        <v>26354.64</v>
      </c>
    </row>
    <row r="1290" customFormat="false" ht="13.5" hidden="false" customHeight="false" outlineLevel="0" collapsed="false">
      <c r="A1290" s="1" t="s">
        <v>925</v>
      </c>
      <c r="B1290" s="1" t="n">
        <v>3</v>
      </c>
      <c r="C1290" s="5" t="n">
        <v>46091</v>
      </c>
      <c r="D1290" s="6" t="s">
        <v>668</v>
      </c>
      <c r="E1290" s="6" t="s">
        <v>96</v>
      </c>
      <c r="F1290" s="6" t="s">
        <v>46</v>
      </c>
      <c r="G1290" s="6" t="s">
        <v>57</v>
      </c>
      <c r="H1290" s="6" t="s">
        <v>136</v>
      </c>
      <c r="I1290" s="1" t="n">
        <v>1</v>
      </c>
      <c r="J1290" s="7" t="n">
        <v>12832.65</v>
      </c>
      <c r="K1290" s="8" t="n">
        <v>0</v>
      </c>
      <c r="L1290" s="7" t="n">
        <v>9118.07</v>
      </c>
      <c r="M1290" s="6" t="s">
        <v>49</v>
      </c>
      <c r="N1290" s="6" t="s">
        <v>59</v>
      </c>
      <c r="O1290" s="6" t="n">
        <f aca="false">IF(TablaVentas[[#This Row],[Precio_unitario]]="","PENDIENTE",TablaVentas[[#This Row],[Unidades]]*TablaVentas[[#This Row],[Precio_unitario]]*(1-TablaVentas[[#This Row],[Descuento_pct]]))</f>
        <v>12832.65</v>
      </c>
      <c r="P1290" s="6" t="n">
        <f aca="false">IF(TablaVentas[[#This Row],[Costo_unitario]]="","PENDIENTE",TablaVentas[[#This Row],[Unidades]]*TablaVentas[[#This Row],[Costo_unitario]])</f>
        <v>9118.07</v>
      </c>
      <c r="Q1290" s="6" t="n">
        <f aca="false">IF(OR(TablaVentas[[#This Row],[Ingreso_neto]]="PENDIENTE",TablaVentas[[#This Row],[Costo_total]]="PENDIENTE"),"PENDIENTE",TablaVentas[[#This Row],[Ingreso_neto]]-TablaVentas[[#This Row],[Costo_total]])</f>
        <v>3714.58</v>
      </c>
    </row>
    <row r="1291" customFormat="false" ht="13.5" hidden="false" customHeight="false" outlineLevel="0" collapsed="false">
      <c r="A1291" s="1" t="s">
        <v>925</v>
      </c>
      <c r="B1291" s="1" t="n">
        <v>4</v>
      </c>
      <c r="C1291" s="5" t="n">
        <v>46091</v>
      </c>
      <c r="D1291" s="6" t="s">
        <v>668</v>
      </c>
      <c r="E1291" s="6" t="s">
        <v>83</v>
      </c>
      <c r="F1291" s="6" t="s">
        <v>46</v>
      </c>
      <c r="G1291" s="6" t="s">
        <v>57</v>
      </c>
      <c r="H1291" s="6" t="s">
        <v>136</v>
      </c>
      <c r="I1291" s="1" t="n">
        <v>1</v>
      </c>
      <c r="J1291" s="7" t="n">
        <v>12873.03</v>
      </c>
      <c r="K1291" s="8" t="n">
        <v>0</v>
      </c>
      <c r="L1291" s="7" t="n">
        <v>7748.44</v>
      </c>
      <c r="M1291" s="6" t="s">
        <v>123</v>
      </c>
      <c r="N1291" s="6" t="s">
        <v>50</v>
      </c>
      <c r="O1291" s="6" t="n">
        <f aca="false">IF(TablaVentas[[#This Row],[Precio_unitario]]="","PENDIENTE",TablaVentas[[#This Row],[Unidades]]*TablaVentas[[#This Row],[Precio_unitario]]*(1-TablaVentas[[#This Row],[Descuento_pct]]))</f>
        <v>12873.03</v>
      </c>
      <c r="P1291" s="6" t="n">
        <f aca="false">IF(TablaVentas[[#This Row],[Costo_unitario]]="","PENDIENTE",TablaVentas[[#This Row],[Unidades]]*TablaVentas[[#This Row],[Costo_unitario]])</f>
        <v>7748.44</v>
      </c>
      <c r="Q1291" s="6" t="n">
        <f aca="false">IF(OR(TablaVentas[[#This Row],[Ingreso_neto]]="PENDIENTE",TablaVentas[[#This Row],[Costo_total]]="PENDIENTE"),"PENDIENTE",TablaVentas[[#This Row],[Ingreso_neto]]-TablaVentas[[#This Row],[Costo_total]])</f>
        <v>5124.59</v>
      </c>
    </row>
    <row r="1292" customFormat="false" ht="13.5" hidden="false" customHeight="false" outlineLevel="0" collapsed="false">
      <c r="A1292" s="1" t="s">
        <v>925</v>
      </c>
      <c r="B1292" s="1" t="n">
        <v>5</v>
      </c>
      <c r="C1292" s="5" t="n">
        <v>46091</v>
      </c>
      <c r="D1292" s="6" t="s">
        <v>668</v>
      </c>
      <c r="E1292" s="6" t="s">
        <v>105</v>
      </c>
      <c r="F1292" s="6" t="s">
        <v>46</v>
      </c>
      <c r="G1292" s="6" t="s">
        <v>57</v>
      </c>
      <c r="H1292" s="6" t="s">
        <v>136</v>
      </c>
      <c r="I1292" s="1" t="n">
        <v>2</v>
      </c>
      <c r="J1292" s="7" t="n">
        <v>15737.62</v>
      </c>
      <c r="K1292" s="8" t="n">
        <v>0</v>
      </c>
      <c r="L1292" s="7" t="n">
        <v>9881</v>
      </c>
      <c r="M1292" s="6" t="s">
        <v>49</v>
      </c>
      <c r="N1292" s="6" t="s">
        <v>52</v>
      </c>
      <c r="O1292" s="6" t="n">
        <f aca="false">IF(TablaVentas[[#This Row],[Precio_unitario]]="","PENDIENTE",TablaVentas[[#This Row],[Unidades]]*TablaVentas[[#This Row],[Precio_unitario]]*(1-TablaVentas[[#This Row],[Descuento_pct]]))</f>
        <v>31475.24</v>
      </c>
      <c r="P1292" s="6" t="n">
        <f aca="false">IF(TablaVentas[[#This Row],[Costo_unitario]]="","PENDIENTE",TablaVentas[[#This Row],[Unidades]]*TablaVentas[[#This Row],[Costo_unitario]])</f>
        <v>19762</v>
      </c>
      <c r="Q1292" s="6" t="n">
        <f aca="false">IF(OR(TablaVentas[[#This Row],[Ingreso_neto]]="PENDIENTE",TablaVentas[[#This Row],[Costo_total]]="PENDIENTE"),"PENDIENTE",TablaVentas[[#This Row],[Ingreso_neto]]-TablaVentas[[#This Row],[Costo_total]])</f>
        <v>11713.24</v>
      </c>
    </row>
    <row r="1293" customFormat="false" ht="13.5" hidden="false" customHeight="false" outlineLevel="0" collapsed="false">
      <c r="A1293" s="1" t="s">
        <v>926</v>
      </c>
      <c r="B1293" s="1" t="n">
        <v>1</v>
      </c>
      <c r="C1293" s="5" t="n">
        <v>46029</v>
      </c>
      <c r="D1293" s="6" t="s">
        <v>811</v>
      </c>
      <c r="E1293" s="6" t="s">
        <v>170</v>
      </c>
      <c r="F1293" s="6" t="s">
        <v>63</v>
      </c>
      <c r="G1293" s="6" t="s">
        <v>47</v>
      </c>
      <c r="H1293" s="6" t="s">
        <v>65</v>
      </c>
      <c r="I1293" s="1" t="n">
        <v>1</v>
      </c>
      <c r="J1293" s="7" t="n">
        <v>16842.88</v>
      </c>
      <c r="K1293" s="8" t="n">
        <v>0</v>
      </c>
      <c r="L1293" s="7" t="n">
        <v>12141.44</v>
      </c>
      <c r="M1293" s="6" t="s">
        <v>49</v>
      </c>
      <c r="N1293" s="6" t="s">
        <v>59</v>
      </c>
      <c r="O1293" s="6" t="n">
        <f aca="false">IF(TablaVentas[[#This Row],[Precio_unitario]]="","PENDIENTE",TablaVentas[[#This Row],[Unidades]]*TablaVentas[[#This Row],[Precio_unitario]]*(1-TablaVentas[[#This Row],[Descuento_pct]]))</f>
        <v>16842.88</v>
      </c>
      <c r="P1293" s="6" t="n">
        <f aca="false">IF(TablaVentas[[#This Row],[Costo_unitario]]="","PENDIENTE",TablaVentas[[#This Row],[Unidades]]*TablaVentas[[#This Row],[Costo_unitario]])</f>
        <v>12141.44</v>
      </c>
      <c r="Q1293" s="6" t="n">
        <f aca="false">IF(OR(TablaVentas[[#This Row],[Ingreso_neto]]="PENDIENTE",TablaVentas[[#This Row],[Costo_total]]="PENDIENTE"),"PENDIENTE",TablaVentas[[#This Row],[Ingreso_neto]]-TablaVentas[[#This Row],[Costo_total]])</f>
        <v>4701.44</v>
      </c>
    </row>
    <row r="1294" customFormat="false" ht="13.5" hidden="false" customHeight="false" outlineLevel="0" collapsed="false">
      <c r="A1294" s="1" t="s">
        <v>927</v>
      </c>
      <c r="B1294" s="1" t="n">
        <v>1</v>
      </c>
      <c r="C1294" s="5" t="n">
        <v>46027</v>
      </c>
      <c r="D1294" s="6" t="s">
        <v>683</v>
      </c>
      <c r="E1294" s="6" t="s">
        <v>263</v>
      </c>
      <c r="F1294" s="6" t="s">
        <v>84</v>
      </c>
      <c r="G1294" s="6" t="s">
        <v>64</v>
      </c>
      <c r="H1294" s="6" t="s">
        <v>58</v>
      </c>
      <c r="I1294" s="1" t="n">
        <v>4</v>
      </c>
      <c r="J1294" s="7" t="n">
        <v>18729.11</v>
      </c>
      <c r="K1294" s="8" t="n">
        <v>0.05</v>
      </c>
      <c r="L1294" s="7" t="n">
        <v>11666.57</v>
      </c>
      <c r="M1294" s="6" t="s">
        <v>49</v>
      </c>
      <c r="N1294" s="6" t="s">
        <v>67</v>
      </c>
      <c r="O1294" s="6" t="n">
        <f aca="false">IF(TablaVentas[[#This Row],[Precio_unitario]]="","PENDIENTE",TablaVentas[[#This Row],[Unidades]]*TablaVentas[[#This Row],[Precio_unitario]]*(1-TablaVentas[[#This Row],[Descuento_pct]]))</f>
        <v>71170.618</v>
      </c>
      <c r="P1294" s="6" t="n">
        <f aca="false">IF(TablaVentas[[#This Row],[Costo_unitario]]="","PENDIENTE",TablaVentas[[#This Row],[Unidades]]*TablaVentas[[#This Row],[Costo_unitario]])</f>
        <v>46666.28</v>
      </c>
      <c r="Q1294" s="6" t="n">
        <f aca="false">IF(OR(TablaVentas[[#This Row],[Ingreso_neto]]="PENDIENTE",TablaVentas[[#This Row],[Costo_total]]="PENDIENTE"),"PENDIENTE",TablaVentas[[#This Row],[Ingreso_neto]]-TablaVentas[[#This Row],[Costo_total]])</f>
        <v>24504.338</v>
      </c>
    </row>
    <row r="1295" customFormat="false" ht="13.5" hidden="false" customHeight="false" outlineLevel="0" collapsed="false">
      <c r="A1295" s="1" t="s">
        <v>928</v>
      </c>
      <c r="B1295" s="1" t="n">
        <v>1</v>
      </c>
      <c r="C1295" s="5" t="n">
        <v>46040</v>
      </c>
      <c r="D1295" s="6" t="s">
        <v>237</v>
      </c>
      <c r="E1295" s="6" t="s">
        <v>170</v>
      </c>
      <c r="F1295" s="6" t="s">
        <v>84</v>
      </c>
      <c r="G1295" s="6" t="s">
        <v>47</v>
      </c>
      <c r="H1295" s="6" t="s">
        <v>58</v>
      </c>
      <c r="I1295" s="1" t="n">
        <v>2</v>
      </c>
      <c r="J1295" s="7" t="n">
        <v>17006.4</v>
      </c>
      <c r="K1295" s="8" t="n">
        <v>0.2</v>
      </c>
      <c r="L1295" s="7" t="n">
        <v>12141.44</v>
      </c>
      <c r="M1295" s="6" t="s">
        <v>49</v>
      </c>
      <c r="N1295" s="6" t="s">
        <v>67</v>
      </c>
      <c r="O1295" s="6" t="n">
        <f aca="false">IF(TablaVentas[[#This Row],[Precio_unitario]]="","PENDIENTE",TablaVentas[[#This Row],[Unidades]]*TablaVentas[[#This Row],[Precio_unitario]]*(1-TablaVentas[[#This Row],[Descuento_pct]]))</f>
        <v>27210.24</v>
      </c>
      <c r="P1295" s="6" t="n">
        <f aca="false">IF(TablaVentas[[#This Row],[Costo_unitario]]="","PENDIENTE",TablaVentas[[#This Row],[Unidades]]*TablaVentas[[#This Row],[Costo_unitario]])</f>
        <v>24282.88</v>
      </c>
      <c r="Q1295" s="6" t="n">
        <f aca="false">IF(OR(TablaVentas[[#This Row],[Ingreso_neto]]="PENDIENTE",TablaVentas[[#This Row],[Costo_total]]="PENDIENTE"),"PENDIENTE",TablaVentas[[#This Row],[Ingreso_neto]]-TablaVentas[[#This Row],[Costo_total]])</f>
        <v>2927.36</v>
      </c>
    </row>
    <row r="1296" customFormat="false" ht="13.5" hidden="false" customHeight="false" outlineLevel="0" collapsed="false">
      <c r="A1296" s="1" t="s">
        <v>928</v>
      </c>
      <c r="B1296" s="1" t="n">
        <v>2</v>
      </c>
      <c r="C1296" s="5" t="n">
        <v>46040</v>
      </c>
      <c r="D1296" s="6" t="s">
        <v>237</v>
      </c>
      <c r="E1296" s="6" t="s">
        <v>190</v>
      </c>
      <c r="F1296" s="6" t="s">
        <v>84</v>
      </c>
      <c r="G1296" s="6" t="s">
        <v>47</v>
      </c>
      <c r="H1296" s="6" t="s">
        <v>58</v>
      </c>
      <c r="I1296" s="1" t="n">
        <v>1</v>
      </c>
      <c r="J1296" s="7" t="n">
        <v>4993.2</v>
      </c>
      <c r="K1296" s="8" t="n">
        <v>0</v>
      </c>
      <c r="L1296" s="7" t="n">
        <v>4325.73</v>
      </c>
      <c r="M1296" s="6" t="s">
        <v>49</v>
      </c>
      <c r="N1296" s="6" t="s">
        <v>50</v>
      </c>
      <c r="O1296" s="6" t="n">
        <f aca="false">IF(TablaVentas[[#This Row],[Precio_unitario]]="","PENDIENTE",TablaVentas[[#This Row],[Unidades]]*TablaVentas[[#This Row],[Precio_unitario]]*(1-TablaVentas[[#This Row],[Descuento_pct]]))</f>
        <v>4993.2</v>
      </c>
      <c r="P1296" s="6" t="n">
        <f aca="false">IF(TablaVentas[[#This Row],[Costo_unitario]]="","PENDIENTE",TablaVentas[[#This Row],[Unidades]]*TablaVentas[[#This Row],[Costo_unitario]])</f>
        <v>4325.73</v>
      </c>
      <c r="Q1296" s="6" t="n">
        <f aca="false">IF(OR(TablaVentas[[#This Row],[Ingreso_neto]]="PENDIENTE",TablaVentas[[#This Row],[Costo_total]]="PENDIENTE"),"PENDIENTE",TablaVentas[[#This Row],[Ingreso_neto]]-TablaVentas[[#This Row],[Costo_total]])</f>
        <v>667.47</v>
      </c>
    </row>
    <row r="1297" customFormat="false" ht="13.5" hidden="false" customHeight="false" outlineLevel="0" collapsed="false">
      <c r="A1297" s="1" t="s">
        <v>928</v>
      </c>
      <c r="B1297" s="1" t="n">
        <v>3</v>
      </c>
      <c r="C1297" s="5" t="n">
        <v>46040</v>
      </c>
      <c r="D1297" s="6" t="s">
        <v>237</v>
      </c>
      <c r="E1297" s="6" t="s">
        <v>218</v>
      </c>
      <c r="F1297" s="6" t="s">
        <v>84</v>
      </c>
      <c r="G1297" s="6" t="s">
        <v>47</v>
      </c>
      <c r="H1297" s="6" t="s">
        <v>58</v>
      </c>
      <c r="I1297" s="1" t="n">
        <v>1</v>
      </c>
      <c r="J1297" s="7" t="n">
        <v>18860.66</v>
      </c>
      <c r="K1297" s="8" t="n">
        <v>0</v>
      </c>
      <c r="L1297" s="7" t="n">
        <v>13760.53</v>
      </c>
      <c r="M1297" s="6" t="s">
        <v>49</v>
      </c>
      <c r="N1297" s="6" t="s">
        <v>50</v>
      </c>
      <c r="O1297" s="6" t="n">
        <f aca="false">IF(TablaVentas[[#This Row],[Precio_unitario]]="","PENDIENTE",TablaVentas[[#This Row],[Unidades]]*TablaVentas[[#This Row],[Precio_unitario]]*(1-TablaVentas[[#This Row],[Descuento_pct]]))</f>
        <v>18860.66</v>
      </c>
      <c r="P1297" s="6" t="n">
        <f aca="false">IF(TablaVentas[[#This Row],[Costo_unitario]]="","PENDIENTE",TablaVentas[[#This Row],[Unidades]]*TablaVentas[[#This Row],[Costo_unitario]])</f>
        <v>13760.53</v>
      </c>
      <c r="Q1297" s="6" t="n">
        <f aca="false">IF(OR(TablaVentas[[#This Row],[Ingreso_neto]]="PENDIENTE",TablaVentas[[#This Row],[Costo_total]]="PENDIENTE"),"PENDIENTE",TablaVentas[[#This Row],[Ingreso_neto]]-TablaVentas[[#This Row],[Costo_total]])</f>
        <v>5100.13</v>
      </c>
    </row>
    <row r="1298" customFormat="false" ht="13.5" hidden="false" customHeight="false" outlineLevel="0" collapsed="false">
      <c r="A1298" s="1" t="s">
        <v>929</v>
      </c>
      <c r="B1298" s="1" t="n">
        <v>1</v>
      </c>
      <c r="C1298" s="5" t="n">
        <v>46183</v>
      </c>
      <c r="D1298" s="6" t="s">
        <v>873</v>
      </c>
      <c r="E1298" s="6" t="s">
        <v>300</v>
      </c>
      <c r="F1298" s="6" t="s">
        <v>73</v>
      </c>
      <c r="G1298" s="6" t="s">
        <v>64</v>
      </c>
      <c r="H1298" s="6" t="s">
        <v>65</v>
      </c>
      <c r="I1298" s="1" t="n">
        <v>2</v>
      </c>
      <c r="J1298" s="7" t="n">
        <v>1113.67</v>
      </c>
      <c r="K1298" s="8" t="n">
        <v>0</v>
      </c>
      <c r="L1298" s="7" t="n">
        <v>936.52</v>
      </c>
      <c r="M1298" s="6" t="s">
        <v>49</v>
      </c>
      <c r="N1298" s="6" t="s">
        <v>67</v>
      </c>
      <c r="O1298" s="6" t="n">
        <f aca="false">IF(TablaVentas[[#This Row],[Precio_unitario]]="","PENDIENTE",TablaVentas[[#This Row],[Unidades]]*TablaVentas[[#This Row],[Precio_unitario]]*(1-TablaVentas[[#This Row],[Descuento_pct]]))</f>
        <v>2227.34</v>
      </c>
      <c r="P1298" s="6" t="n">
        <f aca="false">IF(TablaVentas[[#This Row],[Costo_unitario]]="","PENDIENTE",TablaVentas[[#This Row],[Unidades]]*TablaVentas[[#This Row],[Costo_unitario]])</f>
        <v>1873.04</v>
      </c>
      <c r="Q1298" s="6" t="n">
        <f aca="false">IF(OR(TablaVentas[[#This Row],[Ingreso_neto]]="PENDIENTE",TablaVentas[[#This Row],[Costo_total]]="PENDIENTE"),"PENDIENTE",TablaVentas[[#This Row],[Ingreso_neto]]-TablaVentas[[#This Row],[Costo_total]])</f>
        <v>354.3</v>
      </c>
    </row>
    <row r="1299" customFormat="false" ht="13.5" hidden="false" customHeight="false" outlineLevel="0" collapsed="false">
      <c r="A1299" s="1" t="s">
        <v>929</v>
      </c>
      <c r="B1299" s="1" t="n">
        <v>2</v>
      </c>
      <c r="C1299" s="5" t="n">
        <v>46183</v>
      </c>
      <c r="D1299" s="6" t="s">
        <v>873</v>
      </c>
      <c r="E1299" s="6" t="s">
        <v>417</v>
      </c>
      <c r="F1299" s="6" t="s">
        <v>73</v>
      </c>
      <c r="G1299" s="6" t="s">
        <v>64</v>
      </c>
      <c r="H1299" s="6" t="s">
        <v>65</v>
      </c>
      <c r="I1299" s="1" t="n">
        <v>1</v>
      </c>
      <c r="J1299" s="7" t="n">
        <v>8636.44</v>
      </c>
      <c r="K1299" s="8" t="n">
        <v>0</v>
      </c>
      <c r="L1299" s="7" t="n">
        <v>5874.17</v>
      </c>
      <c r="M1299" s="6" t="s">
        <v>49</v>
      </c>
      <c r="N1299" s="6" t="s">
        <v>67</v>
      </c>
      <c r="O1299" s="6" t="n">
        <f aca="false">IF(TablaVentas[[#This Row],[Precio_unitario]]="","PENDIENTE",TablaVentas[[#This Row],[Unidades]]*TablaVentas[[#This Row],[Precio_unitario]]*(1-TablaVentas[[#This Row],[Descuento_pct]]))</f>
        <v>8636.44</v>
      </c>
      <c r="P1299" s="6" t="n">
        <f aca="false">IF(TablaVentas[[#This Row],[Costo_unitario]]="","PENDIENTE",TablaVentas[[#This Row],[Unidades]]*TablaVentas[[#This Row],[Costo_unitario]])</f>
        <v>5874.17</v>
      </c>
      <c r="Q1299" s="6" t="n">
        <f aca="false">IF(OR(TablaVentas[[#This Row],[Ingreso_neto]]="PENDIENTE",TablaVentas[[#This Row],[Costo_total]]="PENDIENTE"),"PENDIENTE",TablaVentas[[#This Row],[Ingreso_neto]]-TablaVentas[[#This Row],[Costo_total]])</f>
        <v>2762.27</v>
      </c>
    </row>
    <row r="1300" customFormat="false" ht="13.5" hidden="false" customHeight="false" outlineLevel="0" collapsed="false">
      <c r="A1300" s="1" t="s">
        <v>930</v>
      </c>
      <c r="B1300" s="1" t="n">
        <v>1</v>
      </c>
      <c r="C1300" s="5" t="n">
        <v>46215</v>
      </c>
      <c r="D1300" s="6" t="s">
        <v>569</v>
      </c>
      <c r="E1300" s="6" t="s">
        <v>141</v>
      </c>
      <c r="F1300" s="6" t="s">
        <v>73</v>
      </c>
      <c r="G1300" s="6" t="s">
        <v>47</v>
      </c>
      <c r="H1300" s="6" t="s">
        <v>58</v>
      </c>
      <c r="I1300" s="1" t="n">
        <v>3</v>
      </c>
      <c r="J1300" s="7" t="n">
        <v>288.88</v>
      </c>
      <c r="K1300" s="8" t="n">
        <v>0</v>
      </c>
      <c r="L1300" s="7" t="n">
        <v>176.47</v>
      </c>
      <c r="M1300" s="6" t="s">
        <v>49</v>
      </c>
      <c r="N1300" s="6" t="s">
        <v>59</v>
      </c>
      <c r="O1300" s="6" t="n">
        <f aca="false">IF(TablaVentas[[#This Row],[Precio_unitario]]="","PENDIENTE",TablaVentas[[#This Row],[Unidades]]*TablaVentas[[#This Row],[Precio_unitario]]*(1-TablaVentas[[#This Row],[Descuento_pct]]))</f>
        <v>866.64</v>
      </c>
      <c r="P1300" s="6" t="n">
        <f aca="false">IF(TablaVentas[[#This Row],[Costo_unitario]]="","PENDIENTE",TablaVentas[[#This Row],[Unidades]]*TablaVentas[[#This Row],[Costo_unitario]])</f>
        <v>529.41</v>
      </c>
      <c r="Q1300" s="6" t="n">
        <f aca="false">IF(OR(TablaVentas[[#This Row],[Ingreso_neto]]="PENDIENTE",TablaVentas[[#This Row],[Costo_total]]="PENDIENTE"),"PENDIENTE",TablaVentas[[#This Row],[Ingreso_neto]]-TablaVentas[[#This Row],[Costo_total]])</f>
        <v>337.23</v>
      </c>
    </row>
    <row r="1301" customFormat="false" ht="13.5" hidden="false" customHeight="false" outlineLevel="0" collapsed="false">
      <c r="A1301" s="1" t="s">
        <v>930</v>
      </c>
      <c r="B1301" s="1" t="n">
        <v>2</v>
      </c>
      <c r="C1301" s="5" t="n">
        <v>46215</v>
      </c>
      <c r="D1301" s="6" t="s">
        <v>569</v>
      </c>
      <c r="E1301" s="6" t="s">
        <v>113</v>
      </c>
      <c r="F1301" s="6" t="s">
        <v>73</v>
      </c>
      <c r="G1301" s="6" t="s">
        <v>47</v>
      </c>
      <c r="H1301" s="6" t="s">
        <v>58</v>
      </c>
      <c r="I1301" s="1" t="n">
        <v>2</v>
      </c>
      <c r="J1301" s="7" t="n">
        <v>10470.07</v>
      </c>
      <c r="K1301" s="8" t="n">
        <v>0</v>
      </c>
      <c r="L1301" s="7" t="n">
        <v>8276.74</v>
      </c>
      <c r="M1301" s="6" t="s">
        <v>49</v>
      </c>
      <c r="N1301" s="6" t="s">
        <v>67</v>
      </c>
      <c r="O1301" s="6" t="n">
        <f aca="false">IF(TablaVentas[[#This Row],[Precio_unitario]]="","PENDIENTE",TablaVentas[[#This Row],[Unidades]]*TablaVentas[[#This Row],[Precio_unitario]]*(1-TablaVentas[[#This Row],[Descuento_pct]]))</f>
        <v>20940.14</v>
      </c>
      <c r="P1301" s="6" t="n">
        <f aca="false">IF(TablaVentas[[#This Row],[Costo_unitario]]="","PENDIENTE",TablaVentas[[#This Row],[Unidades]]*TablaVentas[[#This Row],[Costo_unitario]])</f>
        <v>16553.48</v>
      </c>
      <c r="Q1301" s="6" t="n">
        <f aca="false">IF(OR(TablaVentas[[#This Row],[Ingreso_neto]]="PENDIENTE",TablaVentas[[#This Row],[Costo_total]]="PENDIENTE"),"PENDIENTE",TablaVentas[[#This Row],[Ingreso_neto]]-TablaVentas[[#This Row],[Costo_total]])</f>
        <v>4386.66</v>
      </c>
    </row>
    <row r="1302" customFormat="false" ht="13.5" hidden="false" customHeight="false" outlineLevel="0" collapsed="false">
      <c r="A1302" s="1" t="s">
        <v>930</v>
      </c>
      <c r="B1302" s="1" t="n">
        <v>3</v>
      </c>
      <c r="C1302" s="5" t="n">
        <v>46215</v>
      </c>
      <c r="D1302" s="6" t="s">
        <v>569</v>
      </c>
      <c r="E1302" s="6" t="s">
        <v>167</v>
      </c>
      <c r="F1302" s="6" t="s">
        <v>73</v>
      </c>
      <c r="G1302" s="6" t="s">
        <v>47</v>
      </c>
      <c r="H1302" s="6" t="s">
        <v>58</v>
      </c>
      <c r="I1302" s="1" t="n">
        <v>4</v>
      </c>
      <c r="J1302" s="7" t="n">
        <v>7445.31</v>
      </c>
      <c r="K1302" s="8" t="n">
        <v>0</v>
      </c>
      <c r="L1302" s="7" t="n">
        <v>4082.15</v>
      </c>
      <c r="M1302" s="6" t="s">
        <v>49</v>
      </c>
      <c r="N1302" s="6" t="s">
        <v>67</v>
      </c>
      <c r="O1302" s="6" t="n">
        <f aca="false">IF(TablaVentas[[#This Row],[Precio_unitario]]="","PENDIENTE",TablaVentas[[#This Row],[Unidades]]*TablaVentas[[#This Row],[Precio_unitario]]*(1-TablaVentas[[#This Row],[Descuento_pct]]))</f>
        <v>29781.24</v>
      </c>
      <c r="P1302" s="6" t="n">
        <f aca="false">IF(TablaVentas[[#This Row],[Costo_unitario]]="","PENDIENTE",TablaVentas[[#This Row],[Unidades]]*TablaVentas[[#This Row],[Costo_unitario]])</f>
        <v>16328.6</v>
      </c>
      <c r="Q1302" s="6" t="n">
        <f aca="false">IF(OR(TablaVentas[[#This Row],[Ingreso_neto]]="PENDIENTE",TablaVentas[[#This Row],[Costo_total]]="PENDIENTE"),"PENDIENTE",TablaVentas[[#This Row],[Ingreso_neto]]-TablaVentas[[#This Row],[Costo_total]])</f>
        <v>13452.64</v>
      </c>
    </row>
    <row r="1303" customFormat="false" ht="13.5" hidden="false" customHeight="false" outlineLevel="0" collapsed="false">
      <c r="A1303" s="1" t="s">
        <v>931</v>
      </c>
      <c r="B1303" s="1" t="n">
        <v>1</v>
      </c>
      <c r="C1303" s="5" t="n">
        <v>46287</v>
      </c>
      <c r="D1303" s="6" t="s">
        <v>622</v>
      </c>
      <c r="E1303" s="6" t="s">
        <v>100</v>
      </c>
      <c r="F1303" s="6" t="s">
        <v>63</v>
      </c>
      <c r="G1303" s="6" t="s">
        <v>57</v>
      </c>
      <c r="H1303" s="6" t="s">
        <v>109</v>
      </c>
      <c r="I1303" s="1" t="n">
        <v>1</v>
      </c>
      <c r="J1303" s="7" t="n">
        <v>13850.97</v>
      </c>
      <c r="K1303" s="8" t="n">
        <v>0</v>
      </c>
      <c r="L1303" s="7" t="n">
        <v>8788.79</v>
      </c>
      <c r="M1303" s="6" t="s">
        <v>49</v>
      </c>
      <c r="N1303" s="6" t="s">
        <v>52</v>
      </c>
      <c r="O1303" s="6" t="n">
        <f aca="false">IF(TablaVentas[[#This Row],[Precio_unitario]]="","PENDIENTE",TablaVentas[[#This Row],[Unidades]]*TablaVentas[[#This Row],[Precio_unitario]]*(1-TablaVentas[[#This Row],[Descuento_pct]]))</f>
        <v>13850.97</v>
      </c>
      <c r="P1303" s="6" t="n">
        <f aca="false">IF(TablaVentas[[#This Row],[Costo_unitario]]="","PENDIENTE",TablaVentas[[#This Row],[Unidades]]*TablaVentas[[#This Row],[Costo_unitario]])</f>
        <v>8788.79</v>
      </c>
      <c r="Q1303" s="6" t="n">
        <f aca="false">IF(OR(TablaVentas[[#This Row],[Ingreso_neto]]="PENDIENTE",TablaVentas[[#This Row],[Costo_total]]="PENDIENTE"),"PENDIENTE",TablaVentas[[#This Row],[Ingreso_neto]]-TablaVentas[[#This Row],[Costo_total]])</f>
        <v>5062.18</v>
      </c>
    </row>
    <row r="1304" customFormat="false" ht="13.5" hidden="false" customHeight="false" outlineLevel="0" collapsed="false">
      <c r="A1304" s="1" t="s">
        <v>931</v>
      </c>
      <c r="B1304" s="1" t="n">
        <v>2</v>
      </c>
      <c r="C1304" s="5" t="n">
        <v>46287</v>
      </c>
      <c r="D1304" s="6" t="s">
        <v>622</v>
      </c>
      <c r="E1304" s="6" t="s">
        <v>260</v>
      </c>
      <c r="F1304" s="6" t="s">
        <v>63</v>
      </c>
      <c r="G1304" s="6" t="s">
        <v>57</v>
      </c>
      <c r="H1304" s="6" t="s">
        <v>109</v>
      </c>
      <c r="I1304" s="1" t="n">
        <v>2</v>
      </c>
      <c r="J1304" s="7" t="n">
        <v>2943.17</v>
      </c>
      <c r="K1304" s="8" t="n">
        <v>0.05</v>
      </c>
      <c r="L1304" s="7" t="n">
        <v>2486.18</v>
      </c>
      <c r="M1304" s="6" t="s">
        <v>49</v>
      </c>
      <c r="N1304" s="6" t="s">
        <v>67</v>
      </c>
      <c r="O1304" s="6" t="n">
        <f aca="false">IF(TablaVentas[[#This Row],[Precio_unitario]]="","PENDIENTE",TablaVentas[[#This Row],[Unidades]]*TablaVentas[[#This Row],[Precio_unitario]]*(1-TablaVentas[[#This Row],[Descuento_pct]]))</f>
        <v>5592.023</v>
      </c>
      <c r="P1304" s="6" t="n">
        <f aca="false">IF(TablaVentas[[#This Row],[Costo_unitario]]="","PENDIENTE",TablaVentas[[#This Row],[Unidades]]*TablaVentas[[#This Row],[Costo_unitario]])</f>
        <v>4972.36</v>
      </c>
      <c r="Q1304" s="6" t="n">
        <f aca="false">IF(OR(TablaVentas[[#This Row],[Ingreso_neto]]="PENDIENTE",TablaVentas[[#This Row],[Costo_total]]="PENDIENTE"),"PENDIENTE",TablaVentas[[#This Row],[Ingreso_neto]]-TablaVentas[[#This Row],[Costo_total]])</f>
        <v>619.663000000001</v>
      </c>
    </row>
    <row r="1305" customFormat="false" ht="13.5" hidden="false" customHeight="false" outlineLevel="0" collapsed="false">
      <c r="A1305" s="1" t="s">
        <v>932</v>
      </c>
      <c r="B1305" s="1" t="n">
        <v>1</v>
      </c>
      <c r="C1305" s="5" t="n">
        <v>46157</v>
      </c>
      <c r="D1305" s="6" t="s">
        <v>525</v>
      </c>
      <c r="E1305" s="6" t="s">
        <v>151</v>
      </c>
      <c r="F1305" s="6" t="s">
        <v>73</v>
      </c>
      <c r="G1305" s="6" t="s">
        <v>57</v>
      </c>
      <c r="H1305" s="6" t="s">
        <v>89</v>
      </c>
      <c r="I1305" s="1" t="n">
        <v>2</v>
      </c>
      <c r="J1305" s="7" t="n">
        <v>8826.9</v>
      </c>
      <c r="K1305" s="8" t="n">
        <v>0.05</v>
      </c>
      <c r="L1305" s="7" t="n">
        <v>5125.36</v>
      </c>
      <c r="M1305" s="6" t="s">
        <v>49</v>
      </c>
      <c r="N1305" s="6" t="s">
        <v>50</v>
      </c>
      <c r="O1305" s="6" t="n">
        <f aca="false">IF(TablaVentas[[#This Row],[Precio_unitario]]="","PENDIENTE",TablaVentas[[#This Row],[Unidades]]*TablaVentas[[#This Row],[Precio_unitario]]*(1-TablaVentas[[#This Row],[Descuento_pct]]))</f>
        <v>16771.11</v>
      </c>
      <c r="P1305" s="6" t="n">
        <f aca="false">IF(TablaVentas[[#This Row],[Costo_unitario]]="","PENDIENTE",TablaVentas[[#This Row],[Unidades]]*TablaVentas[[#This Row],[Costo_unitario]])</f>
        <v>10250.72</v>
      </c>
      <c r="Q1305" s="6" t="n">
        <f aca="false">IF(OR(TablaVentas[[#This Row],[Ingreso_neto]]="PENDIENTE",TablaVentas[[#This Row],[Costo_total]]="PENDIENTE"),"PENDIENTE",TablaVentas[[#This Row],[Ingreso_neto]]-TablaVentas[[#This Row],[Costo_total]])</f>
        <v>6520.39</v>
      </c>
    </row>
    <row r="1306" customFormat="false" ht="13.5" hidden="false" customHeight="false" outlineLevel="0" collapsed="false">
      <c r="A1306" s="1" t="s">
        <v>933</v>
      </c>
      <c r="B1306" s="1" t="n">
        <v>1</v>
      </c>
      <c r="C1306" s="5" t="n">
        <v>46078</v>
      </c>
      <c r="D1306" s="6" t="s">
        <v>436</v>
      </c>
      <c r="E1306" s="6" t="s">
        <v>192</v>
      </c>
      <c r="F1306" s="6" t="s">
        <v>46</v>
      </c>
      <c r="G1306" s="6" t="s">
        <v>57</v>
      </c>
      <c r="H1306" s="6" t="s">
        <v>80</v>
      </c>
      <c r="I1306" s="1" t="n">
        <v>2</v>
      </c>
      <c r="J1306" s="7" t="n">
        <v>16537.84</v>
      </c>
      <c r="K1306" s="8" t="n">
        <v>0</v>
      </c>
      <c r="L1306" s="7" t="n">
        <v>11904.09</v>
      </c>
      <c r="M1306" s="6" t="s">
        <v>49</v>
      </c>
      <c r="N1306" s="6" t="s">
        <v>50</v>
      </c>
      <c r="O1306" s="6" t="n">
        <f aca="false">IF(TablaVentas[[#This Row],[Precio_unitario]]="","PENDIENTE",TablaVentas[[#This Row],[Unidades]]*TablaVentas[[#This Row],[Precio_unitario]]*(1-TablaVentas[[#This Row],[Descuento_pct]]))</f>
        <v>33075.68</v>
      </c>
      <c r="P1306" s="6" t="n">
        <f aca="false">IF(TablaVentas[[#This Row],[Costo_unitario]]="","PENDIENTE",TablaVentas[[#This Row],[Unidades]]*TablaVentas[[#This Row],[Costo_unitario]])</f>
        <v>23808.18</v>
      </c>
      <c r="Q1306" s="6" t="n">
        <f aca="false">IF(OR(TablaVentas[[#This Row],[Ingreso_neto]]="PENDIENTE",TablaVentas[[#This Row],[Costo_total]]="PENDIENTE"),"PENDIENTE",TablaVentas[[#This Row],[Ingreso_neto]]-TablaVentas[[#This Row],[Costo_total]])</f>
        <v>9267.5</v>
      </c>
    </row>
    <row r="1307" customFormat="false" ht="13.5" hidden="false" customHeight="false" outlineLevel="0" collapsed="false">
      <c r="A1307" s="1" t="s">
        <v>933</v>
      </c>
      <c r="B1307" s="1" t="n">
        <v>2</v>
      </c>
      <c r="C1307" s="5" t="n">
        <v>46078</v>
      </c>
      <c r="D1307" s="6" t="s">
        <v>436</v>
      </c>
      <c r="E1307" s="6" t="s">
        <v>260</v>
      </c>
      <c r="F1307" s="6" t="s">
        <v>46</v>
      </c>
      <c r="G1307" s="6" t="s">
        <v>57</v>
      </c>
      <c r="H1307" s="6" t="s">
        <v>80</v>
      </c>
      <c r="I1307" s="1" t="n">
        <v>1</v>
      </c>
      <c r="J1307" s="7" t="n">
        <v>2945.64</v>
      </c>
      <c r="K1307" s="8" t="n">
        <v>0.2</v>
      </c>
      <c r="L1307" s="7" t="n">
        <v>2486.18</v>
      </c>
      <c r="M1307" s="6" t="s">
        <v>49</v>
      </c>
      <c r="N1307" s="6" t="s">
        <v>52</v>
      </c>
      <c r="O1307" s="6" t="n">
        <f aca="false">IF(TablaVentas[[#This Row],[Precio_unitario]]="","PENDIENTE",TablaVentas[[#This Row],[Unidades]]*TablaVentas[[#This Row],[Precio_unitario]]*(1-TablaVentas[[#This Row],[Descuento_pct]]))</f>
        <v>2356.512</v>
      </c>
      <c r="P1307" s="6" t="n">
        <f aca="false">IF(TablaVentas[[#This Row],[Costo_unitario]]="","PENDIENTE",TablaVentas[[#This Row],[Unidades]]*TablaVentas[[#This Row],[Costo_unitario]])</f>
        <v>2486.18</v>
      </c>
      <c r="Q1307" s="6" t="n">
        <f aca="false">IF(OR(TablaVentas[[#This Row],[Ingreso_neto]]="PENDIENTE",TablaVentas[[#This Row],[Costo_total]]="PENDIENTE"),"PENDIENTE",TablaVentas[[#This Row],[Ingreso_neto]]-TablaVentas[[#This Row],[Costo_total]])</f>
        <v>-129.668</v>
      </c>
    </row>
    <row r="1308" customFormat="false" ht="13.5" hidden="false" customHeight="false" outlineLevel="0" collapsed="false">
      <c r="A1308" s="1" t="s">
        <v>934</v>
      </c>
      <c r="B1308" s="1" t="n">
        <v>1</v>
      </c>
      <c r="C1308" s="5" t="n">
        <v>46270</v>
      </c>
      <c r="D1308" s="6" t="s">
        <v>469</v>
      </c>
      <c r="E1308" s="6" t="s">
        <v>117</v>
      </c>
      <c r="F1308" s="6" t="s">
        <v>84</v>
      </c>
      <c r="G1308" s="6" t="s">
        <v>47</v>
      </c>
      <c r="H1308" s="6" t="s">
        <v>109</v>
      </c>
      <c r="I1308" s="1" t="n">
        <v>2</v>
      </c>
      <c r="J1308" s="7" t="n">
        <v>5468.48</v>
      </c>
      <c r="K1308" s="8" t="n">
        <v>0.05</v>
      </c>
      <c r="L1308" s="7" t="n">
        <v>4205.69</v>
      </c>
      <c r="M1308" s="6" t="s">
        <v>49</v>
      </c>
      <c r="N1308" s="6" t="s">
        <v>59</v>
      </c>
      <c r="O1308" s="6" t="n">
        <f aca="false">IF(TablaVentas[[#This Row],[Precio_unitario]]="","PENDIENTE",TablaVentas[[#This Row],[Unidades]]*TablaVentas[[#This Row],[Precio_unitario]]*(1-TablaVentas[[#This Row],[Descuento_pct]]))</f>
        <v>10390.112</v>
      </c>
      <c r="P1308" s="6" t="n">
        <f aca="false">IF(TablaVentas[[#This Row],[Costo_unitario]]="","PENDIENTE",TablaVentas[[#This Row],[Unidades]]*TablaVentas[[#This Row],[Costo_unitario]])</f>
        <v>8411.38</v>
      </c>
      <c r="Q1308" s="6" t="n">
        <f aca="false">IF(OR(TablaVentas[[#This Row],[Ingreso_neto]]="PENDIENTE",TablaVentas[[#This Row],[Costo_total]]="PENDIENTE"),"PENDIENTE",TablaVentas[[#This Row],[Ingreso_neto]]-TablaVentas[[#This Row],[Costo_total]])</f>
        <v>1978.732</v>
      </c>
    </row>
    <row r="1309" customFormat="false" ht="13.5" hidden="false" customHeight="false" outlineLevel="0" collapsed="false">
      <c r="A1309" s="1" t="s">
        <v>934</v>
      </c>
      <c r="B1309" s="1" t="n">
        <v>2</v>
      </c>
      <c r="C1309" s="5" t="n">
        <v>46270</v>
      </c>
      <c r="D1309" s="6" t="s">
        <v>469</v>
      </c>
      <c r="E1309" s="6" t="s">
        <v>163</v>
      </c>
      <c r="F1309" s="6" t="s">
        <v>84</v>
      </c>
      <c r="G1309" s="6" t="s">
        <v>47</v>
      </c>
      <c r="H1309" s="6" t="s">
        <v>109</v>
      </c>
      <c r="I1309" s="1" t="n">
        <v>4</v>
      </c>
      <c r="J1309" s="7" t="n">
        <v>19848.68</v>
      </c>
      <c r="K1309" s="8" t="n">
        <v>0</v>
      </c>
      <c r="L1309" s="7" t="n">
        <v>13981.13</v>
      </c>
      <c r="M1309" s="6" t="s">
        <v>123</v>
      </c>
      <c r="N1309" s="6" t="s">
        <v>50</v>
      </c>
      <c r="O1309" s="6" t="n">
        <f aca="false">IF(TablaVentas[[#This Row],[Precio_unitario]]="","PENDIENTE",TablaVentas[[#This Row],[Unidades]]*TablaVentas[[#This Row],[Precio_unitario]]*(1-TablaVentas[[#This Row],[Descuento_pct]]))</f>
        <v>79394.72</v>
      </c>
      <c r="P1309" s="6" t="n">
        <f aca="false">IF(TablaVentas[[#This Row],[Costo_unitario]]="","PENDIENTE",TablaVentas[[#This Row],[Unidades]]*TablaVentas[[#This Row],[Costo_unitario]])</f>
        <v>55924.52</v>
      </c>
      <c r="Q1309" s="6" t="n">
        <f aca="false">IF(OR(TablaVentas[[#This Row],[Ingreso_neto]]="PENDIENTE",TablaVentas[[#This Row],[Costo_total]]="PENDIENTE"),"PENDIENTE",TablaVentas[[#This Row],[Ingreso_neto]]-TablaVentas[[#This Row],[Costo_total]])</f>
        <v>23470.2</v>
      </c>
    </row>
    <row r="1310" customFormat="false" ht="13.5" hidden="false" customHeight="false" outlineLevel="0" collapsed="false">
      <c r="A1310" s="1" t="s">
        <v>935</v>
      </c>
      <c r="B1310" s="1" t="n">
        <v>1</v>
      </c>
      <c r="C1310" s="5" t="n">
        <v>46250</v>
      </c>
      <c r="D1310" s="6" t="s">
        <v>499</v>
      </c>
      <c r="E1310" s="6" t="s">
        <v>113</v>
      </c>
      <c r="F1310" s="6" t="s">
        <v>84</v>
      </c>
      <c r="G1310" s="6" t="s">
        <v>64</v>
      </c>
      <c r="H1310" s="6" t="s">
        <v>48</v>
      </c>
      <c r="I1310" s="1" t="n">
        <v>5</v>
      </c>
      <c r="J1310" s="7" t="n">
        <v>9920.47</v>
      </c>
      <c r="K1310" s="8" t="n">
        <v>0</v>
      </c>
      <c r="L1310" s="7" t="n">
        <v>8276.74</v>
      </c>
      <c r="M1310" s="6" t="s">
        <v>49</v>
      </c>
      <c r="N1310" s="6" t="s">
        <v>67</v>
      </c>
      <c r="O1310" s="6" t="n">
        <f aca="false">IF(TablaVentas[[#This Row],[Precio_unitario]]="","PENDIENTE",TablaVentas[[#This Row],[Unidades]]*TablaVentas[[#This Row],[Precio_unitario]]*(1-TablaVentas[[#This Row],[Descuento_pct]]))</f>
        <v>49602.35</v>
      </c>
      <c r="P1310" s="6" t="n">
        <f aca="false">IF(TablaVentas[[#This Row],[Costo_unitario]]="","PENDIENTE",TablaVentas[[#This Row],[Unidades]]*TablaVentas[[#This Row],[Costo_unitario]])</f>
        <v>41383.7</v>
      </c>
      <c r="Q1310" s="6" t="n">
        <f aca="false">IF(OR(TablaVentas[[#This Row],[Ingreso_neto]]="PENDIENTE",TablaVentas[[#This Row],[Costo_total]]="PENDIENTE"),"PENDIENTE",TablaVentas[[#This Row],[Ingreso_neto]]-TablaVentas[[#This Row],[Costo_total]])</f>
        <v>8218.65</v>
      </c>
    </row>
    <row r="1311" customFormat="false" ht="13.5" hidden="false" customHeight="false" outlineLevel="0" collapsed="false">
      <c r="A1311" s="1" t="s">
        <v>935</v>
      </c>
      <c r="B1311" s="1" t="n">
        <v>2</v>
      </c>
      <c r="C1311" s="5" t="n">
        <v>46250</v>
      </c>
      <c r="D1311" s="6" t="s">
        <v>499</v>
      </c>
      <c r="E1311" s="6" t="s">
        <v>187</v>
      </c>
      <c r="F1311" s="6" t="s">
        <v>84</v>
      </c>
      <c r="G1311" s="6" t="s">
        <v>64</v>
      </c>
      <c r="H1311" s="6" t="s">
        <v>48</v>
      </c>
      <c r="I1311" s="1" t="n">
        <v>2</v>
      </c>
      <c r="J1311" s="7" t="n">
        <v>6289.31</v>
      </c>
      <c r="K1311" s="8" t="n">
        <v>0.05</v>
      </c>
      <c r="L1311" s="7" t="n">
        <v>3824.92</v>
      </c>
      <c r="M1311" s="6" t="s">
        <v>69</v>
      </c>
      <c r="N1311" s="6" t="s">
        <v>52</v>
      </c>
      <c r="O1311" s="6" t="n">
        <f aca="false">IF(TablaVentas[[#This Row],[Precio_unitario]]="","PENDIENTE",TablaVentas[[#This Row],[Unidades]]*TablaVentas[[#This Row],[Precio_unitario]]*(1-TablaVentas[[#This Row],[Descuento_pct]]))</f>
        <v>11949.689</v>
      </c>
      <c r="P1311" s="6" t="n">
        <f aca="false">IF(TablaVentas[[#This Row],[Costo_unitario]]="","PENDIENTE",TablaVentas[[#This Row],[Unidades]]*TablaVentas[[#This Row],[Costo_unitario]])</f>
        <v>7649.84</v>
      </c>
      <c r="Q1311" s="6" t="n">
        <f aca="false">IF(OR(TablaVentas[[#This Row],[Ingreso_neto]]="PENDIENTE",TablaVentas[[#This Row],[Costo_total]]="PENDIENTE"),"PENDIENTE",TablaVentas[[#This Row],[Ingreso_neto]]-TablaVentas[[#This Row],[Costo_total]])</f>
        <v>4299.849</v>
      </c>
    </row>
    <row r="1312" customFormat="false" ht="13.5" hidden="false" customHeight="false" outlineLevel="0" collapsed="false">
      <c r="A1312" s="1" t="s">
        <v>936</v>
      </c>
      <c r="B1312" s="1" t="n">
        <v>1</v>
      </c>
      <c r="C1312" s="5" t="n">
        <v>46255</v>
      </c>
      <c r="D1312" s="6" t="s">
        <v>847</v>
      </c>
      <c r="E1312" s="6" t="s">
        <v>90</v>
      </c>
      <c r="F1312" s="6" t="s">
        <v>63</v>
      </c>
      <c r="G1312" s="6" t="s">
        <v>64</v>
      </c>
      <c r="H1312" s="6" t="s">
        <v>89</v>
      </c>
      <c r="I1312" s="1" t="n">
        <v>1</v>
      </c>
      <c r="J1312" s="7" t="n">
        <v>15235.6</v>
      </c>
      <c r="K1312" s="8" t="n">
        <v>0.1</v>
      </c>
      <c r="L1312" s="7" t="n">
        <v>12723.77</v>
      </c>
      <c r="M1312" s="6" t="s">
        <v>49</v>
      </c>
      <c r="N1312" s="6" t="s">
        <v>52</v>
      </c>
      <c r="O1312" s="6" t="n">
        <f aca="false">IF(TablaVentas[[#This Row],[Precio_unitario]]="","PENDIENTE",TablaVentas[[#This Row],[Unidades]]*TablaVentas[[#This Row],[Precio_unitario]]*(1-TablaVentas[[#This Row],[Descuento_pct]]))</f>
        <v>13712.04</v>
      </c>
      <c r="P1312" s="6" t="n">
        <f aca="false">IF(TablaVentas[[#This Row],[Costo_unitario]]="","PENDIENTE",TablaVentas[[#This Row],[Unidades]]*TablaVentas[[#This Row],[Costo_unitario]])</f>
        <v>12723.77</v>
      </c>
      <c r="Q1312" s="6" t="n">
        <f aca="false">IF(OR(TablaVentas[[#This Row],[Ingreso_neto]]="PENDIENTE",TablaVentas[[#This Row],[Costo_total]]="PENDIENTE"),"PENDIENTE",TablaVentas[[#This Row],[Ingreso_neto]]-TablaVentas[[#This Row],[Costo_total]])</f>
        <v>988.27</v>
      </c>
    </row>
    <row r="1313" customFormat="false" ht="13.5" hidden="false" customHeight="false" outlineLevel="0" collapsed="false">
      <c r="A1313" s="1" t="s">
        <v>936</v>
      </c>
      <c r="B1313" s="1" t="n">
        <v>2</v>
      </c>
      <c r="C1313" s="5" t="n">
        <v>46255</v>
      </c>
      <c r="D1313" s="6" t="s">
        <v>847</v>
      </c>
      <c r="E1313" s="6" t="s">
        <v>96</v>
      </c>
      <c r="F1313" s="6" t="s">
        <v>63</v>
      </c>
      <c r="G1313" s="6" t="s">
        <v>64</v>
      </c>
      <c r="H1313" s="6" t="s">
        <v>89</v>
      </c>
      <c r="I1313" s="1" t="n">
        <v>1</v>
      </c>
      <c r="J1313" s="7" t="n">
        <v>11524.91</v>
      </c>
      <c r="K1313" s="8" t="n">
        <v>0.05</v>
      </c>
      <c r="L1313" s="7" t="n">
        <v>9118.07</v>
      </c>
      <c r="M1313" s="6" t="s">
        <v>69</v>
      </c>
      <c r="N1313" s="6" t="s">
        <v>67</v>
      </c>
      <c r="O1313" s="6" t="n">
        <f aca="false">IF(TablaVentas[[#This Row],[Precio_unitario]]="","PENDIENTE",TablaVentas[[#This Row],[Unidades]]*TablaVentas[[#This Row],[Precio_unitario]]*(1-TablaVentas[[#This Row],[Descuento_pct]]))</f>
        <v>10948.6645</v>
      </c>
      <c r="P1313" s="6" t="n">
        <f aca="false">IF(TablaVentas[[#This Row],[Costo_unitario]]="","PENDIENTE",TablaVentas[[#This Row],[Unidades]]*TablaVentas[[#This Row],[Costo_unitario]])</f>
        <v>9118.07</v>
      </c>
      <c r="Q1313" s="6" t="n">
        <f aca="false">IF(OR(TablaVentas[[#This Row],[Ingreso_neto]]="PENDIENTE",TablaVentas[[#This Row],[Costo_total]]="PENDIENTE"),"PENDIENTE",TablaVentas[[#This Row],[Ingreso_neto]]-TablaVentas[[#This Row],[Costo_total]])</f>
        <v>1830.5945</v>
      </c>
    </row>
    <row r="1314" customFormat="false" ht="13.5" hidden="false" customHeight="false" outlineLevel="0" collapsed="false">
      <c r="A1314" s="1" t="s">
        <v>937</v>
      </c>
      <c r="B1314" s="1" t="n">
        <v>1</v>
      </c>
      <c r="C1314" s="5" t="n">
        <v>46054</v>
      </c>
      <c r="D1314" s="6" t="s">
        <v>311</v>
      </c>
      <c r="E1314" s="6" t="s">
        <v>374</v>
      </c>
      <c r="F1314" s="6" t="s">
        <v>63</v>
      </c>
      <c r="G1314" s="6" t="s">
        <v>64</v>
      </c>
      <c r="H1314" s="6" t="s">
        <v>80</v>
      </c>
      <c r="I1314" s="1" t="n">
        <v>3</v>
      </c>
      <c r="J1314" s="7" t="n">
        <v>9826.9</v>
      </c>
      <c r="K1314" s="8" t="n">
        <v>0.2</v>
      </c>
      <c r="L1314" s="7" t="n">
        <v>5079.43</v>
      </c>
      <c r="M1314" s="6" t="s">
        <v>49</v>
      </c>
      <c r="N1314" s="6" t="s">
        <v>50</v>
      </c>
      <c r="O1314" s="6" t="n">
        <f aca="false">IF(TablaVentas[[#This Row],[Precio_unitario]]="","PENDIENTE",TablaVentas[[#This Row],[Unidades]]*TablaVentas[[#This Row],[Precio_unitario]]*(1-TablaVentas[[#This Row],[Descuento_pct]]))</f>
        <v>23584.56</v>
      </c>
      <c r="P1314" s="6" t="n">
        <f aca="false">IF(TablaVentas[[#This Row],[Costo_unitario]]="","PENDIENTE",TablaVentas[[#This Row],[Unidades]]*TablaVentas[[#This Row],[Costo_unitario]])</f>
        <v>15238.29</v>
      </c>
      <c r="Q1314" s="6" t="n">
        <f aca="false">IF(OR(TablaVentas[[#This Row],[Ingreso_neto]]="PENDIENTE",TablaVentas[[#This Row],[Costo_total]]="PENDIENTE"),"PENDIENTE",TablaVentas[[#This Row],[Ingreso_neto]]-TablaVentas[[#This Row],[Costo_total]])</f>
        <v>8346.27</v>
      </c>
    </row>
    <row r="1315" customFormat="false" ht="13.5" hidden="false" customHeight="false" outlineLevel="0" collapsed="false">
      <c r="A1315" s="1" t="s">
        <v>938</v>
      </c>
      <c r="B1315" s="1" t="n">
        <v>1</v>
      </c>
      <c r="C1315" s="5" t="n">
        <v>46092</v>
      </c>
      <c r="D1315" s="6" t="s">
        <v>634</v>
      </c>
      <c r="E1315" s="6" t="s">
        <v>278</v>
      </c>
      <c r="F1315" s="6" t="s">
        <v>63</v>
      </c>
      <c r="G1315" s="6" t="s">
        <v>57</v>
      </c>
      <c r="H1315" s="6" t="s">
        <v>89</v>
      </c>
      <c r="I1315" s="1" t="n">
        <v>1</v>
      </c>
      <c r="J1315" s="7" t="n">
        <v>1145.13</v>
      </c>
      <c r="K1315" s="8" t="n">
        <v>0</v>
      </c>
      <c r="L1315" s="7" t="n">
        <v>759.03</v>
      </c>
      <c r="M1315" s="6" t="s">
        <v>49</v>
      </c>
      <c r="N1315" s="6" t="s">
        <v>67</v>
      </c>
      <c r="O1315" s="6" t="n">
        <f aca="false">IF(TablaVentas[[#This Row],[Precio_unitario]]="","PENDIENTE",TablaVentas[[#This Row],[Unidades]]*TablaVentas[[#This Row],[Precio_unitario]]*(1-TablaVentas[[#This Row],[Descuento_pct]]))</f>
        <v>1145.13</v>
      </c>
      <c r="P1315" s="6" t="n">
        <f aca="false">IF(TablaVentas[[#This Row],[Costo_unitario]]="","PENDIENTE",TablaVentas[[#This Row],[Unidades]]*TablaVentas[[#This Row],[Costo_unitario]])</f>
        <v>759.03</v>
      </c>
      <c r="Q1315" s="6" t="n">
        <f aca="false">IF(OR(TablaVentas[[#This Row],[Ingreso_neto]]="PENDIENTE",TablaVentas[[#This Row],[Costo_total]]="PENDIENTE"),"PENDIENTE",TablaVentas[[#This Row],[Ingreso_neto]]-TablaVentas[[#This Row],[Costo_total]])</f>
        <v>386.1</v>
      </c>
    </row>
    <row r="1316" customFormat="false" ht="13.5" hidden="false" customHeight="false" outlineLevel="0" collapsed="false">
      <c r="A1316" s="1" t="s">
        <v>939</v>
      </c>
      <c r="B1316" s="1" t="n">
        <v>1</v>
      </c>
      <c r="C1316" s="5" t="n">
        <v>46289</v>
      </c>
      <c r="D1316" s="6" t="s">
        <v>525</v>
      </c>
      <c r="E1316" s="6" t="s">
        <v>182</v>
      </c>
      <c r="F1316" s="6" t="s">
        <v>63</v>
      </c>
      <c r="G1316" s="6" t="s">
        <v>57</v>
      </c>
      <c r="H1316" s="6" t="s">
        <v>80</v>
      </c>
      <c r="I1316" s="1" t="n">
        <v>1</v>
      </c>
      <c r="J1316" s="7" t="n">
        <v>2854.76</v>
      </c>
      <c r="K1316" s="8" t="n">
        <v>0</v>
      </c>
      <c r="L1316" s="7" t="n">
        <v>1857.39</v>
      </c>
      <c r="M1316" s="6" t="s">
        <v>49</v>
      </c>
      <c r="N1316" s="6" t="s">
        <v>50</v>
      </c>
      <c r="O1316" s="6" t="n">
        <f aca="false">IF(TablaVentas[[#This Row],[Precio_unitario]]="","PENDIENTE",TablaVentas[[#This Row],[Unidades]]*TablaVentas[[#This Row],[Precio_unitario]]*(1-TablaVentas[[#This Row],[Descuento_pct]]))</f>
        <v>2854.76</v>
      </c>
      <c r="P1316" s="6" t="n">
        <f aca="false">IF(TablaVentas[[#This Row],[Costo_unitario]]="","PENDIENTE",TablaVentas[[#This Row],[Unidades]]*TablaVentas[[#This Row],[Costo_unitario]])</f>
        <v>1857.39</v>
      </c>
      <c r="Q1316" s="6" t="n">
        <f aca="false">IF(OR(TablaVentas[[#This Row],[Ingreso_neto]]="PENDIENTE",TablaVentas[[#This Row],[Costo_total]]="PENDIENTE"),"PENDIENTE",TablaVentas[[#This Row],[Ingreso_neto]]-TablaVentas[[#This Row],[Costo_total]])</f>
        <v>997.37</v>
      </c>
    </row>
    <row r="1317" customFormat="false" ht="13.5" hidden="false" customHeight="false" outlineLevel="0" collapsed="false">
      <c r="A1317" s="1" t="s">
        <v>939</v>
      </c>
      <c r="B1317" s="1" t="n">
        <v>2</v>
      </c>
      <c r="C1317" s="5" t="n">
        <v>46289</v>
      </c>
      <c r="D1317" s="6" t="s">
        <v>525</v>
      </c>
      <c r="E1317" s="6" t="s">
        <v>51</v>
      </c>
      <c r="F1317" s="6" t="s">
        <v>63</v>
      </c>
      <c r="G1317" s="6" t="s">
        <v>57</v>
      </c>
      <c r="H1317" s="6" t="s">
        <v>80</v>
      </c>
      <c r="I1317" s="1" t="n">
        <v>5</v>
      </c>
      <c r="J1317" s="7" t="n">
        <v>13064.6</v>
      </c>
      <c r="K1317" s="8" t="n">
        <v>0</v>
      </c>
      <c r="L1317" s="7" t="n">
        <v>8980.68</v>
      </c>
      <c r="M1317" s="6" t="s">
        <v>49</v>
      </c>
      <c r="N1317" s="6" t="s">
        <v>59</v>
      </c>
      <c r="O1317" s="6" t="n">
        <f aca="false">IF(TablaVentas[[#This Row],[Precio_unitario]]="","PENDIENTE",TablaVentas[[#This Row],[Unidades]]*TablaVentas[[#This Row],[Precio_unitario]]*(1-TablaVentas[[#This Row],[Descuento_pct]]))</f>
        <v>65323</v>
      </c>
      <c r="P1317" s="6" t="n">
        <f aca="false">IF(TablaVentas[[#This Row],[Costo_unitario]]="","PENDIENTE",TablaVentas[[#This Row],[Unidades]]*TablaVentas[[#This Row],[Costo_unitario]])</f>
        <v>44903.4</v>
      </c>
      <c r="Q1317" s="6" t="n">
        <f aca="false">IF(OR(TablaVentas[[#This Row],[Ingreso_neto]]="PENDIENTE",TablaVentas[[#This Row],[Costo_total]]="PENDIENTE"),"PENDIENTE",TablaVentas[[#This Row],[Ingreso_neto]]-TablaVentas[[#This Row],[Costo_total]])</f>
        <v>20419.6</v>
      </c>
    </row>
    <row r="1318" customFormat="false" ht="13.5" hidden="false" customHeight="false" outlineLevel="0" collapsed="false">
      <c r="A1318" s="1" t="s">
        <v>939</v>
      </c>
      <c r="B1318" s="1" t="n">
        <v>3</v>
      </c>
      <c r="C1318" s="5" t="n">
        <v>46289</v>
      </c>
      <c r="D1318" s="6" t="s">
        <v>525</v>
      </c>
      <c r="E1318" s="6" t="s">
        <v>265</v>
      </c>
      <c r="F1318" s="6" t="s">
        <v>63</v>
      </c>
      <c r="G1318" s="6" t="s">
        <v>57</v>
      </c>
      <c r="H1318" s="6" t="s">
        <v>80</v>
      </c>
      <c r="I1318" s="1" t="n">
        <v>1</v>
      </c>
      <c r="J1318" s="7" t="n">
        <v>3982.71</v>
      </c>
      <c r="K1318" s="8" t="n">
        <v>0</v>
      </c>
      <c r="L1318" s="7" t="n">
        <v>2008.57</v>
      </c>
      <c r="M1318" s="6" t="s">
        <v>49</v>
      </c>
      <c r="N1318" s="6" t="s">
        <v>50</v>
      </c>
      <c r="O1318" s="6" t="n">
        <f aca="false">IF(TablaVentas[[#This Row],[Precio_unitario]]="","PENDIENTE",TablaVentas[[#This Row],[Unidades]]*TablaVentas[[#This Row],[Precio_unitario]]*(1-TablaVentas[[#This Row],[Descuento_pct]]))</f>
        <v>3982.71</v>
      </c>
      <c r="P1318" s="6" t="n">
        <f aca="false">IF(TablaVentas[[#This Row],[Costo_unitario]]="","PENDIENTE",TablaVentas[[#This Row],[Unidades]]*TablaVentas[[#This Row],[Costo_unitario]])</f>
        <v>2008.57</v>
      </c>
      <c r="Q1318" s="6" t="n">
        <f aca="false">IF(OR(TablaVentas[[#This Row],[Ingreso_neto]]="PENDIENTE",TablaVentas[[#This Row],[Costo_total]]="PENDIENTE"),"PENDIENTE",TablaVentas[[#This Row],[Ingreso_neto]]-TablaVentas[[#This Row],[Costo_total]])</f>
        <v>1974.14</v>
      </c>
    </row>
    <row r="1319" customFormat="false" ht="13.5" hidden="false" customHeight="false" outlineLevel="0" collapsed="false">
      <c r="A1319" s="1" t="s">
        <v>940</v>
      </c>
      <c r="B1319" s="1" t="n">
        <v>1</v>
      </c>
      <c r="C1319" s="5" t="n">
        <v>46242</v>
      </c>
      <c r="D1319" s="6" t="s">
        <v>627</v>
      </c>
      <c r="E1319" s="6" t="s">
        <v>92</v>
      </c>
      <c r="F1319" s="6" t="s">
        <v>63</v>
      </c>
      <c r="G1319" s="6" t="s">
        <v>64</v>
      </c>
      <c r="H1319" s="6" t="s">
        <v>48</v>
      </c>
      <c r="I1319" s="1" t="n">
        <v>3</v>
      </c>
      <c r="J1319" s="7" t="n">
        <v>557.97</v>
      </c>
      <c r="K1319" s="8" t="n">
        <v>0</v>
      </c>
      <c r="L1319" s="7" t="n">
        <v>307.75</v>
      </c>
      <c r="M1319" s="6" t="s">
        <v>49</v>
      </c>
      <c r="N1319" s="6" t="s">
        <v>67</v>
      </c>
      <c r="O1319" s="6" t="n">
        <f aca="false">IF(TablaVentas[[#This Row],[Precio_unitario]]="","PENDIENTE",TablaVentas[[#This Row],[Unidades]]*TablaVentas[[#This Row],[Precio_unitario]]*(1-TablaVentas[[#This Row],[Descuento_pct]]))</f>
        <v>1673.91</v>
      </c>
      <c r="P1319" s="6" t="n">
        <f aca="false">IF(TablaVentas[[#This Row],[Costo_unitario]]="","PENDIENTE",TablaVentas[[#This Row],[Unidades]]*TablaVentas[[#This Row],[Costo_unitario]])</f>
        <v>923.25</v>
      </c>
      <c r="Q1319" s="6" t="n">
        <f aca="false">IF(OR(TablaVentas[[#This Row],[Ingreso_neto]]="PENDIENTE",TablaVentas[[#This Row],[Costo_total]]="PENDIENTE"),"PENDIENTE",TablaVentas[[#This Row],[Ingreso_neto]]-TablaVentas[[#This Row],[Costo_total]])</f>
        <v>750.66</v>
      </c>
    </row>
    <row r="1320" customFormat="false" ht="13.5" hidden="false" customHeight="false" outlineLevel="0" collapsed="false">
      <c r="A1320" s="1" t="s">
        <v>940</v>
      </c>
      <c r="B1320" s="1" t="n">
        <v>2</v>
      </c>
      <c r="C1320" s="5" t="n">
        <v>46242</v>
      </c>
      <c r="D1320" s="6" t="s">
        <v>627</v>
      </c>
      <c r="E1320" s="6" t="s">
        <v>139</v>
      </c>
      <c r="F1320" s="6" t="s">
        <v>63</v>
      </c>
      <c r="G1320" s="6" t="s">
        <v>64</v>
      </c>
      <c r="H1320" s="6" t="s">
        <v>48</v>
      </c>
      <c r="I1320" s="1" t="n">
        <v>3</v>
      </c>
      <c r="J1320" s="7" t="n">
        <v>19345.93</v>
      </c>
      <c r="K1320" s="8" t="n">
        <v>0</v>
      </c>
      <c r="L1320" s="7" t="n">
        <v>11036.95</v>
      </c>
      <c r="M1320" s="6" t="s">
        <v>49</v>
      </c>
      <c r="N1320" s="6" t="s">
        <v>52</v>
      </c>
      <c r="O1320" s="6" t="n">
        <f aca="false">IF(TablaVentas[[#This Row],[Precio_unitario]]="","PENDIENTE",TablaVentas[[#This Row],[Unidades]]*TablaVentas[[#This Row],[Precio_unitario]]*(1-TablaVentas[[#This Row],[Descuento_pct]]))</f>
        <v>58037.79</v>
      </c>
      <c r="P1320" s="6" t="n">
        <f aca="false">IF(TablaVentas[[#This Row],[Costo_unitario]]="","PENDIENTE",TablaVentas[[#This Row],[Unidades]]*TablaVentas[[#This Row],[Costo_unitario]])</f>
        <v>33110.85</v>
      </c>
      <c r="Q1320" s="6" t="n">
        <f aca="false">IF(OR(TablaVentas[[#This Row],[Ingreso_neto]]="PENDIENTE",TablaVentas[[#This Row],[Costo_total]]="PENDIENTE"),"PENDIENTE",TablaVentas[[#This Row],[Ingreso_neto]]-TablaVentas[[#This Row],[Costo_total]])</f>
        <v>24926.94</v>
      </c>
    </row>
    <row r="1321" customFormat="false" ht="13.5" hidden="false" customHeight="false" outlineLevel="0" collapsed="false">
      <c r="A1321" s="1" t="s">
        <v>941</v>
      </c>
      <c r="B1321" s="1" t="n">
        <v>1</v>
      </c>
      <c r="C1321" s="5" t="n">
        <v>46065</v>
      </c>
      <c r="D1321" s="6" t="s">
        <v>697</v>
      </c>
      <c r="E1321" s="6" t="s">
        <v>179</v>
      </c>
      <c r="F1321" s="6" t="s">
        <v>63</v>
      </c>
      <c r="G1321" s="6" t="s">
        <v>57</v>
      </c>
      <c r="H1321" s="6" t="s">
        <v>109</v>
      </c>
      <c r="I1321" s="1" t="n">
        <v>2</v>
      </c>
      <c r="J1321" s="7" t="n">
        <v>17560.64</v>
      </c>
      <c r="K1321" s="8" t="n">
        <v>0.1</v>
      </c>
      <c r="L1321" s="7" t="n">
        <v>10830.17</v>
      </c>
      <c r="M1321" s="6" t="s">
        <v>49</v>
      </c>
      <c r="N1321" s="6" t="s">
        <v>50</v>
      </c>
      <c r="O1321" s="6" t="n">
        <f aca="false">IF(TablaVentas[[#This Row],[Precio_unitario]]="","PENDIENTE",TablaVentas[[#This Row],[Unidades]]*TablaVentas[[#This Row],[Precio_unitario]]*(1-TablaVentas[[#This Row],[Descuento_pct]]))</f>
        <v>31609.152</v>
      </c>
      <c r="P1321" s="6" t="n">
        <f aca="false">IF(TablaVentas[[#This Row],[Costo_unitario]]="","PENDIENTE",TablaVentas[[#This Row],[Unidades]]*TablaVentas[[#This Row],[Costo_unitario]])</f>
        <v>21660.34</v>
      </c>
      <c r="Q1321" s="6" t="n">
        <f aca="false">IF(OR(TablaVentas[[#This Row],[Ingreso_neto]]="PENDIENTE",TablaVentas[[#This Row],[Costo_total]]="PENDIENTE"),"PENDIENTE",TablaVentas[[#This Row],[Ingreso_neto]]-TablaVentas[[#This Row],[Costo_total]])</f>
        <v>9948.812</v>
      </c>
    </row>
    <row r="1322" customFormat="false" ht="13.5" hidden="false" customHeight="false" outlineLevel="0" collapsed="false">
      <c r="A1322" s="1" t="s">
        <v>941</v>
      </c>
      <c r="B1322" s="1" t="n">
        <v>2</v>
      </c>
      <c r="C1322" s="5" t="n">
        <v>46065</v>
      </c>
      <c r="D1322" s="6" t="s">
        <v>697</v>
      </c>
      <c r="E1322" s="6" t="s">
        <v>223</v>
      </c>
      <c r="F1322" s="6" t="s">
        <v>63</v>
      </c>
      <c r="G1322" s="6" t="s">
        <v>57</v>
      </c>
      <c r="H1322" s="6" t="s">
        <v>109</v>
      </c>
      <c r="I1322" s="1" t="n">
        <v>1</v>
      </c>
      <c r="J1322" s="7" t="n">
        <v>16541.99</v>
      </c>
      <c r="K1322" s="8" t="n">
        <v>0</v>
      </c>
      <c r="L1322" s="7" t="n">
        <v>12064.41</v>
      </c>
      <c r="M1322" s="6" t="s">
        <v>49</v>
      </c>
      <c r="N1322" s="6" t="s">
        <v>50</v>
      </c>
      <c r="O1322" s="6" t="n">
        <f aca="false">IF(TablaVentas[[#This Row],[Precio_unitario]]="","PENDIENTE",TablaVentas[[#This Row],[Unidades]]*TablaVentas[[#This Row],[Precio_unitario]]*(1-TablaVentas[[#This Row],[Descuento_pct]]))</f>
        <v>16541.99</v>
      </c>
      <c r="P1322" s="6" t="n">
        <f aca="false">IF(TablaVentas[[#This Row],[Costo_unitario]]="","PENDIENTE",TablaVentas[[#This Row],[Unidades]]*TablaVentas[[#This Row],[Costo_unitario]])</f>
        <v>12064.41</v>
      </c>
      <c r="Q1322" s="6" t="n">
        <f aca="false">IF(OR(TablaVentas[[#This Row],[Ingreso_neto]]="PENDIENTE",TablaVentas[[#This Row],[Costo_total]]="PENDIENTE"),"PENDIENTE",TablaVentas[[#This Row],[Ingreso_neto]]-TablaVentas[[#This Row],[Costo_total]])</f>
        <v>4477.58</v>
      </c>
    </row>
    <row r="1323" customFormat="false" ht="13.5" hidden="false" customHeight="false" outlineLevel="0" collapsed="false">
      <c r="A1323" s="1" t="s">
        <v>941</v>
      </c>
      <c r="B1323" s="1" t="n">
        <v>3</v>
      </c>
      <c r="C1323" s="5" t="n">
        <v>46065</v>
      </c>
      <c r="D1323" s="6" t="s">
        <v>697</v>
      </c>
      <c r="E1323" s="6" t="s">
        <v>90</v>
      </c>
      <c r="F1323" s="6" t="s">
        <v>63</v>
      </c>
      <c r="G1323" s="6" t="s">
        <v>57</v>
      </c>
      <c r="H1323" s="6" t="s">
        <v>109</v>
      </c>
      <c r="I1323" s="1" t="n">
        <v>1</v>
      </c>
      <c r="J1323" s="7" t="n">
        <v>16889.7</v>
      </c>
      <c r="K1323" s="8" t="n">
        <v>0.2</v>
      </c>
      <c r="L1323" s="7" t="n">
        <v>12723.77</v>
      </c>
      <c r="M1323" s="6" t="s">
        <v>49</v>
      </c>
      <c r="N1323" s="6" t="s">
        <v>59</v>
      </c>
      <c r="O1323" s="6" t="n">
        <f aca="false">IF(TablaVentas[[#This Row],[Precio_unitario]]="","PENDIENTE",TablaVentas[[#This Row],[Unidades]]*TablaVentas[[#This Row],[Precio_unitario]]*(1-TablaVentas[[#This Row],[Descuento_pct]]))</f>
        <v>13511.76</v>
      </c>
      <c r="P1323" s="6" t="n">
        <f aca="false">IF(TablaVentas[[#This Row],[Costo_unitario]]="","PENDIENTE",TablaVentas[[#This Row],[Unidades]]*TablaVentas[[#This Row],[Costo_unitario]])</f>
        <v>12723.77</v>
      </c>
      <c r="Q1323" s="6" t="n">
        <f aca="false">IF(OR(TablaVentas[[#This Row],[Ingreso_neto]]="PENDIENTE",TablaVentas[[#This Row],[Costo_total]]="PENDIENTE"),"PENDIENTE",TablaVentas[[#This Row],[Ingreso_neto]]-TablaVentas[[#This Row],[Costo_total]])</f>
        <v>787.990000000002</v>
      </c>
    </row>
    <row r="1324" customFormat="false" ht="13.5" hidden="false" customHeight="false" outlineLevel="0" collapsed="false">
      <c r="A1324" s="1" t="s">
        <v>942</v>
      </c>
      <c r="B1324" s="1" t="n">
        <v>1</v>
      </c>
      <c r="C1324" s="5" t="n">
        <v>46155</v>
      </c>
      <c r="D1324" s="6" t="s">
        <v>445</v>
      </c>
      <c r="E1324" s="6" t="s">
        <v>327</v>
      </c>
      <c r="F1324" s="6" t="s">
        <v>73</v>
      </c>
      <c r="G1324" s="6" t="s">
        <v>64</v>
      </c>
      <c r="H1324" s="6" t="s">
        <v>74</v>
      </c>
      <c r="I1324" s="1" t="n">
        <v>2</v>
      </c>
      <c r="J1324" s="7" t="n">
        <v>4701.15</v>
      </c>
      <c r="K1324" s="8" t="n">
        <v>0.15</v>
      </c>
      <c r="L1324" s="7" t="n">
        <v>3065.66</v>
      </c>
      <c r="M1324" s="6" t="s">
        <v>49</v>
      </c>
      <c r="N1324" s="6" t="s">
        <v>50</v>
      </c>
      <c r="O1324" s="6" t="n">
        <f aca="false">IF(TablaVentas[[#This Row],[Precio_unitario]]="","PENDIENTE",TablaVentas[[#This Row],[Unidades]]*TablaVentas[[#This Row],[Precio_unitario]]*(1-TablaVentas[[#This Row],[Descuento_pct]]))</f>
        <v>7991.955</v>
      </c>
      <c r="P1324" s="6" t="n">
        <f aca="false">IF(TablaVentas[[#This Row],[Costo_unitario]]="","PENDIENTE",TablaVentas[[#This Row],[Unidades]]*TablaVentas[[#This Row],[Costo_unitario]])</f>
        <v>6131.32</v>
      </c>
      <c r="Q1324" s="6" t="n">
        <f aca="false">IF(OR(TablaVentas[[#This Row],[Ingreso_neto]]="PENDIENTE",TablaVentas[[#This Row],[Costo_total]]="PENDIENTE"),"PENDIENTE",TablaVentas[[#This Row],[Ingreso_neto]]-TablaVentas[[#This Row],[Costo_total]])</f>
        <v>1860.635</v>
      </c>
    </row>
    <row r="1325" customFormat="false" ht="13.5" hidden="false" customHeight="false" outlineLevel="0" collapsed="false">
      <c r="A1325" s="1" t="s">
        <v>943</v>
      </c>
      <c r="B1325" s="1" t="n">
        <v>1</v>
      </c>
      <c r="C1325" s="5" t="n">
        <v>46244</v>
      </c>
      <c r="D1325" s="6" t="s">
        <v>464</v>
      </c>
      <c r="E1325" s="6" t="s">
        <v>158</v>
      </c>
      <c r="F1325" s="6" t="s">
        <v>63</v>
      </c>
      <c r="G1325" s="6" t="s">
        <v>57</v>
      </c>
      <c r="H1325" s="6" t="s">
        <v>131</v>
      </c>
      <c r="I1325" s="1" t="n">
        <v>1</v>
      </c>
      <c r="J1325" s="7" t="n">
        <v>16056.53</v>
      </c>
      <c r="K1325" s="8" t="n">
        <v>0</v>
      </c>
      <c r="L1325" s="7" t="n">
        <v>8963.23</v>
      </c>
      <c r="M1325" s="6" t="s">
        <v>49</v>
      </c>
      <c r="N1325" s="6" t="s">
        <v>59</v>
      </c>
      <c r="O1325" s="6" t="n">
        <f aca="false">IF(TablaVentas[[#This Row],[Precio_unitario]]="","PENDIENTE",TablaVentas[[#This Row],[Unidades]]*TablaVentas[[#This Row],[Precio_unitario]]*(1-TablaVentas[[#This Row],[Descuento_pct]]))</f>
        <v>16056.53</v>
      </c>
      <c r="P1325" s="6" t="n">
        <f aca="false">IF(TablaVentas[[#This Row],[Costo_unitario]]="","PENDIENTE",TablaVentas[[#This Row],[Unidades]]*TablaVentas[[#This Row],[Costo_unitario]])</f>
        <v>8963.23</v>
      </c>
      <c r="Q1325" s="6" t="n">
        <f aca="false">IF(OR(TablaVentas[[#This Row],[Ingreso_neto]]="PENDIENTE",TablaVentas[[#This Row],[Costo_total]]="PENDIENTE"),"PENDIENTE",TablaVentas[[#This Row],[Ingreso_neto]]-TablaVentas[[#This Row],[Costo_total]])</f>
        <v>7093.3</v>
      </c>
    </row>
    <row r="1326" customFormat="false" ht="13.5" hidden="false" customHeight="false" outlineLevel="0" collapsed="false">
      <c r="A1326" s="1" t="s">
        <v>944</v>
      </c>
      <c r="B1326" s="1" t="n">
        <v>1</v>
      </c>
      <c r="C1326" s="5" t="n">
        <v>46225</v>
      </c>
      <c r="D1326" s="6" t="s">
        <v>134</v>
      </c>
      <c r="E1326" s="6" t="s">
        <v>110</v>
      </c>
      <c r="F1326" s="6" t="s">
        <v>46</v>
      </c>
      <c r="G1326" s="6" t="s">
        <v>64</v>
      </c>
      <c r="H1326" s="6" t="s">
        <v>131</v>
      </c>
      <c r="I1326" s="1" t="n">
        <v>8</v>
      </c>
      <c r="J1326" s="7" t="n">
        <v>12523.09</v>
      </c>
      <c r="K1326" s="8" t="n">
        <v>0.1</v>
      </c>
      <c r="L1326" s="7" t="n">
        <v>7549.71</v>
      </c>
      <c r="M1326" s="6" t="s">
        <v>49</v>
      </c>
      <c r="N1326" s="6" t="s">
        <v>52</v>
      </c>
      <c r="O1326" s="6" t="n">
        <f aca="false">IF(TablaVentas[[#This Row],[Precio_unitario]]="","PENDIENTE",TablaVentas[[#This Row],[Unidades]]*TablaVentas[[#This Row],[Precio_unitario]]*(1-TablaVentas[[#This Row],[Descuento_pct]]))</f>
        <v>90166.248</v>
      </c>
      <c r="P1326" s="6" t="n">
        <f aca="false">IF(TablaVentas[[#This Row],[Costo_unitario]]="","PENDIENTE",TablaVentas[[#This Row],[Unidades]]*TablaVentas[[#This Row],[Costo_unitario]])</f>
        <v>60397.68</v>
      </c>
      <c r="Q1326" s="6" t="n">
        <f aca="false">IF(OR(TablaVentas[[#This Row],[Ingreso_neto]]="PENDIENTE",TablaVentas[[#This Row],[Costo_total]]="PENDIENTE"),"PENDIENTE",TablaVentas[[#This Row],[Ingreso_neto]]-TablaVentas[[#This Row],[Costo_total]])</f>
        <v>29768.568</v>
      </c>
    </row>
    <row r="1327" customFormat="false" ht="13.5" hidden="false" customHeight="false" outlineLevel="0" collapsed="false">
      <c r="A1327" s="1" t="s">
        <v>944</v>
      </c>
      <c r="B1327" s="1" t="n">
        <v>2</v>
      </c>
      <c r="C1327" s="5" t="n">
        <v>46225</v>
      </c>
      <c r="D1327" s="6" t="s">
        <v>134</v>
      </c>
      <c r="E1327" s="6" t="s">
        <v>76</v>
      </c>
      <c r="F1327" s="6" t="s">
        <v>46</v>
      </c>
      <c r="G1327" s="6" t="s">
        <v>64</v>
      </c>
      <c r="H1327" s="6" t="s">
        <v>131</v>
      </c>
      <c r="I1327" s="1" t="n">
        <v>2</v>
      </c>
      <c r="J1327" s="7" t="n">
        <v>13152.1</v>
      </c>
      <c r="K1327" s="8" t="n">
        <v>0.05</v>
      </c>
      <c r="L1327" s="7" t="n">
        <v>10094.26</v>
      </c>
      <c r="M1327" s="6" t="s">
        <v>123</v>
      </c>
      <c r="N1327" s="6" t="s">
        <v>50</v>
      </c>
      <c r="O1327" s="6" t="n">
        <f aca="false">IF(TablaVentas[[#This Row],[Precio_unitario]]="","PENDIENTE",TablaVentas[[#This Row],[Unidades]]*TablaVentas[[#This Row],[Precio_unitario]]*(1-TablaVentas[[#This Row],[Descuento_pct]]))</f>
        <v>24988.99</v>
      </c>
      <c r="P1327" s="6" t="n">
        <f aca="false">IF(TablaVentas[[#This Row],[Costo_unitario]]="","PENDIENTE",TablaVentas[[#This Row],[Unidades]]*TablaVentas[[#This Row],[Costo_unitario]])</f>
        <v>20188.52</v>
      </c>
      <c r="Q1327" s="6" t="n">
        <f aca="false">IF(OR(TablaVentas[[#This Row],[Ingreso_neto]]="PENDIENTE",TablaVentas[[#This Row],[Costo_total]]="PENDIENTE"),"PENDIENTE",TablaVentas[[#This Row],[Ingreso_neto]]-TablaVentas[[#This Row],[Costo_total]])</f>
        <v>4800.47</v>
      </c>
    </row>
    <row r="1328" customFormat="false" ht="13.5" hidden="false" customHeight="false" outlineLevel="0" collapsed="false">
      <c r="A1328" s="1" t="s">
        <v>945</v>
      </c>
      <c r="B1328" s="1" t="n">
        <v>1</v>
      </c>
      <c r="C1328" s="5" t="n">
        <v>46138</v>
      </c>
      <c r="D1328" s="6" t="s">
        <v>687</v>
      </c>
      <c r="E1328" s="6" t="s">
        <v>145</v>
      </c>
      <c r="F1328" s="6" t="s">
        <v>84</v>
      </c>
      <c r="G1328" s="6" t="s">
        <v>64</v>
      </c>
      <c r="H1328" s="6" t="s">
        <v>89</v>
      </c>
      <c r="I1328" s="1" t="n">
        <v>3</v>
      </c>
      <c r="J1328" s="7" t="n">
        <v>6553.44</v>
      </c>
      <c r="K1328" s="8" t="n">
        <v>0.2</v>
      </c>
      <c r="L1328" s="7" t="n">
        <v>4665.62</v>
      </c>
      <c r="M1328" s="6" t="s">
        <v>49</v>
      </c>
      <c r="N1328" s="6" t="s">
        <v>52</v>
      </c>
      <c r="O1328" s="6" t="n">
        <f aca="false">IF(TablaVentas[[#This Row],[Precio_unitario]]="","PENDIENTE",TablaVentas[[#This Row],[Unidades]]*TablaVentas[[#This Row],[Precio_unitario]]*(1-TablaVentas[[#This Row],[Descuento_pct]]))</f>
        <v>15728.256</v>
      </c>
      <c r="P1328" s="6" t="n">
        <f aca="false">IF(TablaVentas[[#This Row],[Costo_unitario]]="","PENDIENTE",TablaVentas[[#This Row],[Unidades]]*TablaVentas[[#This Row],[Costo_unitario]])</f>
        <v>13996.86</v>
      </c>
      <c r="Q1328" s="6" t="n">
        <f aca="false">IF(OR(TablaVentas[[#This Row],[Ingreso_neto]]="PENDIENTE",TablaVentas[[#This Row],[Costo_total]]="PENDIENTE"),"PENDIENTE",TablaVentas[[#This Row],[Ingreso_neto]]-TablaVentas[[#This Row],[Costo_total]])</f>
        <v>1731.396</v>
      </c>
    </row>
    <row r="1329" customFormat="false" ht="13.5" hidden="false" customHeight="false" outlineLevel="0" collapsed="false">
      <c r="A1329" s="1" t="s">
        <v>945</v>
      </c>
      <c r="B1329" s="1" t="n">
        <v>2</v>
      </c>
      <c r="C1329" s="5" t="n">
        <v>46138</v>
      </c>
      <c r="D1329" s="6" t="s">
        <v>687</v>
      </c>
      <c r="E1329" s="6" t="s">
        <v>92</v>
      </c>
      <c r="F1329" s="6" t="s">
        <v>84</v>
      </c>
      <c r="G1329" s="6" t="s">
        <v>64</v>
      </c>
      <c r="H1329" s="6" t="s">
        <v>89</v>
      </c>
      <c r="I1329" s="1" t="n">
        <v>5</v>
      </c>
      <c r="J1329" s="7" t="n">
        <v>474.43</v>
      </c>
      <c r="K1329" s="8" t="n">
        <v>0</v>
      </c>
      <c r="L1329" s="7" t="n">
        <v>307.75</v>
      </c>
      <c r="M1329" s="6" t="s">
        <v>49</v>
      </c>
      <c r="N1329" s="6" t="s">
        <v>52</v>
      </c>
      <c r="O1329" s="6" t="n">
        <f aca="false">IF(TablaVentas[[#This Row],[Precio_unitario]]="","PENDIENTE",TablaVentas[[#This Row],[Unidades]]*TablaVentas[[#This Row],[Precio_unitario]]*(1-TablaVentas[[#This Row],[Descuento_pct]]))</f>
        <v>2372.15</v>
      </c>
      <c r="P1329" s="6" t="n">
        <f aca="false">IF(TablaVentas[[#This Row],[Costo_unitario]]="","PENDIENTE",TablaVentas[[#This Row],[Unidades]]*TablaVentas[[#This Row],[Costo_unitario]])</f>
        <v>1538.75</v>
      </c>
      <c r="Q1329" s="6" t="n">
        <f aca="false">IF(OR(TablaVentas[[#This Row],[Ingreso_neto]]="PENDIENTE",TablaVentas[[#This Row],[Costo_total]]="PENDIENTE"),"PENDIENTE",TablaVentas[[#This Row],[Ingreso_neto]]-TablaVentas[[#This Row],[Costo_total]])</f>
        <v>833.4</v>
      </c>
    </row>
    <row r="1330" customFormat="false" ht="13.5" hidden="false" customHeight="false" outlineLevel="0" collapsed="false">
      <c r="A1330" s="1" t="s">
        <v>945</v>
      </c>
      <c r="B1330" s="1" t="n">
        <v>3</v>
      </c>
      <c r="C1330" s="5" t="n">
        <v>46138</v>
      </c>
      <c r="D1330" s="6" t="s">
        <v>687</v>
      </c>
      <c r="E1330" s="6" t="s">
        <v>174</v>
      </c>
      <c r="F1330" s="6" t="s">
        <v>84</v>
      </c>
      <c r="G1330" s="6" t="s">
        <v>64</v>
      </c>
      <c r="H1330" s="6" t="s">
        <v>89</v>
      </c>
      <c r="I1330" s="1" t="n">
        <v>1</v>
      </c>
      <c r="J1330" s="7" t="n">
        <v>16859.09</v>
      </c>
      <c r="K1330" s="8" t="n">
        <v>0.1</v>
      </c>
      <c r="L1330" s="7" t="n">
        <v>8704.4</v>
      </c>
      <c r="M1330" s="6" t="s">
        <v>49</v>
      </c>
      <c r="N1330" s="6" t="s">
        <v>52</v>
      </c>
      <c r="O1330" s="6" t="n">
        <f aca="false">IF(TablaVentas[[#This Row],[Precio_unitario]]="","PENDIENTE",TablaVentas[[#This Row],[Unidades]]*TablaVentas[[#This Row],[Precio_unitario]]*(1-TablaVentas[[#This Row],[Descuento_pct]]))</f>
        <v>15173.181</v>
      </c>
      <c r="P1330" s="6" t="n">
        <f aca="false">IF(TablaVentas[[#This Row],[Costo_unitario]]="","PENDIENTE",TablaVentas[[#This Row],[Unidades]]*TablaVentas[[#This Row],[Costo_unitario]])</f>
        <v>8704.4</v>
      </c>
      <c r="Q1330" s="6" t="n">
        <f aca="false">IF(OR(TablaVentas[[#This Row],[Ingreso_neto]]="PENDIENTE",TablaVentas[[#This Row],[Costo_total]]="PENDIENTE"),"PENDIENTE",TablaVentas[[#This Row],[Ingreso_neto]]-TablaVentas[[#This Row],[Costo_total]])</f>
        <v>6468.781</v>
      </c>
    </row>
    <row r="1331" customFormat="false" ht="13.5" hidden="false" customHeight="false" outlineLevel="0" collapsed="false">
      <c r="A1331" s="1" t="s">
        <v>946</v>
      </c>
      <c r="B1331" s="1" t="n">
        <v>1</v>
      </c>
      <c r="C1331" s="5" t="n">
        <v>46153</v>
      </c>
      <c r="D1331" s="6" t="s">
        <v>947</v>
      </c>
      <c r="E1331" s="6" t="s">
        <v>279</v>
      </c>
      <c r="F1331" s="6" t="s">
        <v>46</v>
      </c>
      <c r="G1331" s="6" t="s">
        <v>64</v>
      </c>
      <c r="H1331" s="6" t="s">
        <v>191</v>
      </c>
      <c r="I1331" s="1" t="n">
        <v>1</v>
      </c>
      <c r="J1331" s="7" t="n">
        <v>636.48</v>
      </c>
      <c r="K1331" s="8" t="n">
        <v>0</v>
      </c>
      <c r="L1331" s="7" t="n">
        <v>443</v>
      </c>
      <c r="M1331" s="6" t="s">
        <v>49</v>
      </c>
      <c r="N1331" s="6" t="s">
        <v>67</v>
      </c>
      <c r="O1331" s="6" t="n">
        <f aca="false">IF(TablaVentas[[#This Row],[Precio_unitario]]="","PENDIENTE",TablaVentas[[#This Row],[Unidades]]*TablaVentas[[#This Row],[Precio_unitario]]*(1-TablaVentas[[#This Row],[Descuento_pct]]))</f>
        <v>636.48</v>
      </c>
      <c r="P1331" s="6" t="n">
        <f aca="false">IF(TablaVentas[[#This Row],[Costo_unitario]]="","PENDIENTE",TablaVentas[[#This Row],[Unidades]]*TablaVentas[[#This Row],[Costo_unitario]])</f>
        <v>443</v>
      </c>
      <c r="Q1331" s="6" t="n">
        <f aca="false">IF(OR(TablaVentas[[#This Row],[Ingreso_neto]]="PENDIENTE",TablaVentas[[#This Row],[Costo_total]]="PENDIENTE"),"PENDIENTE",TablaVentas[[#This Row],[Ingreso_neto]]-TablaVentas[[#This Row],[Costo_total]])</f>
        <v>193.48</v>
      </c>
    </row>
    <row r="1332" customFormat="false" ht="13.5" hidden="false" customHeight="false" outlineLevel="0" collapsed="false">
      <c r="A1332" s="1" t="s">
        <v>948</v>
      </c>
      <c r="B1332" s="1" t="n">
        <v>1</v>
      </c>
      <c r="C1332" s="5" t="n">
        <v>46120</v>
      </c>
      <c r="D1332" s="6" t="s">
        <v>746</v>
      </c>
      <c r="E1332" s="6" t="s">
        <v>417</v>
      </c>
      <c r="F1332" s="6" t="s">
        <v>46</v>
      </c>
      <c r="G1332" s="6" t="s">
        <v>57</v>
      </c>
      <c r="H1332" s="6" t="s">
        <v>89</v>
      </c>
      <c r="I1332" s="1" t="n">
        <v>2</v>
      </c>
      <c r="J1332" s="7" t="n">
        <v>8159.62</v>
      </c>
      <c r="K1332" s="8" t="n">
        <v>0</v>
      </c>
      <c r="L1332" s="7" t="n">
        <v>5874.17</v>
      </c>
      <c r="M1332" s="6" t="s">
        <v>49</v>
      </c>
      <c r="N1332" s="6" t="s">
        <v>59</v>
      </c>
      <c r="O1332" s="6" t="n">
        <f aca="false">IF(TablaVentas[[#This Row],[Precio_unitario]]="","PENDIENTE",TablaVentas[[#This Row],[Unidades]]*TablaVentas[[#This Row],[Precio_unitario]]*(1-TablaVentas[[#This Row],[Descuento_pct]]))</f>
        <v>16319.24</v>
      </c>
      <c r="P1332" s="6" t="n">
        <f aca="false">IF(TablaVentas[[#This Row],[Costo_unitario]]="","PENDIENTE",TablaVentas[[#This Row],[Unidades]]*TablaVentas[[#This Row],[Costo_unitario]])</f>
        <v>11748.34</v>
      </c>
      <c r="Q1332" s="6" t="n">
        <f aca="false">IF(OR(TablaVentas[[#This Row],[Ingreso_neto]]="PENDIENTE",TablaVentas[[#This Row],[Costo_total]]="PENDIENTE"),"PENDIENTE",TablaVentas[[#This Row],[Ingreso_neto]]-TablaVentas[[#This Row],[Costo_total]])</f>
        <v>4570.9</v>
      </c>
    </row>
    <row r="1333" customFormat="false" ht="13.5" hidden="false" customHeight="false" outlineLevel="0" collapsed="false">
      <c r="A1333" s="1" t="s">
        <v>949</v>
      </c>
      <c r="B1333" s="1" t="n">
        <v>1</v>
      </c>
      <c r="C1333" s="5" t="n">
        <v>46053</v>
      </c>
      <c r="D1333" s="6" t="s">
        <v>549</v>
      </c>
      <c r="E1333" s="6" t="s">
        <v>280</v>
      </c>
      <c r="F1333" s="6" t="s">
        <v>950</v>
      </c>
      <c r="G1333" s="6" t="s">
        <v>47</v>
      </c>
      <c r="H1333" s="6" t="s">
        <v>136</v>
      </c>
      <c r="I1333" s="1" t="n">
        <v>2</v>
      </c>
      <c r="J1333" s="7" t="n">
        <v>1280.84</v>
      </c>
      <c r="K1333" s="8" t="n">
        <v>0</v>
      </c>
      <c r="L1333" s="7" t="n">
        <v>716.26</v>
      </c>
      <c r="M1333" s="6" t="s">
        <v>49</v>
      </c>
      <c r="N1333" s="6" t="s">
        <v>50</v>
      </c>
      <c r="O1333" s="6" t="n">
        <f aca="false">IF(TablaVentas[[#This Row],[Precio_unitario]]="","PENDIENTE",TablaVentas[[#This Row],[Unidades]]*TablaVentas[[#This Row],[Precio_unitario]]*(1-TablaVentas[[#This Row],[Descuento_pct]]))</f>
        <v>2561.68</v>
      </c>
      <c r="P1333" s="6" t="n">
        <f aca="false">IF(TablaVentas[[#This Row],[Costo_unitario]]="","PENDIENTE",TablaVentas[[#This Row],[Unidades]]*TablaVentas[[#This Row],[Costo_unitario]])</f>
        <v>1432.52</v>
      </c>
      <c r="Q1333" s="6" t="n">
        <f aca="false">IF(OR(TablaVentas[[#This Row],[Ingreso_neto]]="PENDIENTE",TablaVentas[[#This Row],[Costo_total]]="PENDIENTE"),"PENDIENTE",TablaVentas[[#This Row],[Ingreso_neto]]-TablaVentas[[#This Row],[Costo_total]])</f>
        <v>1129.16</v>
      </c>
      <c r="R1333" s="6" t="s">
        <v>951</v>
      </c>
    </row>
    <row r="1334" customFormat="false" ht="13.5" hidden="false" customHeight="false" outlineLevel="0" collapsed="false">
      <c r="A1334" s="1" t="s">
        <v>952</v>
      </c>
      <c r="B1334" s="1" t="n">
        <v>1</v>
      </c>
      <c r="C1334" s="5" t="n">
        <v>46200</v>
      </c>
      <c r="D1334" s="6" t="s">
        <v>194</v>
      </c>
      <c r="E1334" s="6" t="s">
        <v>342</v>
      </c>
      <c r="F1334" s="6" t="s">
        <v>73</v>
      </c>
      <c r="G1334" s="6" t="s">
        <v>47</v>
      </c>
      <c r="H1334" s="6" t="s">
        <v>48</v>
      </c>
      <c r="I1334" s="1" t="n">
        <v>2</v>
      </c>
      <c r="J1334" s="7" t="n">
        <v>7161.43</v>
      </c>
      <c r="K1334" s="8" t="n">
        <v>0.1</v>
      </c>
      <c r="L1334" s="7" t="n">
        <v>5587.31</v>
      </c>
      <c r="M1334" s="6" t="s">
        <v>49</v>
      </c>
      <c r="N1334" s="6" t="s">
        <v>52</v>
      </c>
      <c r="O1334" s="6" t="n">
        <f aca="false">IF(TablaVentas[[#This Row],[Precio_unitario]]="","PENDIENTE",TablaVentas[[#This Row],[Unidades]]*TablaVentas[[#This Row],[Precio_unitario]]*(1-TablaVentas[[#This Row],[Descuento_pct]]))</f>
        <v>12890.574</v>
      </c>
      <c r="P1334" s="6" t="n">
        <f aca="false">IF(TablaVentas[[#This Row],[Costo_unitario]]="","PENDIENTE",TablaVentas[[#This Row],[Unidades]]*TablaVentas[[#This Row],[Costo_unitario]])</f>
        <v>11174.62</v>
      </c>
      <c r="Q1334" s="6" t="n">
        <f aca="false">IF(OR(TablaVentas[[#This Row],[Ingreso_neto]]="PENDIENTE",TablaVentas[[#This Row],[Costo_total]]="PENDIENTE"),"PENDIENTE",TablaVentas[[#This Row],[Ingreso_neto]]-TablaVentas[[#This Row],[Costo_total]])</f>
        <v>1715.954</v>
      </c>
    </row>
    <row r="1335" customFormat="false" ht="13.5" hidden="false" customHeight="false" outlineLevel="0" collapsed="false">
      <c r="A1335" s="1" t="s">
        <v>952</v>
      </c>
      <c r="B1335" s="1" t="n">
        <v>2</v>
      </c>
      <c r="C1335" s="5" t="n">
        <v>46200</v>
      </c>
      <c r="D1335" s="6" t="s">
        <v>194</v>
      </c>
      <c r="E1335" s="6" t="s">
        <v>104</v>
      </c>
      <c r="F1335" s="6" t="s">
        <v>73</v>
      </c>
      <c r="G1335" s="6" t="s">
        <v>47</v>
      </c>
      <c r="H1335" s="6" t="s">
        <v>48</v>
      </c>
      <c r="I1335" s="1" t="n">
        <v>2</v>
      </c>
      <c r="J1335" s="7" t="n">
        <v>16500.42</v>
      </c>
      <c r="K1335" s="8" t="n">
        <v>0.1</v>
      </c>
      <c r="L1335" s="7" t="n">
        <v>11424.77</v>
      </c>
      <c r="M1335" s="6" t="s">
        <v>49</v>
      </c>
      <c r="N1335" s="6" t="s">
        <v>52</v>
      </c>
      <c r="O1335" s="6" t="n">
        <f aca="false">IF(TablaVentas[[#This Row],[Precio_unitario]]="","PENDIENTE",TablaVentas[[#This Row],[Unidades]]*TablaVentas[[#This Row],[Precio_unitario]]*(1-TablaVentas[[#This Row],[Descuento_pct]]))</f>
        <v>29700.756</v>
      </c>
      <c r="P1335" s="6" t="n">
        <f aca="false">IF(TablaVentas[[#This Row],[Costo_unitario]]="","PENDIENTE",TablaVentas[[#This Row],[Unidades]]*TablaVentas[[#This Row],[Costo_unitario]])</f>
        <v>22849.54</v>
      </c>
      <c r="Q1335" s="6" t="n">
        <f aca="false">IF(OR(TablaVentas[[#This Row],[Ingreso_neto]]="PENDIENTE",TablaVentas[[#This Row],[Costo_total]]="PENDIENTE"),"PENDIENTE",TablaVentas[[#This Row],[Ingreso_neto]]-TablaVentas[[#This Row],[Costo_total]])</f>
        <v>6851.216</v>
      </c>
    </row>
    <row r="1336" customFormat="false" ht="13.5" hidden="false" customHeight="false" outlineLevel="0" collapsed="false">
      <c r="A1336" s="1" t="s">
        <v>952</v>
      </c>
      <c r="B1336" s="1" t="n">
        <v>3</v>
      </c>
      <c r="C1336" s="5" t="n">
        <v>46200</v>
      </c>
      <c r="D1336" s="6" t="s">
        <v>194</v>
      </c>
      <c r="E1336" s="6" t="s">
        <v>72</v>
      </c>
      <c r="F1336" s="6" t="s">
        <v>73</v>
      </c>
      <c r="G1336" s="6" t="s">
        <v>47</v>
      </c>
      <c r="H1336" s="6" t="s">
        <v>48</v>
      </c>
      <c r="I1336" s="1" t="n">
        <v>2</v>
      </c>
      <c r="J1336" s="7" t="n">
        <v>11965.17</v>
      </c>
      <c r="K1336" s="8" t="n">
        <v>0.1</v>
      </c>
      <c r="L1336" s="7" t="n">
        <v>7328.02</v>
      </c>
      <c r="M1336" s="6" t="s">
        <v>49</v>
      </c>
      <c r="N1336" s="6" t="s">
        <v>52</v>
      </c>
      <c r="O1336" s="6" t="n">
        <f aca="false">IF(TablaVentas[[#This Row],[Precio_unitario]]="","PENDIENTE",TablaVentas[[#This Row],[Unidades]]*TablaVentas[[#This Row],[Precio_unitario]]*(1-TablaVentas[[#This Row],[Descuento_pct]]))</f>
        <v>21537.306</v>
      </c>
      <c r="P1336" s="6" t="n">
        <f aca="false">IF(TablaVentas[[#This Row],[Costo_unitario]]="","PENDIENTE",TablaVentas[[#This Row],[Unidades]]*TablaVentas[[#This Row],[Costo_unitario]])</f>
        <v>14656.04</v>
      </c>
      <c r="Q1336" s="6" t="n">
        <f aca="false">IF(OR(TablaVentas[[#This Row],[Ingreso_neto]]="PENDIENTE",TablaVentas[[#This Row],[Costo_total]]="PENDIENTE"),"PENDIENTE",TablaVentas[[#This Row],[Ingreso_neto]]-TablaVentas[[#This Row],[Costo_total]])</f>
        <v>6881.266</v>
      </c>
    </row>
    <row r="1337" customFormat="false" ht="13.5" hidden="false" customHeight="false" outlineLevel="0" collapsed="false">
      <c r="A1337" s="1" t="s">
        <v>953</v>
      </c>
      <c r="B1337" s="1" t="n">
        <v>1</v>
      </c>
      <c r="C1337" s="5" t="n">
        <v>46222</v>
      </c>
      <c r="D1337" s="6" t="s">
        <v>887</v>
      </c>
      <c r="E1337" s="6" t="s">
        <v>544</v>
      </c>
      <c r="F1337" s="6" t="s">
        <v>63</v>
      </c>
      <c r="G1337" s="6" t="s">
        <v>64</v>
      </c>
      <c r="H1337" s="6" t="s">
        <v>136</v>
      </c>
      <c r="I1337" s="1" t="n">
        <v>1</v>
      </c>
      <c r="J1337" s="7" t="n">
        <v>5177.18</v>
      </c>
      <c r="K1337" s="8" t="n">
        <v>0</v>
      </c>
      <c r="L1337" s="7" t="n">
        <v>4556.23</v>
      </c>
      <c r="M1337" s="6" t="s">
        <v>49</v>
      </c>
      <c r="N1337" s="6" t="s">
        <v>50</v>
      </c>
      <c r="O1337" s="6" t="n">
        <f aca="false">IF(TablaVentas[[#This Row],[Precio_unitario]]="","PENDIENTE",TablaVentas[[#This Row],[Unidades]]*TablaVentas[[#This Row],[Precio_unitario]]*(1-TablaVentas[[#This Row],[Descuento_pct]]))</f>
        <v>5177.18</v>
      </c>
      <c r="P1337" s="6" t="n">
        <f aca="false">IF(TablaVentas[[#This Row],[Costo_unitario]]="","PENDIENTE",TablaVentas[[#This Row],[Unidades]]*TablaVentas[[#This Row],[Costo_unitario]])</f>
        <v>4556.23</v>
      </c>
      <c r="Q1337" s="6" t="n">
        <f aca="false">IF(OR(TablaVentas[[#This Row],[Ingreso_neto]]="PENDIENTE",TablaVentas[[#This Row],[Costo_total]]="PENDIENTE"),"PENDIENTE",TablaVentas[[#This Row],[Ingreso_neto]]-TablaVentas[[#This Row],[Costo_total]])</f>
        <v>620.950000000001</v>
      </c>
    </row>
    <row r="1338" customFormat="false" ht="13.5" hidden="false" customHeight="false" outlineLevel="0" collapsed="false">
      <c r="A1338" s="1" t="s">
        <v>953</v>
      </c>
      <c r="B1338" s="1" t="n">
        <v>2</v>
      </c>
      <c r="C1338" s="5" t="n">
        <v>46222</v>
      </c>
      <c r="D1338" s="6" t="s">
        <v>887</v>
      </c>
      <c r="E1338" s="6" t="s">
        <v>279</v>
      </c>
      <c r="F1338" s="6" t="s">
        <v>63</v>
      </c>
      <c r="G1338" s="6" t="s">
        <v>64</v>
      </c>
      <c r="H1338" s="6" t="s">
        <v>136</v>
      </c>
      <c r="I1338" s="1" t="n">
        <v>4</v>
      </c>
      <c r="J1338" s="7" t="n">
        <v>607.01</v>
      </c>
      <c r="K1338" s="8" t="n">
        <v>0.1</v>
      </c>
      <c r="L1338" s="7" t="n">
        <v>443</v>
      </c>
      <c r="M1338" s="6" t="s">
        <v>49</v>
      </c>
      <c r="N1338" s="6" t="s">
        <v>52</v>
      </c>
      <c r="O1338" s="6" t="n">
        <f aca="false">IF(TablaVentas[[#This Row],[Precio_unitario]]="","PENDIENTE",TablaVentas[[#This Row],[Unidades]]*TablaVentas[[#This Row],[Precio_unitario]]*(1-TablaVentas[[#This Row],[Descuento_pct]]))</f>
        <v>2185.236</v>
      </c>
      <c r="P1338" s="6" t="n">
        <f aca="false">IF(TablaVentas[[#This Row],[Costo_unitario]]="","PENDIENTE",TablaVentas[[#This Row],[Unidades]]*TablaVentas[[#This Row],[Costo_unitario]])</f>
        <v>1772</v>
      </c>
      <c r="Q1338" s="6" t="n">
        <f aca="false">IF(OR(TablaVentas[[#This Row],[Ingreso_neto]]="PENDIENTE",TablaVentas[[#This Row],[Costo_total]]="PENDIENTE"),"PENDIENTE",TablaVentas[[#This Row],[Ingreso_neto]]-TablaVentas[[#This Row],[Costo_total]])</f>
        <v>413.236</v>
      </c>
    </row>
    <row r="1339" customFormat="false" ht="13.5" hidden="false" customHeight="false" outlineLevel="0" collapsed="false">
      <c r="A1339" s="1" t="s">
        <v>954</v>
      </c>
      <c r="B1339" s="1" t="n">
        <v>1</v>
      </c>
      <c r="C1339" s="5" t="n">
        <v>46265</v>
      </c>
      <c r="D1339" s="6" t="s">
        <v>209</v>
      </c>
      <c r="E1339" s="6" t="s">
        <v>190</v>
      </c>
      <c r="F1339" s="6" t="s">
        <v>73</v>
      </c>
      <c r="G1339" s="6" t="s">
        <v>47</v>
      </c>
      <c r="H1339" s="6" t="s">
        <v>109</v>
      </c>
      <c r="I1339" s="1" t="n">
        <v>2</v>
      </c>
      <c r="J1339" s="7" t="n">
        <v>5058.56</v>
      </c>
      <c r="K1339" s="8" t="n">
        <v>0.05</v>
      </c>
      <c r="L1339" s="7" t="n">
        <v>4325.73</v>
      </c>
      <c r="M1339" s="6" t="s">
        <v>49</v>
      </c>
      <c r="N1339" s="6" t="s">
        <v>52</v>
      </c>
      <c r="O1339" s="6" t="n">
        <f aca="false">IF(TablaVentas[[#This Row],[Precio_unitario]]="","PENDIENTE",TablaVentas[[#This Row],[Unidades]]*TablaVentas[[#This Row],[Precio_unitario]]*(1-TablaVentas[[#This Row],[Descuento_pct]]))</f>
        <v>9611.264</v>
      </c>
      <c r="P1339" s="6" t="n">
        <f aca="false">IF(TablaVentas[[#This Row],[Costo_unitario]]="","PENDIENTE",TablaVentas[[#This Row],[Unidades]]*TablaVentas[[#This Row],[Costo_unitario]])</f>
        <v>8651.46</v>
      </c>
      <c r="Q1339" s="6" t="n">
        <f aca="false">IF(OR(TablaVentas[[#This Row],[Ingreso_neto]]="PENDIENTE",TablaVentas[[#This Row],[Costo_total]]="PENDIENTE"),"PENDIENTE",TablaVentas[[#This Row],[Ingreso_neto]]-TablaVentas[[#This Row],[Costo_total]])</f>
        <v>959.804000000002</v>
      </c>
    </row>
    <row r="1340" customFormat="false" ht="13.5" hidden="false" customHeight="false" outlineLevel="0" collapsed="false">
      <c r="A1340" s="1" t="s">
        <v>955</v>
      </c>
      <c r="B1340" s="1" t="n">
        <v>1</v>
      </c>
      <c r="C1340" s="5" t="n">
        <v>46180</v>
      </c>
      <c r="D1340" s="6" t="s">
        <v>622</v>
      </c>
      <c r="E1340" s="6" t="s">
        <v>92</v>
      </c>
      <c r="F1340" s="6" t="s">
        <v>63</v>
      </c>
      <c r="G1340" s="6" t="s">
        <v>47</v>
      </c>
      <c r="H1340" s="6" t="s">
        <v>131</v>
      </c>
      <c r="I1340" s="1" t="n">
        <v>2</v>
      </c>
      <c r="J1340" s="7" t="n">
        <v>523.47</v>
      </c>
      <c r="K1340" s="8" t="n">
        <v>0.1</v>
      </c>
      <c r="L1340" s="7" t="n">
        <v>307.75</v>
      </c>
      <c r="M1340" s="6" t="s">
        <v>49</v>
      </c>
      <c r="N1340" s="6" t="s">
        <v>59</v>
      </c>
      <c r="O1340" s="6" t="n">
        <f aca="false">IF(TablaVentas[[#This Row],[Precio_unitario]]="","PENDIENTE",TablaVentas[[#This Row],[Unidades]]*TablaVentas[[#This Row],[Precio_unitario]]*(1-TablaVentas[[#This Row],[Descuento_pct]]))</f>
        <v>942.246</v>
      </c>
      <c r="P1340" s="6" t="n">
        <f aca="false">IF(TablaVentas[[#This Row],[Costo_unitario]]="","PENDIENTE",TablaVentas[[#This Row],[Unidades]]*TablaVentas[[#This Row],[Costo_unitario]])</f>
        <v>615.5</v>
      </c>
      <c r="Q1340" s="6" t="n">
        <f aca="false">IF(OR(TablaVentas[[#This Row],[Ingreso_neto]]="PENDIENTE",TablaVentas[[#This Row],[Costo_total]]="PENDIENTE"),"PENDIENTE",TablaVentas[[#This Row],[Ingreso_neto]]-TablaVentas[[#This Row],[Costo_total]])</f>
        <v>326.746</v>
      </c>
    </row>
    <row r="1341" customFormat="false" ht="13.5" hidden="false" customHeight="false" outlineLevel="0" collapsed="false">
      <c r="A1341" s="1" t="s">
        <v>955</v>
      </c>
      <c r="B1341" s="1" t="n">
        <v>2</v>
      </c>
      <c r="C1341" s="5" t="n">
        <v>46180</v>
      </c>
      <c r="D1341" s="6" t="s">
        <v>622</v>
      </c>
      <c r="E1341" s="6" t="s">
        <v>417</v>
      </c>
      <c r="F1341" s="6" t="s">
        <v>63</v>
      </c>
      <c r="G1341" s="6" t="s">
        <v>47</v>
      </c>
      <c r="H1341" s="6" t="s">
        <v>131</v>
      </c>
      <c r="I1341" s="1" t="n">
        <v>8</v>
      </c>
      <c r="J1341" s="7" t="n">
        <v>8604.79</v>
      </c>
      <c r="K1341" s="8" t="n">
        <v>0</v>
      </c>
      <c r="L1341" s="7" t="n">
        <v>5874.17</v>
      </c>
      <c r="M1341" s="6" t="s">
        <v>49</v>
      </c>
      <c r="N1341" s="6" t="s">
        <v>67</v>
      </c>
      <c r="O1341" s="6" t="n">
        <f aca="false">IF(TablaVentas[[#This Row],[Precio_unitario]]="","PENDIENTE",TablaVentas[[#This Row],[Unidades]]*TablaVentas[[#This Row],[Precio_unitario]]*(1-TablaVentas[[#This Row],[Descuento_pct]]))</f>
        <v>68838.32</v>
      </c>
      <c r="P1341" s="6" t="n">
        <f aca="false">IF(TablaVentas[[#This Row],[Costo_unitario]]="","PENDIENTE",TablaVentas[[#This Row],[Unidades]]*TablaVentas[[#This Row],[Costo_unitario]])</f>
        <v>46993.36</v>
      </c>
      <c r="Q1341" s="6" t="n">
        <f aca="false">IF(OR(TablaVentas[[#This Row],[Ingreso_neto]]="PENDIENTE",TablaVentas[[#This Row],[Costo_total]]="PENDIENTE"),"PENDIENTE",TablaVentas[[#This Row],[Ingreso_neto]]-TablaVentas[[#This Row],[Costo_total]])</f>
        <v>21844.96</v>
      </c>
    </row>
    <row r="1342" customFormat="false" ht="13.5" hidden="false" customHeight="false" outlineLevel="0" collapsed="false">
      <c r="A1342" s="1" t="s">
        <v>956</v>
      </c>
      <c r="B1342" s="1" t="n">
        <v>1</v>
      </c>
      <c r="C1342" s="5" t="n">
        <v>46099</v>
      </c>
      <c r="D1342" s="6" t="s">
        <v>957</v>
      </c>
      <c r="E1342" s="6" t="s">
        <v>77</v>
      </c>
      <c r="F1342" s="6" t="s">
        <v>73</v>
      </c>
      <c r="G1342" s="6" t="s">
        <v>57</v>
      </c>
      <c r="H1342" s="6" t="s">
        <v>58</v>
      </c>
      <c r="I1342" s="1" t="n">
        <v>1</v>
      </c>
      <c r="J1342" s="7" t="n">
        <v>15042.92</v>
      </c>
      <c r="K1342" s="8" t="n">
        <v>0.1</v>
      </c>
      <c r="L1342" s="7" t="n">
        <v>10571.25</v>
      </c>
      <c r="M1342" s="6" t="s">
        <v>49</v>
      </c>
      <c r="N1342" s="6" t="s">
        <v>59</v>
      </c>
      <c r="O1342" s="6" t="n">
        <f aca="false">IF(TablaVentas[[#This Row],[Precio_unitario]]="","PENDIENTE",TablaVentas[[#This Row],[Unidades]]*TablaVentas[[#This Row],[Precio_unitario]]*(1-TablaVentas[[#This Row],[Descuento_pct]]))</f>
        <v>13538.628</v>
      </c>
      <c r="P1342" s="6" t="n">
        <f aca="false">IF(TablaVentas[[#This Row],[Costo_unitario]]="","PENDIENTE",TablaVentas[[#This Row],[Unidades]]*TablaVentas[[#This Row],[Costo_unitario]])</f>
        <v>10571.25</v>
      </c>
      <c r="Q1342" s="6" t="n">
        <f aca="false">IF(OR(TablaVentas[[#This Row],[Ingreso_neto]]="PENDIENTE",TablaVentas[[#This Row],[Costo_total]]="PENDIENTE"),"PENDIENTE",TablaVentas[[#This Row],[Ingreso_neto]]-TablaVentas[[#This Row],[Costo_total]])</f>
        <v>2967.378</v>
      </c>
    </row>
    <row r="1343" customFormat="false" ht="13.5" hidden="false" customHeight="false" outlineLevel="0" collapsed="false">
      <c r="A1343" s="1" t="s">
        <v>956</v>
      </c>
      <c r="B1343" s="1" t="n">
        <v>2</v>
      </c>
      <c r="C1343" s="5" t="n">
        <v>46099</v>
      </c>
      <c r="D1343" s="6" t="s">
        <v>957</v>
      </c>
      <c r="E1343" s="6" t="s">
        <v>45</v>
      </c>
      <c r="F1343" s="6" t="s">
        <v>73</v>
      </c>
      <c r="G1343" s="6" t="s">
        <v>57</v>
      </c>
      <c r="H1343" s="6" t="s">
        <v>58</v>
      </c>
      <c r="I1343" s="1" t="n">
        <v>3</v>
      </c>
      <c r="J1343" s="7" t="n">
        <v>6246.24</v>
      </c>
      <c r="K1343" s="8" t="n">
        <v>0.2</v>
      </c>
      <c r="L1343" s="7" t="n">
        <v>3832.69</v>
      </c>
      <c r="M1343" s="6" t="s">
        <v>49</v>
      </c>
      <c r="N1343" s="6" t="s">
        <v>52</v>
      </c>
      <c r="O1343" s="6" t="n">
        <f aca="false">IF(TablaVentas[[#This Row],[Precio_unitario]]="","PENDIENTE",TablaVentas[[#This Row],[Unidades]]*TablaVentas[[#This Row],[Precio_unitario]]*(1-TablaVentas[[#This Row],[Descuento_pct]]))</f>
        <v>14990.976</v>
      </c>
      <c r="P1343" s="6" t="n">
        <f aca="false">IF(TablaVentas[[#This Row],[Costo_unitario]]="","PENDIENTE",TablaVentas[[#This Row],[Unidades]]*TablaVentas[[#This Row],[Costo_unitario]])</f>
        <v>11498.07</v>
      </c>
      <c r="Q1343" s="6" t="n">
        <f aca="false">IF(OR(TablaVentas[[#This Row],[Ingreso_neto]]="PENDIENTE",TablaVentas[[#This Row],[Costo_total]]="PENDIENTE"),"PENDIENTE",TablaVentas[[#This Row],[Ingreso_neto]]-TablaVentas[[#This Row],[Costo_total]])</f>
        <v>3492.906</v>
      </c>
    </row>
    <row r="1344" customFormat="false" ht="13.5" hidden="false" customHeight="false" outlineLevel="0" collapsed="false">
      <c r="A1344" s="1" t="s">
        <v>958</v>
      </c>
      <c r="B1344" s="1" t="n">
        <v>1</v>
      </c>
      <c r="C1344" s="5" t="n">
        <v>46272</v>
      </c>
      <c r="D1344" s="6" t="s">
        <v>640</v>
      </c>
      <c r="E1344" s="6" t="s">
        <v>97</v>
      </c>
      <c r="F1344" s="6" t="s">
        <v>73</v>
      </c>
      <c r="G1344" s="6" t="s">
        <v>57</v>
      </c>
      <c r="H1344" s="6" t="s">
        <v>136</v>
      </c>
      <c r="I1344" s="1" t="n">
        <v>2</v>
      </c>
      <c r="J1344" s="7" t="n">
        <v>11017.8</v>
      </c>
      <c r="K1344" s="8" t="n">
        <v>0.05</v>
      </c>
      <c r="L1344" s="7" t="n">
        <v>8174.87</v>
      </c>
      <c r="M1344" s="6" t="s">
        <v>49</v>
      </c>
      <c r="N1344" s="6" t="s">
        <v>67</v>
      </c>
      <c r="O1344" s="6" t="n">
        <f aca="false">IF(TablaVentas[[#This Row],[Precio_unitario]]="","PENDIENTE",TablaVentas[[#This Row],[Unidades]]*TablaVentas[[#This Row],[Precio_unitario]]*(1-TablaVentas[[#This Row],[Descuento_pct]]))</f>
        <v>20933.82</v>
      </c>
      <c r="P1344" s="6" t="n">
        <f aca="false">IF(TablaVentas[[#This Row],[Costo_unitario]]="","PENDIENTE",TablaVentas[[#This Row],[Unidades]]*TablaVentas[[#This Row],[Costo_unitario]])</f>
        <v>16349.74</v>
      </c>
      <c r="Q1344" s="6" t="n">
        <f aca="false">IF(OR(TablaVentas[[#This Row],[Ingreso_neto]]="PENDIENTE",TablaVentas[[#This Row],[Costo_total]]="PENDIENTE"),"PENDIENTE",TablaVentas[[#This Row],[Ingreso_neto]]-TablaVentas[[#This Row],[Costo_total]])</f>
        <v>4584.08</v>
      </c>
    </row>
    <row r="1345" customFormat="false" ht="13.5" hidden="false" customHeight="false" outlineLevel="0" collapsed="false">
      <c r="A1345" s="1" t="s">
        <v>959</v>
      </c>
      <c r="B1345" s="1" t="n">
        <v>1</v>
      </c>
      <c r="C1345" s="5" t="n">
        <v>46172</v>
      </c>
      <c r="D1345" s="6" t="s">
        <v>862</v>
      </c>
      <c r="E1345" s="6" t="s">
        <v>72</v>
      </c>
      <c r="F1345" s="6" t="s">
        <v>73</v>
      </c>
      <c r="G1345" s="6" t="s">
        <v>64</v>
      </c>
      <c r="H1345" s="6" t="s">
        <v>109</v>
      </c>
      <c r="I1345" s="1" t="n">
        <v>3</v>
      </c>
      <c r="J1345" s="7" t="n">
        <v>11007.01</v>
      </c>
      <c r="K1345" s="8" t="n">
        <v>0.2</v>
      </c>
      <c r="L1345" s="7" t="n">
        <v>7328.02</v>
      </c>
      <c r="M1345" s="6" t="s">
        <v>49</v>
      </c>
      <c r="N1345" s="6" t="s">
        <v>52</v>
      </c>
      <c r="O1345" s="6" t="n">
        <f aca="false">IF(TablaVentas[[#This Row],[Precio_unitario]]="","PENDIENTE",TablaVentas[[#This Row],[Unidades]]*TablaVentas[[#This Row],[Precio_unitario]]*(1-TablaVentas[[#This Row],[Descuento_pct]]))</f>
        <v>26416.824</v>
      </c>
      <c r="P1345" s="6" t="n">
        <f aca="false">IF(TablaVentas[[#This Row],[Costo_unitario]]="","PENDIENTE",TablaVentas[[#This Row],[Unidades]]*TablaVentas[[#This Row],[Costo_unitario]])</f>
        <v>21984.06</v>
      </c>
      <c r="Q1345" s="6" t="n">
        <f aca="false">IF(OR(TablaVentas[[#This Row],[Ingreso_neto]]="PENDIENTE",TablaVentas[[#This Row],[Costo_total]]="PENDIENTE"),"PENDIENTE",TablaVentas[[#This Row],[Ingreso_neto]]-TablaVentas[[#This Row],[Costo_total]])</f>
        <v>4432.764</v>
      </c>
    </row>
    <row r="1346" customFormat="false" ht="13.5" hidden="false" customHeight="false" outlineLevel="0" collapsed="false">
      <c r="A1346" s="1" t="s">
        <v>960</v>
      </c>
      <c r="B1346" s="1" t="n">
        <v>1</v>
      </c>
      <c r="C1346" s="5" t="n">
        <v>46138</v>
      </c>
      <c r="D1346" s="6" t="s">
        <v>239</v>
      </c>
      <c r="E1346" s="6" t="s">
        <v>91</v>
      </c>
      <c r="F1346" s="6" t="s">
        <v>73</v>
      </c>
      <c r="G1346" s="6" t="s">
        <v>57</v>
      </c>
      <c r="H1346" s="6" t="s">
        <v>80</v>
      </c>
      <c r="I1346" s="1" t="n">
        <v>4</v>
      </c>
      <c r="J1346" s="7" t="n">
        <v>16282.37</v>
      </c>
      <c r="K1346" s="8" t="n">
        <v>0.15</v>
      </c>
      <c r="L1346" s="7" t="n">
        <v>8576.05</v>
      </c>
      <c r="M1346" s="6" t="s">
        <v>49</v>
      </c>
      <c r="N1346" s="6" t="s">
        <v>59</v>
      </c>
      <c r="O1346" s="6" t="n">
        <f aca="false">IF(TablaVentas[[#This Row],[Precio_unitario]]="","PENDIENTE",TablaVentas[[#This Row],[Unidades]]*TablaVentas[[#This Row],[Precio_unitario]]*(1-TablaVentas[[#This Row],[Descuento_pct]]))</f>
        <v>55360.058</v>
      </c>
      <c r="P1346" s="6" t="n">
        <f aca="false">IF(TablaVentas[[#This Row],[Costo_unitario]]="","PENDIENTE",TablaVentas[[#This Row],[Unidades]]*TablaVentas[[#This Row],[Costo_unitario]])</f>
        <v>34304.2</v>
      </c>
      <c r="Q1346" s="6" t="n">
        <f aca="false">IF(OR(TablaVentas[[#This Row],[Ingreso_neto]]="PENDIENTE",TablaVentas[[#This Row],[Costo_total]]="PENDIENTE"),"PENDIENTE",TablaVentas[[#This Row],[Ingreso_neto]]-TablaVentas[[#This Row],[Costo_total]])</f>
        <v>21055.858</v>
      </c>
    </row>
    <row r="1347" customFormat="false" ht="13.5" hidden="false" customHeight="false" outlineLevel="0" collapsed="false">
      <c r="A1347" s="1" t="s">
        <v>960</v>
      </c>
      <c r="B1347" s="1" t="n">
        <v>2</v>
      </c>
      <c r="C1347" s="5" t="n">
        <v>46138</v>
      </c>
      <c r="D1347" s="6" t="s">
        <v>239</v>
      </c>
      <c r="E1347" s="6" t="s">
        <v>224</v>
      </c>
      <c r="F1347" s="6" t="s">
        <v>73</v>
      </c>
      <c r="G1347" s="6" t="s">
        <v>57</v>
      </c>
      <c r="H1347" s="6" t="s">
        <v>80</v>
      </c>
      <c r="I1347" s="1" t="n">
        <v>8</v>
      </c>
      <c r="J1347" s="7" t="n">
        <v>16503.51</v>
      </c>
      <c r="K1347" s="8" t="n">
        <v>0.15</v>
      </c>
      <c r="L1347" s="7" t="n">
        <v>14161.63</v>
      </c>
      <c r="M1347" s="6" t="s">
        <v>49</v>
      </c>
      <c r="N1347" s="6" t="s">
        <v>59</v>
      </c>
      <c r="O1347" s="6" t="n">
        <f aca="false">IF(TablaVentas[[#This Row],[Precio_unitario]]="","PENDIENTE",TablaVentas[[#This Row],[Unidades]]*TablaVentas[[#This Row],[Precio_unitario]]*(1-TablaVentas[[#This Row],[Descuento_pct]]))</f>
        <v>112223.868</v>
      </c>
      <c r="P1347" s="6" t="n">
        <f aca="false">IF(TablaVentas[[#This Row],[Costo_unitario]]="","PENDIENTE",TablaVentas[[#This Row],[Unidades]]*TablaVentas[[#This Row],[Costo_unitario]])</f>
        <v>113293.04</v>
      </c>
      <c r="Q1347" s="6" t="n">
        <f aca="false">IF(OR(TablaVentas[[#This Row],[Ingreso_neto]]="PENDIENTE",TablaVentas[[#This Row],[Costo_total]]="PENDIENTE"),"PENDIENTE",TablaVentas[[#This Row],[Ingreso_neto]]-TablaVentas[[#This Row],[Costo_total]])</f>
        <v>-1069.17200000001</v>
      </c>
    </row>
    <row r="1348" customFormat="false" ht="13.5" hidden="false" customHeight="false" outlineLevel="0" collapsed="false">
      <c r="A1348" s="1" t="s">
        <v>960</v>
      </c>
      <c r="B1348" s="1" t="n">
        <v>3</v>
      </c>
      <c r="C1348" s="5" t="n">
        <v>46138</v>
      </c>
      <c r="D1348" s="6" t="s">
        <v>239</v>
      </c>
      <c r="E1348" s="6" t="s">
        <v>385</v>
      </c>
      <c r="F1348" s="6" t="s">
        <v>73</v>
      </c>
      <c r="G1348" s="6" t="s">
        <v>57</v>
      </c>
      <c r="H1348" s="6" t="s">
        <v>80</v>
      </c>
      <c r="I1348" s="1" t="n">
        <v>1</v>
      </c>
      <c r="J1348" s="7" t="n">
        <v>3586.68</v>
      </c>
      <c r="K1348" s="8" t="n">
        <v>0.1</v>
      </c>
      <c r="L1348" s="7" t="n">
        <v>2864.64</v>
      </c>
      <c r="M1348" s="6" t="s">
        <v>49</v>
      </c>
      <c r="N1348" s="6" t="s">
        <v>59</v>
      </c>
      <c r="O1348" s="6" t="n">
        <f aca="false">IF(TablaVentas[[#This Row],[Precio_unitario]]="","PENDIENTE",TablaVentas[[#This Row],[Unidades]]*TablaVentas[[#This Row],[Precio_unitario]]*(1-TablaVentas[[#This Row],[Descuento_pct]]))</f>
        <v>3228.012</v>
      </c>
      <c r="P1348" s="6" t="n">
        <f aca="false">IF(TablaVentas[[#This Row],[Costo_unitario]]="","PENDIENTE",TablaVentas[[#This Row],[Unidades]]*TablaVentas[[#This Row],[Costo_unitario]])</f>
        <v>2864.64</v>
      </c>
      <c r="Q1348" s="6" t="n">
        <f aca="false">IF(OR(TablaVentas[[#This Row],[Ingreso_neto]]="PENDIENTE",TablaVentas[[#This Row],[Costo_total]]="PENDIENTE"),"PENDIENTE",TablaVentas[[#This Row],[Ingreso_neto]]-TablaVentas[[#This Row],[Costo_total]])</f>
        <v>363.372</v>
      </c>
    </row>
    <row r="1349" customFormat="false" ht="13.5" hidden="false" customHeight="false" outlineLevel="0" collapsed="false">
      <c r="A1349" s="1" t="s">
        <v>960</v>
      </c>
      <c r="B1349" s="1" t="n">
        <v>4</v>
      </c>
      <c r="C1349" s="5" t="n">
        <v>46138</v>
      </c>
      <c r="D1349" s="6" t="s">
        <v>239</v>
      </c>
      <c r="E1349" s="6" t="s">
        <v>159</v>
      </c>
      <c r="F1349" s="6" t="s">
        <v>73</v>
      </c>
      <c r="G1349" s="6" t="s">
        <v>57</v>
      </c>
      <c r="H1349" s="6" t="s">
        <v>80</v>
      </c>
      <c r="I1349" s="1" t="n">
        <v>4</v>
      </c>
      <c r="J1349" s="7" t="n">
        <v>2537.3</v>
      </c>
      <c r="K1349" s="8" t="n">
        <v>0</v>
      </c>
      <c r="L1349" s="7" t="n">
        <v>1962.3</v>
      </c>
      <c r="M1349" s="6" t="s">
        <v>123</v>
      </c>
      <c r="N1349" s="6" t="s">
        <v>67</v>
      </c>
      <c r="O1349" s="6" t="n">
        <f aca="false">IF(TablaVentas[[#This Row],[Precio_unitario]]="","PENDIENTE",TablaVentas[[#This Row],[Unidades]]*TablaVentas[[#This Row],[Precio_unitario]]*(1-TablaVentas[[#This Row],[Descuento_pct]]))</f>
        <v>10149.2</v>
      </c>
      <c r="P1349" s="6" t="n">
        <f aca="false">IF(TablaVentas[[#This Row],[Costo_unitario]]="","PENDIENTE",TablaVentas[[#This Row],[Unidades]]*TablaVentas[[#This Row],[Costo_unitario]])</f>
        <v>7849.2</v>
      </c>
      <c r="Q1349" s="6" t="n">
        <f aca="false">IF(OR(TablaVentas[[#This Row],[Ingreso_neto]]="PENDIENTE",TablaVentas[[#This Row],[Costo_total]]="PENDIENTE"),"PENDIENTE",TablaVentas[[#This Row],[Ingreso_neto]]-TablaVentas[[#This Row],[Costo_total]])</f>
        <v>2300</v>
      </c>
    </row>
    <row r="1350" customFormat="false" ht="13.5" hidden="false" customHeight="false" outlineLevel="0" collapsed="false">
      <c r="A1350" s="1" t="s">
        <v>961</v>
      </c>
      <c r="B1350" s="1" t="n">
        <v>1</v>
      </c>
      <c r="C1350" s="5" t="n">
        <v>46273</v>
      </c>
      <c r="D1350" s="6" t="s">
        <v>683</v>
      </c>
      <c r="E1350" s="6" t="s">
        <v>151</v>
      </c>
      <c r="F1350" s="6" t="s">
        <v>46</v>
      </c>
      <c r="G1350" s="6" t="s">
        <v>57</v>
      </c>
      <c r="H1350" s="6" t="s">
        <v>80</v>
      </c>
      <c r="I1350" s="1" t="n">
        <v>2</v>
      </c>
      <c r="J1350" s="7" t="n">
        <v>9223.32</v>
      </c>
      <c r="K1350" s="8" t="n">
        <v>0</v>
      </c>
      <c r="L1350" s="7" t="n">
        <v>5125.36</v>
      </c>
      <c r="M1350" s="6" t="s">
        <v>123</v>
      </c>
      <c r="N1350" s="6" t="s">
        <v>52</v>
      </c>
      <c r="O1350" s="6" t="n">
        <f aca="false">IF(TablaVentas[[#This Row],[Precio_unitario]]="","PENDIENTE",TablaVentas[[#This Row],[Unidades]]*TablaVentas[[#This Row],[Precio_unitario]]*(1-TablaVentas[[#This Row],[Descuento_pct]]))</f>
        <v>18446.64</v>
      </c>
      <c r="P1350" s="6" t="n">
        <f aca="false">IF(TablaVentas[[#This Row],[Costo_unitario]]="","PENDIENTE",TablaVentas[[#This Row],[Unidades]]*TablaVentas[[#This Row],[Costo_unitario]])</f>
        <v>10250.72</v>
      </c>
      <c r="Q1350" s="6" t="n">
        <f aca="false">IF(OR(TablaVentas[[#This Row],[Ingreso_neto]]="PENDIENTE",TablaVentas[[#This Row],[Costo_total]]="PENDIENTE"),"PENDIENTE",TablaVentas[[#This Row],[Ingreso_neto]]-TablaVentas[[#This Row],[Costo_total]])</f>
        <v>8195.92</v>
      </c>
    </row>
    <row r="1351" customFormat="false" ht="13.5" hidden="false" customHeight="false" outlineLevel="0" collapsed="false">
      <c r="A1351" s="1" t="s">
        <v>961</v>
      </c>
      <c r="B1351" s="1" t="n">
        <v>2</v>
      </c>
      <c r="C1351" s="5" t="n">
        <v>46273</v>
      </c>
      <c r="D1351" s="6" t="s">
        <v>683</v>
      </c>
      <c r="E1351" s="6" t="s">
        <v>233</v>
      </c>
      <c r="F1351" s="6" t="s">
        <v>46</v>
      </c>
      <c r="G1351" s="6" t="s">
        <v>57</v>
      </c>
      <c r="H1351" s="6" t="s">
        <v>80</v>
      </c>
      <c r="I1351" s="1" t="n">
        <v>1</v>
      </c>
      <c r="J1351" s="7" t="n">
        <v>17194.69</v>
      </c>
      <c r="K1351" s="8" t="n">
        <v>0.05</v>
      </c>
      <c r="L1351" s="7" t="n">
        <v>9976.68</v>
      </c>
      <c r="M1351" s="6" t="s">
        <v>49</v>
      </c>
      <c r="N1351" s="6" t="s">
        <v>52</v>
      </c>
      <c r="O1351" s="6" t="n">
        <f aca="false">IF(TablaVentas[[#This Row],[Precio_unitario]]="","PENDIENTE",TablaVentas[[#This Row],[Unidades]]*TablaVentas[[#This Row],[Precio_unitario]]*(1-TablaVentas[[#This Row],[Descuento_pct]]))</f>
        <v>16334.9555</v>
      </c>
      <c r="P1351" s="6" t="n">
        <f aca="false">IF(TablaVentas[[#This Row],[Costo_unitario]]="","PENDIENTE",TablaVentas[[#This Row],[Unidades]]*TablaVentas[[#This Row],[Costo_unitario]])</f>
        <v>9976.68</v>
      </c>
      <c r="Q1351" s="6" t="n">
        <f aca="false">IF(OR(TablaVentas[[#This Row],[Ingreso_neto]]="PENDIENTE",TablaVentas[[#This Row],[Costo_total]]="PENDIENTE"),"PENDIENTE",TablaVentas[[#This Row],[Ingreso_neto]]-TablaVentas[[#This Row],[Costo_total]])</f>
        <v>6358.2755</v>
      </c>
    </row>
    <row r="1352" customFormat="false" ht="13.5" hidden="false" customHeight="false" outlineLevel="0" collapsed="false">
      <c r="A1352" s="1" t="s">
        <v>962</v>
      </c>
      <c r="B1352" s="1" t="n">
        <v>1</v>
      </c>
      <c r="C1352" s="5" t="n">
        <v>46069</v>
      </c>
      <c r="D1352" s="6" t="s">
        <v>296</v>
      </c>
      <c r="E1352" s="6" t="s">
        <v>219</v>
      </c>
      <c r="F1352" s="6" t="s">
        <v>84</v>
      </c>
      <c r="G1352" s="6" t="s">
        <v>47</v>
      </c>
      <c r="H1352" s="6" t="s">
        <v>89</v>
      </c>
      <c r="I1352" s="1" t="n">
        <v>1</v>
      </c>
      <c r="J1352" s="7" t="n">
        <v>3545.91</v>
      </c>
      <c r="K1352" s="8" t="n">
        <v>0.1</v>
      </c>
      <c r="L1352" s="7" t="n">
        <v>2157.55</v>
      </c>
      <c r="M1352" s="6" t="s">
        <v>69</v>
      </c>
      <c r="N1352" s="6" t="s">
        <v>59</v>
      </c>
      <c r="O1352" s="6" t="n">
        <f aca="false">IF(TablaVentas[[#This Row],[Precio_unitario]]="","PENDIENTE",TablaVentas[[#This Row],[Unidades]]*TablaVentas[[#This Row],[Precio_unitario]]*(1-TablaVentas[[#This Row],[Descuento_pct]]))</f>
        <v>3191.319</v>
      </c>
      <c r="P1352" s="6" t="n">
        <f aca="false">IF(TablaVentas[[#This Row],[Costo_unitario]]="","PENDIENTE",TablaVentas[[#This Row],[Unidades]]*TablaVentas[[#This Row],[Costo_unitario]])</f>
        <v>2157.55</v>
      </c>
      <c r="Q1352" s="6" t="n">
        <f aca="false">IF(OR(TablaVentas[[#This Row],[Ingreso_neto]]="PENDIENTE",TablaVentas[[#This Row],[Costo_total]]="PENDIENTE"),"PENDIENTE",TablaVentas[[#This Row],[Ingreso_neto]]-TablaVentas[[#This Row],[Costo_total]])</f>
        <v>1033.769</v>
      </c>
    </row>
    <row r="1353" customFormat="false" ht="13.5" hidden="false" customHeight="false" outlineLevel="0" collapsed="false">
      <c r="A1353" s="1" t="s">
        <v>963</v>
      </c>
      <c r="B1353" s="1" t="n">
        <v>1</v>
      </c>
      <c r="C1353" s="5" t="n">
        <v>46280</v>
      </c>
      <c r="D1353" s="6" t="s">
        <v>323</v>
      </c>
      <c r="E1353" s="6" t="s">
        <v>91</v>
      </c>
      <c r="F1353" s="6" t="s">
        <v>63</v>
      </c>
      <c r="G1353" s="6" t="s">
        <v>64</v>
      </c>
      <c r="H1353" s="6" t="s">
        <v>48</v>
      </c>
      <c r="I1353" s="1" t="n">
        <v>1</v>
      </c>
      <c r="J1353" s="7" t="n">
        <v>15424.46</v>
      </c>
      <c r="K1353" s="8" t="n">
        <v>0</v>
      </c>
      <c r="L1353" s="7" t="n">
        <v>8576.05</v>
      </c>
      <c r="M1353" s="6" t="s">
        <v>49</v>
      </c>
      <c r="N1353" s="6" t="s">
        <v>59</v>
      </c>
      <c r="O1353" s="6" t="n">
        <f aca="false">IF(TablaVentas[[#This Row],[Precio_unitario]]="","PENDIENTE",TablaVentas[[#This Row],[Unidades]]*TablaVentas[[#This Row],[Precio_unitario]]*(1-TablaVentas[[#This Row],[Descuento_pct]]))</f>
        <v>15424.46</v>
      </c>
      <c r="P1353" s="6" t="n">
        <f aca="false">IF(TablaVentas[[#This Row],[Costo_unitario]]="","PENDIENTE",TablaVentas[[#This Row],[Unidades]]*TablaVentas[[#This Row],[Costo_unitario]])</f>
        <v>8576.05</v>
      </c>
      <c r="Q1353" s="6" t="n">
        <f aca="false">IF(OR(TablaVentas[[#This Row],[Ingreso_neto]]="PENDIENTE",TablaVentas[[#This Row],[Costo_total]]="PENDIENTE"),"PENDIENTE",TablaVentas[[#This Row],[Ingreso_neto]]-TablaVentas[[#This Row],[Costo_total]])</f>
        <v>6848.41</v>
      </c>
    </row>
    <row r="1354" customFormat="false" ht="13.5" hidden="false" customHeight="false" outlineLevel="0" collapsed="false">
      <c r="A1354" s="1" t="s">
        <v>963</v>
      </c>
      <c r="B1354" s="1" t="n">
        <v>2</v>
      </c>
      <c r="C1354" s="5" t="n">
        <v>46280</v>
      </c>
      <c r="D1354" s="6" t="s">
        <v>323</v>
      </c>
      <c r="E1354" s="6" t="s">
        <v>353</v>
      </c>
      <c r="F1354" s="6" t="s">
        <v>63</v>
      </c>
      <c r="G1354" s="6" t="s">
        <v>64</v>
      </c>
      <c r="H1354" s="6" t="s">
        <v>48</v>
      </c>
      <c r="I1354" s="1" t="n">
        <v>3</v>
      </c>
      <c r="J1354" s="7" t="n">
        <v>2411.18</v>
      </c>
      <c r="K1354" s="8" t="n">
        <v>0</v>
      </c>
      <c r="L1354" s="7" t="n">
        <v>1175.74</v>
      </c>
      <c r="M1354" s="6" t="s">
        <v>49</v>
      </c>
      <c r="N1354" s="6" t="s">
        <v>52</v>
      </c>
      <c r="O1354" s="6" t="n">
        <f aca="false">IF(TablaVentas[[#This Row],[Precio_unitario]]="","PENDIENTE",TablaVentas[[#This Row],[Unidades]]*TablaVentas[[#This Row],[Precio_unitario]]*(1-TablaVentas[[#This Row],[Descuento_pct]]))</f>
        <v>7233.54</v>
      </c>
      <c r="P1354" s="6" t="n">
        <f aca="false">IF(TablaVentas[[#This Row],[Costo_unitario]]="","PENDIENTE",TablaVentas[[#This Row],[Unidades]]*TablaVentas[[#This Row],[Costo_unitario]])</f>
        <v>3527.22</v>
      </c>
      <c r="Q1354" s="6" t="n">
        <f aca="false">IF(OR(TablaVentas[[#This Row],[Ingreso_neto]]="PENDIENTE",TablaVentas[[#This Row],[Costo_total]]="PENDIENTE"),"PENDIENTE",TablaVentas[[#This Row],[Ingreso_neto]]-TablaVentas[[#This Row],[Costo_total]])</f>
        <v>3706.32</v>
      </c>
    </row>
    <row r="1355" customFormat="false" ht="13.5" hidden="false" customHeight="false" outlineLevel="0" collapsed="false">
      <c r="A1355" s="1" t="s">
        <v>964</v>
      </c>
      <c r="B1355" s="1" t="n">
        <v>1</v>
      </c>
      <c r="C1355" s="5" t="n">
        <v>46234</v>
      </c>
      <c r="D1355" s="6" t="s">
        <v>553</v>
      </c>
      <c r="E1355" s="6" t="s">
        <v>130</v>
      </c>
      <c r="F1355" s="6" t="s">
        <v>84</v>
      </c>
      <c r="G1355" s="6" t="s">
        <v>64</v>
      </c>
      <c r="H1355" s="6" t="s">
        <v>58</v>
      </c>
      <c r="I1355" s="1" t="n">
        <v>1</v>
      </c>
      <c r="J1355" s="7" t="n">
        <v>17211.72</v>
      </c>
      <c r="K1355" s="8" t="n">
        <v>0.05</v>
      </c>
      <c r="L1355" s="7" t="n">
        <v>12679.41</v>
      </c>
      <c r="M1355" s="6" t="s">
        <v>49</v>
      </c>
      <c r="N1355" s="6" t="s">
        <v>59</v>
      </c>
      <c r="O1355" s="6" t="n">
        <f aca="false">IF(TablaVentas[[#This Row],[Precio_unitario]]="","PENDIENTE",TablaVentas[[#This Row],[Unidades]]*TablaVentas[[#This Row],[Precio_unitario]]*(1-TablaVentas[[#This Row],[Descuento_pct]]))</f>
        <v>16351.134</v>
      </c>
      <c r="P1355" s="6" t="n">
        <f aca="false">IF(TablaVentas[[#This Row],[Costo_unitario]]="","PENDIENTE",TablaVentas[[#This Row],[Unidades]]*TablaVentas[[#This Row],[Costo_unitario]])</f>
        <v>12679.41</v>
      </c>
      <c r="Q1355" s="6" t="n">
        <f aca="false">IF(OR(TablaVentas[[#This Row],[Ingreso_neto]]="PENDIENTE",TablaVentas[[#This Row],[Costo_total]]="PENDIENTE"),"PENDIENTE",TablaVentas[[#This Row],[Ingreso_neto]]-TablaVentas[[#This Row],[Costo_total]])</f>
        <v>3671.724</v>
      </c>
    </row>
    <row r="1356" customFormat="false" ht="13.5" hidden="false" customHeight="false" outlineLevel="0" collapsed="false">
      <c r="A1356" s="1" t="s">
        <v>964</v>
      </c>
      <c r="B1356" s="1" t="n">
        <v>2</v>
      </c>
      <c r="C1356" s="5" t="n">
        <v>46234</v>
      </c>
      <c r="D1356" s="6" t="s">
        <v>553</v>
      </c>
      <c r="E1356" s="6" t="s">
        <v>223</v>
      </c>
      <c r="F1356" s="6" t="s">
        <v>84</v>
      </c>
      <c r="G1356" s="6" t="s">
        <v>64</v>
      </c>
      <c r="H1356" s="6" t="s">
        <v>58</v>
      </c>
      <c r="I1356" s="1" t="n">
        <v>1</v>
      </c>
      <c r="J1356" s="7" t="n">
        <v>15525.63</v>
      </c>
      <c r="K1356" s="8" t="n">
        <v>0</v>
      </c>
      <c r="L1356" s="7" t="n">
        <v>12064.41</v>
      </c>
      <c r="M1356" s="6" t="s">
        <v>49</v>
      </c>
      <c r="N1356" s="6" t="s">
        <v>59</v>
      </c>
      <c r="O1356" s="6" t="n">
        <f aca="false">IF(TablaVentas[[#This Row],[Precio_unitario]]="","PENDIENTE",TablaVentas[[#This Row],[Unidades]]*TablaVentas[[#This Row],[Precio_unitario]]*(1-TablaVentas[[#This Row],[Descuento_pct]]))</f>
        <v>15525.63</v>
      </c>
      <c r="P1356" s="6" t="n">
        <f aca="false">IF(TablaVentas[[#This Row],[Costo_unitario]]="","PENDIENTE",TablaVentas[[#This Row],[Unidades]]*TablaVentas[[#This Row],[Costo_unitario]])</f>
        <v>12064.41</v>
      </c>
      <c r="Q1356" s="6" t="n">
        <f aca="false">IF(OR(TablaVentas[[#This Row],[Ingreso_neto]]="PENDIENTE",TablaVentas[[#This Row],[Costo_total]]="PENDIENTE"),"PENDIENTE",TablaVentas[[#This Row],[Ingreso_neto]]-TablaVentas[[#This Row],[Costo_total]])</f>
        <v>3461.22</v>
      </c>
    </row>
    <row r="1357" customFormat="false" ht="13.5" hidden="false" customHeight="false" outlineLevel="0" collapsed="false">
      <c r="A1357" s="1" t="s">
        <v>965</v>
      </c>
      <c r="B1357" s="1" t="n">
        <v>1</v>
      </c>
      <c r="C1357" s="5" t="n">
        <v>46110</v>
      </c>
      <c r="D1357" s="6" t="s">
        <v>157</v>
      </c>
      <c r="E1357" s="6" t="s">
        <v>68</v>
      </c>
      <c r="F1357" s="6" t="s">
        <v>46</v>
      </c>
      <c r="G1357" s="6" t="s">
        <v>57</v>
      </c>
      <c r="H1357" s="6" t="s">
        <v>191</v>
      </c>
      <c r="I1357" s="1" t="n">
        <v>5</v>
      </c>
      <c r="J1357" s="7" t="n">
        <v>4180.71</v>
      </c>
      <c r="K1357" s="8" t="n">
        <v>0.2</v>
      </c>
      <c r="L1357" s="7" t="n">
        <v>2554.06</v>
      </c>
      <c r="M1357" s="6" t="s">
        <v>49</v>
      </c>
      <c r="N1357" s="6" t="s">
        <v>50</v>
      </c>
      <c r="O1357" s="6" t="n">
        <f aca="false">IF(TablaVentas[[#This Row],[Precio_unitario]]="","PENDIENTE",TablaVentas[[#This Row],[Unidades]]*TablaVentas[[#This Row],[Precio_unitario]]*(1-TablaVentas[[#This Row],[Descuento_pct]]))</f>
        <v>16722.84</v>
      </c>
      <c r="P1357" s="6" t="n">
        <f aca="false">IF(TablaVentas[[#This Row],[Costo_unitario]]="","PENDIENTE",TablaVentas[[#This Row],[Unidades]]*TablaVentas[[#This Row],[Costo_unitario]])</f>
        <v>12770.3</v>
      </c>
      <c r="Q1357" s="6" t="n">
        <f aca="false">IF(OR(TablaVentas[[#This Row],[Ingreso_neto]]="PENDIENTE",TablaVentas[[#This Row],[Costo_total]]="PENDIENTE"),"PENDIENTE",TablaVentas[[#This Row],[Ingreso_neto]]-TablaVentas[[#This Row],[Costo_total]])</f>
        <v>3952.54</v>
      </c>
    </row>
    <row r="1358" customFormat="false" ht="13.5" hidden="false" customHeight="false" outlineLevel="0" collapsed="false">
      <c r="A1358" s="1" t="s">
        <v>965</v>
      </c>
      <c r="B1358" s="1" t="n">
        <v>2</v>
      </c>
      <c r="C1358" s="5" t="n">
        <v>46110</v>
      </c>
      <c r="D1358" s="6" t="s">
        <v>157</v>
      </c>
      <c r="E1358" s="6" t="s">
        <v>117</v>
      </c>
      <c r="F1358" s="6" t="s">
        <v>46</v>
      </c>
      <c r="G1358" s="6" t="s">
        <v>57</v>
      </c>
      <c r="H1358" s="6" t="s">
        <v>191</v>
      </c>
      <c r="I1358" s="1" t="n">
        <v>8</v>
      </c>
      <c r="J1358" s="7" t="n">
        <v>5302.45</v>
      </c>
      <c r="K1358" s="8" t="n">
        <v>0.05</v>
      </c>
      <c r="L1358" s="7" t="n">
        <v>4205.69</v>
      </c>
      <c r="M1358" s="6" t="s">
        <v>123</v>
      </c>
      <c r="N1358" s="6" t="s">
        <v>59</v>
      </c>
      <c r="O1358" s="6" t="n">
        <f aca="false">IF(TablaVentas[[#This Row],[Precio_unitario]]="","PENDIENTE",TablaVentas[[#This Row],[Unidades]]*TablaVentas[[#This Row],[Precio_unitario]]*(1-TablaVentas[[#This Row],[Descuento_pct]]))</f>
        <v>40298.62</v>
      </c>
      <c r="P1358" s="6" t="n">
        <f aca="false">IF(TablaVentas[[#This Row],[Costo_unitario]]="","PENDIENTE",TablaVentas[[#This Row],[Unidades]]*TablaVentas[[#This Row],[Costo_unitario]])</f>
        <v>33645.52</v>
      </c>
      <c r="Q1358" s="6" t="n">
        <f aca="false">IF(OR(TablaVentas[[#This Row],[Ingreso_neto]]="PENDIENTE",TablaVentas[[#This Row],[Costo_total]]="PENDIENTE"),"PENDIENTE",TablaVentas[[#This Row],[Ingreso_neto]]-TablaVentas[[#This Row],[Costo_total]])</f>
        <v>6653.1</v>
      </c>
    </row>
    <row r="1359" customFormat="false" ht="13.5" hidden="false" customHeight="false" outlineLevel="0" collapsed="false">
      <c r="A1359" s="1" t="s">
        <v>966</v>
      </c>
      <c r="B1359" s="1" t="n">
        <v>1</v>
      </c>
      <c r="C1359" s="5" t="n">
        <v>46083</v>
      </c>
      <c r="D1359" s="6" t="s">
        <v>277</v>
      </c>
      <c r="E1359" s="6" t="s">
        <v>179</v>
      </c>
      <c r="F1359" s="6" t="s">
        <v>73</v>
      </c>
      <c r="G1359" s="6" t="s">
        <v>64</v>
      </c>
      <c r="H1359" s="6" t="s">
        <v>58</v>
      </c>
      <c r="I1359" s="1" t="n">
        <v>2</v>
      </c>
      <c r="J1359" s="7" t="n">
        <v>15916.96</v>
      </c>
      <c r="K1359" s="8" t="n">
        <v>0.2</v>
      </c>
      <c r="L1359" s="7" t="n">
        <v>10830.17</v>
      </c>
      <c r="M1359" s="6" t="s">
        <v>49</v>
      </c>
      <c r="N1359" s="6" t="s">
        <v>52</v>
      </c>
      <c r="O1359" s="6" t="n">
        <f aca="false">IF(TablaVentas[[#This Row],[Precio_unitario]]="","PENDIENTE",TablaVentas[[#This Row],[Unidades]]*TablaVentas[[#This Row],[Precio_unitario]]*(1-TablaVentas[[#This Row],[Descuento_pct]]))</f>
        <v>25467.136</v>
      </c>
      <c r="P1359" s="6" t="n">
        <f aca="false">IF(TablaVentas[[#This Row],[Costo_unitario]]="","PENDIENTE",TablaVentas[[#This Row],[Unidades]]*TablaVentas[[#This Row],[Costo_unitario]])</f>
        <v>21660.34</v>
      </c>
      <c r="Q1359" s="6" t="n">
        <f aca="false">IF(OR(TablaVentas[[#This Row],[Ingreso_neto]]="PENDIENTE",TablaVentas[[#This Row],[Costo_total]]="PENDIENTE"),"PENDIENTE",TablaVentas[[#This Row],[Ingreso_neto]]-TablaVentas[[#This Row],[Costo_total]])</f>
        <v>3806.796</v>
      </c>
    </row>
    <row r="1360" customFormat="false" ht="13.5" hidden="false" customHeight="false" outlineLevel="0" collapsed="false">
      <c r="A1360" s="1" t="s">
        <v>966</v>
      </c>
      <c r="B1360" s="1" t="n">
        <v>2</v>
      </c>
      <c r="C1360" s="5" t="n">
        <v>46083</v>
      </c>
      <c r="D1360" s="6" t="s">
        <v>277</v>
      </c>
      <c r="E1360" s="6" t="s">
        <v>187</v>
      </c>
      <c r="F1360" s="6" t="s">
        <v>73</v>
      </c>
      <c r="G1360" s="6" t="s">
        <v>64</v>
      </c>
      <c r="H1360" s="6" t="s">
        <v>58</v>
      </c>
      <c r="I1360" s="1" t="n">
        <v>3</v>
      </c>
      <c r="J1360" s="7" t="n">
        <v>6385.25</v>
      </c>
      <c r="K1360" s="8" t="n">
        <v>0</v>
      </c>
      <c r="L1360" s="7" t="n">
        <v>3824.92</v>
      </c>
      <c r="M1360" s="6" t="s">
        <v>49</v>
      </c>
      <c r="N1360" s="6" t="s">
        <v>59</v>
      </c>
      <c r="O1360" s="6" t="n">
        <f aca="false">IF(TablaVentas[[#This Row],[Precio_unitario]]="","PENDIENTE",TablaVentas[[#This Row],[Unidades]]*TablaVentas[[#This Row],[Precio_unitario]]*(1-TablaVentas[[#This Row],[Descuento_pct]]))</f>
        <v>19155.75</v>
      </c>
      <c r="P1360" s="6" t="n">
        <f aca="false">IF(TablaVentas[[#This Row],[Costo_unitario]]="","PENDIENTE",TablaVentas[[#This Row],[Unidades]]*TablaVentas[[#This Row],[Costo_unitario]])</f>
        <v>11474.76</v>
      </c>
      <c r="Q1360" s="6" t="n">
        <f aca="false">IF(OR(TablaVentas[[#This Row],[Ingreso_neto]]="PENDIENTE",TablaVentas[[#This Row],[Costo_total]]="PENDIENTE"),"PENDIENTE",TablaVentas[[#This Row],[Ingreso_neto]]-TablaVentas[[#This Row],[Costo_total]])</f>
        <v>7680.99</v>
      </c>
    </row>
    <row r="1361" customFormat="false" ht="13.5" hidden="false" customHeight="false" outlineLevel="0" collapsed="false">
      <c r="A1361" s="1" t="s">
        <v>966</v>
      </c>
      <c r="B1361" s="1" t="n">
        <v>3</v>
      </c>
      <c r="C1361" s="5" t="n">
        <v>46083</v>
      </c>
      <c r="D1361" s="6" t="s">
        <v>277</v>
      </c>
      <c r="E1361" s="6" t="s">
        <v>88</v>
      </c>
      <c r="F1361" s="6" t="s">
        <v>73</v>
      </c>
      <c r="G1361" s="6" t="s">
        <v>64</v>
      </c>
      <c r="H1361" s="6" t="s">
        <v>58</v>
      </c>
      <c r="I1361" s="1" t="n">
        <v>1</v>
      </c>
      <c r="J1361" s="7" t="n">
        <v>17485.82</v>
      </c>
      <c r="K1361" s="8" t="n">
        <v>0</v>
      </c>
      <c r="L1361" s="7" t="n">
        <v>11614.87</v>
      </c>
      <c r="M1361" s="6" t="s">
        <v>49</v>
      </c>
      <c r="N1361" s="6" t="s">
        <v>67</v>
      </c>
      <c r="O1361" s="6" t="n">
        <f aca="false">IF(TablaVentas[[#This Row],[Precio_unitario]]="","PENDIENTE",TablaVentas[[#This Row],[Unidades]]*TablaVentas[[#This Row],[Precio_unitario]]*(1-TablaVentas[[#This Row],[Descuento_pct]]))</f>
        <v>17485.82</v>
      </c>
      <c r="P1361" s="6" t="n">
        <f aca="false">IF(TablaVentas[[#This Row],[Costo_unitario]]="","PENDIENTE",TablaVentas[[#This Row],[Unidades]]*TablaVentas[[#This Row],[Costo_unitario]])</f>
        <v>11614.87</v>
      </c>
      <c r="Q1361" s="6" t="n">
        <f aca="false">IF(OR(TablaVentas[[#This Row],[Ingreso_neto]]="PENDIENTE",TablaVentas[[#This Row],[Costo_total]]="PENDIENTE"),"PENDIENTE",TablaVentas[[#This Row],[Ingreso_neto]]-TablaVentas[[#This Row],[Costo_total]])</f>
        <v>5870.95</v>
      </c>
    </row>
    <row r="1362" customFormat="false" ht="13.5" hidden="false" customHeight="false" outlineLevel="0" collapsed="false">
      <c r="A1362" s="1" t="s">
        <v>966</v>
      </c>
      <c r="B1362" s="1" t="n">
        <v>4</v>
      </c>
      <c r="C1362" s="5" t="n">
        <v>46083</v>
      </c>
      <c r="D1362" s="6" t="s">
        <v>277</v>
      </c>
      <c r="E1362" s="6" t="s">
        <v>66</v>
      </c>
      <c r="F1362" s="6" t="s">
        <v>73</v>
      </c>
      <c r="G1362" s="6" t="s">
        <v>64</v>
      </c>
      <c r="H1362" s="6" t="s">
        <v>58</v>
      </c>
      <c r="I1362" s="1" t="n">
        <v>3</v>
      </c>
      <c r="J1362" s="7" t="n">
        <v>12994.17</v>
      </c>
      <c r="K1362" s="8" t="n">
        <v>0</v>
      </c>
      <c r="L1362" s="7" t="n">
        <v>10170.29</v>
      </c>
      <c r="M1362" s="6" t="s">
        <v>49</v>
      </c>
      <c r="N1362" s="6" t="s">
        <v>50</v>
      </c>
      <c r="O1362" s="6" t="n">
        <f aca="false">IF(TablaVentas[[#This Row],[Precio_unitario]]="","PENDIENTE",TablaVentas[[#This Row],[Unidades]]*TablaVentas[[#This Row],[Precio_unitario]]*(1-TablaVentas[[#This Row],[Descuento_pct]]))</f>
        <v>38982.51</v>
      </c>
      <c r="P1362" s="6" t="n">
        <f aca="false">IF(TablaVentas[[#This Row],[Costo_unitario]]="","PENDIENTE",TablaVentas[[#This Row],[Unidades]]*TablaVentas[[#This Row],[Costo_unitario]])</f>
        <v>30510.87</v>
      </c>
      <c r="Q1362" s="6" t="n">
        <f aca="false">IF(OR(TablaVentas[[#This Row],[Ingreso_neto]]="PENDIENTE",TablaVentas[[#This Row],[Costo_total]]="PENDIENTE"),"PENDIENTE",TablaVentas[[#This Row],[Ingreso_neto]]-TablaVentas[[#This Row],[Costo_total]])</f>
        <v>8471.64</v>
      </c>
    </row>
    <row r="1363" customFormat="false" ht="13.5" hidden="false" customHeight="false" outlineLevel="0" collapsed="false">
      <c r="A1363" s="1" t="s">
        <v>967</v>
      </c>
      <c r="B1363" s="1" t="n">
        <v>1</v>
      </c>
      <c r="C1363" s="5" t="n">
        <v>46181</v>
      </c>
      <c r="D1363" s="6" t="s">
        <v>534</v>
      </c>
      <c r="E1363" s="6" t="s">
        <v>126</v>
      </c>
      <c r="F1363" s="6" t="s">
        <v>46</v>
      </c>
      <c r="G1363" s="6" t="s">
        <v>57</v>
      </c>
      <c r="H1363" s="6" t="s">
        <v>48</v>
      </c>
      <c r="I1363" s="1" t="n">
        <v>2</v>
      </c>
      <c r="J1363" s="7" t="n">
        <v>8544.15</v>
      </c>
      <c r="K1363" s="8" t="n">
        <v>0.15</v>
      </c>
      <c r="L1363" s="7" t="n">
        <v>6981.94</v>
      </c>
      <c r="M1363" s="6" t="s">
        <v>49</v>
      </c>
      <c r="N1363" s="6" t="s">
        <v>67</v>
      </c>
      <c r="O1363" s="6" t="n">
        <f aca="false">IF(TablaVentas[[#This Row],[Precio_unitario]]="","PENDIENTE",TablaVentas[[#This Row],[Unidades]]*TablaVentas[[#This Row],[Precio_unitario]]*(1-TablaVentas[[#This Row],[Descuento_pct]]))</f>
        <v>14525.055</v>
      </c>
      <c r="P1363" s="6" t="n">
        <f aca="false">IF(TablaVentas[[#This Row],[Costo_unitario]]="","PENDIENTE",TablaVentas[[#This Row],[Unidades]]*TablaVentas[[#This Row],[Costo_unitario]])</f>
        <v>13963.88</v>
      </c>
      <c r="Q1363" s="6" t="n">
        <f aca="false">IF(OR(TablaVentas[[#This Row],[Ingreso_neto]]="PENDIENTE",TablaVentas[[#This Row],[Costo_total]]="PENDIENTE"),"PENDIENTE",TablaVentas[[#This Row],[Ingreso_neto]]-TablaVentas[[#This Row],[Costo_total]])</f>
        <v>561.174999999999</v>
      </c>
    </row>
    <row r="1364" customFormat="false" ht="13.5" hidden="false" customHeight="false" outlineLevel="0" collapsed="false">
      <c r="A1364" s="1" t="s">
        <v>967</v>
      </c>
      <c r="B1364" s="1" t="n">
        <v>2</v>
      </c>
      <c r="C1364" s="5" t="n">
        <v>46181</v>
      </c>
      <c r="D1364" s="6" t="s">
        <v>534</v>
      </c>
      <c r="E1364" s="6" t="s">
        <v>142</v>
      </c>
      <c r="F1364" s="6" t="s">
        <v>46</v>
      </c>
      <c r="G1364" s="6" t="s">
        <v>57</v>
      </c>
      <c r="H1364" s="6" t="s">
        <v>48</v>
      </c>
      <c r="I1364" s="1" t="n">
        <v>3</v>
      </c>
      <c r="J1364" s="7" t="n">
        <v>1813.69</v>
      </c>
      <c r="K1364" s="8" t="n">
        <v>0.2</v>
      </c>
      <c r="L1364" s="7" t="n">
        <v>1529.93</v>
      </c>
      <c r="M1364" s="6" t="s">
        <v>49</v>
      </c>
      <c r="N1364" s="6" t="s">
        <v>67</v>
      </c>
      <c r="O1364" s="6" t="n">
        <f aca="false">IF(TablaVentas[[#This Row],[Precio_unitario]]="","PENDIENTE",TablaVentas[[#This Row],[Unidades]]*TablaVentas[[#This Row],[Precio_unitario]]*(1-TablaVentas[[#This Row],[Descuento_pct]]))</f>
        <v>4352.856</v>
      </c>
      <c r="P1364" s="6" t="n">
        <f aca="false">IF(TablaVentas[[#This Row],[Costo_unitario]]="","PENDIENTE",TablaVentas[[#This Row],[Unidades]]*TablaVentas[[#This Row],[Costo_unitario]])</f>
        <v>4589.79</v>
      </c>
      <c r="Q1364" s="6" t="n">
        <f aca="false">IF(OR(TablaVentas[[#This Row],[Ingreso_neto]]="PENDIENTE",TablaVentas[[#This Row],[Costo_total]]="PENDIENTE"),"PENDIENTE",TablaVentas[[#This Row],[Ingreso_neto]]-TablaVentas[[#This Row],[Costo_total]])</f>
        <v>-236.934</v>
      </c>
    </row>
    <row r="1365" customFormat="false" ht="13.5" hidden="false" customHeight="false" outlineLevel="0" collapsed="false">
      <c r="A1365" s="1" t="s">
        <v>967</v>
      </c>
      <c r="B1365" s="1" t="n">
        <v>3</v>
      </c>
      <c r="C1365" s="5" t="n">
        <v>46181</v>
      </c>
      <c r="D1365" s="6" t="s">
        <v>534</v>
      </c>
      <c r="E1365" s="6" t="s">
        <v>139</v>
      </c>
      <c r="F1365" s="6" t="s">
        <v>46</v>
      </c>
      <c r="G1365" s="6" t="s">
        <v>57</v>
      </c>
      <c r="H1365" s="6" t="s">
        <v>48</v>
      </c>
      <c r="I1365" s="1" t="n">
        <v>8</v>
      </c>
      <c r="J1365" s="7" t="n">
        <v>19924.93</v>
      </c>
      <c r="K1365" s="8" t="n">
        <v>0</v>
      </c>
      <c r="L1365" s="7" t="n">
        <v>11036.95</v>
      </c>
      <c r="M1365" s="6" t="s">
        <v>49</v>
      </c>
      <c r="N1365" s="6" t="s">
        <v>67</v>
      </c>
      <c r="O1365" s="6" t="n">
        <f aca="false">IF(TablaVentas[[#This Row],[Precio_unitario]]="","PENDIENTE",TablaVentas[[#This Row],[Unidades]]*TablaVentas[[#This Row],[Precio_unitario]]*(1-TablaVentas[[#This Row],[Descuento_pct]]))</f>
        <v>159399.44</v>
      </c>
      <c r="P1365" s="6" t="n">
        <f aca="false">IF(TablaVentas[[#This Row],[Costo_unitario]]="","PENDIENTE",TablaVentas[[#This Row],[Unidades]]*TablaVentas[[#This Row],[Costo_unitario]])</f>
        <v>88295.6</v>
      </c>
      <c r="Q1365" s="6" t="n">
        <f aca="false">IF(OR(TablaVentas[[#This Row],[Ingreso_neto]]="PENDIENTE",TablaVentas[[#This Row],[Costo_total]]="PENDIENTE"),"PENDIENTE",TablaVentas[[#This Row],[Ingreso_neto]]-TablaVentas[[#This Row],[Costo_total]])</f>
        <v>71103.84</v>
      </c>
    </row>
    <row r="1366" customFormat="false" ht="13.5" hidden="false" customHeight="false" outlineLevel="0" collapsed="false">
      <c r="A1366" s="1" t="s">
        <v>967</v>
      </c>
      <c r="B1366" s="1" t="n">
        <v>4</v>
      </c>
      <c r="C1366" s="5" t="n">
        <v>46181</v>
      </c>
      <c r="D1366" s="6" t="s">
        <v>534</v>
      </c>
      <c r="E1366" s="6" t="s">
        <v>170</v>
      </c>
      <c r="F1366" s="6" t="s">
        <v>46</v>
      </c>
      <c r="G1366" s="6" t="s">
        <v>57</v>
      </c>
      <c r="H1366" s="6" t="s">
        <v>48</v>
      </c>
      <c r="I1366" s="1" t="n">
        <v>2</v>
      </c>
      <c r="J1366" s="7" t="n">
        <v>15376.7</v>
      </c>
      <c r="K1366" s="8" t="n">
        <v>0.2</v>
      </c>
      <c r="L1366" s="7" t="n">
        <v>12141.44</v>
      </c>
      <c r="M1366" s="6" t="s">
        <v>123</v>
      </c>
      <c r="N1366" s="6" t="s">
        <v>67</v>
      </c>
      <c r="O1366" s="6" t="n">
        <f aca="false">IF(TablaVentas[[#This Row],[Precio_unitario]]="","PENDIENTE",TablaVentas[[#This Row],[Unidades]]*TablaVentas[[#This Row],[Precio_unitario]]*(1-TablaVentas[[#This Row],[Descuento_pct]]))</f>
        <v>24602.72</v>
      </c>
      <c r="P1366" s="6" t="n">
        <f aca="false">IF(TablaVentas[[#This Row],[Costo_unitario]]="","PENDIENTE",TablaVentas[[#This Row],[Unidades]]*TablaVentas[[#This Row],[Costo_unitario]])</f>
        <v>24282.88</v>
      </c>
      <c r="Q1366" s="6" t="n">
        <f aca="false">IF(OR(TablaVentas[[#This Row],[Ingreso_neto]]="PENDIENTE",TablaVentas[[#This Row],[Costo_total]]="PENDIENTE"),"PENDIENTE",TablaVentas[[#This Row],[Ingreso_neto]]-TablaVentas[[#This Row],[Costo_total]])</f>
        <v>319.84</v>
      </c>
    </row>
    <row r="1367" customFormat="false" ht="13.5" hidden="false" customHeight="false" outlineLevel="0" collapsed="false">
      <c r="A1367" s="1" t="s">
        <v>968</v>
      </c>
      <c r="B1367" s="1" t="n">
        <v>1</v>
      </c>
      <c r="C1367" s="5" t="n">
        <v>46128</v>
      </c>
      <c r="D1367" s="6" t="s">
        <v>107</v>
      </c>
      <c r="E1367" s="6" t="s">
        <v>279</v>
      </c>
      <c r="F1367" s="6" t="s">
        <v>63</v>
      </c>
      <c r="G1367" s="6" t="s">
        <v>57</v>
      </c>
      <c r="H1367" s="6" t="s">
        <v>191</v>
      </c>
      <c r="I1367" s="1" t="n">
        <v>3</v>
      </c>
      <c r="J1367" s="7" t="n">
        <v>609.7</v>
      </c>
      <c r="K1367" s="8" t="n">
        <v>0</v>
      </c>
      <c r="L1367" s="7" t="n">
        <v>443</v>
      </c>
      <c r="M1367" s="6" t="s">
        <v>49</v>
      </c>
      <c r="N1367" s="6" t="s">
        <v>67</v>
      </c>
      <c r="O1367" s="6" t="n">
        <f aca="false">IF(TablaVentas[[#This Row],[Precio_unitario]]="","PENDIENTE",TablaVentas[[#This Row],[Unidades]]*TablaVentas[[#This Row],[Precio_unitario]]*(1-TablaVentas[[#This Row],[Descuento_pct]]))</f>
        <v>1829.1</v>
      </c>
      <c r="P1367" s="6" t="n">
        <f aca="false">IF(TablaVentas[[#This Row],[Costo_unitario]]="","PENDIENTE",TablaVentas[[#This Row],[Unidades]]*TablaVentas[[#This Row],[Costo_unitario]])</f>
        <v>1329</v>
      </c>
      <c r="Q1367" s="6" t="n">
        <f aca="false">IF(OR(TablaVentas[[#This Row],[Ingreso_neto]]="PENDIENTE",TablaVentas[[#This Row],[Costo_total]]="PENDIENTE"),"PENDIENTE",TablaVentas[[#This Row],[Ingreso_neto]]-TablaVentas[[#This Row],[Costo_total]])</f>
        <v>500.1</v>
      </c>
    </row>
    <row r="1368" customFormat="false" ht="13.5" hidden="false" customHeight="false" outlineLevel="0" collapsed="false">
      <c r="A1368" s="1" t="s">
        <v>969</v>
      </c>
      <c r="B1368" s="1" t="n">
        <v>1</v>
      </c>
      <c r="C1368" s="5" t="n">
        <v>46181</v>
      </c>
      <c r="D1368" s="6" t="s">
        <v>970</v>
      </c>
      <c r="E1368" s="6" t="s">
        <v>162</v>
      </c>
      <c r="F1368" s="6" t="s">
        <v>63</v>
      </c>
      <c r="G1368" s="6" t="s">
        <v>47</v>
      </c>
      <c r="H1368" s="6" t="s">
        <v>58</v>
      </c>
      <c r="I1368" s="1" t="n">
        <v>3</v>
      </c>
      <c r="J1368" s="7" t="n">
        <v>796.47</v>
      </c>
      <c r="K1368" s="8" t="n">
        <v>0.2</v>
      </c>
      <c r="L1368" s="7" t="n">
        <v>397.1</v>
      </c>
      <c r="M1368" s="6" t="s">
        <v>49</v>
      </c>
      <c r="N1368" s="6" t="s">
        <v>59</v>
      </c>
      <c r="O1368" s="6" t="n">
        <f aca="false">IF(TablaVentas[[#This Row],[Precio_unitario]]="","PENDIENTE",TablaVentas[[#This Row],[Unidades]]*TablaVentas[[#This Row],[Precio_unitario]]*(1-TablaVentas[[#This Row],[Descuento_pct]]))</f>
        <v>1911.528</v>
      </c>
      <c r="P1368" s="6" t="n">
        <f aca="false">IF(TablaVentas[[#This Row],[Costo_unitario]]="","PENDIENTE",TablaVentas[[#This Row],[Unidades]]*TablaVentas[[#This Row],[Costo_unitario]])</f>
        <v>1191.3</v>
      </c>
      <c r="Q1368" s="6" t="n">
        <f aca="false">IF(OR(TablaVentas[[#This Row],[Ingreso_neto]]="PENDIENTE",TablaVentas[[#This Row],[Costo_total]]="PENDIENTE"),"PENDIENTE",TablaVentas[[#This Row],[Ingreso_neto]]-TablaVentas[[#This Row],[Costo_total]])</f>
        <v>720.228</v>
      </c>
    </row>
    <row r="1369" customFormat="false" ht="13.5" hidden="false" customHeight="false" outlineLevel="0" collapsed="false">
      <c r="A1369" s="1" t="s">
        <v>971</v>
      </c>
      <c r="B1369" s="1" t="n">
        <v>1</v>
      </c>
      <c r="C1369" s="5" t="n">
        <v>46275</v>
      </c>
      <c r="D1369" s="6" t="s">
        <v>549</v>
      </c>
      <c r="E1369" s="6" t="s">
        <v>92</v>
      </c>
      <c r="F1369" s="6" t="s">
        <v>63</v>
      </c>
      <c r="G1369" s="6" t="s">
        <v>64</v>
      </c>
      <c r="H1369" s="6" t="s">
        <v>65</v>
      </c>
      <c r="I1369" s="1" t="n">
        <v>8</v>
      </c>
      <c r="J1369" s="7" t="n">
        <v>498.35</v>
      </c>
      <c r="K1369" s="8" t="n">
        <v>0.05</v>
      </c>
      <c r="L1369" s="7" t="n">
        <v>307.75</v>
      </c>
      <c r="M1369" s="6" t="s">
        <v>49</v>
      </c>
      <c r="N1369" s="6" t="s">
        <v>50</v>
      </c>
      <c r="O1369" s="6" t="n">
        <f aca="false">IF(TablaVentas[[#This Row],[Precio_unitario]]="","PENDIENTE",TablaVentas[[#This Row],[Unidades]]*TablaVentas[[#This Row],[Precio_unitario]]*(1-TablaVentas[[#This Row],[Descuento_pct]]))</f>
        <v>3787.46</v>
      </c>
      <c r="P1369" s="6" t="n">
        <f aca="false">IF(TablaVentas[[#This Row],[Costo_unitario]]="","PENDIENTE",TablaVentas[[#This Row],[Unidades]]*TablaVentas[[#This Row],[Costo_unitario]])</f>
        <v>2462</v>
      </c>
      <c r="Q1369" s="6" t="n">
        <f aca="false">IF(OR(TablaVentas[[#This Row],[Ingreso_neto]]="PENDIENTE",TablaVentas[[#This Row],[Costo_total]]="PENDIENTE"),"PENDIENTE",TablaVentas[[#This Row],[Ingreso_neto]]-TablaVentas[[#This Row],[Costo_total]])</f>
        <v>1325.46</v>
      </c>
    </row>
    <row r="1370" customFormat="false" ht="13.5" hidden="false" customHeight="false" outlineLevel="0" collapsed="false">
      <c r="A1370" s="1" t="s">
        <v>971</v>
      </c>
      <c r="B1370" s="1" t="n">
        <v>2</v>
      </c>
      <c r="C1370" s="5" t="n">
        <v>46275</v>
      </c>
      <c r="D1370" s="6" t="s">
        <v>549</v>
      </c>
      <c r="E1370" s="6" t="s">
        <v>219</v>
      </c>
      <c r="F1370" s="6" t="s">
        <v>63</v>
      </c>
      <c r="G1370" s="6" t="s">
        <v>64</v>
      </c>
      <c r="H1370" s="6" t="s">
        <v>65</v>
      </c>
      <c r="I1370" s="1" t="n">
        <v>3</v>
      </c>
      <c r="J1370" s="7" t="n">
        <v>3875.91</v>
      </c>
      <c r="K1370" s="8" t="n">
        <v>0.05</v>
      </c>
      <c r="L1370" s="7" t="n">
        <v>2157.55</v>
      </c>
      <c r="M1370" s="6" t="s">
        <v>49</v>
      </c>
      <c r="N1370" s="6" t="s">
        <v>52</v>
      </c>
      <c r="O1370" s="6" t="n">
        <f aca="false">IF(TablaVentas[[#This Row],[Precio_unitario]]="","PENDIENTE",TablaVentas[[#This Row],[Unidades]]*TablaVentas[[#This Row],[Precio_unitario]]*(1-TablaVentas[[#This Row],[Descuento_pct]]))</f>
        <v>11046.3435</v>
      </c>
      <c r="P1370" s="6" t="n">
        <f aca="false">IF(TablaVentas[[#This Row],[Costo_unitario]]="","PENDIENTE",TablaVentas[[#This Row],[Unidades]]*TablaVentas[[#This Row],[Costo_unitario]])</f>
        <v>6472.65</v>
      </c>
      <c r="Q1370" s="6" t="n">
        <f aca="false">IF(OR(TablaVentas[[#This Row],[Ingreso_neto]]="PENDIENTE",TablaVentas[[#This Row],[Costo_total]]="PENDIENTE"),"PENDIENTE",TablaVentas[[#This Row],[Ingreso_neto]]-TablaVentas[[#This Row],[Costo_total]])</f>
        <v>4573.6935</v>
      </c>
    </row>
    <row r="1371" customFormat="false" ht="13.5" hidden="false" customHeight="false" outlineLevel="0" collapsed="false">
      <c r="A1371" s="1" t="s">
        <v>971</v>
      </c>
      <c r="B1371" s="1" t="n">
        <v>3</v>
      </c>
      <c r="C1371" s="5" t="n">
        <v>46275</v>
      </c>
      <c r="D1371" s="6" t="s">
        <v>549</v>
      </c>
      <c r="E1371" s="6" t="s">
        <v>68</v>
      </c>
      <c r="F1371" s="6" t="s">
        <v>63</v>
      </c>
      <c r="G1371" s="6" t="s">
        <v>64</v>
      </c>
      <c r="H1371" s="6" t="s">
        <v>65</v>
      </c>
      <c r="I1371" s="1" t="n">
        <v>3</v>
      </c>
      <c r="J1371" s="7" t="n">
        <v>4848.91</v>
      </c>
      <c r="K1371" s="8" t="n">
        <v>0</v>
      </c>
      <c r="L1371" s="7" t="n">
        <v>2554.06</v>
      </c>
      <c r="M1371" s="6" t="s">
        <v>49</v>
      </c>
      <c r="N1371" s="6" t="s">
        <v>50</v>
      </c>
      <c r="O1371" s="6" t="n">
        <f aca="false">IF(TablaVentas[[#This Row],[Precio_unitario]]="","PENDIENTE",TablaVentas[[#This Row],[Unidades]]*TablaVentas[[#This Row],[Precio_unitario]]*(1-TablaVentas[[#This Row],[Descuento_pct]]))</f>
        <v>14546.73</v>
      </c>
      <c r="P1371" s="6" t="n">
        <f aca="false">IF(TablaVentas[[#This Row],[Costo_unitario]]="","PENDIENTE",TablaVentas[[#This Row],[Unidades]]*TablaVentas[[#This Row],[Costo_unitario]])</f>
        <v>7662.18</v>
      </c>
      <c r="Q1371" s="6" t="n">
        <f aca="false">IF(OR(TablaVentas[[#This Row],[Ingreso_neto]]="PENDIENTE",TablaVentas[[#This Row],[Costo_total]]="PENDIENTE"),"PENDIENTE",TablaVentas[[#This Row],[Ingreso_neto]]-TablaVentas[[#This Row],[Costo_total]])</f>
        <v>6884.55</v>
      </c>
    </row>
    <row r="1372" customFormat="false" ht="13.5" hidden="false" customHeight="false" outlineLevel="0" collapsed="false">
      <c r="A1372" s="1" t="s">
        <v>971</v>
      </c>
      <c r="B1372" s="1" t="n">
        <v>4</v>
      </c>
      <c r="C1372" s="5" t="n">
        <v>46275</v>
      </c>
      <c r="D1372" s="6" t="s">
        <v>549</v>
      </c>
      <c r="E1372" s="6" t="s">
        <v>132</v>
      </c>
      <c r="F1372" s="6" t="s">
        <v>63</v>
      </c>
      <c r="G1372" s="6" t="s">
        <v>64</v>
      </c>
      <c r="H1372" s="6" t="s">
        <v>65</v>
      </c>
      <c r="I1372" s="1" t="n">
        <v>1</v>
      </c>
      <c r="J1372" s="7" t="n">
        <v>1781.31</v>
      </c>
      <c r="K1372" s="8" t="n">
        <v>0</v>
      </c>
      <c r="L1372" s="7" t="n">
        <v>1044.32</v>
      </c>
      <c r="M1372" s="6" t="s">
        <v>49</v>
      </c>
      <c r="N1372" s="6" t="s">
        <v>52</v>
      </c>
      <c r="O1372" s="6" t="n">
        <f aca="false">IF(TablaVentas[[#This Row],[Precio_unitario]]="","PENDIENTE",TablaVentas[[#This Row],[Unidades]]*TablaVentas[[#This Row],[Precio_unitario]]*(1-TablaVentas[[#This Row],[Descuento_pct]]))</f>
        <v>1781.31</v>
      </c>
      <c r="P1372" s="6" t="n">
        <f aca="false">IF(TablaVentas[[#This Row],[Costo_unitario]]="","PENDIENTE",TablaVentas[[#This Row],[Unidades]]*TablaVentas[[#This Row],[Costo_unitario]])</f>
        <v>1044.32</v>
      </c>
      <c r="Q1372" s="6" t="n">
        <f aca="false">IF(OR(TablaVentas[[#This Row],[Ingreso_neto]]="PENDIENTE",TablaVentas[[#This Row],[Costo_total]]="PENDIENTE"),"PENDIENTE",TablaVentas[[#This Row],[Ingreso_neto]]-TablaVentas[[#This Row],[Costo_total]])</f>
        <v>736.99</v>
      </c>
    </row>
    <row r="1373" customFormat="false" ht="13.5" hidden="false" customHeight="false" outlineLevel="0" collapsed="false">
      <c r="A1373" s="1" t="s">
        <v>972</v>
      </c>
      <c r="B1373" s="1" t="n">
        <v>1</v>
      </c>
      <c r="C1373" s="5" t="n">
        <v>46111</v>
      </c>
      <c r="D1373" s="6" t="s">
        <v>642</v>
      </c>
      <c r="E1373" s="6" t="s">
        <v>218</v>
      </c>
      <c r="F1373" s="6" t="s">
        <v>84</v>
      </c>
      <c r="G1373" s="6" t="s">
        <v>47</v>
      </c>
      <c r="H1373" s="6" t="s">
        <v>74</v>
      </c>
      <c r="I1373" s="1" t="n">
        <v>1</v>
      </c>
      <c r="J1373" s="7" t="n">
        <v>19026.67</v>
      </c>
      <c r="K1373" s="8" t="n">
        <v>0.1</v>
      </c>
      <c r="L1373" s="7" t="n">
        <v>13760.53</v>
      </c>
      <c r="M1373" s="6" t="s">
        <v>49</v>
      </c>
      <c r="N1373" s="6" t="s">
        <v>50</v>
      </c>
      <c r="O1373" s="6" t="n">
        <f aca="false">IF(TablaVentas[[#This Row],[Precio_unitario]]="","PENDIENTE",TablaVentas[[#This Row],[Unidades]]*TablaVentas[[#This Row],[Precio_unitario]]*(1-TablaVentas[[#This Row],[Descuento_pct]]))</f>
        <v>17124.003</v>
      </c>
      <c r="P1373" s="6" t="n">
        <f aca="false">IF(TablaVentas[[#This Row],[Costo_unitario]]="","PENDIENTE",TablaVentas[[#This Row],[Unidades]]*TablaVentas[[#This Row],[Costo_unitario]])</f>
        <v>13760.53</v>
      </c>
      <c r="Q1373" s="6" t="n">
        <f aca="false">IF(OR(TablaVentas[[#This Row],[Ingreso_neto]]="PENDIENTE",TablaVentas[[#This Row],[Costo_total]]="PENDIENTE"),"PENDIENTE",TablaVentas[[#This Row],[Ingreso_neto]]-TablaVentas[[#This Row],[Costo_total]])</f>
        <v>3363.473</v>
      </c>
    </row>
    <row r="1374" customFormat="false" ht="13.5" hidden="false" customHeight="false" outlineLevel="0" collapsed="false">
      <c r="A1374" s="1" t="s">
        <v>972</v>
      </c>
      <c r="B1374" s="1" t="n">
        <v>2</v>
      </c>
      <c r="C1374" s="5" t="n">
        <v>46111</v>
      </c>
      <c r="D1374" s="6" t="s">
        <v>642</v>
      </c>
      <c r="E1374" s="6" t="s">
        <v>108</v>
      </c>
      <c r="F1374" s="6" t="s">
        <v>84</v>
      </c>
      <c r="G1374" s="6" t="s">
        <v>47</v>
      </c>
      <c r="H1374" s="6" t="s">
        <v>74</v>
      </c>
      <c r="I1374" s="1" t="n">
        <v>3</v>
      </c>
      <c r="J1374" s="7" t="n">
        <v>4692.19</v>
      </c>
      <c r="K1374" s="8" t="n">
        <v>0</v>
      </c>
      <c r="L1374" s="7" t="n">
        <v>2865.24</v>
      </c>
      <c r="M1374" s="6" t="s">
        <v>49</v>
      </c>
      <c r="N1374" s="6" t="s">
        <v>52</v>
      </c>
      <c r="O1374" s="6" t="n">
        <f aca="false">IF(TablaVentas[[#This Row],[Precio_unitario]]="","PENDIENTE",TablaVentas[[#This Row],[Unidades]]*TablaVentas[[#This Row],[Precio_unitario]]*(1-TablaVentas[[#This Row],[Descuento_pct]]))</f>
        <v>14076.57</v>
      </c>
      <c r="P1374" s="6" t="n">
        <f aca="false">IF(TablaVentas[[#This Row],[Costo_unitario]]="","PENDIENTE",TablaVentas[[#This Row],[Unidades]]*TablaVentas[[#This Row],[Costo_unitario]])</f>
        <v>8595.72</v>
      </c>
      <c r="Q1374" s="6" t="n">
        <f aca="false">IF(OR(TablaVentas[[#This Row],[Ingreso_neto]]="PENDIENTE",TablaVentas[[#This Row],[Costo_total]]="PENDIENTE"),"PENDIENTE",TablaVentas[[#This Row],[Ingreso_neto]]-TablaVentas[[#This Row],[Costo_total]])</f>
        <v>5480.85</v>
      </c>
    </row>
    <row r="1375" customFormat="false" ht="13.5" hidden="false" customHeight="false" outlineLevel="0" collapsed="false">
      <c r="A1375" s="1" t="s">
        <v>972</v>
      </c>
      <c r="B1375" s="1" t="n">
        <v>3</v>
      </c>
      <c r="C1375" s="5" t="n">
        <v>46111</v>
      </c>
      <c r="D1375" s="6" t="s">
        <v>642</v>
      </c>
      <c r="E1375" s="6" t="s">
        <v>91</v>
      </c>
      <c r="F1375" s="6" t="s">
        <v>84</v>
      </c>
      <c r="G1375" s="6" t="s">
        <v>47</v>
      </c>
      <c r="H1375" s="6" t="s">
        <v>74</v>
      </c>
      <c r="I1375" s="1" t="n">
        <v>1</v>
      </c>
      <c r="J1375" s="7" t="n">
        <v>15111.5</v>
      </c>
      <c r="K1375" s="8" t="n">
        <v>0</v>
      </c>
      <c r="L1375" s="7" t="n">
        <v>8576.05</v>
      </c>
      <c r="M1375" s="6" t="s">
        <v>49</v>
      </c>
      <c r="N1375" s="6" t="s">
        <v>59</v>
      </c>
      <c r="O1375" s="6" t="n">
        <f aca="false">IF(TablaVentas[[#This Row],[Precio_unitario]]="","PENDIENTE",TablaVentas[[#This Row],[Unidades]]*TablaVentas[[#This Row],[Precio_unitario]]*(1-TablaVentas[[#This Row],[Descuento_pct]]))</f>
        <v>15111.5</v>
      </c>
      <c r="P1375" s="6" t="n">
        <f aca="false">IF(TablaVentas[[#This Row],[Costo_unitario]]="","PENDIENTE",TablaVentas[[#This Row],[Unidades]]*TablaVentas[[#This Row],[Costo_unitario]])</f>
        <v>8576.05</v>
      </c>
      <c r="Q1375" s="6" t="n">
        <f aca="false">IF(OR(TablaVentas[[#This Row],[Ingreso_neto]]="PENDIENTE",TablaVentas[[#This Row],[Costo_total]]="PENDIENTE"),"PENDIENTE",TablaVentas[[#This Row],[Ingreso_neto]]-TablaVentas[[#This Row],[Costo_total]])</f>
        <v>6535.45</v>
      </c>
    </row>
    <row r="1376" customFormat="false" ht="13.5" hidden="false" customHeight="false" outlineLevel="0" collapsed="false">
      <c r="A1376" s="1" t="s">
        <v>973</v>
      </c>
      <c r="B1376" s="1" t="n">
        <v>1</v>
      </c>
      <c r="C1376" s="5" t="n">
        <v>46227</v>
      </c>
      <c r="D1376" s="6" t="s">
        <v>504</v>
      </c>
      <c r="E1376" s="6" t="s">
        <v>146</v>
      </c>
      <c r="F1376" s="6" t="s">
        <v>46</v>
      </c>
      <c r="G1376" s="6" t="s">
        <v>47</v>
      </c>
      <c r="H1376" s="6" t="s">
        <v>89</v>
      </c>
      <c r="I1376" s="1" t="n">
        <v>1</v>
      </c>
      <c r="J1376" s="7" t="n">
        <v>10017.67</v>
      </c>
      <c r="K1376" s="8" t="n">
        <v>0</v>
      </c>
      <c r="L1376" s="7" t="n">
        <v>8002.16</v>
      </c>
      <c r="M1376" s="6" t="s">
        <v>49</v>
      </c>
      <c r="N1376" s="6" t="s">
        <v>67</v>
      </c>
      <c r="O1376" s="6" t="n">
        <f aca="false">IF(TablaVentas[[#This Row],[Precio_unitario]]="","PENDIENTE",TablaVentas[[#This Row],[Unidades]]*TablaVentas[[#This Row],[Precio_unitario]]*(1-TablaVentas[[#This Row],[Descuento_pct]]))</f>
        <v>10017.67</v>
      </c>
      <c r="P1376" s="6" t="n">
        <f aca="false">IF(TablaVentas[[#This Row],[Costo_unitario]]="","PENDIENTE",TablaVentas[[#This Row],[Unidades]]*TablaVentas[[#This Row],[Costo_unitario]])</f>
        <v>8002.16</v>
      </c>
      <c r="Q1376" s="6" t="n">
        <f aca="false">IF(OR(TablaVentas[[#This Row],[Ingreso_neto]]="PENDIENTE",TablaVentas[[#This Row],[Costo_total]]="PENDIENTE"),"PENDIENTE",TablaVentas[[#This Row],[Ingreso_neto]]-TablaVentas[[#This Row],[Costo_total]])</f>
        <v>2015.51</v>
      </c>
    </row>
    <row r="1377" customFormat="false" ht="13.5" hidden="false" customHeight="false" outlineLevel="0" collapsed="false">
      <c r="A1377" s="1" t="s">
        <v>973</v>
      </c>
      <c r="B1377" s="1" t="n">
        <v>2</v>
      </c>
      <c r="C1377" s="5" t="n">
        <v>46227</v>
      </c>
      <c r="D1377" s="6" t="s">
        <v>504</v>
      </c>
      <c r="E1377" s="6" t="s">
        <v>223</v>
      </c>
      <c r="F1377" s="6" t="s">
        <v>46</v>
      </c>
      <c r="G1377" s="6" t="s">
        <v>47</v>
      </c>
      <c r="H1377" s="6" t="s">
        <v>89</v>
      </c>
      <c r="I1377" s="1" t="n">
        <v>2</v>
      </c>
      <c r="J1377" s="7" t="n">
        <v>16862.54</v>
      </c>
      <c r="K1377" s="8" t="n">
        <v>0</v>
      </c>
      <c r="L1377" s="7" t="n">
        <v>12064.41</v>
      </c>
      <c r="M1377" s="6" t="s">
        <v>49</v>
      </c>
      <c r="N1377" s="6" t="s">
        <v>50</v>
      </c>
      <c r="O1377" s="6" t="n">
        <f aca="false">IF(TablaVentas[[#This Row],[Precio_unitario]]="","PENDIENTE",TablaVentas[[#This Row],[Unidades]]*TablaVentas[[#This Row],[Precio_unitario]]*(1-TablaVentas[[#This Row],[Descuento_pct]]))</f>
        <v>33725.08</v>
      </c>
      <c r="P1377" s="6" t="n">
        <f aca="false">IF(TablaVentas[[#This Row],[Costo_unitario]]="","PENDIENTE",TablaVentas[[#This Row],[Unidades]]*TablaVentas[[#This Row],[Costo_unitario]])</f>
        <v>24128.82</v>
      </c>
      <c r="Q1377" s="6" t="n">
        <f aca="false">IF(OR(TablaVentas[[#This Row],[Ingreso_neto]]="PENDIENTE",TablaVentas[[#This Row],[Costo_total]]="PENDIENTE"),"PENDIENTE",TablaVentas[[#This Row],[Ingreso_neto]]-TablaVentas[[#This Row],[Costo_total]])</f>
        <v>9596.26</v>
      </c>
    </row>
    <row r="1378" customFormat="false" ht="13.5" hidden="false" customHeight="false" outlineLevel="0" collapsed="false">
      <c r="A1378" s="1" t="s">
        <v>973</v>
      </c>
      <c r="B1378" s="1" t="n">
        <v>3</v>
      </c>
      <c r="C1378" s="5" t="n">
        <v>46227</v>
      </c>
      <c r="D1378" s="6" t="s">
        <v>504</v>
      </c>
      <c r="E1378" s="6" t="s">
        <v>353</v>
      </c>
      <c r="F1378" s="6" t="s">
        <v>46</v>
      </c>
      <c r="G1378" s="6" t="s">
        <v>47</v>
      </c>
      <c r="H1378" s="6" t="s">
        <v>89</v>
      </c>
      <c r="I1378" s="1" t="n">
        <v>1</v>
      </c>
      <c r="J1378" s="7" t="n">
        <v>2117.29</v>
      </c>
      <c r="K1378" s="8" t="n">
        <v>0</v>
      </c>
      <c r="L1378" s="7" t="n">
        <v>1175.74</v>
      </c>
      <c r="M1378" s="6" t="s">
        <v>49</v>
      </c>
      <c r="N1378" s="6" t="s">
        <v>50</v>
      </c>
      <c r="O1378" s="6" t="n">
        <f aca="false">IF(TablaVentas[[#This Row],[Precio_unitario]]="","PENDIENTE",TablaVentas[[#This Row],[Unidades]]*TablaVentas[[#This Row],[Precio_unitario]]*(1-TablaVentas[[#This Row],[Descuento_pct]]))</f>
        <v>2117.29</v>
      </c>
      <c r="P1378" s="6" t="n">
        <f aca="false">IF(TablaVentas[[#This Row],[Costo_unitario]]="","PENDIENTE",TablaVentas[[#This Row],[Unidades]]*TablaVentas[[#This Row],[Costo_unitario]])</f>
        <v>1175.74</v>
      </c>
      <c r="Q1378" s="6" t="n">
        <f aca="false">IF(OR(TablaVentas[[#This Row],[Ingreso_neto]]="PENDIENTE",TablaVentas[[#This Row],[Costo_total]]="PENDIENTE"),"PENDIENTE",TablaVentas[[#This Row],[Ingreso_neto]]-TablaVentas[[#This Row],[Costo_total]])</f>
        <v>941.55</v>
      </c>
    </row>
    <row r="1379" customFormat="false" ht="13.5" hidden="false" customHeight="false" outlineLevel="0" collapsed="false">
      <c r="A1379" s="1" t="s">
        <v>974</v>
      </c>
      <c r="B1379" s="1" t="n">
        <v>1</v>
      </c>
      <c r="C1379" s="5" t="n">
        <v>46276</v>
      </c>
      <c r="D1379" s="6" t="s">
        <v>970</v>
      </c>
      <c r="E1379" s="6" t="s">
        <v>289</v>
      </c>
      <c r="F1379" s="6" t="s">
        <v>46</v>
      </c>
      <c r="G1379" s="6" t="s">
        <v>64</v>
      </c>
      <c r="H1379" s="6" t="s">
        <v>131</v>
      </c>
      <c r="I1379" s="1" t="n">
        <v>5</v>
      </c>
      <c r="J1379" s="7" t="n">
        <v>4033.43</v>
      </c>
      <c r="K1379" s="8" t="n">
        <v>0</v>
      </c>
      <c r="L1379" s="7" t="n">
        <v>3399.5</v>
      </c>
      <c r="M1379" s="6" t="s">
        <v>123</v>
      </c>
      <c r="N1379" s="6" t="s">
        <v>59</v>
      </c>
      <c r="O1379" s="6" t="n">
        <f aca="false">IF(TablaVentas[[#This Row],[Precio_unitario]]="","PENDIENTE",TablaVentas[[#This Row],[Unidades]]*TablaVentas[[#This Row],[Precio_unitario]]*(1-TablaVentas[[#This Row],[Descuento_pct]]))</f>
        <v>20167.15</v>
      </c>
      <c r="P1379" s="6" t="n">
        <f aca="false">IF(TablaVentas[[#This Row],[Costo_unitario]]="","PENDIENTE",TablaVentas[[#This Row],[Unidades]]*TablaVentas[[#This Row],[Costo_unitario]])</f>
        <v>16997.5</v>
      </c>
      <c r="Q1379" s="6" t="n">
        <f aca="false">IF(OR(TablaVentas[[#This Row],[Ingreso_neto]]="PENDIENTE",TablaVentas[[#This Row],[Costo_total]]="PENDIENTE"),"PENDIENTE",TablaVentas[[#This Row],[Ingreso_neto]]-TablaVentas[[#This Row],[Costo_total]])</f>
        <v>3169.65</v>
      </c>
    </row>
    <row r="1380" customFormat="false" ht="13.5" hidden="false" customHeight="false" outlineLevel="0" collapsed="false">
      <c r="A1380" s="1" t="s">
        <v>974</v>
      </c>
      <c r="B1380" s="1" t="n">
        <v>2</v>
      </c>
      <c r="C1380" s="5" t="n">
        <v>46276</v>
      </c>
      <c r="D1380" s="6" t="s">
        <v>970</v>
      </c>
      <c r="E1380" s="6" t="s">
        <v>126</v>
      </c>
      <c r="F1380" s="6" t="s">
        <v>46</v>
      </c>
      <c r="G1380" s="6" t="s">
        <v>64</v>
      </c>
      <c r="H1380" s="6" t="s">
        <v>131</v>
      </c>
      <c r="I1380" s="1" t="n">
        <v>1</v>
      </c>
      <c r="J1380" s="7" t="n">
        <v>9609.36</v>
      </c>
      <c r="K1380" s="8" t="n">
        <v>0</v>
      </c>
      <c r="L1380" s="7" t="n">
        <v>6981.94</v>
      </c>
      <c r="M1380" s="6" t="s">
        <v>49</v>
      </c>
      <c r="N1380" s="6" t="s">
        <v>67</v>
      </c>
      <c r="O1380" s="6" t="n">
        <f aca="false">IF(TablaVentas[[#This Row],[Precio_unitario]]="","PENDIENTE",TablaVentas[[#This Row],[Unidades]]*TablaVentas[[#This Row],[Precio_unitario]]*(1-TablaVentas[[#This Row],[Descuento_pct]]))</f>
        <v>9609.36</v>
      </c>
      <c r="P1380" s="6" t="n">
        <f aca="false">IF(TablaVentas[[#This Row],[Costo_unitario]]="","PENDIENTE",TablaVentas[[#This Row],[Unidades]]*TablaVentas[[#This Row],[Costo_unitario]])</f>
        <v>6981.94</v>
      </c>
      <c r="Q1380" s="6" t="n">
        <f aca="false">IF(OR(TablaVentas[[#This Row],[Ingreso_neto]]="PENDIENTE",TablaVentas[[#This Row],[Costo_total]]="PENDIENTE"),"PENDIENTE",TablaVentas[[#This Row],[Ingreso_neto]]-TablaVentas[[#This Row],[Costo_total]])</f>
        <v>2627.42</v>
      </c>
    </row>
    <row r="1381" customFormat="false" ht="13.5" hidden="false" customHeight="false" outlineLevel="0" collapsed="false">
      <c r="A1381" s="1" t="s">
        <v>974</v>
      </c>
      <c r="B1381" s="1" t="n">
        <v>3</v>
      </c>
      <c r="C1381" s="5" t="n">
        <v>46276</v>
      </c>
      <c r="D1381" s="6" t="s">
        <v>970</v>
      </c>
      <c r="E1381" s="6" t="s">
        <v>385</v>
      </c>
      <c r="F1381" s="6" t="s">
        <v>46</v>
      </c>
      <c r="G1381" s="6" t="s">
        <v>64</v>
      </c>
      <c r="H1381" s="6" t="s">
        <v>131</v>
      </c>
      <c r="I1381" s="1" t="n">
        <v>8</v>
      </c>
      <c r="J1381" s="7" t="n">
        <v>3768.97</v>
      </c>
      <c r="K1381" s="8" t="n">
        <v>0</v>
      </c>
      <c r="L1381" s="7" t="n">
        <v>2864.64</v>
      </c>
      <c r="M1381" s="6" t="s">
        <v>49</v>
      </c>
      <c r="N1381" s="6" t="s">
        <v>59</v>
      </c>
      <c r="O1381" s="6" t="n">
        <f aca="false">IF(TablaVentas[[#This Row],[Precio_unitario]]="","PENDIENTE",TablaVentas[[#This Row],[Unidades]]*TablaVentas[[#This Row],[Precio_unitario]]*(1-TablaVentas[[#This Row],[Descuento_pct]]))</f>
        <v>30151.76</v>
      </c>
      <c r="P1381" s="6" t="n">
        <f aca="false">IF(TablaVentas[[#This Row],[Costo_unitario]]="","PENDIENTE",TablaVentas[[#This Row],[Unidades]]*TablaVentas[[#This Row],[Costo_unitario]])</f>
        <v>22917.12</v>
      </c>
      <c r="Q1381" s="6" t="n">
        <f aca="false">IF(OR(TablaVentas[[#This Row],[Ingreso_neto]]="PENDIENTE",TablaVentas[[#This Row],[Costo_total]]="PENDIENTE"),"PENDIENTE",TablaVentas[[#This Row],[Ingreso_neto]]-TablaVentas[[#This Row],[Costo_total]])</f>
        <v>7234.64</v>
      </c>
    </row>
    <row r="1382" customFormat="false" ht="13.5" hidden="false" customHeight="false" outlineLevel="0" collapsed="false">
      <c r="A1382" s="1" t="s">
        <v>975</v>
      </c>
      <c r="B1382" s="1" t="n">
        <v>1</v>
      </c>
      <c r="C1382" s="5" t="n">
        <v>46175</v>
      </c>
      <c r="D1382" s="6" t="s">
        <v>976</v>
      </c>
      <c r="E1382" s="6" t="s">
        <v>219</v>
      </c>
      <c r="F1382" s="6" t="s">
        <v>63</v>
      </c>
      <c r="G1382" s="6" t="s">
        <v>64</v>
      </c>
      <c r="H1382" s="6" t="s">
        <v>131</v>
      </c>
      <c r="I1382" s="1" t="n">
        <v>1</v>
      </c>
      <c r="J1382" s="7" t="n">
        <v>3401.05</v>
      </c>
      <c r="K1382" s="8" t="n">
        <v>0.2</v>
      </c>
      <c r="L1382" s="7" t="n">
        <v>2157.55</v>
      </c>
      <c r="M1382" s="6" t="s">
        <v>49</v>
      </c>
      <c r="N1382" s="6" t="s">
        <v>67</v>
      </c>
      <c r="O1382" s="6" t="n">
        <f aca="false">IF(TablaVentas[[#This Row],[Precio_unitario]]="","PENDIENTE",TablaVentas[[#This Row],[Unidades]]*TablaVentas[[#This Row],[Precio_unitario]]*(1-TablaVentas[[#This Row],[Descuento_pct]]))</f>
        <v>2720.84</v>
      </c>
      <c r="P1382" s="6" t="n">
        <f aca="false">IF(TablaVentas[[#This Row],[Costo_unitario]]="","PENDIENTE",TablaVentas[[#This Row],[Unidades]]*TablaVentas[[#This Row],[Costo_unitario]])</f>
        <v>2157.55</v>
      </c>
      <c r="Q1382" s="6" t="n">
        <f aca="false">IF(OR(TablaVentas[[#This Row],[Ingreso_neto]]="PENDIENTE",TablaVentas[[#This Row],[Costo_total]]="PENDIENTE"),"PENDIENTE",TablaVentas[[#This Row],[Ingreso_neto]]-TablaVentas[[#This Row],[Costo_total]])</f>
        <v>563.29</v>
      </c>
    </row>
    <row r="1383" customFormat="false" ht="13.5" hidden="false" customHeight="false" outlineLevel="0" collapsed="false">
      <c r="A1383" s="1" t="s">
        <v>975</v>
      </c>
      <c r="B1383" s="1" t="n">
        <v>2</v>
      </c>
      <c r="C1383" s="5" t="n">
        <v>46175</v>
      </c>
      <c r="D1383" s="6" t="s">
        <v>976</v>
      </c>
      <c r="E1383" s="6" t="s">
        <v>279</v>
      </c>
      <c r="F1383" s="6" t="s">
        <v>63</v>
      </c>
      <c r="G1383" s="6" t="s">
        <v>64</v>
      </c>
      <c r="H1383" s="6" t="s">
        <v>131</v>
      </c>
      <c r="I1383" s="1" t="n">
        <v>1</v>
      </c>
      <c r="J1383" s="7" t="n">
        <v>615.97</v>
      </c>
      <c r="K1383" s="8" t="n">
        <v>0.1</v>
      </c>
      <c r="L1383" s="7" t="n">
        <v>443</v>
      </c>
      <c r="M1383" s="6" t="s">
        <v>123</v>
      </c>
      <c r="N1383" s="6" t="s">
        <v>50</v>
      </c>
      <c r="O1383" s="6" t="n">
        <f aca="false">IF(TablaVentas[[#This Row],[Precio_unitario]]="","PENDIENTE",TablaVentas[[#This Row],[Unidades]]*TablaVentas[[#This Row],[Precio_unitario]]*(1-TablaVentas[[#This Row],[Descuento_pct]]))</f>
        <v>554.373</v>
      </c>
      <c r="P1383" s="6" t="n">
        <f aca="false">IF(TablaVentas[[#This Row],[Costo_unitario]]="","PENDIENTE",TablaVentas[[#This Row],[Unidades]]*TablaVentas[[#This Row],[Costo_unitario]])</f>
        <v>443</v>
      </c>
      <c r="Q1383" s="6" t="n">
        <f aca="false">IF(OR(TablaVentas[[#This Row],[Ingreso_neto]]="PENDIENTE",TablaVentas[[#This Row],[Costo_total]]="PENDIENTE"),"PENDIENTE",TablaVentas[[#This Row],[Ingreso_neto]]-TablaVentas[[#This Row],[Costo_total]])</f>
        <v>111.373</v>
      </c>
    </row>
    <row r="1384" customFormat="false" ht="13.5" hidden="false" customHeight="false" outlineLevel="0" collapsed="false">
      <c r="A1384" s="1" t="s">
        <v>977</v>
      </c>
      <c r="B1384" s="1" t="n">
        <v>1</v>
      </c>
      <c r="C1384" s="5" t="n">
        <v>46093</v>
      </c>
      <c r="D1384" s="6" t="s">
        <v>425</v>
      </c>
      <c r="E1384" s="6" t="s">
        <v>203</v>
      </c>
      <c r="F1384" s="6" t="s">
        <v>73</v>
      </c>
      <c r="G1384" s="6" t="s">
        <v>57</v>
      </c>
      <c r="H1384" s="6" t="s">
        <v>58</v>
      </c>
      <c r="I1384" s="1" t="n">
        <v>1</v>
      </c>
      <c r="J1384" s="7" t="n">
        <v>780.27</v>
      </c>
      <c r="K1384" s="8" t="n">
        <v>0</v>
      </c>
      <c r="L1384" s="7" t="n">
        <v>485.16</v>
      </c>
      <c r="M1384" s="6" t="s">
        <v>49</v>
      </c>
      <c r="N1384" s="6" t="s">
        <v>59</v>
      </c>
      <c r="O1384" s="6" t="n">
        <f aca="false">IF(TablaVentas[[#This Row],[Precio_unitario]]="","PENDIENTE",TablaVentas[[#This Row],[Unidades]]*TablaVentas[[#This Row],[Precio_unitario]]*(1-TablaVentas[[#This Row],[Descuento_pct]]))</f>
        <v>780.27</v>
      </c>
      <c r="P1384" s="6" t="n">
        <f aca="false">IF(TablaVentas[[#This Row],[Costo_unitario]]="","PENDIENTE",TablaVentas[[#This Row],[Unidades]]*TablaVentas[[#This Row],[Costo_unitario]])</f>
        <v>485.16</v>
      </c>
      <c r="Q1384" s="6" t="n">
        <f aca="false">IF(OR(TablaVentas[[#This Row],[Ingreso_neto]]="PENDIENTE",TablaVentas[[#This Row],[Costo_total]]="PENDIENTE"),"PENDIENTE",TablaVentas[[#This Row],[Ingreso_neto]]-TablaVentas[[#This Row],[Costo_total]])</f>
        <v>295.11</v>
      </c>
    </row>
    <row r="1385" customFormat="false" ht="13.5" hidden="false" customHeight="false" outlineLevel="0" collapsed="false">
      <c r="A1385" s="1" t="s">
        <v>977</v>
      </c>
      <c r="B1385" s="1" t="n">
        <v>2</v>
      </c>
      <c r="C1385" s="5" t="n">
        <v>46093</v>
      </c>
      <c r="D1385" s="6" t="s">
        <v>425</v>
      </c>
      <c r="E1385" s="6" t="s">
        <v>159</v>
      </c>
      <c r="F1385" s="6" t="s">
        <v>73</v>
      </c>
      <c r="G1385" s="6" t="s">
        <v>57</v>
      </c>
      <c r="H1385" s="6" t="s">
        <v>58</v>
      </c>
      <c r="I1385" s="1" t="n">
        <v>2</v>
      </c>
      <c r="J1385" s="7" t="n">
        <v>2814.56</v>
      </c>
      <c r="K1385" s="8" t="n">
        <v>0</v>
      </c>
      <c r="L1385" s="7" t="n">
        <v>1962.3</v>
      </c>
      <c r="M1385" s="6" t="s">
        <v>49</v>
      </c>
      <c r="N1385" s="6" t="s">
        <v>67</v>
      </c>
      <c r="O1385" s="6" t="n">
        <f aca="false">IF(TablaVentas[[#This Row],[Precio_unitario]]="","PENDIENTE",TablaVentas[[#This Row],[Unidades]]*TablaVentas[[#This Row],[Precio_unitario]]*(1-TablaVentas[[#This Row],[Descuento_pct]]))</f>
        <v>5629.12</v>
      </c>
      <c r="P1385" s="6" t="n">
        <f aca="false">IF(TablaVentas[[#This Row],[Costo_unitario]]="","PENDIENTE",TablaVentas[[#This Row],[Unidades]]*TablaVentas[[#This Row],[Costo_unitario]])</f>
        <v>3924.6</v>
      </c>
      <c r="Q1385" s="6" t="n">
        <f aca="false">IF(OR(TablaVentas[[#This Row],[Ingreso_neto]]="PENDIENTE",TablaVentas[[#This Row],[Costo_total]]="PENDIENTE"),"PENDIENTE",TablaVentas[[#This Row],[Ingreso_neto]]-TablaVentas[[#This Row],[Costo_total]])</f>
        <v>1704.52</v>
      </c>
    </row>
    <row r="1386" customFormat="false" ht="13.5" hidden="false" customHeight="false" outlineLevel="0" collapsed="false">
      <c r="A1386" s="1" t="s">
        <v>978</v>
      </c>
      <c r="B1386" s="1" t="n">
        <v>1</v>
      </c>
      <c r="C1386" s="5" t="n">
        <v>46247</v>
      </c>
      <c r="D1386" s="6" t="s">
        <v>307</v>
      </c>
      <c r="E1386" s="6" t="s">
        <v>230</v>
      </c>
      <c r="F1386" s="6" t="s">
        <v>63</v>
      </c>
      <c r="G1386" s="6" t="s">
        <v>47</v>
      </c>
      <c r="H1386" s="6" t="s">
        <v>80</v>
      </c>
      <c r="I1386" s="1" t="n">
        <v>3</v>
      </c>
      <c r="J1386" s="7" t="n">
        <v>5961.66</v>
      </c>
      <c r="K1386" s="8" t="n">
        <v>0.1</v>
      </c>
      <c r="L1386" s="7" t="n">
        <v>3298.19</v>
      </c>
      <c r="M1386" s="6" t="s">
        <v>49</v>
      </c>
      <c r="N1386" s="6" t="s">
        <v>59</v>
      </c>
      <c r="O1386" s="6" t="n">
        <f aca="false">IF(TablaVentas[[#This Row],[Precio_unitario]]="","PENDIENTE",TablaVentas[[#This Row],[Unidades]]*TablaVentas[[#This Row],[Precio_unitario]]*(1-TablaVentas[[#This Row],[Descuento_pct]]))</f>
        <v>16096.482</v>
      </c>
      <c r="P1386" s="6" t="n">
        <f aca="false">IF(TablaVentas[[#This Row],[Costo_unitario]]="","PENDIENTE",TablaVentas[[#This Row],[Unidades]]*TablaVentas[[#This Row],[Costo_unitario]])</f>
        <v>9894.57</v>
      </c>
      <c r="Q1386" s="6" t="n">
        <f aca="false">IF(OR(TablaVentas[[#This Row],[Ingreso_neto]]="PENDIENTE",TablaVentas[[#This Row],[Costo_total]]="PENDIENTE"),"PENDIENTE",TablaVentas[[#This Row],[Ingreso_neto]]-TablaVentas[[#This Row],[Costo_total]])</f>
        <v>6201.912</v>
      </c>
    </row>
    <row r="1387" customFormat="false" ht="13.5" hidden="false" customHeight="false" outlineLevel="0" collapsed="false">
      <c r="A1387" s="1" t="s">
        <v>978</v>
      </c>
      <c r="B1387" s="1" t="n">
        <v>2</v>
      </c>
      <c r="C1387" s="5" t="n">
        <v>46247</v>
      </c>
      <c r="D1387" s="6" t="s">
        <v>307</v>
      </c>
      <c r="E1387" s="6" t="s">
        <v>233</v>
      </c>
      <c r="F1387" s="6" t="s">
        <v>63</v>
      </c>
      <c r="G1387" s="6" t="s">
        <v>47</v>
      </c>
      <c r="H1387" s="6" t="s">
        <v>80</v>
      </c>
      <c r="I1387" s="1" t="n">
        <v>4</v>
      </c>
      <c r="J1387" s="7" t="n">
        <v>18374.37</v>
      </c>
      <c r="K1387" s="8" t="n">
        <v>0.15</v>
      </c>
      <c r="L1387" s="7" t="n">
        <v>9976.68</v>
      </c>
      <c r="M1387" s="6" t="s">
        <v>49</v>
      </c>
      <c r="N1387" s="6" t="s">
        <v>50</v>
      </c>
      <c r="O1387" s="6" t="n">
        <f aca="false">IF(TablaVentas[[#This Row],[Precio_unitario]]="","PENDIENTE",TablaVentas[[#This Row],[Unidades]]*TablaVentas[[#This Row],[Precio_unitario]]*(1-TablaVentas[[#This Row],[Descuento_pct]]))</f>
        <v>62472.858</v>
      </c>
      <c r="P1387" s="6" t="n">
        <f aca="false">IF(TablaVentas[[#This Row],[Costo_unitario]]="","PENDIENTE",TablaVentas[[#This Row],[Unidades]]*TablaVentas[[#This Row],[Costo_unitario]])</f>
        <v>39906.72</v>
      </c>
      <c r="Q1387" s="6" t="n">
        <f aca="false">IF(OR(TablaVentas[[#This Row],[Ingreso_neto]]="PENDIENTE",TablaVentas[[#This Row],[Costo_total]]="PENDIENTE"),"PENDIENTE",TablaVentas[[#This Row],[Ingreso_neto]]-TablaVentas[[#This Row],[Costo_total]])</f>
        <v>22566.138</v>
      </c>
    </row>
    <row r="1388" customFormat="false" ht="13.5" hidden="false" customHeight="false" outlineLevel="0" collapsed="false">
      <c r="A1388" s="1" t="s">
        <v>978</v>
      </c>
      <c r="B1388" s="1" t="n">
        <v>3</v>
      </c>
      <c r="C1388" s="5" t="n">
        <v>46247</v>
      </c>
      <c r="D1388" s="6" t="s">
        <v>307</v>
      </c>
      <c r="E1388" s="6" t="s">
        <v>56</v>
      </c>
      <c r="F1388" s="6" t="s">
        <v>63</v>
      </c>
      <c r="G1388" s="6" t="s">
        <v>47</v>
      </c>
      <c r="H1388" s="6" t="s">
        <v>80</v>
      </c>
      <c r="I1388" s="1" t="n">
        <v>2</v>
      </c>
      <c r="J1388" s="7" t="n">
        <v>3634.81</v>
      </c>
      <c r="K1388" s="8" t="n">
        <v>0.05</v>
      </c>
      <c r="L1388" s="7" t="n">
        <v>2950.52</v>
      </c>
      <c r="M1388" s="6" t="s">
        <v>49</v>
      </c>
      <c r="N1388" s="6" t="s">
        <v>59</v>
      </c>
      <c r="O1388" s="6" t="n">
        <f aca="false">IF(TablaVentas[[#This Row],[Precio_unitario]]="","PENDIENTE",TablaVentas[[#This Row],[Unidades]]*TablaVentas[[#This Row],[Precio_unitario]]*(1-TablaVentas[[#This Row],[Descuento_pct]]))</f>
        <v>6906.139</v>
      </c>
      <c r="P1388" s="6" t="n">
        <f aca="false">IF(TablaVentas[[#This Row],[Costo_unitario]]="","PENDIENTE",TablaVentas[[#This Row],[Unidades]]*TablaVentas[[#This Row],[Costo_unitario]])</f>
        <v>5901.04</v>
      </c>
      <c r="Q1388" s="6" t="n">
        <f aca="false">IF(OR(TablaVentas[[#This Row],[Ingreso_neto]]="PENDIENTE",TablaVentas[[#This Row],[Costo_total]]="PENDIENTE"),"PENDIENTE",TablaVentas[[#This Row],[Ingreso_neto]]-TablaVentas[[#This Row],[Costo_total]])</f>
        <v>1005.099</v>
      </c>
    </row>
    <row r="1389" customFormat="false" ht="13.5" hidden="false" customHeight="false" outlineLevel="0" collapsed="false">
      <c r="A1389" s="1" t="s">
        <v>979</v>
      </c>
      <c r="B1389" s="1" t="n">
        <v>1</v>
      </c>
      <c r="C1389" s="5" t="n">
        <v>46232</v>
      </c>
      <c r="D1389" s="6" t="s">
        <v>323</v>
      </c>
      <c r="E1389" s="6" t="s">
        <v>218</v>
      </c>
      <c r="F1389" s="6" t="s">
        <v>84</v>
      </c>
      <c r="G1389" s="6" t="s">
        <v>64</v>
      </c>
      <c r="H1389" s="6" t="s">
        <v>58</v>
      </c>
      <c r="I1389" s="1" t="n">
        <v>2</v>
      </c>
      <c r="J1389" s="7" t="n">
        <v>17201.35</v>
      </c>
      <c r="K1389" s="8" t="n">
        <v>0</v>
      </c>
      <c r="L1389" s="7" t="n">
        <v>13760.53</v>
      </c>
      <c r="M1389" s="6" t="s">
        <v>49</v>
      </c>
      <c r="N1389" s="6" t="s">
        <v>52</v>
      </c>
      <c r="O1389" s="6" t="n">
        <f aca="false">IF(TablaVentas[[#This Row],[Precio_unitario]]="","PENDIENTE",TablaVentas[[#This Row],[Unidades]]*TablaVentas[[#This Row],[Precio_unitario]]*(1-TablaVentas[[#This Row],[Descuento_pct]]))</f>
        <v>34402.7</v>
      </c>
      <c r="P1389" s="6" t="n">
        <f aca="false">IF(TablaVentas[[#This Row],[Costo_unitario]]="","PENDIENTE",TablaVentas[[#This Row],[Unidades]]*TablaVentas[[#This Row],[Costo_unitario]])</f>
        <v>27521.06</v>
      </c>
      <c r="Q1389" s="6" t="n">
        <f aca="false">IF(OR(TablaVentas[[#This Row],[Ingreso_neto]]="PENDIENTE",TablaVentas[[#This Row],[Costo_total]]="PENDIENTE"),"PENDIENTE",TablaVentas[[#This Row],[Ingreso_neto]]-TablaVentas[[#This Row],[Costo_total]])</f>
        <v>6881.64</v>
      </c>
    </row>
    <row r="1390" customFormat="false" ht="13.5" hidden="false" customHeight="false" outlineLevel="0" collapsed="false">
      <c r="A1390" s="1" t="s">
        <v>980</v>
      </c>
      <c r="B1390" s="1" t="n">
        <v>1</v>
      </c>
      <c r="C1390" s="5" t="n">
        <v>46208</v>
      </c>
      <c r="D1390" s="6" t="s">
        <v>44</v>
      </c>
      <c r="E1390" s="6" t="s">
        <v>91</v>
      </c>
      <c r="F1390" s="6" t="s">
        <v>73</v>
      </c>
      <c r="G1390" s="6" t="s">
        <v>64</v>
      </c>
      <c r="H1390" s="6" t="s">
        <v>58</v>
      </c>
      <c r="I1390" s="1" t="n">
        <v>8</v>
      </c>
      <c r="J1390" s="7" t="n">
        <v>14181.87</v>
      </c>
      <c r="K1390" s="8" t="n">
        <v>0.2</v>
      </c>
      <c r="L1390" s="7" t="n">
        <v>8576.05</v>
      </c>
      <c r="M1390" s="6" t="s">
        <v>49</v>
      </c>
      <c r="N1390" s="6" t="s">
        <v>50</v>
      </c>
      <c r="O1390" s="6" t="n">
        <f aca="false">IF(TablaVentas[[#This Row],[Precio_unitario]]="","PENDIENTE",TablaVentas[[#This Row],[Unidades]]*TablaVentas[[#This Row],[Precio_unitario]]*(1-TablaVentas[[#This Row],[Descuento_pct]]))</f>
        <v>90763.968</v>
      </c>
      <c r="P1390" s="6" t="n">
        <f aca="false">IF(TablaVentas[[#This Row],[Costo_unitario]]="","PENDIENTE",TablaVentas[[#This Row],[Unidades]]*TablaVentas[[#This Row],[Costo_unitario]])</f>
        <v>68608.4</v>
      </c>
      <c r="Q1390" s="6" t="n">
        <f aca="false">IF(OR(TablaVentas[[#This Row],[Ingreso_neto]]="PENDIENTE",TablaVentas[[#This Row],[Costo_total]]="PENDIENTE"),"PENDIENTE",TablaVentas[[#This Row],[Ingreso_neto]]-TablaVentas[[#This Row],[Costo_total]])</f>
        <v>22155.568</v>
      </c>
    </row>
    <row r="1391" customFormat="false" ht="13.5" hidden="false" customHeight="false" outlineLevel="0" collapsed="false">
      <c r="A1391" s="1" t="s">
        <v>980</v>
      </c>
      <c r="B1391" s="1" t="n">
        <v>2</v>
      </c>
      <c r="C1391" s="5" t="n">
        <v>46208</v>
      </c>
      <c r="D1391" s="6" t="s">
        <v>44</v>
      </c>
      <c r="E1391" s="6" t="s">
        <v>327</v>
      </c>
      <c r="F1391" s="6" t="s">
        <v>73</v>
      </c>
      <c r="G1391" s="6" t="s">
        <v>64</v>
      </c>
      <c r="H1391" s="6" t="s">
        <v>58</v>
      </c>
      <c r="I1391" s="1" t="n">
        <v>1</v>
      </c>
      <c r="J1391" s="7" t="n">
        <v>4989.84</v>
      </c>
      <c r="K1391" s="8" t="n">
        <v>0</v>
      </c>
      <c r="L1391" s="7" t="n">
        <v>3065.66</v>
      </c>
      <c r="M1391" s="6" t="s">
        <v>49</v>
      </c>
      <c r="N1391" s="6" t="s">
        <v>52</v>
      </c>
      <c r="O1391" s="6" t="n">
        <f aca="false">IF(TablaVentas[[#This Row],[Precio_unitario]]="","PENDIENTE",TablaVentas[[#This Row],[Unidades]]*TablaVentas[[#This Row],[Precio_unitario]]*(1-TablaVentas[[#This Row],[Descuento_pct]]))</f>
        <v>4989.84</v>
      </c>
      <c r="P1391" s="6" t="n">
        <f aca="false">IF(TablaVentas[[#This Row],[Costo_unitario]]="","PENDIENTE",TablaVentas[[#This Row],[Unidades]]*TablaVentas[[#This Row],[Costo_unitario]])</f>
        <v>3065.66</v>
      </c>
      <c r="Q1391" s="6" t="n">
        <f aca="false">IF(OR(TablaVentas[[#This Row],[Ingreso_neto]]="PENDIENTE",TablaVentas[[#This Row],[Costo_total]]="PENDIENTE"),"PENDIENTE",TablaVentas[[#This Row],[Ingreso_neto]]-TablaVentas[[#This Row],[Costo_total]])</f>
        <v>1924.18</v>
      </c>
    </row>
    <row r="1392" customFormat="false" ht="13.5" hidden="false" customHeight="false" outlineLevel="0" collapsed="false">
      <c r="A1392" s="1" t="s">
        <v>981</v>
      </c>
      <c r="B1392" s="1" t="n">
        <v>1</v>
      </c>
      <c r="C1392" s="5" t="n">
        <v>46122</v>
      </c>
      <c r="D1392" s="6" t="s">
        <v>508</v>
      </c>
      <c r="E1392" s="6" t="s">
        <v>280</v>
      </c>
      <c r="F1392" s="6" t="s">
        <v>73</v>
      </c>
      <c r="G1392" s="6" t="s">
        <v>57</v>
      </c>
      <c r="H1392" s="6" t="s">
        <v>109</v>
      </c>
      <c r="I1392" s="1" t="n">
        <v>5</v>
      </c>
      <c r="J1392" s="7" t="n">
        <v>1495.67</v>
      </c>
      <c r="K1392" s="8" t="n">
        <v>0</v>
      </c>
      <c r="L1392" s="7" t="n">
        <v>716.26</v>
      </c>
      <c r="M1392" s="6" t="s">
        <v>123</v>
      </c>
      <c r="N1392" s="6" t="s">
        <v>67</v>
      </c>
      <c r="O1392" s="6" t="n">
        <f aca="false">IF(TablaVentas[[#This Row],[Precio_unitario]]="","PENDIENTE",TablaVentas[[#This Row],[Unidades]]*TablaVentas[[#This Row],[Precio_unitario]]*(1-TablaVentas[[#This Row],[Descuento_pct]]))</f>
        <v>7478.35</v>
      </c>
      <c r="P1392" s="6" t="n">
        <f aca="false">IF(TablaVentas[[#This Row],[Costo_unitario]]="","PENDIENTE",TablaVentas[[#This Row],[Unidades]]*TablaVentas[[#This Row],[Costo_unitario]])</f>
        <v>3581.3</v>
      </c>
      <c r="Q1392" s="6" t="n">
        <f aca="false">IF(OR(TablaVentas[[#This Row],[Ingreso_neto]]="PENDIENTE",TablaVentas[[#This Row],[Costo_total]]="PENDIENTE"),"PENDIENTE",TablaVentas[[#This Row],[Ingreso_neto]]-TablaVentas[[#This Row],[Costo_total]])</f>
        <v>3897.05</v>
      </c>
    </row>
    <row r="1393" customFormat="false" ht="13.5" hidden="false" customHeight="false" outlineLevel="0" collapsed="false">
      <c r="A1393" s="1" t="s">
        <v>981</v>
      </c>
      <c r="B1393" s="1" t="n">
        <v>2</v>
      </c>
      <c r="C1393" s="5" t="n">
        <v>46122</v>
      </c>
      <c r="D1393" s="6" t="s">
        <v>508</v>
      </c>
      <c r="E1393" s="6" t="s">
        <v>263</v>
      </c>
      <c r="F1393" s="6" t="s">
        <v>73</v>
      </c>
      <c r="G1393" s="6" t="s">
        <v>57</v>
      </c>
      <c r="H1393" s="6" t="s">
        <v>109</v>
      </c>
      <c r="I1393" s="1" t="n">
        <v>2</v>
      </c>
      <c r="J1393" s="7" t="n">
        <v>17697.58</v>
      </c>
      <c r="K1393" s="8" t="n">
        <v>0.05</v>
      </c>
      <c r="L1393" s="7" t="n">
        <v>11666.57</v>
      </c>
      <c r="M1393" s="6" t="s">
        <v>69</v>
      </c>
      <c r="N1393" s="6" t="s">
        <v>67</v>
      </c>
      <c r="O1393" s="6" t="n">
        <f aca="false">IF(TablaVentas[[#This Row],[Precio_unitario]]="","PENDIENTE",TablaVentas[[#This Row],[Unidades]]*TablaVentas[[#This Row],[Precio_unitario]]*(1-TablaVentas[[#This Row],[Descuento_pct]]))</f>
        <v>33625.402</v>
      </c>
      <c r="P1393" s="6" t="n">
        <f aca="false">IF(TablaVentas[[#This Row],[Costo_unitario]]="","PENDIENTE",TablaVentas[[#This Row],[Unidades]]*TablaVentas[[#This Row],[Costo_unitario]])</f>
        <v>23333.14</v>
      </c>
      <c r="Q1393" s="6" t="n">
        <f aca="false">IF(OR(TablaVentas[[#This Row],[Ingreso_neto]]="PENDIENTE",TablaVentas[[#This Row],[Costo_total]]="PENDIENTE"),"PENDIENTE",TablaVentas[[#This Row],[Ingreso_neto]]-TablaVentas[[#This Row],[Costo_total]])</f>
        <v>10292.262</v>
      </c>
    </row>
    <row r="1394" customFormat="false" ht="13.5" hidden="false" customHeight="false" outlineLevel="0" collapsed="false">
      <c r="A1394" s="1" t="s">
        <v>982</v>
      </c>
      <c r="B1394" s="1" t="n">
        <v>1</v>
      </c>
      <c r="C1394" s="5" t="n">
        <v>46203</v>
      </c>
      <c r="D1394" s="6" t="s">
        <v>161</v>
      </c>
      <c r="E1394" s="6" t="s">
        <v>91</v>
      </c>
      <c r="F1394" s="6" t="s">
        <v>46</v>
      </c>
      <c r="G1394" s="6" t="s">
        <v>57</v>
      </c>
      <c r="H1394" s="6" t="s">
        <v>65</v>
      </c>
      <c r="I1394" s="1" t="n">
        <v>1</v>
      </c>
      <c r="J1394" s="7" t="n">
        <v>15883.08</v>
      </c>
      <c r="K1394" s="8" t="n">
        <v>0</v>
      </c>
      <c r="L1394" s="7" t="n">
        <v>8576.05</v>
      </c>
      <c r="M1394" s="6" t="s">
        <v>49</v>
      </c>
      <c r="N1394" s="6" t="s">
        <v>50</v>
      </c>
      <c r="O1394" s="6" t="n">
        <f aca="false">IF(TablaVentas[[#This Row],[Precio_unitario]]="","PENDIENTE",TablaVentas[[#This Row],[Unidades]]*TablaVentas[[#This Row],[Precio_unitario]]*(1-TablaVentas[[#This Row],[Descuento_pct]]))</f>
        <v>15883.08</v>
      </c>
      <c r="P1394" s="6" t="n">
        <f aca="false">IF(TablaVentas[[#This Row],[Costo_unitario]]="","PENDIENTE",TablaVentas[[#This Row],[Unidades]]*TablaVentas[[#This Row],[Costo_unitario]])</f>
        <v>8576.05</v>
      </c>
      <c r="Q1394" s="6" t="n">
        <f aca="false">IF(OR(TablaVentas[[#This Row],[Ingreso_neto]]="PENDIENTE",TablaVentas[[#This Row],[Costo_total]]="PENDIENTE"),"PENDIENTE",TablaVentas[[#This Row],[Ingreso_neto]]-TablaVentas[[#This Row],[Costo_total]])</f>
        <v>7307.03</v>
      </c>
    </row>
    <row r="1395" customFormat="false" ht="13.5" hidden="false" customHeight="false" outlineLevel="0" collapsed="false">
      <c r="A1395" s="1" t="s">
        <v>982</v>
      </c>
      <c r="B1395" s="1" t="n">
        <v>2</v>
      </c>
      <c r="C1395" s="5" t="n">
        <v>46203</v>
      </c>
      <c r="D1395" s="6" t="s">
        <v>161</v>
      </c>
      <c r="E1395" s="6" t="s">
        <v>279</v>
      </c>
      <c r="F1395" s="6" t="s">
        <v>46</v>
      </c>
      <c r="G1395" s="6" t="s">
        <v>57</v>
      </c>
      <c r="H1395" s="6" t="s">
        <v>65</v>
      </c>
      <c r="I1395" s="1" t="n">
        <v>1</v>
      </c>
      <c r="J1395" s="7" t="n">
        <v>704.8</v>
      </c>
      <c r="K1395" s="8" t="n">
        <v>0.05</v>
      </c>
      <c r="L1395" s="7" t="n">
        <v>443</v>
      </c>
      <c r="M1395" s="6" t="s">
        <v>49</v>
      </c>
      <c r="N1395" s="6" t="s">
        <v>67</v>
      </c>
      <c r="O1395" s="6" t="n">
        <f aca="false">IF(TablaVentas[[#This Row],[Precio_unitario]]="","PENDIENTE",TablaVentas[[#This Row],[Unidades]]*TablaVentas[[#This Row],[Precio_unitario]]*(1-TablaVentas[[#This Row],[Descuento_pct]]))</f>
        <v>669.56</v>
      </c>
      <c r="P1395" s="6" t="n">
        <f aca="false">IF(TablaVentas[[#This Row],[Costo_unitario]]="","PENDIENTE",TablaVentas[[#This Row],[Unidades]]*TablaVentas[[#This Row],[Costo_unitario]])</f>
        <v>443</v>
      </c>
      <c r="Q1395" s="6" t="n">
        <f aca="false">IF(OR(TablaVentas[[#This Row],[Ingreso_neto]]="PENDIENTE",TablaVentas[[#This Row],[Costo_total]]="PENDIENTE"),"PENDIENTE",TablaVentas[[#This Row],[Ingreso_neto]]-TablaVentas[[#This Row],[Costo_total]])</f>
        <v>226.56</v>
      </c>
    </row>
    <row r="1396" customFormat="false" ht="13.5" hidden="false" customHeight="false" outlineLevel="0" collapsed="false">
      <c r="A1396" s="1" t="s">
        <v>982</v>
      </c>
      <c r="B1396" s="1" t="n">
        <v>3</v>
      </c>
      <c r="C1396" s="5" t="n">
        <v>46203</v>
      </c>
      <c r="D1396" s="6" t="s">
        <v>161</v>
      </c>
      <c r="E1396" s="6" t="s">
        <v>240</v>
      </c>
      <c r="F1396" s="6" t="s">
        <v>46</v>
      </c>
      <c r="G1396" s="6" t="s">
        <v>57</v>
      </c>
      <c r="H1396" s="6" t="s">
        <v>65</v>
      </c>
      <c r="I1396" s="1" t="n">
        <v>1</v>
      </c>
      <c r="J1396" s="7" t="n">
        <v>10407.58</v>
      </c>
      <c r="K1396" s="8" t="n">
        <v>0</v>
      </c>
      <c r="L1396" s="7" t="n">
        <v>5932.12</v>
      </c>
      <c r="M1396" s="6" t="s">
        <v>49</v>
      </c>
      <c r="N1396" s="6" t="s">
        <v>52</v>
      </c>
      <c r="O1396" s="6" t="n">
        <f aca="false">IF(TablaVentas[[#This Row],[Precio_unitario]]="","PENDIENTE",TablaVentas[[#This Row],[Unidades]]*TablaVentas[[#This Row],[Precio_unitario]]*(1-TablaVentas[[#This Row],[Descuento_pct]]))</f>
        <v>10407.58</v>
      </c>
      <c r="P1396" s="6" t="n">
        <f aca="false">IF(TablaVentas[[#This Row],[Costo_unitario]]="","PENDIENTE",TablaVentas[[#This Row],[Unidades]]*TablaVentas[[#This Row],[Costo_unitario]])</f>
        <v>5932.12</v>
      </c>
      <c r="Q1396" s="6" t="n">
        <f aca="false">IF(OR(TablaVentas[[#This Row],[Ingreso_neto]]="PENDIENTE",TablaVentas[[#This Row],[Costo_total]]="PENDIENTE"),"PENDIENTE",TablaVentas[[#This Row],[Ingreso_neto]]-TablaVentas[[#This Row],[Costo_total]])</f>
        <v>4475.46</v>
      </c>
    </row>
    <row r="1397" customFormat="false" ht="13.5" hidden="false" customHeight="false" outlineLevel="0" collapsed="false">
      <c r="A1397" s="1" t="s">
        <v>982</v>
      </c>
      <c r="B1397" s="1" t="n">
        <v>4</v>
      </c>
      <c r="C1397" s="5" t="n">
        <v>46203</v>
      </c>
      <c r="D1397" s="6" t="s">
        <v>161</v>
      </c>
      <c r="E1397" s="6" t="s">
        <v>92</v>
      </c>
      <c r="F1397" s="6" t="s">
        <v>46</v>
      </c>
      <c r="G1397" s="6" t="s">
        <v>57</v>
      </c>
      <c r="H1397" s="6" t="s">
        <v>65</v>
      </c>
      <c r="I1397" s="1" t="n">
        <v>3</v>
      </c>
      <c r="J1397" s="7" t="n">
        <v>525.9</v>
      </c>
      <c r="K1397" s="8" t="n">
        <v>0.05</v>
      </c>
      <c r="L1397" s="7" t="n">
        <v>307.75</v>
      </c>
      <c r="M1397" s="6" t="s">
        <v>49</v>
      </c>
      <c r="N1397" s="6" t="s">
        <v>67</v>
      </c>
      <c r="O1397" s="6" t="n">
        <f aca="false">IF(TablaVentas[[#This Row],[Precio_unitario]]="","PENDIENTE",TablaVentas[[#This Row],[Unidades]]*TablaVentas[[#This Row],[Precio_unitario]]*(1-TablaVentas[[#This Row],[Descuento_pct]]))</f>
        <v>1498.815</v>
      </c>
      <c r="P1397" s="6" t="n">
        <f aca="false">IF(TablaVentas[[#This Row],[Costo_unitario]]="","PENDIENTE",TablaVentas[[#This Row],[Unidades]]*TablaVentas[[#This Row],[Costo_unitario]])</f>
        <v>923.25</v>
      </c>
      <c r="Q1397" s="6" t="n">
        <f aca="false">IF(OR(TablaVentas[[#This Row],[Ingreso_neto]]="PENDIENTE",TablaVentas[[#This Row],[Costo_total]]="PENDIENTE"),"PENDIENTE",TablaVentas[[#This Row],[Ingreso_neto]]-TablaVentas[[#This Row],[Costo_total]])</f>
        <v>575.565</v>
      </c>
    </row>
    <row r="1398" customFormat="false" ht="13.5" hidden="false" customHeight="false" outlineLevel="0" collapsed="false">
      <c r="A1398" s="1" t="s">
        <v>983</v>
      </c>
      <c r="B1398" s="1" t="n">
        <v>1</v>
      </c>
      <c r="C1398" s="5" t="n">
        <v>46076</v>
      </c>
      <c r="D1398" s="6" t="s">
        <v>984</v>
      </c>
      <c r="E1398" s="6" t="s">
        <v>155</v>
      </c>
      <c r="F1398" s="6" t="s">
        <v>73</v>
      </c>
      <c r="G1398" s="6" t="s">
        <v>64</v>
      </c>
      <c r="H1398" s="6" t="s">
        <v>89</v>
      </c>
      <c r="I1398" s="1" t="n">
        <v>3</v>
      </c>
      <c r="J1398" s="7" t="n">
        <v>2757.64</v>
      </c>
      <c r="K1398" s="8" t="n">
        <v>0</v>
      </c>
      <c r="L1398" s="7" t="n">
        <v>2459.34</v>
      </c>
      <c r="M1398" s="6" t="s">
        <v>49</v>
      </c>
      <c r="N1398" s="6" t="s">
        <v>50</v>
      </c>
      <c r="O1398" s="6" t="n">
        <f aca="false">IF(TablaVentas[[#This Row],[Precio_unitario]]="","PENDIENTE",TablaVentas[[#This Row],[Unidades]]*TablaVentas[[#This Row],[Precio_unitario]]*(1-TablaVentas[[#This Row],[Descuento_pct]]))</f>
        <v>8272.92</v>
      </c>
      <c r="P1398" s="6" t="n">
        <f aca="false">IF(TablaVentas[[#This Row],[Costo_unitario]]="","PENDIENTE",TablaVentas[[#This Row],[Unidades]]*TablaVentas[[#This Row],[Costo_unitario]])</f>
        <v>7378.02</v>
      </c>
      <c r="Q1398" s="6" t="n">
        <f aca="false">IF(OR(TablaVentas[[#This Row],[Ingreso_neto]]="PENDIENTE",TablaVentas[[#This Row],[Costo_total]]="PENDIENTE"),"PENDIENTE",TablaVentas[[#This Row],[Ingreso_neto]]-TablaVentas[[#This Row],[Costo_total]])</f>
        <v>894.9</v>
      </c>
    </row>
    <row r="1399" customFormat="false" ht="13.5" hidden="false" customHeight="false" outlineLevel="0" collapsed="false">
      <c r="A1399" s="1" t="s">
        <v>985</v>
      </c>
      <c r="B1399" s="1" t="n">
        <v>1</v>
      </c>
      <c r="C1399" s="5" t="n">
        <v>46220</v>
      </c>
      <c r="D1399" s="6" t="s">
        <v>864</v>
      </c>
      <c r="E1399" s="6" t="s">
        <v>265</v>
      </c>
      <c r="F1399" s="6" t="s">
        <v>84</v>
      </c>
      <c r="G1399" s="6" t="s">
        <v>57</v>
      </c>
      <c r="H1399" s="6" t="s">
        <v>89</v>
      </c>
      <c r="I1399" s="1" t="n">
        <v>2</v>
      </c>
      <c r="J1399" s="7" t="n">
        <v>3893.77</v>
      </c>
      <c r="K1399" s="8" t="n">
        <v>0</v>
      </c>
      <c r="L1399" s="7" t="n">
        <v>2008.57</v>
      </c>
      <c r="M1399" s="6" t="s">
        <v>49</v>
      </c>
      <c r="N1399" s="6" t="s">
        <v>52</v>
      </c>
      <c r="O1399" s="6" t="n">
        <f aca="false">IF(TablaVentas[[#This Row],[Precio_unitario]]="","PENDIENTE",TablaVentas[[#This Row],[Unidades]]*TablaVentas[[#This Row],[Precio_unitario]]*(1-TablaVentas[[#This Row],[Descuento_pct]]))</f>
        <v>7787.54</v>
      </c>
      <c r="P1399" s="6" t="n">
        <f aca="false">IF(TablaVentas[[#This Row],[Costo_unitario]]="","PENDIENTE",TablaVentas[[#This Row],[Unidades]]*TablaVentas[[#This Row],[Costo_unitario]])</f>
        <v>4017.14</v>
      </c>
      <c r="Q1399" s="6" t="n">
        <f aca="false">IF(OR(TablaVentas[[#This Row],[Ingreso_neto]]="PENDIENTE",TablaVentas[[#This Row],[Costo_total]]="PENDIENTE"),"PENDIENTE",TablaVentas[[#This Row],[Ingreso_neto]]-TablaVentas[[#This Row],[Costo_total]])</f>
        <v>3770.4</v>
      </c>
    </row>
    <row r="1400" customFormat="false" ht="13.5" hidden="false" customHeight="false" outlineLevel="0" collapsed="false">
      <c r="A1400" s="1" t="s">
        <v>985</v>
      </c>
      <c r="B1400" s="1" t="n">
        <v>2</v>
      </c>
      <c r="C1400" s="5" t="n">
        <v>46220</v>
      </c>
      <c r="D1400" s="6" t="s">
        <v>864</v>
      </c>
      <c r="E1400" s="6" t="s">
        <v>166</v>
      </c>
      <c r="F1400" s="6" t="s">
        <v>84</v>
      </c>
      <c r="G1400" s="6" t="s">
        <v>57</v>
      </c>
      <c r="H1400" s="6" t="s">
        <v>89</v>
      </c>
      <c r="I1400" s="1" t="n">
        <v>1</v>
      </c>
      <c r="J1400" s="7" t="n">
        <v>11708.2</v>
      </c>
      <c r="K1400" s="8" t="n">
        <v>0.1</v>
      </c>
      <c r="L1400" s="7" t="n">
        <v>9317.37</v>
      </c>
      <c r="M1400" s="6" t="s">
        <v>49</v>
      </c>
      <c r="N1400" s="6" t="s">
        <v>50</v>
      </c>
      <c r="O1400" s="6" t="n">
        <f aca="false">IF(TablaVentas[[#This Row],[Precio_unitario]]="","PENDIENTE",TablaVentas[[#This Row],[Unidades]]*TablaVentas[[#This Row],[Precio_unitario]]*(1-TablaVentas[[#This Row],[Descuento_pct]]))</f>
        <v>10537.38</v>
      </c>
      <c r="P1400" s="6" t="n">
        <f aca="false">IF(TablaVentas[[#This Row],[Costo_unitario]]="","PENDIENTE",TablaVentas[[#This Row],[Unidades]]*TablaVentas[[#This Row],[Costo_unitario]])</f>
        <v>9317.37</v>
      </c>
      <c r="Q1400" s="6" t="n">
        <f aca="false">IF(OR(TablaVentas[[#This Row],[Ingreso_neto]]="PENDIENTE",TablaVentas[[#This Row],[Costo_total]]="PENDIENTE"),"PENDIENTE",TablaVentas[[#This Row],[Ingreso_neto]]-TablaVentas[[#This Row],[Costo_total]])</f>
        <v>1220.01</v>
      </c>
    </row>
    <row r="1401" customFormat="false" ht="13.5" hidden="false" customHeight="false" outlineLevel="0" collapsed="false">
      <c r="A1401" s="1" t="s">
        <v>985</v>
      </c>
      <c r="B1401" s="1" t="n">
        <v>3</v>
      </c>
      <c r="C1401" s="5" t="n">
        <v>46220</v>
      </c>
      <c r="D1401" s="6" t="s">
        <v>864</v>
      </c>
      <c r="E1401" s="6" t="s">
        <v>91</v>
      </c>
      <c r="F1401" s="6" t="s">
        <v>84</v>
      </c>
      <c r="G1401" s="6" t="s">
        <v>57</v>
      </c>
      <c r="H1401" s="6" t="s">
        <v>89</v>
      </c>
      <c r="I1401" s="1" t="n">
        <v>5</v>
      </c>
      <c r="J1401" s="7" t="n">
        <v>13960.73</v>
      </c>
      <c r="K1401" s="8" t="n">
        <v>0</v>
      </c>
      <c r="L1401" s="7" t="n">
        <v>8576.05</v>
      </c>
      <c r="M1401" s="6" t="s">
        <v>49</v>
      </c>
      <c r="N1401" s="6" t="s">
        <v>59</v>
      </c>
      <c r="O1401" s="6" t="n">
        <f aca="false">IF(TablaVentas[[#This Row],[Precio_unitario]]="","PENDIENTE",TablaVentas[[#This Row],[Unidades]]*TablaVentas[[#This Row],[Precio_unitario]]*(1-TablaVentas[[#This Row],[Descuento_pct]]))</f>
        <v>69803.65</v>
      </c>
      <c r="P1401" s="6" t="n">
        <f aca="false">IF(TablaVentas[[#This Row],[Costo_unitario]]="","PENDIENTE",TablaVentas[[#This Row],[Unidades]]*TablaVentas[[#This Row],[Costo_unitario]])</f>
        <v>42880.25</v>
      </c>
      <c r="Q1401" s="6" t="n">
        <f aca="false">IF(OR(TablaVentas[[#This Row],[Ingreso_neto]]="PENDIENTE",TablaVentas[[#This Row],[Costo_total]]="PENDIENTE"),"PENDIENTE",TablaVentas[[#This Row],[Ingreso_neto]]-TablaVentas[[#This Row],[Costo_total]])</f>
        <v>26923.4</v>
      </c>
    </row>
    <row r="1402" customFormat="false" ht="13.5" hidden="false" customHeight="false" outlineLevel="0" collapsed="false">
      <c r="A1402" s="1" t="s">
        <v>985</v>
      </c>
      <c r="B1402" s="1" t="n">
        <v>4</v>
      </c>
      <c r="C1402" s="5" t="n">
        <v>46220</v>
      </c>
      <c r="D1402" s="6" t="s">
        <v>864</v>
      </c>
      <c r="E1402" s="6" t="s">
        <v>140</v>
      </c>
      <c r="F1402" s="6" t="s">
        <v>84</v>
      </c>
      <c r="G1402" s="6" t="s">
        <v>57</v>
      </c>
      <c r="H1402" s="6" t="s">
        <v>89</v>
      </c>
      <c r="I1402" s="1" t="n">
        <v>8</v>
      </c>
      <c r="J1402" s="7" t="n">
        <v>8103.29</v>
      </c>
      <c r="K1402" s="8" t="n">
        <v>0.05</v>
      </c>
      <c r="L1402" s="7" t="n">
        <v>4061.34</v>
      </c>
      <c r="M1402" s="6" t="s">
        <v>49</v>
      </c>
      <c r="N1402" s="6" t="s">
        <v>52</v>
      </c>
      <c r="O1402" s="6" t="n">
        <f aca="false">IF(TablaVentas[[#This Row],[Precio_unitario]]="","PENDIENTE",TablaVentas[[#This Row],[Unidades]]*TablaVentas[[#This Row],[Precio_unitario]]*(1-TablaVentas[[#This Row],[Descuento_pct]]))</f>
        <v>61585.004</v>
      </c>
      <c r="P1402" s="6" t="n">
        <f aca="false">IF(TablaVentas[[#This Row],[Costo_unitario]]="","PENDIENTE",TablaVentas[[#This Row],[Unidades]]*TablaVentas[[#This Row],[Costo_unitario]])</f>
        <v>32490.72</v>
      </c>
      <c r="Q1402" s="6" t="n">
        <f aca="false">IF(OR(TablaVentas[[#This Row],[Ingreso_neto]]="PENDIENTE",TablaVentas[[#This Row],[Costo_total]]="PENDIENTE"),"PENDIENTE",TablaVentas[[#This Row],[Ingreso_neto]]-TablaVentas[[#This Row],[Costo_total]])</f>
        <v>29094.284</v>
      </c>
    </row>
    <row r="1403" customFormat="false" ht="13.5" hidden="false" customHeight="false" outlineLevel="0" collapsed="false">
      <c r="A1403" s="1" t="s">
        <v>986</v>
      </c>
      <c r="B1403" s="1" t="n">
        <v>1</v>
      </c>
      <c r="C1403" s="5" t="n">
        <v>46128</v>
      </c>
      <c r="D1403" s="6" t="s">
        <v>811</v>
      </c>
      <c r="E1403" s="6" t="s">
        <v>219</v>
      </c>
      <c r="F1403" s="6" t="s">
        <v>73</v>
      </c>
      <c r="G1403" s="6" t="s">
        <v>47</v>
      </c>
      <c r="H1403" s="6" t="s">
        <v>109</v>
      </c>
      <c r="I1403" s="1" t="n">
        <v>3</v>
      </c>
      <c r="J1403" s="7" t="n">
        <v>3972.3</v>
      </c>
      <c r="K1403" s="8" t="n">
        <v>0</v>
      </c>
      <c r="L1403" s="7" t="n">
        <v>2157.55</v>
      </c>
      <c r="M1403" s="6" t="s">
        <v>49</v>
      </c>
      <c r="N1403" s="6" t="s">
        <v>50</v>
      </c>
      <c r="O1403" s="6" t="n">
        <f aca="false">IF(TablaVentas[[#This Row],[Precio_unitario]]="","PENDIENTE",TablaVentas[[#This Row],[Unidades]]*TablaVentas[[#This Row],[Precio_unitario]]*(1-TablaVentas[[#This Row],[Descuento_pct]]))</f>
        <v>11916.9</v>
      </c>
      <c r="P1403" s="6" t="n">
        <f aca="false">IF(TablaVentas[[#This Row],[Costo_unitario]]="","PENDIENTE",TablaVentas[[#This Row],[Unidades]]*TablaVentas[[#This Row],[Costo_unitario]])</f>
        <v>6472.65</v>
      </c>
      <c r="Q1403" s="6" t="n">
        <f aca="false">IF(OR(TablaVentas[[#This Row],[Ingreso_neto]]="PENDIENTE",TablaVentas[[#This Row],[Costo_total]]="PENDIENTE"),"PENDIENTE",TablaVentas[[#This Row],[Ingreso_neto]]-TablaVentas[[#This Row],[Costo_total]])</f>
        <v>5444.25</v>
      </c>
    </row>
    <row r="1404" customFormat="false" ht="13.5" hidden="false" customHeight="false" outlineLevel="0" collapsed="false">
      <c r="A1404" s="1" t="s">
        <v>986</v>
      </c>
      <c r="B1404" s="1" t="n">
        <v>2</v>
      </c>
      <c r="C1404" s="5" t="n">
        <v>46128</v>
      </c>
      <c r="D1404" s="6" t="s">
        <v>811</v>
      </c>
      <c r="E1404" s="6" t="s">
        <v>255</v>
      </c>
      <c r="F1404" s="6" t="s">
        <v>73</v>
      </c>
      <c r="G1404" s="6" t="s">
        <v>47</v>
      </c>
      <c r="H1404" s="6" t="s">
        <v>109</v>
      </c>
      <c r="I1404" s="1" t="n">
        <v>3</v>
      </c>
      <c r="J1404" s="7" t="n">
        <v>13197.37</v>
      </c>
      <c r="K1404" s="8" t="n">
        <v>0.1</v>
      </c>
      <c r="L1404" s="7" t="n">
        <v>6856.4</v>
      </c>
      <c r="M1404" s="6" t="s">
        <v>49</v>
      </c>
      <c r="N1404" s="6" t="s">
        <v>50</v>
      </c>
      <c r="O1404" s="6" t="n">
        <f aca="false">IF(TablaVentas[[#This Row],[Precio_unitario]]="","PENDIENTE",TablaVentas[[#This Row],[Unidades]]*TablaVentas[[#This Row],[Precio_unitario]]*(1-TablaVentas[[#This Row],[Descuento_pct]]))</f>
        <v>35632.899</v>
      </c>
      <c r="P1404" s="6" t="n">
        <f aca="false">IF(TablaVentas[[#This Row],[Costo_unitario]]="","PENDIENTE",TablaVentas[[#This Row],[Unidades]]*TablaVentas[[#This Row],[Costo_unitario]])</f>
        <v>20569.2</v>
      </c>
      <c r="Q1404" s="6" t="n">
        <f aca="false">IF(OR(TablaVentas[[#This Row],[Ingreso_neto]]="PENDIENTE",TablaVentas[[#This Row],[Costo_total]]="PENDIENTE"),"PENDIENTE",TablaVentas[[#This Row],[Ingreso_neto]]-TablaVentas[[#This Row],[Costo_total]])</f>
        <v>15063.699</v>
      </c>
    </row>
    <row r="1405" customFormat="false" ht="13.5" hidden="false" customHeight="false" outlineLevel="0" collapsed="false">
      <c r="A1405" s="1" t="s">
        <v>986</v>
      </c>
      <c r="B1405" s="1" t="n">
        <v>3</v>
      </c>
      <c r="C1405" s="5" t="n">
        <v>46128</v>
      </c>
      <c r="D1405" s="6" t="s">
        <v>811</v>
      </c>
      <c r="E1405" s="6" t="s">
        <v>404</v>
      </c>
      <c r="F1405" s="6" t="s">
        <v>73</v>
      </c>
      <c r="G1405" s="6" t="s">
        <v>47</v>
      </c>
      <c r="H1405" s="6" t="s">
        <v>109</v>
      </c>
      <c r="I1405" s="1" t="n">
        <v>4</v>
      </c>
      <c r="J1405" s="7" t="n">
        <v>6192.25</v>
      </c>
      <c r="K1405" s="8" t="n">
        <v>0.2</v>
      </c>
      <c r="L1405" s="7" t="n">
        <v>3640.56</v>
      </c>
      <c r="M1405" s="6" t="s">
        <v>49</v>
      </c>
      <c r="N1405" s="6" t="s">
        <v>52</v>
      </c>
      <c r="O1405" s="6" t="n">
        <f aca="false">IF(TablaVentas[[#This Row],[Precio_unitario]]="","PENDIENTE",TablaVentas[[#This Row],[Unidades]]*TablaVentas[[#This Row],[Precio_unitario]]*(1-TablaVentas[[#This Row],[Descuento_pct]]))</f>
        <v>19815.2</v>
      </c>
      <c r="P1405" s="6" t="n">
        <f aca="false">IF(TablaVentas[[#This Row],[Costo_unitario]]="","PENDIENTE",TablaVentas[[#This Row],[Unidades]]*TablaVentas[[#This Row],[Costo_unitario]])</f>
        <v>14562.24</v>
      </c>
      <c r="Q1405" s="6" t="n">
        <f aca="false">IF(OR(TablaVentas[[#This Row],[Ingreso_neto]]="PENDIENTE",TablaVentas[[#This Row],[Costo_total]]="PENDIENTE"),"PENDIENTE",TablaVentas[[#This Row],[Ingreso_neto]]-TablaVentas[[#This Row],[Costo_total]])</f>
        <v>5252.96</v>
      </c>
    </row>
    <row r="1406" customFormat="false" ht="13.5" hidden="false" customHeight="false" outlineLevel="0" collapsed="false">
      <c r="A1406" s="1" t="s">
        <v>986</v>
      </c>
      <c r="B1406" s="1" t="n">
        <v>4</v>
      </c>
      <c r="C1406" s="5" t="n">
        <v>46128</v>
      </c>
      <c r="D1406" s="6" t="s">
        <v>811</v>
      </c>
      <c r="E1406" s="6" t="s">
        <v>121</v>
      </c>
      <c r="F1406" s="6" t="s">
        <v>73</v>
      </c>
      <c r="G1406" s="6" t="s">
        <v>47</v>
      </c>
      <c r="H1406" s="6" t="s">
        <v>109</v>
      </c>
      <c r="I1406" s="1" t="n">
        <v>1</v>
      </c>
      <c r="J1406" s="7" t="n">
        <v>14156.25</v>
      </c>
      <c r="K1406" s="8" t="n">
        <v>0.15</v>
      </c>
      <c r="L1406" s="7" t="n">
        <v>8239.48</v>
      </c>
      <c r="M1406" s="6" t="s">
        <v>49</v>
      </c>
      <c r="N1406" s="6" t="s">
        <v>59</v>
      </c>
      <c r="O1406" s="6" t="n">
        <f aca="false">IF(TablaVentas[[#This Row],[Precio_unitario]]="","PENDIENTE",TablaVentas[[#This Row],[Unidades]]*TablaVentas[[#This Row],[Precio_unitario]]*(1-TablaVentas[[#This Row],[Descuento_pct]]))</f>
        <v>12032.8125</v>
      </c>
      <c r="P1406" s="6" t="n">
        <f aca="false">IF(TablaVentas[[#This Row],[Costo_unitario]]="","PENDIENTE",TablaVentas[[#This Row],[Unidades]]*TablaVentas[[#This Row],[Costo_unitario]])</f>
        <v>8239.48</v>
      </c>
      <c r="Q1406" s="6" t="n">
        <f aca="false">IF(OR(TablaVentas[[#This Row],[Ingreso_neto]]="PENDIENTE",TablaVentas[[#This Row],[Costo_total]]="PENDIENTE"),"PENDIENTE",TablaVentas[[#This Row],[Ingreso_neto]]-TablaVentas[[#This Row],[Costo_total]])</f>
        <v>3793.3325</v>
      </c>
    </row>
    <row r="1407" customFormat="false" ht="13.5" hidden="false" customHeight="false" outlineLevel="0" collapsed="false">
      <c r="A1407" s="1" t="s">
        <v>987</v>
      </c>
      <c r="B1407" s="1" t="n">
        <v>1</v>
      </c>
      <c r="C1407" s="5" t="n">
        <v>46066</v>
      </c>
      <c r="D1407" s="6" t="s">
        <v>209</v>
      </c>
      <c r="E1407" s="6" t="s">
        <v>91</v>
      </c>
      <c r="F1407" s="6" t="s">
        <v>63</v>
      </c>
      <c r="G1407" s="6" t="s">
        <v>57</v>
      </c>
      <c r="H1407" s="6" t="s">
        <v>48</v>
      </c>
      <c r="I1407" s="1" t="n">
        <v>2</v>
      </c>
      <c r="J1407" s="7" t="n">
        <v>15580.34</v>
      </c>
      <c r="K1407" s="8" t="n">
        <v>0</v>
      </c>
      <c r="L1407" s="7" t="n">
        <v>8576.05</v>
      </c>
      <c r="M1407" s="6" t="s">
        <v>49</v>
      </c>
      <c r="N1407" s="6" t="s">
        <v>59</v>
      </c>
      <c r="O1407" s="6" t="n">
        <f aca="false">IF(TablaVentas[[#This Row],[Precio_unitario]]="","PENDIENTE",TablaVentas[[#This Row],[Unidades]]*TablaVentas[[#This Row],[Precio_unitario]]*(1-TablaVentas[[#This Row],[Descuento_pct]]))</f>
        <v>31160.68</v>
      </c>
      <c r="P1407" s="6" t="n">
        <f aca="false">IF(TablaVentas[[#This Row],[Costo_unitario]]="","PENDIENTE",TablaVentas[[#This Row],[Unidades]]*TablaVentas[[#This Row],[Costo_unitario]])</f>
        <v>17152.1</v>
      </c>
      <c r="Q1407" s="6" t="n">
        <f aca="false">IF(OR(TablaVentas[[#This Row],[Ingreso_neto]]="PENDIENTE",TablaVentas[[#This Row],[Costo_total]]="PENDIENTE"),"PENDIENTE",TablaVentas[[#This Row],[Ingreso_neto]]-TablaVentas[[#This Row],[Costo_total]])</f>
        <v>14008.58</v>
      </c>
    </row>
    <row r="1408" customFormat="false" ht="13.5" hidden="false" customHeight="false" outlineLevel="0" collapsed="false">
      <c r="A1408" s="1" t="s">
        <v>987</v>
      </c>
      <c r="B1408" s="1" t="n">
        <v>2</v>
      </c>
      <c r="C1408" s="5" t="n">
        <v>46066</v>
      </c>
      <c r="D1408" s="6" t="s">
        <v>209</v>
      </c>
      <c r="E1408" s="6" t="s">
        <v>147</v>
      </c>
      <c r="F1408" s="6" t="s">
        <v>63</v>
      </c>
      <c r="G1408" s="6" t="s">
        <v>57</v>
      </c>
      <c r="H1408" s="6" t="s">
        <v>48</v>
      </c>
      <c r="I1408" s="1" t="n">
        <v>2</v>
      </c>
      <c r="J1408" s="7" t="n">
        <v>2912.46</v>
      </c>
      <c r="K1408" s="8" t="n">
        <v>0.05</v>
      </c>
      <c r="L1408" s="7" t="n">
        <v>2427.63</v>
      </c>
      <c r="M1408" s="6" t="s">
        <v>49</v>
      </c>
      <c r="N1408" s="6" t="s">
        <v>67</v>
      </c>
      <c r="O1408" s="6" t="n">
        <f aca="false">IF(TablaVentas[[#This Row],[Precio_unitario]]="","PENDIENTE",TablaVentas[[#This Row],[Unidades]]*TablaVentas[[#This Row],[Precio_unitario]]*(1-TablaVentas[[#This Row],[Descuento_pct]]))</f>
        <v>5533.674</v>
      </c>
      <c r="P1408" s="6" t="n">
        <f aca="false">IF(TablaVentas[[#This Row],[Costo_unitario]]="","PENDIENTE",TablaVentas[[#This Row],[Unidades]]*TablaVentas[[#This Row],[Costo_unitario]])</f>
        <v>4855.26</v>
      </c>
      <c r="Q1408" s="6" t="n">
        <f aca="false">IF(OR(TablaVentas[[#This Row],[Ingreso_neto]]="PENDIENTE",TablaVentas[[#This Row],[Costo_total]]="PENDIENTE"),"PENDIENTE",TablaVentas[[#This Row],[Ingreso_neto]]-TablaVentas[[#This Row],[Costo_total]])</f>
        <v>678.414</v>
      </c>
    </row>
    <row r="1409" customFormat="false" ht="13.5" hidden="false" customHeight="false" outlineLevel="0" collapsed="false">
      <c r="A1409" s="1" t="s">
        <v>987</v>
      </c>
      <c r="B1409" s="1" t="n">
        <v>3</v>
      </c>
      <c r="C1409" s="5" t="n">
        <v>46066</v>
      </c>
      <c r="D1409" s="6" t="s">
        <v>209</v>
      </c>
      <c r="E1409" s="6" t="s">
        <v>72</v>
      </c>
      <c r="F1409" s="6" t="s">
        <v>63</v>
      </c>
      <c r="G1409" s="6" t="s">
        <v>57</v>
      </c>
      <c r="H1409" s="6" t="s">
        <v>48</v>
      </c>
      <c r="I1409" s="1" t="n">
        <v>1</v>
      </c>
      <c r="J1409" s="7" t="n">
        <v>12297.35</v>
      </c>
      <c r="K1409" s="8" t="n">
        <v>0.1</v>
      </c>
      <c r="L1409" s="7" t="n">
        <v>7328.02</v>
      </c>
      <c r="M1409" s="6" t="s">
        <v>49</v>
      </c>
      <c r="N1409" s="6" t="s">
        <v>50</v>
      </c>
      <c r="O1409" s="6" t="n">
        <f aca="false">IF(TablaVentas[[#This Row],[Precio_unitario]]="","PENDIENTE",TablaVentas[[#This Row],[Unidades]]*TablaVentas[[#This Row],[Precio_unitario]]*(1-TablaVentas[[#This Row],[Descuento_pct]]))</f>
        <v>11067.615</v>
      </c>
      <c r="P1409" s="6" t="n">
        <f aca="false">IF(TablaVentas[[#This Row],[Costo_unitario]]="","PENDIENTE",TablaVentas[[#This Row],[Unidades]]*TablaVentas[[#This Row],[Costo_unitario]])</f>
        <v>7328.02</v>
      </c>
      <c r="Q1409" s="6" t="n">
        <f aca="false">IF(OR(TablaVentas[[#This Row],[Ingreso_neto]]="PENDIENTE",TablaVentas[[#This Row],[Costo_total]]="PENDIENTE"),"PENDIENTE",TablaVentas[[#This Row],[Ingreso_neto]]-TablaVentas[[#This Row],[Costo_total]])</f>
        <v>3739.595</v>
      </c>
    </row>
    <row r="1410" customFormat="false" ht="13.5" hidden="false" customHeight="false" outlineLevel="0" collapsed="false">
      <c r="A1410" s="1" t="s">
        <v>988</v>
      </c>
      <c r="B1410" s="1" t="n">
        <v>1</v>
      </c>
      <c r="C1410" s="5" t="n">
        <v>46169</v>
      </c>
      <c r="D1410" s="6" t="s">
        <v>789</v>
      </c>
      <c r="E1410" s="6" t="s">
        <v>215</v>
      </c>
      <c r="F1410" s="6" t="s">
        <v>63</v>
      </c>
      <c r="G1410" s="6" t="s">
        <v>64</v>
      </c>
      <c r="H1410" s="6" t="s">
        <v>80</v>
      </c>
      <c r="I1410" s="1" t="n">
        <v>1</v>
      </c>
      <c r="J1410" s="7" t="n">
        <v>9725.25</v>
      </c>
      <c r="K1410" s="8" t="n">
        <v>0.2</v>
      </c>
      <c r="L1410" s="7" t="n">
        <v>5535.31</v>
      </c>
      <c r="M1410" s="6" t="s">
        <v>123</v>
      </c>
      <c r="N1410" s="6" t="s">
        <v>67</v>
      </c>
      <c r="O1410" s="6" t="n">
        <f aca="false">IF(TablaVentas[[#This Row],[Precio_unitario]]="","PENDIENTE",TablaVentas[[#This Row],[Unidades]]*TablaVentas[[#This Row],[Precio_unitario]]*(1-TablaVentas[[#This Row],[Descuento_pct]]))</f>
        <v>7780.2</v>
      </c>
      <c r="P1410" s="6" t="n">
        <f aca="false">IF(TablaVentas[[#This Row],[Costo_unitario]]="","PENDIENTE",TablaVentas[[#This Row],[Unidades]]*TablaVentas[[#This Row],[Costo_unitario]])</f>
        <v>5535.31</v>
      </c>
      <c r="Q1410" s="6" t="n">
        <f aca="false">IF(OR(TablaVentas[[#This Row],[Ingreso_neto]]="PENDIENTE",TablaVentas[[#This Row],[Costo_total]]="PENDIENTE"),"PENDIENTE",TablaVentas[[#This Row],[Ingreso_neto]]-TablaVentas[[#This Row],[Costo_total]])</f>
        <v>2244.89</v>
      </c>
    </row>
    <row r="1411" customFormat="false" ht="13.5" hidden="false" customHeight="false" outlineLevel="0" collapsed="false">
      <c r="A1411" s="1" t="s">
        <v>988</v>
      </c>
      <c r="B1411" s="1" t="n">
        <v>2</v>
      </c>
      <c r="C1411" s="5" t="n">
        <v>46169</v>
      </c>
      <c r="D1411" s="6" t="s">
        <v>789</v>
      </c>
      <c r="E1411" s="6" t="s">
        <v>265</v>
      </c>
      <c r="F1411" s="6" t="s">
        <v>63</v>
      </c>
      <c r="G1411" s="6" t="s">
        <v>64</v>
      </c>
      <c r="H1411" s="6" t="s">
        <v>80</v>
      </c>
      <c r="I1411" s="1" t="n">
        <v>1</v>
      </c>
      <c r="J1411" s="7" t="n">
        <v>3488.44</v>
      </c>
      <c r="K1411" s="8" t="n">
        <v>0.2</v>
      </c>
      <c r="L1411" s="7" t="n">
        <v>2008.57</v>
      </c>
      <c r="M1411" s="6" t="s">
        <v>49</v>
      </c>
      <c r="N1411" s="6" t="s">
        <v>50</v>
      </c>
      <c r="O1411" s="6" t="n">
        <f aca="false">IF(TablaVentas[[#This Row],[Precio_unitario]]="","PENDIENTE",TablaVentas[[#This Row],[Unidades]]*TablaVentas[[#This Row],[Precio_unitario]]*(1-TablaVentas[[#This Row],[Descuento_pct]]))</f>
        <v>2790.752</v>
      </c>
      <c r="P1411" s="6" t="n">
        <f aca="false">IF(TablaVentas[[#This Row],[Costo_unitario]]="","PENDIENTE",TablaVentas[[#This Row],[Unidades]]*TablaVentas[[#This Row],[Costo_unitario]])</f>
        <v>2008.57</v>
      </c>
      <c r="Q1411" s="6" t="n">
        <f aca="false">IF(OR(TablaVentas[[#This Row],[Ingreso_neto]]="PENDIENTE",TablaVentas[[#This Row],[Costo_total]]="PENDIENTE"),"PENDIENTE",TablaVentas[[#This Row],[Ingreso_neto]]-TablaVentas[[#This Row],[Costo_total]])</f>
        <v>782.182000000001</v>
      </c>
    </row>
    <row r="1412" customFormat="false" ht="13.5" hidden="false" customHeight="false" outlineLevel="0" collapsed="false">
      <c r="A1412" s="1" t="s">
        <v>989</v>
      </c>
      <c r="B1412" s="1" t="n">
        <v>1</v>
      </c>
      <c r="C1412" s="5" t="n">
        <v>46064</v>
      </c>
      <c r="D1412" s="6" t="s">
        <v>467</v>
      </c>
      <c r="E1412" s="6" t="s">
        <v>113</v>
      </c>
      <c r="F1412" s="6" t="s">
        <v>46</v>
      </c>
      <c r="G1412" s="6" t="s">
        <v>57</v>
      </c>
      <c r="H1412" s="6" t="s">
        <v>58</v>
      </c>
      <c r="I1412" s="1" t="n">
        <v>2</v>
      </c>
      <c r="J1412" s="7" t="n">
        <v>9441.74</v>
      </c>
      <c r="K1412" s="8" t="n">
        <v>0.05</v>
      </c>
      <c r="L1412" s="7" t="n">
        <v>8276.74</v>
      </c>
      <c r="M1412" s="6" t="s">
        <v>49</v>
      </c>
      <c r="N1412" s="6" t="s">
        <v>52</v>
      </c>
      <c r="O1412" s="6" t="n">
        <f aca="false">IF(TablaVentas[[#This Row],[Precio_unitario]]="","PENDIENTE",TablaVentas[[#This Row],[Unidades]]*TablaVentas[[#This Row],[Precio_unitario]]*(1-TablaVentas[[#This Row],[Descuento_pct]]))</f>
        <v>17939.306</v>
      </c>
      <c r="P1412" s="6" t="n">
        <f aca="false">IF(TablaVentas[[#This Row],[Costo_unitario]]="","PENDIENTE",TablaVentas[[#This Row],[Unidades]]*TablaVentas[[#This Row],[Costo_unitario]])</f>
        <v>16553.48</v>
      </c>
      <c r="Q1412" s="6" t="n">
        <f aca="false">IF(OR(TablaVentas[[#This Row],[Ingreso_neto]]="PENDIENTE",TablaVentas[[#This Row],[Costo_total]]="PENDIENTE"),"PENDIENTE",TablaVentas[[#This Row],[Ingreso_neto]]-TablaVentas[[#This Row],[Costo_total]])</f>
        <v>1385.826</v>
      </c>
    </row>
    <row r="1413" customFormat="false" ht="13.5" hidden="false" customHeight="false" outlineLevel="0" collapsed="false">
      <c r="A1413" s="1" t="s">
        <v>990</v>
      </c>
      <c r="B1413" s="1" t="n">
        <v>1</v>
      </c>
      <c r="C1413" s="5" t="n">
        <v>46132</v>
      </c>
      <c r="D1413" s="6" t="s">
        <v>496</v>
      </c>
      <c r="E1413" s="6" t="s">
        <v>121</v>
      </c>
      <c r="F1413" s="6" t="s">
        <v>63</v>
      </c>
      <c r="G1413" s="6" t="s">
        <v>57</v>
      </c>
      <c r="H1413" s="6" t="s">
        <v>80</v>
      </c>
      <c r="I1413" s="1" t="n">
        <v>2</v>
      </c>
      <c r="J1413" s="7" t="n">
        <v>14767.67</v>
      </c>
      <c r="K1413" s="8" t="n">
        <v>0.05</v>
      </c>
      <c r="L1413" s="7" t="n">
        <v>8239.48</v>
      </c>
      <c r="M1413" s="6" t="s">
        <v>49</v>
      </c>
      <c r="N1413" s="6" t="s">
        <v>50</v>
      </c>
      <c r="O1413" s="6" t="n">
        <f aca="false">IF(TablaVentas[[#This Row],[Precio_unitario]]="","PENDIENTE",TablaVentas[[#This Row],[Unidades]]*TablaVentas[[#This Row],[Precio_unitario]]*(1-TablaVentas[[#This Row],[Descuento_pct]]))</f>
        <v>28058.573</v>
      </c>
      <c r="P1413" s="6" t="n">
        <f aca="false">IF(TablaVentas[[#This Row],[Costo_unitario]]="","PENDIENTE",TablaVentas[[#This Row],[Unidades]]*TablaVentas[[#This Row],[Costo_unitario]])</f>
        <v>16478.96</v>
      </c>
      <c r="Q1413" s="6" t="n">
        <f aca="false">IF(OR(TablaVentas[[#This Row],[Ingreso_neto]]="PENDIENTE",TablaVentas[[#This Row],[Costo_total]]="PENDIENTE"),"PENDIENTE",TablaVentas[[#This Row],[Ingreso_neto]]-TablaVentas[[#This Row],[Costo_total]])</f>
        <v>11579.613</v>
      </c>
    </row>
    <row r="1414" customFormat="false" ht="13.5" hidden="false" customHeight="false" outlineLevel="0" collapsed="false">
      <c r="A1414" s="1" t="s">
        <v>990</v>
      </c>
      <c r="B1414" s="1" t="n">
        <v>2</v>
      </c>
      <c r="C1414" s="5" t="n">
        <v>46132</v>
      </c>
      <c r="D1414" s="6" t="s">
        <v>496</v>
      </c>
      <c r="E1414" s="6" t="s">
        <v>76</v>
      </c>
      <c r="F1414" s="6" t="s">
        <v>63</v>
      </c>
      <c r="G1414" s="6" t="s">
        <v>57</v>
      </c>
      <c r="H1414" s="6" t="s">
        <v>80</v>
      </c>
      <c r="I1414" s="1" t="n">
        <v>4</v>
      </c>
      <c r="J1414" s="7" t="n">
        <v>13892.67</v>
      </c>
      <c r="K1414" s="8" t="n">
        <v>0.05</v>
      </c>
      <c r="L1414" s="7" t="n">
        <v>10094.26</v>
      </c>
      <c r="M1414" s="6" t="s">
        <v>49</v>
      </c>
      <c r="N1414" s="6" t="s">
        <v>50</v>
      </c>
      <c r="O1414" s="6" t="n">
        <f aca="false">IF(TablaVentas[[#This Row],[Precio_unitario]]="","PENDIENTE",TablaVentas[[#This Row],[Unidades]]*TablaVentas[[#This Row],[Precio_unitario]]*(1-TablaVentas[[#This Row],[Descuento_pct]]))</f>
        <v>52792.146</v>
      </c>
      <c r="P1414" s="6" t="n">
        <f aca="false">IF(TablaVentas[[#This Row],[Costo_unitario]]="","PENDIENTE",TablaVentas[[#This Row],[Unidades]]*TablaVentas[[#This Row],[Costo_unitario]])</f>
        <v>40377.04</v>
      </c>
      <c r="Q1414" s="6" t="n">
        <f aca="false">IF(OR(TablaVentas[[#This Row],[Ingreso_neto]]="PENDIENTE",TablaVentas[[#This Row],[Costo_total]]="PENDIENTE"),"PENDIENTE",TablaVentas[[#This Row],[Ingreso_neto]]-TablaVentas[[#This Row],[Costo_total]])</f>
        <v>12415.106</v>
      </c>
    </row>
    <row r="1415" customFormat="false" ht="13.5" hidden="false" customHeight="false" outlineLevel="0" collapsed="false">
      <c r="A1415" s="1" t="s">
        <v>990</v>
      </c>
      <c r="B1415" s="1" t="n">
        <v>3</v>
      </c>
      <c r="C1415" s="5" t="n">
        <v>46132</v>
      </c>
      <c r="D1415" s="6" t="s">
        <v>496</v>
      </c>
      <c r="E1415" s="6" t="s">
        <v>269</v>
      </c>
      <c r="F1415" s="6" t="s">
        <v>63</v>
      </c>
      <c r="G1415" s="6" t="s">
        <v>57</v>
      </c>
      <c r="H1415" s="6" t="s">
        <v>80</v>
      </c>
      <c r="I1415" s="1" t="n">
        <v>4</v>
      </c>
      <c r="J1415" s="7" t="n">
        <v>14121.77</v>
      </c>
      <c r="K1415" s="8" t="n">
        <v>0.2</v>
      </c>
      <c r="L1415" s="7" t="n">
        <v>8227.46</v>
      </c>
      <c r="M1415" s="6" t="s">
        <v>49</v>
      </c>
      <c r="N1415" s="6" t="s">
        <v>52</v>
      </c>
      <c r="O1415" s="6" t="n">
        <f aca="false">IF(TablaVentas[[#This Row],[Precio_unitario]]="","PENDIENTE",TablaVentas[[#This Row],[Unidades]]*TablaVentas[[#This Row],[Precio_unitario]]*(1-TablaVentas[[#This Row],[Descuento_pct]]))</f>
        <v>45189.664</v>
      </c>
      <c r="P1415" s="6" t="n">
        <f aca="false">IF(TablaVentas[[#This Row],[Costo_unitario]]="","PENDIENTE",TablaVentas[[#This Row],[Unidades]]*TablaVentas[[#This Row],[Costo_unitario]])</f>
        <v>32909.84</v>
      </c>
      <c r="Q1415" s="6" t="n">
        <f aca="false">IF(OR(TablaVentas[[#This Row],[Ingreso_neto]]="PENDIENTE",TablaVentas[[#This Row],[Costo_total]]="PENDIENTE"),"PENDIENTE",TablaVentas[[#This Row],[Ingreso_neto]]-TablaVentas[[#This Row],[Costo_total]])</f>
        <v>12279.824</v>
      </c>
    </row>
    <row r="1416" customFormat="false" ht="13.5" hidden="false" customHeight="false" outlineLevel="0" collapsed="false">
      <c r="A1416" s="1" t="s">
        <v>991</v>
      </c>
      <c r="B1416" s="1" t="n">
        <v>1</v>
      </c>
      <c r="C1416" s="5" t="n">
        <v>46081</v>
      </c>
      <c r="D1416" s="6" t="s">
        <v>161</v>
      </c>
      <c r="E1416" s="6" t="s">
        <v>179</v>
      </c>
      <c r="F1416" s="6" t="s">
        <v>63</v>
      </c>
      <c r="G1416" s="6" t="s">
        <v>47</v>
      </c>
      <c r="H1416" s="6" t="s">
        <v>109</v>
      </c>
      <c r="I1416" s="1" t="n">
        <v>3</v>
      </c>
      <c r="J1416" s="7" t="n">
        <v>15184.74</v>
      </c>
      <c r="K1416" s="8" t="n">
        <v>0.2</v>
      </c>
      <c r="L1416" s="7" t="n">
        <v>10830.17</v>
      </c>
      <c r="M1416" s="6" t="s">
        <v>49</v>
      </c>
      <c r="N1416" s="6" t="s">
        <v>52</v>
      </c>
      <c r="O1416" s="6" t="n">
        <f aca="false">IF(TablaVentas[[#This Row],[Precio_unitario]]="","PENDIENTE",TablaVentas[[#This Row],[Unidades]]*TablaVentas[[#This Row],[Precio_unitario]]*(1-TablaVentas[[#This Row],[Descuento_pct]]))</f>
        <v>36443.376</v>
      </c>
      <c r="P1416" s="6" t="n">
        <f aca="false">IF(TablaVentas[[#This Row],[Costo_unitario]]="","PENDIENTE",TablaVentas[[#This Row],[Unidades]]*TablaVentas[[#This Row],[Costo_unitario]])</f>
        <v>32490.51</v>
      </c>
      <c r="Q1416" s="6" t="n">
        <f aca="false">IF(OR(TablaVentas[[#This Row],[Ingreso_neto]]="PENDIENTE",TablaVentas[[#This Row],[Costo_total]]="PENDIENTE"),"PENDIENTE",TablaVentas[[#This Row],[Ingreso_neto]]-TablaVentas[[#This Row],[Costo_total]])</f>
        <v>3952.866</v>
      </c>
    </row>
    <row r="1417" customFormat="false" ht="13.5" hidden="false" customHeight="false" outlineLevel="0" collapsed="false">
      <c r="A1417" s="1" t="s">
        <v>992</v>
      </c>
      <c r="B1417" s="1" t="n">
        <v>1</v>
      </c>
      <c r="C1417" s="5" t="n">
        <v>46289</v>
      </c>
      <c r="D1417" s="6" t="s">
        <v>993</v>
      </c>
      <c r="E1417" s="6" t="s">
        <v>88</v>
      </c>
      <c r="F1417" s="6" t="s">
        <v>46</v>
      </c>
      <c r="G1417" s="6" t="s">
        <v>57</v>
      </c>
      <c r="H1417" s="6" t="s">
        <v>58</v>
      </c>
      <c r="I1417" s="1" t="n">
        <v>4</v>
      </c>
      <c r="J1417" s="7" t="n">
        <v>16085.91</v>
      </c>
      <c r="K1417" s="8" t="n">
        <v>0</v>
      </c>
      <c r="L1417" s="7" t="n">
        <v>11614.87</v>
      </c>
      <c r="M1417" s="6" t="s">
        <v>49</v>
      </c>
      <c r="N1417" s="6" t="s">
        <v>52</v>
      </c>
      <c r="O1417" s="6" t="n">
        <f aca="false">IF(TablaVentas[[#This Row],[Precio_unitario]]="","PENDIENTE",TablaVentas[[#This Row],[Unidades]]*TablaVentas[[#This Row],[Precio_unitario]]*(1-TablaVentas[[#This Row],[Descuento_pct]]))</f>
        <v>64343.64</v>
      </c>
      <c r="P1417" s="6" t="n">
        <f aca="false">IF(TablaVentas[[#This Row],[Costo_unitario]]="","PENDIENTE",TablaVentas[[#This Row],[Unidades]]*TablaVentas[[#This Row],[Costo_unitario]])</f>
        <v>46459.48</v>
      </c>
      <c r="Q1417" s="6" t="n">
        <f aca="false">IF(OR(TablaVentas[[#This Row],[Ingreso_neto]]="PENDIENTE",TablaVentas[[#This Row],[Costo_total]]="PENDIENTE"),"PENDIENTE",TablaVentas[[#This Row],[Ingreso_neto]]-TablaVentas[[#This Row],[Costo_total]])</f>
        <v>17884.16</v>
      </c>
    </row>
    <row r="1418" customFormat="false" ht="13.5" hidden="false" customHeight="false" outlineLevel="0" collapsed="false">
      <c r="A1418" s="1" t="s">
        <v>992</v>
      </c>
      <c r="B1418" s="1" t="n">
        <v>2</v>
      </c>
      <c r="C1418" s="5" t="n">
        <v>46289</v>
      </c>
      <c r="D1418" s="6" t="s">
        <v>993</v>
      </c>
      <c r="E1418" s="6" t="s">
        <v>62</v>
      </c>
      <c r="F1418" s="6" t="s">
        <v>46</v>
      </c>
      <c r="G1418" s="6" t="s">
        <v>57</v>
      </c>
      <c r="H1418" s="6" t="s">
        <v>58</v>
      </c>
      <c r="I1418" s="1" t="n">
        <v>1</v>
      </c>
      <c r="J1418" s="7" t="n">
        <v>12439.12</v>
      </c>
      <c r="K1418" s="8" t="n">
        <v>0.15</v>
      </c>
      <c r="L1418" s="7" t="n">
        <v>6407.85</v>
      </c>
      <c r="M1418" s="6" t="s">
        <v>49</v>
      </c>
      <c r="N1418" s="6" t="s">
        <v>67</v>
      </c>
      <c r="O1418" s="6" t="n">
        <f aca="false">IF(TablaVentas[[#This Row],[Precio_unitario]]="","PENDIENTE",TablaVentas[[#This Row],[Unidades]]*TablaVentas[[#This Row],[Precio_unitario]]*(1-TablaVentas[[#This Row],[Descuento_pct]]))</f>
        <v>10573.252</v>
      </c>
      <c r="P1418" s="6" t="n">
        <f aca="false">IF(TablaVentas[[#This Row],[Costo_unitario]]="","PENDIENTE",TablaVentas[[#This Row],[Unidades]]*TablaVentas[[#This Row],[Costo_unitario]])</f>
        <v>6407.85</v>
      </c>
      <c r="Q1418" s="6" t="n">
        <f aca="false">IF(OR(TablaVentas[[#This Row],[Ingreso_neto]]="PENDIENTE",TablaVentas[[#This Row],[Costo_total]]="PENDIENTE"),"PENDIENTE",TablaVentas[[#This Row],[Ingreso_neto]]-TablaVentas[[#This Row],[Costo_total]])</f>
        <v>4165.402</v>
      </c>
    </row>
    <row r="1419" customFormat="false" ht="13.5" hidden="false" customHeight="false" outlineLevel="0" collapsed="false">
      <c r="A1419" s="1" t="s">
        <v>994</v>
      </c>
      <c r="B1419" s="1" t="n">
        <v>1</v>
      </c>
      <c r="C1419" s="5" t="n">
        <v>46053</v>
      </c>
      <c r="D1419" s="6" t="s">
        <v>995</v>
      </c>
      <c r="E1419" s="6" t="s">
        <v>45</v>
      </c>
      <c r="F1419" s="6" t="s">
        <v>73</v>
      </c>
      <c r="G1419" s="6" t="s">
        <v>57</v>
      </c>
      <c r="H1419" s="6" t="s">
        <v>80</v>
      </c>
      <c r="I1419" s="1" t="n">
        <v>3</v>
      </c>
      <c r="J1419" s="7" t="n">
        <v>5410.98</v>
      </c>
      <c r="K1419" s="8" t="n">
        <v>0.15</v>
      </c>
      <c r="L1419" s="7" t="n">
        <v>3832.69</v>
      </c>
      <c r="M1419" s="6" t="s">
        <v>49</v>
      </c>
      <c r="N1419" s="6" t="s">
        <v>59</v>
      </c>
      <c r="O1419" s="6" t="n">
        <f aca="false">IF(TablaVentas[[#This Row],[Precio_unitario]]="","PENDIENTE",TablaVentas[[#This Row],[Unidades]]*TablaVentas[[#This Row],[Precio_unitario]]*(1-TablaVentas[[#This Row],[Descuento_pct]]))</f>
        <v>13797.999</v>
      </c>
      <c r="P1419" s="6" t="n">
        <f aca="false">IF(TablaVentas[[#This Row],[Costo_unitario]]="","PENDIENTE",TablaVentas[[#This Row],[Unidades]]*TablaVentas[[#This Row],[Costo_unitario]])</f>
        <v>11498.07</v>
      </c>
      <c r="Q1419" s="6" t="n">
        <f aca="false">IF(OR(TablaVentas[[#This Row],[Ingreso_neto]]="PENDIENTE",TablaVentas[[#This Row],[Costo_total]]="PENDIENTE"),"PENDIENTE",TablaVentas[[#This Row],[Ingreso_neto]]-TablaVentas[[#This Row],[Costo_total]])</f>
        <v>2299.929</v>
      </c>
    </row>
    <row r="1420" customFormat="false" ht="13.5" hidden="false" customHeight="false" outlineLevel="0" collapsed="false">
      <c r="A1420" s="1" t="s">
        <v>994</v>
      </c>
      <c r="B1420" s="1" t="n">
        <v>2</v>
      </c>
      <c r="C1420" s="5" t="n">
        <v>46053</v>
      </c>
      <c r="D1420" s="6" t="s">
        <v>995</v>
      </c>
      <c r="E1420" s="6" t="s">
        <v>83</v>
      </c>
      <c r="F1420" s="6" t="s">
        <v>73</v>
      </c>
      <c r="G1420" s="6" t="s">
        <v>57</v>
      </c>
      <c r="H1420" s="6" t="s">
        <v>80</v>
      </c>
      <c r="I1420" s="1" t="n">
        <v>1</v>
      </c>
      <c r="J1420" s="7" t="n">
        <v>12857.88</v>
      </c>
      <c r="K1420" s="8" t="n">
        <v>0</v>
      </c>
      <c r="L1420" s="7" t="n">
        <v>7748.44</v>
      </c>
      <c r="M1420" s="6" t="s">
        <v>49</v>
      </c>
      <c r="N1420" s="6" t="s">
        <v>50</v>
      </c>
      <c r="O1420" s="6" t="n">
        <f aca="false">IF(TablaVentas[[#This Row],[Precio_unitario]]="","PENDIENTE",TablaVentas[[#This Row],[Unidades]]*TablaVentas[[#This Row],[Precio_unitario]]*(1-TablaVentas[[#This Row],[Descuento_pct]]))</f>
        <v>12857.88</v>
      </c>
      <c r="P1420" s="6" t="n">
        <f aca="false">IF(TablaVentas[[#This Row],[Costo_unitario]]="","PENDIENTE",TablaVentas[[#This Row],[Unidades]]*TablaVentas[[#This Row],[Costo_unitario]])</f>
        <v>7748.44</v>
      </c>
      <c r="Q1420" s="6" t="n">
        <f aca="false">IF(OR(TablaVentas[[#This Row],[Ingreso_neto]]="PENDIENTE",TablaVentas[[#This Row],[Costo_total]]="PENDIENTE"),"PENDIENTE",TablaVentas[[#This Row],[Ingreso_neto]]-TablaVentas[[#This Row],[Costo_total]])</f>
        <v>5109.44</v>
      </c>
    </row>
    <row r="1421" customFormat="false" ht="13.5" hidden="false" customHeight="false" outlineLevel="0" collapsed="false">
      <c r="A1421" s="1" t="s">
        <v>996</v>
      </c>
      <c r="B1421" s="1" t="n">
        <v>1</v>
      </c>
      <c r="C1421" s="5" t="n">
        <v>46063</v>
      </c>
      <c r="D1421" s="6" t="s">
        <v>249</v>
      </c>
      <c r="E1421" s="6" t="s">
        <v>159</v>
      </c>
      <c r="F1421" s="6" t="s">
        <v>46</v>
      </c>
      <c r="G1421" s="6" t="s">
        <v>57</v>
      </c>
      <c r="H1421" s="6" t="s">
        <v>58</v>
      </c>
      <c r="I1421" s="1" t="n">
        <v>3</v>
      </c>
      <c r="J1421" s="7" t="n">
        <v>2620.18</v>
      </c>
      <c r="K1421" s="8" t="n">
        <v>0</v>
      </c>
      <c r="L1421" s="7" t="n">
        <v>1962.3</v>
      </c>
      <c r="M1421" s="6" t="s">
        <v>49</v>
      </c>
      <c r="N1421" s="6" t="s">
        <v>59</v>
      </c>
      <c r="O1421" s="6" t="n">
        <f aca="false">IF(TablaVentas[[#This Row],[Precio_unitario]]="","PENDIENTE",TablaVentas[[#This Row],[Unidades]]*TablaVentas[[#This Row],[Precio_unitario]]*(1-TablaVentas[[#This Row],[Descuento_pct]]))</f>
        <v>7860.54</v>
      </c>
      <c r="P1421" s="6" t="n">
        <f aca="false">IF(TablaVentas[[#This Row],[Costo_unitario]]="","PENDIENTE",TablaVentas[[#This Row],[Unidades]]*TablaVentas[[#This Row],[Costo_unitario]])</f>
        <v>5886.9</v>
      </c>
      <c r="Q1421" s="6" t="n">
        <f aca="false">IF(OR(TablaVentas[[#This Row],[Ingreso_neto]]="PENDIENTE",TablaVentas[[#This Row],[Costo_total]]="PENDIENTE"),"PENDIENTE",TablaVentas[[#This Row],[Ingreso_neto]]-TablaVentas[[#This Row],[Costo_total]])</f>
        <v>1973.64</v>
      </c>
    </row>
    <row r="1422" customFormat="false" ht="13.5" hidden="false" customHeight="false" outlineLevel="0" collapsed="false">
      <c r="A1422" s="1" t="s">
        <v>996</v>
      </c>
      <c r="B1422" s="1" t="n">
        <v>2</v>
      </c>
      <c r="C1422" s="5" t="n">
        <v>46063</v>
      </c>
      <c r="D1422" s="6" t="s">
        <v>249</v>
      </c>
      <c r="E1422" s="6" t="s">
        <v>218</v>
      </c>
      <c r="F1422" s="6" t="s">
        <v>46</v>
      </c>
      <c r="G1422" s="6" t="s">
        <v>57</v>
      </c>
      <c r="H1422" s="6" t="s">
        <v>58</v>
      </c>
      <c r="I1422" s="1" t="n">
        <v>3</v>
      </c>
      <c r="J1422" s="7" t="n">
        <v>17882.12</v>
      </c>
      <c r="K1422" s="8" t="n">
        <v>0.1</v>
      </c>
      <c r="L1422" s="7" t="n">
        <v>13760.53</v>
      </c>
      <c r="M1422" s="6" t="s">
        <v>49</v>
      </c>
      <c r="N1422" s="6" t="s">
        <v>52</v>
      </c>
      <c r="O1422" s="6" t="n">
        <f aca="false">IF(TablaVentas[[#This Row],[Precio_unitario]]="","PENDIENTE",TablaVentas[[#This Row],[Unidades]]*TablaVentas[[#This Row],[Precio_unitario]]*(1-TablaVentas[[#This Row],[Descuento_pct]]))</f>
        <v>48281.724</v>
      </c>
      <c r="P1422" s="6" t="n">
        <f aca="false">IF(TablaVentas[[#This Row],[Costo_unitario]]="","PENDIENTE",TablaVentas[[#This Row],[Unidades]]*TablaVentas[[#This Row],[Costo_unitario]])</f>
        <v>41281.59</v>
      </c>
      <c r="Q1422" s="6" t="n">
        <f aca="false">IF(OR(TablaVentas[[#This Row],[Ingreso_neto]]="PENDIENTE",TablaVentas[[#This Row],[Costo_total]]="PENDIENTE"),"PENDIENTE",TablaVentas[[#This Row],[Ingreso_neto]]-TablaVentas[[#This Row],[Costo_total]])</f>
        <v>7000.134</v>
      </c>
    </row>
    <row r="1423" customFormat="false" ht="13.5" hidden="false" customHeight="false" outlineLevel="0" collapsed="false">
      <c r="A1423" s="1" t="s">
        <v>997</v>
      </c>
      <c r="B1423" s="1" t="n">
        <v>1</v>
      </c>
      <c r="C1423" s="5" t="n">
        <v>46212</v>
      </c>
      <c r="D1423" s="6" t="s">
        <v>298</v>
      </c>
      <c r="E1423" s="6" t="s">
        <v>360</v>
      </c>
      <c r="F1423" s="6" t="s">
        <v>46</v>
      </c>
      <c r="G1423" s="6" t="s">
        <v>57</v>
      </c>
      <c r="H1423" s="6" t="s">
        <v>191</v>
      </c>
      <c r="I1423" s="1" t="n">
        <v>1</v>
      </c>
      <c r="J1423" s="7" t="n">
        <v>2197.05</v>
      </c>
      <c r="K1423" s="8" t="n">
        <v>0.05</v>
      </c>
      <c r="L1423" s="7" t="n">
        <v>1479.71</v>
      </c>
      <c r="M1423" s="6" t="s">
        <v>49</v>
      </c>
      <c r="N1423" s="6" t="s">
        <v>67</v>
      </c>
      <c r="O1423" s="6" t="n">
        <f aca="false">IF(TablaVentas[[#This Row],[Precio_unitario]]="","PENDIENTE",TablaVentas[[#This Row],[Unidades]]*TablaVentas[[#This Row],[Precio_unitario]]*(1-TablaVentas[[#This Row],[Descuento_pct]]))</f>
        <v>2087.1975</v>
      </c>
      <c r="P1423" s="6" t="n">
        <f aca="false">IF(TablaVentas[[#This Row],[Costo_unitario]]="","PENDIENTE",TablaVentas[[#This Row],[Unidades]]*TablaVentas[[#This Row],[Costo_unitario]])</f>
        <v>1479.71</v>
      </c>
      <c r="Q1423" s="6" t="n">
        <f aca="false">IF(OR(TablaVentas[[#This Row],[Ingreso_neto]]="PENDIENTE",TablaVentas[[#This Row],[Costo_total]]="PENDIENTE"),"PENDIENTE",TablaVentas[[#This Row],[Ingreso_neto]]-TablaVentas[[#This Row],[Costo_total]])</f>
        <v>607.4875</v>
      </c>
    </row>
    <row r="1424" customFormat="false" ht="13.5" hidden="false" customHeight="false" outlineLevel="0" collapsed="false">
      <c r="A1424" s="1" t="s">
        <v>997</v>
      </c>
      <c r="B1424" s="1" t="n">
        <v>2</v>
      </c>
      <c r="C1424" s="5" t="n">
        <v>46212</v>
      </c>
      <c r="D1424" s="6" t="s">
        <v>298</v>
      </c>
      <c r="E1424" s="6" t="s">
        <v>104</v>
      </c>
      <c r="F1424" s="6" t="s">
        <v>46</v>
      </c>
      <c r="G1424" s="6" t="s">
        <v>57</v>
      </c>
      <c r="H1424" s="6" t="s">
        <v>191</v>
      </c>
      <c r="I1424" s="1" t="n">
        <v>2</v>
      </c>
      <c r="J1424" s="7" t="n">
        <v>14152.38</v>
      </c>
      <c r="K1424" s="8" t="n">
        <v>0</v>
      </c>
      <c r="L1424" s="7" t="n">
        <v>11424.77</v>
      </c>
      <c r="M1424" s="6" t="s">
        <v>49</v>
      </c>
      <c r="N1424" s="6" t="s">
        <v>50</v>
      </c>
      <c r="O1424" s="6" t="n">
        <f aca="false">IF(TablaVentas[[#This Row],[Precio_unitario]]="","PENDIENTE",TablaVentas[[#This Row],[Unidades]]*TablaVentas[[#This Row],[Precio_unitario]]*(1-TablaVentas[[#This Row],[Descuento_pct]]))</f>
        <v>28304.76</v>
      </c>
      <c r="P1424" s="6" t="n">
        <f aca="false">IF(TablaVentas[[#This Row],[Costo_unitario]]="","PENDIENTE",TablaVentas[[#This Row],[Unidades]]*TablaVentas[[#This Row],[Costo_unitario]])</f>
        <v>22849.54</v>
      </c>
      <c r="Q1424" s="6" t="n">
        <f aca="false">IF(OR(TablaVentas[[#This Row],[Ingreso_neto]]="PENDIENTE",TablaVentas[[#This Row],[Costo_total]]="PENDIENTE"),"PENDIENTE",TablaVentas[[#This Row],[Ingreso_neto]]-TablaVentas[[#This Row],[Costo_total]])</f>
        <v>5455.22</v>
      </c>
    </row>
    <row r="1425" customFormat="false" ht="13.5" hidden="false" customHeight="false" outlineLevel="0" collapsed="false">
      <c r="A1425" s="1" t="s">
        <v>998</v>
      </c>
      <c r="B1425" s="1" t="n">
        <v>1</v>
      </c>
      <c r="C1425" s="5" t="n">
        <v>46201</v>
      </c>
      <c r="D1425" s="6" t="s">
        <v>608</v>
      </c>
      <c r="E1425" s="6" t="s">
        <v>96</v>
      </c>
      <c r="F1425" s="6" t="s">
        <v>63</v>
      </c>
      <c r="G1425" s="6" t="s">
        <v>57</v>
      </c>
      <c r="H1425" s="6" t="s">
        <v>80</v>
      </c>
      <c r="I1425" s="1" t="n">
        <v>4</v>
      </c>
      <c r="J1425" s="7" t="n">
        <v>13140.55</v>
      </c>
      <c r="K1425" s="8" t="n">
        <v>0.2</v>
      </c>
      <c r="L1425" s="7" t="n">
        <v>9118.07</v>
      </c>
      <c r="M1425" s="6" t="s">
        <v>49</v>
      </c>
      <c r="N1425" s="6" t="s">
        <v>52</v>
      </c>
      <c r="O1425" s="6" t="n">
        <f aca="false">IF(TablaVentas[[#This Row],[Precio_unitario]]="","PENDIENTE",TablaVentas[[#This Row],[Unidades]]*TablaVentas[[#This Row],[Precio_unitario]]*(1-TablaVentas[[#This Row],[Descuento_pct]]))</f>
        <v>42049.76</v>
      </c>
      <c r="P1425" s="6" t="n">
        <f aca="false">IF(TablaVentas[[#This Row],[Costo_unitario]]="","PENDIENTE",TablaVentas[[#This Row],[Unidades]]*TablaVentas[[#This Row],[Costo_unitario]])</f>
        <v>36472.28</v>
      </c>
      <c r="Q1425" s="6" t="n">
        <f aca="false">IF(OR(TablaVentas[[#This Row],[Ingreso_neto]]="PENDIENTE",TablaVentas[[#This Row],[Costo_total]]="PENDIENTE"),"PENDIENTE",TablaVentas[[#This Row],[Ingreso_neto]]-TablaVentas[[#This Row],[Costo_total]])</f>
        <v>5577.48</v>
      </c>
    </row>
    <row r="1426" customFormat="false" ht="13.5" hidden="false" customHeight="false" outlineLevel="0" collapsed="false">
      <c r="A1426" s="1" t="s">
        <v>999</v>
      </c>
      <c r="B1426" s="1" t="n">
        <v>1</v>
      </c>
      <c r="C1426" s="5" t="n">
        <v>46079</v>
      </c>
      <c r="D1426" s="6" t="s">
        <v>419</v>
      </c>
      <c r="E1426" s="6" t="s">
        <v>255</v>
      </c>
      <c r="F1426" s="6" t="s">
        <v>63</v>
      </c>
      <c r="G1426" s="6" t="s">
        <v>57</v>
      </c>
      <c r="H1426" s="6" t="s">
        <v>191</v>
      </c>
      <c r="I1426" s="1" t="n">
        <v>1</v>
      </c>
      <c r="J1426" s="7" t="n">
        <v>12078.96</v>
      </c>
      <c r="K1426" s="8" t="n">
        <v>0.1</v>
      </c>
      <c r="L1426" s="7" t="n">
        <v>6856.4</v>
      </c>
      <c r="M1426" s="6" t="s">
        <v>49</v>
      </c>
      <c r="N1426" s="6" t="s">
        <v>52</v>
      </c>
      <c r="O1426" s="6" t="n">
        <f aca="false">IF(TablaVentas[[#This Row],[Precio_unitario]]="","PENDIENTE",TablaVentas[[#This Row],[Unidades]]*TablaVentas[[#This Row],[Precio_unitario]]*(1-TablaVentas[[#This Row],[Descuento_pct]]))</f>
        <v>10871.064</v>
      </c>
      <c r="P1426" s="6" t="n">
        <f aca="false">IF(TablaVentas[[#This Row],[Costo_unitario]]="","PENDIENTE",TablaVentas[[#This Row],[Unidades]]*TablaVentas[[#This Row],[Costo_unitario]])</f>
        <v>6856.4</v>
      </c>
      <c r="Q1426" s="6" t="n">
        <f aca="false">IF(OR(TablaVentas[[#This Row],[Ingreso_neto]]="PENDIENTE",TablaVentas[[#This Row],[Costo_total]]="PENDIENTE"),"PENDIENTE",TablaVentas[[#This Row],[Ingreso_neto]]-TablaVentas[[#This Row],[Costo_total]])</f>
        <v>4014.664</v>
      </c>
    </row>
    <row r="1427" customFormat="false" ht="13.5" hidden="false" customHeight="false" outlineLevel="0" collapsed="false">
      <c r="A1427" s="1" t="s">
        <v>1000</v>
      </c>
      <c r="B1427" s="1" t="n">
        <v>1</v>
      </c>
      <c r="C1427" s="5" t="n">
        <v>46254</v>
      </c>
      <c r="D1427" s="6" t="s">
        <v>634</v>
      </c>
      <c r="E1427" s="6" t="s">
        <v>327</v>
      </c>
      <c r="F1427" s="6" t="s">
        <v>84</v>
      </c>
      <c r="G1427" s="6" t="s">
        <v>57</v>
      </c>
      <c r="H1427" s="6" t="s">
        <v>74</v>
      </c>
      <c r="I1427" s="1" t="n">
        <v>3</v>
      </c>
      <c r="J1427" s="7" t="n">
        <v>5111.77</v>
      </c>
      <c r="K1427" s="8" t="n">
        <v>0</v>
      </c>
      <c r="L1427" s="7" t="n">
        <v>3065.66</v>
      </c>
      <c r="M1427" s="6" t="s">
        <v>49</v>
      </c>
      <c r="N1427" s="6" t="s">
        <v>50</v>
      </c>
      <c r="O1427" s="6" t="n">
        <f aca="false">IF(TablaVentas[[#This Row],[Precio_unitario]]="","PENDIENTE",TablaVentas[[#This Row],[Unidades]]*TablaVentas[[#This Row],[Precio_unitario]]*(1-TablaVentas[[#This Row],[Descuento_pct]]))</f>
        <v>15335.31</v>
      </c>
      <c r="P1427" s="6" t="n">
        <f aca="false">IF(TablaVentas[[#This Row],[Costo_unitario]]="","PENDIENTE",TablaVentas[[#This Row],[Unidades]]*TablaVentas[[#This Row],[Costo_unitario]])</f>
        <v>9196.98</v>
      </c>
      <c r="Q1427" s="6" t="n">
        <f aca="false">IF(OR(TablaVentas[[#This Row],[Ingreso_neto]]="PENDIENTE",TablaVentas[[#This Row],[Costo_total]]="PENDIENTE"),"PENDIENTE",TablaVentas[[#This Row],[Ingreso_neto]]-TablaVentas[[#This Row],[Costo_total]])</f>
        <v>6138.33</v>
      </c>
    </row>
    <row r="1428" customFormat="false" ht="13.5" hidden="false" customHeight="false" outlineLevel="0" collapsed="false">
      <c r="A1428" s="1" t="s">
        <v>1000</v>
      </c>
      <c r="B1428" s="1" t="n">
        <v>2</v>
      </c>
      <c r="C1428" s="5" t="n">
        <v>46254</v>
      </c>
      <c r="D1428" s="6" t="s">
        <v>634</v>
      </c>
      <c r="E1428" s="6" t="s">
        <v>122</v>
      </c>
      <c r="F1428" s="6" t="s">
        <v>84</v>
      </c>
      <c r="G1428" s="6" t="s">
        <v>57</v>
      </c>
      <c r="H1428" s="6" t="s">
        <v>74</v>
      </c>
      <c r="I1428" s="1" t="n">
        <v>2</v>
      </c>
      <c r="J1428" s="7" t="n">
        <v>1452.03</v>
      </c>
      <c r="K1428" s="8" t="n">
        <v>0.15</v>
      </c>
      <c r="L1428" s="7" t="n">
        <v>705.87</v>
      </c>
      <c r="M1428" s="6" t="s">
        <v>49</v>
      </c>
      <c r="N1428" s="6" t="s">
        <v>59</v>
      </c>
      <c r="O1428" s="6" t="n">
        <f aca="false">IF(TablaVentas[[#This Row],[Precio_unitario]]="","PENDIENTE",TablaVentas[[#This Row],[Unidades]]*TablaVentas[[#This Row],[Precio_unitario]]*(1-TablaVentas[[#This Row],[Descuento_pct]]))</f>
        <v>2468.451</v>
      </c>
      <c r="P1428" s="6" t="n">
        <f aca="false">IF(TablaVentas[[#This Row],[Costo_unitario]]="","PENDIENTE",TablaVentas[[#This Row],[Unidades]]*TablaVentas[[#This Row],[Costo_unitario]])</f>
        <v>1411.74</v>
      </c>
      <c r="Q1428" s="6" t="n">
        <f aca="false">IF(OR(TablaVentas[[#This Row],[Ingreso_neto]]="PENDIENTE",TablaVentas[[#This Row],[Costo_total]]="PENDIENTE"),"PENDIENTE",TablaVentas[[#This Row],[Ingreso_neto]]-TablaVentas[[#This Row],[Costo_total]])</f>
        <v>1056.711</v>
      </c>
    </row>
    <row r="1429" customFormat="false" ht="13.5" hidden="false" customHeight="false" outlineLevel="0" collapsed="false">
      <c r="A1429" s="1" t="s">
        <v>1001</v>
      </c>
      <c r="B1429" s="1" t="n">
        <v>1</v>
      </c>
      <c r="C1429" s="5" t="n">
        <v>46173</v>
      </c>
      <c r="D1429" s="6" t="s">
        <v>847</v>
      </c>
      <c r="E1429" s="6" t="s">
        <v>192</v>
      </c>
      <c r="F1429" s="6" t="s">
        <v>46</v>
      </c>
      <c r="G1429" s="6" t="s">
        <v>57</v>
      </c>
      <c r="H1429" s="6" t="s">
        <v>136</v>
      </c>
      <c r="I1429" s="1" t="n">
        <v>1</v>
      </c>
      <c r="J1429" s="7" t="n">
        <v>18544.85</v>
      </c>
      <c r="K1429" s="8" t="n">
        <v>0</v>
      </c>
      <c r="L1429" s="7" t="n">
        <v>11904.09</v>
      </c>
      <c r="M1429" s="6" t="s">
        <v>49</v>
      </c>
      <c r="N1429" s="6" t="s">
        <v>59</v>
      </c>
      <c r="O1429" s="6" t="n">
        <f aca="false">IF(TablaVentas[[#This Row],[Precio_unitario]]="","PENDIENTE",TablaVentas[[#This Row],[Unidades]]*TablaVentas[[#This Row],[Precio_unitario]]*(1-TablaVentas[[#This Row],[Descuento_pct]]))</f>
        <v>18544.85</v>
      </c>
      <c r="P1429" s="6" t="n">
        <f aca="false">IF(TablaVentas[[#This Row],[Costo_unitario]]="","PENDIENTE",TablaVentas[[#This Row],[Unidades]]*TablaVentas[[#This Row],[Costo_unitario]])</f>
        <v>11904.09</v>
      </c>
      <c r="Q1429" s="6" t="n">
        <f aca="false">IF(OR(TablaVentas[[#This Row],[Ingreso_neto]]="PENDIENTE",TablaVentas[[#This Row],[Costo_total]]="PENDIENTE"),"PENDIENTE",TablaVentas[[#This Row],[Ingreso_neto]]-TablaVentas[[#This Row],[Costo_total]])</f>
        <v>6640.76</v>
      </c>
    </row>
    <row r="1430" customFormat="false" ht="13.5" hidden="false" customHeight="false" outlineLevel="0" collapsed="false">
      <c r="A1430" s="1" t="s">
        <v>1001</v>
      </c>
      <c r="B1430" s="1" t="n">
        <v>2</v>
      </c>
      <c r="C1430" s="5" t="n">
        <v>46173</v>
      </c>
      <c r="D1430" s="6" t="s">
        <v>847</v>
      </c>
      <c r="E1430" s="6" t="s">
        <v>200</v>
      </c>
      <c r="F1430" s="6" t="s">
        <v>46</v>
      </c>
      <c r="G1430" s="6" t="s">
        <v>57</v>
      </c>
      <c r="H1430" s="6" t="s">
        <v>136</v>
      </c>
      <c r="I1430" s="1" t="n">
        <v>1</v>
      </c>
      <c r="J1430" s="7" t="n">
        <v>10862.35</v>
      </c>
      <c r="K1430" s="8" t="n">
        <v>0</v>
      </c>
      <c r="L1430" s="7" t="n">
        <v>5811.72</v>
      </c>
      <c r="M1430" s="6" t="s">
        <v>69</v>
      </c>
      <c r="N1430" s="6" t="s">
        <v>50</v>
      </c>
      <c r="O1430" s="6" t="n">
        <f aca="false">IF(TablaVentas[[#This Row],[Precio_unitario]]="","PENDIENTE",TablaVentas[[#This Row],[Unidades]]*TablaVentas[[#This Row],[Precio_unitario]]*(1-TablaVentas[[#This Row],[Descuento_pct]]))</f>
        <v>10862.35</v>
      </c>
      <c r="P1430" s="6" t="n">
        <f aca="false">IF(TablaVentas[[#This Row],[Costo_unitario]]="","PENDIENTE",TablaVentas[[#This Row],[Unidades]]*TablaVentas[[#This Row],[Costo_unitario]])</f>
        <v>5811.72</v>
      </c>
      <c r="Q1430" s="6" t="n">
        <f aca="false">IF(OR(TablaVentas[[#This Row],[Ingreso_neto]]="PENDIENTE",TablaVentas[[#This Row],[Costo_total]]="PENDIENTE"),"PENDIENTE",TablaVentas[[#This Row],[Ingreso_neto]]-TablaVentas[[#This Row],[Costo_total]])</f>
        <v>5050.63</v>
      </c>
    </row>
    <row r="1431" customFormat="false" ht="13.5" hidden="false" customHeight="false" outlineLevel="0" collapsed="false">
      <c r="A1431" s="1" t="s">
        <v>1001</v>
      </c>
      <c r="B1431" s="1" t="n">
        <v>3</v>
      </c>
      <c r="C1431" s="5" t="n">
        <v>46173</v>
      </c>
      <c r="D1431" s="6" t="s">
        <v>847</v>
      </c>
      <c r="E1431" s="6" t="s">
        <v>417</v>
      </c>
      <c r="F1431" s="6" t="s">
        <v>46</v>
      </c>
      <c r="G1431" s="6" t="s">
        <v>57</v>
      </c>
      <c r="H1431" s="6" t="s">
        <v>136</v>
      </c>
      <c r="I1431" s="1" t="n">
        <v>5</v>
      </c>
      <c r="J1431" s="7" t="n">
        <v>7440.07</v>
      </c>
      <c r="K1431" s="8" t="n">
        <v>0.05</v>
      </c>
      <c r="L1431" s="7" t="n">
        <v>5874.17</v>
      </c>
      <c r="M1431" s="6" t="s">
        <v>49</v>
      </c>
      <c r="N1431" s="6" t="s">
        <v>52</v>
      </c>
      <c r="O1431" s="6" t="n">
        <f aca="false">IF(TablaVentas[[#This Row],[Precio_unitario]]="","PENDIENTE",TablaVentas[[#This Row],[Unidades]]*TablaVentas[[#This Row],[Precio_unitario]]*(1-TablaVentas[[#This Row],[Descuento_pct]]))</f>
        <v>35340.3325</v>
      </c>
      <c r="P1431" s="6" t="n">
        <f aca="false">IF(TablaVentas[[#This Row],[Costo_unitario]]="","PENDIENTE",TablaVentas[[#This Row],[Unidades]]*TablaVentas[[#This Row],[Costo_unitario]])</f>
        <v>29370.85</v>
      </c>
      <c r="Q1431" s="6" t="n">
        <f aca="false">IF(OR(TablaVentas[[#This Row],[Ingreso_neto]]="PENDIENTE",TablaVentas[[#This Row],[Costo_total]]="PENDIENTE"),"PENDIENTE",TablaVentas[[#This Row],[Ingreso_neto]]-TablaVentas[[#This Row],[Costo_total]])</f>
        <v>5969.4825</v>
      </c>
    </row>
    <row r="1432" customFormat="false" ht="13.5" hidden="false" customHeight="false" outlineLevel="0" collapsed="false">
      <c r="A1432" s="1" t="s">
        <v>1002</v>
      </c>
      <c r="B1432" s="1" t="n">
        <v>1</v>
      </c>
      <c r="C1432" s="5" t="n">
        <v>46206</v>
      </c>
      <c r="D1432" s="6" t="s">
        <v>483</v>
      </c>
      <c r="E1432" s="6" t="s">
        <v>215</v>
      </c>
      <c r="F1432" s="6" t="s">
        <v>46</v>
      </c>
      <c r="G1432" s="6" t="s">
        <v>57</v>
      </c>
      <c r="H1432" s="6" t="s">
        <v>58</v>
      </c>
      <c r="I1432" s="1" t="n">
        <v>2</v>
      </c>
      <c r="J1432" s="7" t="n">
        <v>9668.46</v>
      </c>
      <c r="K1432" s="8" t="n">
        <v>0</v>
      </c>
      <c r="L1432" s="7" t="n">
        <v>5535.31</v>
      </c>
      <c r="M1432" s="6" t="s">
        <v>123</v>
      </c>
      <c r="N1432" s="6" t="s">
        <v>59</v>
      </c>
      <c r="O1432" s="6" t="n">
        <f aca="false">IF(TablaVentas[[#This Row],[Precio_unitario]]="","PENDIENTE",TablaVentas[[#This Row],[Unidades]]*TablaVentas[[#This Row],[Precio_unitario]]*(1-TablaVentas[[#This Row],[Descuento_pct]]))</f>
        <v>19336.92</v>
      </c>
      <c r="P1432" s="6" t="n">
        <f aca="false">IF(TablaVentas[[#This Row],[Costo_unitario]]="","PENDIENTE",TablaVentas[[#This Row],[Unidades]]*TablaVentas[[#This Row],[Costo_unitario]])</f>
        <v>11070.62</v>
      </c>
      <c r="Q1432" s="6" t="n">
        <f aca="false">IF(OR(TablaVentas[[#This Row],[Ingreso_neto]]="PENDIENTE",TablaVentas[[#This Row],[Costo_total]]="PENDIENTE"),"PENDIENTE",TablaVentas[[#This Row],[Ingreso_neto]]-TablaVentas[[#This Row],[Costo_total]])</f>
        <v>8266.3</v>
      </c>
    </row>
    <row r="1433" customFormat="false" ht="13.5" hidden="false" customHeight="false" outlineLevel="0" collapsed="false">
      <c r="A1433" s="1" t="s">
        <v>1002</v>
      </c>
      <c r="B1433" s="1" t="n">
        <v>2</v>
      </c>
      <c r="C1433" s="5" t="n">
        <v>46206</v>
      </c>
      <c r="D1433" s="6" t="s">
        <v>483</v>
      </c>
      <c r="E1433" s="6" t="s">
        <v>122</v>
      </c>
      <c r="F1433" s="6" t="s">
        <v>46</v>
      </c>
      <c r="G1433" s="6" t="s">
        <v>57</v>
      </c>
      <c r="H1433" s="6" t="s">
        <v>58</v>
      </c>
      <c r="I1433" s="1" t="n">
        <v>8</v>
      </c>
      <c r="J1433" s="7" t="n">
        <v>1332.94</v>
      </c>
      <c r="K1433" s="8" t="n">
        <v>0</v>
      </c>
      <c r="L1433" s="7" t="n">
        <v>705.87</v>
      </c>
      <c r="M1433" s="6" t="s">
        <v>49</v>
      </c>
      <c r="N1433" s="6" t="s">
        <v>67</v>
      </c>
      <c r="O1433" s="6" t="n">
        <f aca="false">IF(TablaVentas[[#This Row],[Precio_unitario]]="","PENDIENTE",TablaVentas[[#This Row],[Unidades]]*TablaVentas[[#This Row],[Precio_unitario]]*(1-TablaVentas[[#This Row],[Descuento_pct]]))</f>
        <v>10663.52</v>
      </c>
      <c r="P1433" s="6" t="n">
        <f aca="false">IF(TablaVentas[[#This Row],[Costo_unitario]]="","PENDIENTE",TablaVentas[[#This Row],[Unidades]]*TablaVentas[[#This Row],[Costo_unitario]])</f>
        <v>5646.96</v>
      </c>
      <c r="Q1433" s="6" t="n">
        <f aca="false">IF(OR(TablaVentas[[#This Row],[Ingreso_neto]]="PENDIENTE",TablaVentas[[#This Row],[Costo_total]]="PENDIENTE"),"PENDIENTE",TablaVentas[[#This Row],[Ingreso_neto]]-TablaVentas[[#This Row],[Costo_total]])</f>
        <v>5016.56</v>
      </c>
    </row>
    <row r="1434" customFormat="false" ht="13.5" hidden="false" customHeight="false" outlineLevel="0" collapsed="false">
      <c r="A1434" s="1" t="s">
        <v>1003</v>
      </c>
      <c r="B1434" s="1" t="n">
        <v>1</v>
      </c>
      <c r="C1434" s="5" t="n">
        <v>46024</v>
      </c>
      <c r="D1434" s="6" t="s">
        <v>393</v>
      </c>
      <c r="E1434" s="6" t="s">
        <v>116</v>
      </c>
      <c r="F1434" s="6" t="s">
        <v>84</v>
      </c>
      <c r="G1434" s="6" t="s">
        <v>57</v>
      </c>
      <c r="H1434" s="6" t="s">
        <v>136</v>
      </c>
      <c r="I1434" s="1" t="n">
        <v>2</v>
      </c>
      <c r="J1434" s="7" t="n">
        <v>15416.73</v>
      </c>
      <c r="K1434" s="8" t="n">
        <v>0</v>
      </c>
      <c r="L1434" s="7" t="n">
        <v>9880.77</v>
      </c>
      <c r="M1434" s="6" t="s">
        <v>49</v>
      </c>
      <c r="N1434" s="6" t="s">
        <v>50</v>
      </c>
      <c r="O1434" s="6" t="n">
        <f aca="false">IF(TablaVentas[[#This Row],[Precio_unitario]]="","PENDIENTE",TablaVentas[[#This Row],[Unidades]]*TablaVentas[[#This Row],[Precio_unitario]]*(1-TablaVentas[[#This Row],[Descuento_pct]]))</f>
        <v>30833.46</v>
      </c>
      <c r="P1434" s="6" t="n">
        <f aca="false">IF(TablaVentas[[#This Row],[Costo_unitario]]="","PENDIENTE",TablaVentas[[#This Row],[Unidades]]*TablaVentas[[#This Row],[Costo_unitario]])</f>
        <v>19761.54</v>
      </c>
      <c r="Q1434" s="6" t="n">
        <f aca="false">IF(OR(TablaVentas[[#This Row],[Ingreso_neto]]="PENDIENTE",TablaVentas[[#This Row],[Costo_total]]="PENDIENTE"),"PENDIENTE",TablaVentas[[#This Row],[Ingreso_neto]]-TablaVentas[[#This Row],[Costo_total]])</f>
        <v>11071.92</v>
      </c>
    </row>
    <row r="1435" customFormat="false" ht="13.5" hidden="false" customHeight="false" outlineLevel="0" collapsed="false">
      <c r="A1435" s="1" t="s">
        <v>1003</v>
      </c>
      <c r="B1435" s="1" t="n">
        <v>2</v>
      </c>
      <c r="C1435" s="5" t="n">
        <v>46024</v>
      </c>
      <c r="D1435" s="6" t="s">
        <v>393</v>
      </c>
      <c r="E1435" s="6" t="s">
        <v>243</v>
      </c>
      <c r="F1435" s="6" t="s">
        <v>84</v>
      </c>
      <c r="G1435" s="6" t="s">
        <v>57</v>
      </c>
      <c r="H1435" s="6" t="s">
        <v>136</v>
      </c>
      <c r="I1435" s="1" t="n">
        <v>2</v>
      </c>
      <c r="J1435" s="7" t="n">
        <v>9470.25</v>
      </c>
      <c r="K1435" s="8" t="n">
        <v>0.1</v>
      </c>
      <c r="L1435" s="7" t="n">
        <v>8061.7</v>
      </c>
      <c r="M1435" s="6" t="s">
        <v>49</v>
      </c>
      <c r="N1435" s="6" t="s">
        <v>67</v>
      </c>
      <c r="O1435" s="6" t="n">
        <f aca="false">IF(TablaVentas[[#This Row],[Precio_unitario]]="","PENDIENTE",TablaVentas[[#This Row],[Unidades]]*TablaVentas[[#This Row],[Precio_unitario]]*(1-TablaVentas[[#This Row],[Descuento_pct]]))</f>
        <v>17046.45</v>
      </c>
      <c r="P1435" s="6" t="n">
        <f aca="false">IF(TablaVentas[[#This Row],[Costo_unitario]]="","PENDIENTE",TablaVentas[[#This Row],[Unidades]]*TablaVentas[[#This Row],[Costo_unitario]])</f>
        <v>16123.4</v>
      </c>
      <c r="Q1435" s="6" t="n">
        <f aca="false">IF(OR(TablaVentas[[#This Row],[Ingreso_neto]]="PENDIENTE",TablaVentas[[#This Row],[Costo_total]]="PENDIENTE"),"PENDIENTE",TablaVentas[[#This Row],[Ingreso_neto]]-TablaVentas[[#This Row],[Costo_total]])</f>
        <v>923.050000000001</v>
      </c>
    </row>
    <row r="1436" customFormat="false" ht="13.5" hidden="false" customHeight="false" outlineLevel="0" collapsed="false">
      <c r="A1436" s="1" t="s">
        <v>1004</v>
      </c>
      <c r="B1436" s="1" t="n">
        <v>1</v>
      </c>
      <c r="C1436" s="5" t="n">
        <v>46246</v>
      </c>
      <c r="D1436" s="6" t="s">
        <v>551</v>
      </c>
      <c r="E1436" s="6" t="s">
        <v>417</v>
      </c>
      <c r="F1436" s="6" t="s">
        <v>46</v>
      </c>
      <c r="G1436" s="6" t="s">
        <v>57</v>
      </c>
      <c r="H1436" s="6" t="s">
        <v>89</v>
      </c>
      <c r="I1436" s="1" t="n">
        <v>2</v>
      </c>
      <c r="J1436" s="7" t="n">
        <v>7297.6</v>
      </c>
      <c r="K1436" s="8" t="n">
        <v>0</v>
      </c>
      <c r="L1436" s="7" t="n">
        <v>5874.17</v>
      </c>
      <c r="M1436" s="6" t="s">
        <v>49</v>
      </c>
      <c r="N1436" s="6" t="s">
        <v>52</v>
      </c>
      <c r="O1436" s="6" t="n">
        <f aca="false">IF(TablaVentas[[#This Row],[Precio_unitario]]="","PENDIENTE",TablaVentas[[#This Row],[Unidades]]*TablaVentas[[#This Row],[Precio_unitario]]*(1-TablaVentas[[#This Row],[Descuento_pct]]))</f>
        <v>14595.2</v>
      </c>
      <c r="P1436" s="6" t="n">
        <f aca="false">IF(TablaVentas[[#This Row],[Costo_unitario]]="","PENDIENTE",TablaVentas[[#This Row],[Unidades]]*TablaVentas[[#This Row],[Costo_unitario]])</f>
        <v>11748.34</v>
      </c>
      <c r="Q1436" s="6" t="n">
        <f aca="false">IF(OR(TablaVentas[[#This Row],[Ingreso_neto]]="PENDIENTE",TablaVentas[[#This Row],[Costo_total]]="PENDIENTE"),"PENDIENTE",TablaVentas[[#This Row],[Ingreso_neto]]-TablaVentas[[#This Row],[Costo_total]])</f>
        <v>2846.86</v>
      </c>
    </row>
    <row r="1437" customFormat="false" ht="13.5" hidden="false" customHeight="false" outlineLevel="0" collapsed="false">
      <c r="A1437" s="1" t="s">
        <v>1005</v>
      </c>
      <c r="B1437" s="1" t="n">
        <v>1</v>
      </c>
      <c r="C1437" s="5" t="n">
        <v>46089</v>
      </c>
      <c r="D1437" s="6" t="s">
        <v>71</v>
      </c>
      <c r="E1437" s="6" t="s">
        <v>62</v>
      </c>
      <c r="F1437" s="6" t="s">
        <v>84</v>
      </c>
      <c r="G1437" s="6" t="s">
        <v>57</v>
      </c>
      <c r="H1437" s="6" t="s">
        <v>191</v>
      </c>
      <c r="I1437" s="1" t="n">
        <v>1</v>
      </c>
      <c r="J1437" s="7" t="n">
        <v>11775.41</v>
      </c>
      <c r="K1437" s="8" t="n">
        <v>0</v>
      </c>
      <c r="L1437" s="7" t="n">
        <v>6407.85</v>
      </c>
      <c r="M1437" s="6" t="s">
        <v>49</v>
      </c>
      <c r="N1437" s="6" t="s">
        <v>59</v>
      </c>
      <c r="O1437" s="6" t="n">
        <f aca="false">IF(TablaVentas[[#This Row],[Precio_unitario]]="","PENDIENTE",TablaVentas[[#This Row],[Unidades]]*TablaVentas[[#This Row],[Precio_unitario]]*(1-TablaVentas[[#This Row],[Descuento_pct]]))</f>
        <v>11775.41</v>
      </c>
      <c r="P1437" s="6" t="n">
        <f aca="false">IF(TablaVentas[[#This Row],[Costo_unitario]]="","PENDIENTE",TablaVentas[[#This Row],[Unidades]]*TablaVentas[[#This Row],[Costo_unitario]])</f>
        <v>6407.85</v>
      </c>
      <c r="Q1437" s="6" t="n">
        <f aca="false">IF(OR(TablaVentas[[#This Row],[Ingreso_neto]]="PENDIENTE",TablaVentas[[#This Row],[Costo_total]]="PENDIENTE"),"PENDIENTE",TablaVentas[[#This Row],[Ingreso_neto]]-TablaVentas[[#This Row],[Costo_total]])</f>
        <v>5367.56</v>
      </c>
    </row>
    <row r="1438" customFormat="false" ht="13.5" hidden="false" customHeight="false" outlineLevel="0" collapsed="false">
      <c r="A1438" s="1" t="s">
        <v>1005</v>
      </c>
      <c r="B1438" s="1" t="n">
        <v>2</v>
      </c>
      <c r="C1438" s="5" t="n">
        <v>46089</v>
      </c>
      <c r="D1438" s="6" t="s">
        <v>71</v>
      </c>
      <c r="E1438" s="6" t="s">
        <v>190</v>
      </c>
      <c r="F1438" s="6" t="s">
        <v>84</v>
      </c>
      <c r="G1438" s="6" t="s">
        <v>57</v>
      </c>
      <c r="H1438" s="6" t="s">
        <v>191</v>
      </c>
      <c r="I1438" s="1" t="n">
        <v>12</v>
      </c>
      <c r="J1438" s="7" t="n">
        <v>5344.86</v>
      </c>
      <c r="K1438" s="8" t="n">
        <v>0.05</v>
      </c>
      <c r="L1438" s="7" t="n">
        <v>4325.73</v>
      </c>
      <c r="M1438" s="6" t="s">
        <v>49</v>
      </c>
      <c r="N1438" s="6" t="s">
        <v>52</v>
      </c>
      <c r="O1438" s="6" t="n">
        <f aca="false">IF(TablaVentas[[#This Row],[Precio_unitario]]="","PENDIENTE",TablaVentas[[#This Row],[Unidades]]*TablaVentas[[#This Row],[Precio_unitario]]*(1-TablaVentas[[#This Row],[Descuento_pct]]))</f>
        <v>60931.404</v>
      </c>
      <c r="P1438" s="6" t="n">
        <f aca="false">IF(TablaVentas[[#This Row],[Costo_unitario]]="","PENDIENTE",TablaVentas[[#This Row],[Unidades]]*TablaVentas[[#This Row],[Costo_unitario]])</f>
        <v>51908.76</v>
      </c>
      <c r="Q1438" s="6" t="n">
        <f aca="false">IF(OR(TablaVentas[[#This Row],[Ingreso_neto]]="PENDIENTE",TablaVentas[[#This Row],[Costo_total]]="PENDIENTE"),"PENDIENTE",TablaVentas[[#This Row],[Ingreso_neto]]-TablaVentas[[#This Row],[Costo_total]])</f>
        <v>9022.64399999999</v>
      </c>
    </row>
    <row r="1439" customFormat="false" ht="13.5" hidden="false" customHeight="false" outlineLevel="0" collapsed="false">
      <c r="A1439" s="1" t="s">
        <v>1005</v>
      </c>
      <c r="B1439" s="1" t="n">
        <v>3</v>
      </c>
      <c r="C1439" s="5" t="n">
        <v>46089</v>
      </c>
      <c r="D1439" s="6" t="s">
        <v>71</v>
      </c>
      <c r="E1439" s="6" t="s">
        <v>417</v>
      </c>
      <c r="F1439" s="6" t="s">
        <v>84</v>
      </c>
      <c r="G1439" s="6" t="s">
        <v>57</v>
      </c>
      <c r="H1439" s="6" t="s">
        <v>191</v>
      </c>
      <c r="I1439" s="1" t="n">
        <v>1</v>
      </c>
      <c r="J1439" s="7" t="n">
        <v>7617.58</v>
      </c>
      <c r="K1439" s="8" t="n">
        <v>0</v>
      </c>
      <c r="L1439" s="7" t="n">
        <v>5874.17</v>
      </c>
      <c r="M1439" s="6" t="s">
        <v>49</v>
      </c>
      <c r="N1439" s="6" t="s">
        <v>59</v>
      </c>
      <c r="O1439" s="6" t="n">
        <f aca="false">IF(TablaVentas[[#This Row],[Precio_unitario]]="","PENDIENTE",TablaVentas[[#This Row],[Unidades]]*TablaVentas[[#This Row],[Precio_unitario]]*(1-TablaVentas[[#This Row],[Descuento_pct]]))</f>
        <v>7617.58</v>
      </c>
      <c r="P1439" s="6" t="n">
        <f aca="false">IF(TablaVentas[[#This Row],[Costo_unitario]]="","PENDIENTE",TablaVentas[[#This Row],[Unidades]]*TablaVentas[[#This Row],[Costo_unitario]])</f>
        <v>5874.17</v>
      </c>
      <c r="Q1439" s="6" t="n">
        <f aca="false">IF(OR(TablaVentas[[#This Row],[Ingreso_neto]]="PENDIENTE",TablaVentas[[#This Row],[Costo_total]]="PENDIENTE"),"PENDIENTE",TablaVentas[[#This Row],[Ingreso_neto]]-TablaVentas[[#This Row],[Costo_total]])</f>
        <v>1743.41</v>
      </c>
    </row>
    <row r="1440" customFormat="false" ht="13.5" hidden="false" customHeight="false" outlineLevel="0" collapsed="false">
      <c r="A1440" s="1" t="s">
        <v>1005</v>
      </c>
      <c r="B1440" s="1" t="n">
        <v>4</v>
      </c>
      <c r="C1440" s="5" t="n">
        <v>46089</v>
      </c>
      <c r="D1440" s="6" t="s">
        <v>71</v>
      </c>
      <c r="E1440" s="6" t="s">
        <v>260</v>
      </c>
      <c r="F1440" s="6" t="s">
        <v>84</v>
      </c>
      <c r="G1440" s="6" t="s">
        <v>57</v>
      </c>
      <c r="H1440" s="6" t="s">
        <v>191</v>
      </c>
      <c r="I1440" s="1" t="n">
        <v>2</v>
      </c>
      <c r="J1440" s="7" t="n">
        <v>3200.11</v>
      </c>
      <c r="K1440" s="8" t="n">
        <v>0.05</v>
      </c>
      <c r="L1440" s="7" t="n">
        <v>2486.18</v>
      </c>
      <c r="M1440" s="6" t="s">
        <v>49</v>
      </c>
      <c r="N1440" s="6" t="s">
        <v>50</v>
      </c>
      <c r="O1440" s="6" t="n">
        <f aca="false">IF(TablaVentas[[#This Row],[Precio_unitario]]="","PENDIENTE",TablaVentas[[#This Row],[Unidades]]*TablaVentas[[#This Row],[Precio_unitario]]*(1-TablaVentas[[#This Row],[Descuento_pct]]))</f>
        <v>6080.209</v>
      </c>
      <c r="P1440" s="6" t="n">
        <f aca="false">IF(TablaVentas[[#This Row],[Costo_unitario]]="","PENDIENTE",TablaVentas[[#This Row],[Unidades]]*TablaVentas[[#This Row],[Costo_unitario]])</f>
        <v>4972.36</v>
      </c>
      <c r="Q1440" s="6" t="n">
        <f aca="false">IF(OR(TablaVentas[[#This Row],[Ingreso_neto]]="PENDIENTE",TablaVentas[[#This Row],[Costo_total]]="PENDIENTE"),"PENDIENTE",TablaVentas[[#This Row],[Ingreso_neto]]-TablaVentas[[#This Row],[Costo_total]])</f>
        <v>1107.849</v>
      </c>
    </row>
    <row r="1441" customFormat="false" ht="13.5" hidden="false" customHeight="false" outlineLevel="0" collapsed="false">
      <c r="A1441" s="1" t="s">
        <v>1006</v>
      </c>
      <c r="B1441" s="1" t="n">
        <v>1</v>
      </c>
      <c r="C1441" s="5" t="n">
        <v>46244</v>
      </c>
      <c r="D1441" s="6" t="s">
        <v>993</v>
      </c>
      <c r="E1441" s="6" t="s">
        <v>192</v>
      </c>
      <c r="F1441" s="6" t="s">
        <v>46</v>
      </c>
      <c r="G1441" s="6" t="s">
        <v>47</v>
      </c>
      <c r="H1441" s="6" t="s">
        <v>65</v>
      </c>
      <c r="I1441" s="1" t="n">
        <v>3</v>
      </c>
      <c r="J1441" s="7" t="n">
        <v>16845.3</v>
      </c>
      <c r="K1441" s="8" t="n">
        <v>0</v>
      </c>
      <c r="L1441" s="7" t="n">
        <v>11904.09</v>
      </c>
      <c r="M1441" s="6" t="s">
        <v>49</v>
      </c>
      <c r="N1441" s="6" t="s">
        <v>59</v>
      </c>
      <c r="O1441" s="6" t="n">
        <f aca="false">IF(TablaVentas[[#This Row],[Precio_unitario]]="","PENDIENTE",TablaVentas[[#This Row],[Unidades]]*TablaVentas[[#This Row],[Precio_unitario]]*(1-TablaVentas[[#This Row],[Descuento_pct]]))</f>
        <v>50535.9</v>
      </c>
      <c r="P1441" s="6" t="n">
        <f aca="false">IF(TablaVentas[[#This Row],[Costo_unitario]]="","PENDIENTE",TablaVentas[[#This Row],[Unidades]]*TablaVentas[[#This Row],[Costo_unitario]])</f>
        <v>35712.27</v>
      </c>
      <c r="Q1441" s="6" t="n">
        <f aca="false">IF(OR(TablaVentas[[#This Row],[Ingreso_neto]]="PENDIENTE",TablaVentas[[#This Row],[Costo_total]]="PENDIENTE"),"PENDIENTE",TablaVentas[[#This Row],[Ingreso_neto]]-TablaVentas[[#This Row],[Costo_total]])</f>
        <v>14823.63</v>
      </c>
    </row>
    <row r="1442" customFormat="false" ht="13.5" hidden="false" customHeight="false" outlineLevel="0" collapsed="false">
      <c r="A1442" s="1" t="s">
        <v>1006</v>
      </c>
      <c r="B1442" s="1" t="n">
        <v>2</v>
      </c>
      <c r="C1442" s="5" t="n">
        <v>46244</v>
      </c>
      <c r="D1442" s="6" t="s">
        <v>993</v>
      </c>
      <c r="E1442" s="6" t="s">
        <v>200</v>
      </c>
      <c r="F1442" s="6" t="s">
        <v>46</v>
      </c>
      <c r="G1442" s="6" t="s">
        <v>47</v>
      </c>
      <c r="H1442" s="6" t="s">
        <v>65</v>
      </c>
      <c r="I1442" s="1" t="n">
        <v>1</v>
      </c>
      <c r="J1442" s="7" t="n">
        <v>11743.99</v>
      </c>
      <c r="K1442" s="8" t="n">
        <v>0.05</v>
      </c>
      <c r="L1442" s="7" t="n">
        <v>5811.72</v>
      </c>
      <c r="M1442" s="6" t="s">
        <v>49</v>
      </c>
      <c r="N1442" s="6" t="s">
        <v>52</v>
      </c>
      <c r="O1442" s="6" t="n">
        <f aca="false">IF(TablaVentas[[#This Row],[Precio_unitario]]="","PENDIENTE",TablaVentas[[#This Row],[Unidades]]*TablaVentas[[#This Row],[Precio_unitario]]*(1-TablaVentas[[#This Row],[Descuento_pct]]))</f>
        <v>11156.7905</v>
      </c>
      <c r="P1442" s="6" t="n">
        <f aca="false">IF(TablaVentas[[#This Row],[Costo_unitario]]="","PENDIENTE",TablaVentas[[#This Row],[Unidades]]*TablaVentas[[#This Row],[Costo_unitario]])</f>
        <v>5811.72</v>
      </c>
      <c r="Q1442" s="6" t="n">
        <f aca="false">IF(OR(TablaVentas[[#This Row],[Ingreso_neto]]="PENDIENTE",TablaVentas[[#This Row],[Costo_total]]="PENDIENTE"),"PENDIENTE",TablaVentas[[#This Row],[Ingreso_neto]]-TablaVentas[[#This Row],[Costo_total]])</f>
        <v>5345.0705</v>
      </c>
    </row>
    <row r="1443" customFormat="false" ht="13.5" hidden="false" customHeight="false" outlineLevel="0" collapsed="false">
      <c r="A1443" s="1" t="s">
        <v>1007</v>
      </c>
      <c r="B1443" s="1" t="n">
        <v>1</v>
      </c>
      <c r="C1443" s="5" t="n">
        <v>46151</v>
      </c>
      <c r="D1443" s="6" t="s">
        <v>897</v>
      </c>
      <c r="E1443" s="6" t="s">
        <v>265</v>
      </c>
      <c r="F1443" s="6" t="s">
        <v>46</v>
      </c>
      <c r="G1443" s="6" t="s">
        <v>64</v>
      </c>
      <c r="H1443" s="6" t="s">
        <v>65</v>
      </c>
      <c r="I1443" s="1" t="n">
        <v>3</v>
      </c>
      <c r="J1443" s="7" t="n">
        <v>3546.84</v>
      </c>
      <c r="K1443" s="8" t="n">
        <v>0.15</v>
      </c>
      <c r="L1443" s="7" t="n">
        <v>2008.57</v>
      </c>
      <c r="M1443" s="6" t="s">
        <v>123</v>
      </c>
      <c r="N1443" s="6" t="s">
        <v>59</v>
      </c>
      <c r="O1443" s="6" t="n">
        <f aca="false">IF(TablaVentas[[#This Row],[Precio_unitario]]="","PENDIENTE",TablaVentas[[#This Row],[Unidades]]*TablaVentas[[#This Row],[Precio_unitario]]*(1-TablaVentas[[#This Row],[Descuento_pct]]))</f>
        <v>9044.442</v>
      </c>
      <c r="P1443" s="6" t="n">
        <f aca="false">IF(TablaVentas[[#This Row],[Costo_unitario]]="","PENDIENTE",TablaVentas[[#This Row],[Unidades]]*TablaVentas[[#This Row],[Costo_unitario]])</f>
        <v>6025.71</v>
      </c>
      <c r="Q1443" s="6" t="n">
        <f aca="false">IF(OR(TablaVentas[[#This Row],[Ingreso_neto]]="PENDIENTE",TablaVentas[[#This Row],[Costo_total]]="PENDIENTE"),"PENDIENTE",TablaVentas[[#This Row],[Ingreso_neto]]-TablaVentas[[#This Row],[Costo_total]])</f>
        <v>3018.732</v>
      </c>
    </row>
    <row r="1444" customFormat="false" ht="13.5" hidden="false" customHeight="false" outlineLevel="0" collapsed="false">
      <c r="A1444" s="1" t="s">
        <v>1008</v>
      </c>
      <c r="B1444" s="1" t="n">
        <v>1</v>
      </c>
      <c r="C1444" s="5" t="n">
        <v>46248</v>
      </c>
      <c r="D1444" s="6" t="s">
        <v>789</v>
      </c>
      <c r="E1444" s="6" t="s">
        <v>233</v>
      </c>
      <c r="F1444" s="6" t="s">
        <v>46</v>
      </c>
      <c r="G1444" s="6" t="s">
        <v>47</v>
      </c>
      <c r="H1444" s="6" t="s">
        <v>58</v>
      </c>
      <c r="I1444" s="1" t="n">
        <v>1</v>
      </c>
      <c r="J1444" s="7" t="n">
        <v>17496.18</v>
      </c>
      <c r="K1444" s="8" t="n">
        <v>0.1</v>
      </c>
      <c r="L1444" s="7" t="n">
        <v>9976.68</v>
      </c>
      <c r="M1444" s="6" t="s">
        <v>49</v>
      </c>
      <c r="N1444" s="6" t="s">
        <v>50</v>
      </c>
      <c r="O1444" s="6" t="n">
        <f aca="false">IF(TablaVentas[[#This Row],[Precio_unitario]]="","PENDIENTE",TablaVentas[[#This Row],[Unidades]]*TablaVentas[[#This Row],[Precio_unitario]]*(1-TablaVentas[[#This Row],[Descuento_pct]]))</f>
        <v>15746.562</v>
      </c>
      <c r="P1444" s="6" t="n">
        <f aca="false">IF(TablaVentas[[#This Row],[Costo_unitario]]="","PENDIENTE",TablaVentas[[#This Row],[Unidades]]*TablaVentas[[#This Row],[Costo_unitario]])</f>
        <v>9976.68</v>
      </c>
      <c r="Q1444" s="6" t="n">
        <f aca="false">IF(OR(TablaVentas[[#This Row],[Ingreso_neto]]="PENDIENTE",TablaVentas[[#This Row],[Costo_total]]="PENDIENTE"),"PENDIENTE",TablaVentas[[#This Row],[Ingreso_neto]]-TablaVentas[[#This Row],[Costo_total]])</f>
        <v>5769.882</v>
      </c>
    </row>
    <row r="1445" customFormat="false" ht="13.5" hidden="false" customHeight="false" outlineLevel="0" collapsed="false">
      <c r="A1445" s="1" t="s">
        <v>1008</v>
      </c>
      <c r="B1445" s="1" t="n">
        <v>2</v>
      </c>
      <c r="C1445" s="5" t="n">
        <v>46248</v>
      </c>
      <c r="D1445" s="6" t="s">
        <v>789</v>
      </c>
      <c r="E1445" s="6" t="s">
        <v>75</v>
      </c>
      <c r="F1445" s="6" t="s">
        <v>46</v>
      </c>
      <c r="G1445" s="6" t="s">
        <v>47</v>
      </c>
      <c r="H1445" s="6" t="s">
        <v>58</v>
      </c>
      <c r="I1445" s="1" t="n">
        <v>2</v>
      </c>
      <c r="J1445" s="7" t="n">
        <v>15513.37</v>
      </c>
      <c r="K1445" s="8" t="n">
        <v>0</v>
      </c>
      <c r="L1445" s="7" t="n">
        <v>9243.35</v>
      </c>
      <c r="M1445" s="6" t="s">
        <v>49</v>
      </c>
      <c r="N1445" s="6" t="s">
        <v>67</v>
      </c>
      <c r="O1445" s="6" t="n">
        <f aca="false">IF(TablaVentas[[#This Row],[Precio_unitario]]="","PENDIENTE",TablaVentas[[#This Row],[Unidades]]*TablaVentas[[#This Row],[Precio_unitario]]*(1-TablaVentas[[#This Row],[Descuento_pct]]))</f>
        <v>31026.74</v>
      </c>
      <c r="P1445" s="6" t="n">
        <f aca="false">IF(TablaVentas[[#This Row],[Costo_unitario]]="","PENDIENTE",TablaVentas[[#This Row],[Unidades]]*TablaVentas[[#This Row],[Costo_unitario]])</f>
        <v>18486.7</v>
      </c>
      <c r="Q1445" s="6" t="n">
        <f aca="false">IF(OR(TablaVentas[[#This Row],[Ingreso_neto]]="PENDIENTE",TablaVentas[[#This Row],[Costo_total]]="PENDIENTE"),"PENDIENTE",TablaVentas[[#This Row],[Ingreso_neto]]-TablaVentas[[#This Row],[Costo_total]])</f>
        <v>12540.04</v>
      </c>
    </row>
    <row r="1446" customFormat="false" ht="13.5" hidden="false" customHeight="false" outlineLevel="0" collapsed="false">
      <c r="A1446" s="1" t="s">
        <v>1009</v>
      </c>
      <c r="B1446" s="1" t="n">
        <v>1</v>
      </c>
      <c r="C1446" s="5" t="n">
        <v>46146</v>
      </c>
      <c r="D1446" s="6" t="s">
        <v>521</v>
      </c>
      <c r="E1446" s="6" t="s">
        <v>230</v>
      </c>
      <c r="F1446" s="6" t="s">
        <v>73</v>
      </c>
      <c r="G1446" s="6" t="s">
        <v>47</v>
      </c>
      <c r="H1446" s="6" t="s">
        <v>89</v>
      </c>
      <c r="I1446" s="1" t="n">
        <v>4</v>
      </c>
      <c r="J1446" s="7" t="n">
        <v>6318.49</v>
      </c>
      <c r="K1446" s="8" t="n">
        <v>0</v>
      </c>
      <c r="L1446" s="7" t="n">
        <v>3298.19</v>
      </c>
      <c r="M1446" s="6" t="s">
        <v>49</v>
      </c>
      <c r="N1446" s="6" t="s">
        <v>52</v>
      </c>
      <c r="O1446" s="6" t="n">
        <f aca="false">IF(TablaVentas[[#This Row],[Precio_unitario]]="","PENDIENTE",TablaVentas[[#This Row],[Unidades]]*TablaVentas[[#This Row],[Precio_unitario]]*(1-TablaVentas[[#This Row],[Descuento_pct]]))</f>
        <v>25273.96</v>
      </c>
      <c r="P1446" s="6" t="n">
        <f aca="false">IF(TablaVentas[[#This Row],[Costo_unitario]]="","PENDIENTE",TablaVentas[[#This Row],[Unidades]]*TablaVentas[[#This Row],[Costo_unitario]])</f>
        <v>13192.76</v>
      </c>
      <c r="Q1446" s="6" t="n">
        <f aca="false">IF(OR(TablaVentas[[#This Row],[Ingreso_neto]]="PENDIENTE",TablaVentas[[#This Row],[Costo_total]]="PENDIENTE"),"PENDIENTE",TablaVentas[[#This Row],[Ingreso_neto]]-TablaVentas[[#This Row],[Costo_total]])</f>
        <v>12081.2</v>
      </c>
    </row>
    <row r="1447" customFormat="false" ht="13.5" hidden="false" customHeight="false" outlineLevel="0" collapsed="false">
      <c r="A1447" s="1" t="s">
        <v>1009</v>
      </c>
      <c r="B1447" s="1" t="n">
        <v>2</v>
      </c>
      <c r="C1447" s="5" t="n">
        <v>46146</v>
      </c>
      <c r="D1447" s="6" t="s">
        <v>521</v>
      </c>
      <c r="E1447" s="6" t="s">
        <v>203</v>
      </c>
      <c r="F1447" s="6" t="s">
        <v>73</v>
      </c>
      <c r="G1447" s="6" t="s">
        <v>47</v>
      </c>
      <c r="H1447" s="6" t="s">
        <v>89</v>
      </c>
      <c r="I1447" s="1" t="n">
        <v>3</v>
      </c>
      <c r="J1447" s="7" t="n">
        <v>727.48</v>
      </c>
      <c r="K1447" s="8" t="n">
        <v>0.15</v>
      </c>
      <c r="L1447" s="7" t="n">
        <v>485.16</v>
      </c>
      <c r="M1447" s="6" t="s">
        <v>49</v>
      </c>
      <c r="N1447" s="6" t="s">
        <v>59</v>
      </c>
      <c r="O1447" s="6" t="n">
        <f aca="false">IF(TablaVentas[[#This Row],[Precio_unitario]]="","PENDIENTE",TablaVentas[[#This Row],[Unidades]]*TablaVentas[[#This Row],[Precio_unitario]]*(1-TablaVentas[[#This Row],[Descuento_pct]]))</f>
        <v>1855.074</v>
      </c>
      <c r="P1447" s="6" t="n">
        <f aca="false">IF(TablaVentas[[#This Row],[Costo_unitario]]="","PENDIENTE",TablaVentas[[#This Row],[Unidades]]*TablaVentas[[#This Row],[Costo_unitario]])</f>
        <v>1455.48</v>
      </c>
      <c r="Q1447" s="6" t="n">
        <f aca="false">IF(OR(TablaVentas[[#This Row],[Ingreso_neto]]="PENDIENTE",TablaVentas[[#This Row],[Costo_total]]="PENDIENTE"),"PENDIENTE",TablaVentas[[#This Row],[Ingreso_neto]]-TablaVentas[[#This Row],[Costo_total]])</f>
        <v>399.594</v>
      </c>
    </row>
    <row r="1448" customFormat="false" ht="13.5" hidden="false" customHeight="false" outlineLevel="0" collapsed="false">
      <c r="A1448" s="1" t="s">
        <v>1010</v>
      </c>
      <c r="B1448" s="1" t="n">
        <v>1</v>
      </c>
      <c r="C1448" s="5" t="n">
        <v>46222</v>
      </c>
      <c r="D1448" s="6" t="s">
        <v>521</v>
      </c>
      <c r="E1448" s="6" t="s">
        <v>126</v>
      </c>
      <c r="F1448" s="6" t="s">
        <v>73</v>
      </c>
      <c r="G1448" s="6" t="s">
        <v>64</v>
      </c>
      <c r="H1448" s="6" t="s">
        <v>80</v>
      </c>
      <c r="I1448" s="1" t="n">
        <v>1</v>
      </c>
      <c r="J1448" s="7" t="n">
        <v>8400.69</v>
      </c>
      <c r="K1448" s="8" t="n">
        <v>0.05</v>
      </c>
      <c r="L1448" s="7" t="n">
        <v>6981.94</v>
      </c>
      <c r="M1448" s="6" t="s">
        <v>49</v>
      </c>
      <c r="N1448" s="6" t="s">
        <v>52</v>
      </c>
      <c r="O1448" s="6" t="n">
        <f aca="false">IF(TablaVentas[[#This Row],[Precio_unitario]]="","PENDIENTE",TablaVentas[[#This Row],[Unidades]]*TablaVentas[[#This Row],[Precio_unitario]]*(1-TablaVentas[[#This Row],[Descuento_pct]]))</f>
        <v>7980.6555</v>
      </c>
      <c r="P1448" s="6" t="n">
        <f aca="false">IF(TablaVentas[[#This Row],[Costo_unitario]]="","PENDIENTE",TablaVentas[[#This Row],[Unidades]]*TablaVentas[[#This Row],[Costo_unitario]])</f>
        <v>6981.94</v>
      </c>
      <c r="Q1448" s="6" t="n">
        <f aca="false">IF(OR(TablaVentas[[#This Row],[Ingreso_neto]]="PENDIENTE",TablaVentas[[#This Row],[Costo_total]]="PENDIENTE"),"PENDIENTE",TablaVentas[[#This Row],[Ingreso_neto]]-TablaVentas[[#This Row],[Costo_total]])</f>
        <v>998.7155</v>
      </c>
    </row>
    <row r="1449" customFormat="false" ht="13.5" hidden="false" customHeight="false" outlineLevel="0" collapsed="false">
      <c r="A1449" s="1" t="s">
        <v>1010</v>
      </c>
      <c r="B1449" s="1" t="n">
        <v>2</v>
      </c>
      <c r="C1449" s="5" t="n">
        <v>46222</v>
      </c>
      <c r="D1449" s="6" t="s">
        <v>521</v>
      </c>
      <c r="E1449" s="6" t="s">
        <v>374</v>
      </c>
      <c r="F1449" s="6" t="s">
        <v>73</v>
      </c>
      <c r="G1449" s="6" t="s">
        <v>64</v>
      </c>
      <c r="H1449" s="6" t="s">
        <v>80</v>
      </c>
      <c r="I1449" s="1" t="n">
        <v>3</v>
      </c>
      <c r="J1449" s="7" t="n">
        <v>9091.47</v>
      </c>
      <c r="K1449" s="8" t="n">
        <v>0.1</v>
      </c>
      <c r="L1449" s="7" t="n">
        <v>5079.43</v>
      </c>
      <c r="M1449" s="6" t="s">
        <v>49</v>
      </c>
      <c r="N1449" s="6" t="s">
        <v>52</v>
      </c>
      <c r="O1449" s="6" t="n">
        <f aca="false">IF(TablaVentas[[#This Row],[Precio_unitario]]="","PENDIENTE",TablaVentas[[#This Row],[Unidades]]*TablaVentas[[#This Row],[Precio_unitario]]*(1-TablaVentas[[#This Row],[Descuento_pct]]))</f>
        <v>24546.969</v>
      </c>
      <c r="P1449" s="6" t="n">
        <f aca="false">IF(TablaVentas[[#This Row],[Costo_unitario]]="","PENDIENTE",TablaVentas[[#This Row],[Unidades]]*TablaVentas[[#This Row],[Costo_unitario]])</f>
        <v>15238.29</v>
      </c>
      <c r="Q1449" s="6" t="n">
        <f aca="false">IF(OR(TablaVentas[[#This Row],[Ingreso_neto]]="PENDIENTE",TablaVentas[[#This Row],[Costo_total]]="PENDIENTE"),"PENDIENTE",TablaVentas[[#This Row],[Ingreso_neto]]-TablaVentas[[#This Row],[Costo_total]])</f>
        <v>9308.679</v>
      </c>
    </row>
    <row r="1450" customFormat="false" ht="13.5" hidden="false" customHeight="false" outlineLevel="0" collapsed="false">
      <c r="A1450" s="1" t="s">
        <v>1011</v>
      </c>
      <c r="B1450" s="1" t="n">
        <v>1</v>
      </c>
      <c r="C1450" s="5" t="n">
        <v>46247</v>
      </c>
      <c r="D1450" s="6" t="s">
        <v>1012</v>
      </c>
      <c r="E1450" s="6" t="s">
        <v>76</v>
      </c>
      <c r="F1450" s="6" t="s">
        <v>73</v>
      </c>
      <c r="G1450" s="6" t="s">
        <v>57</v>
      </c>
      <c r="H1450" s="6" t="s">
        <v>109</v>
      </c>
      <c r="I1450" s="1" t="n">
        <v>3</v>
      </c>
      <c r="J1450" s="7" t="n">
        <v>12415.93</v>
      </c>
      <c r="K1450" s="8" t="n">
        <v>0.2</v>
      </c>
      <c r="L1450" s="7" t="n">
        <v>10094.26</v>
      </c>
      <c r="M1450" s="6" t="s">
        <v>123</v>
      </c>
      <c r="N1450" s="6" t="s">
        <v>59</v>
      </c>
      <c r="O1450" s="6" t="n">
        <f aca="false">IF(TablaVentas[[#This Row],[Precio_unitario]]="","PENDIENTE",TablaVentas[[#This Row],[Unidades]]*TablaVentas[[#This Row],[Precio_unitario]]*(1-TablaVentas[[#This Row],[Descuento_pct]]))</f>
        <v>29798.232</v>
      </c>
      <c r="P1450" s="6" t="n">
        <f aca="false">IF(TablaVentas[[#This Row],[Costo_unitario]]="","PENDIENTE",TablaVentas[[#This Row],[Unidades]]*TablaVentas[[#This Row],[Costo_unitario]])</f>
        <v>30282.78</v>
      </c>
      <c r="Q1450" s="6" t="n">
        <f aca="false">IF(OR(TablaVentas[[#This Row],[Ingreso_neto]]="PENDIENTE",TablaVentas[[#This Row],[Costo_total]]="PENDIENTE"),"PENDIENTE",TablaVentas[[#This Row],[Ingreso_neto]]-TablaVentas[[#This Row],[Costo_total]])</f>
        <v>-484.547999999995</v>
      </c>
    </row>
    <row r="1451" customFormat="false" ht="13.5" hidden="false" customHeight="false" outlineLevel="0" collapsed="false">
      <c r="A1451" s="1" t="s">
        <v>1013</v>
      </c>
      <c r="B1451" s="1" t="n">
        <v>1</v>
      </c>
      <c r="C1451" s="5" t="n">
        <v>46272</v>
      </c>
      <c r="D1451" s="6" t="s">
        <v>1014</v>
      </c>
      <c r="E1451" s="6" t="s">
        <v>353</v>
      </c>
      <c r="F1451" s="6" t="s">
        <v>46</v>
      </c>
      <c r="G1451" s="6" t="s">
        <v>57</v>
      </c>
      <c r="H1451" s="6" t="s">
        <v>48</v>
      </c>
      <c r="I1451" s="1" t="n">
        <v>2</v>
      </c>
      <c r="J1451" s="7" t="n">
        <v>2138</v>
      </c>
      <c r="K1451" s="8" t="n">
        <v>0.15</v>
      </c>
      <c r="L1451" s="7" t="n">
        <v>1175.74</v>
      </c>
      <c r="M1451" s="6" t="s">
        <v>49</v>
      </c>
      <c r="N1451" s="6" t="s">
        <v>67</v>
      </c>
      <c r="O1451" s="6" t="n">
        <f aca="false">IF(TablaVentas[[#This Row],[Precio_unitario]]="","PENDIENTE",TablaVentas[[#This Row],[Unidades]]*TablaVentas[[#This Row],[Precio_unitario]]*(1-TablaVentas[[#This Row],[Descuento_pct]]))</f>
        <v>3634.6</v>
      </c>
      <c r="P1451" s="6" t="n">
        <f aca="false">IF(TablaVentas[[#This Row],[Costo_unitario]]="","PENDIENTE",TablaVentas[[#This Row],[Unidades]]*TablaVentas[[#This Row],[Costo_unitario]])</f>
        <v>2351.48</v>
      </c>
      <c r="Q1451" s="6" t="n">
        <f aca="false">IF(OR(TablaVentas[[#This Row],[Ingreso_neto]]="PENDIENTE",TablaVentas[[#This Row],[Costo_total]]="PENDIENTE"),"PENDIENTE",TablaVentas[[#This Row],[Ingreso_neto]]-TablaVentas[[#This Row],[Costo_total]])</f>
        <v>1283.12</v>
      </c>
    </row>
    <row r="1452" customFormat="false" ht="13.5" hidden="false" customHeight="false" outlineLevel="0" collapsed="false">
      <c r="A1452" s="1" t="s">
        <v>1015</v>
      </c>
      <c r="B1452" s="1" t="n">
        <v>1</v>
      </c>
      <c r="C1452" s="5" t="n">
        <v>46290</v>
      </c>
      <c r="D1452" s="6" t="s">
        <v>840</v>
      </c>
      <c r="E1452" s="6" t="s">
        <v>158</v>
      </c>
      <c r="F1452" s="6" t="s">
        <v>63</v>
      </c>
      <c r="G1452" s="6" t="s">
        <v>64</v>
      </c>
      <c r="H1452" s="6" t="s">
        <v>89</v>
      </c>
      <c r="I1452" s="1" t="n">
        <v>1</v>
      </c>
      <c r="J1452" s="7" t="n">
        <v>17252.93</v>
      </c>
      <c r="K1452" s="8" t="n">
        <v>0.15</v>
      </c>
      <c r="L1452" s="7" t="n">
        <v>8963.23</v>
      </c>
      <c r="M1452" s="6" t="s">
        <v>49</v>
      </c>
      <c r="N1452" s="6" t="s">
        <v>50</v>
      </c>
      <c r="O1452" s="6" t="n">
        <f aca="false">IF(TablaVentas[[#This Row],[Precio_unitario]]="","PENDIENTE",TablaVentas[[#This Row],[Unidades]]*TablaVentas[[#This Row],[Precio_unitario]]*(1-TablaVentas[[#This Row],[Descuento_pct]]))</f>
        <v>14664.9905</v>
      </c>
      <c r="P1452" s="6" t="n">
        <f aca="false">IF(TablaVentas[[#This Row],[Costo_unitario]]="","PENDIENTE",TablaVentas[[#This Row],[Unidades]]*TablaVentas[[#This Row],[Costo_unitario]])</f>
        <v>8963.23</v>
      </c>
      <c r="Q1452" s="6" t="n">
        <f aca="false">IF(OR(TablaVentas[[#This Row],[Ingreso_neto]]="PENDIENTE",TablaVentas[[#This Row],[Costo_total]]="PENDIENTE"),"PENDIENTE",TablaVentas[[#This Row],[Ingreso_neto]]-TablaVentas[[#This Row],[Costo_total]])</f>
        <v>5701.7605</v>
      </c>
    </row>
    <row r="1453" customFormat="false" ht="13.5" hidden="false" customHeight="false" outlineLevel="0" collapsed="false">
      <c r="A1453" s="1" t="s">
        <v>1015</v>
      </c>
      <c r="B1453" s="1" t="n">
        <v>2</v>
      </c>
      <c r="C1453" s="5" t="n">
        <v>46290</v>
      </c>
      <c r="D1453" s="6" t="s">
        <v>840</v>
      </c>
      <c r="E1453" s="6" t="s">
        <v>192</v>
      </c>
      <c r="F1453" s="6" t="s">
        <v>63</v>
      </c>
      <c r="G1453" s="6" t="s">
        <v>64</v>
      </c>
      <c r="H1453" s="6" t="s">
        <v>89</v>
      </c>
      <c r="I1453" s="1" t="n">
        <v>1</v>
      </c>
      <c r="J1453" s="7" t="n">
        <v>17906.58</v>
      </c>
      <c r="K1453" s="8" t="n">
        <v>0</v>
      </c>
      <c r="L1453" s="7" t="n">
        <v>11904.09</v>
      </c>
      <c r="M1453" s="6" t="s">
        <v>49</v>
      </c>
      <c r="N1453" s="6" t="s">
        <v>67</v>
      </c>
      <c r="O1453" s="6" t="n">
        <f aca="false">IF(TablaVentas[[#This Row],[Precio_unitario]]="","PENDIENTE",TablaVentas[[#This Row],[Unidades]]*TablaVentas[[#This Row],[Precio_unitario]]*(1-TablaVentas[[#This Row],[Descuento_pct]]))</f>
        <v>17906.58</v>
      </c>
      <c r="P1453" s="6" t="n">
        <f aca="false">IF(TablaVentas[[#This Row],[Costo_unitario]]="","PENDIENTE",TablaVentas[[#This Row],[Unidades]]*TablaVentas[[#This Row],[Costo_unitario]])</f>
        <v>11904.09</v>
      </c>
      <c r="Q1453" s="6" t="n">
        <f aca="false">IF(OR(TablaVentas[[#This Row],[Ingreso_neto]]="PENDIENTE",TablaVentas[[#This Row],[Costo_total]]="PENDIENTE"),"PENDIENTE",TablaVentas[[#This Row],[Ingreso_neto]]-TablaVentas[[#This Row],[Costo_total]])</f>
        <v>6002.49</v>
      </c>
    </row>
    <row r="1454" customFormat="false" ht="13.5" hidden="false" customHeight="false" outlineLevel="0" collapsed="false">
      <c r="A1454" s="1" t="s">
        <v>1016</v>
      </c>
      <c r="B1454" s="1" t="n">
        <v>1</v>
      </c>
      <c r="C1454" s="5" t="n">
        <v>46037</v>
      </c>
      <c r="D1454" s="6" t="s">
        <v>502</v>
      </c>
      <c r="E1454" s="6" t="s">
        <v>92</v>
      </c>
      <c r="F1454" s="6" t="s">
        <v>46</v>
      </c>
      <c r="G1454" s="6" t="s">
        <v>64</v>
      </c>
      <c r="H1454" s="6" t="s">
        <v>48</v>
      </c>
      <c r="I1454" s="1" t="n">
        <v>1</v>
      </c>
      <c r="J1454" s="7" t="n">
        <v>537.45</v>
      </c>
      <c r="K1454" s="8" t="n">
        <v>0.1</v>
      </c>
      <c r="L1454" s="7" t="n">
        <v>307.75</v>
      </c>
      <c r="M1454" s="6" t="s">
        <v>49</v>
      </c>
      <c r="N1454" s="6" t="s">
        <v>67</v>
      </c>
      <c r="O1454" s="6" t="n">
        <f aca="false">IF(TablaVentas[[#This Row],[Precio_unitario]]="","PENDIENTE",TablaVentas[[#This Row],[Unidades]]*TablaVentas[[#This Row],[Precio_unitario]]*(1-TablaVentas[[#This Row],[Descuento_pct]]))</f>
        <v>483.705</v>
      </c>
      <c r="P1454" s="6" t="n">
        <f aca="false">IF(TablaVentas[[#This Row],[Costo_unitario]]="","PENDIENTE",TablaVentas[[#This Row],[Unidades]]*TablaVentas[[#This Row],[Costo_unitario]])</f>
        <v>307.75</v>
      </c>
      <c r="Q1454" s="6" t="n">
        <f aca="false">IF(OR(TablaVentas[[#This Row],[Ingreso_neto]]="PENDIENTE",TablaVentas[[#This Row],[Costo_total]]="PENDIENTE"),"PENDIENTE",TablaVentas[[#This Row],[Ingreso_neto]]-TablaVentas[[#This Row],[Costo_total]])</f>
        <v>175.955</v>
      </c>
    </row>
    <row r="1455" customFormat="false" ht="13.5" hidden="false" customHeight="false" outlineLevel="0" collapsed="false">
      <c r="A1455" s="1" t="s">
        <v>1016</v>
      </c>
      <c r="B1455" s="1" t="n">
        <v>2</v>
      </c>
      <c r="C1455" s="5" t="n">
        <v>46037</v>
      </c>
      <c r="D1455" s="6" t="s">
        <v>502</v>
      </c>
      <c r="E1455" s="6" t="s">
        <v>62</v>
      </c>
      <c r="F1455" s="6" t="s">
        <v>46</v>
      </c>
      <c r="G1455" s="6" t="s">
        <v>64</v>
      </c>
      <c r="H1455" s="6" t="s">
        <v>48</v>
      </c>
      <c r="I1455" s="1" t="n">
        <v>1</v>
      </c>
      <c r="J1455" s="7" t="n">
        <v>12502.44</v>
      </c>
      <c r="K1455" s="8" t="n">
        <v>0.05</v>
      </c>
      <c r="L1455" s="7" t="n">
        <v>6407.85</v>
      </c>
      <c r="M1455" s="6" t="s">
        <v>49</v>
      </c>
      <c r="N1455" s="6" t="s">
        <v>59</v>
      </c>
      <c r="O1455" s="6" t="n">
        <f aca="false">IF(TablaVentas[[#This Row],[Precio_unitario]]="","PENDIENTE",TablaVentas[[#This Row],[Unidades]]*TablaVentas[[#This Row],[Precio_unitario]]*(1-TablaVentas[[#This Row],[Descuento_pct]]))</f>
        <v>11877.318</v>
      </c>
      <c r="P1455" s="6" t="n">
        <f aca="false">IF(TablaVentas[[#This Row],[Costo_unitario]]="","PENDIENTE",TablaVentas[[#This Row],[Unidades]]*TablaVentas[[#This Row],[Costo_unitario]])</f>
        <v>6407.85</v>
      </c>
      <c r="Q1455" s="6" t="n">
        <f aca="false">IF(OR(TablaVentas[[#This Row],[Ingreso_neto]]="PENDIENTE",TablaVentas[[#This Row],[Costo_total]]="PENDIENTE"),"PENDIENTE",TablaVentas[[#This Row],[Ingreso_neto]]-TablaVentas[[#This Row],[Costo_total]])</f>
        <v>5469.468</v>
      </c>
    </row>
    <row r="1456" customFormat="false" ht="13.5" hidden="false" customHeight="false" outlineLevel="0" collapsed="false">
      <c r="A1456" s="1" t="s">
        <v>1017</v>
      </c>
      <c r="B1456" s="1" t="n">
        <v>1</v>
      </c>
      <c r="C1456" s="5" t="n">
        <v>46203</v>
      </c>
      <c r="D1456" s="6" t="s">
        <v>286</v>
      </c>
      <c r="E1456" s="6" t="s">
        <v>289</v>
      </c>
      <c r="F1456" s="6" t="s">
        <v>46</v>
      </c>
      <c r="G1456" s="6" t="s">
        <v>57</v>
      </c>
      <c r="H1456" s="6" t="s">
        <v>136</v>
      </c>
      <c r="I1456" s="1" t="n">
        <v>2</v>
      </c>
      <c r="J1456" s="7" t="n">
        <v>3955.12</v>
      </c>
      <c r="K1456" s="8" t="n">
        <v>0</v>
      </c>
      <c r="L1456" s="7" t="n">
        <v>3399.5</v>
      </c>
      <c r="M1456" s="6" t="s">
        <v>49</v>
      </c>
      <c r="N1456" s="6" t="s">
        <v>59</v>
      </c>
      <c r="O1456" s="6" t="n">
        <f aca="false">IF(TablaVentas[[#This Row],[Precio_unitario]]="","PENDIENTE",TablaVentas[[#This Row],[Unidades]]*TablaVentas[[#This Row],[Precio_unitario]]*(1-TablaVentas[[#This Row],[Descuento_pct]]))</f>
        <v>7910.24</v>
      </c>
      <c r="P1456" s="6" t="n">
        <f aca="false">IF(TablaVentas[[#This Row],[Costo_unitario]]="","PENDIENTE",TablaVentas[[#This Row],[Unidades]]*TablaVentas[[#This Row],[Costo_unitario]])</f>
        <v>6799</v>
      </c>
      <c r="Q1456" s="6" t="n">
        <f aca="false">IF(OR(TablaVentas[[#This Row],[Ingreso_neto]]="PENDIENTE",TablaVentas[[#This Row],[Costo_total]]="PENDIENTE"),"PENDIENTE",TablaVentas[[#This Row],[Ingreso_neto]]-TablaVentas[[#This Row],[Costo_total]])</f>
        <v>1111.24</v>
      </c>
    </row>
    <row r="1457" customFormat="false" ht="13.5" hidden="false" customHeight="false" outlineLevel="0" collapsed="false">
      <c r="A1457" s="1" t="s">
        <v>1017</v>
      </c>
      <c r="B1457" s="1" t="n">
        <v>2</v>
      </c>
      <c r="C1457" s="5" t="n">
        <v>46203</v>
      </c>
      <c r="D1457" s="6" t="s">
        <v>286</v>
      </c>
      <c r="E1457" s="6" t="s">
        <v>141</v>
      </c>
      <c r="F1457" s="6" t="s">
        <v>46</v>
      </c>
      <c r="G1457" s="6" t="s">
        <v>57</v>
      </c>
      <c r="H1457" s="6" t="s">
        <v>136</v>
      </c>
      <c r="I1457" s="1" t="n">
        <v>2</v>
      </c>
      <c r="J1457" s="7" t="n">
        <v>277.74</v>
      </c>
      <c r="K1457" s="8" t="n">
        <v>0.1</v>
      </c>
      <c r="L1457" s="7" t="n">
        <v>176.47</v>
      </c>
      <c r="M1457" s="6" t="s">
        <v>49</v>
      </c>
      <c r="N1457" s="6" t="s">
        <v>52</v>
      </c>
      <c r="O1457" s="6" t="n">
        <f aca="false">IF(TablaVentas[[#This Row],[Precio_unitario]]="","PENDIENTE",TablaVentas[[#This Row],[Unidades]]*TablaVentas[[#This Row],[Precio_unitario]]*(1-TablaVentas[[#This Row],[Descuento_pct]]))</f>
        <v>499.932</v>
      </c>
      <c r="P1457" s="6" t="n">
        <f aca="false">IF(TablaVentas[[#This Row],[Costo_unitario]]="","PENDIENTE",TablaVentas[[#This Row],[Unidades]]*TablaVentas[[#This Row],[Costo_unitario]])</f>
        <v>352.94</v>
      </c>
      <c r="Q1457" s="6" t="n">
        <f aca="false">IF(OR(TablaVentas[[#This Row],[Ingreso_neto]]="PENDIENTE",TablaVentas[[#This Row],[Costo_total]]="PENDIENTE"),"PENDIENTE",TablaVentas[[#This Row],[Ingreso_neto]]-TablaVentas[[#This Row],[Costo_total]])</f>
        <v>146.992</v>
      </c>
    </row>
    <row r="1458" customFormat="false" ht="13.5" hidden="false" customHeight="false" outlineLevel="0" collapsed="false">
      <c r="A1458" s="1" t="s">
        <v>1017</v>
      </c>
      <c r="B1458" s="1" t="n">
        <v>3</v>
      </c>
      <c r="C1458" s="5" t="n">
        <v>46203</v>
      </c>
      <c r="D1458" s="6" t="s">
        <v>286</v>
      </c>
      <c r="E1458" s="6" t="s">
        <v>66</v>
      </c>
      <c r="F1458" s="6" t="s">
        <v>46</v>
      </c>
      <c r="G1458" s="6" t="s">
        <v>57</v>
      </c>
      <c r="H1458" s="6" t="s">
        <v>136</v>
      </c>
      <c r="I1458" s="1" t="n">
        <v>1</v>
      </c>
      <c r="J1458" s="7" t="n">
        <v>13344.16</v>
      </c>
      <c r="K1458" s="8" t="n">
        <v>0</v>
      </c>
      <c r="L1458" s="7" t="n">
        <v>10170.29</v>
      </c>
      <c r="M1458" s="6" t="s">
        <v>49</v>
      </c>
      <c r="N1458" s="6" t="s">
        <v>59</v>
      </c>
      <c r="O1458" s="6" t="n">
        <f aca="false">IF(TablaVentas[[#This Row],[Precio_unitario]]="","PENDIENTE",TablaVentas[[#This Row],[Unidades]]*TablaVentas[[#This Row],[Precio_unitario]]*(1-TablaVentas[[#This Row],[Descuento_pct]]))</f>
        <v>13344.16</v>
      </c>
      <c r="P1458" s="6" t="n">
        <f aca="false">IF(TablaVentas[[#This Row],[Costo_unitario]]="","PENDIENTE",TablaVentas[[#This Row],[Unidades]]*TablaVentas[[#This Row],[Costo_unitario]])</f>
        <v>10170.29</v>
      </c>
      <c r="Q1458" s="6" t="n">
        <f aca="false">IF(OR(TablaVentas[[#This Row],[Ingreso_neto]]="PENDIENTE",TablaVentas[[#This Row],[Costo_total]]="PENDIENTE"),"PENDIENTE",TablaVentas[[#This Row],[Ingreso_neto]]-TablaVentas[[#This Row],[Costo_total]])</f>
        <v>3173.87</v>
      </c>
    </row>
    <row r="1459" customFormat="false" ht="13.5" hidden="false" customHeight="false" outlineLevel="0" collapsed="false">
      <c r="A1459" s="1" t="s">
        <v>1018</v>
      </c>
      <c r="B1459" s="1" t="n">
        <v>1</v>
      </c>
      <c r="C1459" s="5" t="n">
        <v>46122</v>
      </c>
      <c r="D1459" s="6" t="s">
        <v>239</v>
      </c>
      <c r="E1459" s="6" t="s">
        <v>126</v>
      </c>
      <c r="F1459" s="6" t="s">
        <v>46</v>
      </c>
      <c r="G1459" s="6" t="s">
        <v>47</v>
      </c>
      <c r="H1459" s="6" t="s">
        <v>89</v>
      </c>
      <c r="I1459" s="1" t="n">
        <v>4</v>
      </c>
      <c r="J1459" s="7" t="n">
        <v>8689.79</v>
      </c>
      <c r="K1459" s="8" t="n">
        <v>0.2</v>
      </c>
      <c r="L1459" s="7" t="n">
        <v>6981.94</v>
      </c>
      <c r="M1459" s="6" t="s">
        <v>49</v>
      </c>
      <c r="N1459" s="6" t="s">
        <v>67</v>
      </c>
      <c r="O1459" s="6" t="n">
        <f aca="false">IF(TablaVentas[[#This Row],[Precio_unitario]]="","PENDIENTE",TablaVentas[[#This Row],[Unidades]]*TablaVentas[[#This Row],[Precio_unitario]]*(1-TablaVentas[[#This Row],[Descuento_pct]]))</f>
        <v>27807.328</v>
      </c>
      <c r="P1459" s="6" t="n">
        <f aca="false">IF(TablaVentas[[#This Row],[Costo_unitario]]="","PENDIENTE",TablaVentas[[#This Row],[Unidades]]*TablaVentas[[#This Row],[Costo_unitario]])</f>
        <v>27927.76</v>
      </c>
      <c r="Q1459" s="6" t="n">
        <f aca="false">IF(OR(TablaVentas[[#This Row],[Ingreso_neto]]="PENDIENTE",TablaVentas[[#This Row],[Costo_total]]="PENDIENTE"),"PENDIENTE",TablaVentas[[#This Row],[Ingreso_neto]]-TablaVentas[[#This Row],[Costo_total]])</f>
        <v>-120.431999999993</v>
      </c>
    </row>
    <row r="1460" customFormat="false" ht="13.5" hidden="false" customHeight="false" outlineLevel="0" collapsed="false">
      <c r="A1460" s="1" t="s">
        <v>1018</v>
      </c>
      <c r="B1460" s="1" t="n">
        <v>2</v>
      </c>
      <c r="C1460" s="5" t="n">
        <v>46122</v>
      </c>
      <c r="D1460" s="6" t="s">
        <v>239</v>
      </c>
      <c r="E1460" s="6" t="s">
        <v>151</v>
      </c>
      <c r="F1460" s="6" t="s">
        <v>46</v>
      </c>
      <c r="G1460" s="6" t="s">
        <v>47</v>
      </c>
      <c r="H1460" s="6" t="s">
        <v>89</v>
      </c>
      <c r="I1460" s="1" t="n">
        <v>5</v>
      </c>
      <c r="J1460" s="7" t="n">
        <v>9493.59</v>
      </c>
      <c r="K1460" s="8" t="n">
        <v>0.05</v>
      </c>
      <c r="L1460" s="7" t="n">
        <v>5125.36</v>
      </c>
      <c r="M1460" s="6" t="s">
        <v>49</v>
      </c>
      <c r="N1460" s="6" t="s">
        <v>52</v>
      </c>
      <c r="O1460" s="6" t="n">
        <f aca="false">IF(TablaVentas[[#This Row],[Precio_unitario]]="","PENDIENTE",TablaVentas[[#This Row],[Unidades]]*TablaVentas[[#This Row],[Precio_unitario]]*(1-TablaVentas[[#This Row],[Descuento_pct]]))</f>
        <v>45094.5525</v>
      </c>
      <c r="P1460" s="6" t="n">
        <f aca="false">IF(TablaVentas[[#This Row],[Costo_unitario]]="","PENDIENTE",TablaVentas[[#This Row],[Unidades]]*TablaVentas[[#This Row],[Costo_unitario]])</f>
        <v>25626.8</v>
      </c>
      <c r="Q1460" s="6" t="n">
        <f aca="false">IF(OR(TablaVentas[[#This Row],[Ingreso_neto]]="PENDIENTE",TablaVentas[[#This Row],[Costo_total]]="PENDIENTE"),"PENDIENTE",TablaVentas[[#This Row],[Ingreso_neto]]-TablaVentas[[#This Row],[Costo_total]])</f>
        <v>19467.7525</v>
      </c>
    </row>
    <row r="1461" customFormat="false" ht="13.5" hidden="false" customHeight="false" outlineLevel="0" collapsed="false">
      <c r="A1461" s="1" t="s">
        <v>1019</v>
      </c>
      <c r="B1461" s="1" t="n">
        <v>1</v>
      </c>
      <c r="C1461" s="5" t="n">
        <v>46157</v>
      </c>
      <c r="D1461" s="6" t="s">
        <v>710</v>
      </c>
      <c r="E1461" s="6" t="s">
        <v>159</v>
      </c>
      <c r="F1461" s="6" t="s">
        <v>46</v>
      </c>
      <c r="G1461" s="6" t="s">
        <v>47</v>
      </c>
      <c r="H1461" s="6" t="s">
        <v>80</v>
      </c>
      <c r="I1461" s="1" t="n">
        <v>1</v>
      </c>
      <c r="J1461" s="7" t="n">
        <v>2842.82</v>
      </c>
      <c r="K1461" s="8" t="n">
        <v>0</v>
      </c>
      <c r="L1461" s="7" t="n">
        <v>1962.3</v>
      </c>
      <c r="M1461" s="6" t="s">
        <v>49</v>
      </c>
      <c r="N1461" s="6" t="s">
        <v>67</v>
      </c>
      <c r="O1461" s="6" t="n">
        <f aca="false">IF(TablaVentas[[#This Row],[Precio_unitario]]="","PENDIENTE",TablaVentas[[#This Row],[Unidades]]*TablaVentas[[#This Row],[Precio_unitario]]*(1-TablaVentas[[#This Row],[Descuento_pct]]))</f>
        <v>2842.82</v>
      </c>
      <c r="P1461" s="6" t="n">
        <f aca="false">IF(TablaVentas[[#This Row],[Costo_unitario]]="","PENDIENTE",TablaVentas[[#This Row],[Unidades]]*TablaVentas[[#This Row],[Costo_unitario]])</f>
        <v>1962.3</v>
      </c>
      <c r="Q1461" s="6" t="n">
        <f aca="false">IF(OR(TablaVentas[[#This Row],[Ingreso_neto]]="PENDIENTE",TablaVentas[[#This Row],[Costo_total]]="PENDIENTE"),"PENDIENTE",TablaVentas[[#This Row],[Ingreso_neto]]-TablaVentas[[#This Row],[Costo_total]])</f>
        <v>880.52</v>
      </c>
    </row>
    <row r="1462" customFormat="false" ht="13.5" hidden="false" customHeight="false" outlineLevel="0" collapsed="false">
      <c r="A1462" s="1" t="s">
        <v>1019</v>
      </c>
      <c r="B1462" s="1" t="n">
        <v>2</v>
      </c>
      <c r="C1462" s="5" t="n">
        <v>46157</v>
      </c>
      <c r="D1462" s="6" t="s">
        <v>710</v>
      </c>
      <c r="E1462" s="6" t="s">
        <v>243</v>
      </c>
      <c r="F1462" s="6" t="s">
        <v>46</v>
      </c>
      <c r="G1462" s="6" t="s">
        <v>47</v>
      </c>
      <c r="H1462" s="6" t="s">
        <v>80</v>
      </c>
      <c r="I1462" s="1" t="n">
        <v>4</v>
      </c>
      <c r="J1462" s="7" t="n">
        <v>9755.02</v>
      </c>
      <c r="K1462" s="8" t="n">
        <v>0.1</v>
      </c>
      <c r="L1462" s="7" t="n">
        <v>8061.7</v>
      </c>
      <c r="M1462" s="6" t="s">
        <v>49</v>
      </c>
      <c r="N1462" s="6" t="s">
        <v>59</v>
      </c>
      <c r="O1462" s="6" t="n">
        <f aca="false">IF(TablaVentas[[#This Row],[Precio_unitario]]="","PENDIENTE",TablaVentas[[#This Row],[Unidades]]*TablaVentas[[#This Row],[Precio_unitario]]*(1-TablaVentas[[#This Row],[Descuento_pct]]))</f>
        <v>35118.072</v>
      </c>
      <c r="P1462" s="6" t="n">
        <f aca="false">IF(TablaVentas[[#This Row],[Costo_unitario]]="","PENDIENTE",TablaVentas[[#This Row],[Unidades]]*TablaVentas[[#This Row],[Costo_unitario]])</f>
        <v>32246.8</v>
      </c>
      <c r="Q1462" s="6" t="n">
        <f aca="false">IF(OR(TablaVentas[[#This Row],[Ingreso_neto]]="PENDIENTE",TablaVentas[[#This Row],[Costo_total]]="PENDIENTE"),"PENDIENTE",TablaVentas[[#This Row],[Ingreso_neto]]-TablaVentas[[#This Row],[Costo_total]])</f>
        <v>2871.272</v>
      </c>
    </row>
    <row r="1463" customFormat="false" ht="13.5" hidden="false" customHeight="false" outlineLevel="0" collapsed="false">
      <c r="A1463" s="1" t="s">
        <v>1019</v>
      </c>
      <c r="B1463" s="1" t="n">
        <v>3</v>
      </c>
      <c r="C1463" s="5" t="n">
        <v>46157</v>
      </c>
      <c r="D1463" s="6" t="s">
        <v>710</v>
      </c>
      <c r="E1463" s="6" t="s">
        <v>110</v>
      </c>
      <c r="F1463" s="6" t="s">
        <v>46</v>
      </c>
      <c r="G1463" s="6" t="s">
        <v>47</v>
      </c>
      <c r="H1463" s="6" t="s">
        <v>80</v>
      </c>
      <c r="I1463" s="1" t="n">
        <v>1</v>
      </c>
      <c r="J1463" s="7" t="n">
        <v>13342.61</v>
      </c>
      <c r="K1463" s="8" t="n">
        <v>0</v>
      </c>
      <c r="L1463" s="7" t="n">
        <v>7549.71</v>
      </c>
      <c r="M1463" s="6" t="s">
        <v>49</v>
      </c>
      <c r="N1463" s="6" t="s">
        <v>67</v>
      </c>
      <c r="O1463" s="6" t="n">
        <f aca="false">IF(TablaVentas[[#This Row],[Precio_unitario]]="","PENDIENTE",TablaVentas[[#This Row],[Unidades]]*TablaVentas[[#This Row],[Precio_unitario]]*(1-TablaVentas[[#This Row],[Descuento_pct]]))</f>
        <v>13342.61</v>
      </c>
      <c r="P1463" s="6" t="n">
        <f aca="false">IF(TablaVentas[[#This Row],[Costo_unitario]]="","PENDIENTE",TablaVentas[[#This Row],[Unidades]]*TablaVentas[[#This Row],[Costo_unitario]])</f>
        <v>7549.71</v>
      </c>
      <c r="Q1463" s="6" t="n">
        <f aca="false">IF(OR(TablaVentas[[#This Row],[Ingreso_neto]]="PENDIENTE",TablaVentas[[#This Row],[Costo_total]]="PENDIENTE"),"PENDIENTE",TablaVentas[[#This Row],[Ingreso_neto]]-TablaVentas[[#This Row],[Costo_total]])</f>
        <v>5792.9</v>
      </c>
    </row>
    <row r="1464" customFormat="false" ht="13.5" hidden="false" customHeight="false" outlineLevel="0" collapsed="false">
      <c r="A1464" s="1" t="s">
        <v>1020</v>
      </c>
      <c r="B1464" s="1" t="n">
        <v>1</v>
      </c>
      <c r="C1464" s="5" t="n">
        <v>46269</v>
      </c>
      <c r="D1464" s="6" t="s">
        <v>254</v>
      </c>
      <c r="E1464" s="6" t="s">
        <v>92</v>
      </c>
      <c r="F1464" s="6" t="s">
        <v>46</v>
      </c>
      <c r="G1464" s="6" t="s">
        <v>57</v>
      </c>
      <c r="H1464" s="6" t="s">
        <v>65</v>
      </c>
      <c r="I1464" s="1" t="n">
        <v>12</v>
      </c>
      <c r="J1464" s="7" t="n">
        <v>496.12</v>
      </c>
      <c r="K1464" s="8" t="n">
        <v>0.1</v>
      </c>
      <c r="L1464" s="7" t="n">
        <v>307.75</v>
      </c>
      <c r="M1464" s="6" t="s">
        <v>49</v>
      </c>
      <c r="N1464" s="6" t="s">
        <v>59</v>
      </c>
      <c r="O1464" s="6" t="n">
        <f aca="false">IF(TablaVentas[[#This Row],[Precio_unitario]]="","PENDIENTE",TablaVentas[[#This Row],[Unidades]]*TablaVentas[[#This Row],[Precio_unitario]]*(1-TablaVentas[[#This Row],[Descuento_pct]]))</f>
        <v>5358.096</v>
      </c>
      <c r="P1464" s="6" t="n">
        <f aca="false">IF(TablaVentas[[#This Row],[Costo_unitario]]="","PENDIENTE",TablaVentas[[#This Row],[Unidades]]*TablaVentas[[#This Row],[Costo_unitario]])</f>
        <v>3693</v>
      </c>
      <c r="Q1464" s="6" t="n">
        <f aca="false">IF(OR(TablaVentas[[#This Row],[Ingreso_neto]]="PENDIENTE",TablaVentas[[#This Row],[Costo_total]]="PENDIENTE"),"PENDIENTE",TablaVentas[[#This Row],[Ingreso_neto]]-TablaVentas[[#This Row],[Costo_total]])</f>
        <v>1665.096</v>
      </c>
    </row>
    <row r="1465" customFormat="false" ht="13.5" hidden="false" customHeight="false" outlineLevel="0" collapsed="false">
      <c r="A1465" s="1" t="s">
        <v>1020</v>
      </c>
      <c r="B1465" s="1" t="n">
        <v>2</v>
      </c>
      <c r="C1465" s="5" t="n">
        <v>46269</v>
      </c>
      <c r="D1465" s="6" t="s">
        <v>254</v>
      </c>
      <c r="E1465" s="6" t="s">
        <v>360</v>
      </c>
      <c r="F1465" s="6" t="s">
        <v>46</v>
      </c>
      <c r="G1465" s="6" t="s">
        <v>57</v>
      </c>
      <c r="H1465" s="6" t="s">
        <v>65</v>
      </c>
      <c r="I1465" s="1" t="n">
        <v>1</v>
      </c>
      <c r="J1465" s="7" t="n">
        <v>2287.88</v>
      </c>
      <c r="K1465" s="8" t="n">
        <v>0</v>
      </c>
      <c r="L1465" s="7" t="n">
        <v>1479.71</v>
      </c>
      <c r="M1465" s="6" t="s">
        <v>49</v>
      </c>
      <c r="N1465" s="6" t="s">
        <v>50</v>
      </c>
      <c r="O1465" s="6" t="n">
        <f aca="false">IF(TablaVentas[[#This Row],[Precio_unitario]]="","PENDIENTE",TablaVentas[[#This Row],[Unidades]]*TablaVentas[[#This Row],[Precio_unitario]]*(1-TablaVentas[[#This Row],[Descuento_pct]]))</f>
        <v>2287.88</v>
      </c>
      <c r="P1465" s="6" t="n">
        <f aca="false">IF(TablaVentas[[#This Row],[Costo_unitario]]="","PENDIENTE",TablaVentas[[#This Row],[Unidades]]*TablaVentas[[#This Row],[Costo_unitario]])</f>
        <v>1479.71</v>
      </c>
      <c r="Q1465" s="6" t="n">
        <f aca="false">IF(OR(TablaVentas[[#This Row],[Ingreso_neto]]="PENDIENTE",TablaVentas[[#This Row],[Costo_total]]="PENDIENTE"),"PENDIENTE",TablaVentas[[#This Row],[Ingreso_neto]]-TablaVentas[[#This Row],[Costo_total]])</f>
        <v>808.17</v>
      </c>
    </row>
    <row r="1466" customFormat="false" ht="13.5" hidden="false" customHeight="false" outlineLevel="0" collapsed="false">
      <c r="A1466" s="1" t="s">
        <v>1020</v>
      </c>
      <c r="B1466" s="1" t="n">
        <v>3</v>
      </c>
      <c r="C1466" s="5" t="n">
        <v>46269</v>
      </c>
      <c r="D1466" s="6" t="s">
        <v>254</v>
      </c>
      <c r="E1466" s="6" t="s">
        <v>147</v>
      </c>
      <c r="F1466" s="6" t="s">
        <v>46</v>
      </c>
      <c r="G1466" s="6" t="s">
        <v>57</v>
      </c>
      <c r="H1466" s="6" t="s">
        <v>65</v>
      </c>
      <c r="I1466" s="1" t="n">
        <v>3</v>
      </c>
      <c r="J1466" s="7" t="n">
        <v>2778.08</v>
      </c>
      <c r="K1466" s="8" t="n">
        <v>0.15</v>
      </c>
      <c r="L1466" s="7" t="n">
        <v>2427.63</v>
      </c>
      <c r="M1466" s="6" t="s">
        <v>49</v>
      </c>
      <c r="N1466" s="6" t="s">
        <v>67</v>
      </c>
      <c r="O1466" s="6" t="n">
        <f aca="false">IF(TablaVentas[[#This Row],[Precio_unitario]]="","PENDIENTE",TablaVentas[[#This Row],[Unidades]]*TablaVentas[[#This Row],[Precio_unitario]]*(1-TablaVentas[[#This Row],[Descuento_pct]]))</f>
        <v>7084.104</v>
      </c>
      <c r="P1466" s="6" t="n">
        <f aca="false">IF(TablaVentas[[#This Row],[Costo_unitario]]="","PENDIENTE",TablaVentas[[#This Row],[Unidades]]*TablaVentas[[#This Row],[Costo_unitario]])</f>
        <v>7282.89</v>
      </c>
      <c r="Q1466" s="6" t="n">
        <f aca="false">IF(OR(TablaVentas[[#This Row],[Ingreso_neto]]="PENDIENTE",TablaVentas[[#This Row],[Costo_total]]="PENDIENTE"),"PENDIENTE",TablaVentas[[#This Row],[Ingreso_neto]]-TablaVentas[[#This Row],[Costo_total]])</f>
        <v>-198.786000000001</v>
      </c>
    </row>
    <row r="1467" customFormat="false" ht="13.5" hidden="false" customHeight="false" outlineLevel="0" collapsed="false">
      <c r="A1467" s="1" t="s">
        <v>1020</v>
      </c>
      <c r="B1467" s="1" t="n">
        <v>4</v>
      </c>
      <c r="C1467" s="5" t="n">
        <v>46269</v>
      </c>
      <c r="D1467" s="6" t="s">
        <v>254</v>
      </c>
      <c r="E1467" s="6" t="s">
        <v>127</v>
      </c>
      <c r="F1467" s="6" t="s">
        <v>46</v>
      </c>
      <c r="G1467" s="6" t="s">
        <v>57</v>
      </c>
      <c r="H1467" s="6" t="s">
        <v>65</v>
      </c>
      <c r="I1467" s="1" t="n">
        <v>1</v>
      </c>
      <c r="J1467" s="7" t="n">
        <v>13820.52</v>
      </c>
      <c r="K1467" s="8" t="n">
        <v>0.2</v>
      </c>
      <c r="L1467" s="7" t="n">
        <v>7975.26</v>
      </c>
      <c r="M1467" s="6" t="s">
        <v>49</v>
      </c>
      <c r="N1467" s="6" t="s">
        <v>50</v>
      </c>
      <c r="O1467" s="6" t="n">
        <f aca="false">IF(TablaVentas[[#This Row],[Precio_unitario]]="","PENDIENTE",TablaVentas[[#This Row],[Unidades]]*TablaVentas[[#This Row],[Precio_unitario]]*(1-TablaVentas[[#This Row],[Descuento_pct]]))</f>
        <v>11056.416</v>
      </c>
      <c r="P1467" s="6" t="n">
        <f aca="false">IF(TablaVentas[[#This Row],[Costo_unitario]]="","PENDIENTE",TablaVentas[[#This Row],[Unidades]]*TablaVentas[[#This Row],[Costo_unitario]])</f>
        <v>7975.26</v>
      </c>
      <c r="Q1467" s="6" t="n">
        <f aca="false">IF(OR(TablaVentas[[#This Row],[Ingreso_neto]]="PENDIENTE",TablaVentas[[#This Row],[Costo_total]]="PENDIENTE"),"PENDIENTE",TablaVentas[[#This Row],[Ingreso_neto]]-TablaVentas[[#This Row],[Costo_total]])</f>
        <v>3081.156</v>
      </c>
    </row>
    <row r="1468" customFormat="false" ht="13.5" hidden="false" customHeight="false" outlineLevel="0" collapsed="false">
      <c r="A1468" s="1" t="s">
        <v>1021</v>
      </c>
      <c r="B1468" s="1" t="n">
        <v>1</v>
      </c>
      <c r="C1468" s="5" t="n">
        <v>46176</v>
      </c>
      <c r="D1468" s="6" t="s">
        <v>489</v>
      </c>
      <c r="E1468" s="6" t="s">
        <v>76</v>
      </c>
      <c r="F1468" s="6" t="s">
        <v>46</v>
      </c>
      <c r="G1468" s="6" t="s">
        <v>47</v>
      </c>
      <c r="H1468" s="6" t="s">
        <v>74</v>
      </c>
      <c r="I1468" s="1" t="n">
        <v>3</v>
      </c>
      <c r="J1468" s="7" t="n">
        <v>13134.29</v>
      </c>
      <c r="K1468" s="8" t="n">
        <v>0.1</v>
      </c>
      <c r="L1468" s="7" t="n">
        <v>10094.26</v>
      </c>
      <c r="M1468" s="6" t="s">
        <v>49</v>
      </c>
      <c r="N1468" s="6" t="s">
        <v>50</v>
      </c>
      <c r="O1468" s="6" t="n">
        <f aca="false">IF(TablaVentas[[#This Row],[Precio_unitario]]="","PENDIENTE",TablaVentas[[#This Row],[Unidades]]*TablaVentas[[#This Row],[Precio_unitario]]*(1-TablaVentas[[#This Row],[Descuento_pct]]))</f>
        <v>35462.583</v>
      </c>
      <c r="P1468" s="6" t="n">
        <f aca="false">IF(TablaVentas[[#This Row],[Costo_unitario]]="","PENDIENTE",TablaVentas[[#This Row],[Unidades]]*TablaVentas[[#This Row],[Costo_unitario]])</f>
        <v>30282.78</v>
      </c>
      <c r="Q1468" s="6" t="n">
        <f aca="false">IF(OR(TablaVentas[[#This Row],[Ingreso_neto]]="PENDIENTE",TablaVentas[[#This Row],[Costo_total]]="PENDIENTE"),"PENDIENTE",TablaVentas[[#This Row],[Ingreso_neto]]-TablaVentas[[#This Row],[Costo_total]])</f>
        <v>5179.80300000001</v>
      </c>
    </row>
    <row r="1469" customFormat="false" ht="13.5" hidden="false" customHeight="false" outlineLevel="0" collapsed="false">
      <c r="A1469" s="1" t="s">
        <v>1022</v>
      </c>
      <c r="B1469" s="1" t="n">
        <v>1</v>
      </c>
      <c r="C1469" s="5" t="n">
        <v>46165</v>
      </c>
      <c r="D1469" s="6" t="s">
        <v>993</v>
      </c>
      <c r="E1469" s="6" t="s">
        <v>234</v>
      </c>
      <c r="F1469" s="6" t="s">
        <v>63</v>
      </c>
      <c r="G1469" s="6" t="s">
        <v>47</v>
      </c>
      <c r="H1469" s="6" t="s">
        <v>48</v>
      </c>
      <c r="I1469" s="1" t="n">
        <v>1</v>
      </c>
      <c r="J1469" s="7" t="n">
        <v>8877.59</v>
      </c>
      <c r="K1469" s="8" t="n">
        <v>0.05</v>
      </c>
      <c r="L1469" s="7" t="n">
        <v>6255.13</v>
      </c>
      <c r="M1469" s="6" t="s">
        <v>49</v>
      </c>
      <c r="N1469" s="6" t="s">
        <v>50</v>
      </c>
      <c r="O1469" s="6" t="n">
        <f aca="false">IF(TablaVentas[[#This Row],[Precio_unitario]]="","PENDIENTE",TablaVentas[[#This Row],[Unidades]]*TablaVentas[[#This Row],[Precio_unitario]]*(1-TablaVentas[[#This Row],[Descuento_pct]]))</f>
        <v>8433.7105</v>
      </c>
      <c r="P1469" s="6" t="n">
        <f aca="false">IF(TablaVentas[[#This Row],[Costo_unitario]]="","PENDIENTE",TablaVentas[[#This Row],[Unidades]]*TablaVentas[[#This Row],[Costo_unitario]])</f>
        <v>6255.13</v>
      </c>
      <c r="Q1469" s="6" t="n">
        <f aca="false">IF(OR(TablaVentas[[#This Row],[Ingreso_neto]]="PENDIENTE",TablaVentas[[#This Row],[Costo_total]]="PENDIENTE"),"PENDIENTE",TablaVentas[[#This Row],[Ingreso_neto]]-TablaVentas[[#This Row],[Costo_total]])</f>
        <v>2178.5805</v>
      </c>
    </row>
    <row r="1470" customFormat="false" ht="13.5" hidden="false" customHeight="false" outlineLevel="0" collapsed="false">
      <c r="A1470" s="1" t="s">
        <v>1022</v>
      </c>
      <c r="B1470" s="1" t="n">
        <v>2</v>
      </c>
      <c r="C1470" s="5" t="n">
        <v>46165</v>
      </c>
      <c r="D1470" s="6" t="s">
        <v>993</v>
      </c>
      <c r="E1470" s="6" t="s">
        <v>116</v>
      </c>
      <c r="F1470" s="6" t="s">
        <v>63</v>
      </c>
      <c r="G1470" s="6" t="s">
        <v>47</v>
      </c>
      <c r="H1470" s="6" t="s">
        <v>48</v>
      </c>
      <c r="I1470" s="1" t="n">
        <v>3</v>
      </c>
      <c r="J1470" s="7" t="n">
        <v>15691.88</v>
      </c>
      <c r="K1470" s="8" t="n">
        <v>0.15</v>
      </c>
      <c r="L1470" s="7" t="n">
        <v>9880.77</v>
      </c>
      <c r="M1470" s="6" t="s">
        <v>49</v>
      </c>
      <c r="N1470" s="6" t="s">
        <v>50</v>
      </c>
      <c r="O1470" s="6" t="n">
        <f aca="false">IF(TablaVentas[[#This Row],[Precio_unitario]]="","PENDIENTE",TablaVentas[[#This Row],[Unidades]]*TablaVentas[[#This Row],[Precio_unitario]]*(1-TablaVentas[[#This Row],[Descuento_pct]]))</f>
        <v>40014.294</v>
      </c>
      <c r="P1470" s="6" t="n">
        <f aca="false">IF(TablaVentas[[#This Row],[Costo_unitario]]="","PENDIENTE",TablaVentas[[#This Row],[Unidades]]*TablaVentas[[#This Row],[Costo_unitario]])</f>
        <v>29642.31</v>
      </c>
      <c r="Q1470" s="6" t="n">
        <f aca="false">IF(OR(TablaVentas[[#This Row],[Ingreso_neto]]="PENDIENTE",TablaVentas[[#This Row],[Costo_total]]="PENDIENTE"),"PENDIENTE",TablaVentas[[#This Row],[Ingreso_neto]]-TablaVentas[[#This Row],[Costo_total]])</f>
        <v>10371.984</v>
      </c>
    </row>
    <row r="1471" customFormat="false" ht="13.5" hidden="false" customHeight="false" outlineLevel="0" collapsed="false">
      <c r="A1471" s="1" t="s">
        <v>1022</v>
      </c>
      <c r="B1471" s="1" t="n">
        <v>3</v>
      </c>
      <c r="C1471" s="5" t="n">
        <v>46165</v>
      </c>
      <c r="D1471" s="6" t="s">
        <v>993</v>
      </c>
      <c r="E1471" s="6" t="s">
        <v>278</v>
      </c>
      <c r="F1471" s="6" t="s">
        <v>63</v>
      </c>
      <c r="G1471" s="6" t="s">
        <v>47</v>
      </c>
      <c r="H1471" s="6" t="s">
        <v>48</v>
      </c>
      <c r="I1471" s="1" t="n">
        <v>1</v>
      </c>
      <c r="J1471" s="7" t="n">
        <v>1122.64</v>
      </c>
      <c r="K1471" s="8" t="n">
        <v>0</v>
      </c>
      <c r="L1471" s="7" t="n">
        <v>759.03</v>
      </c>
      <c r="M1471" s="6" t="s">
        <v>49</v>
      </c>
      <c r="N1471" s="6" t="s">
        <v>67</v>
      </c>
      <c r="O1471" s="6" t="n">
        <f aca="false">IF(TablaVentas[[#This Row],[Precio_unitario]]="","PENDIENTE",TablaVentas[[#This Row],[Unidades]]*TablaVentas[[#This Row],[Precio_unitario]]*(1-TablaVentas[[#This Row],[Descuento_pct]]))</f>
        <v>1122.64</v>
      </c>
      <c r="P1471" s="6" t="n">
        <f aca="false">IF(TablaVentas[[#This Row],[Costo_unitario]]="","PENDIENTE",TablaVentas[[#This Row],[Unidades]]*TablaVentas[[#This Row],[Costo_unitario]])</f>
        <v>759.03</v>
      </c>
      <c r="Q1471" s="6" t="n">
        <f aca="false">IF(OR(TablaVentas[[#This Row],[Ingreso_neto]]="PENDIENTE",TablaVentas[[#This Row],[Costo_total]]="PENDIENTE"),"PENDIENTE",TablaVentas[[#This Row],[Ingreso_neto]]-TablaVentas[[#This Row],[Costo_total]])</f>
        <v>363.61</v>
      </c>
    </row>
    <row r="1472" customFormat="false" ht="13.5" hidden="false" customHeight="false" outlineLevel="0" collapsed="false">
      <c r="A1472" s="1" t="s">
        <v>1022</v>
      </c>
      <c r="B1472" s="1" t="n">
        <v>4</v>
      </c>
      <c r="C1472" s="5" t="n">
        <v>46165</v>
      </c>
      <c r="D1472" s="6" t="s">
        <v>993</v>
      </c>
      <c r="E1472" s="6" t="s">
        <v>243</v>
      </c>
      <c r="F1472" s="6" t="s">
        <v>63</v>
      </c>
      <c r="G1472" s="6" t="s">
        <v>47</v>
      </c>
      <c r="H1472" s="6" t="s">
        <v>48</v>
      </c>
      <c r="I1472" s="1" t="n">
        <v>2</v>
      </c>
      <c r="J1472" s="7" t="n">
        <v>10354.31</v>
      </c>
      <c r="K1472" s="8" t="n">
        <v>0</v>
      </c>
      <c r="L1472" s="7" t="n">
        <v>8061.7</v>
      </c>
      <c r="M1472" s="6" t="s">
        <v>49</v>
      </c>
      <c r="N1472" s="6" t="s">
        <v>52</v>
      </c>
      <c r="O1472" s="6" t="n">
        <f aca="false">IF(TablaVentas[[#This Row],[Precio_unitario]]="","PENDIENTE",TablaVentas[[#This Row],[Unidades]]*TablaVentas[[#This Row],[Precio_unitario]]*(1-TablaVentas[[#This Row],[Descuento_pct]]))</f>
        <v>20708.62</v>
      </c>
      <c r="P1472" s="6" t="n">
        <f aca="false">IF(TablaVentas[[#This Row],[Costo_unitario]]="","PENDIENTE",TablaVentas[[#This Row],[Unidades]]*TablaVentas[[#This Row],[Costo_unitario]])</f>
        <v>16123.4</v>
      </c>
      <c r="Q1472" s="6" t="n">
        <f aca="false">IF(OR(TablaVentas[[#This Row],[Ingreso_neto]]="PENDIENTE",TablaVentas[[#This Row],[Costo_total]]="PENDIENTE"),"PENDIENTE",TablaVentas[[#This Row],[Ingreso_neto]]-TablaVentas[[#This Row],[Costo_total]])</f>
        <v>4585.22</v>
      </c>
    </row>
    <row r="1473" customFormat="false" ht="13.5" hidden="false" customHeight="false" outlineLevel="0" collapsed="false">
      <c r="A1473" s="1" t="s">
        <v>1023</v>
      </c>
      <c r="B1473" s="1" t="n">
        <v>1</v>
      </c>
      <c r="C1473" s="5" t="n">
        <v>46038</v>
      </c>
      <c r="D1473" s="6" t="s">
        <v>362</v>
      </c>
      <c r="E1473" s="6" t="s">
        <v>190</v>
      </c>
      <c r="F1473" s="6" t="s">
        <v>63</v>
      </c>
      <c r="G1473" s="6" t="s">
        <v>47</v>
      </c>
      <c r="H1473" s="6" t="s">
        <v>131</v>
      </c>
      <c r="I1473" s="1" t="n">
        <v>2</v>
      </c>
      <c r="J1473" s="7" t="n">
        <v>5190.34</v>
      </c>
      <c r="K1473" s="8" t="n">
        <v>0.05</v>
      </c>
      <c r="L1473" s="7" t="n">
        <v>4325.73</v>
      </c>
      <c r="M1473" s="6" t="s">
        <v>49</v>
      </c>
      <c r="N1473" s="6" t="s">
        <v>59</v>
      </c>
      <c r="O1473" s="6" t="n">
        <f aca="false">IF(TablaVentas[[#This Row],[Precio_unitario]]="","PENDIENTE",TablaVentas[[#This Row],[Unidades]]*TablaVentas[[#This Row],[Precio_unitario]]*(1-TablaVentas[[#This Row],[Descuento_pct]]))</f>
        <v>9861.646</v>
      </c>
      <c r="P1473" s="6" t="n">
        <f aca="false">IF(TablaVentas[[#This Row],[Costo_unitario]]="","PENDIENTE",TablaVentas[[#This Row],[Unidades]]*TablaVentas[[#This Row],[Costo_unitario]])</f>
        <v>8651.46</v>
      </c>
      <c r="Q1473" s="6" t="n">
        <f aca="false">IF(OR(TablaVentas[[#This Row],[Ingreso_neto]]="PENDIENTE",TablaVentas[[#This Row],[Costo_total]]="PENDIENTE"),"PENDIENTE",TablaVentas[[#This Row],[Ingreso_neto]]-TablaVentas[[#This Row],[Costo_total]])</f>
        <v>1210.186</v>
      </c>
    </row>
    <row r="1474" customFormat="false" ht="13.5" hidden="false" customHeight="false" outlineLevel="0" collapsed="false">
      <c r="A1474" s="1" t="s">
        <v>1023</v>
      </c>
      <c r="B1474" s="1" t="n">
        <v>2</v>
      </c>
      <c r="C1474" s="5" t="n">
        <v>46038</v>
      </c>
      <c r="D1474" s="6" t="s">
        <v>362</v>
      </c>
      <c r="E1474" s="6" t="s">
        <v>300</v>
      </c>
      <c r="F1474" s="6" t="s">
        <v>63</v>
      </c>
      <c r="G1474" s="6" t="s">
        <v>47</v>
      </c>
      <c r="H1474" s="6" t="s">
        <v>131</v>
      </c>
      <c r="I1474" s="1" t="n">
        <v>4</v>
      </c>
      <c r="J1474" s="7" t="n">
        <v>1248.93</v>
      </c>
      <c r="K1474" s="8" t="n">
        <v>0.15</v>
      </c>
      <c r="L1474" s="7" t="n">
        <v>936.52</v>
      </c>
      <c r="M1474" s="6" t="s">
        <v>49</v>
      </c>
      <c r="N1474" s="6" t="s">
        <v>52</v>
      </c>
      <c r="O1474" s="6" t="n">
        <f aca="false">IF(TablaVentas[[#This Row],[Precio_unitario]]="","PENDIENTE",TablaVentas[[#This Row],[Unidades]]*TablaVentas[[#This Row],[Precio_unitario]]*(1-TablaVentas[[#This Row],[Descuento_pct]]))</f>
        <v>4246.362</v>
      </c>
      <c r="P1474" s="6" t="n">
        <f aca="false">IF(TablaVentas[[#This Row],[Costo_unitario]]="","PENDIENTE",TablaVentas[[#This Row],[Unidades]]*TablaVentas[[#This Row],[Costo_unitario]])</f>
        <v>3746.08</v>
      </c>
      <c r="Q1474" s="6" t="n">
        <f aca="false">IF(OR(TablaVentas[[#This Row],[Ingreso_neto]]="PENDIENTE",TablaVentas[[#This Row],[Costo_total]]="PENDIENTE"),"PENDIENTE",TablaVentas[[#This Row],[Ingreso_neto]]-TablaVentas[[#This Row],[Costo_total]])</f>
        <v>500.282</v>
      </c>
    </row>
    <row r="1475" customFormat="false" ht="13.5" hidden="false" customHeight="false" outlineLevel="0" collapsed="false">
      <c r="A1475" s="1" t="s">
        <v>1023</v>
      </c>
      <c r="B1475" s="1" t="n">
        <v>3</v>
      </c>
      <c r="C1475" s="5" t="n">
        <v>46038</v>
      </c>
      <c r="D1475" s="6" t="s">
        <v>362</v>
      </c>
      <c r="E1475" s="6" t="s">
        <v>234</v>
      </c>
      <c r="F1475" s="6" t="s">
        <v>63</v>
      </c>
      <c r="G1475" s="6" t="s">
        <v>47</v>
      </c>
      <c r="H1475" s="6" t="s">
        <v>131</v>
      </c>
      <c r="I1475" s="1" t="n">
        <v>2</v>
      </c>
      <c r="J1475" s="7" t="n">
        <v>7784.56</v>
      </c>
      <c r="K1475" s="8" t="n">
        <v>0</v>
      </c>
      <c r="L1475" s="7" t="n">
        <v>6255.13</v>
      </c>
      <c r="M1475" s="6" t="s">
        <v>49</v>
      </c>
      <c r="N1475" s="6" t="s">
        <v>50</v>
      </c>
      <c r="O1475" s="6" t="n">
        <f aca="false">IF(TablaVentas[[#This Row],[Precio_unitario]]="","PENDIENTE",TablaVentas[[#This Row],[Unidades]]*TablaVentas[[#This Row],[Precio_unitario]]*(1-TablaVentas[[#This Row],[Descuento_pct]]))</f>
        <v>15569.12</v>
      </c>
      <c r="P1475" s="6" t="n">
        <f aca="false">IF(TablaVentas[[#This Row],[Costo_unitario]]="","PENDIENTE",TablaVentas[[#This Row],[Unidades]]*TablaVentas[[#This Row],[Costo_unitario]])</f>
        <v>12510.26</v>
      </c>
      <c r="Q1475" s="6" t="n">
        <f aca="false">IF(OR(TablaVentas[[#This Row],[Ingreso_neto]]="PENDIENTE",TablaVentas[[#This Row],[Costo_total]]="PENDIENTE"),"PENDIENTE",TablaVentas[[#This Row],[Ingreso_neto]]-TablaVentas[[#This Row],[Costo_total]])</f>
        <v>3058.86</v>
      </c>
    </row>
    <row r="1476" customFormat="false" ht="13.5" hidden="false" customHeight="false" outlineLevel="0" collapsed="false">
      <c r="A1476" s="1" t="s">
        <v>1024</v>
      </c>
      <c r="B1476" s="1" t="n">
        <v>1</v>
      </c>
      <c r="C1476" s="5" t="n">
        <v>46280</v>
      </c>
      <c r="D1476" s="6" t="s">
        <v>55</v>
      </c>
      <c r="E1476" s="6" t="s">
        <v>45</v>
      </c>
      <c r="F1476" s="6" t="s">
        <v>63</v>
      </c>
      <c r="G1476" s="6" t="s">
        <v>47</v>
      </c>
      <c r="H1476" s="6" t="s">
        <v>74</v>
      </c>
      <c r="I1476" s="1" t="n">
        <v>1</v>
      </c>
      <c r="J1476" s="7" t="n">
        <v>5664.75</v>
      </c>
      <c r="K1476" s="8" t="n">
        <v>0</v>
      </c>
      <c r="L1476" s="7" t="n">
        <v>3832.69</v>
      </c>
      <c r="M1476" s="6" t="s">
        <v>49</v>
      </c>
      <c r="N1476" s="6" t="s">
        <v>52</v>
      </c>
      <c r="O1476" s="6" t="n">
        <f aca="false">IF(TablaVentas[[#This Row],[Precio_unitario]]="","PENDIENTE",TablaVentas[[#This Row],[Unidades]]*TablaVentas[[#This Row],[Precio_unitario]]*(1-TablaVentas[[#This Row],[Descuento_pct]]))</f>
        <v>5664.75</v>
      </c>
      <c r="P1476" s="6" t="n">
        <f aca="false">IF(TablaVentas[[#This Row],[Costo_unitario]]="","PENDIENTE",TablaVentas[[#This Row],[Unidades]]*TablaVentas[[#This Row],[Costo_unitario]])</f>
        <v>3832.69</v>
      </c>
      <c r="Q1476" s="6" t="n">
        <f aca="false">IF(OR(TablaVentas[[#This Row],[Ingreso_neto]]="PENDIENTE",TablaVentas[[#This Row],[Costo_total]]="PENDIENTE"),"PENDIENTE",TablaVentas[[#This Row],[Ingreso_neto]]-TablaVentas[[#This Row],[Costo_total]])</f>
        <v>1832.06</v>
      </c>
    </row>
    <row r="1477" customFormat="false" ht="13.5" hidden="false" customHeight="false" outlineLevel="0" collapsed="false">
      <c r="A1477" s="1" t="s">
        <v>1024</v>
      </c>
      <c r="B1477" s="1" t="n">
        <v>2</v>
      </c>
      <c r="C1477" s="5" t="n">
        <v>46280</v>
      </c>
      <c r="D1477" s="6" t="s">
        <v>55</v>
      </c>
      <c r="E1477" s="6" t="s">
        <v>163</v>
      </c>
      <c r="F1477" s="6" t="s">
        <v>63</v>
      </c>
      <c r="G1477" s="6" t="s">
        <v>47</v>
      </c>
      <c r="H1477" s="6" t="s">
        <v>74</v>
      </c>
      <c r="I1477" s="1" t="n">
        <v>1</v>
      </c>
      <c r="J1477" s="7" t="n">
        <v>20135.3</v>
      </c>
      <c r="K1477" s="8" t="n">
        <v>0.1</v>
      </c>
      <c r="L1477" s="7" t="n">
        <v>13981.13</v>
      </c>
      <c r="M1477" s="6" t="s">
        <v>49</v>
      </c>
      <c r="N1477" s="6" t="s">
        <v>59</v>
      </c>
      <c r="O1477" s="6" t="n">
        <f aca="false">IF(TablaVentas[[#This Row],[Precio_unitario]]="","PENDIENTE",TablaVentas[[#This Row],[Unidades]]*TablaVentas[[#This Row],[Precio_unitario]]*(1-TablaVentas[[#This Row],[Descuento_pct]]))</f>
        <v>18121.77</v>
      </c>
      <c r="P1477" s="6" t="n">
        <f aca="false">IF(TablaVentas[[#This Row],[Costo_unitario]]="","PENDIENTE",TablaVentas[[#This Row],[Unidades]]*TablaVentas[[#This Row],[Costo_unitario]])</f>
        <v>13981.13</v>
      </c>
      <c r="Q1477" s="6" t="n">
        <f aca="false">IF(OR(TablaVentas[[#This Row],[Ingreso_neto]]="PENDIENTE",TablaVentas[[#This Row],[Costo_total]]="PENDIENTE"),"PENDIENTE",TablaVentas[[#This Row],[Ingreso_neto]]-TablaVentas[[#This Row],[Costo_total]])</f>
        <v>4140.64</v>
      </c>
    </row>
    <row r="1478" customFormat="false" ht="13.5" hidden="false" customHeight="false" outlineLevel="0" collapsed="false">
      <c r="A1478" s="1" t="s">
        <v>1025</v>
      </c>
      <c r="B1478" s="1" t="n">
        <v>1</v>
      </c>
      <c r="C1478" s="5" t="n">
        <v>46141</v>
      </c>
      <c r="D1478" s="6" t="s">
        <v>891</v>
      </c>
      <c r="E1478" s="6" t="s">
        <v>116</v>
      </c>
      <c r="F1478" s="6" t="s">
        <v>63</v>
      </c>
      <c r="G1478" s="6" t="s">
        <v>64</v>
      </c>
      <c r="H1478" s="6" t="s">
        <v>136</v>
      </c>
      <c r="I1478" s="1" t="n">
        <v>1</v>
      </c>
      <c r="J1478" s="7" t="n">
        <v>15872.89</v>
      </c>
      <c r="K1478" s="8" t="n">
        <v>0</v>
      </c>
      <c r="L1478" s="7" t="n">
        <v>9880.77</v>
      </c>
      <c r="M1478" s="6" t="s">
        <v>49</v>
      </c>
      <c r="N1478" s="6" t="s">
        <v>52</v>
      </c>
      <c r="O1478" s="6" t="n">
        <f aca="false">IF(TablaVentas[[#This Row],[Precio_unitario]]="","PENDIENTE",TablaVentas[[#This Row],[Unidades]]*TablaVentas[[#This Row],[Precio_unitario]]*(1-TablaVentas[[#This Row],[Descuento_pct]]))</f>
        <v>15872.89</v>
      </c>
      <c r="P1478" s="6" t="n">
        <f aca="false">IF(TablaVentas[[#This Row],[Costo_unitario]]="","PENDIENTE",TablaVentas[[#This Row],[Unidades]]*TablaVentas[[#This Row],[Costo_unitario]])</f>
        <v>9880.77</v>
      </c>
      <c r="Q1478" s="6" t="n">
        <f aca="false">IF(OR(TablaVentas[[#This Row],[Ingreso_neto]]="PENDIENTE",TablaVentas[[#This Row],[Costo_total]]="PENDIENTE"),"PENDIENTE",TablaVentas[[#This Row],[Ingreso_neto]]-TablaVentas[[#This Row],[Costo_total]])</f>
        <v>5992.12</v>
      </c>
    </row>
    <row r="1479" customFormat="false" ht="13.5" hidden="false" customHeight="false" outlineLevel="0" collapsed="false">
      <c r="A1479" s="1" t="s">
        <v>1026</v>
      </c>
      <c r="B1479" s="1" t="n">
        <v>1</v>
      </c>
      <c r="C1479" s="5" t="n">
        <v>46276</v>
      </c>
      <c r="D1479" s="6" t="s">
        <v>569</v>
      </c>
      <c r="E1479" s="6" t="s">
        <v>360</v>
      </c>
      <c r="F1479" s="6" t="s">
        <v>84</v>
      </c>
      <c r="G1479" s="6" t="s">
        <v>64</v>
      </c>
      <c r="H1479" s="6" t="s">
        <v>48</v>
      </c>
      <c r="I1479" s="1" t="n">
        <v>1</v>
      </c>
      <c r="J1479" s="7" t="n">
        <v>2187.47</v>
      </c>
      <c r="K1479" s="8" t="n">
        <v>0.05</v>
      </c>
      <c r="L1479" s="7" t="n">
        <v>1479.71</v>
      </c>
      <c r="M1479" s="6" t="s">
        <v>49</v>
      </c>
      <c r="N1479" s="6" t="s">
        <v>52</v>
      </c>
      <c r="O1479" s="6" t="n">
        <f aca="false">IF(TablaVentas[[#This Row],[Precio_unitario]]="","PENDIENTE",TablaVentas[[#This Row],[Unidades]]*TablaVentas[[#This Row],[Precio_unitario]]*(1-TablaVentas[[#This Row],[Descuento_pct]]))</f>
        <v>2078.0965</v>
      </c>
      <c r="P1479" s="6" t="n">
        <f aca="false">IF(TablaVentas[[#This Row],[Costo_unitario]]="","PENDIENTE",TablaVentas[[#This Row],[Unidades]]*TablaVentas[[#This Row],[Costo_unitario]])</f>
        <v>1479.71</v>
      </c>
      <c r="Q1479" s="6" t="n">
        <f aca="false">IF(OR(TablaVentas[[#This Row],[Ingreso_neto]]="PENDIENTE",TablaVentas[[#This Row],[Costo_total]]="PENDIENTE"),"PENDIENTE",TablaVentas[[#This Row],[Ingreso_neto]]-TablaVentas[[#This Row],[Costo_total]])</f>
        <v>598.3865</v>
      </c>
    </row>
    <row r="1480" customFormat="false" ht="13.5" hidden="false" customHeight="false" outlineLevel="0" collapsed="false">
      <c r="A1480" s="1" t="s">
        <v>1026</v>
      </c>
      <c r="B1480" s="1" t="n">
        <v>2</v>
      </c>
      <c r="C1480" s="5" t="n">
        <v>46276</v>
      </c>
      <c r="D1480" s="6" t="s">
        <v>569</v>
      </c>
      <c r="E1480" s="6" t="s">
        <v>410</v>
      </c>
      <c r="F1480" s="6" t="s">
        <v>84</v>
      </c>
      <c r="G1480" s="6" t="s">
        <v>64</v>
      </c>
      <c r="H1480" s="6" t="s">
        <v>48</v>
      </c>
      <c r="I1480" s="1" t="n">
        <v>2</v>
      </c>
      <c r="J1480" s="7" t="n">
        <v>3125.57</v>
      </c>
      <c r="K1480" s="8" t="n">
        <v>0</v>
      </c>
      <c r="L1480" s="7" t="n">
        <v>1801.83</v>
      </c>
      <c r="M1480" s="6" t="s">
        <v>49</v>
      </c>
      <c r="N1480" s="6" t="s">
        <v>59</v>
      </c>
      <c r="O1480" s="6" t="n">
        <f aca="false">IF(TablaVentas[[#This Row],[Precio_unitario]]="","PENDIENTE",TablaVentas[[#This Row],[Unidades]]*TablaVentas[[#This Row],[Precio_unitario]]*(1-TablaVentas[[#This Row],[Descuento_pct]]))</f>
        <v>6251.14</v>
      </c>
      <c r="P1480" s="6" t="n">
        <f aca="false">IF(TablaVentas[[#This Row],[Costo_unitario]]="","PENDIENTE",TablaVentas[[#This Row],[Unidades]]*TablaVentas[[#This Row],[Costo_unitario]])</f>
        <v>3603.66</v>
      </c>
      <c r="Q1480" s="6" t="n">
        <f aca="false">IF(OR(TablaVentas[[#This Row],[Ingreso_neto]]="PENDIENTE",TablaVentas[[#This Row],[Costo_total]]="PENDIENTE"),"PENDIENTE",TablaVentas[[#This Row],[Ingreso_neto]]-TablaVentas[[#This Row],[Costo_total]])</f>
        <v>2647.48</v>
      </c>
    </row>
    <row r="1481" customFormat="false" ht="13.5" hidden="false" customHeight="false" outlineLevel="0" collapsed="false">
      <c r="A1481" s="1" t="s">
        <v>1026</v>
      </c>
      <c r="B1481" s="1" t="n">
        <v>3</v>
      </c>
      <c r="C1481" s="5" t="n">
        <v>46276</v>
      </c>
      <c r="D1481" s="6" t="s">
        <v>569</v>
      </c>
      <c r="E1481" s="6" t="s">
        <v>104</v>
      </c>
      <c r="F1481" s="6" t="s">
        <v>84</v>
      </c>
      <c r="G1481" s="6" t="s">
        <v>64</v>
      </c>
      <c r="H1481" s="6" t="s">
        <v>48</v>
      </c>
      <c r="I1481" s="1" t="n">
        <v>1</v>
      </c>
      <c r="J1481" s="7" t="n">
        <v>14780.87</v>
      </c>
      <c r="K1481" s="8" t="n">
        <v>0.05</v>
      </c>
      <c r="L1481" s="7" t="n">
        <v>11424.77</v>
      </c>
      <c r="M1481" s="6" t="s">
        <v>49</v>
      </c>
      <c r="N1481" s="6" t="s">
        <v>59</v>
      </c>
      <c r="O1481" s="6" t="n">
        <f aca="false">IF(TablaVentas[[#This Row],[Precio_unitario]]="","PENDIENTE",TablaVentas[[#This Row],[Unidades]]*TablaVentas[[#This Row],[Precio_unitario]]*(1-TablaVentas[[#This Row],[Descuento_pct]]))</f>
        <v>14041.8265</v>
      </c>
      <c r="P1481" s="6" t="n">
        <f aca="false">IF(TablaVentas[[#This Row],[Costo_unitario]]="","PENDIENTE",TablaVentas[[#This Row],[Unidades]]*TablaVentas[[#This Row],[Costo_unitario]])</f>
        <v>11424.77</v>
      </c>
      <c r="Q1481" s="6" t="n">
        <f aca="false">IF(OR(TablaVentas[[#This Row],[Ingreso_neto]]="PENDIENTE",TablaVentas[[#This Row],[Costo_total]]="PENDIENTE"),"PENDIENTE",TablaVentas[[#This Row],[Ingreso_neto]]-TablaVentas[[#This Row],[Costo_total]])</f>
        <v>2617.0565</v>
      </c>
    </row>
    <row r="1482" customFormat="false" ht="13.5" hidden="false" customHeight="false" outlineLevel="0" collapsed="false">
      <c r="A1482" s="1" t="s">
        <v>1027</v>
      </c>
      <c r="B1482" s="1" t="n">
        <v>1</v>
      </c>
      <c r="C1482" s="5" t="n">
        <v>46125</v>
      </c>
      <c r="D1482" s="6" t="s">
        <v>273</v>
      </c>
      <c r="E1482" s="6" t="s">
        <v>265</v>
      </c>
      <c r="F1482" s="6" t="s">
        <v>63</v>
      </c>
      <c r="G1482" s="6" t="s">
        <v>47</v>
      </c>
      <c r="H1482" s="6" t="s">
        <v>131</v>
      </c>
      <c r="I1482" s="1" t="n">
        <v>2</v>
      </c>
      <c r="J1482" s="7" t="n">
        <v>4020.89</v>
      </c>
      <c r="K1482" s="8" t="n">
        <v>0</v>
      </c>
      <c r="L1482" s="7" t="n">
        <v>2008.57</v>
      </c>
      <c r="M1482" s="6" t="s">
        <v>49</v>
      </c>
      <c r="N1482" s="6" t="s">
        <v>59</v>
      </c>
      <c r="O1482" s="6" t="n">
        <f aca="false">IF(TablaVentas[[#This Row],[Precio_unitario]]="","PENDIENTE",TablaVentas[[#This Row],[Unidades]]*TablaVentas[[#This Row],[Precio_unitario]]*(1-TablaVentas[[#This Row],[Descuento_pct]]))</f>
        <v>8041.78</v>
      </c>
      <c r="P1482" s="6" t="n">
        <f aca="false">IF(TablaVentas[[#This Row],[Costo_unitario]]="","PENDIENTE",TablaVentas[[#This Row],[Unidades]]*TablaVentas[[#This Row],[Costo_unitario]])</f>
        <v>4017.14</v>
      </c>
      <c r="Q1482" s="6" t="n">
        <f aca="false">IF(OR(TablaVentas[[#This Row],[Ingreso_neto]]="PENDIENTE",TablaVentas[[#This Row],[Costo_total]]="PENDIENTE"),"PENDIENTE",TablaVentas[[#This Row],[Ingreso_neto]]-TablaVentas[[#This Row],[Costo_total]])</f>
        <v>4024.64</v>
      </c>
    </row>
    <row r="1483" customFormat="false" ht="13.5" hidden="false" customHeight="false" outlineLevel="0" collapsed="false">
      <c r="A1483" s="1" t="s">
        <v>1027</v>
      </c>
      <c r="B1483" s="1" t="n">
        <v>2</v>
      </c>
      <c r="C1483" s="5" t="n">
        <v>46125</v>
      </c>
      <c r="D1483" s="6" t="s">
        <v>273</v>
      </c>
      <c r="E1483" s="6" t="s">
        <v>182</v>
      </c>
      <c r="F1483" s="6" t="s">
        <v>63</v>
      </c>
      <c r="G1483" s="6" t="s">
        <v>47</v>
      </c>
      <c r="H1483" s="6" t="s">
        <v>131</v>
      </c>
      <c r="I1483" s="1" t="n">
        <v>4</v>
      </c>
      <c r="J1483" s="7" t="n">
        <v>2748.53</v>
      </c>
      <c r="K1483" s="8" t="n">
        <v>0.1</v>
      </c>
      <c r="L1483" s="7" t="n">
        <v>1857.39</v>
      </c>
      <c r="M1483" s="6" t="s">
        <v>49</v>
      </c>
      <c r="N1483" s="6" t="s">
        <v>67</v>
      </c>
      <c r="O1483" s="6" t="n">
        <f aca="false">IF(TablaVentas[[#This Row],[Precio_unitario]]="","PENDIENTE",TablaVentas[[#This Row],[Unidades]]*TablaVentas[[#This Row],[Precio_unitario]]*(1-TablaVentas[[#This Row],[Descuento_pct]]))</f>
        <v>9894.708</v>
      </c>
      <c r="P1483" s="6" t="n">
        <f aca="false">IF(TablaVentas[[#This Row],[Costo_unitario]]="","PENDIENTE",TablaVentas[[#This Row],[Unidades]]*TablaVentas[[#This Row],[Costo_unitario]])</f>
        <v>7429.56</v>
      </c>
      <c r="Q1483" s="6" t="n">
        <f aca="false">IF(OR(TablaVentas[[#This Row],[Ingreso_neto]]="PENDIENTE",TablaVentas[[#This Row],[Costo_total]]="PENDIENTE"),"PENDIENTE",TablaVentas[[#This Row],[Ingreso_neto]]-TablaVentas[[#This Row],[Costo_total]])</f>
        <v>2465.148</v>
      </c>
    </row>
    <row r="1484" customFormat="false" ht="13.5" hidden="false" customHeight="false" outlineLevel="0" collapsed="false">
      <c r="A1484" s="1" t="s">
        <v>1027</v>
      </c>
      <c r="B1484" s="1" t="n">
        <v>3</v>
      </c>
      <c r="C1484" s="5" t="n">
        <v>46125</v>
      </c>
      <c r="D1484" s="6" t="s">
        <v>273</v>
      </c>
      <c r="E1484" s="6" t="s">
        <v>327</v>
      </c>
      <c r="F1484" s="6" t="s">
        <v>63</v>
      </c>
      <c r="G1484" s="6" t="s">
        <v>47</v>
      </c>
      <c r="H1484" s="6" t="s">
        <v>131</v>
      </c>
      <c r="I1484" s="1" t="n">
        <v>1</v>
      </c>
      <c r="J1484" s="7" t="n">
        <v>4835.94</v>
      </c>
      <c r="K1484" s="8" t="n">
        <v>0.1</v>
      </c>
      <c r="L1484" s="7" t="n">
        <v>3065.66</v>
      </c>
      <c r="M1484" s="6" t="s">
        <v>49</v>
      </c>
      <c r="N1484" s="6" t="s">
        <v>59</v>
      </c>
      <c r="O1484" s="6" t="n">
        <f aca="false">IF(TablaVentas[[#This Row],[Precio_unitario]]="","PENDIENTE",TablaVentas[[#This Row],[Unidades]]*TablaVentas[[#This Row],[Precio_unitario]]*(1-TablaVentas[[#This Row],[Descuento_pct]]))</f>
        <v>4352.346</v>
      </c>
      <c r="P1484" s="6" t="n">
        <f aca="false">IF(TablaVentas[[#This Row],[Costo_unitario]]="","PENDIENTE",TablaVentas[[#This Row],[Unidades]]*TablaVentas[[#This Row],[Costo_unitario]])</f>
        <v>3065.66</v>
      </c>
      <c r="Q1484" s="6" t="n">
        <f aca="false">IF(OR(TablaVentas[[#This Row],[Ingreso_neto]]="PENDIENTE",TablaVentas[[#This Row],[Costo_total]]="PENDIENTE"),"PENDIENTE",TablaVentas[[#This Row],[Ingreso_neto]]-TablaVentas[[#This Row],[Costo_total]])</f>
        <v>1286.686</v>
      </c>
    </row>
    <row r="1485" customFormat="false" ht="13.5" hidden="false" customHeight="false" outlineLevel="0" collapsed="false">
      <c r="A1485" s="1" t="s">
        <v>1027</v>
      </c>
      <c r="B1485" s="1" t="n">
        <v>4</v>
      </c>
      <c r="C1485" s="5" t="n">
        <v>46125</v>
      </c>
      <c r="D1485" s="6" t="s">
        <v>273</v>
      </c>
      <c r="E1485" s="6" t="s">
        <v>224</v>
      </c>
      <c r="F1485" s="6" t="s">
        <v>63</v>
      </c>
      <c r="G1485" s="6" t="s">
        <v>47</v>
      </c>
      <c r="H1485" s="6" t="s">
        <v>131</v>
      </c>
      <c r="I1485" s="1" t="n">
        <v>2</v>
      </c>
      <c r="J1485" s="7" t="n">
        <v>16960.07</v>
      </c>
      <c r="K1485" s="8" t="n">
        <v>0</v>
      </c>
      <c r="L1485" s="7" t="n">
        <v>14161.63</v>
      </c>
      <c r="M1485" s="6" t="s">
        <v>49</v>
      </c>
      <c r="N1485" s="6" t="s">
        <v>67</v>
      </c>
      <c r="O1485" s="6" t="n">
        <f aca="false">IF(TablaVentas[[#This Row],[Precio_unitario]]="","PENDIENTE",TablaVentas[[#This Row],[Unidades]]*TablaVentas[[#This Row],[Precio_unitario]]*(1-TablaVentas[[#This Row],[Descuento_pct]]))</f>
        <v>33920.14</v>
      </c>
      <c r="P1485" s="6" t="n">
        <f aca="false">IF(TablaVentas[[#This Row],[Costo_unitario]]="","PENDIENTE",TablaVentas[[#This Row],[Unidades]]*TablaVentas[[#This Row],[Costo_unitario]])</f>
        <v>28323.26</v>
      </c>
      <c r="Q1485" s="6" t="n">
        <f aca="false">IF(OR(TablaVentas[[#This Row],[Ingreso_neto]]="PENDIENTE",TablaVentas[[#This Row],[Costo_total]]="PENDIENTE"),"PENDIENTE",TablaVentas[[#This Row],[Ingreso_neto]]-TablaVentas[[#This Row],[Costo_total]])</f>
        <v>5596.88</v>
      </c>
    </row>
    <row r="1486" customFormat="false" ht="13.5" hidden="false" customHeight="false" outlineLevel="0" collapsed="false">
      <c r="A1486" s="1" t="s">
        <v>1028</v>
      </c>
      <c r="B1486" s="1" t="n">
        <v>1</v>
      </c>
      <c r="C1486" s="5" t="n">
        <v>46231</v>
      </c>
      <c r="D1486" s="6" t="s">
        <v>144</v>
      </c>
      <c r="E1486" s="6" t="s">
        <v>284</v>
      </c>
      <c r="F1486" s="6" t="s">
        <v>73</v>
      </c>
      <c r="G1486" s="6" t="s">
        <v>57</v>
      </c>
      <c r="H1486" s="6" t="s">
        <v>191</v>
      </c>
      <c r="I1486" s="1" t="n">
        <v>5</v>
      </c>
      <c r="J1486" s="7" t="n">
        <v>6782.25</v>
      </c>
      <c r="K1486" s="8" t="n">
        <v>0.2</v>
      </c>
      <c r="L1486" s="7" t="n">
        <v>4858.08</v>
      </c>
      <c r="M1486" s="6" t="s">
        <v>49</v>
      </c>
      <c r="N1486" s="6" t="s">
        <v>52</v>
      </c>
      <c r="O1486" s="6" t="n">
        <f aca="false">IF(TablaVentas[[#This Row],[Precio_unitario]]="","PENDIENTE",TablaVentas[[#This Row],[Unidades]]*TablaVentas[[#This Row],[Precio_unitario]]*(1-TablaVentas[[#This Row],[Descuento_pct]]))</f>
        <v>27129</v>
      </c>
      <c r="P1486" s="6" t="n">
        <f aca="false">IF(TablaVentas[[#This Row],[Costo_unitario]]="","PENDIENTE",TablaVentas[[#This Row],[Unidades]]*TablaVentas[[#This Row],[Costo_unitario]])</f>
        <v>24290.4</v>
      </c>
      <c r="Q1486" s="6" t="n">
        <f aca="false">IF(OR(TablaVentas[[#This Row],[Ingreso_neto]]="PENDIENTE",TablaVentas[[#This Row],[Costo_total]]="PENDIENTE"),"PENDIENTE",TablaVentas[[#This Row],[Ingreso_neto]]-TablaVentas[[#This Row],[Costo_total]])</f>
        <v>2838.6</v>
      </c>
    </row>
    <row r="1487" customFormat="false" ht="13.5" hidden="false" customHeight="false" outlineLevel="0" collapsed="false">
      <c r="A1487" s="1" t="s">
        <v>1028</v>
      </c>
      <c r="B1487" s="1" t="n">
        <v>2</v>
      </c>
      <c r="C1487" s="5" t="n">
        <v>46231</v>
      </c>
      <c r="D1487" s="6" t="s">
        <v>144</v>
      </c>
      <c r="E1487" s="6" t="s">
        <v>75</v>
      </c>
      <c r="F1487" s="6" t="s">
        <v>73</v>
      </c>
      <c r="G1487" s="6" t="s">
        <v>57</v>
      </c>
      <c r="H1487" s="6" t="s">
        <v>191</v>
      </c>
      <c r="I1487" s="1" t="n">
        <v>2</v>
      </c>
      <c r="J1487" s="7" t="n">
        <v>14106.06</v>
      </c>
      <c r="K1487" s="8" t="n">
        <v>0.2</v>
      </c>
      <c r="L1487" s="7" t="n">
        <v>9243.35</v>
      </c>
      <c r="M1487" s="6" t="s">
        <v>49</v>
      </c>
      <c r="N1487" s="6" t="s">
        <v>59</v>
      </c>
      <c r="O1487" s="6" t="n">
        <f aca="false">IF(TablaVentas[[#This Row],[Precio_unitario]]="","PENDIENTE",TablaVentas[[#This Row],[Unidades]]*TablaVentas[[#This Row],[Precio_unitario]]*(1-TablaVentas[[#This Row],[Descuento_pct]]))</f>
        <v>22569.696</v>
      </c>
      <c r="P1487" s="6" t="n">
        <f aca="false">IF(TablaVentas[[#This Row],[Costo_unitario]]="","PENDIENTE",TablaVentas[[#This Row],[Unidades]]*TablaVentas[[#This Row],[Costo_unitario]])</f>
        <v>18486.7</v>
      </c>
      <c r="Q1487" s="6" t="n">
        <f aca="false">IF(OR(TablaVentas[[#This Row],[Ingreso_neto]]="PENDIENTE",TablaVentas[[#This Row],[Costo_total]]="PENDIENTE"),"PENDIENTE",TablaVentas[[#This Row],[Ingreso_neto]]-TablaVentas[[#This Row],[Costo_total]])</f>
        <v>4082.996</v>
      </c>
    </row>
    <row r="1488" customFormat="false" ht="13.5" hidden="false" customHeight="false" outlineLevel="0" collapsed="false">
      <c r="A1488" s="1" t="s">
        <v>1028</v>
      </c>
      <c r="B1488" s="1" t="n">
        <v>3</v>
      </c>
      <c r="C1488" s="5" t="n">
        <v>46231</v>
      </c>
      <c r="D1488" s="6" t="s">
        <v>144</v>
      </c>
      <c r="E1488" s="6" t="s">
        <v>126</v>
      </c>
      <c r="F1488" s="6" t="s">
        <v>73</v>
      </c>
      <c r="G1488" s="6" t="s">
        <v>57</v>
      </c>
      <c r="H1488" s="6" t="s">
        <v>191</v>
      </c>
      <c r="I1488" s="1" t="n">
        <v>1</v>
      </c>
      <c r="J1488" s="7" t="n">
        <v>8478.17</v>
      </c>
      <c r="K1488" s="8" t="n">
        <v>0.05</v>
      </c>
      <c r="L1488" s="7" t="n">
        <v>6981.94</v>
      </c>
      <c r="M1488" s="6" t="s">
        <v>49</v>
      </c>
      <c r="N1488" s="6" t="s">
        <v>59</v>
      </c>
      <c r="O1488" s="6" t="n">
        <f aca="false">IF(TablaVentas[[#This Row],[Precio_unitario]]="","PENDIENTE",TablaVentas[[#This Row],[Unidades]]*TablaVentas[[#This Row],[Precio_unitario]]*(1-TablaVentas[[#This Row],[Descuento_pct]]))</f>
        <v>8054.2615</v>
      </c>
      <c r="P1488" s="6" t="n">
        <f aca="false">IF(TablaVentas[[#This Row],[Costo_unitario]]="","PENDIENTE",TablaVentas[[#This Row],[Unidades]]*TablaVentas[[#This Row],[Costo_unitario]])</f>
        <v>6981.94</v>
      </c>
      <c r="Q1488" s="6" t="n">
        <f aca="false">IF(OR(TablaVentas[[#This Row],[Ingreso_neto]]="PENDIENTE",TablaVentas[[#This Row],[Costo_total]]="PENDIENTE"),"PENDIENTE",TablaVentas[[#This Row],[Ingreso_neto]]-TablaVentas[[#This Row],[Costo_total]])</f>
        <v>1072.3215</v>
      </c>
    </row>
    <row r="1489" customFormat="false" ht="13.5" hidden="false" customHeight="false" outlineLevel="0" collapsed="false">
      <c r="A1489" s="1" t="s">
        <v>1029</v>
      </c>
      <c r="B1489" s="1" t="n">
        <v>1</v>
      </c>
      <c r="C1489" s="5" t="n">
        <v>46083</v>
      </c>
      <c r="D1489" s="6" t="s">
        <v>984</v>
      </c>
      <c r="E1489" s="6" t="s">
        <v>210</v>
      </c>
      <c r="F1489" s="6" t="s">
        <v>63</v>
      </c>
      <c r="G1489" s="6" t="s">
        <v>47</v>
      </c>
      <c r="H1489" s="6" t="s">
        <v>74</v>
      </c>
      <c r="I1489" s="1" t="n">
        <v>4</v>
      </c>
      <c r="J1489" s="7" t="n">
        <v>1849.3</v>
      </c>
      <c r="K1489" s="8" t="n">
        <v>0.05</v>
      </c>
      <c r="L1489" s="7" t="n">
        <v>1252.84</v>
      </c>
      <c r="M1489" s="6" t="s">
        <v>49</v>
      </c>
      <c r="N1489" s="6" t="s">
        <v>50</v>
      </c>
      <c r="O1489" s="6" t="n">
        <f aca="false">IF(TablaVentas[[#This Row],[Precio_unitario]]="","PENDIENTE",TablaVentas[[#This Row],[Unidades]]*TablaVentas[[#This Row],[Precio_unitario]]*(1-TablaVentas[[#This Row],[Descuento_pct]]))</f>
        <v>7027.34</v>
      </c>
      <c r="P1489" s="6" t="n">
        <f aca="false">IF(TablaVentas[[#This Row],[Costo_unitario]]="","PENDIENTE",TablaVentas[[#This Row],[Unidades]]*TablaVentas[[#This Row],[Costo_unitario]])</f>
        <v>5011.36</v>
      </c>
      <c r="Q1489" s="6" t="n">
        <f aca="false">IF(OR(TablaVentas[[#This Row],[Ingreso_neto]]="PENDIENTE",TablaVentas[[#This Row],[Costo_total]]="PENDIENTE"),"PENDIENTE",TablaVentas[[#This Row],[Ingreso_neto]]-TablaVentas[[#This Row],[Costo_total]])</f>
        <v>2015.98</v>
      </c>
    </row>
    <row r="1490" customFormat="false" ht="13.5" hidden="false" customHeight="false" outlineLevel="0" collapsed="false">
      <c r="A1490" s="1" t="s">
        <v>1030</v>
      </c>
      <c r="B1490" s="1" t="n">
        <v>1</v>
      </c>
      <c r="C1490" s="5" t="n">
        <v>46032</v>
      </c>
      <c r="D1490" s="6" t="s">
        <v>842</v>
      </c>
      <c r="E1490" s="6" t="s">
        <v>88</v>
      </c>
      <c r="F1490" s="6" t="s">
        <v>73</v>
      </c>
      <c r="G1490" s="6" t="s">
        <v>57</v>
      </c>
      <c r="H1490" s="6" t="s">
        <v>58</v>
      </c>
      <c r="I1490" s="1" t="n">
        <v>2</v>
      </c>
      <c r="J1490" s="7" t="n">
        <v>16614.42</v>
      </c>
      <c r="K1490" s="8" t="n">
        <v>0</v>
      </c>
      <c r="L1490" s="7" t="n">
        <v>11614.87</v>
      </c>
      <c r="M1490" s="6" t="s">
        <v>49</v>
      </c>
      <c r="N1490" s="6" t="s">
        <v>59</v>
      </c>
      <c r="O1490" s="6" t="n">
        <f aca="false">IF(TablaVentas[[#This Row],[Precio_unitario]]="","PENDIENTE",TablaVentas[[#This Row],[Unidades]]*TablaVentas[[#This Row],[Precio_unitario]]*(1-TablaVentas[[#This Row],[Descuento_pct]]))</f>
        <v>33228.84</v>
      </c>
      <c r="P1490" s="6" t="n">
        <f aca="false">IF(TablaVentas[[#This Row],[Costo_unitario]]="","PENDIENTE",TablaVentas[[#This Row],[Unidades]]*TablaVentas[[#This Row],[Costo_unitario]])</f>
        <v>23229.74</v>
      </c>
      <c r="Q1490" s="6" t="n">
        <f aca="false">IF(OR(TablaVentas[[#This Row],[Ingreso_neto]]="PENDIENTE",TablaVentas[[#This Row],[Costo_total]]="PENDIENTE"),"PENDIENTE",TablaVentas[[#This Row],[Ingreso_neto]]-TablaVentas[[#This Row],[Costo_total]])</f>
        <v>9999.1</v>
      </c>
    </row>
    <row r="1491" customFormat="false" ht="13.5" hidden="false" customHeight="false" outlineLevel="0" collapsed="false">
      <c r="A1491" s="1" t="s">
        <v>1030</v>
      </c>
      <c r="B1491" s="1" t="n">
        <v>2</v>
      </c>
      <c r="C1491" s="5" t="n">
        <v>46032</v>
      </c>
      <c r="D1491" s="6" t="s">
        <v>842</v>
      </c>
      <c r="E1491" s="6" t="s">
        <v>146</v>
      </c>
      <c r="F1491" s="6" t="s">
        <v>73</v>
      </c>
      <c r="G1491" s="6" t="s">
        <v>57</v>
      </c>
      <c r="H1491" s="6" t="s">
        <v>58</v>
      </c>
      <c r="I1491" s="1" t="n">
        <v>1</v>
      </c>
      <c r="J1491" s="7" t="n">
        <v>10292.74</v>
      </c>
      <c r="K1491" s="8" t="n">
        <v>0.05</v>
      </c>
      <c r="L1491" s="7" t="n">
        <v>8002.16</v>
      </c>
      <c r="M1491" s="6" t="s">
        <v>49</v>
      </c>
      <c r="N1491" s="6" t="s">
        <v>67</v>
      </c>
      <c r="O1491" s="6" t="n">
        <f aca="false">IF(TablaVentas[[#This Row],[Precio_unitario]]="","PENDIENTE",TablaVentas[[#This Row],[Unidades]]*TablaVentas[[#This Row],[Precio_unitario]]*(1-TablaVentas[[#This Row],[Descuento_pct]]))</f>
        <v>9778.103</v>
      </c>
      <c r="P1491" s="6" t="n">
        <f aca="false">IF(TablaVentas[[#This Row],[Costo_unitario]]="","PENDIENTE",TablaVentas[[#This Row],[Unidades]]*TablaVentas[[#This Row],[Costo_unitario]])</f>
        <v>8002.16</v>
      </c>
      <c r="Q1491" s="6" t="n">
        <f aca="false">IF(OR(TablaVentas[[#This Row],[Ingreso_neto]]="PENDIENTE",TablaVentas[[#This Row],[Costo_total]]="PENDIENTE"),"PENDIENTE",TablaVentas[[#This Row],[Ingreso_neto]]-TablaVentas[[#This Row],[Costo_total]])</f>
        <v>1775.943</v>
      </c>
    </row>
    <row r="1492" customFormat="false" ht="13.5" hidden="false" customHeight="false" outlineLevel="0" collapsed="false">
      <c r="A1492" s="1" t="s">
        <v>1031</v>
      </c>
      <c r="B1492" s="1" t="n">
        <v>1</v>
      </c>
      <c r="C1492" s="5" t="n">
        <v>46116</v>
      </c>
      <c r="D1492" s="6" t="s">
        <v>529</v>
      </c>
      <c r="E1492" s="6" t="s">
        <v>75</v>
      </c>
      <c r="F1492" s="6" t="s">
        <v>84</v>
      </c>
      <c r="G1492" s="6" t="s">
        <v>57</v>
      </c>
      <c r="H1492" s="6" t="s">
        <v>89</v>
      </c>
      <c r="I1492" s="1" t="n">
        <v>1</v>
      </c>
      <c r="J1492" s="7" t="n">
        <v>16785.42</v>
      </c>
      <c r="K1492" s="8" t="n">
        <v>0.05</v>
      </c>
      <c r="L1492" s="7" t="n">
        <v>9243.35</v>
      </c>
      <c r="M1492" s="6" t="s">
        <v>49</v>
      </c>
      <c r="N1492" s="6" t="s">
        <v>67</v>
      </c>
      <c r="O1492" s="6" t="n">
        <f aca="false">IF(TablaVentas[[#This Row],[Precio_unitario]]="","PENDIENTE",TablaVentas[[#This Row],[Unidades]]*TablaVentas[[#This Row],[Precio_unitario]]*(1-TablaVentas[[#This Row],[Descuento_pct]]))</f>
        <v>15946.149</v>
      </c>
      <c r="P1492" s="6" t="n">
        <f aca="false">IF(TablaVentas[[#This Row],[Costo_unitario]]="","PENDIENTE",TablaVentas[[#This Row],[Unidades]]*TablaVentas[[#This Row],[Costo_unitario]])</f>
        <v>9243.35</v>
      </c>
      <c r="Q1492" s="6" t="n">
        <f aca="false">IF(OR(TablaVentas[[#This Row],[Ingreso_neto]]="PENDIENTE",TablaVentas[[#This Row],[Costo_total]]="PENDIENTE"),"PENDIENTE",TablaVentas[[#This Row],[Ingreso_neto]]-TablaVentas[[#This Row],[Costo_total]])</f>
        <v>6702.799</v>
      </c>
    </row>
    <row r="1493" customFormat="false" ht="13.5" hidden="false" customHeight="false" outlineLevel="0" collapsed="false">
      <c r="A1493" s="1" t="s">
        <v>1031</v>
      </c>
      <c r="B1493" s="1" t="n">
        <v>2</v>
      </c>
      <c r="C1493" s="5" t="n">
        <v>46116</v>
      </c>
      <c r="D1493" s="6" t="s">
        <v>529</v>
      </c>
      <c r="E1493" s="6" t="s">
        <v>167</v>
      </c>
      <c r="F1493" s="6" t="s">
        <v>84</v>
      </c>
      <c r="G1493" s="6" t="s">
        <v>57</v>
      </c>
      <c r="H1493" s="6" t="s">
        <v>89</v>
      </c>
      <c r="I1493" s="1" t="n">
        <v>2</v>
      </c>
      <c r="J1493" s="7" t="n">
        <v>7285.75</v>
      </c>
      <c r="K1493" s="8" t="n">
        <v>0.1</v>
      </c>
      <c r="L1493" s="7" t="n">
        <v>4082.15</v>
      </c>
      <c r="M1493" s="6" t="s">
        <v>49</v>
      </c>
      <c r="N1493" s="6" t="s">
        <v>59</v>
      </c>
      <c r="O1493" s="6" t="n">
        <f aca="false">IF(TablaVentas[[#This Row],[Precio_unitario]]="","PENDIENTE",TablaVentas[[#This Row],[Unidades]]*TablaVentas[[#This Row],[Precio_unitario]]*(1-TablaVentas[[#This Row],[Descuento_pct]]))</f>
        <v>13114.35</v>
      </c>
      <c r="P1493" s="6" t="n">
        <f aca="false">IF(TablaVentas[[#This Row],[Costo_unitario]]="","PENDIENTE",TablaVentas[[#This Row],[Unidades]]*TablaVentas[[#This Row],[Costo_unitario]])</f>
        <v>8164.3</v>
      </c>
      <c r="Q1493" s="6" t="n">
        <f aca="false">IF(OR(TablaVentas[[#This Row],[Ingreso_neto]]="PENDIENTE",TablaVentas[[#This Row],[Costo_total]]="PENDIENTE"),"PENDIENTE",TablaVentas[[#This Row],[Ingreso_neto]]-TablaVentas[[#This Row],[Costo_total]])</f>
        <v>4950.05</v>
      </c>
    </row>
    <row r="1494" customFormat="false" ht="13.5" hidden="false" customHeight="false" outlineLevel="0" collapsed="false">
      <c r="A1494" s="1" t="s">
        <v>1031</v>
      </c>
      <c r="B1494" s="1" t="n">
        <v>3</v>
      </c>
      <c r="C1494" s="5" t="n">
        <v>46116</v>
      </c>
      <c r="D1494" s="6" t="s">
        <v>529</v>
      </c>
      <c r="E1494" s="6" t="s">
        <v>374</v>
      </c>
      <c r="F1494" s="6" t="s">
        <v>84</v>
      </c>
      <c r="G1494" s="6" t="s">
        <v>57</v>
      </c>
      <c r="H1494" s="6" t="s">
        <v>89</v>
      </c>
      <c r="I1494" s="1" t="n">
        <v>2</v>
      </c>
      <c r="J1494" s="7" t="n">
        <v>10400.99</v>
      </c>
      <c r="K1494" s="8" t="n">
        <v>0</v>
      </c>
      <c r="L1494" s="7" t="n">
        <v>5079.43</v>
      </c>
      <c r="M1494" s="6" t="s">
        <v>49</v>
      </c>
      <c r="N1494" s="6" t="s">
        <v>52</v>
      </c>
      <c r="O1494" s="6" t="n">
        <f aca="false">IF(TablaVentas[[#This Row],[Precio_unitario]]="","PENDIENTE",TablaVentas[[#This Row],[Unidades]]*TablaVentas[[#This Row],[Precio_unitario]]*(1-TablaVentas[[#This Row],[Descuento_pct]]))</f>
        <v>20801.98</v>
      </c>
      <c r="P1494" s="6" t="n">
        <f aca="false">IF(TablaVentas[[#This Row],[Costo_unitario]]="","PENDIENTE",TablaVentas[[#This Row],[Unidades]]*TablaVentas[[#This Row],[Costo_unitario]])</f>
        <v>10158.86</v>
      </c>
      <c r="Q1494" s="6" t="n">
        <f aca="false">IF(OR(TablaVentas[[#This Row],[Ingreso_neto]]="PENDIENTE",TablaVentas[[#This Row],[Costo_total]]="PENDIENTE"),"PENDIENTE",TablaVentas[[#This Row],[Ingreso_neto]]-TablaVentas[[#This Row],[Costo_total]])</f>
        <v>10643.12</v>
      </c>
    </row>
    <row r="1495" customFormat="false" ht="13.5" hidden="false" customHeight="false" outlineLevel="0" collapsed="false">
      <c r="A1495" s="1" t="s">
        <v>1031</v>
      </c>
      <c r="B1495" s="1" t="n">
        <v>4</v>
      </c>
      <c r="C1495" s="5" t="n">
        <v>46116</v>
      </c>
      <c r="D1495" s="6" t="s">
        <v>529</v>
      </c>
      <c r="E1495" s="6" t="s">
        <v>135</v>
      </c>
      <c r="F1495" s="6" t="s">
        <v>84</v>
      </c>
      <c r="G1495" s="6" t="s">
        <v>57</v>
      </c>
      <c r="H1495" s="6" t="s">
        <v>89</v>
      </c>
      <c r="I1495" s="1" t="n">
        <v>2</v>
      </c>
      <c r="J1495" s="7" t="n">
        <v>1692.1</v>
      </c>
      <c r="K1495" s="8" t="n">
        <v>0.15</v>
      </c>
      <c r="L1495" s="7" t="n">
        <v>900.08</v>
      </c>
      <c r="M1495" s="6" t="s">
        <v>49</v>
      </c>
      <c r="N1495" s="6" t="s">
        <v>52</v>
      </c>
      <c r="O1495" s="6" t="n">
        <f aca="false">IF(TablaVentas[[#This Row],[Precio_unitario]]="","PENDIENTE",TablaVentas[[#This Row],[Unidades]]*TablaVentas[[#This Row],[Precio_unitario]]*(1-TablaVentas[[#This Row],[Descuento_pct]]))</f>
        <v>2876.57</v>
      </c>
      <c r="P1495" s="6" t="n">
        <f aca="false">IF(TablaVentas[[#This Row],[Costo_unitario]]="","PENDIENTE",TablaVentas[[#This Row],[Unidades]]*TablaVentas[[#This Row],[Costo_unitario]])</f>
        <v>1800.16</v>
      </c>
      <c r="Q1495" s="6" t="n">
        <f aca="false">IF(OR(TablaVentas[[#This Row],[Ingreso_neto]]="PENDIENTE",TablaVentas[[#This Row],[Costo_total]]="PENDIENTE"),"PENDIENTE",TablaVentas[[#This Row],[Ingreso_neto]]-TablaVentas[[#This Row],[Costo_total]])</f>
        <v>1076.41</v>
      </c>
    </row>
    <row r="1496" customFormat="false" ht="13.5" hidden="false" customHeight="false" outlineLevel="0" collapsed="false">
      <c r="A1496" s="1" t="s">
        <v>1031</v>
      </c>
      <c r="B1496" s="1" t="n">
        <v>5</v>
      </c>
      <c r="C1496" s="5" t="n">
        <v>46116</v>
      </c>
      <c r="D1496" s="6" t="s">
        <v>529</v>
      </c>
      <c r="E1496" s="6" t="s">
        <v>289</v>
      </c>
      <c r="F1496" s="6" t="s">
        <v>84</v>
      </c>
      <c r="G1496" s="6" t="s">
        <v>57</v>
      </c>
      <c r="H1496" s="6" t="s">
        <v>89</v>
      </c>
      <c r="I1496" s="1" t="n">
        <v>3</v>
      </c>
      <c r="J1496" s="7" t="n">
        <v>3936.45</v>
      </c>
      <c r="K1496" s="8" t="n">
        <v>0</v>
      </c>
      <c r="L1496" s="7" t="n">
        <v>3399.5</v>
      </c>
      <c r="M1496" s="6" t="s">
        <v>69</v>
      </c>
      <c r="N1496" s="6" t="s">
        <v>67</v>
      </c>
      <c r="O1496" s="6" t="n">
        <f aca="false">IF(TablaVentas[[#This Row],[Precio_unitario]]="","PENDIENTE",TablaVentas[[#This Row],[Unidades]]*TablaVentas[[#This Row],[Precio_unitario]]*(1-TablaVentas[[#This Row],[Descuento_pct]]))</f>
        <v>11809.35</v>
      </c>
      <c r="P1496" s="6" t="n">
        <f aca="false">IF(TablaVentas[[#This Row],[Costo_unitario]]="","PENDIENTE",TablaVentas[[#This Row],[Unidades]]*TablaVentas[[#This Row],[Costo_unitario]])</f>
        <v>10198.5</v>
      </c>
      <c r="Q1496" s="6" t="n">
        <f aca="false">IF(OR(TablaVentas[[#This Row],[Ingreso_neto]]="PENDIENTE",TablaVentas[[#This Row],[Costo_total]]="PENDIENTE"),"PENDIENTE",TablaVentas[[#This Row],[Ingreso_neto]]-TablaVentas[[#This Row],[Costo_total]])</f>
        <v>1610.85</v>
      </c>
    </row>
    <row r="1497" customFormat="false" ht="13.5" hidden="false" customHeight="false" outlineLevel="0" collapsed="false">
      <c r="A1497" s="1" t="s">
        <v>1032</v>
      </c>
      <c r="B1497" s="1" t="n">
        <v>1</v>
      </c>
      <c r="C1497" s="5" t="n">
        <v>46225</v>
      </c>
      <c r="D1497" s="6" t="s">
        <v>331</v>
      </c>
      <c r="E1497" s="6" t="s">
        <v>72</v>
      </c>
      <c r="F1497" s="6" t="s">
        <v>46</v>
      </c>
      <c r="G1497" s="6" t="s">
        <v>47</v>
      </c>
      <c r="H1497" s="6" t="s">
        <v>48</v>
      </c>
      <c r="I1497" s="1" t="n">
        <v>3</v>
      </c>
      <c r="J1497" s="7" t="n">
        <v>12073.48</v>
      </c>
      <c r="K1497" s="8" t="n">
        <v>0.2</v>
      </c>
      <c r="L1497" s="7" t="n">
        <v>7328.02</v>
      </c>
      <c r="M1497" s="6" t="s">
        <v>49</v>
      </c>
      <c r="N1497" s="6" t="s">
        <v>59</v>
      </c>
      <c r="O1497" s="6" t="n">
        <f aca="false">IF(TablaVentas[[#This Row],[Precio_unitario]]="","PENDIENTE",TablaVentas[[#This Row],[Unidades]]*TablaVentas[[#This Row],[Precio_unitario]]*(1-TablaVentas[[#This Row],[Descuento_pct]]))</f>
        <v>28976.352</v>
      </c>
      <c r="P1497" s="6" t="n">
        <f aca="false">IF(TablaVentas[[#This Row],[Costo_unitario]]="","PENDIENTE",TablaVentas[[#This Row],[Unidades]]*TablaVentas[[#This Row],[Costo_unitario]])</f>
        <v>21984.06</v>
      </c>
      <c r="Q1497" s="6" t="n">
        <f aca="false">IF(OR(TablaVentas[[#This Row],[Ingreso_neto]]="PENDIENTE",TablaVentas[[#This Row],[Costo_total]]="PENDIENTE"),"PENDIENTE",TablaVentas[[#This Row],[Ingreso_neto]]-TablaVentas[[#This Row],[Costo_total]])</f>
        <v>6992.292</v>
      </c>
    </row>
    <row r="1498" customFormat="false" ht="13.5" hidden="false" customHeight="false" outlineLevel="0" collapsed="false">
      <c r="A1498" s="1" t="s">
        <v>1032</v>
      </c>
      <c r="B1498" s="1" t="n">
        <v>2</v>
      </c>
      <c r="C1498" s="5" t="n">
        <v>46225</v>
      </c>
      <c r="D1498" s="6" t="s">
        <v>331</v>
      </c>
      <c r="E1498" s="6" t="s">
        <v>110</v>
      </c>
      <c r="F1498" s="6" t="s">
        <v>46</v>
      </c>
      <c r="G1498" s="6" t="s">
        <v>47</v>
      </c>
      <c r="H1498" s="6" t="s">
        <v>48</v>
      </c>
      <c r="I1498" s="1" t="n">
        <v>1</v>
      </c>
      <c r="J1498" s="7" t="n">
        <v>12776.86</v>
      </c>
      <c r="K1498" s="8" t="n">
        <v>0.15</v>
      </c>
      <c r="L1498" s="7" t="n">
        <v>7549.71</v>
      </c>
      <c r="M1498" s="6" t="s">
        <v>49</v>
      </c>
      <c r="N1498" s="6" t="s">
        <v>52</v>
      </c>
      <c r="O1498" s="6" t="n">
        <f aca="false">IF(TablaVentas[[#This Row],[Precio_unitario]]="","PENDIENTE",TablaVentas[[#This Row],[Unidades]]*TablaVentas[[#This Row],[Precio_unitario]]*(1-TablaVentas[[#This Row],[Descuento_pct]]))</f>
        <v>10860.331</v>
      </c>
      <c r="P1498" s="6" t="n">
        <f aca="false">IF(TablaVentas[[#This Row],[Costo_unitario]]="","PENDIENTE",TablaVentas[[#This Row],[Unidades]]*TablaVentas[[#This Row],[Costo_unitario]])</f>
        <v>7549.71</v>
      </c>
      <c r="Q1498" s="6" t="n">
        <f aca="false">IF(OR(TablaVentas[[#This Row],[Ingreso_neto]]="PENDIENTE",TablaVentas[[#This Row],[Costo_total]]="PENDIENTE"),"PENDIENTE",TablaVentas[[#This Row],[Ingreso_neto]]-TablaVentas[[#This Row],[Costo_total]])</f>
        <v>3310.621</v>
      </c>
    </row>
    <row r="1499" customFormat="false" ht="13.5" hidden="false" customHeight="false" outlineLevel="0" collapsed="false">
      <c r="A1499" s="1" t="s">
        <v>1033</v>
      </c>
      <c r="B1499" s="1" t="n">
        <v>1</v>
      </c>
      <c r="C1499" s="5" t="n">
        <v>46175</v>
      </c>
      <c r="D1499" s="6" t="s">
        <v>442</v>
      </c>
      <c r="E1499" s="6" t="s">
        <v>233</v>
      </c>
      <c r="F1499" s="6" t="s">
        <v>46</v>
      </c>
      <c r="G1499" s="6" t="s">
        <v>47</v>
      </c>
      <c r="H1499" s="6" t="s">
        <v>74</v>
      </c>
      <c r="I1499" s="1" t="n">
        <v>2</v>
      </c>
      <c r="J1499" s="7" t="n">
        <v>16626.08</v>
      </c>
      <c r="K1499" s="8" t="n">
        <v>0</v>
      </c>
      <c r="L1499" s="7" t="n">
        <v>9976.68</v>
      </c>
      <c r="M1499" s="6" t="s">
        <v>49</v>
      </c>
      <c r="N1499" s="6" t="s">
        <v>67</v>
      </c>
      <c r="O1499" s="6" t="n">
        <f aca="false">IF(TablaVentas[[#This Row],[Precio_unitario]]="","PENDIENTE",TablaVentas[[#This Row],[Unidades]]*TablaVentas[[#This Row],[Precio_unitario]]*(1-TablaVentas[[#This Row],[Descuento_pct]]))</f>
        <v>33252.16</v>
      </c>
      <c r="P1499" s="6" t="n">
        <f aca="false">IF(TablaVentas[[#This Row],[Costo_unitario]]="","PENDIENTE",TablaVentas[[#This Row],[Unidades]]*TablaVentas[[#This Row],[Costo_unitario]])</f>
        <v>19953.36</v>
      </c>
      <c r="Q1499" s="6" t="n">
        <f aca="false">IF(OR(TablaVentas[[#This Row],[Ingreso_neto]]="PENDIENTE",TablaVentas[[#This Row],[Costo_total]]="PENDIENTE"),"PENDIENTE",TablaVentas[[#This Row],[Ingreso_neto]]-TablaVentas[[#This Row],[Costo_total]])</f>
        <v>13298.8</v>
      </c>
    </row>
    <row r="1500" customFormat="false" ht="13.5" hidden="false" customHeight="false" outlineLevel="0" collapsed="false">
      <c r="A1500" s="1" t="s">
        <v>1033</v>
      </c>
      <c r="B1500" s="1" t="n">
        <v>2</v>
      </c>
      <c r="C1500" s="5" t="n">
        <v>46175</v>
      </c>
      <c r="D1500" s="6" t="s">
        <v>442</v>
      </c>
      <c r="E1500" s="6" t="s">
        <v>333</v>
      </c>
      <c r="F1500" s="6" t="s">
        <v>46</v>
      </c>
      <c r="G1500" s="6" t="s">
        <v>47</v>
      </c>
      <c r="H1500" s="6" t="s">
        <v>74</v>
      </c>
      <c r="I1500" s="1" t="n">
        <v>1</v>
      </c>
      <c r="J1500" s="7" t="n">
        <v>8097.62</v>
      </c>
      <c r="K1500" s="8" t="n">
        <v>0</v>
      </c>
      <c r="L1500" s="7" t="n">
        <v>4044.16</v>
      </c>
      <c r="M1500" s="6" t="s">
        <v>49</v>
      </c>
      <c r="N1500" s="6" t="s">
        <v>59</v>
      </c>
      <c r="O1500" s="6" t="n">
        <f aca="false">IF(TablaVentas[[#This Row],[Precio_unitario]]="","PENDIENTE",TablaVentas[[#This Row],[Unidades]]*TablaVentas[[#This Row],[Precio_unitario]]*(1-TablaVentas[[#This Row],[Descuento_pct]]))</f>
        <v>8097.62</v>
      </c>
      <c r="P1500" s="6" t="n">
        <f aca="false">IF(TablaVentas[[#This Row],[Costo_unitario]]="","PENDIENTE",TablaVentas[[#This Row],[Unidades]]*TablaVentas[[#This Row],[Costo_unitario]])</f>
        <v>4044.16</v>
      </c>
      <c r="Q1500" s="6" t="n">
        <f aca="false">IF(OR(TablaVentas[[#This Row],[Ingreso_neto]]="PENDIENTE",TablaVentas[[#This Row],[Costo_total]]="PENDIENTE"),"PENDIENTE",TablaVentas[[#This Row],[Ingreso_neto]]-TablaVentas[[#This Row],[Costo_total]])</f>
        <v>4053.46</v>
      </c>
    </row>
    <row r="1501" customFormat="false" ht="13.5" hidden="false" customHeight="false" outlineLevel="0" collapsed="false">
      <c r="A1501" s="1" t="s">
        <v>1033</v>
      </c>
      <c r="B1501" s="1" t="n">
        <v>3</v>
      </c>
      <c r="C1501" s="5" t="n">
        <v>46175</v>
      </c>
      <c r="D1501" s="6" t="s">
        <v>442</v>
      </c>
      <c r="E1501" s="6" t="s">
        <v>117</v>
      </c>
      <c r="F1501" s="6" t="s">
        <v>46</v>
      </c>
      <c r="G1501" s="6" t="s">
        <v>47</v>
      </c>
      <c r="H1501" s="6" t="s">
        <v>74</v>
      </c>
      <c r="I1501" s="1" t="n">
        <v>1</v>
      </c>
      <c r="J1501" s="7" t="n">
        <v>5306.45</v>
      </c>
      <c r="K1501" s="8" t="n">
        <v>0</v>
      </c>
      <c r="L1501" s="7" t="n">
        <v>4205.69</v>
      </c>
      <c r="M1501" s="6" t="s">
        <v>49</v>
      </c>
      <c r="N1501" s="6" t="s">
        <v>52</v>
      </c>
      <c r="O1501" s="6" t="n">
        <f aca="false">IF(TablaVentas[[#This Row],[Precio_unitario]]="","PENDIENTE",TablaVentas[[#This Row],[Unidades]]*TablaVentas[[#This Row],[Precio_unitario]]*(1-TablaVentas[[#This Row],[Descuento_pct]]))</f>
        <v>5306.45</v>
      </c>
      <c r="P1501" s="6" t="n">
        <f aca="false">IF(TablaVentas[[#This Row],[Costo_unitario]]="","PENDIENTE",TablaVentas[[#This Row],[Unidades]]*TablaVentas[[#This Row],[Costo_unitario]])</f>
        <v>4205.69</v>
      </c>
      <c r="Q1501" s="6" t="n">
        <f aca="false">IF(OR(TablaVentas[[#This Row],[Ingreso_neto]]="PENDIENTE",TablaVentas[[#This Row],[Costo_total]]="PENDIENTE"),"PENDIENTE",TablaVentas[[#This Row],[Ingreso_neto]]-TablaVentas[[#This Row],[Costo_total]])</f>
        <v>1100.76</v>
      </c>
    </row>
    <row r="1502" customFormat="false" ht="13.5" hidden="false" customHeight="false" outlineLevel="0" collapsed="false">
      <c r="A1502" s="1" t="s">
        <v>1033</v>
      </c>
      <c r="B1502" s="1" t="n">
        <v>4</v>
      </c>
      <c r="C1502" s="5" t="n">
        <v>46175</v>
      </c>
      <c r="D1502" s="6" t="s">
        <v>442</v>
      </c>
      <c r="E1502" s="6" t="s">
        <v>139</v>
      </c>
      <c r="F1502" s="6" t="s">
        <v>46</v>
      </c>
      <c r="G1502" s="6" t="s">
        <v>47</v>
      </c>
      <c r="H1502" s="6" t="s">
        <v>74</v>
      </c>
      <c r="I1502" s="1" t="n">
        <v>1</v>
      </c>
      <c r="J1502" s="7" t="n">
        <v>18614.08</v>
      </c>
      <c r="K1502" s="8" t="n">
        <v>0</v>
      </c>
      <c r="L1502" s="7" t="n">
        <v>11036.95</v>
      </c>
      <c r="M1502" s="6" t="s">
        <v>49</v>
      </c>
      <c r="N1502" s="6" t="s">
        <v>67</v>
      </c>
      <c r="O1502" s="6" t="n">
        <f aca="false">IF(TablaVentas[[#This Row],[Precio_unitario]]="","PENDIENTE",TablaVentas[[#This Row],[Unidades]]*TablaVentas[[#This Row],[Precio_unitario]]*(1-TablaVentas[[#This Row],[Descuento_pct]]))</f>
        <v>18614.08</v>
      </c>
      <c r="P1502" s="6" t="n">
        <f aca="false">IF(TablaVentas[[#This Row],[Costo_unitario]]="","PENDIENTE",TablaVentas[[#This Row],[Unidades]]*TablaVentas[[#This Row],[Costo_unitario]])</f>
        <v>11036.95</v>
      </c>
      <c r="Q1502" s="6" t="n">
        <f aca="false">IF(OR(TablaVentas[[#This Row],[Ingreso_neto]]="PENDIENTE",TablaVentas[[#This Row],[Costo_total]]="PENDIENTE"),"PENDIENTE",TablaVentas[[#This Row],[Ingreso_neto]]-TablaVentas[[#This Row],[Costo_total]])</f>
        <v>7577.13</v>
      </c>
    </row>
    <row r="1503" customFormat="false" ht="13.5" hidden="false" customHeight="false" outlineLevel="0" collapsed="false">
      <c r="A1503" s="1" t="s">
        <v>1034</v>
      </c>
      <c r="B1503" s="1" t="n">
        <v>1</v>
      </c>
      <c r="C1503" s="5" t="n">
        <v>46065</v>
      </c>
      <c r="D1503" s="6" t="s">
        <v>339</v>
      </c>
      <c r="E1503" s="6" t="s">
        <v>108</v>
      </c>
      <c r="F1503" s="6" t="s">
        <v>63</v>
      </c>
      <c r="G1503" s="6" t="s">
        <v>47</v>
      </c>
      <c r="H1503" s="6" t="s">
        <v>131</v>
      </c>
      <c r="I1503" s="1" t="n">
        <v>4</v>
      </c>
      <c r="J1503" s="7" t="n">
        <v>4798.58</v>
      </c>
      <c r="K1503" s="8" t="n">
        <v>0.1</v>
      </c>
      <c r="L1503" s="7" t="n">
        <v>2865.24</v>
      </c>
      <c r="M1503" s="6" t="s">
        <v>49</v>
      </c>
      <c r="N1503" s="6" t="s">
        <v>52</v>
      </c>
      <c r="O1503" s="6" t="n">
        <f aca="false">IF(TablaVentas[[#This Row],[Precio_unitario]]="","PENDIENTE",TablaVentas[[#This Row],[Unidades]]*TablaVentas[[#This Row],[Precio_unitario]]*(1-TablaVentas[[#This Row],[Descuento_pct]]))</f>
        <v>17274.888</v>
      </c>
      <c r="P1503" s="6" t="n">
        <f aca="false">IF(TablaVentas[[#This Row],[Costo_unitario]]="","PENDIENTE",TablaVentas[[#This Row],[Unidades]]*TablaVentas[[#This Row],[Costo_unitario]])</f>
        <v>11460.96</v>
      </c>
      <c r="Q1503" s="6" t="n">
        <f aca="false">IF(OR(TablaVentas[[#This Row],[Ingreso_neto]]="PENDIENTE",TablaVentas[[#This Row],[Costo_total]]="PENDIENTE"),"PENDIENTE",TablaVentas[[#This Row],[Ingreso_neto]]-TablaVentas[[#This Row],[Costo_total]])</f>
        <v>5813.928</v>
      </c>
    </row>
    <row r="1504" customFormat="false" ht="13.5" hidden="false" customHeight="false" outlineLevel="0" collapsed="false">
      <c r="A1504" s="1" t="s">
        <v>1034</v>
      </c>
      <c r="B1504" s="1" t="n">
        <v>2</v>
      </c>
      <c r="C1504" s="5" t="n">
        <v>46065</v>
      </c>
      <c r="D1504" s="6" t="s">
        <v>339</v>
      </c>
      <c r="E1504" s="6" t="s">
        <v>404</v>
      </c>
      <c r="F1504" s="6" t="s">
        <v>63</v>
      </c>
      <c r="G1504" s="6" t="s">
        <v>47</v>
      </c>
      <c r="H1504" s="6" t="s">
        <v>131</v>
      </c>
      <c r="I1504" s="1" t="n">
        <v>1</v>
      </c>
      <c r="J1504" s="7" t="n">
        <v>6734.65</v>
      </c>
      <c r="K1504" s="8" t="n">
        <v>0</v>
      </c>
      <c r="L1504" s="7" t="n">
        <v>3640.56</v>
      </c>
      <c r="M1504" s="6" t="s">
        <v>49</v>
      </c>
      <c r="N1504" s="6" t="s">
        <v>67</v>
      </c>
      <c r="O1504" s="6" t="n">
        <f aca="false">IF(TablaVentas[[#This Row],[Precio_unitario]]="","PENDIENTE",TablaVentas[[#This Row],[Unidades]]*TablaVentas[[#This Row],[Precio_unitario]]*(1-TablaVentas[[#This Row],[Descuento_pct]]))</f>
        <v>6734.65</v>
      </c>
      <c r="P1504" s="6" t="n">
        <f aca="false">IF(TablaVentas[[#This Row],[Costo_unitario]]="","PENDIENTE",TablaVentas[[#This Row],[Unidades]]*TablaVentas[[#This Row],[Costo_unitario]])</f>
        <v>3640.56</v>
      </c>
      <c r="Q1504" s="6" t="n">
        <f aca="false">IF(OR(TablaVentas[[#This Row],[Ingreso_neto]]="PENDIENTE",TablaVentas[[#This Row],[Costo_total]]="PENDIENTE"),"PENDIENTE",TablaVentas[[#This Row],[Ingreso_neto]]-TablaVentas[[#This Row],[Costo_total]])</f>
        <v>3094.09</v>
      </c>
    </row>
    <row r="1505" customFormat="false" ht="13.5" hidden="false" customHeight="false" outlineLevel="0" collapsed="false">
      <c r="A1505" s="1" t="s">
        <v>1034</v>
      </c>
      <c r="B1505" s="1" t="n">
        <v>3</v>
      </c>
      <c r="C1505" s="5" t="n">
        <v>46065</v>
      </c>
      <c r="D1505" s="6" t="s">
        <v>339</v>
      </c>
      <c r="E1505" s="6" t="s">
        <v>93</v>
      </c>
      <c r="F1505" s="6" t="s">
        <v>63</v>
      </c>
      <c r="G1505" s="6" t="s">
        <v>47</v>
      </c>
      <c r="H1505" s="6" t="s">
        <v>131</v>
      </c>
      <c r="I1505" s="1" t="n">
        <v>1</v>
      </c>
      <c r="J1505" s="7" t="n">
        <v>14817.71</v>
      </c>
      <c r="K1505" s="8" t="n">
        <v>0.15</v>
      </c>
      <c r="L1505" s="7" t="n">
        <v>11166.03</v>
      </c>
      <c r="M1505" s="6" t="s">
        <v>49</v>
      </c>
      <c r="N1505" s="6" t="s">
        <v>52</v>
      </c>
      <c r="O1505" s="6" t="n">
        <f aca="false">IF(TablaVentas[[#This Row],[Precio_unitario]]="","PENDIENTE",TablaVentas[[#This Row],[Unidades]]*TablaVentas[[#This Row],[Precio_unitario]]*(1-TablaVentas[[#This Row],[Descuento_pct]]))</f>
        <v>12595.0535</v>
      </c>
      <c r="P1505" s="6" t="n">
        <f aca="false">IF(TablaVentas[[#This Row],[Costo_unitario]]="","PENDIENTE",TablaVentas[[#This Row],[Unidades]]*TablaVentas[[#This Row],[Costo_unitario]])</f>
        <v>11166.03</v>
      </c>
      <c r="Q1505" s="6" t="n">
        <f aca="false">IF(OR(TablaVentas[[#This Row],[Ingreso_neto]]="PENDIENTE",TablaVentas[[#This Row],[Costo_total]]="PENDIENTE"),"PENDIENTE",TablaVentas[[#This Row],[Ingreso_neto]]-TablaVentas[[#This Row],[Costo_total]])</f>
        <v>1429.0235</v>
      </c>
    </row>
    <row r="1506" customFormat="false" ht="13.5" hidden="false" customHeight="false" outlineLevel="0" collapsed="false">
      <c r="A1506" s="1" t="s">
        <v>1035</v>
      </c>
      <c r="B1506" s="1" t="n">
        <v>1</v>
      </c>
      <c r="C1506" s="5" t="n">
        <v>46240</v>
      </c>
      <c r="D1506" s="6" t="s">
        <v>209</v>
      </c>
      <c r="E1506" s="6" t="s">
        <v>51</v>
      </c>
      <c r="F1506" s="6" t="s">
        <v>63</v>
      </c>
      <c r="G1506" s="6" t="s">
        <v>57</v>
      </c>
      <c r="H1506" s="6" t="s">
        <v>191</v>
      </c>
      <c r="I1506" s="1" t="n">
        <v>2</v>
      </c>
      <c r="J1506" s="7" t="n">
        <v>14710.66</v>
      </c>
      <c r="K1506" s="8" t="n">
        <v>0.15</v>
      </c>
      <c r="L1506" s="7" t="n">
        <v>8980.68</v>
      </c>
      <c r="M1506" s="6" t="s">
        <v>49</v>
      </c>
      <c r="N1506" s="6" t="s">
        <v>50</v>
      </c>
      <c r="O1506" s="6" t="n">
        <f aca="false">IF(TablaVentas[[#This Row],[Precio_unitario]]="","PENDIENTE",TablaVentas[[#This Row],[Unidades]]*TablaVentas[[#This Row],[Precio_unitario]]*(1-TablaVentas[[#This Row],[Descuento_pct]]))</f>
        <v>25008.122</v>
      </c>
      <c r="P1506" s="6" t="n">
        <f aca="false">IF(TablaVentas[[#This Row],[Costo_unitario]]="","PENDIENTE",TablaVentas[[#This Row],[Unidades]]*TablaVentas[[#This Row],[Costo_unitario]])</f>
        <v>17961.36</v>
      </c>
      <c r="Q1506" s="6" t="n">
        <f aca="false">IF(OR(TablaVentas[[#This Row],[Ingreso_neto]]="PENDIENTE",TablaVentas[[#This Row],[Costo_total]]="PENDIENTE"),"PENDIENTE",TablaVentas[[#This Row],[Ingreso_neto]]-TablaVentas[[#This Row],[Costo_total]])</f>
        <v>7046.762</v>
      </c>
    </row>
    <row r="1507" customFormat="false" ht="13.5" hidden="false" customHeight="false" outlineLevel="0" collapsed="false">
      <c r="A1507" s="1" t="s">
        <v>1035</v>
      </c>
      <c r="B1507" s="1" t="n">
        <v>2</v>
      </c>
      <c r="C1507" s="5" t="n">
        <v>46240</v>
      </c>
      <c r="D1507" s="6" t="s">
        <v>209</v>
      </c>
      <c r="E1507" s="6" t="s">
        <v>213</v>
      </c>
      <c r="F1507" s="6" t="s">
        <v>63</v>
      </c>
      <c r="G1507" s="6" t="s">
        <v>57</v>
      </c>
      <c r="H1507" s="6" t="s">
        <v>191</v>
      </c>
      <c r="I1507" s="1" t="n">
        <v>1</v>
      </c>
      <c r="J1507" s="7" t="n">
        <v>5159.57</v>
      </c>
      <c r="K1507" s="8" t="n">
        <v>0.2</v>
      </c>
      <c r="L1507" s="7" t="n">
        <v>4008.77</v>
      </c>
      <c r="M1507" s="6" t="s">
        <v>49</v>
      </c>
      <c r="N1507" s="6" t="s">
        <v>67</v>
      </c>
      <c r="O1507" s="6" t="n">
        <f aca="false">IF(TablaVentas[[#This Row],[Precio_unitario]]="","PENDIENTE",TablaVentas[[#This Row],[Unidades]]*TablaVentas[[#This Row],[Precio_unitario]]*(1-TablaVentas[[#This Row],[Descuento_pct]]))</f>
        <v>4127.656</v>
      </c>
      <c r="P1507" s="6" t="n">
        <f aca="false">IF(TablaVentas[[#This Row],[Costo_unitario]]="","PENDIENTE",TablaVentas[[#This Row],[Unidades]]*TablaVentas[[#This Row],[Costo_unitario]])</f>
        <v>4008.77</v>
      </c>
      <c r="Q1507" s="6" t="n">
        <f aca="false">IF(OR(TablaVentas[[#This Row],[Ingreso_neto]]="PENDIENTE",TablaVentas[[#This Row],[Costo_total]]="PENDIENTE"),"PENDIENTE",TablaVentas[[#This Row],[Ingreso_neto]]-TablaVentas[[#This Row],[Costo_total]])</f>
        <v>118.886</v>
      </c>
    </row>
    <row r="1508" customFormat="false" ht="13.5" hidden="false" customHeight="false" outlineLevel="0" collapsed="false">
      <c r="A1508" s="1" t="s">
        <v>1035</v>
      </c>
      <c r="B1508" s="1" t="n">
        <v>3</v>
      </c>
      <c r="C1508" s="5" t="n">
        <v>46240</v>
      </c>
      <c r="D1508" s="6" t="s">
        <v>209</v>
      </c>
      <c r="E1508" s="6" t="s">
        <v>279</v>
      </c>
      <c r="F1508" s="6" t="s">
        <v>63</v>
      </c>
      <c r="G1508" s="6" t="s">
        <v>57</v>
      </c>
      <c r="H1508" s="6" t="s">
        <v>191</v>
      </c>
      <c r="I1508" s="1" t="n">
        <v>1</v>
      </c>
      <c r="J1508" s="7" t="n">
        <v>629.89</v>
      </c>
      <c r="K1508" s="8" t="n">
        <v>0.05</v>
      </c>
      <c r="L1508" s="7" t="n">
        <v>443</v>
      </c>
      <c r="M1508" s="6" t="s">
        <v>49</v>
      </c>
      <c r="N1508" s="6" t="s">
        <v>50</v>
      </c>
      <c r="O1508" s="6" t="n">
        <f aca="false">IF(TablaVentas[[#This Row],[Precio_unitario]]="","PENDIENTE",TablaVentas[[#This Row],[Unidades]]*TablaVentas[[#This Row],[Precio_unitario]]*(1-TablaVentas[[#This Row],[Descuento_pct]]))</f>
        <v>598.3955</v>
      </c>
      <c r="P1508" s="6" t="n">
        <f aca="false">IF(TablaVentas[[#This Row],[Costo_unitario]]="","PENDIENTE",TablaVentas[[#This Row],[Unidades]]*TablaVentas[[#This Row],[Costo_unitario]])</f>
        <v>443</v>
      </c>
      <c r="Q1508" s="6" t="n">
        <f aca="false">IF(OR(TablaVentas[[#This Row],[Ingreso_neto]]="PENDIENTE",TablaVentas[[#This Row],[Costo_total]]="PENDIENTE"),"PENDIENTE",TablaVentas[[#This Row],[Ingreso_neto]]-TablaVentas[[#This Row],[Costo_total]])</f>
        <v>155.3955</v>
      </c>
    </row>
    <row r="1509" customFormat="false" ht="13.5" hidden="false" customHeight="false" outlineLevel="0" collapsed="false">
      <c r="A1509" s="1" t="s">
        <v>1036</v>
      </c>
      <c r="B1509" s="1" t="n">
        <v>1</v>
      </c>
      <c r="C1509" s="5" t="n">
        <v>46139</v>
      </c>
      <c r="D1509" s="6" t="s">
        <v>399</v>
      </c>
      <c r="E1509" s="6" t="s">
        <v>120</v>
      </c>
      <c r="F1509" s="6" t="s">
        <v>63</v>
      </c>
      <c r="G1509" s="6" t="s">
        <v>57</v>
      </c>
      <c r="H1509" s="6" t="s">
        <v>65</v>
      </c>
      <c r="I1509" s="1" t="n">
        <v>2</v>
      </c>
      <c r="J1509" s="7" t="n">
        <v>3041.18</v>
      </c>
      <c r="K1509" s="8" t="n">
        <v>0.2</v>
      </c>
      <c r="L1509" s="7" t="n">
        <v>2196.34</v>
      </c>
      <c r="M1509" s="6" t="s">
        <v>49</v>
      </c>
      <c r="N1509" s="6" t="s">
        <v>50</v>
      </c>
      <c r="O1509" s="6" t="n">
        <f aca="false">IF(TablaVentas[[#This Row],[Precio_unitario]]="","PENDIENTE",TablaVentas[[#This Row],[Unidades]]*TablaVentas[[#This Row],[Precio_unitario]]*(1-TablaVentas[[#This Row],[Descuento_pct]]))</f>
        <v>4865.888</v>
      </c>
      <c r="P1509" s="6" t="n">
        <f aca="false">IF(TablaVentas[[#This Row],[Costo_unitario]]="","PENDIENTE",TablaVentas[[#This Row],[Unidades]]*TablaVentas[[#This Row],[Costo_unitario]])</f>
        <v>4392.68</v>
      </c>
      <c r="Q1509" s="6" t="n">
        <f aca="false">IF(OR(TablaVentas[[#This Row],[Ingreso_neto]]="PENDIENTE",TablaVentas[[#This Row],[Costo_total]]="PENDIENTE"),"PENDIENTE",TablaVentas[[#This Row],[Ingreso_neto]]-TablaVentas[[#This Row],[Costo_total]])</f>
        <v>473.208</v>
      </c>
    </row>
    <row r="1510" customFormat="false" ht="13.5" hidden="false" customHeight="false" outlineLevel="0" collapsed="false">
      <c r="A1510" s="1" t="s">
        <v>1036</v>
      </c>
      <c r="B1510" s="1" t="n">
        <v>2</v>
      </c>
      <c r="C1510" s="5" t="n">
        <v>46139</v>
      </c>
      <c r="D1510" s="6" t="s">
        <v>399</v>
      </c>
      <c r="E1510" s="6" t="s">
        <v>122</v>
      </c>
      <c r="F1510" s="6" t="s">
        <v>63</v>
      </c>
      <c r="G1510" s="6" t="s">
        <v>57</v>
      </c>
      <c r="H1510" s="6" t="s">
        <v>65</v>
      </c>
      <c r="I1510" s="1" t="n">
        <v>1</v>
      </c>
      <c r="J1510" s="7" t="n">
        <v>1276.52</v>
      </c>
      <c r="K1510" s="8" t="n">
        <v>0</v>
      </c>
      <c r="L1510" s="7" t="n">
        <v>705.87</v>
      </c>
      <c r="M1510" s="6" t="s">
        <v>49</v>
      </c>
      <c r="N1510" s="6" t="s">
        <v>52</v>
      </c>
      <c r="O1510" s="6" t="n">
        <f aca="false">IF(TablaVentas[[#This Row],[Precio_unitario]]="","PENDIENTE",TablaVentas[[#This Row],[Unidades]]*TablaVentas[[#This Row],[Precio_unitario]]*(1-TablaVentas[[#This Row],[Descuento_pct]]))</f>
        <v>1276.52</v>
      </c>
      <c r="P1510" s="6" t="n">
        <f aca="false">IF(TablaVentas[[#This Row],[Costo_unitario]]="","PENDIENTE",TablaVentas[[#This Row],[Unidades]]*TablaVentas[[#This Row],[Costo_unitario]])</f>
        <v>705.87</v>
      </c>
      <c r="Q1510" s="6" t="n">
        <f aca="false">IF(OR(TablaVentas[[#This Row],[Ingreso_neto]]="PENDIENTE",TablaVentas[[#This Row],[Costo_total]]="PENDIENTE"),"PENDIENTE",TablaVentas[[#This Row],[Ingreso_neto]]-TablaVentas[[#This Row],[Costo_total]])</f>
        <v>570.65</v>
      </c>
    </row>
    <row r="1511" customFormat="false" ht="13.5" hidden="false" customHeight="false" outlineLevel="0" collapsed="false">
      <c r="A1511" s="1" t="s">
        <v>1036</v>
      </c>
      <c r="B1511" s="1" t="n">
        <v>3</v>
      </c>
      <c r="C1511" s="5" t="n">
        <v>46139</v>
      </c>
      <c r="D1511" s="6" t="s">
        <v>399</v>
      </c>
      <c r="E1511" s="6" t="s">
        <v>117</v>
      </c>
      <c r="F1511" s="6" t="s">
        <v>63</v>
      </c>
      <c r="G1511" s="6" t="s">
        <v>57</v>
      </c>
      <c r="H1511" s="6" t="s">
        <v>65</v>
      </c>
      <c r="I1511" s="1" t="n">
        <v>1</v>
      </c>
      <c r="J1511" s="7" t="n">
        <v>5043.25</v>
      </c>
      <c r="K1511" s="8" t="n">
        <v>0.05</v>
      </c>
      <c r="L1511" s="7" t="n">
        <v>4205.69</v>
      </c>
      <c r="M1511" s="6" t="s">
        <v>49</v>
      </c>
      <c r="N1511" s="6" t="s">
        <v>59</v>
      </c>
      <c r="O1511" s="6" t="n">
        <f aca="false">IF(TablaVentas[[#This Row],[Precio_unitario]]="","PENDIENTE",TablaVentas[[#This Row],[Unidades]]*TablaVentas[[#This Row],[Precio_unitario]]*(1-TablaVentas[[#This Row],[Descuento_pct]]))</f>
        <v>4791.0875</v>
      </c>
      <c r="P1511" s="6" t="n">
        <f aca="false">IF(TablaVentas[[#This Row],[Costo_unitario]]="","PENDIENTE",TablaVentas[[#This Row],[Unidades]]*TablaVentas[[#This Row],[Costo_unitario]])</f>
        <v>4205.69</v>
      </c>
      <c r="Q1511" s="6" t="n">
        <f aca="false">IF(OR(TablaVentas[[#This Row],[Ingreso_neto]]="PENDIENTE",TablaVentas[[#This Row],[Costo_total]]="PENDIENTE"),"PENDIENTE",TablaVentas[[#This Row],[Ingreso_neto]]-TablaVentas[[#This Row],[Costo_total]])</f>
        <v>585.3975</v>
      </c>
    </row>
    <row r="1512" customFormat="false" ht="13.5" hidden="false" customHeight="false" outlineLevel="0" collapsed="false">
      <c r="A1512" s="1" t="s">
        <v>1036</v>
      </c>
      <c r="B1512" s="1" t="n">
        <v>4</v>
      </c>
      <c r="C1512" s="5" t="n">
        <v>46139</v>
      </c>
      <c r="D1512" s="6" t="s">
        <v>399</v>
      </c>
      <c r="E1512" s="6" t="s">
        <v>104</v>
      </c>
      <c r="F1512" s="6" t="s">
        <v>63</v>
      </c>
      <c r="G1512" s="6" t="s">
        <v>57</v>
      </c>
      <c r="H1512" s="6" t="s">
        <v>65</v>
      </c>
      <c r="I1512" s="1" t="n">
        <v>1</v>
      </c>
      <c r="J1512" s="7" t="n">
        <v>15897.89</v>
      </c>
      <c r="K1512" s="8" t="n">
        <v>0</v>
      </c>
      <c r="L1512" s="7" t="n">
        <v>11424.77</v>
      </c>
      <c r="M1512" s="6" t="s">
        <v>49</v>
      </c>
      <c r="N1512" s="6" t="s">
        <v>50</v>
      </c>
      <c r="O1512" s="6" t="n">
        <f aca="false">IF(TablaVentas[[#This Row],[Precio_unitario]]="","PENDIENTE",TablaVentas[[#This Row],[Unidades]]*TablaVentas[[#This Row],[Precio_unitario]]*(1-TablaVentas[[#This Row],[Descuento_pct]]))</f>
        <v>15897.89</v>
      </c>
      <c r="P1512" s="6" t="n">
        <f aca="false">IF(TablaVentas[[#This Row],[Costo_unitario]]="","PENDIENTE",TablaVentas[[#This Row],[Unidades]]*TablaVentas[[#This Row],[Costo_unitario]])</f>
        <v>11424.77</v>
      </c>
      <c r="Q1512" s="6" t="n">
        <f aca="false">IF(OR(TablaVentas[[#This Row],[Ingreso_neto]]="PENDIENTE",TablaVentas[[#This Row],[Costo_total]]="PENDIENTE"),"PENDIENTE",TablaVentas[[#This Row],[Ingreso_neto]]-TablaVentas[[#This Row],[Costo_total]])</f>
        <v>4473.12</v>
      </c>
    </row>
    <row r="1513" customFormat="false" ht="13.5" hidden="false" customHeight="false" outlineLevel="0" collapsed="false">
      <c r="A1513" s="1" t="s">
        <v>1036</v>
      </c>
      <c r="B1513" s="1" t="n">
        <v>5</v>
      </c>
      <c r="C1513" s="5" t="n">
        <v>46139</v>
      </c>
      <c r="D1513" s="6" t="s">
        <v>399</v>
      </c>
      <c r="E1513" s="6" t="s">
        <v>213</v>
      </c>
      <c r="F1513" s="6" t="s">
        <v>63</v>
      </c>
      <c r="G1513" s="6" t="s">
        <v>57</v>
      </c>
      <c r="H1513" s="6" t="s">
        <v>65</v>
      </c>
      <c r="I1513" s="1" t="n">
        <v>2</v>
      </c>
      <c r="J1513" s="7" t="n">
        <v>5765.47</v>
      </c>
      <c r="K1513" s="8" t="n">
        <v>0.15</v>
      </c>
      <c r="L1513" s="7" t="n">
        <v>4008.77</v>
      </c>
      <c r="M1513" s="6" t="s">
        <v>49</v>
      </c>
      <c r="N1513" s="6" t="s">
        <v>52</v>
      </c>
      <c r="O1513" s="6" t="n">
        <f aca="false">IF(TablaVentas[[#This Row],[Precio_unitario]]="","PENDIENTE",TablaVentas[[#This Row],[Unidades]]*TablaVentas[[#This Row],[Precio_unitario]]*(1-TablaVentas[[#This Row],[Descuento_pct]]))</f>
        <v>9801.299</v>
      </c>
      <c r="P1513" s="6" t="n">
        <f aca="false">IF(TablaVentas[[#This Row],[Costo_unitario]]="","PENDIENTE",TablaVentas[[#This Row],[Unidades]]*TablaVentas[[#This Row],[Costo_unitario]])</f>
        <v>8017.54</v>
      </c>
      <c r="Q1513" s="6" t="n">
        <f aca="false">IF(OR(TablaVentas[[#This Row],[Ingreso_neto]]="PENDIENTE",TablaVentas[[#This Row],[Costo_total]]="PENDIENTE"),"PENDIENTE",TablaVentas[[#This Row],[Ingreso_neto]]-TablaVentas[[#This Row],[Costo_total]])</f>
        <v>1783.759</v>
      </c>
    </row>
    <row r="1514" customFormat="false" ht="13.5" hidden="false" customHeight="false" outlineLevel="0" collapsed="false">
      <c r="A1514" s="1" t="s">
        <v>1037</v>
      </c>
      <c r="B1514" s="1" t="n">
        <v>1</v>
      </c>
      <c r="C1514" s="5" t="n">
        <v>46119</v>
      </c>
      <c r="D1514" s="6" t="s">
        <v>115</v>
      </c>
      <c r="E1514" s="6" t="s">
        <v>76</v>
      </c>
      <c r="F1514" s="6" t="s">
        <v>46</v>
      </c>
      <c r="G1514" s="6" t="s">
        <v>47</v>
      </c>
      <c r="H1514" s="6" t="s">
        <v>191</v>
      </c>
      <c r="I1514" s="1" t="n">
        <v>1</v>
      </c>
      <c r="J1514" s="7" t="n">
        <v>13863.92</v>
      </c>
      <c r="K1514" s="8" t="n">
        <v>0</v>
      </c>
      <c r="L1514" s="7" t="n">
        <v>10094.26</v>
      </c>
      <c r="M1514" s="6" t="s">
        <v>69</v>
      </c>
      <c r="N1514" s="6" t="s">
        <v>67</v>
      </c>
      <c r="O1514" s="6" t="n">
        <f aca="false">IF(TablaVentas[[#This Row],[Precio_unitario]]="","PENDIENTE",TablaVentas[[#This Row],[Unidades]]*TablaVentas[[#This Row],[Precio_unitario]]*(1-TablaVentas[[#This Row],[Descuento_pct]]))</f>
        <v>13863.92</v>
      </c>
      <c r="P1514" s="6" t="n">
        <f aca="false">IF(TablaVentas[[#This Row],[Costo_unitario]]="","PENDIENTE",TablaVentas[[#This Row],[Unidades]]*TablaVentas[[#This Row],[Costo_unitario]])</f>
        <v>10094.26</v>
      </c>
      <c r="Q1514" s="6" t="n">
        <f aca="false">IF(OR(TablaVentas[[#This Row],[Ingreso_neto]]="PENDIENTE",TablaVentas[[#This Row],[Costo_total]]="PENDIENTE"),"PENDIENTE",TablaVentas[[#This Row],[Ingreso_neto]]-TablaVentas[[#This Row],[Costo_total]])</f>
        <v>3769.66</v>
      </c>
    </row>
    <row r="1515" customFormat="false" ht="13.5" hidden="false" customHeight="false" outlineLevel="0" collapsed="false">
      <c r="A1515" s="1" t="s">
        <v>1038</v>
      </c>
      <c r="B1515" s="1" t="n">
        <v>1</v>
      </c>
      <c r="C1515" s="5" t="n">
        <v>46152</v>
      </c>
      <c r="D1515" s="6" t="s">
        <v>95</v>
      </c>
      <c r="E1515" s="6" t="s">
        <v>127</v>
      </c>
      <c r="F1515" s="6" t="s">
        <v>63</v>
      </c>
      <c r="G1515" s="6" t="s">
        <v>64</v>
      </c>
      <c r="H1515" s="6" t="s">
        <v>48</v>
      </c>
      <c r="I1515" s="1" t="n">
        <v>1</v>
      </c>
      <c r="J1515" s="7" t="n">
        <v>12120.02</v>
      </c>
      <c r="K1515" s="8" t="n">
        <v>0</v>
      </c>
      <c r="L1515" s="7" t="n">
        <v>7975.26</v>
      </c>
      <c r="M1515" s="6" t="s">
        <v>49</v>
      </c>
      <c r="N1515" s="6" t="s">
        <v>52</v>
      </c>
      <c r="O1515" s="6" t="n">
        <f aca="false">IF(TablaVentas[[#This Row],[Precio_unitario]]="","PENDIENTE",TablaVentas[[#This Row],[Unidades]]*TablaVentas[[#This Row],[Precio_unitario]]*(1-TablaVentas[[#This Row],[Descuento_pct]]))</f>
        <v>12120.02</v>
      </c>
      <c r="P1515" s="6" t="n">
        <f aca="false">IF(TablaVentas[[#This Row],[Costo_unitario]]="","PENDIENTE",TablaVentas[[#This Row],[Unidades]]*TablaVentas[[#This Row],[Costo_unitario]])</f>
        <v>7975.26</v>
      </c>
      <c r="Q1515" s="6" t="n">
        <f aca="false">IF(OR(TablaVentas[[#This Row],[Ingreso_neto]]="PENDIENTE",TablaVentas[[#This Row],[Costo_total]]="PENDIENTE"),"PENDIENTE",TablaVentas[[#This Row],[Ingreso_neto]]-TablaVentas[[#This Row],[Costo_total]])</f>
        <v>4144.76</v>
      </c>
    </row>
    <row r="1516" customFormat="false" ht="13.5" hidden="false" customHeight="false" outlineLevel="0" collapsed="false">
      <c r="A1516" s="1" t="s">
        <v>1039</v>
      </c>
      <c r="B1516" s="1" t="n">
        <v>1</v>
      </c>
      <c r="C1516" s="5" t="n">
        <v>46178</v>
      </c>
      <c r="D1516" s="6" t="s">
        <v>756</v>
      </c>
      <c r="E1516" s="6" t="s">
        <v>289</v>
      </c>
      <c r="F1516" s="6" t="s">
        <v>46</v>
      </c>
      <c r="G1516" s="6" t="s">
        <v>57</v>
      </c>
      <c r="H1516" s="6" t="s">
        <v>48</v>
      </c>
      <c r="I1516" s="1" t="n">
        <v>2</v>
      </c>
      <c r="J1516" s="7" t="n">
        <v>4191.77</v>
      </c>
      <c r="K1516" s="8" t="n">
        <v>0</v>
      </c>
      <c r="L1516" s="7" t="n">
        <v>3399.5</v>
      </c>
      <c r="M1516" s="6" t="s">
        <v>49</v>
      </c>
      <c r="N1516" s="6" t="s">
        <v>67</v>
      </c>
      <c r="O1516" s="6" t="n">
        <f aca="false">IF(TablaVentas[[#This Row],[Precio_unitario]]="","PENDIENTE",TablaVentas[[#This Row],[Unidades]]*TablaVentas[[#This Row],[Precio_unitario]]*(1-TablaVentas[[#This Row],[Descuento_pct]]))</f>
        <v>8383.54</v>
      </c>
      <c r="P1516" s="6" t="n">
        <f aca="false">IF(TablaVentas[[#This Row],[Costo_unitario]]="","PENDIENTE",TablaVentas[[#This Row],[Unidades]]*TablaVentas[[#This Row],[Costo_unitario]])</f>
        <v>6799</v>
      </c>
      <c r="Q1516" s="6" t="n">
        <f aca="false">IF(OR(TablaVentas[[#This Row],[Ingreso_neto]]="PENDIENTE",TablaVentas[[#This Row],[Costo_total]]="PENDIENTE"),"PENDIENTE",TablaVentas[[#This Row],[Ingreso_neto]]-TablaVentas[[#This Row],[Costo_total]])</f>
        <v>1584.54</v>
      </c>
    </row>
    <row r="1517" customFormat="false" ht="13.5" hidden="false" customHeight="false" outlineLevel="0" collapsed="false">
      <c r="A1517" s="1" t="s">
        <v>1039</v>
      </c>
      <c r="B1517" s="1" t="n">
        <v>2</v>
      </c>
      <c r="C1517" s="5" t="n">
        <v>46178</v>
      </c>
      <c r="D1517" s="6" t="s">
        <v>756</v>
      </c>
      <c r="E1517" s="6" t="s">
        <v>210</v>
      </c>
      <c r="F1517" s="6" t="s">
        <v>46</v>
      </c>
      <c r="G1517" s="6" t="s">
        <v>57</v>
      </c>
      <c r="H1517" s="6" t="s">
        <v>48</v>
      </c>
      <c r="I1517" s="1" t="n">
        <v>5</v>
      </c>
      <c r="J1517" s="7" t="n">
        <v>2002.2</v>
      </c>
      <c r="K1517" s="8" t="n">
        <v>0.2</v>
      </c>
      <c r="L1517" s="7" t="n">
        <v>1252.84</v>
      </c>
      <c r="M1517" s="6" t="s">
        <v>69</v>
      </c>
      <c r="N1517" s="6" t="s">
        <v>50</v>
      </c>
      <c r="O1517" s="6" t="n">
        <f aca="false">IF(TablaVentas[[#This Row],[Precio_unitario]]="","PENDIENTE",TablaVentas[[#This Row],[Unidades]]*TablaVentas[[#This Row],[Precio_unitario]]*(1-TablaVentas[[#This Row],[Descuento_pct]]))</f>
        <v>8008.8</v>
      </c>
      <c r="P1517" s="6" t="n">
        <f aca="false">IF(TablaVentas[[#This Row],[Costo_unitario]]="","PENDIENTE",TablaVentas[[#This Row],[Unidades]]*TablaVentas[[#This Row],[Costo_unitario]])</f>
        <v>6264.2</v>
      </c>
      <c r="Q1517" s="6" t="n">
        <f aca="false">IF(OR(TablaVentas[[#This Row],[Ingreso_neto]]="PENDIENTE",TablaVentas[[#This Row],[Costo_total]]="PENDIENTE"),"PENDIENTE",TablaVentas[[#This Row],[Ingreso_neto]]-TablaVentas[[#This Row],[Costo_total]])</f>
        <v>1744.6</v>
      </c>
    </row>
    <row r="1518" customFormat="false" ht="13.5" hidden="false" customHeight="false" outlineLevel="0" collapsed="false">
      <c r="A1518" s="1" t="s">
        <v>1040</v>
      </c>
      <c r="B1518" s="1" t="n">
        <v>1</v>
      </c>
      <c r="C1518" s="5" t="n">
        <v>46068</v>
      </c>
      <c r="D1518" s="6" t="s">
        <v>756</v>
      </c>
      <c r="E1518" s="6" t="s">
        <v>77</v>
      </c>
      <c r="F1518" s="6" t="s">
        <v>73</v>
      </c>
      <c r="G1518" s="6" t="s">
        <v>57</v>
      </c>
      <c r="H1518" s="6" t="s">
        <v>80</v>
      </c>
      <c r="I1518" s="1" t="n">
        <v>1</v>
      </c>
      <c r="J1518" s="7" t="n">
        <v>16334.99</v>
      </c>
      <c r="K1518" s="8" t="n">
        <v>0</v>
      </c>
      <c r="L1518" s="7" t="n">
        <v>10571.25</v>
      </c>
      <c r="M1518" s="6" t="s">
        <v>49</v>
      </c>
      <c r="N1518" s="6" t="s">
        <v>52</v>
      </c>
      <c r="O1518" s="6" t="n">
        <f aca="false">IF(TablaVentas[[#This Row],[Precio_unitario]]="","PENDIENTE",TablaVentas[[#This Row],[Unidades]]*TablaVentas[[#This Row],[Precio_unitario]]*(1-TablaVentas[[#This Row],[Descuento_pct]]))</f>
        <v>16334.99</v>
      </c>
      <c r="P1518" s="6" t="n">
        <f aca="false">IF(TablaVentas[[#This Row],[Costo_unitario]]="","PENDIENTE",TablaVentas[[#This Row],[Unidades]]*TablaVentas[[#This Row],[Costo_unitario]])</f>
        <v>10571.25</v>
      </c>
      <c r="Q1518" s="6" t="n">
        <f aca="false">IF(OR(TablaVentas[[#This Row],[Ingreso_neto]]="PENDIENTE",TablaVentas[[#This Row],[Costo_total]]="PENDIENTE"),"PENDIENTE",TablaVentas[[#This Row],[Ingreso_neto]]-TablaVentas[[#This Row],[Costo_total]])</f>
        <v>5763.74</v>
      </c>
    </row>
    <row r="1519" customFormat="false" ht="13.5" hidden="false" customHeight="false" outlineLevel="0" collapsed="false">
      <c r="A1519" s="1" t="s">
        <v>1040</v>
      </c>
      <c r="B1519" s="1" t="n">
        <v>2</v>
      </c>
      <c r="C1519" s="5" t="n">
        <v>46068</v>
      </c>
      <c r="D1519" s="6" t="s">
        <v>756</v>
      </c>
      <c r="E1519" s="6" t="s">
        <v>187</v>
      </c>
      <c r="F1519" s="6" t="s">
        <v>73</v>
      </c>
      <c r="G1519" s="6" t="s">
        <v>57</v>
      </c>
      <c r="H1519" s="6" t="s">
        <v>80</v>
      </c>
      <c r="I1519" s="1" t="n">
        <v>5</v>
      </c>
      <c r="J1519" s="7" t="n">
        <v>6684.35</v>
      </c>
      <c r="K1519" s="8" t="n">
        <v>0</v>
      </c>
      <c r="L1519" s="7" t="n">
        <v>3824.92</v>
      </c>
      <c r="M1519" s="6" t="s">
        <v>49</v>
      </c>
      <c r="N1519" s="6" t="s">
        <v>67</v>
      </c>
      <c r="O1519" s="6" t="n">
        <f aca="false">IF(TablaVentas[[#This Row],[Precio_unitario]]="","PENDIENTE",TablaVentas[[#This Row],[Unidades]]*TablaVentas[[#This Row],[Precio_unitario]]*(1-TablaVentas[[#This Row],[Descuento_pct]]))</f>
        <v>33421.75</v>
      </c>
      <c r="P1519" s="6" t="n">
        <f aca="false">IF(TablaVentas[[#This Row],[Costo_unitario]]="","PENDIENTE",TablaVentas[[#This Row],[Unidades]]*TablaVentas[[#This Row],[Costo_unitario]])</f>
        <v>19124.6</v>
      </c>
      <c r="Q1519" s="6" t="n">
        <f aca="false">IF(OR(TablaVentas[[#This Row],[Ingreso_neto]]="PENDIENTE",TablaVentas[[#This Row],[Costo_total]]="PENDIENTE"),"PENDIENTE",TablaVentas[[#This Row],[Ingreso_neto]]-TablaVentas[[#This Row],[Costo_total]])</f>
        <v>14297.15</v>
      </c>
    </row>
    <row r="1520" customFormat="false" ht="13.5" hidden="false" customHeight="false" outlineLevel="0" collapsed="false">
      <c r="A1520" s="1" t="s">
        <v>1041</v>
      </c>
      <c r="B1520" s="1" t="n">
        <v>1</v>
      </c>
      <c r="C1520" s="5" t="n">
        <v>46275</v>
      </c>
      <c r="D1520" s="6" t="s">
        <v>469</v>
      </c>
      <c r="E1520" s="6" t="s">
        <v>210</v>
      </c>
      <c r="F1520" s="6" t="s">
        <v>63</v>
      </c>
      <c r="G1520" s="6" t="s">
        <v>47</v>
      </c>
      <c r="H1520" s="6" t="s">
        <v>48</v>
      </c>
      <c r="I1520" s="1" t="n">
        <v>3</v>
      </c>
      <c r="J1520" s="7" t="n">
        <v>2035.17</v>
      </c>
      <c r="K1520" s="8" t="n">
        <v>0.15</v>
      </c>
      <c r="L1520" s="7" t="n">
        <v>1252.84</v>
      </c>
      <c r="M1520" s="6" t="s">
        <v>49</v>
      </c>
      <c r="N1520" s="6" t="s">
        <v>50</v>
      </c>
      <c r="O1520" s="6" t="n">
        <f aca="false">IF(TablaVentas[[#This Row],[Precio_unitario]]="","PENDIENTE",TablaVentas[[#This Row],[Unidades]]*TablaVentas[[#This Row],[Precio_unitario]]*(1-TablaVentas[[#This Row],[Descuento_pct]]))</f>
        <v>5189.6835</v>
      </c>
      <c r="P1520" s="6" t="n">
        <f aca="false">IF(TablaVentas[[#This Row],[Costo_unitario]]="","PENDIENTE",TablaVentas[[#This Row],[Unidades]]*TablaVentas[[#This Row],[Costo_unitario]])</f>
        <v>3758.52</v>
      </c>
      <c r="Q1520" s="6" t="n">
        <f aca="false">IF(OR(TablaVentas[[#This Row],[Ingreso_neto]]="PENDIENTE",TablaVentas[[#This Row],[Costo_total]]="PENDIENTE"),"PENDIENTE",TablaVentas[[#This Row],[Ingreso_neto]]-TablaVentas[[#This Row],[Costo_total]])</f>
        <v>1431.1635</v>
      </c>
    </row>
    <row r="1521" customFormat="false" ht="13.5" hidden="false" customHeight="false" outlineLevel="0" collapsed="false">
      <c r="A1521" s="1" t="s">
        <v>1042</v>
      </c>
      <c r="B1521" s="1" t="n">
        <v>1</v>
      </c>
      <c r="C1521" s="5" t="n">
        <v>46217</v>
      </c>
      <c r="D1521" s="6" t="s">
        <v>634</v>
      </c>
      <c r="E1521" s="6" t="s">
        <v>223</v>
      </c>
      <c r="F1521" s="6" t="s">
        <v>46</v>
      </c>
      <c r="G1521" s="6" t="s">
        <v>47</v>
      </c>
      <c r="H1521" s="6" t="s">
        <v>131</v>
      </c>
      <c r="I1521" s="1" t="n">
        <v>1</v>
      </c>
      <c r="J1521" s="7" t="n">
        <v>15992.41</v>
      </c>
      <c r="K1521" s="8" t="n">
        <v>0</v>
      </c>
      <c r="L1521" s="7" t="n">
        <v>12064.41</v>
      </c>
      <c r="M1521" s="6" t="s">
        <v>49</v>
      </c>
      <c r="N1521" s="6" t="s">
        <v>52</v>
      </c>
      <c r="O1521" s="6" t="n">
        <f aca="false">IF(TablaVentas[[#This Row],[Precio_unitario]]="","PENDIENTE",TablaVentas[[#This Row],[Unidades]]*TablaVentas[[#This Row],[Precio_unitario]]*(1-TablaVentas[[#This Row],[Descuento_pct]]))</f>
        <v>15992.41</v>
      </c>
      <c r="P1521" s="6" t="n">
        <f aca="false">IF(TablaVentas[[#This Row],[Costo_unitario]]="","PENDIENTE",TablaVentas[[#This Row],[Unidades]]*TablaVentas[[#This Row],[Costo_unitario]])</f>
        <v>12064.41</v>
      </c>
      <c r="Q1521" s="6" t="n">
        <f aca="false">IF(OR(TablaVentas[[#This Row],[Ingreso_neto]]="PENDIENTE",TablaVentas[[#This Row],[Costo_total]]="PENDIENTE"),"PENDIENTE",TablaVentas[[#This Row],[Ingreso_neto]]-TablaVentas[[#This Row],[Costo_total]])</f>
        <v>3928</v>
      </c>
    </row>
    <row r="1522" customFormat="false" ht="13.5" hidden="false" customHeight="false" outlineLevel="0" collapsed="false">
      <c r="A1522" s="1" t="s">
        <v>1042</v>
      </c>
      <c r="B1522" s="1" t="n">
        <v>2</v>
      </c>
      <c r="C1522" s="5" t="n">
        <v>46217</v>
      </c>
      <c r="D1522" s="6" t="s">
        <v>634</v>
      </c>
      <c r="E1522" s="6" t="s">
        <v>147</v>
      </c>
      <c r="F1522" s="6" t="s">
        <v>46</v>
      </c>
      <c r="G1522" s="6" t="s">
        <v>47</v>
      </c>
      <c r="H1522" s="6" t="s">
        <v>131</v>
      </c>
      <c r="I1522" s="1" t="n">
        <v>1</v>
      </c>
      <c r="J1522" s="7" t="n">
        <v>2787.01</v>
      </c>
      <c r="K1522" s="8" t="n">
        <v>0.15</v>
      </c>
      <c r="L1522" s="7" t="n">
        <v>2427.63</v>
      </c>
      <c r="M1522" s="6" t="s">
        <v>49</v>
      </c>
      <c r="N1522" s="6" t="s">
        <v>59</v>
      </c>
      <c r="O1522" s="6" t="n">
        <f aca="false">IF(TablaVentas[[#This Row],[Precio_unitario]]="","PENDIENTE",TablaVentas[[#This Row],[Unidades]]*TablaVentas[[#This Row],[Precio_unitario]]*(1-TablaVentas[[#This Row],[Descuento_pct]]))</f>
        <v>2368.9585</v>
      </c>
      <c r="P1522" s="6" t="n">
        <f aca="false">IF(TablaVentas[[#This Row],[Costo_unitario]]="","PENDIENTE",TablaVentas[[#This Row],[Unidades]]*TablaVentas[[#This Row],[Costo_unitario]])</f>
        <v>2427.63</v>
      </c>
      <c r="Q1522" s="6" t="n">
        <f aca="false">IF(OR(TablaVentas[[#This Row],[Ingreso_neto]]="PENDIENTE",TablaVentas[[#This Row],[Costo_total]]="PENDIENTE"),"PENDIENTE",TablaVentas[[#This Row],[Ingreso_neto]]-TablaVentas[[#This Row],[Costo_total]])</f>
        <v>-58.6714999999999</v>
      </c>
    </row>
    <row r="1523" customFormat="false" ht="13.5" hidden="false" customHeight="false" outlineLevel="0" collapsed="false">
      <c r="A1523" s="1" t="s">
        <v>1042</v>
      </c>
      <c r="B1523" s="1" t="n">
        <v>3</v>
      </c>
      <c r="C1523" s="5" t="n">
        <v>46217</v>
      </c>
      <c r="D1523" s="6" t="s">
        <v>634</v>
      </c>
      <c r="E1523" s="6" t="s">
        <v>113</v>
      </c>
      <c r="F1523" s="6" t="s">
        <v>46</v>
      </c>
      <c r="G1523" s="6" t="s">
        <v>47</v>
      </c>
      <c r="H1523" s="6" t="s">
        <v>131</v>
      </c>
      <c r="I1523" s="1" t="n">
        <v>1</v>
      </c>
      <c r="J1523" s="7" t="n">
        <v>10026.56</v>
      </c>
      <c r="K1523" s="8" t="n">
        <v>0.2</v>
      </c>
      <c r="L1523" s="7" t="n">
        <v>8276.74</v>
      </c>
      <c r="M1523" s="6" t="s">
        <v>49</v>
      </c>
      <c r="N1523" s="6" t="s">
        <v>67</v>
      </c>
      <c r="O1523" s="6" t="n">
        <f aca="false">IF(TablaVentas[[#This Row],[Precio_unitario]]="","PENDIENTE",TablaVentas[[#This Row],[Unidades]]*TablaVentas[[#This Row],[Precio_unitario]]*(1-TablaVentas[[#This Row],[Descuento_pct]]))</f>
        <v>8021.248</v>
      </c>
      <c r="P1523" s="6" t="n">
        <f aca="false">IF(TablaVentas[[#This Row],[Costo_unitario]]="","PENDIENTE",TablaVentas[[#This Row],[Unidades]]*TablaVentas[[#This Row],[Costo_unitario]])</f>
        <v>8276.74</v>
      </c>
      <c r="Q1523" s="6" t="n">
        <f aca="false">IF(OR(TablaVentas[[#This Row],[Ingreso_neto]]="PENDIENTE",TablaVentas[[#This Row],[Costo_total]]="PENDIENTE"),"PENDIENTE",TablaVentas[[#This Row],[Ingreso_neto]]-TablaVentas[[#This Row],[Costo_total]])</f>
        <v>-255.492</v>
      </c>
    </row>
    <row r="1524" customFormat="false" ht="13.5" hidden="false" customHeight="false" outlineLevel="0" collapsed="false">
      <c r="A1524" s="1" t="s">
        <v>1043</v>
      </c>
      <c r="B1524" s="1" t="n">
        <v>1</v>
      </c>
      <c r="C1524" s="5" t="n">
        <v>46260</v>
      </c>
      <c r="D1524" s="6" t="s">
        <v>286</v>
      </c>
      <c r="E1524" s="6" t="s">
        <v>56</v>
      </c>
      <c r="F1524" s="6" t="s">
        <v>46</v>
      </c>
      <c r="G1524" s="6" t="s">
        <v>64</v>
      </c>
      <c r="H1524" s="6" t="s">
        <v>136</v>
      </c>
      <c r="I1524" s="1" t="n">
        <v>1</v>
      </c>
      <c r="J1524" s="7" t="n">
        <v>3859.06</v>
      </c>
      <c r="K1524" s="8" t="n">
        <v>0</v>
      </c>
      <c r="L1524" s="7" t="n">
        <v>2950.52</v>
      </c>
      <c r="M1524" s="6" t="s">
        <v>49</v>
      </c>
      <c r="N1524" s="6" t="s">
        <v>52</v>
      </c>
      <c r="O1524" s="6" t="n">
        <f aca="false">IF(TablaVentas[[#This Row],[Precio_unitario]]="","PENDIENTE",TablaVentas[[#This Row],[Unidades]]*TablaVentas[[#This Row],[Precio_unitario]]*(1-TablaVentas[[#This Row],[Descuento_pct]]))</f>
        <v>3859.06</v>
      </c>
      <c r="P1524" s="6" t="n">
        <f aca="false">IF(TablaVentas[[#This Row],[Costo_unitario]]="","PENDIENTE",TablaVentas[[#This Row],[Unidades]]*TablaVentas[[#This Row],[Costo_unitario]])</f>
        <v>2950.52</v>
      </c>
      <c r="Q1524" s="6" t="n">
        <f aca="false">IF(OR(TablaVentas[[#This Row],[Ingreso_neto]]="PENDIENTE",TablaVentas[[#This Row],[Costo_total]]="PENDIENTE"),"PENDIENTE",TablaVentas[[#This Row],[Ingreso_neto]]-TablaVentas[[#This Row],[Costo_total]])</f>
        <v>908.54</v>
      </c>
    </row>
    <row r="1525" customFormat="false" ht="13.5" hidden="false" customHeight="false" outlineLevel="0" collapsed="false">
      <c r="A1525" s="1" t="s">
        <v>1043</v>
      </c>
      <c r="B1525" s="1" t="n">
        <v>2</v>
      </c>
      <c r="C1525" s="5" t="n">
        <v>46260</v>
      </c>
      <c r="D1525" s="6" t="s">
        <v>286</v>
      </c>
      <c r="E1525" s="6" t="s">
        <v>142</v>
      </c>
      <c r="F1525" s="6" t="s">
        <v>46</v>
      </c>
      <c r="G1525" s="6" t="s">
        <v>64</v>
      </c>
      <c r="H1525" s="6" t="s">
        <v>136</v>
      </c>
      <c r="I1525" s="1" t="n">
        <v>1</v>
      </c>
      <c r="J1525" s="7" t="n">
        <v>1770.15</v>
      </c>
      <c r="K1525" s="8" t="n">
        <v>0</v>
      </c>
      <c r="L1525" s="7" t="n">
        <v>1529.93</v>
      </c>
      <c r="M1525" s="6" t="s">
        <v>49</v>
      </c>
      <c r="N1525" s="6" t="s">
        <v>59</v>
      </c>
      <c r="O1525" s="6" t="n">
        <f aca="false">IF(TablaVentas[[#This Row],[Precio_unitario]]="","PENDIENTE",TablaVentas[[#This Row],[Unidades]]*TablaVentas[[#This Row],[Precio_unitario]]*(1-TablaVentas[[#This Row],[Descuento_pct]]))</f>
        <v>1770.15</v>
      </c>
      <c r="P1525" s="6" t="n">
        <f aca="false">IF(TablaVentas[[#This Row],[Costo_unitario]]="","PENDIENTE",TablaVentas[[#This Row],[Unidades]]*TablaVentas[[#This Row],[Costo_unitario]])</f>
        <v>1529.93</v>
      </c>
      <c r="Q1525" s="6" t="n">
        <f aca="false">IF(OR(TablaVentas[[#This Row],[Ingreso_neto]]="PENDIENTE",TablaVentas[[#This Row],[Costo_total]]="PENDIENTE"),"PENDIENTE",TablaVentas[[#This Row],[Ingreso_neto]]-TablaVentas[[#This Row],[Costo_total]])</f>
        <v>240.22</v>
      </c>
    </row>
    <row r="1526" customFormat="false" ht="13.5" hidden="false" customHeight="false" outlineLevel="0" collapsed="false">
      <c r="A1526" s="1" t="s">
        <v>1043</v>
      </c>
      <c r="B1526" s="1" t="n">
        <v>3</v>
      </c>
      <c r="C1526" s="5" t="n">
        <v>46260</v>
      </c>
      <c r="D1526" s="6" t="s">
        <v>286</v>
      </c>
      <c r="E1526" s="6" t="s">
        <v>126</v>
      </c>
      <c r="F1526" s="6" t="s">
        <v>46</v>
      </c>
      <c r="G1526" s="6" t="s">
        <v>64</v>
      </c>
      <c r="H1526" s="6" t="s">
        <v>136</v>
      </c>
      <c r="I1526" s="1" t="n">
        <v>1</v>
      </c>
      <c r="J1526" s="7" t="n">
        <v>8497.74</v>
      </c>
      <c r="K1526" s="8" t="n">
        <v>0.1</v>
      </c>
      <c r="L1526" s="7" t="n">
        <v>6981.94</v>
      </c>
      <c r="M1526" s="6" t="s">
        <v>49</v>
      </c>
      <c r="N1526" s="6" t="s">
        <v>52</v>
      </c>
      <c r="O1526" s="6" t="n">
        <f aca="false">IF(TablaVentas[[#This Row],[Precio_unitario]]="","PENDIENTE",TablaVentas[[#This Row],[Unidades]]*TablaVentas[[#This Row],[Precio_unitario]]*(1-TablaVentas[[#This Row],[Descuento_pct]]))</f>
        <v>7647.966</v>
      </c>
      <c r="P1526" s="6" t="n">
        <f aca="false">IF(TablaVentas[[#This Row],[Costo_unitario]]="","PENDIENTE",TablaVentas[[#This Row],[Unidades]]*TablaVentas[[#This Row],[Costo_unitario]])</f>
        <v>6981.94</v>
      </c>
      <c r="Q1526" s="6" t="n">
        <f aca="false">IF(OR(TablaVentas[[#This Row],[Ingreso_neto]]="PENDIENTE",TablaVentas[[#This Row],[Costo_total]]="PENDIENTE"),"PENDIENTE",TablaVentas[[#This Row],[Ingreso_neto]]-TablaVentas[[#This Row],[Costo_total]])</f>
        <v>666.026000000001</v>
      </c>
    </row>
    <row r="1527" customFormat="false" ht="13.5" hidden="false" customHeight="false" outlineLevel="0" collapsed="false">
      <c r="A1527" s="1" t="s">
        <v>1043</v>
      </c>
      <c r="B1527" s="1" t="n">
        <v>4</v>
      </c>
      <c r="C1527" s="5" t="n">
        <v>46260</v>
      </c>
      <c r="D1527" s="6" t="s">
        <v>286</v>
      </c>
      <c r="E1527" s="6" t="s">
        <v>252</v>
      </c>
      <c r="F1527" s="6" t="s">
        <v>46</v>
      </c>
      <c r="G1527" s="6" t="s">
        <v>64</v>
      </c>
      <c r="H1527" s="6" t="s">
        <v>136</v>
      </c>
      <c r="I1527" s="1" t="n">
        <v>3</v>
      </c>
      <c r="J1527" s="7" t="n">
        <v>16295.18</v>
      </c>
      <c r="K1527" s="8" t="n">
        <v>0.05</v>
      </c>
      <c r="L1527" s="7" t="n">
        <v>10507.24</v>
      </c>
      <c r="M1527" s="6" t="s">
        <v>49</v>
      </c>
      <c r="N1527" s="6" t="s">
        <v>67</v>
      </c>
      <c r="O1527" s="6" t="n">
        <f aca="false">IF(TablaVentas[[#This Row],[Precio_unitario]]="","PENDIENTE",TablaVentas[[#This Row],[Unidades]]*TablaVentas[[#This Row],[Precio_unitario]]*(1-TablaVentas[[#This Row],[Descuento_pct]]))</f>
        <v>46441.263</v>
      </c>
      <c r="P1527" s="6" t="n">
        <f aca="false">IF(TablaVentas[[#This Row],[Costo_unitario]]="","PENDIENTE",TablaVentas[[#This Row],[Unidades]]*TablaVentas[[#This Row],[Costo_unitario]])</f>
        <v>31521.72</v>
      </c>
      <c r="Q1527" s="6" t="n">
        <f aca="false">IF(OR(TablaVentas[[#This Row],[Ingreso_neto]]="PENDIENTE",TablaVentas[[#This Row],[Costo_total]]="PENDIENTE"),"PENDIENTE",TablaVentas[[#This Row],[Ingreso_neto]]-TablaVentas[[#This Row],[Costo_total]])</f>
        <v>14919.543</v>
      </c>
    </row>
    <row r="1528" customFormat="false" ht="13.5" hidden="false" customHeight="false" outlineLevel="0" collapsed="false">
      <c r="A1528" s="1" t="s">
        <v>1043</v>
      </c>
      <c r="B1528" s="1" t="n">
        <v>5</v>
      </c>
      <c r="C1528" s="5" t="n">
        <v>46260</v>
      </c>
      <c r="D1528" s="6" t="s">
        <v>286</v>
      </c>
      <c r="E1528" s="6" t="s">
        <v>279</v>
      </c>
      <c r="F1528" s="6" t="s">
        <v>46</v>
      </c>
      <c r="G1528" s="6" t="s">
        <v>64</v>
      </c>
      <c r="H1528" s="6" t="s">
        <v>136</v>
      </c>
      <c r="I1528" s="1" t="n">
        <v>2</v>
      </c>
      <c r="J1528" s="7" t="n">
        <v>670.63</v>
      </c>
      <c r="K1528" s="8" t="n">
        <v>0.1</v>
      </c>
      <c r="L1528" s="7" t="n">
        <v>443</v>
      </c>
      <c r="M1528" s="6" t="s">
        <v>49</v>
      </c>
      <c r="N1528" s="6" t="s">
        <v>50</v>
      </c>
      <c r="O1528" s="6" t="n">
        <f aca="false">IF(TablaVentas[[#This Row],[Precio_unitario]]="","PENDIENTE",TablaVentas[[#This Row],[Unidades]]*TablaVentas[[#This Row],[Precio_unitario]]*(1-TablaVentas[[#This Row],[Descuento_pct]]))</f>
        <v>1207.134</v>
      </c>
      <c r="P1528" s="6" t="n">
        <f aca="false">IF(TablaVentas[[#This Row],[Costo_unitario]]="","PENDIENTE",TablaVentas[[#This Row],[Unidades]]*TablaVentas[[#This Row],[Costo_unitario]])</f>
        <v>886</v>
      </c>
      <c r="Q1528" s="6" t="n">
        <f aca="false">IF(OR(TablaVentas[[#This Row],[Ingreso_neto]]="PENDIENTE",TablaVentas[[#This Row],[Costo_total]]="PENDIENTE"),"PENDIENTE",TablaVentas[[#This Row],[Ingreso_neto]]-TablaVentas[[#This Row],[Costo_total]])</f>
        <v>321.134</v>
      </c>
    </row>
    <row r="1529" customFormat="false" ht="13.5" hidden="false" customHeight="false" outlineLevel="0" collapsed="false">
      <c r="A1529" s="1" t="s">
        <v>1044</v>
      </c>
      <c r="B1529" s="1" t="n">
        <v>1</v>
      </c>
      <c r="C1529" s="5" t="n">
        <v>46048</v>
      </c>
      <c r="D1529" s="6" t="s">
        <v>376</v>
      </c>
      <c r="E1529" s="6" t="s">
        <v>162</v>
      </c>
      <c r="F1529" s="6" t="s">
        <v>84</v>
      </c>
      <c r="G1529" s="6" t="s">
        <v>64</v>
      </c>
      <c r="H1529" s="6" t="s">
        <v>65</v>
      </c>
      <c r="I1529" s="1" t="n">
        <v>2</v>
      </c>
      <c r="J1529" s="7" t="n">
        <v>779.71</v>
      </c>
      <c r="K1529" s="8" t="n">
        <v>0.2</v>
      </c>
      <c r="L1529" s="7" t="n">
        <v>397.1</v>
      </c>
      <c r="M1529" s="6" t="s">
        <v>49</v>
      </c>
      <c r="N1529" s="6" t="s">
        <v>52</v>
      </c>
      <c r="O1529" s="6" t="n">
        <f aca="false">IF(TablaVentas[[#This Row],[Precio_unitario]]="","PENDIENTE",TablaVentas[[#This Row],[Unidades]]*TablaVentas[[#This Row],[Precio_unitario]]*(1-TablaVentas[[#This Row],[Descuento_pct]]))</f>
        <v>1247.536</v>
      </c>
      <c r="P1529" s="6" t="n">
        <f aca="false">IF(TablaVentas[[#This Row],[Costo_unitario]]="","PENDIENTE",TablaVentas[[#This Row],[Unidades]]*TablaVentas[[#This Row],[Costo_unitario]])</f>
        <v>794.2</v>
      </c>
      <c r="Q1529" s="6" t="n">
        <f aca="false">IF(OR(TablaVentas[[#This Row],[Ingreso_neto]]="PENDIENTE",TablaVentas[[#This Row],[Costo_total]]="PENDIENTE"),"PENDIENTE",TablaVentas[[#This Row],[Ingreso_neto]]-TablaVentas[[#This Row],[Costo_total]])</f>
        <v>453.336</v>
      </c>
    </row>
    <row r="1530" customFormat="false" ht="13.5" hidden="false" customHeight="false" outlineLevel="0" collapsed="false">
      <c r="A1530" s="1" t="s">
        <v>1044</v>
      </c>
      <c r="B1530" s="1" t="n">
        <v>2</v>
      </c>
      <c r="C1530" s="5" t="n">
        <v>46048</v>
      </c>
      <c r="D1530" s="6" t="s">
        <v>376</v>
      </c>
      <c r="E1530" s="6" t="s">
        <v>66</v>
      </c>
      <c r="F1530" s="6" t="s">
        <v>84</v>
      </c>
      <c r="G1530" s="6" t="s">
        <v>64</v>
      </c>
      <c r="H1530" s="6" t="s">
        <v>65</v>
      </c>
      <c r="I1530" s="1" t="n">
        <v>8</v>
      </c>
      <c r="J1530" s="7" t="n">
        <v>15086.78</v>
      </c>
      <c r="K1530" s="8" t="n">
        <v>0.05</v>
      </c>
      <c r="L1530" s="7" t="n">
        <v>10170.29</v>
      </c>
      <c r="M1530" s="6" t="s">
        <v>49</v>
      </c>
      <c r="N1530" s="6" t="s">
        <v>52</v>
      </c>
      <c r="O1530" s="6" t="n">
        <f aca="false">IF(TablaVentas[[#This Row],[Precio_unitario]]="","PENDIENTE",TablaVentas[[#This Row],[Unidades]]*TablaVentas[[#This Row],[Precio_unitario]]*(1-TablaVentas[[#This Row],[Descuento_pct]]))</f>
        <v>114659.528</v>
      </c>
      <c r="P1530" s="6" t="n">
        <f aca="false">IF(TablaVentas[[#This Row],[Costo_unitario]]="","PENDIENTE",TablaVentas[[#This Row],[Unidades]]*TablaVentas[[#This Row],[Costo_unitario]])</f>
        <v>81362.32</v>
      </c>
      <c r="Q1530" s="6" t="n">
        <f aca="false">IF(OR(TablaVentas[[#This Row],[Ingreso_neto]]="PENDIENTE",TablaVentas[[#This Row],[Costo_total]]="PENDIENTE"),"PENDIENTE",TablaVentas[[#This Row],[Ingreso_neto]]-TablaVentas[[#This Row],[Costo_total]])</f>
        <v>33297.208</v>
      </c>
    </row>
    <row r="1531" customFormat="false" ht="13.5" hidden="false" customHeight="false" outlineLevel="0" collapsed="false">
      <c r="A1531" s="1" t="s">
        <v>1045</v>
      </c>
      <c r="B1531" s="1" t="n">
        <v>1</v>
      </c>
      <c r="C1531" s="5" t="n">
        <v>46234</v>
      </c>
      <c r="D1531" s="6" t="s">
        <v>275</v>
      </c>
      <c r="E1531" s="6" t="s">
        <v>300</v>
      </c>
      <c r="F1531" s="6" t="s">
        <v>73</v>
      </c>
      <c r="G1531" s="6" t="s">
        <v>47</v>
      </c>
      <c r="H1531" s="6" t="s">
        <v>191</v>
      </c>
      <c r="I1531" s="1" t="n">
        <v>1</v>
      </c>
      <c r="J1531" s="7" t="n">
        <v>1101.7</v>
      </c>
      <c r="K1531" s="8" t="n">
        <v>0</v>
      </c>
      <c r="L1531" s="7" t="n">
        <v>936.52</v>
      </c>
      <c r="M1531" s="6" t="s">
        <v>49</v>
      </c>
      <c r="N1531" s="6" t="s">
        <v>52</v>
      </c>
      <c r="O1531" s="6" t="n">
        <f aca="false">IF(TablaVentas[[#This Row],[Precio_unitario]]="","PENDIENTE",TablaVentas[[#This Row],[Unidades]]*TablaVentas[[#This Row],[Precio_unitario]]*(1-TablaVentas[[#This Row],[Descuento_pct]]))</f>
        <v>1101.7</v>
      </c>
      <c r="P1531" s="6" t="n">
        <f aca="false">IF(TablaVentas[[#This Row],[Costo_unitario]]="","PENDIENTE",TablaVentas[[#This Row],[Unidades]]*TablaVentas[[#This Row],[Costo_unitario]])</f>
        <v>936.52</v>
      </c>
      <c r="Q1531" s="6" t="n">
        <f aca="false">IF(OR(TablaVentas[[#This Row],[Ingreso_neto]]="PENDIENTE",TablaVentas[[#This Row],[Costo_total]]="PENDIENTE"),"PENDIENTE",TablaVentas[[#This Row],[Ingreso_neto]]-TablaVentas[[#This Row],[Costo_total]])</f>
        <v>165.18</v>
      </c>
    </row>
    <row r="1532" customFormat="false" ht="13.5" hidden="false" customHeight="false" outlineLevel="0" collapsed="false">
      <c r="A1532" s="1" t="s">
        <v>1045</v>
      </c>
      <c r="B1532" s="1" t="n">
        <v>2</v>
      </c>
      <c r="C1532" s="5" t="n">
        <v>46234</v>
      </c>
      <c r="D1532" s="6" t="s">
        <v>275</v>
      </c>
      <c r="E1532" s="6" t="s">
        <v>93</v>
      </c>
      <c r="F1532" s="6" t="s">
        <v>73</v>
      </c>
      <c r="G1532" s="6" t="s">
        <v>47</v>
      </c>
      <c r="H1532" s="6" t="s">
        <v>191</v>
      </c>
      <c r="I1532" s="1" t="n">
        <v>1</v>
      </c>
      <c r="J1532" s="7" t="n">
        <v>16127.17</v>
      </c>
      <c r="K1532" s="8" t="n">
        <v>0</v>
      </c>
      <c r="L1532" s="7" t="n">
        <v>11166.03</v>
      </c>
      <c r="M1532" s="6" t="s">
        <v>49</v>
      </c>
      <c r="N1532" s="6" t="s">
        <v>67</v>
      </c>
      <c r="O1532" s="6" t="n">
        <f aca="false">IF(TablaVentas[[#This Row],[Precio_unitario]]="","PENDIENTE",TablaVentas[[#This Row],[Unidades]]*TablaVentas[[#This Row],[Precio_unitario]]*(1-TablaVentas[[#This Row],[Descuento_pct]]))</f>
        <v>16127.17</v>
      </c>
      <c r="P1532" s="6" t="n">
        <f aca="false">IF(TablaVentas[[#This Row],[Costo_unitario]]="","PENDIENTE",TablaVentas[[#This Row],[Unidades]]*TablaVentas[[#This Row],[Costo_unitario]])</f>
        <v>11166.03</v>
      </c>
      <c r="Q1532" s="6" t="n">
        <f aca="false">IF(OR(TablaVentas[[#This Row],[Ingreso_neto]]="PENDIENTE",TablaVentas[[#This Row],[Costo_total]]="PENDIENTE"),"PENDIENTE",TablaVentas[[#This Row],[Ingreso_neto]]-TablaVentas[[#This Row],[Costo_total]])</f>
        <v>4961.14</v>
      </c>
    </row>
    <row r="1533" customFormat="false" ht="13.5" hidden="false" customHeight="false" outlineLevel="0" collapsed="false">
      <c r="A1533" s="1" t="s">
        <v>1045</v>
      </c>
      <c r="B1533" s="1" t="n">
        <v>3</v>
      </c>
      <c r="C1533" s="5" t="n">
        <v>46234</v>
      </c>
      <c r="D1533" s="6" t="s">
        <v>275</v>
      </c>
      <c r="E1533" s="6" t="s">
        <v>215</v>
      </c>
      <c r="F1533" s="6" t="s">
        <v>73</v>
      </c>
      <c r="G1533" s="6" t="s">
        <v>47</v>
      </c>
      <c r="H1533" s="6" t="s">
        <v>191</v>
      </c>
      <c r="I1533" s="1" t="n">
        <v>2</v>
      </c>
      <c r="J1533" s="7" t="n">
        <v>9758.89</v>
      </c>
      <c r="K1533" s="8" t="n">
        <v>0</v>
      </c>
      <c r="L1533" s="7" t="n">
        <v>5535.31</v>
      </c>
      <c r="M1533" s="6" t="s">
        <v>49</v>
      </c>
      <c r="N1533" s="6" t="s">
        <v>67</v>
      </c>
      <c r="O1533" s="6" t="n">
        <f aca="false">IF(TablaVentas[[#This Row],[Precio_unitario]]="","PENDIENTE",TablaVentas[[#This Row],[Unidades]]*TablaVentas[[#This Row],[Precio_unitario]]*(1-TablaVentas[[#This Row],[Descuento_pct]]))</f>
        <v>19517.78</v>
      </c>
      <c r="P1533" s="6" t="n">
        <f aca="false">IF(TablaVentas[[#This Row],[Costo_unitario]]="","PENDIENTE",TablaVentas[[#This Row],[Unidades]]*TablaVentas[[#This Row],[Costo_unitario]])</f>
        <v>11070.62</v>
      </c>
      <c r="Q1533" s="6" t="n">
        <f aca="false">IF(OR(TablaVentas[[#This Row],[Ingreso_neto]]="PENDIENTE",TablaVentas[[#This Row],[Costo_total]]="PENDIENTE"),"PENDIENTE",TablaVentas[[#This Row],[Ingreso_neto]]-TablaVentas[[#This Row],[Costo_total]])</f>
        <v>8447.16</v>
      </c>
    </row>
    <row r="1534" customFormat="false" ht="13.5" hidden="false" customHeight="false" outlineLevel="0" collapsed="false">
      <c r="A1534" s="1" t="s">
        <v>1046</v>
      </c>
      <c r="B1534" s="1" t="n">
        <v>1</v>
      </c>
      <c r="C1534" s="5" t="n">
        <v>46228</v>
      </c>
      <c r="D1534" s="6" t="s">
        <v>483</v>
      </c>
      <c r="E1534" s="6" t="s">
        <v>333</v>
      </c>
      <c r="F1534" s="6" t="s">
        <v>84</v>
      </c>
      <c r="G1534" s="6" t="s">
        <v>47</v>
      </c>
      <c r="H1534" s="6" t="s">
        <v>136</v>
      </c>
      <c r="I1534" s="1" t="n">
        <v>2</v>
      </c>
      <c r="J1534" s="7" t="n">
        <v>7176.44</v>
      </c>
      <c r="K1534" s="8" t="n">
        <v>0</v>
      </c>
      <c r="L1534" s="7" t="n">
        <v>4044.16</v>
      </c>
      <c r="M1534" s="6" t="s">
        <v>49</v>
      </c>
      <c r="N1534" s="6" t="s">
        <v>67</v>
      </c>
      <c r="O1534" s="6" t="n">
        <f aca="false">IF(TablaVentas[[#This Row],[Precio_unitario]]="","PENDIENTE",TablaVentas[[#This Row],[Unidades]]*TablaVentas[[#This Row],[Precio_unitario]]*(1-TablaVentas[[#This Row],[Descuento_pct]]))</f>
        <v>14352.88</v>
      </c>
      <c r="P1534" s="6" t="n">
        <f aca="false">IF(TablaVentas[[#This Row],[Costo_unitario]]="","PENDIENTE",TablaVentas[[#This Row],[Unidades]]*TablaVentas[[#This Row],[Costo_unitario]])</f>
        <v>8088.32</v>
      </c>
      <c r="Q1534" s="6" t="n">
        <f aca="false">IF(OR(TablaVentas[[#This Row],[Ingreso_neto]]="PENDIENTE",TablaVentas[[#This Row],[Costo_total]]="PENDIENTE"),"PENDIENTE",TablaVentas[[#This Row],[Ingreso_neto]]-TablaVentas[[#This Row],[Costo_total]])</f>
        <v>6264.56</v>
      </c>
    </row>
    <row r="1535" customFormat="false" ht="13.5" hidden="false" customHeight="false" outlineLevel="0" collapsed="false">
      <c r="A1535" s="1" t="s">
        <v>1046</v>
      </c>
      <c r="B1535" s="1" t="n">
        <v>2</v>
      </c>
      <c r="C1535" s="5" t="n">
        <v>46228</v>
      </c>
      <c r="D1535" s="6" t="s">
        <v>483</v>
      </c>
      <c r="E1535" s="6" t="s">
        <v>53</v>
      </c>
      <c r="F1535" s="6" t="s">
        <v>84</v>
      </c>
      <c r="G1535" s="6" t="s">
        <v>47</v>
      </c>
      <c r="H1535" s="6" t="s">
        <v>136</v>
      </c>
      <c r="I1535" s="1" t="n">
        <v>1</v>
      </c>
      <c r="J1535" s="7" t="n">
        <v>3642.46</v>
      </c>
      <c r="K1535" s="8" t="n">
        <v>0.1</v>
      </c>
      <c r="L1535" s="7" t="n">
        <v>2957.6</v>
      </c>
      <c r="M1535" s="6" t="s">
        <v>49</v>
      </c>
      <c r="N1535" s="6" t="s">
        <v>52</v>
      </c>
      <c r="O1535" s="6" t="n">
        <f aca="false">IF(TablaVentas[[#This Row],[Precio_unitario]]="","PENDIENTE",TablaVentas[[#This Row],[Unidades]]*TablaVentas[[#This Row],[Precio_unitario]]*(1-TablaVentas[[#This Row],[Descuento_pct]]))</f>
        <v>3278.214</v>
      </c>
      <c r="P1535" s="6" t="n">
        <f aca="false">IF(TablaVentas[[#This Row],[Costo_unitario]]="","PENDIENTE",TablaVentas[[#This Row],[Unidades]]*TablaVentas[[#This Row],[Costo_unitario]])</f>
        <v>2957.6</v>
      </c>
      <c r="Q1535" s="6" t="n">
        <f aca="false">IF(OR(TablaVentas[[#This Row],[Ingreso_neto]]="PENDIENTE",TablaVentas[[#This Row],[Costo_total]]="PENDIENTE"),"PENDIENTE",TablaVentas[[#This Row],[Ingreso_neto]]-TablaVentas[[#This Row],[Costo_total]])</f>
        <v>320.614</v>
      </c>
    </row>
    <row r="1536" customFormat="false" ht="13.5" hidden="false" customHeight="false" outlineLevel="0" collapsed="false">
      <c r="A1536" s="1" t="s">
        <v>1047</v>
      </c>
      <c r="B1536" s="1" t="n">
        <v>1</v>
      </c>
      <c r="C1536" s="5" t="n">
        <v>46029</v>
      </c>
      <c r="D1536" s="6" t="s">
        <v>262</v>
      </c>
      <c r="E1536" s="6" t="s">
        <v>265</v>
      </c>
      <c r="F1536" s="6" t="s">
        <v>84</v>
      </c>
      <c r="G1536" s="6" t="s">
        <v>64</v>
      </c>
      <c r="H1536" s="6" t="s">
        <v>191</v>
      </c>
      <c r="I1536" s="1" t="n">
        <v>3</v>
      </c>
      <c r="J1536" s="7" t="n">
        <v>3688.01</v>
      </c>
      <c r="K1536" s="8" t="n">
        <v>0.1</v>
      </c>
      <c r="L1536" s="7" t="n">
        <v>2008.57</v>
      </c>
      <c r="M1536" s="6" t="s">
        <v>49</v>
      </c>
      <c r="N1536" s="6" t="s">
        <v>67</v>
      </c>
      <c r="O1536" s="6" t="n">
        <f aca="false">IF(TablaVentas[[#This Row],[Precio_unitario]]="","PENDIENTE",TablaVentas[[#This Row],[Unidades]]*TablaVentas[[#This Row],[Precio_unitario]]*(1-TablaVentas[[#This Row],[Descuento_pct]]))</f>
        <v>9957.627</v>
      </c>
      <c r="P1536" s="6" t="n">
        <f aca="false">IF(TablaVentas[[#This Row],[Costo_unitario]]="","PENDIENTE",TablaVentas[[#This Row],[Unidades]]*TablaVentas[[#This Row],[Costo_unitario]])</f>
        <v>6025.71</v>
      </c>
      <c r="Q1536" s="6" t="n">
        <f aca="false">IF(OR(TablaVentas[[#This Row],[Ingreso_neto]]="PENDIENTE",TablaVentas[[#This Row],[Costo_total]]="PENDIENTE"),"PENDIENTE",TablaVentas[[#This Row],[Ingreso_neto]]-TablaVentas[[#This Row],[Costo_total]])</f>
        <v>3931.917</v>
      </c>
    </row>
    <row r="1537" customFormat="false" ht="13.5" hidden="false" customHeight="false" outlineLevel="0" collapsed="false">
      <c r="A1537" s="1" t="s">
        <v>1047</v>
      </c>
      <c r="B1537" s="1" t="n">
        <v>2</v>
      </c>
      <c r="C1537" s="5" t="n">
        <v>46029</v>
      </c>
      <c r="D1537" s="6" t="s">
        <v>262</v>
      </c>
      <c r="E1537" s="6" t="s">
        <v>159</v>
      </c>
      <c r="F1537" s="6" t="s">
        <v>84</v>
      </c>
      <c r="G1537" s="6" t="s">
        <v>64</v>
      </c>
      <c r="H1537" s="6" t="s">
        <v>191</v>
      </c>
      <c r="I1537" s="1" t="n">
        <v>4</v>
      </c>
      <c r="J1537" s="7" t="n">
        <v>2913.26</v>
      </c>
      <c r="K1537" s="8" t="n">
        <v>0</v>
      </c>
      <c r="L1537" s="7" t="n">
        <v>1962.3</v>
      </c>
      <c r="M1537" s="6" t="s">
        <v>49</v>
      </c>
      <c r="N1537" s="6" t="s">
        <v>52</v>
      </c>
      <c r="O1537" s="6" t="n">
        <f aca="false">IF(TablaVentas[[#This Row],[Precio_unitario]]="","PENDIENTE",TablaVentas[[#This Row],[Unidades]]*TablaVentas[[#This Row],[Precio_unitario]]*(1-TablaVentas[[#This Row],[Descuento_pct]]))</f>
        <v>11653.04</v>
      </c>
      <c r="P1537" s="6" t="n">
        <f aca="false">IF(TablaVentas[[#This Row],[Costo_unitario]]="","PENDIENTE",TablaVentas[[#This Row],[Unidades]]*TablaVentas[[#This Row],[Costo_unitario]])</f>
        <v>7849.2</v>
      </c>
      <c r="Q1537" s="6" t="n">
        <f aca="false">IF(OR(TablaVentas[[#This Row],[Ingreso_neto]]="PENDIENTE",TablaVentas[[#This Row],[Costo_total]]="PENDIENTE"),"PENDIENTE",TablaVentas[[#This Row],[Ingreso_neto]]-TablaVentas[[#This Row],[Costo_total]])</f>
        <v>3803.84</v>
      </c>
    </row>
    <row r="1538" customFormat="false" ht="13.5" hidden="false" customHeight="false" outlineLevel="0" collapsed="false">
      <c r="A1538" s="1" t="s">
        <v>1047</v>
      </c>
      <c r="B1538" s="1" t="n">
        <v>3</v>
      </c>
      <c r="C1538" s="5" t="n">
        <v>46029</v>
      </c>
      <c r="D1538" s="6" t="s">
        <v>262</v>
      </c>
      <c r="E1538" s="6" t="s">
        <v>240</v>
      </c>
      <c r="F1538" s="6" t="s">
        <v>84</v>
      </c>
      <c r="G1538" s="6" t="s">
        <v>64</v>
      </c>
      <c r="H1538" s="6" t="s">
        <v>191</v>
      </c>
      <c r="I1538" s="1" t="n">
        <v>1</v>
      </c>
      <c r="J1538" s="7" t="n">
        <v>10738.55</v>
      </c>
      <c r="K1538" s="8" t="n">
        <v>0.2</v>
      </c>
      <c r="L1538" s="7" t="n">
        <v>5932.12</v>
      </c>
      <c r="M1538" s="6" t="s">
        <v>49</v>
      </c>
      <c r="N1538" s="6" t="s">
        <v>67</v>
      </c>
      <c r="O1538" s="6" t="n">
        <f aca="false">IF(TablaVentas[[#This Row],[Precio_unitario]]="","PENDIENTE",TablaVentas[[#This Row],[Unidades]]*TablaVentas[[#This Row],[Precio_unitario]]*(1-TablaVentas[[#This Row],[Descuento_pct]]))</f>
        <v>8590.84</v>
      </c>
      <c r="P1538" s="6" t="n">
        <f aca="false">IF(TablaVentas[[#This Row],[Costo_unitario]]="","PENDIENTE",TablaVentas[[#This Row],[Unidades]]*TablaVentas[[#This Row],[Costo_unitario]])</f>
        <v>5932.12</v>
      </c>
      <c r="Q1538" s="6" t="n">
        <f aca="false">IF(OR(TablaVentas[[#This Row],[Ingreso_neto]]="PENDIENTE",TablaVentas[[#This Row],[Costo_total]]="PENDIENTE"),"PENDIENTE",TablaVentas[[#This Row],[Ingreso_neto]]-TablaVentas[[#This Row],[Costo_total]])</f>
        <v>2658.72</v>
      </c>
    </row>
    <row r="1539" customFormat="false" ht="13.5" hidden="false" customHeight="false" outlineLevel="0" collapsed="false">
      <c r="A1539" s="1" t="s">
        <v>1048</v>
      </c>
      <c r="B1539" s="1" t="n">
        <v>1</v>
      </c>
      <c r="C1539" s="5" t="n">
        <v>46156</v>
      </c>
      <c r="D1539" s="6" t="s">
        <v>1049</v>
      </c>
      <c r="E1539" s="6" t="s">
        <v>333</v>
      </c>
      <c r="F1539" s="6" t="s">
        <v>46</v>
      </c>
      <c r="G1539" s="6" t="s">
        <v>47</v>
      </c>
      <c r="H1539" s="6" t="s">
        <v>80</v>
      </c>
      <c r="I1539" s="1" t="n">
        <v>1</v>
      </c>
      <c r="J1539" s="7" t="n">
        <v>7505.03</v>
      </c>
      <c r="K1539" s="8" t="n">
        <v>0.05</v>
      </c>
      <c r="L1539" s="7" t="n">
        <v>4044.16</v>
      </c>
      <c r="M1539" s="6" t="s">
        <v>49</v>
      </c>
      <c r="N1539" s="6" t="s">
        <v>50</v>
      </c>
      <c r="O1539" s="6" t="n">
        <f aca="false">IF(TablaVentas[[#This Row],[Precio_unitario]]="","PENDIENTE",TablaVentas[[#This Row],[Unidades]]*TablaVentas[[#This Row],[Precio_unitario]]*(1-TablaVentas[[#This Row],[Descuento_pct]]))</f>
        <v>7129.7785</v>
      </c>
      <c r="P1539" s="6" t="n">
        <f aca="false">IF(TablaVentas[[#This Row],[Costo_unitario]]="","PENDIENTE",TablaVentas[[#This Row],[Unidades]]*TablaVentas[[#This Row],[Costo_unitario]])</f>
        <v>4044.16</v>
      </c>
      <c r="Q1539" s="6" t="n">
        <f aca="false">IF(OR(TablaVentas[[#This Row],[Ingreso_neto]]="PENDIENTE",TablaVentas[[#This Row],[Costo_total]]="PENDIENTE"),"PENDIENTE",TablaVentas[[#This Row],[Ingreso_neto]]-TablaVentas[[#This Row],[Costo_total]])</f>
        <v>3085.6185</v>
      </c>
    </row>
    <row r="1540" customFormat="false" ht="13.5" hidden="false" customHeight="false" outlineLevel="0" collapsed="false">
      <c r="A1540" s="1" t="s">
        <v>1048</v>
      </c>
      <c r="B1540" s="1" t="n">
        <v>2</v>
      </c>
      <c r="C1540" s="5" t="n">
        <v>46156</v>
      </c>
      <c r="D1540" s="6" t="s">
        <v>1049</v>
      </c>
      <c r="E1540" s="6" t="s">
        <v>280</v>
      </c>
      <c r="F1540" s="6" t="s">
        <v>46</v>
      </c>
      <c r="G1540" s="6" t="s">
        <v>47</v>
      </c>
      <c r="H1540" s="6" t="s">
        <v>80</v>
      </c>
      <c r="I1540" s="1" t="n">
        <v>2</v>
      </c>
      <c r="J1540" s="7" t="n">
        <v>1472.85</v>
      </c>
      <c r="K1540" s="8" t="n">
        <v>0</v>
      </c>
      <c r="L1540" s="7" t="n">
        <v>716.26</v>
      </c>
      <c r="M1540" s="6" t="s">
        <v>49</v>
      </c>
      <c r="N1540" s="6" t="s">
        <v>50</v>
      </c>
      <c r="O1540" s="6" t="n">
        <f aca="false">IF(TablaVentas[[#This Row],[Precio_unitario]]="","PENDIENTE",TablaVentas[[#This Row],[Unidades]]*TablaVentas[[#This Row],[Precio_unitario]]*(1-TablaVentas[[#This Row],[Descuento_pct]]))</f>
        <v>2945.7</v>
      </c>
      <c r="P1540" s="6" t="n">
        <f aca="false">IF(TablaVentas[[#This Row],[Costo_unitario]]="","PENDIENTE",TablaVentas[[#This Row],[Unidades]]*TablaVentas[[#This Row],[Costo_unitario]])</f>
        <v>1432.52</v>
      </c>
      <c r="Q1540" s="6" t="n">
        <f aca="false">IF(OR(TablaVentas[[#This Row],[Ingreso_neto]]="PENDIENTE",TablaVentas[[#This Row],[Costo_total]]="PENDIENTE"),"PENDIENTE",TablaVentas[[#This Row],[Ingreso_neto]]-TablaVentas[[#This Row],[Costo_total]])</f>
        <v>1513.18</v>
      </c>
    </row>
    <row r="1541" customFormat="false" ht="13.5" hidden="false" customHeight="false" outlineLevel="0" collapsed="false">
      <c r="A1541" s="1" t="s">
        <v>1048</v>
      </c>
      <c r="B1541" s="1" t="n">
        <v>3</v>
      </c>
      <c r="C1541" s="5" t="n">
        <v>46156</v>
      </c>
      <c r="D1541" s="6" t="s">
        <v>1049</v>
      </c>
      <c r="E1541" s="6" t="s">
        <v>130</v>
      </c>
      <c r="F1541" s="6" t="s">
        <v>46</v>
      </c>
      <c r="G1541" s="6" t="s">
        <v>47</v>
      </c>
      <c r="H1541" s="6" t="s">
        <v>80</v>
      </c>
      <c r="I1541" s="1" t="n">
        <v>2</v>
      </c>
      <c r="J1541" s="7" t="n">
        <v>16102.56</v>
      </c>
      <c r="K1541" s="8" t="n">
        <v>0.2</v>
      </c>
      <c r="L1541" s="7" t="n">
        <v>12679.41</v>
      </c>
      <c r="M1541" s="6" t="s">
        <v>49</v>
      </c>
      <c r="N1541" s="6" t="s">
        <v>59</v>
      </c>
      <c r="O1541" s="6" t="n">
        <f aca="false">IF(TablaVentas[[#This Row],[Precio_unitario]]="","PENDIENTE",TablaVentas[[#This Row],[Unidades]]*TablaVentas[[#This Row],[Precio_unitario]]*(1-TablaVentas[[#This Row],[Descuento_pct]]))</f>
        <v>25764.096</v>
      </c>
      <c r="P1541" s="6" t="n">
        <f aca="false">IF(TablaVentas[[#This Row],[Costo_unitario]]="","PENDIENTE",TablaVentas[[#This Row],[Unidades]]*TablaVentas[[#This Row],[Costo_unitario]])</f>
        <v>25358.82</v>
      </c>
      <c r="Q1541" s="6" t="n">
        <f aca="false">IF(OR(TablaVentas[[#This Row],[Ingreso_neto]]="PENDIENTE",TablaVentas[[#This Row],[Costo_total]]="PENDIENTE"),"PENDIENTE",TablaVentas[[#This Row],[Ingreso_neto]]-TablaVentas[[#This Row],[Costo_total]])</f>
        <v>405.276000000002</v>
      </c>
    </row>
    <row r="1542" customFormat="false" ht="13.5" hidden="false" customHeight="false" outlineLevel="0" collapsed="false">
      <c r="A1542" s="1" t="s">
        <v>1048</v>
      </c>
      <c r="B1542" s="1" t="n">
        <v>4</v>
      </c>
      <c r="C1542" s="5" t="n">
        <v>46156</v>
      </c>
      <c r="D1542" s="6" t="s">
        <v>1049</v>
      </c>
      <c r="E1542" s="6" t="s">
        <v>203</v>
      </c>
      <c r="F1542" s="6" t="s">
        <v>46</v>
      </c>
      <c r="G1542" s="6" t="s">
        <v>47</v>
      </c>
      <c r="H1542" s="6" t="s">
        <v>80</v>
      </c>
      <c r="I1542" s="1" t="n">
        <v>2</v>
      </c>
      <c r="J1542" s="7" t="n">
        <v>750.82</v>
      </c>
      <c r="K1542" s="8" t="n">
        <v>0</v>
      </c>
      <c r="L1542" s="7" t="n">
        <v>485.16</v>
      </c>
      <c r="M1542" s="6" t="s">
        <v>49</v>
      </c>
      <c r="N1542" s="6" t="s">
        <v>50</v>
      </c>
      <c r="O1542" s="6" t="n">
        <f aca="false">IF(TablaVentas[[#This Row],[Precio_unitario]]="","PENDIENTE",TablaVentas[[#This Row],[Unidades]]*TablaVentas[[#This Row],[Precio_unitario]]*(1-TablaVentas[[#This Row],[Descuento_pct]]))</f>
        <v>1501.64</v>
      </c>
      <c r="P1542" s="6" t="n">
        <f aca="false">IF(TablaVentas[[#This Row],[Costo_unitario]]="","PENDIENTE",TablaVentas[[#This Row],[Unidades]]*TablaVentas[[#This Row],[Costo_unitario]])</f>
        <v>970.32</v>
      </c>
      <c r="Q1542" s="6" t="n">
        <f aca="false">IF(OR(TablaVentas[[#This Row],[Ingreso_neto]]="PENDIENTE",TablaVentas[[#This Row],[Costo_total]]="PENDIENTE"),"PENDIENTE",TablaVentas[[#This Row],[Ingreso_neto]]-TablaVentas[[#This Row],[Costo_total]])</f>
        <v>531.32</v>
      </c>
    </row>
    <row r="1543" customFormat="false" ht="13.5" hidden="false" customHeight="false" outlineLevel="0" collapsed="false">
      <c r="A1543" s="1" t="s">
        <v>1048</v>
      </c>
      <c r="B1543" s="1" t="n">
        <v>5</v>
      </c>
      <c r="C1543" s="5" t="n">
        <v>46156</v>
      </c>
      <c r="D1543" s="6" t="s">
        <v>1049</v>
      </c>
      <c r="E1543" s="6" t="s">
        <v>110</v>
      </c>
      <c r="F1543" s="6" t="s">
        <v>46</v>
      </c>
      <c r="G1543" s="6" t="s">
        <v>47</v>
      </c>
      <c r="H1543" s="6" t="s">
        <v>80</v>
      </c>
      <c r="I1543" s="1" t="n">
        <v>4</v>
      </c>
      <c r="J1543" s="7"/>
      <c r="K1543" s="8" t="n">
        <v>0</v>
      </c>
      <c r="L1543" s="7" t="n">
        <v>7549.71</v>
      </c>
      <c r="M1543" s="6" t="s">
        <v>49</v>
      </c>
      <c r="N1543" s="6" t="s">
        <v>67</v>
      </c>
      <c r="O1543" s="1" t="str">
        <f aca="false">IF(TablaVentas[[#This Row],[Precio_unitario]]="","PENDIENTE",TablaVentas[[#This Row],[Unidades]]*TablaVentas[[#This Row],[Precio_unitario]]*(1-TablaVentas[[#This Row],[Descuento_pct]]))</f>
        <v>PENDIENTE</v>
      </c>
      <c r="P1543" s="6" t="n">
        <f aca="false">IF(TablaVentas[[#This Row],[Costo_unitario]]="","PENDIENTE",TablaVentas[[#This Row],[Unidades]]*TablaVentas[[#This Row],[Costo_unitario]])</f>
        <v>30198.84</v>
      </c>
      <c r="Q1543" s="1" t="str">
        <f aca="false">IF(OR(TablaVentas[[#This Row],[Ingreso_neto]]="PENDIENTE",TablaVentas[[#This Row],[Costo_total]]="PENDIENTE"),"PENDIENTE",TablaVentas[[#This Row],[Ingreso_neto]]-TablaVentas[[#This Row],[Costo_total]])</f>
        <v>PENDIENTE</v>
      </c>
      <c r="R1543" s="6" t="s">
        <v>152</v>
      </c>
    </row>
    <row r="1544" customFormat="false" ht="13.5" hidden="false" customHeight="false" outlineLevel="0" collapsed="false">
      <c r="A1544" s="1" t="s">
        <v>1050</v>
      </c>
      <c r="B1544" s="1" t="n">
        <v>1</v>
      </c>
      <c r="C1544" s="5" t="n">
        <v>46108</v>
      </c>
      <c r="D1544" s="6" t="s">
        <v>319</v>
      </c>
      <c r="E1544" s="6" t="s">
        <v>171</v>
      </c>
      <c r="F1544" s="6" t="s">
        <v>63</v>
      </c>
      <c r="G1544" s="6" t="s">
        <v>57</v>
      </c>
      <c r="H1544" s="6" t="s">
        <v>65</v>
      </c>
      <c r="I1544" s="1" t="n">
        <v>3</v>
      </c>
      <c r="J1544" s="7" t="n">
        <v>5911.88</v>
      </c>
      <c r="K1544" s="8" t="n">
        <v>0</v>
      </c>
      <c r="L1544" s="7" t="n">
        <v>5050.04</v>
      </c>
      <c r="M1544" s="6" t="s">
        <v>49</v>
      </c>
      <c r="N1544" s="6" t="s">
        <v>59</v>
      </c>
      <c r="O1544" s="6" t="n">
        <f aca="false">IF(TablaVentas[[#This Row],[Precio_unitario]]="","PENDIENTE",TablaVentas[[#This Row],[Unidades]]*TablaVentas[[#This Row],[Precio_unitario]]*(1-TablaVentas[[#This Row],[Descuento_pct]]))</f>
        <v>17735.64</v>
      </c>
      <c r="P1544" s="6" t="n">
        <f aca="false">IF(TablaVentas[[#This Row],[Costo_unitario]]="","PENDIENTE",TablaVentas[[#This Row],[Unidades]]*TablaVentas[[#This Row],[Costo_unitario]])</f>
        <v>15150.12</v>
      </c>
      <c r="Q1544" s="6" t="n">
        <f aca="false">IF(OR(TablaVentas[[#This Row],[Ingreso_neto]]="PENDIENTE",TablaVentas[[#This Row],[Costo_total]]="PENDIENTE"),"PENDIENTE",TablaVentas[[#This Row],[Ingreso_neto]]-TablaVentas[[#This Row],[Costo_total]])</f>
        <v>2585.52</v>
      </c>
    </row>
    <row r="1545" customFormat="false" ht="13.5" hidden="false" customHeight="false" outlineLevel="0" collapsed="false">
      <c r="A1545" s="1" t="s">
        <v>1050</v>
      </c>
      <c r="B1545" s="1" t="n">
        <v>2</v>
      </c>
      <c r="C1545" s="5" t="n">
        <v>46108</v>
      </c>
      <c r="D1545" s="6" t="s">
        <v>319</v>
      </c>
      <c r="E1545" s="6" t="s">
        <v>260</v>
      </c>
      <c r="F1545" s="6" t="s">
        <v>63</v>
      </c>
      <c r="G1545" s="6" t="s">
        <v>57</v>
      </c>
      <c r="H1545" s="6" t="s">
        <v>65</v>
      </c>
      <c r="I1545" s="1" t="n">
        <v>3</v>
      </c>
      <c r="J1545" s="7" t="n">
        <v>2869</v>
      </c>
      <c r="K1545" s="8" t="n">
        <v>0.05</v>
      </c>
      <c r="L1545" s="7" t="n">
        <v>2486.18</v>
      </c>
      <c r="M1545" s="6" t="s">
        <v>49</v>
      </c>
      <c r="N1545" s="6" t="s">
        <v>52</v>
      </c>
      <c r="O1545" s="6" t="n">
        <f aca="false">IF(TablaVentas[[#This Row],[Precio_unitario]]="","PENDIENTE",TablaVentas[[#This Row],[Unidades]]*TablaVentas[[#This Row],[Precio_unitario]]*(1-TablaVentas[[#This Row],[Descuento_pct]]))</f>
        <v>8176.65</v>
      </c>
      <c r="P1545" s="6" t="n">
        <f aca="false">IF(TablaVentas[[#This Row],[Costo_unitario]]="","PENDIENTE",TablaVentas[[#This Row],[Unidades]]*TablaVentas[[#This Row],[Costo_unitario]])</f>
        <v>7458.54</v>
      </c>
      <c r="Q1545" s="6" t="n">
        <f aca="false">IF(OR(TablaVentas[[#This Row],[Ingreso_neto]]="PENDIENTE",TablaVentas[[#This Row],[Costo_total]]="PENDIENTE"),"PENDIENTE",TablaVentas[[#This Row],[Ingreso_neto]]-TablaVentas[[#This Row],[Costo_total]])</f>
        <v>718.110000000001</v>
      </c>
    </row>
    <row r="1546" customFormat="false" ht="13.5" hidden="false" customHeight="false" outlineLevel="0" collapsed="false">
      <c r="A1546" s="1" t="s">
        <v>1051</v>
      </c>
      <c r="B1546" s="1" t="n">
        <v>1</v>
      </c>
      <c r="C1546" s="5" t="n">
        <v>46100</v>
      </c>
      <c r="D1546" s="6" t="s">
        <v>1012</v>
      </c>
      <c r="E1546" s="6" t="s">
        <v>150</v>
      </c>
      <c r="F1546" s="6" t="s">
        <v>84</v>
      </c>
      <c r="G1546" s="6" t="s">
        <v>57</v>
      </c>
      <c r="H1546" s="6" t="s">
        <v>80</v>
      </c>
      <c r="I1546" s="1" t="n">
        <v>3</v>
      </c>
      <c r="J1546" s="7" t="n">
        <v>9187.01</v>
      </c>
      <c r="K1546" s="8" t="n">
        <v>0</v>
      </c>
      <c r="L1546" s="7" t="n">
        <v>6815.42</v>
      </c>
      <c r="M1546" s="6" t="s">
        <v>123</v>
      </c>
      <c r="N1546" s="6" t="s">
        <v>52</v>
      </c>
      <c r="O1546" s="6" t="n">
        <f aca="false">IF(TablaVentas[[#This Row],[Precio_unitario]]="","PENDIENTE",TablaVentas[[#This Row],[Unidades]]*TablaVentas[[#This Row],[Precio_unitario]]*(1-TablaVentas[[#This Row],[Descuento_pct]]))</f>
        <v>27561.03</v>
      </c>
      <c r="P1546" s="6" t="n">
        <f aca="false">IF(TablaVentas[[#This Row],[Costo_unitario]]="","PENDIENTE",TablaVentas[[#This Row],[Unidades]]*TablaVentas[[#This Row],[Costo_unitario]])</f>
        <v>20446.26</v>
      </c>
      <c r="Q1546" s="6" t="n">
        <f aca="false">IF(OR(TablaVentas[[#This Row],[Ingreso_neto]]="PENDIENTE",TablaVentas[[#This Row],[Costo_total]]="PENDIENTE"),"PENDIENTE",TablaVentas[[#This Row],[Ingreso_neto]]-TablaVentas[[#This Row],[Costo_total]])</f>
        <v>7114.77</v>
      </c>
    </row>
    <row r="1547" customFormat="false" ht="13.5" hidden="false" customHeight="false" outlineLevel="0" collapsed="false">
      <c r="A1547" s="1" t="s">
        <v>1051</v>
      </c>
      <c r="B1547" s="1" t="n">
        <v>2</v>
      </c>
      <c r="C1547" s="5" t="n">
        <v>46100</v>
      </c>
      <c r="D1547" s="6" t="s">
        <v>1012</v>
      </c>
      <c r="E1547" s="6" t="s">
        <v>374</v>
      </c>
      <c r="F1547" s="6" t="s">
        <v>84</v>
      </c>
      <c r="G1547" s="6" t="s">
        <v>57</v>
      </c>
      <c r="H1547" s="6" t="s">
        <v>80</v>
      </c>
      <c r="I1547" s="1" t="n">
        <v>2</v>
      </c>
      <c r="J1547" s="7" t="n">
        <v>9736.11</v>
      </c>
      <c r="K1547" s="8" t="n">
        <v>0.05</v>
      </c>
      <c r="L1547" s="7" t="n">
        <v>5079.43</v>
      </c>
      <c r="M1547" s="6" t="s">
        <v>49</v>
      </c>
      <c r="N1547" s="6" t="s">
        <v>52</v>
      </c>
      <c r="O1547" s="6" t="n">
        <f aca="false">IF(TablaVentas[[#This Row],[Precio_unitario]]="","PENDIENTE",TablaVentas[[#This Row],[Unidades]]*TablaVentas[[#This Row],[Precio_unitario]]*(1-TablaVentas[[#This Row],[Descuento_pct]]))</f>
        <v>18498.609</v>
      </c>
      <c r="P1547" s="6" t="n">
        <f aca="false">IF(TablaVentas[[#This Row],[Costo_unitario]]="","PENDIENTE",TablaVentas[[#This Row],[Unidades]]*TablaVentas[[#This Row],[Costo_unitario]])</f>
        <v>10158.86</v>
      </c>
      <c r="Q1547" s="6" t="n">
        <f aca="false">IF(OR(TablaVentas[[#This Row],[Ingreso_neto]]="PENDIENTE",TablaVentas[[#This Row],[Costo_total]]="PENDIENTE"),"PENDIENTE",TablaVentas[[#This Row],[Ingreso_neto]]-TablaVentas[[#This Row],[Costo_total]])</f>
        <v>8339.749</v>
      </c>
    </row>
    <row r="1548" customFormat="false" ht="13.5" hidden="false" customHeight="false" outlineLevel="0" collapsed="false">
      <c r="A1548" s="1" t="s">
        <v>1051</v>
      </c>
      <c r="B1548" s="1" t="n">
        <v>3</v>
      </c>
      <c r="C1548" s="5" t="n">
        <v>46100</v>
      </c>
      <c r="D1548" s="6" t="s">
        <v>1012</v>
      </c>
      <c r="E1548" s="6" t="s">
        <v>342</v>
      </c>
      <c r="F1548" s="6" t="s">
        <v>84</v>
      </c>
      <c r="G1548" s="6" t="s">
        <v>57</v>
      </c>
      <c r="H1548" s="6" t="s">
        <v>80</v>
      </c>
      <c r="I1548" s="1" t="n">
        <v>3</v>
      </c>
      <c r="J1548" s="7" t="n">
        <v>7053.56</v>
      </c>
      <c r="K1548" s="8" t="n">
        <v>0</v>
      </c>
      <c r="L1548" s="7" t="n">
        <v>5587.31</v>
      </c>
      <c r="M1548" s="6" t="s">
        <v>49</v>
      </c>
      <c r="N1548" s="6" t="s">
        <v>50</v>
      </c>
      <c r="O1548" s="6" t="n">
        <f aca="false">IF(TablaVentas[[#This Row],[Precio_unitario]]="","PENDIENTE",TablaVentas[[#This Row],[Unidades]]*TablaVentas[[#This Row],[Precio_unitario]]*(1-TablaVentas[[#This Row],[Descuento_pct]]))</f>
        <v>21160.68</v>
      </c>
      <c r="P1548" s="6" t="n">
        <f aca="false">IF(TablaVentas[[#This Row],[Costo_unitario]]="","PENDIENTE",TablaVentas[[#This Row],[Unidades]]*TablaVentas[[#This Row],[Costo_unitario]])</f>
        <v>16761.93</v>
      </c>
      <c r="Q1548" s="6" t="n">
        <f aca="false">IF(OR(TablaVentas[[#This Row],[Ingreso_neto]]="PENDIENTE",TablaVentas[[#This Row],[Costo_total]]="PENDIENTE"),"PENDIENTE",TablaVentas[[#This Row],[Ingreso_neto]]-TablaVentas[[#This Row],[Costo_total]])</f>
        <v>4398.75</v>
      </c>
    </row>
    <row r="1549" customFormat="false" ht="13.5" hidden="false" customHeight="false" outlineLevel="0" collapsed="false">
      <c r="A1549" s="1" t="s">
        <v>1051</v>
      </c>
      <c r="B1549" s="1" t="n">
        <v>4</v>
      </c>
      <c r="C1549" s="5" t="n">
        <v>46100</v>
      </c>
      <c r="D1549" s="6" t="s">
        <v>1012</v>
      </c>
      <c r="E1549" s="6" t="s">
        <v>225</v>
      </c>
      <c r="F1549" s="6" t="s">
        <v>84</v>
      </c>
      <c r="G1549" s="6" t="s">
        <v>57</v>
      </c>
      <c r="H1549" s="6" t="s">
        <v>80</v>
      </c>
      <c r="I1549" s="1" t="n">
        <v>2</v>
      </c>
      <c r="J1549" s="7" t="n">
        <v>4625.76</v>
      </c>
      <c r="K1549" s="8" t="n">
        <v>0.1</v>
      </c>
      <c r="L1549" s="7" t="n">
        <v>2833.97</v>
      </c>
      <c r="M1549" s="6" t="s">
        <v>49</v>
      </c>
      <c r="N1549" s="6" t="s">
        <v>67</v>
      </c>
      <c r="O1549" s="6" t="n">
        <f aca="false">IF(TablaVentas[[#This Row],[Precio_unitario]]="","PENDIENTE",TablaVentas[[#This Row],[Unidades]]*TablaVentas[[#This Row],[Precio_unitario]]*(1-TablaVentas[[#This Row],[Descuento_pct]]))</f>
        <v>8326.368</v>
      </c>
      <c r="P1549" s="6" t="n">
        <f aca="false">IF(TablaVentas[[#This Row],[Costo_unitario]]="","PENDIENTE",TablaVentas[[#This Row],[Unidades]]*TablaVentas[[#This Row],[Costo_unitario]])</f>
        <v>5667.94</v>
      </c>
      <c r="Q1549" s="6" t="n">
        <f aca="false">IF(OR(TablaVentas[[#This Row],[Ingreso_neto]]="PENDIENTE",TablaVentas[[#This Row],[Costo_total]]="PENDIENTE"),"PENDIENTE",TablaVentas[[#This Row],[Ingreso_neto]]-TablaVentas[[#This Row],[Costo_total]])</f>
        <v>2658.428</v>
      </c>
    </row>
    <row r="1550" customFormat="false" ht="13.5" hidden="false" customHeight="false" outlineLevel="0" collapsed="false">
      <c r="A1550" s="1" t="s">
        <v>1051</v>
      </c>
      <c r="B1550" s="1" t="n">
        <v>5</v>
      </c>
      <c r="C1550" s="5" t="n">
        <v>46100</v>
      </c>
      <c r="D1550" s="6" t="s">
        <v>1012</v>
      </c>
      <c r="E1550" s="6" t="s">
        <v>223</v>
      </c>
      <c r="F1550" s="6" t="s">
        <v>84</v>
      </c>
      <c r="G1550" s="6" t="s">
        <v>57</v>
      </c>
      <c r="H1550" s="6" t="s">
        <v>80</v>
      </c>
      <c r="I1550" s="1" t="n">
        <v>12</v>
      </c>
      <c r="J1550" s="7" t="n">
        <v>16712.17</v>
      </c>
      <c r="K1550" s="8" t="n">
        <v>0.05</v>
      </c>
      <c r="L1550" s="7" t="n">
        <v>12064.41</v>
      </c>
      <c r="M1550" s="6" t="s">
        <v>49</v>
      </c>
      <c r="N1550" s="6" t="s">
        <v>67</v>
      </c>
      <c r="O1550" s="6" t="n">
        <f aca="false">IF(TablaVentas[[#This Row],[Precio_unitario]]="","PENDIENTE",TablaVentas[[#This Row],[Unidades]]*TablaVentas[[#This Row],[Precio_unitario]]*(1-TablaVentas[[#This Row],[Descuento_pct]]))</f>
        <v>190518.738</v>
      </c>
      <c r="P1550" s="6" t="n">
        <f aca="false">IF(TablaVentas[[#This Row],[Costo_unitario]]="","PENDIENTE",TablaVentas[[#This Row],[Unidades]]*TablaVentas[[#This Row],[Costo_unitario]])</f>
        <v>144772.92</v>
      </c>
      <c r="Q1550" s="6" t="n">
        <f aca="false">IF(OR(TablaVentas[[#This Row],[Ingreso_neto]]="PENDIENTE",TablaVentas[[#This Row],[Costo_total]]="PENDIENTE"),"PENDIENTE",TablaVentas[[#This Row],[Ingreso_neto]]-TablaVentas[[#This Row],[Costo_total]])</f>
        <v>45745.818</v>
      </c>
    </row>
    <row r="1551" customFormat="false" ht="13.5" hidden="false" customHeight="false" outlineLevel="0" collapsed="false">
      <c r="A1551" s="1" t="s">
        <v>1052</v>
      </c>
      <c r="B1551" s="1" t="n">
        <v>1</v>
      </c>
      <c r="C1551" s="5" t="n">
        <v>46108</v>
      </c>
      <c r="D1551" s="6" t="s">
        <v>283</v>
      </c>
      <c r="E1551" s="6" t="s">
        <v>417</v>
      </c>
      <c r="F1551" s="6" t="s">
        <v>46</v>
      </c>
      <c r="G1551" s="6" t="s">
        <v>47</v>
      </c>
      <c r="H1551" s="6" t="s">
        <v>136</v>
      </c>
      <c r="I1551" s="1" t="n">
        <v>1</v>
      </c>
      <c r="J1551" s="7" t="n">
        <v>7272.12</v>
      </c>
      <c r="K1551" s="8" t="n">
        <v>0.15</v>
      </c>
      <c r="L1551" s="7" t="n">
        <v>5874.17</v>
      </c>
      <c r="M1551" s="6" t="s">
        <v>69</v>
      </c>
      <c r="N1551" s="6" t="s">
        <v>67</v>
      </c>
      <c r="O1551" s="6" t="n">
        <f aca="false">IF(TablaVentas[[#This Row],[Precio_unitario]]="","PENDIENTE",TablaVentas[[#This Row],[Unidades]]*TablaVentas[[#This Row],[Precio_unitario]]*(1-TablaVentas[[#This Row],[Descuento_pct]]))</f>
        <v>6181.302</v>
      </c>
      <c r="P1551" s="6" t="n">
        <f aca="false">IF(TablaVentas[[#This Row],[Costo_unitario]]="","PENDIENTE",TablaVentas[[#This Row],[Unidades]]*TablaVentas[[#This Row],[Costo_unitario]])</f>
        <v>5874.17</v>
      </c>
      <c r="Q1551" s="6" t="n">
        <f aca="false">IF(OR(TablaVentas[[#This Row],[Ingreso_neto]]="PENDIENTE",TablaVentas[[#This Row],[Costo_total]]="PENDIENTE"),"PENDIENTE",TablaVentas[[#This Row],[Ingreso_neto]]-TablaVentas[[#This Row],[Costo_total]])</f>
        <v>307.132</v>
      </c>
    </row>
    <row r="1552" customFormat="false" ht="13.5" hidden="false" customHeight="false" outlineLevel="0" collapsed="false">
      <c r="A1552" s="1" t="s">
        <v>1052</v>
      </c>
      <c r="B1552" s="1" t="n">
        <v>2</v>
      </c>
      <c r="C1552" s="5" t="n">
        <v>46108</v>
      </c>
      <c r="D1552" s="6" t="s">
        <v>283</v>
      </c>
      <c r="E1552" s="6" t="s">
        <v>218</v>
      </c>
      <c r="F1552" s="6" t="s">
        <v>46</v>
      </c>
      <c r="G1552" s="6" t="s">
        <v>47</v>
      </c>
      <c r="H1552" s="6" t="s">
        <v>136</v>
      </c>
      <c r="I1552" s="1" t="n">
        <v>3</v>
      </c>
      <c r="J1552" s="7" t="n">
        <v>16575.05</v>
      </c>
      <c r="K1552" s="8" t="n">
        <v>0.15</v>
      </c>
      <c r="L1552" s="7" t="n">
        <v>13760.53</v>
      </c>
      <c r="M1552" s="6" t="s">
        <v>49</v>
      </c>
      <c r="N1552" s="6" t="s">
        <v>52</v>
      </c>
      <c r="O1552" s="6" t="n">
        <f aca="false">IF(TablaVentas[[#This Row],[Precio_unitario]]="","PENDIENTE",TablaVentas[[#This Row],[Unidades]]*TablaVentas[[#This Row],[Precio_unitario]]*(1-TablaVentas[[#This Row],[Descuento_pct]]))</f>
        <v>42266.3775</v>
      </c>
      <c r="P1552" s="6" t="n">
        <f aca="false">IF(TablaVentas[[#This Row],[Costo_unitario]]="","PENDIENTE",TablaVentas[[#This Row],[Unidades]]*TablaVentas[[#This Row],[Costo_unitario]])</f>
        <v>41281.59</v>
      </c>
      <c r="Q1552" s="6" t="n">
        <f aca="false">IF(OR(TablaVentas[[#This Row],[Ingreso_neto]]="PENDIENTE",TablaVentas[[#This Row],[Costo_total]]="PENDIENTE"),"PENDIENTE",TablaVentas[[#This Row],[Ingreso_neto]]-TablaVentas[[#This Row],[Costo_total]])</f>
        <v>984.787499999991</v>
      </c>
    </row>
    <row r="1553" customFormat="false" ht="13.5" hidden="false" customHeight="false" outlineLevel="0" collapsed="false">
      <c r="A1553" s="1" t="s">
        <v>1052</v>
      </c>
      <c r="B1553" s="1" t="n">
        <v>3</v>
      </c>
      <c r="C1553" s="5" t="n">
        <v>46108</v>
      </c>
      <c r="D1553" s="6" t="s">
        <v>283</v>
      </c>
      <c r="E1553" s="6" t="s">
        <v>117</v>
      </c>
      <c r="F1553" s="6" t="s">
        <v>46</v>
      </c>
      <c r="G1553" s="6" t="s">
        <v>47</v>
      </c>
      <c r="H1553" s="6" t="s">
        <v>136</v>
      </c>
      <c r="I1553" s="1" t="n">
        <v>1</v>
      </c>
      <c r="J1553" s="7" t="n">
        <v>5109.49</v>
      </c>
      <c r="K1553" s="8" t="n">
        <v>0</v>
      </c>
      <c r="L1553" s="7" t="n">
        <v>4205.69</v>
      </c>
      <c r="M1553" s="6" t="s">
        <v>49</v>
      </c>
      <c r="N1553" s="6" t="s">
        <v>52</v>
      </c>
      <c r="O1553" s="6" t="n">
        <f aca="false">IF(TablaVentas[[#This Row],[Precio_unitario]]="","PENDIENTE",TablaVentas[[#This Row],[Unidades]]*TablaVentas[[#This Row],[Precio_unitario]]*(1-TablaVentas[[#This Row],[Descuento_pct]]))</f>
        <v>5109.49</v>
      </c>
      <c r="P1553" s="6" t="n">
        <f aca="false">IF(TablaVentas[[#This Row],[Costo_unitario]]="","PENDIENTE",TablaVentas[[#This Row],[Unidades]]*TablaVentas[[#This Row],[Costo_unitario]])</f>
        <v>4205.69</v>
      </c>
      <c r="Q1553" s="6" t="n">
        <f aca="false">IF(OR(TablaVentas[[#This Row],[Ingreso_neto]]="PENDIENTE",TablaVentas[[#This Row],[Costo_total]]="PENDIENTE"),"PENDIENTE",TablaVentas[[#This Row],[Ingreso_neto]]-TablaVentas[[#This Row],[Costo_total]])</f>
        <v>903.8</v>
      </c>
    </row>
    <row r="1554" customFormat="false" ht="13.5" hidden="false" customHeight="false" outlineLevel="0" collapsed="false">
      <c r="A1554" s="1" t="s">
        <v>1052</v>
      </c>
      <c r="B1554" s="1" t="n">
        <v>4</v>
      </c>
      <c r="C1554" s="5" t="n">
        <v>46108</v>
      </c>
      <c r="D1554" s="6" t="s">
        <v>283</v>
      </c>
      <c r="E1554" s="6" t="s">
        <v>122</v>
      </c>
      <c r="F1554" s="6" t="s">
        <v>46</v>
      </c>
      <c r="G1554" s="6" t="s">
        <v>47</v>
      </c>
      <c r="H1554" s="6" t="s">
        <v>136</v>
      </c>
      <c r="I1554" s="1" t="n">
        <v>1</v>
      </c>
      <c r="J1554" s="7" t="n">
        <v>1277.85</v>
      </c>
      <c r="K1554" s="8" t="n">
        <v>0</v>
      </c>
      <c r="L1554" s="7" t="n">
        <v>705.87</v>
      </c>
      <c r="M1554" s="6" t="s">
        <v>49</v>
      </c>
      <c r="N1554" s="6" t="s">
        <v>67</v>
      </c>
      <c r="O1554" s="6" t="n">
        <f aca="false">IF(TablaVentas[[#This Row],[Precio_unitario]]="","PENDIENTE",TablaVentas[[#This Row],[Unidades]]*TablaVentas[[#This Row],[Precio_unitario]]*(1-TablaVentas[[#This Row],[Descuento_pct]]))</f>
        <v>1277.85</v>
      </c>
      <c r="P1554" s="6" t="n">
        <f aca="false">IF(TablaVentas[[#This Row],[Costo_unitario]]="","PENDIENTE",TablaVentas[[#This Row],[Unidades]]*TablaVentas[[#This Row],[Costo_unitario]])</f>
        <v>705.87</v>
      </c>
      <c r="Q1554" s="6" t="n">
        <f aca="false">IF(OR(TablaVentas[[#This Row],[Ingreso_neto]]="PENDIENTE",TablaVentas[[#This Row],[Costo_total]]="PENDIENTE"),"PENDIENTE",TablaVentas[[#This Row],[Ingreso_neto]]-TablaVentas[[#This Row],[Costo_total]])</f>
        <v>571.98</v>
      </c>
    </row>
    <row r="1555" customFormat="false" ht="13.5" hidden="false" customHeight="false" outlineLevel="0" collapsed="false">
      <c r="A1555" s="1" t="s">
        <v>1053</v>
      </c>
      <c r="B1555" s="1" t="n">
        <v>1</v>
      </c>
      <c r="C1555" s="5" t="n">
        <v>46269</v>
      </c>
      <c r="D1555" s="6" t="s">
        <v>366</v>
      </c>
      <c r="E1555" s="6" t="s">
        <v>374</v>
      </c>
      <c r="F1555" s="6" t="s">
        <v>46</v>
      </c>
      <c r="G1555" s="6" t="s">
        <v>64</v>
      </c>
      <c r="H1555" s="6" t="s">
        <v>191</v>
      </c>
      <c r="I1555" s="1" t="n">
        <v>2</v>
      </c>
      <c r="J1555" s="7" t="n">
        <v>8751.78</v>
      </c>
      <c r="K1555" s="8" t="n">
        <v>0</v>
      </c>
      <c r="L1555" s="7" t="n">
        <v>5079.43</v>
      </c>
      <c r="M1555" s="6" t="s">
        <v>49</v>
      </c>
      <c r="N1555" s="6" t="s">
        <v>50</v>
      </c>
      <c r="O1555" s="6" t="n">
        <f aca="false">IF(TablaVentas[[#This Row],[Precio_unitario]]="","PENDIENTE",TablaVentas[[#This Row],[Unidades]]*TablaVentas[[#This Row],[Precio_unitario]]*(1-TablaVentas[[#This Row],[Descuento_pct]]))</f>
        <v>17503.56</v>
      </c>
      <c r="P1555" s="6" t="n">
        <f aca="false">IF(TablaVentas[[#This Row],[Costo_unitario]]="","PENDIENTE",TablaVentas[[#This Row],[Unidades]]*TablaVentas[[#This Row],[Costo_unitario]])</f>
        <v>10158.86</v>
      </c>
      <c r="Q1555" s="6" t="n">
        <f aca="false">IF(OR(TablaVentas[[#This Row],[Ingreso_neto]]="PENDIENTE",TablaVentas[[#This Row],[Costo_total]]="PENDIENTE"),"PENDIENTE",TablaVentas[[#This Row],[Ingreso_neto]]-TablaVentas[[#This Row],[Costo_total]])</f>
        <v>7344.7</v>
      </c>
    </row>
    <row r="1556" customFormat="false" ht="13.5" hidden="false" customHeight="false" outlineLevel="0" collapsed="false">
      <c r="A1556" s="1" t="s">
        <v>1053</v>
      </c>
      <c r="B1556" s="1" t="n">
        <v>2</v>
      </c>
      <c r="C1556" s="5" t="n">
        <v>46269</v>
      </c>
      <c r="D1556" s="6" t="s">
        <v>366</v>
      </c>
      <c r="E1556" s="6" t="s">
        <v>223</v>
      </c>
      <c r="F1556" s="6" t="s">
        <v>46</v>
      </c>
      <c r="G1556" s="6" t="s">
        <v>64</v>
      </c>
      <c r="H1556" s="6" t="s">
        <v>191</v>
      </c>
      <c r="I1556" s="1" t="n">
        <v>2</v>
      </c>
      <c r="J1556" s="7" t="n">
        <v>14662.53</v>
      </c>
      <c r="K1556" s="8" t="n">
        <v>0.05</v>
      </c>
      <c r="L1556" s="7" t="n">
        <v>12064.41</v>
      </c>
      <c r="M1556" s="6" t="s">
        <v>49</v>
      </c>
      <c r="N1556" s="6" t="s">
        <v>59</v>
      </c>
      <c r="O1556" s="6" t="n">
        <f aca="false">IF(TablaVentas[[#This Row],[Precio_unitario]]="","PENDIENTE",TablaVentas[[#This Row],[Unidades]]*TablaVentas[[#This Row],[Precio_unitario]]*(1-TablaVentas[[#This Row],[Descuento_pct]]))</f>
        <v>27858.807</v>
      </c>
      <c r="P1556" s="6" t="n">
        <f aca="false">IF(TablaVentas[[#This Row],[Costo_unitario]]="","PENDIENTE",TablaVentas[[#This Row],[Unidades]]*TablaVentas[[#This Row],[Costo_unitario]])</f>
        <v>24128.82</v>
      </c>
      <c r="Q1556" s="6" t="n">
        <f aca="false">IF(OR(TablaVentas[[#This Row],[Ingreso_neto]]="PENDIENTE",TablaVentas[[#This Row],[Costo_total]]="PENDIENTE"),"PENDIENTE",TablaVentas[[#This Row],[Ingreso_neto]]-TablaVentas[[#This Row],[Costo_total]])</f>
        <v>3729.987</v>
      </c>
    </row>
    <row r="1557" customFormat="false" ht="13.5" hidden="false" customHeight="false" outlineLevel="0" collapsed="false">
      <c r="A1557" s="1" t="s">
        <v>1053</v>
      </c>
      <c r="B1557" s="1" t="n">
        <v>3</v>
      </c>
      <c r="C1557" s="5" t="n">
        <v>46269</v>
      </c>
      <c r="D1557" s="6" t="s">
        <v>366</v>
      </c>
      <c r="E1557" s="6" t="s">
        <v>121</v>
      </c>
      <c r="F1557" s="6" t="s">
        <v>46</v>
      </c>
      <c r="G1557" s="6" t="s">
        <v>64</v>
      </c>
      <c r="H1557" s="6" t="s">
        <v>191</v>
      </c>
      <c r="I1557" s="1" t="n">
        <v>8</v>
      </c>
      <c r="J1557" s="7" t="n">
        <v>13914.47</v>
      </c>
      <c r="K1557" s="8" t="n">
        <v>0</v>
      </c>
      <c r="L1557" s="7" t="n">
        <v>8239.48</v>
      </c>
      <c r="M1557" s="6" t="s">
        <v>49</v>
      </c>
      <c r="N1557" s="6" t="s">
        <v>52</v>
      </c>
      <c r="O1557" s="6" t="n">
        <f aca="false">IF(TablaVentas[[#This Row],[Precio_unitario]]="","PENDIENTE",TablaVentas[[#This Row],[Unidades]]*TablaVentas[[#This Row],[Precio_unitario]]*(1-TablaVentas[[#This Row],[Descuento_pct]]))</f>
        <v>111315.76</v>
      </c>
      <c r="P1557" s="6" t="n">
        <f aca="false">IF(TablaVentas[[#This Row],[Costo_unitario]]="","PENDIENTE",TablaVentas[[#This Row],[Unidades]]*TablaVentas[[#This Row],[Costo_unitario]])</f>
        <v>65915.84</v>
      </c>
      <c r="Q1557" s="6" t="n">
        <f aca="false">IF(OR(TablaVentas[[#This Row],[Ingreso_neto]]="PENDIENTE",TablaVentas[[#This Row],[Costo_total]]="PENDIENTE"),"PENDIENTE",TablaVentas[[#This Row],[Ingreso_neto]]-TablaVentas[[#This Row],[Costo_total]])</f>
        <v>45399.92</v>
      </c>
    </row>
    <row r="1558" customFormat="false" ht="13.5" hidden="false" customHeight="false" outlineLevel="0" collapsed="false">
      <c r="A1558" s="1" t="s">
        <v>1054</v>
      </c>
      <c r="B1558" s="1" t="n">
        <v>1</v>
      </c>
      <c r="C1558" s="5" t="n">
        <v>46026</v>
      </c>
      <c r="D1558" s="6" t="s">
        <v>134</v>
      </c>
      <c r="E1558" s="6" t="s">
        <v>83</v>
      </c>
      <c r="F1558" s="6" t="s">
        <v>63</v>
      </c>
      <c r="G1558" s="6" t="s">
        <v>47</v>
      </c>
      <c r="H1558" s="6" t="s">
        <v>109</v>
      </c>
      <c r="I1558" s="1" t="n">
        <v>4</v>
      </c>
      <c r="J1558" s="7" t="n">
        <v>12853.14</v>
      </c>
      <c r="K1558" s="8" t="n">
        <v>0.05</v>
      </c>
      <c r="L1558" s="7" t="n">
        <v>7748.44</v>
      </c>
      <c r="M1558" s="6" t="s">
        <v>49</v>
      </c>
      <c r="N1558" s="6" t="s">
        <v>50</v>
      </c>
      <c r="O1558" s="6" t="n">
        <f aca="false">IF(TablaVentas[[#This Row],[Precio_unitario]]="","PENDIENTE",TablaVentas[[#This Row],[Unidades]]*TablaVentas[[#This Row],[Precio_unitario]]*(1-TablaVentas[[#This Row],[Descuento_pct]]))</f>
        <v>48841.932</v>
      </c>
      <c r="P1558" s="6" t="n">
        <f aca="false">IF(TablaVentas[[#This Row],[Costo_unitario]]="","PENDIENTE",TablaVentas[[#This Row],[Unidades]]*TablaVentas[[#This Row],[Costo_unitario]])</f>
        <v>30993.76</v>
      </c>
      <c r="Q1558" s="6" t="n">
        <f aca="false">IF(OR(TablaVentas[[#This Row],[Ingreso_neto]]="PENDIENTE",TablaVentas[[#This Row],[Costo_total]]="PENDIENTE"),"PENDIENTE",TablaVentas[[#This Row],[Ingreso_neto]]-TablaVentas[[#This Row],[Costo_total]])</f>
        <v>17848.172</v>
      </c>
    </row>
    <row r="1559" customFormat="false" ht="13.5" hidden="false" customHeight="false" outlineLevel="0" collapsed="false">
      <c r="A1559" s="1" t="s">
        <v>1055</v>
      </c>
      <c r="B1559" s="1" t="n">
        <v>1</v>
      </c>
      <c r="C1559" s="5" t="n">
        <v>46175</v>
      </c>
      <c r="D1559" s="6" t="s">
        <v>668</v>
      </c>
      <c r="E1559" s="6" t="s">
        <v>223</v>
      </c>
      <c r="F1559" s="6" t="s">
        <v>84</v>
      </c>
      <c r="G1559" s="6" t="s">
        <v>57</v>
      </c>
      <c r="H1559" s="6" t="s">
        <v>74</v>
      </c>
      <c r="I1559" s="1" t="n">
        <v>8</v>
      </c>
      <c r="J1559" s="7" t="n">
        <v>16539.25</v>
      </c>
      <c r="K1559" s="8" t="n">
        <v>0.15</v>
      </c>
      <c r="L1559" s="7" t="n">
        <v>12064.41</v>
      </c>
      <c r="M1559" s="6" t="s">
        <v>49</v>
      </c>
      <c r="N1559" s="6" t="s">
        <v>52</v>
      </c>
      <c r="O1559" s="6" t="n">
        <f aca="false">IF(TablaVentas[[#This Row],[Precio_unitario]]="","PENDIENTE",TablaVentas[[#This Row],[Unidades]]*TablaVentas[[#This Row],[Precio_unitario]]*(1-TablaVentas[[#This Row],[Descuento_pct]]))</f>
        <v>112466.9</v>
      </c>
      <c r="P1559" s="6" t="n">
        <f aca="false">IF(TablaVentas[[#This Row],[Costo_unitario]]="","PENDIENTE",TablaVentas[[#This Row],[Unidades]]*TablaVentas[[#This Row],[Costo_unitario]])</f>
        <v>96515.28</v>
      </c>
      <c r="Q1559" s="6" t="n">
        <f aca="false">IF(OR(TablaVentas[[#This Row],[Ingreso_neto]]="PENDIENTE",TablaVentas[[#This Row],[Costo_total]]="PENDIENTE"),"PENDIENTE",TablaVentas[[#This Row],[Ingreso_neto]]-TablaVentas[[#This Row],[Costo_total]])</f>
        <v>15951.62</v>
      </c>
    </row>
    <row r="1560" customFormat="false" ht="13.5" hidden="false" customHeight="false" outlineLevel="0" collapsed="false">
      <c r="A1560" s="1" t="s">
        <v>1055</v>
      </c>
      <c r="B1560" s="1" t="n">
        <v>2</v>
      </c>
      <c r="C1560" s="5" t="n">
        <v>46175</v>
      </c>
      <c r="D1560" s="6" t="s">
        <v>668</v>
      </c>
      <c r="E1560" s="6" t="s">
        <v>132</v>
      </c>
      <c r="F1560" s="6" t="s">
        <v>84</v>
      </c>
      <c r="G1560" s="6" t="s">
        <v>57</v>
      </c>
      <c r="H1560" s="6" t="s">
        <v>74</v>
      </c>
      <c r="I1560" s="1" t="n">
        <v>1</v>
      </c>
      <c r="J1560" s="7" t="n">
        <v>1853.04</v>
      </c>
      <c r="K1560" s="8" t="n">
        <v>0</v>
      </c>
      <c r="L1560" s="7" t="n">
        <v>1044.32</v>
      </c>
      <c r="M1560" s="6" t="s">
        <v>69</v>
      </c>
      <c r="N1560" s="6" t="s">
        <v>50</v>
      </c>
      <c r="O1560" s="6" t="n">
        <f aca="false">IF(TablaVentas[[#This Row],[Precio_unitario]]="","PENDIENTE",TablaVentas[[#This Row],[Unidades]]*TablaVentas[[#This Row],[Precio_unitario]]*(1-TablaVentas[[#This Row],[Descuento_pct]]))</f>
        <v>1853.04</v>
      </c>
      <c r="P1560" s="6" t="n">
        <f aca="false">IF(TablaVentas[[#This Row],[Costo_unitario]]="","PENDIENTE",TablaVentas[[#This Row],[Unidades]]*TablaVentas[[#This Row],[Costo_unitario]])</f>
        <v>1044.32</v>
      </c>
      <c r="Q1560" s="6" t="n">
        <f aca="false">IF(OR(TablaVentas[[#This Row],[Ingreso_neto]]="PENDIENTE",TablaVentas[[#This Row],[Costo_total]]="PENDIENTE"),"PENDIENTE",TablaVentas[[#This Row],[Ingreso_neto]]-TablaVentas[[#This Row],[Costo_total]])</f>
        <v>808.72</v>
      </c>
    </row>
    <row r="1561" customFormat="false" ht="13.5" hidden="false" customHeight="false" outlineLevel="0" collapsed="false">
      <c r="A1561" s="1" t="s">
        <v>1056</v>
      </c>
      <c r="B1561" s="1" t="n">
        <v>1</v>
      </c>
      <c r="C1561" s="5" t="n">
        <v>46269</v>
      </c>
      <c r="D1561" s="6" t="s">
        <v>551</v>
      </c>
      <c r="E1561" s="6" t="s">
        <v>360</v>
      </c>
      <c r="F1561" s="6" t="s">
        <v>63</v>
      </c>
      <c r="G1561" s="6" t="s">
        <v>64</v>
      </c>
      <c r="H1561" s="6" t="s">
        <v>58</v>
      </c>
      <c r="I1561" s="1" t="n">
        <v>2</v>
      </c>
      <c r="J1561" s="7" t="n">
        <v>2070.38</v>
      </c>
      <c r="K1561" s="8" t="n">
        <v>0</v>
      </c>
      <c r="L1561" s="7" t="n">
        <v>1479.71</v>
      </c>
      <c r="M1561" s="6" t="s">
        <v>49</v>
      </c>
      <c r="N1561" s="6" t="s">
        <v>52</v>
      </c>
      <c r="O1561" s="6" t="n">
        <f aca="false">IF(TablaVentas[[#This Row],[Precio_unitario]]="","PENDIENTE",TablaVentas[[#This Row],[Unidades]]*TablaVentas[[#This Row],[Precio_unitario]]*(1-TablaVentas[[#This Row],[Descuento_pct]]))</f>
        <v>4140.76</v>
      </c>
      <c r="P1561" s="6" t="n">
        <f aca="false">IF(TablaVentas[[#This Row],[Costo_unitario]]="","PENDIENTE",TablaVentas[[#This Row],[Unidades]]*TablaVentas[[#This Row],[Costo_unitario]])</f>
        <v>2959.42</v>
      </c>
      <c r="Q1561" s="6" t="n">
        <f aca="false">IF(OR(TablaVentas[[#This Row],[Ingreso_neto]]="PENDIENTE",TablaVentas[[#This Row],[Costo_total]]="PENDIENTE"),"PENDIENTE",TablaVentas[[#This Row],[Ingreso_neto]]-TablaVentas[[#This Row],[Costo_total]])</f>
        <v>1181.34</v>
      </c>
    </row>
    <row r="1562" customFormat="false" ht="13.5" hidden="false" customHeight="false" outlineLevel="0" collapsed="false">
      <c r="A1562" s="1" t="s">
        <v>1057</v>
      </c>
      <c r="B1562" s="1" t="n">
        <v>1</v>
      </c>
      <c r="C1562" s="5" t="n">
        <v>46082</v>
      </c>
      <c r="D1562" s="6" t="s">
        <v>421</v>
      </c>
      <c r="E1562" s="6" t="s">
        <v>342</v>
      </c>
      <c r="F1562" s="6" t="s">
        <v>73</v>
      </c>
      <c r="G1562" s="6" t="s">
        <v>57</v>
      </c>
      <c r="H1562" s="6" t="s">
        <v>131</v>
      </c>
      <c r="I1562" s="1" t="n">
        <v>8</v>
      </c>
      <c r="J1562" s="7" t="n">
        <v>6619.58</v>
      </c>
      <c r="K1562" s="8" t="n">
        <v>0.2</v>
      </c>
      <c r="L1562" s="7" t="n">
        <v>5587.31</v>
      </c>
      <c r="M1562" s="6" t="s">
        <v>49</v>
      </c>
      <c r="N1562" s="6" t="s">
        <v>50</v>
      </c>
      <c r="O1562" s="6" t="n">
        <f aca="false">IF(TablaVentas[[#This Row],[Precio_unitario]]="","PENDIENTE",TablaVentas[[#This Row],[Unidades]]*TablaVentas[[#This Row],[Precio_unitario]]*(1-TablaVentas[[#This Row],[Descuento_pct]]))</f>
        <v>42365.312</v>
      </c>
      <c r="P1562" s="6" t="n">
        <f aca="false">IF(TablaVentas[[#This Row],[Costo_unitario]]="","PENDIENTE",TablaVentas[[#This Row],[Unidades]]*TablaVentas[[#This Row],[Costo_unitario]])</f>
        <v>44698.48</v>
      </c>
      <c r="Q1562" s="6" t="n">
        <f aca="false">IF(OR(TablaVentas[[#This Row],[Ingreso_neto]]="PENDIENTE",TablaVentas[[#This Row],[Costo_total]]="PENDIENTE"),"PENDIENTE",TablaVentas[[#This Row],[Ingreso_neto]]-TablaVentas[[#This Row],[Costo_total]])</f>
        <v>-2333.168</v>
      </c>
    </row>
    <row r="1563" customFormat="false" ht="13.5" hidden="false" customHeight="false" outlineLevel="0" collapsed="false">
      <c r="A1563" s="1" t="s">
        <v>1057</v>
      </c>
      <c r="B1563" s="1" t="n">
        <v>2</v>
      </c>
      <c r="C1563" s="5" t="n">
        <v>46082</v>
      </c>
      <c r="D1563" s="6" t="s">
        <v>421</v>
      </c>
      <c r="E1563" s="6" t="s">
        <v>147</v>
      </c>
      <c r="F1563" s="6" t="s">
        <v>73</v>
      </c>
      <c r="G1563" s="6" t="s">
        <v>57</v>
      </c>
      <c r="H1563" s="6" t="s">
        <v>131</v>
      </c>
      <c r="I1563" s="1" t="n">
        <v>2</v>
      </c>
      <c r="J1563" s="7" t="n">
        <v>3129.44</v>
      </c>
      <c r="K1563" s="8" t="n">
        <v>0.2</v>
      </c>
      <c r="L1563" s="7" t="n">
        <v>2427.63</v>
      </c>
      <c r="M1563" s="6" t="s">
        <v>49</v>
      </c>
      <c r="N1563" s="6" t="s">
        <v>67</v>
      </c>
      <c r="O1563" s="6" t="n">
        <f aca="false">IF(TablaVentas[[#This Row],[Precio_unitario]]="","PENDIENTE",TablaVentas[[#This Row],[Unidades]]*TablaVentas[[#This Row],[Precio_unitario]]*(1-TablaVentas[[#This Row],[Descuento_pct]]))</f>
        <v>5007.104</v>
      </c>
      <c r="P1563" s="6" t="n">
        <f aca="false">IF(TablaVentas[[#This Row],[Costo_unitario]]="","PENDIENTE",TablaVentas[[#This Row],[Unidades]]*TablaVentas[[#This Row],[Costo_unitario]])</f>
        <v>4855.26</v>
      </c>
      <c r="Q1563" s="6" t="n">
        <f aca="false">IF(OR(TablaVentas[[#This Row],[Ingreso_neto]]="PENDIENTE",TablaVentas[[#This Row],[Costo_total]]="PENDIENTE"),"PENDIENTE",TablaVentas[[#This Row],[Ingreso_neto]]-TablaVentas[[#This Row],[Costo_total]])</f>
        <v>151.844</v>
      </c>
    </row>
    <row r="1564" customFormat="false" ht="13.5" hidden="false" customHeight="false" outlineLevel="0" collapsed="false">
      <c r="A1564" s="1" t="s">
        <v>1057</v>
      </c>
      <c r="B1564" s="1" t="n">
        <v>3</v>
      </c>
      <c r="C1564" s="5" t="n">
        <v>46082</v>
      </c>
      <c r="D1564" s="6" t="s">
        <v>421</v>
      </c>
      <c r="E1564" s="6" t="s">
        <v>224</v>
      </c>
      <c r="F1564" s="6" t="s">
        <v>73</v>
      </c>
      <c r="G1564" s="6" t="s">
        <v>57</v>
      </c>
      <c r="H1564" s="6" t="s">
        <v>131</v>
      </c>
      <c r="I1564" s="1" t="n">
        <v>2</v>
      </c>
      <c r="J1564" s="7" t="n">
        <v>17654.1</v>
      </c>
      <c r="K1564" s="8" t="n">
        <v>0</v>
      </c>
      <c r="L1564" s="7" t="n">
        <v>14161.63</v>
      </c>
      <c r="M1564" s="6" t="s">
        <v>49</v>
      </c>
      <c r="N1564" s="6" t="s">
        <v>52</v>
      </c>
      <c r="O1564" s="6" t="n">
        <f aca="false">IF(TablaVentas[[#This Row],[Precio_unitario]]="","PENDIENTE",TablaVentas[[#This Row],[Unidades]]*TablaVentas[[#This Row],[Precio_unitario]]*(1-TablaVentas[[#This Row],[Descuento_pct]]))</f>
        <v>35308.2</v>
      </c>
      <c r="P1564" s="6" t="n">
        <f aca="false">IF(TablaVentas[[#This Row],[Costo_unitario]]="","PENDIENTE",TablaVentas[[#This Row],[Unidades]]*TablaVentas[[#This Row],[Costo_unitario]])</f>
        <v>28323.26</v>
      </c>
      <c r="Q1564" s="6" t="n">
        <f aca="false">IF(OR(TablaVentas[[#This Row],[Ingreso_neto]]="PENDIENTE",TablaVentas[[#This Row],[Costo_total]]="PENDIENTE"),"PENDIENTE",TablaVentas[[#This Row],[Ingreso_neto]]-TablaVentas[[#This Row],[Costo_total]])</f>
        <v>6984.94</v>
      </c>
    </row>
    <row r="1565" customFormat="false" ht="13.5" hidden="false" customHeight="false" outlineLevel="0" collapsed="false">
      <c r="A1565" s="1" t="s">
        <v>1058</v>
      </c>
      <c r="B1565" s="1" t="n">
        <v>1</v>
      </c>
      <c r="C1565" s="5" t="n">
        <v>46201</v>
      </c>
      <c r="D1565" s="6" t="s">
        <v>384</v>
      </c>
      <c r="E1565" s="6" t="s">
        <v>147</v>
      </c>
      <c r="F1565" s="6" t="s">
        <v>63</v>
      </c>
      <c r="G1565" s="6" t="s">
        <v>47</v>
      </c>
      <c r="H1565" s="6" t="s">
        <v>89</v>
      </c>
      <c r="I1565" s="1" t="n">
        <v>1</v>
      </c>
      <c r="J1565" s="7" t="n">
        <v>2942.16</v>
      </c>
      <c r="K1565" s="8" t="n">
        <v>0</v>
      </c>
      <c r="L1565" s="7" t="n">
        <v>2427.63</v>
      </c>
      <c r="M1565" s="6" t="s">
        <v>49</v>
      </c>
      <c r="N1565" s="6" t="s">
        <v>52</v>
      </c>
      <c r="O1565" s="6" t="n">
        <f aca="false">IF(TablaVentas[[#This Row],[Precio_unitario]]="","PENDIENTE",TablaVentas[[#This Row],[Unidades]]*TablaVentas[[#This Row],[Precio_unitario]]*(1-TablaVentas[[#This Row],[Descuento_pct]]))</f>
        <v>2942.16</v>
      </c>
      <c r="P1565" s="6" t="n">
        <f aca="false">IF(TablaVentas[[#This Row],[Costo_unitario]]="","PENDIENTE",TablaVentas[[#This Row],[Unidades]]*TablaVentas[[#This Row],[Costo_unitario]])</f>
        <v>2427.63</v>
      </c>
      <c r="Q1565" s="6" t="n">
        <f aca="false">IF(OR(TablaVentas[[#This Row],[Ingreso_neto]]="PENDIENTE",TablaVentas[[#This Row],[Costo_total]]="PENDIENTE"),"PENDIENTE",TablaVentas[[#This Row],[Ingreso_neto]]-TablaVentas[[#This Row],[Costo_total]])</f>
        <v>514.53</v>
      </c>
    </row>
    <row r="1566" customFormat="false" ht="13.5" hidden="false" customHeight="false" outlineLevel="0" collapsed="false">
      <c r="A1566" s="1" t="s">
        <v>1058</v>
      </c>
      <c r="B1566" s="1" t="n">
        <v>2</v>
      </c>
      <c r="C1566" s="5" t="n">
        <v>46201</v>
      </c>
      <c r="D1566" s="6" t="s">
        <v>384</v>
      </c>
      <c r="E1566" s="6" t="s">
        <v>179</v>
      </c>
      <c r="F1566" s="6" t="s">
        <v>63</v>
      </c>
      <c r="G1566" s="6" t="s">
        <v>47</v>
      </c>
      <c r="H1566" s="6" t="s">
        <v>89</v>
      </c>
      <c r="I1566" s="1" t="n">
        <v>1</v>
      </c>
      <c r="J1566" s="7" t="n">
        <v>17206.53</v>
      </c>
      <c r="K1566" s="8" t="n">
        <v>0.1</v>
      </c>
      <c r="L1566" s="7" t="n">
        <v>10830.17</v>
      </c>
      <c r="M1566" s="6" t="s">
        <v>49</v>
      </c>
      <c r="N1566" s="6" t="s">
        <v>59</v>
      </c>
      <c r="O1566" s="6" t="n">
        <f aca="false">IF(TablaVentas[[#This Row],[Precio_unitario]]="","PENDIENTE",TablaVentas[[#This Row],[Unidades]]*TablaVentas[[#This Row],[Precio_unitario]]*(1-TablaVentas[[#This Row],[Descuento_pct]]))</f>
        <v>15485.877</v>
      </c>
      <c r="P1566" s="6" t="n">
        <f aca="false">IF(TablaVentas[[#This Row],[Costo_unitario]]="","PENDIENTE",TablaVentas[[#This Row],[Unidades]]*TablaVentas[[#This Row],[Costo_unitario]])</f>
        <v>10830.17</v>
      </c>
      <c r="Q1566" s="6" t="n">
        <f aca="false">IF(OR(TablaVentas[[#This Row],[Ingreso_neto]]="PENDIENTE",TablaVentas[[#This Row],[Costo_total]]="PENDIENTE"),"PENDIENTE",TablaVentas[[#This Row],[Ingreso_neto]]-TablaVentas[[#This Row],[Costo_total]])</f>
        <v>4655.707</v>
      </c>
    </row>
    <row r="1567" customFormat="false" ht="13.5" hidden="false" customHeight="false" outlineLevel="0" collapsed="false">
      <c r="A1567" s="1" t="s">
        <v>1059</v>
      </c>
      <c r="B1567" s="1" t="n">
        <v>1</v>
      </c>
      <c r="C1567" s="5" t="n">
        <v>46147</v>
      </c>
      <c r="D1567" s="6" t="s">
        <v>209</v>
      </c>
      <c r="E1567" s="6" t="s">
        <v>174</v>
      </c>
      <c r="F1567" s="6" t="s">
        <v>46</v>
      </c>
      <c r="G1567" s="6" t="s">
        <v>57</v>
      </c>
      <c r="H1567" s="6" t="s">
        <v>48</v>
      </c>
      <c r="I1567" s="1" t="n">
        <v>1</v>
      </c>
      <c r="J1567" s="7" t="n">
        <v>16073.78</v>
      </c>
      <c r="K1567" s="8" t="n">
        <v>0.15</v>
      </c>
      <c r="L1567" s="7" t="n">
        <v>8704.4</v>
      </c>
      <c r="M1567" s="6" t="s">
        <v>49</v>
      </c>
      <c r="N1567" s="6" t="s">
        <v>67</v>
      </c>
      <c r="O1567" s="6" t="n">
        <f aca="false">IF(TablaVentas[[#This Row],[Precio_unitario]]="","PENDIENTE",TablaVentas[[#This Row],[Unidades]]*TablaVentas[[#This Row],[Precio_unitario]]*(1-TablaVentas[[#This Row],[Descuento_pct]]))</f>
        <v>13662.713</v>
      </c>
      <c r="P1567" s="6" t="n">
        <f aca="false">IF(TablaVentas[[#This Row],[Costo_unitario]]="","PENDIENTE",TablaVentas[[#This Row],[Unidades]]*TablaVentas[[#This Row],[Costo_unitario]])</f>
        <v>8704.4</v>
      </c>
      <c r="Q1567" s="6" t="n">
        <f aca="false">IF(OR(TablaVentas[[#This Row],[Ingreso_neto]]="PENDIENTE",TablaVentas[[#This Row],[Costo_total]]="PENDIENTE"),"PENDIENTE",TablaVentas[[#This Row],[Ingreso_neto]]-TablaVentas[[#This Row],[Costo_total]])</f>
        <v>4958.313</v>
      </c>
    </row>
    <row r="1568" customFormat="false" ht="13.5" hidden="false" customHeight="false" outlineLevel="0" collapsed="false">
      <c r="A1568" s="1" t="s">
        <v>1059</v>
      </c>
      <c r="B1568" s="1" t="n">
        <v>2</v>
      </c>
      <c r="C1568" s="5" t="n">
        <v>46147</v>
      </c>
      <c r="D1568" s="6" t="s">
        <v>209</v>
      </c>
      <c r="E1568" s="6" t="s">
        <v>91</v>
      </c>
      <c r="F1568" s="6" t="s">
        <v>46</v>
      </c>
      <c r="G1568" s="6" t="s">
        <v>57</v>
      </c>
      <c r="H1568" s="6" t="s">
        <v>48</v>
      </c>
      <c r="I1568" s="1" t="n">
        <v>1</v>
      </c>
      <c r="J1568" s="7" t="n">
        <v>16459.69</v>
      </c>
      <c r="K1568" s="8" t="n">
        <v>0.1</v>
      </c>
      <c r="L1568" s="7" t="n">
        <v>8576.05</v>
      </c>
      <c r="M1568" s="6" t="s">
        <v>69</v>
      </c>
      <c r="N1568" s="6" t="s">
        <v>67</v>
      </c>
      <c r="O1568" s="6" t="n">
        <f aca="false">IF(TablaVentas[[#This Row],[Precio_unitario]]="","PENDIENTE",TablaVentas[[#This Row],[Unidades]]*TablaVentas[[#This Row],[Precio_unitario]]*(1-TablaVentas[[#This Row],[Descuento_pct]]))</f>
        <v>14813.721</v>
      </c>
      <c r="P1568" s="6" t="n">
        <f aca="false">IF(TablaVentas[[#This Row],[Costo_unitario]]="","PENDIENTE",TablaVentas[[#This Row],[Unidades]]*TablaVentas[[#This Row],[Costo_unitario]])</f>
        <v>8576.05</v>
      </c>
      <c r="Q1568" s="6" t="n">
        <f aca="false">IF(OR(TablaVentas[[#This Row],[Ingreso_neto]]="PENDIENTE",TablaVentas[[#This Row],[Costo_total]]="PENDIENTE"),"PENDIENTE",TablaVentas[[#This Row],[Ingreso_neto]]-TablaVentas[[#This Row],[Costo_total]])</f>
        <v>6237.671</v>
      </c>
    </row>
    <row r="1569" customFormat="false" ht="13.5" hidden="false" customHeight="false" outlineLevel="0" collapsed="false">
      <c r="A1569" s="1" t="s">
        <v>1060</v>
      </c>
      <c r="B1569" s="1" t="n">
        <v>1</v>
      </c>
      <c r="C1569" s="5" t="n">
        <v>46131</v>
      </c>
      <c r="D1569" s="6" t="s">
        <v>393</v>
      </c>
      <c r="E1569" s="6" t="s">
        <v>353</v>
      </c>
      <c r="F1569" s="6" t="s">
        <v>46</v>
      </c>
      <c r="G1569" s="6" t="s">
        <v>57</v>
      </c>
      <c r="H1569" s="6" t="s">
        <v>131</v>
      </c>
      <c r="I1569" s="1" t="n">
        <v>4</v>
      </c>
      <c r="J1569" s="7" t="n">
        <v>2174.63</v>
      </c>
      <c r="K1569" s="8" t="n">
        <v>0.15</v>
      </c>
      <c r="L1569" s="7" t="n">
        <v>1175.74</v>
      </c>
      <c r="M1569" s="6" t="s">
        <v>49</v>
      </c>
      <c r="N1569" s="6" t="s">
        <v>50</v>
      </c>
      <c r="O1569" s="6" t="n">
        <f aca="false">IF(TablaVentas[[#This Row],[Precio_unitario]]="","PENDIENTE",TablaVentas[[#This Row],[Unidades]]*TablaVentas[[#This Row],[Precio_unitario]]*(1-TablaVentas[[#This Row],[Descuento_pct]]))</f>
        <v>7393.742</v>
      </c>
      <c r="P1569" s="6" t="n">
        <f aca="false">IF(TablaVentas[[#This Row],[Costo_unitario]]="","PENDIENTE",TablaVentas[[#This Row],[Unidades]]*TablaVentas[[#This Row],[Costo_unitario]])</f>
        <v>4702.96</v>
      </c>
      <c r="Q1569" s="6" t="n">
        <f aca="false">IF(OR(TablaVentas[[#This Row],[Ingreso_neto]]="PENDIENTE",TablaVentas[[#This Row],[Costo_total]]="PENDIENTE"),"PENDIENTE",TablaVentas[[#This Row],[Ingreso_neto]]-TablaVentas[[#This Row],[Costo_total]])</f>
        <v>2690.782</v>
      </c>
    </row>
    <row r="1570" customFormat="false" ht="13.5" hidden="false" customHeight="false" outlineLevel="0" collapsed="false">
      <c r="A1570" s="1" t="s">
        <v>1061</v>
      </c>
      <c r="B1570" s="1" t="n">
        <v>1</v>
      </c>
      <c r="C1570" s="5" t="n">
        <v>46148</v>
      </c>
      <c r="D1570" s="6" t="s">
        <v>600</v>
      </c>
      <c r="E1570" s="6" t="s">
        <v>104</v>
      </c>
      <c r="F1570" s="6" t="s">
        <v>84</v>
      </c>
      <c r="G1570" s="6" t="s">
        <v>57</v>
      </c>
      <c r="H1570" s="6" t="s">
        <v>65</v>
      </c>
      <c r="I1570" s="1" t="n">
        <v>1</v>
      </c>
      <c r="J1570" s="7" t="n">
        <v>15402.88</v>
      </c>
      <c r="K1570" s="8" t="n">
        <v>0</v>
      </c>
      <c r="L1570" s="7" t="n">
        <v>11424.77</v>
      </c>
      <c r="M1570" s="6" t="s">
        <v>49</v>
      </c>
      <c r="N1570" s="6" t="s">
        <v>67</v>
      </c>
      <c r="O1570" s="6" t="n">
        <f aca="false">IF(TablaVentas[[#This Row],[Precio_unitario]]="","PENDIENTE",TablaVentas[[#This Row],[Unidades]]*TablaVentas[[#This Row],[Precio_unitario]]*(1-TablaVentas[[#This Row],[Descuento_pct]]))</f>
        <v>15402.88</v>
      </c>
      <c r="P1570" s="6" t="n">
        <f aca="false">IF(TablaVentas[[#This Row],[Costo_unitario]]="","PENDIENTE",TablaVentas[[#This Row],[Unidades]]*TablaVentas[[#This Row],[Costo_unitario]])</f>
        <v>11424.77</v>
      </c>
      <c r="Q1570" s="6" t="n">
        <f aca="false">IF(OR(TablaVentas[[#This Row],[Ingreso_neto]]="PENDIENTE",TablaVentas[[#This Row],[Costo_total]]="PENDIENTE"),"PENDIENTE",TablaVentas[[#This Row],[Ingreso_neto]]-TablaVentas[[#This Row],[Costo_total]])</f>
        <v>3978.11</v>
      </c>
    </row>
    <row r="1571" customFormat="false" ht="13.5" hidden="false" customHeight="false" outlineLevel="0" collapsed="false">
      <c r="A1571" s="1" t="s">
        <v>1062</v>
      </c>
      <c r="B1571" s="1" t="n">
        <v>1</v>
      </c>
      <c r="C1571" s="5" t="n">
        <v>46258</v>
      </c>
      <c r="D1571" s="6" t="s">
        <v>479</v>
      </c>
      <c r="E1571" s="6" t="s">
        <v>113</v>
      </c>
      <c r="F1571" s="6" t="s">
        <v>46</v>
      </c>
      <c r="G1571" s="6" t="s">
        <v>57</v>
      </c>
      <c r="H1571" s="6" t="s">
        <v>191</v>
      </c>
      <c r="I1571" s="1" t="n">
        <v>1</v>
      </c>
      <c r="J1571" s="7" t="n">
        <v>10081.65</v>
      </c>
      <c r="K1571" s="8" t="n">
        <v>0.2</v>
      </c>
      <c r="L1571" s="7" t="n">
        <v>8276.74</v>
      </c>
      <c r="M1571" s="6" t="s">
        <v>49</v>
      </c>
      <c r="N1571" s="6" t="s">
        <v>50</v>
      </c>
      <c r="O1571" s="6" t="n">
        <f aca="false">IF(TablaVentas[[#This Row],[Precio_unitario]]="","PENDIENTE",TablaVentas[[#This Row],[Unidades]]*TablaVentas[[#This Row],[Precio_unitario]]*(1-TablaVentas[[#This Row],[Descuento_pct]]))</f>
        <v>8065.32</v>
      </c>
      <c r="P1571" s="6" t="n">
        <f aca="false">IF(TablaVentas[[#This Row],[Costo_unitario]]="","PENDIENTE",TablaVentas[[#This Row],[Unidades]]*TablaVentas[[#This Row],[Costo_unitario]])</f>
        <v>8276.74</v>
      </c>
      <c r="Q1571" s="6" t="n">
        <f aca="false">IF(OR(TablaVentas[[#This Row],[Ingreso_neto]]="PENDIENTE",TablaVentas[[#This Row],[Costo_total]]="PENDIENTE"),"PENDIENTE",TablaVentas[[#This Row],[Ingreso_neto]]-TablaVentas[[#This Row],[Costo_total]])</f>
        <v>-211.42</v>
      </c>
    </row>
    <row r="1572" customFormat="false" ht="13.5" hidden="false" customHeight="false" outlineLevel="0" collapsed="false">
      <c r="A1572" s="1" t="s">
        <v>1063</v>
      </c>
      <c r="B1572" s="1" t="n">
        <v>1</v>
      </c>
      <c r="C1572" s="5" t="n">
        <v>46066</v>
      </c>
      <c r="D1572" s="6" t="s">
        <v>397</v>
      </c>
      <c r="E1572" s="6" t="s">
        <v>92</v>
      </c>
      <c r="F1572" s="6" t="s">
        <v>84</v>
      </c>
      <c r="G1572" s="6" t="s">
        <v>57</v>
      </c>
      <c r="H1572" s="6" t="s">
        <v>58</v>
      </c>
      <c r="I1572" s="1" t="n">
        <v>1</v>
      </c>
      <c r="J1572" s="7" t="n">
        <v>493.57</v>
      </c>
      <c r="K1572" s="8" t="n">
        <v>0.15</v>
      </c>
      <c r="L1572" s="7" t="n">
        <v>307.75</v>
      </c>
      <c r="M1572" s="6" t="s">
        <v>49</v>
      </c>
      <c r="N1572" s="6" t="s">
        <v>52</v>
      </c>
      <c r="O1572" s="6" t="n">
        <f aca="false">IF(TablaVentas[[#This Row],[Precio_unitario]]="","PENDIENTE",TablaVentas[[#This Row],[Unidades]]*TablaVentas[[#This Row],[Precio_unitario]]*(1-TablaVentas[[#This Row],[Descuento_pct]]))</f>
        <v>419.5345</v>
      </c>
      <c r="P1572" s="6" t="n">
        <f aca="false">IF(TablaVentas[[#This Row],[Costo_unitario]]="","PENDIENTE",TablaVentas[[#This Row],[Unidades]]*TablaVentas[[#This Row],[Costo_unitario]])</f>
        <v>307.75</v>
      </c>
      <c r="Q1572" s="6" t="n">
        <f aca="false">IF(OR(TablaVentas[[#This Row],[Ingreso_neto]]="PENDIENTE",TablaVentas[[#This Row],[Costo_total]]="PENDIENTE"),"PENDIENTE",TablaVentas[[#This Row],[Ingreso_neto]]-TablaVentas[[#This Row],[Costo_total]])</f>
        <v>111.7845</v>
      </c>
    </row>
    <row r="1573" customFormat="false" ht="13.5" hidden="false" customHeight="false" outlineLevel="0" collapsed="false">
      <c r="A1573" s="1" t="s">
        <v>1064</v>
      </c>
      <c r="B1573" s="1" t="n">
        <v>1</v>
      </c>
      <c r="C1573" s="5" t="n">
        <v>46151</v>
      </c>
      <c r="D1573" s="6" t="s">
        <v>103</v>
      </c>
      <c r="E1573" s="6" t="s">
        <v>328</v>
      </c>
      <c r="F1573" s="6" t="s">
        <v>73</v>
      </c>
      <c r="G1573" s="6" t="s">
        <v>57</v>
      </c>
      <c r="H1573" s="6" t="s">
        <v>109</v>
      </c>
      <c r="I1573" s="1" t="n">
        <v>3</v>
      </c>
      <c r="J1573" s="7" t="n">
        <v>1163.83</v>
      </c>
      <c r="K1573" s="8" t="n">
        <v>0</v>
      </c>
      <c r="L1573" s="7" t="n">
        <v>679.37</v>
      </c>
      <c r="M1573" s="6" t="s">
        <v>49</v>
      </c>
      <c r="N1573" s="6" t="s">
        <v>67</v>
      </c>
      <c r="O1573" s="6" t="n">
        <f aca="false">IF(TablaVentas[[#This Row],[Precio_unitario]]="","PENDIENTE",TablaVentas[[#This Row],[Unidades]]*TablaVentas[[#This Row],[Precio_unitario]]*(1-TablaVentas[[#This Row],[Descuento_pct]]))</f>
        <v>3491.49</v>
      </c>
      <c r="P1573" s="6" t="n">
        <f aca="false">IF(TablaVentas[[#This Row],[Costo_unitario]]="","PENDIENTE",TablaVentas[[#This Row],[Unidades]]*TablaVentas[[#This Row],[Costo_unitario]])</f>
        <v>2038.11</v>
      </c>
      <c r="Q1573" s="6" t="n">
        <f aca="false">IF(OR(TablaVentas[[#This Row],[Ingreso_neto]]="PENDIENTE",TablaVentas[[#This Row],[Costo_total]]="PENDIENTE"),"PENDIENTE",TablaVentas[[#This Row],[Ingreso_neto]]-TablaVentas[[#This Row],[Costo_total]])</f>
        <v>1453.38</v>
      </c>
    </row>
    <row r="1574" customFormat="false" ht="13.5" hidden="false" customHeight="false" outlineLevel="0" collapsed="false">
      <c r="A1574" s="1" t="s">
        <v>1064</v>
      </c>
      <c r="B1574" s="1" t="n">
        <v>2</v>
      </c>
      <c r="C1574" s="5" t="n">
        <v>46151</v>
      </c>
      <c r="D1574" s="6" t="s">
        <v>103</v>
      </c>
      <c r="E1574" s="6" t="s">
        <v>91</v>
      </c>
      <c r="F1574" s="6" t="s">
        <v>73</v>
      </c>
      <c r="G1574" s="6" t="s">
        <v>57</v>
      </c>
      <c r="H1574" s="6" t="s">
        <v>109</v>
      </c>
      <c r="I1574" s="1" t="n">
        <v>1</v>
      </c>
      <c r="J1574" s="7" t="n">
        <v>15746.49</v>
      </c>
      <c r="K1574" s="8" t="n">
        <v>0.1</v>
      </c>
      <c r="L1574" s="7" t="n">
        <v>8576.05</v>
      </c>
      <c r="M1574" s="6" t="s">
        <v>49</v>
      </c>
      <c r="N1574" s="6" t="s">
        <v>52</v>
      </c>
      <c r="O1574" s="6" t="n">
        <f aca="false">IF(TablaVentas[[#This Row],[Precio_unitario]]="","PENDIENTE",TablaVentas[[#This Row],[Unidades]]*TablaVentas[[#This Row],[Precio_unitario]]*(1-TablaVentas[[#This Row],[Descuento_pct]]))</f>
        <v>14171.841</v>
      </c>
      <c r="P1574" s="6" t="n">
        <f aca="false">IF(TablaVentas[[#This Row],[Costo_unitario]]="","PENDIENTE",TablaVentas[[#This Row],[Unidades]]*TablaVentas[[#This Row],[Costo_unitario]])</f>
        <v>8576.05</v>
      </c>
      <c r="Q1574" s="6" t="n">
        <f aca="false">IF(OR(TablaVentas[[#This Row],[Ingreso_neto]]="PENDIENTE",TablaVentas[[#This Row],[Costo_total]]="PENDIENTE"),"PENDIENTE",TablaVentas[[#This Row],[Ingreso_neto]]-TablaVentas[[#This Row],[Costo_total]])</f>
        <v>5595.791</v>
      </c>
    </row>
    <row r="1575" customFormat="false" ht="13.5" hidden="false" customHeight="false" outlineLevel="0" collapsed="false">
      <c r="A1575" s="1" t="s">
        <v>1064</v>
      </c>
      <c r="B1575" s="1" t="n">
        <v>3</v>
      </c>
      <c r="C1575" s="5" t="n">
        <v>46151</v>
      </c>
      <c r="D1575" s="6" t="s">
        <v>103</v>
      </c>
      <c r="E1575" s="6" t="s">
        <v>234</v>
      </c>
      <c r="F1575" s="6" t="s">
        <v>73</v>
      </c>
      <c r="G1575" s="6" t="s">
        <v>57</v>
      </c>
      <c r="H1575" s="6" t="s">
        <v>109</v>
      </c>
      <c r="I1575" s="1" t="n">
        <v>1</v>
      </c>
      <c r="J1575" s="7" t="n">
        <v>7794.92</v>
      </c>
      <c r="K1575" s="8" t="n">
        <v>0.2</v>
      </c>
      <c r="L1575" s="7" t="n">
        <v>6255.13</v>
      </c>
      <c r="M1575" s="6" t="s">
        <v>49</v>
      </c>
      <c r="N1575" s="6" t="s">
        <v>50</v>
      </c>
      <c r="O1575" s="6" t="n">
        <f aca="false">IF(TablaVentas[[#This Row],[Precio_unitario]]="","PENDIENTE",TablaVentas[[#This Row],[Unidades]]*TablaVentas[[#This Row],[Precio_unitario]]*(1-TablaVentas[[#This Row],[Descuento_pct]]))</f>
        <v>6235.936</v>
      </c>
      <c r="P1575" s="6" t="n">
        <f aca="false">IF(TablaVentas[[#This Row],[Costo_unitario]]="","PENDIENTE",TablaVentas[[#This Row],[Unidades]]*TablaVentas[[#This Row],[Costo_unitario]])</f>
        <v>6255.13</v>
      </c>
      <c r="Q1575" s="6" t="n">
        <f aca="false">IF(OR(TablaVentas[[#This Row],[Ingreso_neto]]="PENDIENTE",TablaVentas[[#This Row],[Costo_total]]="PENDIENTE"),"PENDIENTE",TablaVentas[[#This Row],[Ingreso_neto]]-TablaVentas[[#This Row],[Costo_total]])</f>
        <v>-19.1939999999995</v>
      </c>
    </row>
    <row r="1576" customFormat="false" ht="13.5" hidden="false" customHeight="false" outlineLevel="0" collapsed="false">
      <c r="A1576" s="1" t="s">
        <v>1065</v>
      </c>
      <c r="B1576" s="1" t="n">
        <v>1</v>
      </c>
      <c r="C1576" s="5" t="n">
        <v>46295</v>
      </c>
      <c r="D1576" s="6" t="s">
        <v>296</v>
      </c>
      <c r="E1576" s="6" t="s">
        <v>265</v>
      </c>
      <c r="F1576" s="6" t="s">
        <v>84</v>
      </c>
      <c r="G1576" s="6" t="s">
        <v>64</v>
      </c>
      <c r="H1576" s="6" t="s">
        <v>191</v>
      </c>
      <c r="I1576" s="1" t="n">
        <v>4</v>
      </c>
      <c r="J1576" s="7" t="n">
        <v>3634.74</v>
      </c>
      <c r="K1576" s="8" t="n">
        <v>0</v>
      </c>
      <c r="L1576" s="7" t="n">
        <v>2008.57</v>
      </c>
      <c r="M1576" s="6" t="s">
        <v>49</v>
      </c>
      <c r="N1576" s="6" t="s">
        <v>59</v>
      </c>
      <c r="O1576" s="6" t="n">
        <f aca="false">IF(TablaVentas[[#This Row],[Precio_unitario]]="","PENDIENTE",TablaVentas[[#This Row],[Unidades]]*TablaVentas[[#This Row],[Precio_unitario]]*(1-TablaVentas[[#This Row],[Descuento_pct]]))</f>
        <v>14538.96</v>
      </c>
      <c r="P1576" s="6" t="n">
        <f aca="false">IF(TablaVentas[[#This Row],[Costo_unitario]]="","PENDIENTE",TablaVentas[[#This Row],[Unidades]]*TablaVentas[[#This Row],[Costo_unitario]])</f>
        <v>8034.28</v>
      </c>
      <c r="Q1576" s="6" t="n">
        <f aca="false">IF(OR(TablaVentas[[#This Row],[Ingreso_neto]]="PENDIENTE",TablaVentas[[#This Row],[Costo_total]]="PENDIENTE"),"PENDIENTE",TablaVentas[[#This Row],[Ingreso_neto]]-TablaVentas[[#This Row],[Costo_total]])</f>
        <v>6504.68</v>
      </c>
    </row>
    <row r="1577" customFormat="false" ht="13.5" hidden="false" customHeight="false" outlineLevel="0" collapsed="false">
      <c r="A1577" s="1" t="s">
        <v>1066</v>
      </c>
      <c r="B1577" s="1" t="n">
        <v>1</v>
      </c>
      <c r="C1577" s="5" t="n">
        <v>46273</v>
      </c>
      <c r="D1577" s="6" t="s">
        <v>777</v>
      </c>
      <c r="E1577" s="6" t="s">
        <v>75</v>
      </c>
      <c r="F1577" s="6" t="s">
        <v>63</v>
      </c>
      <c r="G1577" s="6" t="s">
        <v>64</v>
      </c>
      <c r="H1577" s="6" t="s">
        <v>131</v>
      </c>
      <c r="I1577" s="1" t="n">
        <v>3</v>
      </c>
      <c r="J1577" s="7" t="n">
        <v>16793.95</v>
      </c>
      <c r="K1577" s="8" t="n">
        <v>0.1</v>
      </c>
      <c r="L1577" s="7" t="n">
        <v>9243.35</v>
      </c>
      <c r="M1577" s="6" t="s">
        <v>49</v>
      </c>
      <c r="N1577" s="6" t="s">
        <v>59</v>
      </c>
      <c r="O1577" s="6" t="n">
        <f aca="false">IF(TablaVentas[[#This Row],[Precio_unitario]]="","PENDIENTE",TablaVentas[[#This Row],[Unidades]]*TablaVentas[[#This Row],[Precio_unitario]]*(1-TablaVentas[[#This Row],[Descuento_pct]]))</f>
        <v>45343.665</v>
      </c>
      <c r="P1577" s="6" t="n">
        <f aca="false">IF(TablaVentas[[#This Row],[Costo_unitario]]="","PENDIENTE",TablaVentas[[#This Row],[Unidades]]*TablaVentas[[#This Row],[Costo_unitario]])</f>
        <v>27730.05</v>
      </c>
      <c r="Q1577" s="6" t="n">
        <f aca="false">IF(OR(TablaVentas[[#This Row],[Ingreso_neto]]="PENDIENTE",TablaVentas[[#This Row],[Costo_total]]="PENDIENTE"),"PENDIENTE",TablaVentas[[#This Row],[Ingreso_neto]]-TablaVentas[[#This Row],[Costo_total]])</f>
        <v>17613.615</v>
      </c>
    </row>
    <row r="1578" customFormat="false" ht="13.5" hidden="false" customHeight="false" outlineLevel="0" collapsed="false">
      <c r="A1578" s="1" t="s">
        <v>1066</v>
      </c>
      <c r="B1578" s="1" t="n">
        <v>2</v>
      </c>
      <c r="C1578" s="5" t="n">
        <v>46273</v>
      </c>
      <c r="D1578" s="6" t="s">
        <v>777</v>
      </c>
      <c r="E1578" s="6" t="s">
        <v>342</v>
      </c>
      <c r="F1578" s="6" t="s">
        <v>63</v>
      </c>
      <c r="G1578" s="6" t="s">
        <v>64</v>
      </c>
      <c r="H1578" s="6" t="s">
        <v>131</v>
      </c>
      <c r="I1578" s="1" t="n">
        <v>5</v>
      </c>
      <c r="J1578" s="7" t="n">
        <v>7905.99</v>
      </c>
      <c r="K1578" s="8" t="n">
        <v>0</v>
      </c>
      <c r="L1578" s="7" t="n">
        <v>5587.31</v>
      </c>
      <c r="M1578" s="6" t="s">
        <v>49</v>
      </c>
      <c r="N1578" s="6" t="s">
        <v>67</v>
      </c>
      <c r="O1578" s="6" t="n">
        <f aca="false">IF(TablaVentas[[#This Row],[Precio_unitario]]="","PENDIENTE",TablaVentas[[#This Row],[Unidades]]*TablaVentas[[#This Row],[Precio_unitario]]*(1-TablaVentas[[#This Row],[Descuento_pct]]))</f>
        <v>39529.95</v>
      </c>
      <c r="P1578" s="6" t="n">
        <f aca="false">IF(TablaVentas[[#This Row],[Costo_unitario]]="","PENDIENTE",TablaVentas[[#This Row],[Unidades]]*TablaVentas[[#This Row],[Costo_unitario]])</f>
        <v>27936.55</v>
      </c>
      <c r="Q1578" s="6" t="n">
        <f aca="false">IF(OR(TablaVentas[[#This Row],[Ingreso_neto]]="PENDIENTE",TablaVentas[[#This Row],[Costo_total]]="PENDIENTE"),"PENDIENTE",TablaVentas[[#This Row],[Ingreso_neto]]-TablaVentas[[#This Row],[Costo_total]])</f>
        <v>11593.4</v>
      </c>
    </row>
    <row r="1579" customFormat="false" ht="13.5" hidden="false" customHeight="false" outlineLevel="0" collapsed="false">
      <c r="A1579" s="1" t="s">
        <v>1067</v>
      </c>
      <c r="B1579" s="1" t="n">
        <v>1</v>
      </c>
      <c r="C1579" s="5" t="n">
        <v>46184</v>
      </c>
      <c r="D1579" s="6" t="s">
        <v>87</v>
      </c>
      <c r="E1579" s="6" t="s">
        <v>88</v>
      </c>
      <c r="F1579" s="6" t="s">
        <v>84</v>
      </c>
      <c r="G1579" s="6" t="s">
        <v>57</v>
      </c>
      <c r="H1579" s="6" t="s">
        <v>48</v>
      </c>
      <c r="I1579" s="1" t="n">
        <v>1</v>
      </c>
      <c r="J1579" s="7" t="n">
        <v>17139.78</v>
      </c>
      <c r="K1579" s="8" t="n">
        <v>0</v>
      </c>
      <c r="L1579" s="7" t="n">
        <v>11614.87</v>
      </c>
      <c r="M1579" s="6" t="s">
        <v>49</v>
      </c>
      <c r="N1579" s="6" t="s">
        <v>50</v>
      </c>
      <c r="O1579" s="6" t="n">
        <f aca="false">IF(TablaVentas[[#This Row],[Precio_unitario]]="","PENDIENTE",TablaVentas[[#This Row],[Unidades]]*TablaVentas[[#This Row],[Precio_unitario]]*(1-TablaVentas[[#This Row],[Descuento_pct]]))</f>
        <v>17139.78</v>
      </c>
      <c r="P1579" s="6" t="n">
        <f aca="false">IF(TablaVentas[[#This Row],[Costo_unitario]]="","PENDIENTE",TablaVentas[[#This Row],[Unidades]]*TablaVentas[[#This Row],[Costo_unitario]])</f>
        <v>11614.87</v>
      </c>
      <c r="Q1579" s="6" t="n">
        <f aca="false">IF(OR(TablaVentas[[#This Row],[Ingreso_neto]]="PENDIENTE",TablaVentas[[#This Row],[Costo_total]]="PENDIENTE"),"PENDIENTE",TablaVentas[[#This Row],[Ingreso_neto]]-TablaVentas[[#This Row],[Costo_total]])</f>
        <v>5524.91</v>
      </c>
    </row>
    <row r="1580" customFormat="false" ht="13.5" hidden="false" customHeight="false" outlineLevel="0" collapsed="false">
      <c r="A1580" s="1" t="s">
        <v>1068</v>
      </c>
      <c r="B1580" s="1" t="n">
        <v>1</v>
      </c>
      <c r="C1580" s="5" t="n">
        <v>46178</v>
      </c>
      <c r="D1580" s="6" t="s">
        <v>125</v>
      </c>
      <c r="E1580" s="6" t="s">
        <v>51</v>
      </c>
      <c r="F1580" s="6" t="s">
        <v>73</v>
      </c>
      <c r="G1580" s="6" t="s">
        <v>47</v>
      </c>
      <c r="H1580" s="6" t="s">
        <v>80</v>
      </c>
      <c r="I1580" s="1" t="n">
        <v>4</v>
      </c>
      <c r="J1580" s="7" t="n">
        <v>14050.79</v>
      </c>
      <c r="K1580" s="8" t="n">
        <v>0</v>
      </c>
      <c r="L1580" s="7" t="n">
        <v>8980.68</v>
      </c>
      <c r="M1580" s="6" t="s">
        <v>49</v>
      </c>
      <c r="N1580" s="6" t="s">
        <v>52</v>
      </c>
      <c r="O1580" s="6" t="n">
        <f aca="false">IF(TablaVentas[[#This Row],[Precio_unitario]]="","PENDIENTE",TablaVentas[[#This Row],[Unidades]]*TablaVentas[[#This Row],[Precio_unitario]]*(1-TablaVentas[[#This Row],[Descuento_pct]]))</f>
        <v>56203.16</v>
      </c>
      <c r="P1580" s="6" t="n">
        <f aca="false">IF(TablaVentas[[#This Row],[Costo_unitario]]="","PENDIENTE",TablaVentas[[#This Row],[Unidades]]*TablaVentas[[#This Row],[Costo_unitario]])</f>
        <v>35922.72</v>
      </c>
      <c r="Q1580" s="6" t="n">
        <f aca="false">IF(OR(TablaVentas[[#This Row],[Ingreso_neto]]="PENDIENTE",TablaVentas[[#This Row],[Costo_total]]="PENDIENTE"),"PENDIENTE",TablaVentas[[#This Row],[Ingreso_neto]]-TablaVentas[[#This Row],[Costo_total]])</f>
        <v>20280.44</v>
      </c>
    </row>
    <row r="1581" customFormat="false" ht="13.5" hidden="false" customHeight="false" outlineLevel="0" collapsed="false">
      <c r="A1581" s="1" t="s">
        <v>1069</v>
      </c>
      <c r="B1581" s="1" t="n">
        <v>1</v>
      </c>
      <c r="C1581" s="5" t="n">
        <v>46118</v>
      </c>
      <c r="D1581" s="6" t="s">
        <v>445</v>
      </c>
      <c r="E1581" s="6" t="s">
        <v>68</v>
      </c>
      <c r="F1581" s="6" t="s">
        <v>73</v>
      </c>
      <c r="G1581" s="6" t="s">
        <v>64</v>
      </c>
      <c r="H1581" s="6" t="s">
        <v>48</v>
      </c>
      <c r="I1581" s="1" t="n">
        <v>8</v>
      </c>
      <c r="J1581" s="7" t="n">
        <v>4742.98</v>
      </c>
      <c r="K1581" s="8" t="n">
        <v>0.1</v>
      </c>
      <c r="L1581" s="7" t="n">
        <v>2554.06</v>
      </c>
      <c r="M1581" s="6" t="s">
        <v>49</v>
      </c>
      <c r="N1581" s="6" t="s">
        <v>52</v>
      </c>
      <c r="O1581" s="6" t="n">
        <f aca="false">IF(TablaVentas[[#This Row],[Precio_unitario]]="","PENDIENTE",TablaVentas[[#This Row],[Unidades]]*TablaVentas[[#This Row],[Precio_unitario]]*(1-TablaVentas[[#This Row],[Descuento_pct]]))</f>
        <v>34149.456</v>
      </c>
      <c r="P1581" s="6" t="n">
        <f aca="false">IF(TablaVentas[[#This Row],[Costo_unitario]]="","PENDIENTE",TablaVentas[[#This Row],[Unidades]]*TablaVentas[[#This Row],[Costo_unitario]])</f>
        <v>20432.48</v>
      </c>
      <c r="Q1581" s="6" t="n">
        <f aca="false">IF(OR(TablaVentas[[#This Row],[Ingreso_neto]]="PENDIENTE",TablaVentas[[#This Row],[Costo_total]]="PENDIENTE"),"PENDIENTE",TablaVentas[[#This Row],[Ingreso_neto]]-TablaVentas[[#This Row],[Costo_total]])</f>
        <v>13716.976</v>
      </c>
    </row>
    <row r="1582" customFormat="false" ht="13.5" hidden="false" customHeight="false" outlineLevel="0" collapsed="false">
      <c r="A1582" s="1" t="s">
        <v>1070</v>
      </c>
      <c r="B1582" s="1" t="n">
        <v>1</v>
      </c>
      <c r="C1582" s="5" t="n">
        <v>46170</v>
      </c>
      <c r="D1582" s="6" t="s">
        <v>1071</v>
      </c>
      <c r="E1582" s="6" t="s">
        <v>75</v>
      </c>
      <c r="F1582" s="6" t="s">
        <v>73</v>
      </c>
      <c r="G1582" s="6" t="s">
        <v>47</v>
      </c>
      <c r="H1582" s="6" t="s">
        <v>58</v>
      </c>
      <c r="I1582" s="1" t="n">
        <v>3</v>
      </c>
      <c r="J1582" s="7" t="n">
        <v>16727.23</v>
      </c>
      <c r="K1582" s="8" t="n">
        <v>0</v>
      </c>
      <c r="L1582" s="7" t="n">
        <v>9243.35</v>
      </c>
      <c r="M1582" s="6" t="s">
        <v>49</v>
      </c>
      <c r="N1582" s="6" t="s">
        <v>50</v>
      </c>
      <c r="O1582" s="6" t="n">
        <f aca="false">IF(TablaVentas[[#This Row],[Precio_unitario]]="","PENDIENTE",TablaVentas[[#This Row],[Unidades]]*TablaVentas[[#This Row],[Precio_unitario]]*(1-TablaVentas[[#This Row],[Descuento_pct]]))</f>
        <v>50181.69</v>
      </c>
      <c r="P1582" s="6" t="n">
        <f aca="false">IF(TablaVentas[[#This Row],[Costo_unitario]]="","PENDIENTE",TablaVentas[[#This Row],[Unidades]]*TablaVentas[[#This Row],[Costo_unitario]])</f>
        <v>27730.05</v>
      </c>
      <c r="Q1582" s="6" t="n">
        <f aca="false">IF(OR(TablaVentas[[#This Row],[Ingreso_neto]]="PENDIENTE",TablaVentas[[#This Row],[Costo_total]]="PENDIENTE"),"PENDIENTE",TablaVentas[[#This Row],[Ingreso_neto]]-TablaVentas[[#This Row],[Costo_total]])</f>
        <v>22451.64</v>
      </c>
    </row>
    <row r="1583" customFormat="false" ht="13.5" hidden="false" customHeight="false" outlineLevel="0" collapsed="false">
      <c r="A1583" s="1" t="s">
        <v>1070</v>
      </c>
      <c r="B1583" s="1" t="n">
        <v>2</v>
      </c>
      <c r="C1583" s="5" t="n">
        <v>46170</v>
      </c>
      <c r="D1583" s="6" t="s">
        <v>1071</v>
      </c>
      <c r="E1583" s="6" t="s">
        <v>179</v>
      </c>
      <c r="F1583" s="6" t="s">
        <v>73</v>
      </c>
      <c r="G1583" s="6" t="s">
        <v>47</v>
      </c>
      <c r="H1583" s="6" t="s">
        <v>58</v>
      </c>
      <c r="I1583" s="1" t="n">
        <v>2</v>
      </c>
      <c r="J1583" s="7" t="n">
        <v>15468.92</v>
      </c>
      <c r="K1583" s="8" t="n">
        <v>0.05</v>
      </c>
      <c r="L1583" s="7" t="n">
        <v>10830.17</v>
      </c>
      <c r="M1583" s="6" t="s">
        <v>49</v>
      </c>
      <c r="N1583" s="6" t="s">
        <v>59</v>
      </c>
      <c r="O1583" s="6" t="n">
        <f aca="false">IF(TablaVentas[[#This Row],[Precio_unitario]]="","PENDIENTE",TablaVentas[[#This Row],[Unidades]]*TablaVentas[[#This Row],[Precio_unitario]]*(1-TablaVentas[[#This Row],[Descuento_pct]]))</f>
        <v>29390.948</v>
      </c>
      <c r="P1583" s="6" t="n">
        <f aca="false">IF(TablaVentas[[#This Row],[Costo_unitario]]="","PENDIENTE",TablaVentas[[#This Row],[Unidades]]*TablaVentas[[#This Row],[Costo_unitario]])</f>
        <v>21660.34</v>
      </c>
      <c r="Q1583" s="6" t="n">
        <f aca="false">IF(OR(TablaVentas[[#This Row],[Ingreso_neto]]="PENDIENTE",TablaVentas[[#This Row],[Costo_total]]="PENDIENTE"),"PENDIENTE",TablaVentas[[#This Row],[Ingreso_neto]]-TablaVentas[[#This Row],[Costo_total]])</f>
        <v>7730.608</v>
      </c>
    </row>
    <row r="1584" customFormat="false" ht="13.5" hidden="false" customHeight="false" outlineLevel="0" collapsed="false">
      <c r="A1584" s="1" t="s">
        <v>1070</v>
      </c>
      <c r="B1584" s="1" t="n">
        <v>3</v>
      </c>
      <c r="C1584" s="5" t="n">
        <v>46170</v>
      </c>
      <c r="D1584" s="6" t="s">
        <v>1071</v>
      </c>
      <c r="E1584" s="6" t="s">
        <v>213</v>
      </c>
      <c r="F1584" s="6" t="s">
        <v>73</v>
      </c>
      <c r="G1584" s="6" t="s">
        <v>47</v>
      </c>
      <c r="H1584" s="6" t="s">
        <v>58</v>
      </c>
      <c r="I1584" s="1" t="n">
        <v>1</v>
      </c>
      <c r="J1584" s="7" t="n">
        <v>5193.72</v>
      </c>
      <c r="K1584" s="8" t="n">
        <v>0</v>
      </c>
      <c r="L1584" s="7" t="n">
        <v>4008.77</v>
      </c>
      <c r="M1584" s="6" t="s">
        <v>49</v>
      </c>
      <c r="N1584" s="6" t="s">
        <v>67</v>
      </c>
      <c r="O1584" s="6" t="n">
        <f aca="false">IF(TablaVentas[[#This Row],[Precio_unitario]]="","PENDIENTE",TablaVentas[[#This Row],[Unidades]]*TablaVentas[[#This Row],[Precio_unitario]]*(1-TablaVentas[[#This Row],[Descuento_pct]]))</f>
        <v>5193.72</v>
      </c>
      <c r="P1584" s="6" t="n">
        <f aca="false">IF(TablaVentas[[#This Row],[Costo_unitario]]="","PENDIENTE",TablaVentas[[#This Row],[Unidades]]*TablaVentas[[#This Row],[Costo_unitario]])</f>
        <v>4008.77</v>
      </c>
      <c r="Q1584" s="6" t="n">
        <f aca="false">IF(OR(TablaVentas[[#This Row],[Ingreso_neto]]="PENDIENTE",TablaVentas[[#This Row],[Costo_total]]="PENDIENTE"),"PENDIENTE",TablaVentas[[#This Row],[Ingreso_neto]]-TablaVentas[[#This Row],[Costo_total]])</f>
        <v>1184.95</v>
      </c>
    </row>
    <row r="1585" customFormat="false" ht="13.5" hidden="false" customHeight="false" outlineLevel="0" collapsed="false">
      <c r="A1585" s="1" t="s">
        <v>1072</v>
      </c>
      <c r="B1585" s="1" t="n">
        <v>1</v>
      </c>
      <c r="C1585" s="5" t="n">
        <v>46130</v>
      </c>
      <c r="D1585" s="6" t="s">
        <v>319</v>
      </c>
      <c r="E1585" s="6" t="s">
        <v>240</v>
      </c>
      <c r="F1585" s="6" t="s">
        <v>46</v>
      </c>
      <c r="G1585" s="6" t="s">
        <v>64</v>
      </c>
      <c r="H1585" s="6" t="s">
        <v>109</v>
      </c>
      <c r="I1585" s="1" t="n">
        <v>1</v>
      </c>
      <c r="J1585" s="7" t="n">
        <v>9712.19</v>
      </c>
      <c r="K1585" s="8" t="n">
        <v>0</v>
      </c>
      <c r="L1585" s="7" t="n">
        <v>5932.12</v>
      </c>
      <c r="M1585" s="6" t="s">
        <v>49</v>
      </c>
      <c r="N1585" s="6" t="s">
        <v>52</v>
      </c>
      <c r="O1585" s="6" t="n">
        <f aca="false">IF(TablaVentas[[#This Row],[Precio_unitario]]="","PENDIENTE",TablaVentas[[#This Row],[Unidades]]*TablaVentas[[#This Row],[Precio_unitario]]*(1-TablaVentas[[#This Row],[Descuento_pct]]))</f>
        <v>9712.19</v>
      </c>
      <c r="P1585" s="6" t="n">
        <f aca="false">IF(TablaVentas[[#This Row],[Costo_unitario]]="","PENDIENTE",TablaVentas[[#This Row],[Unidades]]*TablaVentas[[#This Row],[Costo_unitario]])</f>
        <v>5932.12</v>
      </c>
      <c r="Q1585" s="6" t="n">
        <f aca="false">IF(OR(TablaVentas[[#This Row],[Ingreso_neto]]="PENDIENTE",TablaVentas[[#This Row],[Costo_total]]="PENDIENTE"),"PENDIENTE",TablaVentas[[#This Row],[Ingreso_neto]]-TablaVentas[[#This Row],[Costo_total]])</f>
        <v>3780.07</v>
      </c>
    </row>
    <row r="1586" customFormat="false" ht="13.5" hidden="false" customHeight="false" outlineLevel="0" collapsed="false">
      <c r="A1586" s="1" t="s">
        <v>1072</v>
      </c>
      <c r="B1586" s="1" t="n">
        <v>2</v>
      </c>
      <c r="C1586" s="5" t="n">
        <v>46130</v>
      </c>
      <c r="D1586" s="6" t="s">
        <v>319</v>
      </c>
      <c r="E1586" s="6" t="s">
        <v>155</v>
      </c>
      <c r="F1586" s="6" t="s">
        <v>46</v>
      </c>
      <c r="G1586" s="6" t="s">
        <v>64</v>
      </c>
      <c r="H1586" s="6" t="s">
        <v>109</v>
      </c>
      <c r="I1586" s="1" t="n">
        <v>2</v>
      </c>
      <c r="J1586" s="7" t="n">
        <v>3054.76</v>
      </c>
      <c r="K1586" s="8" t="n">
        <v>0.15</v>
      </c>
      <c r="L1586" s="7" t="n">
        <v>2459.34</v>
      </c>
      <c r="M1586" s="6" t="s">
        <v>49</v>
      </c>
      <c r="N1586" s="6" t="s">
        <v>50</v>
      </c>
      <c r="O1586" s="6" t="n">
        <f aca="false">IF(TablaVentas[[#This Row],[Precio_unitario]]="","PENDIENTE",TablaVentas[[#This Row],[Unidades]]*TablaVentas[[#This Row],[Precio_unitario]]*(1-TablaVentas[[#This Row],[Descuento_pct]]))</f>
        <v>5193.092</v>
      </c>
      <c r="P1586" s="6" t="n">
        <f aca="false">IF(TablaVentas[[#This Row],[Costo_unitario]]="","PENDIENTE",TablaVentas[[#This Row],[Unidades]]*TablaVentas[[#This Row],[Costo_unitario]])</f>
        <v>4918.68</v>
      </c>
      <c r="Q1586" s="6" t="n">
        <f aca="false">IF(OR(TablaVentas[[#This Row],[Ingreso_neto]]="PENDIENTE",TablaVentas[[#This Row],[Costo_total]]="PENDIENTE"),"PENDIENTE",TablaVentas[[#This Row],[Ingreso_neto]]-TablaVentas[[#This Row],[Costo_total]])</f>
        <v>274.412</v>
      </c>
    </row>
    <row r="1587" customFormat="false" ht="13.5" hidden="false" customHeight="false" outlineLevel="0" collapsed="false">
      <c r="A1587" s="1" t="s">
        <v>1072</v>
      </c>
      <c r="B1587" s="1" t="n">
        <v>3</v>
      </c>
      <c r="C1587" s="5" t="n">
        <v>46130</v>
      </c>
      <c r="D1587" s="6" t="s">
        <v>319</v>
      </c>
      <c r="E1587" s="6" t="s">
        <v>159</v>
      </c>
      <c r="F1587" s="6" t="s">
        <v>46</v>
      </c>
      <c r="G1587" s="6" t="s">
        <v>64</v>
      </c>
      <c r="H1587" s="6" t="s">
        <v>109</v>
      </c>
      <c r="I1587" s="1" t="n">
        <v>2</v>
      </c>
      <c r="J1587" s="7" t="n">
        <v>2857.57</v>
      </c>
      <c r="K1587" s="8" t="n">
        <v>0.05</v>
      </c>
      <c r="L1587" s="7" t="n">
        <v>1962.3</v>
      </c>
      <c r="M1587" s="6" t="s">
        <v>49</v>
      </c>
      <c r="N1587" s="6" t="s">
        <v>67</v>
      </c>
      <c r="O1587" s="6" t="n">
        <f aca="false">IF(TablaVentas[[#This Row],[Precio_unitario]]="","PENDIENTE",TablaVentas[[#This Row],[Unidades]]*TablaVentas[[#This Row],[Precio_unitario]]*(1-TablaVentas[[#This Row],[Descuento_pct]]))</f>
        <v>5429.383</v>
      </c>
      <c r="P1587" s="6" t="n">
        <f aca="false">IF(TablaVentas[[#This Row],[Costo_unitario]]="","PENDIENTE",TablaVentas[[#This Row],[Unidades]]*TablaVentas[[#This Row],[Costo_unitario]])</f>
        <v>3924.6</v>
      </c>
      <c r="Q1587" s="6" t="n">
        <f aca="false">IF(OR(TablaVentas[[#This Row],[Ingreso_neto]]="PENDIENTE",TablaVentas[[#This Row],[Costo_total]]="PENDIENTE"),"PENDIENTE",TablaVentas[[#This Row],[Ingreso_neto]]-TablaVentas[[#This Row],[Costo_total]])</f>
        <v>1504.783</v>
      </c>
    </row>
    <row r="1588" customFormat="false" ht="13.5" hidden="false" customHeight="false" outlineLevel="0" collapsed="false">
      <c r="A1588" s="1" t="s">
        <v>1073</v>
      </c>
      <c r="B1588" s="1" t="n">
        <v>1</v>
      </c>
      <c r="C1588" s="5" t="n">
        <v>46057</v>
      </c>
      <c r="D1588" s="6" t="s">
        <v>212</v>
      </c>
      <c r="E1588" s="6" t="s">
        <v>116</v>
      </c>
      <c r="F1588" s="6" t="s">
        <v>73</v>
      </c>
      <c r="G1588" s="6" t="s">
        <v>47</v>
      </c>
      <c r="H1588" s="6" t="s">
        <v>74</v>
      </c>
      <c r="I1588" s="1" t="n">
        <v>4</v>
      </c>
      <c r="J1588" s="7" t="n">
        <v>15090.7</v>
      </c>
      <c r="K1588" s="8" t="n">
        <v>0</v>
      </c>
      <c r="L1588" s="7" t="n">
        <v>9880.77</v>
      </c>
      <c r="M1588" s="6" t="s">
        <v>49</v>
      </c>
      <c r="N1588" s="6" t="s">
        <v>50</v>
      </c>
      <c r="O1588" s="6" t="n">
        <f aca="false">IF(TablaVentas[[#This Row],[Precio_unitario]]="","PENDIENTE",TablaVentas[[#This Row],[Unidades]]*TablaVentas[[#This Row],[Precio_unitario]]*(1-TablaVentas[[#This Row],[Descuento_pct]]))</f>
        <v>60362.8</v>
      </c>
      <c r="P1588" s="6" t="n">
        <f aca="false">IF(TablaVentas[[#This Row],[Costo_unitario]]="","PENDIENTE",TablaVentas[[#This Row],[Unidades]]*TablaVentas[[#This Row],[Costo_unitario]])</f>
        <v>39523.08</v>
      </c>
      <c r="Q1588" s="6" t="n">
        <f aca="false">IF(OR(TablaVentas[[#This Row],[Ingreso_neto]]="PENDIENTE",TablaVentas[[#This Row],[Costo_total]]="PENDIENTE"),"PENDIENTE",TablaVentas[[#This Row],[Ingreso_neto]]-TablaVentas[[#This Row],[Costo_total]])</f>
        <v>20839.72</v>
      </c>
    </row>
    <row r="1589" customFormat="false" ht="13.5" hidden="false" customHeight="false" outlineLevel="0" collapsed="false">
      <c r="A1589" s="1" t="s">
        <v>1073</v>
      </c>
      <c r="B1589" s="1" t="n">
        <v>2</v>
      </c>
      <c r="C1589" s="5" t="n">
        <v>46057</v>
      </c>
      <c r="D1589" s="6" t="s">
        <v>212</v>
      </c>
      <c r="E1589" s="6" t="s">
        <v>77</v>
      </c>
      <c r="F1589" s="6" t="s">
        <v>73</v>
      </c>
      <c r="G1589" s="6" t="s">
        <v>47</v>
      </c>
      <c r="H1589" s="6" t="s">
        <v>74</v>
      </c>
      <c r="I1589" s="1" t="n">
        <v>1</v>
      </c>
      <c r="J1589" s="7" t="n">
        <v>15700.41</v>
      </c>
      <c r="K1589" s="8" t="n">
        <v>0.05</v>
      </c>
      <c r="L1589" s="7" t="n">
        <v>10571.25</v>
      </c>
      <c r="M1589" s="6" t="s">
        <v>49</v>
      </c>
      <c r="N1589" s="6" t="s">
        <v>50</v>
      </c>
      <c r="O1589" s="6" t="n">
        <f aca="false">IF(TablaVentas[[#This Row],[Precio_unitario]]="","PENDIENTE",TablaVentas[[#This Row],[Unidades]]*TablaVentas[[#This Row],[Precio_unitario]]*(1-TablaVentas[[#This Row],[Descuento_pct]]))</f>
        <v>14915.3895</v>
      </c>
      <c r="P1589" s="6" t="n">
        <f aca="false">IF(TablaVentas[[#This Row],[Costo_unitario]]="","PENDIENTE",TablaVentas[[#This Row],[Unidades]]*TablaVentas[[#This Row],[Costo_unitario]])</f>
        <v>10571.25</v>
      </c>
      <c r="Q1589" s="6" t="n">
        <f aca="false">IF(OR(TablaVentas[[#This Row],[Ingreso_neto]]="PENDIENTE",TablaVentas[[#This Row],[Costo_total]]="PENDIENTE"),"PENDIENTE",TablaVentas[[#This Row],[Ingreso_neto]]-TablaVentas[[#This Row],[Costo_total]])</f>
        <v>4344.1395</v>
      </c>
    </row>
    <row r="1590" customFormat="false" ht="13.5" hidden="false" customHeight="false" outlineLevel="0" collapsed="false">
      <c r="A1590" s="1" t="s">
        <v>1073</v>
      </c>
      <c r="B1590" s="1" t="n">
        <v>3</v>
      </c>
      <c r="C1590" s="5" t="n">
        <v>46057</v>
      </c>
      <c r="D1590" s="6" t="s">
        <v>212</v>
      </c>
      <c r="E1590" s="6" t="s">
        <v>544</v>
      </c>
      <c r="F1590" s="6" t="s">
        <v>73</v>
      </c>
      <c r="G1590" s="6" t="s">
        <v>47</v>
      </c>
      <c r="H1590" s="6" t="s">
        <v>74</v>
      </c>
      <c r="I1590" s="1" t="n">
        <v>1</v>
      </c>
      <c r="J1590" s="7" t="n">
        <v>5419.26</v>
      </c>
      <c r="K1590" s="8" t="n">
        <v>0</v>
      </c>
      <c r="L1590" s="7" t="n">
        <v>4556.23</v>
      </c>
      <c r="M1590" s="6" t="s">
        <v>123</v>
      </c>
      <c r="N1590" s="6" t="s">
        <v>50</v>
      </c>
      <c r="O1590" s="6" t="n">
        <f aca="false">IF(TablaVentas[[#This Row],[Precio_unitario]]="","PENDIENTE",TablaVentas[[#This Row],[Unidades]]*TablaVentas[[#This Row],[Precio_unitario]]*(1-TablaVentas[[#This Row],[Descuento_pct]]))</f>
        <v>5419.26</v>
      </c>
      <c r="P1590" s="6" t="n">
        <f aca="false">IF(TablaVentas[[#This Row],[Costo_unitario]]="","PENDIENTE",TablaVentas[[#This Row],[Unidades]]*TablaVentas[[#This Row],[Costo_unitario]])</f>
        <v>4556.23</v>
      </c>
      <c r="Q1590" s="6" t="n">
        <f aca="false">IF(OR(TablaVentas[[#This Row],[Ingreso_neto]]="PENDIENTE",TablaVentas[[#This Row],[Costo_total]]="PENDIENTE"),"PENDIENTE",TablaVentas[[#This Row],[Ingreso_neto]]-TablaVentas[[#This Row],[Costo_total]])</f>
        <v>863.030000000001</v>
      </c>
    </row>
    <row r="1591" customFormat="false" ht="13.5" hidden="false" customHeight="false" outlineLevel="0" collapsed="false">
      <c r="A1591" s="1" t="s">
        <v>1074</v>
      </c>
      <c r="B1591" s="1" t="n">
        <v>1</v>
      </c>
      <c r="C1591" s="5" t="n">
        <v>46044</v>
      </c>
      <c r="D1591" s="6" t="s">
        <v>448</v>
      </c>
      <c r="E1591" s="6" t="s">
        <v>218</v>
      </c>
      <c r="F1591" s="6" t="s">
        <v>46</v>
      </c>
      <c r="G1591" s="6" t="s">
        <v>57</v>
      </c>
      <c r="H1591" s="6" t="s">
        <v>74</v>
      </c>
      <c r="I1591" s="1" t="n">
        <v>1</v>
      </c>
      <c r="J1591" s="7" t="n">
        <v>17931.63</v>
      </c>
      <c r="K1591" s="8" t="n">
        <v>0</v>
      </c>
      <c r="L1591" s="7" t="n">
        <v>13760.53</v>
      </c>
      <c r="M1591" s="6" t="s">
        <v>49</v>
      </c>
      <c r="N1591" s="6" t="s">
        <v>52</v>
      </c>
      <c r="O1591" s="6" t="n">
        <f aca="false">IF(TablaVentas[[#This Row],[Precio_unitario]]="","PENDIENTE",TablaVentas[[#This Row],[Unidades]]*TablaVentas[[#This Row],[Precio_unitario]]*(1-TablaVentas[[#This Row],[Descuento_pct]]))</f>
        <v>17931.63</v>
      </c>
      <c r="P1591" s="6" t="n">
        <f aca="false">IF(TablaVentas[[#This Row],[Costo_unitario]]="","PENDIENTE",TablaVentas[[#This Row],[Unidades]]*TablaVentas[[#This Row],[Costo_unitario]])</f>
        <v>13760.53</v>
      </c>
      <c r="Q1591" s="6" t="n">
        <f aca="false">IF(OR(TablaVentas[[#This Row],[Ingreso_neto]]="PENDIENTE",TablaVentas[[#This Row],[Costo_total]]="PENDIENTE"),"PENDIENTE",TablaVentas[[#This Row],[Ingreso_neto]]-TablaVentas[[#This Row],[Costo_total]])</f>
        <v>4171.1</v>
      </c>
    </row>
    <row r="1592" customFormat="false" ht="13.5" hidden="false" customHeight="false" outlineLevel="0" collapsed="false">
      <c r="A1592" s="1" t="s">
        <v>1074</v>
      </c>
      <c r="B1592" s="1" t="n">
        <v>2</v>
      </c>
      <c r="C1592" s="5" t="n">
        <v>46044</v>
      </c>
      <c r="D1592" s="6" t="s">
        <v>448</v>
      </c>
      <c r="E1592" s="6" t="s">
        <v>243</v>
      </c>
      <c r="F1592" s="6" t="s">
        <v>46</v>
      </c>
      <c r="G1592" s="6" t="s">
        <v>57</v>
      </c>
      <c r="H1592" s="6" t="s">
        <v>74</v>
      </c>
      <c r="I1592" s="1" t="n">
        <v>5</v>
      </c>
      <c r="J1592" s="7" t="n">
        <v>10356.5</v>
      </c>
      <c r="K1592" s="8" t="n">
        <v>0.05</v>
      </c>
      <c r="L1592" s="7" t="n">
        <v>8061.7</v>
      </c>
      <c r="M1592" s="6" t="s">
        <v>49</v>
      </c>
      <c r="N1592" s="6" t="s">
        <v>50</v>
      </c>
      <c r="O1592" s="6" t="n">
        <f aca="false">IF(TablaVentas[[#This Row],[Precio_unitario]]="","PENDIENTE",TablaVentas[[#This Row],[Unidades]]*TablaVentas[[#This Row],[Precio_unitario]]*(1-TablaVentas[[#This Row],[Descuento_pct]]))</f>
        <v>49193.375</v>
      </c>
      <c r="P1592" s="6" t="n">
        <f aca="false">IF(TablaVentas[[#This Row],[Costo_unitario]]="","PENDIENTE",TablaVentas[[#This Row],[Unidades]]*TablaVentas[[#This Row],[Costo_unitario]])</f>
        <v>40308.5</v>
      </c>
      <c r="Q1592" s="6" t="n">
        <f aca="false">IF(OR(TablaVentas[[#This Row],[Ingreso_neto]]="PENDIENTE",TablaVentas[[#This Row],[Costo_total]]="PENDIENTE"),"PENDIENTE",TablaVentas[[#This Row],[Ingreso_neto]]-TablaVentas[[#This Row],[Costo_total]])</f>
        <v>8884.875</v>
      </c>
    </row>
    <row r="1593" customFormat="false" ht="13.5" hidden="false" customHeight="false" outlineLevel="0" collapsed="false">
      <c r="A1593" s="1" t="s">
        <v>1075</v>
      </c>
      <c r="B1593" s="1" t="n">
        <v>1</v>
      </c>
      <c r="C1593" s="5" t="n">
        <v>46161</v>
      </c>
      <c r="D1593" s="6" t="s">
        <v>799</v>
      </c>
      <c r="E1593" s="6" t="s">
        <v>126</v>
      </c>
      <c r="F1593" s="6" t="s">
        <v>84</v>
      </c>
      <c r="G1593" s="6" t="s">
        <v>47</v>
      </c>
      <c r="H1593" s="6" t="s">
        <v>131</v>
      </c>
      <c r="I1593" s="1" t="n">
        <v>2</v>
      </c>
      <c r="J1593" s="7" t="n">
        <v>9544.84</v>
      </c>
      <c r="K1593" s="8" t="n">
        <v>0</v>
      </c>
      <c r="L1593" s="7" t="n">
        <v>6981.94</v>
      </c>
      <c r="M1593" s="6" t="s">
        <v>49</v>
      </c>
      <c r="N1593" s="6" t="s">
        <v>67</v>
      </c>
      <c r="O1593" s="6" t="n">
        <f aca="false">IF(TablaVentas[[#This Row],[Precio_unitario]]="","PENDIENTE",TablaVentas[[#This Row],[Unidades]]*TablaVentas[[#This Row],[Precio_unitario]]*(1-TablaVentas[[#This Row],[Descuento_pct]]))</f>
        <v>19089.68</v>
      </c>
      <c r="P1593" s="6" t="n">
        <f aca="false">IF(TablaVentas[[#This Row],[Costo_unitario]]="","PENDIENTE",TablaVentas[[#This Row],[Unidades]]*TablaVentas[[#This Row],[Costo_unitario]])</f>
        <v>13963.88</v>
      </c>
      <c r="Q1593" s="6" t="n">
        <f aca="false">IF(OR(TablaVentas[[#This Row],[Ingreso_neto]]="PENDIENTE",TablaVentas[[#This Row],[Costo_total]]="PENDIENTE"),"PENDIENTE",TablaVentas[[#This Row],[Ingreso_neto]]-TablaVentas[[#This Row],[Costo_total]])</f>
        <v>5125.8</v>
      </c>
    </row>
    <row r="1594" customFormat="false" ht="13.5" hidden="false" customHeight="false" outlineLevel="0" collapsed="false">
      <c r="A1594" s="1" t="s">
        <v>1075</v>
      </c>
      <c r="B1594" s="1" t="n">
        <v>2</v>
      </c>
      <c r="C1594" s="5" t="n">
        <v>46161</v>
      </c>
      <c r="D1594" s="6" t="s">
        <v>799</v>
      </c>
      <c r="E1594" s="6" t="s">
        <v>179</v>
      </c>
      <c r="F1594" s="6" t="s">
        <v>84</v>
      </c>
      <c r="G1594" s="6" t="s">
        <v>47</v>
      </c>
      <c r="H1594" s="6" t="s">
        <v>131</v>
      </c>
      <c r="I1594" s="1" t="n">
        <v>1</v>
      </c>
      <c r="J1594" s="7" t="n">
        <v>16352.49</v>
      </c>
      <c r="K1594" s="8" t="n">
        <v>0</v>
      </c>
      <c r="L1594" s="7" t="n">
        <v>10830.17</v>
      </c>
      <c r="M1594" s="6" t="s">
        <v>123</v>
      </c>
      <c r="N1594" s="6" t="s">
        <v>59</v>
      </c>
      <c r="O1594" s="6" t="n">
        <f aca="false">IF(TablaVentas[[#This Row],[Precio_unitario]]="","PENDIENTE",TablaVentas[[#This Row],[Unidades]]*TablaVentas[[#This Row],[Precio_unitario]]*(1-TablaVentas[[#This Row],[Descuento_pct]]))</f>
        <v>16352.49</v>
      </c>
      <c r="P1594" s="6" t="n">
        <f aca="false">IF(TablaVentas[[#This Row],[Costo_unitario]]="","PENDIENTE",TablaVentas[[#This Row],[Unidades]]*TablaVentas[[#This Row],[Costo_unitario]])</f>
        <v>10830.17</v>
      </c>
      <c r="Q1594" s="6" t="n">
        <f aca="false">IF(OR(TablaVentas[[#This Row],[Ingreso_neto]]="PENDIENTE",TablaVentas[[#This Row],[Costo_total]]="PENDIENTE"),"PENDIENTE",TablaVentas[[#This Row],[Ingreso_neto]]-TablaVentas[[#This Row],[Costo_total]])</f>
        <v>5522.32</v>
      </c>
    </row>
    <row r="1595" customFormat="false" ht="13.5" hidden="false" customHeight="false" outlineLevel="0" collapsed="false">
      <c r="A1595" s="1" t="s">
        <v>1075</v>
      </c>
      <c r="B1595" s="1" t="n">
        <v>3</v>
      </c>
      <c r="C1595" s="5" t="n">
        <v>46161</v>
      </c>
      <c r="D1595" s="6" t="s">
        <v>799</v>
      </c>
      <c r="E1595" s="6" t="s">
        <v>142</v>
      </c>
      <c r="F1595" s="6" t="s">
        <v>84</v>
      </c>
      <c r="G1595" s="6" t="s">
        <v>47</v>
      </c>
      <c r="H1595" s="6" t="s">
        <v>131</v>
      </c>
      <c r="I1595" s="1" t="n">
        <v>1</v>
      </c>
      <c r="J1595" s="7" t="n">
        <v>1784.93</v>
      </c>
      <c r="K1595" s="8" t="n">
        <v>0</v>
      </c>
      <c r="L1595" s="7" t="n">
        <v>1529.93</v>
      </c>
      <c r="M1595" s="6" t="s">
        <v>49</v>
      </c>
      <c r="N1595" s="6" t="s">
        <v>59</v>
      </c>
      <c r="O1595" s="6" t="n">
        <f aca="false">IF(TablaVentas[[#This Row],[Precio_unitario]]="","PENDIENTE",TablaVentas[[#This Row],[Unidades]]*TablaVentas[[#This Row],[Precio_unitario]]*(1-TablaVentas[[#This Row],[Descuento_pct]]))</f>
        <v>1784.93</v>
      </c>
      <c r="P1595" s="6" t="n">
        <f aca="false">IF(TablaVentas[[#This Row],[Costo_unitario]]="","PENDIENTE",TablaVentas[[#This Row],[Unidades]]*TablaVentas[[#This Row],[Costo_unitario]])</f>
        <v>1529.93</v>
      </c>
      <c r="Q1595" s="6" t="n">
        <f aca="false">IF(OR(TablaVentas[[#This Row],[Ingreso_neto]]="PENDIENTE",TablaVentas[[#This Row],[Costo_total]]="PENDIENTE"),"PENDIENTE",TablaVentas[[#This Row],[Ingreso_neto]]-TablaVentas[[#This Row],[Costo_total]])</f>
        <v>255</v>
      </c>
    </row>
    <row r="1596" customFormat="false" ht="13.5" hidden="false" customHeight="false" outlineLevel="0" collapsed="false">
      <c r="A1596" s="1" t="s">
        <v>1076</v>
      </c>
      <c r="B1596" s="1" t="n">
        <v>1</v>
      </c>
      <c r="C1596" s="5" t="n">
        <v>46164</v>
      </c>
      <c r="D1596" s="6" t="s">
        <v>1077</v>
      </c>
      <c r="E1596" s="6" t="s">
        <v>263</v>
      </c>
      <c r="F1596" s="6" t="s">
        <v>63</v>
      </c>
      <c r="G1596" s="6" t="s">
        <v>64</v>
      </c>
      <c r="H1596" s="6" t="s">
        <v>80</v>
      </c>
      <c r="I1596" s="1" t="n">
        <v>5</v>
      </c>
      <c r="J1596" s="7" t="n">
        <v>18045.16</v>
      </c>
      <c r="K1596" s="8" t="n">
        <v>0</v>
      </c>
      <c r="L1596" s="7" t="n">
        <v>11666.57</v>
      </c>
      <c r="M1596" s="6" t="s">
        <v>49</v>
      </c>
      <c r="N1596" s="6" t="s">
        <v>67</v>
      </c>
      <c r="O1596" s="6" t="n">
        <f aca="false">IF(TablaVentas[[#This Row],[Precio_unitario]]="","PENDIENTE",TablaVentas[[#This Row],[Unidades]]*TablaVentas[[#This Row],[Precio_unitario]]*(1-TablaVentas[[#This Row],[Descuento_pct]]))</f>
        <v>90225.8</v>
      </c>
      <c r="P1596" s="6" t="n">
        <f aca="false">IF(TablaVentas[[#This Row],[Costo_unitario]]="","PENDIENTE",TablaVentas[[#This Row],[Unidades]]*TablaVentas[[#This Row],[Costo_unitario]])</f>
        <v>58332.85</v>
      </c>
      <c r="Q1596" s="6" t="n">
        <f aca="false">IF(OR(TablaVentas[[#This Row],[Ingreso_neto]]="PENDIENTE",TablaVentas[[#This Row],[Costo_total]]="PENDIENTE"),"PENDIENTE",TablaVentas[[#This Row],[Ingreso_neto]]-TablaVentas[[#This Row],[Costo_total]])</f>
        <v>31892.95</v>
      </c>
    </row>
    <row r="1597" customFormat="false" ht="13.5" hidden="false" customHeight="false" outlineLevel="0" collapsed="false">
      <c r="A1597" s="1" t="s">
        <v>1076</v>
      </c>
      <c r="B1597" s="1" t="n">
        <v>2</v>
      </c>
      <c r="C1597" s="5" t="n">
        <v>46164</v>
      </c>
      <c r="D1597" s="6" t="s">
        <v>1077</v>
      </c>
      <c r="E1597" s="6" t="s">
        <v>142</v>
      </c>
      <c r="F1597" s="6" t="s">
        <v>63</v>
      </c>
      <c r="G1597" s="6" t="s">
        <v>64</v>
      </c>
      <c r="H1597" s="6" t="s">
        <v>80</v>
      </c>
      <c r="I1597" s="1" t="n">
        <v>1</v>
      </c>
      <c r="J1597" s="7" t="n">
        <v>2026.1</v>
      </c>
      <c r="K1597" s="8" t="n">
        <v>0</v>
      </c>
      <c r="L1597" s="7" t="n">
        <v>1529.93</v>
      </c>
      <c r="M1597" s="6" t="s">
        <v>49</v>
      </c>
      <c r="N1597" s="6" t="s">
        <v>67</v>
      </c>
      <c r="O1597" s="6" t="n">
        <f aca="false">IF(TablaVentas[[#This Row],[Precio_unitario]]="","PENDIENTE",TablaVentas[[#This Row],[Unidades]]*TablaVentas[[#This Row],[Precio_unitario]]*(1-TablaVentas[[#This Row],[Descuento_pct]]))</f>
        <v>2026.1</v>
      </c>
      <c r="P1597" s="6" t="n">
        <f aca="false">IF(TablaVentas[[#This Row],[Costo_unitario]]="","PENDIENTE",TablaVentas[[#This Row],[Unidades]]*TablaVentas[[#This Row],[Costo_unitario]])</f>
        <v>1529.93</v>
      </c>
      <c r="Q1597" s="6" t="n">
        <f aca="false">IF(OR(TablaVentas[[#This Row],[Ingreso_neto]]="PENDIENTE",TablaVentas[[#This Row],[Costo_total]]="PENDIENTE"),"PENDIENTE",TablaVentas[[#This Row],[Ingreso_neto]]-TablaVentas[[#This Row],[Costo_total]])</f>
        <v>496.17</v>
      </c>
    </row>
    <row r="1598" customFormat="false" ht="13.5" hidden="false" customHeight="false" outlineLevel="0" collapsed="false">
      <c r="A1598" s="1" t="s">
        <v>1076</v>
      </c>
      <c r="B1598" s="1" t="n">
        <v>3</v>
      </c>
      <c r="C1598" s="5" t="n">
        <v>46164</v>
      </c>
      <c r="D1598" s="6" t="s">
        <v>1077</v>
      </c>
      <c r="E1598" s="6" t="s">
        <v>150</v>
      </c>
      <c r="F1598" s="6" t="s">
        <v>63</v>
      </c>
      <c r="G1598" s="6" t="s">
        <v>64</v>
      </c>
      <c r="H1598" s="6" t="s">
        <v>80</v>
      </c>
      <c r="I1598" s="1" t="n">
        <v>1</v>
      </c>
      <c r="J1598" s="7" t="n">
        <v>8512.91</v>
      </c>
      <c r="K1598" s="8" t="n">
        <v>0.1</v>
      </c>
      <c r="L1598" s="7" t="n">
        <v>6815.42</v>
      </c>
      <c r="M1598" s="6" t="s">
        <v>49</v>
      </c>
      <c r="N1598" s="6" t="s">
        <v>59</v>
      </c>
      <c r="O1598" s="6" t="n">
        <f aca="false">IF(TablaVentas[[#This Row],[Precio_unitario]]="","PENDIENTE",TablaVentas[[#This Row],[Unidades]]*TablaVentas[[#This Row],[Precio_unitario]]*(1-TablaVentas[[#This Row],[Descuento_pct]]))</f>
        <v>7661.619</v>
      </c>
      <c r="P1598" s="6" t="n">
        <f aca="false">IF(TablaVentas[[#This Row],[Costo_unitario]]="","PENDIENTE",TablaVentas[[#This Row],[Unidades]]*TablaVentas[[#This Row],[Costo_unitario]])</f>
        <v>6815.42</v>
      </c>
      <c r="Q1598" s="6" t="n">
        <f aca="false">IF(OR(TablaVentas[[#This Row],[Ingreso_neto]]="PENDIENTE",TablaVentas[[#This Row],[Costo_total]]="PENDIENTE"),"PENDIENTE",TablaVentas[[#This Row],[Ingreso_neto]]-TablaVentas[[#This Row],[Costo_total]])</f>
        <v>846.199</v>
      </c>
    </row>
    <row r="1599" customFormat="false" ht="13.5" hidden="false" customHeight="false" outlineLevel="0" collapsed="false">
      <c r="A1599" s="1" t="s">
        <v>1078</v>
      </c>
      <c r="B1599" s="1" t="n">
        <v>1</v>
      </c>
      <c r="C1599" s="5" t="n">
        <v>46079</v>
      </c>
      <c r="D1599" s="6" t="s">
        <v>525</v>
      </c>
      <c r="E1599" s="6" t="s">
        <v>280</v>
      </c>
      <c r="F1599" s="6" t="s">
        <v>73</v>
      </c>
      <c r="G1599" s="6" t="s">
        <v>47</v>
      </c>
      <c r="H1599" s="6" t="s">
        <v>65</v>
      </c>
      <c r="I1599" s="1" t="n">
        <v>1</v>
      </c>
      <c r="J1599" s="7" t="n">
        <v>1296.88</v>
      </c>
      <c r="K1599" s="8" t="n">
        <v>0</v>
      </c>
      <c r="L1599" s="7" t="n">
        <v>716.26</v>
      </c>
      <c r="M1599" s="6" t="s">
        <v>49</v>
      </c>
      <c r="N1599" s="6" t="s">
        <v>67</v>
      </c>
      <c r="O1599" s="6" t="n">
        <f aca="false">IF(TablaVentas[[#This Row],[Precio_unitario]]="","PENDIENTE",TablaVentas[[#This Row],[Unidades]]*TablaVentas[[#This Row],[Precio_unitario]]*(1-TablaVentas[[#This Row],[Descuento_pct]]))</f>
        <v>1296.88</v>
      </c>
      <c r="P1599" s="6" t="n">
        <f aca="false">IF(TablaVentas[[#This Row],[Costo_unitario]]="","PENDIENTE",TablaVentas[[#This Row],[Unidades]]*TablaVentas[[#This Row],[Costo_unitario]])</f>
        <v>716.26</v>
      </c>
      <c r="Q1599" s="6" t="n">
        <f aca="false">IF(OR(TablaVentas[[#This Row],[Ingreso_neto]]="PENDIENTE",TablaVentas[[#This Row],[Costo_total]]="PENDIENTE"),"PENDIENTE",TablaVentas[[#This Row],[Ingreso_neto]]-TablaVentas[[#This Row],[Costo_total]])</f>
        <v>580.62</v>
      </c>
    </row>
    <row r="1600" customFormat="false" ht="13.5" hidden="false" customHeight="false" outlineLevel="0" collapsed="false">
      <c r="A1600" s="1" t="s">
        <v>1079</v>
      </c>
      <c r="B1600" s="1" t="n">
        <v>1</v>
      </c>
      <c r="C1600" s="5" t="n">
        <v>46172</v>
      </c>
      <c r="D1600" s="6" t="s">
        <v>1080</v>
      </c>
      <c r="E1600" s="6" t="s">
        <v>91</v>
      </c>
      <c r="F1600" s="6" t="s">
        <v>63</v>
      </c>
      <c r="G1600" s="6" t="s">
        <v>57</v>
      </c>
      <c r="H1600" s="6" t="s">
        <v>74</v>
      </c>
      <c r="I1600" s="1" t="n">
        <v>1</v>
      </c>
      <c r="J1600" s="7" t="n">
        <v>14406.23</v>
      </c>
      <c r="K1600" s="8" t="n">
        <v>0.2</v>
      </c>
      <c r="L1600" s="7" t="n">
        <v>8576.05</v>
      </c>
      <c r="M1600" s="6" t="s">
        <v>49</v>
      </c>
      <c r="N1600" s="6" t="s">
        <v>67</v>
      </c>
      <c r="O1600" s="6" t="n">
        <f aca="false">IF(TablaVentas[[#This Row],[Precio_unitario]]="","PENDIENTE",TablaVentas[[#This Row],[Unidades]]*TablaVentas[[#This Row],[Precio_unitario]]*(1-TablaVentas[[#This Row],[Descuento_pct]]))</f>
        <v>11524.984</v>
      </c>
      <c r="P1600" s="6" t="n">
        <f aca="false">IF(TablaVentas[[#This Row],[Costo_unitario]]="","PENDIENTE",TablaVentas[[#This Row],[Unidades]]*TablaVentas[[#This Row],[Costo_unitario]])</f>
        <v>8576.05</v>
      </c>
      <c r="Q1600" s="6" t="n">
        <f aca="false">IF(OR(TablaVentas[[#This Row],[Ingreso_neto]]="PENDIENTE",TablaVentas[[#This Row],[Costo_total]]="PENDIENTE"),"PENDIENTE",TablaVentas[[#This Row],[Ingreso_neto]]-TablaVentas[[#This Row],[Costo_total]])</f>
        <v>2948.934</v>
      </c>
    </row>
    <row r="1601" customFormat="false" ht="13.5" hidden="false" customHeight="false" outlineLevel="0" collapsed="false">
      <c r="A1601" s="1" t="s">
        <v>1079</v>
      </c>
      <c r="B1601" s="1" t="n">
        <v>2</v>
      </c>
      <c r="C1601" s="5" t="n">
        <v>46172</v>
      </c>
      <c r="D1601" s="6" t="s">
        <v>1080</v>
      </c>
      <c r="E1601" s="6" t="s">
        <v>92</v>
      </c>
      <c r="F1601" s="6" t="s">
        <v>63</v>
      </c>
      <c r="G1601" s="6" t="s">
        <v>57</v>
      </c>
      <c r="H1601" s="6" t="s">
        <v>74</v>
      </c>
      <c r="I1601" s="1" t="n">
        <v>3</v>
      </c>
      <c r="J1601" s="7" t="n">
        <v>524.83</v>
      </c>
      <c r="K1601" s="8" t="n">
        <v>0</v>
      </c>
      <c r="L1601" s="7" t="n">
        <v>307.75</v>
      </c>
      <c r="M1601" s="6" t="s">
        <v>49</v>
      </c>
      <c r="N1601" s="6" t="s">
        <v>67</v>
      </c>
      <c r="O1601" s="6" t="n">
        <f aca="false">IF(TablaVentas[[#This Row],[Precio_unitario]]="","PENDIENTE",TablaVentas[[#This Row],[Unidades]]*TablaVentas[[#This Row],[Precio_unitario]]*(1-TablaVentas[[#This Row],[Descuento_pct]]))</f>
        <v>1574.49</v>
      </c>
      <c r="P1601" s="6" t="n">
        <f aca="false">IF(TablaVentas[[#This Row],[Costo_unitario]]="","PENDIENTE",TablaVentas[[#This Row],[Unidades]]*TablaVentas[[#This Row],[Costo_unitario]])</f>
        <v>923.25</v>
      </c>
      <c r="Q1601" s="6" t="n">
        <f aca="false">IF(OR(TablaVentas[[#This Row],[Ingreso_neto]]="PENDIENTE",TablaVentas[[#This Row],[Costo_total]]="PENDIENTE"),"PENDIENTE",TablaVentas[[#This Row],[Ingreso_neto]]-TablaVentas[[#This Row],[Costo_total]])</f>
        <v>651.24</v>
      </c>
    </row>
    <row r="1602" customFormat="false" ht="13.5" hidden="false" customHeight="false" outlineLevel="0" collapsed="false">
      <c r="A1602" s="1" t="s">
        <v>1081</v>
      </c>
      <c r="B1602" s="1" t="n">
        <v>1</v>
      </c>
      <c r="C1602" s="5" t="n">
        <v>46269</v>
      </c>
      <c r="D1602" s="6" t="s">
        <v>744</v>
      </c>
      <c r="E1602" s="6" t="s">
        <v>130</v>
      </c>
      <c r="F1602" s="6" t="s">
        <v>63</v>
      </c>
      <c r="G1602" s="6" t="s">
        <v>47</v>
      </c>
      <c r="H1602" s="6" t="s">
        <v>48</v>
      </c>
      <c r="I1602" s="1" t="n">
        <v>1</v>
      </c>
      <c r="J1602" s="7" t="n">
        <v>16723.26</v>
      </c>
      <c r="K1602" s="8" t="n">
        <v>0.1</v>
      </c>
      <c r="L1602" s="7" t="n">
        <v>12679.41</v>
      </c>
      <c r="M1602" s="6" t="s">
        <v>49</v>
      </c>
      <c r="N1602" s="6" t="s">
        <v>59</v>
      </c>
      <c r="O1602" s="6" t="n">
        <f aca="false">IF(TablaVentas[[#This Row],[Precio_unitario]]="","PENDIENTE",TablaVentas[[#This Row],[Unidades]]*TablaVentas[[#This Row],[Precio_unitario]]*(1-TablaVentas[[#This Row],[Descuento_pct]]))</f>
        <v>15050.934</v>
      </c>
      <c r="P1602" s="6" t="n">
        <f aca="false">IF(TablaVentas[[#This Row],[Costo_unitario]]="","PENDIENTE",TablaVentas[[#This Row],[Unidades]]*TablaVentas[[#This Row],[Costo_unitario]])</f>
        <v>12679.41</v>
      </c>
      <c r="Q1602" s="6" t="n">
        <f aca="false">IF(OR(TablaVentas[[#This Row],[Ingreso_neto]]="PENDIENTE",TablaVentas[[#This Row],[Costo_total]]="PENDIENTE"),"PENDIENTE",TablaVentas[[#This Row],[Ingreso_neto]]-TablaVentas[[#This Row],[Costo_total]])</f>
        <v>2371.524</v>
      </c>
    </row>
    <row r="1603" customFormat="false" ht="13.5" hidden="false" customHeight="false" outlineLevel="0" collapsed="false">
      <c r="A1603" s="1" t="s">
        <v>1082</v>
      </c>
      <c r="B1603" s="1" t="n">
        <v>1</v>
      </c>
      <c r="C1603" s="5" t="n">
        <v>46186</v>
      </c>
      <c r="D1603" s="6" t="s">
        <v>339</v>
      </c>
      <c r="E1603" s="6" t="s">
        <v>360</v>
      </c>
      <c r="F1603" s="6" t="s">
        <v>46</v>
      </c>
      <c r="G1603" s="6" t="s">
        <v>64</v>
      </c>
      <c r="H1603" s="6" t="s">
        <v>131</v>
      </c>
      <c r="I1603" s="1" t="n">
        <v>3</v>
      </c>
      <c r="J1603" s="7" t="n">
        <v>2301.98</v>
      </c>
      <c r="K1603" s="8" t="n">
        <v>0.15</v>
      </c>
      <c r="L1603" s="7" t="n">
        <v>1479.71</v>
      </c>
      <c r="M1603" s="6" t="s">
        <v>69</v>
      </c>
      <c r="N1603" s="6" t="s">
        <v>67</v>
      </c>
      <c r="O1603" s="6" t="n">
        <f aca="false">IF(TablaVentas[[#This Row],[Precio_unitario]]="","PENDIENTE",TablaVentas[[#This Row],[Unidades]]*TablaVentas[[#This Row],[Precio_unitario]]*(1-TablaVentas[[#This Row],[Descuento_pct]]))</f>
        <v>5870.049</v>
      </c>
      <c r="P1603" s="6" t="n">
        <f aca="false">IF(TablaVentas[[#This Row],[Costo_unitario]]="","PENDIENTE",TablaVentas[[#This Row],[Unidades]]*TablaVentas[[#This Row],[Costo_unitario]])</f>
        <v>4439.13</v>
      </c>
      <c r="Q1603" s="6" t="n">
        <f aca="false">IF(OR(TablaVentas[[#This Row],[Ingreso_neto]]="PENDIENTE",TablaVentas[[#This Row],[Costo_total]]="PENDIENTE"),"PENDIENTE",TablaVentas[[#This Row],[Ingreso_neto]]-TablaVentas[[#This Row],[Costo_total]])</f>
        <v>1430.919</v>
      </c>
    </row>
    <row r="1604" customFormat="false" ht="13.5" hidden="false" customHeight="false" outlineLevel="0" collapsed="false">
      <c r="A1604" s="1" t="s">
        <v>1082</v>
      </c>
      <c r="B1604" s="1" t="n">
        <v>2</v>
      </c>
      <c r="C1604" s="5" t="n">
        <v>46186</v>
      </c>
      <c r="D1604" s="6" t="s">
        <v>339</v>
      </c>
      <c r="E1604" s="6" t="s">
        <v>179</v>
      </c>
      <c r="F1604" s="6" t="s">
        <v>46</v>
      </c>
      <c r="G1604" s="6" t="s">
        <v>64</v>
      </c>
      <c r="H1604" s="6" t="s">
        <v>131</v>
      </c>
      <c r="I1604" s="1" t="n">
        <v>1</v>
      </c>
      <c r="J1604" s="7" t="n">
        <v>14905.24</v>
      </c>
      <c r="K1604" s="8" t="n">
        <v>0.15</v>
      </c>
      <c r="L1604" s="7" t="n">
        <v>10830.17</v>
      </c>
      <c r="M1604" s="6" t="s">
        <v>49</v>
      </c>
      <c r="N1604" s="6" t="s">
        <v>59</v>
      </c>
      <c r="O1604" s="6" t="n">
        <f aca="false">IF(TablaVentas[[#This Row],[Precio_unitario]]="","PENDIENTE",TablaVentas[[#This Row],[Unidades]]*TablaVentas[[#This Row],[Precio_unitario]]*(1-TablaVentas[[#This Row],[Descuento_pct]]))</f>
        <v>12669.454</v>
      </c>
      <c r="P1604" s="6" t="n">
        <f aca="false">IF(TablaVentas[[#This Row],[Costo_unitario]]="","PENDIENTE",TablaVentas[[#This Row],[Unidades]]*TablaVentas[[#This Row],[Costo_unitario]])</f>
        <v>10830.17</v>
      </c>
      <c r="Q1604" s="6" t="n">
        <f aca="false">IF(OR(TablaVentas[[#This Row],[Ingreso_neto]]="PENDIENTE",TablaVentas[[#This Row],[Costo_total]]="PENDIENTE"),"PENDIENTE",TablaVentas[[#This Row],[Ingreso_neto]]-TablaVentas[[#This Row],[Costo_total]])</f>
        <v>1839.284</v>
      </c>
    </row>
    <row r="1605" customFormat="false" ht="13.5" hidden="false" customHeight="false" outlineLevel="0" collapsed="false">
      <c r="A1605" s="1" t="s">
        <v>1082</v>
      </c>
      <c r="B1605" s="1" t="n">
        <v>3</v>
      </c>
      <c r="C1605" s="5" t="n">
        <v>46186</v>
      </c>
      <c r="D1605" s="6" t="s">
        <v>339</v>
      </c>
      <c r="E1605" s="6" t="s">
        <v>68</v>
      </c>
      <c r="F1605" s="6" t="s">
        <v>46</v>
      </c>
      <c r="G1605" s="6" t="s">
        <v>64</v>
      </c>
      <c r="H1605" s="6" t="s">
        <v>131</v>
      </c>
      <c r="I1605" s="1" t="n">
        <v>3</v>
      </c>
      <c r="J1605" s="7" t="n">
        <v>4349.75</v>
      </c>
      <c r="K1605" s="8" t="n">
        <v>0</v>
      </c>
      <c r="L1605" s="7" t="n">
        <v>2554.06</v>
      </c>
      <c r="M1605" s="6" t="s">
        <v>49</v>
      </c>
      <c r="N1605" s="6" t="s">
        <v>67</v>
      </c>
      <c r="O1605" s="6" t="n">
        <f aca="false">IF(TablaVentas[[#This Row],[Precio_unitario]]="","PENDIENTE",TablaVentas[[#This Row],[Unidades]]*TablaVentas[[#This Row],[Precio_unitario]]*(1-TablaVentas[[#This Row],[Descuento_pct]]))</f>
        <v>13049.25</v>
      </c>
      <c r="P1605" s="6" t="n">
        <f aca="false">IF(TablaVentas[[#This Row],[Costo_unitario]]="","PENDIENTE",TablaVentas[[#This Row],[Unidades]]*TablaVentas[[#This Row],[Costo_unitario]])</f>
        <v>7662.18</v>
      </c>
      <c r="Q1605" s="6" t="n">
        <f aca="false">IF(OR(TablaVentas[[#This Row],[Ingreso_neto]]="PENDIENTE",TablaVentas[[#This Row],[Costo_total]]="PENDIENTE"),"PENDIENTE",TablaVentas[[#This Row],[Ingreso_neto]]-TablaVentas[[#This Row],[Costo_total]])</f>
        <v>5387.07</v>
      </c>
    </row>
    <row r="1606" customFormat="false" ht="13.5" hidden="false" customHeight="false" outlineLevel="0" collapsed="false">
      <c r="A1606" s="1" t="s">
        <v>1083</v>
      </c>
      <c r="B1606" s="1" t="n">
        <v>1</v>
      </c>
      <c r="C1606" s="5" t="n">
        <v>46219</v>
      </c>
      <c r="D1606" s="6" t="s">
        <v>409</v>
      </c>
      <c r="E1606" s="6" t="s">
        <v>234</v>
      </c>
      <c r="F1606" s="6" t="s">
        <v>73</v>
      </c>
      <c r="G1606" s="6" t="s">
        <v>57</v>
      </c>
      <c r="H1606" s="6" t="s">
        <v>74</v>
      </c>
      <c r="I1606" s="1" t="n">
        <v>2</v>
      </c>
      <c r="J1606" s="7" t="n">
        <v>8966.1</v>
      </c>
      <c r="K1606" s="8" t="n">
        <v>0.15</v>
      </c>
      <c r="L1606" s="7" t="n">
        <v>6255.13</v>
      </c>
      <c r="M1606" s="6" t="s">
        <v>49</v>
      </c>
      <c r="N1606" s="6" t="s">
        <v>59</v>
      </c>
      <c r="O1606" s="6" t="n">
        <f aca="false">IF(TablaVentas[[#This Row],[Precio_unitario]]="","PENDIENTE",TablaVentas[[#This Row],[Unidades]]*TablaVentas[[#This Row],[Precio_unitario]]*(1-TablaVentas[[#This Row],[Descuento_pct]]))</f>
        <v>15242.37</v>
      </c>
      <c r="P1606" s="6" t="n">
        <f aca="false">IF(TablaVentas[[#This Row],[Costo_unitario]]="","PENDIENTE",TablaVentas[[#This Row],[Unidades]]*TablaVentas[[#This Row],[Costo_unitario]])</f>
        <v>12510.26</v>
      </c>
      <c r="Q1606" s="6" t="n">
        <f aca="false">IF(OR(TablaVentas[[#This Row],[Ingreso_neto]]="PENDIENTE",TablaVentas[[#This Row],[Costo_total]]="PENDIENTE"),"PENDIENTE",TablaVentas[[#This Row],[Ingreso_neto]]-TablaVentas[[#This Row],[Costo_total]])</f>
        <v>2732.11</v>
      </c>
    </row>
    <row r="1607" customFormat="false" ht="13.5" hidden="false" customHeight="false" outlineLevel="0" collapsed="false">
      <c r="A1607" s="1" t="s">
        <v>1083</v>
      </c>
      <c r="B1607" s="1" t="n">
        <v>2</v>
      </c>
      <c r="C1607" s="5" t="n">
        <v>46219</v>
      </c>
      <c r="D1607" s="6" t="s">
        <v>409</v>
      </c>
      <c r="E1607" s="6" t="s">
        <v>243</v>
      </c>
      <c r="F1607" s="6" t="s">
        <v>73</v>
      </c>
      <c r="G1607" s="6" t="s">
        <v>57</v>
      </c>
      <c r="H1607" s="6" t="s">
        <v>74</v>
      </c>
      <c r="I1607" s="1" t="n">
        <v>5</v>
      </c>
      <c r="J1607" s="7" t="n">
        <v>9342.8</v>
      </c>
      <c r="K1607" s="8" t="n">
        <v>0.15</v>
      </c>
      <c r="L1607" s="7" t="n">
        <v>8061.7</v>
      </c>
      <c r="M1607" s="6" t="s">
        <v>49</v>
      </c>
      <c r="N1607" s="6" t="s">
        <v>67</v>
      </c>
      <c r="O1607" s="6" t="n">
        <f aca="false">IF(TablaVentas[[#This Row],[Precio_unitario]]="","PENDIENTE",TablaVentas[[#This Row],[Unidades]]*TablaVentas[[#This Row],[Precio_unitario]]*(1-TablaVentas[[#This Row],[Descuento_pct]]))</f>
        <v>39706.9</v>
      </c>
      <c r="P1607" s="6" t="n">
        <f aca="false">IF(TablaVentas[[#This Row],[Costo_unitario]]="","PENDIENTE",TablaVentas[[#This Row],[Unidades]]*TablaVentas[[#This Row],[Costo_unitario]])</f>
        <v>40308.5</v>
      </c>
      <c r="Q1607" s="6" t="n">
        <f aca="false">IF(OR(TablaVentas[[#This Row],[Ingreso_neto]]="PENDIENTE",TablaVentas[[#This Row],[Costo_total]]="PENDIENTE"),"PENDIENTE",TablaVentas[[#This Row],[Ingreso_neto]]-TablaVentas[[#This Row],[Costo_total]])</f>
        <v>-601.599999999999</v>
      </c>
    </row>
    <row r="1608" customFormat="false" ht="13.5" hidden="false" customHeight="false" outlineLevel="0" collapsed="false">
      <c r="A1608" s="1" t="s">
        <v>1083</v>
      </c>
      <c r="B1608" s="1" t="n">
        <v>3</v>
      </c>
      <c r="C1608" s="5" t="n">
        <v>46219</v>
      </c>
      <c r="D1608" s="6" t="s">
        <v>409</v>
      </c>
      <c r="E1608" s="6" t="s">
        <v>210</v>
      </c>
      <c r="F1608" s="6" t="s">
        <v>73</v>
      </c>
      <c r="G1608" s="6" t="s">
        <v>57</v>
      </c>
      <c r="H1608" s="6" t="s">
        <v>74</v>
      </c>
      <c r="I1608" s="1" t="n">
        <v>1</v>
      </c>
      <c r="J1608" s="7" t="n">
        <v>1881.36</v>
      </c>
      <c r="K1608" s="8" t="n">
        <v>0</v>
      </c>
      <c r="L1608" s="7" t="n">
        <v>1252.84</v>
      </c>
      <c r="M1608" s="6" t="s">
        <v>49</v>
      </c>
      <c r="N1608" s="6" t="s">
        <v>67</v>
      </c>
      <c r="O1608" s="6" t="n">
        <f aca="false">IF(TablaVentas[[#This Row],[Precio_unitario]]="","PENDIENTE",TablaVentas[[#This Row],[Unidades]]*TablaVentas[[#This Row],[Precio_unitario]]*(1-TablaVentas[[#This Row],[Descuento_pct]]))</f>
        <v>1881.36</v>
      </c>
      <c r="P1608" s="6" t="n">
        <f aca="false">IF(TablaVentas[[#This Row],[Costo_unitario]]="","PENDIENTE",TablaVentas[[#This Row],[Unidades]]*TablaVentas[[#This Row],[Costo_unitario]])</f>
        <v>1252.84</v>
      </c>
      <c r="Q1608" s="6" t="n">
        <f aca="false">IF(OR(TablaVentas[[#This Row],[Ingreso_neto]]="PENDIENTE",TablaVentas[[#This Row],[Costo_total]]="PENDIENTE"),"PENDIENTE",TablaVentas[[#This Row],[Ingreso_neto]]-TablaVentas[[#This Row],[Costo_total]])</f>
        <v>628.52</v>
      </c>
    </row>
    <row r="1609" customFormat="false" ht="13.5" hidden="false" customHeight="false" outlineLevel="0" collapsed="false">
      <c r="A1609" s="1" t="s">
        <v>1084</v>
      </c>
      <c r="B1609" s="1" t="n">
        <v>1</v>
      </c>
      <c r="C1609" s="5" t="n">
        <v>46042</v>
      </c>
      <c r="D1609" s="6" t="s">
        <v>491</v>
      </c>
      <c r="E1609" s="6" t="s">
        <v>192</v>
      </c>
      <c r="F1609" s="6" t="s">
        <v>73</v>
      </c>
      <c r="G1609" s="6" t="s">
        <v>47</v>
      </c>
      <c r="H1609" s="6" t="s">
        <v>58</v>
      </c>
      <c r="I1609" s="1" t="n">
        <v>5</v>
      </c>
      <c r="J1609" s="7" t="n">
        <v>16022.95</v>
      </c>
      <c r="K1609" s="8" t="n">
        <v>0.1</v>
      </c>
      <c r="L1609" s="7" t="n">
        <v>11904.09</v>
      </c>
      <c r="M1609" s="6" t="s">
        <v>49</v>
      </c>
      <c r="N1609" s="6" t="s">
        <v>52</v>
      </c>
      <c r="O1609" s="6" t="n">
        <f aca="false">IF(TablaVentas[[#This Row],[Precio_unitario]]="","PENDIENTE",TablaVentas[[#This Row],[Unidades]]*TablaVentas[[#This Row],[Precio_unitario]]*(1-TablaVentas[[#This Row],[Descuento_pct]]))</f>
        <v>72103.275</v>
      </c>
      <c r="P1609" s="6" t="n">
        <f aca="false">IF(TablaVentas[[#This Row],[Costo_unitario]]="","PENDIENTE",TablaVentas[[#This Row],[Unidades]]*TablaVentas[[#This Row],[Costo_unitario]])</f>
        <v>59520.45</v>
      </c>
      <c r="Q1609" s="6" t="n">
        <f aca="false">IF(OR(TablaVentas[[#This Row],[Ingreso_neto]]="PENDIENTE",TablaVentas[[#This Row],[Costo_total]]="PENDIENTE"),"PENDIENTE",TablaVentas[[#This Row],[Ingreso_neto]]-TablaVentas[[#This Row],[Costo_total]])</f>
        <v>12582.825</v>
      </c>
    </row>
    <row r="1610" customFormat="false" ht="13.5" hidden="false" customHeight="false" outlineLevel="0" collapsed="false">
      <c r="A1610" s="1" t="s">
        <v>1084</v>
      </c>
      <c r="B1610" s="1" t="n">
        <v>2</v>
      </c>
      <c r="C1610" s="5" t="n">
        <v>46042</v>
      </c>
      <c r="D1610" s="6" t="s">
        <v>491</v>
      </c>
      <c r="E1610" s="6" t="s">
        <v>139</v>
      </c>
      <c r="F1610" s="6" t="s">
        <v>73</v>
      </c>
      <c r="G1610" s="6" t="s">
        <v>47</v>
      </c>
      <c r="H1610" s="6" t="s">
        <v>58</v>
      </c>
      <c r="I1610" s="1" t="n">
        <v>2</v>
      </c>
      <c r="J1610" s="7" t="n">
        <v>17168.96</v>
      </c>
      <c r="K1610" s="8" t="n">
        <v>0</v>
      </c>
      <c r="L1610" s="7" t="n">
        <v>11036.95</v>
      </c>
      <c r="M1610" s="6" t="s">
        <v>49</v>
      </c>
      <c r="N1610" s="6" t="s">
        <v>67</v>
      </c>
      <c r="O1610" s="6" t="n">
        <f aca="false">IF(TablaVentas[[#This Row],[Precio_unitario]]="","PENDIENTE",TablaVentas[[#This Row],[Unidades]]*TablaVentas[[#This Row],[Precio_unitario]]*(1-TablaVentas[[#This Row],[Descuento_pct]]))</f>
        <v>34337.92</v>
      </c>
      <c r="P1610" s="6" t="n">
        <f aca="false">IF(TablaVentas[[#This Row],[Costo_unitario]]="","PENDIENTE",TablaVentas[[#This Row],[Unidades]]*TablaVentas[[#This Row],[Costo_unitario]])</f>
        <v>22073.9</v>
      </c>
      <c r="Q1610" s="6" t="n">
        <f aca="false">IF(OR(TablaVentas[[#This Row],[Ingreso_neto]]="PENDIENTE",TablaVentas[[#This Row],[Costo_total]]="PENDIENTE"),"PENDIENTE",TablaVentas[[#This Row],[Ingreso_neto]]-TablaVentas[[#This Row],[Costo_total]])</f>
        <v>12264.02</v>
      </c>
    </row>
    <row r="1611" customFormat="false" ht="13.5" hidden="false" customHeight="false" outlineLevel="0" collapsed="false">
      <c r="A1611" s="1" t="s">
        <v>1085</v>
      </c>
      <c r="B1611" s="1" t="n">
        <v>1</v>
      </c>
      <c r="C1611" s="5" t="n">
        <v>46180</v>
      </c>
      <c r="D1611" s="6" t="s">
        <v>134</v>
      </c>
      <c r="E1611" s="6" t="s">
        <v>328</v>
      </c>
      <c r="F1611" s="6" t="s">
        <v>84</v>
      </c>
      <c r="G1611" s="6" t="s">
        <v>64</v>
      </c>
      <c r="H1611" s="6" t="s">
        <v>74</v>
      </c>
      <c r="I1611" s="1" t="n">
        <v>2</v>
      </c>
      <c r="J1611" s="7" t="n">
        <v>1167.81</v>
      </c>
      <c r="K1611" s="8" t="n">
        <v>0.15</v>
      </c>
      <c r="L1611" s="7" t="n">
        <v>679.37</v>
      </c>
      <c r="M1611" s="6" t="s">
        <v>49</v>
      </c>
      <c r="N1611" s="6" t="s">
        <v>59</v>
      </c>
      <c r="O1611" s="6" t="n">
        <f aca="false">IF(TablaVentas[[#This Row],[Precio_unitario]]="","PENDIENTE",TablaVentas[[#This Row],[Unidades]]*TablaVentas[[#This Row],[Precio_unitario]]*(1-TablaVentas[[#This Row],[Descuento_pct]]))</f>
        <v>1985.277</v>
      </c>
      <c r="P1611" s="6" t="n">
        <f aca="false">IF(TablaVentas[[#This Row],[Costo_unitario]]="","PENDIENTE",TablaVentas[[#This Row],[Unidades]]*TablaVentas[[#This Row],[Costo_unitario]])</f>
        <v>1358.74</v>
      </c>
      <c r="Q1611" s="6" t="n">
        <f aca="false">IF(OR(TablaVentas[[#This Row],[Ingreso_neto]]="PENDIENTE",TablaVentas[[#This Row],[Costo_total]]="PENDIENTE"),"PENDIENTE",TablaVentas[[#This Row],[Ingreso_neto]]-TablaVentas[[#This Row],[Costo_total]])</f>
        <v>626.537</v>
      </c>
    </row>
    <row r="1612" customFormat="false" ht="13.5" hidden="false" customHeight="false" outlineLevel="0" collapsed="false">
      <c r="A1612" s="1" t="s">
        <v>1085</v>
      </c>
      <c r="B1612" s="1" t="n">
        <v>2</v>
      </c>
      <c r="C1612" s="5" t="n">
        <v>46180</v>
      </c>
      <c r="D1612" s="6" t="s">
        <v>134</v>
      </c>
      <c r="E1612" s="6" t="s">
        <v>278</v>
      </c>
      <c r="F1612" s="6" t="s">
        <v>84</v>
      </c>
      <c r="G1612" s="6" t="s">
        <v>64</v>
      </c>
      <c r="H1612" s="6" t="s">
        <v>74</v>
      </c>
      <c r="I1612" s="1" t="n">
        <v>4</v>
      </c>
      <c r="J1612" s="7" t="n">
        <v>980.52</v>
      </c>
      <c r="K1612" s="8" t="n">
        <v>0.2</v>
      </c>
      <c r="L1612" s="7" t="n">
        <v>759.03</v>
      </c>
      <c r="M1612" s="6" t="s">
        <v>49</v>
      </c>
      <c r="N1612" s="6" t="s">
        <v>50</v>
      </c>
      <c r="O1612" s="6" t="n">
        <f aca="false">IF(TablaVentas[[#This Row],[Precio_unitario]]="","PENDIENTE",TablaVentas[[#This Row],[Unidades]]*TablaVentas[[#This Row],[Precio_unitario]]*(1-TablaVentas[[#This Row],[Descuento_pct]]))</f>
        <v>3137.664</v>
      </c>
      <c r="P1612" s="6" t="n">
        <f aca="false">IF(TablaVentas[[#This Row],[Costo_unitario]]="","PENDIENTE",TablaVentas[[#This Row],[Unidades]]*TablaVentas[[#This Row],[Costo_unitario]])</f>
        <v>3036.12</v>
      </c>
      <c r="Q1612" s="6" t="n">
        <f aca="false">IF(OR(TablaVentas[[#This Row],[Ingreso_neto]]="PENDIENTE",TablaVentas[[#This Row],[Costo_total]]="PENDIENTE"),"PENDIENTE",TablaVentas[[#This Row],[Ingreso_neto]]-TablaVentas[[#This Row],[Costo_total]])</f>
        <v>101.544</v>
      </c>
    </row>
    <row r="1613" customFormat="false" ht="13.5" hidden="false" customHeight="false" outlineLevel="0" collapsed="false">
      <c r="A1613" s="1" t="s">
        <v>1086</v>
      </c>
      <c r="B1613" s="1" t="n">
        <v>1</v>
      </c>
      <c r="C1613" s="5" t="n">
        <v>46142</v>
      </c>
      <c r="D1613" s="6" t="s">
        <v>415</v>
      </c>
      <c r="E1613" s="6" t="s">
        <v>374</v>
      </c>
      <c r="F1613" s="6" t="s">
        <v>63</v>
      </c>
      <c r="G1613" s="6" t="s">
        <v>57</v>
      </c>
      <c r="H1613" s="6" t="s">
        <v>48</v>
      </c>
      <c r="I1613" s="1" t="n">
        <v>1</v>
      </c>
      <c r="J1613" s="7" t="n">
        <v>10139.13</v>
      </c>
      <c r="K1613" s="8" t="n">
        <v>0</v>
      </c>
      <c r="L1613" s="7" t="n">
        <v>5079.43</v>
      </c>
      <c r="M1613" s="6" t="s">
        <v>49</v>
      </c>
      <c r="N1613" s="6" t="s">
        <v>59</v>
      </c>
      <c r="O1613" s="6" t="n">
        <f aca="false">IF(TablaVentas[[#This Row],[Precio_unitario]]="","PENDIENTE",TablaVentas[[#This Row],[Unidades]]*TablaVentas[[#This Row],[Precio_unitario]]*(1-TablaVentas[[#This Row],[Descuento_pct]]))</f>
        <v>10139.13</v>
      </c>
      <c r="P1613" s="6" t="n">
        <f aca="false">IF(TablaVentas[[#This Row],[Costo_unitario]]="","PENDIENTE",TablaVentas[[#This Row],[Unidades]]*TablaVentas[[#This Row],[Costo_unitario]])</f>
        <v>5079.43</v>
      </c>
      <c r="Q1613" s="6" t="n">
        <f aca="false">IF(OR(TablaVentas[[#This Row],[Ingreso_neto]]="PENDIENTE",TablaVentas[[#This Row],[Costo_total]]="PENDIENTE"),"PENDIENTE",TablaVentas[[#This Row],[Ingreso_neto]]-TablaVentas[[#This Row],[Costo_total]])</f>
        <v>5059.7</v>
      </c>
    </row>
    <row r="1614" customFormat="false" ht="13.5" hidden="false" customHeight="false" outlineLevel="0" collapsed="false">
      <c r="A1614" s="1" t="s">
        <v>1086</v>
      </c>
      <c r="B1614" s="1" t="n">
        <v>2</v>
      </c>
      <c r="C1614" s="5" t="n">
        <v>46142</v>
      </c>
      <c r="D1614" s="6" t="s">
        <v>415</v>
      </c>
      <c r="E1614" s="6" t="s">
        <v>327</v>
      </c>
      <c r="F1614" s="6" t="s">
        <v>63</v>
      </c>
      <c r="G1614" s="6" t="s">
        <v>57</v>
      </c>
      <c r="H1614" s="6" t="s">
        <v>48</v>
      </c>
      <c r="I1614" s="1" t="n">
        <v>1</v>
      </c>
      <c r="J1614" s="7" t="n">
        <v>5061.54</v>
      </c>
      <c r="K1614" s="8" t="n">
        <v>0.2</v>
      </c>
      <c r="L1614" s="7" t="n">
        <v>3065.66</v>
      </c>
      <c r="M1614" s="6" t="s">
        <v>49</v>
      </c>
      <c r="N1614" s="6" t="s">
        <v>50</v>
      </c>
      <c r="O1614" s="6" t="n">
        <f aca="false">IF(TablaVentas[[#This Row],[Precio_unitario]]="","PENDIENTE",TablaVentas[[#This Row],[Unidades]]*TablaVentas[[#This Row],[Precio_unitario]]*(1-TablaVentas[[#This Row],[Descuento_pct]]))</f>
        <v>4049.232</v>
      </c>
      <c r="P1614" s="6" t="n">
        <f aca="false">IF(TablaVentas[[#This Row],[Costo_unitario]]="","PENDIENTE",TablaVentas[[#This Row],[Unidades]]*TablaVentas[[#This Row],[Costo_unitario]])</f>
        <v>3065.66</v>
      </c>
      <c r="Q1614" s="6" t="n">
        <f aca="false">IF(OR(TablaVentas[[#This Row],[Ingreso_neto]]="PENDIENTE",TablaVentas[[#This Row],[Costo_total]]="PENDIENTE"),"PENDIENTE",TablaVentas[[#This Row],[Ingreso_neto]]-TablaVentas[[#This Row],[Costo_total]])</f>
        <v>983.572</v>
      </c>
    </row>
    <row r="1615" customFormat="false" ht="13.5" hidden="false" customHeight="false" outlineLevel="0" collapsed="false">
      <c r="A1615" s="1" t="s">
        <v>1086</v>
      </c>
      <c r="B1615" s="1" t="n">
        <v>3</v>
      </c>
      <c r="C1615" s="5" t="n">
        <v>46142</v>
      </c>
      <c r="D1615" s="6" t="s">
        <v>415</v>
      </c>
      <c r="E1615" s="6" t="s">
        <v>162</v>
      </c>
      <c r="F1615" s="6" t="s">
        <v>63</v>
      </c>
      <c r="G1615" s="6" t="s">
        <v>57</v>
      </c>
      <c r="H1615" s="6" t="s">
        <v>48</v>
      </c>
      <c r="I1615" s="1" t="n">
        <v>5</v>
      </c>
      <c r="J1615" s="7" t="n">
        <v>785.62</v>
      </c>
      <c r="K1615" s="8" t="n">
        <v>0</v>
      </c>
      <c r="L1615" s="7" t="n">
        <v>397.1</v>
      </c>
      <c r="M1615" s="6" t="s">
        <v>49</v>
      </c>
      <c r="N1615" s="6" t="s">
        <v>67</v>
      </c>
      <c r="O1615" s="6" t="n">
        <f aca="false">IF(TablaVentas[[#This Row],[Precio_unitario]]="","PENDIENTE",TablaVentas[[#This Row],[Unidades]]*TablaVentas[[#This Row],[Precio_unitario]]*(1-TablaVentas[[#This Row],[Descuento_pct]]))</f>
        <v>3928.1</v>
      </c>
      <c r="P1615" s="6" t="n">
        <f aca="false">IF(TablaVentas[[#This Row],[Costo_unitario]]="","PENDIENTE",TablaVentas[[#This Row],[Unidades]]*TablaVentas[[#This Row],[Costo_unitario]])</f>
        <v>1985.5</v>
      </c>
      <c r="Q1615" s="6" t="n">
        <f aca="false">IF(OR(TablaVentas[[#This Row],[Ingreso_neto]]="PENDIENTE",TablaVentas[[#This Row],[Costo_total]]="PENDIENTE"),"PENDIENTE",TablaVentas[[#This Row],[Ingreso_neto]]-TablaVentas[[#This Row],[Costo_total]])</f>
        <v>1942.6</v>
      </c>
    </row>
    <row r="1616" customFormat="false" ht="13.5" hidden="false" customHeight="false" outlineLevel="0" collapsed="false">
      <c r="A1616" s="1" t="s">
        <v>1087</v>
      </c>
      <c r="B1616" s="1" t="n">
        <v>1</v>
      </c>
      <c r="C1616" s="5" t="n">
        <v>46144</v>
      </c>
      <c r="D1616" s="6" t="s">
        <v>362</v>
      </c>
      <c r="E1616" s="6" t="s">
        <v>215</v>
      </c>
      <c r="F1616" s="6" t="s">
        <v>63</v>
      </c>
      <c r="G1616" s="6" t="s">
        <v>57</v>
      </c>
      <c r="H1616" s="6" t="s">
        <v>48</v>
      </c>
      <c r="I1616" s="1" t="n">
        <v>2</v>
      </c>
      <c r="J1616" s="7" t="n">
        <v>9804.57</v>
      </c>
      <c r="K1616" s="8" t="n">
        <v>0.05</v>
      </c>
      <c r="L1616" s="7" t="n">
        <v>5535.31</v>
      </c>
      <c r="M1616" s="6" t="s">
        <v>123</v>
      </c>
      <c r="N1616" s="6" t="s">
        <v>50</v>
      </c>
      <c r="O1616" s="6" t="n">
        <f aca="false">IF(TablaVentas[[#This Row],[Precio_unitario]]="","PENDIENTE",TablaVentas[[#This Row],[Unidades]]*TablaVentas[[#This Row],[Precio_unitario]]*(1-TablaVentas[[#This Row],[Descuento_pct]]))</f>
        <v>18628.683</v>
      </c>
      <c r="P1616" s="6" t="n">
        <f aca="false">IF(TablaVentas[[#This Row],[Costo_unitario]]="","PENDIENTE",TablaVentas[[#This Row],[Unidades]]*TablaVentas[[#This Row],[Costo_unitario]])</f>
        <v>11070.62</v>
      </c>
      <c r="Q1616" s="6" t="n">
        <f aca="false">IF(OR(TablaVentas[[#This Row],[Ingreso_neto]]="PENDIENTE",TablaVentas[[#This Row],[Costo_total]]="PENDIENTE"),"PENDIENTE",TablaVentas[[#This Row],[Ingreso_neto]]-TablaVentas[[#This Row],[Costo_total]])</f>
        <v>7558.063</v>
      </c>
    </row>
    <row r="1617" customFormat="false" ht="13.5" hidden="false" customHeight="false" outlineLevel="0" collapsed="false">
      <c r="A1617" s="1" t="s">
        <v>1087</v>
      </c>
      <c r="B1617" s="1" t="n">
        <v>2</v>
      </c>
      <c r="C1617" s="5" t="n">
        <v>46144</v>
      </c>
      <c r="D1617" s="6" t="s">
        <v>362</v>
      </c>
      <c r="E1617" s="6" t="s">
        <v>213</v>
      </c>
      <c r="F1617" s="6" t="s">
        <v>63</v>
      </c>
      <c r="G1617" s="6" t="s">
        <v>57</v>
      </c>
      <c r="H1617" s="6" t="s">
        <v>48</v>
      </c>
      <c r="I1617" s="1" t="n">
        <v>2</v>
      </c>
      <c r="J1617" s="7" t="n">
        <v>5077.33</v>
      </c>
      <c r="K1617" s="8" t="n">
        <v>0.2</v>
      </c>
      <c r="L1617" s="7" t="n">
        <v>4008.77</v>
      </c>
      <c r="M1617" s="6" t="s">
        <v>49</v>
      </c>
      <c r="N1617" s="6" t="s">
        <v>67</v>
      </c>
      <c r="O1617" s="6" t="n">
        <f aca="false">IF(TablaVentas[[#This Row],[Precio_unitario]]="","PENDIENTE",TablaVentas[[#This Row],[Unidades]]*TablaVentas[[#This Row],[Precio_unitario]]*(1-TablaVentas[[#This Row],[Descuento_pct]]))</f>
        <v>8123.728</v>
      </c>
      <c r="P1617" s="6" t="n">
        <f aca="false">IF(TablaVentas[[#This Row],[Costo_unitario]]="","PENDIENTE",TablaVentas[[#This Row],[Unidades]]*TablaVentas[[#This Row],[Costo_unitario]])</f>
        <v>8017.54</v>
      </c>
      <c r="Q1617" s="6" t="n">
        <f aca="false">IF(OR(TablaVentas[[#This Row],[Ingreso_neto]]="PENDIENTE",TablaVentas[[#This Row],[Costo_total]]="PENDIENTE"),"PENDIENTE",TablaVentas[[#This Row],[Ingreso_neto]]-TablaVentas[[#This Row],[Costo_total]])</f>
        <v>106.188</v>
      </c>
    </row>
    <row r="1618" customFormat="false" ht="13.5" hidden="false" customHeight="false" outlineLevel="0" collapsed="false">
      <c r="A1618" s="1" t="s">
        <v>1087</v>
      </c>
      <c r="B1618" s="1" t="n">
        <v>3</v>
      </c>
      <c r="C1618" s="5" t="n">
        <v>46144</v>
      </c>
      <c r="D1618" s="6" t="s">
        <v>362</v>
      </c>
      <c r="E1618" s="6" t="s">
        <v>75</v>
      </c>
      <c r="F1618" s="6" t="s">
        <v>63</v>
      </c>
      <c r="G1618" s="6" t="s">
        <v>57</v>
      </c>
      <c r="H1618" s="6" t="s">
        <v>48</v>
      </c>
      <c r="I1618" s="1" t="n">
        <v>1</v>
      </c>
      <c r="J1618" s="7" t="n">
        <v>15456.52</v>
      </c>
      <c r="K1618" s="8" t="n">
        <v>0</v>
      </c>
      <c r="L1618" s="7" t="n">
        <v>9243.35</v>
      </c>
      <c r="M1618" s="6" t="s">
        <v>49</v>
      </c>
      <c r="N1618" s="6" t="s">
        <v>50</v>
      </c>
      <c r="O1618" s="6" t="n">
        <f aca="false">IF(TablaVentas[[#This Row],[Precio_unitario]]="","PENDIENTE",TablaVentas[[#This Row],[Unidades]]*TablaVentas[[#This Row],[Precio_unitario]]*(1-TablaVentas[[#This Row],[Descuento_pct]]))</f>
        <v>15456.52</v>
      </c>
      <c r="P1618" s="6" t="n">
        <f aca="false">IF(TablaVentas[[#This Row],[Costo_unitario]]="","PENDIENTE",TablaVentas[[#This Row],[Unidades]]*TablaVentas[[#This Row],[Costo_unitario]])</f>
        <v>9243.35</v>
      </c>
      <c r="Q1618" s="6" t="n">
        <f aca="false">IF(OR(TablaVentas[[#This Row],[Ingreso_neto]]="PENDIENTE",TablaVentas[[#This Row],[Costo_total]]="PENDIENTE"),"PENDIENTE",TablaVentas[[#This Row],[Ingreso_neto]]-TablaVentas[[#This Row],[Costo_total]])</f>
        <v>6213.17</v>
      </c>
    </row>
    <row r="1619" customFormat="false" ht="13.5" hidden="false" customHeight="false" outlineLevel="0" collapsed="false">
      <c r="A1619" s="1" t="s">
        <v>1087</v>
      </c>
      <c r="B1619" s="1" t="n">
        <v>4</v>
      </c>
      <c r="C1619" s="5" t="n">
        <v>46144</v>
      </c>
      <c r="D1619" s="6" t="s">
        <v>362</v>
      </c>
      <c r="E1619" s="6" t="s">
        <v>62</v>
      </c>
      <c r="F1619" s="6" t="s">
        <v>63</v>
      </c>
      <c r="G1619" s="6" t="s">
        <v>57</v>
      </c>
      <c r="H1619" s="6" t="s">
        <v>48</v>
      </c>
      <c r="I1619" s="1" t="n">
        <v>1</v>
      </c>
      <c r="J1619" s="7" t="n">
        <v>11440.56</v>
      </c>
      <c r="K1619" s="8" t="n">
        <v>0.05</v>
      </c>
      <c r="L1619" s="7" t="n">
        <v>6407.85</v>
      </c>
      <c r="M1619" s="6" t="s">
        <v>49</v>
      </c>
      <c r="N1619" s="6" t="s">
        <v>59</v>
      </c>
      <c r="O1619" s="6" t="n">
        <f aca="false">IF(TablaVentas[[#This Row],[Precio_unitario]]="","PENDIENTE",TablaVentas[[#This Row],[Unidades]]*TablaVentas[[#This Row],[Precio_unitario]]*(1-TablaVentas[[#This Row],[Descuento_pct]]))</f>
        <v>10868.532</v>
      </c>
      <c r="P1619" s="6" t="n">
        <f aca="false">IF(TablaVentas[[#This Row],[Costo_unitario]]="","PENDIENTE",TablaVentas[[#This Row],[Unidades]]*TablaVentas[[#This Row],[Costo_unitario]])</f>
        <v>6407.85</v>
      </c>
      <c r="Q1619" s="6" t="n">
        <f aca="false">IF(OR(TablaVentas[[#This Row],[Ingreso_neto]]="PENDIENTE",TablaVentas[[#This Row],[Costo_total]]="PENDIENTE"),"PENDIENTE",TablaVentas[[#This Row],[Ingreso_neto]]-TablaVentas[[#This Row],[Costo_total]])</f>
        <v>4460.682</v>
      </c>
    </row>
    <row r="1620" customFormat="false" ht="13.5" hidden="false" customHeight="false" outlineLevel="0" collapsed="false">
      <c r="A1620" s="1" t="s">
        <v>1087</v>
      </c>
      <c r="B1620" s="1" t="n">
        <v>5</v>
      </c>
      <c r="C1620" s="5" t="n">
        <v>46144</v>
      </c>
      <c r="D1620" s="6" t="s">
        <v>362</v>
      </c>
      <c r="E1620" s="6" t="s">
        <v>147</v>
      </c>
      <c r="F1620" s="6" t="s">
        <v>63</v>
      </c>
      <c r="G1620" s="6" t="s">
        <v>57</v>
      </c>
      <c r="H1620" s="6" t="s">
        <v>48</v>
      </c>
      <c r="I1620" s="1" t="n">
        <v>2</v>
      </c>
      <c r="J1620" s="7" t="n">
        <v>2838.68</v>
      </c>
      <c r="K1620" s="8" t="n">
        <v>0</v>
      </c>
      <c r="L1620" s="7" t="n">
        <v>2427.63</v>
      </c>
      <c r="M1620" s="6" t="s">
        <v>49</v>
      </c>
      <c r="N1620" s="6" t="s">
        <v>59</v>
      </c>
      <c r="O1620" s="6" t="n">
        <f aca="false">IF(TablaVentas[[#This Row],[Precio_unitario]]="","PENDIENTE",TablaVentas[[#This Row],[Unidades]]*TablaVentas[[#This Row],[Precio_unitario]]*(1-TablaVentas[[#This Row],[Descuento_pct]]))</f>
        <v>5677.36</v>
      </c>
      <c r="P1620" s="6" t="n">
        <f aca="false">IF(TablaVentas[[#This Row],[Costo_unitario]]="","PENDIENTE",TablaVentas[[#This Row],[Unidades]]*TablaVentas[[#This Row],[Costo_unitario]])</f>
        <v>4855.26</v>
      </c>
      <c r="Q1620" s="6" t="n">
        <f aca="false">IF(OR(TablaVentas[[#This Row],[Ingreso_neto]]="PENDIENTE",TablaVentas[[#This Row],[Costo_total]]="PENDIENTE"),"PENDIENTE",TablaVentas[[#This Row],[Ingreso_neto]]-TablaVentas[[#This Row],[Costo_total]])</f>
        <v>822.1</v>
      </c>
    </row>
    <row r="1621" customFormat="false" ht="13.5" hidden="false" customHeight="false" outlineLevel="0" collapsed="false">
      <c r="A1621" s="1" t="s">
        <v>1088</v>
      </c>
      <c r="B1621" s="1" t="n">
        <v>1</v>
      </c>
      <c r="C1621" s="5" t="n">
        <v>46147</v>
      </c>
      <c r="D1621" s="6" t="s">
        <v>840</v>
      </c>
      <c r="E1621" s="6" t="s">
        <v>121</v>
      </c>
      <c r="F1621" s="6" t="s">
        <v>73</v>
      </c>
      <c r="G1621" s="6" t="s">
        <v>57</v>
      </c>
      <c r="H1621" s="6" t="s">
        <v>191</v>
      </c>
      <c r="I1621" s="1" t="n">
        <v>1</v>
      </c>
      <c r="J1621" s="7" t="n">
        <v>14909.88</v>
      </c>
      <c r="K1621" s="8" t="n">
        <v>0</v>
      </c>
      <c r="L1621" s="7" t="n">
        <v>8239.48</v>
      </c>
      <c r="M1621" s="6" t="s">
        <v>49</v>
      </c>
      <c r="N1621" s="6" t="s">
        <v>67</v>
      </c>
      <c r="O1621" s="6" t="n">
        <f aca="false">IF(TablaVentas[[#This Row],[Precio_unitario]]="","PENDIENTE",TablaVentas[[#This Row],[Unidades]]*TablaVentas[[#This Row],[Precio_unitario]]*(1-TablaVentas[[#This Row],[Descuento_pct]]))</f>
        <v>14909.88</v>
      </c>
      <c r="P1621" s="6" t="n">
        <f aca="false">IF(TablaVentas[[#This Row],[Costo_unitario]]="","PENDIENTE",TablaVentas[[#This Row],[Unidades]]*TablaVentas[[#This Row],[Costo_unitario]])</f>
        <v>8239.48</v>
      </c>
      <c r="Q1621" s="6" t="n">
        <f aca="false">IF(OR(TablaVentas[[#This Row],[Ingreso_neto]]="PENDIENTE",TablaVentas[[#This Row],[Costo_total]]="PENDIENTE"),"PENDIENTE",TablaVentas[[#This Row],[Ingreso_neto]]-TablaVentas[[#This Row],[Costo_total]])</f>
        <v>6670.4</v>
      </c>
    </row>
    <row r="1622" customFormat="false" ht="13.5" hidden="false" customHeight="false" outlineLevel="0" collapsed="false">
      <c r="A1622" s="1" t="s">
        <v>1088</v>
      </c>
      <c r="B1622" s="1" t="n">
        <v>2</v>
      </c>
      <c r="C1622" s="5" t="n">
        <v>46147</v>
      </c>
      <c r="D1622" s="6" t="s">
        <v>840</v>
      </c>
      <c r="E1622" s="6" t="s">
        <v>170</v>
      </c>
      <c r="F1622" s="6" t="s">
        <v>73</v>
      </c>
      <c r="G1622" s="6" t="s">
        <v>57</v>
      </c>
      <c r="H1622" s="6" t="s">
        <v>191</v>
      </c>
      <c r="I1622" s="1" t="n">
        <v>2</v>
      </c>
      <c r="J1622" s="7" t="n">
        <v>15874.54</v>
      </c>
      <c r="K1622" s="8" t="n">
        <v>0</v>
      </c>
      <c r="L1622" s="7" t="n">
        <v>12141.44</v>
      </c>
      <c r="M1622" s="6" t="s">
        <v>49</v>
      </c>
      <c r="N1622" s="6" t="s">
        <v>50</v>
      </c>
      <c r="O1622" s="6" t="n">
        <f aca="false">IF(TablaVentas[[#This Row],[Precio_unitario]]="","PENDIENTE",TablaVentas[[#This Row],[Unidades]]*TablaVentas[[#This Row],[Precio_unitario]]*(1-TablaVentas[[#This Row],[Descuento_pct]]))</f>
        <v>31749.08</v>
      </c>
      <c r="P1622" s="6" t="n">
        <f aca="false">IF(TablaVentas[[#This Row],[Costo_unitario]]="","PENDIENTE",TablaVentas[[#This Row],[Unidades]]*TablaVentas[[#This Row],[Costo_unitario]])</f>
        <v>24282.88</v>
      </c>
      <c r="Q1622" s="6" t="n">
        <f aca="false">IF(OR(TablaVentas[[#This Row],[Ingreso_neto]]="PENDIENTE",TablaVentas[[#This Row],[Costo_total]]="PENDIENTE"),"PENDIENTE",TablaVentas[[#This Row],[Ingreso_neto]]-TablaVentas[[#This Row],[Costo_total]])</f>
        <v>7466.2</v>
      </c>
    </row>
    <row r="1623" customFormat="false" ht="13.5" hidden="false" customHeight="false" outlineLevel="0" collapsed="false">
      <c r="A1623" s="1" t="s">
        <v>1089</v>
      </c>
      <c r="B1623" s="1" t="n">
        <v>1</v>
      </c>
      <c r="C1623" s="5" t="n">
        <v>46087</v>
      </c>
      <c r="D1623" s="6" t="s">
        <v>419</v>
      </c>
      <c r="E1623" s="6" t="s">
        <v>162</v>
      </c>
      <c r="F1623" s="6" t="s">
        <v>73</v>
      </c>
      <c r="G1623" s="6" t="s">
        <v>47</v>
      </c>
      <c r="H1623" s="6" t="s">
        <v>65</v>
      </c>
      <c r="I1623" s="1" t="n">
        <v>3</v>
      </c>
      <c r="J1623" s="7" t="n">
        <v>814.15</v>
      </c>
      <c r="K1623" s="8" t="n">
        <v>0.2</v>
      </c>
      <c r="L1623" s="7" t="n">
        <v>397.1</v>
      </c>
      <c r="M1623" s="6" t="s">
        <v>49</v>
      </c>
      <c r="N1623" s="6" t="s">
        <v>59</v>
      </c>
      <c r="O1623" s="6" t="n">
        <f aca="false">IF(TablaVentas[[#This Row],[Precio_unitario]]="","PENDIENTE",TablaVentas[[#This Row],[Unidades]]*TablaVentas[[#This Row],[Precio_unitario]]*(1-TablaVentas[[#This Row],[Descuento_pct]]))</f>
        <v>1953.96</v>
      </c>
      <c r="P1623" s="6" t="n">
        <f aca="false">IF(TablaVentas[[#This Row],[Costo_unitario]]="","PENDIENTE",TablaVentas[[#This Row],[Unidades]]*TablaVentas[[#This Row],[Costo_unitario]])</f>
        <v>1191.3</v>
      </c>
      <c r="Q1623" s="6" t="n">
        <f aca="false">IF(OR(TablaVentas[[#This Row],[Ingreso_neto]]="PENDIENTE",TablaVentas[[#This Row],[Costo_total]]="PENDIENTE"),"PENDIENTE",TablaVentas[[#This Row],[Ingreso_neto]]-TablaVentas[[#This Row],[Costo_total]])</f>
        <v>762.66</v>
      </c>
    </row>
    <row r="1624" customFormat="false" ht="13.5" hidden="false" customHeight="false" outlineLevel="0" collapsed="false">
      <c r="A1624" s="1" t="s">
        <v>1090</v>
      </c>
      <c r="B1624" s="1" t="n">
        <v>1</v>
      </c>
      <c r="C1624" s="5" t="n">
        <v>46028</v>
      </c>
      <c r="D1624" s="6" t="s">
        <v>415</v>
      </c>
      <c r="E1624" s="6" t="s">
        <v>91</v>
      </c>
      <c r="F1624" s="6" t="s">
        <v>63</v>
      </c>
      <c r="G1624" s="6" t="s">
        <v>47</v>
      </c>
      <c r="H1624" s="6" t="s">
        <v>58</v>
      </c>
      <c r="I1624" s="1" t="n">
        <v>1</v>
      </c>
      <c r="J1624" s="7" t="n">
        <v>15594.51</v>
      </c>
      <c r="K1624" s="8" t="n">
        <v>0.15</v>
      </c>
      <c r="L1624" s="7" t="n">
        <v>8576.05</v>
      </c>
      <c r="M1624" s="6" t="s">
        <v>49</v>
      </c>
      <c r="N1624" s="6" t="s">
        <v>67</v>
      </c>
      <c r="O1624" s="6" t="n">
        <f aca="false">IF(TablaVentas[[#This Row],[Precio_unitario]]="","PENDIENTE",TablaVentas[[#This Row],[Unidades]]*TablaVentas[[#This Row],[Precio_unitario]]*(1-TablaVentas[[#This Row],[Descuento_pct]]))</f>
        <v>13255.3335</v>
      </c>
      <c r="P1624" s="6" t="n">
        <f aca="false">IF(TablaVentas[[#This Row],[Costo_unitario]]="","PENDIENTE",TablaVentas[[#This Row],[Unidades]]*TablaVentas[[#This Row],[Costo_unitario]])</f>
        <v>8576.05</v>
      </c>
      <c r="Q1624" s="6" t="n">
        <f aca="false">IF(OR(TablaVentas[[#This Row],[Ingreso_neto]]="PENDIENTE",TablaVentas[[#This Row],[Costo_total]]="PENDIENTE"),"PENDIENTE",TablaVentas[[#This Row],[Ingreso_neto]]-TablaVentas[[#This Row],[Costo_total]])</f>
        <v>4679.2835</v>
      </c>
    </row>
    <row r="1625" customFormat="false" ht="13.5" hidden="false" customHeight="false" outlineLevel="0" collapsed="false">
      <c r="A1625" s="1" t="s">
        <v>1090</v>
      </c>
      <c r="B1625" s="1" t="n">
        <v>2</v>
      </c>
      <c r="C1625" s="5" t="n">
        <v>46028</v>
      </c>
      <c r="D1625" s="6" t="s">
        <v>415</v>
      </c>
      <c r="E1625" s="6" t="s">
        <v>269</v>
      </c>
      <c r="F1625" s="6" t="s">
        <v>63</v>
      </c>
      <c r="G1625" s="6" t="s">
        <v>47</v>
      </c>
      <c r="H1625" s="6" t="s">
        <v>58</v>
      </c>
      <c r="I1625" s="1" t="n">
        <v>1</v>
      </c>
      <c r="J1625" s="7" t="n">
        <v>12734.06</v>
      </c>
      <c r="K1625" s="8" t="n">
        <v>0</v>
      </c>
      <c r="L1625" s="7" t="n">
        <v>8227.46</v>
      </c>
      <c r="M1625" s="6" t="s">
        <v>49</v>
      </c>
      <c r="N1625" s="6" t="s">
        <v>52</v>
      </c>
      <c r="O1625" s="6" t="n">
        <f aca="false">IF(TablaVentas[[#This Row],[Precio_unitario]]="","PENDIENTE",TablaVentas[[#This Row],[Unidades]]*TablaVentas[[#This Row],[Precio_unitario]]*(1-TablaVentas[[#This Row],[Descuento_pct]]))</f>
        <v>12734.06</v>
      </c>
      <c r="P1625" s="6" t="n">
        <f aca="false">IF(TablaVentas[[#This Row],[Costo_unitario]]="","PENDIENTE",TablaVentas[[#This Row],[Unidades]]*TablaVentas[[#This Row],[Costo_unitario]])</f>
        <v>8227.46</v>
      </c>
      <c r="Q1625" s="6" t="n">
        <f aca="false">IF(OR(TablaVentas[[#This Row],[Ingreso_neto]]="PENDIENTE",TablaVentas[[#This Row],[Costo_total]]="PENDIENTE"),"PENDIENTE",TablaVentas[[#This Row],[Ingreso_neto]]-TablaVentas[[#This Row],[Costo_total]])</f>
        <v>4506.6</v>
      </c>
    </row>
    <row r="1626" customFormat="false" ht="13.5" hidden="false" customHeight="false" outlineLevel="0" collapsed="false">
      <c r="A1626" s="1" t="s">
        <v>1090</v>
      </c>
      <c r="B1626" s="1" t="n">
        <v>3</v>
      </c>
      <c r="C1626" s="5" t="n">
        <v>46028</v>
      </c>
      <c r="D1626" s="6" t="s">
        <v>415</v>
      </c>
      <c r="E1626" s="6" t="s">
        <v>96</v>
      </c>
      <c r="F1626" s="6" t="s">
        <v>63</v>
      </c>
      <c r="G1626" s="6" t="s">
        <v>47</v>
      </c>
      <c r="H1626" s="6" t="s">
        <v>58</v>
      </c>
      <c r="I1626" s="1" t="n">
        <v>1</v>
      </c>
      <c r="J1626" s="7" t="n">
        <v>11628.19</v>
      </c>
      <c r="K1626" s="8" t="n">
        <v>0</v>
      </c>
      <c r="L1626" s="7" t="n">
        <v>9118.07</v>
      </c>
      <c r="M1626" s="6" t="s">
        <v>49</v>
      </c>
      <c r="N1626" s="6" t="s">
        <v>67</v>
      </c>
      <c r="O1626" s="6" t="n">
        <f aca="false">IF(TablaVentas[[#This Row],[Precio_unitario]]="","PENDIENTE",TablaVentas[[#This Row],[Unidades]]*TablaVentas[[#This Row],[Precio_unitario]]*(1-TablaVentas[[#This Row],[Descuento_pct]]))</f>
        <v>11628.19</v>
      </c>
      <c r="P1626" s="6" t="n">
        <f aca="false">IF(TablaVentas[[#This Row],[Costo_unitario]]="","PENDIENTE",TablaVentas[[#This Row],[Unidades]]*TablaVentas[[#This Row],[Costo_unitario]])</f>
        <v>9118.07</v>
      </c>
      <c r="Q1626" s="6" t="n">
        <f aca="false">IF(OR(TablaVentas[[#This Row],[Ingreso_neto]]="PENDIENTE",TablaVentas[[#This Row],[Costo_total]]="PENDIENTE"),"PENDIENTE",TablaVentas[[#This Row],[Ingreso_neto]]-TablaVentas[[#This Row],[Costo_total]])</f>
        <v>2510.12</v>
      </c>
    </row>
    <row r="1627" customFormat="false" ht="13.5" hidden="false" customHeight="false" outlineLevel="0" collapsed="false">
      <c r="A1627" s="1" t="s">
        <v>1091</v>
      </c>
      <c r="B1627" s="1" t="n">
        <v>1</v>
      </c>
      <c r="C1627" s="5" t="n">
        <v>46043</v>
      </c>
      <c r="D1627" s="6" t="s">
        <v>296</v>
      </c>
      <c r="E1627" s="6" t="s">
        <v>110</v>
      </c>
      <c r="F1627" s="6" t="s">
        <v>73</v>
      </c>
      <c r="G1627" s="6" t="s">
        <v>64</v>
      </c>
      <c r="H1627" s="6" t="s">
        <v>48</v>
      </c>
      <c r="I1627" s="1" t="n">
        <v>3</v>
      </c>
      <c r="J1627" s="7" t="n">
        <v>12114.59</v>
      </c>
      <c r="K1627" s="8" t="n">
        <v>0.15</v>
      </c>
      <c r="L1627" s="7" t="n">
        <v>7549.71</v>
      </c>
      <c r="M1627" s="6" t="s">
        <v>49</v>
      </c>
      <c r="N1627" s="6" t="s">
        <v>67</v>
      </c>
      <c r="O1627" s="6" t="n">
        <f aca="false">IF(TablaVentas[[#This Row],[Precio_unitario]]="","PENDIENTE",TablaVentas[[#This Row],[Unidades]]*TablaVentas[[#This Row],[Precio_unitario]]*(1-TablaVentas[[#This Row],[Descuento_pct]]))</f>
        <v>30892.2045</v>
      </c>
      <c r="P1627" s="6" t="n">
        <f aca="false">IF(TablaVentas[[#This Row],[Costo_unitario]]="","PENDIENTE",TablaVentas[[#This Row],[Unidades]]*TablaVentas[[#This Row],[Costo_unitario]])</f>
        <v>22649.13</v>
      </c>
      <c r="Q1627" s="6" t="n">
        <f aca="false">IF(OR(TablaVentas[[#This Row],[Ingreso_neto]]="PENDIENTE",TablaVentas[[#This Row],[Costo_total]]="PENDIENTE"),"PENDIENTE",TablaVentas[[#This Row],[Ingreso_neto]]-TablaVentas[[#This Row],[Costo_total]])</f>
        <v>8243.0745</v>
      </c>
    </row>
    <row r="1628" customFormat="false" ht="13.5" hidden="false" customHeight="false" outlineLevel="0" collapsed="false">
      <c r="A1628" s="1" t="s">
        <v>1091</v>
      </c>
      <c r="B1628" s="1" t="n">
        <v>2</v>
      </c>
      <c r="C1628" s="5" t="n">
        <v>46043</v>
      </c>
      <c r="D1628" s="6" t="s">
        <v>296</v>
      </c>
      <c r="E1628" s="6" t="s">
        <v>210</v>
      </c>
      <c r="F1628" s="6" t="s">
        <v>73</v>
      </c>
      <c r="G1628" s="6" t="s">
        <v>64</v>
      </c>
      <c r="H1628" s="6" t="s">
        <v>48</v>
      </c>
      <c r="I1628" s="1" t="n">
        <v>1</v>
      </c>
      <c r="J1628" s="7" t="n">
        <v>1787.5</v>
      </c>
      <c r="K1628" s="8" t="n">
        <v>0</v>
      </c>
      <c r="L1628" s="7" t="n">
        <v>1252.84</v>
      </c>
      <c r="M1628" s="6" t="s">
        <v>49</v>
      </c>
      <c r="N1628" s="6" t="s">
        <v>67</v>
      </c>
      <c r="O1628" s="6" t="n">
        <f aca="false">IF(TablaVentas[[#This Row],[Precio_unitario]]="","PENDIENTE",TablaVentas[[#This Row],[Unidades]]*TablaVentas[[#This Row],[Precio_unitario]]*(1-TablaVentas[[#This Row],[Descuento_pct]]))</f>
        <v>1787.5</v>
      </c>
      <c r="P1628" s="6" t="n">
        <f aca="false">IF(TablaVentas[[#This Row],[Costo_unitario]]="","PENDIENTE",TablaVentas[[#This Row],[Unidades]]*TablaVentas[[#This Row],[Costo_unitario]])</f>
        <v>1252.84</v>
      </c>
      <c r="Q1628" s="6" t="n">
        <f aca="false">IF(OR(TablaVentas[[#This Row],[Ingreso_neto]]="PENDIENTE",TablaVentas[[#This Row],[Costo_total]]="PENDIENTE"),"PENDIENTE",TablaVentas[[#This Row],[Ingreso_neto]]-TablaVentas[[#This Row],[Costo_total]])</f>
        <v>534.66</v>
      </c>
    </row>
    <row r="1629" customFormat="false" ht="13.5" hidden="false" customHeight="false" outlineLevel="0" collapsed="false">
      <c r="A1629" s="1" t="s">
        <v>1092</v>
      </c>
      <c r="B1629" s="1" t="n">
        <v>1</v>
      </c>
      <c r="C1629" s="5" t="n">
        <v>46029</v>
      </c>
      <c r="D1629" s="6" t="s">
        <v>491</v>
      </c>
      <c r="E1629" s="6" t="s">
        <v>158</v>
      </c>
      <c r="F1629" s="6" t="s">
        <v>84</v>
      </c>
      <c r="G1629" s="6" t="s">
        <v>57</v>
      </c>
      <c r="H1629" s="6" t="s">
        <v>65</v>
      </c>
      <c r="I1629" s="1" t="n">
        <v>2</v>
      </c>
      <c r="J1629" s="7" t="n">
        <v>16255.35</v>
      </c>
      <c r="K1629" s="8" t="n">
        <v>0</v>
      </c>
      <c r="L1629" s="7" t="n">
        <v>8963.23</v>
      </c>
      <c r="M1629" s="6" t="s">
        <v>49</v>
      </c>
      <c r="N1629" s="6" t="s">
        <v>50</v>
      </c>
      <c r="O1629" s="6" t="n">
        <f aca="false">IF(TablaVentas[[#This Row],[Precio_unitario]]="","PENDIENTE",TablaVentas[[#This Row],[Unidades]]*TablaVentas[[#This Row],[Precio_unitario]]*(1-TablaVentas[[#This Row],[Descuento_pct]]))</f>
        <v>32510.7</v>
      </c>
      <c r="P1629" s="6" t="n">
        <f aca="false">IF(TablaVentas[[#This Row],[Costo_unitario]]="","PENDIENTE",TablaVentas[[#This Row],[Unidades]]*TablaVentas[[#This Row],[Costo_unitario]])</f>
        <v>17926.46</v>
      </c>
      <c r="Q1629" s="6" t="n">
        <f aca="false">IF(OR(TablaVentas[[#This Row],[Ingreso_neto]]="PENDIENTE",TablaVentas[[#This Row],[Costo_total]]="PENDIENTE"),"PENDIENTE",TablaVentas[[#This Row],[Ingreso_neto]]-TablaVentas[[#This Row],[Costo_total]])</f>
        <v>14584.24</v>
      </c>
    </row>
    <row r="1630" customFormat="false" ht="13.5" hidden="false" customHeight="false" outlineLevel="0" collapsed="false">
      <c r="A1630" s="1" t="s">
        <v>1093</v>
      </c>
      <c r="B1630" s="1" t="n">
        <v>1</v>
      </c>
      <c r="C1630" s="5" t="n">
        <v>46272</v>
      </c>
      <c r="D1630" s="6" t="s">
        <v>283</v>
      </c>
      <c r="E1630" s="6" t="s">
        <v>269</v>
      </c>
      <c r="F1630" s="6" t="s">
        <v>46</v>
      </c>
      <c r="G1630" s="6" t="s">
        <v>57</v>
      </c>
      <c r="H1630" s="6" t="s">
        <v>65</v>
      </c>
      <c r="I1630" s="1" t="n">
        <v>5</v>
      </c>
      <c r="J1630" s="7" t="n">
        <v>14352.62</v>
      </c>
      <c r="K1630" s="8" t="n">
        <v>0</v>
      </c>
      <c r="L1630" s="7" t="n">
        <v>8227.46</v>
      </c>
      <c r="M1630" s="6" t="s">
        <v>123</v>
      </c>
      <c r="N1630" s="6" t="s">
        <v>59</v>
      </c>
      <c r="O1630" s="6" t="n">
        <f aca="false">IF(TablaVentas[[#This Row],[Precio_unitario]]="","PENDIENTE",TablaVentas[[#This Row],[Unidades]]*TablaVentas[[#This Row],[Precio_unitario]]*(1-TablaVentas[[#This Row],[Descuento_pct]]))</f>
        <v>71763.1</v>
      </c>
      <c r="P1630" s="6" t="n">
        <f aca="false">IF(TablaVentas[[#This Row],[Costo_unitario]]="","PENDIENTE",TablaVentas[[#This Row],[Unidades]]*TablaVentas[[#This Row],[Costo_unitario]])</f>
        <v>41137.3</v>
      </c>
      <c r="Q1630" s="6" t="n">
        <f aca="false">IF(OR(TablaVentas[[#This Row],[Ingreso_neto]]="PENDIENTE",TablaVentas[[#This Row],[Costo_total]]="PENDIENTE"),"PENDIENTE",TablaVentas[[#This Row],[Ingreso_neto]]-TablaVentas[[#This Row],[Costo_total]])</f>
        <v>30625.8</v>
      </c>
    </row>
    <row r="1631" customFormat="false" ht="13.5" hidden="false" customHeight="false" outlineLevel="0" collapsed="false">
      <c r="A1631" s="1" t="s">
        <v>1093</v>
      </c>
      <c r="B1631" s="1" t="n">
        <v>2</v>
      </c>
      <c r="C1631" s="5" t="n">
        <v>46272</v>
      </c>
      <c r="D1631" s="6" t="s">
        <v>283</v>
      </c>
      <c r="E1631" s="6" t="s">
        <v>342</v>
      </c>
      <c r="F1631" s="6" t="s">
        <v>46</v>
      </c>
      <c r="G1631" s="6" t="s">
        <v>57</v>
      </c>
      <c r="H1631" s="6" t="s">
        <v>65</v>
      </c>
      <c r="I1631" s="1" t="n">
        <v>3</v>
      </c>
      <c r="J1631" s="7" t="n">
        <v>7556.31</v>
      </c>
      <c r="K1631" s="8" t="n">
        <v>0</v>
      </c>
      <c r="L1631" s="7" t="n">
        <v>5587.31</v>
      </c>
      <c r="M1631" s="6" t="s">
        <v>49</v>
      </c>
      <c r="N1631" s="6" t="s">
        <v>50</v>
      </c>
      <c r="O1631" s="6" t="n">
        <f aca="false">IF(TablaVentas[[#This Row],[Precio_unitario]]="","PENDIENTE",TablaVentas[[#This Row],[Unidades]]*TablaVentas[[#This Row],[Precio_unitario]]*(1-TablaVentas[[#This Row],[Descuento_pct]]))</f>
        <v>22668.93</v>
      </c>
      <c r="P1631" s="6" t="n">
        <f aca="false">IF(TablaVentas[[#This Row],[Costo_unitario]]="","PENDIENTE",TablaVentas[[#This Row],[Unidades]]*TablaVentas[[#This Row],[Costo_unitario]])</f>
        <v>16761.93</v>
      </c>
      <c r="Q1631" s="6" t="n">
        <f aca="false">IF(OR(TablaVentas[[#This Row],[Ingreso_neto]]="PENDIENTE",TablaVentas[[#This Row],[Costo_total]]="PENDIENTE"),"PENDIENTE",TablaVentas[[#This Row],[Ingreso_neto]]-TablaVentas[[#This Row],[Costo_total]])</f>
        <v>5907</v>
      </c>
    </row>
    <row r="1632" customFormat="false" ht="13.5" hidden="false" customHeight="false" outlineLevel="0" collapsed="false">
      <c r="A1632" s="1" t="s">
        <v>1094</v>
      </c>
      <c r="B1632" s="1" t="n">
        <v>1</v>
      </c>
      <c r="C1632" s="5" t="n">
        <v>46120</v>
      </c>
      <c r="D1632" s="6" t="s">
        <v>149</v>
      </c>
      <c r="E1632" s="6" t="s">
        <v>544</v>
      </c>
      <c r="F1632" s="6" t="s">
        <v>84</v>
      </c>
      <c r="G1632" s="6" t="s">
        <v>47</v>
      </c>
      <c r="H1632" s="6" t="s">
        <v>89</v>
      </c>
      <c r="I1632" s="1" t="n">
        <v>1</v>
      </c>
      <c r="J1632" s="7" t="n">
        <v>5121.21</v>
      </c>
      <c r="K1632" s="8" t="n">
        <v>0</v>
      </c>
      <c r="L1632" s="7" t="n">
        <v>4556.23</v>
      </c>
      <c r="M1632" s="6" t="s">
        <v>69</v>
      </c>
      <c r="N1632" s="6" t="s">
        <v>59</v>
      </c>
      <c r="O1632" s="6" t="n">
        <f aca="false">IF(TablaVentas[[#This Row],[Precio_unitario]]="","PENDIENTE",TablaVentas[[#This Row],[Unidades]]*TablaVentas[[#This Row],[Precio_unitario]]*(1-TablaVentas[[#This Row],[Descuento_pct]]))</f>
        <v>5121.21</v>
      </c>
      <c r="P1632" s="6" t="n">
        <f aca="false">IF(TablaVentas[[#This Row],[Costo_unitario]]="","PENDIENTE",TablaVentas[[#This Row],[Unidades]]*TablaVentas[[#This Row],[Costo_unitario]])</f>
        <v>4556.23</v>
      </c>
      <c r="Q1632" s="6" t="n">
        <f aca="false">IF(OR(TablaVentas[[#This Row],[Ingreso_neto]]="PENDIENTE",TablaVentas[[#This Row],[Costo_total]]="PENDIENTE"),"PENDIENTE",TablaVentas[[#This Row],[Ingreso_neto]]-TablaVentas[[#This Row],[Costo_total]])</f>
        <v>564.980000000001</v>
      </c>
    </row>
    <row r="1633" customFormat="false" ht="13.5" hidden="false" customHeight="false" outlineLevel="0" collapsed="false">
      <c r="A1633" s="1" t="s">
        <v>1094</v>
      </c>
      <c r="B1633" s="1" t="n">
        <v>2</v>
      </c>
      <c r="C1633" s="5" t="n">
        <v>46120</v>
      </c>
      <c r="D1633" s="6" t="s">
        <v>149</v>
      </c>
      <c r="E1633" s="6" t="s">
        <v>170</v>
      </c>
      <c r="F1633" s="6" t="s">
        <v>84</v>
      </c>
      <c r="G1633" s="6" t="s">
        <v>47</v>
      </c>
      <c r="H1633" s="6" t="s">
        <v>89</v>
      </c>
      <c r="I1633" s="1" t="n">
        <v>1</v>
      </c>
      <c r="J1633" s="7" t="n">
        <v>17017.67</v>
      </c>
      <c r="K1633" s="8" t="n">
        <v>0.15</v>
      </c>
      <c r="L1633" s="7" t="n">
        <v>12141.44</v>
      </c>
      <c r="M1633" s="6" t="s">
        <v>49</v>
      </c>
      <c r="N1633" s="6" t="s">
        <v>67</v>
      </c>
      <c r="O1633" s="6" t="n">
        <f aca="false">IF(TablaVentas[[#This Row],[Precio_unitario]]="","PENDIENTE",TablaVentas[[#This Row],[Unidades]]*TablaVentas[[#This Row],[Precio_unitario]]*(1-TablaVentas[[#This Row],[Descuento_pct]]))</f>
        <v>14465.0195</v>
      </c>
      <c r="P1633" s="6" t="n">
        <f aca="false">IF(TablaVentas[[#This Row],[Costo_unitario]]="","PENDIENTE",TablaVentas[[#This Row],[Unidades]]*TablaVentas[[#This Row],[Costo_unitario]])</f>
        <v>12141.44</v>
      </c>
      <c r="Q1633" s="6" t="n">
        <f aca="false">IF(OR(TablaVentas[[#This Row],[Ingreso_neto]]="PENDIENTE",TablaVentas[[#This Row],[Costo_total]]="PENDIENTE"),"PENDIENTE",TablaVentas[[#This Row],[Ingreso_neto]]-TablaVentas[[#This Row],[Costo_total]])</f>
        <v>2323.5795</v>
      </c>
    </row>
    <row r="1634" customFormat="false" ht="13.5" hidden="false" customHeight="false" outlineLevel="0" collapsed="false">
      <c r="A1634" s="1" t="s">
        <v>1094</v>
      </c>
      <c r="B1634" s="1" t="n">
        <v>3</v>
      </c>
      <c r="C1634" s="5" t="n">
        <v>46120</v>
      </c>
      <c r="D1634" s="6" t="s">
        <v>149</v>
      </c>
      <c r="E1634" s="6" t="s">
        <v>192</v>
      </c>
      <c r="F1634" s="6" t="s">
        <v>84</v>
      </c>
      <c r="G1634" s="6" t="s">
        <v>47</v>
      </c>
      <c r="H1634" s="6" t="s">
        <v>89</v>
      </c>
      <c r="I1634" s="1" t="n">
        <v>8</v>
      </c>
      <c r="J1634" s="7" t="n">
        <v>15629.58</v>
      </c>
      <c r="K1634" s="8" t="n">
        <v>0</v>
      </c>
      <c r="L1634" s="7" t="n">
        <v>11904.09</v>
      </c>
      <c r="M1634" s="6" t="s">
        <v>49</v>
      </c>
      <c r="N1634" s="6" t="s">
        <v>50</v>
      </c>
      <c r="O1634" s="6" t="n">
        <f aca="false">IF(TablaVentas[[#This Row],[Precio_unitario]]="","PENDIENTE",TablaVentas[[#This Row],[Unidades]]*TablaVentas[[#This Row],[Precio_unitario]]*(1-TablaVentas[[#This Row],[Descuento_pct]]))</f>
        <v>125036.64</v>
      </c>
      <c r="P1634" s="6" t="n">
        <f aca="false">IF(TablaVentas[[#This Row],[Costo_unitario]]="","PENDIENTE",TablaVentas[[#This Row],[Unidades]]*TablaVentas[[#This Row],[Costo_unitario]])</f>
        <v>95232.72</v>
      </c>
      <c r="Q1634" s="6" t="n">
        <f aca="false">IF(OR(TablaVentas[[#This Row],[Ingreso_neto]]="PENDIENTE",TablaVentas[[#This Row],[Costo_total]]="PENDIENTE"),"PENDIENTE",TablaVentas[[#This Row],[Ingreso_neto]]-TablaVentas[[#This Row],[Costo_total]])</f>
        <v>29803.92</v>
      </c>
    </row>
    <row r="1635" customFormat="false" ht="13.5" hidden="false" customHeight="false" outlineLevel="0" collapsed="false">
      <c r="A1635" s="1" t="s">
        <v>1094</v>
      </c>
      <c r="B1635" s="1" t="n">
        <v>4</v>
      </c>
      <c r="C1635" s="5" t="n">
        <v>46120</v>
      </c>
      <c r="D1635" s="6" t="s">
        <v>149</v>
      </c>
      <c r="E1635" s="6" t="s">
        <v>224</v>
      </c>
      <c r="F1635" s="6" t="s">
        <v>84</v>
      </c>
      <c r="G1635" s="6" t="s">
        <v>47</v>
      </c>
      <c r="H1635" s="6" t="s">
        <v>89</v>
      </c>
      <c r="I1635" s="1" t="n">
        <v>8</v>
      </c>
      <c r="J1635" s="7" t="n">
        <v>15882.04</v>
      </c>
      <c r="K1635" s="8" t="n">
        <v>0.1</v>
      </c>
      <c r="L1635" s="7" t="n">
        <v>14161.63</v>
      </c>
      <c r="M1635" s="6" t="s">
        <v>49</v>
      </c>
      <c r="N1635" s="6" t="s">
        <v>52</v>
      </c>
      <c r="O1635" s="6" t="n">
        <f aca="false">IF(TablaVentas[[#This Row],[Precio_unitario]]="","PENDIENTE",TablaVentas[[#This Row],[Unidades]]*TablaVentas[[#This Row],[Precio_unitario]]*(1-TablaVentas[[#This Row],[Descuento_pct]]))</f>
        <v>114350.688</v>
      </c>
      <c r="P1635" s="6" t="n">
        <f aca="false">IF(TablaVentas[[#This Row],[Costo_unitario]]="","PENDIENTE",TablaVentas[[#This Row],[Unidades]]*TablaVentas[[#This Row],[Costo_unitario]])</f>
        <v>113293.04</v>
      </c>
      <c r="Q1635" s="6" t="n">
        <f aca="false">IF(OR(TablaVentas[[#This Row],[Ingreso_neto]]="PENDIENTE",TablaVentas[[#This Row],[Costo_total]]="PENDIENTE"),"PENDIENTE",TablaVentas[[#This Row],[Ingreso_neto]]-TablaVentas[[#This Row],[Costo_total]])</f>
        <v>1057.64800000002</v>
      </c>
    </row>
    <row r="1636" customFormat="false" ht="13.5" hidden="false" customHeight="false" outlineLevel="0" collapsed="false">
      <c r="A1636" s="1" t="s">
        <v>1095</v>
      </c>
      <c r="B1636" s="1" t="n">
        <v>1</v>
      </c>
      <c r="C1636" s="5" t="n">
        <v>46185</v>
      </c>
      <c r="D1636" s="6" t="s">
        <v>119</v>
      </c>
      <c r="E1636" s="6" t="s">
        <v>279</v>
      </c>
      <c r="F1636" s="6" t="s">
        <v>84</v>
      </c>
      <c r="G1636" s="6" t="s">
        <v>57</v>
      </c>
      <c r="H1636" s="6" t="s">
        <v>65</v>
      </c>
      <c r="I1636" s="1" t="n">
        <v>5</v>
      </c>
      <c r="J1636" s="7" t="n">
        <v>628.2</v>
      </c>
      <c r="K1636" s="8" t="n">
        <v>0.1</v>
      </c>
      <c r="L1636" s="7" t="n">
        <v>443</v>
      </c>
      <c r="M1636" s="6" t="s">
        <v>49</v>
      </c>
      <c r="N1636" s="6" t="s">
        <v>50</v>
      </c>
      <c r="O1636" s="6" t="n">
        <f aca="false">IF(TablaVentas[[#This Row],[Precio_unitario]]="","PENDIENTE",TablaVentas[[#This Row],[Unidades]]*TablaVentas[[#This Row],[Precio_unitario]]*(1-TablaVentas[[#This Row],[Descuento_pct]]))</f>
        <v>2826.9</v>
      </c>
      <c r="P1636" s="6" t="n">
        <f aca="false">IF(TablaVentas[[#This Row],[Costo_unitario]]="","PENDIENTE",TablaVentas[[#This Row],[Unidades]]*TablaVentas[[#This Row],[Costo_unitario]])</f>
        <v>2215</v>
      </c>
      <c r="Q1636" s="6" t="n">
        <f aca="false">IF(OR(TablaVentas[[#This Row],[Ingreso_neto]]="PENDIENTE",TablaVentas[[#This Row],[Costo_total]]="PENDIENTE"),"PENDIENTE",TablaVentas[[#This Row],[Ingreso_neto]]-TablaVentas[[#This Row],[Costo_total]])</f>
        <v>611.9</v>
      </c>
    </row>
    <row r="1637" customFormat="false" ht="13.5" hidden="false" customHeight="false" outlineLevel="0" collapsed="false">
      <c r="A1637" s="1" t="s">
        <v>1095</v>
      </c>
      <c r="B1637" s="1" t="n">
        <v>2</v>
      </c>
      <c r="C1637" s="5" t="n">
        <v>46185</v>
      </c>
      <c r="D1637" s="6" t="s">
        <v>119</v>
      </c>
      <c r="E1637" s="6" t="s">
        <v>110</v>
      </c>
      <c r="F1637" s="6" t="s">
        <v>84</v>
      </c>
      <c r="G1637" s="6" t="s">
        <v>57</v>
      </c>
      <c r="H1637" s="6" t="s">
        <v>65</v>
      </c>
      <c r="I1637" s="1" t="n">
        <v>1</v>
      </c>
      <c r="J1637" s="7" t="n">
        <v>12693.86</v>
      </c>
      <c r="K1637" s="8" t="n">
        <v>0.1</v>
      </c>
      <c r="L1637" s="7" t="n">
        <v>7549.71</v>
      </c>
      <c r="M1637" s="6" t="s">
        <v>49</v>
      </c>
      <c r="N1637" s="6" t="s">
        <v>50</v>
      </c>
      <c r="O1637" s="6" t="n">
        <f aca="false">IF(TablaVentas[[#This Row],[Precio_unitario]]="","PENDIENTE",TablaVentas[[#This Row],[Unidades]]*TablaVentas[[#This Row],[Precio_unitario]]*(1-TablaVentas[[#This Row],[Descuento_pct]]))</f>
        <v>11424.474</v>
      </c>
      <c r="P1637" s="6" t="n">
        <f aca="false">IF(TablaVentas[[#This Row],[Costo_unitario]]="","PENDIENTE",TablaVentas[[#This Row],[Unidades]]*TablaVentas[[#This Row],[Costo_unitario]])</f>
        <v>7549.71</v>
      </c>
      <c r="Q1637" s="6" t="n">
        <f aca="false">IF(OR(TablaVentas[[#This Row],[Ingreso_neto]]="PENDIENTE",TablaVentas[[#This Row],[Costo_total]]="PENDIENTE"),"PENDIENTE",TablaVentas[[#This Row],[Ingreso_neto]]-TablaVentas[[#This Row],[Costo_total]])</f>
        <v>3874.764</v>
      </c>
    </row>
    <row r="1638" customFormat="false" ht="13.5" hidden="false" customHeight="false" outlineLevel="0" collapsed="false">
      <c r="A1638" s="1" t="s">
        <v>1095</v>
      </c>
      <c r="B1638" s="1" t="n">
        <v>3</v>
      </c>
      <c r="C1638" s="5" t="n">
        <v>46185</v>
      </c>
      <c r="D1638" s="6" t="s">
        <v>119</v>
      </c>
      <c r="E1638" s="6" t="s">
        <v>132</v>
      </c>
      <c r="F1638" s="6" t="s">
        <v>84</v>
      </c>
      <c r="G1638" s="6" t="s">
        <v>57</v>
      </c>
      <c r="H1638" s="6" t="s">
        <v>65</v>
      </c>
      <c r="I1638" s="1" t="n">
        <v>8</v>
      </c>
      <c r="J1638" s="7" t="n">
        <v>1832.49</v>
      </c>
      <c r="K1638" s="8" t="n">
        <v>0</v>
      </c>
      <c r="L1638" s="7" t="n">
        <v>1044.32</v>
      </c>
      <c r="M1638" s="6" t="s">
        <v>49</v>
      </c>
      <c r="N1638" s="6" t="s">
        <v>67</v>
      </c>
      <c r="O1638" s="6" t="n">
        <f aca="false">IF(TablaVentas[[#This Row],[Precio_unitario]]="","PENDIENTE",TablaVentas[[#This Row],[Unidades]]*TablaVentas[[#This Row],[Precio_unitario]]*(1-TablaVentas[[#This Row],[Descuento_pct]]))</f>
        <v>14659.92</v>
      </c>
      <c r="P1638" s="6" t="n">
        <f aca="false">IF(TablaVentas[[#This Row],[Costo_unitario]]="","PENDIENTE",TablaVentas[[#This Row],[Unidades]]*TablaVentas[[#This Row],[Costo_unitario]])</f>
        <v>8354.56</v>
      </c>
      <c r="Q1638" s="6" t="n">
        <f aca="false">IF(OR(TablaVentas[[#This Row],[Ingreso_neto]]="PENDIENTE",TablaVentas[[#This Row],[Costo_total]]="PENDIENTE"),"PENDIENTE",TablaVentas[[#This Row],[Ingreso_neto]]-TablaVentas[[#This Row],[Costo_total]])</f>
        <v>6305.36</v>
      </c>
    </row>
    <row r="1639" customFormat="false" ht="13.5" hidden="false" customHeight="false" outlineLevel="0" collapsed="false">
      <c r="A1639" s="1" t="s">
        <v>1096</v>
      </c>
      <c r="B1639" s="1" t="n">
        <v>1</v>
      </c>
      <c r="C1639" s="5" t="n">
        <v>46113</v>
      </c>
      <c r="D1639" s="6" t="s">
        <v>897</v>
      </c>
      <c r="E1639" s="6" t="s">
        <v>127</v>
      </c>
      <c r="F1639" s="6" t="s">
        <v>63</v>
      </c>
      <c r="G1639" s="6" t="s">
        <v>64</v>
      </c>
      <c r="H1639" s="6" t="s">
        <v>191</v>
      </c>
      <c r="I1639" s="1" t="n">
        <v>1</v>
      </c>
      <c r="J1639" s="7" t="n">
        <v>13209.76</v>
      </c>
      <c r="K1639" s="8" t="n">
        <v>0</v>
      </c>
      <c r="L1639" s="7" t="n">
        <v>7975.26</v>
      </c>
      <c r="M1639" s="6" t="s">
        <v>49</v>
      </c>
      <c r="N1639" s="6" t="s">
        <v>67</v>
      </c>
      <c r="O1639" s="6" t="n">
        <f aca="false">IF(TablaVentas[[#This Row],[Precio_unitario]]="","PENDIENTE",TablaVentas[[#This Row],[Unidades]]*TablaVentas[[#This Row],[Precio_unitario]]*(1-TablaVentas[[#This Row],[Descuento_pct]]))</f>
        <v>13209.76</v>
      </c>
      <c r="P1639" s="6" t="n">
        <f aca="false">IF(TablaVentas[[#This Row],[Costo_unitario]]="","PENDIENTE",TablaVentas[[#This Row],[Unidades]]*TablaVentas[[#This Row],[Costo_unitario]])</f>
        <v>7975.26</v>
      </c>
      <c r="Q1639" s="6" t="n">
        <f aca="false">IF(OR(TablaVentas[[#This Row],[Ingreso_neto]]="PENDIENTE",TablaVentas[[#This Row],[Costo_total]]="PENDIENTE"),"PENDIENTE",TablaVentas[[#This Row],[Ingreso_neto]]-TablaVentas[[#This Row],[Costo_total]])</f>
        <v>5234.5</v>
      </c>
    </row>
    <row r="1640" customFormat="false" ht="13.5" hidden="false" customHeight="false" outlineLevel="0" collapsed="false">
      <c r="A1640" s="1" t="s">
        <v>1097</v>
      </c>
      <c r="B1640" s="1" t="n">
        <v>1</v>
      </c>
      <c r="C1640" s="5" t="n">
        <v>46124</v>
      </c>
      <c r="D1640" s="6" t="s">
        <v>587</v>
      </c>
      <c r="E1640" s="6" t="s">
        <v>162</v>
      </c>
      <c r="F1640" s="6" t="s">
        <v>63</v>
      </c>
      <c r="G1640" s="6" t="s">
        <v>57</v>
      </c>
      <c r="H1640" s="6" t="s">
        <v>136</v>
      </c>
      <c r="I1640" s="1" t="n">
        <v>3</v>
      </c>
      <c r="J1640" s="7" t="n">
        <v>739.79</v>
      </c>
      <c r="K1640" s="8" t="n">
        <v>0</v>
      </c>
      <c r="L1640" s="7" t="n">
        <v>397.1</v>
      </c>
      <c r="M1640" s="6" t="s">
        <v>49</v>
      </c>
      <c r="N1640" s="6" t="s">
        <v>59</v>
      </c>
      <c r="O1640" s="6" t="n">
        <f aca="false">IF(TablaVentas[[#This Row],[Precio_unitario]]="","PENDIENTE",TablaVentas[[#This Row],[Unidades]]*TablaVentas[[#This Row],[Precio_unitario]]*(1-TablaVentas[[#This Row],[Descuento_pct]]))</f>
        <v>2219.37</v>
      </c>
      <c r="P1640" s="6" t="n">
        <f aca="false">IF(TablaVentas[[#This Row],[Costo_unitario]]="","PENDIENTE",TablaVentas[[#This Row],[Unidades]]*TablaVentas[[#This Row],[Costo_unitario]])</f>
        <v>1191.3</v>
      </c>
      <c r="Q1640" s="6" t="n">
        <f aca="false">IF(OR(TablaVentas[[#This Row],[Ingreso_neto]]="PENDIENTE",TablaVentas[[#This Row],[Costo_total]]="PENDIENTE"),"PENDIENTE",TablaVentas[[#This Row],[Ingreso_neto]]-TablaVentas[[#This Row],[Costo_total]])</f>
        <v>1028.07</v>
      </c>
    </row>
    <row r="1641" customFormat="false" ht="13.5" hidden="false" customHeight="false" outlineLevel="0" collapsed="false">
      <c r="A1641" s="1" t="s">
        <v>1098</v>
      </c>
      <c r="B1641" s="1" t="n">
        <v>1</v>
      </c>
      <c r="C1641" s="5" t="n">
        <v>46180</v>
      </c>
      <c r="D1641" s="6" t="s">
        <v>384</v>
      </c>
      <c r="E1641" s="6" t="s">
        <v>88</v>
      </c>
      <c r="F1641" s="6" t="s">
        <v>84</v>
      </c>
      <c r="G1641" s="6" t="s">
        <v>57</v>
      </c>
      <c r="H1641" s="6" t="s">
        <v>65</v>
      </c>
      <c r="I1641" s="1" t="n">
        <v>4</v>
      </c>
      <c r="J1641" s="7" t="n">
        <v>15410.85</v>
      </c>
      <c r="K1641" s="8" t="n">
        <v>0</v>
      </c>
      <c r="L1641" s="7" t="n">
        <v>11614.87</v>
      </c>
      <c r="M1641" s="6" t="s">
        <v>49</v>
      </c>
      <c r="N1641" s="6" t="s">
        <v>59</v>
      </c>
      <c r="O1641" s="6" t="n">
        <f aca="false">IF(TablaVentas[[#This Row],[Precio_unitario]]="","PENDIENTE",TablaVentas[[#This Row],[Unidades]]*TablaVentas[[#This Row],[Precio_unitario]]*(1-TablaVentas[[#This Row],[Descuento_pct]]))</f>
        <v>61643.4</v>
      </c>
      <c r="P1641" s="6" t="n">
        <f aca="false">IF(TablaVentas[[#This Row],[Costo_unitario]]="","PENDIENTE",TablaVentas[[#This Row],[Unidades]]*TablaVentas[[#This Row],[Costo_unitario]])</f>
        <v>46459.48</v>
      </c>
      <c r="Q1641" s="6" t="n">
        <f aca="false">IF(OR(TablaVentas[[#This Row],[Ingreso_neto]]="PENDIENTE",TablaVentas[[#This Row],[Costo_total]]="PENDIENTE"),"PENDIENTE",TablaVentas[[#This Row],[Ingreso_neto]]-TablaVentas[[#This Row],[Costo_total]])</f>
        <v>15183.92</v>
      </c>
    </row>
    <row r="1642" customFormat="false" ht="13.5" hidden="false" customHeight="false" outlineLevel="0" collapsed="false">
      <c r="A1642" s="1" t="s">
        <v>1098</v>
      </c>
      <c r="B1642" s="1" t="n">
        <v>2</v>
      </c>
      <c r="C1642" s="5" t="n">
        <v>46180</v>
      </c>
      <c r="D1642" s="6" t="s">
        <v>384</v>
      </c>
      <c r="E1642" s="6" t="s">
        <v>230</v>
      </c>
      <c r="F1642" s="6" t="s">
        <v>84</v>
      </c>
      <c r="G1642" s="6" t="s">
        <v>57</v>
      </c>
      <c r="H1642" s="6" t="s">
        <v>65</v>
      </c>
      <c r="I1642" s="1" t="n">
        <v>1</v>
      </c>
      <c r="J1642" s="7" t="n">
        <v>5794.78</v>
      </c>
      <c r="K1642" s="8" t="n">
        <v>0</v>
      </c>
      <c r="L1642" s="7" t="n">
        <v>3298.19</v>
      </c>
      <c r="M1642" s="6" t="s">
        <v>49</v>
      </c>
      <c r="N1642" s="6" t="s">
        <v>67</v>
      </c>
      <c r="O1642" s="6" t="n">
        <f aca="false">IF(TablaVentas[[#This Row],[Precio_unitario]]="","PENDIENTE",TablaVentas[[#This Row],[Unidades]]*TablaVentas[[#This Row],[Precio_unitario]]*(1-TablaVentas[[#This Row],[Descuento_pct]]))</f>
        <v>5794.78</v>
      </c>
      <c r="P1642" s="6" t="n">
        <f aca="false">IF(TablaVentas[[#This Row],[Costo_unitario]]="","PENDIENTE",TablaVentas[[#This Row],[Unidades]]*TablaVentas[[#This Row],[Costo_unitario]])</f>
        <v>3298.19</v>
      </c>
      <c r="Q1642" s="6" t="n">
        <f aca="false">IF(OR(TablaVentas[[#This Row],[Ingreso_neto]]="PENDIENTE",TablaVentas[[#This Row],[Costo_total]]="PENDIENTE"),"PENDIENTE",TablaVentas[[#This Row],[Ingreso_neto]]-TablaVentas[[#This Row],[Costo_total]])</f>
        <v>2496.59</v>
      </c>
    </row>
    <row r="1643" customFormat="false" ht="13.5" hidden="false" customHeight="false" outlineLevel="0" collapsed="false">
      <c r="A1643" s="1" t="s">
        <v>1099</v>
      </c>
      <c r="B1643" s="1" t="n">
        <v>1</v>
      </c>
      <c r="C1643" s="5" t="n">
        <v>46145</v>
      </c>
      <c r="D1643" s="6" t="s">
        <v>784</v>
      </c>
      <c r="E1643" s="6" t="s">
        <v>410</v>
      </c>
      <c r="F1643" s="6" t="s">
        <v>73</v>
      </c>
      <c r="G1643" s="6" t="s">
        <v>57</v>
      </c>
      <c r="H1643" s="6" t="s">
        <v>89</v>
      </c>
      <c r="I1643" s="1" t="n">
        <v>2</v>
      </c>
      <c r="J1643" s="7" t="n">
        <v>2924.2</v>
      </c>
      <c r="K1643" s="8" t="n">
        <v>0.05</v>
      </c>
      <c r="L1643" s="7" t="n">
        <v>1801.83</v>
      </c>
      <c r="M1643" s="6" t="s">
        <v>49</v>
      </c>
      <c r="N1643" s="6" t="s">
        <v>50</v>
      </c>
      <c r="O1643" s="6" t="n">
        <f aca="false">IF(TablaVentas[[#This Row],[Precio_unitario]]="","PENDIENTE",TablaVentas[[#This Row],[Unidades]]*TablaVentas[[#This Row],[Precio_unitario]]*(1-TablaVentas[[#This Row],[Descuento_pct]]))</f>
        <v>5555.98</v>
      </c>
      <c r="P1643" s="6" t="n">
        <f aca="false">IF(TablaVentas[[#This Row],[Costo_unitario]]="","PENDIENTE",TablaVentas[[#This Row],[Unidades]]*TablaVentas[[#This Row],[Costo_unitario]])</f>
        <v>3603.66</v>
      </c>
      <c r="Q1643" s="6" t="n">
        <f aca="false">IF(OR(TablaVentas[[#This Row],[Ingreso_neto]]="PENDIENTE",TablaVentas[[#This Row],[Costo_total]]="PENDIENTE"),"PENDIENTE",TablaVentas[[#This Row],[Ingreso_neto]]-TablaVentas[[#This Row],[Costo_total]])</f>
        <v>1952.32</v>
      </c>
    </row>
    <row r="1644" customFormat="false" ht="13.5" hidden="false" customHeight="false" outlineLevel="0" collapsed="false">
      <c r="A1644" s="1" t="s">
        <v>1100</v>
      </c>
      <c r="B1644" s="1" t="n">
        <v>1</v>
      </c>
      <c r="C1644" s="5" t="n">
        <v>46265</v>
      </c>
      <c r="D1644" s="6" t="s">
        <v>196</v>
      </c>
      <c r="E1644" s="6" t="s">
        <v>230</v>
      </c>
      <c r="F1644" s="6" t="s">
        <v>63</v>
      </c>
      <c r="G1644" s="6" t="s">
        <v>47</v>
      </c>
      <c r="H1644" s="6" t="s">
        <v>109</v>
      </c>
      <c r="I1644" s="1" t="n">
        <v>1</v>
      </c>
      <c r="J1644" s="7" t="n">
        <v>6309.8</v>
      </c>
      <c r="K1644" s="8" t="n">
        <v>0.1</v>
      </c>
      <c r="L1644" s="7" t="n">
        <v>3298.19</v>
      </c>
      <c r="M1644" s="6" t="s">
        <v>49</v>
      </c>
      <c r="N1644" s="6" t="s">
        <v>67</v>
      </c>
      <c r="O1644" s="6" t="n">
        <f aca="false">IF(TablaVentas[[#This Row],[Precio_unitario]]="","PENDIENTE",TablaVentas[[#This Row],[Unidades]]*TablaVentas[[#This Row],[Precio_unitario]]*(1-TablaVentas[[#This Row],[Descuento_pct]]))</f>
        <v>5678.82</v>
      </c>
      <c r="P1644" s="6" t="n">
        <f aca="false">IF(TablaVentas[[#This Row],[Costo_unitario]]="","PENDIENTE",TablaVentas[[#This Row],[Unidades]]*TablaVentas[[#This Row],[Costo_unitario]])</f>
        <v>3298.19</v>
      </c>
      <c r="Q1644" s="6" t="n">
        <f aca="false">IF(OR(TablaVentas[[#This Row],[Ingreso_neto]]="PENDIENTE",TablaVentas[[#This Row],[Costo_total]]="PENDIENTE"),"PENDIENTE",TablaVentas[[#This Row],[Ingreso_neto]]-TablaVentas[[#This Row],[Costo_total]])</f>
        <v>2380.63</v>
      </c>
    </row>
    <row r="1645" customFormat="false" ht="13.5" hidden="false" customHeight="false" outlineLevel="0" collapsed="false">
      <c r="A1645" s="1" t="s">
        <v>1100</v>
      </c>
      <c r="B1645" s="1" t="n">
        <v>2</v>
      </c>
      <c r="C1645" s="5" t="n">
        <v>46265</v>
      </c>
      <c r="D1645" s="6" t="s">
        <v>196</v>
      </c>
      <c r="E1645" s="6" t="s">
        <v>93</v>
      </c>
      <c r="F1645" s="6" t="s">
        <v>63</v>
      </c>
      <c r="G1645" s="6" t="s">
        <v>47</v>
      </c>
      <c r="H1645" s="6" t="s">
        <v>109</v>
      </c>
      <c r="I1645" s="1" t="n">
        <v>1</v>
      </c>
      <c r="J1645" s="7" t="n">
        <v>14668.31</v>
      </c>
      <c r="K1645" s="8" t="n">
        <v>0.2</v>
      </c>
      <c r="L1645" s="7" t="n">
        <v>11166.03</v>
      </c>
      <c r="M1645" s="6" t="s">
        <v>123</v>
      </c>
      <c r="N1645" s="6" t="s">
        <v>59</v>
      </c>
      <c r="O1645" s="6" t="n">
        <f aca="false">IF(TablaVentas[[#This Row],[Precio_unitario]]="","PENDIENTE",TablaVentas[[#This Row],[Unidades]]*TablaVentas[[#This Row],[Precio_unitario]]*(1-TablaVentas[[#This Row],[Descuento_pct]]))</f>
        <v>11734.648</v>
      </c>
      <c r="P1645" s="6" t="n">
        <f aca="false">IF(TablaVentas[[#This Row],[Costo_unitario]]="","PENDIENTE",TablaVentas[[#This Row],[Unidades]]*TablaVentas[[#This Row],[Costo_unitario]])</f>
        <v>11166.03</v>
      </c>
      <c r="Q1645" s="6" t="n">
        <f aca="false">IF(OR(TablaVentas[[#This Row],[Ingreso_neto]]="PENDIENTE",TablaVentas[[#This Row],[Costo_total]]="PENDIENTE"),"PENDIENTE",TablaVentas[[#This Row],[Ingreso_neto]]-TablaVentas[[#This Row],[Costo_total]])</f>
        <v>568.618</v>
      </c>
    </row>
    <row r="1646" customFormat="false" ht="13.5" hidden="false" customHeight="false" outlineLevel="0" collapsed="false">
      <c r="A1646" s="1" t="s">
        <v>1101</v>
      </c>
      <c r="B1646" s="1" t="n">
        <v>1</v>
      </c>
      <c r="C1646" s="5" t="n">
        <v>46164</v>
      </c>
      <c r="D1646" s="6" t="s">
        <v>125</v>
      </c>
      <c r="E1646" s="6" t="s">
        <v>75</v>
      </c>
      <c r="F1646" s="6" t="s">
        <v>73</v>
      </c>
      <c r="G1646" s="6" t="s">
        <v>64</v>
      </c>
      <c r="H1646" s="6" t="s">
        <v>80</v>
      </c>
      <c r="I1646" s="1" t="n">
        <v>1</v>
      </c>
      <c r="J1646" s="7" t="n">
        <v>15224.56</v>
      </c>
      <c r="K1646" s="8" t="n">
        <v>0</v>
      </c>
      <c r="L1646" s="7" t="n">
        <v>9243.35</v>
      </c>
      <c r="M1646" s="6" t="s">
        <v>49</v>
      </c>
      <c r="N1646" s="6" t="s">
        <v>59</v>
      </c>
      <c r="O1646" s="6" t="n">
        <f aca="false">IF(TablaVentas[[#This Row],[Precio_unitario]]="","PENDIENTE",TablaVentas[[#This Row],[Unidades]]*TablaVentas[[#This Row],[Precio_unitario]]*(1-TablaVentas[[#This Row],[Descuento_pct]]))</f>
        <v>15224.56</v>
      </c>
      <c r="P1646" s="6" t="n">
        <f aca="false">IF(TablaVentas[[#This Row],[Costo_unitario]]="","PENDIENTE",TablaVentas[[#This Row],[Unidades]]*TablaVentas[[#This Row],[Costo_unitario]])</f>
        <v>9243.35</v>
      </c>
      <c r="Q1646" s="6" t="n">
        <f aca="false">IF(OR(TablaVentas[[#This Row],[Ingreso_neto]]="PENDIENTE",TablaVentas[[#This Row],[Costo_total]]="PENDIENTE"),"PENDIENTE",TablaVentas[[#This Row],[Ingreso_neto]]-TablaVentas[[#This Row],[Costo_total]])</f>
        <v>5981.21</v>
      </c>
    </row>
    <row r="1647" customFormat="false" ht="13.5" hidden="false" customHeight="false" outlineLevel="0" collapsed="false">
      <c r="A1647" s="1" t="s">
        <v>1101</v>
      </c>
      <c r="B1647" s="1" t="n">
        <v>2</v>
      </c>
      <c r="C1647" s="5" t="n">
        <v>46164</v>
      </c>
      <c r="D1647" s="6" t="s">
        <v>125</v>
      </c>
      <c r="E1647" s="6" t="s">
        <v>83</v>
      </c>
      <c r="F1647" s="6" t="s">
        <v>73</v>
      </c>
      <c r="G1647" s="6" t="s">
        <v>64</v>
      </c>
      <c r="H1647" s="6" t="s">
        <v>80</v>
      </c>
      <c r="I1647" s="1" t="n">
        <v>4</v>
      </c>
      <c r="J1647" s="7" t="n">
        <v>13240.64</v>
      </c>
      <c r="K1647" s="8" t="n">
        <v>0</v>
      </c>
      <c r="L1647" s="7" t="n">
        <v>7748.44</v>
      </c>
      <c r="M1647" s="6" t="s">
        <v>49</v>
      </c>
      <c r="N1647" s="6" t="s">
        <v>59</v>
      </c>
      <c r="O1647" s="6" t="n">
        <f aca="false">IF(TablaVentas[[#This Row],[Precio_unitario]]="","PENDIENTE",TablaVentas[[#This Row],[Unidades]]*TablaVentas[[#This Row],[Precio_unitario]]*(1-TablaVentas[[#This Row],[Descuento_pct]]))</f>
        <v>52962.56</v>
      </c>
      <c r="P1647" s="6" t="n">
        <f aca="false">IF(TablaVentas[[#This Row],[Costo_unitario]]="","PENDIENTE",TablaVentas[[#This Row],[Unidades]]*TablaVentas[[#This Row],[Costo_unitario]])</f>
        <v>30993.76</v>
      </c>
      <c r="Q1647" s="6" t="n">
        <f aca="false">IF(OR(TablaVentas[[#This Row],[Ingreso_neto]]="PENDIENTE",TablaVentas[[#This Row],[Costo_total]]="PENDIENTE"),"PENDIENTE",TablaVentas[[#This Row],[Ingreso_neto]]-TablaVentas[[#This Row],[Costo_total]])</f>
        <v>21968.8</v>
      </c>
    </row>
    <row r="1648" customFormat="false" ht="13.5" hidden="false" customHeight="false" outlineLevel="0" collapsed="false">
      <c r="A1648" s="1" t="s">
        <v>1102</v>
      </c>
      <c r="B1648" s="1" t="n">
        <v>1</v>
      </c>
      <c r="C1648" s="5" t="n">
        <v>46054</v>
      </c>
      <c r="D1648" s="6" t="s">
        <v>777</v>
      </c>
      <c r="E1648" s="6" t="s">
        <v>51</v>
      </c>
      <c r="F1648" s="6" t="s">
        <v>73</v>
      </c>
      <c r="G1648" s="6" t="s">
        <v>64</v>
      </c>
      <c r="H1648" s="6" t="s">
        <v>136</v>
      </c>
      <c r="I1648" s="1" t="n">
        <v>3</v>
      </c>
      <c r="J1648" s="7" t="n">
        <v>13098.73</v>
      </c>
      <c r="K1648" s="8" t="n">
        <v>0</v>
      </c>
      <c r="L1648" s="7" t="n">
        <v>8980.68</v>
      </c>
      <c r="M1648" s="6" t="s">
        <v>49</v>
      </c>
      <c r="N1648" s="6" t="s">
        <v>67</v>
      </c>
      <c r="O1648" s="6" t="n">
        <f aca="false">IF(TablaVentas[[#This Row],[Precio_unitario]]="","PENDIENTE",TablaVentas[[#This Row],[Unidades]]*TablaVentas[[#This Row],[Precio_unitario]]*(1-TablaVentas[[#This Row],[Descuento_pct]]))</f>
        <v>39296.19</v>
      </c>
      <c r="P1648" s="6" t="n">
        <f aca="false">IF(TablaVentas[[#This Row],[Costo_unitario]]="","PENDIENTE",TablaVentas[[#This Row],[Unidades]]*TablaVentas[[#This Row],[Costo_unitario]])</f>
        <v>26942.04</v>
      </c>
      <c r="Q1648" s="6" t="n">
        <f aca="false">IF(OR(TablaVentas[[#This Row],[Ingreso_neto]]="PENDIENTE",TablaVentas[[#This Row],[Costo_total]]="PENDIENTE"),"PENDIENTE",TablaVentas[[#This Row],[Ingreso_neto]]-TablaVentas[[#This Row],[Costo_total]])</f>
        <v>12354.15</v>
      </c>
    </row>
    <row r="1649" customFormat="false" ht="13.5" hidden="false" customHeight="false" outlineLevel="0" collapsed="false">
      <c r="A1649" s="1" t="s">
        <v>1102</v>
      </c>
      <c r="B1649" s="1" t="n">
        <v>2</v>
      </c>
      <c r="C1649" s="5" t="n">
        <v>46054</v>
      </c>
      <c r="D1649" s="6" t="s">
        <v>777</v>
      </c>
      <c r="E1649" s="6" t="s">
        <v>179</v>
      </c>
      <c r="F1649" s="6" t="s">
        <v>73</v>
      </c>
      <c r="G1649" s="6" t="s">
        <v>64</v>
      </c>
      <c r="H1649" s="6" t="s">
        <v>136</v>
      </c>
      <c r="I1649" s="1" t="n">
        <v>4</v>
      </c>
      <c r="J1649" s="7" t="n">
        <v>16713.3</v>
      </c>
      <c r="K1649" s="8" t="n">
        <v>0.15</v>
      </c>
      <c r="L1649" s="7" t="n">
        <v>10830.17</v>
      </c>
      <c r="M1649" s="6" t="s">
        <v>49</v>
      </c>
      <c r="N1649" s="6" t="s">
        <v>50</v>
      </c>
      <c r="O1649" s="6" t="n">
        <f aca="false">IF(TablaVentas[[#This Row],[Precio_unitario]]="","PENDIENTE",TablaVentas[[#This Row],[Unidades]]*TablaVentas[[#This Row],[Precio_unitario]]*(1-TablaVentas[[#This Row],[Descuento_pct]]))</f>
        <v>56825.22</v>
      </c>
      <c r="P1649" s="6" t="n">
        <f aca="false">IF(TablaVentas[[#This Row],[Costo_unitario]]="","PENDIENTE",TablaVentas[[#This Row],[Unidades]]*TablaVentas[[#This Row],[Costo_unitario]])</f>
        <v>43320.68</v>
      </c>
      <c r="Q1649" s="6" t="n">
        <f aca="false">IF(OR(TablaVentas[[#This Row],[Ingreso_neto]]="PENDIENTE",TablaVentas[[#This Row],[Costo_total]]="PENDIENTE"),"PENDIENTE",TablaVentas[[#This Row],[Ingreso_neto]]-TablaVentas[[#This Row],[Costo_total]])</f>
        <v>13504.54</v>
      </c>
    </row>
    <row r="1650" customFormat="false" ht="13.5" hidden="false" customHeight="false" outlineLevel="0" collapsed="false">
      <c r="A1650" s="1" t="s">
        <v>1102</v>
      </c>
      <c r="B1650" s="1" t="n">
        <v>3</v>
      </c>
      <c r="C1650" s="5" t="n">
        <v>46054</v>
      </c>
      <c r="D1650" s="6" t="s">
        <v>777</v>
      </c>
      <c r="E1650" s="6" t="s">
        <v>374</v>
      </c>
      <c r="F1650" s="6" t="s">
        <v>73</v>
      </c>
      <c r="G1650" s="6" t="s">
        <v>64</v>
      </c>
      <c r="H1650" s="6" t="s">
        <v>136</v>
      </c>
      <c r="I1650" s="1" t="n">
        <v>1</v>
      </c>
      <c r="J1650" s="7" t="n">
        <v>8935.11</v>
      </c>
      <c r="K1650" s="8" t="n">
        <v>0.2</v>
      </c>
      <c r="L1650" s="7" t="n">
        <v>5079.43</v>
      </c>
      <c r="M1650" s="6" t="s">
        <v>49</v>
      </c>
      <c r="N1650" s="6" t="s">
        <v>50</v>
      </c>
      <c r="O1650" s="6" t="n">
        <f aca="false">IF(TablaVentas[[#This Row],[Precio_unitario]]="","PENDIENTE",TablaVentas[[#This Row],[Unidades]]*TablaVentas[[#This Row],[Precio_unitario]]*(1-TablaVentas[[#This Row],[Descuento_pct]]))</f>
        <v>7148.088</v>
      </c>
      <c r="P1650" s="6" t="n">
        <f aca="false">IF(TablaVentas[[#This Row],[Costo_unitario]]="","PENDIENTE",TablaVentas[[#This Row],[Unidades]]*TablaVentas[[#This Row],[Costo_unitario]])</f>
        <v>5079.43</v>
      </c>
      <c r="Q1650" s="6" t="n">
        <f aca="false">IF(OR(TablaVentas[[#This Row],[Ingreso_neto]]="PENDIENTE",TablaVentas[[#This Row],[Costo_total]]="PENDIENTE"),"PENDIENTE",TablaVentas[[#This Row],[Ingreso_neto]]-TablaVentas[[#This Row],[Costo_total]])</f>
        <v>2068.658</v>
      </c>
    </row>
    <row r="1651" customFormat="false" ht="13.5" hidden="false" customHeight="false" outlineLevel="0" collapsed="false">
      <c r="A1651" s="1" t="s">
        <v>1103</v>
      </c>
      <c r="B1651" s="1" t="n">
        <v>1</v>
      </c>
      <c r="C1651" s="5" t="n">
        <v>46090</v>
      </c>
      <c r="D1651" s="6" t="s">
        <v>840</v>
      </c>
      <c r="E1651" s="6" t="s">
        <v>159</v>
      </c>
      <c r="F1651" s="6" t="s">
        <v>63</v>
      </c>
      <c r="G1651" s="6" t="s">
        <v>57</v>
      </c>
      <c r="H1651" s="6" t="s">
        <v>136</v>
      </c>
      <c r="I1651" s="1" t="n">
        <v>1</v>
      </c>
      <c r="J1651" s="7" t="n">
        <v>2857.67</v>
      </c>
      <c r="K1651" s="8" t="n">
        <v>0.05</v>
      </c>
      <c r="L1651" s="7" t="n">
        <v>1962.3</v>
      </c>
      <c r="M1651" s="6" t="s">
        <v>49</v>
      </c>
      <c r="N1651" s="6" t="s">
        <v>50</v>
      </c>
      <c r="O1651" s="6" t="n">
        <f aca="false">IF(TablaVentas[[#This Row],[Precio_unitario]]="","PENDIENTE",TablaVentas[[#This Row],[Unidades]]*TablaVentas[[#This Row],[Precio_unitario]]*(1-TablaVentas[[#This Row],[Descuento_pct]]))</f>
        <v>2714.7865</v>
      </c>
      <c r="P1651" s="6" t="n">
        <f aca="false">IF(TablaVentas[[#This Row],[Costo_unitario]]="","PENDIENTE",TablaVentas[[#This Row],[Unidades]]*TablaVentas[[#This Row],[Costo_unitario]])</f>
        <v>1962.3</v>
      </c>
      <c r="Q1651" s="6" t="n">
        <f aca="false">IF(OR(TablaVentas[[#This Row],[Ingreso_neto]]="PENDIENTE",TablaVentas[[#This Row],[Costo_total]]="PENDIENTE"),"PENDIENTE",TablaVentas[[#This Row],[Ingreso_neto]]-TablaVentas[[#This Row],[Costo_total]])</f>
        <v>752.4865</v>
      </c>
    </row>
    <row r="1652" customFormat="false" ht="13.5" hidden="false" customHeight="false" outlineLevel="0" collapsed="false">
      <c r="A1652" s="1" t="s">
        <v>1103</v>
      </c>
      <c r="B1652" s="1" t="n">
        <v>2</v>
      </c>
      <c r="C1652" s="5" t="n">
        <v>46090</v>
      </c>
      <c r="D1652" s="6" t="s">
        <v>840</v>
      </c>
      <c r="E1652" s="6" t="s">
        <v>410</v>
      </c>
      <c r="F1652" s="6" t="s">
        <v>63</v>
      </c>
      <c r="G1652" s="6" t="s">
        <v>57</v>
      </c>
      <c r="H1652" s="6" t="s">
        <v>136</v>
      </c>
      <c r="I1652" s="1" t="n">
        <v>1</v>
      </c>
      <c r="J1652" s="7" t="n">
        <v>2649.92</v>
      </c>
      <c r="K1652" s="8" t="n">
        <v>0.2</v>
      </c>
      <c r="L1652" s="7" t="n">
        <v>1801.83</v>
      </c>
      <c r="M1652" s="6" t="s">
        <v>49</v>
      </c>
      <c r="N1652" s="6" t="s">
        <v>67</v>
      </c>
      <c r="O1652" s="6" t="n">
        <f aca="false">IF(TablaVentas[[#This Row],[Precio_unitario]]="","PENDIENTE",TablaVentas[[#This Row],[Unidades]]*TablaVentas[[#This Row],[Precio_unitario]]*(1-TablaVentas[[#This Row],[Descuento_pct]]))</f>
        <v>2119.936</v>
      </c>
      <c r="P1652" s="6" t="n">
        <f aca="false">IF(TablaVentas[[#This Row],[Costo_unitario]]="","PENDIENTE",TablaVentas[[#This Row],[Unidades]]*TablaVentas[[#This Row],[Costo_unitario]])</f>
        <v>1801.83</v>
      </c>
      <c r="Q1652" s="6" t="n">
        <f aca="false">IF(OR(TablaVentas[[#This Row],[Ingreso_neto]]="PENDIENTE",TablaVentas[[#This Row],[Costo_total]]="PENDIENTE"),"PENDIENTE",TablaVentas[[#This Row],[Ingreso_neto]]-TablaVentas[[#This Row],[Costo_total]])</f>
        <v>318.106</v>
      </c>
    </row>
    <row r="1653" customFormat="false" ht="13.5" hidden="false" customHeight="false" outlineLevel="0" collapsed="false">
      <c r="A1653" s="1" t="s">
        <v>1104</v>
      </c>
      <c r="B1653" s="1" t="n">
        <v>1</v>
      </c>
      <c r="C1653" s="5" t="n">
        <v>46122</v>
      </c>
      <c r="D1653" s="6" t="s">
        <v>768</v>
      </c>
      <c r="E1653" s="6" t="s">
        <v>68</v>
      </c>
      <c r="F1653" s="6" t="s">
        <v>73</v>
      </c>
      <c r="G1653" s="6" t="s">
        <v>57</v>
      </c>
      <c r="H1653" s="6" t="s">
        <v>58</v>
      </c>
      <c r="I1653" s="1" t="n">
        <v>2</v>
      </c>
      <c r="J1653" s="7" t="n">
        <v>4355.19</v>
      </c>
      <c r="K1653" s="8" t="n">
        <v>0.2</v>
      </c>
      <c r="L1653" s="7" t="n">
        <v>2554.06</v>
      </c>
      <c r="M1653" s="6" t="s">
        <v>49</v>
      </c>
      <c r="N1653" s="6" t="s">
        <v>59</v>
      </c>
      <c r="O1653" s="6" t="n">
        <f aca="false">IF(TablaVentas[[#This Row],[Precio_unitario]]="","PENDIENTE",TablaVentas[[#This Row],[Unidades]]*TablaVentas[[#This Row],[Precio_unitario]]*(1-TablaVentas[[#This Row],[Descuento_pct]]))</f>
        <v>6968.304</v>
      </c>
      <c r="P1653" s="6" t="n">
        <f aca="false">IF(TablaVentas[[#This Row],[Costo_unitario]]="","PENDIENTE",TablaVentas[[#This Row],[Unidades]]*TablaVentas[[#This Row],[Costo_unitario]])</f>
        <v>5108.12</v>
      </c>
      <c r="Q1653" s="6" t="n">
        <f aca="false">IF(OR(TablaVentas[[#This Row],[Ingreso_neto]]="PENDIENTE",TablaVentas[[#This Row],[Costo_total]]="PENDIENTE"),"PENDIENTE",TablaVentas[[#This Row],[Ingreso_neto]]-TablaVentas[[#This Row],[Costo_total]])</f>
        <v>1860.184</v>
      </c>
    </row>
    <row r="1654" customFormat="false" ht="13.5" hidden="false" customHeight="false" outlineLevel="0" collapsed="false">
      <c r="A1654" s="1" t="s">
        <v>1105</v>
      </c>
      <c r="B1654" s="1" t="n">
        <v>1</v>
      </c>
      <c r="C1654" s="5" t="n">
        <v>46117</v>
      </c>
      <c r="D1654" s="6" t="s">
        <v>629</v>
      </c>
      <c r="E1654" s="6" t="s">
        <v>385</v>
      </c>
      <c r="F1654" s="6" t="s">
        <v>63</v>
      </c>
      <c r="G1654" s="6" t="s">
        <v>47</v>
      </c>
      <c r="H1654" s="6" t="s">
        <v>74</v>
      </c>
      <c r="I1654" s="1" t="n">
        <v>1</v>
      </c>
      <c r="J1654" s="7" t="n">
        <v>3766.73</v>
      </c>
      <c r="K1654" s="8" t="n">
        <v>0</v>
      </c>
      <c r="L1654" s="7" t="n">
        <v>2864.64</v>
      </c>
      <c r="M1654" s="6" t="s">
        <v>123</v>
      </c>
      <c r="N1654" s="6" t="s">
        <v>67</v>
      </c>
      <c r="O1654" s="6" t="n">
        <f aca="false">IF(TablaVentas[[#This Row],[Precio_unitario]]="","PENDIENTE",TablaVentas[[#This Row],[Unidades]]*TablaVentas[[#This Row],[Precio_unitario]]*(1-TablaVentas[[#This Row],[Descuento_pct]]))</f>
        <v>3766.73</v>
      </c>
      <c r="P1654" s="6" t="n">
        <f aca="false">IF(TablaVentas[[#This Row],[Costo_unitario]]="","PENDIENTE",TablaVentas[[#This Row],[Unidades]]*TablaVentas[[#This Row],[Costo_unitario]])</f>
        <v>2864.64</v>
      </c>
      <c r="Q1654" s="6" t="n">
        <f aca="false">IF(OR(TablaVentas[[#This Row],[Ingreso_neto]]="PENDIENTE",TablaVentas[[#This Row],[Costo_total]]="PENDIENTE"),"PENDIENTE",TablaVentas[[#This Row],[Ingreso_neto]]-TablaVentas[[#This Row],[Costo_total]])</f>
        <v>902.09</v>
      </c>
    </row>
    <row r="1655" customFormat="false" ht="13.5" hidden="false" customHeight="false" outlineLevel="0" collapsed="false">
      <c r="A1655" s="1" t="s">
        <v>1106</v>
      </c>
      <c r="B1655" s="1" t="n">
        <v>1</v>
      </c>
      <c r="C1655" s="5" t="n">
        <v>46127</v>
      </c>
      <c r="D1655" s="6" t="s">
        <v>181</v>
      </c>
      <c r="E1655" s="6" t="s">
        <v>167</v>
      </c>
      <c r="F1655" s="6" t="s">
        <v>46</v>
      </c>
      <c r="G1655" s="6" t="s">
        <v>47</v>
      </c>
      <c r="H1655" s="6" t="s">
        <v>136</v>
      </c>
      <c r="I1655" s="1" t="n">
        <v>3</v>
      </c>
      <c r="J1655" s="7" t="n">
        <v>7251.64</v>
      </c>
      <c r="K1655" s="8" t="n">
        <v>0</v>
      </c>
      <c r="L1655" s="7" t="n">
        <v>4082.15</v>
      </c>
      <c r="M1655" s="6" t="s">
        <v>49</v>
      </c>
      <c r="N1655" s="6" t="s">
        <v>50</v>
      </c>
      <c r="O1655" s="6" t="n">
        <f aca="false">IF(TablaVentas[[#This Row],[Precio_unitario]]="","PENDIENTE",TablaVentas[[#This Row],[Unidades]]*TablaVentas[[#This Row],[Precio_unitario]]*(1-TablaVentas[[#This Row],[Descuento_pct]]))</f>
        <v>21754.92</v>
      </c>
      <c r="P1655" s="6" t="n">
        <f aca="false">IF(TablaVentas[[#This Row],[Costo_unitario]]="","PENDIENTE",TablaVentas[[#This Row],[Unidades]]*TablaVentas[[#This Row],[Costo_unitario]])</f>
        <v>12246.45</v>
      </c>
      <c r="Q1655" s="6" t="n">
        <f aca="false">IF(OR(TablaVentas[[#This Row],[Ingreso_neto]]="PENDIENTE",TablaVentas[[#This Row],[Costo_total]]="PENDIENTE"),"PENDIENTE",TablaVentas[[#This Row],[Ingreso_neto]]-TablaVentas[[#This Row],[Costo_total]])</f>
        <v>9508.47</v>
      </c>
    </row>
    <row r="1656" customFormat="false" ht="13.5" hidden="false" customHeight="false" outlineLevel="0" collapsed="false">
      <c r="A1656" s="1" t="s">
        <v>1106</v>
      </c>
      <c r="B1656" s="1" t="n">
        <v>2</v>
      </c>
      <c r="C1656" s="5" t="n">
        <v>46127</v>
      </c>
      <c r="D1656" s="6" t="s">
        <v>181</v>
      </c>
      <c r="E1656" s="6" t="s">
        <v>120</v>
      </c>
      <c r="F1656" s="6" t="s">
        <v>46</v>
      </c>
      <c r="G1656" s="6" t="s">
        <v>47</v>
      </c>
      <c r="H1656" s="6" t="s">
        <v>136</v>
      </c>
      <c r="I1656" s="1" t="n">
        <v>1</v>
      </c>
      <c r="J1656" s="7" t="n">
        <v>3211.48</v>
      </c>
      <c r="K1656" s="8" t="n">
        <v>0.1</v>
      </c>
      <c r="L1656" s="7" t="n">
        <v>2196.34</v>
      </c>
      <c r="M1656" s="6" t="s">
        <v>49</v>
      </c>
      <c r="N1656" s="6" t="s">
        <v>52</v>
      </c>
      <c r="O1656" s="6" t="n">
        <f aca="false">IF(TablaVentas[[#This Row],[Precio_unitario]]="","PENDIENTE",TablaVentas[[#This Row],[Unidades]]*TablaVentas[[#This Row],[Precio_unitario]]*(1-TablaVentas[[#This Row],[Descuento_pct]]))</f>
        <v>2890.332</v>
      </c>
      <c r="P1656" s="6" t="n">
        <f aca="false">IF(TablaVentas[[#This Row],[Costo_unitario]]="","PENDIENTE",TablaVentas[[#This Row],[Unidades]]*TablaVentas[[#This Row],[Costo_unitario]])</f>
        <v>2196.34</v>
      </c>
      <c r="Q1656" s="6" t="n">
        <f aca="false">IF(OR(TablaVentas[[#This Row],[Ingreso_neto]]="PENDIENTE",TablaVentas[[#This Row],[Costo_total]]="PENDIENTE"),"PENDIENTE",TablaVentas[[#This Row],[Ingreso_neto]]-TablaVentas[[#This Row],[Costo_total]])</f>
        <v>693.992</v>
      </c>
    </row>
    <row r="1657" customFormat="false" ht="13.5" hidden="false" customHeight="false" outlineLevel="0" collapsed="false">
      <c r="A1657" s="1" t="s">
        <v>1107</v>
      </c>
      <c r="B1657" s="1" t="n">
        <v>1</v>
      </c>
      <c r="C1657" s="5" t="n">
        <v>46166</v>
      </c>
      <c r="D1657" s="6" t="s">
        <v>668</v>
      </c>
      <c r="E1657" s="6" t="s">
        <v>85</v>
      </c>
      <c r="F1657" s="6" t="s">
        <v>63</v>
      </c>
      <c r="G1657" s="6" t="s">
        <v>64</v>
      </c>
      <c r="H1657" s="6" t="s">
        <v>48</v>
      </c>
      <c r="I1657" s="1" t="n">
        <v>3</v>
      </c>
      <c r="J1657" s="7" t="n">
        <v>9031.17</v>
      </c>
      <c r="K1657" s="8" t="n">
        <v>0</v>
      </c>
      <c r="L1657" s="7" t="n">
        <v>5033.47</v>
      </c>
      <c r="M1657" s="6" t="s">
        <v>49</v>
      </c>
      <c r="N1657" s="6" t="s">
        <v>67</v>
      </c>
      <c r="O1657" s="6" t="n">
        <f aca="false">IF(TablaVentas[[#This Row],[Precio_unitario]]="","PENDIENTE",TablaVentas[[#This Row],[Unidades]]*TablaVentas[[#This Row],[Precio_unitario]]*(1-TablaVentas[[#This Row],[Descuento_pct]]))</f>
        <v>27093.51</v>
      </c>
      <c r="P1657" s="6" t="n">
        <f aca="false">IF(TablaVentas[[#This Row],[Costo_unitario]]="","PENDIENTE",TablaVentas[[#This Row],[Unidades]]*TablaVentas[[#This Row],[Costo_unitario]])</f>
        <v>15100.41</v>
      </c>
      <c r="Q1657" s="6" t="n">
        <f aca="false">IF(OR(TablaVentas[[#This Row],[Ingreso_neto]]="PENDIENTE",TablaVentas[[#This Row],[Costo_total]]="PENDIENTE"),"PENDIENTE",TablaVentas[[#This Row],[Ingreso_neto]]-TablaVentas[[#This Row],[Costo_total]])</f>
        <v>11993.1</v>
      </c>
    </row>
    <row r="1658" customFormat="false" ht="13.5" hidden="false" customHeight="false" outlineLevel="0" collapsed="false">
      <c r="A1658" s="1" t="s">
        <v>1107</v>
      </c>
      <c r="B1658" s="1" t="n">
        <v>2</v>
      </c>
      <c r="C1658" s="5" t="n">
        <v>46166</v>
      </c>
      <c r="D1658" s="6" t="s">
        <v>668</v>
      </c>
      <c r="E1658" s="6" t="s">
        <v>333</v>
      </c>
      <c r="F1658" s="6" t="s">
        <v>63</v>
      </c>
      <c r="G1658" s="6" t="s">
        <v>64</v>
      </c>
      <c r="H1658" s="6" t="s">
        <v>48</v>
      </c>
      <c r="I1658" s="1" t="n">
        <v>3</v>
      </c>
      <c r="J1658" s="7" t="n">
        <v>7472.72</v>
      </c>
      <c r="K1658" s="8" t="n">
        <v>0</v>
      </c>
      <c r="L1658" s="7" t="n">
        <v>4044.16</v>
      </c>
      <c r="M1658" s="6" t="s">
        <v>49</v>
      </c>
      <c r="N1658" s="6" t="s">
        <v>59</v>
      </c>
      <c r="O1658" s="6" t="n">
        <f aca="false">IF(TablaVentas[[#This Row],[Precio_unitario]]="","PENDIENTE",TablaVentas[[#This Row],[Unidades]]*TablaVentas[[#This Row],[Precio_unitario]]*(1-TablaVentas[[#This Row],[Descuento_pct]]))</f>
        <v>22418.16</v>
      </c>
      <c r="P1658" s="6" t="n">
        <f aca="false">IF(TablaVentas[[#This Row],[Costo_unitario]]="","PENDIENTE",TablaVentas[[#This Row],[Unidades]]*TablaVentas[[#This Row],[Costo_unitario]])</f>
        <v>12132.48</v>
      </c>
      <c r="Q1658" s="6" t="n">
        <f aca="false">IF(OR(TablaVentas[[#This Row],[Ingreso_neto]]="PENDIENTE",TablaVentas[[#This Row],[Costo_total]]="PENDIENTE"),"PENDIENTE",TablaVentas[[#This Row],[Ingreso_neto]]-TablaVentas[[#This Row],[Costo_total]])</f>
        <v>10285.68</v>
      </c>
    </row>
    <row r="1659" customFormat="false" ht="13.5" hidden="false" customHeight="false" outlineLevel="0" collapsed="false">
      <c r="A1659" s="1" t="s">
        <v>1107</v>
      </c>
      <c r="B1659" s="1" t="n">
        <v>3</v>
      </c>
      <c r="C1659" s="5" t="n">
        <v>46166</v>
      </c>
      <c r="D1659" s="6" t="s">
        <v>668</v>
      </c>
      <c r="E1659" s="6" t="s">
        <v>140</v>
      </c>
      <c r="F1659" s="6" t="s">
        <v>63</v>
      </c>
      <c r="G1659" s="6" t="s">
        <v>64</v>
      </c>
      <c r="H1659" s="6" t="s">
        <v>48</v>
      </c>
      <c r="I1659" s="1" t="n">
        <v>1</v>
      </c>
      <c r="J1659" s="7" t="n">
        <v>7557.56</v>
      </c>
      <c r="K1659" s="8" t="n">
        <v>0.2</v>
      </c>
      <c r="L1659" s="7" t="n">
        <v>4061.34</v>
      </c>
      <c r="M1659" s="6" t="s">
        <v>49</v>
      </c>
      <c r="N1659" s="6" t="s">
        <v>52</v>
      </c>
      <c r="O1659" s="6" t="n">
        <f aca="false">IF(TablaVentas[[#This Row],[Precio_unitario]]="","PENDIENTE",TablaVentas[[#This Row],[Unidades]]*TablaVentas[[#This Row],[Precio_unitario]]*(1-TablaVentas[[#This Row],[Descuento_pct]]))</f>
        <v>6046.048</v>
      </c>
      <c r="P1659" s="6" t="n">
        <f aca="false">IF(TablaVentas[[#This Row],[Costo_unitario]]="","PENDIENTE",TablaVentas[[#This Row],[Unidades]]*TablaVentas[[#This Row],[Costo_unitario]])</f>
        <v>4061.34</v>
      </c>
      <c r="Q1659" s="6" t="n">
        <f aca="false">IF(OR(TablaVentas[[#This Row],[Ingreso_neto]]="PENDIENTE",TablaVentas[[#This Row],[Costo_total]]="PENDIENTE"),"PENDIENTE",TablaVentas[[#This Row],[Ingreso_neto]]-TablaVentas[[#This Row],[Costo_total]])</f>
        <v>1984.708</v>
      </c>
    </row>
    <row r="1660" customFormat="false" ht="13.5" hidden="false" customHeight="false" outlineLevel="0" collapsed="false">
      <c r="A1660" s="1" t="s">
        <v>1108</v>
      </c>
      <c r="B1660" s="1" t="n">
        <v>1</v>
      </c>
      <c r="C1660" s="5" t="n">
        <v>46110</v>
      </c>
      <c r="D1660" s="6" t="s">
        <v>1109</v>
      </c>
      <c r="E1660" s="6" t="s">
        <v>174</v>
      </c>
      <c r="F1660" s="6" t="s">
        <v>73</v>
      </c>
      <c r="G1660" s="6" t="s">
        <v>64</v>
      </c>
      <c r="H1660" s="6" t="s">
        <v>74</v>
      </c>
      <c r="I1660" s="1" t="n">
        <v>5</v>
      </c>
      <c r="J1660" s="7" t="n">
        <v>17471.12</v>
      </c>
      <c r="K1660" s="8" t="n">
        <v>0</v>
      </c>
      <c r="L1660" s="7" t="n">
        <v>8704.4</v>
      </c>
      <c r="M1660" s="6" t="s">
        <v>49</v>
      </c>
      <c r="N1660" s="6" t="s">
        <v>52</v>
      </c>
      <c r="O1660" s="6" t="n">
        <f aca="false">IF(TablaVentas[[#This Row],[Precio_unitario]]="","PENDIENTE",TablaVentas[[#This Row],[Unidades]]*TablaVentas[[#This Row],[Precio_unitario]]*(1-TablaVentas[[#This Row],[Descuento_pct]]))</f>
        <v>87355.6</v>
      </c>
      <c r="P1660" s="6" t="n">
        <f aca="false">IF(TablaVentas[[#This Row],[Costo_unitario]]="","PENDIENTE",TablaVentas[[#This Row],[Unidades]]*TablaVentas[[#This Row],[Costo_unitario]])</f>
        <v>43522</v>
      </c>
      <c r="Q1660" s="6" t="n">
        <f aca="false">IF(OR(TablaVentas[[#This Row],[Ingreso_neto]]="PENDIENTE",TablaVentas[[#This Row],[Costo_total]]="PENDIENTE"),"PENDIENTE",TablaVentas[[#This Row],[Ingreso_neto]]-TablaVentas[[#This Row],[Costo_total]])</f>
        <v>43833.6</v>
      </c>
    </row>
    <row r="1661" customFormat="false" ht="13.5" hidden="false" customHeight="false" outlineLevel="0" collapsed="false">
      <c r="A1661" s="1" t="s">
        <v>1110</v>
      </c>
      <c r="B1661" s="1" t="n">
        <v>1</v>
      </c>
      <c r="C1661" s="5" t="n">
        <v>46216</v>
      </c>
      <c r="D1661" s="6" t="s">
        <v>376</v>
      </c>
      <c r="E1661" s="6" t="s">
        <v>213</v>
      </c>
      <c r="F1661" s="6" t="s">
        <v>73</v>
      </c>
      <c r="G1661" s="6" t="s">
        <v>64</v>
      </c>
      <c r="H1661" s="6" t="s">
        <v>89</v>
      </c>
      <c r="I1661" s="1" t="n">
        <v>1</v>
      </c>
      <c r="J1661" s="7" t="n">
        <v>5311.82</v>
      </c>
      <c r="K1661" s="8" t="n">
        <v>0</v>
      </c>
      <c r="L1661" s="7" t="n">
        <v>4008.77</v>
      </c>
      <c r="M1661" s="6" t="s">
        <v>123</v>
      </c>
      <c r="N1661" s="6" t="s">
        <v>50</v>
      </c>
      <c r="O1661" s="6" t="n">
        <f aca="false">IF(TablaVentas[[#This Row],[Precio_unitario]]="","PENDIENTE",TablaVentas[[#This Row],[Unidades]]*TablaVentas[[#This Row],[Precio_unitario]]*(1-TablaVentas[[#This Row],[Descuento_pct]]))</f>
        <v>5311.82</v>
      </c>
      <c r="P1661" s="6" t="n">
        <f aca="false">IF(TablaVentas[[#This Row],[Costo_unitario]]="","PENDIENTE",TablaVentas[[#This Row],[Unidades]]*TablaVentas[[#This Row],[Costo_unitario]])</f>
        <v>4008.77</v>
      </c>
      <c r="Q1661" s="6" t="n">
        <f aca="false">IF(OR(TablaVentas[[#This Row],[Ingreso_neto]]="PENDIENTE",TablaVentas[[#This Row],[Costo_total]]="PENDIENTE"),"PENDIENTE",TablaVentas[[#This Row],[Ingreso_neto]]-TablaVentas[[#This Row],[Costo_total]])</f>
        <v>1303.05</v>
      </c>
    </row>
    <row r="1662" customFormat="false" ht="13.5" hidden="false" customHeight="false" outlineLevel="0" collapsed="false">
      <c r="A1662" s="1" t="s">
        <v>1110</v>
      </c>
      <c r="B1662" s="1" t="n">
        <v>2</v>
      </c>
      <c r="C1662" s="5" t="n">
        <v>46216</v>
      </c>
      <c r="D1662" s="6" t="s">
        <v>376</v>
      </c>
      <c r="E1662" s="6" t="s">
        <v>263</v>
      </c>
      <c r="F1662" s="6" t="s">
        <v>73</v>
      </c>
      <c r="G1662" s="6" t="s">
        <v>64</v>
      </c>
      <c r="H1662" s="6" t="s">
        <v>89</v>
      </c>
      <c r="I1662" s="1" t="n">
        <v>4</v>
      </c>
      <c r="J1662" s="7" t="n">
        <v>19914.54</v>
      </c>
      <c r="K1662" s="8" t="n">
        <v>0</v>
      </c>
      <c r="L1662" s="7" t="n">
        <v>11666.57</v>
      </c>
      <c r="M1662" s="6" t="s">
        <v>49</v>
      </c>
      <c r="N1662" s="6" t="s">
        <v>50</v>
      </c>
      <c r="O1662" s="6" t="n">
        <f aca="false">IF(TablaVentas[[#This Row],[Precio_unitario]]="","PENDIENTE",TablaVentas[[#This Row],[Unidades]]*TablaVentas[[#This Row],[Precio_unitario]]*(1-TablaVentas[[#This Row],[Descuento_pct]]))</f>
        <v>79658.16</v>
      </c>
      <c r="P1662" s="6" t="n">
        <f aca="false">IF(TablaVentas[[#This Row],[Costo_unitario]]="","PENDIENTE",TablaVentas[[#This Row],[Unidades]]*TablaVentas[[#This Row],[Costo_unitario]])</f>
        <v>46666.28</v>
      </c>
      <c r="Q1662" s="6" t="n">
        <f aca="false">IF(OR(TablaVentas[[#This Row],[Ingreso_neto]]="PENDIENTE",TablaVentas[[#This Row],[Costo_total]]="PENDIENTE"),"PENDIENTE",TablaVentas[[#This Row],[Ingreso_neto]]-TablaVentas[[#This Row],[Costo_total]])</f>
        <v>32991.88</v>
      </c>
    </row>
    <row r="1663" customFormat="false" ht="13.5" hidden="false" customHeight="false" outlineLevel="0" collapsed="false">
      <c r="A1663" s="1" t="s">
        <v>1110</v>
      </c>
      <c r="B1663" s="1" t="n">
        <v>3</v>
      </c>
      <c r="C1663" s="5" t="n">
        <v>46216</v>
      </c>
      <c r="D1663" s="6" t="s">
        <v>376</v>
      </c>
      <c r="E1663" s="6" t="s">
        <v>150</v>
      </c>
      <c r="F1663" s="6" t="s">
        <v>73</v>
      </c>
      <c r="G1663" s="6" t="s">
        <v>64</v>
      </c>
      <c r="H1663" s="6" t="s">
        <v>89</v>
      </c>
      <c r="I1663" s="1" t="n">
        <v>3</v>
      </c>
      <c r="J1663" s="7" t="n">
        <v>8874.36</v>
      </c>
      <c r="K1663" s="8" t="n">
        <v>0.15</v>
      </c>
      <c r="L1663" s="7" t="n">
        <v>6815.42</v>
      </c>
      <c r="M1663" s="6" t="s">
        <v>49</v>
      </c>
      <c r="N1663" s="6" t="s">
        <v>52</v>
      </c>
      <c r="O1663" s="6" t="n">
        <f aca="false">IF(TablaVentas[[#This Row],[Precio_unitario]]="","PENDIENTE",TablaVentas[[#This Row],[Unidades]]*TablaVentas[[#This Row],[Precio_unitario]]*(1-TablaVentas[[#This Row],[Descuento_pct]]))</f>
        <v>22629.618</v>
      </c>
      <c r="P1663" s="6" t="n">
        <f aca="false">IF(TablaVentas[[#This Row],[Costo_unitario]]="","PENDIENTE",TablaVentas[[#This Row],[Unidades]]*TablaVentas[[#This Row],[Costo_unitario]])</f>
        <v>20446.26</v>
      </c>
      <c r="Q1663" s="6" t="n">
        <f aca="false">IF(OR(TablaVentas[[#This Row],[Ingreso_neto]]="PENDIENTE",TablaVentas[[#This Row],[Costo_total]]="PENDIENTE"),"PENDIENTE",TablaVentas[[#This Row],[Ingreso_neto]]-TablaVentas[[#This Row],[Costo_total]])</f>
        <v>2183.358</v>
      </c>
    </row>
    <row r="1664" customFormat="false" ht="13.5" hidden="false" customHeight="false" outlineLevel="0" collapsed="false">
      <c r="A1664" s="1" t="s">
        <v>1110</v>
      </c>
      <c r="B1664" s="1" t="n">
        <v>4</v>
      </c>
      <c r="C1664" s="5" t="n">
        <v>46216</v>
      </c>
      <c r="D1664" s="6" t="s">
        <v>376</v>
      </c>
      <c r="E1664" s="6" t="s">
        <v>200</v>
      </c>
      <c r="F1664" s="6" t="s">
        <v>73</v>
      </c>
      <c r="G1664" s="6" t="s">
        <v>64</v>
      </c>
      <c r="H1664" s="6" t="s">
        <v>89</v>
      </c>
      <c r="I1664" s="1" t="n">
        <v>1</v>
      </c>
      <c r="J1664" s="7" t="n">
        <v>11983.31</v>
      </c>
      <c r="K1664" s="8" t="n">
        <v>0.2</v>
      </c>
      <c r="L1664" s="7" t="n">
        <v>5811.72</v>
      </c>
      <c r="M1664" s="6" t="s">
        <v>49</v>
      </c>
      <c r="N1664" s="6" t="s">
        <v>59</v>
      </c>
      <c r="O1664" s="6" t="n">
        <f aca="false">IF(TablaVentas[[#This Row],[Precio_unitario]]="","PENDIENTE",TablaVentas[[#This Row],[Unidades]]*TablaVentas[[#This Row],[Precio_unitario]]*(1-TablaVentas[[#This Row],[Descuento_pct]]))</f>
        <v>9586.648</v>
      </c>
      <c r="P1664" s="6" t="n">
        <f aca="false">IF(TablaVentas[[#This Row],[Costo_unitario]]="","PENDIENTE",TablaVentas[[#This Row],[Unidades]]*TablaVentas[[#This Row],[Costo_unitario]])</f>
        <v>5811.72</v>
      </c>
      <c r="Q1664" s="6" t="n">
        <f aca="false">IF(OR(TablaVentas[[#This Row],[Ingreso_neto]]="PENDIENTE",TablaVentas[[#This Row],[Costo_total]]="PENDIENTE"),"PENDIENTE",TablaVentas[[#This Row],[Ingreso_neto]]-TablaVentas[[#This Row],[Costo_total]])</f>
        <v>3774.928</v>
      </c>
    </row>
    <row r="1665" customFormat="false" ht="13.5" hidden="false" customHeight="false" outlineLevel="0" collapsed="false">
      <c r="A1665" s="1" t="s">
        <v>1111</v>
      </c>
      <c r="B1665" s="1" t="n">
        <v>1</v>
      </c>
      <c r="C1665" s="5" t="n">
        <v>46059</v>
      </c>
      <c r="D1665" s="6" t="s">
        <v>242</v>
      </c>
      <c r="E1665" s="6" t="s">
        <v>374</v>
      </c>
      <c r="F1665" s="6" t="s">
        <v>46</v>
      </c>
      <c r="G1665" s="6" t="s">
        <v>47</v>
      </c>
      <c r="H1665" s="6" t="s">
        <v>80</v>
      </c>
      <c r="I1665" s="1" t="n">
        <v>1</v>
      </c>
      <c r="J1665" s="7" t="n">
        <v>9859.68</v>
      </c>
      <c r="K1665" s="8" t="n">
        <v>0</v>
      </c>
      <c r="L1665" s="7" t="n">
        <v>5079.43</v>
      </c>
      <c r="M1665" s="6" t="s">
        <v>49</v>
      </c>
      <c r="N1665" s="6" t="s">
        <v>67</v>
      </c>
      <c r="O1665" s="6" t="n">
        <f aca="false">IF(TablaVentas[[#This Row],[Precio_unitario]]="","PENDIENTE",TablaVentas[[#This Row],[Unidades]]*TablaVentas[[#This Row],[Precio_unitario]]*(1-TablaVentas[[#This Row],[Descuento_pct]]))</f>
        <v>9859.68</v>
      </c>
      <c r="P1665" s="6" t="n">
        <f aca="false">IF(TablaVentas[[#This Row],[Costo_unitario]]="","PENDIENTE",TablaVentas[[#This Row],[Unidades]]*TablaVentas[[#This Row],[Costo_unitario]])</f>
        <v>5079.43</v>
      </c>
      <c r="Q1665" s="6" t="n">
        <f aca="false">IF(OR(TablaVentas[[#This Row],[Ingreso_neto]]="PENDIENTE",TablaVentas[[#This Row],[Costo_total]]="PENDIENTE"),"PENDIENTE",TablaVentas[[#This Row],[Ingreso_neto]]-TablaVentas[[#This Row],[Costo_total]])</f>
        <v>4780.25</v>
      </c>
    </row>
    <row r="1666" customFormat="false" ht="13.5" hidden="false" customHeight="false" outlineLevel="0" collapsed="false">
      <c r="A1666" s="1" t="s">
        <v>1112</v>
      </c>
      <c r="B1666" s="1" t="n">
        <v>1</v>
      </c>
      <c r="C1666" s="5" t="n">
        <v>46114</v>
      </c>
      <c r="D1666" s="6" t="s">
        <v>196</v>
      </c>
      <c r="E1666" s="6" t="s">
        <v>158</v>
      </c>
      <c r="F1666" s="6" t="s">
        <v>46</v>
      </c>
      <c r="G1666" s="6" t="s">
        <v>64</v>
      </c>
      <c r="H1666" s="6" t="s">
        <v>74</v>
      </c>
      <c r="I1666" s="1" t="n">
        <v>2</v>
      </c>
      <c r="J1666" s="7" t="n">
        <v>17334.93</v>
      </c>
      <c r="K1666" s="8" t="n">
        <v>0.1</v>
      </c>
      <c r="L1666" s="7" t="n">
        <v>8963.23</v>
      </c>
      <c r="M1666" s="6" t="s">
        <v>49</v>
      </c>
      <c r="N1666" s="6" t="s">
        <v>50</v>
      </c>
      <c r="O1666" s="6" t="n">
        <f aca="false">IF(TablaVentas[[#This Row],[Precio_unitario]]="","PENDIENTE",TablaVentas[[#This Row],[Unidades]]*TablaVentas[[#This Row],[Precio_unitario]]*(1-TablaVentas[[#This Row],[Descuento_pct]]))</f>
        <v>31202.874</v>
      </c>
      <c r="P1666" s="6" t="n">
        <f aca="false">IF(TablaVentas[[#This Row],[Costo_unitario]]="","PENDIENTE",TablaVentas[[#This Row],[Unidades]]*TablaVentas[[#This Row],[Costo_unitario]])</f>
        <v>17926.46</v>
      </c>
      <c r="Q1666" s="6" t="n">
        <f aca="false">IF(OR(TablaVentas[[#This Row],[Ingreso_neto]]="PENDIENTE",TablaVentas[[#This Row],[Costo_total]]="PENDIENTE"),"PENDIENTE",TablaVentas[[#This Row],[Ingreso_neto]]-TablaVentas[[#This Row],[Costo_total]])</f>
        <v>13276.414</v>
      </c>
    </row>
    <row r="1667" customFormat="false" ht="13.5" hidden="false" customHeight="false" outlineLevel="0" collapsed="false">
      <c r="A1667" s="1" t="s">
        <v>1112</v>
      </c>
      <c r="B1667" s="1" t="n">
        <v>2</v>
      </c>
      <c r="C1667" s="5" t="n">
        <v>46114</v>
      </c>
      <c r="D1667" s="6" t="s">
        <v>196</v>
      </c>
      <c r="E1667" s="6" t="s">
        <v>83</v>
      </c>
      <c r="F1667" s="6" t="s">
        <v>46</v>
      </c>
      <c r="G1667" s="6" t="s">
        <v>64</v>
      </c>
      <c r="H1667" s="6" t="s">
        <v>74</v>
      </c>
      <c r="I1667" s="1" t="n">
        <v>2</v>
      </c>
      <c r="J1667" s="7" t="n">
        <v>14834.06</v>
      </c>
      <c r="K1667" s="8" t="n">
        <v>0.1</v>
      </c>
      <c r="L1667" s="7" t="n">
        <v>7748.44</v>
      </c>
      <c r="M1667" s="6" t="s">
        <v>49</v>
      </c>
      <c r="N1667" s="6" t="s">
        <v>50</v>
      </c>
      <c r="O1667" s="6" t="n">
        <f aca="false">IF(TablaVentas[[#This Row],[Precio_unitario]]="","PENDIENTE",TablaVentas[[#This Row],[Unidades]]*TablaVentas[[#This Row],[Precio_unitario]]*(1-TablaVentas[[#This Row],[Descuento_pct]]))</f>
        <v>26701.308</v>
      </c>
      <c r="P1667" s="6" t="n">
        <f aca="false">IF(TablaVentas[[#This Row],[Costo_unitario]]="","PENDIENTE",TablaVentas[[#This Row],[Unidades]]*TablaVentas[[#This Row],[Costo_unitario]])</f>
        <v>15496.88</v>
      </c>
      <c r="Q1667" s="6" t="n">
        <f aca="false">IF(OR(TablaVentas[[#This Row],[Ingreso_neto]]="PENDIENTE",TablaVentas[[#This Row],[Costo_total]]="PENDIENTE"),"PENDIENTE",TablaVentas[[#This Row],[Ingreso_neto]]-TablaVentas[[#This Row],[Costo_total]])</f>
        <v>11204.428</v>
      </c>
    </row>
    <row r="1668" customFormat="false" ht="13.5" hidden="false" customHeight="false" outlineLevel="0" collapsed="false">
      <c r="A1668" s="1" t="s">
        <v>1112</v>
      </c>
      <c r="B1668" s="1" t="n">
        <v>3</v>
      </c>
      <c r="C1668" s="5" t="n">
        <v>46114</v>
      </c>
      <c r="D1668" s="6" t="s">
        <v>196</v>
      </c>
      <c r="E1668" s="6" t="s">
        <v>121</v>
      </c>
      <c r="F1668" s="6" t="s">
        <v>46</v>
      </c>
      <c r="G1668" s="6" t="s">
        <v>64</v>
      </c>
      <c r="H1668" s="6" t="s">
        <v>74</v>
      </c>
      <c r="I1668" s="1" t="n">
        <v>5</v>
      </c>
      <c r="J1668" s="7" t="n">
        <v>14280.76</v>
      </c>
      <c r="K1668" s="8" t="n">
        <v>0.15</v>
      </c>
      <c r="L1668" s="7" t="n">
        <v>8239.48</v>
      </c>
      <c r="M1668" s="6" t="s">
        <v>49</v>
      </c>
      <c r="N1668" s="6" t="s">
        <v>67</v>
      </c>
      <c r="O1668" s="6" t="n">
        <f aca="false">IF(TablaVentas[[#This Row],[Precio_unitario]]="","PENDIENTE",TablaVentas[[#This Row],[Unidades]]*TablaVentas[[#This Row],[Precio_unitario]]*(1-TablaVentas[[#This Row],[Descuento_pct]]))</f>
        <v>60693.23</v>
      </c>
      <c r="P1668" s="6" t="n">
        <f aca="false">IF(TablaVentas[[#This Row],[Costo_unitario]]="","PENDIENTE",TablaVentas[[#This Row],[Unidades]]*TablaVentas[[#This Row],[Costo_unitario]])</f>
        <v>41197.4</v>
      </c>
      <c r="Q1668" s="6" t="n">
        <f aca="false">IF(OR(TablaVentas[[#This Row],[Ingreso_neto]]="PENDIENTE",TablaVentas[[#This Row],[Costo_total]]="PENDIENTE"),"PENDIENTE",TablaVentas[[#This Row],[Ingreso_neto]]-TablaVentas[[#This Row],[Costo_total]])</f>
        <v>19495.83</v>
      </c>
    </row>
    <row r="1669" customFormat="false" ht="13.5" hidden="false" customHeight="false" outlineLevel="0" collapsed="false">
      <c r="A1669" s="1" t="s">
        <v>1112</v>
      </c>
      <c r="B1669" s="1" t="n">
        <v>4</v>
      </c>
      <c r="C1669" s="5" t="n">
        <v>46114</v>
      </c>
      <c r="D1669" s="6" t="s">
        <v>196</v>
      </c>
      <c r="E1669" s="6" t="s">
        <v>234</v>
      </c>
      <c r="F1669" s="6" t="s">
        <v>46</v>
      </c>
      <c r="G1669" s="6" t="s">
        <v>64</v>
      </c>
      <c r="H1669" s="6" t="s">
        <v>74</v>
      </c>
      <c r="I1669" s="1" t="n">
        <v>3</v>
      </c>
      <c r="J1669" s="7" t="n">
        <v>8163.2</v>
      </c>
      <c r="K1669" s="8" t="n">
        <v>0</v>
      </c>
      <c r="L1669" s="7" t="n">
        <v>6255.13</v>
      </c>
      <c r="M1669" s="6" t="s">
        <v>123</v>
      </c>
      <c r="N1669" s="6" t="s">
        <v>52</v>
      </c>
      <c r="O1669" s="6" t="n">
        <f aca="false">IF(TablaVentas[[#This Row],[Precio_unitario]]="","PENDIENTE",TablaVentas[[#This Row],[Unidades]]*TablaVentas[[#This Row],[Precio_unitario]]*(1-TablaVentas[[#This Row],[Descuento_pct]]))</f>
        <v>24489.6</v>
      </c>
      <c r="P1669" s="6" t="n">
        <f aca="false">IF(TablaVentas[[#This Row],[Costo_unitario]]="","PENDIENTE",TablaVentas[[#This Row],[Unidades]]*TablaVentas[[#This Row],[Costo_unitario]])</f>
        <v>18765.39</v>
      </c>
      <c r="Q1669" s="6" t="n">
        <f aca="false">IF(OR(TablaVentas[[#This Row],[Ingreso_neto]]="PENDIENTE",TablaVentas[[#This Row],[Costo_total]]="PENDIENTE"),"PENDIENTE",TablaVentas[[#This Row],[Ingreso_neto]]-TablaVentas[[#This Row],[Costo_total]])</f>
        <v>5724.21</v>
      </c>
    </row>
    <row r="1670" customFormat="false" ht="13.5" hidden="false" customHeight="false" outlineLevel="0" collapsed="false">
      <c r="A1670" s="1" t="s">
        <v>1113</v>
      </c>
      <c r="B1670" s="1" t="n">
        <v>1</v>
      </c>
      <c r="C1670" s="5" t="n">
        <v>46203</v>
      </c>
      <c r="D1670" s="6" t="s">
        <v>777</v>
      </c>
      <c r="E1670" s="6" t="s">
        <v>101</v>
      </c>
      <c r="F1670" s="6" t="s">
        <v>46</v>
      </c>
      <c r="G1670" s="6" t="s">
        <v>57</v>
      </c>
      <c r="H1670" s="6" t="s">
        <v>80</v>
      </c>
      <c r="I1670" s="1" t="n">
        <v>12</v>
      </c>
      <c r="J1670" s="7" t="n">
        <v>7056.18</v>
      </c>
      <c r="K1670" s="8" t="n">
        <v>0.2</v>
      </c>
      <c r="L1670" s="7" t="n">
        <v>4538.06</v>
      </c>
      <c r="M1670" s="6" t="s">
        <v>49</v>
      </c>
      <c r="N1670" s="6" t="s">
        <v>59</v>
      </c>
      <c r="O1670" s="6" t="n">
        <f aca="false">IF(TablaVentas[[#This Row],[Precio_unitario]]="","PENDIENTE",TablaVentas[[#This Row],[Unidades]]*TablaVentas[[#This Row],[Precio_unitario]]*(1-TablaVentas[[#This Row],[Descuento_pct]]))</f>
        <v>67739.328</v>
      </c>
      <c r="P1670" s="6" t="n">
        <f aca="false">IF(TablaVentas[[#This Row],[Costo_unitario]]="","PENDIENTE",TablaVentas[[#This Row],[Unidades]]*TablaVentas[[#This Row],[Costo_unitario]])</f>
        <v>54456.72</v>
      </c>
      <c r="Q1670" s="6" t="n">
        <f aca="false">IF(OR(TablaVentas[[#This Row],[Ingreso_neto]]="PENDIENTE",TablaVentas[[#This Row],[Costo_total]]="PENDIENTE"),"PENDIENTE",TablaVentas[[#This Row],[Ingreso_neto]]-TablaVentas[[#This Row],[Costo_total]])</f>
        <v>13282.608</v>
      </c>
    </row>
    <row r="1671" customFormat="false" ht="13.5" hidden="false" customHeight="false" outlineLevel="0" collapsed="false">
      <c r="A1671" s="1" t="s">
        <v>1113</v>
      </c>
      <c r="B1671" s="1" t="n">
        <v>2</v>
      </c>
      <c r="C1671" s="5" t="n">
        <v>46203</v>
      </c>
      <c r="D1671" s="6" t="s">
        <v>777</v>
      </c>
      <c r="E1671" s="6" t="s">
        <v>147</v>
      </c>
      <c r="F1671" s="6" t="s">
        <v>46</v>
      </c>
      <c r="G1671" s="6" t="s">
        <v>57</v>
      </c>
      <c r="H1671" s="6" t="s">
        <v>80</v>
      </c>
      <c r="I1671" s="1" t="n">
        <v>1</v>
      </c>
      <c r="J1671" s="7" t="n">
        <v>2944.31</v>
      </c>
      <c r="K1671" s="8" t="n">
        <v>0</v>
      </c>
      <c r="L1671" s="7" t="n">
        <v>2427.63</v>
      </c>
      <c r="M1671" s="6" t="s">
        <v>49</v>
      </c>
      <c r="N1671" s="6" t="s">
        <v>52</v>
      </c>
      <c r="O1671" s="6" t="n">
        <f aca="false">IF(TablaVentas[[#This Row],[Precio_unitario]]="","PENDIENTE",TablaVentas[[#This Row],[Unidades]]*TablaVentas[[#This Row],[Precio_unitario]]*(1-TablaVentas[[#This Row],[Descuento_pct]]))</f>
        <v>2944.31</v>
      </c>
      <c r="P1671" s="6" t="n">
        <f aca="false">IF(TablaVentas[[#This Row],[Costo_unitario]]="","PENDIENTE",TablaVentas[[#This Row],[Unidades]]*TablaVentas[[#This Row],[Costo_unitario]])</f>
        <v>2427.63</v>
      </c>
      <c r="Q1671" s="6" t="n">
        <f aca="false">IF(OR(TablaVentas[[#This Row],[Ingreso_neto]]="PENDIENTE",TablaVentas[[#This Row],[Costo_total]]="PENDIENTE"),"PENDIENTE",TablaVentas[[#This Row],[Ingreso_neto]]-TablaVentas[[#This Row],[Costo_total]])</f>
        <v>516.68</v>
      </c>
    </row>
    <row r="1672" customFormat="false" ht="13.5" hidden="false" customHeight="false" outlineLevel="0" collapsed="false">
      <c r="A1672" s="1" t="s">
        <v>1113</v>
      </c>
      <c r="B1672" s="1" t="n">
        <v>3</v>
      </c>
      <c r="C1672" s="5" t="n">
        <v>46203</v>
      </c>
      <c r="D1672" s="6" t="s">
        <v>777</v>
      </c>
      <c r="E1672" s="6" t="s">
        <v>162</v>
      </c>
      <c r="F1672" s="6" t="s">
        <v>46</v>
      </c>
      <c r="G1672" s="6" t="s">
        <v>57</v>
      </c>
      <c r="H1672" s="6" t="s">
        <v>80</v>
      </c>
      <c r="I1672" s="1" t="n">
        <v>2</v>
      </c>
      <c r="J1672" s="7" t="n">
        <v>723.35</v>
      </c>
      <c r="K1672" s="8" t="n">
        <v>0</v>
      </c>
      <c r="L1672" s="7" t="n">
        <v>397.1</v>
      </c>
      <c r="M1672" s="6" t="s">
        <v>49</v>
      </c>
      <c r="N1672" s="6" t="s">
        <v>67</v>
      </c>
      <c r="O1672" s="6" t="n">
        <f aca="false">IF(TablaVentas[[#This Row],[Precio_unitario]]="","PENDIENTE",TablaVentas[[#This Row],[Unidades]]*TablaVentas[[#This Row],[Precio_unitario]]*(1-TablaVentas[[#This Row],[Descuento_pct]]))</f>
        <v>1446.7</v>
      </c>
      <c r="P1672" s="6" t="n">
        <f aca="false">IF(TablaVentas[[#This Row],[Costo_unitario]]="","PENDIENTE",TablaVentas[[#This Row],[Unidades]]*TablaVentas[[#This Row],[Costo_unitario]])</f>
        <v>794.2</v>
      </c>
      <c r="Q1672" s="6" t="n">
        <f aca="false">IF(OR(TablaVentas[[#This Row],[Ingreso_neto]]="PENDIENTE",TablaVentas[[#This Row],[Costo_total]]="PENDIENTE"),"PENDIENTE",TablaVentas[[#This Row],[Ingreso_neto]]-TablaVentas[[#This Row],[Costo_total]])</f>
        <v>652.5</v>
      </c>
    </row>
    <row r="1673" customFormat="false" ht="13.5" hidden="false" customHeight="false" outlineLevel="0" collapsed="false">
      <c r="A1673" s="1" t="s">
        <v>1113</v>
      </c>
      <c r="B1673" s="1" t="n">
        <v>4</v>
      </c>
      <c r="C1673" s="5" t="n">
        <v>46203</v>
      </c>
      <c r="D1673" s="6" t="s">
        <v>777</v>
      </c>
      <c r="E1673" s="6" t="s">
        <v>127</v>
      </c>
      <c r="F1673" s="6" t="s">
        <v>46</v>
      </c>
      <c r="G1673" s="6" t="s">
        <v>57</v>
      </c>
      <c r="H1673" s="6" t="s">
        <v>80</v>
      </c>
      <c r="I1673" s="1" t="n">
        <v>8</v>
      </c>
      <c r="J1673" s="7" t="n">
        <v>13130.92</v>
      </c>
      <c r="K1673" s="8" t="n">
        <v>0.05</v>
      </c>
      <c r="L1673" s="7" t="n">
        <v>7975.26</v>
      </c>
      <c r="M1673" s="6" t="s">
        <v>49</v>
      </c>
      <c r="N1673" s="6" t="s">
        <v>50</v>
      </c>
      <c r="O1673" s="6" t="n">
        <f aca="false">IF(TablaVentas[[#This Row],[Precio_unitario]]="","PENDIENTE",TablaVentas[[#This Row],[Unidades]]*TablaVentas[[#This Row],[Precio_unitario]]*(1-TablaVentas[[#This Row],[Descuento_pct]]))</f>
        <v>99794.992</v>
      </c>
      <c r="P1673" s="6" t="n">
        <f aca="false">IF(TablaVentas[[#This Row],[Costo_unitario]]="","PENDIENTE",TablaVentas[[#This Row],[Unidades]]*TablaVentas[[#This Row],[Costo_unitario]])</f>
        <v>63802.08</v>
      </c>
      <c r="Q1673" s="6" t="n">
        <f aca="false">IF(OR(TablaVentas[[#This Row],[Ingreso_neto]]="PENDIENTE",TablaVentas[[#This Row],[Costo_total]]="PENDIENTE"),"PENDIENTE",TablaVentas[[#This Row],[Ingreso_neto]]-TablaVentas[[#This Row],[Costo_total]])</f>
        <v>35992.912</v>
      </c>
    </row>
    <row r="1674" customFormat="false" ht="13.5" hidden="false" customHeight="false" outlineLevel="0" collapsed="false">
      <c r="A1674" s="1" t="s">
        <v>1113</v>
      </c>
      <c r="B1674" s="1" t="n">
        <v>5</v>
      </c>
      <c r="C1674" s="5" t="n">
        <v>46203</v>
      </c>
      <c r="D1674" s="6" t="s">
        <v>777</v>
      </c>
      <c r="E1674" s="6" t="s">
        <v>230</v>
      </c>
      <c r="F1674" s="6" t="s">
        <v>46</v>
      </c>
      <c r="G1674" s="6" t="s">
        <v>57</v>
      </c>
      <c r="H1674" s="6" t="s">
        <v>80</v>
      </c>
      <c r="I1674" s="1" t="n">
        <v>2</v>
      </c>
      <c r="J1674" s="7" t="n">
        <v>6823.86</v>
      </c>
      <c r="K1674" s="8" t="n">
        <v>0</v>
      </c>
      <c r="L1674" s="7" t="n">
        <v>3298.19</v>
      </c>
      <c r="M1674" s="6" t="s">
        <v>49</v>
      </c>
      <c r="N1674" s="6" t="s">
        <v>67</v>
      </c>
      <c r="O1674" s="6" t="n">
        <f aca="false">IF(TablaVentas[[#This Row],[Precio_unitario]]="","PENDIENTE",TablaVentas[[#This Row],[Unidades]]*TablaVentas[[#This Row],[Precio_unitario]]*(1-TablaVentas[[#This Row],[Descuento_pct]]))</f>
        <v>13647.72</v>
      </c>
      <c r="P1674" s="6" t="n">
        <f aca="false">IF(TablaVentas[[#This Row],[Costo_unitario]]="","PENDIENTE",TablaVentas[[#This Row],[Unidades]]*TablaVentas[[#This Row],[Costo_unitario]])</f>
        <v>6596.38</v>
      </c>
      <c r="Q1674" s="6" t="n">
        <f aca="false">IF(OR(TablaVentas[[#This Row],[Ingreso_neto]]="PENDIENTE",TablaVentas[[#This Row],[Costo_total]]="PENDIENTE"),"PENDIENTE",TablaVentas[[#This Row],[Ingreso_neto]]-TablaVentas[[#This Row],[Costo_total]])</f>
        <v>7051.34</v>
      </c>
    </row>
    <row r="1675" customFormat="false" ht="13.5" hidden="false" customHeight="false" outlineLevel="0" collapsed="false">
      <c r="A1675" s="1" t="s">
        <v>1114</v>
      </c>
      <c r="B1675" s="1" t="n">
        <v>1</v>
      </c>
      <c r="C1675" s="5" t="n">
        <v>46176</v>
      </c>
      <c r="D1675" s="6" t="s">
        <v>571</v>
      </c>
      <c r="E1675" s="6" t="s">
        <v>327</v>
      </c>
      <c r="F1675" s="6" t="s">
        <v>46</v>
      </c>
      <c r="G1675" s="6" t="s">
        <v>57</v>
      </c>
      <c r="H1675" s="6" t="s">
        <v>109</v>
      </c>
      <c r="I1675" s="1" t="n">
        <v>2</v>
      </c>
      <c r="J1675" s="7" t="n">
        <v>5088.69</v>
      </c>
      <c r="K1675" s="8" t="n">
        <v>0</v>
      </c>
      <c r="L1675" s="7" t="n">
        <v>3065.66</v>
      </c>
      <c r="M1675" s="6" t="s">
        <v>49</v>
      </c>
      <c r="N1675" s="6" t="s">
        <v>50</v>
      </c>
      <c r="O1675" s="6" t="n">
        <f aca="false">IF(TablaVentas[[#This Row],[Precio_unitario]]="","PENDIENTE",TablaVentas[[#This Row],[Unidades]]*TablaVentas[[#This Row],[Precio_unitario]]*(1-TablaVentas[[#This Row],[Descuento_pct]]))</f>
        <v>10177.38</v>
      </c>
      <c r="P1675" s="6" t="n">
        <f aca="false">IF(TablaVentas[[#This Row],[Costo_unitario]]="","PENDIENTE",TablaVentas[[#This Row],[Unidades]]*TablaVentas[[#This Row],[Costo_unitario]])</f>
        <v>6131.32</v>
      </c>
      <c r="Q1675" s="6" t="n">
        <f aca="false">IF(OR(TablaVentas[[#This Row],[Ingreso_neto]]="PENDIENTE",TablaVentas[[#This Row],[Costo_total]]="PENDIENTE"),"PENDIENTE",TablaVentas[[#This Row],[Ingreso_neto]]-TablaVentas[[#This Row],[Costo_total]])</f>
        <v>4046.06</v>
      </c>
    </row>
    <row r="1676" customFormat="false" ht="13.5" hidden="false" customHeight="false" outlineLevel="0" collapsed="false">
      <c r="A1676" s="1" t="s">
        <v>1114</v>
      </c>
      <c r="B1676" s="1" t="n">
        <v>2</v>
      </c>
      <c r="C1676" s="5" t="n">
        <v>46176</v>
      </c>
      <c r="D1676" s="6" t="s">
        <v>571</v>
      </c>
      <c r="E1676" s="6" t="s">
        <v>53</v>
      </c>
      <c r="F1676" s="6" t="s">
        <v>46</v>
      </c>
      <c r="G1676" s="6" t="s">
        <v>57</v>
      </c>
      <c r="H1676" s="6" t="s">
        <v>109</v>
      </c>
      <c r="I1676" s="1" t="n">
        <v>2</v>
      </c>
      <c r="J1676" s="7" t="n">
        <v>4022.37</v>
      </c>
      <c r="K1676" s="8" t="n">
        <v>0.2</v>
      </c>
      <c r="L1676" s="7" t="n">
        <v>2957.6</v>
      </c>
      <c r="M1676" s="6" t="s">
        <v>49</v>
      </c>
      <c r="N1676" s="6" t="s">
        <v>67</v>
      </c>
      <c r="O1676" s="6" t="n">
        <f aca="false">IF(TablaVentas[[#This Row],[Precio_unitario]]="","PENDIENTE",TablaVentas[[#This Row],[Unidades]]*TablaVentas[[#This Row],[Precio_unitario]]*(1-TablaVentas[[#This Row],[Descuento_pct]]))</f>
        <v>6435.792</v>
      </c>
      <c r="P1676" s="6" t="n">
        <f aca="false">IF(TablaVentas[[#This Row],[Costo_unitario]]="","PENDIENTE",TablaVentas[[#This Row],[Unidades]]*TablaVentas[[#This Row],[Costo_unitario]])</f>
        <v>5915.2</v>
      </c>
      <c r="Q1676" s="6" t="n">
        <f aca="false">IF(OR(TablaVentas[[#This Row],[Ingreso_neto]]="PENDIENTE",TablaVentas[[#This Row],[Costo_total]]="PENDIENTE"),"PENDIENTE",TablaVentas[[#This Row],[Ingreso_neto]]-TablaVentas[[#This Row],[Costo_total]])</f>
        <v>520.592000000001</v>
      </c>
    </row>
    <row r="1677" customFormat="false" ht="13.5" hidden="false" customHeight="false" outlineLevel="0" collapsed="false">
      <c r="A1677" s="1" t="s">
        <v>1114</v>
      </c>
      <c r="B1677" s="1" t="n">
        <v>3</v>
      </c>
      <c r="C1677" s="5" t="n">
        <v>46176</v>
      </c>
      <c r="D1677" s="6" t="s">
        <v>571</v>
      </c>
      <c r="E1677" s="6" t="s">
        <v>265</v>
      </c>
      <c r="F1677" s="6" t="s">
        <v>46</v>
      </c>
      <c r="G1677" s="6" t="s">
        <v>57</v>
      </c>
      <c r="H1677" s="6" t="s">
        <v>109</v>
      </c>
      <c r="I1677" s="1" t="n">
        <v>2</v>
      </c>
      <c r="J1677" s="7" t="n">
        <v>3972.81</v>
      </c>
      <c r="K1677" s="8" t="n">
        <v>0.1</v>
      </c>
      <c r="L1677" s="7" t="n">
        <v>2008.57</v>
      </c>
      <c r="M1677" s="6" t="s">
        <v>49</v>
      </c>
      <c r="N1677" s="6" t="s">
        <v>52</v>
      </c>
      <c r="O1677" s="6" t="n">
        <f aca="false">IF(TablaVentas[[#This Row],[Precio_unitario]]="","PENDIENTE",TablaVentas[[#This Row],[Unidades]]*TablaVentas[[#This Row],[Precio_unitario]]*(1-TablaVentas[[#This Row],[Descuento_pct]]))</f>
        <v>7151.058</v>
      </c>
      <c r="P1677" s="6" t="n">
        <f aca="false">IF(TablaVentas[[#This Row],[Costo_unitario]]="","PENDIENTE",TablaVentas[[#This Row],[Unidades]]*TablaVentas[[#This Row],[Costo_unitario]])</f>
        <v>4017.14</v>
      </c>
      <c r="Q1677" s="6" t="n">
        <f aca="false">IF(OR(TablaVentas[[#This Row],[Ingreso_neto]]="PENDIENTE",TablaVentas[[#This Row],[Costo_total]]="PENDIENTE"),"PENDIENTE",TablaVentas[[#This Row],[Ingreso_neto]]-TablaVentas[[#This Row],[Costo_total]])</f>
        <v>3133.918</v>
      </c>
    </row>
    <row r="1678" customFormat="false" ht="13.5" hidden="false" customHeight="false" outlineLevel="0" collapsed="false">
      <c r="A1678" s="1" t="s">
        <v>1114</v>
      </c>
      <c r="B1678" s="1" t="n">
        <v>4</v>
      </c>
      <c r="C1678" s="5" t="n">
        <v>46176</v>
      </c>
      <c r="D1678" s="6" t="s">
        <v>571</v>
      </c>
      <c r="E1678" s="6" t="s">
        <v>159</v>
      </c>
      <c r="F1678" s="6" t="s">
        <v>46</v>
      </c>
      <c r="G1678" s="6" t="s">
        <v>57</v>
      </c>
      <c r="H1678" s="6" t="s">
        <v>109</v>
      </c>
      <c r="I1678" s="1" t="n">
        <v>1</v>
      </c>
      <c r="J1678" s="7" t="n">
        <v>2914.66</v>
      </c>
      <c r="K1678" s="8" t="n">
        <v>0.2</v>
      </c>
      <c r="L1678" s="7" t="n">
        <v>1962.3</v>
      </c>
      <c r="M1678" s="6" t="s">
        <v>49</v>
      </c>
      <c r="N1678" s="6" t="s">
        <v>52</v>
      </c>
      <c r="O1678" s="6" t="n">
        <f aca="false">IF(TablaVentas[[#This Row],[Precio_unitario]]="","PENDIENTE",TablaVentas[[#This Row],[Unidades]]*TablaVentas[[#This Row],[Precio_unitario]]*(1-TablaVentas[[#This Row],[Descuento_pct]]))</f>
        <v>2331.728</v>
      </c>
      <c r="P1678" s="6" t="n">
        <f aca="false">IF(TablaVentas[[#This Row],[Costo_unitario]]="","PENDIENTE",TablaVentas[[#This Row],[Unidades]]*TablaVentas[[#This Row],[Costo_unitario]])</f>
        <v>1962.3</v>
      </c>
      <c r="Q1678" s="6" t="n">
        <f aca="false">IF(OR(TablaVentas[[#This Row],[Ingreso_neto]]="PENDIENTE",TablaVentas[[#This Row],[Costo_total]]="PENDIENTE"),"PENDIENTE",TablaVentas[[#This Row],[Ingreso_neto]]-TablaVentas[[#This Row],[Costo_total]])</f>
        <v>369.428</v>
      </c>
    </row>
    <row r="1679" customFormat="false" ht="13.5" hidden="false" customHeight="false" outlineLevel="0" collapsed="false">
      <c r="A1679" s="1" t="s">
        <v>1115</v>
      </c>
      <c r="B1679" s="1" t="n">
        <v>1</v>
      </c>
      <c r="C1679" s="5" t="n">
        <v>46239</v>
      </c>
      <c r="D1679" s="6" t="s">
        <v>176</v>
      </c>
      <c r="E1679" s="6" t="s">
        <v>166</v>
      </c>
      <c r="F1679" s="6" t="s">
        <v>46</v>
      </c>
      <c r="G1679" s="6" t="s">
        <v>64</v>
      </c>
      <c r="H1679" s="6" t="s">
        <v>48</v>
      </c>
      <c r="I1679" s="1" t="n">
        <v>1</v>
      </c>
      <c r="J1679" s="7" t="n">
        <v>12660.47</v>
      </c>
      <c r="K1679" s="8" t="n">
        <v>0</v>
      </c>
      <c r="L1679" s="7" t="n">
        <v>9317.37</v>
      </c>
      <c r="M1679" s="6" t="s">
        <v>49</v>
      </c>
      <c r="N1679" s="6" t="s">
        <v>52</v>
      </c>
      <c r="O1679" s="6" t="n">
        <f aca="false">IF(TablaVentas[[#This Row],[Precio_unitario]]="","PENDIENTE",TablaVentas[[#This Row],[Unidades]]*TablaVentas[[#This Row],[Precio_unitario]]*(1-TablaVentas[[#This Row],[Descuento_pct]]))</f>
        <v>12660.47</v>
      </c>
      <c r="P1679" s="6" t="n">
        <f aca="false">IF(TablaVentas[[#This Row],[Costo_unitario]]="","PENDIENTE",TablaVentas[[#This Row],[Unidades]]*TablaVentas[[#This Row],[Costo_unitario]])</f>
        <v>9317.37</v>
      </c>
      <c r="Q1679" s="6" t="n">
        <f aca="false">IF(OR(TablaVentas[[#This Row],[Ingreso_neto]]="PENDIENTE",TablaVentas[[#This Row],[Costo_total]]="PENDIENTE"),"PENDIENTE",TablaVentas[[#This Row],[Ingreso_neto]]-TablaVentas[[#This Row],[Costo_total]])</f>
        <v>3343.1</v>
      </c>
    </row>
    <row r="1680" customFormat="false" ht="13.5" hidden="false" customHeight="false" outlineLevel="0" collapsed="false">
      <c r="A1680" s="1" t="s">
        <v>1115</v>
      </c>
      <c r="B1680" s="1" t="n">
        <v>2</v>
      </c>
      <c r="C1680" s="5" t="n">
        <v>46239</v>
      </c>
      <c r="D1680" s="6" t="s">
        <v>176</v>
      </c>
      <c r="E1680" s="6" t="s">
        <v>76</v>
      </c>
      <c r="F1680" s="6" t="s">
        <v>46</v>
      </c>
      <c r="G1680" s="6" t="s">
        <v>64</v>
      </c>
      <c r="H1680" s="6" t="s">
        <v>48</v>
      </c>
      <c r="I1680" s="1" t="n">
        <v>8</v>
      </c>
      <c r="J1680" s="7" t="n">
        <v>13922.09</v>
      </c>
      <c r="K1680" s="8" t="n">
        <v>0.05</v>
      </c>
      <c r="L1680" s="7" t="n">
        <v>10094.26</v>
      </c>
      <c r="M1680" s="6" t="s">
        <v>49</v>
      </c>
      <c r="N1680" s="6" t="s">
        <v>67</v>
      </c>
      <c r="O1680" s="6" t="n">
        <f aca="false">IF(TablaVentas[[#This Row],[Precio_unitario]]="","PENDIENTE",TablaVentas[[#This Row],[Unidades]]*TablaVentas[[#This Row],[Precio_unitario]]*(1-TablaVentas[[#This Row],[Descuento_pct]]))</f>
        <v>105807.884</v>
      </c>
      <c r="P1680" s="6" t="n">
        <f aca="false">IF(TablaVentas[[#This Row],[Costo_unitario]]="","PENDIENTE",TablaVentas[[#This Row],[Unidades]]*TablaVentas[[#This Row],[Costo_unitario]])</f>
        <v>80754.08</v>
      </c>
      <c r="Q1680" s="6" t="n">
        <f aca="false">IF(OR(TablaVentas[[#This Row],[Ingreso_neto]]="PENDIENTE",TablaVentas[[#This Row],[Costo_total]]="PENDIENTE"),"PENDIENTE",TablaVentas[[#This Row],[Ingreso_neto]]-TablaVentas[[#This Row],[Costo_total]])</f>
        <v>25053.804</v>
      </c>
    </row>
    <row r="1681" customFormat="false" ht="13.5" hidden="false" customHeight="false" outlineLevel="0" collapsed="false">
      <c r="A1681" s="1" t="s">
        <v>1116</v>
      </c>
      <c r="B1681" s="1" t="n">
        <v>1</v>
      </c>
      <c r="C1681" s="5" t="n">
        <v>46146</v>
      </c>
      <c r="D1681" s="6" t="s">
        <v>134</v>
      </c>
      <c r="E1681" s="6" t="s">
        <v>146</v>
      </c>
      <c r="F1681" s="6" t="s">
        <v>73</v>
      </c>
      <c r="G1681" s="6" t="s">
        <v>47</v>
      </c>
      <c r="H1681" s="6" t="s">
        <v>80</v>
      </c>
      <c r="I1681" s="1" t="n">
        <v>3</v>
      </c>
      <c r="J1681" s="7" t="n">
        <v>9778.4</v>
      </c>
      <c r="K1681" s="8" t="n">
        <v>0</v>
      </c>
      <c r="L1681" s="7" t="n">
        <v>8002.16</v>
      </c>
      <c r="M1681" s="6" t="s">
        <v>49</v>
      </c>
      <c r="N1681" s="6" t="s">
        <v>52</v>
      </c>
      <c r="O1681" s="6" t="n">
        <f aca="false">IF(TablaVentas[[#This Row],[Precio_unitario]]="","PENDIENTE",TablaVentas[[#This Row],[Unidades]]*TablaVentas[[#This Row],[Precio_unitario]]*(1-TablaVentas[[#This Row],[Descuento_pct]]))</f>
        <v>29335.2</v>
      </c>
      <c r="P1681" s="6" t="n">
        <f aca="false">IF(TablaVentas[[#This Row],[Costo_unitario]]="","PENDIENTE",TablaVentas[[#This Row],[Unidades]]*TablaVentas[[#This Row],[Costo_unitario]])</f>
        <v>24006.48</v>
      </c>
      <c r="Q1681" s="6" t="n">
        <f aca="false">IF(OR(TablaVentas[[#This Row],[Ingreso_neto]]="PENDIENTE",TablaVentas[[#This Row],[Costo_total]]="PENDIENTE"),"PENDIENTE",TablaVentas[[#This Row],[Ingreso_neto]]-TablaVentas[[#This Row],[Costo_total]])</f>
        <v>5328.72</v>
      </c>
    </row>
    <row r="1682" customFormat="false" ht="13.5" hidden="false" customHeight="false" outlineLevel="0" collapsed="false">
      <c r="A1682" s="1" t="s">
        <v>1116</v>
      </c>
      <c r="B1682" s="1" t="n">
        <v>2</v>
      </c>
      <c r="C1682" s="5" t="n">
        <v>46146</v>
      </c>
      <c r="D1682" s="6" t="s">
        <v>134</v>
      </c>
      <c r="E1682" s="6" t="s">
        <v>230</v>
      </c>
      <c r="F1682" s="6" t="s">
        <v>73</v>
      </c>
      <c r="G1682" s="6" t="s">
        <v>47</v>
      </c>
      <c r="H1682" s="6" t="s">
        <v>80</v>
      </c>
      <c r="I1682" s="1" t="n">
        <v>3</v>
      </c>
      <c r="J1682" s="7" t="n">
        <v>6608.66</v>
      </c>
      <c r="K1682" s="8" t="n">
        <v>0.05</v>
      </c>
      <c r="L1682" s="7" t="n">
        <v>3298.19</v>
      </c>
      <c r="M1682" s="6" t="s">
        <v>49</v>
      </c>
      <c r="N1682" s="6" t="s">
        <v>50</v>
      </c>
      <c r="O1682" s="6" t="n">
        <f aca="false">IF(TablaVentas[[#This Row],[Precio_unitario]]="","PENDIENTE",TablaVentas[[#This Row],[Unidades]]*TablaVentas[[#This Row],[Precio_unitario]]*(1-TablaVentas[[#This Row],[Descuento_pct]]))</f>
        <v>18834.681</v>
      </c>
      <c r="P1682" s="6" t="n">
        <f aca="false">IF(TablaVentas[[#This Row],[Costo_unitario]]="","PENDIENTE",TablaVentas[[#This Row],[Unidades]]*TablaVentas[[#This Row],[Costo_unitario]])</f>
        <v>9894.57</v>
      </c>
      <c r="Q1682" s="6" t="n">
        <f aca="false">IF(OR(TablaVentas[[#This Row],[Ingreso_neto]]="PENDIENTE",TablaVentas[[#This Row],[Costo_total]]="PENDIENTE"),"PENDIENTE",TablaVentas[[#This Row],[Ingreso_neto]]-TablaVentas[[#This Row],[Costo_total]])</f>
        <v>8940.111</v>
      </c>
    </row>
    <row r="1683" customFormat="false" ht="13.5" hidden="false" customHeight="false" outlineLevel="0" collapsed="false">
      <c r="A1683" s="1" t="s">
        <v>1116</v>
      </c>
      <c r="B1683" s="1" t="n">
        <v>3</v>
      </c>
      <c r="C1683" s="5" t="n">
        <v>46146</v>
      </c>
      <c r="D1683" s="6" t="s">
        <v>134</v>
      </c>
      <c r="E1683" s="6" t="s">
        <v>404</v>
      </c>
      <c r="F1683" s="6" t="s">
        <v>73</v>
      </c>
      <c r="G1683" s="6" t="s">
        <v>47</v>
      </c>
      <c r="H1683" s="6" t="s">
        <v>80</v>
      </c>
      <c r="I1683" s="1" t="n">
        <v>4</v>
      </c>
      <c r="J1683" s="7" t="n">
        <v>6777.88</v>
      </c>
      <c r="K1683" s="8" t="n">
        <v>0.1</v>
      </c>
      <c r="L1683" s="7" t="n">
        <v>3640.56</v>
      </c>
      <c r="M1683" s="6" t="s">
        <v>49</v>
      </c>
      <c r="N1683" s="6" t="s">
        <v>67</v>
      </c>
      <c r="O1683" s="6" t="n">
        <f aca="false">IF(TablaVentas[[#This Row],[Precio_unitario]]="","PENDIENTE",TablaVentas[[#This Row],[Unidades]]*TablaVentas[[#This Row],[Precio_unitario]]*(1-TablaVentas[[#This Row],[Descuento_pct]]))</f>
        <v>24400.368</v>
      </c>
      <c r="P1683" s="6" t="n">
        <f aca="false">IF(TablaVentas[[#This Row],[Costo_unitario]]="","PENDIENTE",TablaVentas[[#This Row],[Unidades]]*TablaVentas[[#This Row],[Costo_unitario]])</f>
        <v>14562.24</v>
      </c>
      <c r="Q1683" s="6" t="n">
        <f aca="false">IF(OR(TablaVentas[[#This Row],[Ingreso_neto]]="PENDIENTE",TablaVentas[[#This Row],[Costo_total]]="PENDIENTE"),"PENDIENTE",TablaVentas[[#This Row],[Ingreso_neto]]-TablaVentas[[#This Row],[Costo_total]])</f>
        <v>9838.128</v>
      </c>
    </row>
    <row r="1684" customFormat="false" ht="13.5" hidden="false" customHeight="false" outlineLevel="0" collapsed="false">
      <c r="A1684" s="1" t="s">
        <v>1117</v>
      </c>
      <c r="B1684" s="1" t="n">
        <v>1</v>
      </c>
      <c r="C1684" s="5" t="n">
        <v>46146</v>
      </c>
      <c r="D1684" s="6" t="s">
        <v>341</v>
      </c>
      <c r="E1684" s="6" t="s">
        <v>353</v>
      </c>
      <c r="F1684" s="6" t="s">
        <v>63</v>
      </c>
      <c r="G1684" s="6" t="s">
        <v>47</v>
      </c>
      <c r="H1684" s="6" t="s">
        <v>89</v>
      </c>
      <c r="I1684" s="1" t="n">
        <v>3</v>
      </c>
      <c r="J1684" s="7" t="n">
        <v>2064.84</v>
      </c>
      <c r="K1684" s="8" t="n">
        <v>0</v>
      </c>
      <c r="L1684" s="7" t="n">
        <v>1175.74</v>
      </c>
      <c r="M1684" s="6" t="s">
        <v>49</v>
      </c>
      <c r="N1684" s="6" t="s">
        <v>59</v>
      </c>
      <c r="O1684" s="6" t="n">
        <f aca="false">IF(TablaVentas[[#This Row],[Precio_unitario]]="","PENDIENTE",TablaVentas[[#This Row],[Unidades]]*TablaVentas[[#This Row],[Precio_unitario]]*(1-TablaVentas[[#This Row],[Descuento_pct]]))</f>
        <v>6194.52</v>
      </c>
      <c r="P1684" s="6" t="n">
        <f aca="false">IF(TablaVentas[[#This Row],[Costo_unitario]]="","PENDIENTE",TablaVentas[[#This Row],[Unidades]]*TablaVentas[[#This Row],[Costo_unitario]])</f>
        <v>3527.22</v>
      </c>
      <c r="Q1684" s="6" t="n">
        <f aca="false">IF(OR(TablaVentas[[#This Row],[Ingreso_neto]]="PENDIENTE",TablaVentas[[#This Row],[Costo_total]]="PENDIENTE"),"PENDIENTE",TablaVentas[[#This Row],[Ingreso_neto]]-TablaVentas[[#This Row],[Costo_total]])</f>
        <v>2667.3</v>
      </c>
    </row>
    <row r="1685" customFormat="false" ht="13.5" hidden="false" customHeight="false" outlineLevel="0" collapsed="false">
      <c r="A1685" s="1" t="s">
        <v>1117</v>
      </c>
      <c r="B1685" s="1" t="n">
        <v>2</v>
      </c>
      <c r="C1685" s="5" t="n">
        <v>46146</v>
      </c>
      <c r="D1685" s="6" t="s">
        <v>341</v>
      </c>
      <c r="E1685" s="6" t="s">
        <v>122</v>
      </c>
      <c r="F1685" s="6" t="s">
        <v>63</v>
      </c>
      <c r="G1685" s="6" t="s">
        <v>47</v>
      </c>
      <c r="H1685" s="6" t="s">
        <v>89</v>
      </c>
      <c r="I1685" s="1" t="n">
        <v>8</v>
      </c>
      <c r="J1685" s="7" t="n">
        <v>1398.86</v>
      </c>
      <c r="K1685" s="8" t="n">
        <v>0</v>
      </c>
      <c r="L1685" s="7" t="n">
        <v>705.87</v>
      </c>
      <c r="M1685" s="6" t="s">
        <v>49</v>
      </c>
      <c r="N1685" s="6" t="s">
        <v>50</v>
      </c>
      <c r="O1685" s="6" t="n">
        <f aca="false">IF(TablaVentas[[#This Row],[Precio_unitario]]="","PENDIENTE",TablaVentas[[#This Row],[Unidades]]*TablaVentas[[#This Row],[Precio_unitario]]*(1-TablaVentas[[#This Row],[Descuento_pct]]))</f>
        <v>11190.88</v>
      </c>
      <c r="P1685" s="6" t="n">
        <f aca="false">IF(TablaVentas[[#This Row],[Costo_unitario]]="","PENDIENTE",TablaVentas[[#This Row],[Unidades]]*TablaVentas[[#This Row],[Costo_unitario]])</f>
        <v>5646.96</v>
      </c>
      <c r="Q1685" s="6" t="n">
        <f aca="false">IF(OR(TablaVentas[[#This Row],[Ingreso_neto]]="PENDIENTE",TablaVentas[[#This Row],[Costo_total]]="PENDIENTE"),"PENDIENTE",TablaVentas[[#This Row],[Ingreso_neto]]-TablaVentas[[#This Row],[Costo_total]])</f>
        <v>5543.92</v>
      </c>
    </row>
    <row r="1686" customFormat="false" ht="13.5" hidden="false" customHeight="false" outlineLevel="0" collapsed="false">
      <c r="A1686" s="1" t="s">
        <v>1118</v>
      </c>
      <c r="B1686" s="1" t="n">
        <v>1</v>
      </c>
      <c r="C1686" s="5" t="n">
        <v>46168</v>
      </c>
      <c r="D1686" s="6" t="s">
        <v>534</v>
      </c>
      <c r="E1686" s="6" t="s">
        <v>77</v>
      </c>
      <c r="F1686" s="6" t="s">
        <v>73</v>
      </c>
      <c r="G1686" s="6" t="s">
        <v>57</v>
      </c>
      <c r="H1686" s="6" t="s">
        <v>136</v>
      </c>
      <c r="I1686" s="1" t="n">
        <v>1</v>
      </c>
      <c r="J1686" s="7" t="n">
        <v>16622.56</v>
      </c>
      <c r="K1686" s="8" t="n">
        <v>0.05</v>
      </c>
      <c r="L1686" s="7" t="n">
        <v>10571.25</v>
      </c>
      <c r="M1686" s="6" t="s">
        <v>49</v>
      </c>
      <c r="N1686" s="6" t="s">
        <v>50</v>
      </c>
      <c r="O1686" s="6" t="n">
        <f aca="false">IF(TablaVentas[[#This Row],[Precio_unitario]]="","PENDIENTE",TablaVentas[[#This Row],[Unidades]]*TablaVentas[[#This Row],[Precio_unitario]]*(1-TablaVentas[[#This Row],[Descuento_pct]]))</f>
        <v>15791.432</v>
      </c>
      <c r="P1686" s="6" t="n">
        <f aca="false">IF(TablaVentas[[#This Row],[Costo_unitario]]="","PENDIENTE",TablaVentas[[#This Row],[Unidades]]*TablaVentas[[#This Row],[Costo_unitario]])</f>
        <v>10571.25</v>
      </c>
      <c r="Q1686" s="6" t="n">
        <f aca="false">IF(OR(TablaVentas[[#This Row],[Ingreso_neto]]="PENDIENTE",TablaVentas[[#This Row],[Costo_total]]="PENDIENTE"),"PENDIENTE",TablaVentas[[#This Row],[Ingreso_neto]]-TablaVentas[[#This Row],[Costo_total]])</f>
        <v>5220.182</v>
      </c>
    </row>
    <row r="1687" customFormat="false" ht="13.5" hidden="false" customHeight="false" outlineLevel="0" collapsed="false">
      <c r="A1687" s="1" t="s">
        <v>1118</v>
      </c>
      <c r="B1687" s="1" t="n">
        <v>2</v>
      </c>
      <c r="C1687" s="5" t="n">
        <v>46168</v>
      </c>
      <c r="D1687" s="6" t="s">
        <v>534</v>
      </c>
      <c r="E1687" s="6" t="s">
        <v>132</v>
      </c>
      <c r="F1687" s="6" t="s">
        <v>73</v>
      </c>
      <c r="G1687" s="6" t="s">
        <v>57</v>
      </c>
      <c r="H1687" s="6" t="s">
        <v>136</v>
      </c>
      <c r="I1687" s="1" t="n">
        <v>1</v>
      </c>
      <c r="J1687" s="7" t="n">
        <v>1657.83</v>
      </c>
      <c r="K1687" s="8" t="n">
        <v>0.1</v>
      </c>
      <c r="L1687" s="7" t="n">
        <v>1044.32</v>
      </c>
      <c r="M1687" s="6" t="s">
        <v>49</v>
      </c>
      <c r="N1687" s="6" t="s">
        <v>52</v>
      </c>
      <c r="O1687" s="6" t="n">
        <f aca="false">IF(TablaVentas[[#This Row],[Precio_unitario]]="","PENDIENTE",TablaVentas[[#This Row],[Unidades]]*TablaVentas[[#This Row],[Precio_unitario]]*(1-TablaVentas[[#This Row],[Descuento_pct]]))</f>
        <v>1492.047</v>
      </c>
      <c r="P1687" s="6" t="n">
        <f aca="false">IF(TablaVentas[[#This Row],[Costo_unitario]]="","PENDIENTE",TablaVentas[[#This Row],[Unidades]]*TablaVentas[[#This Row],[Costo_unitario]])</f>
        <v>1044.32</v>
      </c>
      <c r="Q1687" s="6" t="n">
        <f aca="false">IF(OR(TablaVentas[[#This Row],[Ingreso_neto]]="PENDIENTE",TablaVentas[[#This Row],[Costo_total]]="PENDIENTE"),"PENDIENTE",TablaVentas[[#This Row],[Ingreso_neto]]-TablaVentas[[#This Row],[Costo_total]])</f>
        <v>447.727</v>
      </c>
    </row>
    <row r="1688" customFormat="false" ht="13.5" hidden="false" customHeight="false" outlineLevel="0" collapsed="false">
      <c r="A1688" s="1" t="s">
        <v>1118</v>
      </c>
      <c r="B1688" s="1" t="n">
        <v>3</v>
      </c>
      <c r="C1688" s="5" t="n">
        <v>46168</v>
      </c>
      <c r="D1688" s="6" t="s">
        <v>534</v>
      </c>
      <c r="E1688" s="6" t="s">
        <v>544</v>
      </c>
      <c r="F1688" s="6" t="s">
        <v>73</v>
      </c>
      <c r="G1688" s="6" t="s">
        <v>57</v>
      </c>
      <c r="H1688" s="6" t="s">
        <v>136</v>
      </c>
      <c r="I1688" s="1" t="n">
        <v>4</v>
      </c>
      <c r="J1688" s="7" t="n">
        <v>5862.61</v>
      </c>
      <c r="K1688" s="8" t="n">
        <v>0</v>
      </c>
      <c r="L1688" s="7" t="n">
        <v>4556.23</v>
      </c>
      <c r="M1688" s="6" t="s">
        <v>49</v>
      </c>
      <c r="N1688" s="6" t="s">
        <v>52</v>
      </c>
      <c r="O1688" s="6" t="n">
        <f aca="false">IF(TablaVentas[[#This Row],[Precio_unitario]]="","PENDIENTE",TablaVentas[[#This Row],[Unidades]]*TablaVentas[[#This Row],[Precio_unitario]]*(1-TablaVentas[[#This Row],[Descuento_pct]]))</f>
        <v>23450.44</v>
      </c>
      <c r="P1688" s="6" t="n">
        <f aca="false">IF(TablaVentas[[#This Row],[Costo_unitario]]="","PENDIENTE",TablaVentas[[#This Row],[Unidades]]*TablaVentas[[#This Row],[Costo_unitario]])</f>
        <v>18224.92</v>
      </c>
      <c r="Q1688" s="6" t="n">
        <f aca="false">IF(OR(TablaVentas[[#This Row],[Ingreso_neto]]="PENDIENTE",TablaVentas[[#This Row],[Costo_total]]="PENDIENTE"),"PENDIENTE",TablaVentas[[#This Row],[Ingreso_neto]]-TablaVentas[[#This Row],[Costo_total]])</f>
        <v>5225.52</v>
      </c>
    </row>
    <row r="1689" customFormat="false" ht="13.5" hidden="false" customHeight="false" outlineLevel="0" collapsed="false">
      <c r="A1689" s="1" t="s">
        <v>1119</v>
      </c>
      <c r="B1689" s="1" t="n">
        <v>1</v>
      </c>
      <c r="C1689" s="5" t="n">
        <v>46077</v>
      </c>
      <c r="D1689" s="6" t="s">
        <v>169</v>
      </c>
      <c r="E1689" s="6" t="s">
        <v>93</v>
      </c>
      <c r="F1689" s="6" t="s">
        <v>84</v>
      </c>
      <c r="G1689" s="6" t="s">
        <v>47</v>
      </c>
      <c r="H1689" s="6" t="s">
        <v>48</v>
      </c>
      <c r="I1689" s="1" t="n">
        <v>2</v>
      </c>
      <c r="J1689" s="7" t="n">
        <v>15384.26</v>
      </c>
      <c r="K1689" s="8" t="n">
        <v>0.1</v>
      </c>
      <c r="L1689" s="7" t="n">
        <v>11166.03</v>
      </c>
      <c r="M1689" s="6" t="s">
        <v>49</v>
      </c>
      <c r="N1689" s="6" t="s">
        <v>67</v>
      </c>
      <c r="O1689" s="6" t="n">
        <f aca="false">IF(TablaVentas[[#This Row],[Precio_unitario]]="","PENDIENTE",TablaVentas[[#This Row],[Unidades]]*TablaVentas[[#This Row],[Precio_unitario]]*(1-TablaVentas[[#This Row],[Descuento_pct]]))</f>
        <v>27691.668</v>
      </c>
      <c r="P1689" s="6" t="n">
        <f aca="false">IF(TablaVentas[[#This Row],[Costo_unitario]]="","PENDIENTE",TablaVentas[[#This Row],[Unidades]]*TablaVentas[[#This Row],[Costo_unitario]])</f>
        <v>22332.06</v>
      </c>
      <c r="Q1689" s="6" t="n">
        <f aca="false">IF(OR(TablaVentas[[#This Row],[Ingreso_neto]]="PENDIENTE",TablaVentas[[#This Row],[Costo_total]]="PENDIENTE"),"PENDIENTE",TablaVentas[[#This Row],[Ingreso_neto]]-TablaVentas[[#This Row],[Costo_total]])</f>
        <v>5359.608</v>
      </c>
    </row>
    <row r="1690" customFormat="false" ht="13.5" hidden="false" customHeight="false" outlineLevel="0" collapsed="false">
      <c r="A1690" s="1" t="s">
        <v>1119</v>
      </c>
      <c r="B1690" s="1" t="n">
        <v>2</v>
      </c>
      <c r="C1690" s="5" t="n">
        <v>46077</v>
      </c>
      <c r="D1690" s="6" t="s">
        <v>169</v>
      </c>
      <c r="E1690" s="6" t="s">
        <v>147</v>
      </c>
      <c r="F1690" s="6" t="s">
        <v>84</v>
      </c>
      <c r="G1690" s="6" t="s">
        <v>47</v>
      </c>
      <c r="H1690" s="6" t="s">
        <v>48</v>
      </c>
      <c r="I1690" s="1" t="n">
        <v>1</v>
      </c>
      <c r="J1690" s="7" t="n">
        <v>2989.47</v>
      </c>
      <c r="K1690" s="8" t="n">
        <v>0</v>
      </c>
      <c r="L1690" s="7" t="n">
        <v>2427.63</v>
      </c>
      <c r="M1690" s="6" t="s">
        <v>49</v>
      </c>
      <c r="N1690" s="6" t="s">
        <v>67</v>
      </c>
      <c r="O1690" s="6" t="n">
        <f aca="false">IF(TablaVentas[[#This Row],[Precio_unitario]]="","PENDIENTE",TablaVentas[[#This Row],[Unidades]]*TablaVentas[[#This Row],[Precio_unitario]]*(1-TablaVentas[[#This Row],[Descuento_pct]]))</f>
        <v>2989.47</v>
      </c>
      <c r="P1690" s="6" t="n">
        <f aca="false">IF(TablaVentas[[#This Row],[Costo_unitario]]="","PENDIENTE",TablaVentas[[#This Row],[Unidades]]*TablaVentas[[#This Row],[Costo_unitario]])</f>
        <v>2427.63</v>
      </c>
      <c r="Q1690" s="6" t="n">
        <f aca="false">IF(OR(TablaVentas[[#This Row],[Ingreso_neto]]="PENDIENTE",TablaVentas[[#This Row],[Costo_total]]="PENDIENTE"),"PENDIENTE",TablaVentas[[#This Row],[Ingreso_neto]]-TablaVentas[[#This Row],[Costo_total]])</f>
        <v>561.84</v>
      </c>
    </row>
    <row r="1691" customFormat="false" ht="13.5" hidden="false" customHeight="false" outlineLevel="0" collapsed="false">
      <c r="A1691" s="1" t="s">
        <v>1119</v>
      </c>
      <c r="B1691" s="1" t="n">
        <v>3</v>
      </c>
      <c r="C1691" s="5" t="n">
        <v>46077</v>
      </c>
      <c r="D1691" s="6" t="s">
        <v>169</v>
      </c>
      <c r="E1691" s="6" t="s">
        <v>280</v>
      </c>
      <c r="F1691" s="6" t="s">
        <v>84</v>
      </c>
      <c r="G1691" s="6" t="s">
        <v>47</v>
      </c>
      <c r="H1691" s="6" t="s">
        <v>48</v>
      </c>
      <c r="I1691" s="1" t="n">
        <v>3</v>
      </c>
      <c r="J1691" s="7" t="n">
        <v>1359.05</v>
      </c>
      <c r="K1691" s="8" t="n">
        <v>0</v>
      </c>
      <c r="L1691" s="7" t="n">
        <v>716.26</v>
      </c>
      <c r="M1691" s="6" t="s">
        <v>49</v>
      </c>
      <c r="N1691" s="6" t="s">
        <v>59</v>
      </c>
      <c r="O1691" s="6" t="n">
        <f aca="false">IF(TablaVentas[[#This Row],[Precio_unitario]]="","PENDIENTE",TablaVentas[[#This Row],[Unidades]]*TablaVentas[[#This Row],[Precio_unitario]]*(1-TablaVentas[[#This Row],[Descuento_pct]]))</f>
        <v>4077.15</v>
      </c>
      <c r="P1691" s="6" t="n">
        <f aca="false">IF(TablaVentas[[#This Row],[Costo_unitario]]="","PENDIENTE",TablaVentas[[#This Row],[Unidades]]*TablaVentas[[#This Row],[Costo_unitario]])</f>
        <v>2148.78</v>
      </c>
      <c r="Q1691" s="6" t="n">
        <f aca="false">IF(OR(TablaVentas[[#This Row],[Ingreso_neto]]="PENDIENTE",TablaVentas[[#This Row],[Costo_total]]="PENDIENTE"),"PENDIENTE",TablaVentas[[#This Row],[Ingreso_neto]]-TablaVentas[[#This Row],[Costo_total]])</f>
        <v>1928.37</v>
      </c>
    </row>
    <row r="1692" customFormat="false" ht="13.5" hidden="false" customHeight="false" outlineLevel="0" collapsed="false">
      <c r="A1692" s="1" t="s">
        <v>1120</v>
      </c>
      <c r="B1692" s="1" t="n">
        <v>1</v>
      </c>
      <c r="C1692" s="5" t="n">
        <v>46285</v>
      </c>
      <c r="D1692" s="6" t="s">
        <v>807</v>
      </c>
      <c r="E1692" s="6" t="s">
        <v>105</v>
      </c>
      <c r="F1692" s="6" t="s">
        <v>63</v>
      </c>
      <c r="G1692" s="6" t="s">
        <v>64</v>
      </c>
      <c r="H1692" s="6" t="s">
        <v>80</v>
      </c>
      <c r="I1692" s="1" t="n">
        <v>1</v>
      </c>
      <c r="J1692" s="7" t="n">
        <v>16415.09</v>
      </c>
      <c r="K1692" s="8" t="n">
        <v>0</v>
      </c>
      <c r="L1692" s="7" t="n">
        <v>9881</v>
      </c>
      <c r="M1692" s="6" t="s">
        <v>123</v>
      </c>
      <c r="N1692" s="6" t="s">
        <v>52</v>
      </c>
      <c r="O1692" s="6" t="n">
        <f aca="false">IF(TablaVentas[[#This Row],[Precio_unitario]]="","PENDIENTE",TablaVentas[[#This Row],[Unidades]]*TablaVentas[[#This Row],[Precio_unitario]]*(1-TablaVentas[[#This Row],[Descuento_pct]]))</f>
        <v>16415.09</v>
      </c>
      <c r="P1692" s="6" t="n">
        <f aca="false">IF(TablaVentas[[#This Row],[Costo_unitario]]="","PENDIENTE",TablaVentas[[#This Row],[Unidades]]*TablaVentas[[#This Row],[Costo_unitario]])</f>
        <v>9881</v>
      </c>
      <c r="Q1692" s="6" t="n">
        <f aca="false">IF(OR(TablaVentas[[#This Row],[Ingreso_neto]]="PENDIENTE",TablaVentas[[#This Row],[Costo_total]]="PENDIENTE"),"PENDIENTE",TablaVentas[[#This Row],[Ingreso_neto]]-TablaVentas[[#This Row],[Costo_total]])</f>
        <v>6534.09</v>
      </c>
    </row>
    <row r="1693" customFormat="false" ht="13.5" hidden="false" customHeight="false" outlineLevel="0" collapsed="false">
      <c r="A1693" s="1" t="s">
        <v>1120</v>
      </c>
      <c r="B1693" s="1" t="n">
        <v>2</v>
      </c>
      <c r="C1693" s="5" t="n">
        <v>46285</v>
      </c>
      <c r="D1693" s="6" t="s">
        <v>807</v>
      </c>
      <c r="E1693" s="6" t="s">
        <v>145</v>
      </c>
      <c r="F1693" s="6" t="s">
        <v>63</v>
      </c>
      <c r="G1693" s="6" t="s">
        <v>64</v>
      </c>
      <c r="H1693" s="6" t="s">
        <v>80</v>
      </c>
      <c r="I1693" s="1" t="n">
        <v>1</v>
      </c>
      <c r="J1693" s="7" t="n">
        <v>6125.16</v>
      </c>
      <c r="K1693" s="8" t="n">
        <v>0.1</v>
      </c>
      <c r="L1693" s="7" t="n">
        <v>4665.62</v>
      </c>
      <c r="M1693" s="6" t="s">
        <v>49</v>
      </c>
      <c r="N1693" s="6" t="s">
        <v>52</v>
      </c>
      <c r="O1693" s="6" t="n">
        <f aca="false">IF(TablaVentas[[#This Row],[Precio_unitario]]="","PENDIENTE",TablaVentas[[#This Row],[Unidades]]*TablaVentas[[#This Row],[Precio_unitario]]*(1-TablaVentas[[#This Row],[Descuento_pct]]))</f>
        <v>5512.644</v>
      </c>
      <c r="P1693" s="6" t="n">
        <f aca="false">IF(TablaVentas[[#This Row],[Costo_unitario]]="","PENDIENTE",TablaVentas[[#This Row],[Unidades]]*TablaVentas[[#This Row],[Costo_unitario]])</f>
        <v>4665.62</v>
      </c>
      <c r="Q1693" s="6" t="n">
        <f aca="false">IF(OR(TablaVentas[[#This Row],[Ingreso_neto]]="PENDIENTE",TablaVentas[[#This Row],[Costo_total]]="PENDIENTE"),"PENDIENTE",TablaVentas[[#This Row],[Ingreso_neto]]-TablaVentas[[#This Row],[Costo_total]])</f>
        <v>847.024</v>
      </c>
    </row>
    <row r="1694" customFormat="false" ht="13.5" hidden="false" customHeight="false" outlineLevel="0" collapsed="false">
      <c r="A1694" s="1" t="s">
        <v>1120</v>
      </c>
      <c r="B1694" s="1" t="n">
        <v>3</v>
      </c>
      <c r="C1694" s="5" t="n">
        <v>46285</v>
      </c>
      <c r="D1694" s="6" t="s">
        <v>807</v>
      </c>
      <c r="E1694" s="6" t="s">
        <v>110</v>
      </c>
      <c r="F1694" s="6" t="s">
        <v>63</v>
      </c>
      <c r="G1694" s="6" t="s">
        <v>64</v>
      </c>
      <c r="H1694" s="6" t="s">
        <v>80</v>
      </c>
      <c r="I1694" s="1" t="n">
        <v>1</v>
      </c>
      <c r="J1694" s="7" t="n">
        <v>11922.8</v>
      </c>
      <c r="K1694" s="8" t="n">
        <v>0.1</v>
      </c>
      <c r="L1694" s="7" t="n">
        <v>7549.71</v>
      </c>
      <c r="M1694" s="6" t="s">
        <v>49</v>
      </c>
      <c r="N1694" s="6" t="s">
        <v>50</v>
      </c>
      <c r="O1694" s="6" t="n">
        <f aca="false">IF(TablaVentas[[#This Row],[Precio_unitario]]="","PENDIENTE",TablaVentas[[#This Row],[Unidades]]*TablaVentas[[#This Row],[Precio_unitario]]*(1-TablaVentas[[#This Row],[Descuento_pct]]))</f>
        <v>10730.52</v>
      </c>
      <c r="P1694" s="6" t="n">
        <f aca="false">IF(TablaVentas[[#This Row],[Costo_unitario]]="","PENDIENTE",TablaVentas[[#This Row],[Unidades]]*TablaVentas[[#This Row],[Costo_unitario]])</f>
        <v>7549.71</v>
      </c>
      <c r="Q1694" s="6" t="n">
        <f aca="false">IF(OR(TablaVentas[[#This Row],[Ingreso_neto]]="PENDIENTE",TablaVentas[[#This Row],[Costo_total]]="PENDIENTE"),"PENDIENTE",TablaVentas[[#This Row],[Ingreso_neto]]-TablaVentas[[#This Row],[Costo_total]])</f>
        <v>3180.81</v>
      </c>
    </row>
    <row r="1695" customFormat="false" ht="13.5" hidden="false" customHeight="false" outlineLevel="0" collapsed="false">
      <c r="A1695" s="1" t="s">
        <v>1121</v>
      </c>
      <c r="B1695" s="1" t="n">
        <v>1</v>
      </c>
      <c r="C1695" s="5" t="n">
        <v>46269</v>
      </c>
      <c r="D1695" s="6" t="s">
        <v>221</v>
      </c>
      <c r="E1695" s="6" t="s">
        <v>289</v>
      </c>
      <c r="F1695" s="6" t="s">
        <v>63</v>
      </c>
      <c r="G1695" s="6" t="s">
        <v>57</v>
      </c>
      <c r="H1695" s="6" t="s">
        <v>65</v>
      </c>
      <c r="I1695" s="1" t="n">
        <v>2</v>
      </c>
      <c r="J1695" s="7" t="n">
        <v>4001.97</v>
      </c>
      <c r="K1695" s="8" t="n">
        <v>0</v>
      </c>
      <c r="L1695" s="7" t="n">
        <v>3399.5</v>
      </c>
      <c r="M1695" s="6" t="s">
        <v>49</v>
      </c>
      <c r="N1695" s="6" t="s">
        <v>59</v>
      </c>
      <c r="O1695" s="6" t="n">
        <f aca="false">IF(TablaVentas[[#This Row],[Precio_unitario]]="","PENDIENTE",TablaVentas[[#This Row],[Unidades]]*TablaVentas[[#This Row],[Precio_unitario]]*(1-TablaVentas[[#This Row],[Descuento_pct]]))</f>
        <v>8003.94</v>
      </c>
      <c r="P1695" s="6" t="n">
        <f aca="false">IF(TablaVentas[[#This Row],[Costo_unitario]]="","PENDIENTE",TablaVentas[[#This Row],[Unidades]]*TablaVentas[[#This Row],[Costo_unitario]])</f>
        <v>6799</v>
      </c>
      <c r="Q1695" s="6" t="n">
        <f aca="false">IF(OR(TablaVentas[[#This Row],[Ingreso_neto]]="PENDIENTE",TablaVentas[[#This Row],[Costo_total]]="PENDIENTE"),"PENDIENTE",TablaVentas[[#This Row],[Ingreso_neto]]-TablaVentas[[#This Row],[Costo_total]])</f>
        <v>1204.94</v>
      </c>
    </row>
    <row r="1696" customFormat="false" ht="13.5" hidden="false" customHeight="false" outlineLevel="0" collapsed="false">
      <c r="A1696" s="1" t="s">
        <v>1121</v>
      </c>
      <c r="B1696" s="1" t="n">
        <v>2</v>
      </c>
      <c r="C1696" s="5" t="n">
        <v>46269</v>
      </c>
      <c r="D1696" s="6" t="s">
        <v>221</v>
      </c>
      <c r="E1696" s="6" t="s">
        <v>410</v>
      </c>
      <c r="F1696" s="6" t="s">
        <v>63</v>
      </c>
      <c r="G1696" s="6" t="s">
        <v>57</v>
      </c>
      <c r="H1696" s="6" t="s">
        <v>65</v>
      </c>
      <c r="I1696" s="1" t="n">
        <v>1</v>
      </c>
      <c r="J1696" s="7" t="n">
        <v>2662.21</v>
      </c>
      <c r="K1696" s="8" t="n">
        <v>0.15</v>
      </c>
      <c r="L1696" s="7" t="n">
        <v>1801.83</v>
      </c>
      <c r="M1696" s="6" t="s">
        <v>49</v>
      </c>
      <c r="N1696" s="6" t="s">
        <v>59</v>
      </c>
      <c r="O1696" s="6" t="n">
        <f aca="false">IF(TablaVentas[[#This Row],[Precio_unitario]]="","PENDIENTE",TablaVentas[[#This Row],[Unidades]]*TablaVentas[[#This Row],[Precio_unitario]]*(1-TablaVentas[[#This Row],[Descuento_pct]]))</f>
        <v>2262.8785</v>
      </c>
      <c r="P1696" s="6" t="n">
        <f aca="false">IF(TablaVentas[[#This Row],[Costo_unitario]]="","PENDIENTE",TablaVentas[[#This Row],[Unidades]]*TablaVentas[[#This Row],[Costo_unitario]])</f>
        <v>1801.83</v>
      </c>
      <c r="Q1696" s="6" t="n">
        <f aca="false">IF(OR(TablaVentas[[#This Row],[Ingreso_neto]]="PENDIENTE",TablaVentas[[#This Row],[Costo_total]]="PENDIENTE"),"PENDIENTE",TablaVentas[[#This Row],[Ingreso_neto]]-TablaVentas[[#This Row],[Costo_total]])</f>
        <v>461.0485</v>
      </c>
    </row>
    <row r="1697" customFormat="false" ht="13.5" hidden="false" customHeight="false" outlineLevel="0" collapsed="false">
      <c r="A1697" s="1" t="s">
        <v>1121</v>
      </c>
      <c r="B1697" s="1" t="n">
        <v>3</v>
      </c>
      <c r="C1697" s="5" t="n">
        <v>46269</v>
      </c>
      <c r="D1697" s="6" t="s">
        <v>221</v>
      </c>
      <c r="E1697" s="6" t="s">
        <v>51</v>
      </c>
      <c r="F1697" s="6" t="s">
        <v>63</v>
      </c>
      <c r="G1697" s="6" t="s">
        <v>57</v>
      </c>
      <c r="H1697" s="6" t="s">
        <v>65</v>
      </c>
      <c r="I1697" s="1" t="n">
        <v>2</v>
      </c>
      <c r="J1697" s="7" t="n">
        <v>13569.95</v>
      </c>
      <c r="K1697" s="8" t="n">
        <v>0.05</v>
      </c>
      <c r="L1697" s="7" t="n">
        <v>8980.68</v>
      </c>
      <c r="M1697" s="6" t="s">
        <v>49</v>
      </c>
      <c r="N1697" s="6" t="s">
        <v>67</v>
      </c>
      <c r="O1697" s="6" t="n">
        <f aca="false">IF(TablaVentas[[#This Row],[Precio_unitario]]="","PENDIENTE",TablaVentas[[#This Row],[Unidades]]*TablaVentas[[#This Row],[Precio_unitario]]*(1-TablaVentas[[#This Row],[Descuento_pct]]))</f>
        <v>25782.905</v>
      </c>
      <c r="P1697" s="6" t="n">
        <f aca="false">IF(TablaVentas[[#This Row],[Costo_unitario]]="","PENDIENTE",TablaVentas[[#This Row],[Unidades]]*TablaVentas[[#This Row],[Costo_unitario]])</f>
        <v>17961.36</v>
      </c>
      <c r="Q1697" s="6" t="n">
        <f aca="false">IF(OR(TablaVentas[[#This Row],[Ingreso_neto]]="PENDIENTE",TablaVentas[[#This Row],[Costo_total]]="PENDIENTE"),"PENDIENTE",TablaVentas[[#This Row],[Ingreso_neto]]-TablaVentas[[#This Row],[Costo_total]])</f>
        <v>7821.545</v>
      </c>
    </row>
    <row r="1698" customFormat="false" ht="13.5" hidden="false" customHeight="false" outlineLevel="0" collapsed="false">
      <c r="A1698" s="1" t="s">
        <v>1122</v>
      </c>
      <c r="B1698" s="1" t="n">
        <v>1</v>
      </c>
      <c r="C1698" s="5" t="n">
        <v>46270</v>
      </c>
      <c r="D1698" s="6" t="s">
        <v>491</v>
      </c>
      <c r="E1698" s="6" t="s">
        <v>342</v>
      </c>
      <c r="F1698" s="6" t="s">
        <v>73</v>
      </c>
      <c r="G1698" s="6" t="s">
        <v>47</v>
      </c>
      <c r="H1698" s="6" t="s">
        <v>131</v>
      </c>
      <c r="I1698" s="1" t="n">
        <v>2</v>
      </c>
      <c r="J1698" s="7" t="n">
        <v>6815.58</v>
      </c>
      <c r="K1698" s="8" t="n">
        <v>0.2</v>
      </c>
      <c r="L1698" s="7" t="n">
        <v>5587.31</v>
      </c>
      <c r="M1698" s="6" t="s">
        <v>49</v>
      </c>
      <c r="N1698" s="6" t="s">
        <v>52</v>
      </c>
      <c r="O1698" s="6" t="n">
        <f aca="false">IF(TablaVentas[[#This Row],[Precio_unitario]]="","PENDIENTE",TablaVentas[[#This Row],[Unidades]]*TablaVentas[[#This Row],[Precio_unitario]]*(1-TablaVentas[[#This Row],[Descuento_pct]]))</f>
        <v>10904.928</v>
      </c>
      <c r="P1698" s="6" t="n">
        <f aca="false">IF(TablaVentas[[#This Row],[Costo_unitario]]="","PENDIENTE",TablaVentas[[#This Row],[Unidades]]*TablaVentas[[#This Row],[Costo_unitario]])</f>
        <v>11174.62</v>
      </c>
      <c r="Q1698" s="6" t="n">
        <f aca="false">IF(OR(TablaVentas[[#This Row],[Ingreso_neto]]="PENDIENTE",TablaVentas[[#This Row],[Costo_total]]="PENDIENTE"),"PENDIENTE",TablaVentas[[#This Row],[Ingreso_neto]]-TablaVentas[[#This Row],[Costo_total]])</f>
        <v>-269.692000000001</v>
      </c>
    </row>
    <row r="1699" customFormat="false" ht="13.5" hidden="false" customHeight="false" outlineLevel="0" collapsed="false">
      <c r="A1699" s="1" t="s">
        <v>1123</v>
      </c>
      <c r="B1699" s="1" t="n">
        <v>1</v>
      </c>
      <c r="C1699" s="5" t="n">
        <v>46055</v>
      </c>
      <c r="D1699" s="6" t="s">
        <v>640</v>
      </c>
      <c r="E1699" s="6" t="s">
        <v>360</v>
      </c>
      <c r="F1699" s="6" t="s">
        <v>84</v>
      </c>
      <c r="G1699" s="6" t="s">
        <v>57</v>
      </c>
      <c r="H1699" s="6" t="s">
        <v>58</v>
      </c>
      <c r="I1699" s="1" t="n">
        <v>1</v>
      </c>
      <c r="J1699" s="7" t="n">
        <v>2327.92</v>
      </c>
      <c r="K1699" s="8" t="n">
        <v>0.1</v>
      </c>
      <c r="L1699" s="7" t="n">
        <v>1479.71</v>
      </c>
      <c r="M1699" s="6" t="s">
        <v>49</v>
      </c>
      <c r="N1699" s="6" t="s">
        <v>67</v>
      </c>
      <c r="O1699" s="6" t="n">
        <f aca="false">IF(TablaVentas[[#This Row],[Precio_unitario]]="","PENDIENTE",TablaVentas[[#This Row],[Unidades]]*TablaVentas[[#This Row],[Precio_unitario]]*(1-TablaVentas[[#This Row],[Descuento_pct]]))</f>
        <v>2095.128</v>
      </c>
      <c r="P1699" s="6" t="n">
        <f aca="false">IF(TablaVentas[[#This Row],[Costo_unitario]]="","PENDIENTE",TablaVentas[[#This Row],[Unidades]]*TablaVentas[[#This Row],[Costo_unitario]])</f>
        <v>1479.71</v>
      </c>
      <c r="Q1699" s="6" t="n">
        <f aca="false">IF(OR(TablaVentas[[#This Row],[Ingreso_neto]]="PENDIENTE",TablaVentas[[#This Row],[Costo_total]]="PENDIENTE"),"PENDIENTE",TablaVentas[[#This Row],[Ingreso_neto]]-TablaVentas[[#This Row],[Costo_total]])</f>
        <v>615.418</v>
      </c>
    </row>
    <row r="1700" customFormat="false" ht="13.5" hidden="false" customHeight="false" outlineLevel="0" collapsed="false">
      <c r="A1700" s="1" t="s">
        <v>1124</v>
      </c>
      <c r="B1700" s="1" t="n">
        <v>1</v>
      </c>
      <c r="C1700" s="5" t="n">
        <v>46097</v>
      </c>
      <c r="D1700" s="6" t="s">
        <v>1077</v>
      </c>
      <c r="E1700" s="6" t="s">
        <v>230</v>
      </c>
      <c r="F1700" s="6" t="s">
        <v>73</v>
      </c>
      <c r="G1700" s="6" t="s">
        <v>57</v>
      </c>
      <c r="H1700" s="6" t="s">
        <v>74</v>
      </c>
      <c r="I1700" s="1" t="n">
        <v>1</v>
      </c>
      <c r="J1700" s="7" t="n">
        <v>6694.56</v>
      </c>
      <c r="K1700" s="8" t="n">
        <v>0.15</v>
      </c>
      <c r="L1700" s="7" t="n">
        <v>3298.19</v>
      </c>
      <c r="M1700" s="6" t="s">
        <v>49</v>
      </c>
      <c r="N1700" s="6" t="s">
        <v>67</v>
      </c>
      <c r="O1700" s="6" t="n">
        <f aca="false">IF(TablaVentas[[#This Row],[Precio_unitario]]="","PENDIENTE",TablaVentas[[#This Row],[Unidades]]*TablaVentas[[#This Row],[Precio_unitario]]*(1-TablaVentas[[#This Row],[Descuento_pct]]))</f>
        <v>5690.376</v>
      </c>
      <c r="P1700" s="6" t="n">
        <f aca="false">IF(TablaVentas[[#This Row],[Costo_unitario]]="","PENDIENTE",TablaVentas[[#This Row],[Unidades]]*TablaVentas[[#This Row],[Costo_unitario]])</f>
        <v>3298.19</v>
      </c>
      <c r="Q1700" s="6" t="n">
        <f aca="false">IF(OR(TablaVentas[[#This Row],[Ingreso_neto]]="PENDIENTE",TablaVentas[[#This Row],[Costo_total]]="PENDIENTE"),"PENDIENTE",TablaVentas[[#This Row],[Ingreso_neto]]-TablaVentas[[#This Row],[Costo_total]])</f>
        <v>2392.186</v>
      </c>
    </row>
    <row r="1701" customFormat="false" ht="13.5" hidden="false" customHeight="false" outlineLevel="0" collapsed="false">
      <c r="A1701" s="1" t="s">
        <v>1124</v>
      </c>
      <c r="B1701" s="1" t="n">
        <v>2</v>
      </c>
      <c r="C1701" s="5" t="n">
        <v>46097</v>
      </c>
      <c r="D1701" s="6" t="s">
        <v>1077</v>
      </c>
      <c r="E1701" s="6" t="s">
        <v>342</v>
      </c>
      <c r="F1701" s="6" t="s">
        <v>73</v>
      </c>
      <c r="G1701" s="6" t="s">
        <v>57</v>
      </c>
      <c r="H1701" s="6" t="s">
        <v>74</v>
      </c>
      <c r="I1701" s="1" t="n">
        <v>4</v>
      </c>
      <c r="J1701" s="7" t="n">
        <v>7647</v>
      </c>
      <c r="K1701" s="8" t="n">
        <v>0</v>
      </c>
      <c r="L1701" s="7" t="n">
        <v>5587.31</v>
      </c>
      <c r="M1701" s="6" t="s">
        <v>49</v>
      </c>
      <c r="N1701" s="6" t="s">
        <v>52</v>
      </c>
      <c r="O1701" s="6" t="n">
        <f aca="false">IF(TablaVentas[[#This Row],[Precio_unitario]]="","PENDIENTE",TablaVentas[[#This Row],[Unidades]]*TablaVentas[[#This Row],[Precio_unitario]]*(1-TablaVentas[[#This Row],[Descuento_pct]]))</f>
        <v>30588</v>
      </c>
      <c r="P1701" s="6" t="n">
        <f aca="false">IF(TablaVentas[[#This Row],[Costo_unitario]]="","PENDIENTE",TablaVentas[[#This Row],[Unidades]]*TablaVentas[[#This Row],[Costo_unitario]])</f>
        <v>22349.24</v>
      </c>
      <c r="Q1701" s="6" t="n">
        <f aca="false">IF(OR(TablaVentas[[#This Row],[Ingreso_neto]]="PENDIENTE",TablaVentas[[#This Row],[Costo_total]]="PENDIENTE"),"PENDIENTE",TablaVentas[[#This Row],[Ingreso_neto]]-TablaVentas[[#This Row],[Costo_total]])</f>
        <v>8238.76</v>
      </c>
    </row>
    <row r="1702" customFormat="false" ht="13.5" hidden="false" customHeight="false" outlineLevel="0" collapsed="false">
      <c r="A1702" s="1" t="s">
        <v>1124</v>
      </c>
      <c r="B1702" s="1" t="n">
        <v>3</v>
      </c>
      <c r="C1702" s="5" t="n">
        <v>46097</v>
      </c>
      <c r="D1702" s="6" t="s">
        <v>1077</v>
      </c>
      <c r="E1702" s="6" t="s">
        <v>327</v>
      </c>
      <c r="F1702" s="6" t="s">
        <v>73</v>
      </c>
      <c r="G1702" s="6" t="s">
        <v>57</v>
      </c>
      <c r="H1702" s="6" t="s">
        <v>74</v>
      </c>
      <c r="I1702" s="1" t="n">
        <v>3</v>
      </c>
      <c r="J1702" s="7" t="n">
        <v>5067.94</v>
      </c>
      <c r="K1702" s="8" t="n">
        <v>0</v>
      </c>
      <c r="L1702" s="7" t="n">
        <v>3065.66</v>
      </c>
      <c r="M1702" s="6" t="s">
        <v>123</v>
      </c>
      <c r="N1702" s="6" t="s">
        <v>50</v>
      </c>
      <c r="O1702" s="6" t="n">
        <f aca="false">IF(TablaVentas[[#This Row],[Precio_unitario]]="","PENDIENTE",TablaVentas[[#This Row],[Unidades]]*TablaVentas[[#This Row],[Precio_unitario]]*(1-TablaVentas[[#This Row],[Descuento_pct]]))</f>
        <v>15203.82</v>
      </c>
      <c r="P1702" s="6" t="n">
        <f aca="false">IF(TablaVentas[[#This Row],[Costo_unitario]]="","PENDIENTE",TablaVentas[[#This Row],[Unidades]]*TablaVentas[[#This Row],[Costo_unitario]])</f>
        <v>9196.98</v>
      </c>
      <c r="Q1702" s="6" t="n">
        <f aca="false">IF(OR(TablaVentas[[#This Row],[Ingreso_neto]]="PENDIENTE",TablaVentas[[#This Row],[Costo_total]]="PENDIENTE"),"PENDIENTE",TablaVentas[[#This Row],[Ingreso_neto]]-TablaVentas[[#This Row],[Costo_total]])</f>
        <v>6006.84</v>
      </c>
    </row>
    <row r="1703" customFormat="false" ht="13.5" hidden="false" customHeight="false" outlineLevel="0" collapsed="false">
      <c r="A1703" s="1" t="s">
        <v>1124</v>
      </c>
      <c r="B1703" s="1" t="n">
        <v>4</v>
      </c>
      <c r="C1703" s="5" t="n">
        <v>46097</v>
      </c>
      <c r="D1703" s="6" t="s">
        <v>1077</v>
      </c>
      <c r="E1703" s="6" t="s">
        <v>72</v>
      </c>
      <c r="F1703" s="6" t="s">
        <v>73</v>
      </c>
      <c r="G1703" s="6" t="s">
        <v>57</v>
      </c>
      <c r="H1703" s="6" t="s">
        <v>74</v>
      </c>
      <c r="I1703" s="1" t="n">
        <v>2</v>
      </c>
      <c r="J1703" s="7" t="n">
        <v>11349.72</v>
      </c>
      <c r="K1703" s="8" t="n">
        <v>0.85</v>
      </c>
      <c r="L1703" s="7" t="n">
        <v>7328.02</v>
      </c>
      <c r="M1703" s="6" t="s">
        <v>49</v>
      </c>
      <c r="N1703" s="6" t="s">
        <v>52</v>
      </c>
      <c r="O1703" s="6" t="n">
        <f aca="false">IF(TablaVentas[[#This Row],[Precio_unitario]]="","PENDIENTE",TablaVentas[[#This Row],[Unidades]]*TablaVentas[[#This Row],[Precio_unitario]]*(1-TablaVentas[[#This Row],[Descuento_pct]]))</f>
        <v>3404.916</v>
      </c>
      <c r="P1703" s="6" t="n">
        <f aca="false">IF(TablaVentas[[#This Row],[Costo_unitario]]="","PENDIENTE",TablaVentas[[#This Row],[Unidades]]*TablaVentas[[#This Row],[Costo_unitario]])</f>
        <v>14656.04</v>
      </c>
      <c r="Q1703" s="6" t="n">
        <f aca="false">IF(OR(TablaVentas[[#This Row],[Ingreso_neto]]="PENDIENTE",TablaVentas[[#This Row],[Costo_total]]="PENDIENTE"),"PENDIENTE",TablaVentas[[#This Row],[Ingreso_neto]]-TablaVentas[[#This Row],[Costo_total]])</f>
        <v>-11251.124</v>
      </c>
      <c r="R1703" s="6" t="s">
        <v>1125</v>
      </c>
    </row>
    <row r="1704" customFormat="false" ht="13.5" hidden="false" customHeight="false" outlineLevel="0" collapsed="false">
      <c r="A1704" s="1" t="s">
        <v>1126</v>
      </c>
      <c r="B1704" s="1" t="n">
        <v>1</v>
      </c>
      <c r="C1704" s="5" t="n">
        <v>46102</v>
      </c>
      <c r="D1704" s="6" t="s">
        <v>1127</v>
      </c>
      <c r="E1704" s="6" t="s">
        <v>240</v>
      </c>
      <c r="F1704" s="6" t="s">
        <v>73</v>
      </c>
      <c r="G1704" s="6" t="s">
        <v>47</v>
      </c>
      <c r="H1704" s="6" t="s">
        <v>74</v>
      </c>
      <c r="I1704" s="1" t="n">
        <v>2</v>
      </c>
      <c r="J1704" s="7" t="n">
        <v>9787.67</v>
      </c>
      <c r="K1704" s="8" t="n">
        <v>0</v>
      </c>
      <c r="L1704" s="7" t="n">
        <v>5932.12</v>
      </c>
      <c r="M1704" s="6" t="s">
        <v>49</v>
      </c>
      <c r="N1704" s="6" t="s">
        <v>50</v>
      </c>
      <c r="O1704" s="6" t="n">
        <f aca="false">IF(TablaVentas[[#This Row],[Precio_unitario]]="","PENDIENTE",TablaVentas[[#This Row],[Unidades]]*TablaVentas[[#This Row],[Precio_unitario]]*(1-TablaVentas[[#This Row],[Descuento_pct]]))</f>
        <v>19575.34</v>
      </c>
      <c r="P1704" s="6" t="n">
        <f aca="false">IF(TablaVentas[[#This Row],[Costo_unitario]]="","PENDIENTE",TablaVentas[[#This Row],[Unidades]]*TablaVentas[[#This Row],[Costo_unitario]])</f>
        <v>11864.24</v>
      </c>
      <c r="Q1704" s="6" t="n">
        <f aca="false">IF(OR(TablaVentas[[#This Row],[Ingreso_neto]]="PENDIENTE",TablaVentas[[#This Row],[Costo_total]]="PENDIENTE"),"PENDIENTE",TablaVentas[[#This Row],[Ingreso_neto]]-TablaVentas[[#This Row],[Costo_total]])</f>
        <v>7711.1</v>
      </c>
    </row>
    <row r="1705" customFormat="false" ht="13.5" hidden="false" customHeight="false" outlineLevel="0" collapsed="false">
      <c r="A1705" s="1" t="s">
        <v>1126</v>
      </c>
      <c r="B1705" s="1" t="n">
        <v>2</v>
      </c>
      <c r="C1705" s="5" t="n">
        <v>46102</v>
      </c>
      <c r="D1705" s="6" t="s">
        <v>1127</v>
      </c>
      <c r="E1705" s="6" t="s">
        <v>174</v>
      </c>
      <c r="F1705" s="6" t="s">
        <v>73</v>
      </c>
      <c r="G1705" s="6" t="s">
        <v>47</v>
      </c>
      <c r="H1705" s="6" t="s">
        <v>74</v>
      </c>
      <c r="I1705" s="1" t="n">
        <v>1</v>
      </c>
      <c r="J1705" s="7" t="n">
        <v>18066.69</v>
      </c>
      <c r="K1705" s="8" t="n">
        <v>0.15</v>
      </c>
      <c r="L1705" s="7" t="n">
        <v>8704.4</v>
      </c>
      <c r="M1705" s="6" t="s">
        <v>49</v>
      </c>
      <c r="N1705" s="6" t="s">
        <v>59</v>
      </c>
      <c r="O1705" s="6" t="n">
        <f aca="false">IF(TablaVentas[[#This Row],[Precio_unitario]]="","PENDIENTE",TablaVentas[[#This Row],[Unidades]]*TablaVentas[[#This Row],[Precio_unitario]]*(1-TablaVentas[[#This Row],[Descuento_pct]]))</f>
        <v>15356.6865</v>
      </c>
      <c r="P1705" s="6" t="n">
        <f aca="false">IF(TablaVentas[[#This Row],[Costo_unitario]]="","PENDIENTE",TablaVentas[[#This Row],[Unidades]]*TablaVentas[[#This Row],[Costo_unitario]])</f>
        <v>8704.4</v>
      </c>
      <c r="Q1705" s="6" t="n">
        <f aca="false">IF(OR(TablaVentas[[#This Row],[Ingreso_neto]]="PENDIENTE",TablaVentas[[#This Row],[Costo_total]]="PENDIENTE"),"PENDIENTE",TablaVentas[[#This Row],[Ingreso_neto]]-TablaVentas[[#This Row],[Costo_total]])</f>
        <v>6652.2865</v>
      </c>
    </row>
    <row r="1706" customFormat="false" ht="13.5" hidden="false" customHeight="false" outlineLevel="0" collapsed="false">
      <c r="A1706" s="1" t="s">
        <v>1126</v>
      </c>
      <c r="B1706" s="1" t="n">
        <v>3</v>
      </c>
      <c r="C1706" s="5" t="n">
        <v>46102</v>
      </c>
      <c r="D1706" s="6" t="s">
        <v>1127</v>
      </c>
      <c r="E1706" s="6" t="s">
        <v>342</v>
      </c>
      <c r="F1706" s="6" t="s">
        <v>73</v>
      </c>
      <c r="G1706" s="6" t="s">
        <v>47</v>
      </c>
      <c r="H1706" s="6" t="s">
        <v>74</v>
      </c>
      <c r="I1706" s="1" t="n">
        <v>8</v>
      </c>
      <c r="J1706" s="7" t="n">
        <v>6852.03</v>
      </c>
      <c r="K1706" s="8" t="n">
        <v>0</v>
      </c>
      <c r="L1706" s="7" t="n">
        <v>5587.31</v>
      </c>
      <c r="M1706" s="6" t="s">
        <v>49</v>
      </c>
      <c r="N1706" s="6" t="s">
        <v>59</v>
      </c>
      <c r="O1706" s="6" t="n">
        <f aca="false">IF(TablaVentas[[#This Row],[Precio_unitario]]="","PENDIENTE",TablaVentas[[#This Row],[Unidades]]*TablaVentas[[#This Row],[Precio_unitario]]*(1-TablaVentas[[#This Row],[Descuento_pct]]))</f>
        <v>54816.24</v>
      </c>
      <c r="P1706" s="6" t="n">
        <f aca="false">IF(TablaVentas[[#This Row],[Costo_unitario]]="","PENDIENTE",TablaVentas[[#This Row],[Unidades]]*TablaVentas[[#This Row],[Costo_unitario]])</f>
        <v>44698.48</v>
      </c>
      <c r="Q1706" s="6" t="n">
        <f aca="false">IF(OR(TablaVentas[[#This Row],[Ingreso_neto]]="PENDIENTE",TablaVentas[[#This Row],[Costo_total]]="PENDIENTE"),"PENDIENTE",TablaVentas[[#This Row],[Ingreso_neto]]-TablaVentas[[#This Row],[Costo_total]])</f>
        <v>10117.76</v>
      </c>
    </row>
    <row r="1707" customFormat="false" ht="13.5" hidden="false" customHeight="false" outlineLevel="0" collapsed="false">
      <c r="A1707" s="1" t="s">
        <v>1126</v>
      </c>
      <c r="B1707" s="1" t="n">
        <v>4</v>
      </c>
      <c r="C1707" s="5" t="n">
        <v>46102</v>
      </c>
      <c r="D1707" s="6" t="s">
        <v>1127</v>
      </c>
      <c r="E1707" s="6" t="s">
        <v>187</v>
      </c>
      <c r="F1707" s="6" t="s">
        <v>73</v>
      </c>
      <c r="G1707" s="6" t="s">
        <v>47</v>
      </c>
      <c r="H1707" s="6" t="s">
        <v>74</v>
      </c>
      <c r="I1707" s="1" t="n">
        <v>2</v>
      </c>
      <c r="J1707" s="7" t="n">
        <v>6000.05</v>
      </c>
      <c r="K1707" s="8" t="n">
        <v>0.15</v>
      </c>
      <c r="L1707" s="7" t="n">
        <v>3824.92</v>
      </c>
      <c r="M1707" s="6" t="s">
        <v>49</v>
      </c>
      <c r="N1707" s="6" t="s">
        <v>59</v>
      </c>
      <c r="O1707" s="6" t="n">
        <f aca="false">IF(TablaVentas[[#This Row],[Precio_unitario]]="","PENDIENTE",TablaVentas[[#This Row],[Unidades]]*TablaVentas[[#This Row],[Precio_unitario]]*(1-TablaVentas[[#This Row],[Descuento_pct]]))</f>
        <v>10200.085</v>
      </c>
      <c r="P1707" s="6" t="n">
        <f aca="false">IF(TablaVentas[[#This Row],[Costo_unitario]]="","PENDIENTE",TablaVentas[[#This Row],[Unidades]]*TablaVentas[[#This Row],[Costo_unitario]])</f>
        <v>7649.84</v>
      </c>
      <c r="Q1707" s="6" t="n">
        <f aca="false">IF(OR(TablaVentas[[#This Row],[Ingreso_neto]]="PENDIENTE",TablaVentas[[#This Row],[Costo_total]]="PENDIENTE"),"PENDIENTE",TablaVentas[[#This Row],[Ingreso_neto]]-TablaVentas[[#This Row],[Costo_total]])</f>
        <v>2550.245</v>
      </c>
    </row>
    <row r="1708" customFormat="false" ht="13.5" hidden="false" customHeight="false" outlineLevel="0" collapsed="false">
      <c r="A1708" s="1" t="s">
        <v>1128</v>
      </c>
      <c r="B1708" s="1" t="n">
        <v>1</v>
      </c>
      <c r="C1708" s="5" t="n">
        <v>46162</v>
      </c>
      <c r="D1708" s="6" t="s">
        <v>227</v>
      </c>
      <c r="E1708" s="6" t="s">
        <v>300</v>
      </c>
      <c r="F1708" s="6" t="s">
        <v>84</v>
      </c>
      <c r="G1708" s="6" t="s">
        <v>64</v>
      </c>
      <c r="H1708" s="6" t="s">
        <v>109</v>
      </c>
      <c r="I1708" s="1" t="n">
        <v>1</v>
      </c>
      <c r="J1708" s="7" t="n">
        <v>1167.46</v>
      </c>
      <c r="K1708" s="8" t="n">
        <v>0.15</v>
      </c>
      <c r="L1708" s="7" t="n">
        <v>936.52</v>
      </c>
      <c r="M1708" s="6" t="s">
        <v>49</v>
      </c>
      <c r="N1708" s="6" t="s">
        <v>67</v>
      </c>
      <c r="O1708" s="6" t="n">
        <f aca="false">IF(TablaVentas[[#This Row],[Precio_unitario]]="","PENDIENTE",TablaVentas[[#This Row],[Unidades]]*TablaVentas[[#This Row],[Precio_unitario]]*(1-TablaVentas[[#This Row],[Descuento_pct]]))</f>
        <v>992.341</v>
      </c>
      <c r="P1708" s="6" t="n">
        <f aca="false">IF(TablaVentas[[#This Row],[Costo_unitario]]="","PENDIENTE",TablaVentas[[#This Row],[Unidades]]*TablaVentas[[#This Row],[Costo_unitario]])</f>
        <v>936.52</v>
      </c>
      <c r="Q1708" s="6" t="n">
        <f aca="false">IF(OR(TablaVentas[[#This Row],[Ingreso_neto]]="PENDIENTE",TablaVentas[[#This Row],[Costo_total]]="PENDIENTE"),"PENDIENTE",TablaVentas[[#This Row],[Ingreso_neto]]-TablaVentas[[#This Row],[Costo_total]])</f>
        <v>55.821</v>
      </c>
    </row>
    <row r="1709" customFormat="false" ht="13.5" hidden="false" customHeight="false" outlineLevel="0" collapsed="false">
      <c r="A1709" s="1" t="s">
        <v>1128</v>
      </c>
      <c r="B1709" s="1" t="n">
        <v>2</v>
      </c>
      <c r="C1709" s="5" t="n">
        <v>46162</v>
      </c>
      <c r="D1709" s="6" t="s">
        <v>227</v>
      </c>
      <c r="E1709" s="6" t="s">
        <v>218</v>
      </c>
      <c r="F1709" s="6" t="s">
        <v>84</v>
      </c>
      <c r="G1709" s="6" t="s">
        <v>64</v>
      </c>
      <c r="H1709" s="6" t="s">
        <v>109</v>
      </c>
      <c r="I1709" s="1" t="n">
        <v>1</v>
      </c>
      <c r="J1709" s="7" t="n">
        <v>18599.22</v>
      </c>
      <c r="K1709" s="8" t="n">
        <v>0</v>
      </c>
      <c r="L1709" s="7" t="n">
        <v>13760.53</v>
      </c>
      <c r="M1709" s="6" t="s">
        <v>49</v>
      </c>
      <c r="N1709" s="6" t="s">
        <v>67</v>
      </c>
      <c r="O1709" s="6" t="n">
        <f aca="false">IF(TablaVentas[[#This Row],[Precio_unitario]]="","PENDIENTE",TablaVentas[[#This Row],[Unidades]]*TablaVentas[[#This Row],[Precio_unitario]]*(1-TablaVentas[[#This Row],[Descuento_pct]]))</f>
        <v>18599.22</v>
      </c>
      <c r="P1709" s="6" t="n">
        <f aca="false">IF(TablaVentas[[#This Row],[Costo_unitario]]="","PENDIENTE",TablaVentas[[#This Row],[Unidades]]*TablaVentas[[#This Row],[Costo_unitario]])</f>
        <v>13760.53</v>
      </c>
      <c r="Q1709" s="6" t="n">
        <f aca="false">IF(OR(TablaVentas[[#This Row],[Ingreso_neto]]="PENDIENTE",TablaVentas[[#This Row],[Costo_total]]="PENDIENTE"),"PENDIENTE",TablaVentas[[#This Row],[Ingreso_neto]]-TablaVentas[[#This Row],[Costo_total]])</f>
        <v>4838.69</v>
      </c>
    </row>
    <row r="1710" customFormat="false" ht="13.5" hidden="false" customHeight="false" outlineLevel="0" collapsed="false">
      <c r="A1710" s="1" t="s">
        <v>1128</v>
      </c>
      <c r="B1710" s="1" t="n">
        <v>3</v>
      </c>
      <c r="C1710" s="5" t="n">
        <v>46162</v>
      </c>
      <c r="D1710" s="6" t="s">
        <v>227</v>
      </c>
      <c r="E1710" s="6" t="s">
        <v>151</v>
      </c>
      <c r="F1710" s="6" t="s">
        <v>84</v>
      </c>
      <c r="G1710" s="6" t="s">
        <v>64</v>
      </c>
      <c r="H1710" s="6" t="s">
        <v>109</v>
      </c>
      <c r="I1710" s="1" t="n">
        <v>2</v>
      </c>
      <c r="J1710" s="7" t="n">
        <v>8488.69</v>
      </c>
      <c r="K1710" s="8" t="n">
        <v>0</v>
      </c>
      <c r="L1710" s="7" t="n">
        <v>5125.36</v>
      </c>
      <c r="M1710" s="6" t="s">
        <v>49</v>
      </c>
      <c r="N1710" s="6" t="s">
        <v>52</v>
      </c>
      <c r="O1710" s="6" t="n">
        <f aca="false">IF(TablaVentas[[#This Row],[Precio_unitario]]="","PENDIENTE",TablaVentas[[#This Row],[Unidades]]*TablaVentas[[#This Row],[Precio_unitario]]*(1-TablaVentas[[#This Row],[Descuento_pct]]))</f>
        <v>16977.38</v>
      </c>
      <c r="P1710" s="6" t="n">
        <f aca="false">IF(TablaVentas[[#This Row],[Costo_unitario]]="","PENDIENTE",TablaVentas[[#This Row],[Unidades]]*TablaVentas[[#This Row],[Costo_unitario]])</f>
        <v>10250.72</v>
      </c>
      <c r="Q1710" s="6" t="n">
        <f aca="false">IF(OR(TablaVentas[[#This Row],[Ingreso_neto]]="PENDIENTE",TablaVentas[[#This Row],[Costo_total]]="PENDIENTE"),"PENDIENTE",TablaVentas[[#This Row],[Ingreso_neto]]-TablaVentas[[#This Row],[Costo_total]])</f>
        <v>6726.66</v>
      </c>
    </row>
    <row r="1711" customFormat="false" ht="13.5" hidden="false" customHeight="false" outlineLevel="0" collapsed="false">
      <c r="A1711" s="1" t="s">
        <v>1129</v>
      </c>
      <c r="B1711" s="1" t="n">
        <v>1</v>
      </c>
      <c r="C1711" s="5" t="n">
        <v>46235</v>
      </c>
      <c r="D1711" s="6" t="s">
        <v>499</v>
      </c>
      <c r="E1711" s="6" t="s">
        <v>192</v>
      </c>
      <c r="F1711" s="6" t="s">
        <v>73</v>
      </c>
      <c r="G1711" s="6" t="s">
        <v>64</v>
      </c>
      <c r="H1711" s="6" t="s">
        <v>109</v>
      </c>
      <c r="I1711" s="1" t="n">
        <v>2</v>
      </c>
      <c r="J1711" s="7" t="n">
        <v>18462.68</v>
      </c>
      <c r="K1711" s="8" t="n">
        <v>0.15</v>
      </c>
      <c r="L1711" s="7" t="n">
        <v>11904.09</v>
      </c>
      <c r="M1711" s="6" t="s">
        <v>49</v>
      </c>
      <c r="N1711" s="6" t="s">
        <v>59</v>
      </c>
      <c r="O1711" s="6" t="n">
        <f aca="false">IF(TablaVentas[[#This Row],[Precio_unitario]]="","PENDIENTE",TablaVentas[[#This Row],[Unidades]]*TablaVentas[[#This Row],[Precio_unitario]]*(1-TablaVentas[[#This Row],[Descuento_pct]]))</f>
        <v>31386.556</v>
      </c>
      <c r="P1711" s="6" t="n">
        <f aca="false">IF(TablaVentas[[#This Row],[Costo_unitario]]="","PENDIENTE",TablaVentas[[#This Row],[Unidades]]*TablaVentas[[#This Row],[Costo_unitario]])</f>
        <v>23808.18</v>
      </c>
      <c r="Q1711" s="6" t="n">
        <f aca="false">IF(OR(TablaVentas[[#This Row],[Ingreso_neto]]="PENDIENTE",TablaVentas[[#This Row],[Costo_total]]="PENDIENTE"),"PENDIENTE",TablaVentas[[#This Row],[Ingreso_neto]]-TablaVentas[[#This Row],[Costo_total]])</f>
        <v>7578.376</v>
      </c>
    </row>
    <row r="1712" customFormat="false" ht="13.5" hidden="false" customHeight="false" outlineLevel="0" collapsed="false">
      <c r="A1712" s="1" t="s">
        <v>1129</v>
      </c>
      <c r="B1712" s="1" t="n">
        <v>2</v>
      </c>
      <c r="C1712" s="5" t="n">
        <v>46235</v>
      </c>
      <c r="D1712" s="6" t="s">
        <v>499</v>
      </c>
      <c r="E1712" s="6" t="s">
        <v>174</v>
      </c>
      <c r="F1712" s="6" t="s">
        <v>73</v>
      </c>
      <c r="G1712" s="6" t="s">
        <v>64</v>
      </c>
      <c r="H1712" s="6" t="s">
        <v>109</v>
      </c>
      <c r="I1712" s="1" t="n">
        <v>2</v>
      </c>
      <c r="J1712" s="7" t="n">
        <v>17109.91</v>
      </c>
      <c r="K1712" s="8" t="n">
        <v>0</v>
      </c>
      <c r="L1712" s="7" t="n">
        <v>8704.4</v>
      </c>
      <c r="M1712" s="6" t="s">
        <v>49</v>
      </c>
      <c r="N1712" s="6" t="s">
        <v>52</v>
      </c>
      <c r="O1712" s="6" t="n">
        <f aca="false">IF(TablaVentas[[#This Row],[Precio_unitario]]="","PENDIENTE",TablaVentas[[#This Row],[Unidades]]*TablaVentas[[#This Row],[Precio_unitario]]*(1-TablaVentas[[#This Row],[Descuento_pct]]))</f>
        <v>34219.82</v>
      </c>
      <c r="P1712" s="6" t="n">
        <f aca="false">IF(TablaVentas[[#This Row],[Costo_unitario]]="","PENDIENTE",TablaVentas[[#This Row],[Unidades]]*TablaVentas[[#This Row],[Costo_unitario]])</f>
        <v>17408.8</v>
      </c>
      <c r="Q1712" s="6" t="n">
        <f aca="false">IF(OR(TablaVentas[[#This Row],[Ingreso_neto]]="PENDIENTE",TablaVentas[[#This Row],[Costo_total]]="PENDIENTE"),"PENDIENTE",TablaVentas[[#This Row],[Ingreso_neto]]-TablaVentas[[#This Row],[Costo_total]])</f>
        <v>16811.02</v>
      </c>
    </row>
    <row r="1713" customFormat="false" ht="13.5" hidden="false" customHeight="false" outlineLevel="0" collapsed="false">
      <c r="A1713" s="1" t="s">
        <v>1130</v>
      </c>
      <c r="B1713" s="1" t="n">
        <v>1</v>
      </c>
      <c r="C1713" s="5" t="n">
        <v>46065</v>
      </c>
      <c r="D1713" s="6" t="s">
        <v>309</v>
      </c>
      <c r="E1713" s="6" t="s">
        <v>140</v>
      </c>
      <c r="F1713" s="6" t="s">
        <v>46</v>
      </c>
      <c r="G1713" s="6" t="s">
        <v>57</v>
      </c>
      <c r="H1713" s="6" t="s">
        <v>48</v>
      </c>
      <c r="I1713" s="1" t="n">
        <v>1</v>
      </c>
      <c r="J1713" s="7" t="n">
        <v>7847.18</v>
      </c>
      <c r="K1713" s="8" t="n">
        <v>0.2</v>
      </c>
      <c r="L1713" s="7" t="n">
        <v>4061.34</v>
      </c>
      <c r="M1713" s="6" t="s">
        <v>49</v>
      </c>
      <c r="N1713" s="6" t="s">
        <v>52</v>
      </c>
      <c r="O1713" s="6" t="n">
        <f aca="false">IF(TablaVentas[[#This Row],[Precio_unitario]]="","PENDIENTE",TablaVentas[[#This Row],[Unidades]]*TablaVentas[[#This Row],[Precio_unitario]]*(1-TablaVentas[[#This Row],[Descuento_pct]]))</f>
        <v>6277.744</v>
      </c>
      <c r="P1713" s="6" t="n">
        <f aca="false">IF(TablaVentas[[#This Row],[Costo_unitario]]="","PENDIENTE",TablaVentas[[#This Row],[Unidades]]*TablaVentas[[#This Row],[Costo_unitario]])</f>
        <v>4061.34</v>
      </c>
      <c r="Q1713" s="6" t="n">
        <f aca="false">IF(OR(TablaVentas[[#This Row],[Ingreso_neto]]="PENDIENTE",TablaVentas[[#This Row],[Costo_total]]="PENDIENTE"),"PENDIENTE",TablaVentas[[#This Row],[Ingreso_neto]]-TablaVentas[[#This Row],[Costo_total]])</f>
        <v>2216.404</v>
      </c>
    </row>
    <row r="1714" customFormat="false" ht="13.5" hidden="false" customHeight="false" outlineLevel="0" collapsed="false">
      <c r="A1714" s="1" t="s">
        <v>1130</v>
      </c>
      <c r="B1714" s="1" t="n">
        <v>2</v>
      </c>
      <c r="C1714" s="5" t="n">
        <v>46065</v>
      </c>
      <c r="D1714" s="6" t="s">
        <v>309</v>
      </c>
      <c r="E1714" s="6" t="s">
        <v>167</v>
      </c>
      <c r="F1714" s="6" t="s">
        <v>46</v>
      </c>
      <c r="G1714" s="6" t="s">
        <v>57</v>
      </c>
      <c r="H1714" s="6" t="s">
        <v>48</v>
      </c>
      <c r="I1714" s="1" t="n">
        <v>1</v>
      </c>
      <c r="J1714" s="7" t="n">
        <v>7265.6</v>
      </c>
      <c r="K1714" s="8" t="n">
        <v>0.1</v>
      </c>
      <c r="L1714" s="7" t="n">
        <v>4082.15</v>
      </c>
      <c r="M1714" s="6" t="s">
        <v>49</v>
      </c>
      <c r="N1714" s="6" t="s">
        <v>59</v>
      </c>
      <c r="O1714" s="6" t="n">
        <f aca="false">IF(TablaVentas[[#This Row],[Precio_unitario]]="","PENDIENTE",TablaVentas[[#This Row],[Unidades]]*TablaVentas[[#This Row],[Precio_unitario]]*(1-TablaVentas[[#This Row],[Descuento_pct]]))</f>
        <v>6539.04</v>
      </c>
      <c r="P1714" s="6" t="n">
        <f aca="false">IF(TablaVentas[[#This Row],[Costo_unitario]]="","PENDIENTE",TablaVentas[[#This Row],[Unidades]]*TablaVentas[[#This Row],[Costo_unitario]])</f>
        <v>4082.15</v>
      </c>
      <c r="Q1714" s="6" t="n">
        <f aca="false">IF(OR(TablaVentas[[#This Row],[Ingreso_neto]]="PENDIENTE",TablaVentas[[#This Row],[Costo_total]]="PENDIENTE"),"PENDIENTE",TablaVentas[[#This Row],[Ingreso_neto]]-TablaVentas[[#This Row],[Costo_total]])</f>
        <v>2456.89</v>
      </c>
    </row>
    <row r="1715" customFormat="false" ht="13.5" hidden="false" customHeight="false" outlineLevel="0" collapsed="false">
      <c r="A1715" s="1" t="s">
        <v>1130</v>
      </c>
      <c r="B1715" s="1" t="n">
        <v>3</v>
      </c>
      <c r="C1715" s="5" t="n">
        <v>46065</v>
      </c>
      <c r="D1715" s="6" t="s">
        <v>309</v>
      </c>
      <c r="E1715" s="6" t="s">
        <v>219</v>
      </c>
      <c r="F1715" s="6" t="s">
        <v>46</v>
      </c>
      <c r="G1715" s="6" t="s">
        <v>57</v>
      </c>
      <c r="H1715" s="6" t="s">
        <v>48</v>
      </c>
      <c r="I1715" s="1" t="n">
        <v>1</v>
      </c>
      <c r="J1715" s="7" t="n">
        <v>3604.49</v>
      </c>
      <c r="K1715" s="8" t="n">
        <v>0.2</v>
      </c>
      <c r="L1715" s="7" t="n">
        <v>2157.55</v>
      </c>
      <c r="M1715" s="6" t="s">
        <v>49</v>
      </c>
      <c r="N1715" s="6" t="s">
        <v>59</v>
      </c>
      <c r="O1715" s="6" t="n">
        <f aca="false">IF(TablaVentas[[#This Row],[Precio_unitario]]="","PENDIENTE",TablaVentas[[#This Row],[Unidades]]*TablaVentas[[#This Row],[Precio_unitario]]*(1-TablaVentas[[#This Row],[Descuento_pct]]))</f>
        <v>2883.592</v>
      </c>
      <c r="P1715" s="6" t="n">
        <f aca="false">IF(TablaVentas[[#This Row],[Costo_unitario]]="","PENDIENTE",TablaVentas[[#This Row],[Unidades]]*TablaVentas[[#This Row],[Costo_unitario]])</f>
        <v>2157.55</v>
      </c>
      <c r="Q1715" s="6" t="n">
        <f aca="false">IF(OR(TablaVentas[[#This Row],[Ingreso_neto]]="PENDIENTE",TablaVentas[[#This Row],[Costo_total]]="PENDIENTE"),"PENDIENTE",TablaVentas[[#This Row],[Ingreso_neto]]-TablaVentas[[#This Row],[Costo_total]])</f>
        <v>726.042</v>
      </c>
    </row>
    <row r="1716" customFormat="false" ht="13.5" hidden="false" customHeight="false" outlineLevel="0" collapsed="false">
      <c r="A1716" s="1" t="s">
        <v>1131</v>
      </c>
      <c r="B1716" s="1" t="n">
        <v>1</v>
      </c>
      <c r="C1716" s="5" t="n">
        <v>46258</v>
      </c>
      <c r="D1716" s="6" t="s">
        <v>351</v>
      </c>
      <c r="E1716" s="6" t="s">
        <v>113</v>
      </c>
      <c r="F1716" s="6" t="s">
        <v>84</v>
      </c>
      <c r="G1716" s="6" t="s">
        <v>47</v>
      </c>
      <c r="H1716" s="6" t="s">
        <v>109</v>
      </c>
      <c r="I1716" s="1" t="n">
        <v>4</v>
      </c>
      <c r="J1716" s="7" t="n">
        <v>10061.06</v>
      </c>
      <c r="K1716" s="8" t="n">
        <v>0.05</v>
      </c>
      <c r="L1716" s="7" t="n">
        <v>8276.74</v>
      </c>
      <c r="M1716" s="6" t="s">
        <v>49</v>
      </c>
      <c r="N1716" s="6" t="s">
        <v>52</v>
      </c>
      <c r="O1716" s="6" t="n">
        <f aca="false">IF(TablaVentas[[#This Row],[Precio_unitario]]="","PENDIENTE",TablaVentas[[#This Row],[Unidades]]*TablaVentas[[#This Row],[Precio_unitario]]*(1-TablaVentas[[#This Row],[Descuento_pct]]))</f>
        <v>38232.028</v>
      </c>
      <c r="P1716" s="6" t="n">
        <f aca="false">IF(TablaVentas[[#This Row],[Costo_unitario]]="","PENDIENTE",TablaVentas[[#This Row],[Unidades]]*TablaVentas[[#This Row],[Costo_unitario]])</f>
        <v>33106.96</v>
      </c>
      <c r="Q1716" s="6" t="n">
        <f aca="false">IF(OR(TablaVentas[[#This Row],[Ingreso_neto]]="PENDIENTE",TablaVentas[[#This Row],[Costo_total]]="PENDIENTE"),"PENDIENTE",TablaVentas[[#This Row],[Ingreso_neto]]-TablaVentas[[#This Row],[Costo_total]])</f>
        <v>5125.068</v>
      </c>
    </row>
    <row r="1717" customFormat="false" ht="13.5" hidden="false" customHeight="false" outlineLevel="0" collapsed="false">
      <c r="A1717" s="1" t="s">
        <v>1131</v>
      </c>
      <c r="B1717" s="1" t="n">
        <v>2</v>
      </c>
      <c r="C1717" s="5" t="n">
        <v>46258</v>
      </c>
      <c r="D1717" s="6" t="s">
        <v>351</v>
      </c>
      <c r="E1717" s="6" t="s">
        <v>146</v>
      </c>
      <c r="F1717" s="6" t="s">
        <v>84</v>
      </c>
      <c r="G1717" s="6" t="s">
        <v>47</v>
      </c>
      <c r="H1717" s="6" t="s">
        <v>109</v>
      </c>
      <c r="I1717" s="1" t="n">
        <v>1</v>
      </c>
      <c r="J1717" s="7" t="n">
        <v>9106.52</v>
      </c>
      <c r="K1717" s="8" t="n">
        <v>0</v>
      </c>
      <c r="L1717" s="7" t="n">
        <v>8002.16</v>
      </c>
      <c r="M1717" s="6" t="s">
        <v>49</v>
      </c>
      <c r="N1717" s="6" t="s">
        <v>50</v>
      </c>
      <c r="O1717" s="6" t="n">
        <f aca="false">IF(TablaVentas[[#This Row],[Precio_unitario]]="","PENDIENTE",TablaVentas[[#This Row],[Unidades]]*TablaVentas[[#This Row],[Precio_unitario]]*(1-TablaVentas[[#This Row],[Descuento_pct]]))</f>
        <v>9106.52</v>
      </c>
      <c r="P1717" s="6" t="n">
        <f aca="false">IF(TablaVentas[[#This Row],[Costo_unitario]]="","PENDIENTE",TablaVentas[[#This Row],[Unidades]]*TablaVentas[[#This Row],[Costo_unitario]])</f>
        <v>8002.16</v>
      </c>
      <c r="Q1717" s="6" t="n">
        <f aca="false">IF(OR(TablaVentas[[#This Row],[Ingreso_neto]]="PENDIENTE",TablaVentas[[#This Row],[Costo_total]]="PENDIENTE"),"PENDIENTE",TablaVentas[[#This Row],[Ingreso_neto]]-TablaVentas[[#This Row],[Costo_total]])</f>
        <v>1104.36</v>
      </c>
    </row>
    <row r="1718" customFormat="false" ht="13.5" hidden="false" customHeight="false" outlineLevel="0" collapsed="false">
      <c r="A1718" s="1" t="s">
        <v>1132</v>
      </c>
      <c r="B1718" s="1" t="n">
        <v>1</v>
      </c>
      <c r="C1718" s="5" t="n">
        <v>46115</v>
      </c>
      <c r="D1718" s="6" t="s">
        <v>157</v>
      </c>
      <c r="E1718" s="6" t="s">
        <v>240</v>
      </c>
      <c r="F1718" s="6" t="s">
        <v>46</v>
      </c>
      <c r="G1718" s="6" t="s">
        <v>47</v>
      </c>
      <c r="H1718" s="6" t="s">
        <v>80</v>
      </c>
      <c r="I1718" s="1" t="n">
        <v>2</v>
      </c>
      <c r="J1718" s="7" t="n">
        <v>9906.1</v>
      </c>
      <c r="K1718" s="8" t="n">
        <v>0</v>
      </c>
      <c r="L1718" s="7" t="n">
        <v>5932.12</v>
      </c>
      <c r="M1718" s="6" t="s">
        <v>123</v>
      </c>
      <c r="N1718" s="6" t="s">
        <v>67</v>
      </c>
      <c r="O1718" s="6" t="n">
        <f aca="false">IF(TablaVentas[[#This Row],[Precio_unitario]]="","PENDIENTE",TablaVentas[[#This Row],[Unidades]]*TablaVentas[[#This Row],[Precio_unitario]]*(1-TablaVentas[[#This Row],[Descuento_pct]]))</f>
        <v>19812.2</v>
      </c>
      <c r="P1718" s="6" t="n">
        <f aca="false">IF(TablaVentas[[#This Row],[Costo_unitario]]="","PENDIENTE",TablaVentas[[#This Row],[Unidades]]*TablaVentas[[#This Row],[Costo_unitario]])</f>
        <v>11864.24</v>
      </c>
      <c r="Q1718" s="6" t="n">
        <f aca="false">IF(OR(TablaVentas[[#This Row],[Ingreso_neto]]="PENDIENTE",TablaVentas[[#This Row],[Costo_total]]="PENDIENTE"),"PENDIENTE",TablaVentas[[#This Row],[Ingreso_neto]]-TablaVentas[[#This Row],[Costo_total]])</f>
        <v>7947.96</v>
      </c>
    </row>
    <row r="1719" customFormat="false" ht="13.5" hidden="false" customHeight="false" outlineLevel="0" collapsed="false">
      <c r="A1719" s="1" t="s">
        <v>1132</v>
      </c>
      <c r="B1719" s="1" t="n">
        <v>2</v>
      </c>
      <c r="C1719" s="5" t="n">
        <v>46115</v>
      </c>
      <c r="D1719" s="6" t="s">
        <v>157</v>
      </c>
      <c r="E1719" s="6" t="s">
        <v>260</v>
      </c>
      <c r="F1719" s="6" t="s">
        <v>46</v>
      </c>
      <c r="G1719" s="6" t="s">
        <v>47</v>
      </c>
      <c r="H1719" s="6" t="s">
        <v>80</v>
      </c>
      <c r="I1719" s="1" t="n">
        <v>8</v>
      </c>
      <c r="J1719" s="7" t="n">
        <v>2758.38</v>
      </c>
      <c r="K1719" s="8" t="n">
        <v>0</v>
      </c>
      <c r="L1719" s="7" t="n">
        <v>2486.18</v>
      </c>
      <c r="M1719" s="6" t="s">
        <v>49</v>
      </c>
      <c r="N1719" s="6" t="s">
        <v>67</v>
      </c>
      <c r="O1719" s="6" t="n">
        <f aca="false">IF(TablaVentas[[#This Row],[Precio_unitario]]="","PENDIENTE",TablaVentas[[#This Row],[Unidades]]*TablaVentas[[#This Row],[Precio_unitario]]*(1-TablaVentas[[#This Row],[Descuento_pct]]))</f>
        <v>22067.04</v>
      </c>
      <c r="P1719" s="6" t="n">
        <f aca="false">IF(TablaVentas[[#This Row],[Costo_unitario]]="","PENDIENTE",TablaVentas[[#This Row],[Unidades]]*TablaVentas[[#This Row],[Costo_unitario]])</f>
        <v>19889.44</v>
      </c>
      <c r="Q1719" s="6" t="n">
        <f aca="false">IF(OR(TablaVentas[[#This Row],[Ingreso_neto]]="PENDIENTE",TablaVentas[[#This Row],[Costo_total]]="PENDIENTE"),"PENDIENTE",TablaVentas[[#This Row],[Ingreso_neto]]-TablaVentas[[#This Row],[Costo_total]])</f>
        <v>2177.6</v>
      </c>
    </row>
    <row r="1720" customFormat="false" ht="13.5" hidden="false" customHeight="false" outlineLevel="0" collapsed="false">
      <c r="A1720" s="1" t="s">
        <v>1132</v>
      </c>
      <c r="B1720" s="1" t="n">
        <v>3</v>
      </c>
      <c r="C1720" s="5" t="n">
        <v>46115</v>
      </c>
      <c r="D1720" s="6" t="s">
        <v>157</v>
      </c>
      <c r="E1720" s="6" t="s">
        <v>120</v>
      </c>
      <c r="F1720" s="6" t="s">
        <v>46</v>
      </c>
      <c r="G1720" s="6" t="s">
        <v>47</v>
      </c>
      <c r="H1720" s="6" t="s">
        <v>80</v>
      </c>
      <c r="I1720" s="1" t="n">
        <v>1</v>
      </c>
      <c r="J1720" s="7" t="n">
        <v>2926.63</v>
      </c>
      <c r="K1720" s="8" t="n">
        <v>0</v>
      </c>
      <c r="L1720" s="7" t="n">
        <v>2196.34</v>
      </c>
      <c r="M1720" s="6" t="s">
        <v>49</v>
      </c>
      <c r="N1720" s="6" t="s">
        <v>50</v>
      </c>
      <c r="O1720" s="6" t="n">
        <f aca="false">IF(TablaVentas[[#This Row],[Precio_unitario]]="","PENDIENTE",TablaVentas[[#This Row],[Unidades]]*TablaVentas[[#This Row],[Precio_unitario]]*(1-TablaVentas[[#This Row],[Descuento_pct]]))</f>
        <v>2926.63</v>
      </c>
      <c r="P1720" s="6" t="n">
        <f aca="false">IF(TablaVentas[[#This Row],[Costo_unitario]]="","PENDIENTE",TablaVentas[[#This Row],[Unidades]]*TablaVentas[[#This Row],[Costo_unitario]])</f>
        <v>2196.34</v>
      </c>
      <c r="Q1720" s="6" t="n">
        <f aca="false">IF(OR(TablaVentas[[#This Row],[Ingreso_neto]]="PENDIENTE",TablaVentas[[#This Row],[Costo_total]]="PENDIENTE"),"PENDIENTE",TablaVentas[[#This Row],[Ingreso_neto]]-TablaVentas[[#This Row],[Costo_total]])</f>
        <v>730.29</v>
      </c>
    </row>
    <row r="1721" customFormat="false" ht="13.5" hidden="false" customHeight="false" outlineLevel="0" collapsed="false">
      <c r="A1721" s="1" t="s">
        <v>1133</v>
      </c>
      <c r="B1721" s="1" t="n">
        <v>1</v>
      </c>
      <c r="C1721" s="5" t="n">
        <v>46124</v>
      </c>
      <c r="D1721" s="6" t="s">
        <v>262</v>
      </c>
      <c r="E1721" s="6" t="s">
        <v>215</v>
      </c>
      <c r="F1721" s="6" t="s">
        <v>63</v>
      </c>
      <c r="G1721" s="6" t="s">
        <v>57</v>
      </c>
      <c r="H1721" s="6" t="s">
        <v>58</v>
      </c>
      <c r="I1721" s="1" t="n">
        <v>2</v>
      </c>
      <c r="J1721" s="7" t="n">
        <v>10651.57</v>
      </c>
      <c r="K1721" s="8" t="n">
        <v>0</v>
      </c>
      <c r="L1721" s="7" t="n">
        <v>5535.31</v>
      </c>
      <c r="M1721" s="6" t="s">
        <v>49</v>
      </c>
      <c r="N1721" s="6" t="s">
        <v>50</v>
      </c>
      <c r="O1721" s="6" t="n">
        <f aca="false">IF(TablaVentas[[#This Row],[Precio_unitario]]="","PENDIENTE",TablaVentas[[#This Row],[Unidades]]*TablaVentas[[#This Row],[Precio_unitario]]*(1-TablaVentas[[#This Row],[Descuento_pct]]))</f>
        <v>21303.14</v>
      </c>
      <c r="P1721" s="6" t="n">
        <f aca="false">IF(TablaVentas[[#This Row],[Costo_unitario]]="","PENDIENTE",TablaVentas[[#This Row],[Unidades]]*TablaVentas[[#This Row],[Costo_unitario]])</f>
        <v>11070.62</v>
      </c>
      <c r="Q1721" s="6" t="n">
        <f aca="false">IF(OR(TablaVentas[[#This Row],[Ingreso_neto]]="PENDIENTE",TablaVentas[[#This Row],[Costo_total]]="PENDIENTE"),"PENDIENTE",TablaVentas[[#This Row],[Ingreso_neto]]-TablaVentas[[#This Row],[Costo_total]])</f>
        <v>10232.52</v>
      </c>
    </row>
    <row r="1722" customFormat="false" ht="13.5" hidden="false" customHeight="false" outlineLevel="0" collapsed="false">
      <c r="A1722" s="1" t="s">
        <v>1134</v>
      </c>
      <c r="B1722" s="1" t="n">
        <v>1</v>
      </c>
      <c r="C1722" s="5" t="n">
        <v>46066</v>
      </c>
      <c r="D1722" s="6" t="s">
        <v>82</v>
      </c>
      <c r="E1722" s="6" t="s">
        <v>145</v>
      </c>
      <c r="F1722" s="6" t="s">
        <v>73</v>
      </c>
      <c r="G1722" s="6" t="s">
        <v>57</v>
      </c>
      <c r="H1722" s="6" t="s">
        <v>58</v>
      </c>
      <c r="I1722" s="1" t="n">
        <v>8</v>
      </c>
      <c r="J1722" s="7" t="n">
        <v>6537.86</v>
      </c>
      <c r="K1722" s="8" t="n">
        <v>0</v>
      </c>
      <c r="L1722" s="7" t="n">
        <v>4665.62</v>
      </c>
      <c r="M1722" s="6" t="s">
        <v>49</v>
      </c>
      <c r="N1722" s="6" t="s">
        <v>52</v>
      </c>
      <c r="O1722" s="6" t="n">
        <f aca="false">IF(TablaVentas[[#This Row],[Precio_unitario]]="","PENDIENTE",TablaVentas[[#This Row],[Unidades]]*TablaVentas[[#This Row],[Precio_unitario]]*(1-TablaVentas[[#This Row],[Descuento_pct]]))</f>
        <v>52302.88</v>
      </c>
      <c r="P1722" s="6" t="n">
        <f aca="false">IF(TablaVentas[[#This Row],[Costo_unitario]]="","PENDIENTE",TablaVentas[[#This Row],[Unidades]]*TablaVentas[[#This Row],[Costo_unitario]])</f>
        <v>37324.96</v>
      </c>
      <c r="Q1722" s="6" t="n">
        <f aca="false">IF(OR(TablaVentas[[#This Row],[Ingreso_neto]]="PENDIENTE",TablaVentas[[#This Row],[Costo_total]]="PENDIENTE"),"PENDIENTE",TablaVentas[[#This Row],[Ingreso_neto]]-TablaVentas[[#This Row],[Costo_total]])</f>
        <v>14977.92</v>
      </c>
    </row>
    <row r="1723" customFormat="false" ht="13.5" hidden="false" customHeight="false" outlineLevel="0" collapsed="false">
      <c r="A1723" s="1" t="s">
        <v>1135</v>
      </c>
      <c r="B1723" s="1" t="n">
        <v>1</v>
      </c>
      <c r="C1723" s="5" t="n">
        <v>46139</v>
      </c>
      <c r="D1723" s="6" t="s">
        <v>249</v>
      </c>
      <c r="E1723" s="6" t="s">
        <v>93</v>
      </c>
      <c r="F1723" s="6" t="s">
        <v>63</v>
      </c>
      <c r="G1723" s="6" t="s">
        <v>47</v>
      </c>
      <c r="H1723" s="6" t="s">
        <v>136</v>
      </c>
      <c r="I1723" s="1" t="n">
        <v>2</v>
      </c>
      <c r="J1723" s="7" t="n">
        <v>15103.02</v>
      </c>
      <c r="K1723" s="8" t="n">
        <v>0</v>
      </c>
      <c r="L1723" s="7" t="n">
        <v>11166.03</v>
      </c>
      <c r="M1723" s="6" t="s">
        <v>49</v>
      </c>
      <c r="N1723" s="6" t="s">
        <v>59</v>
      </c>
      <c r="O1723" s="6" t="n">
        <f aca="false">IF(TablaVentas[[#This Row],[Precio_unitario]]="","PENDIENTE",TablaVentas[[#This Row],[Unidades]]*TablaVentas[[#This Row],[Precio_unitario]]*(1-TablaVentas[[#This Row],[Descuento_pct]]))</f>
        <v>30206.04</v>
      </c>
      <c r="P1723" s="6" t="n">
        <f aca="false">IF(TablaVentas[[#This Row],[Costo_unitario]]="","PENDIENTE",TablaVentas[[#This Row],[Unidades]]*TablaVentas[[#This Row],[Costo_unitario]])</f>
        <v>22332.06</v>
      </c>
      <c r="Q1723" s="6" t="n">
        <f aca="false">IF(OR(TablaVentas[[#This Row],[Ingreso_neto]]="PENDIENTE",TablaVentas[[#This Row],[Costo_total]]="PENDIENTE"),"PENDIENTE",TablaVentas[[#This Row],[Ingreso_neto]]-TablaVentas[[#This Row],[Costo_total]])</f>
        <v>7873.98</v>
      </c>
    </row>
    <row r="1724" customFormat="false" ht="13.5" hidden="false" customHeight="false" outlineLevel="0" collapsed="false">
      <c r="A1724" s="1" t="s">
        <v>1135</v>
      </c>
      <c r="B1724" s="1" t="n">
        <v>2</v>
      </c>
      <c r="C1724" s="5" t="n">
        <v>46139</v>
      </c>
      <c r="D1724" s="6" t="s">
        <v>249</v>
      </c>
      <c r="E1724" s="6" t="s">
        <v>280</v>
      </c>
      <c r="F1724" s="6" t="s">
        <v>63</v>
      </c>
      <c r="G1724" s="6" t="s">
        <v>47</v>
      </c>
      <c r="H1724" s="6" t="s">
        <v>136</v>
      </c>
      <c r="I1724" s="1" t="n">
        <v>1</v>
      </c>
      <c r="J1724" s="7" t="n">
        <v>1318.5</v>
      </c>
      <c r="K1724" s="8" t="n">
        <v>0.2</v>
      </c>
      <c r="L1724" s="7" t="n">
        <v>716.26</v>
      </c>
      <c r="M1724" s="6" t="s">
        <v>49</v>
      </c>
      <c r="N1724" s="6" t="s">
        <v>67</v>
      </c>
      <c r="O1724" s="6" t="n">
        <f aca="false">IF(TablaVentas[[#This Row],[Precio_unitario]]="","PENDIENTE",TablaVentas[[#This Row],[Unidades]]*TablaVentas[[#This Row],[Precio_unitario]]*(1-TablaVentas[[#This Row],[Descuento_pct]]))</f>
        <v>1054.8</v>
      </c>
      <c r="P1724" s="6" t="n">
        <f aca="false">IF(TablaVentas[[#This Row],[Costo_unitario]]="","PENDIENTE",TablaVentas[[#This Row],[Unidades]]*TablaVentas[[#This Row],[Costo_unitario]])</f>
        <v>716.26</v>
      </c>
      <c r="Q1724" s="6" t="n">
        <f aca="false">IF(OR(TablaVentas[[#This Row],[Ingreso_neto]]="PENDIENTE",TablaVentas[[#This Row],[Costo_total]]="PENDIENTE"),"PENDIENTE",TablaVentas[[#This Row],[Ingreso_neto]]-TablaVentas[[#This Row],[Costo_total]])</f>
        <v>338.54</v>
      </c>
    </row>
    <row r="1725" customFormat="false" ht="13.5" hidden="false" customHeight="false" outlineLevel="0" collapsed="false">
      <c r="A1725" s="1" t="s">
        <v>1136</v>
      </c>
      <c r="B1725" s="1" t="n">
        <v>1</v>
      </c>
      <c r="C1725" s="5" t="n">
        <v>46155</v>
      </c>
      <c r="D1725" s="6" t="s">
        <v>339</v>
      </c>
      <c r="E1725" s="6" t="s">
        <v>210</v>
      </c>
      <c r="F1725" s="6" t="s">
        <v>73</v>
      </c>
      <c r="G1725" s="6" t="s">
        <v>47</v>
      </c>
      <c r="H1725" s="6" t="s">
        <v>131</v>
      </c>
      <c r="I1725" s="1" t="n">
        <v>1</v>
      </c>
      <c r="J1725" s="7" t="n">
        <v>1813.04</v>
      </c>
      <c r="K1725" s="8" t="n">
        <v>0.05</v>
      </c>
      <c r="L1725" s="7" t="n">
        <v>1252.84</v>
      </c>
      <c r="M1725" s="6" t="s">
        <v>49</v>
      </c>
      <c r="N1725" s="6" t="s">
        <v>50</v>
      </c>
      <c r="O1725" s="6" t="n">
        <f aca="false">IF(TablaVentas[[#This Row],[Precio_unitario]]="","PENDIENTE",TablaVentas[[#This Row],[Unidades]]*TablaVentas[[#This Row],[Precio_unitario]]*(1-TablaVentas[[#This Row],[Descuento_pct]]))</f>
        <v>1722.388</v>
      </c>
      <c r="P1725" s="6" t="n">
        <f aca="false">IF(TablaVentas[[#This Row],[Costo_unitario]]="","PENDIENTE",TablaVentas[[#This Row],[Unidades]]*TablaVentas[[#This Row],[Costo_unitario]])</f>
        <v>1252.84</v>
      </c>
      <c r="Q1725" s="6" t="n">
        <f aca="false">IF(OR(TablaVentas[[#This Row],[Ingreso_neto]]="PENDIENTE",TablaVentas[[#This Row],[Costo_total]]="PENDIENTE"),"PENDIENTE",TablaVentas[[#This Row],[Ingreso_neto]]-TablaVentas[[#This Row],[Costo_total]])</f>
        <v>469.548</v>
      </c>
    </row>
    <row r="1726" customFormat="false" ht="13.5" hidden="false" customHeight="false" outlineLevel="0" collapsed="false">
      <c r="A1726" s="1" t="s">
        <v>1137</v>
      </c>
      <c r="B1726" s="1" t="n">
        <v>1</v>
      </c>
      <c r="C1726" s="5" t="n">
        <v>46206</v>
      </c>
      <c r="D1726" s="6" t="s">
        <v>415</v>
      </c>
      <c r="E1726" s="6" t="s">
        <v>278</v>
      </c>
      <c r="F1726" s="6" t="s">
        <v>46</v>
      </c>
      <c r="G1726" s="6" t="s">
        <v>57</v>
      </c>
      <c r="H1726" s="6" t="s">
        <v>191</v>
      </c>
      <c r="I1726" s="1" t="n">
        <v>1</v>
      </c>
      <c r="J1726" s="7" t="n">
        <v>1023.38</v>
      </c>
      <c r="K1726" s="8" t="n">
        <v>0.15</v>
      </c>
      <c r="L1726" s="7" t="n">
        <v>759.03</v>
      </c>
      <c r="M1726" s="6" t="s">
        <v>49</v>
      </c>
      <c r="N1726" s="6" t="s">
        <v>67</v>
      </c>
      <c r="O1726" s="6" t="n">
        <f aca="false">IF(TablaVentas[[#This Row],[Precio_unitario]]="","PENDIENTE",TablaVentas[[#This Row],[Unidades]]*TablaVentas[[#This Row],[Precio_unitario]]*(1-TablaVentas[[#This Row],[Descuento_pct]]))</f>
        <v>869.873</v>
      </c>
      <c r="P1726" s="6" t="n">
        <f aca="false">IF(TablaVentas[[#This Row],[Costo_unitario]]="","PENDIENTE",TablaVentas[[#This Row],[Unidades]]*TablaVentas[[#This Row],[Costo_unitario]])</f>
        <v>759.03</v>
      </c>
      <c r="Q1726" s="6" t="n">
        <f aca="false">IF(OR(TablaVentas[[#This Row],[Ingreso_neto]]="PENDIENTE",TablaVentas[[#This Row],[Costo_total]]="PENDIENTE"),"PENDIENTE",TablaVentas[[#This Row],[Ingreso_neto]]-TablaVentas[[#This Row],[Costo_total]])</f>
        <v>110.843</v>
      </c>
    </row>
    <row r="1727" customFormat="false" ht="13.5" hidden="false" customHeight="false" outlineLevel="0" collapsed="false">
      <c r="A1727" s="1" t="s">
        <v>1137</v>
      </c>
      <c r="B1727" s="1" t="n">
        <v>2</v>
      </c>
      <c r="C1727" s="5" t="n">
        <v>46206</v>
      </c>
      <c r="D1727" s="6" t="s">
        <v>415</v>
      </c>
      <c r="E1727" s="6" t="s">
        <v>544</v>
      </c>
      <c r="F1727" s="6" t="s">
        <v>46</v>
      </c>
      <c r="G1727" s="6" t="s">
        <v>57</v>
      </c>
      <c r="H1727" s="6" t="s">
        <v>191</v>
      </c>
      <c r="I1727" s="1" t="n">
        <v>3</v>
      </c>
      <c r="J1727" s="7" t="n">
        <v>5452.4</v>
      </c>
      <c r="K1727" s="8" t="n">
        <v>0.2</v>
      </c>
      <c r="L1727" s="7" t="n">
        <v>4556.23</v>
      </c>
      <c r="M1727" s="6" t="s">
        <v>49</v>
      </c>
      <c r="N1727" s="6" t="s">
        <v>59</v>
      </c>
      <c r="O1727" s="6" t="n">
        <f aca="false">IF(TablaVentas[[#This Row],[Precio_unitario]]="","PENDIENTE",TablaVentas[[#This Row],[Unidades]]*TablaVentas[[#This Row],[Precio_unitario]]*(1-TablaVentas[[#This Row],[Descuento_pct]]))</f>
        <v>13085.76</v>
      </c>
      <c r="P1727" s="6" t="n">
        <f aca="false">IF(TablaVentas[[#This Row],[Costo_unitario]]="","PENDIENTE",TablaVentas[[#This Row],[Unidades]]*TablaVentas[[#This Row],[Costo_unitario]])</f>
        <v>13668.69</v>
      </c>
      <c r="Q1727" s="6" t="n">
        <f aca="false">IF(OR(TablaVentas[[#This Row],[Ingreso_neto]]="PENDIENTE",TablaVentas[[#This Row],[Costo_total]]="PENDIENTE"),"PENDIENTE",TablaVentas[[#This Row],[Ingreso_neto]]-TablaVentas[[#This Row],[Costo_total]])</f>
        <v>-582.929999999999</v>
      </c>
    </row>
    <row r="1728" customFormat="false" ht="13.5" hidden="false" customHeight="false" outlineLevel="0" collapsed="false">
      <c r="A1728" s="1" t="s">
        <v>1137</v>
      </c>
      <c r="B1728" s="1" t="n">
        <v>3</v>
      </c>
      <c r="C1728" s="5" t="n">
        <v>46206</v>
      </c>
      <c r="D1728" s="6" t="s">
        <v>415</v>
      </c>
      <c r="E1728" s="6" t="s">
        <v>200</v>
      </c>
      <c r="F1728" s="6" t="s">
        <v>46</v>
      </c>
      <c r="G1728" s="6" t="s">
        <v>57</v>
      </c>
      <c r="H1728" s="6" t="s">
        <v>191</v>
      </c>
      <c r="I1728" s="1" t="n">
        <v>4</v>
      </c>
      <c r="J1728" s="7" t="n">
        <v>10082.15</v>
      </c>
      <c r="K1728" s="8" t="n">
        <v>0.2</v>
      </c>
      <c r="L1728" s="7" t="n">
        <v>5811.72</v>
      </c>
      <c r="M1728" s="6" t="s">
        <v>49</v>
      </c>
      <c r="N1728" s="6" t="s">
        <v>50</v>
      </c>
      <c r="O1728" s="6" t="n">
        <f aca="false">IF(TablaVentas[[#This Row],[Precio_unitario]]="","PENDIENTE",TablaVentas[[#This Row],[Unidades]]*TablaVentas[[#This Row],[Precio_unitario]]*(1-TablaVentas[[#This Row],[Descuento_pct]]))</f>
        <v>32262.88</v>
      </c>
      <c r="P1728" s="6" t="n">
        <f aca="false">IF(TablaVentas[[#This Row],[Costo_unitario]]="","PENDIENTE",TablaVentas[[#This Row],[Unidades]]*TablaVentas[[#This Row],[Costo_unitario]])</f>
        <v>23246.88</v>
      </c>
      <c r="Q1728" s="6" t="n">
        <f aca="false">IF(OR(TablaVentas[[#This Row],[Ingreso_neto]]="PENDIENTE",TablaVentas[[#This Row],[Costo_total]]="PENDIENTE"),"PENDIENTE",TablaVentas[[#This Row],[Ingreso_neto]]-TablaVentas[[#This Row],[Costo_total]])</f>
        <v>9016</v>
      </c>
    </row>
    <row r="1729" customFormat="false" ht="13.5" hidden="false" customHeight="false" outlineLevel="0" collapsed="false">
      <c r="A1729" s="1" t="s">
        <v>1137</v>
      </c>
      <c r="B1729" s="1" t="n">
        <v>4</v>
      </c>
      <c r="C1729" s="5" t="n">
        <v>46206</v>
      </c>
      <c r="D1729" s="6" t="s">
        <v>415</v>
      </c>
      <c r="E1729" s="6" t="s">
        <v>410</v>
      </c>
      <c r="F1729" s="6" t="s">
        <v>46</v>
      </c>
      <c r="G1729" s="6" t="s">
        <v>57</v>
      </c>
      <c r="H1729" s="6" t="s">
        <v>191</v>
      </c>
      <c r="I1729" s="1" t="n">
        <v>2</v>
      </c>
      <c r="J1729" s="7" t="n">
        <v>3064.95</v>
      </c>
      <c r="K1729" s="8" t="n">
        <v>0.1</v>
      </c>
      <c r="L1729" s="7" t="n">
        <v>1801.83</v>
      </c>
      <c r="M1729" s="6" t="s">
        <v>49</v>
      </c>
      <c r="N1729" s="6" t="s">
        <v>59</v>
      </c>
      <c r="O1729" s="6" t="n">
        <f aca="false">IF(TablaVentas[[#This Row],[Precio_unitario]]="","PENDIENTE",TablaVentas[[#This Row],[Unidades]]*TablaVentas[[#This Row],[Precio_unitario]]*(1-TablaVentas[[#This Row],[Descuento_pct]]))</f>
        <v>5516.91</v>
      </c>
      <c r="P1729" s="6" t="n">
        <f aca="false">IF(TablaVentas[[#This Row],[Costo_unitario]]="","PENDIENTE",TablaVentas[[#This Row],[Unidades]]*TablaVentas[[#This Row],[Costo_unitario]])</f>
        <v>3603.66</v>
      </c>
      <c r="Q1729" s="6" t="n">
        <f aca="false">IF(OR(TablaVentas[[#This Row],[Ingreso_neto]]="PENDIENTE",TablaVentas[[#This Row],[Costo_total]]="PENDIENTE"),"PENDIENTE",TablaVentas[[#This Row],[Ingreso_neto]]-TablaVentas[[#This Row],[Costo_total]])</f>
        <v>1913.25</v>
      </c>
    </row>
    <row r="1730" customFormat="false" ht="13.5" hidden="false" customHeight="false" outlineLevel="0" collapsed="false">
      <c r="A1730" s="1" t="s">
        <v>1137</v>
      </c>
      <c r="B1730" s="1" t="n">
        <v>5</v>
      </c>
      <c r="C1730" s="5" t="n">
        <v>46206</v>
      </c>
      <c r="D1730" s="6" t="s">
        <v>415</v>
      </c>
      <c r="E1730" s="6" t="s">
        <v>150</v>
      </c>
      <c r="F1730" s="6" t="s">
        <v>46</v>
      </c>
      <c r="G1730" s="6" t="s">
        <v>57</v>
      </c>
      <c r="H1730" s="6" t="s">
        <v>191</v>
      </c>
      <c r="I1730" s="1" t="n">
        <v>4</v>
      </c>
      <c r="J1730" s="7" t="n">
        <v>10156.34</v>
      </c>
      <c r="K1730" s="8" t="n">
        <v>0.05</v>
      </c>
      <c r="L1730" s="7" t="n">
        <v>6815.42</v>
      </c>
      <c r="M1730" s="6" t="s">
        <v>49</v>
      </c>
      <c r="N1730" s="6" t="s">
        <v>52</v>
      </c>
      <c r="O1730" s="6" t="n">
        <f aca="false">IF(TablaVentas[[#This Row],[Precio_unitario]]="","PENDIENTE",TablaVentas[[#This Row],[Unidades]]*TablaVentas[[#This Row],[Precio_unitario]]*(1-TablaVentas[[#This Row],[Descuento_pct]]))</f>
        <v>38594.092</v>
      </c>
      <c r="P1730" s="6" t="n">
        <f aca="false">IF(TablaVentas[[#This Row],[Costo_unitario]]="","PENDIENTE",TablaVentas[[#This Row],[Unidades]]*TablaVentas[[#This Row],[Costo_unitario]])</f>
        <v>27261.68</v>
      </c>
      <c r="Q1730" s="6" t="n">
        <f aca="false">IF(OR(TablaVentas[[#This Row],[Ingreso_neto]]="PENDIENTE",TablaVentas[[#This Row],[Costo_total]]="PENDIENTE"),"PENDIENTE",TablaVentas[[#This Row],[Ingreso_neto]]-TablaVentas[[#This Row],[Costo_total]])</f>
        <v>11332.412</v>
      </c>
    </row>
    <row r="1731" customFormat="false" ht="13.5" hidden="false" customHeight="false" outlineLevel="0" collapsed="false">
      <c r="A1731" s="1" t="s">
        <v>1138</v>
      </c>
      <c r="B1731" s="1" t="n">
        <v>1</v>
      </c>
      <c r="C1731" s="5" t="n">
        <v>46239</v>
      </c>
      <c r="D1731" s="6" t="s">
        <v>275</v>
      </c>
      <c r="E1731" s="6" t="s">
        <v>163</v>
      </c>
      <c r="F1731" s="6" t="s">
        <v>73</v>
      </c>
      <c r="G1731" s="6" t="s">
        <v>47</v>
      </c>
      <c r="H1731" s="6" t="s">
        <v>191</v>
      </c>
      <c r="I1731" s="1" t="n">
        <v>2</v>
      </c>
      <c r="J1731" s="7" t="n">
        <v>19783.33</v>
      </c>
      <c r="K1731" s="8" t="n">
        <v>0</v>
      </c>
      <c r="L1731" s="7" t="n">
        <v>13981.13</v>
      </c>
      <c r="M1731" s="6" t="s">
        <v>49</v>
      </c>
      <c r="N1731" s="6" t="s">
        <v>52</v>
      </c>
      <c r="O1731" s="6" t="n">
        <f aca="false">IF(TablaVentas[[#This Row],[Precio_unitario]]="","PENDIENTE",TablaVentas[[#This Row],[Unidades]]*TablaVentas[[#This Row],[Precio_unitario]]*(1-TablaVentas[[#This Row],[Descuento_pct]]))</f>
        <v>39566.66</v>
      </c>
      <c r="P1731" s="6" t="n">
        <f aca="false">IF(TablaVentas[[#This Row],[Costo_unitario]]="","PENDIENTE",TablaVentas[[#This Row],[Unidades]]*TablaVentas[[#This Row],[Costo_unitario]])</f>
        <v>27962.26</v>
      </c>
      <c r="Q1731" s="6" t="n">
        <f aca="false">IF(OR(TablaVentas[[#This Row],[Ingreso_neto]]="PENDIENTE",TablaVentas[[#This Row],[Costo_total]]="PENDIENTE"),"PENDIENTE",TablaVentas[[#This Row],[Ingreso_neto]]-TablaVentas[[#This Row],[Costo_total]])</f>
        <v>11604.4</v>
      </c>
    </row>
    <row r="1732" customFormat="false" ht="13.5" hidden="false" customHeight="false" outlineLevel="0" collapsed="false">
      <c r="A1732" s="1" t="s">
        <v>1138</v>
      </c>
      <c r="B1732" s="1" t="n">
        <v>2</v>
      </c>
      <c r="C1732" s="5" t="n">
        <v>46239</v>
      </c>
      <c r="D1732" s="6" t="s">
        <v>275</v>
      </c>
      <c r="E1732" s="6" t="s">
        <v>141</v>
      </c>
      <c r="F1732" s="6" t="s">
        <v>73</v>
      </c>
      <c r="G1732" s="6" t="s">
        <v>47</v>
      </c>
      <c r="H1732" s="6" t="s">
        <v>191</v>
      </c>
      <c r="I1732" s="1" t="n">
        <v>1</v>
      </c>
      <c r="J1732" s="7" t="n">
        <v>266.76</v>
      </c>
      <c r="K1732" s="8" t="n">
        <v>0.05</v>
      </c>
      <c r="L1732" s="7" t="n">
        <v>176.47</v>
      </c>
      <c r="M1732" s="6" t="s">
        <v>49</v>
      </c>
      <c r="N1732" s="6" t="s">
        <v>50</v>
      </c>
      <c r="O1732" s="6" t="n">
        <f aca="false">IF(TablaVentas[[#This Row],[Precio_unitario]]="","PENDIENTE",TablaVentas[[#This Row],[Unidades]]*TablaVentas[[#This Row],[Precio_unitario]]*(1-TablaVentas[[#This Row],[Descuento_pct]]))</f>
        <v>253.422</v>
      </c>
      <c r="P1732" s="6" t="n">
        <f aca="false">IF(TablaVentas[[#This Row],[Costo_unitario]]="","PENDIENTE",TablaVentas[[#This Row],[Unidades]]*TablaVentas[[#This Row],[Costo_unitario]])</f>
        <v>176.47</v>
      </c>
      <c r="Q1732" s="6" t="n">
        <f aca="false">IF(OR(TablaVentas[[#This Row],[Ingreso_neto]]="PENDIENTE",TablaVentas[[#This Row],[Costo_total]]="PENDIENTE"),"PENDIENTE",TablaVentas[[#This Row],[Ingreso_neto]]-TablaVentas[[#This Row],[Costo_total]])</f>
        <v>76.952</v>
      </c>
    </row>
    <row r="1733" customFormat="false" ht="13.5" hidden="false" customHeight="false" outlineLevel="0" collapsed="false">
      <c r="A1733" s="1" t="s">
        <v>1139</v>
      </c>
      <c r="B1733" s="1" t="n">
        <v>1</v>
      </c>
      <c r="C1733" s="5" t="n">
        <v>46089</v>
      </c>
      <c r="D1733" s="6" t="s">
        <v>1140</v>
      </c>
      <c r="E1733" s="6" t="s">
        <v>72</v>
      </c>
      <c r="F1733" s="6" t="s">
        <v>73</v>
      </c>
      <c r="G1733" s="6" t="s">
        <v>47</v>
      </c>
      <c r="H1733" s="6" t="s">
        <v>80</v>
      </c>
      <c r="I1733" s="1" t="n">
        <v>3</v>
      </c>
      <c r="J1733" s="7" t="n">
        <v>12089.49</v>
      </c>
      <c r="K1733" s="8" t="n">
        <v>0.2</v>
      </c>
      <c r="L1733" s="7" t="n">
        <v>7328.02</v>
      </c>
      <c r="M1733" s="6" t="s">
        <v>49</v>
      </c>
      <c r="N1733" s="6" t="s">
        <v>52</v>
      </c>
      <c r="O1733" s="6" t="n">
        <f aca="false">IF(TablaVentas[[#This Row],[Precio_unitario]]="","PENDIENTE",TablaVentas[[#This Row],[Unidades]]*TablaVentas[[#This Row],[Precio_unitario]]*(1-TablaVentas[[#This Row],[Descuento_pct]]))</f>
        <v>29014.776</v>
      </c>
      <c r="P1733" s="6" t="n">
        <f aca="false">IF(TablaVentas[[#This Row],[Costo_unitario]]="","PENDIENTE",TablaVentas[[#This Row],[Unidades]]*TablaVentas[[#This Row],[Costo_unitario]])</f>
        <v>21984.06</v>
      </c>
      <c r="Q1733" s="6" t="n">
        <f aca="false">IF(OR(TablaVentas[[#This Row],[Ingreso_neto]]="PENDIENTE",TablaVentas[[#This Row],[Costo_total]]="PENDIENTE"),"PENDIENTE",TablaVentas[[#This Row],[Ingreso_neto]]-TablaVentas[[#This Row],[Costo_total]])</f>
        <v>7030.716</v>
      </c>
    </row>
    <row r="1734" customFormat="false" ht="13.5" hidden="false" customHeight="false" outlineLevel="0" collapsed="false">
      <c r="A1734" s="1" t="s">
        <v>1139</v>
      </c>
      <c r="B1734" s="1" t="n">
        <v>2</v>
      </c>
      <c r="C1734" s="5" t="n">
        <v>46089</v>
      </c>
      <c r="D1734" s="6" t="s">
        <v>1140</v>
      </c>
      <c r="E1734" s="6" t="s">
        <v>88</v>
      </c>
      <c r="F1734" s="6" t="s">
        <v>73</v>
      </c>
      <c r="G1734" s="6" t="s">
        <v>47</v>
      </c>
      <c r="H1734" s="6" t="s">
        <v>80</v>
      </c>
      <c r="I1734" s="1" t="n">
        <v>8</v>
      </c>
      <c r="J1734" s="7" t="n">
        <v>15673.04</v>
      </c>
      <c r="K1734" s="8" t="n">
        <v>0.05</v>
      </c>
      <c r="L1734" s="7" t="n">
        <v>11614.87</v>
      </c>
      <c r="M1734" s="6" t="s">
        <v>49</v>
      </c>
      <c r="N1734" s="6" t="s">
        <v>59</v>
      </c>
      <c r="O1734" s="6" t="n">
        <f aca="false">IF(TablaVentas[[#This Row],[Precio_unitario]]="","PENDIENTE",TablaVentas[[#This Row],[Unidades]]*TablaVentas[[#This Row],[Precio_unitario]]*(1-TablaVentas[[#This Row],[Descuento_pct]]))</f>
        <v>119115.104</v>
      </c>
      <c r="P1734" s="6" t="n">
        <f aca="false">IF(TablaVentas[[#This Row],[Costo_unitario]]="","PENDIENTE",TablaVentas[[#This Row],[Unidades]]*TablaVentas[[#This Row],[Costo_unitario]])</f>
        <v>92918.96</v>
      </c>
      <c r="Q1734" s="6" t="n">
        <f aca="false">IF(OR(TablaVentas[[#This Row],[Ingreso_neto]]="PENDIENTE",TablaVentas[[#This Row],[Costo_total]]="PENDIENTE"),"PENDIENTE",TablaVentas[[#This Row],[Ingreso_neto]]-TablaVentas[[#This Row],[Costo_total]])</f>
        <v>26196.144</v>
      </c>
    </row>
    <row r="1735" customFormat="false" ht="13.5" hidden="false" customHeight="false" outlineLevel="0" collapsed="false">
      <c r="A1735" s="1" t="s">
        <v>1139</v>
      </c>
      <c r="B1735" s="1" t="n">
        <v>3</v>
      </c>
      <c r="C1735" s="5" t="n">
        <v>46089</v>
      </c>
      <c r="D1735" s="6" t="s">
        <v>1140</v>
      </c>
      <c r="E1735" s="6" t="s">
        <v>265</v>
      </c>
      <c r="F1735" s="6" t="s">
        <v>73</v>
      </c>
      <c r="G1735" s="6" t="s">
        <v>47</v>
      </c>
      <c r="H1735" s="6" t="s">
        <v>80</v>
      </c>
      <c r="I1735" s="1" t="n">
        <v>1</v>
      </c>
      <c r="J1735" s="7" t="n">
        <v>4026.9</v>
      </c>
      <c r="K1735" s="8" t="n">
        <v>0.05</v>
      </c>
      <c r="L1735" s="7" t="n">
        <v>2008.57</v>
      </c>
      <c r="M1735" s="6" t="s">
        <v>49</v>
      </c>
      <c r="N1735" s="6" t="s">
        <v>50</v>
      </c>
      <c r="O1735" s="6" t="n">
        <f aca="false">IF(TablaVentas[[#This Row],[Precio_unitario]]="","PENDIENTE",TablaVentas[[#This Row],[Unidades]]*TablaVentas[[#This Row],[Precio_unitario]]*(1-TablaVentas[[#This Row],[Descuento_pct]]))</f>
        <v>3825.555</v>
      </c>
      <c r="P1735" s="6" t="n">
        <f aca="false">IF(TablaVentas[[#This Row],[Costo_unitario]]="","PENDIENTE",TablaVentas[[#This Row],[Unidades]]*TablaVentas[[#This Row],[Costo_unitario]])</f>
        <v>2008.57</v>
      </c>
      <c r="Q1735" s="6" t="n">
        <f aca="false">IF(OR(TablaVentas[[#This Row],[Ingreso_neto]]="PENDIENTE",TablaVentas[[#This Row],[Costo_total]]="PENDIENTE"),"PENDIENTE",TablaVentas[[#This Row],[Ingreso_neto]]-TablaVentas[[#This Row],[Costo_total]])</f>
        <v>1816.985</v>
      </c>
    </row>
    <row r="1736" customFormat="false" ht="13.5" hidden="false" customHeight="false" outlineLevel="0" collapsed="false">
      <c r="A1736" s="1" t="s">
        <v>1141</v>
      </c>
      <c r="B1736" s="1" t="n">
        <v>1</v>
      </c>
      <c r="C1736" s="5" t="n">
        <v>46192</v>
      </c>
      <c r="D1736" s="6" t="s">
        <v>349</v>
      </c>
      <c r="E1736" s="6" t="s">
        <v>404</v>
      </c>
      <c r="F1736" s="6" t="s">
        <v>73</v>
      </c>
      <c r="G1736" s="6" t="s">
        <v>47</v>
      </c>
      <c r="H1736" s="6" t="s">
        <v>74</v>
      </c>
      <c r="I1736" s="1" t="n">
        <v>8</v>
      </c>
      <c r="J1736" s="7" t="n">
        <v>5809.07</v>
      </c>
      <c r="K1736" s="8" t="n">
        <v>0</v>
      </c>
      <c r="L1736" s="7" t="n">
        <v>3640.56</v>
      </c>
      <c r="M1736" s="6" t="s">
        <v>49</v>
      </c>
      <c r="N1736" s="6" t="s">
        <v>59</v>
      </c>
      <c r="O1736" s="6" t="n">
        <f aca="false">IF(TablaVentas[[#This Row],[Precio_unitario]]="","PENDIENTE",TablaVentas[[#This Row],[Unidades]]*TablaVentas[[#This Row],[Precio_unitario]]*(1-TablaVentas[[#This Row],[Descuento_pct]]))</f>
        <v>46472.56</v>
      </c>
      <c r="P1736" s="6" t="n">
        <f aca="false">IF(TablaVentas[[#This Row],[Costo_unitario]]="","PENDIENTE",TablaVentas[[#This Row],[Unidades]]*TablaVentas[[#This Row],[Costo_unitario]])</f>
        <v>29124.48</v>
      </c>
      <c r="Q1736" s="6" t="n">
        <f aca="false">IF(OR(TablaVentas[[#This Row],[Ingreso_neto]]="PENDIENTE",TablaVentas[[#This Row],[Costo_total]]="PENDIENTE"),"PENDIENTE",TablaVentas[[#This Row],[Ingreso_neto]]-TablaVentas[[#This Row],[Costo_total]])</f>
        <v>17348.08</v>
      </c>
    </row>
    <row r="1737" customFormat="false" ht="13.5" hidden="false" customHeight="false" outlineLevel="0" collapsed="false">
      <c r="A1737" s="1" t="s">
        <v>1141</v>
      </c>
      <c r="B1737" s="1" t="n">
        <v>2</v>
      </c>
      <c r="C1737" s="5" t="n">
        <v>46192</v>
      </c>
      <c r="D1737" s="6" t="s">
        <v>349</v>
      </c>
      <c r="E1737" s="6" t="s">
        <v>162</v>
      </c>
      <c r="F1737" s="6" t="s">
        <v>73</v>
      </c>
      <c r="G1737" s="6" t="s">
        <v>47</v>
      </c>
      <c r="H1737" s="6" t="s">
        <v>74</v>
      </c>
      <c r="I1737" s="1" t="n">
        <v>5</v>
      </c>
      <c r="J1737" s="7" t="n">
        <v>777.61</v>
      </c>
      <c r="K1737" s="8" t="n">
        <v>0</v>
      </c>
      <c r="L1737" s="7" t="n">
        <v>397.1</v>
      </c>
      <c r="M1737" s="6" t="s">
        <v>69</v>
      </c>
      <c r="N1737" s="6" t="s">
        <v>59</v>
      </c>
      <c r="O1737" s="6" t="n">
        <f aca="false">IF(TablaVentas[[#This Row],[Precio_unitario]]="","PENDIENTE",TablaVentas[[#This Row],[Unidades]]*TablaVentas[[#This Row],[Precio_unitario]]*(1-TablaVentas[[#This Row],[Descuento_pct]]))</f>
        <v>3888.05</v>
      </c>
      <c r="P1737" s="6" t="n">
        <f aca="false">IF(TablaVentas[[#This Row],[Costo_unitario]]="","PENDIENTE",TablaVentas[[#This Row],[Unidades]]*TablaVentas[[#This Row],[Costo_unitario]])</f>
        <v>1985.5</v>
      </c>
      <c r="Q1737" s="6" t="n">
        <f aca="false">IF(OR(TablaVentas[[#This Row],[Ingreso_neto]]="PENDIENTE",TablaVentas[[#This Row],[Costo_total]]="PENDIENTE"),"PENDIENTE",TablaVentas[[#This Row],[Ingreso_neto]]-TablaVentas[[#This Row],[Costo_total]])</f>
        <v>1902.55</v>
      </c>
    </row>
    <row r="1738" customFormat="false" ht="13.5" hidden="false" customHeight="false" outlineLevel="0" collapsed="false">
      <c r="A1738" s="1" t="s">
        <v>1141</v>
      </c>
      <c r="B1738" s="1" t="n">
        <v>3</v>
      </c>
      <c r="C1738" s="5" t="n">
        <v>46192</v>
      </c>
      <c r="D1738" s="6" t="s">
        <v>349</v>
      </c>
      <c r="E1738" s="6" t="s">
        <v>127</v>
      </c>
      <c r="F1738" s="6" t="s">
        <v>73</v>
      </c>
      <c r="G1738" s="6" t="s">
        <v>47</v>
      </c>
      <c r="H1738" s="6" t="s">
        <v>74</v>
      </c>
      <c r="I1738" s="1" t="n">
        <v>1</v>
      </c>
      <c r="J1738" s="7" t="n">
        <v>12716.42</v>
      </c>
      <c r="K1738" s="8" t="n">
        <v>0.2</v>
      </c>
      <c r="L1738" s="7" t="n">
        <v>7975.26</v>
      </c>
      <c r="M1738" s="6" t="s">
        <v>49</v>
      </c>
      <c r="N1738" s="6" t="s">
        <v>59</v>
      </c>
      <c r="O1738" s="6" t="n">
        <f aca="false">IF(TablaVentas[[#This Row],[Precio_unitario]]="","PENDIENTE",TablaVentas[[#This Row],[Unidades]]*TablaVentas[[#This Row],[Precio_unitario]]*(1-TablaVentas[[#This Row],[Descuento_pct]]))</f>
        <v>10173.136</v>
      </c>
      <c r="P1738" s="6" t="n">
        <f aca="false">IF(TablaVentas[[#This Row],[Costo_unitario]]="","PENDIENTE",TablaVentas[[#This Row],[Unidades]]*TablaVentas[[#This Row],[Costo_unitario]])</f>
        <v>7975.26</v>
      </c>
      <c r="Q1738" s="6" t="n">
        <f aca="false">IF(OR(TablaVentas[[#This Row],[Ingreso_neto]]="PENDIENTE",TablaVentas[[#This Row],[Costo_total]]="PENDIENTE"),"PENDIENTE",TablaVentas[[#This Row],[Ingreso_neto]]-TablaVentas[[#This Row],[Costo_total]])</f>
        <v>2197.876</v>
      </c>
    </row>
    <row r="1739" customFormat="false" ht="13.5" hidden="false" customHeight="false" outlineLevel="0" collapsed="false">
      <c r="A1739" s="1" t="s">
        <v>1141</v>
      </c>
      <c r="B1739" s="1" t="n">
        <v>4</v>
      </c>
      <c r="C1739" s="5" t="n">
        <v>46192</v>
      </c>
      <c r="D1739" s="6" t="s">
        <v>349</v>
      </c>
      <c r="E1739" s="6" t="s">
        <v>62</v>
      </c>
      <c r="F1739" s="6" t="s">
        <v>73</v>
      </c>
      <c r="G1739" s="6" t="s">
        <v>47</v>
      </c>
      <c r="H1739" s="6" t="s">
        <v>74</v>
      </c>
      <c r="I1739" s="1" t="n">
        <v>8</v>
      </c>
      <c r="J1739" s="7" t="n">
        <v>11198.64</v>
      </c>
      <c r="K1739" s="8" t="n">
        <v>0.05</v>
      </c>
      <c r="L1739" s="7" t="n">
        <v>6407.85</v>
      </c>
      <c r="M1739" s="6" t="s">
        <v>49</v>
      </c>
      <c r="N1739" s="6" t="s">
        <v>67</v>
      </c>
      <c r="O1739" s="6" t="n">
        <f aca="false">IF(TablaVentas[[#This Row],[Precio_unitario]]="","PENDIENTE",TablaVentas[[#This Row],[Unidades]]*TablaVentas[[#This Row],[Precio_unitario]]*(1-TablaVentas[[#This Row],[Descuento_pct]]))</f>
        <v>85109.664</v>
      </c>
      <c r="P1739" s="6" t="n">
        <f aca="false">IF(TablaVentas[[#This Row],[Costo_unitario]]="","PENDIENTE",TablaVentas[[#This Row],[Unidades]]*TablaVentas[[#This Row],[Costo_unitario]])</f>
        <v>51262.8</v>
      </c>
      <c r="Q1739" s="6" t="n">
        <f aca="false">IF(OR(TablaVentas[[#This Row],[Ingreso_neto]]="PENDIENTE",TablaVentas[[#This Row],[Costo_total]]="PENDIENTE"),"PENDIENTE",TablaVentas[[#This Row],[Ingreso_neto]]-TablaVentas[[#This Row],[Costo_total]])</f>
        <v>33846.864</v>
      </c>
    </row>
    <row r="1740" customFormat="false" ht="13.5" hidden="false" customHeight="false" outlineLevel="0" collapsed="false">
      <c r="A1740" s="1" t="s">
        <v>1141</v>
      </c>
      <c r="B1740" s="1" t="n">
        <v>5</v>
      </c>
      <c r="C1740" s="5" t="n">
        <v>46192</v>
      </c>
      <c r="D1740" s="6" t="s">
        <v>349</v>
      </c>
      <c r="E1740" s="6" t="s">
        <v>90</v>
      </c>
      <c r="F1740" s="6" t="s">
        <v>73</v>
      </c>
      <c r="G1740" s="6" t="s">
        <v>47</v>
      </c>
      <c r="H1740" s="6" t="s">
        <v>74</v>
      </c>
      <c r="I1740" s="1" t="n">
        <v>1</v>
      </c>
      <c r="J1740" s="7" t="n">
        <v>14729.89</v>
      </c>
      <c r="K1740" s="8" t="n">
        <v>0</v>
      </c>
      <c r="L1740" s="7" t="n">
        <v>12723.77</v>
      </c>
      <c r="M1740" s="6" t="s">
        <v>49</v>
      </c>
      <c r="N1740" s="6" t="s">
        <v>59</v>
      </c>
      <c r="O1740" s="6" t="n">
        <f aca="false">IF(TablaVentas[[#This Row],[Precio_unitario]]="","PENDIENTE",TablaVentas[[#This Row],[Unidades]]*TablaVentas[[#This Row],[Precio_unitario]]*(1-TablaVentas[[#This Row],[Descuento_pct]]))</f>
        <v>14729.89</v>
      </c>
      <c r="P1740" s="6" t="n">
        <f aca="false">IF(TablaVentas[[#This Row],[Costo_unitario]]="","PENDIENTE",TablaVentas[[#This Row],[Unidades]]*TablaVentas[[#This Row],[Costo_unitario]])</f>
        <v>12723.77</v>
      </c>
      <c r="Q1740" s="6" t="n">
        <f aca="false">IF(OR(TablaVentas[[#This Row],[Ingreso_neto]]="PENDIENTE",TablaVentas[[#This Row],[Costo_total]]="PENDIENTE"),"PENDIENTE",TablaVentas[[#This Row],[Ingreso_neto]]-TablaVentas[[#This Row],[Costo_total]])</f>
        <v>2006.12</v>
      </c>
    </row>
    <row r="1741" customFormat="false" ht="13.5" hidden="false" customHeight="false" outlineLevel="0" collapsed="false">
      <c r="A1741" s="1" t="s">
        <v>1142</v>
      </c>
      <c r="B1741" s="1" t="n">
        <v>1</v>
      </c>
      <c r="C1741" s="5" t="n">
        <v>46189</v>
      </c>
      <c r="D1741" s="6" t="s">
        <v>207</v>
      </c>
      <c r="E1741" s="6" t="s">
        <v>170</v>
      </c>
      <c r="F1741" s="6" t="s">
        <v>63</v>
      </c>
      <c r="G1741" s="6" t="s">
        <v>57</v>
      </c>
      <c r="H1741" s="6" t="s">
        <v>131</v>
      </c>
      <c r="I1741" s="1" t="n">
        <v>2</v>
      </c>
      <c r="J1741" s="7" t="n">
        <v>17831.93</v>
      </c>
      <c r="K1741" s="8" t="n">
        <v>0.05</v>
      </c>
      <c r="L1741" s="7" t="n">
        <v>12141.44</v>
      </c>
      <c r="M1741" s="6" t="s">
        <v>49</v>
      </c>
      <c r="N1741" s="6" t="s">
        <v>50</v>
      </c>
      <c r="O1741" s="6" t="n">
        <f aca="false">IF(TablaVentas[[#This Row],[Precio_unitario]]="","PENDIENTE",TablaVentas[[#This Row],[Unidades]]*TablaVentas[[#This Row],[Precio_unitario]]*(1-TablaVentas[[#This Row],[Descuento_pct]]))</f>
        <v>33880.667</v>
      </c>
      <c r="P1741" s="6" t="n">
        <f aca="false">IF(TablaVentas[[#This Row],[Costo_unitario]]="","PENDIENTE",TablaVentas[[#This Row],[Unidades]]*TablaVentas[[#This Row],[Costo_unitario]])</f>
        <v>24282.88</v>
      </c>
      <c r="Q1741" s="6" t="n">
        <f aca="false">IF(OR(TablaVentas[[#This Row],[Ingreso_neto]]="PENDIENTE",TablaVentas[[#This Row],[Costo_total]]="PENDIENTE"),"PENDIENTE",TablaVentas[[#This Row],[Ingreso_neto]]-TablaVentas[[#This Row],[Costo_total]])</f>
        <v>9597.787</v>
      </c>
    </row>
    <row r="1742" customFormat="false" ht="13.5" hidden="false" customHeight="false" outlineLevel="0" collapsed="false">
      <c r="A1742" s="1" t="s">
        <v>1142</v>
      </c>
      <c r="B1742" s="1" t="n">
        <v>2</v>
      </c>
      <c r="C1742" s="5" t="n">
        <v>46189</v>
      </c>
      <c r="D1742" s="6" t="s">
        <v>207</v>
      </c>
      <c r="E1742" s="6" t="s">
        <v>150</v>
      </c>
      <c r="F1742" s="6" t="s">
        <v>63</v>
      </c>
      <c r="G1742" s="6" t="s">
        <v>57</v>
      </c>
      <c r="H1742" s="6" t="s">
        <v>131</v>
      </c>
      <c r="I1742" s="1" t="n">
        <v>2</v>
      </c>
      <c r="J1742" s="7" t="n">
        <v>9648.19</v>
      </c>
      <c r="K1742" s="8" t="n">
        <v>0.05</v>
      </c>
      <c r="L1742" s="7" t="n">
        <v>6815.42</v>
      </c>
      <c r="M1742" s="6" t="s">
        <v>49</v>
      </c>
      <c r="N1742" s="6" t="s">
        <v>50</v>
      </c>
      <c r="O1742" s="6" t="n">
        <f aca="false">IF(TablaVentas[[#This Row],[Precio_unitario]]="","PENDIENTE",TablaVentas[[#This Row],[Unidades]]*TablaVentas[[#This Row],[Precio_unitario]]*(1-TablaVentas[[#This Row],[Descuento_pct]]))</f>
        <v>18331.561</v>
      </c>
      <c r="P1742" s="6" t="n">
        <f aca="false">IF(TablaVentas[[#This Row],[Costo_unitario]]="","PENDIENTE",TablaVentas[[#This Row],[Unidades]]*TablaVentas[[#This Row],[Costo_unitario]])</f>
        <v>13630.84</v>
      </c>
      <c r="Q1742" s="6" t="n">
        <f aca="false">IF(OR(TablaVentas[[#This Row],[Ingreso_neto]]="PENDIENTE",TablaVentas[[#This Row],[Costo_total]]="PENDIENTE"),"PENDIENTE",TablaVentas[[#This Row],[Ingreso_neto]]-TablaVentas[[#This Row],[Costo_total]])</f>
        <v>4700.721</v>
      </c>
    </row>
    <row r="1743" customFormat="false" ht="13.5" hidden="false" customHeight="false" outlineLevel="0" collapsed="false">
      <c r="A1743" s="1" t="s">
        <v>1142</v>
      </c>
      <c r="B1743" s="1" t="n">
        <v>3</v>
      </c>
      <c r="C1743" s="5" t="n">
        <v>46189</v>
      </c>
      <c r="D1743" s="6" t="s">
        <v>207</v>
      </c>
      <c r="E1743" s="6" t="s">
        <v>97</v>
      </c>
      <c r="F1743" s="6" t="s">
        <v>63</v>
      </c>
      <c r="G1743" s="6" t="s">
        <v>57</v>
      </c>
      <c r="H1743" s="6" t="s">
        <v>131</v>
      </c>
      <c r="I1743" s="1" t="n">
        <v>2</v>
      </c>
      <c r="J1743" s="7" t="n">
        <v>11787.79</v>
      </c>
      <c r="K1743" s="8" t="n">
        <v>0</v>
      </c>
      <c r="L1743" s="7" t="n">
        <v>8174.87</v>
      </c>
      <c r="M1743" s="6" t="s">
        <v>123</v>
      </c>
      <c r="N1743" s="6" t="s">
        <v>50</v>
      </c>
      <c r="O1743" s="6" t="n">
        <f aca="false">IF(TablaVentas[[#This Row],[Precio_unitario]]="","PENDIENTE",TablaVentas[[#This Row],[Unidades]]*TablaVentas[[#This Row],[Precio_unitario]]*(1-TablaVentas[[#This Row],[Descuento_pct]]))</f>
        <v>23575.58</v>
      </c>
      <c r="P1743" s="6" t="n">
        <f aca="false">IF(TablaVentas[[#This Row],[Costo_unitario]]="","PENDIENTE",TablaVentas[[#This Row],[Unidades]]*TablaVentas[[#This Row],[Costo_unitario]])</f>
        <v>16349.74</v>
      </c>
      <c r="Q1743" s="6" t="n">
        <f aca="false">IF(OR(TablaVentas[[#This Row],[Ingreso_neto]]="PENDIENTE",TablaVentas[[#This Row],[Costo_total]]="PENDIENTE"),"PENDIENTE",TablaVentas[[#This Row],[Ingreso_neto]]-TablaVentas[[#This Row],[Costo_total]])</f>
        <v>7225.84</v>
      </c>
    </row>
    <row r="1744" customFormat="false" ht="13.5" hidden="false" customHeight="false" outlineLevel="0" collapsed="false">
      <c r="A1744" s="1" t="s">
        <v>1142</v>
      </c>
      <c r="B1744" s="1" t="n">
        <v>4</v>
      </c>
      <c r="C1744" s="5" t="n">
        <v>46189</v>
      </c>
      <c r="D1744" s="6" t="s">
        <v>207</v>
      </c>
      <c r="E1744" s="6" t="s">
        <v>224</v>
      </c>
      <c r="F1744" s="6" t="s">
        <v>63</v>
      </c>
      <c r="G1744" s="6" t="s">
        <v>57</v>
      </c>
      <c r="H1744" s="6" t="s">
        <v>131</v>
      </c>
      <c r="I1744" s="1" t="n">
        <v>3</v>
      </c>
      <c r="J1744" s="7" t="n">
        <v>17283.09</v>
      </c>
      <c r="K1744" s="8" t="n">
        <v>0</v>
      </c>
      <c r="L1744" s="7" t="n">
        <v>14161.63</v>
      </c>
      <c r="M1744" s="6" t="s">
        <v>49</v>
      </c>
      <c r="N1744" s="6" t="s">
        <v>50</v>
      </c>
      <c r="O1744" s="6" t="n">
        <f aca="false">IF(TablaVentas[[#This Row],[Precio_unitario]]="","PENDIENTE",TablaVentas[[#This Row],[Unidades]]*TablaVentas[[#This Row],[Precio_unitario]]*(1-TablaVentas[[#This Row],[Descuento_pct]]))</f>
        <v>51849.27</v>
      </c>
      <c r="P1744" s="6" t="n">
        <f aca="false">IF(TablaVentas[[#This Row],[Costo_unitario]]="","PENDIENTE",TablaVentas[[#This Row],[Unidades]]*TablaVentas[[#This Row],[Costo_unitario]])</f>
        <v>42484.89</v>
      </c>
      <c r="Q1744" s="6" t="n">
        <f aca="false">IF(OR(TablaVentas[[#This Row],[Ingreso_neto]]="PENDIENTE",TablaVentas[[#This Row],[Costo_total]]="PENDIENTE"),"PENDIENTE",TablaVentas[[#This Row],[Ingreso_neto]]-TablaVentas[[#This Row],[Costo_total]])</f>
        <v>9364.38000000001</v>
      </c>
    </row>
    <row r="1745" customFormat="false" ht="13.5" hidden="false" customHeight="false" outlineLevel="0" collapsed="false">
      <c r="A1745" s="1" t="s">
        <v>1143</v>
      </c>
      <c r="B1745" s="1" t="n">
        <v>1</v>
      </c>
      <c r="C1745" s="5" t="n">
        <v>46161</v>
      </c>
      <c r="D1745" s="6" t="s">
        <v>134</v>
      </c>
      <c r="E1745" s="6" t="s">
        <v>223</v>
      </c>
      <c r="F1745" s="6" t="s">
        <v>84</v>
      </c>
      <c r="G1745" s="6" t="s">
        <v>64</v>
      </c>
      <c r="H1745" s="6" t="s">
        <v>109</v>
      </c>
      <c r="I1745" s="1" t="n">
        <v>3</v>
      </c>
      <c r="J1745" s="7" t="n">
        <v>15055.4</v>
      </c>
      <c r="K1745" s="8" t="n">
        <v>0.2</v>
      </c>
      <c r="L1745" s="7" t="n">
        <v>12064.41</v>
      </c>
      <c r="M1745" s="6" t="s">
        <v>49</v>
      </c>
      <c r="N1745" s="6" t="s">
        <v>50</v>
      </c>
      <c r="O1745" s="6" t="n">
        <f aca="false">IF(TablaVentas[[#This Row],[Precio_unitario]]="","PENDIENTE",TablaVentas[[#This Row],[Unidades]]*TablaVentas[[#This Row],[Precio_unitario]]*(1-TablaVentas[[#This Row],[Descuento_pct]]))</f>
        <v>36132.96</v>
      </c>
      <c r="P1745" s="6" t="n">
        <f aca="false">IF(TablaVentas[[#This Row],[Costo_unitario]]="","PENDIENTE",TablaVentas[[#This Row],[Unidades]]*TablaVentas[[#This Row],[Costo_unitario]])</f>
        <v>36193.23</v>
      </c>
      <c r="Q1745" s="6" t="n">
        <f aca="false">IF(OR(TablaVentas[[#This Row],[Ingreso_neto]]="PENDIENTE",TablaVentas[[#This Row],[Costo_total]]="PENDIENTE"),"PENDIENTE",TablaVentas[[#This Row],[Ingreso_neto]]-TablaVentas[[#This Row],[Costo_total]])</f>
        <v>-60.2699999999968</v>
      </c>
    </row>
    <row r="1746" customFormat="false" ht="13.5" hidden="false" customHeight="false" outlineLevel="0" collapsed="false">
      <c r="A1746" s="1" t="s">
        <v>1143</v>
      </c>
      <c r="B1746" s="1" t="n">
        <v>2</v>
      </c>
      <c r="C1746" s="5" t="n">
        <v>46161</v>
      </c>
      <c r="D1746" s="6" t="s">
        <v>134</v>
      </c>
      <c r="E1746" s="6" t="s">
        <v>233</v>
      </c>
      <c r="F1746" s="6" t="s">
        <v>84</v>
      </c>
      <c r="G1746" s="6" t="s">
        <v>64</v>
      </c>
      <c r="H1746" s="6" t="s">
        <v>109</v>
      </c>
      <c r="I1746" s="1" t="n">
        <v>2</v>
      </c>
      <c r="J1746" s="7" t="n">
        <v>18909.27</v>
      </c>
      <c r="K1746" s="8" t="n">
        <v>0</v>
      </c>
      <c r="L1746" s="7" t="n">
        <v>9976.68</v>
      </c>
      <c r="M1746" s="6" t="s">
        <v>123</v>
      </c>
      <c r="N1746" s="6" t="s">
        <v>52</v>
      </c>
      <c r="O1746" s="6" t="n">
        <f aca="false">IF(TablaVentas[[#This Row],[Precio_unitario]]="","PENDIENTE",TablaVentas[[#This Row],[Unidades]]*TablaVentas[[#This Row],[Precio_unitario]]*(1-TablaVentas[[#This Row],[Descuento_pct]]))</f>
        <v>37818.54</v>
      </c>
      <c r="P1746" s="6" t="n">
        <f aca="false">IF(TablaVentas[[#This Row],[Costo_unitario]]="","PENDIENTE",TablaVentas[[#This Row],[Unidades]]*TablaVentas[[#This Row],[Costo_unitario]])</f>
        <v>19953.36</v>
      </c>
      <c r="Q1746" s="6" t="n">
        <f aca="false">IF(OR(TablaVentas[[#This Row],[Ingreso_neto]]="PENDIENTE",TablaVentas[[#This Row],[Costo_total]]="PENDIENTE"),"PENDIENTE",TablaVentas[[#This Row],[Ingreso_neto]]-TablaVentas[[#This Row],[Costo_total]])</f>
        <v>17865.18</v>
      </c>
    </row>
    <row r="1747" customFormat="false" ht="13.5" hidden="false" customHeight="false" outlineLevel="0" collapsed="false">
      <c r="A1747" s="1" t="s">
        <v>1143</v>
      </c>
      <c r="B1747" s="1" t="n">
        <v>3</v>
      </c>
      <c r="C1747" s="5" t="n">
        <v>46161</v>
      </c>
      <c r="D1747" s="6" t="s">
        <v>134</v>
      </c>
      <c r="E1747" s="6" t="s">
        <v>116</v>
      </c>
      <c r="F1747" s="6" t="s">
        <v>84</v>
      </c>
      <c r="G1747" s="6" t="s">
        <v>64</v>
      </c>
      <c r="H1747" s="6" t="s">
        <v>109</v>
      </c>
      <c r="I1747" s="1" t="n">
        <v>3</v>
      </c>
      <c r="J1747" s="7" t="n">
        <v>14866.32</v>
      </c>
      <c r="K1747" s="8" t="n">
        <v>0</v>
      </c>
      <c r="L1747" s="7" t="n">
        <v>9880.77</v>
      </c>
      <c r="M1747" s="6" t="s">
        <v>49</v>
      </c>
      <c r="N1747" s="6" t="s">
        <v>50</v>
      </c>
      <c r="O1747" s="6" t="n">
        <f aca="false">IF(TablaVentas[[#This Row],[Precio_unitario]]="","PENDIENTE",TablaVentas[[#This Row],[Unidades]]*TablaVentas[[#This Row],[Precio_unitario]]*(1-TablaVentas[[#This Row],[Descuento_pct]]))</f>
        <v>44598.96</v>
      </c>
      <c r="P1747" s="6" t="n">
        <f aca="false">IF(TablaVentas[[#This Row],[Costo_unitario]]="","PENDIENTE",TablaVentas[[#This Row],[Unidades]]*TablaVentas[[#This Row],[Costo_unitario]])</f>
        <v>29642.31</v>
      </c>
      <c r="Q1747" s="6" t="n">
        <f aca="false">IF(OR(TablaVentas[[#This Row],[Ingreso_neto]]="PENDIENTE",TablaVentas[[#This Row],[Costo_total]]="PENDIENTE"),"PENDIENTE",TablaVentas[[#This Row],[Ingreso_neto]]-TablaVentas[[#This Row],[Costo_total]])</f>
        <v>14956.65</v>
      </c>
    </row>
    <row r="1748" customFormat="false" ht="13.5" hidden="false" customHeight="false" outlineLevel="0" collapsed="false">
      <c r="A1748" s="1" t="s">
        <v>1144</v>
      </c>
      <c r="B1748" s="1" t="n">
        <v>1</v>
      </c>
      <c r="C1748" s="5" t="n">
        <v>46112</v>
      </c>
      <c r="D1748" s="6" t="s">
        <v>1145</v>
      </c>
      <c r="E1748" s="6" t="s">
        <v>278</v>
      </c>
      <c r="F1748" s="6" t="s">
        <v>73</v>
      </c>
      <c r="G1748" s="6" t="s">
        <v>64</v>
      </c>
      <c r="H1748" s="6" t="s">
        <v>80</v>
      </c>
      <c r="I1748" s="1" t="n">
        <v>2</v>
      </c>
      <c r="J1748" s="7" t="n">
        <v>1114.91</v>
      </c>
      <c r="K1748" s="8" t="n">
        <v>0.05</v>
      </c>
      <c r="L1748" s="7" t="n">
        <v>759.03</v>
      </c>
      <c r="M1748" s="6" t="s">
        <v>49</v>
      </c>
      <c r="N1748" s="6" t="s">
        <v>59</v>
      </c>
      <c r="O1748" s="6" t="n">
        <f aca="false">IF(TablaVentas[[#This Row],[Precio_unitario]]="","PENDIENTE",TablaVentas[[#This Row],[Unidades]]*TablaVentas[[#This Row],[Precio_unitario]]*(1-TablaVentas[[#This Row],[Descuento_pct]]))</f>
        <v>2118.329</v>
      </c>
      <c r="P1748" s="6" t="n">
        <f aca="false">IF(TablaVentas[[#This Row],[Costo_unitario]]="","PENDIENTE",TablaVentas[[#This Row],[Unidades]]*TablaVentas[[#This Row],[Costo_unitario]])</f>
        <v>1518.06</v>
      </c>
      <c r="Q1748" s="6" t="n">
        <f aca="false">IF(OR(TablaVentas[[#This Row],[Ingreso_neto]]="PENDIENTE",TablaVentas[[#This Row],[Costo_total]]="PENDIENTE"),"PENDIENTE",TablaVentas[[#This Row],[Ingreso_neto]]-TablaVentas[[#This Row],[Costo_total]])</f>
        <v>600.269</v>
      </c>
    </row>
    <row r="1749" customFormat="false" ht="13.5" hidden="false" customHeight="false" outlineLevel="0" collapsed="false">
      <c r="A1749" s="1" t="s">
        <v>1144</v>
      </c>
      <c r="B1749" s="1" t="n">
        <v>2</v>
      </c>
      <c r="C1749" s="5" t="n">
        <v>46112</v>
      </c>
      <c r="D1749" s="6" t="s">
        <v>1145</v>
      </c>
      <c r="E1749" s="6" t="s">
        <v>101</v>
      </c>
      <c r="F1749" s="6" t="s">
        <v>73</v>
      </c>
      <c r="G1749" s="6" t="s">
        <v>64</v>
      </c>
      <c r="H1749" s="6" t="s">
        <v>80</v>
      </c>
      <c r="I1749" s="1" t="n">
        <v>1</v>
      </c>
      <c r="J1749" s="7" t="n">
        <v>8016.79</v>
      </c>
      <c r="K1749" s="8" t="n">
        <v>0</v>
      </c>
      <c r="L1749" s="7" t="n">
        <v>4538.06</v>
      </c>
      <c r="M1749" s="6" t="s">
        <v>49</v>
      </c>
      <c r="N1749" s="6" t="s">
        <v>50</v>
      </c>
      <c r="O1749" s="6" t="n">
        <f aca="false">IF(TablaVentas[[#This Row],[Precio_unitario]]="","PENDIENTE",TablaVentas[[#This Row],[Unidades]]*TablaVentas[[#This Row],[Precio_unitario]]*(1-TablaVentas[[#This Row],[Descuento_pct]]))</f>
        <v>8016.79</v>
      </c>
      <c r="P1749" s="6" t="n">
        <f aca="false">IF(TablaVentas[[#This Row],[Costo_unitario]]="","PENDIENTE",TablaVentas[[#This Row],[Unidades]]*TablaVentas[[#This Row],[Costo_unitario]])</f>
        <v>4538.06</v>
      </c>
      <c r="Q1749" s="6" t="n">
        <f aca="false">IF(OR(TablaVentas[[#This Row],[Ingreso_neto]]="PENDIENTE",TablaVentas[[#This Row],[Costo_total]]="PENDIENTE"),"PENDIENTE",TablaVentas[[#This Row],[Ingreso_neto]]-TablaVentas[[#This Row],[Costo_total]])</f>
        <v>3478.73</v>
      </c>
    </row>
    <row r="1750" customFormat="false" ht="13.5" hidden="false" customHeight="false" outlineLevel="0" collapsed="false">
      <c r="A1750" s="1" t="s">
        <v>1146</v>
      </c>
      <c r="B1750" s="1" t="n">
        <v>1</v>
      </c>
      <c r="C1750" s="5" t="n">
        <v>46149</v>
      </c>
      <c r="D1750" s="6" t="s">
        <v>257</v>
      </c>
      <c r="E1750" s="6" t="s">
        <v>147</v>
      </c>
      <c r="F1750" s="6" t="s">
        <v>73</v>
      </c>
      <c r="G1750" s="6" t="s">
        <v>57</v>
      </c>
      <c r="H1750" s="6" t="s">
        <v>80</v>
      </c>
      <c r="I1750" s="1" t="n">
        <v>2</v>
      </c>
      <c r="J1750" s="7" t="n">
        <v>2868.55</v>
      </c>
      <c r="K1750" s="8" t="n">
        <v>0.05</v>
      </c>
      <c r="L1750" s="7" t="n">
        <v>2427.63</v>
      </c>
      <c r="M1750" s="6" t="s">
        <v>49</v>
      </c>
      <c r="N1750" s="6" t="s">
        <v>50</v>
      </c>
      <c r="O1750" s="6" t="n">
        <f aca="false">IF(TablaVentas[[#This Row],[Precio_unitario]]="","PENDIENTE",TablaVentas[[#This Row],[Unidades]]*TablaVentas[[#This Row],[Precio_unitario]]*(1-TablaVentas[[#This Row],[Descuento_pct]]))</f>
        <v>5450.245</v>
      </c>
      <c r="P1750" s="6" t="n">
        <f aca="false">IF(TablaVentas[[#This Row],[Costo_unitario]]="","PENDIENTE",TablaVentas[[#This Row],[Unidades]]*TablaVentas[[#This Row],[Costo_unitario]])</f>
        <v>4855.26</v>
      </c>
      <c r="Q1750" s="6" t="n">
        <f aca="false">IF(OR(TablaVentas[[#This Row],[Ingreso_neto]]="PENDIENTE",TablaVentas[[#This Row],[Costo_total]]="PENDIENTE"),"PENDIENTE",TablaVentas[[#This Row],[Ingreso_neto]]-TablaVentas[[#This Row],[Costo_total]])</f>
        <v>594.985</v>
      </c>
    </row>
    <row r="1751" customFormat="false" ht="13.5" hidden="false" customHeight="false" outlineLevel="0" collapsed="false">
      <c r="A1751" s="1" t="s">
        <v>1146</v>
      </c>
      <c r="B1751" s="1" t="n">
        <v>2</v>
      </c>
      <c r="C1751" s="5" t="n">
        <v>46149</v>
      </c>
      <c r="D1751" s="6" t="s">
        <v>257</v>
      </c>
      <c r="E1751" s="6" t="s">
        <v>187</v>
      </c>
      <c r="F1751" s="6" t="s">
        <v>73</v>
      </c>
      <c r="G1751" s="6" t="s">
        <v>57</v>
      </c>
      <c r="H1751" s="6" t="s">
        <v>80</v>
      </c>
      <c r="I1751" s="1" t="n">
        <v>3</v>
      </c>
      <c r="J1751" s="7" t="n">
        <v>6019.98</v>
      </c>
      <c r="K1751" s="8" t="n">
        <v>0</v>
      </c>
      <c r="L1751" s="7" t="n">
        <v>3824.92</v>
      </c>
      <c r="M1751" s="6" t="s">
        <v>49</v>
      </c>
      <c r="N1751" s="6" t="s">
        <v>67</v>
      </c>
      <c r="O1751" s="6" t="n">
        <f aca="false">IF(TablaVentas[[#This Row],[Precio_unitario]]="","PENDIENTE",TablaVentas[[#This Row],[Unidades]]*TablaVentas[[#This Row],[Precio_unitario]]*(1-TablaVentas[[#This Row],[Descuento_pct]]))</f>
        <v>18059.94</v>
      </c>
      <c r="P1751" s="6" t="n">
        <f aca="false">IF(TablaVentas[[#This Row],[Costo_unitario]]="","PENDIENTE",TablaVentas[[#This Row],[Unidades]]*TablaVentas[[#This Row],[Costo_unitario]])</f>
        <v>11474.76</v>
      </c>
      <c r="Q1751" s="6" t="n">
        <f aca="false">IF(OR(TablaVentas[[#This Row],[Ingreso_neto]]="PENDIENTE",TablaVentas[[#This Row],[Costo_total]]="PENDIENTE"),"PENDIENTE",TablaVentas[[#This Row],[Ingreso_neto]]-TablaVentas[[#This Row],[Costo_total]])</f>
        <v>6585.18</v>
      </c>
    </row>
    <row r="1752" customFormat="false" ht="13.5" hidden="false" customHeight="false" outlineLevel="0" collapsed="false">
      <c r="A1752" s="1" t="s">
        <v>1146</v>
      </c>
      <c r="B1752" s="1" t="n">
        <v>3</v>
      </c>
      <c r="C1752" s="5" t="n">
        <v>46149</v>
      </c>
      <c r="D1752" s="6" t="s">
        <v>257</v>
      </c>
      <c r="E1752" s="6" t="s">
        <v>163</v>
      </c>
      <c r="F1752" s="6" t="s">
        <v>73</v>
      </c>
      <c r="G1752" s="6" t="s">
        <v>57</v>
      </c>
      <c r="H1752" s="6" t="s">
        <v>80</v>
      </c>
      <c r="I1752" s="1" t="n">
        <v>4</v>
      </c>
      <c r="J1752" s="7" t="n">
        <v>18662.52</v>
      </c>
      <c r="K1752" s="8" t="n">
        <v>0.15</v>
      </c>
      <c r="L1752" s="7" t="n">
        <v>13981.13</v>
      </c>
      <c r="M1752" s="6" t="s">
        <v>49</v>
      </c>
      <c r="N1752" s="6" t="s">
        <v>59</v>
      </c>
      <c r="O1752" s="6" t="n">
        <f aca="false">IF(TablaVentas[[#This Row],[Precio_unitario]]="","PENDIENTE",TablaVentas[[#This Row],[Unidades]]*TablaVentas[[#This Row],[Precio_unitario]]*(1-TablaVentas[[#This Row],[Descuento_pct]]))</f>
        <v>63452.568</v>
      </c>
      <c r="P1752" s="6" t="n">
        <f aca="false">IF(TablaVentas[[#This Row],[Costo_unitario]]="","PENDIENTE",TablaVentas[[#This Row],[Unidades]]*TablaVentas[[#This Row],[Costo_unitario]])</f>
        <v>55924.52</v>
      </c>
      <c r="Q1752" s="6" t="n">
        <f aca="false">IF(OR(TablaVentas[[#This Row],[Ingreso_neto]]="PENDIENTE",TablaVentas[[#This Row],[Costo_total]]="PENDIENTE"),"PENDIENTE",TablaVentas[[#This Row],[Ingreso_neto]]-TablaVentas[[#This Row],[Costo_total]])</f>
        <v>7528.048</v>
      </c>
    </row>
    <row r="1753" customFormat="false" ht="13.5" hidden="false" customHeight="false" outlineLevel="0" collapsed="false">
      <c r="A1753" s="1" t="s">
        <v>1147</v>
      </c>
      <c r="B1753" s="1" t="n">
        <v>1</v>
      </c>
      <c r="C1753" s="5" t="n">
        <v>46086</v>
      </c>
      <c r="D1753" s="6" t="s">
        <v>61</v>
      </c>
      <c r="E1753" s="6" t="s">
        <v>83</v>
      </c>
      <c r="F1753" s="6" t="s">
        <v>63</v>
      </c>
      <c r="G1753" s="6" t="s">
        <v>47</v>
      </c>
      <c r="H1753" s="6" t="s">
        <v>58</v>
      </c>
      <c r="I1753" s="1" t="n">
        <v>3</v>
      </c>
      <c r="J1753" s="7" t="n">
        <v>14039.87</v>
      </c>
      <c r="K1753" s="8" t="n">
        <v>0</v>
      </c>
      <c r="L1753" s="7" t="n">
        <v>7748.44</v>
      </c>
      <c r="M1753" s="6" t="s">
        <v>49</v>
      </c>
      <c r="N1753" s="6" t="s">
        <v>52</v>
      </c>
      <c r="O1753" s="6" t="n">
        <f aca="false">IF(TablaVentas[[#This Row],[Precio_unitario]]="","PENDIENTE",TablaVentas[[#This Row],[Unidades]]*TablaVentas[[#This Row],[Precio_unitario]]*(1-TablaVentas[[#This Row],[Descuento_pct]]))</f>
        <v>42119.61</v>
      </c>
      <c r="P1753" s="6" t="n">
        <f aca="false">IF(TablaVentas[[#This Row],[Costo_unitario]]="","PENDIENTE",TablaVentas[[#This Row],[Unidades]]*TablaVentas[[#This Row],[Costo_unitario]])</f>
        <v>23245.32</v>
      </c>
      <c r="Q1753" s="6" t="n">
        <f aca="false">IF(OR(TablaVentas[[#This Row],[Ingreso_neto]]="PENDIENTE",TablaVentas[[#This Row],[Costo_total]]="PENDIENTE"),"PENDIENTE",TablaVentas[[#This Row],[Ingreso_neto]]-TablaVentas[[#This Row],[Costo_total]])</f>
        <v>18874.29</v>
      </c>
    </row>
    <row r="1754" customFormat="false" ht="13.5" hidden="false" customHeight="false" outlineLevel="0" collapsed="false">
      <c r="A1754" s="1" t="s">
        <v>1148</v>
      </c>
      <c r="B1754" s="1" t="n">
        <v>1</v>
      </c>
      <c r="C1754" s="5" t="n">
        <v>46228</v>
      </c>
      <c r="D1754" s="6" t="s">
        <v>683</v>
      </c>
      <c r="E1754" s="6" t="s">
        <v>233</v>
      </c>
      <c r="F1754" s="6" t="s">
        <v>73</v>
      </c>
      <c r="G1754" s="6" t="s">
        <v>57</v>
      </c>
      <c r="H1754" s="6" t="s">
        <v>80</v>
      </c>
      <c r="I1754" s="1" t="n">
        <v>3</v>
      </c>
      <c r="J1754" s="7" t="n">
        <v>18285.67</v>
      </c>
      <c r="K1754" s="8" t="n">
        <v>0.15</v>
      </c>
      <c r="L1754" s="7" t="n">
        <v>9976.68</v>
      </c>
      <c r="M1754" s="6" t="s">
        <v>49</v>
      </c>
      <c r="N1754" s="6" t="s">
        <v>50</v>
      </c>
      <c r="O1754" s="6" t="n">
        <f aca="false">IF(TablaVentas[[#This Row],[Precio_unitario]]="","PENDIENTE",TablaVentas[[#This Row],[Unidades]]*TablaVentas[[#This Row],[Precio_unitario]]*(1-TablaVentas[[#This Row],[Descuento_pct]]))</f>
        <v>46628.4585</v>
      </c>
      <c r="P1754" s="6" t="n">
        <f aca="false">IF(TablaVentas[[#This Row],[Costo_unitario]]="","PENDIENTE",TablaVentas[[#This Row],[Unidades]]*TablaVentas[[#This Row],[Costo_unitario]])</f>
        <v>29930.04</v>
      </c>
      <c r="Q1754" s="6" t="n">
        <f aca="false">IF(OR(TablaVentas[[#This Row],[Ingreso_neto]]="PENDIENTE",TablaVentas[[#This Row],[Costo_total]]="PENDIENTE"),"PENDIENTE",TablaVentas[[#This Row],[Ingreso_neto]]-TablaVentas[[#This Row],[Costo_total]])</f>
        <v>16698.4185</v>
      </c>
    </row>
    <row r="1755" customFormat="false" ht="13.5" hidden="false" customHeight="false" outlineLevel="0" collapsed="false">
      <c r="A1755" s="1" t="s">
        <v>1148</v>
      </c>
      <c r="B1755" s="1" t="n">
        <v>2</v>
      </c>
      <c r="C1755" s="5" t="n">
        <v>46228</v>
      </c>
      <c r="D1755" s="6" t="s">
        <v>683</v>
      </c>
      <c r="E1755" s="6" t="s">
        <v>260</v>
      </c>
      <c r="F1755" s="6" t="s">
        <v>73</v>
      </c>
      <c r="G1755" s="6" t="s">
        <v>57</v>
      </c>
      <c r="H1755" s="6" t="s">
        <v>80</v>
      </c>
      <c r="I1755" s="1" t="n">
        <v>2</v>
      </c>
      <c r="J1755" s="7" t="n">
        <v>3026.74</v>
      </c>
      <c r="K1755" s="8" t="n">
        <v>0.15</v>
      </c>
      <c r="L1755" s="7" t="n">
        <v>2486.18</v>
      </c>
      <c r="M1755" s="6" t="s">
        <v>49</v>
      </c>
      <c r="N1755" s="6" t="s">
        <v>67</v>
      </c>
      <c r="O1755" s="6" t="n">
        <f aca="false">IF(TablaVentas[[#This Row],[Precio_unitario]]="","PENDIENTE",TablaVentas[[#This Row],[Unidades]]*TablaVentas[[#This Row],[Precio_unitario]]*(1-TablaVentas[[#This Row],[Descuento_pct]]))</f>
        <v>5145.458</v>
      </c>
      <c r="P1755" s="6" t="n">
        <f aca="false">IF(TablaVentas[[#This Row],[Costo_unitario]]="","PENDIENTE",TablaVentas[[#This Row],[Unidades]]*TablaVentas[[#This Row],[Costo_unitario]])</f>
        <v>4972.36</v>
      </c>
      <c r="Q1755" s="6" t="n">
        <f aca="false">IF(OR(TablaVentas[[#This Row],[Ingreso_neto]]="PENDIENTE",TablaVentas[[#This Row],[Costo_total]]="PENDIENTE"),"PENDIENTE",TablaVentas[[#This Row],[Ingreso_neto]]-TablaVentas[[#This Row],[Costo_total]])</f>
        <v>173.098</v>
      </c>
    </row>
    <row r="1756" customFormat="false" ht="13.5" hidden="false" customHeight="false" outlineLevel="0" collapsed="false">
      <c r="A1756" s="1" t="s">
        <v>1149</v>
      </c>
      <c r="B1756" s="1" t="n">
        <v>1</v>
      </c>
      <c r="C1756" s="5" t="n">
        <v>46191</v>
      </c>
      <c r="D1756" s="6" t="s">
        <v>496</v>
      </c>
      <c r="E1756" s="6" t="s">
        <v>410</v>
      </c>
      <c r="F1756" s="6" t="s">
        <v>84</v>
      </c>
      <c r="G1756" s="6" t="s">
        <v>47</v>
      </c>
      <c r="H1756" s="6" t="s">
        <v>80</v>
      </c>
      <c r="I1756" s="1" t="n">
        <v>1</v>
      </c>
      <c r="J1756" s="7" t="n">
        <v>2751.12</v>
      </c>
      <c r="K1756" s="8" t="n">
        <v>0.1</v>
      </c>
      <c r="L1756" s="7" t="n">
        <v>1801.83</v>
      </c>
      <c r="M1756" s="6" t="s">
        <v>49</v>
      </c>
      <c r="N1756" s="6" t="s">
        <v>52</v>
      </c>
      <c r="O1756" s="6" t="n">
        <f aca="false">IF(TablaVentas[[#This Row],[Precio_unitario]]="","PENDIENTE",TablaVentas[[#This Row],[Unidades]]*TablaVentas[[#This Row],[Precio_unitario]]*(1-TablaVentas[[#This Row],[Descuento_pct]]))</f>
        <v>2476.008</v>
      </c>
      <c r="P1756" s="6" t="n">
        <f aca="false">IF(TablaVentas[[#This Row],[Costo_unitario]]="","PENDIENTE",TablaVentas[[#This Row],[Unidades]]*TablaVentas[[#This Row],[Costo_unitario]])</f>
        <v>1801.83</v>
      </c>
      <c r="Q1756" s="6" t="n">
        <f aca="false">IF(OR(TablaVentas[[#This Row],[Ingreso_neto]]="PENDIENTE",TablaVentas[[#This Row],[Costo_total]]="PENDIENTE"),"PENDIENTE",TablaVentas[[#This Row],[Ingreso_neto]]-TablaVentas[[#This Row],[Costo_total]])</f>
        <v>674.178</v>
      </c>
    </row>
    <row r="1757" customFormat="false" ht="13.5" hidden="false" customHeight="false" outlineLevel="0" collapsed="false">
      <c r="A1757" s="1" t="s">
        <v>1149</v>
      </c>
      <c r="B1757" s="1" t="n">
        <v>2</v>
      </c>
      <c r="C1757" s="5" t="n">
        <v>46191</v>
      </c>
      <c r="D1757" s="6" t="s">
        <v>496</v>
      </c>
      <c r="E1757" s="6" t="s">
        <v>255</v>
      </c>
      <c r="F1757" s="6" t="s">
        <v>84</v>
      </c>
      <c r="G1757" s="6" t="s">
        <v>47</v>
      </c>
      <c r="H1757" s="6" t="s">
        <v>80</v>
      </c>
      <c r="I1757" s="1" t="n">
        <v>2</v>
      </c>
      <c r="J1757" s="7" t="n">
        <v>12835.54</v>
      </c>
      <c r="K1757" s="8" t="n">
        <v>0</v>
      </c>
      <c r="L1757" s="7" t="n">
        <v>6856.4</v>
      </c>
      <c r="M1757" s="6" t="s">
        <v>49</v>
      </c>
      <c r="N1757" s="6" t="s">
        <v>50</v>
      </c>
      <c r="O1757" s="6" t="n">
        <f aca="false">IF(TablaVentas[[#This Row],[Precio_unitario]]="","PENDIENTE",TablaVentas[[#This Row],[Unidades]]*TablaVentas[[#This Row],[Precio_unitario]]*(1-TablaVentas[[#This Row],[Descuento_pct]]))</f>
        <v>25671.08</v>
      </c>
      <c r="P1757" s="6" t="n">
        <f aca="false">IF(TablaVentas[[#This Row],[Costo_unitario]]="","PENDIENTE",TablaVentas[[#This Row],[Unidades]]*TablaVentas[[#This Row],[Costo_unitario]])</f>
        <v>13712.8</v>
      </c>
      <c r="Q1757" s="6" t="n">
        <f aca="false">IF(OR(TablaVentas[[#This Row],[Ingreso_neto]]="PENDIENTE",TablaVentas[[#This Row],[Costo_total]]="PENDIENTE"),"PENDIENTE",TablaVentas[[#This Row],[Ingreso_neto]]-TablaVentas[[#This Row],[Costo_total]])</f>
        <v>11958.28</v>
      </c>
    </row>
    <row r="1758" customFormat="false" ht="13.5" hidden="false" customHeight="false" outlineLevel="0" collapsed="false">
      <c r="A1758" s="1" t="s">
        <v>1150</v>
      </c>
      <c r="B1758" s="1" t="n">
        <v>1</v>
      </c>
      <c r="C1758" s="5" t="n">
        <v>46287</v>
      </c>
      <c r="D1758" s="6" t="s">
        <v>1151</v>
      </c>
      <c r="E1758" s="6" t="s">
        <v>151</v>
      </c>
      <c r="F1758" s="6" t="s">
        <v>73</v>
      </c>
      <c r="G1758" s="6" t="s">
        <v>47</v>
      </c>
      <c r="H1758" s="6" t="s">
        <v>65</v>
      </c>
      <c r="I1758" s="1" t="n">
        <v>2</v>
      </c>
      <c r="J1758" s="7" t="n">
        <v>10092.11</v>
      </c>
      <c r="K1758" s="8" t="n">
        <v>0</v>
      </c>
      <c r="L1758" s="7" t="n">
        <v>5125.36</v>
      </c>
      <c r="M1758" s="6" t="s">
        <v>69</v>
      </c>
      <c r="N1758" s="6" t="s">
        <v>50</v>
      </c>
      <c r="O1758" s="6" t="n">
        <f aca="false">IF(TablaVentas[[#This Row],[Precio_unitario]]="","PENDIENTE",TablaVentas[[#This Row],[Unidades]]*TablaVentas[[#This Row],[Precio_unitario]]*(1-TablaVentas[[#This Row],[Descuento_pct]]))</f>
        <v>20184.22</v>
      </c>
      <c r="P1758" s="6" t="n">
        <f aca="false">IF(TablaVentas[[#This Row],[Costo_unitario]]="","PENDIENTE",TablaVentas[[#This Row],[Unidades]]*TablaVentas[[#This Row],[Costo_unitario]])</f>
        <v>10250.72</v>
      </c>
      <c r="Q1758" s="6" t="n">
        <f aca="false">IF(OR(TablaVentas[[#This Row],[Ingreso_neto]]="PENDIENTE",TablaVentas[[#This Row],[Costo_total]]="PENDIENTE"),"PENDIENTE",TablaVentas[[#This Row],[Ingreso_neto]]-TablaVentas[[#This Row],[Costo_total]])</f>
        <v>9933.5</v>
      </c>
    </row>
    <row r="1759" customFormat="false" ht="13.5" hidden="false" customHeight="false" outlineLevel="0" collapsed="false">
      <c r="A1759" s="1" t="s">
        <v>1152</v>
      </c>
      <c r="B1759" s="1" t="n">
        <v>1</v>
      </c>
      <c r="C1759" s="5" t="n">
        <v>46057</v>
      </c>
      <c r="D1759" s="6" t="s">
        <v>744</v>
      </c>
      <c r="E1759" s="6" t="s">
        <v>234</v>
      </c>
      <c r="F1759" s="6" t="s">
        <v>73</v>
      </c>
      <c r="G1759" s="6" t="s">
        <v>57</v>
      </c>
      <c r="H1759" s="6" t="s">
        <v>89</v>
      </c>
      <c r="I1759" s="1" t="n">
        <v>2</v>
      </c>
      <c r="J1759" s="7" t="n">
        <v>8037.73</v>
      </c>
      <c r="K1759" s="8" t="n">
        <v>0.1</v>
      </c>
      <c r="L1759" s="7" t="n">
        <v>6255.13</v>
      </c>
      <c r="M1759" s="6" t="s">
        <v>49</v>
      </c>
      <c r="N1759" s="6" t="s">
        <v>50</v>
      </c>
      <c r="O1759" s="6" t="n">
        <f aca="false">IF(TablaVentas[[#This Row],[Precio_unitario]]="","PENDIENTE",TablaVentas[[#This Row],[Unidades]]*TablaVentas[[#This Row],[Precio_unitario]]*(1-TablaVentas[[#This Row],[Descuento_pct]]))</f>
        <v>14467.914</v>
      </c>
      <c r="P1759" s="6" t="n">
        <f aca="false">IF(TablaVentas[[#This Row],[Costo_unitario]]="","PENDIENTE",TablaVentas[[#This Row],[Unidades]]*TablaVentas[[#This Row],[Costo_unitario]])</f>
        <v>12510.26</v>
      </c>
      <c r="Q1759" s="6" t="n">
        <f aca="false">IF(OR(TablaVentas[[#This Row],[Ingreso_neto]]="PENDIENTE",TablaVentas[[#This Row],[Costo_total]]="PENDIENTE"),"PENDIENTE",TablaVentas[[#This Row],[Ingreso_neto]]-TablaVentas[[#This Row],[Costo_total]])</f>
        <v>1957.654</v>
      </c>
    </row>
    <row r="1760" customFormat="false" ht="13.5" hidden="false" customHeight="false" outlineLevel="0" collapsed="false">
      <c r="A1760" s="1" t="s">
        <v>1153</v>
      </c>
      <c r="B1760" s="1" t="n">
        <v>1</v>
      </c>
      <c r="C1760" s="5" t="n">
        <v>46154</v>
      </c>
      <c r="D1760" s="6" t="s">
        <v>173</v>
      </c>
      <c r="E1760" s="6" t="s">
        <v>108</v>
      </c>
      <c r="F1760" s="6" t="s">
        <v>46</v>
      </c>
      <c r="G1760" s="6" t="s">
        <v>47</v>
      </c>
      <c r="H1760" s="6" t="s">
        <v>65</v>
      </c>
      <c r="I1760" s="1" t="n">
        <v>1</v>
      </c>
      <c r="J1760" s="7" t="n">
        <v>4546.49</v>
      </c>
      <c r="K1760" s="8" t="n">
        <v>0.1</v>
      </c>
      <c r="L1760" s="7" t="n">
        <v>2865.24</v>
      </c>
      <c r="M1760" s="6" t="s">
        <v>49</v>
      </c>
      <c r="N1760" s="6" t="s">
        <v>67</v>
      </c>
      <c r="O1760" s="6" t="n">
        <f aca="false">IF(TablaVentas[[#This Row],[Precio_unitario]]="","PENDIENTE",TablaVentas[[#This Row],[Unidades]]*TablaVentas[[#This Row],[Precio_unitario]]*(1-TablaVentas[[#This Row],[Descuento_pct]]))</f>
        <v>4091.841</v>
      </c>
      <c r="P1760" s="6" t="n">
        <f aca="false">IF(TablaVentas[[#This Row],[Costo_unitario]]="","PENDIENTE",TablaVentas[[#This Row],[Unidades]]*TablaVentas[[#This Row],[Costo_unitario]])</f>
        <v>2865.24</v>
      </c>
      <c r="Q1760" s="6" t="n">
        <f aca="false">IF(OR(TablaVentas[[#This Row],[Ingreso_neto]]="PENDIENTE",TablaVentas[[#This Row],[Costo_total]]="PENDIENTE"),"PENDIENTE",TablaVentas[[#This Row],[Ingreso_neto]]-TablaVentas[[#This Row],[Costo_total]])</f>
        <v>1226.601</v>
      </c>
    </row>
    <row r="1761" customFormat="false" ht="13.5" hidden="false" customHeight="false" outlineLevel="0" collapsed="false">
      <c r="A1761" s="1" t="s">
        <v>1153</v>
      </c>
      <c r="B1761" s="1" t="n">
        <v>2</v>
      </c>
      <c r="C1761" s="5" t="n">
        <v>46154</v>
      </c>
      <c r="D1761" s="6" t="s">
        <v>173</v>
      </c>
      <c r="E1761" s="6" t="s">
        <v>83</v>
      </c>
      <c r="F1761" s="6" t="s">
        <v>46</v>
      </c>
      <c r="G1761" s="6" t="s">
        <v>47</v>
      </c>
      <c r="H1761" s="6" t="s">
        <v>65</v>
      </c>
      <c r="I1761" s="1" t="n">
        <v>4</v>
      </c>
      <c r="J1761" s="7" t="n">
        <v>13785.64</v>
      </c>
      <c r="K1761" s="8" t="n">
        <v>0.2</v>
      </c>
      <c r="L1761" s="7" t="n">
        <v>7748.44</v>
      </c>
      <c r="M1761" s="6" t="s">
        <v>123</v>
      </c>
      <c r="N1761" s="6" t="s">
        <v>59</v>
      </c>
      <c r="O1761" s="6" t="n">
        <f aca="false">IF(TablaVentas[[#This Row],[Precio_unitario]]="","PENDIENTE",TablaVentas[[#This Row],[Unidades]]*TablaVentas[[#This Row],[Precio_unitario]]*(1-TablaVentas[[#This Row],[Descuento_pct]]))</f>
        <v>44114.048</v>
      </c>
      <c r="P1761" s="6" t="n">
        <f aca="false">IF(TablaVentas[[#This Row],[Costo_unitario]]="","PENDIENTE",TablaVentas[[#This Row],[Unidades]]*TablaVentas[[#This Row],[Costo_unitario]])</f>
        <v>30993.76</v>
      </c>
      <c r="Q1761" s="6" t="n">
        <f aca="false">IF(OR(TablaVentas[[#This Row],[Ingreso_neto]]="PENDIENTE",TablaVentas[[#This Row],[Costo_total]]="PENDIENTE"),"PENDIENTE",TablaVentas[[#This Row],[Ingreso_neto]]-TablaVentas[[#This Row],[Costo_total]])</f>
        <v>13120.288</v>
      </c>
    </row>
    <row r="1762" customFormat="false" ht="13.5" hidden="false" customHeight="false" outlineLevel="0" collapsed="false">
      <c r="A1762" s="1" t="s">
        <v>1154</v>
      </c>
      <c r="B1762" s="1" t="n">
        <v>1</v>
      </c>
      <c r="C1762" s="5" t="n">
        <v>46230</v>
      </c>
      <c r="D1762" s="6" t="s">
        <v>891</v>
      </c>
      <c r="E1762" s="6" t="s">
        <v>110</v>
      </c>
      <c r="F1762" s="6" t="s">
        <v>63</v>
      </c>
      <c r="G1762" s="6" t="s">
        <v>64</v>
      </c>
      <c r="H1762" s="6" t="s">
        <v>58</v>
      </c>
      <c r="I1762" s="1" t="n">
        <v>2</v>
      </c>
      <c r="J1762" s="7" t="n">
        <v>13686.38</v>
      </c>
      <c r="K1762" s="8" t="n">
        <v>0</v>
      </c>
      <c r="L1762" s="7" t="n">
        <v>7549.71</v>
      </c>
      <c r="M1762" s="6" t="s">
        <v>49</v>
      </c>
      <c r="N1762" s="6" t="s">
        <v>59</v>
      </c>
      <c r="O1762" s="6" t="n">
        <f aca="false">IF(TablaVentas[[#This Row],[Precio_unitario]]="","PENDIENTE",TablaVentas[[#This Row],[Unidades]]*TablaVentas[[#This Row],[Precio_unitario]]*(1-TablaVentas[[#This Row],[Descuento_pct]]))</f>
        <v>27372.76</v>
      </c>
      <c r="P1762" s="6" t="n">
        <f aca="false">IF(TablaVentas[[#This Row],[Costo_unitario]]="","PENDIENTE",TablaVentas[[#This Row],[Unidades]]*TablaVentas[[#This Row],[Costo_unitario]])</f>
        <v>15099.42</v>
      </c>
      <c r="Q1762" s="6" t="n">
        <f aca="false">IF(OR(TablaVentas[[#This Row],[Ingreso_neto]]="PENDIENTE",TablaVentas[[#This Row],[Costo_total]]="PENDIENTE"),"PENDIENTE",TablaVentas[[#This Row],[Ingreso_neto]]-TablaVentas[[#This Row],[Costo_total]])</f>
        <v>12273.34</v>
      </c>
    </row>
    <row r="1763" customFormat="false" ht="13.5" hidden="false" customHeight="false" outlineLevel="0" collapsed="false">
      <c r="A1763" s="1" t="s">
        <v>1154</v>
      </c>
      <c r="B1763" s="1" t="n">
        <v>2</v>
      </c>
      <c r="C1763" s="5" t="n">
        <v>46230</v>
      </c>
      <c r="D1763" s="6" t="s">
        <v>891</v>
      </c>
      <c r="E1763" s="6" t="s">
        <v>132</v>
      </c>
      <c r="F1763" s="6" t="s">
        <v>63</v>
      </c>
      <c r="G1763" s="6" t="s">
        <v>64</v>
      </c>
      <c r="H1763" s="6" t="s">
        <v>58</v>
      </c>
      <c r="I1763" s="1" t="n">
        <v>4</v>
      </c>
      <c r="J1763" s="7" t="n">
        <v>1590.01</v>
      </c>
      <c r="K1763" s="8" t="n">
        <v>0</v>
      </c>
      <c r="L1763" s="7" t="n">
        <v>1044.32</v>
      </c>
      <c r="M1763" s="6" t="s">
        <v>49</v>
      </c>
      <c r="N1763" s="6" t="s">
        <v>52</v>
      </c>
      <c r="O1763" s="6" t="n">
        <f aca="false">IF(TablaVentas[[#This Row],[Precio_unitario]]="","PENDIENTE",TablaVentas[[#This Row],[Unidades]]*TablaVentas[[#This Row],[Precio_unitario]]*(1-TablaVentas[[#This Row],[Descuento_pct]]))</f>
        <v>6360.04</v>
      </c>
      <c r="P1763" s="6" t="n">
        <f aca="false">IF(TablaVentas[[#This Row],[Costo_unitario]]="","PENDIENTE",TablaVentas[[#This Row],[Unidades]]*TablaVentas[[#This Row],[Costo_unitario]])</f>
        <v>4177.28</v>
      </c>
      <c r="Q1763" s="6" t="n">
        <f aca="false">IF(OR(TablaVentas[[#This Row],[Ingreso_neto]]="PENDIENTE",TablaVentas[[#This Row],[Costo_total]]="PENDIENTE"),"PENDIENTE",TablaVentas[[#This Row],[Ingreso_neto]]-TablaVentas[[#This Row],[Costo_total]])</f>
        <v>2182.76</v>
      </c>
    </row>
    <row r="1764" customFormat="false" ht="13.5" hidden="false" customHeight="false" outlineLevel="0" collapsed="false">
      <c r="A1764" s="1" t="s">
        <v>1155</v>
      </c>
      <c r="B1764" s="1" t="n">
        <v>1</v>
      </c>
      <c r="C1764" s="5" t="n">
        <v>46214</v>
      </c>
      <c r="D1764" s="6" t="s">
        <v>536</v>
      </c>
      <c r="E1764" s="6" t="s">
        <v>56</v>
      </c>
      <c r="F1764" s="6" t="s">
        <v>63</v>
      </c>
      <c r="G1764" s="6" t="s">
        <v>57</v>
      </c>
      <c r="H1764" s="6" t="s">
        <v>109</v>
      </c>
      <c r="I1764" s="1" t="n">
        <v>2</v>
      </c>
      <c r="J1764" s="7" t="n">
        <v>3996</v>
      </c>
      <c r="K1764" s="8" t="n">
        <v>0</v>
      </c>
      <c r="L1764" s="7" t="n">
        <v>2950.52</v>
      </c>
      <c r="M1764" s="6" t="s">
        <v>49</v>
      </c>
      <c r="N1764" s="6" t="s">
        <v>67</v>
      </c>
      <c r="O1764" s="6" t="n">
        <f aca="false">IF(TablaVentas[[#This Row],[Precio_unitario]]="","PENDIENTE",TablaVentas[[#This Row],[Unidades]]*TablaVentas[[#This Row],[Precio_unitario]]*(1-TablaVentas[[#This Row],[Descuento_pct]]))</f>
        <v>7992</v>
      </c>
      <c r="P1764" s="6" t="n">
        <f aca="false">IF(TablaVentas[[#This Row],[Costo_unitario]]="","PENDIENTE",TablaVentas[[#This Row],[Unidades]]*TablaVentas[[#This Row],[Costo_unitario]])</f>
        <v>5901.04</v>
      </c>
      <c r="Q1764" s="6" t="n">
        <f aca="false">IF(OR(TablaVentas[[#This Row],[Ingreso_neto]]="PENDIENTE",TablaVentas[[#This Row],[Costo_total]]="PENDIENTE"),"PENDIENTE",TablaVentas[[#This Row],[Ingreso_neto]]-TablaVentas[[#This Row],[Costo_total]])</f>
        <v>2090.96</v>
      </c>
    </row>
    <row r="1765" customFormat="false" ht="13.5" hidden="false" customHeight="false" outlineLevel="0" collapsed="false">
      <c r="A1765" s="1" t="s">
        <v>1156</v>
      </c>
      <c r="B1765" s="1" t="n">
        <v>1</v>
      </c>
      <c r="C1765" s="5" t="n">
        <v>46274</v>
      </c>
      <c r="D1765" s="6" t="s">
        <v>1157</v>
      </c>
      <c r="E1765" s="6" t="s">
        <v>145</v>
      </c>
      <c r="F1765" s="6" t="s">
        <v>63</v>
      </c>
      <c r="G1765" s="6" t="s">
        <v>64</v>
      </c>
      <c r="H1765" s="6" t="s">
        <v>65</v>
      </c>
      <c r="I1765" s="1" t="n">
        <v>5</v>
      </c>
      <c r="J1765" s="7" t="n">
        <v>6633.55</v>
      </c>
      <c r="K1765" s="8" t="n">
        <v>0</v>
      </c>
      <c r="L1765" s="7" t="n">
        <v>4665.62</v>
      </c>
      <c r="M1765" s="6" t="s">
        <v>49</v>
      </c>
      <c r="N1765" s="6" t="s">
        <v>67</v>
      </c>
      <c r="O1765" s="6" t="n">
        <f aca="false">IF(TablaVentas[[#This Row],[Precio_unitario]]="","PENDIENTE",TablaVentas[[#This Row],[Unidades]]*TablaVentas[[#This Row],[Precio_unitario]]*(1-TablaVentas[[#This Row],[Descuento_pct]]))</f>
        <v>33167.75</v>
      </c>
      <c r="P1765" s="6" t="n">
        <f aca="false">IF(TablaVentas[[#This Row],[Costo_unitario]]="","PENDIENTE",TablaVentas[[#This Row],[Unidades]]*TablaVentas[[#This Row],[Costo_unitario]])</f>
        <v>23328.1</v>
      </c>
      <c r="Q1765" s="6" t="n">
        <f aca="false">IF(OR(TablaVentas[[#This Row],[Ingreso_neto]]="PENDIENTE",TablaVentas[[#This Row],[Costo_total]]="PENDIENTE"),"PENDIENTE",TablaVentas[[#This Row],[Ingreso_neto]]-TablaVentas[[#This Row],[Costo_total]])</f>
        <v>9839.65</v>
      </c>
    </row>
    <row r="1766" customFormat="false" ht="13.5" hidden="false" customHeight="false" outlineLevel="0" collapsed="false">
      <c r="A1766" s="1" t="s">
        <v>1156</v>
      </c>
      <c r="B1766" s="1" t="n">
        <v>2</v>
      </c>
      <c r="C1766" s="5" t="n">
        <v>46274</v>
      </c>
      <c r="D1766" s="6" t="s">
        <v>1157</v>
      </c>
      <c r="E1766" s="6" t="s">
        <v>151</v>
      </c>
      <c r="F1766" s="6" t="s">
        <v>63</v>
      </c>
      <c r="G1766" s="6" t="s">
        <v>64</v>
      </c>
      <c r="H1766" s="6" t="s">
        <v>65</v>
      </c>
      <c r="I1766" s="1" t="n">
        <v>1</v>
      </c>
      <c r="J1766" s="7" t="n">
        <v>9351.26</v>
      </c>
      <c r="K1766" s="8" t="n">
        <v>0</v>
      </c>
      <c r="L1766" s="7" t="n">
        <v>5125.36</v>
      </c>
      <c r="M1766" s="6" t="s">
        <v>49</v>
      </c>
      <c r="N1766" s="6" t="s">
        <v>52</v>
      </c>
      <c r="O1766" s="6" t="n">
        <f aca="false">IF(TablaVentas[[#This Row],[Precio_unitario]]="","PENDIENTE",TablaVentas[[#This Row],[Unidades]]*TablaVentas[[#This Row],[Precio_unitario]]*(1-TablaVentas[[#This Row],[Descuento_pct]]))</f>
        <v>9351.26</v>
      </c>
      <c r="P1766" s="6" t="n">
        <f aca="false">IF(TablaVentas[[#This Row],[Costo_unitario]]="","PENDIENTE",TablaVentas[[#This Row],[Unidades]]*TablaVentas[[#This Row],[Costo_unitario]])</f>
        <v>5125.36</v>
      </c>
      <c r="Q1766" s="6" t="n">
        <f aca="false">IF(OR(TablaVentas[[#This Row],[Ingreso_neto]]="PENDIENTE",TablaVentas[[#This Row],[Costo_total]]="PENDIENTE"),"PENDIENTE",TablaVentas[[#This Row],[Ingreso_neto]]-TablaVentas[[#This Row],[Costo_total]])</f>
        <v>4225.9</v>
      </c>
    </row>
    <row r="1767" customFormat="false" ht="13.5" hidden="false" customHeight="false" outlineLevel="0" collapsed="false">
      <c r="A1767" s="1" t="s">
        <v>1158</v>
      </c>
      <c r="B1767" s="1" t="n">
        <v>1</v>
      </c>
      <c r="C1767" s="5" t="n">
        <v>46122</v>
      </c>
      <c r="D1767" s="6" t="s">
        <v>756</v>
      </c>
      <c r="E1767" s="6" t="s">
        <v>45</v>
      </c>
      <c r="F1767" s="6" t="s">
        <v>84</v>
      </c>
      <c r="G1767" s="6" t="s">
        <v>47</v>
      </c>
      <c r="H1767" s="6" t="s">
        <v>80</v>
      </c>
      <c r="I1767" s="1" t="n">
        <v>4</v>
      </c>
      <c r="J1767" s="7" t="n">
        <v>6118.75</v>
      </c>
      <c r="K1767" s="8" t="n">
        <v>0</v>
      </c>
      <c r="L1767" s="7" t="n">
        <v>3832.69</v>
      </c>
      <c r="M1767" s="6" t="s">
        <v>49</v>
      </c>
      <c r="N1767" s="6" t="s">
        <v>50</v>
      </c>
      <c r="O1767" s="6" t="n">
        <f aca="false">IF(TablaVentas[[#This Row],[Precio_unitario]]="","PENDIENTE",TablaVentas[[#This Row],[Unidades]]*TablaVentas[[#This Row],[Precio_unitario]]*(1-TablaVentas[[#This Row],[Descuento_pct]]))</f>
        <v>24475</v>
      </c>
      <c r="P1767" s="6" t="n">
        <f aca="false">IF(TablaVentas[[#This Row],[Costo_unitario]]="","PENDIENTE",TablaVentas[[#This Row],[Unidades]]*TablaVentas[[#This Row],[Costo_unitario]])</f>
        <v>15330.76</v>
      </c>
      <c r="Q1767" s="6" t="n">
        <f aca="false">IF(OR(TablaVentas[[#This Row],[Ingreso_neto]]="PENDIENTE",TablaVentas[[#This Row],[Costo_total]]="PENDIENTE"),"PENDIENTE",TablaVentas[[#This Row],[Ingreso_neto]]-TablaVentas[[#This Row],[Costo_total]])</f>
        <v>9144.24</v>
      </c>
    </row>
    <row r="1768" customFormat="false" ht="13.5" hidden="false" customHeight="false" outlineLevel="0" collapsed="false">
      <c r="A1768" s="1" t="s">
        <v>1159</v>
      </c>
      <c r="B1768" s="1" t="n">
        <v>1</v>
      </c>
      <c r="C1768" s="5" t="n">
        <v>46104</v>
      </c>
      <c r="D1768" s="6" t="s">
        <v>487</v>
      </c>
      <c r="E1768" s="6" t="s">
        <v>243</v>
      </c>
      <c r="F1768" s="6" t="s">
        <v>46</v>
      </c>
      <c r="G1768" s="6" t="s">
        <v>64</v>
      </c>
      <c r="H1768" s="6" t="s">
        <v>89</v>
      </c>
      <c r="I1768" s="1" t="n">
        <v>2</v>
      </c>
      <c r="J1768" s="7" t="n">
        <v>8926.33</v>
      </c>
      <c r="K1768" s="8" t="n">
        <v>0</v>
      </c>
      <c r="L1768" s="7" t="n">
        <v>8061.7</v>
      </c>
      <c r="M1768" s="6" t="s">
        <v>123</v>
      </c>
      <c r="N1768" s="6" t="s">
        <v>67</v>
      </c>
      <c r="O1768" s="6" t="n">
        <f aca="false">IF(TablaVentas[[#This Row],[Precio_unitario]]="","PENDIENTE",TablaVentas[[#This Row],[Unidades]]*TablaVentas[[#This Row],[Precio_unitario]]*(1-TablaVentas[[#This Row],[Descuento_pct]]))</f>
        <v>17852.66</v>
      </c>
      <c r="P1768" s="6" t="n">
        <f aca="false">IF(TablaVentas[[#This Row],[Costo_unitario]]="","PENDIENTE",TablaVentas[[#This Row],[Unidades]]*TablaVentas[[#This Row],[Costo_unitario]])</f>
        <v>16123.4</v>
      </c>
      <c r="Q1768" s="6" t="n">
        <f aca="false">IF(OR(TablaVentas[[#This Row],[Ingreso_neto]]="PENDIENTE",TablaVentas[[#This Row],[Costo_total]]="PENDIENTE"),"PENDIENTE",TablaVentas[[#This Row],[Ingreso_neto]]-TablaVentas[[#This Row],[Costo_total]])</f>
        <v>1729.26</v>
      </c>
    </row>
    <row r="1769" customFormat="false" ht="13.5" hidden="false" customHeight="false" outlineLevel="0" collapsed="false">
      <c r="A1769" s="1" t="s">
        <v>1159</v>
      </c>
      <c r="B1769" s="1" t="n">
        <v>2</v>
      </c>
      <c r="C1769" s="5" t="n">
        <v>46104</v>
      </c>
      <c r="D1769" s="6" t="s">
        <v>487</v>
      </c>
      <c r="E1769" s="6" t="s">
        <v>91</v>
      </c>
      <c r="F1769" s="6" t="s">
        <v>46</v>
      </c>
      <c r="G1769" s="6" t="s">
        <v>64</v>
      </c>
      <c r="H1769" s="6" t="s">
        <v>89</v>
      </c>
      <c r="I1769" s="1" t="n">
        <v>3</v>
      </c>
      <c r="J1769" s="7" t="n">
        <v>14481.42</v>
      </c>
      <c r="K1769" s="8" t="n">
        <v>0</v>
      </c>
      <c r="L1769" s="7" t="n">
        <v>8576.05</v>
      </c>
      <c r="M1769" s="6" t="s">
        <v>49</v>
      </c>
      <c r="N1769" s="6" t="s">
        <v>59</v>
      </c>
      <c r="O1769" s="6" t="n">
        <f aca="false">IF(TablaVentas[[#This Row],[Precio_unitario]]="","PENDIENTE",TablaVentas[[#This Row],[Unidades]]*TablaVentas[[#This Row],[Precio_unitario]]*(1-TablaVentas[[#This Row],[Descuento_pct]]))</f>
        <v>43444.26</v>
      </c>
      <c r="P1769" s="6" t="n">
        <f aca="false">IF(TablaVentas[[#This Row],[Costo_unitario]]="","PENDIENTE",TablaVentas[[#This Row],[Unidades]]*TablaVentas[[#This Row],[Costo_unitario]])</f>
        <v>25728.15</v>
      </c>
      <c r="Q1769" s="6" t="n">
        <f aca="false">IF(OR(TablaVentas[[#This Row],[Ingreso_neto]]="PENDIENTE",TablaVentas[[#This Row],[Costo_total]]="PENDIENTE"),"PENDIENTE",TablaVentas[[#This Row],[Ingreso_neto]]-TablaVentas[[#This Row],[Costo_total]])</f>
        <v>17716.11</v>
      </c>
    </row>
    <row r="1770" customFormat="false" ht="13.5" hidden="false" customHeight="false" outlineLevel="0" collapsed="false">
      <c r="A1770" s="1" t="s">
        <v>1159</v>
      </c>
      <c r="B1770" s="1" t="n">
        <v>3</v>
      </c>
      <c r="C1770" s="5" t="n">
        <v>46104</v>
      </c>
      <c r="D1770" s="6" t="s">
        <v>487</v>
      </c>
      <c r="E1770" s="6" t="s">
        <v>410</v>
      </c>
      <c r="F1770" s="6" t="s">
        <v>46</v>
      </c>
      <c r="G1770" s="6" t="s">
        <v>64</v>
      </c>
      <c r="H1770" s="6" t="s">
        <v>89</v>
      </c>
      <c r="I1770" s="1" t="n">
        <v>1</v>
      </c>
      <c r="J1770" s="7" t="n">
        <v>2861.35</v>
      </c>
      <c r="K1770" s="8" t="n">
        <v>0</v>
      </c>
      <c r="L1770" s="7" t="n">
        <v>1801.83</v>
      </c>
      <c r="M1770" s="6" t="s">
        <v>49</v>
      </c>
      <c r="N1770" s="6" t="s">
        <v>50</v>
      </c>
      <c r="O1770" s="6" t="n">
        <f aca="false">IF(TablaVentas[[#This Row],[Precio_unitario]]="","PENDIENTE",TablaVentas[[#This Row],[Unidades]]*TablaVentas[[#This Row],[Precio_unitario]]*(1-TablaVentas[[#This Row],[Descuento_pct]]))</f>
        <v>2861.35</v>
      </c>
      <c r="P1770" s="6" t="n">
        <f aca="false">IF(TablaVentas[[#This Row],[Costo_unitario]]="","PENDIENTE",TablaVentas[[#This Row],[Unidades]]*TablaVentas[[#This Row],[Costo_unitario]])</f>
        <v>1801.83</v>
      </c>
      <c r="Q1770" s="6" t="n">
        <f aca="false">IF(OR(TablaVentas[[#This Row],[Ingreso_neto]]="PENDIENTE",TablaVentas[[#This Row],[Costo_total]]="PENDIENTE"),"PENDIENTE",TablaVentas[[#This Row],[Ingreso_neto]]-TablaVentas[[#This Row],[Costo_total]])</f>
        <v>1059.52</v>
      </c>
    </row>
    <row r="1771" customFormat="false" ht="13.5" hidden="false" customHeight="false" outlineLevel="0" collapsed="false">
      <c r="A1771" s="1" t="s">
        <v>1159</v>
      </c>
      <c r="B1771" s="1" t="n">
        <v>4</v>
      </c>
      <c r="C1771" s="5" t="n">
        <v>46104</v>
      </c>
      <c r="D1771" s="6" t="s">
        <v>487</v>
      </c>
      <c r="E1771" s="6" t="s">
        <v>116</v>
      </c>
      <c r="F1771" s="6" t="s">
        <v>46</v>
      </c>
      <c r="G1771" s="6" t="s">
        <v>64</v>
      </c>
      <c r="H1771" s="6" t="s">
        <v>89</v>
      </c>
      <c r="I1771" s="1" t="n">
        <v>2</v>
      </c>
      <c r="J1771" s="7" t="n">
        <v>15863.84</v>
      </c>
      <c r="K1771" s="8" t="n">
        <v>0</v>
      </c>
      <c r="L1771" s="7" t="n">
        <v>9880.77</v>
      </c>
      <c r="M1771" s="6" t="s">
        <v>49</v>
      </c>
      <c r="N1771" s="6" t="s">
        <v>59</v>
      </c>
      <c r="O1771" s="6" t="n">
        <f aca="false">IF(TablaVentas[[#This Row],[Precio_unitario]]="","PENDIENTE",TablaVentas[[#This Row],[Unidades]]*TablaVentas[[#This Row],[Precio_unitario]]*(1-TablaVentas[[#This Row],[Descuento_pct]]))</f>
        <v>31727.68</v>
      </c>
      <c r="P1771" s="6" t="n">
        <f aca="false">IF(TablaVentas[[#This Row],[Costo_unitario]]="","PENDIENTE",TablaVentas[[#This Row],[Unidades]]*TablaVentas[[#This Row],[Costo_unitario]])</f>
        <v>19761.54</v>
      </c>
      <c r="Q1771" s="6" t="n">
        <f aca="false">IF(OR(TablaVentas[[#This Row],[Ingreso_neto]]="PENDIENTE",TablaVentas[[#This Row],[Costo_total]]="PENDIENTE"),"PENDIENTE",TablaVentas[[#This Row],[Ingreso_neto]]-TablaVentas[[#This Row],[Costo_total]])</f>
        <v>11966.14</v>
      </c>
    </row>
    <row r="1772" customFormat="false" ht="13.5" hidden="false" customHeight="false" outlineLevel="0" collapsed="false">
      <c r="A1772" s="1" t="s">
        <v>1159</v>
      </c>
      <c r="B1772" s="1" t="n">
        <v>5</v>
      </c>
      <c r="C1772" s="5" t="n">
        <v>46104</v>
      </c>
      <c r="D1772" s="6" t="s">
        <v>487</v>
      </c>
      <c r="E1772" s="6" t="s">
        <v>170</v>
      </c>
      <c r="F1772" s="6" t="s">
        <v>46</v>
      </c>
      <c r="G1772" s="6" t="s">
        <v>64</v>
      </c>
      <c r="H1772" s="6" t="s">
        <v>89</v>
      </c>
      <c r="I1772" s="1" t="n">
        <v>3</v>
      </c>
      <c r="J1772" s="7" t="n">
        <v>15170.64</v>
      </c>
      <c r="K1772" s="8" t="n">
        <v>0</v>
      </c>
      <c r="L1772" s="7" t="n">
        <v>12141.44</v>
      </c>
      <c r="M1772" s="6" t="s">
        <v>49</v>
      </c>
      <c r="N1772" s="6" t="s">
        <v>50</v>
      </c>
      <c r="O1772" s="6" t="n">
        <f aca="false">IF(TablaVentas[[#This Row],[Precio_unitario]]="","PENDIENTE",TablaVentas[[#This Row],[Unidades]]*TablaVentas[[#This Row],[Precio_unitario]]*(1-TablaVentas[[#This Row],[Descuento_pct]]))</f>
        <v>45511.92</v>
      </c>
      <c r="P1772" s="6" t="n">
        <f aca="false">IF(TablaVentas[[#This Row],[Costo_unitario]]="","PENDIENTE",TablaVentas[[#This Row],[Unidades]]*TablaVentas[[#This Row],[Costo_unitario]])</f>
        <v>36424.32</v>
      </c>
      <c r="Q1772" s="6" t="n">
        <f aca="false">IF(OR(TablaVentas[[#This Row],[Ingreso_neto]]="PENDIENTE",TablaVentas[[#This Row],[Costo_total]]="PENDIENTE"),"PENDIENTE",TablaVentas[[#This Row],[Ingreso_neto]]-TablaVentas[[#This Row],[Costo_total]])</f>
        <v>9087.6</v>
      </c>
    </row>
    <row r="1773" customFormat="false" ht="13.5" hidden="false" customHeight="false" outlineLevel="0" collapsed="false">
      <c r="A1773" s="1" t="s">
        <v>1160</v>
      </c>
      <c r="B1773" s="1" t="n">
        <v>1</v>
      </c>
      <c r="C1773" s="5" t="n">
        <v>46184</v>
      </c>
      <c r="D1773" s="6" t="s">
        <v>359</v>
      </c>
      <c r="E1773" s="6" t="s">
        <v>116</v>
      </c>
      <c r="F1773" s="6" t="s">
        <v>73</v>
      </c>
      <c r="G1773" s="6" t="s">
        <v>47</v>
      </c>
      <c r="H1773" s="6" t="s">
        <v>58</v>
      </c>
      <c r="I1773" s="1" t="n">
        <v>1</v>
      </c>
      <c r="J1773" s="7" t="n">
        <v>13828.83</v>
      </c>
      <c r="K1773" s="8" t="n">
        <v>0.05</v>
      </c>
      <c r="L1773" s="7" t="n">
        <v>9880.77</v>
      </c>
      <c r="M1773" s="6" t="s">
        <v>49</v>
      </c>
      <c r="N1773" s="6" t="s">
        <v>52</v>
      </c>
      <c r="O1773" s="6" t="n">
        <f aca="false">IF(TablaVentas[[#This Row],[Precio_unitario]]="","PENDIENTE",TablaVentas[[#This Row],[Unidades]]*TablaVentas[[#This Row],[Precio_unitario]]*(1-TablaVentas[[#This Row],[Descuento_pct]]))</f>
        <v>13137.3885</v>
      </c>
      <c r="P1773" s="6" t="n">
        <f aca="false">IF(TablaVentas[[#This Row],[Costo_unitario]]="","PENDIENTE",TablaVentas[[#This Row],[Unidades]]*TablaVentas[[#This Row],[Costo_unitario]])</f>
        <v>9880.77</v>
      </c>
      <c r="Q1773" s="6" t="n">
        <f aca="false">IF(OR(TablaVentas[[#This Row],[Ingreso_neto]]="PENDIENTE",TablaVentas[[#This Row],[Costo_total]]="PENDIENTE"),"PENDIENTE",TablaVentas[[#This Row],[Ingreso_neto]]-TablaVentas[[#This Row],[Costo_total]])</f>
        <v>3256.6185</v>
      </c>
    </row>
    <row r="1774" customFormat="false" ht="13.5" hidden="false" customHeight="false" outlineLevel="0" collapsed="false">
      <c r="A1774" s="1" t="s">
        <v>1160</v>
      </c>
      <c r="B1774" s="1" t="n">
        <v>2</v>
      </c>
      <c r="C1774" s="5" t="n">
        <v>46184</v>
      </c>
      <c r="D1774" s="6" t="s">
        <v>359</v>
      </c>
      <c r="E1774" s="6" t="s">
        <v>215</v>
      </c>
      <c r="F1774" s="6" t="s">
        <v>73</v>
      </c>
      <c r="G1774" s="6" t="s">
        <v>47</v>
      </c>
      <c r="H1774" s="6" t="s">
        <v>58</v>
      </c>
      <c r="I1774" s="1" t="n">
        <v>2</v>
      </c>
      <c r="J1774" s="7" t="n">
        <v>11081.17</v>
      </c>
      <c r="K1774" s="8" t="n">
        <v>0</v>
      </c>
      <c r="L1774" s="7" t="n">
        <v>5535.31</v>
      </c>
      <c r="M1774" s="6" t="s">
        <v>49</v>
      </c>
      <c r="N1774" s="6" t="s">
        <v>59</v>
      </c>
      <c r="O1774" s="6" t="n">
        <f aca="false">IF(TablaVentas[[#This Row],[Precio_unitario]]="","PENDIENTE",TablaVentas[[#This Row],[Unidades]]*TablaVentas[[#This Row],[Precio_unitario]]*(1-TablaVentas[[#This Row],[Descuento_pct]]))</f>
        <v>22162.34</v>
      </c>
      <c r="P1774" s="6" t="n">
        <f aca="false">IF(TablaVentas[[#This Row],[Costo_unitario]]="","PENDIENTE",TablaVentas[[#This Row],[Unidades]]*TablaVentas[[#This Row],[Costo_unitario]])</f>
        <v>11070.62</v>
      </c>
      <c r="Q1774" s="6" t="n">
        <f aca="false">IF(OR(TablaVentas[[#This Row],[Ingreso_neto]]="PENDIENTE",TablaVentas[[#This Row],[Costo_total]]="PENDIENTE"),"PENDIENTE",TablaVentas[[#This Row],[Ingreso_neto]]-TablaVentas[[#This Row],[Costo_total]])</f>
        <v>11091.72</v>
      </c>
    </row>
    <row r="1775" customFormat="false" ht="13.5" hidden="false" customHeight="false" outlineLevel="0" collapsed="false">
      <c r="A1775" s="1" t="s">
        <v>1161</v>
      </c>
      <c r="B1775" s="1" t="n">
        <v>1</v>
      </c>
      <c r="C1775" s="5" t="n">
        <v>46220</v>
      </c>
      <c r="D1775" s="6" t="s">
        <v>425</v>
      </c>
      <c r="E1775" s="6" t="s">
        <v>68</v>
      </c>
      <c r="F1775" s="6" t="s">
        <v>73</v>
      </c>
      <c r="G1775" s="6" t="s">
        <v>64</v>
      </c>
      <c r="H1775" s="6" t="s">
        <v>191</v>
      </c>
      <c r="I1775" s="1" t="n">
        <v>1</v>
      </c>
      <c r="J1775" s="7" t="n">
        <v>4238.26</v>
      </c>
      <c r="K1775" s="8" t="n">
        <v>0</v>
      </c>
      <c r="L1775" s="7" t="n">
        <v>2554.06</v>
      </c>
      <c r="M1775" s="6" t="s">
        <v>49</v>
      </c>
      <c r="N1775" s="6" t="s">
        <v>52</v>
      </c>
      <c r="O1775" s="6" t="n">
        <f aca="false">IF(TablaVentas[[#This Row],[Precio_unitario]]="","PENDIENTE",TablaVentas[[#This Row],[Unidades]]*TablaVentas[[#This Row],[Precio_unitario]]*(1-TablaVentas[[#This Row],[Descuento_pct]]))</f>
        <v>4238.26</v>
      </c>
      <c r="P1775" s="6" t="n">
        <f aca="false">IF(TablaVentas[[#This Row],[Costo_unitario]]="","PENDIENTE",TablaVentas[[#This Row],[Unidades]]*TablaVentas[[#This Row],[Costo_unitario]])</f>
        <v>2554.06</v>
      </c>
      <c r="Q1775" s="6" t="n">
        <f aca="false">IF(OR(TablaVentas[[#This Row],[Ingreso_neto]]="PENDIENTE",TablaVentas[[#This Row],[Costo_total]]="PENDIENTE"),"PENDIENTE",TablaVentas[[#This Row],[Ingreso_neto]]-TablaVentas[[#This Row],[Costo_total]])</f>
        <v>1684.2</v>
      </c>
    </row>
    <row r="1776" customFormat="false" ht="13.5" hidden="false" customHeight="false" outlineLevel="0" collapsed="false">
      <c r="A1776" s="1" t="s">
        <v>1161</v>
      </c>
      <c r="B1776" s="1" t="n">
        <v>2</v>
      </c>
      <c r="C1776" s="5" t="n">
        <v>46220</v>
      </c>
      <c r="D1776" s="6" t="s">
        <v>425</v>
      </c>
      <c r="E1776" s="6" t="s">
        <v>92</v>
      </c>
      <c r="F1776" s="6" t="s">
        <v>73</v>
      </c>
      <c r="G1776" s="6" t="s">
        <v>64</v>
      </c>
      <c r="H1776" s="6" t="s">
        <v>191</v>
      </c>
      <c r="I1776" s="1" t="n">
        <v>2</v>
      </c>
      <c r="J1776" s="7" t="n">
        <v>570.43</v>
      </c>
      <c r="K1776" s="8" t="n">
        <v>0.1</v>
      </c>
      <c r="L1776" s="7" t="n">
        <v>307.75</v>
      </c>
      <c r="M1776" s="6" t="s">
        <v>49</v>
      </c>
      <c r="N1776" s="6" t="s">
        <v>52</v>
      </c>
      <c r="O1776" s="6" t="n">
        <f aca="false">IF(TablaVentas[[#This Row],[Precio_unitario]]="","PENDIENTE",TablaVentas[[#This Row],[Unidades]]*TablaVentas[[#This Row],[Precio_unitario]]*(1-TablaVentas[[#This Row],[Descuento_pct]]))</f>
        <v>1026.774</v>
      </c>
      <c r="P1776" s="6" t="n">
        <f aca="false">IF(TablaVentas[[#This Row],[Costo_unitario]]="","PENDIENTE",TablaVentas[[#This Row],[Unidades]]*TablaVentas[[#This Row],[Costo_unitario]])</f>
        <v>615.5</v>
      </c>
      <c r="Q1776" s="6" t="n">
        <f aca="false">IF(OR(TablaVentas[[#This Row],[Ingreso_neto]]="PENDIENTE",TablaVentas[[#This Row],[Costo_total]]="PENDIENTE"),"PENDIENTE",TablaVentas[[#This Row],[Ingreso_neto]]-TablaVentas[[#This Row],[Costo_total]])</f>
        <v>411.274</v>
      </c>
    </row>
    <row r="1777" customFormat="false" ht="13.5" hidden="false" customHeight="false" outlineLevel="0" collapsed="false">
      <c r="A1777" s="1" t="s">
        <v>1161</v>
      </c>
      <c r="B1777" s="1" t="n">
        <v>3</v>
      </c>
      <c r="C1777" s="5" t="n">
        <v>46220</v>
      </c>
      <c r="D1777" s="6" t="s">
        <v>425</v>
      </c>
      <c r="E1777" s="6" t="s">
        <v>121</v>
      </c>
      <c r="F1777" s="6" t="s">
        <v>73</v>
      </c>
      <c r="G1777" s="6" t="s">
        <v>64</v>
      </c>
      <c r="H1777" s="6" t="s">
        <v>191</v>
      </c>
      <c r="I1777" s="1" t="n">
        <v>1</v>
      </c>
      <c r="J1777" s="7" t="n">
        <v>13178.31</v>
      </c>
      <c r="K1777" s="8" t="n">
        <v>0</v>
      </c>
      <c r="L1777" s="7" t="n">
        <v>8239.48</v>
      </c>
      <c r="M1777" s="6" t="s">
        <v>49</v>
      </c>
      <c r="N1777" s="6" t="s">
        <v>59</v>
      </c>
      <c r="O1777" s="6" t="n">
        <f aca="false">IF(TablaVentas[[#This Row],[Precio_unitario]]="","PENDIENTE",TablaVentas[[#This Row],[Unidades]]*TablaVentas[[#This Row],[Precio_unitario]]*(1-TablaVentas[[#This Row],[Descuento_pct]]))</f>
        <v>13178.31</v>
      </c>
      <c r="P1777" s="6" t="n">
        <f aca="false">IF(TablaVentas[[#This Row],[Costo_unitario]]="","PENDIENTE",TablaVentas[[#This Row],[Unidades]]*TablaVentas[[#This Row],[Costo_unitario]])</f>
        <v>8239.48</v>
      </c>
      <c r="Q1777" s="6" t="n">
        <f aca="false">IF(OR(TablaVentas[[#This Row],[Ingreso_neto]]="PENDIENTE",TablaVentas[[#This Row],[Costo_total]]="PENDIENTE"),"PENDIENTE",TablaVentas[[#This Row],[Ingreso_neto]]-TablaVentas[[#This Row],[Costo_total]])</f>
        <v>4938.83</v>
      </c>
    </row>
    <row r="1778" customFormat="false" ht="13.5" hidden="false" customHeight="false" outlineLevel="0" collapsed="false">
      <c r="A1778" s="1" t="s">
        <v>1162</v>
      </c>
      <c r="B1778" s="1" t="n">
        <v>1</v>
      </c>
      <c r="C1778" s="5" t="n">
        <v>46256</v>
      </c>
      <c r="D1778" s="6" t="s">
        <v>710</v>
      </c>
      <c r="E1778" s="6" t="s">
        <v>72</v>
      </c>
      <c r="F1778" s="6" t="s">
        <v>46</v>
      </c>
      <c r="G1778" s="6" t="s">
        <v>64</v>
      </c>
      <c r="H1778" s="6" t="s">
        <v>58</v>
      </c>
      <c r="I1778" s="1" t="n">
        <v>1</v>
      </c>
      <c r="J1778" s="7" t="n">
        <v>11420.69</v>
      </c>
      <c r="K1778" s="8" t="n">
        <v>0.2</v>
      </c>
      <c r="L1778" s="7" t="n">
        <v>7328.02</v>
      </c>
      <c r="M1778" s="6" t="s">
        <v>123</v>
      </c>
      <c r="N1778" s="6" t="s">
        <v>67</v>
      </c>
      <c r="O1778" s="6" t="n">
        <f aca="false">IF(TablaVentas[[#This Row],[Precio_unitario]]="","PENDIENTE",TablaVentas[[#This Row],[Unidades]]*TablaVentas[[#This Row],[Precio_unitario]]*(1-TablaVentas[[#This Row],[Descuento_pct]]))</f>
        <v>9136.552</v>
      </c>
      <c r="P1778" s="6" t="n">
        <f aca="false">IF(TablaVentas[[#This Row],[Costo_unitario]]="","PENDIENTE",TablaVentas[[#This Row],[Unidades]]*TablaVentas[[#This Row],[Costo_unitario]])</f>
        <v>7328.02</v>
      </c>
      <c r="Q1778" s="6" t="n">
        <f aca="false">IF(OR(TablaVentas[[#This Row],[Ingreso_neto]]="PENDIENTE",TablaVentas[[#This Row],[Costo_total]]="PENDIENTE"),"PENDIENTE",TablaVentas[[#This Row],[Ingreso_neto]]-TablaVentas[[#This Row],[Costo_total]])</f>
        <v>1808.532</v>
      </c>
    </row>
    <row r="1779" customFormat="false" ht="13.5" hidden="false" customHeight="false" outlineLevel="0" collapsed="false">
      <c r="A1779" s="1" t="s">
        <v>1162</v>
      </c>
      <c r="B1779" s="1" t="n">
        <v>2</v>
      </c>
      <c r="C1779" s="5" t="n">
        <v>46256</v>
      </c>
      <c r="D1779" s="6" t="s">
        <v>710</v>
      </c>
      <c r="E1779" s="6" t="s">
        <v>151</v>
      </c>
      <c r="F1779" s="6" t="s">
        <v>46</v>
      </c>
      <c r="G1779" s="6" t="s">
        <v>64</v>
      </c>
      <c r="H1779" s="6" t="s">
        <v>58</v>
      </c>
      <c r="I1779" s="1" t="n">
        <v>2</v>
      </c>
      <c r="J1779" s="7" t="n">
        <v>9798.41</v>
      </c>
      <c r="K1779" s="8" t="n">
        <v>0</v>
      </c>
      <c r="L1779" s="7" t="n">
        <v>5125.36</v>
      </c>
      <c r="M1779" s="6" t="s">
        <v>123</v>
      </c>
      <c r="N1779" s="6" t="s">
        <v>67</v>
      </c>
      <c r="O1779" s="6" t="n">
        <f aca="false">IF(TablaVentas[[#This Row],[Precio_unitario]]="","PENDIENTE",TablaVentas[[#This Row],[Unidades]]*TablaVentas[[#This Row],[Precio_unitario]]*(1-TablaVentas[[#This Row],[Descuento_pct]]))</f>
        <v>19596.82</v>
      </c>
      <c r="P1779" s="6" t="n">
        <f aca="false">IF(TablaVentas[[#This Row],[Costo_unitario]]="","PENDIENTE",TablaVentas[[#This Row],[Unidades]]*TablaVentas[[#This Row],[Costo_unitario]])</f>
        <v>10250.72</v>
      </c>
      <c r="Q1779" s="6" t="n">
        <f aca="false">IF(OR(TablaVentas[[#This Row],[Ingreso_neto]]="PENDIENTE",TablaVentas[[#This Row],[Costo_total]]="PENDIENTE"),"PENDIENTE",TablaVentas[[#This Row],[Ingreso_neto]]-TablaVentas[[#This Row],[Costo_total]])</f>
        <v>9346.1</v>
      </c>
    </row>
    <row r="1780" customFormat="false" ht="13.5" hidden="false" customHeight="false" outlineLevel="0" collapsed="false">
      <c r="A1780" s="1" t="s">
        <v>1162</v>
      </c>
      <c r="B1780" s="1" t="n">
        <v>3</v>
      </c>
      <c r="C1780" s="5" t="n">
        <v>46256</v>
      </c>
      <c r="D1780" s="6" t="s">
        <v>710</v>
      </c>
      <c r="E1780" s="6" t="s">
        <v>108</v>
      </c>
      <c r="F1780" s="6" t="s">
        <v>46</v>
      </c>
      <c r="G1780" s="6" t="s">
        <v>64</v>
      </c>
      <c r="H1780" s="6" t="s">
        <v>58</v>
      </c>
      <c r="I1780" s="1" t="n">
        <v>12</v>
      </c>
      <c r="J1780" s="7" t="n">
        <v>5124.02</v>
      </c>
      <c r="K1780" s="8" t="n">
        <v>0</v>
      </c>
      <c r="L1780" s="7" t="n">
        <v>2865.24</v>
      </c>
      <c r="M1780" s="6" t="s">
        <v>49</v>
      </c>
      <c r="N1780" s="6" t="s">
        <v>50</v>
      </c>
      <c r="O1780" s="6" t="n">
        <f aca="false">IF(TablaVentas[[#This Row],[Precio_unitario]]="","PENDIENTE",TablaVentas[[#This Row],[Unidades]]*TablaVentas[[#This Row],[Precio_unitario]]*(1-TablaVentas[[#This Row],[Descuento_pct]]))</f>
        <v>61488.24</v>
      </c>
      <c r="P1780" s="6" t="n">
        <f aca="false">IF(TablaVentas[[#This Row],[Costo_unitario]]="","PENDIENTE",TablaVentas[[#This Row],[Unidades]]*TablaVentas[[#This Row],[Costo_unitario]])</f>
        <v>34382.88</v>
      </c>
      <c r="Q1780" s="6" t="n">
        <f aca="false">IF(OR(TablaVentas[[#This Row],[Ingreso_neto]]="PENDIENTE",TablaVentas[[#This Row],[Costo_total]]="PENDIENTE"),"PENDIENTE",TablaVentas[[#This Row],[Ingreso_neto]]-TablaVentas[[#This Row],[Costo_total]])</f>
        <v>27105.36</v>
      </c>
    </row>
    <row r="1781" customFormat="false" ht="13.5" hidden="false" customHeight="false" outlineLevel="0" collapsed="false">
      <c r="A1781" s="1" t="s">
        <v>1163</v>
      </c>
      <c r="B1781" s="1" t="n">
        <v>1</v>
      </c>
      <c r="C1781" s="5" t="n">
        <v>46243</v>
      </c>
      <c r="D1781" s="6" t="s">
        <v>380</v>
      </c>
      <c r="E1781" s="6" t="s">
        <v>192</v>
      </c>
      <c r="F1781" s="6" t="s">
        <v>84</v>
      </c>
      <c r="G1781" s="6" t="s">
        <v>57</v>
      </c>
      <c r="H1781" s="6" t="s">
        <v>109</v>
      </c>
      <c r="I1781" s="1" t="n">
        <v>2</v>
      </c>
      <c r="J1781" s="7" t="n">
        <v>17891.78</v>
      </c>
      <c r="K1781" s="8" t="n">
        <v>0.1</v>
      </c>
      <c r="L1781" s="7" t="n">
        <v>11904.09</v>
      </c>
      <c r="M1781" s="6" t="s">
        <v>49</v>
      </c>
      <c r="N1781" s="6" t="s">
        <v>50</v>
      </c>
      <c r="O1781" s="6" t="n">
        <f aca="false">IF(TablaVentas[[#This Row],[Precio_unitario]]="","PENDIENTE",TablaVentas[[#This Row],[Unidades]]*TablaVentas[[#This Row],[Precio_unitario]]*(1-TablaVentas[[#This Row],[Descuento_pct]]))</f>
        <v>32205.204</v>
      </c>
      <c r="P1781" s="6" t="n">
        <f aca="false">IF(TablaVentas[[#This Row],[Costo_unitario]]="","PENDIENTE",TablaVentas[[#This Row],[Unidades]]*TablaVentas[[#This Row],[Costo_unitario]])</f>
        <v>23808.18</v>
      </c>
      <c r="Q1781" s="6" t="n">
        <f aca="false">IF(OR(TablaVentas[[#This Row],[Ingreso_neto]]="PENDIENTE",TablaVentas[[#This Row],[Costo_total]]="PENDIENTE"),"PENDIENTE",TablaVentas[[#This Row],[Ingreso_neto]]-TablaVentas[[#This Row],[Costo_total]])</f>
        <v>8397.024</v>
      </c>
    </row>
    <row r="1782" customFormat="false" ht="13.5" hidden="false" customHeight="false" outlineLevel="0" collapsed="false">
      <c r="A1782" s="1" t="s">
        <v>1163</v>
      </c>
      <c r="B1782" s="1" t="n">
        <v>2</v>
      </c>
      <c r="C1782" s="5" t="n">
        <v>46243</v>
      </c>
      <c r="D1782" s="6" t="s">
        <v>380</v>
      </c>
      <c r="E1782" s="6" t="s">
        <v>171</v>
      </c>
      <c r="F1782" s="6" t="s">
        <v>84</v>
      </c>
      <c r="G1782" s="6" t="s">
        <v>57</v>
      </c>
      <c r="H1782" s="6" t="s">
        <v>109</v>
      </c>
      <c r="I1782" s="1" t="n">
        <v>2</v>
      </c>
      <c r="J1782" s="7" t="n">
        <v>5739.85</v>
      </c>
      <c r="K1782" s="8" t="n">
        <v>0</v>
      </c>
      <c r="L1782" s="7" t="n">
        <v>5050.04</v>
      </c>
      <c r="M1782" s="6" t="s">
        <v>49</v>
      </c>
      <c r="N1782" s="6" t="s">
        <v>59</v>
      </c>
      <c r="O1782" s="6" t="n">
        <f aca="false">IF(TablaVentas[[#This Row],[Precio_unitario]]="","PENDIENTE",TablaVentas[[#This Row],[Unidades]]*TablaVentas[[#This Row],[Precio_unitario]]*(1-TablaVentas[[#This Row],[Descuento_pct]]))</f>
        <v>11479.7</v>
      </c>
      <c r="P1782" s="6" t="n">
        <f aca="false">IF(TablaVentas[[#This Row],[Costo_unitario]]="","PENDIENTE",TablaVentas[[#This Row],[Unidades]]*TablaVentas[[#This Row],[Costo_unitario]])</f>
        <v>10100.08</v>
      </c>
      <c r="Q1782" s="6" t="n">
        <f aca="false">IF(OR(TablaVentas[[#This Row],[Ingreso_neto]]="PENDIENTE",TablaVentas[[#This Row],[Costo_total]]="PENDIENTE"),"PENDIENTE",TablaVentas[[#This Row],[Ingreso_neto]]-TablaVentas[[#This Row],[Costo_total]])</f>
        <v>1379.62</v>
      </c>
    </row>
    <row r="1783" customFormat="false" ht="13.5" hidden="false" customHeight="false" outlineLevel="0" collapsed="false">
      <c r="A1783" s="1" t="s">
        <v>1163</v>
      </c>
      <c r="B1783" s="1" t="n">
        <v>3</v>
      </c>
      <c r="C1783" s="5" t="n">
        <v>46243</v>
      </c>
      <c r="D1783" s="6" t="s">
        <v>380</v>
      </c>
      <c r="E1783" s="6" t="s">
        <v>300</v>
      </c>
      <c r="F1783" s="6" t="s">
        <v>84</v>
      </c>
      <c r="G1783" s="6" t="s">
        <v>57</v>
      </c>
      <c r="H1783" s="6" t="s">
        <v>109</v>
      </c>
      <c r="I1783" s="1" t="n">
        <v>5</v>
      </c>
      <c r="J1783" s="7" t="n">
        <v>1142.69</v>
      </c>
      <c r="K1783" s="8" t="n">
        <v>0</v>
      </c>
      <c r="L1783" s="7" t="n">
        <v>936.52</v>
      </c>
      <c r="M1783" s="6" t="s">
        <v>49</v>
      </c>
      <c r="N1783" s="6" t="s">
        <v>67</v>
      </c>
      <c r="O1783" s="6" t="n">
        <f aca="false">IF(TablaVentas[[#This Row],[Precio_unitario]]="","PENDIENTE",TablaVentas[[#This Row],[Unidades]]*TablaVentas[[#This Row],[Precio_unitario]]*(1-TablaVentas[[#This Row],[Descuento_pct]]))</f>
        <v>5713.45</v>
      </c>
      <c r="P1783" s="6" t="n">
        <f aca="false">IF(TablaVentas[[#This Row],[Costo_unitario]]="","PENDIENTE",TablaVentas[[#This Row],[Unidades]]*TablaVentas[[#This Row],[Costo_unitario]])</f>
        <v>4682.6</v>
      </c>
      <c r="Q1783" s="6" t="n">
        <f aca="false">IF(OR(TablaVentas[[#This Row],[Ingreso_neto]]="PENDIENTE",TablaVentas[[#This Row],[Costo_total]]="PENDIENTE"),"PENDIENTE",TablaVentas[[#This Row],[Ingreso_neto]]-TablaVentas[[#This Row],[Costo_total]])</f>
        <v>1030.85</v>
      </c>
    </row>
    <row r="1784" customFormat="false" ht="13.5" hidden="false" customHeight="false" outlineLevel="0" collapsed="false">
      <c r="A1784" s="1" t="s">
        <v>1164</v>
      </c>
      <c r="B1784" s="1" t="n">
        <v>1</v>
      </c>
      <c r="C1784" s="5" t="n">
        <v>46166</v>
      </c>
      <c r="D1784" s="6" t="s">
        <v>134</v>
      </c>
      <c r="E1784" s="6" t="s">
        <v>170</v>
      </c>
      <c r="F1784" s="6" t="s">
        <v>84</v>
      </c>
      <c r="G1784" s="6" t="s">
        <v>64</v>
      </c>
      <c r="H1784" s="6" t="s">
        <v>109</v>
      </c>
      <c r="I1784" s="1" t="n">
        <v>1</v>
      </c>
      <c r="J1784" s="7" t="n">
        <v>16424.74</v>
      </c>
      <c r="K1784" s="8" t="n">
        <v>0.1</v>
      </c>
      <c r="L1784" s="7" t="n">
        <v>12141.44</v>
      </c>
      <c r="M1784" s="6" t="s">
        <v>49</v>
      </c>
      <c r="N1784" s="6" t="s">
        <v>67</v>
      </c>
      <c r="O1784" s="6" t="n">
        <f aca="false">IF(TablaVentas[[#This Row],[Precio_unitario]]="","PENDIENTE",TablaVentas[[#This Row],[Unidades]]*TablaVentas[[#This Row],[Precio_unitario]]*(1-TablaVentas[[#This Row],[Descuento_pct]]))</f>
        <v>14782.266</v>
      </c>
      <c r="P1784" s="6" t="n">
        <f aca="false">IF(TablaVentas[[#This Row],[Costo_unitario]]="","PENDIENTE",TablaVentas[[#This Row],[Unidades]]*TablaVentas[[#This Row],[Costo_unitario]])</f>
        <v>12141.44</v>
      </c>
      <c r="Q1784" s="6" t="n">
        <f aca="false">IF(OR(TablaVentas[[#This Row],[Ingreso_neto]]="PENDIENTE",TablaVentas[[#This Row],[Costo_total]]="PENDIENTE"),"PENDIENTE",TablaVentas[[#This Row],[Ingreso_neto]]-TablaVentas[[#This Row],[Costo_total]])</f>
        <v>2640.826</v>
      </c>
    </row>
    <row r="1785" customFormat="false" ht="13.5" hidden="false" customHeight="false" outlineLevel="0" collapsed="false">
      <c r="A1785" s="1" t="s">
        <v>1164</v>
      </c>
      <c r="B1785" s="1" t="n">
        <v>2</v>
      </c>
      <c r="C1785" s="5" t="n">
        <v>46166</v>
      </c>
      <c r="D1785" s="6" t="s">
        <v>134</v>
      </c>
      <c r="E1785" s="6" t="s">
        <v>263</v>
      </c>
      <c r="F1785" s="6" t="s">
        <v>84</v>
      </c>
      <c r="G1785" s="6" t="s">
        <v>64</v>
      </c>
      <c r="H1785" s="6" t="s">
        <v>109</v>
      </c>
      <c r="I1785" s="1" t="n">
        <v>1</v>
      </c>
      <c r="J1785" s="7" t="n">
        <v>18150.8</v>
      </c>
      <c r="K1785" s="8" t="n">
        <v>0</v>
      </c>
      <c r="L1785" s="7" t="n">
        <v>11666.57</v>
      </c>
      <c r="M1785" s="6" t="s">
        <v>49</v>
      </c>
      <c r="N1785" s="6" t="s">
        <v>50</v>
      </c>
      <c r="O1785" s="6" t="n">
        <f aca="false">IF(TablaVentas[[#This Row],[Precio_unitario]]="","PENDIENTE",TablaVentas[[#This Row],[Unidades]]*TablaVentas[[#This Row],[Precio_unitario]]*(1-TablaVentas[[#This Row],[Descuento_pct]]))</f>
        <v>18150.8</v>
      </c>
      <c r="P1785" s="6" t="n">
        <f aca="false">IF(TablaVentas[[#This Row],[Costo_unitario]]="","PENDIENTE",TablaVentas[[#This Row],[Unidades]]*TablaVentas[[#This Row],[Costo_unitario]])</f>
        <v>11666.57</v>
      </c>
      <c r="Q1785" s="6" t="n">
        <f aca="false">IF(OR(TablaVentas[[#This Row],[Ingreso_neto]]="PENDIENTE",TablaVentas[[#This Row],[Costo_total]]="PENDIENTE"),"PENDIENTE",TablaVentas[[#This Row],[Ingreso_neto]]-TablaVentas[[#This Row],[Costo_total]])</f>
        <v>6484.23</v>
      </c>
    </row>
    <row r="1786" customFormat="false" ht="13.5" hidden="false" customHeight="false" outlineLevel="0" collapsed="false">
      <c r="A1786" s="1" t="s">
        <v>1165</v>
      </c>
      <c r="B1786" s="1" t="n">
        <v>1</v>
      </c>
      <c r="C1786" s="5" t="n">
        <v>46234</v>
      </c>
      <c r="D1786" s="6" t="s">
        <v>600</v>
      </c>
      <c r="E1786" s="6" t="s">
        <v>127</v>
      </c>
      <c r="F1786" s="6" t="s">
        <v>46</v>
      </c>
      <c r="G1786" s="6" t="s">
        <v>47</v>
      </c>
      <c r="H1786" s="6" t="s">
        <v>58</v>
      </c>
      <c r="I1786" s="1" t="n">
        <v>8</v>
      </c>
      <c r="J1786" s="7" t="n">
        <v>13474.47</v>
      </c>
      <c r="K1786" s="8" t="n">
        <v>0</v>
      </c>
      <c r="L1786" s="7" t="n">
        <v>7975.26</v>
      </c>
      <c r="M1786" s="6" t="s">
        <v>49</v>
      </c>
      <c r="N1786" s="6" t="s">
        <v>67</v>
      </c>
      <c r="O1786" s="6" t="n">
        <f aca="false">IF(TablaVentas[[#This Row],[Precio_unitario]]="","PENDIENTE",TablaVentas[[#This Row],[Unidades]]*TablaVentas[[#This Row],[Precio_unitario]]*(1-TablaVentas[[#This Row],[Descuento_pct]]))</f>
        <v>107795.76</v>
      </c>
      <c r="P1786" s="6" t="n">
        <f aca="false">IF(TablaVentas[[#This Row],[Costo_unitario]]="","PENDIENTE",TablaVentas[[#This Row],[Unidades]]*TablaVentas[[#This Row],[Costo_unitario]])</f>
        <v>63802.08</v>
      </c>
      <c r="Q1786" s="6" t="n">
        <f aca="false">IF(OR(TablaVentas[[#This Row],[Ingreso_neto]]="PENDIENTE",TablaVentas[[#This Row],[Costo_total]]="PENDIENTE"),"PENDIENTE",TablaVentas[[#This Row],[Ingreso_neto]]-TablaVentas[[#This Row],[Costo_total]])</f>
        <v>43993.68</v>
      </c>
    </row>
    <row r="1787" customFormat="false" ht="13.5" hidden="false" customHeight="false" outlineLevel="0" collapsed="false">
      <c r="A1787" s="1" t="s">
        <v>1165</v>
      </c>
      <c r="B1787" s="1" t="n">
        <v>2</v>
      </c>
      <c r="C1787" s="5" t="n">
        <v>46234</v>
      </c>
      <c r="D1787" s="6" t="s">
        <v>600</v>
      </c>
      <c r="E1787" s="6" t="s">
        <v>263</v>
      </c>
      <c r="F1787" s="6" t="s">
        <v>46</v>
      </c>
      <c r="G1787" s="6" t="s">
        <v>47</v>
      </c>
      <c r="H1787" s="6" t="s">
        <v>58</v>
      </c>
      <c r="I1787" s="1" t="n">
        <v>3</v>
      </c>
      <c r="J1787" s="7" t="n">
        <v>18753.36</v>
      </c>
      <c r="K1787" s="8" t="n">
        <v>0</v>
      </c>
      <c r="L1787" s="7" t="n">
        <v>11666.57</v>
      </c>
      <c r="M1787" s="6" t="s">
        <v>49</v>
      </c>
      <c r="N1787" s="6" t="s">
        <v>67</v>
      </c>
      <c r="O1787" s="6" t="n">
        <f aca="false">IF(TablaVentas[[#This Row],[Precio_unitario]]="","PENDIENTE",TablaVentas[[#This Row],[Unidades]]*TablaVentas[[#This Row],[Precio_unitario]]*(1-TablaVentas[[#This Row],[Descuento_pct]]))</f>
        <v>56260.08</v>
      </c>
      <c r="P1787" s="6" t="n">
        <f aca="false">IF(TablaVentas[[#This Row],[Costo_unitario]]="","PENDIENTE",TablaVentas[[#This Row],[Unidades]]*TablaVentas[[#This Row],[Costo_unitario]])</f>
        <v>34999.71</v>
      </c>
      <c r="Q1787" s="6" t="n">
        <f aca="false">IF(OR(TablaVentas[[#This Row],[Ingreso_neto]]="PENDIENTE",TablaVentas[[#This Row],[Costo_total]]="PENDIENTE"),"PENDIENTE",TablaVentas[[#This Row],[Ingreso_neto]]-TablaVentas[[#This Row],[Costo_total]])</f>
        <v>21260.37</v>
      </c>
    </row>
    <row r="1788" customFormat="false" ht="13.5" hidden="false" customHeight="false" outlineLevel="0" collapsed="false">
      <c r="A1788" s="1" t="s">
        <v>1165</v>
      </c>
      <c r="B1788" s="1" t="n">
        <v>3</v>
      </c>
      <c r="C1788" s="5" t="n">
        <v>46234</v>
      </c>
      <c r="D1788" s="6" t="s">
        <v>600</v>
      </c>
      <c r="E1788" s="6" t="s">
        <v>174</v>
      </c>
      <c r="F1788" s="6" t="s">
        <v>46</v>
      </c>
      <c r="G1788" s="6" t="s">
        <v>47</v>
      </c>
      <c r="H1788" s="6" t="s">
        <v>58</v>
      </c>
      <c r="I1788" s="1" t="n">
        <v>3</v>
      </c>
      <c r="J1788" s="7" t="n">
        <v>17864</v>
      </c>
      <c r="K1788" s="8" t="n">
        <v>0</v>
      </c>
      <c r="L1788" s="7" t="n">
        <v>8704.4</v>
      </c>
      <c r="M1788" s="6" t="s">
        <v>49</v>
      </c>
      <c r="N1788" s="6" t="s">
        <v>59</v>
      </c>
      <c r="O1788" s="6" t="n">
        <f aca="false">IF(TablaVentas[[#This Row],[Precio_unitario]]="","PENDIENTE",TablaVentas[[#This Row],[Unidades]]*TablaVentas[[#This Row],[Precio_unitario]]*(1-TablaVentas[[#This Row],[Descuento_pct]]))</f>
        <v>53592</v>
      </c>
      <c r="P1788" s="6" t="n">
        <f aca="false">IF(TablaVentas[[#This Row],[Costo_unitario]]="","PENDIENTE",TablaVentas[[#This Row],[Unidades]]*TablaVentas[[#This Row],[Costo_unitario]])</f>
        <v>26113.2</v>
      </c>
      <c r="Q1788" s="6" t="n">
        <f aca="false">IF(OR(TablaVentas[[#This Row],[Ingreso_neto]]="PENDIENTE",TablaVentas[[#This Row],[Costo_total]]="PENDIENTE"),"PENDIENTE",TablaVentas[[#This Row],[Ingreso_neto]]-TablaVentas[[#This Row],[Costo_total]])</f>
        <v>27478.8</v>
      </c>
    </row>
    <row r="1789" customFormat="false" ht="13.5" hidden="false" customHeight="false" outlineLevel="0" collapsed="false">
      <c r="A1789" s="1" t="s">
        <v>1165</v>
      </c>
      <c r="B1789" s="1" t="n">
        <v>4</v>
      </c>
      <c r="C1789" s="5" t="n">
        <v>46234</v>
      </c>
      <c r="D1789" s="6" t="s">
        <v>600</v>
      </c>
      <c r="E1789" s="6" t="s">
        <v>83</v>
      </c>
      <c r="F1789" s="6" t="s">
        <v>46</v>
      </c>
      <c r="G1789" s="6" t="s">
        <v>47</v>
      </c>
      <c r="H1789" s="6" t="s">
        <v>58</v>
      </c>
      <c r="I1789" s="1" t="n">
        <v>3</v>
      </c>
      <c r="J1789" s="7" t="n">
        <v>14663.58</v>
      </c>
      <c r="K1789" s="8" t="n">
        <v>0</v>
      </c>
      <c r="L1789" s="7" t="n">
        <v>7748.44</v>
      </c>
      <c r="M1789" s="6" t="s">
        <v>49</v>
      </c>
      <c r="N1789" s="6" t="s">
        <v>52</v>
      </c>
      <c r="O1789" s="6" t="n">
        <f aca="false">IF(TablaVentas[[#This Row],[Precio_unitario]]="","PENDIENTE",TablaVentas[[#This Row],[Unidades]]*TablaVentas[[#This Row],[Precio_unitario]]*(1-TablaVentas[[#This Row],[Descuento_pct]]))</f>
        <v>43990.74</v>
      </c>
      <c r="P1789" s="6" t="n">
        <f aca="false">IF(TablaVentas[[#This Row],[Costo_unitario]]="","PENDIENTE",TablaVentas[[#This Row],[Unidades]]*TablaVentas[[#This Row],[Costo_unitario]])</f>
        <v>23245.32</v>
      </c>
      <c r="Q1789" s="6" t="n">
        <f aca="false">IF(OR(TablaVentas[[#This Row],[Ingreso_neto]]="PENDIENTE",TablaVentas[[#This Row],[Costo_total]]="PENDIENTE"),"PENDIENTE",TablaVentas[[#This Row],[Ingreso_neto]]-TablaVentas[[#This Row],[Costo_total]])</f>
        <v>20745.42</v>
      </c>
    </row>
    <row r="1790" customFormat="false" ht="13.5" hidden="false" customHeight="false" outlineLevel="0" collapsed="false">
      <c r="A1790" s="1" t="s">
        <v>1166</v>
      </c>
      <c r="B1790" s="1" t="n">
        <v>1</v>
      </c>
      <c r="C1790" s="5" t="n">
        <v>46024</v>
      </c>
      <c r="D1790" s="6" t="s">
        <v>499</v>
      </c>
      <c r="E1790" s="6" t="s">
        <v>218</v>
      </c>
      <c r="F1790" s="6" t="s">
        <v>63</v>
      </c>
      <c r="G1790" s="6" t="s">
        <v>64</v>
      </c>
      <c r="H1790" s="6" t="s">
        <v>65</v>
      </c>
      <c r="I1790" s="1" t="n">
        <v>1</v>
      </c>
      <c r="J1790" s="7" t="n">
        <v>17638.47</v>
      </c>
      <c r="K1790" s="8" t="n">
        <v>0.1</v>
      </c>
      <c r="L1790" s="7" t="n">
        <v>13760.53</v>
      </c>
      <c r="M1790" s="6" t="s">
        <v>49</v>
      </c>
      <c r="N1790" s="6" t="s">
        <v>59</v>
      </c>
      <c r="O1790" s="6" t="n">
        <f aca="false">IF(TablaVentas[[#This Row],[Precio_unitario]]="","PENDIENTE",TablaVentas[[#This Row],[Unidades]]*TablaVentas[[#This Row],[Precio_unitario]]*(1-TablaVentas[[#This Row],[Descuento_pct]]))</f>
        <v>15874.623</v>
      </c>
      <c r="P1790" s="6" t="n">
        <f aca="false">IF(TablaVentas[[#This Row],[Costo_unitario]]="","PENDIENTE",TablaVentas[[#This Row],[Unidades]]*TablaVentas[[#This Row],[Costo_unitario]])</f>
        <v>13760.53</v>
      </c>
      <c r="Q1790" s="6" t="n">
        <f aca="false">IF(OR(TablaVentas[[#This Row],[Ingreso_neto]]="PENDIENTE",TablaVentas[[#This Row],[Costo_total]]="PENDIENTE"),"PENDIENTE",TablaVentas[[#This Row],[Ingreso_neto]]-TablaVentas[[#This Row],[Costo_total]])</f>
        <v>2114.093</v>
      </c>
    </row>
    <row r="1791" customFormat="false" ht="13.5" hidden="false" customHeight="false" outlineLevel="0" collapsed="false">
      <c r="A1791" s="1" t="s">
        <v>1166</v>
      </c>
      <c r="B1791" s="1" t="n">
        <v>2</v>
      </c>
      <c r="C1791" s="5" t="n">
        <v>46024</v>
      </c>
      <c r="D1791" s="6" t="s">
        <v>499</v>
      </c>
      <c r="E1791" s="6" t="s">
        <v>225</v>
      </c>
      <c r="F1791" s="6" t="s">
        <v>63</v>
      </c>
      <c r="G1791" s="6" t="s">
        <v>64</v>
      </c>
      <c r="H1791" s="6" t="s">
        <v>65</v>
      </c>
      <c r="I1791" s="1" t="n">
        <v>4</v>
      </c>
      <c r="J1791" s="7" t="n">
        <v>4197.76</v>
      </c>
      <c r="K1791" s="8" t="n">
        <v>0.15</v>
      </c>
      <c r="L1791" s="7" t="n">
        <v>2833.97</v>
      </c>
      <c r="M1791" s="6" t="s">
        <v>49</v>
      </c>
      <c r="N1791" s="6" t="s">
        <v>67</v>
      </c>
      <c r="O1791" s="6" t="n">
        <f aca="false">IF(TablaVentas[[#This Row],[Precio_unitario]]="","PENDIENTE",TablaVentas[[#This Row],[Unidades]]*TablaVentas[[#This Row],[Precio_unitario]]*(1-TablaVentas[[#This Row],[Descuento_pct]]))</f>
        <v>14272.384</v>
      </c>
      <c r="P1791" s="6" t="n">
        <f aca="false">IF(TablaVentas[[#This Row],[Costo_unitario]]="","PENDIENTE",TablaVentas[[#This Row],[Unidades]]*TablaVentas[[#This Row],[Costo_unitario]])</f>
        <v>11335.88</v>
      </c>
      <c r="Q1791" s="6" t="n">
        <f aca="false">IF(OR(TablaVentas[[#This Row],[Ingreso_neto]]="PENDIENTE",TablaVentas[[#This Row],[Costo_total]]="PENDIENTE"),"PENDIENTE",TablaVentas[[#This Row],[Ingreso_neto]]-TablaVentas[[#This Row],[Costo_total]])</f>
        <v>2936.504</v>
      </c>
    </row>
    <row r="1792" customFormat="false" ht="13.5" hidden="false" customHeight="false" outlineLevel="0" collapsed="false">
      <c r="A1792" s="1" t="s">
        <v>1167</v>
      </c>
      <c r="B1792" s="1" t="n">
        <v>1</v>
      </c>
      <c r="C1792" s="5" t="n">
        <v>46106</v>
      </c>
      <c r="D1792" s="6" t="s">
        <v>251</v>
      </c>
      <c r="E1792" s="6" t="s">
        <v>100</v>
      </c>
      <c r="F1792" s="6" t="s">
        <v>84</v>
      </c>
      <c r="G1792" s="6" t="s">
        <v>64</v>
      </c>
      <c r="H1792" s="6" t="s">
        <v>58</v>
      </c>
      <c r="I1792" s="1" t="n">
        <v>1</v>
      </c>
      <c r="J1792" s="7" t="n">
        <v>16268.15</v>
      </c>
      <c r="K1792" s="8" t="n">
        <v>0</v>
      </c>
      <c r="L1792" s="7" t="n">
        <v>8788.79</v>
      </c>
      <c r="M1792" s="6" t="s">
        <v>49</v>
      </c>
      <c r="N1792" s="6" t="s">
        <v>52</v>
      </c>
      <c r="O1792" s="6" t="n">
        <f aca="false">IF(TablaVentas[[#This Row],[Precio_unitario]]="","PENDIENTE",TablaVentas[[#This Row],[Unidades]]*TablaVentas[[#This Row],[Precio_unitario]]*(1-TablaVentas[[#This Row],[Descuento_pct]]))</f>
        <v>16268.15</v>
      </c>
      <c r="P1792" s="6" t="n">
        <f aca="false">IF(TablaVentas[[#This Row],[Costo_unitario]]="","PENDIENTE",TablaVentas[[#This Row],[Unidades]]*TablaVentas[[#This Row],[Costo_unitario]])</f>
        <v>8788.79</v>
      </c>
      <c r="Q1792" s="6" t="n">
        <f aca="false">IF(OR(TablaVentas[[#This Row],[Ingreso_neto]]="PENDIENTE",TablaVentas[[#This Row],[Costo_total]]="PENDIENTE"),"PENDIENTE",TablaVentas[[#This Row],[Ingreso_neto]]-TablaVentas[[#This Row],[Costo_total]])</f>
        <v>7479.36</v>
      </c>
    </row>
    <row r="1793" customFormat="false" ht="13.5" hidden="false" customHeight="false" outlineLevel="0" collapsed="false">
      <c r="A1793" s="1" t="s">
        <v>1167</v>
      </c>
      <c r="B1793" s="1" t="n">
        <v>2</v>
      </c>
      <c r="C1793" s="5" t="n">
        <v>46106</v>
      </c>
      <c r="D1793" s="6" t="s">
        <v>251</v>
      </c>
      <c r="E1793" s="6" t="s">
        <v>113</v>
      </c>
      <c r="F1793" s="6" t="s">
        <v>84</v>
      </c>
      <c r="G1793" s="6" t="s">
        <v>64</v>
      </c>
      <c r="H1793" s="6" t="s">
        <v>58</v>
      </c>
      <c r="I1793" s="1" t="n">
        <v>2</v>
      </c>
      <c r="J1793" s="7" t="n">
        <v>10487.69</v>
      </c>
      <c r="K1793" s="8" t="n">
        <v>0.2</v>
      </c>
      <c r="L1793" s="7" t="n">
        <v>8276.74</v>
      </c>
      <c r="M1793" s="6" t="s">
        <v>69</v>
      </c>
      <c r="N1793" s="6" t="s">
        <v>50</v>
      </c>
      <c r="O1793" s="6" t="n">
        <f aca="false">IF(TablaVentas[[#This Row],[Precio_unitario]]="","PENDIENTE",TablaVentas[[#This Row],[Unidades]]*TablaVentas[[#This Row],[Precio_unitario]]*(1-TablaVentas[[#This Row],[Descuento_pct]]))</f>
        <v>16780.304</v>
      </c>
      <c r="P1793" s="6" t="n">
        <f aca="false">IF(TablaVentas[[#This Row],[Costo_unitario]]="","PENDIENTE",TablaVentas[[#This Row],[Unidades]]*TablaVentas[[#This Row],[Costo_unitario]])</f>
        <v>16553.48</v>
      </c>
      <c r="Q1793" s="6" t="n">
        <f aca="false">IF(OR(TablaVentas[[#This Row],[Ingreso_neto]]="PENDIENTE",TablaVentas[[#This Row],[Costo_total]]="PENDIENTE"),"PENDIENTE",TablaVentas[[#This Row],[Ingreso_neto]]-TablaVentas[[#This Row],[Costo_total]])</f>
        <v>226.824000000001</v>
      </c>
    </row>
    <row r="1794" customFormat="false" ht="13.5" hidden="false" customHeight="false" outlineLevel="0" collapsed="false">
      <c r="A1794" s="1" t="s">
        <v>1168</v>
      </c>
      <c r="B1794" s="1" t="n">
        <v>1</v>
      </c>
      <c r="C1794" s="5" t="n">
        <v>46052</v>
      </c>
      <c r="D1794" s="6" t="s">
        <v>376</v>
      </c>
      <c r="E1794" s="6" t="s">
        <v>93</v>
      </c>
      <c r="F1794" s="6" t="s">
        <v>46</v>
      </c>
      <c r="G1794" s="6" t="s">
        <v>47</v>
      </c>
      <c r="H1794" s="6" t="s">
        <v>58</v>
      </c>
      <c r="I1794" s="1" t="n">
        <v>1</v>
      </c>
      <c r="J1794" s="7" t="n">
        <v>14863.79</v>
      </c>
      <c r="K1794" s="8" t="n">
        <v>0</v>
      </c>
      <c r="L1794" s="7" t="n">
        <v>11166.03</v>
      </c>
      <c r="M1794" s="6" t="s">
        <v>49</v>
      </c>
      <c r="N1794" s="6" t="s">
        <v>52</v>
      </c>
      <c r="O1794" s="6" t="n">
        <f aca="false">IF(TablaVentas[[#This Row],[Precio_unitario]]="","PENDIENTE",TablaVentas[[#This Row],[Unidades]]*TablaVentas[[#This Row],[Precio_unitario]]*(1-TablaVentas[[#This Row],[Descuento_pct]]))</f>
        <v>14863.79</v>
      </c>
      <c r="P1794" s="6" t="n">
        <f aca="false">IF(TablaVentas[[#This Row],[Costo_unitario]]="","PENDIENTE",TablaVentas[[#This Row],[Unidades]]*TablaVentas[[#This Row],[Costo_unitario]])</f>
        <v>11166.03</v>
      </c>
      <c r="Q1794" s="6" t="n">
        <f aca="false">IF(OR(TablaVentas[[#This Row],[Ingreso_neto]]="PENDIENTE",TablaVentas[[#This Row],[Costo_total]]="PENDIENTE"),"PENDIENTE",TablaVentas[[#This Row],[Ingreso_neto]]-TablaVentas[[#This Row],[Costo_total]])</f>
        <v>3697.76</v>
      </c>
    </row>
    <row r="1795" customFormat="false" ht="13.5" hidden="false" customHeight="false" outlineLevel="0" collapsed="false">
      <c r="A1795" s="1" t="s">
        <v>1168</v>
      </c>
      <c r="B1795" s="1" t="n">
        <v>2</v>
      </c>
      <c r="C1795" s="5" t="n">
        <v>46052</v>
      </c>
      <c r="D1795" s="6" t="s">
        <v>376</v>
      </c>
      <c r="E1795" s="6" t="s">
        <v>122</v>
      </c>
      <c r="F1795" s="6" t="s">
        <v>46</v>
      </c>
      <c r="G1795" s="6" t="s">
        <v>47</v>
      </c>
      <c r="H1795" s="6" t="s">
        <v>58</v>
      </c>
      <c r="I1795" s="1" t="n">
        <v>2</v>
      </c>
      <c r="J1795" s="7" t="n">
        <v>1416.56</v>
      </c>
      <c r="K1795" s="8" t="n">
        <v>0.05</v>
      </c>
      <c r="L1795" s="7" t="n">
        <v>705.87</v>
      </c>
      <c r="M1795" s="6" t="s">
        <v>49</v>
      </c>
      <c r="N1795" s="6" t="s">
        <v>50</v>
      </c>
      <c r="O1795" s="6" t="n">
        <f aca="false">IF(TablaVentas[[#This Row],[Precio_unitario]]="","PENDIENTE",TablaVentas[[#This Row],[Unidades]]*TablaVentas[[#This Row],[Precio_unitario]]*(1-TablaVentas[[#This Row],[Descuento_pct]]))</f>
        <v>2691.464</v>
      </c>
      <c r="P1795" s="6" t="n">
        <f aca="false">IF(TablaVentas[[#This Row],[Costo_unitario]]="","PENDIENTE",TablaVentas[[#This Row],[Unidades]]*TablaVentas[[#This Row],[Costo_unitario]])</f>
        <v>1411.74</v>
      </c>
      <c r="Q1795" s="6" t="n">
        <f aca="false">IF(OR(TablaVentas[[#This Row],[Ingreso_neto]]="PENDIENTE",TablaVentas[[#This Row],[Costo_total]]="PENDIENTE"),"PENDIENTE",TablaVentas[[#This Row],[Ingreso_neto]]-TablaVentas[[#This Row],[Costo_total]])</f>
        <v>1279.724</v>
      </c>
    </row>
    <row r="1796" customFormat="false" ht="13.5" hidden="false" customHeight="false" outlineLevel="0" collapsed="false">
      <c r="A1796" s="1" t="s">
        <v>1169</v>
      </c>
      <c r="B1796" s="1" t="n">
        <v>1</v>
      </c>
      <c r="C1796" s="5" t="n">
        <v>46278</v>
      </c>
      <c r="D1796" s="6" t="s">
        <v>61</v>
      </c>
      <c r="E1796" s="6" t="s">
        <v>182</v>
      </c>
      <c r="F1796" s="6" t="s">
        <v>84</v>
      </c>
      <c r="G1796" s="6" t="s">
        <v>64</v>
      </c>
      <c r="H1796" s="6" t="s">
        <v>191</v>
      </c>
      <c r="I1796" s="1" t="n">
        <v>1</v>
      </c>
      <c r="J1796" s="7" t="n">
        <v>2526.02</v>
      </c>
      <c r="K1796" s="8" t="n">
        <v>0</v>
      </c>
      <c r="L1796" s="7" t="n">
        <v>1857.39</v>
      </c>
      <c r="M1796" s="6" t="s">
        <v>49</v>
      </c>
      <c r="N1796" s="6" t="s">
        <v>52</v>
      </c>
      <c r="O1796" s="6" t="n">
        <f aca="false">IF(TablaVentas[[#This Row],[Precio_unitario]]="","PENDIENTE",TablaVentas[[#This Row],[Unidades]]*TablaVentas[[#This Row],[Precio_unitario]]*(1-TablaVentas[[#This Row],[Descuento_pct]]))</f>
        <v>2526.02</v>
      </c>
      <c r="P1796" s="6" t="n">
        <f aca="false">IF(TablaVentas[[#This Row],[Costo_unitario]]="","PENDIENTE",TablaVentas[[#This Row],[Unidades]]*TablaVentas[[#This Row],[Costo_unitario]])</f>
        <v>1857.39</v>
      </c>
      <c r="Q1796" s="6" t="n">
        <f aca="false">IF(OR(TablaVentas[[#This Row],[Ingreso_neto]]="PENDIENTE",TablaVentas[[#This Row],[Costo_total]]="PENDIENTE"),"PENDIENTE",TablaVentas[[#This Row],[Ingreso_neto]]-TablaVentas[[#This Row],[Costo_total]])</f>
        <v>668.63</v>
      </c>
    </row>
    <row r="1797" customFormat="false" ht="13.5" hidden="false" customHeight="false" outlineLevel="0" collapsed="false">
      <c r="A1797" s="1" t="s">
        <v>1169</v>
      </c>
      <c r="B1797" s="1" t="n">
        <v>2</v>
      </c>
      <c r="C1797" s="5" t="n">
        <v>46278</v>
      </c>
      <c r="D1797" s="6" t="s">
        <v>61</v>
      </c>
      <c r="E1797" s="6" t="s">
        <v>233</v>
      </c>
      <c r="F1797" s="6" t="s">
        <v>84</v>
      </c>
      <c r="G1797" s="6" t="s">
        <v>64</v>
      </c>
      <c r="H1797" s="6" t="s">
        <v>191</v>
      </c>
      <c r="I1797" s="1" t="n">
        <v>3</v>
      </c>
      <c r="J1797" s="7" t="n">
        <v>19031.98</v>
      </c>
      <c r="K1797" s="8" t="n">
        <v>0</v>
      </c>
      <c r="L1797" s="7" t="n">
        <v>9976.68</v>
      </c>
      <c r="M1797" s="6" t="s">
        <v>49</v>
      </c>
      <c r="N1797" s="6" t="s">
        <v>59</v>
      </c>
      <c r="O1797" s="6" t="n">
        <f aca="false">IF(TablaVentas[[#This Row],[Precio_unitario]]="","PENDIENTE",TablaVentas[[#This Row],[Unidades]]*TablaVentas[[#This Row],[Precio_unitario]]*(1-TablaVentas[[#This Row],[Descuento_pct]]))</f>
        <v>57095.94</v>
      </c>
      <c r="P1797" s="6" t="n">
        <f aca="false">IF(TablaVentas[[#This Row],[Costo_unitario]]="","PENDIENTE",TablaVentas[[#This Row],[Unidades]]*TablaVentas[[#This Row],[Costo_unitario]])</f>
        <v>29930.04</v>
      </c>
      <c r="Q1797" s="6" t="n">
        <f aca="false">IF(OR(TablaVentas[[#This Row],[Ingreso_neto]]="PENDIENTE",TablaVentas[[#This Row],[Costo_total]]="PENDIENTE"),"PENDIENTE",TablaVentas[[#This Row],[Ingreso_neto]]-TablaVentas[[#This Row],[Costo_total]])</f>
        <v>27165.9</v>
      </c>
    </row>
    <row r="1798" customFormat="false" ht="13.5" hidden="false" customHeight="false" outlineLevel="0" collapsed="false">
      <c r="A1798" s="1" t="s">
        <v>1169</v>
      </c>
      <c r="B1798" s="1" t="n">
        <v>3</v>
      </c>
      <c r="C1798" s="5" t="n">
        <v>46278</v>
      </c>
      <c r="D1798" s="6" t="s">
        <v>61</v>
      </c>
      <c r="E1798" s="6" t="s">
        <v>385</v>
      </c>
      <c r="F1798" s="6" t="s">
        <v>84</v>
      </c>
      <c r="G1798" s="6" t="s">
        <v>64</v>
      </c>
      <c r="H1798" s="6" t="s">
        <v>191</v>
      </c>
      <c r="I1798" s="1" t="n">
        <v>3</v>
      </c>
      <c r="J1798" s="7" t="n">
        <v>3543.47</v>
      </c>
      <c r="K1798" s="8" t="n">
        <v>0.1</v>
      </c>
      <c r="L1798" s="7" t="n">
        <v>2864.64</v>
      </c>
      <c r="M1798" s="6" t="s">
        <v>49</v>
      </c>
      <c r="N1798" s="6" t="s">
        <v>50</v>
      </c>
      <c r="O1798" s="6" t="n">
        <f aca="false">IF(TablaVentas[[#This Row],[Precio_unitario]]="","PENDIENTE",TablaVentas[[#This Row],[Unidades]]*TablaVentas[[#This Row],[Precio_unitario]]*(1-TablaVentas[[#This Row],[Descuento_pct]]))</f>
        <v>9567.369</v>
      </c>
      <c r="P1798" s="6" t="n">
        <f aca="false">IF(TablaVentas[[#This Row],[Costo_unitario]]="","PENDIENTE",TablaVentas[[#This Row],[Unidades]]*TablaVentas[[#This Row],[Costo_unitario]])</f>
        <v>8593.92</v>
      </c>
      <c r="Q1798" s="6" t="n">
        <f aca="false">IF(OR(TablaVentas[[#This Row],[Ingreso_neto]]="PENDIENTE",TablaVentas[[#This Row],[Costo_total]]="PENDIENTE"),"PENDIENTE",TablaVentas[[#This Row],[Ingreso_neto]]-TablaVentas[[#This Row],[Costo_total]])</f>
        <v>973.449000000001</v>
      </c>
    </row>
    <row r="1799" customFormat="false" ht="13.5" hidden="false" customHeight="false" outlineLevel="0" collapsed="false">
      <c r="A1799" s="1" t="s">
        <v>1170</v>
      </c>
      <c r="B1799" s="1" t="n">
        <v>1</v>
      </c>
      <c r="C1799" s="5" t="n">
        <v>46249</v>
      </c>
      <c r="D1799" s="6" t="s">
        <v>627</v>
      </c>
      <c r="E1799" s="6" t="s">
        <v>104</v>
      </c>
      <c r="F1799" s="6" t="s">
        <v>73</v>
      </c>
      <c r="G1799" s="6" t="s">
        <v>64</v>
      </c>
      <c r="H1799" s="6" t="s">
        <v>65</v>
      </c>
      <c r="I1799" s="1" t="n">
        <v>1</v>
      </c>
      <c r="J1799" s="7" t="n">
        <v>14146.16</v>
      </c>
      <c r="K1799" s="8" t="n">
        <v>0.15</v>
      </c>
      <c r="L1799" s="7" t="n">
        <v>11424.77</v>
      </c>
      <c r="M1799" s="6" t="s">
        <v>49</v>
      </c>
      <c r="N1799" s="6" t="s">
        <v>67</v>
      </c>
      <c r="O1799" s="6" t="n">
        <f aca="false">IF(TablaVentas[[#This Row],[Precio_unitario]]="","PENDIENTE",TablaVentas[[#This Row],[Unidades]]*TablaVentas[[#This Row],[Precio_unitario]]*(1-TablaVentas[[#This Row],[Descuento_pct]]))</f>
        <v>12024.236</v>
      </c>
      <c r="P1799" s="6" t="n">
        <f aca="false">IF(TablaVentas[[#This Row],[Costo_unitario]]="","PENDIENTE",TablaVentas[[#This Row],[Unidades]]*TablaVentas[[#This Row],[Costo_unitario]])</f>
        <v>11424.77</v>
      </c>
      <c r="Q1799" s="6" t="n">
        <f aca="false">IF(OR(TablaVentas[[#This Row],[Ingreso_neto]]="PENDIENTE",TablaVentas[[#This Row],[Costo_total]]="PENDIENTE"),"PENDIENTE",TablaVentas[[#This Row],[Ingreso_neto]]-TablaVentas[[#This Row],[Costo_total]])</f>
        <v>599.465999999999</v>
      </c>
    </row>
    <row r="1800" customFormat="false" ht="13.5" hidden="false" customHeight="false" outlineLevel="0" collapsed="false">
      <c r="A1800" s="1" t="s">
        <v>1170</v>
      </c>
      <c r="B1800" s="1" t="n">
        <v>2</v>
      </c>
      <c r="C1800" s="5" t="n">
        <v>46249</v>
      </c>
      <c r="D1800" s="6" t="s">
        <v>627</v>
      </c>
      <c r="E1800" s="6" t="s">
        <v>224</v>
      </c>
      <c r="F1800" s="6" t="s">
        <v>73</v>
      </c>
      <c r="G1800" s="6" t="s">
        <v>64</v>
      </c>
      <c r="H1800" s="6" t="s">
        <v>65</v>
      </c>
      <c r="I1800" s="1" t="n">
        <v>1</v>
      </c>
      <c r="J1800" s="7" t="n">
        <v>17572.1</v>
      </c>
      <c r="K1800" s="8" t="n">
        <v>0.05</v>
      </c>
      <c r="L1800" s="7" t="n">
        <v>14161.63</v>
      </c>
      <c r="M1800" s="6" t="s">
        <v>49</v>
      </c>
      <c r="N1800" s="6" t="s">
        <v>52</v>
      </c>
      <c r="O1800" s="6" t="n">
        <f aca="false">IF(TablaVentas[[#This Row],[Precio_unitario]]="","PENDIENTE",TablaVentas[[#This Row],[Unidades]]*TablaVentas[[#This Row],[Precio_unitario]]*(1-TablaVentas[[#This Row],[Descuento_pct]]))</f>
        <v>16693.495</v>
      </c>
      <c r="P1800" s="6" t="n">
        <f aca="false">IF(TablaVentas[[#This Row],[Costo_unitario]]="","PENDIENTE",TablaVentas[[#This Row],[Unidades]]*TablaVentas[[#This Row],[Costo_unitario]])</f>
        <v>14161.63</v>
      </c>
      <c r="Q1800" s="6" t="n">
        <f aca="false">IF(OR(TablaVentas[[#This Row],[Ingreso_neto]]="PENDIENTE",TablaVentas[[#This Row],[Costo_total]]="PENDIENTE"),"PENDIENTE",TablaVentas[[#This Row],[Ingreso_neto]]-TablaVentas[[#This Row],[Costo_total]])</f>
        <v>2531.865</v>
      </c>
    </row>
    <row r="1801" customFormat="false" ht="13.5" hidden="false" customHeight="false" outlineLevel="0" collapsed="false">
      <c r="A1801" s="1" t="s">
        <v>1170</v>
      </c>
      <c r="B1801" s="1" t="n">
        <v>3</v>
      </c>
      <c r="C1801" s="5" t="n">
        <v>46249</v>
      </c>
      <c r="D1801" s="6" t="s">
        <v>627</v>
      </c>
      <c r="E1801" s="6" t="s">
        <v>132</v>
      </c>
      <c r="F1801" s="6" t="s">
        <v>73</v>
      </c>
      <c r="G1801" s="6" t="s">
        <v>64</v>
      </c>
      <c r="H1801" s="6" t="s">
        <v>65</v>
      </c>
      <c r="I1801" s="1" t="n">
        <v>4</v>
      </c>
      <c r="J1801" s="7" t="n">
        <v>1644.78</v>
      </c>
      <c r="K1801" s="8" t="n">
        <v>0.2</v>
      </c>
      <c r="L1801" s="7" t="n">
        <v>1044.32</v>
      </c>
      <c r="M1801" s="6" t="s">
        <v>49</v>
      </c>
      <c r="N1801" s="6" t="s">
        <v>50</v>
      </c>
      <c r="O1801" s="6" t="n">
        <f aca="false">IF(TablaVentas[[#This Row],[Precio_unitario]]="","PENDIENTE",TablaVentas[[#This Row],[Unidades]]*TablaVentas[[#This Row],[Precio_unitario]]*(1-TablaVentas[[#This Row],[Descuento_pct]]))</f>
        <v>5263.296</v>
      </c>
      <c r="P1801" s="6" t="n">
        <f aca="false">IF(TablaVentas[[#This Row],[Costo_unitario]]="","PENDIENTE",TablaVentas[[#This Row],[Unidades]]*TablaVentas[[#This Row],[Costo_unitario]])</f>
        <v>4177.28</v>
      </c>
      <c r="Q1801" s="6" t="n">
        <f aca="false">IF(OR(TablaVentas[[#This Row],[Ingreso_neto]]="PENDIENTE",TablaVentas[[#This Row],[Costo_total]]="PENDIENTE"),"PENDIENTE",TablaVentas[[#This Row],[Ingreso_neto]]-TablaVentas[[#This Row],[Costo_total]])</f>
        <v>1086.016</v>
      </c>
    </row>
    <row r="1802" customFormat="false" ht="13.5" hidden="false" customHeight="false" outlineLevel="0" collapsed="false">
      <c r="A1802" s="1" t="s">
        <v>1170</v>
      </c>
      <c r="B1802" s="1" t="n">
        <v>4</v>
      </c>
      <c r="C1802" s="5" t="n">
        <v>46249</v>
      </c>
      <c r="D1802" s="6" t="s">
        <v>627</v>
      </c>
      <c r="E1802" s="6" t="s">
        <v>140</v>
      </c>
      <c r="F1802" s="6" t="s">
        <v>73</v>
      </c>
      <c r="G1802" s="6" t="s">
        <v>64</v>
      </c>
      <c r="H1802" s="6" t="s">
        <v>65</v>
      </c>
      <c r="I1802" s="1" t="n">
        <v>1</v>
      </c>
      <c r="J1802" s="7" t="n">
        <v>7513.13</v>
      </c>
      <c r="K1802" s="8" t="n">
        <v>0.1</v>
      </c>
      <c r="L1802" s="7" t="n">
        <v>4061.34</v>
      </c>
      <c r="M1802" s="6" t="s">
        <v>69</v>
      </c>
      <c r="N1802" s="6" t="s">
        <v>50</v>
      </c>
      <c r="O1802" s="6" t="n">
        <f aca="false">IF(TablaVentas[[#This Row],[Precio_unitario]]="","PENDIENTE",TablaVentas[[#This Row],[Unidades]]*TablaVentas[[#This Row],[Precio_unitario]]*(1-TablaVentas[[#This Row],[Descuento_pct]]))</f>
        <v>6761.817</v>
      </c>
      <c r="P1802" s="6" t="n">
        <f aca="false">IF(TablaVentas[[#This Row],[Costo_unitario]]="","PENDIENTE",TablaVentas[[#This Row],[Unidades]]*TablaVentas[[#This Row],[Costo_unitario]])</f>
        <v>4061.34</v>
      </c>
      <c r="Q1802" s="6" t="n">
        <f aca="false">IF(OR(TablaVentas[[#This Row],[Ingreso_neto]]="PENDIENTE",TablaVentas[[#This Row],[Costo_total]]="PENDIENTE"),"PENDIENTE",TablaVentas[[#This Row],[Ingreso_neto]]-TablaVentas[[#This Row],[Costo_total]])</f>
        <v>2700.477</v>
      </c>
    </row>
    <row r="1803" customFormat="false" ht="13.5" hidden="false" customHeight="false" outlineLevel="0" collapsed="false">
      <c r="A1803" s="1" t="s">
        <v>1170</v>
      </c>
      <c r="B1803" s="1" t="n">
        <v>5</v>
      </c>
      <c r="C1803" s="5" t="n">
        <v>46249</v>
      </c>
      <c r="D1803" s="6" t="s">
        <v>627</v>
      </c>
      <c r="E1803" s="6" t="s">
        <v>51</v>
      </c>
      <c r="F1803" s="6" t="s">
        <v>73</v>
      </c>
      <c r="G1803" s="6" t="s">
        <v>64</v>
      </c>
      <c r="H1803" s="6" t="s">
        <v>65</v>
      </c>
      <c r="I1803" s="1" t="n">
        <v>5</v>
      </c>
      <c r="J1803" s="7" t="n">
        <v>14593.26</v>
      </c>
      <c r="K1803" s="8" t="n">
        <v>0</v>
      </c>
      <c r="L1803" s="7" t="n">
        <v>8980.68</v>
      </c>
      <c r="M1803" s="6" t="s">
        <v>49</v>
      </c>
      <c r="N1803" s="6" t="s">
        <v>59</v>
      </c>
      <c r="O1803" s="6" t="n">
        <f aca="false">IF(TablaVentas[[#This Row],[Precio_unitario]]="","PENDIENTE",TablaVentas[[#This Row],[Unidades]]*TablaVentas[[#This Row],[Precio_unitario]]*(1-TablaVentas[[#This Row],[Descuento_pct]]))</f>
        <v>72966.3</v>
      </c>
      <c r="P1803" s="6" t="n">
        <f aca="false">IF(TablaVentas[[#This Row],[Costo_unitario]]="","PENDIENTE",TablaVentas[[#This Row],[Unidades]]*TablaVentas[[#This Row],[Costo_unitario]])</f>
        <v>44903.4</v>
      </c>
      <c r="Q1803" s="6" t="n">
        <f aca="false">IF(OR(TablaVentas[[#This Row],[Ingreso_neto]]="PENDIENTE",TablaVentas[[#This Row],[Costo_total]]="PENDIENTE"),"PENDIENTE",TablaVentas[[#This Row],[Ingreso_neto]]-TablaVentas[[#This Row],[Costo_total]])</f>
        <v>28062.9</v>
      </c>
    </row>
    <row r="1804" customFormat="false" ht="13.5" hidden="false" customHeight="false" outlineLevel="0" collapsed="false">
      <c r="A1804" s="1" t="s">
        <v>1171</v>
      </c>
      <c r="B1804" s="1" t="n">
        <v>1</v>
      </c>
      <c r="C1804" s="5" t="n">
        <v>46025</v>
      </c>
      <c r="D1804" s="6" t="s">
        <v>393</v>
      </c>
      <c r="E1804" s="6" t="s">
        <v>170</v>
      </c>
      <c r="F1804" s="6" t="s">
        <v>46</v>
      </c>
      <c r="G1804" s="6" t="s">
        <v>64</v>
      </c>
      <c r="H1804" s="6" t="s">
        <v>136</v>
      </c>
      <c r="I1804" s="1" t="n">
        <v>5</v>
      </c>
      <c r="J1804" s="7" t="n">
        <v>17010.46</v>
      </c>
      <c r="K1804" s="8" t="n">
        <v>0.05</v>
      </c>
      <c r="L1804" s="7" t="n">
        <v>12141.44</v>
      </c>
      <c r="M1804" s="6" t="s">
        <v>49</v>
      </c>
      <c r="N1804" s="6" t="s">
        <v>52</v>
      </c>
      <c r="O1804" s="6" t="n">
        <f aca="false">IF(TablaVentas[[#This Row],[Precio_unitario]]="","PENDIENTE",TablaVentas[[#This Row],[Unidades]]*TablaVentas[[#This Row],[Precio_unitario]]*(1-TablaVentas[[#This Row],[Descuento_pct]]))</f>
        <v>80799.685</v>
      </c>
      <c r="P1804" s="6" t="n">
        <f aca="false">IF(TablaVentas[[#This Row],[Costo_unitario]]="","PENDIENTE",TablaVentas[[#This Row],[Unidades]]*TablaVentas[[#This Row],[Costo_unitario]])</f>
        <v>60707.2</v>
      </c>
      <c r="Q1804" s="6" t="n">
        <f aca="false">IF(OR(TablaVentas[[#This Row],[Ingreso_neto]]="PENDIENTE",TablaVentas[[#This Row],[Costo_total]]="PENDIENTE"),"PENDIENTE",TablaVentas[[#This Row],[Ingreso_neto]]-TablaVentas[[#This Row],[Costo_total]])</f>
        <v>20092.485</v>
      </c>
    </row>
    <row r="1805" customFormat="false" ht="13.5" hidden="false" customHeight="false" outlineLevel="0" collapsed="false">
      <c r="A1805" s="1" t="s">
        <v>1171</v>
      </c>
      <c r="B1805" s="1" t="n">
        <v>2</v>
      </c>
      <c r="C1805" s="5" t="n">
        <v>46025</v>
      </c>
      <c r="D1805" s="6" t="s">
        <v>393</v>
      </c>
      <c r="E1805" s="6" t="s">
        <v>278</v>
      </c>
      <c r="F1805" s="6" t="s">
        <v>46</v>
      </c>
      <c r="G1805" s="6" t="s">
        <v>64</v>
      </c>
      <c r="H1805" s="6" t="s">
        <v>136</v>
      </c>
      <c r="I1805" s="1" t="n">
        <v>2</v>
      </c>
      <c r="J1805" s="7" t="n">
        <v>1050.37</v>
      </c>
      <c r="K1805" s="8" t="n">
        <v>0</v>
      </c>
      <c r="L1805" s="7" t="n">
        <v>759.03</v>
      </c>
      <c r="M1805" s="6" t="s">
        <v>69</v>
      </c>
      <c r="N1805" s="6" t="s">
        <v>52</v>
      </c>
      <c r="O1805" s="6" t="n">
        <f aca="false">IF(TablaVentas[[#This Row],[Precio_unitario]]="","PENDIENTE",TablaVentas[[#This Row],[Unidades]]*TablaVentas[[#This Row],[Precio_unitario]]*(1-TablaVentas[[#This Row],[Descuento_pct]]))</f>
        <v>2100.74</v>
      </c>
      <c r="P1805" s="6" t="n">
        <f aca="false">IF(TablaVentas[[#This Row],[Costo_unitario]]="","PENDIENTE",TablaVentas[[#This Row],[Unidades]]*TablaVentas[[#This Row],[Costo_unitario]])</f>
        <v>1518.06</v>
      </c>
      <c r="Q1805" s="6" t="n">
        <f aca="false">IF(OR(TablaVentas[[#This Row],[Ingreso_neto]]="PENDIENTE",TablaVentas[[#This Row],[Costo_total]]="PENDIENTE"),"PENDIENTE",TablaVentas[[#This Row],[Ingreso_neto]]-TablaVentas[[#This Row],[Costo_total]])</f>
        <v>582.68</v>
      </c>
    </row>
    <row r="1806" customFormat="false" ht="13.5" hidden="false" customHeight="false" outlineLevel="0" collapsed="false">
      <c r="A1806" s="1" t="s">
        <v>1171</v>
      </c>
      <c r="B1806" s="1" t="n">
        <v>3</v>
      </c>
      <c r="C1806" s="5" t="n">
        <v>46025</v>
      </c>
      <c r="D1806" s="6" t="s">
        <v>393</v>
      </c>
      <c r="E1806" s="6" t="s">
        <v>132</v>
      </c>
      <c r="F1806" s="6" t="s">
        <v>46</v>
      </c>
      <c r="G1806" s="6" t="s">
        <v>64</v>
      </c>
      <c r="H1806" s="6" t="s">
        <v>136</v>
      </c>
      <c r="I1806" s="1" t="n">
        <v>1</v>
      </c>
      <c r="J1806" s="7" t="n">
        <v>1833.59</v>
      </c>
      <c r="K1806" s="8" t="n">
        <v>0.1</v>
      </c>
      <c r="L1806" s="7" t="n">
        <v>1044.32</v>
      </c>
      <c r="M1806" s="6" t="s">
        <v>49</v>
      </c>
      <c r="N1806" s="6" t="s">
        <v>50</v>
      </c>
      <c r="O1806" s="6" t="n">
        <f aca="false">IF(TablaVentas[[#This Row],[Precio_unitario]]="","PENDIENTE",TablaVentas[[#This Row],[Unidades]]*TablaVentas[[#This Row],[Precio_unitario]]*(1-TablaVentas[[#This Row],[Descuento_pct]]))</f>
        <v>1650.231</v>
      </c>
      <c r="P1806" s="6" t="n">
        <f aca="false">IF(TablaVentas[[#This Row],[Costo_unitario]]="","PENDIENTE",TablaVentas[[#This Row],[Unidades]]*TablaVentas[[#This Row],[Costo_unitario]])</f>
        <v>1044.32</v>
      </c>
      <c r="Q1806" s="6" t="n">
        <f aca="false">IF(OR(TablaVentas[[#This Row],[Ingreso_neto]]="PENDIENTE",TablaVentas[[#This Row],[Costo_total]]="PENDIENTE"),"PENDIENTE",TablaVentas[[#This Row],[Ingreso_neto]]-TablaVentas[[#This Row],[Costo_total]])</f>
        <v>605.911</v>
      </c>
    </row>
    <row r="1807" customFormat="false" ht="13.5" hidden="false" customHeight="false" outlineLevel="0" collapsed="false">
      <c r="A1807" s="1" t="s">
        <v>1172</v>
      </c>
      <c r="B1807" s="1" t="n">
        <v>1</v>
      </c>
      <c r="C1807" s="5" t="n">
        <v>46141</v>
      </c>
      <c r="D1807" s="6" t="s">
        <v>421</v>
      </c>
      <c r="E1807" s="6" t="s">
        <v>328</v>
      </c>
      <c r="F1807" s="6" t="s">
        <v>63</v>
      </c>
      <c r="G1807" s="6" t="s">
        <v>47</v>
      </c>
      <c r="H1807" s="6" t="s">
        <v>74</v>
      </c>
      <c r="I1807" s="1" t="n">
        <v>1</v>
      </c>
      <c r="J1807" s="7" t="n">
        <v>1369.75</v>
      </c>
      <c r="K1807" s="8" t="n">
        <v>0.1</v>
      </c>
      <c r="L1807" s="7" t="n">
        <v>679.37</v>
      </c>
      <c r="M1807" s="6" t="s">
        <v>49</v>
      </c>
      <c r="N1807" s="6" t="s">
        <v>59</v>
      </c>
      <c r="O1807" s="6" t="n">
        <f aca="false">IF(TablaVentas[[#This Row],[Precio_unitario]]="","PENDIENTE",TablaVentas[[#This Row],[Unidades]]*TablaVentas[[#This Row],[Precio_unitario]]*(1-TablaVentas[[#This Row],[Descuento_pct]]))</f>
        <v>1232.775</v>
      </c>
      <c r="P1807" s="6" t="n">
        <f aca="false">IF(TablaVentas[[#This Row],[Costo_unitario]]="","PENDIENTE",TablaVentas[[#This Row],[Unidades]]*TablaVentas[[#This Row],[Costo_unitario]])</f>
        <v>679.37</v>
      </c>
      <c r="Q1807" s="6" t="n">
        <f aca="false">IF(OR(TablaVentas[[#This Row],[Ingreso_neto]]="PENDIENTE",TablaVentas[[#This Row],[Costo_total]]="PENDIENTE"),"PENDIENTE",TablaVentas[[#This Row],[Ingreso_neto]]-TablaVentas[[#This Row],[Costo_total]])</f>
        <v>553.405</v>
      </c>
    </row>
    <row r="1808" customFormat="false" ht="13.5" hidden="false" customHeight="false" outlineLevel="0" collapsed="false">
      <c r="A1808" s="1" t="s">
        <v>1172</v>
      </c>
      <c r="B1808" s="1" t="n">
        <v>2</v>
      </c>
      <c r="C1808" s="5" t="n">
        <v>46141</v>
      </c>
      <c r="D1808" s="6" t="s">
        <v>421</v>
      </c>
      <c r="E1808" s="6" t="s">
        <v>150</v>
      </c>
      <c r="F1808" s="6" t="s">
        <v>63</v>
      </c>
      <c r="G1808" s="6" t="s">
        <v>47</v>
      </c>
      <c r="H1808" s="6" t="s">
        <v>74</v>
      </c>
      <c r="I1808" s="1" t="n">
        <v>8</v>
      </c>
      <c r="J1808" s="7" t="n">
        <v>9243.05</v>
      </c>
      <c r="K1808" s="8" t="n">
        <v>0.15</v>
      </c>
      <c r="L1808" s="7" t="n">
        <v>6815.42</v>
      </c>
      <c r="M1808" s="6" t="s">
        <v>49</v>
      </c>
      <c r="N1808" s="6" t="s">
        <v>67</v>
      </c>
      <c r="O1808" s="6" t="n">
        <f aca="false">IF(TablaVentas[[#This Row],[Precio_unitario]]="","PENDIENTE",TablaVentas[[#This Row],[Unidades]]*TablaVentas[[#This Row],[Precio_unitario]]*(1-TablaVentas[[#This Row],[Descuento_pct]]))</f>
        <v>62852.74</v>
      </c>
      <c r="P1808" s="6" t="n">
        <f aca="false">IF(TablaVentas[[#This Row],[Costo_unitario]]="","PENDIENTE",TablaVentas[[#This Row],[Unidades]]*TablaVentas[[#This Row],[Costo_unitario]])</f>
        <v>54523.36</v>
      </c>
      <c r="Q1808" s="6" t="n">
        <f aca="false">IF(OR(TablaVentas[[#This Row],[Ingreso_neto]]="PENDIENTE",TablaVentas[[#This Row],[Costo_total]]="PENDIENTE"),"PENDIENTE",TablaVentas[[#This Row],[Ingreso_neto]]-TablaVentas[[#This Row],[Costo_total]])</f>
        <v>8329.37999999999</v>
      </c>
    </row>
    <row r="1809" customFormat="false" ht="13.5" hidden="false" customHeight="false" outlineLevel="0" collapsed="false">
      <c r="A1809" s="1" t="s">
        <v>1172</v>
      </c>
      <c r="B1809" s="1" t="n">
        <v>3</v>
      </c>
      <c r="C1809" s="5" t="n">
        <v>46141</v>
      </c>
      <c r="D1809" s="6" t="s">
        <v>421</v>
      </c>
      <c r="E1809" s="6" t="s">
        <v>45</v>
      </c>
      <c r="F1809" s="6" t="s">
        <v>63</v>
      </c>
      <c r="G1809" s="6" t="s">
        <v>47</v>
      </c>
      <c r="H1809" s="6" t="s">
        <v>74</v>
      </c>
      <c r="I1809" s="1" t="n">
        <v>4</v>
      </c>
      <c r="J1809" s="7" t="n">
        <v>5443.22</v>
      </c>
      <c r="K1809" s="8" t="n">
        <v>0</v>
      </c>
      <c r="L1809" s="7" t="n">
        <v>3832.69</v>
      </c>
      <c r="M1809" s="6" t="s">
        <v>49</v>
      </c>
      <c r="N1809" s="6" t="s">
        <v>50</v>
      </c>
      <c r="O1809" s="6" t="n">
        <f aca="false">IF(TablaVentas[[#This Row],[Precio_unitario]]="","PENDIENTE",TablaVentas[[#This Row],[Unidades]]*TablaVentas[[#This Row],[Precio_unitario]]*(1-TablaVentas[[#This Row],[Descuento_pct]]))</f>
        <v>21772.88</v>
      </c>
      <c r="P1809" s="6" t="n">
        <f aca="false">IF(TablaVentas[[#This Row],[Costo_unitario]]="","PENDIENTE",TablaVentas[[#This Row],[Unidades]]*TablaVentas[[#This Row],[Costo_unitario]])</f>
        <v>15330.76</v>
      </c>
      <c r="Q1809" s="6" t="n">
        <f aca="false">IF(OR(TablaVentas[[#This Row],[Ingreso_neto]]="PENDIENTE",TablaVentas[[#This Row],[Costo_total]]="PENDIENTE"),"PENDIENTE",TablaVentas[[#This Row],[Ingreso_neto]]-TablaVentas[[#This Row],[Costo_total]])</f>
        <v>6442.12</v>
      </c>
    </row>
    <row r="1810" customFormat="false" ht="13.5" hidden="false" customHeight="false" outlineLevel="0" collapsed="false">
      <c r="A1810" s="1" t="s">
        <v>1172</v>
      </c>
      <c r="B1810" s="1" t="n">
        <v>4</v>
      </c>
      <c r="C1810" s="5" t="n">
        <v>46141</v>
      </c>
      <c r="D1810" s="6" t="s">
        <v>421</v>
      </c>
      <c r="E1810" s="6" t="s">
        <v>187</v>
      </c>
      <c r="F1810" s="6" t="s">
        <v>63</v>
      </c>
      <c r="G1810" s="6" t="s">
        <v>47</v>
      </c>
      <c r="H1810" s="6" t="s">
        <v>74</v>
      </c>
      <c r="I1810" s="1" t="n">
        <v>1</v>
      </c>
      <c r="J1810" s="7" t="n">
        <v>5959.03</v>
      </c>
      <c r="K1810" s="8" t="n">
        <v>0</v>
      </c>
      <c r="L1810" s="7" t="n">
        <v>3824.92</v>
      </c>
      <c r="M1810" s="6" t="s">
        <v>69</v>
      </c>
      <c r="N1810" s="6" t="s">
        <v>52</v>
      </c>
      <c r="O1810" s="6" t="n">
        <f aca="false">IF(TablaVentas[[#This Row],[Precio_unitario]]="","PENDIENTE",TablaVentas[[#This Row],[Unidades]]*TablaVentas[[#This Row],[Precio_unitario]]*(1-TablaVentas[[#This Row],[Descuento_pct]]))</f>
        <v>5959.03</v>
      </c>
      <c r="P1810" s="6" t="n">
        <f aca="false">IF(TablaVentas[[#This Row],[Costo_unitario]]="","PENDIENTE",TablaVentas[[#This Row],[Unidades]]*TablaVentas[[#This Row],[Costo_unitario]])</f>
        <v>3824.92</v>
      </c>
      <c r="Q1810" s="6" t="n">
        <f aca="false">IF(OR(TablaVentas[[#This Row],[Ingreso_neto]]="PENDIENTE",TablaVentas[[#This Row],[Costo_total]]="PENDIENTE"),"PENDIENTE",TablaVentas[[#This Row],[Ingreso_neto]]-TablaVentas[[#This Row],[Costo_total]])</f>
        <v>2134.11</v>
      </c>
    </row>
    <row r="1811" customFormat="false" ht="13.5" hidden="false" customHeight="false" outlineLevel="0" collapsed="false">
      <c r="A1811" s="1" t="s">
        <v>1173</v>
      </c>
      <c r="B1811" s="1" t="n">
        <v>1</v>
      </c>
      <c r="C1811" s="5" t="n">
        <v>46288</v>
      </c>
      <c r="D1811" s="6" t="s">
        <v>55</v>
      </c>
      <c r="E1811" s="6" t="s">
        <v>269</v>
      </c>
      <c r="F1811" s="6" t="s">
        <v>84</v>
      </c>
      <c r="G1811" s="6" t="s">
        <v>57</v>
      </c>
      <c r="H1811" s="6" t="s">
        <v>109</v>
      </c>
      <c r="I1811" s="1" t="n">
        <v>5</v>
      </c>
      <c r="J1811" s="7" t="n">
        <v>13555.76</v>
      </c>
      <c r="K1811" s="8" t="n">
        <v>0</v>
      </c>
      <c r="L1811" s="7" t="n">
        <v>8227.46</v>
      </c>
      <c r="M1811" s="6" t="s">
        <v>49</v>
      </c>
      <c r="N1811" s="6" t="s">
        <v>59</v>
      </c>
      <c r="O1811" s="6" t="n">
        <f aca="false">IF(TablaVentas[[#This Row],[Precio_unitario]]="","PENDIENTE",TablaVentas[[#This Row],[Unidades]]*TablaVentas[[#This Row],[Precio_unitario]]*(1-TablaVentas[[#This Row],[Descuento_pct]]))</f>
        <v>67778.8</v>
      </c>
      <c r="P1811" s="6" t="n">
        <f aca="false">IF(TablaVentas[[#This Row],[Costo_unitario]]="","PENDIENTE",TablaVentas[[#This Row],[Unidades]]*TablaVentas[[#This Row],[Costo_unitario]])</f>
        <v>41137.3</v>
      </c>
      <c r="Q1811" s="6" t="n">
        <f aca="false">IF(OR(TablaVentas[[#This Row],[Ingreso_neto]]="PENDIENTE",TablaVentas[[#This Row],[Costo_total]]="PENDIENTE"),"PENDIENTE",TablaVentas[[#This Row],[Ingreso_neto]]-TablaVentas[[#This Row],[Costo_total]])</f>
        <v>26641.5</v>
      </c>
    </row>
    <row r="1812" customFormat="false" ht="13.5" hidden="false" customHeight="false" outlineLevel="0" collapsed="false">
      <c r="A1812" s="1" t="s">
        <v>1173</v>
      </c>
      <c r="B1812" s="1" t="n">
        <v>2</v>
      </c>
      <c r="C1812" s="5" t="n">
        <v>46288</v>
      </c>
      <c r="D1812" s="6" t="s">
        <v>55</v>
      </c>
      <c r="E1812" s="6" t="s">
        <v>166</v>
      </c>
      <c r="F1812" s="6" t="s">
        <v>84</v>
      </c>
      <c r="G1812" s="6" t="s">
        <v>57</v>
      </c>
      <c r="H1812" s="6" t="s">
        <v>109</v>
      </c>
      <c r="I1812" s="1" t="n">
        <v>4</v>
      </c>
      <c r="J1812" s="7" t="n">
        <v>13020.48</v>
      </c>
      <c r="K1812" s="8" t="n">
        <v>0</v>
      </c>
      <c r="L1812" s="7" t="n">
        <v>9317.37</v>
      </c>
      <c r="M1812" s="6" t="s">
        <v>49</v>
      </c>
      <c r="N1812" s="6" t="s">
        <v>52</v>
      </c>
      <c r="O1812" s="6" t="n">
        <f aca="false">IF(TablaVentas[[#This Row],[Precio_unitario]]="","PENDIENTE",TablaVentas[[#This Row],[Unidades]]*TablaVentas[[#This Row],[Precio_unitario]]*(1-TablaVentas[[#This Row],[Descuento_pct]]))</f>
        <v>52081.92</v>
      </c>
      <c r="P1812" s="6" t="n">
        <f aca="false">IF(TablaVentas[[#This Row],[Costo_unitario]]="","PENDIENTE",TablaVentas[[#This Row],[Unidades]]*TablaVentas[[#This Row],[Costo_unitario]])</f>
        <v>37269.48</v>
      </c>
      <c r="Q1812" s="6" t="n">
        <f aca="false">IF(OR(TablaVentas[[#This Row],[Ingreso_neto]]="PENDIENTE",TablaVentas[[#This Row],[Costo_total]]="PENDIENTE"),"PENDIENTE",TablaVentas[[#This Row],[Ingreso_neto]]-TablaVentas[[#This Row],[Costo_total]])</f>
        <v>14812.44</v>
      </c>
    </row>
    <row r="1813" customFormat="false" ht="13.5" hidden="false" customHeight="false" outlineLevel="0" collapsed="false">
      <c r="A1813" s="1" t="s">
        <v>1173</v>
      </c>
      <c r="B1813" s="1" t="n">
        <v>3</v>
      </c>
      <c r="C1813" s="5" t="n">
        <v>46288</v>
      </c>
      <c r="D1813" s="6" t="s">
        <v>55</v>
      </c>
      <c r="E1813" s="6" t="s">
        <v>146</v>
      </c>
      <c r="F1813" s="6" t="s">
        <v>84</v>
      </c>
      <c r="G1813" s="6" t="s">
        <v>57</v>
      </c>
      <c r="H1813" s="6" t="s">
        <v>109</v>
      </c>
      <c r="I1813" s="1" t="n">
        <v>1</v>
      </c>
      <c r="J1813" s="7" t="n">
        <v>8951.52</v>
      </c>
      <c r="K1813" s="8" t="n">
        <v>0.15</v>
      </c>
      <c r="L1813" s="7" t="n">
        <v>8002.16</v>
      </c>
      <c r="M1813" s="6" t="s">
        <v>49</v>
      </c>
      <c r="N1813" s="6" t="s">
        <v>52</v>
      </c>
      <c r="O1813" s="6" t="n">
        <f aca="false">IF(TablaVentas[[#This Row],[Precio_unitario]]="","PENDIENTE",TablaVentas[[#This Row],[Unidades]]*TablaVentas[[#This Row],[Precio_unitario]]*(1-TablaVentas[[#This Row],[Descuento_pct]]))</f>
        <v>7608.792</v>
      </c>
      <c r="P1813" s="6" t="n">
        <f aca="false">IF(TablaVentas[[#This Row],[Costo_unitario]]="","PENDIENTE",TablaVentas[[#This Row],[Unidades]]*TablaVentas[[#This Row],[Costo_unitario]])</f>
        <v>8002.16</v>
      </c>
      <c r="Q1813" s="6" t="n">
        <f aca="false">IF(OR(TablaVentas[[#This Row],[Ingreso_neto]]="PENDIENTE",TablaVentas[[#This Row],[Costo_total]]="PENDIENTE"),"PENDIENTE",TablaVentas[[#This Row],[Ingreso_neto]]-TablaVentas[[#This Row],[Costo_total]])</f>
        <v>-393.368</v>
      </c>
    </row>
    <row r="1814" customFormat="false" ht="13.5" hidden="false" customHeight="false" outlineLevel="0" collapsed="false">
      <c r="A1814" s="1" t="s">
        <v>1173</v>
      </c>
      <c r="B1814" s="1" t="n">
        <v>4</v>
      </c>
      <c r="C1814" s="5" t="n">
        <v>46288</v>
      </c>
      <c r="D1814" s="6" t="s">
        <v>55</v>
      </c>
      <c r="E1814" s="6" t="s">
        <v>263</v>
      </c>
      <c r="F1814" s="6" t="s">
        <v>84</v>
      </c>
      <c r="G1814" s="6" t="s">
        <v>57</v>
      </c>
      <c r="H1814" s="6" t="s">
        <v>109</v>
      </c>
      <c r="I1814" s="1" t="n">
        <v>2</v>
      </c>
      <c r="J1814" s="7" t="n">
        <v>19406.69</v>
      </c>
      <c r="K1814" s="8" t="n">
        <v>0</v>
      </c>
      <c r="L1814" s="7" t="n">
        <v>11666.57</v>
      </c>
      <c r="M1814" s="6" t="s">
        <v>123</v>
      </c>
      <c r="N1814" s="6" t="s">
        <v>52</v>
      </c>
      <c r="O1814" s="6" t="n">
        <f aca="false">IF(TablaVentas[[#This Row],[Precio_unitario]]="","PENDIENTE",TablaVentas[[#This Row],[Unidades]]*TablaVentas[[#This Row],[Precio_unitario]]*(1-TablaVentas[[#This Row],[Descuento_pct]]))</f>
        <v>38813.38</v>
      </c>
      <c r="P1814" s="6" t="n">
        <f aca="false">IF(TablaVentas[[#This Row],[Costo_unitario]]="","PENDIENTE",TablaVentas[[#This Row],[Unidades]]*TablaVentas[[#This Row],[Costo_unitario]])</f>
        <v>23333.14</v>
      </c>
      <c r="Q1814" s="6" t="n">
        <f aca="false">IF(OR(TablaVentas[[#This Row],[Ingreso_neto]]="PENDIENTE",TablaVentas[[#This Row],[Costo_total]]="PENDIENTE"),"PENDIENTE",TablaVentas[[#This Row],[Ingreso_neto]]-TablaVentas[[#This Row],[Costo_total]])</f>
        <v>15480.24</v>
      </c>
    </row>
    <row r="1815" customFormat="false" ht="13.5" hidden="false" customHeight="false" outlineLevel="0" collapsed="false">
      <c r="A1815" s="1" t="s">
        <v>1174</v>
      </c>
      <c r="B1815" s="1" t="n">
        <v>1</v>
      </c>
      <c r="C1815" s="5" t="n">
        <v>46219</v>
      </c>
      <c r="D1815" s="6" t="s">
        <v>727</v>
      </c>
      <c r="E1815" s="6" t="s">
        <v>66</v>
      </c>
      <c r="F1815" s="6" t="s">
        <v>84</v>
      </c>
      <c r="G1815" s="6" t="s">
        <v>64</v>
      </c>
      <c r="H1815" s="6" t="s">
        <v>109</v>
      </c>
      <c r="I1815" s="1" t="n">
        <v>2</v>
      </c>
      <c r="J1815" s="7" t="n">
        <v>13915.2</v>
      </c>
      <c r="K1815" s="8" t="n">
        <v>0.15</v>
      </c>
      <c r="L1815" s="7" t="n">
        <v>10170.29</v>
      </c>
      <c r="M1815" s="6" t="s">
        <v>49</v>
      </c>
      <c r="N1815" s="6" t="s">
        <v>67</v>
      </c>
      <c r="O1815" s="6" t="n">
        <f aca="false">IF(TablaVentas[[#This Row],[Precio_unitario]]="","PENDIENTE",TablaVentas[[#This Row],[Unidades]]*TablaVentas[[#This Row],[Precio_unitario]]*(1-TablaVentas[[#This Row],[Descuento_pct]]))</f>
        <v>23655.84</v>
      </c>
      <c r="P1815" s="6" t="n">
        <f aca="false">IF(TablaVentas[[#This Row],[Costo_unitario]]="","PENDIENTE",TablaVentas[[#This Row],[Unidades]]*TablaVentas[[#This Row],[Costo_unitario]])</f>
        <v>20340.58</v>
      </c>
      <c r="Q1815" s="6" t="n">
        <f aca="false">IF(OR(TablaVentas[[#This Row],[Ingreso_neto]]="PENDIENTE",TablaVentas[[#This Row],[Costo_total]]="PENDIENTE"),"PENDIENTE",TablaVentas[[#This Row],[Ingreso_neto]]-TablaVentas[[#This Row],[Costo_total]])</f>
        <v>3315.26</v>
      </c>
    </row>
    <row r="1816" customFormat="false" ht="13.5" hidden="false" customHeight="false" outlineLevel="0" collapsed="false">
      <c r="A1816" s="1" t="s">
        <v>1175</v>
      </c>
      <c r="B1816" s="1" t="n">
        <v>1</v>
      </c>
      <c r="C1816" s="5" t="n">
        <v>46066</v>
      </c>
      <c r="D1816" s="6" t="s">
        <v>710</v>
      </c>
      <c r="E1816" s="6" t="s">
        <v>75</v>
      </c>
      <c r="F1816" s="6" t="s">
        <v>63</v>
      </c>
      <c r="G1816" s="6" t="s">
        <v>64</v>
      </c>
      <c r="H1816" s="6" t="s">
        <v>131</v>
      </c>
      <c r="I1816" s="1" t="n">
        <v>1</v>
      </c>
      <c r="J1816" s="7" t="n">
        <v>15866.8</v>
      </c>
      <c r="K1816" s="8" t="n">
        <v>0</v>
      </c>
      <c r="L1816" s="7" t="n">
        <v>9243.35</v>
      </c>
      <c r="M1816" s="6" t="s">
        <v>49</v>
      </c>
      <c r="N1816" s="6" t="s">
        <v>67</v>
      </c>
      <c r="O1816" s="6" t="n">
        <f aca="false">IF(TablaVentas[[#This Row],[Precio_unitario]]="","PENDIENTE",TablaVentas[[#This Row],[Unidades]]*TablaVentas[[#This Row],[Precio_unitario]]*(1-TablaVentas[[#This Row],[Descuento_pct]]))</f>
        <v>15866.8</v>
      </c>
      <c r="P1816" s="6" t="n">
        <f aca="false">IF(TablaVentas[[#This Row],[Costo_unitario]]="","PENDIENTE",TablaVentas[[#This Row],[Unidades]]*TablaVentas[[#This Row],[Costo_unitario]])</f>
        <v>9243.35</v>
      </c>
      <c r="Q1816" s="6" t="n">
        <f aca="false">IF(OR(TablaVentas[[#This Row],[Ingreso_neto]]="PENDIENTE",TablaVentas[[#This Row],[Costo_total]]="PENDIENTE"),"PENDIENTE",TablaVentas[[#This Row],[Ingreso_neto]]-TablaVentas[[#This Row],[Costo_total]])</f>
        <v>6623.45</v>
      </c>
    </row>
    <row r="1817" customFormat="false" ht="13.5" hidden="false" customHeight="false" outlineLevel="0" collapsed="false">
      <c r="A1817" s="1" t="s">
        <v>1175</v>
      </c>
      <c r="B1817" s="1" t="n">
        <v>2</v>
      </c>
      <c r="C1817" s="5" t="n">
        <v>46066</v>
      </c>
      <c r="D1817" s="6" t="s">
        <v>710</v>
      </c>
      <c r="E1817" s="6" t="s">
        <v>127</v>
      </c>
      <c r="F1817" s="6" t="s">
        <v>63</v>
      </c>
      <c r="G1817" s="6" t="s">
        <v>64</v>
      </c>
      <c r="H1817" s="6" t="s">
        <v>131</v>
      </c>
      <c r="I1817" s="1" t="n">
        <v>3</v>
      </c>
      <c r="J1817" s="7" t="n">
        <v>12705.39</v>
      </c>
      <c r="K1817" s="8" t="n">
        <v>0</v>
      </c>
      <c r="L1817" s="7" t="n">
        <v>7975.26</v>
      </c>
      <c r="M1817" s="6" t="s">
        <v>49</v>
      </c>
      <c r="N1817" s="6" t="s">
        <v>59</v>
      </c>
      <c r="O1817" s="6" t="n">
        <f aca="false">IF(TablaVentas[[#This Row],[Precio_unitario]]="","PENDIENTE",TablaVentas[[#This Row],[Unidades]]*TablaVentas[[#This Row],[Precio_unitario]]*(1-TablaVentas[[#This Row],[Descuento_pct]]))</f>
        <v>38116.17</v>
      </c>
      <c r="P1817" s="6" t="n">
        <f aca="false">IF(TablaVentas[[#This Row],[Costo_unitario]]="","PENDIENTE",TablaVentas[[#This Row],[Unidades]]*TablaVentas[[#This Row],[Costo_unitario]])</f>
        <v>23925.78</v>
      </c>
      <c r="Q1817" s="6" t="n">
        <f aca="false">IF(OR(TablaVentas[[#This Row],[Ingreso_neto]]="PENDIENTE",TablaVentas[[#This Row],[Costo_total]]="PENDIENTE"),"PENDIENTE",TablaVentas[[#This Row],[Ingreso_neto]]-TablaVentas[[#This Row],[Costo_total]])</f>
        <v>14190.39</v>
      </c>
    </row>
    <row r="1818" customFormat="false" ht="13.5" hidden="false" customHeight="false" outlineLevel="0" collapsed="false">
      <c r="A1818" s="1" t="s">
        <v>1176</v>
      </c>
      <c r="B1818" s="1" t="n">
        <v>1</v>
      </c>
      <c r="C1818" s="5" t="n">
        <v>46061</v>
      </c>
      <c r="D1818" s="6" t="s">
        <v>373</v>
      </c>
      <c r="E1818" s="6" t="s">
        <v>219</v>
      </c>
      <c r="F1818" s="6" t="s">
        <v>63</v>
      </c>
      <c r="G1818" s="6" t="s">
        <v>57</v>
      </c>
      <c r="H1818" s="6" t="s">
        <v>109</v>
      </c>
      <c r="I1818" s="1" t="n">
        <v>2</v>
      </c>
      <c r="J1818" s="7" t="n">
        <v>3947.16</v>
      </c>
      <c r="K1818" s="8" t="n">
        <v>0</v>
      </c>
      <c r="L1818" s="7" t="n">
        <v>2157.55</v>
      </c>
      <c r="M1818" s="6" t="s">
        <v>49</v>
      </c>
      <c r="N1818" s="6" t="s">
        <v>50</v>
      </c>
      <c r="O1818" s="6" t="n">
        <f aca="false">IF(TablaVentas[[#This Row],[Precio_unitario]]="","PENDIENTE",TablaVentas[[#This Row],[Unidades]]*TablaVentas[[#This Row],[Precio_unitario]]*(1-TablaVentas[[#This Row],[Descuento_pct]]))</f>
        <v>7894.32</v>
      </c>
      <c r="P1818" s="6" t="n">
        <f aca="false">IF(TablaVentas[[#This Row],[Costo_unitario]]="","PENDIENTE",TablaVentas[[#This Row],[Unidades]]*TablaVentas[[#This Row],[Costo_unitario]])</f>
        <v>4315.1</v>
      </c>
      <c r="Q1818" s="6" t="n">
        <f aca="false">IF(OR(TablaVentas[[#This Row],[Ingreso_neto]]="PENDIENTE",TablaVentas[[#This Row],[Costo_total]]="PENDIENTE"),"PENDIENTE",TablaVentas[[#This Row],[Ingreso_neto]]-TablaVentas[[#This Row],[Costo_total]])</f>
        <v>3579.22</v>
      </c>
    </row>
    <row r="1819" customFormat="false" ht="13.5" hidden="false" customHeight="false" outlineLevel="0" collapsed="false">
      <c r="A1819" s="1" t="s">
        <v>1176</v>
      </c>
      <c r="B1819" s="1" t="n">
        <v>2</v>
      </c>
      <c r="C1819" s="5" t="n">
        <v>46061</v>
      </c>
      <c r="D1819" s="6" t="s">
        <v>373</v>
      </c>
      <c r="E1819" s="6" t="s">
        <v>192</v>
      </c>
      <c r="F1819" s="6" t="s">
        <v>63</v>
      </c>
      <c r="G1819" s="6" t="s">
        <v>57</v>
      </c>
      <c r="H1819" s="6" t="s">
        <v>109</v>
      </c>
      <c r="I1819" s="1" t="n">
        <v>3</v>
      </c>
      <c r="J1819" s="7" t="n">
        <v>15789.05</v>
      </c>
      <c r="K1819" s="8" t="n">
        <v>0</v>
      </c>
      <c r="L1819" s="7" t="n">
        <v>11904.09</v>
      </c>
      <c r="M1819" s="6" t="s">
        <v>49</v>
      </c>
      <c r="N1819" s="6" t="s">
        <v>50</v>
      </c>
      <c r="O1819" s="6" t="n">
        <f aca="false">IF(TablaVentas[[#This Row],[Precio_unitario]]="","PENDIENTE",TablaVentas[[#This Row],[Unidades]]*TablaVentas[[#This Row],[Precio_unitario]]*(1-TablaVentas[[#This Row],[Descuento_pct]]))</f>
        <v>47367.15</v>
      </c>
      <c r="P1819" s="6" t="n">
        <f aca="false">IF(TablaVentas[[#This Row],[Costo_unitario]]="","PENDIENTE",TablaVentas[[#This Row],[Unidades]]*TablaVentas[[#This Row],[Costo_unitario]])</f>
        <v>35712.27</v>
      </c>
      <c r="Q1819" s="6" t="n">
        <f aca="false">IF(OR(TablaVentas[[#This Row],[Ingreso_neto]]="PENDIENTE",TablaVentas[[#This Row],[Costo_total]]="PENDIENTE"),"PENDIENTE",TablaVentas[[#This Row],[Ingreso_neto]]-TablaVentas[[#This Row],[Costo_total]])</f>
        <v>11654.88</v>
      </c>
    </row>
    <row r="1820" customFormat="false" ht="13.5" hidden="false" customHeight="false" outlineLevel="0" collapsed="false">
      <c r="A1820" s="1" t="s">
        <v>1176</v>
      </c>
      <c r="B1820" s="1" t="n">
        <v>3</v>
      </c>
      <c r="C1820" s="5" t="n">
        <v>46061</v>
      </c>
      <c r="D1820" s="6" t="s">
        <v>373</v>
      </c>
      <c r="E1820" s="6" t="s">
        <v>110</v>
      </c>
      <c r="F1820" s="6" t="s">
        <v>63</v>
      </c>
      <c r="G1820" s="6" t="s">
        <v>57</v>
      </c>
      <c r="H1820" s="6" t="s">
        <v>109</v>
      </c>
      <c r="I1820" s="1" t="n">
        <v>3</v>
      </c>
      <c r="J1820" s="7" t="n">
        <v>12188.02</v>
      </c>
      <c r="K1820" s="8" t="n">
        <v>0.05</v>
      </c>
      <c r="L1820" s="7" t="n">
        <v>7549.71</v>
      </c>
      <c r="M1820" s="6" t="s">
        <v>49</v>
      </c>
      <c r="N1820" s="6" t="s">
        <v>67</v>
      </c>
      <c r="O1820" s="6" t="n">
        <f aca="false">IF(TablaVentas[[#This Row],[Precio_unitario]]="","PENDIENTE",TablaVentas[[#This Row],[Unidades]]*TablaVentas[[#This Row],[Precio_unitario]]*(1-TablaVentas[[#This Row],[Descuento_pct]]))</f>
        <v>34735.857</v>
      </c>
      <c r="P1820" s="6" t="n">
        <f aca="false">IF(TablaVentas[[#This Row],[Costo_unitario]]="","PENDIENTE",TablaVentas[[#This Row],[Unidades]]*TablaVentas[[#This Row],[Costo_unitario]])</f>
        <v>22649.13</v>
      </c>
      <c r="Q1820" s="6" t="n">
        <f aca="false">IF(OR(TablaVentas[[#This Row],[Ingreso_neto]]="PENDIENTE",TablaVentas[[#This Row],[Costo_total]]="PENDIENTE"),"PENDIENTE",TablaVentas[[#This Row],[Ingreso_neto]]-TablaVentas[[#This Row],[Costo_total]])</f>
        <v>12086.727</v>
      </c>
    </row>
    <row r="1821" customFormat="false" ht="13.5" hidden="false" customHeight="false" outlineLevel="0" collapsed="false">
      <c r="A1821" s="1" t="s">
        <v>1176</v>
      </c>
      <c r="B1821" s="1" t="n">
        <v>4</v>
      </c>
      <c r="C1821" s="5" t="n">
        <v>46061</v>
      </c>
      <c r="D1821" s="6" t="s">
        <v>373</v>
      </c>
      <c r="E1821" s="6" t="s">
        <v>280</v>
      </c>
      <c r="F1821" s="6" t="s">
        <v>63</v>
      </c>
      <c r="G1821" s="6" t="s">
        <v>57</v>
      </c>
      <c r="H1821" s="6" t="s">
        <v>109</v>
      </c>
      <c r="I1821" s="1" t="n">
        <v>1</v>
      </c>
      <c r="J1821" s="7" t="n">
        <v>1410.08</v>
      </c>
      <c r="K1821" s="8" t="n">
        <v>0</v>
      </c>
      <c r="L1821" s="7" t="n">
        <v>716.26</v>
      </c>
      <c r="M1821" s="6" t="s">
        <v>49</v>
      </c>
      <c r="N1821" s="6" t="s">
        <v>59</v>
      </c>
      <c r="O1821" s="6" t="n">
        <f aca="false">IF(TablaVentas[[#This Row],[Precio_unitario]]="","PENDIENTE",TablaVentas[[#This Row],[Unidades]]*TablaVentas[[#This Row],[Precio_unitario]]*(1-TablaVentas[[#This Row],[Descuento_pct]]))</f>
        <v>1410.08</v>
      </c>
      <c r="P1821" s="6" t="n">
        <f aca="false">IF(TablaVentas[[#This Row],[Costo_unitario]]="","PENDIENTE",TablaVentas[[#This Row],[Unidades]]*TablaVentas[[#This Row],[Costo_unitario]])</f>
        <v>716.26</v>
      </c>
      <c r="Q1821" s="6" t="n">
        <f aca="false">IF(OR(TablaVentas[[#This Row],[Ingreso_neto]]="PENDIENTE",TablaVentas[[#This Row],[Costo_total]]="PENDIENTE"),"PENDIENTE",TablaVentas[[#This Row],[Ingreso_neto]]-TablaVentas[[#This Row],[Costo_total]])</f>
        <v>693.82</v>
      </c>
    </row>
    <row r="1822" customFormat="false" ht="13.5" hidden="false" customHeight="false" outlineLevel="0" collapsed="false">
      <c r="A1822" s="1" t="s">
        <v>1177</v>
      </c>
      <c r="B1822" s="1" t="n">
        <v>1</v>
      </c>
      <c r="C1822" s="5" t="n">
        <v>46245</v>
      </c>
      <c r="D1822" s="6" t="s">
        <v>1178</v>
      </c>
      <c r="E1822" s="6" t="s">
        <v>77</v>
      </c>
      <c r="F1822" s="6" t="s">
        <v>84</v>
      </c>
      <c r="G1822" s="6" t="s">
        <v>64</v>
      </c>
      <c r="H1822" s="6" t="s">
        <v>58</v>
      </c>
      <c r="I1822" s="1" t="n">
        <v>4</v>
      </c>
      <c r="J1822" s="7" t="n">
        <v>14857.95</v>
      </c>
      <c r="K1822" s="8" t="n">
        <v>0</v>
      </c>
      <c r="L1822" s="7" t="n">
        <v>10571.25</v>
      </c>
      <c r="M1822" s="6" t="s">
        <v>49</v>
      </c>
      <c r="N1822" s="6" t="s">
        <v>59</v>
      </c>
      <c r="O1822" s="6" t="n">
        <f aca="false">IF(TablaVentas[[#This Row],[Precio_unitario]]="","PENDIENTE",TablaVentas[[#This Row],[Unidades]]*TablaVentas[[#This Row],[Precio_unitario]]*(1-TablaVentas[[#This Row],[Descuento_pct]]))</f>
        <v>59431.8</v>
      </c>
      <c r="P1822" s="6" t="n">
        <f aca="false">IF(TablaVentas[[#This Row],[Costo_unitario]]="","PENDIENTE",TablaVentas[[#This Row],[Unidades]]*TablaVentas[[#This Row],[Costo_unitario]])</f>
        <v>42285</v>
      </c>
      <c r="Q1822" s="6" t="n">
        <f aca="false">IF(OR(TablaVentas[[#This Row],[Ingreso_neto]]="PENDIENTE",TablaVentas[[#This Row],[Costo_total]]="PENDIENTE"),"PENDIENTE",TablaVentas[[#This Row],[Ingreso_neto]]-TablaVentas[[#This Row],[Costo_total]])</f>
        <v>17146.8</v>
      </c>
    </row>
    <row r="1823" customFormat="false" ht="13.5" hidden="false" customHeight="false" outlineLevel="0" collapsed="false">
      <c r="A1823" s="1" t="s">
        <v>1179</v>
      </c>
      <c r="B1823" s="1" t="n">
        <v>1</v>
      </c>
      <c r="C1823" s="5" t="n">
        <v>46237</v>
      </c>
      <c r="D1823" s="6" t="s">
        <v>95</v>
      </c>
      <c r="E1823" s="6" t="s">
        <v>105</v>
      </c>
      <c r="F1823" s="6" t="s">
        <v>84</v>
      </c>
      <c r="G1823" s="6" t="s">
        <v>47</v>
      </c>
      <c r="H1823" s="6" t="s">
        <v>48</v>
      </c>
      <c r="I1823" s="1" t="n">
        <v>1</v>
      </c>
      <c r="J1823" s="7" t="n">
        <v>17165.34</v>
      </c>
      <c r="K1823" s="8" t="n">
        <v>0</v>
      </c>
      <c r="L1823" s="7" t="n">
        <v>9881</v>
      </c>
      <c r="M1823" s="6" t="s">
        <v>49</v>
      </c>
      <c r="N1823" s="6" t="s">
        <v>67</v>
      </c>
      <c r="O1823" s="6" t="n">
        <f aca="false">IF(TablaVentas[[#This Row],[Precio_unitario]]="","PENDIENTE",TablaVentas[[#This Row],[Unidades]]*TablaVentas[[#This Row],[Precio_unitario]]*(1-TablaVentas[[#This Row],[Descuento_pct]]))</f>
        <v>17165.34</v>
      </c>
      <c r="P1823" s="6" t="n">
        <f aca="false">IF(TablaVentas[[#This Row],[Costo_unitario]]="","PENDIENTE",TablaVentas[[#This Row],[Unidades]]*TablaVentas[[#This Row],[Costo_unitario]])</f>
        <v>9881</v>
      </c>
      <c r="Q1823" s="6" t="n">
        <f aca="false">IF(OR(TablaVentas[[#This Row],[Ingreso_neto]]="PENDIENTE",TablaVentas[[#This Row],[Costo_total]]="PENDIENTE"),"PENDIENTE",TablaVentas[[#This Row],[Ingreso_neto]]-TablaVentas[[#This Row],[Costo_total]])</f>
        <v>7284.34</v>
      </c>
    </row>
    <row r="1824" customFormat="false" ht="13.5" hidden="false" customHeight="false" outlineLevel="0" collapsed="false">
      <c r="A1824" s="1" t="s">
        <v>1179</v>
      </c>
      <c r="B1824" s="1" t="n">
        <v>2</v>
      </c>
      <c r="C1824" s="5" t="n">
        <v>46237</v>
      </c>
      <c r="D1824" s="6" t="s">
        <v>95</v>
      </c>
      <c r="E1824" s="6" t="s">
        <v>130</v>
      </c>
      <c r="F1824" s="6" t="s">
        <v>84</v>
      </c>
      <c r="G1824" s="6" t="s">
        <v>47</v>
      </c>
      <c r="H1824" s="6" t="s">
        <v>48</v>
      </c>
      <c r="I1824" s="1" t="n">
        <v>5</v>
      </c>
      <c r="J1824" s="7" t="n">
        <v>18903.01</v>
      </c>
      <c r="K1824" s="8" t="n">
        <v>0.15</v>
      </c>
      <c r="L1824" s="7" t="n">
        <v>12679.41</v>
      </c>
      <c r="M1824" s="6" t="s">
        <v>49</v>
      </c>
      <c r="N1824" s="6" t="s">
        <v>50</v>
      </c>
      <c r="O1824" s="6" t="n">
        <f aca="false">IF(TablaVentas[[#This Row],[Precio_unitario]]="","PENDIENTE",TablaVentas[[#This Row],[Unidades]]*TablaVentas[[#This Row],[Precio_unitario]]*(1-TablaVentas[[#This Row],[Descuento_pct]]))</f>
        <v>80337.7925</v>
      </c>
      <c r="P1824" s="6" t="n">
        <f aca="false">IF(TablaVentas[[#This Row],[Costo_unitario]]="","PENDIENTE",TablaVentas[[#This Row],[Unidades]]*TablaVentas[[#This Row],[Costo_unitario]])</f>
        <v>63397.05</v>
      </c>
      <c r="Q1824" s="6" t="n">
        <f aca="false">IF(OR(TablaVentas[[#This Row],[Ingreso_neto]]="PENDIENTE",TablaVentas[[#This Row],[Costo_total]]="PENDIENTE"),"PENDIENTE",TablaVentas[[#This Row],[Ingreso_neto]]-TablaVentas[[#This Row],[Costo_total]])</f>
        <v>16940.7425</v>
      </c>
    </row>
    <row r="1825" customFormat="false" ht="13.5" hidden="false" customHeight="false" outlineLevel="0" collapsed="false">
      <c r="A1825" s="1" t="s">
        <v>1179</v>
      </c>
      <c r="B1825" s="1" t="n">
        <v>3</v>
      </c>
      <c r="C1825" s="5" t="n">
        <v>46237</v>
      </c>
      <c r="D1825" s="6" t="s">
        <v>95</v>
      </c>
      <c r="E1825" s="6" t="s">
        <v>213</v>
      </c>
      <c r="F1825" s="6" t="s">
        <v>84</v>
      </c>
      <c r="G1825" s="6" t="s">
        <v>47</v>
      </c>
      <c r="H1825" s="6" t="s">
        <v>48</v>
      </c>
      <c r="I1825" s="1" t="n">
        <v>2</v>
      </c>
      <c r="J1825" s="7" t="n">
        <v>5694.56</v>
      </c>
      <c r="K1825" s="8" t="n">
        <v>0</v>
      </c>
      <c r="L1825" s="7" t="n">
        <v>4008.77</v>
      </c>
      <c r="M1825" s="6" t="s">
        <v>49</v>
      </c>
      <c r="N1825" s="6" t="s">
        <v>52</v>
      </c>
      <c r="O1825" s="6" t="n">
        <f aca="false">IF(TablaVentas[[#This Row],[Precio_unitario]]="","PENDIENTE",TablaVentas[[#This Row],[Unidades]]*TablaVentas[[#This Row],[Precio_unitario]]*(1-TablaVentas[[#This Row],[Descuento_pct]]))</f>
        <v>11389.12</v>
      </c>
      <c r="P1825" s="6" t="n">
        <f aca="false">IF(TablaVentas[[#This Row],[Costo_unitario]]="","PENDIENTE",TablaVentas[[#This Row],[Unidades]]*TablaVentas[[#This Row],[Costo_unitario]])</f>
        <v>8017.54</v>
      </c>
      <c r="Q1825" s="6" t="n">
        <f aca="false">IF(OR(TablaVentas[[#This Row],[Ingreso_neto]]="PENDIENTE",TablaVentas[[#This Row],[Costo_total]]="PENDIENTE"),"PENDIENTE",TablaVentas[[#This Row],[Ingreso_neto]]-TablaVentas[[#This Row],[Costo_total]])</f>
        <v>3371.58</v>
      </c>
    </row>
    <row r="1826" customFormat="false" ht="13.5" hidden="false" customHeight="false" outlineLevel="0" collapsed="false">
      <c r="A1826" s="1" t="s">
        <v>1180</v>
      </c>
      <c r="B1826" s="1" t="n">
        <v>1</v>
      </c>
      <c r="C1826" s="5" t="n">
        <v>46187</v>
      </c>
      <c r="D1826" s="6" t="s">
        <v>302</v>
      </c>
      <c r="E1826" s="6" t="s">
        <v>45</v>
      </c>
      <c r="F1826" s="6" t="s">
        <v>63</v>
      </c>
      <c r="G1826" s="6" t="s">
        <v>64</v>
      </c>
      <c r="H1826" s="6" t="s">
        <v>58</v>
      </c>
      <c r="I1826" s="1" t="n">
        <v>8</v>
      </c>
      <c r="J1826" s="7" t="n">
        <v>5432.87</v>
      </c>
      <c r="K1826" s="8" t="n">
        <v>0</v>
      </c>
      <c r="L1826" s="7" t="n">
        <v>3832.69</v>
      </c>
      <c r="M1826" s="6" t="s">
        <v>49</v>
      </c>
      <c r="N1826" s="6" t="s">
        <v>59</v>
      </c>
      <c r="O1826" s="6" t="n">
        <f aca="false">IF(TablaVentas[[#This Row],[Precio_unitario]]="","PENDIENTE",TablaVentas[[#This Row],[Unidades]]*TablaVentas[[#This Row],[Precio_unitario]]*(1-TablaVentas[[#This Row],[Descuento_pct]]))</f>
        <v>43462.96</v>
      </c>
      <c r="P1826" s="6" t="n">
        <f aca="false">IF(TablaVentas[[#This Row],[Costo_unitario]]="","PENDIENTE",TablaVentas[[#This Row],[Unidades]]*TablaVentas[[#This Row],[Costo_unitario]])</f>
        <v>30661.52</v>
      </c>
      <c r="Q1826" s="6" t="n">
        <f aca="false">IF(OR(TablaVentas[[#This Row],[Ingreso_neto]]="PENDIENTE",TablaVentas[[#This Row],[Costo_total]]="PENDIENTE"),"PENDIENTE",TablaVentas[[#This Row],[Ingreso_neto]]-TablaVentas[[#This Row],[Costo_total]])</f>
        <v>12801.44</v>
      </c>
    </row>
    <row r="1827" customFormat="false" ht="13.5" hidden="false" customHeight="false" outlineLevel="0" collapsed="false">
      <c r="A1827" s="1" t="s">
        <v>1180</v>
      </c>
      <c r="B1827" s="1" t="n">
        <v>2</v>
      </c>
      <c r="C1827" s="5" t="n">
        <v>46187</v>
      </c>
      <c r="D1827" s="6" t="s">
        <v>302</v>
      </c>
      <c r="E1827" s="6" t="s">
        <v>187</v>
      </c>
      <c r="F1827" s="6" t="s">
        <v>63</v>
      </c>
      <c r="G1827" s="6" t="s">
        <v>64</v>
      </c>
      <c r="H1827" s="6" t="s">
        <v>58</v>
      </c>
      <c r="I1827" s="1" t="n">
        <v>3</v>
      </c>
      <c r="J1827" s="7" t="n">
        <v>6857.63</v>
      </c>
      <c r="K1827" s="8" t="n">
        <v>0</v>
      </c>
      <c r="L1827" s="7" t="n">
        <v>3824.92</v>
      </c>
      <c r="M1827" s="6" t="s">
        <v>49</v>
      </c>
      <c r="N1827" s="6" t="s">
        <v>52</v>
      </c>
      <c r="O1827" s="6" t="n">
        <f aca="false">IF(TablaVentas[[#This Row],[Precio_unitario]]="","PENDIENTE",TablaVentas[[#This Row],[Unidades]]*TablaVentas[[#This Row],[Precio_unitario]]*(1-TablaVentas[[#This Row],[Descuento_pct]]))</f>
        <v>20572.89</v>
      </c>
      <c r="P1827" s="6" t="n">
        <f aca="false">IF(TablaVentas[[#This Row],[Costo_unitario]]="","PENDIENTE",TablaVentas[[#This Row],[Unidades]]*TablaVentas[[#This Row],[Costo_unitario]])</f>
        <v>11474.76</v>
      </c>
      <c r="Q1827" s="6" t="n">
        <f aca="false">IF(OR(TablaVentas[[#This Row],[Ingreso_neto]]="PENDIENTE",TablaVentas[[#This Row],[Costo_total]]="PENDIENTE"),"PENDIENTE",TablaVentas[[#This Row],[Ingreso_neto]]-TablaVentas[[#This Row],[Costo_total]])</f>
        <v>9098.13</v>
      </c>
    </row>
    <row r="1828" customFormat="false" ht="13.5" hidden="false" customHeight="false" outlineLevel="0" collapsed="false">
      <c r="A1828" s="1" t="s">
        <v>1180</v>
      </c>
      <c r="B1828" s="1" t="n">
        <v>3</v>
      </c>
      <c r="C1828" s="5" t="n">
        <v>46187</v>
      </c>
      <c r="D1828" s="6" t="s">
        <v>302</v>
      </c>
      <c r="E1828" s="6" t="s">
        <v>243</v>
      </c>
      <c r="F1828" s="6" t="s">
        <v>63</v>
      </c>
      <c r="G1828" s="6" t="s">
        <v>64</v>
      </c>
      <c r="H1828" s="6" t="s">
        <v>58</v>
      </c>
      <c r="I1828" s="1" t="n">
        <v>1</v>
      </c>
      <c r="J1828" s="7" t="n">
        <v>9166.15</v>
      </c>
      <c r="K1828" s="8" t="n">
        <v>0.2</v>
      </c>
      <c r="L1828" s="7" t="n">
        <v>8061.7</v>
      </c>
      <c r="M1828" s="6" t="s">
        <v>49</v>
      </c>
      <c r="N1828" s="6" t="s">
        <v>52</v>
      </c>
      <c r="O1828" s="6" t="n">
        <f aca="false">IF(TablaVentas[[#This Row],[Precio_unitario]]="","PENDIENTE",TablaVentas[[#This Row],[Unidades]]*TablaVentas[[#This Row],[Precio_unitario]]*(1-TablaVentas[[#This Row],[Descuento_pct]]))</f>
        <v>7332.92</v>
      </c>
      <c r="P1828" s="6" t="n">
        <f aca="false">IF(TablaVentas[[#This Row],[Costo_unitario]]="","PENDIENTE",TablaVentas[[#This Row],[Unidades]]*TablaVentas[[#This Row],[Costo_unitario]])</f>
        <v>8061.7</v>
      </c>
      <c r="Q1828" s="6" t="n">
        <f aca="false">IF(OR(TablaVentas[[#This Row],[Ingreso_neto]]="PENDIENTE",TablaVentas[[#This Row],[Costo_total]]="PENDIENTE"),"PENDIENTE",TablaVentas[[#This Row],[Ingreso_neto]]-TablaVentas[[#This Row],[Costo_total]])</f>
        <v>-728.78</v>
      </c>
    </row>
    <row r="1829" customFormat="false" ht="13.5" hidden="false" customHeight="false" outlineLevel="0" collapsed="false">
      <c r="A1829" s="1" t="s">
        <v>1180</v>
      </c>
      <c r="B1829" s="1" t="n">
        <v>4</v>
      </c>
      <c r="C1829" s="5" t="n">
        <v>46187</v>
      </c>
      <c r="D1829" s="6" t="s">
        <v>302</v>
      </c>
      <c r="E1829" s="6" t="s">
        <v>215</v>
      </c>
      <c r="F1829" s="6" t="s">
        <v>63</v>
      </c>
      <c r="G1829" s="6" t="s">
        <v>64</v>
      </c>
      <c r="H1829" s="6" t="s">
        <v>58</v>
      </c>
      <c r="I1829" s="1" t="n">
        <v>2</v>
      </c>
      <c r="J1829" s="7" t="n">
        <v>11358.66</v>
      </c>
      <c r="K1829" s="8" t="n">
        <v>0</v>
      </c>
      <c r="L1829" s="7" t="n">
        <v>5535.31</v>
      </c>
      <c r="M1829" s="6" t="s">
        <v>49</v>
      </c>
      <c r="N1829" s="6" t="s">
        <v>67</v>
      </c>
      <c r="O1829" s="6" t="n">
        <f aca="false">IF(TablaVentas[[#This Row],[Precio_unitario]]="","PENDIENTE",TablaVentas[[#This Row],[Unidades]]*TablaVentas[[#This Row],[Precio_unitario]]*(1-TablaVentas[[#This Row],[Descuento_pct]]))</f>
        <v>22717.32</v>
      </c>
      <c r="P1829" s="6" t="n">
        <f aca="false">IF(TablaVentas[[#This Row],[Costo_unitario]]="","PENDIENTE",TablaVentas[[#This Row],[Unidades]]*TablaVentas[[#This Row],[Costo_unitario]])</f>
        <v>11070.62</v>
      </c>
      <c r="Q1829" s="6" t="n">
        <f aca="false">IF(OR(TablaVentas[[#This Row],[Ingreso_neto]]="PENDIENTE",TablaVentas[[#This Row],[Costo_total]]="PENDIENTE"),"PENDIENTE",TablaVentas[[#This Row],[Ingreso_neto]]-TablaVentas[[#This Row],[Costo_total]])</f>
        <v>11646.7</v>
      </c>
    </row>
    <row r="1830" customFormat="false" ht="13.5" hidden="false" customHeight="false" outlineLevel="0" collapsed="false">
      <c r="A1830" s="1" t="s">
        <v>1181</v>
      </c>
      <c r="B1830" s="1" t="n">
        <v>1</v>
      </c>
      <c r="C1830" s="5" t="n">
        <v>46241</v>
      </c>
      <c r="D1830" s="6" t="s">
        <v>196</v>
      </c>
      <c r="E1830" s="6" t="s">
        <v>252</v>
      </c>
      <c r="F1830" s="6" t="s">
        <v>46</v>
      </c>
      <c r="G1830" s="6" t="s">
        <v>47</v>
      </c>
      <c r="H1830" s="6" t="s">
        <v>109</v>
      </c>
      <c r="I1830" s="1" t="n">
        <v>1</v>
      </c>
      <c r="J1830" s="7" t="n">
        <v>16620.82</v>
      </c>
      <c r="K1830" s="8" t="n">
        <v>0</v>
      </c>
      <c r="L1830" s="7" t="n">
        <v>10507.24</v>
      </c>
      <c r="M1830" s="6" t="s">
        <v>49</v>
      </c>
      <c r="N1830" s="6" t="s">
        <v>50</v>
      </c>
      <c r="O1830" s="6" t="n">
        <f aca="false">IF(TablaVentas[[#This Row],[Precio_unitario]]="","PENDIENTE",TablaVentas[[#This Row],[Unidades]]*TablaVentas[[#This Row],[Precio_unitario]]*(1-TablaVentas[[#This Row],[Descuento_pct]]))</f>
        <v>16620.82</v>
      </c>
      <c r="P1830" s="6" t="n">
        <f aca="false">IF(TablaVentas[[#This Row],[Costo_unitario]]="","PENDIENTE",TablaVentas[[#This Row],[Unidades]]*TablaVentas[[#This Row],[Costo_unitario]])</f>
        <v>10507.24</v>
      </c>
      <c r="Q1830" s="6" t="n">
        <f aca="false">IF(OR(TablaVentas[[#This Row],[Ingreso_neto]]="PENDIENTE",TablaVentas[[#This Row],[Costo_total]]="PENDIENTE"),"PENDIENTE",TablaVentas[[#This Row],[Ingreso_neto]]-TablaVentas[[#This Row],[Costo_total]])</f>
        <v>6113.58</v>
      </c>
    </row>
    <row r="1831" customFormat="false" ht="13.5" hidden="false" customHeight="false" outlineLevel="0" collapsed="false">
      <c r="A1831" s="1" t="s">
        <v>1182</v>
      </c>
      <c r="B1831" s="1" t="n">
        <v>1</v>
      </c>
      <c r="C1831" s="5" t="n">
        <v>46061</v>
      </c>
      <c r="D1831" s="6" t="s">
        <v>1012</v>
      </c>
      <c r="E1831" s="6" t="s">
        <v>233</v>
      </c>
      <c r="F1831" s="6" t="s">
        <v>63</v>
      </c>
      <c r="G1831" s="6" t="s">
        <v>57</v>
      </c>
      <c r="H1831" s="6" t="s">
        <v>65</v>
      </c>
      <c r="I1831" s="1" t="n">
        <v>1</v>
      </c>
      <c r="J1831" s="7" t="n">
        <v>18938.8</v>
      </c>
      <c r="K1831" s="8" t="n">
        <v>0.15</v>
      </c>
      <c r="L1831" s="7" t="n">
        <v>9976.68</v>
      </c>
      <c r="M1831" s="6" t="s">
        <v>49</v>
      </c>
      <c r="N1831" s="6" t="s">
        <v>67</v>
      </c>
      <c r="O1831" s="6" t="n">
        <f aca="false">IF(TablaVentas[[#This Row],[Precio_unitario]]="","PENDIENTE",TablaVentas[[#This Row],[Unidades]]*TablaVentas[[#This Row],[Precio_unitario]]*(1-TablaVentas[[#This Row],[Descuento_pct]]))</f>
        <v>16097.98</v>
      </c>
      <c r="P1831" s="6" t="n">
        <f aca="false">IF(TablaVentas[[#This Row],[Costo_unitario]]="","PENDIENTE",TablaVentas[[#This Row],[Unidades]]*TablaVentas[[#This Row],[Costo_unitario]])</f>
        <v>9976.68</v>
      </c>
      <c r="Q1831" s="6" t="n">
        <f aca="false">IF(OR(TablaVentas[[#This Row],[Ingreso_neto]]="PENDIENTE",TablaVentas[[#This Row],[Costo_total]]="PENDIENTE"),"PENDIENTE",TablaVentas[[#This Row],[Ingreso_neto]]-TablaVentas[[#This Row],[Costo_total]])</f>
        <v>6121.3</v>
      </c>
    </row>
    <row r="1832" customFormat="false" ht="13.5" hidden="false" customHeight="false" outlineLevel="0" collapsed="false">
      <c r="A1832" s="1" t="s">
        <v>1182</v>
      </c>
      <c r="B1832" s="1" t="n">
        <v>2</v>
      </c>
      <c r="C1832" s="5" t="n">
        <v>46061</v>
      </c>
      <c r="D1832" s="6" t="s">
        <v>1012</v>
      </c>
      <c r="E1832" s="6" t="s">
        <v>146</v>
      </c>
      <c r="F1832" s="6" t="s">
        <v>63</v>
      </c>
      <c r="G1832" s="6" t="s">
        <v>57</v>
      </c>
      <c r="H1832" s="6" t="s">
        <v>65</v>
      </c>
      <c r="I1832" s="1" t="n">
        <v>8</v>
      </c>
      <c r="J1832" s="7" t="n">
        <v>9248.64</v>
      </c>
      <c r="K1832" s="8" t="n">
        <v>0</v>
      </c>
      <c r="L1832" s="7" t="n">
        <v>8002.16</v>
      </c>
      <c r="M1832" s="6" t="s">
        <v>49</v>
      </c>
      <c r="N1832" s="6" t="s">
        <v>50</v>
      </c>
      <c r="O1832" s="6" t="n">
        <f aca="false">IF(TablaVentas[[#This Row],[Precio_unitario]]="","PENDIENTE",TablaVentas[[#This Row],[Unidades]]*TablaVentas[[#This Row],[Precio_unitario]]*(1-TablaVentas[[#This Row],[Descuento_pct]]))</f>
        <v>73989.12</v>
      </c>
      <c r="P1832" s="6" t="n">
        <f aca="false">IF(TablaVentas[[#This Row],[Costo_unitario]]="","PENDIENTE",TablaVentas[[#This Row],[Unidades]]*TablaVentas[[#This Row],[Costo_unitario]])</f>
        <v>64017.28</v>
      </c>
      <c r="Q1832" s="6" t="n">
        <f aca="false">IF(OR(TablaVentas[[#This Row],[Ingreso_neto]]="PENDIENTE",TablaVentas[[#This Row],[Costo_total]]="PENDIENTE"),"PENDIENTE",TablaVentas[[#This Row],[Ingreso_neto]]-TablaVentas[[#This Row],[Costo_total]])</f>
        <v>9971.84</v>
      </c>
    </row>
    <row r="1833" customFormat="false" ht="13.5" hidden="false" customHeight="false" outlineLevel="0" collapsed="false">
      <c r="A1833" s="1" t="s">
        <v>1182</v>
      </c>
      <c r="B1833" s="1" t="n">
        <v>3</v>
      </c>
      <c r="C1833" s="5" t="n">
        <v>46061</v>
      </c>
      <c r="D1833" s="6" t="s">
        <v>1012</v>
      </c>
      <c r="E1833" s="6" t="s">
        <v>278</v>
      </c>
      <c r="F1833" s="6" t="s">
        <v>63</v>
      </c>
      <c r="G1833" s="6" t="s">
        <v>57</v>
      </c>
      <c r="H1833" s="6" t="s">
        <v>65</v>
      </c>
      <c r="I1833" s="1" t="n">
        <v>3</v>
      </c>
      <c r="J1833" s="7" t="n">
        <v>1077.7</v>
      </c>
      <c r="K1833" s="8" t="n">
        <v>0</v>
      </c>
      <c r="L1833" s="7" t="n">
        <v>759.03</v>
      </c>
      <c r="M1833" s="6" t="s">
        <v>49</v>
      </c>
      <c r="N1833" s="6" t="s">
        <v>59</v>
      </c>
      <c r="O1833" s="6" t="n">
        <f aca="false">IF(TablaVentas[[#This Row],[Precio_unitario]]="","PENDIENTE",TablaVentas[[#This Row],[Unidades]]*TablaVentas[[#This Row],[Precio_unitario]]*(1-TablaVentas[[#This Row],[Descuento_pct]]))</f>
        <v>3233.1</v>
      </c>
      <c r="P1833" s="6" t="n">
        <f aca="false">IF(TablaVentas[[#This Row],[Costo_unitario]]="","PENDIENTE",TablaVentas[[#This Row],[Unidades]]*TablaVentas[[#This Row],[Costo_unitario]])</f>
        <v>2277.09</v>
      </c>
      <c r="Q1833" s="6" t="n">
        <f aca="false">IF(OR(TablaVentas[[#This Row],[Ingreso_neto]]="PENDIENTE",TablaVentas[[#This Row],[Costo_total]]="PENDIENTE"),"PENDIENTE",TablaVentas[[#This Row],[Ingreso_neto]]-TablaVentas[[#This Row],[Costo_total]])</f>
        <v>956.01</v>
      </c>
    </row>
    <row r="1834" customFormat="false" ht="13.5" hidden="false" customHeight="false" outlineLevel="0" collapsed="false">
      <c r="A1834" s="1" t="s">
        <v>1183</v>
      </c>
      <c r="B1834" s="1" t="n">
        <v>1</v>
      </c>
      <c r="C1834" s="5" t="n">
        <v>46240</v>
      </c>
      <c r="D1834" s="6" t="s">
        <v>445</v>
      </c>
      <c r="E1834" s="6" t="s">
        <v>85</v>
      </c>
      <c r="F1834" s="6" t="s">
        <v>84</v>
      </c>
      <c r="G1834" s="6" t="s">
        <v>64</v>
      </c>
      <c r="H1834" s="6" t="s">
        <v>80</v>
      </c>
      <c r="I1834" s="1" t="n">
        <v>1</v>
      </c>
      <c r="J1834" s="7" t="n">
        <v>9517.71</v>
      </c>
      <c r="K1834" s="8" t="n">
        <v>0</v>
      </c>
      <c r="L1834" s="7" t="n">
        <v>5033.47</v>
      </c>
      <c r="M1834" s="6" t="s">
        <v>49</v>
      </c>
      <c r="N1834" s="6" t="s">
        <v>59</v>
      </c>
      <c r="O1834" s="6" t="n">
        <f aca="false">IF(TablaVentas[[#This Row],[Precio_unitario]]="","PENDIENTE",TablaVentas[[#This Row],[Unidades]]*TablaVentas[[#This Row],[Precio_unitario]]*(1-TablaVentas[[#This Row],[Descuento_pct]]))</f>
        <v>9517.71</v>
      </c>
      <c r="P1834" s="6" t="n">
        <f aca="false">IF(TablaVentas[[#This Row],[Costo_unitario]]="","PENDIENTE",TablaVentas[[#This Row],[Unidades]]*TablaVentas[[#This Row],[Costo_unitario]])</f>
        <v>5033.47</v>
      </c>
      <c r="Q1834" s="6" t="n">
        <f aca="false">IF(OR(TablaVentas[[#This Row],[Ingreso_neto]]="PENDIENTE",TablaVentas[[#This Row],[Costo_total]]="PENDIENTE"),"PENDIENTE",TablaVentas[[#This Row],[Ingreso_neto]]-TablaVentas[[#This Row],[Costo_total]])</f>
        <v>4484.24</v>
      </c>
    </row>
    <row r="1835" customFormat="false" ht="13.5" hidden="false" customHeight="false" outlineLevel="0" collapsed="false">
      <c r="A1835" s="1" t="s">
        <v>1184</v>
      </c>
      <c r="B1835" s="1" t="n">
        <v>1</v>
      </c>
      <c r="C1835" s="5" t="n">
        <v>46133</v>
      </c>
      <c r="D1835" s="6" t="s">
        <v>421</v>
      </c>
      <c r="E1835" s="6" t="s">
        <v>62</v>
      </c>
      <c r="F1835" s="6" t="s">
        <v>84</v>
      </c>
      <c r="G1835" s="6" t="s">
        <v>64</v>
      </c>
      <c r="H1835" s="6" t="s">
        <v>80</v>
      </c>
      <c r="I1835" s="1" t="n">
        <v>1</v>
      </c>
      <c r="J1835" s="7" t="n">
        <v>12385.73</v>
      </c>
      <c r="K1835" s="8" t="n">
        <v>0.2</v>
      </c>
      <c r="L1835" s="7" t="n">
        <v>6407.85</v>
      </c>
      <c r="M1835" s="6" t="s">
        <v>49</v>
      </c>
      <c r="N1835" s="6" t="s">
        <v>50</v>
      </c>
      <c r="O1835" s="6" t="n">
        <f aca="false">IF(TablaVentas[[#This Row],[Precio_unitario]]="","PENDIENTE",TablaVentas[[#This Row],[Unidades]]*TablaVentas[[#This Row],[Precio_unitario]]*(1-TablaVentas[[#This Row],[Descuento_pct]]))</f>
        <v>9908.584</v>
      </c>
      <c r="P1835" s="6" t="n">
        <f aca="false">IF(TablaVentas[[#This Row],[Costo_unitario]]="","PENDIENTE",TablaVentas[[#This Row],[Unidades]]*TablaVentas[[#This Row],[Costo_unitario]])</f>
        <v>6407.85</v>
      </c>
      <c r="Q1835" s="6" t="n">
        <f aca="false">IF(OR(TablaVentas[[#This Row],[Ingreso_neto]]="PENDIENTE",TablaVentas[[#This Row],[Costo_total]]="PENDIENTE"),"PENDIENTE",TablaVentas[[#This Row],[Ingreso_neto]]-TablaVentas[[#This Row],[Costo_total]])</f>
        <v>3500.734</v>
      </c>
    </row>
    <row r="1836" customFormat="false" ht="13.5" hidden="false" customHeight="false" outlineLevel="0" collapsed="false">
      <c r="A1836" s="1" t="s">
        <v>1185</v>
      </c>
      <c r="B1836" s="1" t="n">
        <v>1</v>
      </c>
      <c r="C1836" s="5" t="n">
        <v>46190</v>
      </c>
      <c r="D1836" s="6" t="s">
        <v>549</v>
      </c>
      <c r="E1836" s="6" t="s">
        <v>127</v>
      </c>
      <c r="F1836" s="6" t="s">
        <v>84</v>
      </c>
      <c r="G1836" s="6" t="s">
        <v>47</v>
      </c>
      <c r="H1836" s="6" t="s">
        <v>65</v>
      </c>
      <c r="I1836" s="1" t="n">
        <v>1</v>
      </c>
      <c r="J1836" s="7" t="n">
        <v>12236.53</v>
      </c>
      <c r="K1836" s="8" t="n">
        <v>0</v>
      </c>
      <c r="L1836" s="7" t="n">
        <v>7975.26</v>
      </c>
      <c r="M1836" s="6" t="s">
        <v>49</v>
      </c>
      <c r="N1836" s="6" t="s">
        <v>59</v>
      </c>
      <c r="O1836" s="6" t="n">
        <f aca="false">IF(TablaVentas[[#This Row],[Precio_unitario]]="","PENDIENTE",TablaVentas[[#This Row],[Unidades]]*TablaVentas[[#This Row],[Precio_unitario]]*(1-TablaVentas[[#This Row],[Descuento_pct]]))</f>
        <v>12236.53</v>
      </c>
      <c r="P1836" s="6" t="n">
        <f aca="false">IF(TablaVentas[[#This Row],[Costo_unitario]]="","PENDIENTE",TablaVentas[[#This Row],[Unidades]]*TablaVentas[[#This Row],[Costo_unitario]])</f>
        <v>7975.26</v>
      </c>
      <c r="Q1836" s="6" t="n">
        <f aca="false">IF(OR(TablaVentas[[#This Row],[Ingreso_neto]]="PENDIENTE",TablaVentas[[#This Row],[Costo_total]]="PENDIENTE"),"PENDIENTE",TablaVentas[[#This Row],[Ingreso_neto]]-TablaVentas[[#This Row],[Costo_total]])</f>
        <v>4261.27</v>
      </c>
    </row>
    <row r="1837" customFormat="false" ht="13.5" hidden="false" customHeight="false" outlineLevel="0" collapsed="false">
      <c r="A1837" s="1" t="s">
        <v>1186</v>
      </c>
      <c r="B1837" s="1" t="n">
        <v>1</v>
      </c>
      <c r="C1837" s="5" t="n">
        <v>46185</v>
      </c>
      <c r="D1837" s="6" t="s">
        <v>744</v>
      </c>
      <c r="E1837" s="6" t="s">
        <v>93</v>
      </c>
      <c r="F1837" s="6" t="s">
        <v>73</v>
      </c>
      <c r="G1837" s="6" t="s">
        <v>64</v>
      </c>
      <c r="H1837" s="6" t="s">
        <v>80</v>
      </c>
      <c r="I1837" s="1" t="n">
        <v>1</v>
      </c>
      <c r="J1837" s="7" t="n">
        <v>15164.89</v>
      </c>
      <c r="K1837" s="8" t="n">
        <v>0.2</v>
      </c>
      <c r="L1837" s="7" t="n">
        <v>11166.03</v>
      </c>
      <c r="M1837" s="6" t="s">
        <v>49</v>
      </c>
      <c r="N1837" s="6" t="s">
        <v>59</v>
      </c>
      <c r="O1837" s="6" t="n">
        <f aca="false">IF(TablaVentas[[#This Row],[Precio_unitario]]="","PENDIENTE",TablaVentas[[#This Row],[Unidades]]*TablaVentas[[#This Row],[Precio_unitario]]*(1-TablaVentas[[#This Row],[Descuento_pct]]))</f>
        <v>12131.912</v>
      </c>
      <c r="P1837" s="6" t="n">
        <f aca="false">IF(TablaVentas[[#This Row],[Costo_unitario]]="","PENDIENTE",TablaVentas[[#This Row],[Unidades]]*TablaVentas[[#This Row],[Costo_unitario]])</f>
        <v>11166.03</v>
      </c>
      <c r="Q1837" s="6" t="n">
        <f aca="false">IF(OR(TablaVentas[[#This Row],[Ingreso_neto]]="PENDIENTE",TablaVentas[[#This Row],[Costo_total]]="PENDIENTE"),"PENDIENTE",TablaVentas[[#This Row],[Ingreso_neto]]-TablaVentas[[#This Row],[Costo_total]])</f>
        <v>965.882</v>
      </c>
    </row>
    <row r="1838" customFormat="false" ht="13.5" hidden="false" customHeight="false" outlineLevel="0" collapsed="false">
      <c r="A1838" s="1" t="s">
        <v>1186</v>
      </c>
      <c r="B1838" s="1" t="n">
        <v>2</v>
      </c>
      <c r="C1838" s="5" t="n">
        <v>46185</v>
      </c>
      <c r="D1838" s="6" t="s">
        <v>744</v>
      </c>
      <c r="E1838" s="6" t="s">
        <v>110</v>
      </c>
      <c r="F1838" s="6" t="s">
        <v>73</v>
      </c>
      <c r="G1838" s="6" t="s">
        <v>64</v>
      </c>
      <c r="H1838" s="6" t="s">
        <v>80</v>
      </c>
      <c r="I1838" s="1" t="n">
        <v>4</v>
      </c>
      <c r="J1838" s="7" t="n">
        <v>12851.6</v>
      </c>
      <c r="K1838" s="8" t="n">
        <v>0.15</v>
      </c>
      <c r="L1838" s="7" t="n">
        <v>7549.71</v>
      </c>
      <c r="M1838" s="6" t="s">
        <v>49</v>
      </c>
      <c r="N1838" s="6" t="s">
        <v>59</v>
      </c>
      <c r="O1838" s="6" t="n">
        <f aca="false">IF(TablaVentas[[#This Row],[Precio_unitario]]="","PENDIENTE",TablaVentas[[#This Row],[Unidades]]*TablaVentas[[#This Row],[Precio_unitario]]*(1-TablaVentas[[#This Row],[Descuento_pct]]))</f>
        <v>43695.44</v>
      </c>
      <c r="P1838" s="6" t="n">
        <f aca="false">IF(TablaVentas[[#This Row],[Costo_unitario]]="","PENDIENTE",TablaVentas[[#This Row],[Unidades]]*TablaVentas[[#This Row],[Costo_unitario]])</f>
        <v>30198.84</v>
      </c>
      <c r="Q1838" s="6" t="n">
        <f aca="false">IF(OR(TablaVentas[[#This Row],[Ingreso_neto]]="PENDIENTE",TablaVentas[[#This Row],[Costo_total]]="PENDIENTE"),"PENDIENTE",TablaVentas[[#This Row],[Ingreso_neto]]-TablaVentas[[#This Row],[Costo_total]])</f>
        <v>13496.6</v>
      </c>
    </row>
    <row r="1839" customFormat="false" ht="13.5" hidden="false" customHeight="false" outlineLevel="0" collapsed="false">
      <c r="A1839" s="1" t="s">
        <v>1187</v>
      </c>
      <c r="B1839" s="1" t="n">
        <v>1</v>
      </c>
      <c r="C1839" s="5" t="n">
        <v>46236</v>
      </c>
      <c r="D1839" s="6" t="s">
        <v>311</v>
      </c>
      <c r="E1839" s="6" t="s">
        <v>110</v>
      </c>
      <c r="F1839" s="6" t="s">
        <v>73</v>
      </c>
      <c r="G1839" s="6" t="s">
        <v>57</v>
      </c>
      <c r="H1839" s="6" t="s">
        <v>191</v>
      </c>
      <c r="I1839" s="1" t="n">
        <v>8</v>
      </c>
      <c r="J1839" s="7" t="n">
        <v>13146.71</v>
      </c>
      <c r="K1839" s="8" t="n">
        <v>0.2</v>
      </c>
      <c r="L1839" s="7" t="n">
        <v>7549.71</v>
      </c>
      <c r="M1839" s="6" t="s">
        <v>49</v>
      </c>
      <c r="N1839" s="6" t="s">
        <v>50</v>
      </c>
      <c r="O1839" s="6" t="n">
        <f aca="false">IF(TablaVentas[[#This Row],[Precio_unitario]]="","PENDIENTE",TablaVentas[[#This Row],[Unidades]]*TablaVentas[[#This Row],[Precio_unitario]]*(1-TablaVentas[[#This Row],[Descuento_pct]]))</f>
        <v>84138.944</v>
      </c>
      <c r="P1839" s="6" t="n">
        <f aca="false">IF(TablaVentas[[#This Row],[Costo_unitario]]="","PENDIENTE",TablaVentas[[#This Row],[Unidades]]*TablaVentas[[#This Row],[Costo_unitario]])</f>
        <v>60397.68</v>
      </c>
      <c r="Q1839" s="6" t="n">
        <f aca="false">IF(OR(TablaVentas[[#This Row],[Ingreso_neto]]="PENDIENTE",TablaVentas[[#This Row],[Costo_total]]="PENDIENTE"),"PENDIENTE",TablaVentas[[#This Row],[Ingreso_neto]]-TablaVentas[[#This Row],[Costo_total]])</f>
        <v>23741.264</v>
      </c>
    </row>
    <row r="1840" customFormat="false" ht="13.5" hidden="false" customHeight="false" outlineLevel="0" collapsed="false">
      <c r="A1840" s="1" t="s">
        <v>1187</v>
      </c>
      <c r="B1840" s="1" t="n">
        <v>2</v>
      </c>
      <c r="C1840" s="5" t="n">
        <v>46236</v>
      </c>
      <c r="D1840" s="6" t="s">
        <v>311</v>
      </c>
      <c r="E1840" s="6" t="s">
        <v>139</v>
      </c>
      <c r="F1840" s="6" t="s">
        <v>73</v>
      </c>
      <c r="G1840" s="6" t="s">
        <v>57</v>
      </c>
      <c r="H1840" s="6" t="s">
        <v>191</v>
      </c>
      <c r="I1840" s="1" t="n">
        <v>2</v>
      </c>
      <c r="J1840" s="7" t="n">
        <v>16956.49</v>
      </c>
      <c r="K1840" s="8" t="n">
        <v>0</v>
      </c>
      <c r="L1840" s="7" t="n">
        <v>11036.95</v>
      </c>
      <c r="M1840" s="6" t="s">
        <v>123</v>
      </c>
      <c r="N1840" s="6" t="s">
        <v>59</v>
      </c>
      <c r="O1840" s="6" t="n">
        <f aca="false">IF(TablaVentas[[#This Row],[Precio_unitario]]="","PENDIENTE",TablaVentas[[#This Row],[Unidades]]*TablaVentas[[#This Row],[Precio_unitario]]*(1-TablaVentas[[#This Row],[Descuento_pct]]))</f>
        <v>33912.98</v>
      </c>
      <c r="P1840" s="6" t="n">
        <f aca="false">IF(TablaVentas[[#This Row],[Costo_unitario]]="","PENDIENTE",TablaVentas[[#This Row],[Unidades]]*TablaVentas[[#This Row],[Costo_unitario]])</f>
        <v>22073.9</v>
      </c>
      <c r="Q1840" s="6" t="n">
        <f aca="false">IF(OR(TablaVentas[[#This Row],[Ingreso_neto]]="PENDIENTE",TablaVentas[[#This Row],[Costo_total]]="PENDIENTE"),"PENDIENTE",TablaVentas[[#This Row],[Ingreso_neto]]-TablaVentas[[#This Row],[Costo_total]])</f>
        <v>11839.08</v>
      </c>
    </row>
    <row r="1841" customFormat="false" ht="13.5" hidden="false" customHeight="false" outlineLevel="0" collapsed="false">
      <c r="A1841" s="1" t="s">
        <v>1187</v>
      </c>
      <c r="B1841" s="1" t="n">
        <v>3</v>
      </c>
      <c r="C1841" s="5" t="n">
        <v>46236</v>
      </c>
      <c r="D1841" s="6" t="s">
        <v>311</v>
      </c>
      <c r="E1841" s="6" t="s">
        <v>280</v>
      </c>
      <c r="F1841" s="6" t="s">
        <v>73</v>
      </c>
      <c r="G1841" s="6" t="s">
        <v>57</v>
      </c>
      <c r="H1841" s="6" t="s">
        <v>191</v>
      </c>
      <c r="I1841" s="1" t="n">
        <v>3</v>
      </c>
      <c r="J1841" s="7" t="n">
        <v>1382.02</v>
      </c>
      <c r="K1841" s="8" t="n">
        <v>0.05</v>
      </c>
      <c r="L1841" s="7" t="n">
        <v>716.26</v>
      </c>
      <c r="M1841" s="6" t="s">
        <v>49</v>
      </c>
      <c r="N1841" s="6" t="s">
        <v>52</v>
      </c>
      <c r="O1841" s="6" t="n">
        <f aca="false">IF(TablaVentas[[#This Row],[Precio_unitario]]="","PENDIENTE",TablaVentas[[#This Row],[Unidades]]*TablaVentas[[#This Row],[Precio_unitario]]*(1-TablaVentas[[#This Row],[Descuento_pct]]))</f>
        <v>3938.757</v>
      </c>
      <c r="P1841" s="6" t="n">
        <f aca="false">IF(TablaVentas[[#This Row],[Costo_unitario]]="","PENDIENTE",TablaVentas[[#This Row],[Unidades]]*TablaVentas[[#This Row],[Costo_unitario]])</f>
        <v>2148.78</v>
      </c>
      <c r="Q1841" s="6" t="n">
        <f aca="false">IF(OR(TablaVentas[[#This Row],[Ingreso_neto]]="PENDIENTE",TablaVentas[[#This Row],[Costo_total]]="PENDIENTE"),"PENDIENTE",TablaVentas[[#This Row],[Ingreso_neto]]-TablaVentas[[#This Row],[Costo_total]])</f>
        <v>1789.977</v>
      </c>
    </row>
    <row r="1842" customFormat="false" ht="13.5" hidden="false" customHeight="false" outlineLevel="0" collapsed="false">
      <c r="A1842" s="1" t="s">
        <v>1188</v>
      </c>
      <c r="B1842" s="1" t="n">
        <v>1</v>
      </c>
      <c r="C1842" s="5" t="n">
        <v>46177</v>
      </c>
      <c r="D1842" s="6" t="s">
        <v>759</v>
      </c>
      <c r="E1842" s="6" t="s">
        <v>126</v>
      </c>
      <c r="F1842" s="6" t="s">
        <v>63</v>
      </c>
      <c r="G1842" s="6" t="s">
        <v>47</v>
      </c>
      <c r="H1842" s="6" t="s">
        <v>65</v>
      </c>
      <c r="I1842" s="1" t="n">
        <v>3</v>
      </c>
      <c r="J1842" s="7" t="n">
        <v>8272.5</v>
      </c>
      <c r="K1842" s="8" t="n">
        <v>0</v>
      </c>
      <c r="L1842" s="7" t="n">
        <v>6981.94</v>
      </c>
      <c r="M1842" s="6" t="s">
        <v>49</v>
      </c>
      <c r="N1842" s="6" t="s">
        <v>59</v>
      </c>
      <c r="O1842" s="6" t="n">
        <f aca="false">IF(TablaVentas[[#This Row],[Precio_unitario]]="","PENDIENTE",TablaVentas[[#This Row],[Unidades]]*TablaVentas[[#This Row],[Precio_unitario]]*(1-TablaVentas[[#This Row],[Descuento_pct]]))</f>
        <v>24817.5</v>
      </c>
      <c r="P1842" s="6" t="n">
        <f aca="false">IF(TablaVentas[[#This Row],[Costo_unitario]]="","PENDIENTE",TablaVentas[[#This Row],[Unidades]]*TablaVentas[[#This Row],[Costo_unitario]])</f>
        <v>20945.82</v>
      </c>
      <c r="Q1842" s="6" t="n">
        <f aca="false">IF(OR(TablaVentas[[#This Row],[Ingreso_neto]]="PENDIENTE",TablaVentas[[#This Row],[Costo_total]]="PENDIENTE"),"PENDIENTE",TablaVentas[[#This Row],[Ingreso_neto]]-TablaVentas[[#This Row],[Costo_total]])</f>
        <v>3871.68</v>
      </c>
    </row>
    <row r="1843" customFormat="false" ht="13.5" hidden="false" customHeight="false" outlineLevel="0" collapsed="false">
      <c r="A1843" s="1" t="s">
        <v>1188</v>
      </c>
      <c r="B1843" s="1" t="n">
        <v>2</v>
      </c>
      <c r="C1843" s="5" t="n">
        <v>46177</v>
      </c>
      <c r="D1843" s="6" t="s">
        <v>759</v>
      </c>
      <c r="E1843" s="6" t="s">
        <v>167</v>
      </c>
      <c r="F1843" s="6" t="s">
        <v>63</v>
      </c>
      <c r="G1843" s="6" t="s">
        <v>47</v>
      </c>
      <c r="H1843" s="6" t="s">
        <v>65</v>
      </c>
      <c r="I1843" s="1" t="n">
        <v>4</v>
      </c>
      <c r="J1843" s="7" t="n">
        <v>7460.89</v>
      </c>
      <c r="K1843" s="8" t="n">
        <v>0.2</v>
      </c>
      <c r="L1843" s="7" t="n">
        <v>4082.15</v>
      </c>
      <c r="M1843" s="6" t="s">
        <v>49</v>
      </c>
      <c r="N1843" s="6" t="s">
        <v>50</v>
      </c>
      <c r="O1843" s="6" t="n">
        <f aca="false">IF(TablaVentas[[#This Row],[Precio_unitario]]="","PENDIENTE",TablaVentas[[#This Row],[Unidades]]*TablaVentas[[#This Row],[Precio_unitario]]*(1-TablaVentas[[#This Row],[Descuento_pct]]))</f>
        <v>23874.848</v>
      </c>
      <c r="P1843" s="6" t="n">
        <f aca="false">IF(TablaVentas[[#This Row],[Costo_unitario]]="","PENDIENTE",TablaVentas[[#This Row],[Unidades]]*TablaVentas[[#This Row],[Costo_unitario]])</f>
        <v>16328.6</v>
      </c>
      <c r="Q1843" s="6" t="n">
        <f aca="false">IF(OR(TablaVentas[[#This Row],[Ingreso_neto]]="PENDIENTE",TablaVentas[[#This Row],[Costo_total]]="PENDIENTE"),"PENDIENTE",TablaVentas[[#This Row],[Ingreso_neto]]-TablaVentas[[#This Row],[Costo_total]])</f>
        <v>7546.248</v>
      </c>
    </row>
    <row r="1844" customFormat="false" ht="13.5" hidden="false" customHeight="false" outlineLevel="0" collapsed="false">
      <c r="A1844" s="1" t="s">
        <v>1188</v>
      </c>
      <c r="B1844" s="1" t="n">
        <v>3</v>
      </c>
      <c r="C1844" s="5" t="n">
        <v>46177</v>
      </c>
      <c r="D1844" s="6" t="s">
        <v>759</v>
      </c>
      <c r="E1844" s="6" t="s">
        <v>146</v>
      </c>
      <c r="F1844" s="6" t="s">
        <v>63</v>
      </c>
      <c r="G1844" s="6" t="s">
        <v>47</v>
      </c>
      <c r="H1844" s="6" t="s">
        <v>65</v>
      </c>
      <c r="I1844" s="1" t="n">
        <v>3</v>
      </c>
      <c r="J1844" s="7" t="n">
        <v>9039.54</v>
      </c>
      <c r="K1844" s="8" t="n">
        <v>0</v>
      </c>
      <c r="L1844" s="7" t="n">
        <v>8002.16</v>
      </c>
      <c r="M1844" s="6" t="s">
        <v>49</v>
      </c>
      <c r="N1844" s="6" t="s">
        <v>52</v>
      </c>
      <c r="O1844" s="6" t="n">
        <f aca="false">IF(TablaVentas[[#This Row],[Precio_unitario]]="","PENDIENTE",TablaVentas[[#This Row],[Unidades]]*TablaVentas[[#This Row],[Precio_unitario]]*(1-TablaVentas[[#This Row],[Descuento_pct]]))</f>
        <v>27118.62</v>
      </c>
      <c r="P1844" s="6" t="n">
        <f aca="false">IF(TablaVentas[[#This Row],[Costo_unitario]]="","PENDIENTE",TablaVentas[[#This Row],[Unidades]]*TablaVentas[[#This Row],[Costo_unitario]])</f>
        <v>24006.48</v>
      </c>
      <c r="Q1844" s="6" t="n">
        <f aca="false">IF(OR(TablaVentas[[#This Row],[Ingreso_neto]]="PENDIENTE",TablaVentas[[#This Row],[Costo_total]]="PENDIENTE"),"PENDIENTE",TablaVentas[[#This Row],[Ingreso_neto]]-TablaVentas[[#This Row],[Costo_total]])</f>
        <v>3112.14</v>
      </c>
    </row>
    <row r="1845" customFormat="false" ht="13.5" hidden="false" customHeight="false" outlineLevel="0" collapsed="false">
      <c r="A1845" s="1" t="s">
        <v>1188</v>
      </c>
      <c r="B1845" s="1" t="n">
        <v>4</v>
      </c>
      <c r="C1845" s="5" t="n">
        <v>46177</v>
      </c>
      <c r="D1845" s="6" t="s">
        <v>759</v>
      </c>
      <c r="E1845" s="6" t="s">
        <v>544</v>
      </c>
      <c r="F1845" s="6" t="s">
        <v>63</v>
      </c>
      <c r="G1845" s="6" t="s">
        <v>47</v>
      </c>
      <c r="H1845" s="6" t="s">
        <v>65</v>
      </c>
      <c r="I1845" s="1" t="n">
        <v>1</v>
      </c>
      <c r="J1845" s="7" t="n">
        <v>5752.08</v>
      </c>
      <c r="K1845" s="8" t="n">
        <v>0.15</v>
      </c>
      <c r="L1845" s="7" t="n">
        <v>4556.23</v>
      </c>
      <c r="M1845" s="6" t="s">
        <v>49</v>
      </c>
      <c r="N1845" s="6" t="s">
        <v>67</v>
      </c>
      <c r="O1845" s="6" t="n">
        <f aca="false">IF(TablaVentas[[#This Row],[Precio_unitario]]="","PENDIENTE",TablaVentas[[#This Row],[Unidades]]*TablaVentas[[#This Row],[Precio_unitario]]*(1-TablaVentas[[#This Row],[Descuento_pct]]))</f>
        <v>4889.268</v>
      </c>
      <c r="P1845" s="6" t="n">
        <f aca="false">IF(TablaVentas[[#This Row],[Costo_unitario]]="","PENDIENTE",TablaVentas[[#This Row],[Unidades]]*TablaVentas[[#This Row],[Costo_unitario]])</f>
        <v>4556.23</v>
      </c>
      <c r="Q1845" s="6" t="n">
        <f aca="false">IF(OR(TablaVentas[[#This Row],[Ingreso_neto]]="PENDIENTE",TablaVentas[[#This Row],[Costo_total]]="PENDIENTE"),"PENDIENTE",TablaVentas[[#This Row],[Ingreso_neto]]-TablaVentas[[#This Row],[Costo_total]])</f>
        <v>333.038</v>
      </c>
    </row>
    <row r="1846" customFormat="false" ht="13.5" hidden="false" customHeight="false" outlineLevel="0" collapsed="false">
      <c r="A1846" s="1" t="s">
        <v>1188</v>
      </c>
      <c r="B1846" s="1" t="n">
        <v>5</v>
      </c>
      <c r="C1846" s="5" t="n">
        <v>46177</v>
      </c>
      <c r="D1846" s="6" t="s">
        <v>759</v>
      </c>
      <c r="E1846" s="6" t="s">
        <v>385</v>
      </c>
      <c r="F1846" s="6" t="s">
        <v>63</v>
      </c>
      <c r="G1846" s="6" t="s">
        <v>47</v>
      </c>
      <c r="H1846" s="6" t="s">
        <v>65</v>
      </c>
      <c r="I1846" s="1" t="n">
        <v>2</v>
      </c>
      <c r="J1846" s="7" t="n">
        <v>3478.89</v>
      </c>
      <c r="K1846" s="8" t="n">
        <v>0</v>
      </c>
      <c r="L1846" s="7" t="n">
        <v>2864.64</v>
      </c>
      <c r="M1846" s="6" t="s">
        <v>49</v>
      </c>
      <c r="N1846" s="6" t="s">
        <v>52</v>
      </c>
      <c r="O1846" s="6" t="n">
        <f aca="false">IF(TablaVentas[[#This Row],[Precio_unitario]]="","PENDIENTE",TablaVentas[[#This Row],[Unidades]]*TablaVentas[[#This Row],[Precio_unitario]]*(1-TablaVentas[[#This Row],[Descuento_pct]]))</f>
        <v>6957.78</v>
      </c>
      <c r="P1846" s="6" t="n">
        <f aca="false">IF(TablaVentas[[#This Row],[Costo_unitario]]="","PENDIENTE",TablaVentas[[#This Row],[Unidades]]*TablaVentas[[#This Row],[Costo_unitario]])</f>
        <v>5729.28</v>
      </c>
      <c r="Q1846" s="6" t="n">
        <f aca="false">IF(OR(TablaVentas[[#This Row],[Ingreso_neto]]="PENDIENTE",TablaVentas[[#This Row],[Costo_total]]="PENDIENTE"),"PENDIENTE",TablaVentas[[#This Row],[Ingreso_neto]]-TablaVentas[[#This Row],[Costo_total]])</f>
        <v>1228.5</v>
      </c>
    </row>
    <row r="1847" customFormat="false" ht="13.5" hidden="false" customHeight="false" outlineLevel="0" collapsed="false">
      <c r="A1847" s="1" t="s">
        <v>1189</v>
      </c>
      <c r="B1847" s="1" t="n">
        <v>1</v>
      </c>
      <c r="C1847" s="5" t="n">
        <v>46294</v>
      </c>
      <c r="D1847" s="6" t="s">
        <v>789</v>
      </c>
      <c r="E1847" s="6" t="s">
        <v>213</v>
      </c>
      <c r="F1847" s="6" t="s">
        <v>46</v>
      </c>
      <c r="G1847" s="6" t="s">
        <v>64</v>
      </c>
      <c r="H1847" s="6" t="s">
        <v>58</v>
      </c>
      <c r="I1847" s="1" t="n">
        <v>1</v>
      </c>
      <c r="J1847" s="7" t="n">
        <v>5757.13</v>
      </c>
      <c r="K1847" s="8" t="n">
        <v>0.15</v>
      </c>
      <c r="L1847" s="7" t="n">
        <v>4008.77</v>
      </c>
      <c r="M1847" s="6" t="s">
        <v>49</v>
      </c>
      <c r="N1847" s="6" t="s">
        <v>67</v>
      </c>
      <c r="O1847" s="6" t="n">
        <f aca="false">IF(TablaVentas[[#This Row],[Precio_unitario]]="","PENDIENTE",TablaVentas[[#This Row],[Unidades]]*TablaVentas[[#This Row],[Precio_unitario]]*(1-TablaVentas[[#This Row],[Descuento_pct]]))</f>
        <v>4893.5605</v>
      </c>
      <c r="P1847" s="6" t="n">
        <f aca="false">IF(TablaVentas[[#This Row],[Costo_unitario]]="","PENDIENTE",TablaVentas[[#This Row],[Unidades]]*TablaVentas[[#This Row],[Costo_unitario]])</f>
        <v>4008.77</v>
      </c>
      <c r="Q1847" s="6" t="n">
        <f aca="false">IF(OR(TablaVentas[[#This Row],[Ingreso_neto]]="PENDIENTE",TablaVentas[[#This Row],[Costo_total]]="PENDIENTE"),"PENDIENTE",TablaVentas[[#This Row],[Ingreso_neto]]-TablaVentas[[#This Row],[Costo_total]])</f>
        <v>884.7905</v>
      </c>
    </row>
    <row r="1848" customFormat="false" ht="13.5" hidden="false" customHeight="false" outlineLevel="0" collapsed="false">
      <c r="A1848" s="1" t="s">
        <v>1189</v>
      </c>
      <c r="B1848" s="1" t="n">
        <v>2</v>
      </c>
      <c r="C1848" s="5" t="n">
        <v>46294</v>
      </c>
      <c r="D1848" s="6" t="s">
        <v>789</v>
      </c>
      <c r="E1848" s="6" t="s">
        <v>126</v>
      </c>
      <c r="F1848" s="6" t="s">
        <v>46</v>
      </c>
      <c r="G1848" s="6" t="s">
        <v>64</v>
      </c>
      <c r="H1848" s="6" t="s">
        <v>58</v>
      </c>
      <c r="I1848" s="1" t="n">
        <v>1</v>
      </c>
      <c r="J1848" s="7" t="n">
        <v>8073.1</v>
      </c>
      <c r="K1848" s="8" t="n">
        <v>0.1</v>
      </c>
      <c r="L1848" s="7" t="n">
        <v>6981.94</v>
      </c>
      <c r="M1848" s="6" t="s">
        <v>49</v>
      </c>
      <c r="N1848" s="6" t="s">
        <v>67</v>
      </c>
      <c r="O1848" s="6" t="n">
        <f aca="false">IF(TablaVentas[[#This Row],[Precio_unitario]]="","PENDIENTE",TablaVentas[[#This Row],[Unidades]]*TablaVentas[[#This Row],[Precio_unitario]]*(1-TablaVentas[[#This Row],[Descuento_pct]]))</f>
        <v>7265.79</v>
      </c>
      <c r="P1848" s="6" t="n">
        <f aca="false">IF(TablaVentas[[#This Row],[Costo_unitario]]="","PENDIENTE",TablaVentas[[#This Row],[Unidades]]*TablaVentas[[#This Row],[Costo_unitario]])</f>
        <v>6981.94</v>
      </c>
      <c r="Q1848" s="6" t="n">
        <f aca="false">IF(OR(TablaVentas[[#This Row],[Ingreso_neto]]="PENDIENTE",TablaVentas[[#This Row],[Costo_total]]="PENDIENTE"),"PENDIENTE",TablaVentas[[#This Row],[Ingreso_neto]]-TablaVentas[[#This Row],[Costo_total]])</f>
        <v>283.850000000001</v>
      </c>
    </row>
    <row r="1849" customFormat="false" ht="13.5" hidden="false" customHeight="false" outlineLevel="0" collapsed="false">
      <c r="A1849" s="1" t="s">
        <v>1190</v>
      </c>
      <c r="B1849" s="1" t="n">
        <v>1</v>
      </c>
      <c r="C1849" s="5" t="n">
        <v>46284</v>
      </c>
      <c r="D1849" s="6" t="s">
        <v>407</v>
      </c>
      <c r="E1849" s="6" t="s">
        <v>132</v>
      </c>
      <c r="F1849" s="6" t="s">
        <v>46</v>
      </c>
      <c r="G1849" s="6" t="s">
        <v>64</v>
      </c>
      <c r="H1849" s="6" t="s">
        <v>65</v>
      </c>
      <c r="I1849" s="1" t="n">
        <v>2</v>
      </c>
      <c r="J1849" s="7" t="n">
        <v>1600.15</v>
      </c>
      <c r="K1849" s="8" t="n">
        <v>0</v>
      </c>
      <c r="L1849" s="7" t="n">
        <v>1044.32</v>
      </c>
      <c r="M1849" s="6" t="s">
        <v>49</v>
      </c>
      <c r="N1849" s="6" t="s">
        <v>67</v>
      </c>
      <c r="O1849" s="6" t="n">
        <f aca="false">IF(TablaVentas[[#This Row],[Precio_unitario]]="","PENDIENTE",TablaVentas[[#This Row],[Unidades]]*TablaVentas[[#This Row],[Precio_unitario]]*(1-TablaVentas[[#This Row],[Descuento_pct]]))</f>
        <v>3200.3</v>
      </c>
      <c r="P1849" s="6" t="n">
        <f aca="false">IF(TablaVentas[[#This Row],[Costo_unitario]]="","PENDIENTE",TablaVentas[[#This Row],[Unidades]]*TablaVentas[[#This Row],[Costo_unitario]])</f>
        <v>2088.64</v>
      </c>
      <c r="Q1849" s="6" t="n">
        <f aca="false">IF(OR(TablaVentas[[#This Row],[Ingreso_neto]]="PENDIENTE",TablaVentas[[#This Row],[Costo_total]]="PENDIENTE"),"PENDIENTE",TablaVentas[[#This Row],[Ingreso_neto]]-TablaVentas[[#This Row],[Costo_total]])</f>
        <v>1111.66</v>
      </c>
    </row>
    <row r="1850" customFormat="false" ht="13.5" hidden="false" customHeight="false" outlineLevel="0" collapsed="false">
      <c r="A1850" s="1" t="s">
        <v>1190</v>
      </c>
      <c r="B1850" s="1" t="n">
        <v>2</v>
      </c>
      <c r="C1850" s="5" t="n">
        <v>46284</v>
      </c>
      <c r="D1850" s="6" t="s">
        <v>407</v>
      </c>
      <c r="E1850" s="6" t="s">
        <v>140</v>
      </c>
      <c r="F1850" s="6" t="s">
        <v>46</v>
      </c>
      <c r="G1850" s="6" t="s">
        <v>64</v>
      </c>
      <c r="H1850" s="6" t="s">
        <v>65</v>
      </c>
      <c r="I1850" s="1" t="n">
        <v>2</v>
      </c>
      <c r="J1850" s="7" t="n">
        <v>7863.11</v>
      </c>
      <c r="K1850" s="8" t="n">
        <v>0</v>
      </c>
      <c r="L1850" s="7" t="n">
        <v>4061.34</v>
      </c>
      <c r="M1850" s="6" t="s">
        <v>123</v>
      </c>
      <c r="N1850" s="6" t="s">
        <v>52</v>
      </c>
      <c r="O1850" s="6" t="n">
        <f aca="false">IF(TablaVentas[[#This Row],[Precio_unitario]]="","PENDIENTE",TablaVentas[[#This Row],[Unidades]]*TablaVentas[[#This Row],[Precio_unitario]]*(1-TablaVentas[[#This Row],[Descuento_pct]]))</f>
        <v>15726.22</v>
      </c>
      <c r="P1850" s="6" t="n">
        <f aca="false">IF(TablaVentas[[#This Row],[Costo_unitario]]="","PENDIENTE",TablaVentas[[#This Row],[Unidades]]*TablaVentas[[#This Row],[Costo_unitario]])</f>
        <v>8122.68</v>
      </c>
      <c r="Q1850" s="6" t="n">
        <f aca="false">IF(OR(TablaVentas[[#This Row],[Ingreso_neto]]="PENDIENTE",TablaVentas[[#This Row],[Costo_total]]="PENDIENTE"),"PENDIENTE",TablaVentas[[#This Row],[Ingreso_neto]]-TablaVentas[[#This Row],[Costo_total]])</f>
        <v>7603.54</v>
      </c>
    </row>
    <row r="1851" customFormat="false" ht="13.5" hidden="false" customHeight="false" outlineLevel="0" collapsed="false">
      <c r="A1851" s="1" t="s">
        <v>1190</v>
      </c>
      <c r="B1851" s="1" t="n">
        <v>3</v>
      </c>
      <c r="C1851" s="5" t="n">
        <v>46284</v>
      </c>
      <c r="D1851" s="6" t="s">
        <v>407</v>
      </c>
      <c r="E1851" s="6" t="s">
        <v>265</v>
      </c>
      <c r="F1851" s="6" t="s">
        <v>46</v>
      </c>
      <c r="G1851" s="6" t="s">
        <v>64</v>
      </c>
      <c r="H1851" s="6" t="s">
        <v>65</v>
      </c>
      <c r="I1851" s="1" t="n">
        <v>1</v>
      </c>
      <c r="J1851" s="7" t="n">
        <v>4081.46</v>
      </c>
      <c r="K1851" s="8" t="n">
        <v>0</v>
      </c>
      <c r="L1851" s="7" t="n">
        <v>2008.57</v>
      </c>
      <c r="M1851" s="6" t="s">
        <v>49</v>
      </c>
      <c r="N1851" s="6" t="s">
        <v>50</v>
      </c>
      <c r="O1851" s="6" t="n">
        <f aca="false">IF(TablaVentas[[#This Row],[Precio_unitario]]="","PENDIENTE",TablaVentas[[#This Row],[Unidades]]*TablaVentas[[#This Row],[Precio_unitario]]*(1-TablaVentas[[#This Row],[Descuento_pct]]))</f>
        <v>4081.46</v>
      </c>
      <c r="P1851" s="6" t="n">
        <f aca="false">IF(TablaVentas[[#This Row],[Costo_unitario]]="","PENDIENTE",TablaVentas[[#This Row],[Unidades]]*TablaVentas[[#This Row],[Costo_unitario]])</f>
        <v>2008.57</v>
      </c>
      <c r="Q1851" s="6" t="n">
        <f aca="false">IF(OR(TablaVentas[[#This Row],[Ingreso_neto]]="PENDIENTE",TablaVentas[[#This Row],[Costo_total]]="PENDIENTE"),"PENDIENTE",TablaVentas[[#This Row],[Ingreso_neto]]-TablaVentas[[#This Row],[Costo_total]])</f>
        <v>2072.89</v>
      </c>
    </row>
    <row r="1852" customFormat="false" ht="13.5" hidden="false" customHeight="false" outlineLevel="0" collapsed="false">
      <c r="A1852" s="1" t="s">
        <v>1191</v>
      </c>
      <c r="B1852" s="1" t="n">
        <v>1</v>
      </c>
      <c r="C1852" s="5" t="n">
        <v>46070</v>
      </c>
      <c r="D1852" s="6" t="s">
        <v>561</v>
      </c>
      <c r="E1852" s="6" t="s">
        <v>110</v>
      </c>
      <c r="F1852" s="6" t="s">
        <v>46</v>
      </c>
      <c r="G1852" s="6" t="s">
        <v>57</v>
      </c>
      <c r="H1852" s="6" t="s">
        <v>131</v>
      </c>
      <c r="I1852" s="1" t="n">
        <v>3</v>
      </c>
      <c r="J1852" s="7" t="n">
        <v>13412.93</v>
      </c>
      <c r="K1852" s="8" t="n">
        <v>0</v>
      </c>
      <c r="L1852" s="7" t="n">
        <v>7549.71</v>
      </c>
      <c r="M1852" s="6" t="s">
        <v>49</v>
      </c>
      <c r="N1852" s="6" t="s">
        <v>50</v>
      </c>
      <c r="O1852" s="6" t="n">
        <f aca="false">IF(TablaVentas[[#This Row],[Precio_unitario]]="","PENDIENTE",TablaVentas[[#This Row],[Unidades]]*TablaVentas[[#This Row],[Precio_unitario]]*(1-TablaVentas[[#This Row],[Descuento_pct]]))</f>
        <v>40238.79</v>
      </c>
      <c r="P1852" s="6" t="n">
        <f aca="false">IF(TablaVentas[[#This Row],[Costo_unitario]]="","PENDIENTE",TablaVentas[[#This Row],[Unidades]]*TablaVentas[[#This Row],[Costo_unitario]])</f>
        <v>22649.13</v>
      </c>
      <c r="Q1852" s="6" t="n">
        <f aca="false">IF(OR(TablaVentas[[#This Row],[Ingreso_neto]]="PENDIENTE",TablaVentas[[#This Row],[Costo_total]]="PENDIENTE"),"PENDIENTE",TablaVentas[[#This Row],[Ingreso_neto]]-TablaVentas[[#This Row],[Costo_total]])</f>
        <v>17589.66</v>
      </c>
    </row>
    <row r="1853" customFormat="false" ht="13.5" hidden="false" customHeight="false" outlineLevel="0" collapsed="false">
      <c r="A1853" s="1" t="s">
        <v>1191</v>
      </c>
      <c r="B1853" s="1" t="n">
        <v>2</v>
      </c>
      <c r="C1853" s="5" t="n">
        <v>46070</v>
      </c>
      <c r="D1853" s="6" t="s">
        <v>561</v>
      </c>
      <c r="E1853" s="6" t="s">
        <v>141</v>
      </c>
      <c r="F1853" s="6" t="s">
        <v>46</v>
      </c>
      <c r="G1853" s="6" t="s">
        <v>57</v>
      </c>
      <c r="H1853" s="6" t="s">
        <v>131</v>
      </c>
      <c r="I1853" s="1" t="n">
        <v>1</v>
      </c>
      <c r="J1853" s="7" t="n">
        <v>271.36</v>
      </c>
      <c r="K1853" s="8" t="n">
        <v>0.15</v>
      </c>
      <c r="L1853" s="7" t="n">
        <v>176.47</v>
      </c>
      <c r="M1853" s="6" t="s">
        <v>49</v>
      </c>
      <c r="N1853" s="6" t="s">
        <v>59</v>
      </c>
      <c r="O1853" s="6" t="n">
        <f aca="false">IF(TablaVentas[[#This Row],[Precio_unitario]]="","PENDIENTE",TablaVentas[[#This Row],[Unidades]]*TablaVentas[[#This Row],[Precio_unitario]]*(1-TablaVentas[[#This Row],[Descuento_pct]]))</f>
        <v>230.656</v>
      </c>
      <c r="P1853" s="6" t="n">
        <f aca="false">IF(TablaVentas[[#This Row],[Costo_unitario]]="","PENDIENTE",TablaVentas[[#This Row],[Unidades]]*TablaVentas[[#This Row],[Costo_unitario]])</f>
        <v>176.47</v>
      </c>
      <c r="Q1853" s="6" t="n">
        <f aca="false">IF(OR(TablaVentas[[#This Row],[Ingreso_neto]]="PENDIENTE",TablaVentas[[#This Row],[Costo_total]]="PENDIENTE"),"PENDIENTE",TablaVentas[[#This Row],[Ingreso_neto]]-TablaVentas[[#This Row],[Costo_total]])</f>
        <v>54.186</v>
      </c>
    </row>
    <row r="1854" customFormat="false" ht="13.5" hidden="false" customHeight="false" outlineLevel="0" collapsed="false">
      <c r="A1854" s="1" t="s">
        <v>1191</v>
      </c>
      <c r="B1854" s="1" t="n">
        <v>3</v>
      </c>
      <c r="C1854" s="5" t="n">
        <v>46070</v>
      </c>
      <c r="D1854" s="6" t="s">
        <v>561</v>
      </c>
      <c r="E1854" s="6" t="s">
        <v>139</v>
      </c>
      <c r="F1854" s="6" t="s">
        <v>46</v>
      </c>
      <c r="G1854" s="6" t="s">
        <v>57</v>
      </c>
      <c r="H1854" s="6" t="s">
        <v>131</v>
      </c>
      <c r="I1854" s="1" t="n">
        <v>1</v>
      </c>
      <c r="J1854" s="7" t="n">
        <v>19424.1</v>
      </c>
      <c r="K1854" s="8" t="n">
        <v>0</v>
      </c>
      <c r="L1854" s="7" t="n">
        <v>11036.95</v>
      </c>
      <c r="M1854" s="6" t="s">
        <v>49</v>
      </c>
      <c r="N1854" s="6" t="s">
        <v>67</v>
      </c>
      <c r="O1854" s="6" t="n">
        <f aca="false">IF(TablaVentas[[#This Row],[Precio_unitario]]="","PENDIENTE",TablaVentas[[#This Row],[Unidades]]*TablaVentas[[#This Row],[Precio_unitario]]*(1-TablaVentas[[#This Row],[Descuento_pct]]))</f>
        <v>19424.1</v>
      </c>
      <c r="P1854" s="6" t="n">
        <f aca="false">IF(TablaVentas[[#This Row],[Costo_unitario]]="","PENDIENTE",TablaVentas[[#This Row],[Unidades]]*TablaVentas[[#This Row],[Costo_unitario]])</f>
        <v>11036.95</v>
      </c>
      <c r="Q1854" s="6" t="n">
        <f aca="false">IF(OR(TablaVentas[[#This Row],[Ingreso_neto]]="PENDIENTE",TablaVentas[[#This Row],[Costo_total]]="PENDIENTE"),"PENDIENTE",TablaVentas[[#This Row],[Ingreso_neto]]-TablaVentas[[#This Row],[Costo_total]])</f>
        <v>8387.15</v>
      </c>
    </row>
    <row r="1855" customFormat="false" ht="13.5" hidden="false" customHeight="false" outlineLevel="0" collapsed="false">
      <c r="A1855" s="1" t="s">
        <v>1192</v>
      </c>
      <c r="B1855" s="1" t="n">
        <v>1</v>
      </c>
      <c r="C1855" s="5" t="n">
        <v>46232</v>
      </c>
      <c r="D1855" s="6" t="s">
        <v>344</v>
      </c>
      <c r="E1855" s="6" t="s">
        <v>145</v>
      </c>
      <c r="F1855" s="6" t="s">
        <v>73</v>
      </c>
      <c r="G1855" s="6" t="s">
        <v>57</v>
      </c>
      <c r="H1855" s="6" t="s">
        <v>80</v>
      </c>
      <c r="I1855" s="1" t="n">
        <v>2</v>
      </c>
      <c r="J1855" s="7" t="n">
        <v>6047.82</v>
      </c>
      <c r="K1855" s="8" t="n">
        <v>0.15</v>
      </c>
      <c r="L1855" s="7" t="n">
        <v>4665.62</v>
      </c>
      <c r="M1855" s="6" t="s">
        <v>123</v>
      </c>
      <c r="N1855" s="6" t="s">
        <v>67</v>
      </c>
      <c r="O1855" s="6" t="n">
        <f aca="false">IF(TablaVentas[[#This Row],[Precio_unitario]]="","PENDIENTE",TablaVentas[[#This Row],[Unidades]]*TablaVentas[[#This Row],[Precio_unitario]]*(1-TablaVentas[[#This Row],[Descuento_pct]]))</f>
        <v>10281.294</v>
      </c>
      <c r="P1855" s="6" t="n">
        <f aca="false">IF(TablaVentas[[#This Row],[Costo_unitario]]="","PENDIENTE",TablaVentas[[#This Row],[Unidades]]*TablaVentas[[#This Row],[Costo_unitario]])</f>
        <v>9331.24</v>
      </c>
      <c r="Q1855" s="6" t="n">
        <f aca="false">IF(OR(TablaVentas[[#This Row],[Ingreso_neto]]="PENDIENTE",TablaVentas[[#This Row],[Costo_total]]="PENDIENTE"),"PENDIENTE",TablaVentas[[#This Row],[Ingreso_neto]]-TablaVentas[[#This Row],[Costo_total]])</f>
        <v>950.054</v>
      </c>
    </row>
    <row r="1856" customFormat="false" ht="13.5" hidden="false" customHeight="false" outlineLevel="0" collapsed="false">
      <c r="A1856" s="1" t="s">
        <v>1192</v>
      </c>
      <c r="B1856" s="1" t="n">
        <v>2</v>
      </c>
      <c r="C1856" s="5" t="n">
        <v>46232</v>
      </c>
      <c r="D1856" s="6" t="s">
        <v>344</v>
      </c>
      <c r="E1856" s="6" t="s">
        <v>353</v>
      </c>
      <c r="F1856" s="6" t="s">
        <v>73</v>
      </c>
      <c r="G1856" s="6" t="s">
        <v>57</v>
      </c>
      <c r="H1856" s="6" t="s">
        <v>80</v>
      </c>
      <c r="I1856" s="1" t="n">
        <v>2</v>
      </c>
      <c r="J1856" s="7" t="n">
        <v>2054.4</v>
      </c>
      <c r="K1856" s="8" t="n">
        <v>0.2</v>
      </c>
      <c r="L1856" s="7" t="n">
        <v>1175.74</v>
      </c>
      <c r="M1856" s="6" t="s">
        <v>49</v>
      </c>
      <c r="N1856" s="6" t="s">
        <v>50</v>
      </c>
      <c r="O1856" s="6" t="n">
        <f aca="false">IF(TablaVentas[[#This Row],[Precio_unitario]]="","PENDIENTE",TablaVentas[[#This Row],[Unidades]]*TablaVentas[[#This Row],[Precio_unitario]]*(1-TablaVentas[[#This Row],[Descuento_pct]]))</f>
        <v>3287.04</v>
      </c>
      <c r="P1856" s="6" t="n">
        <f aca="false">IF(TablaVentas[[#This Row],[Costo_unitario]]="","PENDIENTE",TablaVentas[[#This Row],[Unidades]]*TablaVentas[[#This Row],[Costo_unitario]])</f>
        <v>2351.48</v>
      </c>
      <c r="Q1856" s="6" t="n">
        <f aca="false">IF(OR(TablaVentas[[#This Row],[Ingreso_neto]]="PENDIENTE",TablaVentas[[#This Row],[Costo_total]]="PENDIENTE"),"PENDIENTE",TablaVentas[[#This Row],[Ingreso_neto]]-TablaVentas[[#This Row],[Costo_total]])</f>
        <v>935.56</v>
      </c>
    </row>
    <row r="1857" customFormat="false" ht="13.5" hidden="false" customHeight="false" outlineLevel="0" collapsed="false">
      <c r="A1857" s="1" t="s">
        <v>1192</v>
      </c>
      <c r="B1857" s="1" t="n">
        <v>3</v>
      </c>
      <c r="C1857" s="5" t="n">
        <v>46232</v>
      </c>
      <c r="D1857" s="6" t="s">
        <v>344</v>
      </c>
      <c r="E1857" s="6" t="s">
        <v>170</v>
      </c>
      <c r="F1857" s="6" t="s">
        <v>73</v>
      </c>
      <c r="G1857" s="6" t="s">
        <v>57</v>
      </c>
      <c r="H1857" s="6" t="s">
        <v>80</v>
      </c>
      <c r="I1857" s="1" t="n">
        <v>3</v>
      </c>
      <c r="J1857" s="7" t="n">
        <v>16337.87</v>
      </c>
      <c r="K1857" s="8" t="n">
        <v>0.1</v>
      </c>
      <c r="L1857" s="7" t="n">
        <v>12141.44</v>
      </c>
      <c r="M1857" s="6" t="s">
        <v>49</v>
      </c>
      <c r="N1857" s="6" t="s">
        <v>59</v>
      </c>
      <c r="O1857" s="6" t="n">
        <f aca="false">IF(TablaVentas[[#This Row],[Precio_unitario]]="","PENDIENTE",TablaVentas[[#This Row],[Unidades]]*TablaVentas[[#This Row],[Precio_unitario]]*(1-TablaVentas[[#This Row],[Descuento_pct]]))</f>
        <v>44112.249</v>
      </c>
      <c r="P1857" s="6" t="n">
        <f aca="false">IF(TablaVentas[[#This Row],[Costo_unitario]]="","PENDIENTE",TablaVentas[[#This Row],[Unidades]]*TablaVentas[[#This Row],[Costo_unitario]])</f>
        <v>36424.32</v>
      </c>
      <c r="Q1857" s="6" t="n">
        <f aca="false">IF(OR(TablaVentas[[#This Row],[Ingreso_neto]]="PENDIENTE",TablaVentas[[#This Row],[Costo_total]]="PENDIENTE"),"PENDIENTE",TablaVentas[[#This Row],[Ingreso_neto]]-TablaVentas[[#This Row],[Costo_total]])</f>
        <v>7687.929</v>
      </c>
    </row>
    <row r="1858" customFormat="false" ht="13.5" hidden="false" customHeight="false" outlineLevel="0" collapsed="false">
      <c r="A1858" s="1" t="s">
        <v>1193</v>
      </c>
      <c r="B1858" s="1" t="n">
        <v>1</v>
      </c>
      <c r="C1858" s="5" t="n">
        <v>46251</v>
      </c>
      <c r="D1858" s="6" t="s">
        <v>674</v>
      </c>
      <c r="E1858" s="6" t="s">
        <v>192</v>
      </c>
      <c r="F1858" s="6" t="s">
        <v>46</v>
      </c>
      <c r="G1858" s="6" t="s">
        <v>64</v>
      </c>
      <c r="H1858" s="6" t="s">
        <v>131</v>
      </c>
      <c r="I1858" s="1" t="n">
        <v>3</v>
      </c>
      <c r="J1858" s="7" t="n">
        <v>16018.57</v>
      </c>
      <c r="K1858" s="8" t="n">
        <v>0</v>
      </c>
      <c r="L1858" s="7" t="n">
        <v>11904.09</v>
      </c>
      <c r="M1858" s="6" t="s">
        <v>49</v>
      </c>
      <c r="N1858" s="6" t="s">
        <v>50</v>
      </c>
      <c r="O1858" s="6" t="n">
        <f aca="false">IF(TablaVentas[[#This Row],[Precio_unitario]]="","PENDIENTE",TablaVentas[[#This Row],[Unidades]]*TablaVentas[[#This Row],[Precio_unitario]]*(1-TablaVentas[[#This Row],[Descuento_pct]]))</f>
        <v>48055.71</v>
      </c>
      <c r="P1858" s="6" t="n">
        <f aca="false">IF(TablaVentas[[#This Row],[Costo_unitario]]="","PENDIENTE",TablaVentas[[#This Row],[Unidades]]*TablaVentas[[#This Row],[Costo_unitario]])</f>
        <v>35712.27</v>
      </c>
      <c r="Q1858" s="6" t="n">
        <f aca="false">IF(OR(TablaVentas[[#This Row],[Ingreso_neto]]="PENDIENTE",TablaVentas[[#This Row],[Costo_total]]="PENDIENTE"),"PENDIENTE",TablaVentas[[#This Row],[Ingreso_neto]]-TablaVentas[[#This Row],[Costo_total]])</f>
        <v>12343.44</v>
      </c>
    </row>
    <row r="1859" customFormat="false" ht="13.5" hidden="false" customHeight="false" outlineLevel="0" collapsed="false">
      <c r="A1859" s="1" t="s">
        <v>1193</v>
      </c>
      <c r="B1859" s="1" t="n">
        <v>2</v>
      </c>
      <c r="C1859" s="5" t="n">
        <v>46251</v>
      </c>
      <c r="D1859" s="6" t="s">
        <v>674</v>
      </c>
      <c r="E1859" s="6" t="s">
        <v>77</v>
      </c>
      <c r="F1859" s="6" t="s">
        <v>46</v>
      </c>
      <c r="G1859" s="6" t="s">
        <v>64</v>
      </c>
      <c r="H1859" s="6" t="s">
        <v>131</v>
      </c>
      <c r="I1859" s="1" t="n">
        <v>1</v>
      </c>
      <c r="J1859" s="7" t="n">
        <v>14442.34</v>
      </c>
      <c r="K1859" s="8" t="n">
        <v>0</v>
      </c>
      <c r="L1859" s="7" t="n">
        <v>10571.25</v>
      </c>
      <c r="M1859" s="6" t="s">
        <v>49</v>
      </c>
      <c r="N1859" s="6" t="s">
        <v>59</v>
      </c>
      <c r="O1859" s="6" t="n">
        <f aca="false">IF(TablaVentas[[#This Row],[Precio_unitario]]="","PENDIENTE",TablaVentas[[#This Row],[Unidades]]*TablaVentas[[#This Row],[Precio_unitario]]*(1-TablaVentas[[#This Row],[Descuento_pct]]))</f>
        <v>14442.34</v>
      </c>
      <c r="P1859" s="6" t="n">
        <f aca="false">IF(TablaVentas[[#This Row],[Costo_unitario]]="","PENDIENTE",TablaVentas[[#This Row],[Unidades]]*TablaVentas[[#This Row],[Costo_unitario]])</f>
        <v>10571.25</v>
      </c>
      <c r="Q1859" s="6" t="n">
        <f aca="false">IF(OR(TablaVentas[[#This Row],[Ingreso_neto]]="PENDIENTE",TablaVentas[[#This Row],[Costo_total]]="PENDIENTE"),"PENDIENTE",TablaVentas[[#This Row],[Ingreso_neto]]-TablaVentas[[#This Row],[Costo_total]])</f>
        <v>3871.09</v>
      </c>
    </row>
    <row r="1860" customFormat="false" ht="13.5" hidden="false" customHeight="false" outlineLevel="0" collapsed="false">
      <c r="A1860" s="1" t="s">
        <v>1194</v>
      </c>
      <c r="B1860" s="1" t="n">
        <v>1</v>
      </c>
      <c r="C1860" s="5" t="n">
        <v>46181</v>
      </c>
      <c r="D1860" s="6" t="s">
        <v>239</v>
      </c>
      <c r="E1860" s="6" t="s">
        <v>45</v>
      </c>
      <c r="F1860" s="6" t="s">
        <v>84</v>
      </c>
      <c r="G1860" s="6" t="s">
        <v>57</v>
      </c>
      <c r="H1860" s="6" t="s">
        <v>80</v>
      </c>
      <c r="I1860" s="1" t="n">
        <v>4</v>
      </c>
      <c r="J1860" s="7" t="n">
        <v>5454.25</v>
      </c>
      <c r="K1860" s="8" t="n">
        <v>0.05</v>
      </c>
      <c r="L1860" s="7" t="n">
        <v>3832.69</v>
      </c>
      <c r="M1860" s="6" t="s">
        <v>49</v>
      </c>
      <c r="N1860" s="6" t="s">
        <v>50</v>
      </c>
      <c r="O1860" s="6" t="n">
        <f aca="false">IF(TablaVentas[[#This Row],[Precio_unitario]]="","PENDIENTE",TablaVentas[[#This Row],[Unidades]]*TablaVentas[[#This Row],[Precio_unitario]]*(1-TablaVentas[[#This Row],[Descuento_pct]]))</f>
        <v>20726.15</v>
      </c>
      <c r="P1860" s="6" t="n">
        <f aca="false">IF(TablaVentas[[#This Row],[Costo_unitario]]="","PENDIENTE",TablaVentas[[#This Row],[Unidades]]*TablaVentas[[#This Row],[Costo_unitario]])</f>
        <v>15330.76</v>
      </c>
      <c r="Q1860" s="6" t="n">
        <f aca="false">IF(OR(TablaVentas[[#This Row],[Ingreso_neto]]="PENDIENTE",TablaVentas[[#This Row],[Costo_total]]="PENDIENTE"),"PENDIENTE",TablaVentas[[#This Row],[Ingreso_neto]]-TablaVentas[[#This Row],[Costo_total]])</f>
        <v>5395.39</v>
      </c>
    </row>
    <row r="1861" customFormat="false" ht="13.5" hidden="false" customHeight="false" outlineLevel="0" collapsed="false">
      <c r="A1861" s="1" t="s">
        <v>1195</v>
      </c>
      <c r="B1861" s="1" t="n">
        <v>1</v>
      </c>
      <c r="C1861" s="5" t="n">
        <v>46037</v>
      </c>
      <c r="D1861" s="6" t="s">
        <v>627</v>
      </c>
      <c r="E1861" s="6" t="s">
        <v>187</v>
      </c>
      <c r="F1861" s="6" t="s">
        <v>73</v>
      </c>
      <c r="G1861" s="6" t="s">
        <v>64</v>
      </c>
      <c r="H1861" s="6" t="s">
        <v>191</v>
      </c>
      <c r="I1861" s="1" t="n">
        <v>2</v>
      </c>
      <c r="J1861" s="7" t="n">
        <v>6900.14</v>
      </c>
      <c r="K1861" s="8" t="n">
        <v>0.05</v>
      </c>
      <c r="L1861" s="7" t="n">
        <v>3824.92</v>
      </c>
      <c r="M1861" s="6" t="s">
        <v>123</v>
      </c>
      <c r="N1861" s="6" t="s">
        <v>50</v>
      </c>
      <c r="O1861" s="6" t="n">
        <f aca="false">IF(TablaVentas[[#This Row],[Precio_unitario]]="","PENDIENTE",TablaVentas[[#This Row],[Unidades]]*TablaVentas[[#This Row],[Precio_unitario]]*(1-TablaVentas[[#This Row],[Descuento_pct]]))</f>
        <v>13110.266</v>
      </c>
      <c r="P1861" s="6" t="n">
        <f aca="false">IF(TablaVentas[[#This Row],[Costo_unitario]]="","PENDIENTE",TablaVentas[[#This Row],[Unidades]]*TablaVentas[[#This Row],[Costo_unitario]])</f>
        <v>7649.84</v>
      </c>
      <c r="Q1861" s="6" t="n">
        <f aca="false">IF(OR(TablaVentas[[#This Row],[Ingreso_neto]]="PENDIENTE",TablaVentas[[#This Row],[Costo_total]]="PENDIENTE"),"PENDIENTE",TablaVentas[[#This Row],[Ingreso_neto]]-TablaVentas[[#This Row],[Costo_total]])</f>
        <v>5460.426</v>
      </c>
    </row>
    <row r="1862" customFormat="false" ht="13.5" hidden="false" customHeight="false" outlineLevel="0" collapsed="false">
      <c r="A1862" s="1" t="s">
        <v>1196</v>
      </c>
      <c r="B1862" s="1" t="n">
        <v>1</v>
      </c>
      <c r="C1862" s="5" t="n">
        <v>46066</v>
      </c>
      <c r="D1862" s="6" t="s">
        <v>401</v>
      </c>
      <c r="E1862" s="6" t="s">
        <v>62</v>
      </c>
      <c r="F1862" s="6" t="s">
        <v>46</v>
      </c>
      <c r="G1862" s="6" t="s">
        <v>47</v>
      </c>
      <c r="H1862" s="6" t="s">
        <v>89</v>
      </c>
      <c r="I1862" s="1" t="n">
        <v>3</v>
      </c>
      <c r="J1862" s="7" t="n">
        <v>12009.18</v>
      </c>
      <c r="K1862" s="8" t="n">
        <v>0</v>
      </c>
      <c r="L1862" s="7" t="n">
        <v>6407.85</v>
      </c>
      <c r="M1862" s="6" t="s">
        <v>49</v>
      </c>
      <c r="N1862" s="6" t="s">
        <v>59</v>
      </c>
      <c r="O1862" s="6" t="n">
        <f aca="false">IF(TablaVentas[[#This Row],[Precio_unitario]]="","PENDIENTE",TablaVentas[[#This Row],[Unidades]]*TablaVentas[[#This Row],[Precio_unitario]]*(1-TablaVentas[[#This Row],[Descuento_pct]]))</f>
        <v>36027.54</v>
      </c>
      <c r="P1862" s="6" t="n">
        <f aca="false">IF(TablaVentas[[#This Row],[Costo_unitario]]="","PENDIENTE",TablaVentas[[#This Row],[Unidades]]*TablaVentas[[#This Row],[Costo_unitario]])</f>
        <v>19223.55</v>
      </c>
      <c r="Q1862" s="6" t="n">
        <f aca="false">IF(OR(TablaVentas[[#This Row],[Ingreso_neto]]="PENDIENTE",TablaVentas[[#This Row],[Costo_total]]="PENDIENTE"),"PENDIENTE",TablaVentas[[#This Row],[Ingreso_neto]]-TablaVentas[[#This Row],[Costo_total]])</f>
        <v>16803.99</v>
      </c>
    </row>
    <row r="1863" customFormat="false" ht="13.5" hidden="false" customHeight="false" outlineLevel="0" collapsed="false">
      <c r="A1863" s="1" t="s">
        <v>1196</v>
      </c>
      <c r="B1863" s="1" t="n">
        <v>2</v>
      </c>
      <c r="C1863" s="5" t="n">
        <v>46066</v>
      </c>
      <c r="D1863" s="6" t="s">
        <v>401</v>
      </c>
      <c r="E1863" s="6" t="s">
        <v>166</v>
      </c>
      <c r="F1863" s="6" t="s">
        <v>46</v>
      </c>
      <c r="G1863" s="6" t="s">
        <v>47</v>
      </c>
      <c r="H1863" s="6" t="s">
        <v>89</v>
      </c>
      <c r="I1863" s="1" t="n">
        <v>2</v>
      </c>
      <c r="J1863" s="7" t="n">
        <v>11318.12</v>
      </c>
      <c r="K1863" s="8" t="n">
        <v>0.05</v>
      </c>
      <c r="L1863" s="7" t="n">
        <v>9317.37</v>
      </c>
      <c r="M1863" s="6" t="s">
        <v>49</v>
      </c>
      <c r="N1863" s="6" t="s">
        <v>67</v>
      </c>
      <c r="O1863" s="6" t="n">
        <f aca="false">IF(TablaVentas[[#This Row],[Precio_unitario]]="","PENDIENTE",TablaVentas[[#This Row],[Unidades]]*TablaVentas[[#This Row],[Precio_unitario]]*(1-TablaVentas[[#This Row],[Descuento_pct]]))</f>
        <v>21504.428</v>
      </c>
      <c r="P1863" s="6" t="n">
        <f aca="false">IF(TablaVentas[[#This Row],[Costo_unitario]]="","PENDIENTE",TablaVentas[[#This Row],[Unidades]]*TablaVentas[[#This Row],[Costo_unitario]])</f>
        <v>18634.74</v>
      </c>
      <c r="Q1863" s="6" t="n">
        <f aca="false">IF(OR(TablaVentas[[#This Row],[Ingreso_neto]]="PENDIENTE",TablaVentas[[#This Row],[Costo_total]]="PENDIENTE"),"PENDIENTE",TablaVentas[[#This Row],[Ingreso_neto]]-TablaVentas[[#This Row],[Costo_total]])</f>
        <v>2869.688</v>
      </c>
    </row>
    <row r="1864" customFormat="false" ht="13.5" hidden="false" customHeight="false" outlineLevel="0" collapsed="false">
      <c r="A1864" s="1" t="s">
        <v>1197</v>
      </c>
      <c r="B1864" s="1" t="n">
        <v>1</v>
      </c>
      <c r="C1864" s="5" t="n">
        <v>46178</v>
      </c>
      <c r="D1864" s="6" t="s">
        <v>525</v>
      </c>
      <c r="E1864" s="6" t="s">
        <v>219</v>
      </c>
      <c r="F1864" s="6" t="s">
        <v>46</v>
      </c>
      <c r="G1864" s="6" t="s">
        <v>64</v>
      </c>
      <c r="H1864" s="6" t="s">
        <v>131</v>
      </c>
      <c r="I1864" s="1" t="n">
        <v>3</v>
      </c>
      <c r="J1864" s="7" t="n">
        <v>3668.3</v>
      </c>
      <c r="K1864" s="8" t="n">
        <v>0</v>
      </c>
      <c r="L1864" s="7" t="n">
        <v>2157.55</v>
      </c>
      <c r="M1864" s="6" t="s">
        <v>49</v>
      </c>
      <c r="N1864" s="6" t="s">
        <v>52</v>
      </c>
      <c r="O1864" s="6" t="n">
        <f aca="false">IF(TablaVentas[[#This Row],[Precio_unitario]]="","PENDIENTE",TablaVentas[[#This Row],[Unidades]]*TablaVentas[[#This Row],[Precio_unitario]]*(1-TablaVentas[[#This Row],[Descuento_pct]]))</f>
        <v>11004.9</v>
      </c>
      <c r="P1864" s="6" t="n">
        <f aca="false">IF(TablaVentas[[#This Row],[Costo_unitario]]="","PENDIENTE",TablaVentas[[#This Row],[Unidades]]*TablaVentas[[#This Row],[Costo_unitario]])</f>
        <v>6472.65</v>
      </c>
      <c r="Q1864" s="6" t="n">
        <f aca="false">IF(OR(TablaVentas[[#This Row],[Ingreso_neto]]="PENDIENTE",TablaVentas[[#This Row],[Costo_total]]="PENDIENTE"),"PENDIENTE",TablaVentas[[#This Row],[Ingreso_neto]]-TablaVentas[[#This Row],[Costo_total]])</f>
        <v>4532.25</v>
      </c>
    </row>
    <row r="1865" customFormat="false" ht="13.5" hidden="false" customHeight="false" outlineLevel="0" collapsed="false">
      <c r="A1865" s="1" t="s">
        <v>1197</v>
      </c>
      <c r="B1865" s="1" t="n">
        <v>2</v>
      </c>
      <c r="C1865" s="5" t="n">
        <v>46178</v>
      </c>
      <c r="D1865" s="6" t="s">
        <v>525</v>
      </c>
      <c r="E1865" s="6" t="s">
        <v>145</v>
      </c>
      <c r="F1865" s="6" t="s">
        <v>46</v>
      </c>
      <c r="G1865" s="6" t="s">
        <v>64</v>
      </c>
      <c r="H1865" s="6" t="s">
        <v>131</v>
      </c>
      <c r="I1865" s="1" t="n">
        <v>1</v>
      </c>
      <c r="J1865" s="7" t="n">
        <v>6379.82</v>
      </c>
      <c r="K1865" s="8" t="n">
        <v>0</v>
      </c>
      <c r="L1865" s="7" t="n">
        <v>4665.62</v>
      </c>
      <c r="M1865" s="6" t="s">
        <v>49</v>
      </c>
      <c r="N1865" s="6" t="s">
        <v>50</v>
      </c>
      <c r="O1865" s="6" t="n">
        <f aca="false">IF(TablaVentas[[#This Row],[Precio_unitario]]="","PENDIENTE",TablaVentas[[#This Row],[Unidades]]*TablaVentas[[#This Row],[Precio_unitario]]*(1-TablaVentas[[#This Row],[Descuento_pct]]))</f>
        <v>6379.82</v>
      </c>
      <c r="P1865" s="6" t="n">
        <f aca="false">IF(TablaVentas[[#This Row],[Costo_unitario]]="","PENDIENTE",TablaVentas[[#This Row],[Unidades]]*TablaVentas[[#This Row],[Costo_unitario]])</f>
        <v>4665.62</v>
      </c>
      <c r="Q1865" s="6" t="n">
        <f aca="false">IF(OR(TablaVentas[[#This Row],[Ingreso_neto]]="PENDIENTE",TablaVentas[[#This Row],[Costo_total]]="PENDIENTE"),"PENDIENTE",TablaVentas[[#This Row],[Ingreso_neto]]-TablaVentas[[#This Row],[Costo_total]])</f>
        <v>1714.2</v>
      </c>
    </row>
    <row r="1866" customFormat="false" ht="13.5" hidden="false" customHeight="false" outlineLevel="0" collapsed="false">
      <c r="A1866" s="1" t="s">
        <v>1197</v>
      </c>
      <c r="B1866" s="1" t="n">
        <v>3</v>
      </c>
      <c r="C1866" s="5" t="n">
        <v>46178</v>
      </c>
      <c r="D1866" s="6" t="s">
        <v>525</v>
      </c>
      <c r="E1866" s="6" t="s">
        <v>121</v>
      </c>
      <c r="F1866" s="6" t="s">
        <v>46</v>
      </c>
      <c r="G1866" s="6" t="s">
        <v>64</v>
      </c>
      <c r="H1866" s="6" t="s">
        <v>131</v>
      </c>
      <c r="I1866" s="1" t="n">
        <v>1</v>
      </c>
      <c r="J1866" s="7" t="n">
        <v>15180.93</v>
      </c>
      <c r="K1866" s="8" t="n">
        <v>0.1</v>
      </c>
      <c r="L1866" s="7" t="n">
        <v>8239.48</v>
      </c>
      <c r="M1866" s="6" t="s">
        <v>49</v>
      </c>
      <c r="N1866" s="6" t="s">
        <v>59</v>
      </c>
      <c r="O1866" s="6" t="n">
        <f aca="false">IF(TablaVentas[[#This Row],[Precio_unitario]]="","PENDIENTE",TablaVentas[[#This Row],[Unidades]]*TablaVentas[[#This Row],[Precio_unitario]]*(1-TablaVentas[[#This Row],[Descuento_pct]]))</f>
        <v>13662.837</v>
      </c>
      <c r="P1866" s="6" t="n">
        <f aca="false">IF(TablaVentas[[#This Row],[Costo_unitario]]="","PENDIENTE",TablaVentas[[#This Row],[Unidades]]*TablaVentas[[#This Row],[Costo_unitario]])</f>
        <v>8239.48</v>
      </c>
      <c r="Q1866" s="6" t="n">
        <f aca="false">IF(OR(TablaVentas[[#This Row],[Ingreso_neto]]="PENDIENTE",TablaVentas[[#This Row],[Costo_total]]="PENDIENTE"),"PENDIENTE",TablaVentas[[#This Row],[Ingreso_neto]]-TablaVentas[[#This Row],[Costo_total]])</f>
        <v>5423.357</v>
      </c>
    </row>
    <row r="1867" customFormat="false" ht="13.5" hidden="false" customHeight="false" outlineLevel="0" collapsed="false">
      <c r="A1867" s="1" t="s">
        <v>1197</v>
      </c>
      <c r="B1867" s="1" t="n">
        <v>4</v>
      </c>
      <c r="C1867" s="5" t="n">
        <v>46178</v>
      </c>
      <c r="D1867" s="6" t="s">
        <v>525</v>
      </c>
      <c r="E1867" s="6" t="s">
        <v>97</v>
      </c>
      <c r="F1867" s="6" t="s">
        <v>46</v>
      </c>
      <c r="G1867" s="6" t="s">
        <v>64</v>
      </c>
      <c r="H1867" s="6" t="s">
        <v>131</v>
      </c>
      <c r="I1867" s="1" t="n">
        <v>2</v>
      </c>
      <c r="J1867" s="7" t="n">
        <v>11020.77</v>
      </c>
      <c r="K1867" s="8" t="n">
        <v>0.1</v>
      </c>
      <c r="L1867" s="7" t="n">
        <v>8174.87</v>
      </c>
      <c r="M1867" s="6" t="s">
        <v>49</v>
      </c>
      <c r="N1867" s="6" t="s">
        <v>52</v>
      </c>
      <c r="O1867" s="6" t="n">
        <f aca="false">IF(TablaVentas[[#This Row],[Precio_unitario]]="","PENDIENTE",TablaVentas[[#This Row],[Unidades]]*TablaVentas[[#This Row],[Precio_unitario]]*(1-TablaVentas[[#This Row],[Descuento_pct]]))</f>
        <v>19837.386</v>
      </c>
      <c r="P1867" s="6" t="n">
        <f aca="false">IF(TablaVentas[[#This Row],[Costo_unitario]]="","PENDIENTE",TablaVentas[[#This Row],[Unidades]]*TablaVentas[[#This Row],[Costo_unitario]])</f>
        <v>16349.74</v>
      </c>
      <c r="Q1867" s="6" t="n">
        <f aca="false">IF(OR(TablaVentas[[#This Row],[Ingreso_neto]]="PENDIENTE",TablaVentas[[#This Row],[Costo_total]]="PENDIENTE"),"PENDIENTE",TablaVentas[[#This Row],[Ingreso_neto]]-TablaVentas[[#This Row],[Costo_total]])</f>
        <v>3487.646</v>
      </c>
    </row>
    <row r="1868" customFormat="false" ht="13.5" hidden="false" customHeight="false" outlineLevel="0" collapsed="false">
      <c r="A1868" s="1" t="s">
        <v>1198</v>
      </c>
      <c r="B1868" s="1" t="n">
        <v>1</v>
      </c>
      <c r="C1868" s="5" t="n">
        <v>46252</v>
      </c>
      <c r="D1868" s="6" t="s">
        <v>759</v>
      </c>
      <c r="E1868" s="6" t="s">
        <v>120</v>
      </c>
      <c r="F1868" s="6" t="s">
        <v>46</v>
      </c>
      <c r="G1868" s="6" t="s">
        <v>57</v>
      </c>
      <c r="H1868" s="6" t="s">
        <v>131</v>
      </c>
      <c r="I1868" s="1" t="n">
        <v>1</v>
      </c>
      <c r="J1868" s="7" t="n">
        <v>3294.5</v>
      </c>
      <c r="K1868" s="8" t="n">
        <v>0</v>
      </c>
      <c r="L1868" s="7" t="n">
        <v>2196.34</v>
      </c>
      <c r="M1868" s="6" t="s">
        <v>49</v>
      </c>
      <c r="N1868" s="6" t="s">
        <v>67</v>
      </c>
      <c r="O1868" s="6" t="n">
        <f aca="false">IF(TablaVentas[[#This Row],[Precio_unitario]]="","PENDIENTE",TablaVentas[[#This Row],[Unidades]]*TablaVentas[[#This Row],[Precio_unitario]]*(1-TablaVentas[[#This Row],[Descuento_pct]]))</f>
        <v>3294.5</v>
      </c>
      <c r="P1868" s="6" t="n">
        <f aca="false">IF(TablaVentas[[#This Row],[Costo_unitario]]="","PENDIENTE",TablaVentas[[#This Row],[Unidades]]*TablaVentas[[#This Row],[Costo_unitario]])</f>
        <v>2196.34</v>
      </c>
      <c r="Q1868" s="6" t="n">
        <f aca="false">IF(OR(TablaVentas[[#This Row],[Ingreso_neto]]="PENDIENTE",TablaVentas[[#This Row],[Costo_total]]="PENDIENTE"),"PENDIENTE",TablaVentas[[#This Row],[Ingreso_neto]]-TablaVentas[[#This Row],[Costo_total]])</f>
        <v>1098.16</v>
      </c>
    </row>
    <row r="1869" customFormat="false" ht="13.5" hidden="false" customHeight="false" outlineLevel="0" collapsed="false">
      <c r="A1869" s="1" t="s">
        <v>1198</v>
      </c>
      <c r="B1869" s="1" t="n">
        <v>2</v>
      </c>
      <c r="C1869" s="5" t="n">
        <v>46252</v>
      </c>
      <c r="D1869" s="6" t="s">
        <v>759</v>
      </c>
      <c r="E1869" s="6" t="s">
        <v>167</v>
      </c>
      <c r="F1869" s="6" t="s">
        <v>46</v>
      </c>
      <c r="G1869" s="6" t="s">
        <v>57</v>
      </c>
      <c r="H1869" s="6" t="s">
        <v>131</v>
      </c>
      <c r="I1869" s="1" t="n">
        <v>2</v>
      </c>
      <c r="J1869" s="7" t="n">
        <v>8122.67</v>
      </c>
      <c r="K1869" s="8" t="n">
        <v>0</v>
      </c>
      <c r="L1869" s="7" t="n">
        <v>4082.15</v>
      </c>
      <c r="M1869" s="6" t="s">
        <v>49</v>
      </c>
      <c r="N1869" s="6" t="s">
        <v>59</v>
      </c>
      <c r="O1869" s="6" t="n">
        <f aca="false">IF(TablaVentas[[#This Row],[Precio_unitario]]="","PENDIENTE",TablaVentas[[#This Row],[Unidades]]*TablaVentas[[#This Row],[Precio_unitario]]*(1-TablaVentas[[#This Row],[Descuento_pct]]))</f>
        <v>16245.34</v>
      </c>
      <c r="P1869" s="6" t="n">
        <f aca="false">IF(TablaVentas[[#This Row],[Costo_unitario]]="","PENDIENTE",TablaVentas[[#This Row],[Unidades]]*TablaVentas[[#This Row],[Costo_unitario]])</f>
        <v>8164.3</v>
      </c>
      <c r="Q1869" s="6" t="n">
        <f aca="false">IF(OR(TablaVentas[[#This Row],[Ingreso_neto]]="PENDIENTE",TablaVentas[[#This Row],[Costo_total]]="PENDIENTE"),"PENDIENTE",TablaVentas[[#This Row],[Ingreso_neto]]-TablaVentas[[#This Row],[Costo_total]])</f>
        <v>8081.04</v>
      </c>
    </row>
    <row r="1870" customFormat="false" ht="13.5" hidden="false" customHeight="false" outlineLevel="0" collapsed="false">
      <c r="A1870" s="1" t="s">
        <v>1199</v>
      </c>
      <c r="B1870" s="1" t="n">
        <v>1</v>
      </c>
      <c r="C1870" s="5" t="n">
        <v>46039</v>
      </c>
      <c r="D1870" s="6" t="s">
        <v>1071</v>
      </c>
      <c r="E1870" s="6" t="s">
        <v>120</v>
      </c>
      <c r="F1870" s="6" t="s">
        <v>84</v>
      </c>
      <c r="G1870" s="6" t="s">
        <v>64</v>
      </c>
      <c r="H1870" s="6" t="s">
        <v>131</v>
      </c>
      <c r="I1870" s="1" t="n">
        <v>8</v>
      </c>
      <c r="J1870" s="7" t="n">
        <v>2837.81</v>
      </c>
      <c r="K1870" s="8" t="n">
        <v>0.15</v>
      </c>
      <c r="L1870" s="7" t="n">
        <v>2196.34</v>
      </c>
      <c r="M1870" s="6" t="s">
        <v>69</v>
      </c>
      <c r="N1870" s="6" t="s">
        <v>59</v>
      </c>
      <c r="O1870" s="6" t="n">
        <f aca="false">IF(TablaVentas[[#This Row],[Precio_unitario]]="","PENDIENTE",TablaVentas[[#This Row],[Unidades]]*TablaVentas[[#This Row],[Precio_unitario]]*(1-TablaVentas[[#This Row],[Descuento_pct]]))</f>
        <v>19297.108</v>
      </c>
      <c r="P1870" s="6" t="n">
        <f aca="false">IF(TablaVentas[[#This Row],[Costo_unitario]]="","PENDIENTE",TablaVentas[[#This Row],[Unidades]]*TablaVentas[[#This Row],[Costo_unitario]])</f>
        <v>17570.72</v>
      </c>
      <c r="Q1870" s="6" t="n">
        <f aca="false">IF(OR(TablaVentas[[#This Row],[Ingreso_neto]]="PENDIENTE",TablaVentas[[#This Row],[Costo_total]]="PENDIENTE"),"PENDIENTE",TablaVentas[[#This Row],[Ingreso_neto]]-TablaVentas[[#This Row],[Costo_total]])</f>
        <v>1726.388</v>
      </c>
    </row>
    <row r="1871" customFormat="false" ht="13.5" hidden="false" customHeight="false" outlineLevel="0" collapsed="false">
      <c r="A1871" s="1" t="s">
        <v>1199</v>
      </c>
      <c r="B1871" s="1" t="n">
        <v>2</v>
      </c>
      <c r="C1871" s="5" t="n">
        <v>46039</v>
      </c>
      <c r="D1871" s="6" t="s">
        <v>1071</v>
      </c>
      <c r="E1871" s="6" t="s">
        <v>260</v>
      </c>
      <c r="F1871" s="6" t="s">
        <v>84</v>
      </c>
      <c r="G1871" s="6" t="s">
        <v>64</v>
      </c>
      <c r="H1871" s="6" t="s">
        <v>131</v>
      </c>
      <c r="I1871" s="1" t="n">
        <v>2</v>
      </c>
      <c r="J1871" s="7" t="n">
        <v>2797.55</v>
      </c>
      <c r="K1871" s="8" t="n">
        <v>0</v>
      </c>
      <c r="L1871" s="7" t="n">
        <v>2486.18</v>
      </c>
      <c r="M1871" s="6" t="s">
        <v>49</v>
      </c>
      <c r="N1871" s="6" t="s">
        <v>67</v>
      </c>
      <c r="O1871" s="6" t="n">
        <f aca="false">IF(TablaVentas[[#This Row],[Precio_unitario]]="","PENDIENTE",TablaVentas[[#This Row],[Unidades]]*TablaVentas[[#This Row],[Precio_unitario]]*(1-TablaVentas[[#This Row],[Descuento_pct]]))</f>
        <v>5595.1</v>
      </c>
      <c r="P1871" s="6" t="n">
        <f aca="false">IF(TablaVentas[[#This Row],[Costo_unitario]]="","PENDIENTE",TablaVentas[[#This Row],[Unidades]]*TablaVentas[[#This Row],[Costo_unitario]])</f>
        <v>4972.36</v>
      </c>
      <c r="Q1871" s="6" t="n">
        <f aca="false">IF(OR(TablaVentas[[#This Row],[Ingreso_neto]]="PENDIENTE",TablaVentas[[#This Row],[Costo_total]]="PENDIENTE"),"PENDIENTE",TablaVentas[[#This Row],[Ingreso_neto]]-TablaVentas[[#This Row],[Costo_total]])</f>
        <v>622.740000000001</v>
      </c>
    </row>
    <row r="1872" customFormat="false" ht="13.5" hidden="false" customHeight="false" outlineLevel="0" collapsed="false">
      <c r="A1872" s="1" t="s">
        <v>1200</v>
      </c>
      <c r="B1872" s="1" t="n">
        <v>1</v>
      </c>
      <c r="C1872" s="5" t="n">
        <v>46029</v>
      </c>
      <c r="D1872" s="6" t="s">
        <v>1071</v>
      </c>
      <c r="E1872" s="6" t="s">
        <v>269</v>
      </c>
      <c r="F1872" s="6" t="s">
        <v>46</v>
      </c>
      <c r="G1872" s="6" t="s">
        <v>57</v>
      </c>
      <c r="H1872" s="6" t="s">
        <v>48</v>
      </c>
      <c r="I1872" s="1" t="n">
        <v>8</v>
      </c>
      <c r="J1872" s="7" t="n">
        <v>12643.22</v>
      </c>
      <c r="K1872" s="8" t="n">
        <v>0</v>
      </c>
      <c r="L1872" s="7" t="n">
        <v>8227.46</v>
      </c>
      <c r="M1872" s="6" t="s">
        <v>49</v>
      </c>
      <c r="N1872" s="6" t="s">
        <v>67</v>
      </c>
      <c r="O1872" s="6" t="n">
        <f aca="false">IF(TablaVentas[[#This Row],[Precio_unitario]]="","PENDIENTE",TablaVentas[[#This Row],[Unidades]]*TablaVentas[[#This Row],[Precio_unitario]]*(1-TablaVentas[[#This Row],[Descuento_pct]]))</f>
        <v>101145.76</v>
      </c>
      <c r="P1872" s="6" t="n">
        <f aca="false">IF(TablaVentas[[#This Row],[Costo_unitario]]="","PENDIENTE",TablaVentas[[#This Row],[Unidades]]*TablaVentas[[#This Row],[Costo_unitario]])</f>
        <v>65819.68</v>
      </c>
      <c r="Q1872" s="6" t="n">
        <f aca="false">IF(OR(TablaVentas[[#This Row],[Ingreso_neto]]="PENDIENTE",TablaVentas[[#This Row],[Costo_total]]="PENDIENTE"),"PENDIENTE",TablaVentas[[#This Row],[Ingreso_neto]]-TablaVentas[[#This Row],[Costo_total]])</f>
        <v>35326.08</v>
      </c>
    </row>
    <row r="1873" customFormat="false" ht="13.5" hidden="false" customHeight="false" outlineLevel="0" collapsed="false">
      <c r="A1873" s="1" t="s">
        <v>1201</v>
      </c>
      <c r="B1873" s="1" t="n">
        <v>1</v>
      </c>
      <c r="C1873" s="5" t="n">
        <v>46247</v>
      </c>
      <c r="D1873" s="6" t="s">
        <v>316</v>
      </c>
      <c r="E1873" s="6" t="s">
        <v>410</v>
      </c>
      <c r="F1873" s="6" t="s">
        <v>84</v>
      </c>
      <c r="G1873" s="6" t="s">
        <v>64</v>
      </c>
      <c r="H1873" s="6" t="s">
        <v>191</v>
      </c>
      <c r="I1873" s="1" t="n">
        <v>4</v>
      </c>
      <c r="J1873" s="7" t="n">
        <v>3037.7</v>
      </c>
      <c r="K1873" s="8" t="n">
        <v>0</v>
      </c>
      <c r="L1873" s="7" t="n">
        <v>1801.83</v>
      </c>
      <c r="M1873" s="6" t="s">
        <v>123</v>
      </c>
      <c r="N1873" s="6" t="s">
        <v>59</v>
      </c>
      <c r="O1873" s="6" t="n">
        <f aca="false">IF(TablaVentas[[#This Row],[Precio_unitario]]="","PENDIENTE",TablaVentas[[#This Row],[Unidades]]*TablaVentas[[#This Row],[Precio_unitario]]*(1-TablaVentas[[#This Row],[Descuento_pct]]))</f>
        <v>12150.8</v>
      </c>
      <c r="P1873" s="6" t="n">
        <f aca="false">IF(TablaVentas[[#This Row],[Costo_unitario]]="","PENDIENTE",TablaVentas[[#This Row],[Unidades]]*TablaVentas[[#This Row],[Costo_unitario]])</f>
        <v>7207.32</v>
      </c>
      <c r="Q1873" s="6" t="n">
        <f aca="false">IF(OR(TablaVentas[[#This Row],[Ingreso_neto]]="PENDIENTE",TablaVentas[[#This Row],[Costo_total]]="PENDIENTE"),"PENDIENTE",TablaVentas[[#This Row],[Ingreso_neto]]-TablaVentas[[#This Row],[Costo_total]])</f>
        <v>4943.48</v>
      </c>
    </row>
    <row r="1874" customFormat="false" ht="13.5" hidden="false" customHeight="false" outlineLevel="0" collapsed="false">
      <c r="A1874" s="1" t="s">
        <v>1202</v>
      </c>
      <c r="B1874" s="1" t="n">
        <v>1</v>
      </c>
      <c r="C1874" s="5" t="n">
        <v>46289</v>
      </c>
      <c r="D1874" s="6" t="s">
        <v>198</v>
      </c>
      <c r="E1874" s="6" t="s">
        <v>140</v>
      </c>
      <c r="F1874" s="6" t="s">
        <v>63</v>
      </c>
      <c r="G1874" s="6" t="s">
        <v>64</v>
      </c>
      <c r="H1874" s="6" t="s">
        <v>74</v>
      </c>
      <c r="I1874" s="1" t="n">
        <v>3</v>
      </c>
      <c r="J1874" s="7" t="n">
        <v>8370.93</v>
      </c>
      <c r="K1874" s="8" t="n">
        <v>0</v>
      </c>
      <c r="L1874" s="7" t="n">
        <v>4061.34</v>
      </c>
      <c r="M1874" s="6" t="s">
        <v>49</v>
      </c>
      <c r="N1874" s="6" t="s">
        <v>59</v>
      </c>
      <c r="O1874" s="6" t="n">
        <f aca="false">IF(TablaVentas[[#This Row],[Precio_unitario]]="","PENDIENTE",TablaVentas[[#This Row],[Unidades]]*TablaVentas[[#This Row],[Precio_unitario]]*(1-TablaVentas[[#This Row],[Descuento_pct]]))</f>
        <v>25112.79</v>
      </c>
      <c r="P1874" s="6" t="n">
        <f aca="false">IF(TablaVentas[[#This Row],[Costo_unitario]]="","PENDIENTE",TablaVentas[[#This Row],[Unidades]]*TablaVentas[[#This Row],[Costo_unitario]])</f>
        <v>12184.02</v>
      </c>
      <c r="Q1874" s="6" t="n">
        <f aca="false">IF(OR(TablaVentas[[#This Row],[Ingreso_neto]]="PENDIENTE",TablaVentas[[#This Row],[Costo_total]]="PENDIENTE"),"PENDIENTE",TablaVentas[[#This Row],[Ingreso_neto]]-TablaVentas[[#This Row],[Costo_total]])</f>
        <v>12928.77</v>
      </c>
    </row>
    <row r="1875" customFormat="false" ht="13.5" hidden="false" customHeight="false" outlineLevel="0" collapsed="false">
      <c r="A1875" s="1" t="s">
        <v>1202</v>
      </c>
      <c r="B1875" s="1" t="n">
        <v>2</v>
      </c>
      <c r="C1875" s="5" t="n">
        <v>46289</v>
      </c>
      <c r="D1875" s="6" t="s">
        <v>198</v>
      </c>
      <c r="E1875" s="6" t="s">
        <v>255</v>
      </c>
      <c r="F1875" s="6" t="s">
        <v>63</v>
      </c>
      <c r="G1875" s="6" t="s">
        <v>64</v>
      </c>
      <c r="H1875" s="6" t="s">
        <v>74</v>
      </c>
      <c r="I1875" s="1" t="n">
        <v>1</v>
      </c>
      <c r="J1875" s="7" t="n">
        <v>12448.82</v>
      </c>
      <c r="K1875" s="8" t="n">
        <v>0.1</v>
      </c>
      <c r="L1875" s="7" t="n">
        <v>6856.4</v>
      </c>
      <c r="M1875" s="6" t="s">
        <v>49</v>
      </c>
      <c r="N1875" s="6" t="s">
        <v>50</v>
      </c>
      <c r="O1875" s="6" t="n">
        <f aca="false">IF(TablaVentas[[#This Row],[Precio_unitario]]="","PENDIENTE",TablaVentas[[#This Row],[Unidades]]*TablaVentas[[#This Row],[Precio_unitario]]*(1-TablaVentas[[#This Row],[Descuento_pct]]))</f>
        <v>11203.938</v>
      </c>
      <c r="P1875" s="6" t="n">
        <f aca="false">IF(TablaVentas[[#This Row],[Costo_unitario]]="","PENDIENTE",TablaVentas[[#This Row],[Unidades]]*TablaVentas[[#This Row],[Costo_unitario]])</f>
        <v>6856.4</v>
      </c>
      <c r="Q1875" s="6" t="n">
        <f aca="false">IF(OR(TablaVentas[[#This Row],[Ingreso_neto]]="PENDIENTE",TablaVentas[[#This Row],[Costo_total]]="PENDIENTE"),"PENDIENTE",TablaVentas[[#This Row],[Ingreso_neto]]-TablaVentas[[#This Row],[Costo_total]])</f>
        <v>4347.538</v>
      </c>
    </row>
    <row r="1876" customFormat="false" ht="13.5" hidden="false" customHeight="false" outlineLevel="0" collapsed="false">
      <c r="A1876" s="1" t="s">
        <v>1203</v>
      </c>
      <c r="B1876" s="1" t="n">
        <v>1</v>
      </c>
      <c r="C1876" s="5" t="n">
        <v>46237</v>
      </c>
      <c r="D1876" s="6" t="s">
        <v>467</v>
      </c>
      <c r="E1876" s="6" t="s">
        <v>279</v>
      </c>
      <c r="F1876" s="6" t="s">
        <v>84</v>
      </c>
      <c r="G1876" s="6" t="s">
        <v>64</v>
      </c>
      <c r="H1876" s="6" t="s">
        <v>80</v>
      </c>
      <c r="I1876" s="1" t="n">
        <v>1</v>
      </c>
      <c r="J1876" s="7" t="n">
        <v>663.85</v>
      </c>
      <c r="K1876" s="8" t="n">
        <v>0.05</v>
      </c>
      <c r="L1876" s="7" t="n">
        <v>443</v>
      </c>
      <c r="M1876" s="6" t="s">
        <v>49</v>
      </c>
      <c r="N1876" s="6" t="s">
        <v>67</v>
      </c>
      <c r="O1876" s="6" t="n">
        <f aca="false">IF(TablaVentas[[#This Row],[Precio_unitario]]="","PENDIENTE",TablaVentas[[#This Row],[Unidades]]*TablaVentas[[#This Row],[Precio_unitario]]*(1-TablaVentas[[#This Row],[Descuento_pct]]))</f>
        <v>630.6575</v>
      </c>
      <c r="P1876" s="6" t="n">
        <f aca="false">IF(TablaVentas[[#This Row],[Costo_unitario]]="","PENDIENTE",TablaVentas[[#This Row],[Unidades]]*TablaVentas[[#This Row],[Costo_unitario]])</f>
        <v>443</v>
      </c>
      <c r="Q1876" s="6" t="n">
        <f aca="false">IF(OR(TablaVentas[[#This Row],[Ingreso_neto]]="PENDIENTE",TablaVentas[[#This Row],[Costo_total]]="PENDIENTE"),"PENDIENTE",TablaVentas[[#This Row],[Ingreso_neto]]-TablaVentas[[#This Row],[Costo_total]])</f>
        <v>187.6575</v>
      </c>
    </row>
    <row r="1877" customFormat="false" ht="13.5" hidden="false" customHeight="false" outlineLevel="0" collapsed="false">
      <c r="A1877" s="1" t="s">
        <v>1204</v>
      </c>
      <c r="B1877" s="1" t="n">
        <v>1</v>
      </c>
      <c r="C1877" s="5" t="n">
        <v>46211</v>
      </c>
      <c r="D1877" s="6" t="s">
        <v>632</v>
      </c>
      <c r="E1877" s="6" t="s">
        <v>360</v>
      </c>
      <c r="F1877" s="6" t="s">
        <v>63</v>
      </c>
      <c r="G1877" s="6" t="s">
        <v>57</v>
      </c>
      <c r="H1877" s="6" t="s">
        <v>89</v>
      </c>
      <c r="I1877" s="1" t="n">
        <v>4</v>
      </c>
      <c r="J1877" s="7" t="n">
        <v>2029.57</v>
      </c>
      <c r="K1877" s="8" t="n">
        <v>0</v>
      </c>
      <c r="L1877" s="7" t="n">
        <v>1479.71</v>
      </c>
      <c r="M1877" s="6" t="s">
        <v>49</v>
      </c>
      <c r="N1877" s="6" t="s">
        <v>67</v>
      </c>
      <c r="O1877" s="6" t="n">
        <f aca="false">IF(TablaVentas[[#This Row],[Precio_unitario]]="","PENDIENTE",TablaVentas[[#This Row],[Unidades]]*TablaVentas[[#This Row],[Precio_unitario]]*(1-TablaVentas[[#This Row],[Descuento_pct]]))</f>
        <v>8118.28</v>
      </c>
      <c r="P1877" s="6" t="n">
        <f aca="false">IF(TablaVentas[[#This Row],[Costo_unitario]]="","PENDIENTE",TablaVentas[[#This Row],[Unidades]]*TablaVentas[[#This Row],[Costo_unitario]])</f>
        <v>5918.84</v>
      </c>
      <c r="Q1877" s="6" t="n">
        <f aca="false">IF(OR(TablaVentas[[#This Row],[Ingreso_neto]]="PENDIENTE",TablaVentas[[#This Row],[Costo_total]]="PENDIENTE"),"PENDIENTE",TablaVentas[[#This Row],[Ingreso_neto]]-TablaVentas[[#This Row],[Costo_total]])</f>
        <v>2199.44</v>
      </c>
    </row>
    <row r="1878" customFormat="false" ht="13.5" hidden="false" customHeight="false" outlineLevel="0" collapsed="false">
      <c r="A1878" s="1" t="s">
        <v>1205</v>
      </c>
      <c r="B1878" s="1" t="n">
        <v>1</v>
      </c>
      <c r="C1878" s="5" t="n">
        <v>46117</v>
      </c>
      <c r="D1878" s="6" t="s">
        <v>1206</v>
      </c>
      <c r="E1878" s="6" t="s">
        <v>360</v>
      </c>
      <c r="F1878" s="6" t="s">
        <v>84</v>
      </c>
      <c r="G1878" s="6" t="s">
        <v>57</v>
      </c>
      <c r="H1878" s="6" t="s">
        <v>191</v>
      </c>
      <c r="I1878" s="1" t="n">
        <v>5</v>
      </c>
      <c r="J1878" s="7" t="n">
        <v>1950.86</v>
      </c>
      <c r="K1878" s="8" t="n">
        <v>0</v>
      </c>
      <c r="L1878" s="7" t="n">
        <v>1479.71</v>
      </c>
      <c r="M1878" s="6" t="s">
        <v>49</v>
      </c>
      <c r="N1878" s="6" t="s">
        <v>52</v>
      </c>
      <c r="O1878" s="6" t="n">
        <f aca="false">IF(TablaVentas[[#This Row],[Precio_unitario]]="","PENDIENTE",TablaVentas[[#This Row],[Unidades]]*TablaVentas[[#This Row],[Precio_unitario]]*(1-TablaVentas[[#This Row],[Descuento_pct]]))</f>
        <v>9754.3</v>
      </c>
      <c r="P1878" s="6" t="n">
        <f aca="false">IF(TablaVentas[[#This Row],[Costo_unitario]]="","PENDIENTE",TablaVentas[[#This Row],[Unidades]]*TablaVentas[[#This Row],[Costo_unitario]])</f>
        <v>7398.55</v>
      </c>
      <c r="Q1878" s="6" t="n">
        <f aca="false">IF(OR(TablaVentas[[#This Row],[Ingreso_neto]]="PENDIENTE",TablaVentas[[#This Row],[Costo_total]]="PENDIENTE"),"PENDIENTE",TablaVentas[[#This Row],[Ingreso_neto]]-TablaVentas[[#This Row],[Costo_total]])</f>
        <v>2355.75</v>
      </c>
    </row>
    <row r="1879" customFormat="false" ht="13.5" hidden="false" customHeight="false" outlineLevel="0" collapsed="false">
      <c r="A1879" s="1" t="s">
        <v>1207</v>
      </c>
      <c r="B1879" s="1" t="n">
        <v>1</v>
      </c>
      <c r="C1879" s="5" t="n">
        <v>46111</v>
      </c>
      <c r="D1879" s="6" t="s">
        <v>44</v>
      </c>
      <c r="E1879" s="6" t="s">
        <v>263</v>
      </c>
      <c r="F1879" s="6" t="s">
        <v>73</v>
      </c>
      <c r="G1879" s="6" t="s">
        <v>64</v>
      </c>
      <c r="H1879" s="6" t="s">
        <v>58</v>
      </c>
      <c r="I1879" s="1" t="n">
        <v>4</v>
      </c>
      <c r="J1879" s="7" t="n">
        <v>17395.15</v>
      </c>
      <c r="K1879" s="8" t="n">
        <v>0.05</v>
      </c>
      <c r="L1879" s="7" t="n">
        <v>11666.57</v>
      </c>
      <c r="M1879" s="6" t="s">
        <v>123</v>
      </c>
      <c r="N1879" s="6" t="s">
        <v>52</v>
      </c>
      <c r="O1879" s="6" t="n">
        <f aca="false">IF(TablaVentas[[#This Row],[Precio_unitario]]="","PENDIENTE",TablaVentas[[#This Row],[Unidades]]*TablaVentas[[#This Row],[Precio_unitario]]*(1-TablaVentas[[#This Row],[Descuento_pct]]))</f>
        <v>66101.57</v>
      </c>
      <c r="P1879" s="6" t="n">
        <f aca="false">IF(TablaVentas[[#This Row],[Costo_unitario]]="","PENDIENTE",TablaVentas[[#This Row],[Unidades]]*TablaVentas[[#This Row],[Costo_unitario]])</f>
        <v>46666.28</v>
      </c>
      <c r="Q1879" s="6" t="n">
        <f aca="false">IF(OR(TablaVentas[[#This Row],[Ingreso_neto]]="PENDIENTE",TablaVentas[[#This Row],[Costo_total]]="PENDIENTE"),"PENDIENTE",TablaVentas[[#This Row],[Ingreso_neto]]-TablaVentas[[#This Row],[Costo_total]])</f>
        <v>19435.29</v>
      </c>
    </row>
    <row r="1880" customFormat="false" ht="13.5" hidden="false" customHeight="false" outlineLevel="0" collapsed="false">
      <c r="A1880" s="1" t="s">
        <v>1207</v>
      </c>
      <c r="B1880" s="1" t="n">
        <v>2</v>
      </c>
      <c r="C1880" s="5" t="n">
        <v>46111</v>
      </c>
      <c r="D1880" s="6" t="s">
        <v>44</v>
      </c>
      <c r="E1880" s="6" t="s">
        <v>76</v>
      </c>
      <c r="F1880" s="6" t="s">
        <v>73</v>
      </c>
      <c r="G1880" s="6" t="s">
        <v>64</v>
      </c>
      <c r="H1880" s="6" t="s">
        <v>58</v>
      </c>
      <c r="I1880" s="1" t="n">
        <v>1</v>
      </c>
      <c r="J1880" s="7" t="n">
        <v>13470.92</v>
      </c>
      <c r="K1880" s="8" t="n">
        <v>0</v>
      </c>
      <c r="L1880" s="7" t="n">
        <v>10094.26</v>
      </c>
      <c r="M1880" s="6" t="s">
        <v>49</v>
      </c>
      <c r="N1880" s="6" t="s">
        <v>67</v>
      </c>
      <c r="O1880" s="6" t="n">
        <f aca="false">IF(TablaVentas[[#This Row],[Precio_unitario]]="","PENDIENTE",TablaVentas[[#This Row],[Unidades]]*TablaVentas[[#This Row],[Precio_unitario]]*(1-TablaVentas[[#This Row],[Descuento_pct]]))</f>
        <v>13470.92</v>
      </c>
      <c r="P1880" s="6" t="n">
        <f aca="false">IF(TablaVentas[[#This Row],[Costo_unitario]]="","PENDIENTE",TablaVentas[[#This Row],[Unidades]]*TablaVentas[[#This Row],[Costo_unitario]])</f>
        <v>10094.26</v>
      </c>
      <c r="Q1880" s="6" t="n">
        <f aca="false">IF(OR(TablaVentas[[#This Row],[Ingreso_neto]]="PENDIENTE",TablaVentas[[#This Row],[Costo_total]]="PENDIENTE"),"PENDIENTE",TablaVentas[[#This Row],[Ingreso_neto]]-TablaVentas[[#This Row],[Costo_total]])</f>
        <v>3376.66</v>
      </c>
    </row>
    <row r="1881" customFormat="false" ht="13.5" hidden="false" customHeight="false" outlineLevel="0" collapsed="false">
      <c r="A1881" s="1" t="s">
        <v>1207</v>
      </c>
      <c r="B1881" s="1" t="n">
        <v>3</v>
      </c>
      <c r="C1881" s="5" t="n">
        <v>46111</v>
      </c>
      <c r="D1881" s="6" t="s">
        <v>44</v>
      </c>
      <c r="E1881" s="6" t="s">
        <v>116</v>
      </c>
      <c r="F1881" s="6" t="s">
        <v>73</v>
      </c>
      <c r="G1881" s="6" t="s">
        <v>64</v>
      </c>
      <c r="H1881" s="6" t="s">
        <v>58</v>
      </c>
      <c r="I1881" s="1" t="n">
        <v>1</v>
      </c>
      <c r="J1881" s="7" t="n">
        <v>14705.45</v>
      </c>
      <c r="K1881" s="8" t="n">
        <v>0.05</v>
      </c>
      <c r="L1881" s="7" t="n">
        <v>9880.77</v>
      </c>
      <c r="M1881" s="6" t="s">
        <v>49</v>
      </c>
      <c r="N1881" s="6" t="s">
        <v>59</v>
      </c>
      <c r="O1881" s="6" t="n">
        <f aca="false">IF(TablaVentas[[#This Row],[Precio_unitario]]="","PENDIENTE",TablaVentas[[#This Row],[Unidades]]*TablaVentas[[#This Row],[Precio_unitario]]*(1-TablaVentas[[#This Row],[Descuento_pct]]))</f>
        <v>13970.1775</v>
      </c>
      <c r="P1881" s="6" t="n">
        <f aca="false">IF(TablaVentas[[#This Row],[Costo_unitario]]="","PENDIENTE",TablaVentas[[#This Row],[Unidades]]*TablaVentas[[#This Row],[Costo_unitario]])</f>
        <v>9880.77</v>
      </c>
      <c r="Q1881" s="6" t="n">
        <f aca="false">IF(OR(TablaVentas[[#This Row],[Ingreso_neto]]="PENDIENTE",TablaVentas[[#This Row],[Costo_total]]="PENDIENTE"),"PENDIENTE",TablaVentas[[#This Row],[Ingreso_neto]]-TablaVentas[[#This Row],[Costo_total]])</f>
        <v>4089.4075</v>
      </c>
    </row>
    <row r="1882" customFormat="false" ht="13.5" hidden="false" customHeight="false" outlineLevel="0" collapsed="false">
      <c r="A1882" s="1" t="s">
        <v>1208</v>
      </c>
      <c r="B1882" s="1" t="n">
        <v>1</v>
      </c>
      <c r="C1882" s="5" t="n">
        <v>46081</v>
      </c>
      <c r="D1882" s="6" t="s">
        <v>346</v>
      </c>
      <c r="E1882" s="6" t="s">
        <v>240</v>
      </c>
      <c r="F1882" s="6" t="s">
        <v>84</v>
      </c>
      <c r="G1882" s="6" t="s">
        <v>57</v>
      </c>
      <c r="H1882" s="6" t="s">
        <v>109</v>
      </c>
      <c r="I1882" s="1" t="n">
        <v>1</v>
      </c>
      <c r="J1882" s="7" t="n">
        <v>10072.7</v>
      </c>
      <c r="K1882" s="8" t="n">
        <v>0.05</v>
      </c>
      <c r="L1882" s="7" t="n">
        <v>5932.12</v>
      </c>
      <c r="M1882" s="6" t="s">
        <v>49</v>
      </c>
      <c r="N1882" s="6" t="s">
        <v>50</v>
      </c>
      <c r="O1882" s="6" t="n">
        <f aca="false">IF(TablaVentas[[#This Row],[Precio_unitario]]="","PENDIENTE",TablaVentas[[#This Row],[Unidades]]*TablaVentas[[#This Row],[Precio_unitario]]*(1-TablaVentas[[#This Row],[Descuento_pct]]))</f>
        <v>9569.065</v>
      </c>
      <c r="P1882" s="6" t="n">
        <f aca="false">IF(TablaVentas[[#This Row],[Costo_unitario]]="","PENDIENTE",TablaVentas[[#This Row],[Unidades]]*TablaVentas[[#This Row],[Costo_unitario]])</f>
        <v>5932.12</v>
      </c>
      <c r="Q1882" s="6" t="n">
        <f aca="false">IF(OR(TablaVentas[[#This Row],[Ingreso_neto]]="PENDIENTE",TablaVentas[[#This Row],[Costo_total]]="PENDIENTE"),"PENDIENTE",TablaVentas[[#This Row],[Ingreso_neto]]-TablaVentas[[#This Row],[Costo_total]])</f>
        <v>3636.945</v>
      </c>
    </row>
    <row r="1883" customFormat="false" ht="13.5" hidden="false" customHeight="false" outlineLevel="0" collapsed="false">
      <c r="A1883" s="1" t="s">
        <v>1208</v>
      </c>
      <c r="B1883" s="1" t="n">
        <v>2</v>
      </c>
      <c r="C1883" s="5" t="n">
        <v>46081</v>
      </c>
      <c r="D1883" s="6" t="s">
        <v>346</v>
      </c>
      <c r="E1883" s="6" t="s">
        <v>75</v>
      </c>
      <c r="F1883" s="6" t="s">
        <v>84</v>
      </c>
      <c r="G1883" s="6" t="s">
        <v>57</v>
      </c>
      <c r="H1883" s="6" t="s">
        <v>109</v>
      </c>
      <c r="I1883" s="1" t="n">
        <v>2</v>
      </c>
      <c r="J1883" s="7" t="n">
        <v>15258.24</v>
      </c>
      <c r="K1883" s="8" t="n">
        <v>0.2</v>
      </c>
      <c r="L1883" s="7" t="n">
        <v>9243.35</v>
      </c>
      <c r="M1883" s="6" t="s">
        <v>49</v>
      </c>
      <c r="N1883" s="6" t="s">
        <v>59</v>
      </c>
      <c r="O1883" s="6" t="n">
        <f aca="false">IF(TablaVentas[[#This Row],[Precio_unitario]]="","PENDIENTE",TablaVentas[[#This Row],[Unidades]]*TablaVentas[[#This Row],[Precio_unitario]]*(1-TablaVentas[[#This Row],[Descuento_pct]]))</f>
        <v>24413.184</v>
      </c>
      <c r="P1883" s="6" t="n">
        <f aca="false">IF(TablaVentas[[#This Row],[Costo_unitario]]="","PENDIENTE",TablaVentas[[#This Row],[Unidades]]*TablaVentas[[#This Row],[Costo_unitario]])</f>
        <v>18486.7</v>
      </c>
      <c r="Q1883" s="6" t="n">
        <f aca="false">IF(OR(TablaVentas[[#This Row],[Ingreso_neto]]="PENDIENTE",TablaVentas[[#This Row],[Costo_total]]="PENDIENTE"),"PENDIENTE",TablaVentas[[#This Row],[Ingreso_neto]]-TablaVentas[[#This Row],[Costo_total]])</f>
        <v>5926.484</v>
      </c>
    </row>
    <row r="1884" customFormat="false" ht="13.5" hidden="false" customHeight="false" outlineLevel="0" collapsed="false">
      <c r="A1884" s="1" t="s">
        <v>1208</v>
      </c>
      <c r="B1884" s="1" t="n">
        <v>3</v>
      </c>
      <c r="C1884" s="5" t="n">
        <v>46081</v>
      </c>
      <c r="D1884" s="6" t="s">
        <v>346</v>
      </c>
      <c r="E1884" s="6" t="s">
        <v>135</v>
      </c>
      <c r="F1884" s="6" t="s">
        <v>84</v>
      </c>
      <c r="G1884" s="6" t="s">
        <v>57</v>
      </c>
      <c r="H1884" s="6" t="s">
        <v>109</v>
      </c>
      <c r="I1884" s="1" t="n">
        <v>1</v>
      </c>
      <c r="J1884" s="7" t="n">
        <v>1621.99</v>
      </c>
      <c r="K1884" s="8" t="n">
        <v>0</v>
      </c>
      <c r="L1884" s="7" t="n">
        <v>900.08</v>
      </c>
      <c r="M1884" s="6" t="s">
        <v>69</v>
      </c>
      <c r="N1884" s="6" t="s">
        <v>52</v>
      </c>
      <c r="O1884" s="6" t="n">
        <f aca="false">IF(TablaVentas[[#This Row],[Precio_unitario]]="","PENDIENTE",TablaVentas[[#This Row],[Unidades]]*TablaVentas[[#This Row],[Precio_unitario]]*(1-TablaVentas[[#This Row],[Descuento_pct]]))</f>
        <v>1621.99</v>
      </c>
      <c r="P1884" s="6" t="n">
        <f aca="false">IF(TablaVentas[[#This Row],[Costo_unitario]]="","PENDIENTE",TablaVentas[[#This Row],[Unidades]]*TablaVentas[[#This Row],[Costo_unitario]])</f>
        <v>900.08</v>
      </c>
      <c r="Q1884" s="6" t="n">
        <f aca="false">IF(OR(TablaVentas[[#This Row],[Ingreso_neto]]="PENDIENTE",TablaVentas[[#This Row],[Costo_total]]="PENDIENTE"),"PENDIENTE",TablaVentas[[#This Row],[Ingreso_neto]]-TablaVentas[[#This Row],[Costo_total]])</f>
        <v>721.91</v>
      </c>
    </row>
    <row r="1885" customFormat="false" ht="13.5" hidden="false" customHeight="false" outlineLevel="0" collapsed="false">
      <c r="A1885" s="1" t="s">
        <v>1209</v>
      </c>
      <c r="B1885" s="1" t="n">
        <v>1</v>
      </c>
      <c r="C1885" s="5" t="n">
        <v>46277</v>
      </c>
      <c r="D1885" s="6" t="s">
        <v>125</v>
      </c>
      <c r="E1885" s="6" t="s">
        <v>159</v>
      </c>
      <c r="F1885" s="6" t="s">
        <v>84</v>
      </c>
      <c r="G1885" s="6" t="s">
        <v>64</v>
      </c>
      <c r="H1885" s="6" t="s">
        <v>58</v>
      </c>
      <c r="I1885" s="1" t="n">
        <v>3</v>
      </c>
      <c r="J1885" s="7" t="n">
        <v>2610.72</v>
      </c>
      <c r="K1885" s="8" t="n">
        <v>0</v>
      </c>
      <c r="L1885" s="7" t="n">
        <v>1962.3</v>
      </c>
      <c r="M1885" s="6" t="s">
        <v>49</v>
      </c>
      <c r="N1885" s="6" t="s">
        <v>52</v>
      </c>
      <c r="O1885" s="6" t="n">
        <f aca="false">IF(TablaVentas[[#This Row],[Precio_unitario]]="","PENDIENTE",TablaVentas[[#This Row],[Unidades]]*TablaVentas[[#This Row],[Precio_unitario]]*(1-TablaVentas[[#This Row],[Descuento_pct]]))</f>
        <v>7832.16</v>
      </c>
      <c r="P1885" s="6" t="n">
        <f aca="false">IF(TablaVentas[[#This Row],[Costo_unitario]]="","PENDIENTE",TablaVentas[[#This Row],[Unidades]]*TablaVentas[[#This Row],[Costo_unitario]])</f>
        <v>5886.9</v>
      </c>
      <c r="Q1885" s="6" t="n">
        <f aca="false">IF(OR(TablaVentas[[#This Row],[Ingreso_neto]]="PENDIENTE",TablaVentas[[#This Row],[Costo_total]]="PENDIENTE"),"PENDIENTE",TablaVentas[[#This Row],[Ingreso_neto]]-TablaVentas[[#This Row],[Costo_total]])</f>
        <v>1945.26</v>
      </c>
    </row>
    <row r="1886" customFormat="false" ht="13.5" hidden="false" customHeight="false" outlineLevel="0" collapsed="false">
      <c r="A1886" s="1" t="s">
        <v>1209</v>
      </c>
      <c r="B1886" s="1" t="n">
        <v>2</v>
      </c>
      <c r="C1886" s="5" t="n">
        <v>46277</v>
      </c>
      <c r="D1886" s="6" t="s">
        <v>125</v>
      </c>
      <c r="E1886" s="6" t="s">
        <v>192</v>
      </c>
      <c r="F1886" s="6" t="s">
        <v>84</v>
      </c>
      <c r="G1886" s="6" t="s">
        <v>64</v>
      </c>
      <c r="H1886" s="6" t="s">
        <v>58</v>
      </c>
      <c r="I1886" s="1" t="n">
        <v>2</v>
      </c>
      <c r="J1886" s="7" t="n">
        <v>16327.78</v>
      </c>
      <c r="K1886" s="8" t="n">
        <v>0</v>
      </c>
      <c r="L1886" s="7" t="n">
        <v>11904.09</v>
      </c>
      <c r="M1886" s="6" t="s">
        <v>49</v>
      </c>
      <c r="N1886" s="6" t="s">
        <v>52</v>
      </c>
      <c r="O1886" s="6" t="n">
        <f aca="false">IF(TablaVentas[[#This Row],[Precio_unitario]]="","PENDIENTE",TablaVentas[[#This Row],[Unidades]]*TablaVentas[[#This Row],[Precio_unitario]]*(1-TablaVentas[[#This Row],[Descuento_pct]]))</f>
        <v>32655.56</v>
      </c>
      <c r="P1886" s="6" t="n">
        <f aca="false">IF(TablaVentas[[#This Row],[Costo_unitario]]="","PENDIENTE",TablaVentas[[#This Row],[Unidades]]*TablaVentas[[#This Row],[Costo_unitario]])</f>
        <v>23808.18</v>
      </c>
      <c r="Q1886" s="6" t="n">
        <f aca="false">IF(OR(TablaVentas[[#This Row],[Ingreso_neto]]="PENDIENTE",TablaVentas[[#This Row],[Costo_total]]="PENDIENTE"),"PENDIENTE",TablaVentas[[#This Row],[Ingreso_neto]]-TablaVentas[[#This Row],[Costo_total]])</f>
        <v>8847.38</v>
      </c>
    </row>
    <row r="1887" customFormat="false" ht="13.5" hidden="false" customHeight="false" outlineLevel="0" collapsed="false">
      <c r="A1887" s="1" t="s">
        <v>1210</v>
      </c>
      <c r="B1887" s="1" t="n">
        <v>1</v>
      </c>
      <c r="C1887" s="5" t="n">
        <v>46264</v>
      </c>
      <c r="D1887" s="6" t="s">
        <v>571</v>
      </c>
      <c r="E1887" s="6" t="s">
        <v>51</v>
      </c>
      <c r="F1887" s="6" t="s">
        <v>84</v>
      </c>
      <c r="G1887" s="6" t="s">
        <v>64</v>
      </c>
      <c r="H1887" s="6" t="s">
        <v>74</v>
      </c>
      <c r="I1887" s="1" t="n">
        <v>4</v>
      </c>
      <c r="J1887" s="7" t="n">
        <v>14561.49</v>
      </c>
      <c r="K1887" s="8" t="n">
        <v>0</v>
      </c>
      <c r="L1887" s="7" t="n">
        <v>8980.68</v>
      </c>
      <c r="M1887" s="6" t="s">
        <v>49</v>
      </c>
      <c r="N1887" s="6" t="s">
        <v>52</v>
      </c>
      <c r="O1887" s="6" t="n">
        <f aca="false">IF(TablaVentas[[#This Row],[Precio_unitario]]="","PENDIENTE",TablaVentas[[#This Row],[Unidades]]*TablaVentas[[#This Row],[Precio_unitario]]*(1-TablaVentas[[#This Row],[Descuento_pct]]))</f>
        <v>58245.96</v>
      </c>
      <c r="P1887" s="6" t="n">
        <f aca="false">IF(TablaVentas[[#This Row],[Costo_unitario]]="","PENDIENTE",TablaVentas[[#This Row],[Unidades]]*TablaVentas[[#This Row],[Costo_unitario]])</f>
        <v>35922.72</v>
      </c>
      <c r="Q1887" s="6" t="n">
        <f aca="false">IF(OR(TablaVentas[[#This Row],[Ingreso_neto]]="PENDIENTE",TablaVentas[[#This Row],[Costo_total]]="PENDIENTE"),"PENDIENTE",TablaVentas[[#This Row],[Ingreso_neto]]-TablaVentas[[#This Row],[Costo_total]])</f>
        <v>22323.24</v>
      </c>
    </row>
    <row r="1888" customFormat="false" ht="13.5" hidden="false" customHeight="false" outlineLevel="0" collapsed="false">
      <c r="A1888" s="1" t="s">
        <v>1210</v>
      </c>
      <c r="B1888" s="1" t="n">
        <v>2</v>
      </c>
      <c r="C1888" s="5" t="n">
        <v>46264</v>
      </c>
      <c r="D1888" s="6" t="s">
        <v>571</v>
      </c>
      <c r="E1888" s="6" t="s">
        <v>163</v>
      </c>
      <c r="F1888" s="6" t="s">
        <v>84</v>
      </c>
      <c r="G1888" s="6" t="s">
        <v>64</v>
      </c>
      <c r="H1888" s="6" t="s">
        <v>74</v>
      </c>
      <c r="I1888" s="1" t="n">
        <v>8</v>
      </c>
      <c r="J1888" s="7" t="n">
        <v>17481.02</v>
      </c>
      <c r="K1888" s="8" t="n">
        <v>0.2</v>
      </c>
      <c r="L1888" s="7" t="n">
        <v>13981.13</v>
      </c>
      <c r="M1888" s="6" t="s">
        <v>49</v>
      </c>
      <c r="N1888" s="6" t="s">
        <v>50</v>
      </c>
      <c r="O1888" s="6" t="n">
        <f aca="false">IF(TablaVentas[[#This Row],[Precio_unitario]]="","PENDIENTE",TablaVentas[[#This Row],[Unidades]]*TablaVentas[[#This Row],[Precio_unitario]]*(1-TablaVentas[[#This Row],[Descuento_pct]]))</f>
        <v>111878.528</v>
      </c>
      <c r="P1888" s="6" t="n">
        <f aca="false">IF(TablaVentas[[#This Row],[Costo_unitario]]="","PENDIENTE",TablaVentas[[#This Row],[Unidades]]*TablaVentas[[#This Row],[Costo_unitario]])</f>
        <v>111849.04</v>
      </c>
      <c r="Q1888" s="6" t="n">
        <f aca="false">IF(OR(TablaVentas[[#This Row],[Ingreso_neto]]="PENDIENTE",TablaVentas[[#This Row],[Costo_total]]="PENDIENTE"),"PENDIENTE",TablaVentas[[#This Row],[Ingreso_neto]]-TablaVentas[[#This Row],[Costo_total]])</f>
        <v>29.4880000000121</v>
      </c>
    </row>
    <row r="1889" customFormat="false" ht="13.5" hidden="false" customHeight="false" outlineLevel="0" collapsed="false">
      <c r="A1889" s="1" t="s">
        <v>1211</v>
      </c>
      <c r="B1889" s="1" t="n">
        <v>1</v>
      </c>
      <c r="C1889" s="5" t="n">
        <v>46199</v>
      </c>
      <c r="D1889" s="6" t="s">
        <v>646</v>
      </c>
      <c r="E1889" s="6" t="s">
        <v>56</v>
      </c>
      <c r="F1889" s="6" t="s">
        <v>46</v>
      </c>
      <c r="G1889" s="6" t="s">
        <v>64</v>
      </c>
      <c r="H1889" s="6" t="s">
        <v>58</v>
      </c>
      <c r="I1889" s="1" t="n">
        <v>1</v>
      </c>
      <c r="J1889" s="7" t="n">
        <v>3920.36</v>
      </c>
      <c r="K1889" s="8" t="n">
        <v>0</v>
      </c>
      <c r="L1889" s="7" t="n">
        <v>2950.52</v>
      </c>
      <c r="M1889" s="6" t="s">
        <v>69</v>
      </c>
      <c r="N1889" s="6" t="s">
        <v>50</v>
      </c>
      <c r="O1889" s="6" t="n">
        <f aca="false">IF(TablaVentas[[#This Row],[Precio_unitario]]="","PENDIENTE",TablaVentas[[#This Row],[Unidades]]*TablaVentas[[#This Row],[Precio_unitario]]*(1-TablaVentas[[#This Row],[Descuento_pct]]))</f>
        <v>3920.36</v>
      </c>
      <c r="P1889" s="6" t="n">
        <f aca="false">IF(TablaVentas[[#This Row],[Costo_unitario]]="","PENDIENTE",TablaVentas[[#This Row],[Unidades]]*TablaVentas[[#This Row],[Costo_unitario]])</f>
        <v>2950.52</v>
      </c>
      <c r="Q1889" s="6" t="n">
        <f aca="false">IF(OR(TablaVentas[[#This Row],[Ingreso_neto]]="PENDIENTE",TablaVentas[[#This Row],[Costo_total]]="PENDIENTE"),"PENDIENTE",TablaVentas[[#This Row],[Ingreso_neto]]-TablaVentas[[#This Row],[Costo_total]])</f>
        <v>969.84</v>
      </c>
    </row>
    <row r="1890" customFormat="false" ht="13.5" hidden="false" customHeight="false" outlineLevel="0" collapsed="false">
      <c r="A1890" s="1" t="s">
        <v>1212</v>
      </c>
      <c r="B1890" s="1" t="n">
        <v>1</v>
      </c>
      <c r="C1890" s="5" t="n">
        <v>46152</v>
      </c>
      <c r="D1890" s="6" t="s">
        <v>622</v>
      </c>
      <c r="E1890" s="6" t="s">
        <v>135</v>
      </c>
      <c r="F1890" s="6" t="s">
        <v>46</v>
      </c>
      <c r="G1890" s="6" t="s">
        <v>47</v>
      </c>
      <c r="H1890" s="6" t="s">
        <v>80</v>
      </c>
      <c r="I1890" s="1" t="n">
        <v>1</v>
      </c>
      <c r="J1890" s="7" t="n">
        <v>1640.12</v>
      </c>
      <c r="K1890" s="8" t="n">
        <v>0</v>
      </c>
      <c r="L1890" s="7" t="n">
        <v>900.08</v>
      </c>
      <c r="M1890" s="6" t="s">
        <v>49</v>
      </c>
      <c r="N1890" s="6" t="s">
        <v>50</v>
      </c>
      <c r="O1890" s="6" t="n">
        <f aca="false">IF(TablaVentas[[#This Row],[Precio_unitario]]="","PENDIENTE",TablaVentas[[#This Row],[Unidades]]*TablaVentas[[#This Row],[Precio_unitario]]*(1-TablaVentas[[#This Row],[Descuento_pct]]))</f>
        <v>1640.12</v>
      </c>
      <c r="P1890" s="6" t="n">
        <f aca="false">IF(TablaVentas[[#This Row],[Costo_unitario]]="","PENDIENTE",TablaVentas[[#This Row],[Unidades]]*TablaVentas[[#This Row],[Costo_unitario]])</f>
        <v>900.08</v>
      </c>
      <c r="Q1890" s="6" t="n">
        <f aca="false">IF(OR(TablaVentas[[#This Row],[Ingreso_neto]]="PENDIENTE",TablaVentas[[#This Row],[Costo_total]]="PENDIENTE"),"PENDIENTE",TablaVentas[[#This Row],[Ingreso_neto]]-TablaVentas[[#This Row],[Costo_total]])</f>
        <v>740.04</v>
      </c>
    </row>
    <row r="1891" customFormat="false" ht="13.5" hidden="false" customHeight="false" outlineLevel="0" collapsed="false">
      <c r="A1891" s="1" t="s">
        <v>1212</v>
      </c>
      <c r="B1891" s="1" t="n">
        <v>2</v>
      </c>
      <c r="C1891" s="5" t="n">
        <v>46152</v>
      </c>
      <c r="D1891" s="6" t="s">
        <v>622</v>
      </c>
      <c r="E1891" s="6" t="s">
        <v>279</v>
      </c>
      <c r="F1891" s="6" t="s">
        <v>46</v>
      </c>
      <c r="G1891" s="6" t="s">
        <v>47</v>
      </c>
      <c r="H1891" s="6" t="s">
        <v>80</v>
      </c>
      <c r="I1891" s="1" t="n">
        <v>1</v>
      </c>
      <c r="J1891" s="7" t="n">
        <v>687.32</v>
      </c>
      <c r="K1891" s="8" t="n">
        <v>0</v>
      </c>
      <c r="L1891" s="7" t="n">
        <v>443</v>
      </c>
      <c r="M1891" s="6" t="s">
        <v>49</v>
      </c>
      <c r="N1891" s="6" t="s">
        <v>59</v>
      </c>
      <c r="O1891" s="6" t="n">
        <f aca="false">IF(TablaVentas[[#This Row],[Precio_unitario]]="","PENDIENTE",TablaVentas[[#This Row],[Unidades]]*TablaVentas[[#This Row],[Precio_unitario]]*(1-TablaVentas[[#This Row],[Descuento_pct]]))</f>
        <v>687.32</v>
      </c>
      <c r="P1891" s="6" t="n">
        <f aca="false">IF(TablaVentas[[#This Row],[Costo_unitario]]="","PENDIENTE",TablaVentas[[#This Row],[Unidades]]*TablaVentas[[#This Row],[Costo_unitario]])</f>
        <v>443</v>
      </c>
      <c r="Q1891" s="6" t="n">
        <f aca="false">IF(OR(TablaVentas[[#This Row],[Ingreso_neto]]="PENDIENTE",TablaVentas[[#This Row],[Costo_total]]="PENDIENTE"),"PENDIENTE",TablaVentas[[#This Row],[Ingreso_neto]]-TablaVentas[[#This Row],[Costo_total]])</f>
        <v>244.32</v>
      </c>
    </row>
    <row r="1892" customFormat="false" ht="13.5" hidden="false" customHeight="false" outlineLevel="0" collapsed="false">
      <c r="A1892" s="1" t="s">
        <v>1212</v>
      </c>
      <c r="B1892" s="1" t="n">
        <v>3</v>
      </c>
      <c r="C1892" s="5" t="n">
        <v>46152</v>
      </c>
      <c r="D1892" s="6" t="s">
        <v>622</v>
      </c>
      <c r="E1892" s="6" t="s">
        <v>230</v>
      </c>
      <c r="F1892" s="6" t="s">
        <v>46</v>
      </c>
      <c r="G1892" s="6" t="s">
        <v>47</v>
      </c>
      <c r="H1892" s="6" t="s">
        <v>80</v>
      </c>
      <c r="I1892" s="1" t="n">
        <v>1</v>
      </c>
      <c r="J1892" s="7" t="n">
        <v>6294.87</v>
      </c>
      <c r="K1892" s="8" t="n">
        <v>0</v>
      </c>
      <c r="L1892" s="7" t="n">
        <v>3298.19</v>
      </c>
      <c r="M1892" s="6" t="s">
        <v>49</v>
      </c>
      <c r="N1892" s="6" t="s">
        <v>52</v>
      </c>
      <c r="O1892" s="6" t="n">
        <f aca="false">IF(TablaVentas[[#This Row],[Precio_unitario]]="","PENDIENTE",TablaVentas[[#This Row],[Unidades]]*TablaVentas[[#This Row],[Precio_unitario]]*(1-TablaVentas[[#This Row],[Descuento_pct]]))</f>
        <v>6294.87</v>
      </c>
      <c r="P1892" s="6" t="n">
        <f aca="false">IF(TablaVentas[[#This Row],[Costo_unitario]]="","PENDIENTE",TablaVentas[[#This Row],[Unidades]]*TablaVentas[[#This Row],[Costo_unitario]])</f>
        <v>3298.19</v>
      </c>
      <c r="Q1892" s="6" t="n">
        <f aca="false">IF(OR(TablaVentas[[#This Row],[Ingreso_neto]]="PENDIENTE",TablaVentas[[#This Row],[Costo_total]]="PENDIENTE"),"PENDIENTE",TablaVentas[[#This Row],[Ingreso_neto]]-TablaVentas[[#This Row],[Costo_total]])</f>
        <v>2996.68</v>
      </c>
    </row>
    <row r="1893" customFormat="false" ht="13.5" hidden="false" customHeight="false" outlineLevel="0" collapsed="false">
      <c r="A1893" s="1" t="s">
        <v>1212</v>
      </c>
      <c r="B1893" s="1" t="n">
        <v>4</v>
      </c>
      <c r="C1893" s="5" t="n">
        <v>46152</v>
      </c>
      <c r="D1893" s="6" t="s">
        <v>622</v>
      </c>
      <c r="E1893" s="6" t="s">
        <v>110</v>
      </c>
      <c r="F1893" s="6" t="s">
        <v>46</v>
      </c>
      <c r="G1893" s="6" t="s">
        <v>47</v>
      </c>
      <c r="H1893" s="6" t="s">
        <v>80</v>
      </c>
      <c r="I1893" s="1" t="n">
        <v>1</v>
      </c>
      <c r="J1893" s="7" t="n">
        <v>13617.08</v>
      </c>
      <c r="K1893" s="8" t="n">
        <v>0.2</v>
      </c>
      <c r="L1893" s="7" t="n">
        <v>7549.71</v>
      </c>
      <c r="M1893" s="6" t="s">
        <v>49</v>
      </c>
      <c r="N1893" s="6" t="s">
        <v>52</v>
      </c>
      <c r="O1893" s="6" t="n">
        <f aca="false">IF(TablaVentas[[#This Row],[Precio_unitario]]="","PENDIENTE",TablaVentas[[#This Row],[Unidades]]*TablaVentas[[#This Row],[Precio_unitario]]*(1-TablaVentas[[#This Row],[Descuento_pct]]))</f>
        <v>10893.664</v>
      </c>
      <c r="P1893" s="6" t="n">
        <f aca="false">IF(TablaVentas[[#This Row],[Costo_unitario]]="","PENDIENTE",TablaVentas[[#This Row],[Unidades]]*TablaVentas[[#This Row],[Costo_unitario]])</f>
        <v>7549.71</v>
      </c>
      <c r="Q1893" s="6" t="n">
        <f aca="false">IF(OR(TablaVentas[[#This Row],[Ingreso_neto]]="PENDIENTE",TablaVentas[[#This Row],[Costo_total]]="PENDIENTE"),"PENDIENTE",TablaVentas[[#This Row],[Ingreso_neto]]-TablaVentas[[#This Row],[Costo_total]])</f>
        <v>3343.954</v>
      </c>
    </row>
    <row r="1894" customFormat="false" ht="13.5" hidden="false" customHeight="false" outlineLevel="0" collapsed="false">
      <c r="A1894" s="1" t="s">
        <v>1213</v>
      </c>
      <c r="B1894" s="1" t="n">
        <v>1</v>
      </c>
      <c r="C1894" s="5" t="n">
        <v>46052</v>
      </c>
      <c r="D1894" s="6" t="s">
        <v>887</v>
      </c>
      <c r="E1894" s="6" t="s">
        <v>158</v>
      </c>
      <c r="F1894" s="6" t="s">
        <v>73</v>
      </c>
      <c r="G1894" s="6" t="s">
        <v>47</v>
      </c>
      <c r="H1894" s="6" t="s">
        <v>58</v>
      </c>
      <c r="I1894" s="1" t="n">
        <v>2</v>
      </c>
      <c r="J1894" s="7" t="n">
        <v>16053.37</v>
      </c>
      <c r="K1894" s="8" t="n">
        <v>0.2</v>
      </c>
      <c r="L1894" s="7" t="n">
        <v>8963.23</v>
      </c>
      <c r="M1894" s="6" t="s">
        <v>49</v>
      </c>
      <c r="N1894" s="6" t="s">
        <v>59</v>
      </c>
      <c r="O1894" s="6" t="n">
        <f aca="false">IF(TablaVentas[[#This Row],[Precio_unitario]]="","PENDIENTE",TablaVentas[[#This Row],[Unidades]]*TablaVentas[[#This Row],[Precio_unitario]]*(1-TablaVentas[[#This Row],[Descuento_pct]]))</f>
        <v>25685.392</v>
      </c>
      <c r="P1894" s="6" t="n">
        <f aca="false">IF(TablaVentas[[#This Row],[Costo_unitario]]="","PENDIENTE",TablaVentas[[#This Row],[Unidades]]*TablaVentas[[#This Row],[Costo_unitario]])</f>
        <v>17926.46</v>
      </c>
      <c r="Q1894" s="6" t="n">
        <f aca="false">IF(OR(TablaVentas[[#This Row],[Ingreso_neto]]="PENDIENTE",TablaVentas[[#This Row],[Costo_total]]="PENDIENTE"),"PENDIENTE",TablaVentas[[#This Row],[Ingreso_neto]]-TablaVentas[[#This Row],[Costo_total]])</f>
        <v>7758.932</v>
      </c>
    </row>
    <row r="1895" customFormat="false" ht="13.5" hidden="false" customHeight="false" outlineLevel="0" collapsed="false">
      <c r="A1895" s="1" t="s">
        <v>1213</v>
      </c>
      <c r="B1895" s="1" t="n">
        <v>2</v>
      </c>
      <c r="C1895" s="5" t="n">
        <v>46052</v>
      </c>
      <c r="D1895" s="6" t="s">
        <v>887</v>
      </c>
      <c r="E1895" s="6" t="s">
        <v>342</v>
      </c>
      <c r="F1895" s="6" t="s">
        <v>73</v>
      </c>
      <c r="G1895" s="6" t="s">
        <v>47</v>
      </c>
      <c r="H1895" s="6" t="s">
        <v>58</v>
      </c>
      <c r="I1895" s="1" t="n">
        <v>4</v>
      </c>
      <c r="J1895" s="7" t="n">
        <v>7577.46</v>
      </c>
      <c r="K1895" s="8" t="n">
        <v>0.05</v>
      </c>
      <c r="L1895" s="7" t="n">
        <v>5587.31</v>
      </c>
      <c r="M1895" s="6" t="s">
        <v>49</v>
      </c>
      <c r="N1895" s="6" t="s">
        <v>50</v>
      </c>
      <c r="O1895" s="6" t="n">
        <f aca="false">IF(TablaVentas[[#This Row],[Precio_unitario]]="","PENDIENTE",TablaVentas[[#This Row],[Unidades]]*TablaVentas[[#This Row],[Precio_unitario]]*(1-TablaVentas[[#This Row],[Descuento_pct]]))</f>
        <v>28794.348</v>
      </c>
      <c r="P1895" s="6" t="n">
        <f aca="false">IF(TablaVentas[[#This Row],[Costo_unitario]]="","PENDIENTE",TablaVentas[[#This Row],[Unidades]]*TablaVentas[[#This Row],[Costo_unitario]])</f>
        <v>22349.24</v>
      </c>
      <c r="Q1895" s="6" t="n">
        <f aca="false">IF(OR(TablaVentas[[#This Row],[Ingreso_neto]]="PENDIENTE",TablaVentas[[#This Row],[Costo_total]]="PENDIENTE"),"PENDIENTE",TablaVentas[[#This Row],[Ingreso_neto]]-TablaVentas[[#This Row],[Costo_total]])</f>
        <v>6445.108</v>
      </c>
    </row>
    <row r="1896" customFormat="false" ht="13.5" hidden="false" customHeight="false" outlineLevel="0" collapsed="false">
      <c r="A1896" s="1" t="s">
        <v>1213</v>
      </c>
      <c r="B1896" s="1" t="n">
        <v>3</v>
      </c>
      <c r="C1896" s="5" t="n">
        <v>46052</v>
      </c>
      <c r="D1896" s="6" t="s">
        <v>887</v>
      </c>
      <c r="E1896" s="6" t="s">
        <v>142</v>
      </c>
      <c r="F1896" s="6" t="s">
        <v>73</v>
      </c>
      <c r="G1896" s="6" t="s">
        <v>47</v>
      </c>
      <c r="H1896" s="6" t="s">
        <v>58</v>
      </c>
      <c r="I1896" s="1" t="n">
        <v>8</v>
      </c>
      <c r="J1896" s="7" t="n">
        <v>2013.29</v>
      </c>
      <c r="K1896" s="8" t="n">
        <v>0.15</v>
      </c>
      <c r="L1896" s="7" t="n">
        <v>1529.93</v>
      </c>
      <c r="M1896" s="6" t="s">
        <v>49</v>
      </c>
      <c r="N1896" s="6" t="s">
        <v>67</v>
      </c>
      <c r="O1896" s="6" t="n">
        <f aca="false">IF(TablaVentas[[#This Row],[Precio_unitario]]="","PENDIENTE",TablaVentas[[#This Row],[Unidades]]*TablaVentas[[#This Row],[Precio_unitario]]*(1-TablaVentas[[#This Row],[Descuento_pct]]))</f>
        <v>13690.372</v>
      </c>
      <c r="P1896" s="6" t="n">
        <f aca="false">IF(TablaVentas[[#This Row],[Costo_unitario]]="","PENDIENTE",TablaVentas[[#This Row],[Unidades]]*TablaVentas[[#This Row],[Costo_unitario]])</f>
        <v>12239.44</v>
      </c>
      <c r="Q1896" s="6" t="n">
        <f aca="false">IF(OR(TablaVentas[[#This Row],[Ingreso_neto]]="PENDIENTE",TablaVentas[[#This Row],[Costo_total]]="PENDIENTE"),"PENDIENTE",TablaVentas[[#This Row],[Ingreso_neto]]-TablaVentas[[#This Row],[Costo_total]])</f>
        <v>1450.932</v>
      </c>
    </row>
    <row r="1897" customFormat="false" ht="13.5" hidden="false" customHeight="false" outlineLevel="0" collapsed="false">
      <c r="A1897" s="1" t="s">
        <v>1213</v>
      </c>
      <c r="B1897" s="1" t="n">
        <v>4</v>
      </c>
      <c r="C1897" s="5" t="n">
        <v>46052</v>
      </c>
      <c r="D1897" s="6" t="s">
        <v>887</v>
      </c>
      <c r="E1897" s="6" t="s">
        <v>179</v>
      </c>
      <c r="F1897" s="6" t="s">
        <v>73</v>
      </c>
      <c r="G1897" s="6" t="s">
        <v>47</v>
      </c>
      <c r="H1897" s="6" t="s">
        <v>58</v>
      </c>
      <c r="I1897" s="1" t="n">
        <v>1</v>
      </c>
      <c r="J1897" s="7" t="n">
        <v>15947.17</v>
      </c>
      <c r="K1897" s="8" t="n">
        <v>0</v>
      </c>
      <c r="L1897" s="7" t="n">
        <v>10830.17</v>
      </c>
      <c r="M1897" s="6" t="s">
        <v>49</v>
      </c>
      <c r="N1897" s="6" t="s">
        <v>50</v>
      </c>
      <c r="O1897" s="6" t="n">
        <f aca="false">IF(TablaVentas[[#This Row],[Precio_unitario]]="","PENDIENTE",TablaVentas[[#This Row],[Unidades]]*TablaVentas[[#This Row],[Precio_unitario]]*(1-TablaVentas[[#This Row],[Descuento_pct]]))</f>
        <v>15947.17</v>
      </c>
      <c r="P1897" s="6" t="n">
        <f aca="false">IF(TablaVentas[[#This Row],[Costo_unitario]]="","PENDIENTE",TablaVentas[[#This Row],[Unidades]]*TablaVentas[[#This Row],[Costo_unitario]])</f>
        <v>10830.17</v>
      </c>
      <c r="Q1897" s="6" t="n">
        <f aca="false">IF(OR(TablaVentas[[#This Row],[Ingreso_neto]]="PENDIENTE",TablaVentas[[#This Row],[Costo_total]]="PENDIENTE"),"PENDIENTE",TablaVentas[[#This Row],[Ingreso_neto]]-TablaVentas[[#This Row],[Costo_total]])</f>
        <v>5117</v>
      </c>
    </row>
    <row r="1898" customFormat="false" ht="13.5" hidden="false" customHeight="false" outlineLevel="0" collapsed="false">
      <c r="A1898" s="1" t="s">
        <v>1213</v>
      </c>
      <c r="B1898" s="1" t="n">
        <v>5</v>
      </c>
      <c r="C1898" s="5" t="n">
        <v>46052</v>
      </c>
      <c r="D1898" s="6" t="s">
        <v>887</v>
      </c>
      <c r="E1898" s="6" t="s">
        <v>190</v>
      </c>
      <c r="F1898" s="6" t="s">
        <v>73</v>
      </c>
      <c r="G1898" s="6" t="s">
        <v>47</v>
      </c>
      <c r="H1898" s="6" t="s">
        <v>58</v>
      </c>
      <c r="I1898" s="1" t="n">
        <v>1</v>
      </c>
      <c r="J1898" s="7" t="n">
        <v>5499.48</v>
      </c>
      <c r="K1898" s="8" t="n">
        <v>0.05</v>
      </c>
      <c r="L1898" s="7" t="n">
        <v>4325.73</v>
      </c>
      <c r="M1898" s="6" t="s">
        <v>49</v>
      </c>
      <c r="N1898" s="6" t="s">
        <v>52</v>
      </c>
      <c r="O1898" s="6" t="n">
        <f aca="false">IF(TablaVentas[[#This Row],[Precio_unitario]]="","PENDIENTE",TablaVentas[[#This Row],[Unidades]]*TablaVentas[[#This Row],[Precio_unitario]]*(1-TablaVentas[[#This Row],[Descuento_pct]]))</f>
        <v>5224.506</v>
      </c>
      <c r="P1898" s="6" t="n">
        <f aca="false">IF(TablaVentas[[#This Row],[Costo_unitario]]="","PENDIENTE",TablaVentas[[#This Row],[Unidades]]*TablaVentas[[#This Row],[Costo_unitario]])</f>
        <v>4325.73</v>
      </c>
      <c r="Q1898" s="6" t="n">
        <f aca="false">IF(OR(TablaVentas[[#This Row],[Ingreso_neto]]="PENDIENTE",TablaVentas[[#This Row],[Costo_total]]="PENDIENTE"),"PENDIENTE",TablaVentas[[#This Row],[Ingreso_neto]]-TablaVentas[[#This Row],[Costo_total]])</f>
        <v>898.776</v>
      </c>
    </row>
    <row r="1899" customFormat="false" ht="13.5" hidden="false" customHeight="false" outlineLevel="0" collapsed="false">
      <c r="A1899" s="1" t="s">
        <v>1214</v>
      </c>
      <c r="B1899" s="1" t="n">
        <v>1</v>
      </c>
      <c r="C1899" s="5" t="n">
        <v>46230</v>
      </c>
      <c r="D1899" s="6" t="s">
        <v>61</v>
      </c>
      <c r="E1899" s="6" t="s">
        <v>404</v>
      </c>
      <c r="F1899" s="6" t="s">
        <v>46</v>
      </c>
      <c r="G1899" s="6" t="s">
        <v>47</v>
      </c>
      <c r="H1899" s="6" t="s">
        <v>109</v>
      </c>
      <c r="I1899" s="1" t="n">
        <v>1</v>
      </c>
      <c r="J1899" s="7" t="n">
        <v>6490.54</v>
      </c>
      <c r="K1899" s="8" t="n">
        <v>0.2</v>
      </c>
      <c r="L1899" s="7" t="n">
        <v>3640.56</v>
      </c>
      <c r="M1899" s="6" t="s">
        <v>49</v>
      </c>
      <c r="N1899" s="6" t="s">
        <v>59</v>
      </c>
      <c r="O1899" s="6" t="n">
        <f aca="false">IF(TablaVentas[[#This Row],[Precio_unitario]]="","PENDIENTE",TablaVentas[[#This Row],[Unidades]]*TablaVentas[[#This Row],[Precio_unitario]]*(1-TablaVentas[[#This Row],[Descuento_pct]]))</f>
        <v>5192.432</v>
      </c>
      <c r="P1899" s="6" t="n">
        <f aca="false">IF(TablaVentas[[#This Row],[Costo_unitario]]="","PENDIENTE",TablaVentas[[#This Row],[Unidades]]*TablaVentas[[#This Row],[Costo_unitario]])</f>
        <v>3640.56</v>
      </c>
      <c r="Q1899" s="6" t="n">
        <f aca="false">IF(OR(TablaVentas[[#This Row],[Ingreso_neto]]="PENDIENTE",TablaVentas[[#This Row],[Costo_total]]="PENDIENTE"),"PENDIENTE",TablaVentas[[#This Row],[Ingreso_neto]]-TablaVentas[[#This Row],[Costo_total]])</f>
        <v>1551.872</v>
      </c>
    </row>
    <row r="1900" customFormat="false" ht="13.5" hidden="false" customHeight="false" outlineLevel="0" collapsed="false">
      <c r="A1900" s="1" t="s">
        <v>1214</v>
      </c>
      <c r="B1900" s="1" t="n">
        <v>2</v>
      </c>
      <c r="C1900" s="5" t="n">
        <v>46230</v>
      </c>
      <c r="D1900" s="6" t="s">
        <v>61</v>
      </c>
      <c r="E1900" s="6" t="s">
        <v>45</v>
      </c>
      <c r="F1900" s="6" t="s">
        <v>46</v>
      </c>
      <c r="G1900" s="6" t="s">
        <v>47</v>
      </c>
      <c r="H1900" s="6" t="s">
        <v>109</v>
      </c>
      <c r="I1900" s="1" t="n">
        <v>2</v>
      </c>
      <c r="J1900" s="7" t="n">
        <v>5825.85</v>
      </c>
      <c r="K1900" s="8" t="n">
        <v>0.05</v>
      </c>
      <c r="L1900" s="7" t="n">
        <v>3832.69</v>
      </c>
      <c r="M1900" s="6" t="s">
        <v>49</v>
      </c>
      <c r="N1900" s="6" t="s">
        <v>59</v>
      </c>
      <c r="O1900" s="6" t="n">
        <f aca="false">IF(TablaVentas[[#This Row],[Precio_unitario]]="","PENDIENTE",TablaVentas[[#This Row],[Unidades]]*TablaVentas[[#This Row],[Precio_unitario]]*(1-TablaVentas[[#This Row],[Descuento_pct]]))</f>
        <v>11069.115</v>
      </c>
      <c r="P1900" s="6" t="n">
        <f aca="false">IF(TablaVentas[[#This Row],[Costo_unitario]]="","PENDIENTE",TablaVentas[[#This Row],[Unidades]]*TablaVentas[[#This Row],[Costo_unitario]])</f>
        <v>7665.38</v>
      </c>
      <c r="Q1900" s="6" t="n">
        <f aca="false">IF(OR(TablaVentas[[#This Row],[Ingreso_neto]]="PENDIENTE",TablaVentas[[#This Row],[Costo_total]]="PENDIENTE"),"PENDIENTE",TablaVentas[[#This Row],[Ingreso_neto]]-TablaVentas[[#This Row],[Costo_total]])</f>
        <v>3403.735</v>
      </c>
    </row>
    <row r="1901" customFormat="false" ht="13.5" hidden="false" customHeight="false" outlineLevel="0" collapsed="false">
      <c r="A1901" s="1" t="s">
        <v>1214</v>
      </c>
      <c r="B1901" s="1" t="n">
        <v>3</v>
      </c>
      <c r="C1901" s="5" t="n">
        <v>46230</v>
      </c>
      <c r="D1901" s="6" t="s">
        <v>61</v>
      </c>
      <c r="E1901" s="6" t="s">
        <v>146</v>
      </c>
      <c r="F1901" s="6" t="s">
        <v>46</v>
      </c>
      <c r="G1901" s="6" t="s">
        <v>47</v>
      </c>
      <c r="H1901" s="6" t="s">
        <v>109</v>
      </c>
      <c r="I1901" s="1" t="n">
        <v>1</v>
      </c>
      <c r="J1901" s="7" t="n">
        <v>9015.34</v>
      </c>
      <c r="K1901" s="8" t="n">
        <v>0.05</v>
      </c>
      <c r="L1901" s="7" t="n">
        <v>8002.16</v>
      </c>
      <c r="M1901" s="6" t="s">
        <v>49</v>
      </c>
      <c r="N1901" s="6" t="s">
        <v>67</v>
      </c>
      <c r="O1901" s="6" t="n">
        <f aca="false">IF(TablaVentas[[#This Row],[Precio_unitario]]="","PENDIENTE",TablaVentas[[#This Row],[Unidades]]*TablaVentas[[#This Row],[Precio_unitario]]*(1-TablaVentas[[#This Row],[Descuento_pct]]))</f>
        <v>8564.573</v>
      </c>
      <c r="P1901" s="6" t="n">
        <f aca="false">IF(TablaVentas[[#This Row],[Costo_unitario]]="","PENDIENTE",TablaVentas[[#This Row],[Unidades]]*TablaVentas[[#This Row],[Costo_unitario]])</f>
        <v>8002.16</v>
      </c>
      <c r="Q1901" s="6" t="n">
        <f aca="false">IF(OR(TablaVentas[[#This Row],[Ingreso_neto]]="PENDIENTE",TablaVentas[[#This Row],[Costo_total]]="PENDIENTE"),"PENDIENTE",TablaVentas[[#This Row],[Ingreso_neto]]-TablaVentas[[#This Row],[Costo_total]])</f>
        <v>562.413000000001</v>
      </c>
    </row>
    <row r="1902" customFormat="false" ht="13.5" hidden="false" customHeight="false" outlineLevel="0" collapsed="false">
      <c r="A1902" s="1" t="s">
        <v>1215</v>
      </c>
      <c r="B1902" s="1" t="n">
        <v>1</v>
      </c>
      <c r="C1902" s="5" t="n">
        <v>46089</v>
      </c>
      <c r="D1902" s="6" t="s">
        <v>144</v>
      </c>
      <c r="E1902" s="6" t="s">
        <v>147</v>
      </c>
      <c r="F1902" s="6" t="s">
        <v>46</v>
      </c>
      <c r="G1902" s="6" t="s">
        <v>57</v>
      </c>
      <c r="H1902" s="6" t="s">
        <v>74</v>
      </c>
      <c r="I1902" s="1" t="n">
        <v>1</v>
      </c>
      <c r="J1902" s="7" t="n">
        <v>3209.66</v>
      </c>
      <c r="K1902" s="8" t="n">
        <v>0.05</v>
      </c>
      <c r="L1902" s="7" t="n">
        <v>2427.63</v>
      </c>
      <c r="M1902" s="6" t="s">
        <v>49</v>
      </c>
      <c r="N1902" s="6" t="s">
        <v>67</v>
      </c>
      <c r="O1902" s="6" t="n">
        <f aca="false">IF(TablaVentas[[#This Row],[Precio_unitario]]="","PENDIENTE",TablaVentas[[#This Row],[Unidades]]*TablaVentas[[#This Row],[Precio_unitario]]*(1-TablaVentas[[#This Row],[Descuento_pct]]))</f>
        <v>3049.177</v>
      </c>
      <c r="P1902" s="6" t="n">
        <f aca="false">IF(TablaVentas[[#This Row],[Costo_unitario]]="","PENDIENTE",TablaVentas[[#This Row],[Unidades]]*TablaVentas[[#This Row],[Costo_unitario]])</f>
        <v>2427.63</v>
      </c>
      <c r="Q1902" s="6" t="n">
        <f aca="false">IF(OR(TablaVentas[[#This Row],[Ingreso_neto]]="PENDIENTE",TablaVentas[[#This Row],[Costo_total]]="PENDIENTE"),"PENDIENTE",TablaVentas[[#This Row],[Ingreso_neto]]-TablaVentas[[#This Row],[Costo_total]])</f>
        <v>621.547</v>
      </c>
    </row>
    <row r="1903" customFormat="false" ht="13.5" hidden="false" customHeight="false" outlineLevel="0" collapsed="false">
      <c r="A1903" s="1" t="s">
        <v>1216</v>
      </c>
      <c r="B1903" s="1" t="n">
        <v>1</v>
      </c>
      <c r="C1903" s="5" t="n">
        <v>46057</v>
      </c>
      <c r="D1903" s="6" t="s">
        <v>1109</v>
      </c>
      <c r="E1903" s="6" t="s">
        <v>105</v>
      </c>
      <c r="F1903" s="6" t="s">
        <v>73</v>
      </c>
      <c r="G1903" s="6" t="s">
        <v>64</v>
      </c>
      <c r="H1903" s="6" t="s">
        <v>89</v>
      </c>
      <c r="I1903" s="1" t="n">
        <v>1</v>
      </c>
      <c r="J1903" s="7" t="n">
        <v>18250.43</v>
      </c>
      <c r="K1903" s="8" t="n">
        <v>0.05</v>
      </c>
      <c r="L1903" s="7" t="n">
        <v>9881</v>
      </c>
      <c r="M1903" s="6" t="s">
        <v>49</v>
      </c>
      <c r="N1903" s="6" t="s">
        <v>52</v>
      </c>
      <c r="O1903" s="6" t="n">
        <f aca="false">IF(TablaVentas[[#This Row],[Precio_unitario]]="","PENDIENTE",TablaVentas[[#This Row],[Unidades]]*TablaVentas[[#This Row],[Precio_unitario]]*(1-TablaVentas[[#This Row],[Descuento_pct]]))</f>
        <v>17337.9085</v>
      </c>
      <c r="P1903" s="6" t="n">
        <f aca="false">IF(TablaVentas[[#This Row],[Costo_unitario]]="","PENDIENTE",TablaVentas[[#This Row],[Unidades]]*TablaVentas[[#This Row],[Costo_unitario]])</f>
        <v>9881</v>
      </c>
      <c r="Q1903" s="6" t="n">
        <f aca="false">IF(OR(TablaVentas[[#This Row],[Ingreso_neto]]="PENDIENTE",TablaVentas[[#This Row],[Costo_total]]="PENDIENTE"),"PENDIENTE",TablaVentas[[#This Row],[Ingreso_neto]]-TablaVentas[[#This Row],[Costo_total]])</f>
        <v>7456.9085</v>
      </c>
    </row>
    <row r="1904" customFormat="false" ht="13.5" hidden="false" customHeight="false" outlineLevel="0" collapsed="false">
      <c r="A1904" s="1" t="s">
        <v>1216</v>
      </c>
      <c r="B1904" s="1" t="n">
        <v>2</v>
      </c>
      <c r="C1904" s="5" t="n">
        <v>46057</v>
      </c>
      <c r="D1904" s="6" t="s">
        <v>1109</v>
      </c>
      <c r="E1904" s="6" t="s">
        <v>145</v>
      </c>
      <c r="F1904" s="6" t="s">
        <v>73</v>
      </c>
      <c r="G1904" s="6" t="s">
        <v>64</v>
      </c>
      <c r="H1904" s="6" t="s">
        <v>89</v>
      </c>
      <c r="I1904" s="1" t="n">
        <v>3</v>
      </c>
      <c r="J1904" s="7" t="n">
        <v>6241.62</v>
      </c>
      <c r="K1904" s="8" t="n">
        <v>0.2</v>
      </c>
      <c r="L1904" s="7" t="n">
        <v>4665.62</v>
      </c>
      <c r="M1904" s="6" t="s">
        <v>49</v>
      </c>
      <c r="N1904" s="6" t="s">
        <v>50</v>
      </c>
      <c r="O1904" s="6" t="n">
        <f aca="false">IF(TablaVentas[[#This Row],[Precio_unitario]]="","PENDIENTE",TablaVentas[[#This Row],[Unidades]]*TablaVentas[[#This Row],[Precio_unitario]]*(1-TablaVentas[[#This Row],[Descuento_pct]]))</f>
        <v>14979.888</v>
      </c>
      <c r="P1904" s="6" t="n">
        <f aca="false">IF(TablaVentas[[#This Row],[Costo_unitario]]="","PENDIENTE",TablaVentas[[#This Row],[Unidades]]*TablaVentas[[#This Row],[Costo_unitario]])</f>
        <v>13996.86</v>
      </c>
      <c r="Q1904" s="6" t="n">
        <f aca="false">IF(OR(TablaVentas[[#This Row],[Ingreso_neto]]="PENDIENTE",TablaVentas[[#This Row],[Costo_total]]="PENDIENTE"),"PENDIENTE",TablaVentas[[#This Row],[Ingreso_neto]]-TablaVentas[[#This Row],[Costo_total]])</f>
        <v>983.028</v>
      </c>
    </row>
    <row r="1905" customFormat="false" ht="13.5" hidden="false" customHeight="false" outlineLevel="0" collapsed="false">
      <c r="A1905" s="1" t="s">
        <v>1216</v>
      </c>
      <c r="B1905" s="1" t="n">
        <v>3</v>
      </c>
      <c r="C1905" s="5" t="n">
        <v>46057</v>
      </c>
      <c r="D1905" s="6" t="s">
        <v>1109</v>
      </c>
      <c r="E1905" s="6" t="s">
        <v>155</v>
      </c>
      <c r="F1905" s="6" t="s">
        <v>73</v>
      </c>
      <c r="G1905" s="6" t="s">
        <v>64</v>
      </c>
      <c r="H1905" s="6" t="s">
        <v>89</v>
      </c>
      <c r="I1905" s="1" t="n">
        <v>3</v>
      </c>
      <c r="J1905" s="7" t="n">
        <v>3234.35</v>
      </c>
      <c r="K1905" s="8" t="n">
        <v>0.2</v>
      </c>
      <c r="L1905" s="7" t="n">
        <v>2459.34</v>
      </c>
      <c r="M1905" s="6" t="s">
        <v>49</v>
      </c>
      <c r="N1905" s="6" t="s">
        <v>67</v>
      </c>
      <c r="O1905" s="6" t="n">
        <f aca="false">IF(TablaVentas[[#This Row],[Precio_unitario]]="","PENDIENTE",TablaVentas[[#This Row],[Unidades]]*TablaVentas[[#This Row],[Precio_unitario]]*(1-TablaVentas[[#This Row],[Descuento_pct]]))</f>
        <v>7762.44</v>
      </c>
      <c r="P1905" s="6" t="n">
        <f aca="false">IF(TablaVentas[[#This Row],[Costo_unitario]]="","PENDIENTE",TablaVentas[[#This Row],[Unidades]]*TablaVentas[[#This Row],[Costo_unitario]])</f>
        <v>7378.02</v>
      </c>
      <c r="Q1905" s="6" t="n">
        <f aca="false">IF(OR(TablaVentas[[#This Row],[Ingreso_neto]]="PENDIENTE",TablaVentas[[#This Row],[Costo_total]]="PENDIENTE"),"PENDIENTE",TablaVentas[[#This Row],[Ingreso_neto]]-TablaVentas[[#This Row],[Costo_total]])</f>
        <v>384.419999999999</v>
      </c>
    </row>
    <row r="1906" customFormat="false" ht="13.5" hidden="false" customHeight="false" outlineLevel="0" collapsed="false">
      <c r="A1906" s="1" t="s">
        <v>1216</v>
      </c>
      <c r="B1906" s="1" t="n">
        <v>4</v>
      </c>
      <c r="C1906" s="5" t="n">
        <v>46057</v>
      </c>
      <c r="D1906" s="6" t="s">
        <v>1109</v>
      </c>
      <c r="E1906" s="6" t="s">
        <v>230</v>
      </c>
      <c r="F1906" s="6" t="s">
        <v>73</v>
      </c>
      <c r="G1906" s="6" t="s">
        <v>64</v>
      </c>
      <c r="H1906" s="6" t="s">
        <v>89</v>
      </c>
      <c r="I1906" s="1" t="n">
        <v>1</v>
      </c>
      <c r="J1906" s="7" t="n">
        <v>6532</v>
      </c>
      <c r="K1906" s="8" t="n">
        <v>0.15</v>
      </c>
      <c r="L1906" s="7" t="n">
        <v>3298.19</v>
      </c>
      <c r="M1906" s="6" t="s">
        <v>49</v>
      </c>
      <c r="N1906" s="6" t="s">
        <v>50</v>
      </c>
      <c r="O1906" s="6" t="n">
        <f aca="false">IF(TablaVentas[[#This Row],[Precio_unitario]]="","PENDIENTE",TablaVentas[[#This Row],[Unidades]]*TablaVentas[[#This Row],[Precio_unitario]]*(1-TablaVentas[[#This Row],[Descuento_pct]]))</f>
        <v>5552.2</v>
      </c>
      <c r="P1906" s="6" t="n">
        <f aca="false">IF(TablaVentas[[#This Row],[Costo_unitario]]="","PENDIENTE",TablaVentas[[#This Row],[Unidades]]*TablaVentas[[#This Row],[Costo_unitario]])</f>
        <v>3298.19</v>
      </c>
      <c r="Q1906" s="6" t="n">
        <f aca="false">IF(OR(TablaVentas[[#This Row],[Ingreso_neto]]="PENDIENTE",TablaVentas[[#This Row],[Costo_total]]="PENDIENTE"),"PENDIENTE",TablaVentas[[#This Row],[Ingreso_neto]]-TablaVentas[[#This Row],[Costo_total]])</f>
        <v>2254.01</v>
      </c>
    </row>
    <row r="1907" customFormat="false" ht="13.5" hidden="false" customHeight="false" outlineLevel="0" collapsed="false">
      <c r="A1907" s="1" t="s">
        <v>1217</v>
      </c>
      <c r="B1907" s="1" t="n">
        <v>1</v>
      </c>
      <c r="C1907" s="5" t="n">
        <v>46092</v>
      </c>
      <c r="D1907" s="6" t="s">
        <v>679</v>
      </c>
      <c r="E1907" s="6" t="s">
        <v>93</v>
      </c>
      <c r="F1907" s="6" t="s">
        <v>84</v>
      </c>
      <c r="G1907" s="6" t="s">
        <v>64</v>
      </c>
      <c r="H1907" s="6" t="s">
        <v>89</v>
      </c>
      <c r="I1907" s="1" t="n">
        <v>1</v>
      </c>
      <c r="J1907" s="7" t="n">
        <v>14687.57</v>
      </c>
      <c r="K1907" s="8" t="n">
        <v>0</v>
      </c>
      <c r="L1907" s="7" t="n">
        <v>11166.03</v>
      </c>
      <c r="M1907" s="6" t="s">
        <v>49</v>
      </c>
      <c r="N1907" s="6" t="s">
        <v>59</v>
      </c>
      <c r="O1907" s="6" t="n">
        <f aca="false">IF(TablaVentas[[#This Row],[Precio_unitario]]="","PENDIENTE",TablaVentas[[#This Row],[Unidades]]*TablaVentas[[#This Row],[Precio_unitario]]*(1-TablaVentas[[#This Row],[Descuento_pct]]))</f>
        <v>14687.57</v>
      </c>
      <c r="P1907" s="6" t="n">
        <f aca="false">IF(TablaVentas[[#This Row],[Costo_unitario]]="","PENDIENTE",TablaVentas[[#This Row],[Unidades]]*TablaVentas[[#This Row],[Costo_unitario]])</f>
        <v>11166.03</v>
      </c>
      <c r="Q1907" s="6" t="n">
        <f aca="false">IF(OR(TablaVentas[[#This Row],[Ingreso_neto]]="PENDIENTE",TablaVentas[[#This Row],[Costo_total]]="PENDIENTE"),"PENDIENTE",TablaVentas[[#This Row],[Ingreso_neto]]-TablaVentas[[#This Row],[Costo_total]])</f>
        <v>3521.54</v>
      </c>
    </row>
    <row r="1908" customFormat="false" ht="13.5" hidden="false" customHeight="false" outlineLevel="0" collapsed="false">
      <c r="A1908" s="1" t="s">
        <v>1217</v>
      </c>
      <c r="B1908" s="1" t="n">
        <v>2</v>
      </c>
      <c r="C1908" s="5" t="n">
        <v>46092</v>
      </c>
      <c r="D1908" s="6" t="s">
        <v>679</v>
      </c>
      <c r="E1908" s="6" t="s">
        <v>284</v>
      </c>
      <c r="F1908" s="6" t="s">
        <v>84</v>
      </c>
      <c r="G1908" s="6" t="s">
        <v>64</v>
      </c>
      <c r="H1908" s="6" t="s">
        <v>89</v>
      </c>
      <c r="I1908" s="1" t="n">
        <v>1</v>
      </c>
      <c r="J1908" s="7" t="n">
        <v>6284.29</v>
      </c>
      <c r="K1908" s="8" t="n">
        <v>0</v>
      </c>
      <c r="L1908" s="7" t="n">
        <v>4858.08</v>
      </c>
      <c r="M1908" s="6" t="s">
        <v>49</v>
      </c>
      <c r="N1908" s="6" t="s">
        <v>52</v>
      </c>
      <c r="O1908" s="6" t="n">
        <f aca="false">IF(TablaVentas[[#This Row],[Precio_unitario]]="","PENDIENTE",TablaVentas[[#This Row],[Unidades]]*TablaVentas[[#This Row],[Precio_unitario]]*(1-TablaVentas[[#This Row],[Descuento_pct]]))</f>
        <v>6284.29</v>
      </c>
      <c r="P1908" s="6" t="n">
        <f aca="false">IF(TablaVentas[[#This Row],[Costo_unitario]]="","PENDIENTE",TablaVentas[[#This Row],[Unidades]]*TablaVentas[[#This Row],[Costo_unitario]])</f>
        <v>4858.08</v>
      </c>
      <c r="Q1908" s="6" t="n">
        <f aca="false">IF(OR(TablaVentas[[#This Row],[Ingreso_neto]]="PENDIENTE",TablaVentas[[#This Row],[Costo_total]]="PENDIENTE"),"PENDIENTE",TablaVentas[[#This Row],[Ingreso_neto]]-TablaVentas[[#This Row],[Costo_total]])</f>
        <v>1426.21</v>
      </c>
    </row>
    <row r="1909" customFormat="false" ht="13.5" hidden="false" customHeight="false" outlineLevel="0" collapsed="false">
      <c r="A1909" s="1" t="s">
        <v>1217</v>
      </c>
      <c r="B1909" s="1" t="n">
        <v>3</v>
      </c>
      <c r="C1909" s="5" t="n">
        <v>46092</v>
      </c>
      <c r="D1909" s="6" t="s">
        <v>679</v>
      </c>
      <c r="E1909" s="6" t="s">
        <v>167</v>
      </c>
      <c r="F1909" s="6" t="s">
        <v>84</v>
      </c>
      <c r="G1909" s="6" t="s">
        <v>64</v>
      </c>
      <c r="H1909" s="6" t="s">
        <v>89</v>
      </c>
      <c r="I1909" s="1" t="n">
        <v>8</v>
      </c>
      <c r="J1909" s="7" t="n">
        <v>8174.72</v>
      </c>
      <c r="K1909" s="8" t="n">
        <v>0.1</v>
      </c>
      <c r="L1909" s="7" t="n">
        <v>4082.15</v>
      </c>
      <c r="M1909" s="6" t="s">
        <v>49</v>
      </c>
      <c r="N1909" s="6" t="s">
        <v>59</v>
      </c>
      <c r="O1909" s="6" t="n">
        <f aca="false">IF(TablaVentas[[#This Row],[Precio_unitario]]="","PENDIENTE",TablaVentas[[#This Row],[Unidades]]*TablaVentas[[#This Row],[Precio_unitario]]*(1-TablaVentas[[#This Row],[Descuento_pct]]))</f>
        <v>58857.984</v>
      </c>
      <c r="P1909" s="6" t="n">
        <f aca="false">IF(TablaVentas[[#This Row],[Costo_unitario]]="","PENDIENTE",TablaVentas[[#This Row],[Unidades]]*TablaVentas[[#This Row],[Costo_unitario]])</f>
        <v>32657.2</v>
      </c>
      <c r="Q1909" s="6" t="n">
        <f aca="false">IF(OR(TablaVentas[[#This Row],[Ingreso_neto]]="PENDIENTE",TablaVentas[[#This Row],[Costo_total]]="PENDIENTE"),"PENDIENTE",TablaVentas[[#This Row],[Ingreso_neto]]-TablaVentas[[#This Row],[Costo_total]])</f>
        <v>26200.784</v>
      </c>
    </row>
    <row r="1910" customFormat="false" ht="13.5" hidden="false" customHeight="false" outlineLevel="0" collapsed="false">
      <c r="A1910" s="1" t="s">
        <v>1218</v>
      </c>
      <c r="B1910" s="1" t="n">
        <v>1</v>
      </c>
      <c r="C1910" s="5" t="n">
        <v>46257</v>
      </c>
      <c r="D1910" s="6" t="s">
        <v>169</v>
      </c>
      <c r="E1910" s="6" t="s">
        <v>289</v>
      </c>
      <c r="F1910" s="6" t="s">
        <v>63</v>
      </c>
      <c r="G1910" s="6" t="s">
        <v>47</v>
      </c>
      <c r="H1910" s="6" t="s">
        <v>65</v>
      </c>
      <c r="I1910" s="1" t="n">
        <v>8</v>
      </c>
      <c r="J1910" s="7" t="n">
        <v>4260.81</v>
      </c>
      <c r="K1910" s="8" t="n">
        <v>0.15</v>
      </c>
      <c r="L1910" s="7" t="n">
        <v>3399.5</v>
      </c>
      <c r="M1910" s="6" t="s">
        <v>49</v>
      </c>
      <c r="N1910" s="6" t="s">
        <v>67</v>
      </c>
      <c r="O1910" s="6" t="n">
        <f aca="false">IF(TablaVentas[[#This Row],[Precio_unitario]]="","PENDIENTE",TablaVentas[[#This Row],[Unidades]]*TablaVentas[[#This Row],[Precio_unitario]]*(1-TablaVentas[[#This Row],[Descuento_pct]]))</f>
        <v>28973.508</v>
      </c>
      <c r="P1910" s="6" t="n">
        <f aca="false">IF(TablaVentas[[#This Row],[Costo_unitario]]="","PENDIENTE",TablaVentas[[#This Row],[Unidades]]*TablaVentas[[#This Row],[Costo_unitario]])</f>
        <v>27196</v>
      </c>
      <c r="Q1910" s="6" t="n">
        <f aca="false">IF(OR(TablaVentas[[#This Row],[Ingreso_neto]]="PENDIENTE",TablaVentas[[#This Row],[Costo_total]]="PENDIENTE"),"PENDIENTE",TablaVentas[[#This Row],[Ingreso_neto]]-TablaVentas[[#This Row],[Costo_total]])</f>
        <v>1777.508</v>
      </c>
    </row>
    <row r="1911" customFormat="false" ht="13.5" hidden="false" customHeight="false" outlineLevel="0" collapsed="false">
      <c r="A1911" s="1" t="s">
        <v>1218</v>
      </c>
      <c r="B1911" s="1" t="n">
        <v>2</v>
      </c>
      <c r="C1911" s="5" t="n">
        <v>46257</v>
      </c>
      <c r="D1911" s="6" t="s">
        <v>169</v>
      </c>
      <c r="E1911" s="6" t="s">
        <v>342</v>
      </c>
      <c r="F1911" s="6" t="s">
        <v>63</v>
      </c>
      <c r="G1911" s="6" t="s">
        <v>47</v>
      </c>
      <c r="H1911" s="6" t="s">
        <v>65</v>
      </c>
      <c r="I1911" s="1" t="n">
        <v>5</v>
      </c>
      <c r="J1911" s="7" t="n">
        <v>6770.05</v>
      </c>
      <c r="K1911" s="8" t="n">
        <v>0</v>
      </c>
      <c r="L1911" s="7" t="n">
        <v>5587.31</v>
      </c>
      <c r="M1911" s="6" t="s">
        <v>49</v>
      </c>
      <c r="N1911" s="6" t="s">
        <v>50</v>
      </c>
      <c r="O1911" s="6" t="n">
        <f aca="false">IF(TablaVentas[[#This Row],[Precio_unitario]]="","PENDIENTE",TablaVentas[[#This Row],[Unidades]]*TablaVentas[[#This Row],[Precio_unitario]]*(1-TablaVentas[[#This Row],[Descuento_pct]]))</f>
        <v>33850.25</v>
      </c>
      <c r="P1911" s="6" t="n">
        <f aca="false">IF(TablaVentas[[#This Row],[Costo_unitario]]="","PENDIENTE",TablaVentas[[#This Row],[Unidades]]*TablaVentas[[#This Row],[Costo_unitario]])</f>
        <v>27936.55</v>
      </c>
      <c r="Q1911" s="6" t="n">
        <f aca="false">IF(OR(TablaVentas[[#This Row],[Ingreso_neto]]="PENDIENTE",TablaVentas[[#This Row],[Costo_total]]="PENDIENTE"),"PENDIENTE",TablaVentas[[#This Row],[Ingreso_neto]]-TablaVentas[[#This Row],[Costo_total]])</f>
        <v>5913.7</v>
      </c>
    </row>
    <row r="1912" customFormat="false" ht="13.5" hidden="false" customHeight="false" outlineLevel="0" collapsed="false">
      <c r="A1912" s="1" t="s">
        <v>1219</v>
      </c>
      <c r="B1912" s="1" t="n">
        <v>1</v>
      </c>
      <c r="C1912" s="5" t="n">
        <v>46233</v>
      </c>
      <c r="D1912" s="6" t="s">
        <v>251</v>
      </c>
      <c r="E1912" s="6" t="s">
        <v>215</v>
      </c>
      <c r="F1912" s="6" t="s">
        <v>73</v>
      </c>
      <c r="G1912" s="6" t="s">
        <v>64</v>
      </c>
      <c r="H1912" s="6" t="s">
        <v>89</v>
      </c>
      <c r="I1912" s="1" t="n">
        <v>2</v>
      </c>
      <c r="J1912" s="7" t="n">
        <v>10433.85</v>
      </c>
      <c r="K1912" s="8" t="n">
        <v>0</v>
      </c>
      <c r="L1912" s="7" t="n">
        <v>5535.31</v>
      </c>
      <c r="M1912" s="6" t="s">
        <v>49</v>
      </c>
      <c r="N1912" s="6" t="s">
        <v>50</v>
      </c>
      <c r="O1912" s="6" t="n">
        <f aca="false">IF(TablaVentas[[#This Row],[Precio_unitario]]="","PENDIENTE",TablaVentas[[#This Row],[Unidades]]*TablaVentas[[#This Row],[Precio_unitario]]*(1-TablaVentas[[#This Row],[Descuento_pct]]))</f>
        <v>20867.7</v>
      </c>
      <c r="P1912" s="6" t="n">
        <f aca="false">IF(TablaVentas[[#This Row],[Costo_unitario]]="","PENDIENTE",TablaVentas[[#This Row],[Unidades]]*TablaVentas[[#This Row],[Costo_unitario]])</f>
        <v>11070.62</v>
      </c>
      <c r="Q1912" s="6" t="n">
        <f aca="false">IF(OR(TablaVentas[[#This Row],[Ingreso_neto]]="PENDIENTE",TablaVentas[[#This Row],[Costo_total]]="PENDIENTE"),"PENDIENTE",TablaVentas[[#This Row],[Ingreso_neto]]-TablaVentas[[#This Row],[Costo_total]])</f>
        <v>9797.08</v>
      </c>
    </row>
    <row r="1913" customFormat="false" ht="13.5" hidden="false" customHeight="false" outlineLevel="0" collapsed="false">
      <c r="A1913" s="1" t="s">
        <v>1219</v>
      </c>
      <c r="B1913" s="1" t="n">
        <v>2</v>
      </c>
      <c r="C1913" s="5" t="n">
        <v>46233</v>
      </c>
      <c r="D1913" s="6" t="s">
        <v>251</v>
      </c>
      <c r="E1913" s="6" t="s">
        <v>68</v>
      </c>
      <c r="F1913" s="6" t="s">
        <v>73</v>
      </c>
      <c r="G1913" s="6" t="s">
        <v>64</v>
      </c>
      <c r="H1913" s="6" t="s">
        <v>89</v>
      </c>
      <c r="I1913" s="1" t="n">
        <v>1</v>
      </c>
      <c r="J1913" s="7" t="n">
        <v>5016.83</v>
      </c>
      <c r="K1913" s="8" t="n">
        <v>0.15</v>
      </c>
      <c r="L1913" s="7" t="n">
        <v>2554.06</v>
      </c>
      <c r="M1913" s="6" t="s">
        <v>49</v>
      </c>
      <c r="N1913" s="6" t="s">
        <v>59</v>
      </c>
      <c r="O1913" s="6" t="n">
        <f aca="false">IF(TablaVentas[[#This Row],[Precio_unitario]]="","PENDIENTE",TablaVentas[[#This Row],[Unidades]]*TablaVentas[[#This Row],[Precio_unitario]]*(1-TablaVentas[[#This Row],[Descuento_pct]]))</f>
        <v>4264.3055</v>
      </c>
      <c r="P1913" s="6" t="n">
        <f aca="false">IF(TablaVentas[[#This Row],[Costo_unitario]]="","PENDIENTE",TablaVentas[[#This Row],[Unidades]]*TablaVentas[[#This Row],[Costo_unitario]])</f>
        <v>2554.06</v>
      </c>
      <c r="Q1913" s="6" t="n">
        <f aca="false">IF(OR(TablaVentas[[#This Row],[Ingreso_neto]]="PENDIENTE",TablaVentas[[#This Row],[Costo_total]]="PENDIENTE"),"PENDIENTE",TablaVentas[[#This Row],[Ingreso_neto]]-TablaVentas[[#This Row],[Costo_total]])</f>
        <v>1710.2455</v>
      </c>
    </row>
    <row r="1914" customFormat="false" ht="13.5" hidden="false" customHeight="false" outlineLevel="0" collapsed="false">
      <c r="A1914" s="1" t="s">
        <v>1220</v>
      </c>
      <c r="B1914" s="1" t="n">
        <v>1</v>
      </c>
      <c r="C1914" s="5" t="n">
        <v>46293</v>
      </c>
      <c r="D1914" s="6" t="s">
        <v>144</v>
      </c>
      <c r="E1914" s="6" t="s">
        <v>96</v>
      </c>
      <c r="F1914" s="6" t="s">
        <v>84</v>
      </c>
      <c r="G1914" s="6" t="s">
        <v>57</v>
      </c>
      <c r="H1914" s="6" t="s">
        <v>191</v>
      </c>
      <c r="I1914" s="1" t="n">
        <v>2</v>
      </c>
      <c r="J1914" s="7" t="n">
        <v>11575.13</v>
      </c>
      <c r="K1914" s="8" t="n">
        <v>0</v>
      </c>
      <c r="L1914" s="7" t="n">
        <v>9118.07</v>
      </c>
      <c r="M1914" s="6" t="s">
        <v>69</v>
      </c>
      <c r="N1914" s="6" t="s">
        <v>52</v>
      </c>
      <c r="O1914" s="6" t="n">
        <f aca="false">IF(TablaVentas[[#This Row],[Precio_unitario]]="","PENDIENTE",TablaVentas[[#This Row],[Unidades]]*TablaVentas[[#This Row],[Precio_unitario]]*(1-TablaVentas[[#This Row],[Descuento_pct]]))</f>
        <v>23150.26</v>
      </c>
      <c r="P1914" s="6" t="n">
        <f aca="false">IF(TablaVentas[[#This Row],[Costo_unitario]]="","PENDIENTE",TablaVentas[[#This Row],[Unidades]]*TablaVentas[[#This Row],[Costo_unitario]])</f>
        <v>18236.14</v>
      </c>
      <c r="Q1914" s="6" t="n">
        <f aca="false">IF(OR(TablaVentas[[#This Row],[Ingreso_neto]]="PENDIENTE",TablaVentas[[#This Row],[Costo_total]]="PENDIENTE"),"PENDIENTE",TablaVentas[[#This Row],[Ingreso_neto]]-TablaVentas[[#This Row],[Costo_total]])</f>
        <v>4914.12</v>
      </c>
    </row>
    <row r="1915" customFormat="false" ht="13.5" hidden="false" customHeight="false" outlineLevel="0" collapsed="false">
      <c r="A1915" s="1" t="s">
        <v>1221</v>
      </c>
      <c r="B1915" s="1" t="n">
        <v>1</v>
      </c>
      <c r="C1915" s="5" t="n">
        <v>46086</v>
      </c>
      <c r="D1915" s="6" t="s">
        <v>407</v>
      </c>
      <c r="E1915" s="6" t="s">
        <v>203</v>
      </c>
      <c r="F1915" s="6" t="s">
        <v>73</v>
      </c>
      <c r="G1915" s="6" t="s">
        <v>64</v>
      </c>
      <c r="H1915" s="6" t="s">
        <v>74</v>
      </c>
      <c r="I1915" s="1" t="n">
        <v>1</v>
      </c>
      <c r="J1915" s="7" t="n">
        <v>752.93</v>
      </c>
      <c r="K1915" s="8" t="n">
        <v>0</v>
      </c>
      <c r="L1915" s="7" t="n">
        <v>485.16</v>
      </c>
      <c r="M1915" s="6" t="s">
        <v>123</v>
      </c>
      <c r="N1915" s="6" t="s">
        <v>52</v>
      </c>
      <c r="O1915" s="6" t="n">
        <f aca="false">IF(TablaVentas[[#This Row],[Precio_unitario]]="","PENDIENTE",TablaVentas[[#This Row],[Unidades]]*TablaVentas[[#This Row],[Precio_unitario]]*(1-TablaVentas[[#This Row],[Descuento_pct]]))</f>
        <v>752.93</v>
      </c>
      <c r="P1915" s="6" t="n">
        <f aca="false">IF(TablaVentas[[#This Row],[Costo_unitario]]="","PENDIENTE",TablaVentas[[#This Row],[Unidades]]*TablaVentas[[#This Row],[Costo_unitario]])</f>
        <v>485.16</v>
      </c>
      <c r="Q1915" s="6" t="n">
        <f aca="false">IF(OR(TablaVentas[[#This Row],[Ingreso_neto]]="PENDIENTE",TablaVentas[[#This Row],[Costo_total]]="PENDIENTE"),"PENDIENTE",TablaVentas[[#This Row],[Ingreso_neto]]-TablaVentas[[#This Row],[Costo_total]])</f>
        <v>267.77</v>
      </c>
    </row>
    <row r="1916" customFormat="false" ht="13.5" hidden="false" customHeight="false" outlineLevel="0" collapsed="false">
      <c r="A1916" s="1" t="s">
        <v>1222</v>
      </c>
      <c r="B1916" s="1" t="n">
        <v>1</v>
      </c>
      <c r="C1916" s="5" t="n">
        <v>46288</v>
      </c>
      <c r="D1916" s="6" t="s">
        <v>344</v>
      </c>
      <c r="E1916" s="6" t="s">
        <v>62</v>
      </c>
      <c r="F1916" s="6" t="s">
        <v>73</v>
      </c>
      <c r="G1916" s="6" t="s">
        <v>57</v>
      </c>
      <c r="H1916" s="6" t="s">
        <v>74</v>
      </c>
      <c r="I1916" s="1" t="n">
        <v>1</v>
      </c>
      <c r="J1916" s="7" t="n">
        <v>11185.35</v>
      </c>
      <c r="K1916" s="8" t="n">
        <v>0</v>
      </c>
      <c r="L1916" s="7" t="n">
        <v>6407.85</v>
      </c>
      <c r="M1916" s="6" t="s">
        <v>49</v>
      </c>
      <c r="N1916" s="6" t="s">
        <v>59</v>
      </c>
      <c r="O1916" s="6" t="n">
        <f aca="false">IF(TablaVentas[[#This Row],[Precio_unitario]]="","PENDIENTE",TablaVentas[[#This Row],[Unidades]]*TablaVentas[[#This Row],[Precio_unitario]]*(1-TablaVentas[[#This Row],[Descuento_pct]]))</f>
        <v>11185.35</v>
      </c>
      <c r="P1916" s="6" t="n">
        <f aca="false">IF(TablaVentas[[#This Row],[Costo_unitario]]="","PENDIENTE",TablaVentas[[#This Row],[Unidades]]*TablaVentas[[#This Row],[Costo_unitario]])</f>
        <v>6407.85</v>
      </c>
      <c r="Q1916" s="6" t="n">
        <f aca="false">IF(OR(TablaVentas[[#This Row],[Ingreso_neto]]="PENDIENTE",TablaVentas[[#This Row],[Costo_total]]="PENDIENTE"),"PENDIENTE",TablaVentas[[#This Row],[Ingreso_neto]]-TablaVentas[[#This Row],[Costo_total]])</f>
        <v>4777.5</v>
      </c>
    </row>
    <row r="1917" customFormat="false" ht="13.5" hidden="false" customHeight="false" outlineLevel="0" collapsed="false">
      <c r="A1917" s="1" t="s">
        <v>1222</v>
      </c>
      <c r="B1917" s="1" t="n">
        <v>2</v>
      </c>
      <c r="C1917" s="5" t="n">
        <v>46288</v>
      </c>
      <c r="D1917" s="6" t="s">
        <v>344</v>
      </c>
      <c r="E1917" s="6" t="s">
        <v>139</v>
      </c>
      <c r="F1917" s="6" t="s">
        <v>73</v>
      </c>
      <c r="G1917" s="6" t="s">
        <v>57</v>
      </c>
      <c r="H1917" s="6" t="s">
        <v>74</v>
      </c>
      <c r="I1917" s="1" t="n">
        <v>4</v>
      </c>
      <c r="J1917" s="7" t="n">
        <v>19356.68</v>
      </c>
      <c r="K1917" s="8" t="n">
        <v>0</v>
      </c>
      <c r="L1917" s="7" t="n">
        <v>11036.95</v>
      </c>
      <c r="M1917" s="6" t="s">
        <v>123</v>
      </c>
      <c r="N1917" s="6" t="s">
        <v>59</v>
      </c>
      <c r="O1917" s="6" t="n">
        <f aca="false">IF(TablaVentas[[#This Row],[Precio_unitario]]="","PENDIENTE",TablaVentas[[#This Row],[Unidades]]*TablaVentas[[#This Row],[Precio_unitario]]*(1-TablaVentas[[#This Row],[Descuento_pct]]))</f>
        <v>77426.72</v>
      </c>
      <c r="P1917" s="6" t="n">
        <f aca="false">IF(TablaVentas[[#This Row],[Costo_unitario]]="","PENDIENTE",TablaVentas[[#This Row],[Unidades]]*TablaVentas[[#This Row],[Costo_unitario]])</f>
        <v>44147.8</v>
      </c>
      <c r="Q1917" s="6" t="n">
        <f aca="false">IF(OR(TablaVentas[[#This Row],[Ingreso_neto]]="PENDIENTE",TablaVentas[[#This Row],[Costo_total]]="PENDIENTE"),"PENDIENTE",TablaVentas[[#This Row],[Ingreso_neto]]-TablaVentas[[#This Row],[Costo_total]])</f>
        <v>33278.92</v>
      </c>
    </row>
    <row r="1918" customFormat="false" ht="13.5" hidden="false" customHeight="false" outlineLevel="0" collapsed="false">
      <c r="A1918" s="1" t="s">
        <v>1222</v>
      </c>
      <c r="B1918" s="1" t="n">
        <v>3</v>
      </c>
      <c r="C1918" s="5" t="n">
        <v>46288</v>
      </c>
      <c r="D1918" s="6" t="s">
        <v>344</v>
      </c>
      <c r="E1918" s="6" t="s">
        <v>104</v>
      </c>
      <c r="F1918" s="6" t="s">
        <v>73</v>
      </c>
      <c r="G1918" s="6" t="s">
        <v>57</v>
      </c>
      <c r="H1918" s="6" t="s">
        <v>74</v>
      </c>
      <c r="I1918" s="1" t="n">
        <v>3</v>
      </c>
      <c r="J1918" s="7" t="n">
        <v>14765.09</v>
      </c>
      <c r="K1918" s="8" t="n">
        <v>0.15</v>
      </c>
      <c r="L1918" s="7" t="n">
        <v>11424.77</v>
      </c>
      <c r="M1918" s="6" t="s">
        <v>49</v>
      </c>
      <c r="N1918" s="6" t="s">
        <v>50</v>
      </c>
      <c r="O1918" s="6" t="n">
        <f aca="false">IF(TablaVentas[[#This Row],[Precio_unitario]]="","PENDIENTE",TablaVentas[[#This Row],[Unidades]]*TablaVentas[[#This Row],[Precio_unitario]]*(1-TablaVentas[[#This Row],[Descuento_pct]]))</f>
        <v>37650.9795</v>
      </c>
      <c r="P1918" s="6" t="n">
        <f aca="false">IF(TablaVentas[[#This Row],[Costo_unitario]]="","PENDIENTE",TablaVentas[[#This Row],[Unidades]]*TablaVentas[[#This Row],[Costo_unitario]])</f>
        <v>34274.31</v>
      </c>
      <c r="Q1918" s="6" t="n">
        <f aca="false">IF(OR(TablaVentas[[#This Row],[Ingreso_neto]]="PENDIENTE",TablaVentas[[#This Row],[Costo_total]]="PENDIENTE"),"PENDIENTE",TablaVentas[[#This Row],[Ingreso_neto]]-TablaVentas[[#This Row],[Costo_total]])</f>
        <v>3376.6695</v>
      </c>
    </row>
    <row r="1919" customFormat="false" ht="13.5" hidden="false" customHeight="false" outlineLevel="0" collapsed="false">
      <c r="A1919" s="1" t="s">
        <v>1222</v>
      </c>
      <c r="B1919" s="1" t="n">
        <v>4</v>
      </c>
      <c r="C1919" s="5" t="n">
        <v>46288</v>
      </c>
      <c r="D1919" s="6" t="s">
        <v>344</v>
      </c>
      <c r="E1919" s="6" t="s">
        <v>289</v>
      </c>
      <c r="F1919" s="6" t="s">
        <v>73</v>
      </c>
      <c r="G1919" s="6" t="s">
        <v>57</v>
      </c>
      <c r="H1919" s="6" t="s">
        <v>74</v>
      </c>
      <c r="I1919" s="1" t="n">
        <v>2</v>
      </c>
      <c r="J1919" s="7" t="n">
        <v>4149.36</v>
      </c>
      <c r="K1919" s="8" t="n">
        <v>0.1</v>
      </c>
      <c r="L1919" s="7" t="n">
        <v>3399.5</v>
      </c>
      <c r="M1919" s="6" t="s">
        <v>49</v>
      </c>
      <c r="N1919" s="6" t="s">
        <v>52</v>
      </c>
      <c r="O1919" s="6" t="n">
        <f aca="false">IF(TablaVentas[[#This Row],[Precio_unitario]]="","PENDIENTE",TablaVentas[[#This Row],[Unidades]]*TablaVentas[[#This Row],[Precio_unitario]]*(1-TablaVentas[[#This Row],[Descuento_pct]]))</f>
        <v>7468.848</v>
      </c>
      <c r="P1919" s="6" t="n">
        <f aca="false">IF(TablaVentas[[#This Row],[Costo_unitario]]="","PENDIENTE",TablaVentas[[#This Row],[Unidades]]*TablaVentas[[#This Row],[Costo_unitario]])</f>
        <v>6799</v>
      </c>
      <c r="Q1919" s="6" t="n">
        <f aca="false">IF(OR(TablaVentas[[#This Row],[Ingreso_neto]]="PENDIENTE",TablaVentas[[#This Row],[Costo_total]]="PENDIENTE"),"PENDIENTE",TablaVentas[[#This Row],[Ingreso_neto]]-TablaVentas[[#This Row],[Costo_total]])</f>
        <v>669.848</v>
      </c>
    </row>
    <row r="1920" customFormat="false" ht="13.5" hidden="false" customHeight="false" outlineLevel="0" collapsed="false">
      <c r="A1920" s="1" t="s">
        <v>1223</v>
      </c>
      <c r="B1920" s="1" t="n">
        <v>1</v>
      </c>
      <c r="C1920" s="5" t="n">
        <v>46260</v>
      </c>
      <c r="D1920" s="6" t="s">
        <v>799</v>
      </c>
      <c r="E1920" s="6" t="s">
        <v>218</v>
      </c>
      <c r="F1920" s="6" t="s">
        <v>73</v>
      </c>
      <c r="G1920" s="6" t="s">
        <v>47</v>
      </c>
      <c r="H1920" s="6" t="s">
        <v>74</v>
      </c>
      <c r="I1920" s="1" t="n">
        <v>3</v>
      </c>
      <c r="J1920" s="7" t="n">
        <v>17323.29</v>
      </c>
      <c r="K1920" s="8" t="n">
        <v>0.15</v>
      </c>
      <c r="L1920" s="7" t="n">
        <v>13760.53</v>
      </c>
      <c r="M1920" s="6" t="s">
        <v>49</v>
      </c>
      <c r="N1920" s="6" t="s">
        <v>52</v>
      </c>
      <c r="O1920" s="6" t="n">
        <f aca="false">IF(TablaVentas[[#This Row],[Precio_unitario]]="","PENDIENTE",TablaVentas[[#This Row],[Unidades]]*TablaVentas[[#This Row],[Precio_unitario]]*(1-TablaVentas[[#This Row],[Descuento_pct]]))</f>
        <v>44174.3895</v>
      </c>
      <c r="P1920" s="6" t="n">
        <f aca="false">IF(TablaVentas[[#This Row],[Costo_unitario]]="","PENDIENTE",TablaVentas[[#This Row],[Unidades]]*TablaVentas[[#This Row],[Costo_unitario]])</f>
        <v>41281.59</v>
      </c>
      <c r="Q1920" s="6" t="n">
        <f aca="false">IF(OR(TablaVentas[[#This Row],[Ingreso_neto]]="PENDIENTE",TablaVentas[[#This Row],[Costo_total]]="PENDIENTE"),"PENDIENTE",TablaVentas[[#This Row],[Ingreso_neto]]-TablaVentas[[#This Row],[Costo_total]])</f>
        <v>2892.79949999999</v>
      </c>
    </row>
    <row r="1921" customFormat="false" ht="13.5" hidden="false" customHeight="false" outlineLevel="0" collapsed="false">
      <c r="A1921" s="1" t="s">
        <v>1224</v>
      </c>
      <c r="B1921" s="1" t="n">
        <v>1</v>
      </c>
      <c r="C1921" s="5" t="n">
        <v>46278</v>
      </c>
      <c r="D1921" s="6" t="s">
        <v>115</v>
      </c>
      <c r="E1921" s="6" t="s">
        <v>146</v>
      </c>
      <c r="F1921" s="6" t="s">
        <v>84</v>
      </c>
      <c r="G1921" s="6" t="s">
        <v>64</v>
      </c>
      <c r="H1921" s="6" t="s">
        <v>191</v>
      </c>
      <c r="I1921" s="1" t="n">
        <v>1</v>
      </c>
      <c r="J1921" s="7" t="n">
        <v>10278.58</v>
      </c>
      <c r="K1921" s="8" t="n">
        <v>0.2</v>
      </c>
      <c r="L1921" s="7" t="n">
        <v>8002.16</v>
      </c>
      <c r="M1921" s="6" t="s">
        <v>49</v>
      </c>
      <c r="N1921" s="6" t="s">
        <v>67</v>
      </c>
      <c r="O1921" s="6" t="n">
        <f aca="false">IF(TablaVentas[[#This Row],[Precio_unitario]]="","PENDIENTE",TablaVentas[[#This Row],[Unidades]]*TablaVentas[[#This Row],[Precio_unitario]]*(1-TablaVentas[[#This Row],[Descuento_pct]]))</f>
        <v>8222.864</v>
      </c>
      <c r="P1921" s="6" t="n">
        <f aca="false">IF(TablaVentas[[#This Row],[Costo_unitario]]="","PENDIENTE",TablaVentas[[#This Row],[Unidades]]*TablaVentas[[#This Row],[Costo_unitario]])</f>
        <v>8002.16</v>
      </c>
      <c r="Q1921" s="6" t="n">
        <f aca="false">IF(OR(TablaVentas[[#This Row],[Ingreso_neto]]="PENDIENTE",TablaVentas[[#This Row],[Costo_total]]="PENDIENTE"),"PENDIENTE",TablaVentas[[#This Row],[Ingreso_neto]]-TablaVentas[[#This Row],[Costo_total]])</f>
        <v>220.704</v>
      </c>
    </row>
    <row r="1922" customFormat="false" ht="13.5" hidden="false" customHeight="false" outlineLevel="0" collapsed="false">
      <c r="A1922" s="1" t="s">
        <v>1224</v>
      </c>
      <c r="B1922" s="1" t="n">
        <v>2</v>
      </c>
      <c r="C1922" s="5" t="n">
        <v>46278</v>
      </c>
      <c r="D1922" s="6" t="s">
        <v>115</v>
      </c>
      <c r="E1922" s="6" t="s">
        <v>200</v>
      </c>
      <c r="F1922" s="6" t="s">
        <v>84</v>
      </c>
      <c r="G1922" s="6" t="s">
        <v>64</v>
      </c>
      <c r="H1922" s="6" t="s">
        <v>191</v>
      </c>
      <c r="I1922" s="1" t="n">
        <v>1</v>
      </c>
      <c r="J1922" s="7" t="n">
        <v>10810.2</v>
      </c>
      <c r="K1922" s="8" t="n">
        <v>0.2</v>
      </c>
      <c r="L1922" s="7" t="n">
        <v>5811.72</v>
      </c>
      <c r="M1922" s="6" t="s">
        <v>49</v>
      </c>
      <c r="N1922" s="6" t="s">
        <v>59</v>
      </c>
      <c r="O1922" s="6" t="n">
        <f aca="false">IF(TablaVentas[[#This Row],[Precio_unitario]]="","PENDIENTE",TablaVentas[[#This Row],[Unidades]]*TablaVentas[[#This Row],[Precio_unitario]]*(1-TablaVentas[[#This Row],[Descuento_pct]]))</f>
        <v>8648.16</v>
      </c>
      <c r="P1922" s="6" t="n">
        <f aca="false">IF(TablaVentas[[#This Row],[Costo_unitario]]="","PENDIENTE",TablaVentas[[#This Row],[Unidades]]*TablaVentas[[#This Row],[Costo_unitario]])</f>
        <v>5811.72</v>
      </c>
      <c r="Q1922" s="6" t="n">
        <f aca="false">IF(OR(TablaVentas[[#This Row],[Ingreso_neto]]="PENDIENTE",TablaVentas[[#This Row],[Costo_total]]="PENDIENTE"),"PENDIENTE",TablaVentas[[#This Row],[Ingreso_neto]]-TablaVentas[[#This Row],[Costo_total]])</f>
        <v>2836.44</v>
      </c>
    </row>
    <row r="1923" customFormat="false" ht="13.5" hidden="false" customHeight="false" outlineLevel="0" collapsed="false">
      <c r="A1923" s="1" t="s">
        <v>1224</v>
      </c>
      <c r="B1923" s="1" t="n">
        <v>3</v>
      </c>
      <c r="C1923" s="5" t="n">
        <v>46278</v>
      </c>
      <c r="D1923" s="6" t="s">
        <v>115</v>
      </c>
      <c r="E1923" s="6" t="s">
        <v>278</v>
      </c>
      <c r="F1923" s="6" t="s">
        <v>84</v>
      </c>
      <c r="G1923" s="6" t="s">
        <v>64</v>
      </c>
      <c r="H1923" s="6" t="s">
        <v>191</v>
      </c>
      <c r="I1923" s="1" t="n">
        <v>2</v>
      </c>
      <c r="J1923" s="7" t="n">
        <v>1075</v>
      </c>
      <c r="K1923" s="8" t="n">
        <v>0</v>
      </c>
      <c r="L1923" s="7" t="n">
        <v>759.03</v>
      </c>
      <c r="M1923" s="6" t="s">
        <v>49</v>
      </c>
      <c r="N1923" s="6" t="s">
        <v>52</v>
      </c>
      <c r="O1923" s="6" t="n">
        <f aca="false">IF(TablaVentas[[#This Row],[Precio_unitario]]="","PENDIENTE",TablaVentas[[#This Row],[Unidades]]*TablaVentas[[#This Row],[Precio_unitario]]*(1-TablaVentas[[#This Row],[Descuento_pct]]))</f>
        <v>2150</v>
      </c>
      <c r="P1923" s="6" t="n">
        <f aca="false">IF(TablaVentas[[#This Row],[Costo_unitario]]="","PENDIENTE",TablaVentas[[#This Row],[Unidades]]*TablaVentas[[#This Row],[Costo_unitario]])</f>
        <v>1518.06</v>
      </c>
      <c r="Q1923" s="6" t="n">
        <f aca="false">IF(OR(TablaVentas[[#This Row],[Ingreso_neto]]="PENDIENTE",TablaVentas[[#This Row],[Costo_total]]="PENDIENTE"),"PENDIENTE",TablaVentas[[#This Row],[Ingreso_neto]]-TablaVentas[[#This Row],[Costo_total]])</f>
        <v>631.94</v>
      </c>
    </row>
    <row r="1924" customFormat="false" ht="13.5" hidden="false" customHeight="false" outlineLevel="0" collapsed="false">
      <c r="A1924" s="1" t="s">
        <v>1224</v>
      </c>
      <c r="B1924" s="1" t="n">
        <v>4</v>
      </c>
      <c r="C1924" s="5" t="n">
        <v>46278</v>
      </c>
      <c r="D1924" s="6" t="s">
        <v>115</v>
      </c>
      <c r="E1924" s="6" t="s">
        <v>163</v>
      </c>
      <c r="F1924" s="6" t="s">
        <v>84</v>
      </c>
      <c r="G1924" s="6" t="s">
        <v>64</v>
      </c>
      <c r="H1924" s="6" t="s">
        <v>191</v>
      </c>
      <c r="I1924" s="1" t="n">
        <v>1</v>
      </c>
      <c r="J1924" s="7" t="n">
        <v>17242.97</v>
      </c>
      <c r="K1924" s="8" t="n">
        <v>0</v>
      </c>
      <c r="L1924" s="7" t="n">
        <v>13981.13</v>
      </c>
      <c r="M1924" s="6" t="s">
        <v>123</v>
      </c>
      <c r="N1924" s="6" t="s">
        <v>52</v>
      </c>
      <c r="O1924" s="6" t="n">
        <f aca="false">IF(TablaVentas[[#This Row],[Precio_unitario]]="","PENDIENTE",TablaVentas[[#This Row],[Unidades]]*TablaVentas[[#This Row],[Precio_unitario]]*(1-TablaVentas[[#This Row],[Descuento_pct]]))</f>
        <v>17242.97</v>
      </c>
      <c r="P1924" s="6" t="n">
        <f aca="false">IF(TablaVentas[[#This Row],[Costo_unitario]]="","PENDIENTE",TablaVentas[[#This Row],[Unidades]]*TablaVentas[[#This Row],[Costo_unitario]])</f>
        <v>13981.13</v>
      </c>
      <c r="Q1924" s="6" t="n">
        <f aca="false">IF(OR(TablaVentas[[#This Row],[Ingreso_neto]]="PENDIENTE",TablaVentas[[#This Row],[Costo_total]]="PENDIENTE"),"PENDIENTE",TablaVentas[[#This Row],[Ingreso_neto]]-TablaVentas[[#This Row],[Costo_total]])</f>
        <v>3261.84</v>
      </c>
    </row>
    <row r="1925" customFormat="false" ht="13.5" hidden="false" customHeight="false" outlineLevel="0" collapsed="false">
      <c r="A1925" s="1" t="s">
        <v>1224</v>
      </c>
      <c r="B1925" s="1" t="n">
        <v>5</v>
      </c>
      <c r="C1925" s="5" t="n">
        <v>46278</v>
      </c>
      <c r="D1925" s="6" t="s">
        <v>115</v>
      </c>
      <c r="E1925" s="6" t="s">
        <v>234</v>
      </c>
      <c r="F1925" s="6" t="s">
        <v>84</v>
      </c>
      <c r="G1925" s="6" t="s">
        <v>64</v>
      </c>
      <c r="H1925" s="6" t="s">
        <v>191</v>
      </c>
      <c r="I1925" s="1" t="n">
        <v>4</v>
      </c>
      <c r="J1925" s="7" t="n">
        <v>8195.83</v>
      </c>
      <c r="K1925" s="8" t="n">
        <v>0.15</v>
      </c>
      <c r="L1925" s="7" t="n">
        <v>6255.13</v>
      </c>
      <c r="M1925" s="6" t="s">
        <v>49</v>
      </c>
      <c r="N1925" s="6" t="s">
        <v>59</v>
      </c>
      <c r="O1925" s="6" t="n">
        <f aca="false">IF(TablaVentas[[#This Row],[Precio_unitario]]="","PENDIENTE",TablaVentas[[#This Row],[Unidades]]*TablaVentas[[#This Row],[Precio_unitario]]*(1-TablaVentas[[#This Row],[Descuento_pct]]))</f>
        <v>27865.822</v>
      </c>
      <c r="P1925" s="6" t="n">
        <f aca="false">IF(TablaVentas[[#This Row],[Costo_unitario]]="","PENDIENTE",TablaVentas[[#This Row],[Unidades]]*TablaVentas[[#This Row],[Costo_unitario]])</f>
        <v>25020.52</v>
      </c>
      <c r="Q1925" s="6" t="n">
        <f aca="false">IF(OR(TablaVentas[[#This Row],[Ingreso_neto]]="PENDIENTE",TablaVentas[[#This Row],[Costo_total]]="PENDIENTE"),"PENDIENTE",TablaVentas[[#This Row],[Ingreso_neto]]-TablaVentas[[#This Row],[Costo_total]])</f>
        <v>2845.302</v>
      </c>
    </row>
    <row r="1926" customFormat="false" ht="13.5" hidden="false" customHeight="false" outlineLevel="0" collapsed="false">
      <c r="A1926" s="1" t="s">
        <v>1225</v>
      </c>
      <c r="B1926" s="1" t="n">
        <v>1</v>
      </c>
      <c r="C1926" s="5" t="n">
        <v>46207</v>
      </c>
      <c r="D1926" s="6" t="s">
        <v>1014</v>
      </c>
      <c r="E1926" s="6" t="s">
        <v>289</v>
      </c>
      <c r="F1926" s="6" t="s">
        <v>63</v>
      </c>
      <c r="G1926" s="6" t="s">
        <v>47</v>
      </c>
      <c r="H1926" s="6" t="s">
        <v>136</v>
      </c>
      <c r="I1926" s="1" t="n">
        <v>3</v>
      </c>
      <c r="J1926" s="7" t="n">
        <v>4294.58</v>
      </c>
      <c r="K1926" s="8" t="n">
        <v>0.1</v>
      </c>
      <c r="L1926" s="7" t="n">
        <v>3399.5</v>
      </c>
      <c r="M1926" s="6" t="s">
        <v>49</v>
      </c>
      <c r="N1926" s="6" t="s">
        <v>52</v>
      </c>
      <c r="O1926" s="6" t="n">
        <f aca="false">IF(TablaVentas[[#This Row],[Precio_unitario]]="","PENDIENTE",TablaVentas[[#This Row],[Unidades]]*TablaVentas[[#This Row],[Precio_unitario]]*(1-TablaVentas[[#This Row],[Descuento_pct]]))</f>
        <v>11595.366</v>
      </c>
      <c r="P1926" s="6" t="n">
        <f aca="false">IF(TablaVentas[[#This Row],[Costo_unitario]]="","PENDIENTE",TablaVentas[[#This Row],[Unidades]]*TablaVentas[[#This Row],[Costo_unitario]])</f>
        <v>10198.5</v>
      </c>
      <c r="Q1926" s="6" t="n">
        <f aca="false">IF(OR(TablaVentas[[#This Row],[Ingreso_neto]]="PENDIENTE",TablaVentas[[#This Row],[Costo_total]]="PENDIENTE"),"PENDIENTE",TablaVentas[[#This Row],[Ingreso_neto]]-TablaVentas[[#This Row],[Costo_total]])</f>
        <v>1396.866</v>
      </c>
    </row>
    <row r="1927" customFormat="false" ht="13.5" hidden="false" customHeight="false" outlineLevel="0" collapsed="false">
      <c r="A1927" s="1" t="s">
        <v>1226</v>
      </c>
      <c r="B1927" s="1" t="n">
        <v>1</v>
      </c>
      <c r="C1927" s="5" t="n">
        <v>46207</v>
      </c>
      <c r="D1927" s="6" t="s">
        <v>336</v>
      </c>
      <c r="E1927" s="6" t="s">
        <v>179</v>
      </c>
      <c r="F1927" s="6" t="s">
        <v>46</v>
      </c>
      <c r="G1927" s="6" t="s">
        <v>47</v>
      </c>
      <c r="H1927" s="6" t="s">
        <v>58</v>
      </c>
      <c r="I1927" s="1" t="n">
        <v>1</v>
      </c>
      <c r="J1927" s="7" t="n">
        <v>17609</v>
      </c>
      <c r="K1927" s="8" t="n">
        <v>0</v>
      </c>
      <c r="L1927" s="7" t="n">
        <v>10830.17</v>
      </c>
      <c r="M1927" s="6" t="s">
        <v>69</v>
      </c>
      <c r="N1927" s="6" t="s">
        <v>52</v>
      </c>
      <c r="O1927" s="6" t="n">
        <f aca="false">IF(TablaVentas[[#This Row],[Precio_unitario]]="","PENDIENTE",TablaVentas[[#This Row],[Unidades]]*TablaVentas[[#This Row],[Precio_unitario]]*(1-TablaVentas[[#This Row],[Descuento_pct]]))</f>
        <v>17609</v>
      </c>
      <c r="P1927" s="6" t="n">
        <f aca="false">IF(TablaVentas[[#This Row],[Costo_unitario]]="","PENDIENTE",TablaVentas[[#This Row],[Unidades]]*TablaVentas[[#This Row],[Costo_unitario]])</f>
        <v>10830.17</v>
      </c>
      <c r="Q1927" s="6" t="n">
        <f aca="false">IF(OR(TablaVentas[[#This Row],[Ingreso_neto]]="PENDIENTE",TablaVentas[[#This Row],[Costo_total]]="PENDIENTE"),"PENDIENTE",TablaVentas[[#This Row],[Ingreso_neto]]-TablaVentas[[#This Row],[Costo_total]])</f>
        <v>6778.83</v>
      </c>
    </row>
    <row r="1928" customFormat="false" ht="13.5" hidden="false" customHeight="false" outlineLevel="0" collapsed="false">
      <c r="A1928" s="1" t="s">
        <v>1226</v>
      </c>
      <c r="B1928" s="1" t="n">
        <v>2</v>
      </c>
      <c r="C1928" s="5" t="n">
        <v>46207</v>
      </c>
      <c r="D1928" s="6" t="s">
        <v>336</v>
      </c>
      <c r="E1928" s="6" t="s">
        <v>360</v>
      </c>
      <c r="F1928" s="6" t="s">
        <v>46</v>
      </c>
      <c r="G1928" s="6" t="s">
        <v>47</v>
      </c>
      <c r="H1928" s="6" t="s">
        <v>58</v>
      </c>
      <c r="I1928" s="1" t="n">
        <v>1</v>
      </c>
      <c r="J1928" s="7" t="n">
        <v>2110.91</v>
      </c>
      <c r="K1928" s="8" t="n">
        <v>0.2</v>
      </c>
      <c r="L1928" s="7" t="n">
        <v>1479.71</v>
      </c>
      <c r="M1928" s="6" t="s">
        <v>123</v>
      </c>
      <c r="N1928" s="6" t="s">
        <v>50</v>
      </c>
      <c r="O1928" s="6" t="n">
        <f aca="false">IF(TablaVentas[[#This Row],[Precio_unitario]]="","PENDIENTE",TablaVentas[[#This Row],[Unidades]]*TablaVentas[[#This Row],[Precio_unitario]]*(1-TablaVentas[[#This Row],[Descuento_pct]]))</f>
        <v>1688.728</v>
      </c>
      <c r="P1928" s="6" t="n">
        <f aca="false">IF(TablaVentas[[#This Row],[Costo_unitario]]="","PENDIENTE",TablaVentas[[#This Row],[Unidades]]*TablaVentas[[#This Row],[Costo_unitario]])</f>
        <v>1479.71</v>
      </c>
      <c r="Q1928" s="6" t="n">
        <f aca="false">IF(OR(TablaVentas[[#This Row],[Ingreso_neto]]="PENDIENTE",TablaVentas[[#This Row],[Costo_total]]="PENDIENTE"),"PENDIENTE",TablaVentas[[#This Row],[Ingreso_neto]]-TablaVentas[[#This Row],[Costo_total]])</f>
        <v>209.018</v>
      </c>
    </row>
    <row r="1929" customFormat="false" ht="13.5" hidden="false" customHeight="false" outlineLevel="0" collapsed="false">
      <c r="A1929" s="1" t="s">
        <v>1226</v>
      </c>
      <c r="B1929" s="1" t="n">
        <v>3</v>
      </c>
      <c r="C1929" s="5" t="n">
        <v>46207</v>
      </c>
      <c r="D1929" s="6" t="s">
        <v>336</v>
      </c>
      <c r="E1929" s="6" t="s">
        <v>263</v>
      </c>
      <c r="F1929" s="6" t="s">
        <v>46</v>
      </c>
      <c r="G1929" s="6" t="s">
        <v>47</v>
      </c>
      <c r="H1929" s="6" t="s">
        <v>58</v>
      </c>
      <c r="I1929" s="1" t="n">
        <v>1</v>
      </c>
      <c r="J1929" s="7" t="n">
        <v>17244.83</v>
      </c>
      <c r="K1929" s="8" t="n">
        <v>0</v>
      </c>
      <c r="L1929" s="7" t="n">
        <v>11666.57</v>
      </c>
      <c r="M1929" s="6" t="s">
        <v>49</v>
      </c>
      <c r="N1929" s="6" t="s">
        <v>50</v>
      </c>
      <c r="O1929" s="6" t="n">
        <f aca="false">IF(TablaVentas[[#This Row],[Precio_unitario]]="","PENDIENTE",TablaVentas[[#This Row],[Unidades]]*TablaVentas[[#This Row],[Precio_unitario]]*(1-TablaVentas[[#This Row],[Descuento_pct]]))</f>
        <v>17244.83</v>
      </c>
      <c r="P1929" s="6" t="n">
        <f aca="false">IF(TablaVentas[[#This Row],[Costo_unitario]]="","PENDIENTE",TablaVentas[[#This Row],[Unidades]]*TablaVentas[[#This Row],[Costo_unitario]])</f>
        <v>11666.57</v>
      </c>
      <c r="Q1929" s="6" t="n">
        <f aca="false">IF(OR(TablaVentas[[#This Row],[Ingreso_neto]]="PENDIENTE",TablaVentas[[#This Row],[Costo_total]]="PENDIENTE"),"PENDIENTE",TablaVentas[[#This Row],[Ingreso_neto]]-TablaVentas[[#This Row],[Costo_total]])</f>
        <v>5578.26</v>
      </c>
    </row>
    <row r="1930" customFormat="false" ht="13.5" hidden="false" customHeight="false" outlineLevel="0" collapsed="false">
      <c r="A1930" s="1" t="s">
        <v>1227</v>
      </c>
      <c r="B1930" s="1" t="n">
        <v>1</v>
      </c>
      <c r="C1930" s="5" t="n">
        <v>46223</v>
      </c>
      <c r="D1930" s="6" t="s">
        <v>341</v>
      </c>
      <c r="E1930" s="6" t="s">
        <v>66</v>
      </c>
      <c r="F1930" s="6" t="s">
        <v>63</v>
      </c>
      <c r="G1930" s="6" t="s">
        <v>64</v>
      </c>
      <c r="H1930" s="6" t="s">
        <v>65</v>
      </c>
      <c r="I1930" s="1" t="n">
        <v>8</v>
      </c>
      <c r="J1930" s="7" t="n">
        <v>14801.84</v>
      </c>
      <c r="K1930" s="8" t="n">
        <v>0.05</v>
      </c>
      <c r="L1930" s="7" t="n">
        <v>10170.29</v>
      </c>
      <c r="M1930" s="6" t="s">
        <v>49</v>
      </c>
      <c r="N1930" s="6" t="s">
        <v>67</v>
      </c>
      <c r="O1930" s="6" t="n">
        <f aca="false">IF(TablaVentas[[#This Row],[Precio_unitario]]="","PENDIENTE",TablaVentas[[#This Row],[Unidades]]*TablaVentas[[#This Row],[Precio_unitario]]*(1-TablaVentas[[#This Row],[Descuento_pct]]))</f>
        <v>112493.984</v>
      </c>
      <c r="P1930" s="6" t="n">
        <f aca="false">IF(TablaVentas[[#This Row],[Costo_unitario]]="","PENDIENTE",TablaVentas[[#This Row],[Unidades]]*TablaVentas[[#This Row],[Costo_unitario]])</f>
        <v>81362.32</v>
      </c>
      <c r="Q1930" s="6" t="n">
        <f aca="false">IF(OR(TablaVentas[[#This Row],[Ingreso_neto]]="PENDIENTE",TablaVentas[[#This Row],[Costo_total]]="PENDIENTE"),"PENDIENTE",TablaVentas[[#This Row],[Ingreso_neto]]-TablaVentas[[#This Row],[Costo_total]])</f>
        <v>31131.664</v>
      </c>
    </row>
    <row r="1931" customFormat="false" ht="13.5" hidden="false" customHeight="false" outlineLevel="0" collapsed="false">
      <c r="A1931" s="1" t="s">
        <v>1227</v>
      </c>
      <c r="B1931" s="1" t="n">
        <v>2</v>
      </c>
      <c r="C1931" s="5" t="n">
        <v>46223</v>
      </c>
      <c r="D1931" s="6" t="s">
        <v>341</v>
      </c>
      <c r="E1931" s="6" t="s">
        <v>132</v>
      </c>
      <c r="F1931" s="6" t="s">
        <v>63</v>
      </c>
      <c r="G1931" s="6" t="s">
        <v>64</v>
      </c>
      <c r="H1931" s="6" t="s">
        <v>65</v>
      </c>
      <c r="I1931" s="1" t="n">
        <v>3</v>
      </c>
      <c r="J1931" s="7" t="n">
        <v>1835.98</v>
      </c>
      <c r="K1931" s="8" t="n">
        <v>0</v>
      </c>
      <c r="L1931" s="7" t="n">
        <v>1044.32</v>
      </c>
      <c r="M1931" s="6" t="s">
        <v>49</v>
      </c>
      <c r="N1931" s="6" t="s">
        <v>52</v>
      </c>
      <c r="O1931" s="6" t="n">
        <f aca="false">IF(TablaVentas[[#This Row],[Precio_unitario]]="","PENDIENTE",TablaVentas[[#This Row],[Unidades]]*TablaVentas[[#This Row],[Precio_unitario]]*(1-TablaVentas[[#This Row],[Descuento_pct]]))</f>
        <v>5507.94</v>
      </c>
      <c r="P1931" s="6" t="n">
        <f aca="false">IF(TablaVentas[[#This Row],[Costo_unitario]]="","PENDIENTE",TablaVentas[[#This Row],[Unidades]]*TablaVentas[[#This Row],[Costo_unitario]])</f>
        <v>3132.96</v>
      </c>
      <c r="Q1931" s="6" t="n">
        <f aca="false">IF(OR(TablaVentas[[#This Row],[Ingreso_neto]]="PENDIENTE",TablaVentas[[#This Row],[Costo_total]]="PENDIENTE"),"PENDIENTE",TablaVentas[[#This Row],[Ingreso_neto]]-TablaVentas[[#This Row],[Costo_total]])</f>
        <v>2374.98</v>
      </c>
    </row>
    <row r="1932" customFormat="false" ht="13.5" hidden="false" customHeight="false" outlineLevel="0" collapsed="false">
      <c r="A1932" s="1" t="s">
        <v>1227</v>
      </c>
      <c r="B1932" s="1" t="n">
        <v>3</v>
      </c>
      <c r="C1932" s="5" t="n">
        <v>46223</v>
      </c>
      <c r="D1932" s="6" t="s">
        <v>341</v>
      </c>
      <c r="E1932" s="6" t="s">
        <v>243</v>
      </c>
      <c r="F1932" s="6" t="s">
        <v>63</v>
      </c>
      <c r="G1932" s="6" t="s">
        <v>64</v>
      </c>
      <c r="H1932" s="6" t="s">
        <v>65</v>
      </c>
      <c r="I1932" s="1" t="n">
        <v>2</v>
      </c>
      <c r="J1932" s="7" t="n">
        <v>9557.42</v>
      </c>
      <c r="K1932" s="8" t="n">
        <v>0</v>
      </c>
      <c r="L1932" s="7" t="n">
        <v>8061.7</v>
      </c>
      <c r="M1932" s="6" t="s">
        <v>49</v>
      </c>
      <c r="N1932" s="6" t="s">
        <v>52</v>
      </c>
      <c r="O1932" s="6" t="n">
        <f aca="false">IF(TablaVentas[[#This Row],[Precio_unitario]]="","PENDIENTE",TablaVentas[[#This Row],[Unidades]]*TablaVentas[[#This Row],[Precio_unitario]]*(1-TablaVentas[[#This Row],[Descuento_pct]]))</f>
        <v>19114.84</v>
      </c>
      <c r="P1932" s="6" t="n">
        <f aca="false">IF(TablaVentas[[#This Row],[Costo_unitario]]="","PENDIENTE",TablaVentas[[#This Row],[Unidades]]*TablaVentas[[#This Row],[Costo_unitario]])</f>
        <v>16123.4</v>
      </c>
      <c r="Q1932" s="6" t="n">
        <f aca="false">IF(OR(TablaVentas[[#This Row],[Ingreso_neto]]="PENDIENTE",TablaVentas[[#This Row],[Costo_total]]="PENDIENTE"),"PENDIENTE",TablaVentas[[#This Row],[Ingreso_neto]]-TablaVentas[[#This Row],[Costo_total]])</f>
        <v>2991.44</v>
      </c>
    </row>
    <row r="1933" customFormat="false" ht="13.5" hidden="false" customHeight="false" outlineLevel="0" collapsed="false">
      <c r="A1933" s="1" t="s">
        <v>1227</v>
      </c>
      <c r="B1933" s="1" t="n">
        <v>4</v>
      </c>
      <c r="C1933" s="5" t="n">
        <v>46223</v>
      </c>
      <c r="D1933" s="6" t="s">
        <v>341</v>
      </c>
      <c r="E1933" s="6" t="s">
        <v>77</v>
      </c>
      <c r="F1933" s="6" t="s">
        <v>63</v>
      </c>
      <c r="G1933" s="6" t="s">
        <v>64</v>
      </c>
      <c r="H1933" s="6" t="s">
        <v>65</v>
      </c>
      <c r="I1933" s="1" t="n">
        <v>8</v>
      </c>
      <c r="J1933" s="7" t="n">
        <v>14308.34</v>
      </c>
      <c r="K1933" s="8" t="n">
        <v>0.05</v>
      </c>
      <c r="L1933" s="7" t="n">
        <v>10571.25</v>
      </c>
      <c r="M1933" s="6" t="s">
        <v>49</v>
      </c>
      <c r="N1933" s="6" t="s">
        <v>52</v>
      </c>
      <c r="O1933" s="6" t="n">
        <f aca="false">IF(TablaVentas[[#This Row],[Precio_unitario]]="","PENDIENTE",TablaVentas[[#This Row],[Unidades]]*TablaVentas[[#This Row],[Precio_unitario]]*(1-TablaVentas[[#This Row],[Descuento_pct]]))</f>
        <v>108743.384</v>
      </c>
      <c r="P1933" s="6" t="n">
        <f aca="false">IF(TablaVentas[[#This Row],[Costo_unitario]]="","PENDIENTE",TablaVentas[[#This Row],[Unidades]]*TablaVentas[[#This Row],[Costo_unitario]])</f>
        <v>84570</v>
      </c>
      <c r="Q1933" s="6" t="n">
        <f aca="false">IF(OR(TablaVentas[[#This Row],[Ingreso_neto]]="PENDIENTE",TablaVentas[[#This Row],[Costo_total]]="PENDIENTE"),"PENDIENTE",TablaVentas[[#This Row],[Ingreso_neto]]-TablaVentas[[#This Row],[Costo_total]])</f>
        <v>24173.384</v>
      </c>
    </row>
    <row r="1934" customFormat="false" ht="13.5" hidden="false" customHeight="false" outlineLevel="0" collapsed="false">
      <c r="A1934" s="1" t="s">
        <v>1228</v>
      </c>
      <c r="B1934" s="1" t="n">
        <v>1</v>
      </c>
      <c r="C1934" s="5" t="n">
        <v>46093</v>
      </c>
      <c r="D1934" s="6" t="s">
        <v>1229</v>
      </c>
      <c r="E1934" s="6" t="s">
        <v>225</v>
      </c>
      <c r="F1934" s="6" t="s">
        <v>84</v>
      </c>
      <c r="G1934" s="6" t="s">
        <v>47</v>
      </c>
      <c r="H1934" s="6" t="s">
        <v>74</v>
      </c>
      <c r="I1934" s="1" t="n">
        <v>2</v>
      </c>
      <c r="J1934" s="7" t="n">
        <v>4867.65</v>
      </c>
      <c r="K1934" s="8" t="n">
        <v>0</v>
      </c>
      <c r="L1934" s="7" t="n">
        <v>2833.97</v>
      </c>
      <c r="M1934" s="6" t="s">
        <v>49</v>
      </c>
      <c r="N1934" s="6" t="s">
        <v>52</v>
      </c>
      <c r="O1934" s="6" t="n">
        <f aca="false">IF(TablaVentas[[#This Row],[Precio_unitario]]="","PENDIENTE",TablaVentas[[#This Row],[Unidades]]*TablaVentas[[#This Row],[Precio_unitario]]*(1-TablaVentas[[#This Row],[Descuento_pct]]))</f>
        <v>9735.3</v>
      </c>
      <c r="P1934" s="6" t="n">
        <f aca="false">IF(TablaVentas[[#This Row],[Costo_unitario]]="","PENDIENTE",TablaVentas[[#This Row],[Unidades]]*TablaVentas[[#This Row],[Costo_unitario]])</f>
        <v>5667.94</v>
      </c>
      <c r="Q1934" s="6" t="n">
        <f aca="false">IF(OR(TablaVentas[[#This Row],[Ingreso_neto]]="PENDIENTE",TablaVentas[[#This Row],[Costo_total]]="PENDIENTE"),"PENDIENTE",TablaVentas[[#This Row],[Ingreso_neto]]-TablaVentas[[#This Row],[Costo_total]])</f>
        <v>4067.36</v>
      </c>
    </row>
    <row r="1935" customFormat="false" ht="13.5" hidden="false" customHeight="false" outlineLevel="0" collapsed="false">
      <c r="A1935" s="1" t="s">
        <v>1228</v>
      </c>
      <c r="B1935" s="1" t="n">
        <v>2</v>
      </c>
      <c r="C1935" s="5" t="n">
        <v>46093</v>
      </c>
      <c r="D1935" s="6" t="s">
        <v>1229</v>
      </c>
      <c r="E1935" s="6" t="s">
        <v>150</v>
      </c>
      <c r="F1935" s="6" t="s">
        <v>84</v>
      </c>
      <c r="G1935" s="6" t="s">
        <v>47</v>
      </c>
      <c r="H1935" s="6" t="s">
        <v>74</v>
      </c>
      <c r="I1935" s="1" t="n">
        <v>1</v>
      </c>
      <c r="J1935" s="7" t="n">
        <v>8951.27</v>
      </c>
      <c r="K1935" s="8" t="n">
        <v>0.2</v>
      </c>
      <c r="L1935" s="7" t="n">
        <v>6815.42</v>
      </c>
      <c r="M1935" s="6" t="s">
        <v>49</v>
      </c>
      <c r="N1935" s="6" t="s">
        <v>50</v>
      </c>
      <c r="O1935" s="6" t="n">
        <f aca="false">IF(TablaVentas[[#This Row],[Precio_unitario]]="","PENDIENTE",TablaVentas[[#This Row],[Unidades]]*TablaVentas[[#This Row],[Precio_unitario]]*(1-TablaVentas[[#This Row],[Descuento_pct]]))</f>
        <v>7161.016</v>
      </c>
      <c r="P1935" s="6" t="n">
        <f aca="false">IF(TablaVentas[[#This Row],[Costo_unitario]]="","PENDIENTE",TablaVentas[[#This Row],[Unidades]]*TablaVentas[[#This Row],[Costo_unitario]])</f>
        <v>6815.42</v>
      </c>
      <c r="Q1935" s="6" t="n">
        <f aca="false">IF(OR(TablaVentas[[#This Row],[Ingreso_neto]]="PENDIENTE",TablaVentas[[#This Row],[Costo_total]]="PENDIENTE"),"PENDIENTE",TablaVentas[[#This Row],[Ingreso_neto]]-TablaVentas[[#This Row],[Costo_total]])</f>
        <v>345.596</v>
      </c>
    </row>
    <row r="1936" customFormat="false" ht="13.5" hidden="false" customHeight="false" outlineLevel="0" collapsed="false">
      <c r="A1936" s="1" t="s">
        <v>1228</v>
      </c>
      <c r="B1936" s="1" t="n">
        <v>3</v>
      </c>
      <c r="C1936" s="5" t="n">
        <v>46093</v>
      </c>
      <c r="D1936" s="6" t="s">
        <v>1229</v>
      </c>
      <c r="E1936" s="6" t="s">
        <v>77</v>
      </c>
      <c r="F1936" s="6" t="s">
        <v>84</v>
      </c>
      <c r="G1936" s="6" t="s">
        <v>47</v>
      </c>
      <c r="H1936" s="6" t="s">
        <v>74</v>
      </c>
      <c r="I1936" s="1" t="n">
        <v>2</v>
      </c>
      <c r="J1936" s="7" t="n">
        <v>15576.95</v>
      </c>
      <c r="K1936" s="8" t="n">
        <v>0.05</v>
      </c>
      <c r="L1936" s="7" t="n">
        <v>10571.25</v>
      </c>
      <c r="M1936" s="6" t="s">
        <v>49</v>
      </c>
      <c r="N1936" s="6" t="s">
        <v>59</v>
      </c>
      <c r="O1936" s="6" t="n">
        <f aca="false">IF(TablaVentas[[#This Row],[Precio_unitario]]="","PENDIENTE",TablaVentas[[#This Row],[Unidades]]*TablaVentas[[#This Row],[Precio_unitario]]*(1-TablaVentas[[#This Row],[Descuento_pct]]))</f>
        <v>29596.205</v>
      </c>
      <c r="P1936" s="6" t="n">
        <f aca="false">IF(TablaVentas[[#This Row],[Costo_unitario]]="","PENDIENTE",TablaVentas[[#This Row],[Unidades]]*TablaVentas[[#This Row],[Costo_unitario]])</f>
        <v>21142.5</v>
      </c>
      <c r="Q1936" s="6" t="n">
        <f aca="false">IF(OR(TablaVentas[[#This Row],[Ingreso_neto]]="PENDIENTE",TablaVentas[[#This Row],[Costo_total]]="PENDIENTE"),"PENDIENTE",TablaVentas[[#This Row],[Ingreso_neto]]-TablaVentas[[#This Row],[Costo_total]])</f>
        <v>8453.705</v>
      </c>
    </row>
    <row r="1937" customFormat="false" ht="13.5" hidden="false" customHeight="false" outlineLevel="0" collapsed="false">
      <c r="A1937" s="1" t="s">
        <v>1230</v>
      </c>
      <c r="B1937" s="1" t="n">
        <v>1</v>
      </c>
      <c r="C1937" s="5" t="n">
        <v>46160</v>
      </c>
      <c r="D1937" s="6" t="s">
        <v>479</v>
      </c>
      <c r="E1937" s="6" t="s">
        <v>122</v>
      </c>
      <c r="F1937" s="6" t="s">
        <v>84</v>
      </c>
      <c r="G1937" s="6" t="s">
        <v>47</v>
      </c>
      <c r="H1937" s="6" t="s">
        <v>191</v>
      </c>
      <c r="I1937" s="1" t="n">
        <v>1</v>
      </c>
      <c r="J1937" s="7" t="n">
        <v>1405.28</v>
      </c>
      <c r="K1937" s="8" t="n">
        <v>0.1</v>
      </c>
      <c r="L1937" s="7" t="n">
        <v>705.87</v>
      </c>
      <c r="M1937" s="6" t="s">
        <v>49</v>
      </c>
      <c r="N1937" s="6" t="s">
        <v>50</v>
      </c>
      <c r="O1937" s="6" t="n">
        <f aca="false">IF(TablaVentas[[#This Row],[Precio_unitario]]="","PENDIENTE",TablaVentas[[#This Row],[Unidades]]*TablaVentas[[#This Row],[Precio_unitario]]*(1-TablaVentas[[#This Row],[Descuento_pct]]))</f>
        <v>1264.752</v>
      </c>
      <c r="P1937" s="6" t="n">
        <f aca="false">IF(TablaVentas[[#This Row],[Costo_unitario]]="","PENDIENTE",TablaVentas[[#This Row],[Unidades]]*TablaVentas[[#This Row],[Costo_unitario]])</f>
        <v>705.87</v>
      </c>
      <c r="Q1937" s="6" t="n">
        <f aca="false">IF(OR(TablaVentas[[#This Row],[Ingreso_neto]]="PENDIENTE",TablaVentas[[#This Row],[Costo_total]]="PENDIENTE"),"PENDIENTE",TablaVentas[[#This Row],[Ingreso_neto]]-TablaVentas[[#This Row],[Costo_total]])</f>
        <v>558.882</v>
      </c>
    </row>
    <row r="1938" customFormat="false" ht="13.5" hidden="false" customHeight="false" outlineLevel="0" collapsed="false">
      <c r="A1938" s="1" t="s">
        <v>1230</v>
      </c>
      <c r="B1938" s="1" t="n">
        <v>2</v>
      </c>
      <c r="C1938" s="5" t="n">
        <v>46160</v>
      </c>
      <c r="D1938" s="6" t="s">
        <v>479</v>
      </c>
      <c r="E1938" s="6" t="s">
        <v>353</v>
      </c>
      <c r="F1938" s="6" t="s">
        <v>84</v>
      </c>
      <c r="G1938" s="6" t="s">
        <v>47</v>
      </c>
      <c r="H1938" s="6" t="s">
        <v>191</v>
      </c>
      <c r="I1938" s="1" t="n">
        <v>2</v>
      </c>
      <c r="J1938" s="7" t="n">
        <v>2145.11</v>
      </c>
      <c r="K1938" s="8" t="n">
        <v>0</v>
      </c>
      <c r="L1938" s="7" t="n">
        <v>1175.74</v>
      </c>
      <c r="M1938" s="6" t="s">
        <v>49</v>
      </c>
      <c r="N1938" s="6" t="s">
        <v>67</v>
      </c>
      <c r="O1938" s="6" t="n">
        <f aca="false">IF(TablaVentas[[#This Row],[Precio_unitario]]="","PENDIENTE",TablaVentas[[#This Row],[Unidades]]*TablaVentas[[#This Row],[Precio_unitario]]*(1-TablaVentas[[#This Row],[Descuento_pct]]))</f>
        <v>4290.22</v>
      </c>
      <c r="P1938" s="6" t="n">
        <f aca="false">IF(TablaVentas[[#This Row],[Costo_unitario]]="","PENDIENTE",TablaVentas[[#This Row],[Unidades]]*TablaVentas[[#This Row],[Costo_unitario]])</f>
        <v>2351.48</v>
      </c>
      <c r="Q1938" s="6" t="n">
        <f aca="false">IF(OR(TablaVentas[[#This Row],[Ingreso_neto]]="PENDIENTE",TablaVentas[[#This Row],[Costo_total]]="PENDIENTE"),"PENDIENTE",TablaVentas[[#This Row],[Ingreso_neto]]-TablaVentas[[#This Row],[Costo_total]])</f>
        <v>1938.74</v>
      </c>
    </row>
    <row r="1939" customFormat="false" ht="13.5" hidden="false" customHeight="false" outlineLevel="0" collapsed="false">
      <c r="A1939" s="1" t="s">
        <v>1230</v>
      </c>
      <c r="B1939" s="1" t="n">
        <v>3</v>
      </c>
      <c r="C1939" s="5" t="n">
        <v>46160</v>
      </c>
      <c r="D1939" s="6" t="s">
        <v>479</v>
      </c>
      <c r="E1939" s="6" t="s">
        <v>45</v>
      </c>
      <c r="F1939" s="6" t="s">
        <v>84</v>
      </c>
      <c r="G1939" s="6" t="s">
        <v>47</v>
      </c>
      <c r="H1939" s="6" t="s">
        <v>191</v>
      </c>
      <c r="I1939" s="1" t="n">
        <v>2</v>
      </c>
      <c r="J1939" s="7" t="n">
        <v>5448.03</v>
      </c>
      <c r="K1939" s="8" t="n">
        <v>0</v>
      </c>
      <c r="L1939" s="7" t="n">
        <v>3832.69</v>
      </c>
      <c r="M1939" s="6" t="s">
        <v>49</v>
      </c>
      <c r="N1939" s="6" t="s">
        <v>52</v>
      </c>
      <c r="O1939" s="6" t="n">
        <f aca="false">IF(TablaVentas[[#This Row],[Precio_unitario]]="","PENDIENTE",TablaVentas[[#This Row],[Unidades]]*TablaVentas[[#This Row],[Precio_unitario]]*(1-TablaVentas[[#This Row],[Descuento_pct]]))</f>
        <v>10896.06</v>
      </c>
      <c r="P1939" s="6" t="n">
        <f aca="false">IF(TablaVentas[[#This Row],[Costo_unitario]]="","PENDIENTE",TablaVentas[[#This Row],[Unidades]]*TablaVentas[[#This Row],[Costo_unitario]])</f>
        <v>7665.38</v>
      </c>
      <c r="Q1939" s="6" t="n">
        <f aca="false">IF(OR(TablaVentas[[#This Row],[Ingreso_neto]]="PENDIENTE",TablaVentas[[#This Row],[Costo_total]]="PENDIENTE"),"PENDIENTE",TablaVentas[[#This Row],[Ingreso_neto]]-TablaVentas[[#This Row],[Costo_total]])</f>
        <v>3230.68</v>
      </c>
    </row>
    <row r="1940" customFormat="false" ht="13.5" hidden="false" customHeight="false" outlineLevel="0" collapsed="false">
      <c r="A1940" s="1" t="s">
        <v>1230</v>
      </c>
      <c r="B1940" s="1" t="n">
        <v>4</v>
      </c>
      <c r="C1940" s="5" t="n">
        <v>46160</v>
      </c>
      <c r="D1940" s="6" t="s">
        <v>479</v>
      </c>
      <c r="E1940" s="6" t="s">
        <v>146</v>
      </c>
      <c r="F1940" s="6" t="s">
        <v>84</v>
      </c>
      <c r="G1940" s="6" t="s">
        <v>47</v>
      </c>
      <c r="H1940" s="6" t="s">
        <v>191</v>
      </c>
      <c r="I1940" s="1" t="n">
        <v>1</v>
      </c>
      <c r="J1940" s="7" t="n">
        <v>10282.08</v>
      </c>
      <c r="K1940" s="8" t="n">
        <v>0.15</v>
      </c>
      <c r="L1940" s="7" t="n">
        <v>8002.16</v>
      </c>
      <c r="M1940" s="6" t="s">
        <v>49</v>
      </c>
      <c r="N1940" s="6" t="s">
        <v>50</v>
      </c>
      <c r="O1940" s="6" t="n">
        <f aca="false">IF(TablaVentas[[#This Row],[Precio_unitario]]="","PENDIENTE",TablaVentas[[#This Row],[Unidades]]*TablaVentas[[#This Row],[Precio_unitario]]*(1-TablaVentas[[#This Row],[Descuento_pct]]))</f>
        <v>8739.768</v>
      </c>
      <c r="P1940" s="6" t="n">
        <f aca="false">IF(TablaVentas[[#This Row],[Costo_unitario]]="","PENDIENTE",TablaVentas[[#This Row],[Unidades]]*TablaVentas[[#This Row],[Costo_unitario]])</f>
        <v>8002.16</v>
      </c>
      <c r="Q1940" s="6" t="n">
        <f aca="false">IF(OR(TablaVentas[[#This Row],[Ingreso_neto]]="PENDIENTE",TablaVentas[[#This Row],[Costo_total]]="PENDIENTE"),"PENDIENTE",TablaVentas[[#This Row],[Ingreso_neto]]-TablaVentas[[#This Row],[Costo_total]])</f>
        <v>737.608</v>
      </c>
    </row>
    <row r="1941" customFormat="false" ht="13.5" hidden="false" customHeight="false" outlineLevel="0" collapsed="false">
      <c r="A1941" s="1" t="s">
        <v>1231</v>
      </c>
      <c r="B1941" s="1" t="n">
        <v>1</v>
      </c>
      <c r="C1941" s="5" t="n">
        <v>46037</v>
      </c>
      <c r="D1941" s="6" t="s">
        <v>529</v>
      </c>
      <c r="E1941" s="6" t="s">
        <v>278</v>
      </c>
      <c r="F1941" s="6" t="s">
        <v>63</v>
      </c>
      <c r="G1941" s="6" t="s">
        <v>47</v>
      </c>
      <c r="H1941" s="6" t="s">
        <v>48</v>
      </c>
      <c r="I1941" s="1" t="n">
        <v>1</v>
      </c>
      <c r="J1941" s="7" t="n">
        <v>1012.75</v>
      </c>
      <c r="K1941" s="8" t="n">
        <v>0</v>
      </c>
      <c r="L1941" s="7" t="n">
        <v>759.03</v>
      </c>
      <c r="M1941" s="6" t="s">
        <v>49</v>
      </c>
      <c r="N1941" s="6" t="s">
        <v>50</v>
      </c>
      <c r="O1941" s="6" t="n">
        <f aca="false">IF(TablaVentas[[#This Row],[Precio_unitario]]="","PENDIENTE",TablaVentas[[#This Row],[Unidades]]*TablaVentas[[#This Row],[Precio_unitario]]*(1-TablaVentas[[#This Row],[Descuento_pct]]))</f>
        <v>1012.75</v>
      </c>
      <c r="P1941" s="6" t="n">
        <f aca="false">IF(TablaVentas[[#This Row],[Costo_unitario]]="","PENDIENTE",TablaVentas[[#This Row],[Unidades]]*TablaVentas[[#This Row],[Costo_unitario]])</f>
        <v>759.03</v>
      </c>
      <c r="Q1941" s="6" t="n">
        <f aca="false">IF(OR(TablaVentas[[#This Row],[Ingreso_neto]]="PENDIENTE",TablaVentas[[#This Row],[Costo_total]]="PENDIENTE"),"PENDIENTE",TablaVentas[[#This Row],[Ingreso_neto]]-TablaVentas[[#This Row],[Costo_total]])</f>
        <v>253.72</v>
      </c>
    </row>
    <row r="1942" customFormat="false" ht="13.5" hidden="false" customHeight="false" outlineLevel="0" collapsed="false">
      <c r="A1942" s="1" t="s">
        <v>1231</v>
      </c>
      <c r="B1942" s="1" t="n">
        <v>2</v>
      </c>
      <c r="C1942" s="5" t="n">
        <v>46037</v>
      </c>
      <c r="D1942" s="6" t="s">
        <v>529</v>
      </c>
      <c r="E1942" s="6" t="s">
        <v>97</v>
      </c>
      <c r="F1942" s="6" t="s">
        <v>63</v>
      </c>
      <c r="G1942" s="6" t="s">
        <v>47</v>
      </c>
      <c r="H1942" s="6" t="s">
        <v>48</v>
      </c>
      <c r="I1942" s="1" t="n">
        <v>1</v>
      </c>
      <c r="J1942" s="7" t="n">
        <v>9893.47</v>
      </c>
      <c r="K1942" s="8" t="n">
        <v>0</v>
      </c>
      <c r="L1942" s="7" t="n">
        <v>8174.87</v>
      </c>
      <c r="M1942" s="6" t="s">
        <v>49</v>
      </c>
      <c r="N1942" s="6" t="s">
        <v>59</v>
      </c>
      <c r="O1942" s="6" t="n">
        <f aca="false">IF(TablaVentas[[#This Row],[Precio_unitario]]="","PENDIENTE",TablaVentas[[#This Row],[Unidades]]*TablaVentas[[#This Row],[Precio_unitario]]*(1-TablaVentas[[#This Row],[Descuento_pct]]))</f>
        <v>9893.47</v>
      </c>
      <c r="P1942" s="6" t="n">
        <f aca="false">IF(TablaVentas[[#This Row],[Costo_unitario]]="","PENDIENTE",TablaVentas[[#This Row],[Unidades]]*TablaVentas[[#This Row],[Costo_unitario]])</f>
        <v>8174.87</v>
      </c>
      <c r="Q1942" s="6" t="n">
        <f aca="false">IF(OR(TablaVentas[[#This Row],[Ingreso_neto]]="PENDIENTE",TablaVentas[[#This Row],[Costo_total]]="PENDIENTE"),"PENDIENTE",TablaVentas[[#This Row],[Ingreso_neto]]-TablaVentas[[#This Row],[Costo_total]])</f>
        <v>1718.6</v>
      </c>
    </row>
    <row r="1943" customFormat="false" ht="13.5" hidden="false" customHeight="false" outlineLevel="0" collapsed="false">
      <c r="A1943" s="1" t="s">
        <v>1231</v>
      </c>
      <c r="B1943" s="1" t="n">
        <v>3</v>
      </c>
      <c r="C1943" s="5" t="n">
        <v>46037</v>
      </c>
      <c r="D1943" s="6" t="s">
        <v>529</v>
      </c>
      <c r="E1943" s="6" t="s">
        <v>182</v>
      </c>
      <c r="F1943" s="6" t="s">
        <v>63</v>
      </c>
      <c r="G1943" s="6" t="s">
        <v>47</v>
      </c>
      <c r="H1943" s="6" t="s">
        <v>48</v>
      </c>
      <c r="I1943" s="1" t="n">
        <v>1</v>
      </c>
      <c r="J1943" s="7" t="n">
        <v>2743.65</v>
      </c>
      <c r="K1943" s="8" t="n">
        <v>0</v>
      </c>
      <c r="L1943" s="7" t="n">
        <v>1857.39</v>
      </c>
      <c r="M1943" s="6" t="s">
        <v>49</v>
      </c>
      <c r="N1943" s="6" t="s">
        <v>52</v>
      </c>
      <c r="O1943" s="6" t="n">
        <f aca="false">IF(TablaVentas[[#This Row],[Precio_unitario]]="","PENDIENTE",TablaVentas[[#This Row],[Unidades]]*TablaVentas[[#This Row],[Precio_unitario]]*(1-TablaVentas[[#This Row],[Descuento_pct]]))</f>
        <v>2743.65</v>
      </c>
      <c r="P1943" s="6" t="n">
        <f aca="false">IF(TablaVentas[[#This Row],[Costo_unitario]]="","PENDIENTE",TablaVentas[[#This Row],[Unidades]]*TablaVentas[[#This Row],[Costo_unitario]])</f>
        <v>1857.39</v>
      </c>
      <c r="Q1943" s="6" t="n">
        <f aca="false">IF(OR(TablaVentas[[#This Row],[Ingreso_neto]]="PENDIENTE",TablaVentas[[#This Row],[Costo_total]]="PENDIENTE"),"PENDIENTE",TablaVentas[[#This Row],[Ingreso_neto]]-TablaVentas[[#This Row],[Costo_total]])</f>
        <v>886.26</v>
      </c>
    </row>
    <row r="1944" customFormat="false" ht="13.5" hidden="false" customHeight="false" outlineLevel="0" collapsed="false">
      <c r="A1944" s="1" t="s">
        <v>1232</v>
      </c>
      <c r="B1944" s="1" t="n">
        <v>1</v>
      </c>
      <c r="C1944" s="5" t="n">
        <v>46270</v>
      </c>
      <c r="D1944" s="6" t="s">
        <v>451</v>
      </c>
      <c r="E1944" s="6" t="s">
        <v>215</v>
      </c>
      <c r="F1944" s="6" t="s">
        <v>84</v>
      </c>
      <c r="G1944" s="6" t="s">
        <v>47</v>
      </c>
      <c r="H1944" s="6" t="s">
        <v>74</v>
      </c>
      <c r="I1944" s="1" t="n">
        <v>2</v>
      </c>
      <c r="J1944" s="7" t="n">
        <v>10688.23</v>
      </c>
      <c r="K1944" s="8" t="n">
        <v>0.15</v>
      </c>
      <c r="L1944" s="7" t="n">
        <v>5535.31</v>
      </c>
      <c r="M1944" s="6" t="s">
        <v>49</v>
      </c>
      <c r="N1944" s="6" t="s">
        <v>52</v>
      </c>
      <c r="O1944" s="6" t="n">
        <f aca="false">IF(TablaVentas[[#This Row],[Precio_unitario]]="","PENDIENTE",TablaVentas[[#This Row],[Unidades]]*TablaVentas[[#This Row],[Precio_unitario]]*(1-TablaVentas[[#This Row],[Descuento_pct]]))</f>
        <v>18169.991</v>
      </c>
      <c r="P1944" s="6" t="n">
        <f aca="false">IF(TablaVentas[[#This Row],[Costo_unitario]]="","PENDIENTE",TablaVentas[[#This Row],[Unidades]]*TablaVentas[[#This Row],[Costo_unitario]])</f>
        <v>11070.62</v>
      </c>
      <c r="Q1944" s="6" t="n">
        <f aca="false">IF(OR(TablaVentas[[#This Row],[Ingreso_neto]]="PENDIENTE",TablaVentas[[#This Row],[Costo_total]]="PENDIENTE"),"PENDIENTE",TablaVentas[[#This Row],[Ingreso_neto]]-TablaVentas[[#This Row],[Costo_total]])</f>
        <v>7099.371</v>
      </c>
    </row>
    <row r="1945" customFormat="false" ht="13.5" hidden="false" customHeight="false" outlineLevel="0" collapsed="false">
      <c r="A1945" s="1" t="s">
        <v>1232</v>
      </c>
      <c r="B1945" s="1" t="n">
        <v>2</v>
      </c>
      <c r="C1945" s="5" t="n">
        <v>46270</v>
      </c>
      <c r="D1945" s="6" t="s">
        <v>451</v>
      </c>
      <c r="E1945" s="6" t="s">
        <v>155</v>
      </c>
      <c r="F1945" s="6" t="s">
        <v>84</v>
      </c>
      <c r="G1945" s="6" t="s">
        <v>47</v>
      </c>
      <c r="H1945" s="6" t="s">
        <v>74</v>
      </c>
      <c r="I1945" s="1" t="n">
        <v>3</v>
      </c>
      <c r="J1945" s="7" t="n">
        <v>3277.48</v>
      </c>
      <c r="K1945" s="8" t="n">
        <v>0</v>
      </c>
      <c r="L1945" s="7" t="n">
        <v>2459.34</v>
      </c>
      <c r="M1945" s="6" t="s">
        <v>49</v>
      </c>
      <c r="N1945" s="6" t="s">
        <v>67</v>
      </c>
      <c r="O1945" s="6" t="n">
        <f aca="false">IF(TablaVentas[[#This Row],[Precio_unitario]]="","PENDIENTE",TablaVentas[[#This Row],[Unidades]]*TablaVentas[[#This Row],[Precio_unitario]]*(1-TablaVentas[[#This Row],[Descuento_pct]]))</f>
        <v>9832.44</v>
      </c>
      <c r="P1945" s="6" t="n">
        <f aca="false">IF(TablaVentas[[#This Row],[Costo_unitario]]="","PENDIENTE",TablaVentas[[#This Row],[Unidades]]*TablaVentas[[#This Row],[Costo_unitario]])</f>
        <v>7378.02</v>
      </c>
      <c r="Q1945" s="6" t="n">
        <f aca="false">IF(OR(TablaVentas[[#This Row],[Ingreso_neto]]="PENDIENTE",TablaVentas[[#This Row],[Costo_total]]="PENDIENTE"),"PENDIENTE",TablaVentas[[#This Row],[Ingreso_neto]]-TablaVentas[[#This Row],[Costo_total]])</f>
        <v>2454.42</v>
      </c>
    </row>
    <row r="1946" customFormat="false" ht="13.5" hidden="false" customHeight="false" outlineLevel="0" collapsed="false">
      <c r="A1946" s="1" t="s">
        <v>1233</v>
      </c>
      <c r="B1946" s="1" t="n">
        <v>1</v>
      </c>
      <c r="C1946" s="5" t="n">
        <v>46081</v>
      </c>
      <c r="D1946" s="6" t="s">
        <v>1234</v>
      </c>
      <c r="E1946" s="6" t="s">
        <v>127</v>
      </c>
      <c r="F1946" s="6" t="s">
        <v>63</v>
      </c>
      <c r="G1946" s="6" t="s">
        <v>47</v>
      </c>
      <c r="H1946" s="6" t="s">
        <v>109</v>
      </c>
      <c r="I1946" s="1" t="n">
        <v>1</v>
      </c>
      <c r="J1946" s="7" t="n">
        <v>13019.86</v>
      </c>
      <c r="K1946" s="8" t="n">
        <v>0</v>
      </c>
      <c r="L1946" s="7" t="n">
        <v>7975.26</v>
      </c>
      <c r="M1946" s="6" t="s">
        <v>49</v>
      </c>
      <c r="N1946" s="6" t="s">
        <v>52</v>
      </c>
      <c r="O1946" s="6" t="n">
        <f aca="false">IF(TablaVentas[[#This Row],[Precio_unitario]]="","PENDIENTE",TablaVentas[[#This Row],[Unidades]]*TablaVentas[[#This Row],[Precio_unitario]]*(1-TablaVentas[[#This Row],[Descuento_pct]]))</f>
        <v>13019.86</v>
      </c>
      <c r="P1946" s="6" t="n">
        <f aca="false">IF(TablaVentas[[#This Row],[Costo_unitario]]="","PENDIENTE",TablaVentas[[#This Row],[Unidades]]*TablaVentas[[#This Row],[Costo_unitario]])</f>
        <v>7975.26</v>
      </c>
      <c r="Q1946" s="6" t="n">
        <f aca="false">IF(OR(TablaVentas[[#This Row],[Ingreso_neto]]="PENDIENTE",TablaVentas[[#This Row],[Costo_total]]="PENDIENTE"),"PENDIENTE",TablaVentas[[#This Row],[Ingreso_neto]]-TablaVentas[[#This Row],[Costo_total]])</f>
        <v>5044.6</v>
      </c>
    </row>
    <row r="1947" customFormat="false" ht="13.5" hidden="false" customHeight="false" outlineLevel="0" collapsed="false">
      <c r="A1947" s="1" t="s">
        <v>1233</v>
      </c>
      <c r="B1947" s="1" t="n">
        <v>2</v>
      </c>
      <c r="C1947" s="5" t="n">
        <v>46081</v>
      </c>
      <c r="D1947" s="6" t="s">
        <v>1234</v>
      </c>
      <c r="E1947" s="6" t="s">
        <v>158</v>
      </c>
      <c r="F1947" s="6" t="s">
        <v>63</v>
      </c>
      <c r="G1947" s="6" t="s">
        <v>47</v>
      </c>
      <c r="H1947" s="6" t="s">
        <v>109</v>
      </c>
      <c r="I1947" s="1" t="n">
        <v>1</v>
      </c>
      <c r="J1947" s="7" t="n">
        <v>17687.27</v>
      </c>
      <c r="K1947" s="8" t="n">
        <v>0.2</v>
      </c>
      <c r="L1947" s="7" t="n">
        <v>8963.23</v>
      </c>
      <c r="M1947" s="6" t="s">
        <v>49</v>
      </c>
      <c r="N1947" s="6" t="s">
        <v>50</v>
      </c>
      <c r="O1947" s="6" t="n">
        <f aca="false">IF(TablaVentas[[#This Row],[Precio_unitario]]="","PENDIENTE",TablaVentas[[#This Row],[Unidades]]*TablaVentas[[#This Row],[Precio_unitario]]*(1-TablaVentas[[#This Row],[Descuento_pct]]))</f>
        <v>14149.816</v>
      </c>
      <c r="P1947" s="6" t="n">
        <f aca="false">IF(TablaVentas[[#This Row],[Costo_unitario]]="","PENDIENTE",TablaVentas[[#This Row],[Unidades]]*TablaVentas[[#This Row],[Costo_unitario]])</f>
        <v>8963.23</v>
      </c>
      <c r="Q1947" s="6" t="n">
        <f aca="false">IF(OR(TablaVentas[[#This Row],[Ingreso_neto]]="PENDIENTE",TablaVentas[[#This Row],[Costo_total]]="PENDIENTE"),"PENDIENTE",TablaVentas[[#This Row],[Ingreso_neto]]-TablaVentas[[#This Row],[Costo_total]])</f>
        <v>5186.586</v>
      </c>
    </row>
    <row r="1948" customFormat="false" ht="13.5" hidden="false" customHeight="false" outlineLevel="0" collapsed="false">
      <c r="A1948" s="1" t="s">
        <v>1235</v>
      </c>
      <c r="B1948" s="1" t="n">
        <v>1</v>
      </c>
      <c r="C1948" s="5" t="n">
        <v>46270</v>
      </c>
      <c r="D1948" s="6" t="s">
        <v>298</v>
      </c>
      <c r="E1948" s="6" t="s">
        <v>142</v>
      </c>
      <c r="F1948" s="6" t="s">
        <v>63</v>
      </c>
      <c r="G1948" s="6" t="s">
        <v>57</v>
      </c>
      <c r="H1948" s="6" t="s">
        <v>74</v>
      </c>
      <c r="I1948" s="1" t="n">
        <v>1</v>
      </c>
      <c r="J1948" s="7" t="n">
        <v>1832.33</v>
      </c>
      <c r="K1948" s="8" t="n">
        <v>0.1</v>
      </c>
      <c r="L1948" s="7" t="n">
        <v>1529.93</v>
      </c>
      <c r="M1948" s="6" t="s">
        <v>49</v>
      </c>
      <c r="N1948" s="6" t="s">
        <v>67</v>
      </c>
      <c r="O1948" s="6" t="n">
        <f aca="false">IF(TablaVentas[[#This Row],[Precio_unitario]]="","PENDIENTE",TablaVentas[[#This Row],[Unidades]]*TablaVentas[[#This Row],[Precio_unitario]]*(1-TablaVentas[[#This Row],[Descuento_pct]]))</f>
        <v>1649.097</v>
      </c>
      <c r="P1948" s="6" t="n">
        <f aca="false">IF(TablaVentas[[#This Row],[Costo_unitario]]="","PENDIENTE",TablaVentas[[#This Row],[Unidades]]*TablaVentas[[#This Row],[Costo_unitario]])</f>
        <v>1529.93</v>
      </c>
      <c r="Q1948" s="6" t="n">
        <f aca="false">IF(OR(TablaVentas[[#This Row],[Ingreso_neto]]="PENDIENTE",TablaVentas[[#This Row],[Costo_total]]="PENDIENTE"),"PENDIENTE",TablaVentas[[#This Row],[Ingreso_neto]]-TablaVentas[[#This Row],[Costo_total]])</f>
        <v>119.167</v>
      </c>
    </row>
    <row r="1949" customFormat="false" ht="13.5" hidden="false" customHeight="false" outlineLevel="0" collapsed="false">
      <c r="A1949" s="1" t="s">
        <v>1235</v>
      </c>
      <c r="B1949" s="1" t="n">
        <v>2</v>
      </c>
      <c r="C1949" s="5" t="n">
        <v>46270</v>
      </c>
      <c r="D1949" s="6" t="s">
        <v>298</v>
      </c>
      <c r="E1949" s="6" t="s">
        <v>140</v>
      </c>
      <c r="F1949" s="6" t="s">
        <v>63</v>
      </c>
      <c r="G1949" s="6" t="s">
        <v>57</v>
      </c>
      <c r="H1949" s="6" t="s">
        <v>74</v>
      </c>
      <c r="I1949" s="1" t="n">
        <v>2</v>
      </c>
      <c r="J1949" s="7" t="n">
        <v>8255.92</v>
      </c>
      <c r="K1949" s="8" t="n">
        <v>0.2</v>
      </c>
      <c r="L1949" s="7" t="n">
        <v>4061.34</v>
      </c>
      <c r="M1949" s="6" t="s">
        <v>49</v>
      </c>
      <c r="N1949" s="6" t="s">
        <v>67</v>
      </c>
      <c r="O1949" s="6" t="n">
        <f aca="false">IF(TablaVentas[[#This Row],[Precio_unitario]]="","PENDIENTE",TablaVentas[[#This Row],[Unidades]]*TablaVentas[[#This Row],[Precio_unitario]]*(1-TablaVentas[[#This Row],[Descuento_pct]]))</f>
        <v>13209.472</v>
      </c>
      <c r="P1949" s="6" t="n">
        <f aca="false">IF(TablaVentas[[#This Row],[Costo_unitario]]="","PENDIENTE",TablaVentas[[#This Row],[Unidades]]*TablaVentas[[#This Row],[Costo_unitario]])</f>
        <v>8122.68</v>
      </c>
      <c r="Q1949" s="6" t="n">
        <f aca="false">IF(OR(TablaVentas[[#This Row],[Ingreso_neto]]="PENDIENTE",TablaVentas[[#This Row],[Costo_total]]="PENDIENTE"),"PENDIENTE",TablaVentas[[#This Row],[Ingreso_neto]]-TablaVentas[[#This Row],[Costo_total]])</f>
        <v>5086.792</v>
      </c>
    </row>
    <row r="1950" customFormat="false" ht="13.5" hidden="false" customHeight="false" outlineLevel="0" collapsed="false">
      <c r="A1950" s="1" t="s">
        <v>1235</v>
      </c>
      <c r="B1950" s="1" t="n">
        <v>3</v>
      </c>
      <c r="C1950" s="5" t="n">
        <v>46270</v>
      </c>
      <c r="D1950" s="6" t="s">
        <v>298</v>
      </c>
      <c r="E1950" s="6" t="s">
        <v>151</v>
      </c>
      <c r="F1950" s="6" t="s">
        <v>63</v>
      </c>
      <c r="G1950" s="6" t="s">
        <v>57</v>
      </c>
      <c r="H1950" s="6" t="s">
        <v>74</v>
      </c>
      <c r="I1950" s="1" t="n">
        <v>1</v>
      </c>
      <c r="J1950" s="7" t="n">
        <v>9111.78</v>
      </c>
      <c r="K1950" s="8" t="n">
        <v>0.15</v>
      </c>
      <c r="L1950" s="7" t="n">
        <v>5125.36</v>
      </c>
      <c r="M1950" s="6" t="s">
        <v>49</v>
      </c>
      <c r="N1950" s="6" t="s">
        <v>67</v>
      </c>
      <c r="O1950" s="6" t="n">
        <f aca="false">IF(TablaVentas[[#This Row],[Precio_unitario]]="","PENDIENTE",TablaVentas[[#This Row],[Unidades]]*TablaVentas[[#This Row],[Precio_unitario]]*(1-TablaVentas[[#This Row],[Descuento_pct]]))</f>
        <v>7745.013</v>
      </c>
      <c r="P1950" s="6" t="n">
        <f aca="false">IF(TablaVentas[[#This Row],[Costo_unitario]]="","PENDIENTE",TablaVentas[[#This Row],[Unidades]]*TablaVentas[[#This Row],[Costo_unitario]])</f>
        <v>5125.36</v>
      </c>
      <c r="Q1950" s="6" t="n">
        <f aca="false">IF(OR(TablaVentas[[#This Row],[Ingreso_neto]]="PENDIENTE",TablaVentas[[#This Row],[Costo_total]]="PENDIENTE"),"PENDIENTE",TablaVentas[[#This Row],[Ingreso_neto]]-TablaVentas[[#This Row],[Costo_total]])</f>
        <v>2619.653</v>
      </c>
    </row>
    <row r="1951" customFormat="false" ht="13.5" hidden="false" customHeight="false" outlineLevel="0" collapsed="false">
      <c r="A1951" s="1" t="s">
        <v>1235</v>
      </c>
      <c r="B1951" s="1" t="n">
        <v>4</v>
      </c>
      <c r="C1951" s="5" t="n">
        <v>46270</v>
      </c>
      <c r="D1951" s="6" t="s">
        <v>298</v>
      </c>
      <c r="E1951" s="6" t="s">
        <v>333</v>
      </c>
      <c r="F1951" s="6" t="s">
        <v>63</v>
      </c>
      <c r="G1951" s="6" t="s">
        <v>57</v>
      </c>
      <c r="H1951" s="6" t="s">
        <v>74</v>
      </c>
      <c r="I1951" s="1" t="n">
        <v>1</v>
      </c>
      <c r="J1951" s="7" t="n">
        <v>8017.47</v>
      </c>
      <c r="K1951" s="8" t="n">
        <v>0</v>
      </c>
      <c r="L1951" s="7" t="n">
        <v>4044.16</v>
      </c>
      <c r="M1951" s="6" t="s">
        <v>49</v>
      </c>
      <c r="N1951" s="6" t="s">
        <v>67</v>
      </c>
      <c r="O1951" s="6" t="n">
        <f aca="false">IF(TablaVentas[[#This Row],[Precio_unitario]]="","PENDIENTE",TablaVentas[[#This Row],[Unidades]]*TablaVentas[[#This Row],[Precio_unitario]]*(1-TablaVentas[[#This Row],[Descuento_pct]]))</f>
        <v>8017.47</v>
      </c>
      <c r="P1951" s="6" t="n">
        <f aca="false">IF(TablaVentas[[#This Row],[Costo_unitario]]="","PENDIENTE",TablaVentas[[#This Row],[Unidades]]*TablaVentas[[#This Row],[Costo_unitario]])</f>
        <v>4044.16</v>
      </c>
      <c r="Q1951" s="6" t="n">
        <f aca="false">IF(OR(TablaVentas[[#This Row],[Ingreso_neto]]="PENDIENTE",TablaVentas[[#This Row],[Costo_total]]="PENDIENTE"),"PENDIENTE",TablaVentas[[#This Row],[Ingreso_neto]]-TablaVentas[[#This Row],[Costo_total]])</f>
        <v>3973.31</v>
      </c>
    </row>
    <row r="1952" customFormat="false" ht="13.5" hidden="false" customHeight="false" outlineLevel="0" collapsed="false">
      <c r="A1952" s="1" t="s">
        <v>1235</v>
      </c>
      <c r="B1952" s="1" t="n">
        <v>5</v>
      </c>
      <c r="C1952" s="5" t="n">
        <v>46270</v>
      </c>
      <c r="D1952" s="6" t="s">
        <v>298</v>
      </c>
      <c r="E1952" s="6" t="s">
        <v>75</v>
      </c>
      <c r="F1952" s="6" t="s">
        <v>63</v>
      </c>
      <c r="G1952" s="6" t="s">
        <v>57</v>
      </c>
      <c r="H1952" s="6" t="s">
        <v>74</v>
      </c>
      <c r="I1952" s="1" t="n">
        <v>2</v>
      </c>
      <c r="J1952" s="7" t="n">
        <v>16500.84</v>
      </c>
      <c r="K1952" s="8" t="n">
        <v>0.1</v>
      </c>
      <c r="L1952" s="7" t="n">
        <v>9243.35</v>
      </c>
      <c r="M1952" s="6" t="s">
        <v>49</v>
      </c>
      <c r="N1952" s="6" t="s">
        <v>67</v>
      </c>
      <c r="O1952" s="6" t="n">
        <f aca="false">IF(TablaVentas[[#This Row],[Precio_unitario]]="","PENDIENTE",TablaVentas[[#This Row],[Unidades]]*TablaVentas[[#This Row],[Precio_unitario]]*(1-TablaVentas[[#This Row],[Descuento_pct]]))</f>
        <v>29701.512</v>
      </c>
      <c r="P1952" s="6" t="n">
        <f aca="false">IF(TablaVentas[[#This Row],[Costo_unitario]]="","PENDIENTE",TablaVentas[[#This Row],[Unidades]]*TablaVentas[[#This Row],[Costo_unitario]])</f>
        <v>18486.7</v>
      </c>
      <c r="Q1952" s="6" t="n">
        <f aca="false">IF(OR(TablaVentas[[#This Row],[Ingreso_neto]]="PENDIENTE",TablaVentas[[#This Row],[Costo_total]]="PENDIENTE"),"PENDIENTE",TablaVentas[[#This Row],[Ingreso_neto]]-TablaVentas[[#This Row],[Costo_total]])</f>
        <v>11214.812</v>
      </c>
    </row>
    <row r="1953" customFormat="false" ht="13.5" hidden="false" customHeight="false" outlineLevel="0" collapsed="false">
      <c r="A1953" s="1" t="s">
        <v>1236</v>
      </c>
      <c r="B1953" s="1" t="n">
        <v>1</v>
      </c>
      <c r="C1953" s="5" t="n">
        <v>46066</v>
      </c>
      <c r="D1953" s="6" t="s">
        <v>384</v>
      </c>
      <c r="E1953" s="6" t="s">
        <v>127</v>
      </c>
      <c r="F1953" s="6" t="s">
        <v>63</v>
      </c>
      <c r="G1953" s="6" t="s">
        <v>57</v>
      </c>
      <c r="H1953" s="6" t="s">
        <v>48</v>
      </c>
      <c r="I1953" s="1" t="n">
        <v>1</v>
      </c>
      <c r="J1953" s="7" t="n">
        <v>13678.94</v>
      </c>
      <c r="K1953" s="8" t="n">
        <v>0</v>
      </c>
      <c r="L1953" s="7" t="n">
        <v>7975.26</v>
      </c>
      <c r="M1953" s="6" t="s">
        <v>49</v>
      </c>
      <c r="N1953" s="6" t="s">
        <v>52</v>
      </c>
      <c r="O1953" s="6" t="n">
        <f aca="false">IF(TablaVentas[[#This Row],[Precio_unitario]]="","PENDIENTE",TablaVentas[[#This Row],[Unidades]]*TablaVentas[[#This Row],[Precio_unitario]]*(1-TablaVentas[[#This Row],[Descuento_pct]]))</f>
        <v>13678.94</v>
      </c>
      <c r="P1953" s="6" t="n">
        <f aca="false">IF(TablaVentas[[#This Row],[Costo_unitario]]="","PENDIENTE",TablaVentas[[#This Row],[Unidades]]*TablaVentas[[#This Row],[Costo_unitario]])</f>
        <v>7975.26</v>
      </c>
      <c r="Q1953" s="6" t="n">
        <f aca="false">IF(OR(TablaVentas[[#This Row],[Ingreso_neto]]="PENDIENTE",TablaVentas[[#This Row],[Costo_total]]="PENDIENTE"),"PENDIENTE",TablaVentas[[#This Row],[Ingreso_neto]]-TablaVentas[[#This Row],[Costo_total]])</f>
        <v>5703.68</v>
      </c>
    </row>
    <row r="1954" customFormat="false" ht="13.5" hidden="false" customHeight="false" outlineLevel="0" collapsed="false">
      <c r="A1954" s="1" t="s">
        <v>1237</v>
      </c>
      <c r="B1954" s="1" t="n">
        <v>1</v>
      </c>
      <c r="C1954" s="5" t="n">
        <v>46158</v>
      </c>
      <c r="D1954" s="6" t="s">
        <v>403</v>
      </c>
      <c r="E1954" s="6" t="s">
        <v>333</v>
      </c>
      <c r="F1954" s="6" t="s">
        <v>84</v>
      </c>
      <c r="G1954" s="6" t="s">
        <v>57</v>
      </c>
      <c r="H1954" s="6" t="s">
        <v>131</v>
      </c>
      <c r="I1954" s="1" t="n">
        <v>5</v>
      </c>
      <c r="J1954" s="7" t="n">
        <v>6986.48</v>
      </c>
      <c r="K1954" s="8" t="n">
        <v>0.1</v>
      </c>
      <c r="L1954" s="7" t="n">
        <v>4044.16</v>
      </c>
      <c r="M1954" s="6" t="s">
        <v>49</v>
      </c>
      <c r="N1954" s="6" t="s">
        <v>59</v>
      </c>
      <c r="O1954" s="6" t="n">
        <f aca="false">IF(TablaVentas[[#This Row],[Precio_unitario]]="","PENDIENTE",TablaVentas[[#This Row],[Unidades]]*TablaVentas[[#This Row],[Precio_unitario]]*(1-TablaVentas[[#This Row],[Descuento_pct]]))</f>
        <v>31439.16</v>
      </c>
      <c r="P1954" s="6" t="n">
        <f aca="false">IF(TablaVentas[[#This Row],[Costo_unitario]]="","PENDIENTE",TablaVentas[[#This Row],[Unidades]]*TablaVentas[[#This Row],[Costo_unitario]])</f>
        <v>20220.8</v>
      </c>
      <c r="Q1954" s="6" t="n">
        <f aca="false">IF(OR(TablaVentas[[#This Row],[Ingreso_neto]]="PENDIENTE",TablaVentas[[#This Row],[Costo_total]]="PENDIENTE"),"PENDIENTE",TablaVentas[[#This Row],[Ingreso_neto]]-TablaVentas[[#This Row],[Costo_total]])</f>
        <v>11218.36</v>
      </c>
    </row>
    <row r="1955" customFormat="false" ht="13.5" hidden="false" customHeight="false" outlineLevel="0" collapsed="false">
      <c r="A1955" s="1" t="s">
        <v>1237</v>
      </c>
      <c r="B1955" s="1" t="n">
        <v>2</v>
      </c>
      <c r="C1955" s="5" t="n">
        <v>46158</v>
      </c>
      <c r="D1955" s="6" t="s">
        <v>403</v>
      </c>
      <c r="E1955" s="6" t="s">
        <v>219</v>
      </c>
      <c r="F1955" s="6" t="s">
        <v>84</v>
      </c>
      <c r="G1955" s="6" t="s">
        <v>57</v>
      </c>
      <c r="H1955" s="6" t="s">
        <v>131</v>
      </c>
      <c r="I1955" s="1" t="n">
        <v>2</v>
      </c>
      <c r="J1955" s="7" t="n">
        <v>3662.34</v>
      </c>
      <c r="K1955" s="8" t="n">
        <v>0.15</v>
      </c>
      <c r="L1955" s="7" t="n">
        <v>2157.55</v>
      </c>
      <c r="M1955" s="6" t="s">
        <v>49</v>
      </c>
      <c r="N1955" s="6" t="s">
        <v>52</v>
      </c>
      <c r="O1955" s="6" t="n">
        <f aca="false">IF(TablaVentas[[#This Row],[Precio_unitario]]="","PENDIENTE",TablaVentas[[#This Row],[Unidades]]*TablaVentas[[#This Row],[Precio_unitario]]*(1-TablaVentas[[#This Row],[Descuento_pct]]))</f>
        <v>6225.978</v>
      </c>
      <c r="P1955" s="6" t="n">
        <f aca="false">IF(TablaVentas[[#This Row],[Costo_unitario]]="","PENDIENTE",TablaVentas[[#This Row],[Unidades]]*TablaVentas[[#This Row],[Costo_unitario]])</f>
        <v>4315.1</v>
      </c>
      <c r="Q1955" s="6" t="n">
        <f aca="false">IF(OR(TablaVentas[[#This Row],[Ingreso_neto]]="PENDIENTE",TablaVentas[[#This Row],[Costo_total]]="PENDIENTE"),"PENDIENTE",TablaVentas[[#This Row],[Ingreso_neto]]-TablaVentas[[#This Row],[Costo_total]])</f>
        <v>1910.878</v>
      </c>
    </row>
    <row r="1956" customFormat="false" ht="13.5" hidden="false" customHeight="false" outlineLevel="0" collapsed="false">
      <c r="A1956" s="1" t="s">
        <v>1237</v>
      </c>
      <c r="B1956" s="1" t="n">
        <v>3</v>
      </c>
      <c r="C1956" s="5" t="n">
        <v>46158</v>
      </c>
      <c r="D1956" s="6" t="s">
        <v>403</v>
      </c>
      <c r="E1956" s="6" t="s">
        <v>51</v>
      </c>
      <c r="F1956" s="6" t="s">
        <v>84</v>
      </c>
      <c r="G1956" s="6" t="s">
        <v>57</v>
      </c>
      <c r="H1956" s="6" t="s">
        <v>131</v>
      </c>
      <c r="I1956" s="1" t="n">
        <v>8</v>
      </c>
      <c r="J1956" s="7" t="n">
        <v>14350.9</v>
      </c>
      <c r="K1956" s="8" t="n">
        <v>0</v>
      </c>
      <c r="L1956" s="7" t="n">
        <v>8980.68</v>
      </c>
      <c r="M1956" s="6" t="s">
        <v>49</v>
      </c>
      <c r="N1956" s="6" t="s">
        <v>52</v>
      </c>
      <c r="O1956" s="6" t="n">
        <f aca="false">IF(TablaVentas[[#This Row],[Precio_unitario]]="","PENDIENTE",TablaVentas[[#This Row],[Unidades]]*TablaVentas[[#This Row],[Precio_unitario]]*(1-TablaVentas[[#This Row],[Descuento_pct]]))</f>
        <v>114807.2</v>
      </c>
      <c r="P1956" s="6" t="n">
        <f aca="false">IF(TablaVentas[[#This Row],[Costo_unitario]]="","PENDIENTE",TablaVentas[[#This Row],[Unidades]]*TablaVentas[[#This Row],[Costo_unitario]])</f>
        <v>71845.44</v>
      </c>
      <c r="Q1956" s="6" t="n">
        <f aca="false">IF(OR(TablaVentas[[#This Row],[Ingreso_neto]]="PENDIENTE",TablaVentas[[#This Row],[Costo_total]]="PENDIENTE"),"PENDIENTE",TablaVentas[[#This Row],[Ingreso_neto]]-TablaVentas[[#This Row],[Costo_total]])</f>
        <v>42961.76</v>
      </c>
    </row>
    <row r="1957" customFormat="false" ht="13.5" hidden="false" customHeight="false" outlineLevel="0" collapsed="false">
      <c r="A1957" s="1" t="s">
        <v>1237</v>
      </c>
      <c r="B1957" s="1" t="n">
        <v>4</v>
      </c>
      <c r="C1957" s="5" t="n">
        <v>46158</v>
      </c>
      <c r="D1957" s="6" t="s">
        <v>403</v>
      </c>
      <c r="E1957" s="6" t="s">
        <v>182</v>
      </c>
      <c r="F1957" s="6" t="s">
        <v>84</v>
      </c>
      <c r="G1957" s="6" t="s">
        <v>57</v>
      </c>
      <c r="H1957" s="6" t="s">
        <v>131</v>
      </c>
      <c r="I1957" s="1" t="n">
        <v>1</v>
      </c>
      <c r="J1957" s="7" t="n">
        <v>2589.43</v>
      </c>
      <c r="K1957" s="8" t="n">
        <v>0.2</v>
      </c>
      <c r="L1957" s="7" t="n">
        <v>1857.39</v>
      </c>
      <c r="M1957" s="6" t="s">
        <v>49</v>
      </c>
      <c r="N1957" s="6" t="s">
        <v>59</v>
      </c>
      <c r="O1957" s="6" t="n">
        <f aca="false">IF(TablaVentas[[#This Row],[Precio_unitario]]="","PENDIENTE",TablaVentas[[#This Row],[Unidades]]*TablaVentas[[#This Row],[Precio_unitario]]*(1-TablaVentas[[#This Row],[Descuento_pct]]))</f>
        <v>2071.544</v>
      </c>
      <c r="P1957" s="6" t="n">
        <f aca="false">IF(TablaVentas[[#This Row],[Costo_unitario]]="","PENDIENTE",TablaVentas[[#This Row],[Unidades]]*TablaVentas[[#This Row],[Costo_unitario]])</f>
        <v>1857.39</v>
      </c>
      <c r="Q1957" s="6" t="n">
        <f aca="false">IF(OR(TablaVentas[[#This Row],[Ingreso_neto]]="PENDIENTE",TablaVentas[[#This Row],[Costo_total]]="PENDIENTE"),"PENDIENTE",TablaVentas[[#This Row],[Ingreso_neto]]-TablaVentas[[#This Row],[Costo_total]])</f>
        <v>214.154</v>
      </c>
    </row>
    <row r="1958" customFormat="false" ht="13.5" hidden="false" customHeight="false" outlineLevel="0" collapsed="false">
      <c r="A1958" s="1" t="s">
        <v>1238</v>
      </c>
      <c r="B1958" s="1" t="n">
        <v>1</v>
      </c>
      <c r="C1958" s="5" t="n">
        <v>46181</v>
      </c>
      <c r="D1958" s="6" t="s">
        <v>316</v>
      </c>
      <c r="E1958" s="6" t="s">
        <v>121</v>
      </c>
      <c r="F1958" s="6" t="s">
        <v>63</v>
      </c>
      <c r="G1958" s="6" t="s">
        <v>47</v>
      </c>
      <c r="H1958" s="6" t="s">
        <v>58</v>
      </c>
      <c r="I1958" s="1" t="n">
        <v>2</v>
      </c>
      <c r="J1958" s="7" t="n">
        <v>13770.27</v>
      </c>
      <c r="K1958" s="8" t="n">
        <v>0.15</v>
      </c>
      <c r="L1958" s="7" t="n">
        <v>8239.48</v>
      </c>
      <c r="M1958" s="6" t="s">
        <v>49</v>
      </c>
      <c r="N1958" s="6" t="s">
        <v>52</v>
      </c>
      <c r="O1958" s="6" t="n">
        <f aca="false">IF(TablaVentas[[#This Row],[Precio_unitario]]="","PENDIENTE",TablaVentas[[#This Row],[Unidades]]*TablaVentas[[#This Row],[Precio_unitario]]*(1-TablaVentas[[#This Row],[Descuento_pct]]))</f>
        <v>23409.459</v>
      </c>
      <c r="P1958" s="6" t="n">
        <f aca="false">IF(TablaVentas[[#This Row],[Costo_unitario]]="","PENDIENTE",TablaVentas[[#This Row],[Unidades]]*TablaVentas[[#This Row],[Costo_unitario]])</f>
        <v>16478.96</v>
      </c>
      <c r="Q1958" s="6" t="n">
        <f aca="false">IF(OR(TablaVentas[[#This Row],[Ingreso_neto]]="PENDIENTE",TablaVentas[[#This Row],[Costo_total]]="PENDIENTE"),"PENDIENTE",TablaVentas[[#This Row],[Ingreso_neto]]-TablaVentas[[#This Row],[Costo_total]])</f>
        <v>6930.499</v>
      </c>
    </row>
    <row r="1959" customFormat="false" ht="13.5" hidden="false" customHeight="false" outlineLevel="0" collapsed="false">
      <c r="A1959" s="1" t="s">
        <v>1238</v>
      </c>
      <c r="B1959" s="1" t="n">
        <v>2</v>
      </c>
      <c r="C1959" s="5" t="n">
        <v>46181</v>
      </c>
      <c r="D1959" s="6" t="s">
        <v>316</v>
      </c>
      <c r="E1959" s="6" t="s">
        <v>155</v>
      </c>
      <c r="F1959" s="6" t="s">
        <v>63</v>
      </c>
      <c r="G1959" s="6" t="s">
        <v>47</v>
      </c>
      <c r="H1959" s="6" t="s">
        <v>58</v>
      </c>
      <c r="I1959" s="1" t="n">
        <v>1</v>
      </c>
      <c r="J1959" s="7" t="n">
        <v>2998.08</v>
      </c>
      <c r="K1959" s="8" t="n">
        <v>0.05</v>
      </c>
      <c r="L1959" s="7" t="n">
        <v>2459.34</v>
      </c>
      <c r="M1959" s="6" t="s">
        <v>49</v>
      </c>
      <c r="N1959" s="6" t="s">
        <v>50</v>
      </c>
      <c r="O1959" s="6" t="n">
        <f aca="false">IF(TablaVentas[[#This Row],[Precio_unitario]]="","PENDIENTE",TablaVentas[[#This Row],[Unidades]]*TablaVentas[[#This Row],[Precio_unitario]]*(1-TablaVentas[[#This Row],[Descuento_pct]]))</f>
        <v>2848.176</v>
      </c>
      <c r="P1959" s="6" t="n">
        <f aca="false">IF(TablaVentas[[#This Row],[Costo_unitario]]="","PENDIENTE",TablaVentas[[#This Row],[Unidades]]*TablaVentas[[#This Row],[Costo_unitario]])</f>
        <v>2459.34</v>
      </c>
      <c r="Q1959" s="6" t="n">
        <f aca="false">IF(OR(TablaVentas[[#This Row],[Ingreso_neto]]="PENDIENTE",TablaVentas[[#This Row],[Costo_total]]="PENDIENTE"),"PENDIENTE",TablaVentas[[#This Row],[Ingreso_neto]]-TablaVentas[[#This Row],[Costo_total]])</f>
        <v>388.836</v>
      </c>
    </row>
    <row r="1960" customFormat="false" ht="13.5" hidden="false" customHeight="false" outlineLevel="0" collapsed="false">
      <c r="A1960" s="1" t="s">
        <v>1239</v>
      </c>
      <c r="B1960" s="1" t="n">
        <v>1</v>
      </c>
      <c r="C1960" s="5" t="n">
        <v>46257</v>
      </c>
      <c r="D1960" s="6" t="s">
        <v>326</v>
      </c>
      <c r="E1960" s="6" t="s">
        <v>243</v>
      </c>
      <c r="F1960" s="6" t="s">
        <v>73</v>
      </c>
      <c r="G1960" s="6" t="s">
        <v>47</v>
      </c>
      <c r="H1960" s="6" t="s">
        <v>191</v>
      </c>
      <c r="I1960" s="1" t="n">
        <v>3</v>
      </c>
      <c r="J1960" s="7" t="n">
        <v>10287.04</v>
      </c>
      <c r="K1960" s="8" t="n">
        <v>0.1</v>
      </c>
      <c r="L1960" s="7" t="n">
        <v>8061.7</v>
      </c>
      <c r="M1960" s="6" t="s">
        <v>49</v>
      </c>
      <c r="N1960" s="6" t="s">
        <v>59</v>
      </c>
      <c r="O1960" s="6" t="n">
        <f aca="false">IF(TablaVentas[[#This Row],[Precio_unitario]]="","PENDIENTE",TablaVentas[[#This Row],[Unidades]]*TablaVentas[[#This Row],[Precio_unitario]]*(1-TablaVentas[[#This Row],[Descuento_pct]]))</f>
        <v>27775.008</v>
      </c>
      <c r="P1960" s="6" t="n">
        <f aca="false">IF(TablaVentas[[#This Row],[Costo_unitario]]="","PENDIENTE",TablaVentas[[#This Row],[Unidades]]*TablaVentas[[#This Row],[Costo_unitario]])</f>
        <v>24185.1</v>
      </c>
      <c r="Q1960" s="6" t="n">
        <f aca="false">IF(OR(TablaVentas[[#This Row],[Ingreso_neto]]="PENDIENTE",TablaVentas[[#This Row],[Costo_total]]="PENDIENTE"),"PENDIENTE",TablaVentas[[#This Row],[Ingreso_neto]]-TablaVentas[[#This Row],[Costo_total]])</f>
        <v>3589.908</v>
      </c>
    </row>
    <row r="1961" customFormat="false" ht="13.5" hidden="false" customHeight="false" outlineLevel="0" collapsed="false">
      <c r="A1961" s="1" t="s">
        <v>1239</v>
      </c>
      <c r="B1961" s="1" t="n">
        <v>2</v>
      </c>
      <c r="C1961" s="5" t="n">
        <v>46257</v>
      </c>
      <c r="D1961" s="6" t="s">
        <v>326</v>
      </c>
      <c r="E1961" s="6" t="s">
        <v>100</v>
      </c>
      <c r="F1961" s="6" t="s">
        <v>73</v>
      </c>
      <c r="G1961" s="6" t="s">
        <v>47</v>
      </c>
      <c r="H1961" s="6" t="s">
        <v>191</v>
      </c>
      <c r="I1961" s="1" t="n">
        <v>5</v>
      </c>
      <c r="J1961" s="7" t="n">
        <v>14209.12</v>
      </c>
      <c r="K1961" s="8" t="n">
        <v>0</v>
      </c>
      <c r="L1961" s="7" t="n">
        <v>8788.79</v>
      </c>
      <c r="M1961" s="6" t="s">
        <v>49</v>
      </c>
      <c r="N1961" s="6" t="s">
        <v>52</v>
      </c>
      <c r="O1961" s="6" t="n">
        <f aca="false">IF(TablaVentas[[#This Row],[Precio_unitario]]="","PENDIENTE",TablaVentas[[#This Row],[Unidades]]*TablaVentas[[#This Row],[Precio_unitario]]*(1-TablaVentas[[#This Row],[Descuento_pct]]))</f>
        <v>71045.6</v>
      </c>
      <c r="P1961" s="6" t="n">
        <f aca="false">IF(TablaVentas[[#This Row],[Costo_unitario]]="","PENDIENTE",TablaVentas[[#This Row],[Unidades]]*TablaVentas[[#This Row],[Costo_unitario]])</f>
        <v>43943.95</v>
      </c>
      <c r="Q1961" s="6" t="n">
        <f aca="false">IF(OR(TablaVentas[[#This Row],[Ingreso_neto]]="PENDIENTE",TablaVentas[[#This Row],[Costo_total]]="PENDIENTE"),"PENDIENTE",TablaVentas[[#This Row],[Ingreso_neto]]-TablaVentas[[#This Row],[Costo_total]])</f>
        <v>27101.65</v>
      </c>
    </row>
    <row r="1962" customFormat="false" ht="13.5" hidden="false" customHeight="false" outlineLevel="0" collapsed="false">
      <c r="A1962" s="1" t="s">
        <v>1239</v>
      </c>
      <c r="B1962" s="1" t="n">
        <v>3</v>
      </c>
      <c r="C1962" s="5" t="n">
        <v>46257</v>
      </c>
      <c r="D1962" s="6" t="s">
        <v>326</v>
      </c>
      <c r="E1962" s="6" t="s">
        <v>140</v>
      </c>
      <c r="F1962" s="6" t="s">
        <v>73</v>
      </c>
      <c r="G1962" s="6" t="s">
        <v>47</v>
      </c>
      <c r="H1962" s="6" t="s">
        <v>191</v>
      </c>
      <c r="I1962" s="1" t="n">
        <v>1</v>
      </c>
      <c r="J1962" s="7" t="n">
        <v>7564.19</v>
      </c>
      <c r="K1962" s="8" t="n">
        <v>0</v>
      </c>
      <c r="L1962" s="7" t="n">
        <v>4061.34</v>
      </c>
      <c r="M1962" s="6" t="s">
        <v>49</v>
      </c>
      <c r="N1962" s="6" t="s">
        <v>67</v>
      </c>
      <c r="O1962" s="6" t="n">
        <f aca="false">IF(TablaVentas[[#This Row],[Precio_unitario]]="","PENDIENTE",TablaVentas[[#This Row],[Unidades]]*TablaVentas[[#This Row],[Precio_unitario]]*(1-TablaVentas[[#This Row],[Descuento_pct]]))</f>
        <v>7564.19</v>
      </c>
      <c r="P1962" s="6" t="n">
        <f aca="false">IF(TablaVentas[[#This Row],[Costo_unitario]]="","PENDIENTE",TablaVentas[[#This Row],[Unidades]]*TablaVentas[[#This Row],[Costo_unitario]])</f>
        <v>4061.34</v>
      </c>
      <c r="Q1962" s="6" t="n">
        <f aca="false">IF(OR(TablaVentas[[#This Row],[Ingreso_neto]]="PENDIENTE",TablaVentas[[#This Row],[Costo_total]]="PENDIENTE"),"PENDIENTE",TablaVentas[[#This Row],[Ingreso_neto]]-TablaVentas[[#This Row],[Costo_total]])</f>
        <v>3502.85</v>
      </c>
    </row>
    <row r="1963" customFormat="false" ht="13.5" hidden="false" customHeight="false" outlineLevel="0" collapsed="false">
      <c r="A1963" s="1" t="s">
        <v>1239</v>
      </c>
      <c r="B1963" s="1" t="n">
        <v>4</v>
      </c>
      <c r="C1963" s="5" t="n">
        <v>46257</v>
      </c>
      <c r="D1963" s="6" t="s">
        <v>326</v>
      </c>
      <c r="E1963" s="6" t="s">
        <v>155</v>
      </c>
      <c r="F1963" s="6" t="s">
        <v>73</v>
      </c>
      <c r="G1963" s="6" t="s">
        <v>47</v>
      </c>
      <c r="H1963" s="6" t="s">
        <v>191</v>
      </c>
      <c r="I1963" s="1" t="n">
        <v>1</v>
      </c>
      <c r="J1963" s="7" t="n">
        <v>3119.64</v>
      </c>
      <c r="K1963" s="8" t="n">
        <v>0.05</v>
      </c>
      <c r="L1963" s="7" t="n">
        <v>2459.34</v>
      </c>
      <c r="M1963" s="6" t="s">
        <v>49</v>
      </c>
      <c r="N1963" s="6" t="s">
        <v>52</v>
      </c>
      <c r="O1963" s="6" t="n">
        <f aca="false">IF(TablaVentas[[#This Row],[Precio_unitario]]="","PENDIENTE",TablaVentas[[#This Row],[Unidades]]*TablaVentas[[#This Row],[Precio_unitario]]*(1-TablaVentas[[#This Row],[Descuento_pct]]))</f>
        <v>2963.658</v>
      </c>
      <c r="P1963" s="6" t="n">
        <f aca="false">IF(TablaVentas[[#This Row],[Costo_unitario]]="","PENDIENTE",TablaVentas[[#This Row],[Unidades]]*TablaVentas[[#This Row],[Costo_unitario]])</f>
        <v>2459.34</v>
      </c>
      <c r="Q1963" s="6" t="n">
        <f aca="false">IF(OR(TablaVentas[[#This Row],[Ingreso_neto]]="PENDIENTE",TablaVentas[[#This Row],[Costo_total]]="PENDIENTE"),"PENDIENTE",TablaVentas[[#This Row],[Ingreso_neto]]-TablaVentas[[#This Row],[Costo_total]])</f>
        <v>504.318</v>
      </c>
    </row>
    <row r="1964" customFormat="false" ht="13.5" hidden="false" customHeight="false" outlineLevel="0" collapsed="false">
      <c r="A1964" s="1" t="s">
        <v>1240</v>
      </c>
      <c r="B1964" s="1" t="n">
        <v>1</v>
      </c>
      <c r="C1964" s="5" t="n">
        <v>46232</v>
      </c>
      <c r="D1964" s="6" t="s">
        <v>357</v>
      </c>
      <c r="E1964" s="6" t="s">
        <v>127</v>
      </c>
      <c r="F1964" s="6" t="s">
        <v>46</v>
      </c>
      <c r="G1964" s="6" t="s">
        <v>64</v>
      </c>
      <c r="H1964" s="6" t="s">
        <v>89</v>
      </c>
      <c r="I1964" s="1" t="n">
        <v>1</v>
      </c>
      <c r="J1964" s="7" t="n">
        <v>12194.59</v>
      </c>
      <c r="K1964" s="8" t="n">
        <v>0.05</v>
      </c>
      <c r="L1964" s="7" t="n">
        <v>7975.26</v>
      </c>
      <c r="M1964" s="6" t="s">
        <v>49</v>
      </c>
      <c r="N1964" s="6" t="s">
        <v>59</v>
      </c>
      <c r="O1964" s="6" t="n">
        <f aca="false">IF(TablaVentas[[#This Row],[Precio_unitario]]="","PENDIENTE",TablaVentas[[#This Row],[Unidades]]*TablaVentas[[#This Row],[Precio_unitario]]*(1-TablaVentas[[#This Row],[Descuento_pct]]))</f>
        <v>11584.8605</v>
      </c>
      <c r="P1964" s="6" t="n">
        <f aca="false">IF(TablaVentas[[#This Row],[Costo_unitario]]="","PENDIENTE",TablaVentas[[#This Row],[Unidades]]*TablaVentas[[#This Row],[Costo_unitario]])</f>
        <v>7975.26</v>
      </c>
      <c r="Q1964" s="6" t="n">
        <f aca="false">IF(OR(TablaVentas[[#This Row],[Ingreso_neto]]="PENDIENTE",TablaVentas[[#This Row],[Costo_total]]="PENDIENTE"),"PENDIENTE",TablaVentas[[#This Row],[Ingreso_neto]]-TablaVentas[[#This Row],[Costo_total]])</f>
        <v>3609.6005</v>
      </c>
    </row>
    <row r="1965" customFormat="false" ht="13.5" hidden="false" customHeight="false" outlineLevel="0" collapsed="false">
      <c r="A1965" s="1" t="s">
        <v>1240</v>
      </c>
      <c r="B1965" s="1" t="n">
        <v>2</v>
      </c>
      <c r="C1965" s="5" t="n">
        <v>46232</v>
      </c>
      <c r="D1965" s="6" t="s">
        <v>357</v>
      </c>
      <c r="E1965" s="6" t="s">
        <v>544</v>
      </c>
      <c r="F1965" s="6" t="s">
        <v>46</v>
      </c>
      <c r="G1965" s="6" t="s">
        <v>64</v>
      </c>
      <c r="H1965" s="6" t="s">
        <v>89</v>
      </c>
      <c r="I1965" s="1" t="n">
        <v>2</v>
      </c>
      <c r="J1965" s="7" t="n">
        <v>5677.5</v>
      </c>
      <c r="K1965" s="8" t="n">
        <v>0</v>
      </c>
      <c r="L1965" s="7" t="n">
        <v>4556.23</v>
      </c>
      <c r="M1965" s="6" t="s">
        <v>49</v>
      </c>
      <c r="N1965" s="6" t="s">
        <v>67</v>
      </c>
      <c r="O1965" s="6" t="n">
        <f aca="false">IF(TablaVentas[[#This Row],[Precio_unitario]]="","PENDIENTE",TablaVentas[[#This Row],[Unidades]]*TablaVentas[[#This Row],[Precio_unitario]]*(1-TablaVentas[[#This Row],[Descuento_pct]]))</f>
        <v>11355</v>
      </c>
      <c r="P1965" s="6" t="n">
        <f aca="false">IF(TablaVentas[[#This Row],[Costo_unitario]]="","PENDIENTE",TablaVentas[[#This Row],[Unidades]]*TablaVentas[[#This Row],[Costo_unitario]])</f>
        <v>9112.46</v>
      </c>
      <c r="Q1965" s="6" t="n">
        <f aca="false">IF(OR(TablaVentas[[#This Row],[Ingreso_neto]]="PENDIENTE",TablaVentas[[#This Row],[Costo_total]]="PENDIENTE"),"PENDIENTE",TablaVentas[[#This Row],[Ingreso_neto]]-TablaVentas[[#This Row],[Costo_total]])</f>
        <v>2242.54</v>
      </c>
    </row>
    <row r="1966" customFormat="false" ht="13.5" hidden="false" customHeight="false" outlineLevel="0" collapsed="false">
      <c r="A1966" s="1" t="s">
        <v>1240</v>
      </c>
      <c r="B1966" s="1" t="n">
        <v>3</v>
      </c>
      <c r="C1966" s="5" t="n">
        <v>46232</v>
      </c>
      <c r="D1966" s="6" t="s">
        <v>357</v>
      </c>
      <c r="E1966" s="6" t="s">
        <v>130</v>
      </c>
      <c r="F1966" s="6" t="s">
        <v>46</v>
      </c>
      <c r="G1966" s="6" t="s">
        <v>64</v>
      </c>
      <c r="H1966" s="6" t="s">
        <v>89</v>
      </c>
      <c r="I1966" s="1" t="n">
        <v>4</v>
      </c>
      <c r="J1966" s="7" t="n">
        <v>18797.66</v>
      </c>
      <c r="K1966" s="8" t="n">
        <v>0</v>
      </c>
      <c r="L1966" s="7" t="n">
        <v>12679.41</v>
      </c>
      <c r="M1966" s="6" t="s">
        <v>49</v>
      </c>
      <c r="N1966" s="6" t="s">
        <v>52</v>
      </c>
      <c r="O1966" s="6" t="n">
        <f aca="false">IF(TablaVentas[[#This Row],[Precio_unitario]]="","PENDIENTE",TablaVentas[[#This Row],[Unidades]]*TablaVentas[[#This Row],[Precio_unitario]]*(1-TablaVentas[[#This Row],[Descuento_pct]]))</f>
        <v>75190.64</v>
      </c>
      <c r="P1966" s="6" t="n">
        <f aca="false">IF(TablaVentas[[#This Row],[Costo_unitario]]="","PENDIENTE",TablaVentas[[#This Row],[Unidades]]*TablaVentas[[#This Row],[Costo_unitario]])</f>
        <v>50717.64</v>
      </c>
      <c r="Q1966" s="6" t="n">
        <f aca="false">IF(OR(TablaVentas[[#This Row],[Ingreso_neto]]="PENDIENTE",TablaVentas[[#This Row],[Costo_total]]="PENDIENTE"),"PENDIENTE",TablaVentas[[#This Row],[Ingreso_neto]]-TablaVentas[[#This Row],[Costo_total]])</f>
        <v>24473</v>
      </c>
    </row>
    <row r="1967" customFormat="false" ht="13.5" hidden="false" customHeight="false" outlineLevel="0" collapsed="false">
      <c r="A1967" s="1" t="s">
        <v>1241</v>
      </c>
      <c r="B1967" s="1" t="n">
        <v>1</v>
      </c>
      <c r="C1967" s="5" t="n">
        <v>46064</v>
      </c>
      <c r="D1967" s="6" t="s">
        <v>646</v>
      </c>
      <c r="E1967" s="6" t="s">
        <v>278</v>
      </c>
      <c r="F1967" s="6" t="s">
        <v>84</v>
      </c>
      <c r="G1967" s="6" t="s">
        <v>64</v>
      </c>
      <c r="H1967" s="6" t="s">
        <v>80</v>
      </c>
      <c r="I1967" s="1" t="n">
        <v>1</v>
      </c>
      <c r="J1967" s="7" t="n">
        <v>1091.91</v>
      </c>
      <c r="K1967" s="8" t="n">
        <v>0</v>
      </c>
      <c r="L1967" s="7" t="n">
        <v>759.03</v>
      </c>
      <c r="M1967" s="6" t="s">
        <v>49</v>
      </c>
      <c r="N1967" s="6" t="s">
        <v>59</v>
      </c>
      <c r="O1967" s="6" t="n">
        <f aca="false">IF(TablaVentas[[#This Row],[Precio_unitario]]="","PENDIENTE",TablaVentas[[#This Row],[Unidades]]*TablaVentas[[#This Row],[Precio_unitario]]*(1-TablaVentas[[#This Row],[Descuento_pct]]))</f>
        <v>1091.91</v>
      </c>
      <c r="P1967" s="6" t="n">
        <f aca="false">IF(TablaVentas[[#This Row],[Costo_unitario]]="","PENDIENTE",TablaVentas[[#This Row],[Unidades]]*TablaVentas[[#This Row],[Costo_unitario]])</f>
        <v>759.03</v>
      </c>
      <c r="Q1967" s="6" t="n">
        <f aca="false">IF(OR(TablaVentas[[#This Row],[Ingreso_neto]]="PENDIENTE",TablaVentas[[#This Row],[Costo_total]]="PENDIENTE"),"PENDIENTE",TablaVentas[[#This Row],[Ingreso_neto]]-TablaVentas[[#This Row],[Costo_total]])</f>
        <v>332.88</v>
      </c>
    </row>
    <row r="1968" customFormat="false" ht="13.5" hidden="false" customHeight="false" outlineLevel="0" collapsed="false">
      <c r="A1968" s="1" t="s">
        <v>1242</v>
      </c>
      <c r="B1968" s="1" t="n">
        <v>1</v>
      </c>
      <c r="C1968" s="5" t="n">
        <v>46245</v>
      </c>
      <c r="D1968" s="6" t="s">
        <v>283</v>
      </c>
      <c r="E1968" s="6" t="s">
        <v>342</v>
      </c>
      <c r="F1968" s="6" t="s">
        <v>46</v>
      </c>
      <c r="G1968" s="6" t="s">
        <v>57</v>
      </c>
      <c r="H1968" s="6" t="s">
        <v>58</v>
      </c>
      <c r="I1968" s="1" t="n">
        <v>2</v>
      </c>
      <c r="J1968" s="7" t="n">
        <v>6712.52</v>
      </c>
      <c r="K1968" s="8" t="n">
        <v>0</v>
      </c>
      <c r="L1968" s="7" t="n">
        <v>5587.31</v>
      </c>
      <c r="M1968" s="6" t="s">
        <v>49</v>
      </c>
      <c r="N1968" s="6" t="s">
        <v>50</v>
      </c>
      <c r="O1968" s="6" t="n">
        <f aca="false">IF(TablaVentas[[#This Row],[Precio_unitario]]="","PENDIENTE",TablaVentas[[#This Row],[Unidades]]*TablaVentas[[#This Row],[Precio_unitario]]*(1-TablaVentas[[#This Row],[Descuento_pct]]))</f>
        <v>13425.04</v>
      </c>
      <c r="P1968" s="6" t="n">
        <f aca="false">IF(TablaVentas[[#This Row],[Costo_unitario]]="","PENDIENTE",TablaVentas[[#This Row],[Unidades]]*TablaVentas[[#This Row],[Costo_unitario]])</f>
        <v>11174.62</v>
      </c>
      <c r="Q1968" s="6" t="n">
        <f aca="false">IF(OR(TablaVentas[[#This Row],[Ingreso_neto]]="PENDIENTE",TablaVentas[[#This Row],[Costo_total]]="PENDIENTE"),"PENDIENTE",TablaVentas[[#This Row],[Ingreso_neto]]-TablaVentas[[#This Row],[Costo_total]])</f>
        <v>2250.42</v>
      </c>
    </row>
    <row r="1969" customFormat="false" ht="13.5" hidden="false" customHeight="false" outlineLevel="0" collapsed="false">
      <c r="A1969" s="1" t="s">
        <v>1242</v>
      </c>
      <c r="B1969" s="1" t="n">
        <v>2</v>
      </c>
      <c r="C1969" s="5" t="n">
        <v>46245</v>
      </c>
      <c r="D1969" s="6" t="s">
        <v>283</v>
      </c>
      <c r="E1969" s="6" t="s">
        <v>179</v>
      </c>
      <c r="F1969" s="6" t="s">
        <v>46</v>
      </c>
      <c r="G1969" s="6" t="s">
        <v>57</v>
      </c>
      <c r="H1969" s="6" t="s">
        <v>58</v>
      </c>
      <c r="I1969" s="1" t="n">
        <v>5</v>
      </c>
      <c r="J1969" s="7" t="n">
        <v>14994.87</v>
      </c>
      <c r="K1969" s="8" t="n">
        <v>0.2</v>
      </c>
      <c r="L1969" s="7" t="n">
        <v>10830.17</v>
      </c>
      <c r="M1969" s="6" t="s">
        <v>49</v>
      </c>
      <c r="N1969" s="6" t="s">
        <v>52</v>
      </c>
      <c r="O1969" s="6" t="n">
        <f aca="false">IF(TablaVentas[[#This Row],[Precio_unitario]]="","PENDIENTE",TablaVentas[[#This Row],[Unidades]]*TablaVentas[[#This Row],[Precio_unitario]]*(1-TablaVentas[[#This Row],[Descuento_pct]]))</f>
        <v>59979.48</v>
      </c>
      <c r="P1969" s="6" t="n">
        <f aca="false">IF(TablaVentas[[#This Row],[Costo_unitario]]="","PENDIENTE",TablaVentas[[#This Row],[Unidades]]*TablaVentas[[#This Row],[Costo_unitario]])</f>
        <v>54150.85</v>
      </c>
      <c r="Q1969" s="6" t="n">
        <f aca="false">IF(OR(TablaVentas[[#This Row],[Ingreso_neto]]="PENDIENTE",TablaVentas[[#This Row],[Costo_total]]="PENDIENTE"),"PENDIENTE",TablaVentas[[#This Row],[Ingreso_neto]]-TablaVentas[[#This Row],[Costo_total]])</f>
        <v>5828.63000000001</v>
      </c>
    </row>
    <row r="1970" customFormat="false" ht="13.5" hidden="false" customHeight="false" outlineLevel="0" collapsed="false">
      <c r="A1970" s="1" t="s">
        <v>1242</v>
      </c>
      <c r="B1970" s="1" t="n">
        <v>3</v>
      </c>
      <c r="C1970" s="5" t="n">
        <v>46245</v>
      </c>
      <c r="D1970" s="6" t="s">
        <v>283</v>
      </c>
      <c r="E1970" s="6" t="s">
        <v>265</v>
      </c>
      <c r="F1970" s="6" t="s">
        <v>46</v>
      </c>
      <c r="G1970" s="6" t="s">
        <v>57</v>
      </c>
      <c r="H1970" s="6" t="s">
        <v>58</v>
      </c>
      <c r="I1970" s="1" t="n">
        <v>2</v>
      </c>
      <c r="J1970" s="7" t="n">
        <v>3917.53</v>
      </c>
      <c r="K1970" s="8" t="n">
        <v>0.15</v>
      </c>
      <c r="L1970" s="7" t="n">
        <v>2008.57</v>
      </c>
      <c r="M1970" s="6" t="s">
        <v>49</v>
      </c>
      <c r="N1970" s="6" t="s">
        <v>67</v>
      </c>
      <c r="O1970" s="6" t="n">
        <f aca="false">IF(TablaVentas[[#This Row],[Precio_unitario]]="","PENDIENTE",TablaVentas[[#This Row],[Unidades]]*TablaVentas[[#This Row],[Precio_unitario]]*(1-TablaVentas[[#This Row],[Descuento_pct]]))</f>
        <v>6659.801</v>
      </c>
      <c r="P1970" s="6" t="n">
        <f aca="false">IF(TablaVentas[[#This Row],[Costo_unitario]]="","PENDIENTE",TablaVentas[[#This Row],[Unidades]]*TablaVentas[[#This Row],[Costo_unitario]])</f>
        <v>4017.14</v>
      </c>
      <c r="Q1970" s="6" t="n">
        <f aca="false">IF(OR(TablaVentas[[#This Row],[Ingreso_neto]]="PENDIENTE",TablaVentas[[#This Row],[Costo_total]]="PENDIENTE"),"PENDIENTE",TablaVentas[[#This Row],[Ingreso_neto]]-TablaVentas[[#This Row],[Costo_total]])</f>
        <v>2642.661</v>
      </c>
    </row>
    <row r="1971" customFormat="false" ht="13.5" hidden="false" customHeight="false" outlineLevel="0" collapsed="false">
      <c r="A1971" s="1" t="s">
        <v>1243</v>
      </c>
      <c r="B1971" s="1" t="n">
        <v>1</v>
      </c>
      <c r="C1971" s="5" t="n">
        <v>46174</v>
      </c>
      <c r="D1971" s="6" t="s">
        <v>1244</v>
      </c>
      <c r="E1971" s="6" t="s">
        <v>45</v>
      </c>
      <c r="F1971" s="6" t="s">
        <v>46</v>
      </c>
      <c r="G1971" s="6" t="s">
        <v>57</v>
      </c>
      <c r="H1971" s="6" t="s">
        <v>80</v>
      </c>
      <c r="I1971" s="1" t="n">
        <v>2</v>
      </c>
      <c r="J1971" s="7" t="n">
        <v>5688.91</v>
      </c>
      <c r="K1971" s="8" t="n">
        <v>0.2</v>
      </c>
      <c r="L1971" s="7" t="n">
        <v>3832.69</v>
      </c>
      <c r="M1971" s="6" t="s">
        <v>49</v>
      </c>
      <c r="N1971" s="6" t="s">
        <v>59</v>
      </c>
      <c r="O1971" s="6" t="n">
        <f aca="false">IF(TablaVentas[[#This Row],[Precio_unitario]]="","PENDIENTE",TablaVentas[[#This Row],[Unidades]]*TablaVentas[[#This Row],[Precio_unitario]]*(1-TablaVentas[[#This Row],[Descuento_pct]]))</f>
        <v>9102.256</v>
      </c>
      <c r="P1971" s="6" t="n">
        <f aca="false">IF(TablaVentas[[#This Row],[Costo_unitario]]="","PENDIENTE",TablaVentas[[#This Row],[Unidades]]*TablaVentas[[#This Row],[Costo_unitario]])</f>
        <v>7665.38</v>
      </c>
      <c r="Q1971" s="6" t="n">
        <f aca="false">IF(OR(TablaVentas[[#This Row],[Ingreso_neto]]="PENDIENTE",TablaVentas[[#This Row],[Costo_total]]="PENDIENTE"),"PENDIENTE",TablaVentas[[#This Row],[Ingreso_neto]]-TablaVentas[[#This Row],[Costo_total]])</f>
        <v>1436.876</v>
      </c>
    </row>
    <row r="1972" customFormat="false" ht="13.5" hidden="false" customHeight="false" outlineLevel="0" collapsed="false">
      <c r="A1972" s="1" t="s">
        <v>1245</v>
      </c>
      <c r="B1972" s="1" t="n">
        <v>1</v>
      </c>
      <c r="C1972" s="5" t="n">
        <v>46257</v>
      </c>
      <c r="D1972" s="6" t="s">
        <v>221</v>
      </c>
      <c r="E1972" s="6" t="s">
        <v>92</v>
      </c>
      <c r="F1972" s="6" t="s">
        <v>63</v>
      </c>
      <c r="G1972" s="6" t="s">
        <v>64</v>
      </c>
      <c r="H1972" s="6" t="s">
        <v>65</v>
      </c>
      <c r="I1972" s="1" t="n">
        <v>2</v>
      </c>
      <c r="J1972" s="7" t="n">
        <v>487.27</v>
      </c>
      <c r="K1972" s="8" t="n">
        <v>0</v>
      </c>
      <c r="L1972" s="7" t="n">
        <v>307.75</v>
      </c>
      <c r="M1972" s="6" t="s">
        <v>49</v>
      </c>
      <c r="N1972" s="6" t="s">
        <v>67</v>
      </c>
      <c r="O1972" s="6" t="n">
        <f aca="false">IF(TablaVentas[[#This Row],[Precio_unitario]]="","PENDIENTE",TablaVentas[[#This Row],[Unidades]]*TablaVentas[[#This Row],[Precio_unitario]]*(1-TablaVentas[[#This Row],[Descuento_pct]]))</f>
        <v>974.54</v>
      </c>
      <c r="P1972" s="6" t="n">
        <f aca="false">IF(TablaVentas[[#This Row],[Costo_unitario]]="","PENDIENTE",TablaVentas[[#This Row],[Unidades]]*TablaVentas[[#This Row],[Costo_unitario]])</f>
        <v>615.5</v>
      </c>
      <c r="Q1972" s="6" t="n">
        <f aca="false">IF(OR(TablaVentas[[#This Row],[Ingreso_neto]]="PENDIENTE",TablaVentas[[#This Row],[Costo_total]]="PENDIENTE"),"PENDIENTE",TablaVentas[[#This Row],[Ingreso_neto]]-TablaVentas[[#This Row],[Costo_total]])</f>
        <v>359.04</v>
      </c>
    </row>
    <row r="1973" customFormat="false" ht="13.5" hidden="false" customHeight="false" outlineLevel="0" collapsed="false">
      <c r="A1973" s="1" t="s">
        <v>1245</v>
      </c>
      <c r="B1973" s="1" t="n">
        <v>2</v>
      </c>
      <c r="C1973" s="5" t="n">
        <v>46257</v>
      </c>
      <c r="D1973" s="6" t="s">
        <v>221</v>
      </c>
      <c r="E1973" s="6" t="s">
        <v>200</v>
      </c>
      <c r="F1973" s="6" t="s">
        <v>63</v>
      </c>
      <c r="G1973" s="6" t="s">
        <v>64</v>
      </c>
      <c r="H1973" s="6" t="s">
        <v>65</v>
      </c>
      <c r="I1973" s="1" t="n">
        <v>5</v>
      </c>
      <c r="J1973" s="7" t="n">
        <v>10594.15</v>
      </c>
      <c r="K1973" s="8" t="n">
        <v>0.15</v>
      </c>
      <c r="L1973" s="7" t="n">
        <v>5811.72</v>
      </c>
      <c r="M1973" s="6" t="s">
        <v>49</v>
      </c>
      <c r="N1973" s="6" t="s">
        <v>50</v>
      </c>
      <c r="O1973" s="6" t="n">
        <f aca="false">IF(TablaVentas[[#This Row],[Precio_unitario]]="","PENDIENTE",TablaVentas[[#This Row],[Unidades]]*TablaVentas[[#This Row],[Precio_unitario]]*(1-TablaVentas[[#This Row],[Descuento_pct]]))</f>
        <v>45025.1375</v>
      </c>
      <c r="P1973" s="6" t="n">
        <f aca="false">IF(TablaVentas[[#This Row],[Costo_unitario]]="","PENDIENTE",TablaVentas[[#This Row],[Unidades]]*TablaVentas[[#This Row],[Costo_unitario]])</f>
        <v>29058.6</v>
      </c>
      <c r="Q1973" s="6" t="n">
        <f aca="false">IF(OR(TablaVentas[[#This Row],[Ingreso_neto]]="PENDIENTE",TablaVentas[[#This Row],[Costo_total]]="PENDIENTE"),"PENDIENTE",TablaVentas[[#This Row],[Ingreso_neto]]-TablaVentas[[#This Row],[Costo_total]])</f>
        <v>15966.5375</v>
      </c>
    </row>
    <row r="1974" customFormat="false" ht="13.5" hidden="false" customHeight="false" outlineLevel="0" collapsed="false">
      <c r="A1974" s="1" t="s">
        <v>1246</v>
      </c>
      <c r="B1974" s="1" t="n">
        <v>1</v>
      </c>
      <c r="C1974" s="5" t="n">
        <v>46230</v>
      </c>
      <c r="D1974" s="6" t="s">
        <v>288</v>
      </c>
      <c r="E1974" s="6" t="s">
        <v>192</v>
      </c>
      <c r="F1974" s="6" t="s">
        <v>63</v>
      </c>
      <c r="G1974" s="6" t="s">
        <v>47</v>
      </c>
      <c r="H1974" s="6" t="s">
        <v>74</v>
      </c>
      <c r="I1974" s="1" t="n">
        <v>1</v>
      </c>
      <c r="J1974" s="7" t="n">
        <v>15698.45</v>
      </c>
      <c r="K1974" s="8" t="n">
        <v>0</v>
      </c>
      <c r="L1974" s="7" t="n">
        <v>11904.09</v>
      </c>
      <c r="M1974" s="6" t="s">
        <v>49</v>
      </c>
      <c r="N1974" s="6" t="s">
        <v>52</v>
      </c>
      <c r="O1974" s="6" t="n">
        <f aca="false">IF(TablaVentas[[#This Row],[Precio_unitario]]="","PENDIENTE",TablaVentas[[#This Row],[Unidades]]*TablaVentas[[#This Row],[Precio_unitario]]*(1-TablaVentas[[#This Row],[Descuento_pct]]))</f>
        <v>15698.45</v>
      </c>
      <c r="P1974" s="6" t="n">
        <f aca="false">IF(TablaVentas[[#This Row],[Costo_unitario]]="","PENDIENTE",TablaVentas[[#This Row],[Unidades]]*TablaVentas[[#This Row],[Costo_unitario]])</f>
        <v>11904.09</v>
      </c>
      <c r="Q1974" s="6" t="n">
        <f aca="false">IF(OR(TablaVentas[[#This Row],[Ingreso_neto]]="PENDIENTE",TablaVentas[[#This Row],[Costo_total]]="PENDIENTE"),"PENDIENTE",TablaVentas[[#This Row],[Ingreso_neto]]-TablaVentas[[#This Row],[Costo_total]])</f>
        <v>3794.36</v>
      </c>
    </row>
    <row r="1975" customFormat="false" ht="13.5" hidden="false" customHeight="false" outlineLevel="0" collapsed="false">
      <c r="A1975" s="1" t="s">
        <v>1246</v>
      </c>
      <c r="B1975" s="1" t="n">
        <v>2</v>
      </c>
      <c r="C1975" s="5" t="n">
        <v>46230</v>
      </c>
      <c r="D1975" s="6" t="s">
        <v>288</v>
      </c>
      <c r="E1975" s="6" t="s">
        <v>187</v>
      </c>
      <c r="F1975" s="6" t="s">
        <v>63</v>
      </c>
      <c r="G1975" s="6" t="s">
        <v>47</v>
      </c>
      <c r="H1975" s="6" t="s">
        <v>74</v>
      </c>
      <c r="I1975" s="1" t="n">
        <v>1</v>
      </c>
      <c r="J1975" s="7" t="n">
        <v>6298.04</v>
      </c>
      <c r="K1975" s="8" t="n">
        <v>0</v>
      </c>
      <c r="L1975" s="7" t="n">
        <v>3824.92</v>
      </c>
      <c r="M1975" s="6" t="s">
        <v>49</v>
      </c>
      <c r="N1975" s="6" t="s">
        <v>59</v>
      </c>
      <c r="O1975" s="6" t="n">
        <f aca="false">IF(TablaVentas[[#This Row],[Precio_unitario]]="","PENDIENTE",TablaVentas[[#This Row],[Unidades]]*TablaVentas[[#This Row],[Precio_unitario]]*(1-TablaVentas[[#This Row],[Descuento_pct]]))</f>
        <v>6298.04</v>
      </c>
      <c r="P1975" s="6" t="n">
        <f aca="false">IF(TablaVentas[[#This Row],[Costo_unitario]]="","PENDIENTE",TablaVentas[[#This Row],[Unidades]]*TablaVentas[[#This Row],[Costo_unitario]])</f>
        <v>3824.92</v>
      </c>
      <c r="Q1975" s="6" t="n">
        <f aca="false">IF(OR(TablaVentas[[#This Row],[Ingreso_neto]]="PENDIENTE",TablaVentas[[#This Row],[Costo_total]]="PENDIENTE"),"PENDIENTE",TablaVentas[[#This Row],[Ingreso_neto]]-TablaVentas[[#This Row],[Costo_total]])</f>
        <v>2473.12</v>
      </c>
    </row>
    <row r="1976" customFormat="false" ht="13.5" hidden="false" customHeight="false" outlineLevel="0" collapsed="false">
      <c r="A1976" s="1" t="s">
        <v>1247</v>
      </c>
      <c r="B1976" s="1" t="n">
        <v>1</v>
      </c>
      <c r="C1976" s="5" t="n">
        <v>46166</v>
      </c>
      <c r="D1976" s="6" t="s">
        <v>716</v>
      </c>
      <c r="E1976" s="6" t="s">
        <v>77</v>
      </c>
      <c r="F1976" s="6" t="s">
        <v>46</v>
      </c>
      <c r="G1976" s="6" t="s">
        <v>64</v>
      </c>
      <c r="H1976" s="6" t="s">
        <v>48</v>
      </c>
      <c r="I1976" s="1" t="n">
        <v>4</v>
      </c>
      <c r="J1976" s="7" t="n">
        <v>15100.81</v>
      </c>
      <c r="K1976" s="8" t="n">
        <v>0.15</v>
      </c>
      <c r="L1976" s="7" t="n">
        <v>10571.25</v>
      </c>
      <c r="M1976" s="6" t="s">
        <v>49</v>
      </c>
      <c r="N1976" s="6" t="s">
        <v>52</v>
      </c>
      <c r="O1976" s="6" t="n">
        <f aca="false">IF(TablaVentas[[#This Row],[Precio_unitario]]="","PENDIENTE",TablaVentas[[#This Row],[Unidades]]*TablaVentas[[#This Row],[Precio_unitario]]*(1-TablaVentas[[#This Row],[Descuento_pct]]))</f>
        <v>51342.754</v>
      </c>
      <c r="P1976" s="6" t="n">
        <f aca="false">IF(TablaVentas[[#This Row],[Costo_unitario]]="","PENDIENTE",TablaVentas[[#This Row],[Unidades]]*TablaVentas[[#This Row],[Costo_unitario]])</f>
        <v>42285</v>
      </c>
      <c r="Q1976" s="6" t="n">
        <f aca="false">IF(OR(TablaVentas[[#This Row],[Ingreso_neto]]="PENDIENTE",TablaVentas[[#This Row],[Costo_total]]="PENDIENTE"),"PENDIENTE",TablaVentas[[#This Row],[Ingreso_neto]]-TablaVentas[[#This Row],[Costo_total]])</f>
        <v>9057.75399999999</v>
      </c>
    </row>
    <row r="1977" customFormat="false" ht="13.5" hidden="false" customHeight="false" outlineLevel="0" collapsed="false">
      <c r="A1977" s="1" t="s">
        <v>1247</v>
      </c>
      <c r="B1977" s="1" t="n">
        <v>2</v>
      </c>
      <c r="C1977" s="5" t="n">
        <v>46166</v>
      </c>
      <c r="D1977" s="6" t="s">
        <v>716</v>
      </c>
      <c r="E1977" s="6" t="s">
        <v>75</v>
      </c>
      <c r="F1977" s="6" t="s">
        <v>46</v>
      </c>
      <c r="G1977" s="6" t="s">
        <v>64</v>
      </c>
      <c r="H1977" s="6" t="s">
        <v>48</v>
      </c>
      <c r="I1977" s="1" t="n">
        <v>1</v>
      </c>
      <c r="J1977" s="7" t="n">
        <v>14676.34</v>
      </c>
      <c r="K1977" s="8" t="n">
        <v>0</v>
      </c>
      <c r="L1977" s="7" t="n">
        <v>9243.35</v>
      </c>
      <c r="M1977" s="6" t="s">
        <v>49</v>
      </c>
      <c r="N1977" s="6" t="s">
        <v>59</v>
      </c>
      <c r="O1977" s="6" t="n">
        <f aca="false">IF(TablaVentas[[#This Row],[Precio_unitario]]="","PENDIENTE",TablaVentas[[#This Row],[Unidades]]*TablaVentas[[#This Row],[Precio_unitario]]*(1-TablaVentas[[#This Row],[Descuento_pct]]))</f>
        <v>14676.34</v>
      </c>
      <c r="P1977" s="6" t="n">
        <f aca="false">IF(TablaVentas[[#This Row],[Costo_unitario]]="","PENDIENTE",TablaVentas[[#This Row],[Unidades]]*TablaVentas[[#This Row],[Costo_unitario]])</f>
        <v>9243.35</v>
      </c>
      <c r="Q1977" s="6" t="n">
        <f aca="false">IF(OR(TablaVentas[[#This Row],[Ingreso_neto]]="PENDIENTE",TablaVentas[[#This Row],[Costo_total]]="PENDIENTE"),"PENDIENTE",TablaVentas[[#This Row],[Ingreso_neto]]-TablaVentas[[#This Row],[Costo_total]])</f>
        <v>5432.99</v>
      </c>
    </row>
    <row r="1978" customFormat="false" ht="13.5" hidden="false" customHeight="false" outlineLevel="0" collapsed="false">
      <c r="A1978" s="1" t="s">
        <v>1247</v>
      </c>
      <c r="B1978" s="1" t="n">
        <v>3</v>
      </c>
      <c r="C1978" s="5" t="n">
        <v>46166</v>
      </c>
      <c r="D1978" s="6" t="s">
        <v>716</v>
      </c>
      <c r="E1978" s="6" t="s">
        <v>404</v>
      </c>
      <c r="F1978" s="6" t="s">
        <v>46</v>
      </c>
      <c r="G1978" s="6" t="s">
        <v>64</v>
      </c>
      <c r="H1978" s="6" t="s">
        <v>48</v>
      </c>
      <c r="I1978" s="1" t="n">
        <v>1</v>
      </c>
      <c r="J1978" s="7" t="n">
        <v>6408.21</v>
      </c>
      <c r="K1978" s="8" t="n">
        <v>0</v>
      </c>
      <c r="L1978" s="7" t="n">
        <v>3640.56</v>
      </c>
      <c r="M1978" s="6" t="s">
        <v>49</v>
      </c>
      <c r="N1978" s="6" t="s">
        <v>67</v>
      </c>
      <c r="O1978" s="6" t="n">
        <f aca="false">IF(TablaVentas[[#This Row],[Precio_unitario]]="","PENDIENTE",TablaVentas[[#This Row],[Unidades]]*TablaVentas[[#This Row],[Precio_unitario]]*(1-TablaVentas[[#This Row],[Descuento_pct]]))</f>
        <v>6408.21</v>
      </c>
      <c r="P1978" s="6" t="n">
        <f aca="false">IF(TablaVentas[[#This Row],[Costo_unitario]]="","PENDIENTE",TablaVentas[[#This Row],[Unidades]]*TablaVentas[[#This Row],[Costo_unitario]])</f>
        <v>3640.56</v>
      </c>
      <c r="Q1978" s="6" t="n">
        <f aca="false">IF(OR(TablaVentas[[#This Row],[Ingreso_neto]]="PENDIENTE",TablaVentas[[#This Row],[Costo_total]]="PENDIENTE"),"PENDIENTE",TablaVentas[[#This Row],[Ingreso_neto]]-TablaVentas[[#This Row],[Costo_total]])</f>
        <v>2767.65</v>
      </c>
    </row>
    <row r="1979" customFormat="false" ht="13.5" hidden="false" customHeight="false" outlineLevel="0" collapsed="false">
      <c r="A1979" s="1" t="s">
        <v>1248</v>
      </c>
      <c r="B1979" s="1" t="n">
        <v>1</v>
      </c>
      <c r="C1979" s="5" t="n">
        <v>46258</v>
      </c>
      <c r="D1979" s="6" t="s">
        <v>82</v>
      </c>
      <c r="E1979" s="6" t="s">
        <v>141</v>
      </c>
      <c r="F1979" s="6" t="s">
        <v>63</v>
      </c>
      <c r="G1979" s="6" t="s">
        <v>64</v>
      </c>
      <c r="H1979" s="6" t="s">
        <v>80</v>
      </c>
      <c r="I1979" s="1" t="n">
        <v>5</v>
      </c>
      <c r="J1979" s="7" t="n">
        <v>275.32</v>
      </c>
      <c r="K1979" s="8" t="n">
        <v>0.2</v>
      </c>
      <c r="L1979" s="7" t="n">
        <v>176.47</v>
      </c>
      <c r="M1979" s="6" t="s">
        <v>49</v>
      </c>
      <c r="N1979" s="6" t="s">
        <v>67</v>
      </c>
      <c r="O1979" s="6" t="n">
        <f aca="false">IF(TablaVentas[[#This Row],[Precio_unitario]]="","PENDIENTE",TablaVentas[[#This Row],[Unidades]]*TablaVentas[[#This Row],[Precio_unitario]]*(1-TablaVentas[[#This Row],[Descuento_pct]]))</f>
        <v>1101.28</v>
      </c>
      <c r="P1979" s="6" t="n">
        <f aca="false">IF(TablaVentas[[#This Row],[Costo_unitario]]="","PENDIENTE",TablaVentas[[#This Row],[Unidades]]*TablaVentas[[#This Row],[Costo_unitario]])</f>
        <v>882.35</v>
      </c>
      <c r="Q1979" s="6" t="n">
        <f aca="false">IF(OR(TablaVentas[[#This Row],[Ingreso_neto]]="PENDIENTE",TablaVentas[[#This Row],[Costo_total]]="PENDIENTE"),"PENDIENTE",TablaVentas[[#This Row],[Ingreso_neto]]-TablaVentas[[#This Row],[Costo_total]])</f>
        <v>218.93</v>
      </c>
    </row>
    <row r="1980" customFormat="false" ht="13.5" hidden="false" customHeight="false" outlineLevel="0" collapsed="false">
      <c r="A1980" s="1" t="s">
        <v>1249</v>
      </c>
      <c r="B1980" s="1" t="n">
        <v>1</v>
      </c>
      <c r="C1980" s="5" t="n">
        <v>46217</v>
      </c>
      <c r="D1980" s="6" t="s">
        <v>355</v>
      </c>
      <c r="E1980" s="6" t="s">
        <v>328</v>
      </c>
      <c r="F1980" s="6" t="s">
        <v>73</v>
      </c>
      <c r="G1980" s="6" t="s">
        <v>47</v>
      </c>
      <c r="H1980" s="6" t="s">
        <v>109</v>
      </c>
      <c r="I1980" s="1" t="n">
        <v>3</v>
      </c>
      <c r="J1980" s="7" t="n">
        <v>1181.81</v>
      </c>
      <c r="K1980" s="8" t="n">
        <v>0</v>
      </c>
      <c r="L1980" s="7" t="n">
        <v>679.37</v>
      </c>
      <c r="M1980" s="6" t="s">
        <v>49</v>
      </c>
      <c r="N1980" s="6" t="s">
        <v>67</v>
      </c>
      <c r="O1980" s="6" t="n">
        <f aca="false">IF(TablaVentas[[#This Row],[Precio_unitario]]="","PENDIENTE",TablaVentas[[#This Row],[Unidades]]*TablaVentas[[#This Row],[Precio_unitario]]*(1-TablaVentas[[#This Row],[Descuento_pct]]))</f>
        <v>3545.43</v>
      </c>
      <c r="P1980" s="6" t="n">
        <f aca="false">IF(TablaVentas[[#This Row],[Costo_unitario]]="","PENDIENTE",TablaVentas[[#This Row],[Unidades]]*TablaVentas[[#This Row],[Costo_unitario]])</f>
        <v>2038.11</v>
      </c>
      <c r="Q1980" s="6" t="n">
        <f aca="false">IF(OR(TablaVentas[[#This Row],[Ingreso_neto]]="PENDIENTE",TablaVentas[[#This Row],[Costo_total]]="PENDIENTE"),"PENDIENTE",TablaVentas[[#This Row],[Ingreso_neto]]-TablaVentas[[#This Row],[Costo_total]])</f>
        <v>1507.32</v>
      </c>
    </row>
    <row r="1981" customFormat="false" ht="13.5" hidden="false" customHeight="false" outlineLevel="0" collapsed="false">
      <c r="A1981" s="1" t="s">
        <v>1250</v>
      </c>
      <c r="B1981" s="1" t="n">
        <v>1</v>
      </c>
      <c r="C1981" s="5" t="n">
        <v>46111</v>
      </c>
      <c r="D1981" s="6" t="s">
        <v>341</v>
      </c>
      <c r="E1981" s="6" t="s">
        <v>360</v>
      </c>
      <c r="F1981" s="6" t="s">
        <v>73</v>
      </c>
      <c r="G1981" s="6" t="s">
        <v>64</v>
      </c>
      <c r="H1981" s="6" t="s">
        <v>74</v>
      </c>
      <c r="I1981" s="1" t="n">
        <v>1</v>
      </c>
      <c r="J1981" s="7" t="n">
        <v>2331.76</v>
      </c>
      <c r="K1981" s="8" t="n">
        <v>0</v>
      </c>
      <c r="L1981" s="7" t="n">
        <v>1479.71</v>
      </c>
      <c r="M1981" s="6" t="s">
        <v>49</v>
      </c>
      <c r="N1981" s="6" t="s">
        <v>67</v>
      </c>
      <c r="O1981" s="6" t="n">
        <f aca="false">IF(TablaVentas[[#This Row],[Precio_unitario]]="","PENDIENTE",TablaVentas[[#This Row],[Unidades]]*TablaVentas[[#This Row],[Precio_unitario]]*(1-TablaVentas[[#This Row],[Descuento_pct]]))</f>
        <v>2331.76</v>
      </c>
      <c r="P1981" s="6" t="n">
        <f aca="false">IF(TablaVentas[[#This Row],[Costo_unitario]]="","PENDIENTE",TablaVentas[[#This Row],[Unidades]]*TablaVentas[[#This Row],[Costo_unitario]])</f>
        <v>1479.71</v>
      </c>
      <c r="Q1981" s="6" t="n">
        <f aca="false">IF(OR(TablaVentas[[#This Row],[Ingreso_neto]]="PENDIENTE",TablaVentas[[#This Row],[Costo_total]]="PENDIENTE"),"PENDIENTE",TablaVentas[[#This Row],[Ingreso_neto]]-TablaVentas[[#This Row],[Costo_total]])</f>
        <v>852.05</v>
      </c>
    </row>
    <row r="1982" customFormat="false" ht="13.5" hidden="false" customHeight="false" outlineLevel="0" collapsed="false">
      <c r="A1982" s="1" t="s">
        <v>1251</v>
      </c>
      <c r="B1982" s="1" t="n">
        <v>1</v>
      </c>
      <c r="C1982" s="5" t="n">
        <v>46032</v>
      </c>
      <c r="D1982" s="6" t="s">
        <v>55</v>
      </c>
      <c r="E1982" s="6" t="s">
        <v>53</v>
      </c>
      <c r="F1982" s="6" t="s">
        <v>84</v>
      </c>
      <c r="G1982" s="6" t="s">
        <v>57</v>
      </c>
      <c r="H1982" s="6" t="s">
        <v>58</v>
      </c>
      <c r="I1982" s="1" t="n">
        <v>1</v>
      </c>
      <c r="J1982" s="7" t="n">
        <v>3985.26</v>
      </c>
      <c r="K1982" s="8" t="n">
        <v>0</v>
      </c>
      <c r="L1982" s="7" t="n">
        <v>2957.6</v>
      </c>
      <c r="M1982" s="6" t="s">
        <v>49</v>
      </c>
      <c r="N1982" s="6" t="s">
        <v>67</v>
      </c>
      <c r="O1982" s="6" t="n">
        <f aca="false">IF(TablaVentas[[#This Row],[Precio_unitario]]="","PENDIENTE",TablaVentas[[#This Row],[Unidades]]*TablaVentas[[#This Row],[Precio_unitario]]*(1-TablaVentas[[#This Row],[Descuento_pct]]))</f>
        <v>3985.26</v>
      </c>
      <c r="P1982" s="6" t="n">
        <f aca="false">IF(TablaVentas[[#This Row],[Costo_unitario]]="","PENDIENTE",TablaVentas[[#This Row],[Unidades]]*TablaVentas[[#This Row],[Costo_unitario]])</f>
        <v>2957.6</v>
      </c>
      <c r="Q1982" s="6" t="n">
        <f aca="false">IF(OR(TablaVentas[[#This Row],[Ingreso_neto]]="PENDIENTE",TablaVentas[[#This Row],[Costo_total]]="PENDIENTE"),"PENDIENTE",TablaVentas[[#This Row],[Ingreso_neto]]-TablaVentas[[#This Row],[Costo_total]])</f>
        <v>1027.66</v>
      </c>
    </row>
    <row r="1983" customFormat="false" ht="13.5" hidden="false" customHeight="false" outlineLevel="0" collapsed="false">
      <c r="A1983" s="1" t="s">
        <v>1251</v>
      </c>
      <c r="B1983" s="1" t="n">
        <v>2</v>
      </c>
      <c r="C1983" s="5" t="n">
        <v>46032</v>
      </c>
      <c r="D1983" s="6" t="s">
        <v>55</v>
      </c>
      <c r="E1983" s="6" t="s">
        <v>96</v>
      </c>
      <c r="F1983" s="6" t="s">
        <v>84</v>
      </c>
      <c r="G1983" s="6" t="s">
        <v>57</v>
      </c>
      <c r="H1983" s="6" t="s">
        <v>58</v>
      </c>
      <c r="I1983" s="1" t="n">
        <v>4</v>
      </c>
      <c r="J1983" s="7" t="n">
        <v>12080.61</v>
      </c>
      <c r="K1983" s="8" t="n">
        <v>0</v>
      </c>
      <c r="L1983" s="7" t="n">
        <v>9118.07</v>
      </c>
      <c r="M1983" s="6" t="s">
        <v>49</v>
      </c>
      <c r="N1983" s="6" t="s">
        <v>50</v>
      </c>
      <c r="O1983" s="6" t="n">
        <f aca="false">IF(TablaVentas[[#This Row],[Precio_unitario]]="","PENDIENTE",TablaVentas[[#This Row],[Unidades]]*TablaVentas[[#This Row],[Precio_unitario]]*(1-TablaVentas[[#This Row],[Descuento_pct]]))</f>
        <v>48322.44</v>
      </c>
      <c r="P1983" s="6" t="n">
        <f aca="false">IF(TablaVentas[[#This Row],[Costo_unitario]]="","PENDIENTE",TablaVentas[[#This Row],[Unidades]]*TablaVentas[[#This Row],[Costo_unitario]])</f>
        <v>36472.28</v>
      </c>
      <c r="Q1983" s="6" t="n">
        <f aca="false">IF(OR(TablaVentas[[#This Row],[Ingreso_neto]]="PENDIENTE",TablaVentas[[#This Row],[Costo_total]]="PENDIENTE"),"PENDIENTE",TablaVentas[[#This Row],[Ingreso_neto]]-TablaVentas[[#This Row],[Costo_total]])</f>
        <v>11850.16</v>
      </c>
    </row>
    <row r="1984" customFormat="false" ht="13.5" hidden="false" customHeight="false" outlineLevel="0" collapsed="false">
      <c r="A1984" s="1" t="s">
        <v>1252</v>
      </c>
      <c r="B1984" s="1" t="n">
        <v>1</v>
      </c>
      <c r="C1984" s="5" t="n">
        <v>46061</v>
      </c>
      <c r="D1984" s="6" t="s">
        <v>61</v>
      </c>
      <c r="E1984" s="6" t="s">
        <v>263</v>
      </c>
      <c r="F1984" s="6" t="s">
        <v>46</v>
      </c>
      <c r="G1984" s="6" t="s">
        <v>57</v>
      </c>
      <c r="H1984" s="6" t="s">
        <v>191</v>
      </c>
      <c r="I1984" s="1" t="n">
        <v>2</v>
      </c>
      <c r="J1984" s="7" t="n">
        <v>19027.83</v>
      </c>
      <c r="K1984" s="8" t="n">
        <v>0.1</v>
      </c>
      <c r="L1984" s="7" t="n">
        <v>11666.57</v>
      </c>
      <c r="M1984" s="6" t="s">
        <v>49</v>
      </c>
      <c r="N1984" s="6" t="s">
        <v>67</v>
      </c>
      <c r="O1984" s="6" t="n">
        <f aca="false">IF(TablaVentas[[#This Row],[Precio_unitario]]="","PENDIENTE",TablaVentas[[#This Row],[Unidades]]*TablaVentas[[#This Row],[Precio_unitario]]*(1-TablaVentas[[#This Row],[Descuento_pct]]))</f>
        <v>34250.094</v>
      </c>
      <c r="P1984" s="6" t="n">
        <f aca="false">IF(TablaVentas[[#This Row],[Costo_unitario]]="","PENDIENTE",TablaVentas[[#This Row],[Unidades]]*TablaVentas[[#This Row],[Costo_unitario]])</f>
        <v>23333.14</v>
      </c>
      <c r="Q1984" s="6" t="n">
        <f aca="false">IF(OR(TablaVentas[[#This Row],[Ingreso_neto]]="PENDIENTE",TablaVentas[[#This Row],[Costo_total]]="PENDIENTE"),"PENDIENTE",TablaVentas[[#This Row],[Ingreso_neto]]-TablaVentas[[#This Row],[Costo_total]])</f>
        <v>10916.954</v>
      </c>
    </row>
    <row r="1985" customFormat="false" ht="13.5" hidden="false" customHeight="false" outlineLevel="0" collapsed="false">
      <c r="A1985" s="1" t="s">
        <v>1252</v>
      </c>
      <c r="B1985" s="1" t="n">
        <v>2</v>
      </c>
      <c r="C1985" s="5" t="n">
        <v>46061</v>
      </c>
      <c r="D1985" s="6" t="s">
        <v>61</v>
      </c>
      <c r="E1985" s="6" t="s">
        <v>284</v>
      </c>
      <c r="F1985" s="6" t="s">
        <v>46</v>
      </c>
      <c r="G1985" s="6" t="s">
        <v>57</v>
      </c>
      <c r="H1985" s="6" t="s">
        <v>191</v>
      </c>
      <c r="I1985" s="1" t="n">
        <v>2</v>
      </c>
      <c r="J1985" s="7" t="n">
        <v>6145.99</v>
      </c>
      <c r="K1985" s="8" t="n">
        <v>0.1</v>
      </c>
      <c r="L1985" s="7" t="n">
        <v>4858.08</v>
      </c>
      <c r="M1985" s="6" t="s">
        <v>49</v>
      </c>
      <c r="N1985" s="6" t="s">
        <v>59</v>
      </c>
      <c r="O1985" s="6" t="n">
        <f aca="false">IF(TablaVentas[[#This Row],[Precio_unitario]]="","PENDIENTE",TablaVentas[[#This Row],[Unidades]]*TablaVentas[[#This Row],[Precio_unitario]]*(1-TablaVentas[[#This Row],[Descuento_pct]]))</f>
        <v>11062.782</v>
      </c>
      <c r="P1985" s="6" t="n">
        <f aca="false">IF(TablaVentas[[#This Row],[Costo_unitario]]="","PENDIENTE",TablaVentas[[#This Row],[Unidades]]*TablaVentas[[#This Row],[Costo_unitario]])</f>
        <v>9716.16</v>
      </c>
      <c r="Q1985" s="6" t="n">
        <f aca="false">IF(OR(TablaVentas[[#This Row],[Ingreso_neto]]="PENDIENTE",TablaVentas[[#This Row],[Costo_total]]="PENDIENTE"),"PENDIENTE",TablaVentas[[#This Row],[Ingreso_neto]]-TablaVentas[[#This Row],[Costo_total]])</f>
        <v>1346.622</v>
      </c>
    </row>
    <row r="1986" customFormat="false" ht="13.5" hidden="false" customHeight="false" outlineLevel="0" collapsed="false">
      <c r="A1986" s="1" t="s">
        <v>1252</v>
      </c>
      <c r="B1986" s="1" t="n">
        <v>3</v>
      </c>
      <c r="C1986" s="5" t="n">
        <v>46061</v>
      </c>
      <c r="D1986" s="6" t="s">
        <v>61</v>
      </c>
      <c r="E1986" s="6" t="s">
        <v>145</v>
      </c>
      <c r="F1986" s="6" t="s">
        <v>46</v>
      </c>
      <c r="G1986" s="6" t="s">
        <v>57</v>
      </c>
      <c r="H1986" s="6" t="s">
        <v>191</v>
      </c>
      <c r="I1986" s="1" t="n">
        <v>1</v>
      </c>
      <c r="J1986" s="7" t="n">
        <v>6557.8</v>
      </c>
      <c r="K1986" s="8" t="n">
        <v>0.2</v>
      </c>
      <c r="L1986" s="7" t="n">
        <v>4665.62</v>
      </c>
      <c r="M1986" s="6" t="s">
        <v>49</v>
      </c>
      <c r="N1986" s="6" t="s">
        <v>52</v>
      </c>
      <c r="O1986" s="6" t="n">
        <f aca="false">IF(TablaVentas[[#This Row],[Precio_unitario]]="","PENDIENTE",TablaVentas[[#This Row],[Unidades]]*TablaVentas[[#This Row],[Precio_unitario]]*(1-TablaVentas[[#This Row],[Descuento_pct]]))</f>
        <v>5246.24</v>
      </c>
      <c r="P1986" s="6" t="n">
        <f aca="false">IF(TablaVentas[[#This Row],[Costo_unitario]]="","PENDIENTE",TablaVentas[[#This Row],[Unidades]]*TablaVentas[[#This Row],[Costo_unitario]])</f>
        <v>4665.62</v>
      </c>
      <c r="Q1986" s="6" t="n">
        <f aca="false">IF(OR(TablaVentas[[#This Row],[Ingreso_neto]]="PENDIENTE",TablaVentas[[#This Row],[Costo_total]]="PENDIENTE"),"PENDIENTE",TablaVentas[[#This Row],[Ingreso_neto]]-TablaVentas[[#This Row],[Costo_total]])</f>
        <v>580.620000000001</v>
      </c>
    </row>
    <row r="1987" customFormat="false" ht="13.5" hidden="false" customHeight="false" outlineLevel="0" collapsed="false">
      <c r="A1987" s="1" t="s">
        <v>1253</v>
      </c>
      <c r="B1987" s="1" t="n">
        <v>1</v>
      </c>
      <c r="C1987" s="5" t="n">
        <v>46071</v>
      </c>
      <c r="D1987" s="6" t="s">
        <v>1206</v>
      </c>
      <c r="E1987" s="6" t="s">
        <v>289</v>
      </c>
      <c r="F1987" s="6" t="s">
        <v>84</v>
      </c>
      <c r="G1987" s="6" t="s">
        <v>47</v>
      </c>
      <c r="H1987" s="6" t="s">
        <v>58</v>
      </c>
      <c r="I1987" s="1" t="n">
        <v>1</v>
      </c>
      <c r="J1987" s="7" t="n">
        <v>4557.08</v>
      </c>
      <c r="K1987" s="8" t="n">
        <v>0</v>
      </c>
      <c r="L1987" s="7" t="n">
        <v>3399.5</v>
      </c>
      <c r="M1987" s="6" t="s">
        <v>49</v>
      </c>
      <c r="N1987" s="6" t="s">
        <v>50</v>
      </c>
      <c r="O1987" s="6" t="n">
        <f aca="false">IF(TablaVentas[[#This Row],[Precio_unitario]]="","PENDIENTE",TablaVentas[[#This Row],[Unidades]]*TablaVentas[[#This Row],[Precio_unitario]]*(1-TablaVentas[[#This Row],[Descuento_pct]]))</f>
        <v>4557.08</v>
      </c>
      <c r="P1987" s="6" t="n">
        <f aca="false">IF(TablaVentas[[#This Row],[Costo_unitario]]="","PENDIENTE",TablaVentas[[#This Row],[Unidades]]*TablaVentas[[#This Row],[Costo_unitario]])</f>
        <v>3399.5</v>
      </c>
      <c r="Q1987" s="6" t="n">
        <f aca="false">IF(OR(TablaVentas[[#This Row],[Ingreso_neto]]="PENDIENTE",TablaVentas[[#This Row],[Costo_total]]="PENDIENTE"),"PENDIENTE",TablaVentas[[#This Row],[Ingreso_neto]]-TablaVentas[[#This Row],[Costo_total]])</f>
        <v>1157.58</v>
      </c>
    </row>
    <row r="1988" customFormat="false" ht="13.5" hidden="false" customHeight="false" outlineLevel="0" collapsed="false">
      <c r="A1988" s="1" t="s">
        <v>1253</v>
      </c>
      <c r="B1988" s="1" t="n">
        <v>2</v>
      </c>
      <c r="C1988" s="5" t="n">
        <v>46071</v>
      </c>
      <c r="D1988" s="6" t="s">
        <v>1206</v>
      </c>
      <c r="E1988" s="6" t="s">
        <v>269</v>
      </c>
      <c r="F1988" s="6" t="s">
        <v>84</v>
      </c>
      <c r="G1988" s="6" t="s">
        <v>47</v>
      </c>
      <c r="H1988" s="6" t="s">
        <v>58</v>
      </c>
      <c r="I1988" s="1" t="n">
        <v>2</v>
      </c>
      <c r="J1988" s="7" t="n">
        <v>14495.99</v>
      </c>
      <c r="K1988" s="8" t="n">
        <v>0</v>
      </c>
      <c r="L1988" s="7" t="n">
        <v>8227.46</v>
      </c>
      <c r="M1988" s="6" t="s">
        <v>49</v>
      </c>
      <c r="N1988" s="6" t="s">
        <v>67</v>
      </c>
      <c r="O1988" s="6" t="n">
        <f aca="false">IF(TablaVentas[[#This Row],[Precio_unitario]]="","PENDIENTE",TablaVentas[[#This Row],[Unidades]]*TablaVentas[[#This Row],[Precio_unitario]]*(1-TablaVentas[[#This Row],[Descuento_pct]]))</f>
        <v>28991.98</v>
      </c>
      <c r="P1988" s="6" t="n">
        <f aca="false">IF(TablaVentas[[#This Row],[Costo_unitario]]="","PENDIENTE",TablaVentas[[#This Row],[Unidades]]*TablaVentas[[#This Row],[Costo_unitario]])</f>
        <v>16454.92</v>
      </c>
      <c r="Q1988" s="6" t="n">
        <f aca="false">IF(OR(TablaVentas[[#This Row],[Ingreso_neto]]="PENDIENTE",TablaVentas[[#This Row],[Costo_total]]="PENDIENTE"),"PENDIENTE",TablaVentas[[#This Row],[Ingreso_neto]]-TablaVentas[[#This Row],[Costo_total]])</f>
        <v>12537.06</v>
      </c>
    </row>
    <row r="1989" customFormat="false" ht="13.5" hidden="false" customHeight="false" outlineLevel="0" collapsed="false">
      <c r="A1989" s="1" t="s">
        <v>1253</v>
      </c>
      <c r="B1989" s="1" t="n">
        <v>3</v>
      </c>
      <c r="C1989" s="5" t="n">
        <v>46071</v>
      </c>
      <c r="D1989" s="6" t="s">
        <v>1206</v>
      </c>
      <c r="E1989" s="6" t="s">
        <v>53</v>
      </c>
      <c r="F1989" s="6" t="s">
        <v>84</v>
      </c>
      <c r="G1989" s="6" t="s">
        <v>47</v>
      </c>
      <c r="H1989" s="6" t="s">
        <v>58</v>
      </c>
      <c r="I1989" s="1" t="n">
        <v>1</v>
      </c>
      <c r="J1989" s="7" t="n">
        <v>4131.09</v>
      </c>
      <c r="K1989" s="8" t="n">
        <v>0</v>
      </c>
      <c r="L1989" s="7" t="n">
        <v>2957.6</v>
      </c>
      <c r="M1989" s="6" t="s">
        <v>49</v>
      </c>
      <c r="N1989" s="6" t="s">
        <v>50</v>
      </c>
      <c r="O1989" s="6" t="n">
        <f aca="false">IF(TablaVentas[[#This Row],[Precio_unitario]]="","PENDIENTE",TablaVentas[[#This Row],[Unidades]]*TablaVentas[[#This Row],[Precio_unitario]]*(1-TablaVentas[[#This Row],[Descuento_pct]]))</f>
        <v>4131.09</v>
      </c>
      <c r="P1989" s="6" t="n">
        <f aca="false">IF(TablaVentas[[#This Row],[Costo_unitario]]="","PENDIENTE",TablaVentas[[#This Row],[Unidades]]*TablaVentas[[#This Row],[Costo_unitario]])</f>
        <v>2957.6</v>
      </c>
      <c r="Q1989" s="6" t="n">
        <f aca="false">IF(OR(TablaVentas[[#This Row],[Ingreso_neto]]="PENDIENTE",TablaVentas[[#This Row],[Costo_total]]="PENDIENTE"),"PENDIENTE",TablaVentas[[#This Row],[Ingreso_neto]]-TablaVentas[[#This Row],[Costo_total]])</f>
        <v>1173.49</v>
      </c>
    </row>
    <row r="1990" customFormat="false" ht="13.5" hidden="false" customHeight="false" outlineLevel="0" collapsed="false">
      <c r="A1990" s="1" t="s">
        <v>1254</v>
      </c>
      <c r="B1990" s="1" t="n">
        <v>1</v>
      </c>
      <c r="C1990" s="5" t="n">
        <v>46243</v>
      </c>
      <c r="D1990" s="6" t="s">
        <v>640</v>
      </c>
      <c r="E1990" s="6" t="s">
        <v>139</v>
      </c>
      <c r="F1990" s="6" t="s">
        <v>84</v>
      </c>
      <c r="G1990" s="6" t="s">
        <v>47</v>
      </c>
      <c r="H1990" s="6" t="s">
        <v>131</v>
      </c>
      <c r="I1990" s="1" t="n">
        <v>12</v>
      </c>
      <c r="J1990" s="7" t="n">
        <v>18198.29</v>
      </c>
      <c r="K1990" s="8" t="n">
        <v>0.2</v>
      </c>
      <c r="L1990" s="7" t="n">
        <v>11036.95</v>
      </c>
      <c r="M1990" s="6" t="s">
        <v>49</v>
      </c>
      <c r="N1990" s="6" t="s">
        <v>67</v>
      </c>
      <c r="O1990" s="6" t="n">
        <f aca="false">IF(TablaVentas[[#This Row],[Precio_unitario]]="","PENDIENTE",TablaVentas[[#This Row],[Unidades]]*TablaVentas[[#This Row],[Precio_unitario]]*(1-TablaVentas[[#This Row],[Descuento_pct]]))</f>
        <v>174703.584</v>
      </c>
      <c r="P1990" s="6" t="n">
        <f aca="false">IF(TablaVentas[[#This Row],[Costo_unitario]]="","PENDIENTE",TablaVentas[[#This Row],[Unidades]]*TablaVentas[[#This Row],[Costo_unitario]])</f>
        <v>132443.4</v>
      </c>
      <c r="Q1990" s="6" t="n">
        <f aca="false">IF(OR(TablaVentas[[#This Row],[Ingreso_neto]]="PENDIENTE",TablaVentas[[#This Row],[Costo_total]]="PENDIENTE"),"PENDIENTE",TablaVentas[[#This Row],[Ingreso_neto]]-TablaVentas[[#This Row],[Costo_total]])</f>
        <v>42260.184</v>
      </c>
    </row>
    <row r="1991" customFormat="false" ht="13.5" hidden="false" customHeight="false" outlineLevel="0" collapsed="false">
      <c r="A1991" s="1" t="s">
        <v>1255</v>
      </c>
      <c r="B1991" s="1" t="n">
        <v>1</v>
      </c>
      <c r="C1991" s="5" t="n">
        <v>46164</v>
      </c>
      <c r="D1991" s="6" t="s">
        <v>184</v>
      </c>
      <c r="E1991" s="6" t="s">
        <v>230</v>
      </c>
      <c r="F1991" s="6" t="s">
        <v>73</v>
      </c>
      <c r="G1991" s="6" t="s">
        <v>57</v>
      </c>
      <c r="H1991" s="6" t="s">
        <v>136</v>
      </c>
      <c r="I1991" s="1" t="n">
        <v>3</v>
      </c>
      <c r="J1991" s="7" t="n">
        <v>5867.13</v>
      </c>
      <c r="K1991" s="8" t="n">
        <v>0</v>
      </c>
      <c r="L1991" s="7" t="n">
        <v>3298.19</v>
      </c>
      <c r="M1991" s="6" t="s">
        <v>49</v>
      </c>
      <c r="N1991" s="6" t="s">
        <v>67</v>
      </c>
      <c r="O1991" s="6" t="n">
        <f aca="false">IF(TablaVentas[[#This Row],[Precio_unitario]]="","PENDIENTE",TablaVentas[[#This Row],[Unidades]]*TablaVentas[[#This Row],[Precio_unitario]]*(1-TablaVentas[[#This Row],[Descuento_pct]]))</f>
        <v>17601.39</v>
      </c>
      <c r="P1991" s="6" t="n">
        <f aca="false">IF(TablaVentas[[#This Row],[Costo_unitario]]="","PENDIENTE",TablaVentas[[#This Row],[Unidades]]*TablaVentas[[#This Row],[Costo_unitario]])</f>
        <v>9894.57</v>
      </c>
      <c r="Q1991" s="6" t="n">
        <f aca="false">IF(OR(TablaVentas[[#This Row],[Ingreso_neto]]="PENDIENTE",TablaVentas[[#This Row],[Costo_total]]="PENDIENTE"),"PENDIENTE",TablaVentas[[#This Row],[Ingreso_neto]]-TablaVentas[[#This Row],[Costo_total]])</f>
        <v>7706.82</v>
      </c>
    </row>
    <row r="1992" customFormat="false" ht="13.5" hidden="false" customHeight="false" outlineLevel="0" collapsed="false">
      <c r="A1992" s="1" t="s">
        <v>1256</v>
      </c>
      <c r="B1992" s="1" t="n">
        <v>1</v>
      </c>
      <c r="C1992" s="5" t="n">
        <v>46103</v>
      </c>
      <c r="D1992" s="6" t="s">
        <v>864</v>
      </c>
      <c r="E1992" s="6" t="s">
        <v>83</v>
      </c>
      <c r="F1992" s="6" t="s">
        <v>63</v>
      </c>
      <c r="G1992" s="6" t="s">
        <v>47</v>
      </c>
      <c r="H1992" s="6" t="s">
        <v>58</v>
      </c>
      <c r="I1992" s="1" t="n">
        <v>1</v>
      </c>
      <c r="J1992" s="7" t="n">
        <v>12653.94</v>
      </c>
      <c r="K1992" s="8" t="n">
        <v>0</v>
      </c>
      <c r="L1992" s="7" t="n">
        <v>7748.44</v>
      </c>
      <c r="M1992" s="6" t="s">
        <v>49</v>
      </c>
      <c r="N1992" s="6" t="s">
        <v>50</v>
      </c>
      <c r="O1992" s="6" t="n">
        <f aca="false">IF(TablaVentas[[#This Row],[Precio_unitario]]="","PENDIENTE",TablaVentas[[#This Row],[Unidades]]*TablaVentas[[#This Row],[Precio_unitario]]*(1-TablaVentas[[#This Row],[Descuento_pct]]))</f>
        <v>12653.94</v>
      </c>
      <c r="P1992" s="6" t="n">
        <f aca="false">IF(TablaVentas[[#This Row],[Costo_unitario]]="","PENDIENTE",TablaVentas[[#This Row],[Unidades]]*TablaVentas[[#This Row],[Costo_unitario]])</f>
        <v>7748.44</v>
      </c>
      <c r="Q1992" s="6" t="n">
        <f aca="false">IF(OR(TablaVentas[[#This Row],[Ingreso_neto]]="PENDIENTE",TablaVentas[[#This Row],[Costo_total]]="PENDIENTE"),"PENDIENTE",TablaVentas[[#This Row],[Ingreso_neto]]-TablaVentas[[#This Row],[Costo_total]])</f>
        <v>4905.5</v>
      </c>
    </row>
    <row r="1993" customFormat="false" ht="13.5" hidden="false" customHeight="false" outlineLevel="0" collapsed="false">
      <c r="A1993" s="1" t="s">
        <v>1256</v>
      </c>
      <c r="B1993" s="1" t="n">
        <v>2</v>
      </c>
      <c r="C1993" s="5" t="n">
        <v>46103</v>
      </c>
      <c r="D1993" s="6" t="s">
        <v>864</v>
      </c>
      <c r="E1993" s="6" t="s">
        <v>91</v>
      </c>
      <c r="F1993" s="6" t="s">
        <v>63</v>
      </c>
      <c r="G1993" s="6" t="s">
        <v>47</v>
      </c>
      <c r="H1993" s="6" t="s">
        <v>58</v>
      </c>
      <c r="I1993" s="1" t="n">
        <v>1</v>
      </c>
      <c r="J1993" s="7" t="n">
        <v>15902.32</v>
      </c>
      <c r="K1993" s="8" t="n">
        <v>0</v>
      </c>
      <c r="L1993" s="7" t="n">
        <v>8576.05</v>
      </c>
      <c r="M1993" s="6" t="s">
        <v>123</v>
      </c>
      <c r="N1993" s="6" t="s">
        <v>59</v>
      </c>
      <c r="O1993" s="6" t="n">
        <f aca="false">IF(TablaVentas[[#This Row],[Precio_unitario]]="","PENDIENTE",TablaVentas[[#This Row],[Unidades]]*TablaVentas[[#This Row],[Precio_unitario]]*(1-TablaVentas[[#This Row],[Descuento_pct]]))</f>
        <v>15902.32</v>
      </c>
      <c r="P1993" s="6" t="n">
        <f aca="false">IF(TablaVentas[[#This Row],[Costo_unitario]]="","PENDIENTE",TablaVentas[[#This Row],[Unidades]]*TablaVentas[[#This Row],[Costo_unitario]])</f>
        <v>8576.05</v>
      </c>
      <c r="Q1993" s="6" t="n">
        <f aca="false">IF(OR(TablaVentas[[#This Row],[Ingreso_neto]]="PENDIENTE",TablaVentas[[#This Row],[Costo_total]]="PENDIENTE"),"PENDIENTE",TablaVentas[[#This Row],[Ingreso_neto]]-TablaVentas[[#This Row],[Costo_total]])</f>
        <v>7326.27</v>
      </c>
    </row>
    <row r="1994" customFormat="false" ht="13.5" hidden="false" customHeight="false" outlineLevel="0" collapsed="false">
      <c r="A1994" s="1" t="s">
        <v>1256</v>
      </c>
      <c r="B1994" s="1" t="n">
        <v>3</v>
      </c>
      <c r="C1994" s="5" t="n">
        <v>46103</v>
      </c>
      <c r="D1994" s="6" t="s">
        <v>864</v>
      </c>
      <c r="E1994" s="6" t="s">
        <v>146</v>
      </c>
      <c r="F1994" s="6" t="s">
        <v>63</v>
      </c>
      <c r="G1994" s="6" t="s">
        <v>47</v>
      </c>
      <c r="H1994" s="6" t="s">
        <v>58</v>
      </c>
      <c r="I1994" s="1" t="n">
        <v>8</v>
      </c>
      <c r="J1994" s="7" t="n">
        <v>8958.25</v>
      </c>
      <c r="K1994" s="8" t="n">
        <v>0.1</v>
      </c>
      <c r="L1994" s="7" t="n">
        <v>8002.16</v>
      </c>
      <c r="M1994" s="6" t="s">
        <v>49</v>
      </c>
      <c r="N1994" s="6" t="s">
        <v>50</v>
      </c>
      <c r="O1994" s="6" t="n">
        <f aca="false">IF(TablaVentas[[#This Row],[Precio_unitario]]="","PENDIENTE",TablaVentas[[#This Row],[Unidades]]*TablaVentas[[#This Row],[Precio_unitario]]*(1-TablaVentas[[#This Row],[Descuento_pct]]))</f>
        <v>64499.4</v>
      </c>
      <c r="P1994" s="6" t="n">
        <f aca="false">IF(TablaVentas[[#This Row],[Costo_unitario]]="","PENDIENTE",TablaVentas[[#This Row],[Unidades]]*TablaVentas[[#This Row],[Costo_unitario]])</f>
        <v>64017.28</v>
      </c>
      <c r="Q1994" s="6" t="n">
        <f aca="false">IF(OR(TablaVentas[[#This Row],[Ingreso_neto]]="PENDIENTE",TablaVentas[[#This Row],[Costo_total]]="PENDIENTE"),"PENDIENTE",TablaVentas[[#This Row],[Ingreso_neto]]-TablaVentas[[#This Row],[Costo_total]])</f>
        <v>482.120000000003</v>
      </c>
    </row>
    <row r="1995" customFormat="false" ht="13.5" hidden="false" customHeight="false" outlineLevel="0" collapsed="false">
      <c r="A1995" s="1" t="s">
        <v>1257</v>
      </c>
      <c r="B1995" s="1" t="n">
        <v>1</v>
      </c>
      <c r="C1995" s="5" t="n">
        <v>46104</v>
      </c>
      <c r="D1995" s="6" t="s">
        <v>1258</v>
      </c>
      <c r="E1995" s="6" t="s">
        <v>215</v>
      </c>
      <c r="F1995" s="6" t="s">
        <v>84</v>
      </c>
      <c r="G1995" s="6" t="s">
        <v>64</v>
      </c>
      <c r="H1995" s="6" t="s">
        <v>136</v>
      </c>
      <c r="I1995" s="1" t="n">
        <v>1</v>
      </c>
      <c r="J1995" s="7" t="n">
        <v>9952.47</v>
      </c>
      <c r="K1995" s="8" t="n">
        <v>0.2</v>
      </c>
      <c r="L1995" s="7" t="n">
        <v>5535.31</v>
      </c>
      <c r="M1995" s="6" t="s">
        <v>49</v>
      </c>
      <c r="N1995" s="6" t="s">
        <v>52</v>
      </c>
      <c r="O1995" s="6" t="n">
        <f aca="false">IF(TablaVentas[[#This Row],[Precio_unitario]]="","PENDIENTE",TablaVentas[[#This Row],[Unidades]]*TablaVentas[[#This Row],[Precio_unitario]]*(1-TablaVentas[[#This Row],[Descuento_pct]]))</f>
        <v>7961.976</v>
      </c>
      <c r="P1995" s="6" t="n">
        <f aca="false">IF(TablaVentas[[#This Row],[Costo_unitario]]="","PENDIENTE",TablaVentas[[#This Row],[Unidades]]*TablaVentas[[#This Row],[Costo_unitario]])</f>
        <v>5535.31</v>
      </c>
      <c r="Q1995" s="6" t="n">
        <f aca="false">IF(OR(TablaVentas[[#This Row],[Ingreso_neto]]="PENDIENTE",TablaVentas[[#This Row],[Costo_total]]="PENDIENTE"),"PENDIENTE",TablaVentas[[#This Row],[Ingreso_neto]]-TablaVentas[[#This Row],[Costo_total]])</f>
        <v>2426.666</v>
      </c>
    </row>
    <row r="1996" customFormat="false" ht="13.5" hidden="false" customHeight="false" outlineLevel="0" collapsed="false">
      <c r="A1996" s="1" t="s">
        <v>1257</v>
      </c>
      <c r="B1996" s="1" t="n">
        <v>2</v>
      </c>
      <c r="C1996" s="5" t="n">
        <v>46104</v>
      </c>
      <c r="D1996" s="6" t="s">
        <v>1258</v>
      </c>
      <c r="E1996" s="6" t="s">
        <v>142</v>
      </c>
      <c r="F1996" s="6" t="s">
        <v>84</v>
      </c>
      <c r="G1996" s="6" t="s">
        <v>64</v>
      </c>
      <c r="H1996" s="6" t="s">
        <v>136</v>
      </c>
      <c r="I1996" s="1" t="n">
        <v>2</v>
      </c>
      <c r="J1996" s="7" t="n">
        <v>1875.41</v>
      </c>
      <c r="K1996" s="8" t="n">
        <v>0</v>
      </c>
      <c r="L1996" s="7" t="n">
        <v>1529.93</v>
      </c>
      <c r="M1996" s="6" t="s">
        <v>49</v>
      </c>
      <c r="N1996" s="6" t="s">
        <v>67</v>
      </c>
      <c r="O1996" s="6" t="n">
        <f aca="false">IF(TablaVentas[[#This Row],[Precio_unitario]]="","PENDIENTE",TablaVentas[[#This Row],[Unidades]]*TablaVentas[[#This Row],[Precio_unitario]]*(1-TablaVentas[[#This Row],[Descuento_pct]]))</f>
        <v>3750.82</v>
      </c>
      <c r="P1996" s="6" t="n">
        <f aca="false">IF(TablaVentas[[#This Row],[Costo_unitario]]="","PENDIENTE",TablaVentas[[#This Row],[Unidades]]*TablaVentas[[#This Row],[Costo_unitario]])</f>
        <v>3059.86</v>
      </c>
      <c r="Q1996" s="6" t="n">
        <f aca="false">IF(OR(TablaVentas[[#This Row],[Ingreso_neto]]="PENDIENTE",TablaVentas[[#This Row],[Costo_total]]="PENDIENTE"),"PENDIENTE",TablaVentas[[#This Row],[Ingreso_neto]]-TablaVentas[[#This Row],[Costo_total]])</f>
        <v>690.96</v>
      </c>
    </row>
    <row r="1997" customFormat="false" ht="13.5" hidden="false" customHeight="false" outlineLevel="0" collapsed="false">
      <c r="A1997" s="1" t="s">
        <v>1259</v>
      </c>
      <c r="B1997" s="1" t="n">
        <v>1</v>
      </c>
      <c r="C1997" s="5" t="n">
        <v>46131</v>
      </c>
      <c r="D1997" s="6" t="s">
        <v>259</v>
      </c>
      <c r="E1997" s="6" t="s">
        <v>243</v>
      </c>
      <c r="F1997" s="6" t="s">
        <v>84</v>
      </c>
      <c r="G1997" s="6" t="s">
        <v>47</v>
      </c>
      <c r="H1997" s="6" t="s">
        <v>191</v>
      </c>
      <c r="I1997" s="1" t="n">
        <v>1</v>
      </c>
      <c r="J1997" s="7" t="n">
        <v>9146.96</v>
      </c>
      <c r="K1997" s="8" t="n">
        <v>0.15</v>
      </c>
      <c r="L1997" s="7" t="n">
        <v>8061.7</v>
      </c>
      <c r="M1997" s="6" t="s">
        <v>49</v>
      </c>
      <c r="N1997" s="6" t="s">
        <v>67</v>
      </c>
      <c r="O1997" s="6" t="n">
        <f aca="false">IF(TablaVentas[[#This Row],[Precio_unitario]]="","PENDIENTE",TablaVentas[[#This Row],[Unidades]]*TablaVentas[[#This Row],[Precio_unitario]]*(1-TablaVentas[[#This Row],[Descuento_pct]]))</f>
        <v>7774.916</v>
      </c>
      <c r="P1997" s="6" t="n">
        <f aca="false">IF(TablaVentas[[#This Row],[Costo_unitario]]="","PENDIENTE",TablaVentas[[#This Row],[Unidades]]*TablaVentas[[#This Row],[Costo_unitario]])</f>
        <v>8061.7</v>
      </c>
      <c r="Q1997" s="6" t="n">
        <f aca="false">IF(OR(TablaVentas[[#This Row],[Ingreso_neto]]="PENDIENTE",TablaVentas[[#This Row],[Costo_total]]="PENDIENTE"),"PENDIENTE",TablaVentas[[#This Row],[Ingreso_neto]]-TablaVentas[[#This Row],[Costo_total]])</f>
        <v>-286.784000000001</v>
      </c>
    </row>
    <row r="1998" customFormat="false" ht="13.5" hidden="false" customHeight="false" outlineLevel="0" collapsed="false">
      <c r="A1998" s="1" t="s">
        <v>1259</v>
      </c>
      <c r="B1998" s="1" t="n">
        <v>2</v>
      </c>
      <c r="C1998" s="5" t="n">
        <v>46131</v>
      </c>
      <c r="D1998" s="6" t="s">
        <v>259</v>
      </c>
      <c r="E1998" s="6" t="s">
        <v>280</v>
      </c>
      <c r="F1998" s="6" t="s">
        <v>84</v>
      </c>
      <c r="G1998" s="6" t="s">
        <v>47</v>
      </c>
      <c r="H1998" s="6" t="s">
        <v>191</v>
      </c>
      <c r="I1998" s="1" t="n">
        <v>12</v>
      </c>
      <c r="J1998" s="7" t="n">
        <v>1434.18</v>
      </c>
      <c r="K1998" s="8" t="n">
        <v>0</v>
      </c>
      <c r="L1998" s="7" t="n">
        <v>716.26</v>
      </c>
      <c r="M1998" s="6" t="s">
        <v>49</v>
      </c>
      <c r="N1998" s="6" t="s">
        <v>52</v>
      </c>
      <c r="O1998" s="6" t="n">
        <f aca="false">IF(TablaVentas[[#This Row],[Precio_unitario]]="","PENDIENTE",TablaVentas[[#This Row],[Unidades]]*TablaVentas[[#This Row],[Precio_unitario]]*(1-TablaVentas[[#This Row],[Descuento_pct]]))</f>
        <v>17210.16</v>
      </c>
      <c r="P1998" s="6" t="n">
        <f aca="false">IF(TablaVentas[[#This Row],[Costo_unitario]]="","PENDIENTE",TablaVentas[[#This Row],[Unidades]]*TablaVentas[[#This Row],[Costo_unitario]])</f>
        <v>8595.12</v>
      </c>
      <c r="Q1998" s="6" t="n">
        <f aca="false">IF(OR(TablaVentas[[#This Row],[Ingreso_neto]]="PENDIENTE",TablaVentas[[#This Row],[Costo_total]]="PENDIENTE"),"PENDIENTE",TablaVentas[[#This Row],[Ingreso_neto]]-TablaVentas[[#This Row],[Costo_total]])</f>
        <v>8615.04</v>
      </c>
    </row>
    <row r="1999" customFormat="false" ht="13.5" hidden="false" customHeight="false" outlineLevel="0" collapsed="false">
      <c r="A1999" s="1" t="s">
        <v>1260</v>
      </c>
      <c r="B1999" s="1" t="n">
        <v>1</v>
      </c>
      <c r="C1999" s="5" t="n">
        <v>46261</v>
      </c>
      <c r="D1999" s="6" t="s">
        <v>302</v>
      </c>
      <c r="E1999" s="6" t="s">
        <v>417</v>
      </c>
      <c r="F1999" s="6" t="s">
        <v>63</v>
      </c>
      <c r="G1999" s="6" t="s">
        <v>47</v>
      </c>
      <c r="H1999" s="6" t="s">
        <v>89</v>
      </c>
      <c r="I1999" s="1" t="n">
        <v>2</v>
      </c>
      <c r="J1999" s="7" t="n">
        <v>7434.45</v>
      </c>
      <c r="K1999" s="8" t="n">
        <v>0.15</v>
      </c>
      <c r="L1999" s="7" t="n">
        <v>5874.17</v>
      </c>
      <c r="M1999" s="6" t="s">
        <v>49</v>
      </c>
      <c r="N1999" s="6" t="s">
        <v>50</v>
      </c>
      <c r="O1999" s="6" t="n">
        <f aca="false">IF(TablaVentas[[#This Row],[Precio_unitario]]="","PENDIENTE",TablaVentas[[#This Row],[Unidades]]*TablaVentas[[#This Row],[Precio_unitario]]*(1-TablaVentas[[#This Row],[Descuento_pct]]))</f>
        <v>12638.565</v>
      </c>
      <c r="P1999" s="6" t="n">
        <f aca="false">IF(TablaVentas[[#This Row],[Costo_unitario]]="","PENDIENTE",TablaVentas[[#This Row],[Unidades]]*TablaVentas[[#This Row],[Costo_unitario]])</f>
        <v>11748.34</v>
      </c>
      <c r="Q1999" s="6" t="n">
        <f aca="false">IF(OR(TablaVentas[[#This Row],[Ingreso_neto]]="PENDIENTE",TablaVentas[[#This Row],[Costo_total]]="PENDIENTE"),"PENDIENTE",TablaVentas[[#This Row],[Ingreso_neto]]-TablaVentas[[#This Row],[Costo_total]])</f>
        <v>890.224999999999</v>
      </c>
    </row>
    <row r="2000" customFormat="false" ht="13.5" hidden="false" customHeight="false" outlineLevel="0" collapsed="false">
      <c r="A2000" s="1" t="s">
        <v>1261</v>
      </c>
      <c r="B2000" s="1" t="n">
        <v>1</v>
      </c>
      <c r="C2000" s="5" t="n">
        <v>46246</v>
      </c>
      <c r="D2000" s="6" t="s">
        <v>600</v>
      </c>
      <c r="E2000" s="6" t="s">
        <v>333</v>
      </c>
      <c r="F2000" s="6" t="s">
        <v>73</v>
      </c>
      <c r="G2000" s="6" t="s">
        <v>64</v>
      </c>
      <c r="H2000" s="6" t="s">
        <v>80</v>
      </c>
      <c r="I2000" s="1" t="n">
        <v>3</v>
      </c>
      <c r="J2000" s="7" t="n">
        <v>7842.03</v>
      </c>
      <c r="K2000" s="8" t="n">
        <v>0</v>
      </c>
      <c r="L2000" s="7" t="n">
        <v>4044.16</v>
      </c>
      <c r="M2000" s="6" t="s">
        <v>49</v>
      </c>
      <c r="N2000" s="6" t="s">
        <v>50</v>
      </c>
      <c r="O2000" s="6" t="n">
        <f aca="false">IF(TablaVentas[[#This Row],[Precio_unitario]]="","PENDIENTE",TablaVentas[[#This Row],[Unidades]]*TablaVentas[[#This Row],[Precio_unitario]]*(1-TablaVentas[[#This Row],[Descuento_pct]]))</f>
        <v>23526.09</v>
      </c>
      <c r="P2000" s="6" t="n">
        <f aca="false">IF(TablaVentas[[#This Row],[Costo_unitario]]="","PENDIENTE",TablaVentas[[#This Row],[Unidades]]*TablaVentas[[#This Row],[Costo_unitario]])</f>
        <v>12132.48</v>
      </c>
      <c r="Q2000" s="6" t="n">
        <f aca="false">IF(OR(TablaVentas[[#This Row],[Ingreso_neto]]="PENDIENTE",TablaVentas[[#This Row],[Costo_total]]="PENDIENTE"),"PENDIENTE",TablaVentas[[#This Row],[Ingreso_neto]]-TablaVentas[[#This Row],[Costo_total]])</f>
        <v>11393.61</v>
      </c>
    </row>
    <row r="2001" customFormat="false" ht="13.5" hidden="false" customHeight="false" outlineLevel="0" collapsed="false">
      <c r="A2001" s="1" t="s">
        <v>1261</v>
      </c>
      <c r="B2001" s="1" t="n">
        <v>2</v>
      </c>
      <c r="C2001" s="5" t="n">
        <v>46246</v>
      </c>
      <c r="D2001" s="6" t="s">
        <v>600</v>
      </c>
      <c r="E2001" s="6" t="s">
        <v>97</v>
      </c>
      <c r="F2001" s="6" t="s">
        <v>73</v>
      </c>
      <c r="G2001" s="6" t="s">
        <v>64</v>
      </c>
      <c r="H2001" s="6" t="s">
        <v>80</v>
      </c>
      <c r="I2001" s="1" t="n">
        <v>3</v>
      </c>
      <c r="J2001" s="7" t="n">
        <v>10389.71</v>
      </c>
      <c r="K2001" s="8" t="n">
        <v>0.05</v>
      </c>
      <c r="L2001" s="7" t="n">
        <v>8174.87</v>
      </c>
      <c r="M2001" s="6" t="s">
        <v>49</v>
      </c>
      <c r="N2001" s="6" t="s">
        <v>67</v>
      </c>
      <c r="O2001" s="6" t="n">
        <f aca="false">IF(TablaVentas[[#This Row],[Precio_unitario]]="","PENDIENTE",TablaVentas[[#This Row],[Unidades]]*TablaVentas[[#This Row],[Precio_unitario]]*(1-TablaVentas[[#This Row],[Descuento_pct]]))</f>
        <v>29610.6735</v>
      </c>
      <c r="P2001" s="6" t="n">
        <f aca="false">IF(TablaVentas[[#This Row],[Costo_unitario]]="","PENDIENTE",TablaVentas[[#This Row],[Unidades]]*TablaVentas[[#This Row],[Costo_unitario]])</f>
        <v>24524.61</v>
      </c>
      <c r="Q2001" s="6" t="n">
        <f aca="false">IF(OR(TablaVentas[[#This Row],[Ingreso_neto]]="PENDIENTE",TablaVentas[[#This Row],[Costo_total]]="PENDIENTE"),"PENDIENTE",TablaVentas[[#This Row],[Ingreso_neto]]-TablaVentas[[#This Row],[Costo_total]])</f>
        <v>5086.0635</v>
      </c>
    </row>
    <row r="2002" customFormat="false" ht="13.5" hidden="false" customHeight="false" outlineLevel="0" collapsed="false">
      <c r="A2002" s="1" t="s">
        <v>1262</v>
      </c>
      <c r="B2002" s="1" t="n">
        <v>1</v>
      </c>
      <c r="C2002" s="5" t="n">
        <v>46165</v>
      </c>
      <c r="D2002" s="6" t="s">
        <v>655</v>
      </c>
      <c r="E2002" s="6" t="s">
        <v>203</v>
      </c>
      <c r="F2002" s="6" t="s">
        <v>73</v>
      </c>
      <c r="G2002" s="6" t="s">
        <v>47</v>
      </c>
      <c r="H2002" s="6" t="s">
        <v>109</v>
      </c>
      <c r="I2002" s="1" t="n">
        <v>2</v>
      </c>
      <c r="J2002" s="7" t="n">
        <v>827.75</v>
      </c>
      <c r="K2002" s="8" t="n">
        <v>0</v>
      </c>
      <c r="L2002" s="7" t="n">
        <v>485.16</v>
      </c>
      <c r="M2002" s="6" t="s">
        <v>49</v>
      </c>
      <c r="N2002" s="6" t="s">
        <v>67</v>
      </c>
      <c r="O2002" s="6" t="n">
        <f aca="false">IF(TablaVentas[[#This Row],[Precio_unitario]]="","PENDIENTE",TablaVentas[[#This Row],[Unidades]]*TablaVentas[[#This Row],[Precio_unitario]]*(1-TablaVentas[[#This Row],[Descuento_pct]]))</f>
        <v>1655.5</v>
      </c>
      <c r="P2002" s="6" t="n">
        <f aca="false">IF(TablaVentas[[#This Row],[Costo_unitario]]="","PENDIENTE",TablaVentas[[#This Row],[Unidades]]*TablaVentas[[#This Row],[Costo_unitario]])</f>
        <v>970.32</v>
      </c>
      <c r="Q2002" s="6" t="n">
        <f aca="false">IF(OR(TablaVentas[[#This Row],[Ingreso_neto]]="PENDIENTE",TablaVentas[[#This Row],[Costo_total]]="PENDIENTE"),"PENDIENTE",TablaVentas[[#This Row],[Ingreso_neto]]-TablaVentas[[#This Row],[Costo_total]])</f>
        <v>685.18</v>
      </c>
    </row>
    <row r="2003" customFormat="false" ht="13.5" hidden="false" customHeight="false" outlineLevel="0" collapsed="false">
      <c r="A2003" s="1" t="s">
        <v>1262</v>
      </c>
      <c r="B2003" s="1" t="n">
        <v>2</v>
      </c>
      <c r="C2003" s="5" t="n">
        <v>46165</v>
      </c>
      <c r="D2003" s="6" t="s">
        <v>655</v>
      </c>
      <c r="E2003" s="6" t="s">
        <v>122</v>
      </c>
      <c r="F2003" s="6" t="s">
        <v>73</v>
      </c>
      <c r="G2003" s="6" t="s">
        <v>47</v>
      </c>
      <c r="H2003" s="6" t="s">
        <v>109</v>
      </c>
      <c r="I2003" s="1" t="n">
        <v>2</v>
      </c>
      <c r="J2003" s="7" t="n">
        <v>1442.08</v>
      </c>
      <c r="K2003" s="8" t="n">
        <v>0.2</v>
      </c>
      <c r="L2003" s="7" t="n">
        <v>705.87</v>
      </c>
      <c r="M2003" s="6" t="s">
        <v>49</v>
      </c>
      <c r="N2003" s="6" t="s">
        <v>52</v>
      </c>
      <c r="O2003" s="6" t="n">
        <f aca="false">IF(TablaVentas[[#This Row],[Precio_unitario]]="","PENDIENTE",TablaVentas[[#This Row],[Unidades]]*TablaVentas[[#This Row],[Precio_unitario]]*(1-TablaVentas[[#This Row],[Descuento_pct]]))</f>
        <v>2307.328</v>
      </c>
      <c r="P2003" s="6" t="n">
        <f aca="false">IF(TablaVentas[[#This Row],[Costo_unitario]]="","PENDIENTE",TablaVentas[[#This Row],[Unidades]]*TablaVentas[[#This Row],[Costo_unitario]])</f>
        <v>1411.74</v>
      </c>
      <c r="Q2003" s="6" t="n">
        <f aca="false">IF(OR(TablaVentas[[#This Row],[Ingreso_neto]]="PENDIENTE",TablaVentas[[#This Row],[Costo_total]]="PENDIENTE"),"PENDIENTE",TablaVentas[[#This Row],[Ingreso_neto]]-TablaVentas[[#This Row],[Costo_total]])</f>
        <v>895.588</v>
      </c>
    </row>
    <row r="2004" customFormat="false" ht="13.5" hidden="false" customHeight="false" outlineLevel="0" collapsed="false">
      <c r="A2004" s="1" t="s">
        <v>1263</v>
      </c>
      <c r="B2004" s="1" t="n">
        <v>1</v>
      </c>
      <c r="C2004" s="5" t="n">
        <v>46287</v>
      </c>
      <c r="D2004" s="6" t="s">
        <v>679</v>
      </c>
      <c r="E2004" s="6" t="s">
        <v>45</v>
      </c>
      <c r="F2004" s="6" t="s">
        <v>63</v>
      </c>
      <c r="G2004" s="6" t="s">
        <v>64</v>
      </c>
      <c r="H2004" s="6" t="s">
        <v>109</v>
      </c>
      <c r="I2004" s="1" t="n">
        <v>1</v>
      </c>
      <c r="J2004" s="7" t="n">
        <v>6322.16</v>
      </c>
      <c r="K2004" s="8" t="n">
        <v>0.15</v>
      </c>
      <c r="L2004" s="7" t="n">
        <v>3832.69</v>
      </c>
      <c r="M2004" s="6" t="s">
        <v>49</v>
      </c>
      <c r="N2004" s="6" t="s">
        <v>50</v>
      </c>
      <c r="O2004" s="6" t="n">
        <f aca="false">IF(TablaVentas[[#This Row],[Precio_unitario]]="","PENDIENTE",TablaVentas[[#This Row],[Unidades]]*TablaVentas[[#This Row],[Precio_unitario]]*(1-TablaVentas[[#This Row],[Descuento_pct]]))</f>
        <v>5373.836</v>
      </c>
      <c r="P2004" s="6" t="n">
        <f aca="false">IF(TablaVentas[[#This Row],[Costo_unitario]]="","PENDIENTE",TablaVentas[[#This Row],[Unidades]]*TablaVentas[[#This Row],[Costo_unitario]])</f>
        <v>3832.69</v>
      </c>
      <c r="Q2004" s="6" t="n">
        <f aca="false">IF(OR(TablaVentas[[#This Row],[Ingreso_neto]]="PENDIENTE",TablaVentas[[#This Row],[Costo_total]]="PENDIENTE"),"PENDIENTE",TablaVentas[[#This Row],[Ingreso_neto]]-TablaVentas[[#This Row],[Costo_total]])</f>
        <v>1541.146</v>
      </c>
    </row>
    <row r="2005" customFormat="false" ht="13.5" hidden="false" customHeight="false" outlineLevel="0" collapsed="false">
      <c r="A2005" s="1" t="s">
        <v>1263</v>
      </c>
      <c r="B2005" s="1" t="n">
        <v>2</v>
      </c>
      <c r="C2005" s="5" t="n">
        <v>46287</v>
      </c>
      <c r="D2005" s="6" t="s">
        <v>679</v>
      </c>
      <c r="E2005" s="6" t="s">
        <v>192</v>
      </c>
      <c r="F2005" s="6" t="s">
        <v>63</v>
      </c>
      <c r="G2005" s="6" t="s">
        <v>64</v>
      </c>
      <c r="H2005" s="6" t="s">
        <v>109</v>
      </c>
      <c r="I2005" s="1" t="n">
        <v>1</v>
      </c>
      <c r="J2005" s="7" t="n">
        <v>18520.32</v>
      </c>
      <c r="K2005" s="8" t="n">
        <v>0.1</v>
      </c>
      <c r="L2005" s="7" t="n">
        <v>11904.09</v>
      </c>
      <c r="M2005" s="6" t="s">
        <v>49</v>
      </c>
      <c r="N2005" s="6" t="s">
        <v>52</v>
      </c>
      <c r="O2005" s="6" t="n">
        <f aca="false">IF(TablaVentas[[#This Row],[Precio_unitario]]="","PENDIENTE",TablaVentas[[#This Row],[Unidades]]*TablaVentas[[#This Row],[Precio_unitario]]*(1-TablaVentas[[#This Row],[Descuento_pct]]))</f>
        <v>16668.288</v>
      </c>
      <c r="P2005" s="6" t="n">
        <f aca="false">IF(TablaVentas[[#This Row],[Costo_unitario]]="","PENDIENTE",TablaVentas[[#This Row],[Unidades]]*TablaVentas[[#This Row],[Costo_unitario]])</f>
        <v>11904.09</v>
      </c>
      <c r="Q2005" s="6" t="n">
        <f aca="false">IF(OR(TablaVentas[[#This Row],[Ingreso_neto]]="PENDIENTE",TablaVentas[[#This Row],[Costo_total]]="PENDIENTE"),"PENDIENTE",TablaVentas[[#This Row],[Ingreso_neto]]-TablaVentas[[#This Row],[Costo_total]])</f>
        <v>4764.198</v>
      </c>
    </row>
    <row r="2006" customFormat="false" ht="13.5" hidden="false" customHeight="false" outlineLevel="0" collapsed="false">
      <c r="A2006" s="1" t="s">
        <v>1263</v>
      </c>
      <c r="B2006" s="1" t="n">
        <v>3</v>
      </c>
      <c r="C2006" s="5" t="n">
        <v>46287</v>
      </c>
      <c r="D2006" s="6" t="s">
        <v>679</v>
      </c>
      <c r="E2006" s="6" t="s">
        <v>190</v>
      </c>
      <c r="F2006" s="6" t="s">
        <v>63</v>
      </c>
      <c r="G2006" s="6" t="s">
        <v>64</v>
      </c>
      <c r="H2006" s="6" t="s">
        <v>109</v>
      </c>
      <c r="I2006" s="1" t="n">
        <v>4</v>
      </c>
      <c r="J2006" s="7" t="n">
        <v>5362.14</v>
      </c>
      <c r="K2006" s="8" t="n">
        <v>0</v>
      </c>
      <c r="L2006" s="7" t="n">
        <v>4325.73</v>
      </c>
      <c r="M2006" s="6" t="s">
        <v>49</v>
      </c>
      <c r="N2006" s="6" t="s">
        <v>50</v>
      </c>
      <c r="O2006" s="6" t="n">
        <f aca="false">IF(TablaVentas[[#This Row],[Precio_unitario]]="","PENDIENTE",TablaVentas[[#This Row],[Unidades]]*TablaVentas[[#This Row],[Precio_unitario]]*(1-TablaVentas[[#This Row],[Descuento_pct]]))</f>
        <v>21448.56</v>
      </c>
      <c r="P2006" s="6" t="n">
        <f aca="false">IF(TablaVentas[[#This Row],[Costo_unitario]]="","PENDIENTE",TablaVentas[[#This Row],[Unidades]]*TablaVentas[[#This Row],[Costo_unitario]])</f>
        <v>17302.92</v>
      </c>
      <c r="Q2006" s="6" t="n">
        <f aca="false">IF(OR(TablaVentas[[#This Row],[Ingreso_neto]]="PENDIENTE",TablaVentas[[#This Row],[Costo_total]]="PENDIENTE"),"PENDIENTE",TablaVentas[[#This Row],[Ingreso_neto]]-TablaVentas[[#This Row],[Costo_total]])</f>
        <v>4145.64</v>
      </c>
    </row>
    <row r="2007" customFormat="false" ht="13.5" hidden="false" customHeight="false" outlineLevel="0" collapsed="false">
      <c r="A2007" s="1" t="s">
        <v>1263</v>
      </c>
      <c r="B2007" s="1" t="n">
        <v>4</v>
      </c>
      <c r="C2007" s="5" t="n">
        <v>46287</v>
      </c>
      <c r="D2007" s="6" t="s">
        <v>679</v>
      </c>
      <c r="E2007" s="6" t="s">
        <v>116</v>
      </c>
      <c r="F2007" s="6" t="s">
        <v>63</v>
      </c>
      <c r="G2007" s="6" t="s">
        <v>64</v>
      </c>
      <c r="H2007" s="6" t="s">
        <v>109</v>
      </c>
      <c r="I2007" s="1" t="n">
        <v>12</v>
      </c>
      <c r="J2007" s="7" t="n">
        <v>16207.69</v>
      </c>
      <c r="K2007" s="8" t="n">
        <v>0</v>
      </c>
      <c r="L2007" s="7" t="n">
        <v>9880.77</v>
      </c>
      <c r="M2007" s="6" t="s">
        <v>49</v>
      </c>
      <c r="N2007" s="6" t="s">
        <v>50</v>
      </c>
      <c r="O2007" s="6" t="n">
        <f aca="false">IF(TablaVentas[[#This Row],[Precio_unitario]]="","PENDIENTE",TablaVentas[[#This Row],[Unidades]]*TablaVentas[[#This Row],[Precio_unitario]]*(1-TablaVentas[[#This Row],[Descuento_pct]]))</f>
        <v>194492.28</v>
      </c>
      <c r="P2007" s="6" t="n">
        <f aca="false">IF(TablaVentas[[#This Row],[Costo_unitario]]="","PENDIENTE",TablaVentas[[#This Row],[Unidades]]*TablaVentas[[#This Row],[Costo_unitario]])</f>
        <v>118569.24</v>
      </c>
      <c r="Q2007" s="6" t="n">
        <f aca="false">IF(OR(TablaVentas[[#This Row],[Ingreso_neto]]="PENDIENTE",TablaVentas[[#This Row],[Costo_total]]="PENDIENTE"),"PENDIENTE",TablaVentas[[#This Row],[Ingreso_neto]]-TablaVentas[[#This Row],[Costo_total]])</f>
        <v>75923.04</v>
      </c>
    </row>
    <row r="2008" customFormat="false" ht="13.5" hidden="false" customHeight="false" outlineLevel="0" collapsed="false">
      <c r="A2008" s="1" t="s">
        <v>1264</v>
      </c>
      <c r="B2008" s="1" t="n">
        <v>1</v>
      </c>
      <c r="C2008" s="5" t="n">
        <v>46276</v>
      </c>
      <c r="D2008" s="6" t="s">
        <v>227</v>
      </c>
      <c r="E2008" s="6" t="s">
        <v>233</v>
      </c>
      <c r="F2008" s="6" t="s">
        <v>84</v>
      </c>
      <c r="G2008" s="6" t="s">
        <v>47</v>
      </c>
      <c r="H2008" s="6" t="s">
        <v>58</v>
      </c>
      <c r="I2008" s="1" t="n">
        <v>1</v>
      </c>
      <c r="J2008" s="7" t="n">
        <v>19369.64</v>
      </c>
      <c r="K2008" s="8" t="n">
        <v>0</v>
      </c>
      <c r="L2008" s="7" t="n">
        <v>9976.68</v>
      </c>
      <c r="M2008" s="6" t="s">
        <v>49</v>
      </c>
      <c r="N2008" s="6" t="s">
        <v>50</v>
      </c>
      <c r="O2008" s="6" t="n">
        <f aca="false">IF(TablaVentas[[#This Row],[Precio_unitario]]="","PENDIENTE",TablaVentas[[#This Row],[Unidades]]*TablaVentas[[#This Row],[Precio_unitario]]*(1-TablaVentas[[#This Row],[Descuento_pct]]))</f>
        <v>19369.64</v>
      </c>
      <c r="P2008" s="6" t="n">
        <f aca="false">IF(TablaVentas[[#This Row],[Costo_unitario]]="","PENDIENTE",TablaVentas[[#This Row],[Unidades]]*TablaVentas[[#This Row],[Costo_unitario]])</f>
        <v>9976.68</v>
      </c>
      <c r="Q2008" s="6" t="n">
        <f aca="false">IF(OR(TablaVentas[[#This Row],[Ingreso_neto]]="PENDIENTE",TablaVentas[[#This Row],[Costo_total]]="PENDIENTE"),"PENDIENTE",TablaVentas[[#This Row],[Ingreso_neto]]-TablaVentas[[#This Row],[Costo_total]])</f>
        <v>9392.96</v>
      </c>
    </row>
    <row r="2009" customFormat="false" ht="13.5" hidden="false" customHeight="false" outlineLevel="0" collapsed="false">
      <c r="A2009" s="1" t="s">
        <v>1264</v>
      </c>
      <c r="B2009" s="1" t="n">
        <v>2</v>
      </c>
      <c r="C2009" s="5" t="n">
        <v>46276</v>
      </c>
      <c r="D2009" s="6" t="s">
        <v>227</v>
      </c>
      <c r="E2009" s="6" t="s">
        <v>56</v>
      </c>
      <c r="F2009" s="6" t="s">
        <v>84</v>
      </c>
      <c r="G2009" s="6" t="s">
        <v>47</v>
      </c>
      <c r="H2009" s="6" t="s">
        <v>58</v>
      </c>
      <c r="I2009" s="1" t="n">
        <v>1</v>
      </c>
      <c r="J2009" s="7" t="n">
        <v>4014.83</v>
      </c>
      <c r="K2009" s="8" t="n">
        <v>0</v>
      </c>
      <c r="L2009" s="7" t="n">
        <v>2950.52</v>
      </c>
      <c r="M2009" s="6" t="s">
        <v>49</v>
      </c>
      <c r="N2009" s="6" t="s">
        <v>52</v>
      </c>
      <c r="O2009" s="6" t="n">
        <f aca="false">IF(TablaVentas[[#This Row],[Precio_unitario]]="","PENDIENTE",TablaVentas[[#This Row],[Unidades]]*TablaVentas[[#This Row],[Precio_unitario]]*(1-TablaVentas[[#This Row],[Descuento_pct]]))</f>
        <v>4014.83</v>
      </c>
      <c r="P2009" s="6" t="n">
        <f aca="false">IF(TablaVentas[[#This Row],[Costo_unitario]]="","PENDIENTE",TablaVentas[[#This Row],[Unidades]]*TablaVentas[[#This Row],[Costo_unitario]])</f>
        <v>2950.52</v>
      </c>
      <c r="Q2009" s="6" t="n">
        <f aca="false">IF(OR(TablaVentas[[#This Row],[Ingreso_neto]]="PENDIENTE",TablaVentas[[#This Row],[Costo_total]]="PENDIENTE"),"PENDIENTE",TablaVentas[[#This Row],[Ingreso_neto]]-TablaVentas[[#This Row],[Costo_total]])</f>
        <v>1064.31</v>
      </c>
    </row>
    <row r="2010" customFormat="false" ht="13.5" hidden="false" customHeight="false" outlineLevel="0" collapsed="false">
      <c r="A2010" s="1" t="s">
        <v>1264</v>
      </c>
      <c r="B2010" s="1" t="n">
        <v>3</v>
      </c>
      <c r="C2010" s="5" t="n">
        <v>46276</v>
      </c>
      <c r="D2010" s="6" t="s">
        <v>227</v>
      </c>
      <c r="E2010" s="6" t="s">
        <v>223</v>
      </c>
      <c r="F2010" s="6" t="s">
        <v>84</v>
      </c>
      <c r="G2010" s="6" t="s">
        <v>47</v>
      </c>
      <c r="H2010" s="6" t="s">
        <v>58</v>
      </c>
      <c r="I2010" s="1" t="n">
        <v>1</v>
      </c>
      <c r="J2010" s="7" t="n">
        <v>16024.64</v>
      </c>
      <c r="K2010" s="8" t="n">
        <v>0.05</v>
      </c>
      <c r="L2010" s="7" t="n">
        <v>12064.41</v>
      </c>
      <c r="M2010" s="6" t="s">
        <v>49</v>
      </c>
      <c r="N2010" s="6" t="s">
        <v>67</v>
      </c>
      <c r="O2010" s="6" t="n">
        <f aca="false">IF(TablaVentas[[#This Row],[Precio_unitario]]="","PENDIENTE",TablaVentas[[#This Row],[Unidades]]*TablaVentas[[#This Row],[Precio_unitario]]*(1-TablaVentas[[#This Row],[Descuento_pct]]))</f>
        <v>15223.408</v>
      </c>
      <c r="P2010" s="6" t="n">
        <f aca="false">IF(TablaVentas[[#This Row],[Costo_unitario]]="","PENDIENTE",TablaVentas[[#This Row],[Unidades]]*TablaVentas[[#This Row],[Costo_unitario]])</f>
        <v>12064.41</v>
      </c>
      <c r="Q2010" s="6" t="n">
        <f aca="false">IF(OR(TablaVentas[[#This Row],[Ingreso_neto]]="PENDIENTE",TablaVentas[[#This Row],[Costo_total]]="PENDIENTE"),"PENDIENTE",TablaVentas[[#This Row],[Ingreso_neto]]-TablaVentas[[#This Row],[Costo_total]])</f>
        <v>3158.998</v>
      </c>
    </row>
    <row r="2011" customFormat="false" ht="13.5" hidden="false" customHeight="false" outlineLevel="0" collapsed="false">
      <c r="A2011" s="1" t="s">
        <v>1264</v>
      </c>
      <c r="B2011" s="1" t="n">
        <v>4</v>
      </c>
      <c r="C2011" s="5" t="n">
        <v>46276</v>
      </c>
      <c r="D2011" s="6" t="s">
        <v>227</v>
      </c>
      <c r="E2011" s="6" t="s">
        <v>219</v>
      </c>
      <c r="F2011" s="6" t="s">
        <v>84</v>
      </c>
      <c r="G2011" s="6" t="s">
        <v>47</v>
      </c>
      <c r="H2011" s="6" t="s">
        <v>58</v>
      </c>
      <c r="I2011" s="1" t="n">
        <v>1</v>
      </c>
      <c r="J2011" s="7" t="n">
        <v>3462.23</v>
      </c>
      <c r="K2011" s="8" t="n">
        <v>0.2</v>
      </c>
      <c r="L2011" s="7" t="n">
        <v>2157.55</v>
      </c>
      <c r="M2011" s="6" t="s">
        <v>49</v>
      </c>
      <c r="N2011" s="6" t="s">
        <v>59</v>
      </c>
      <c r="O2011" s="6" t="n">
        <f aca="false">IF(TablaVentas[[#This Row],[Precio_unitario]]="","PENDIENTE",TablaVentas[[#This Row],[Unidades]]*TablaVentas[[#This Row],[Precio_unitario]]*(1-TablaVentas[[#This Row],[Descuento_pct]]))</f>
        <v>2769.784</v>
      </c>
      <c r="P2011" s="6" t="n">
        <f aca="false">IF(TablaVentas[[#This Row],[Costo_unitario]]="","PENDIENTE",TablaVentas[[#This Row],[Unidades]]*TablaVentas[[#This Row],[Costo_unitario]])</f>
        <v>2157.55</v>
      </c>
      <c r="Q2011" s="6" t="n">
        <f aca="false">IF(OR(TablaVentas[[#This Row],[Ingreso_neto]]="PENDIENTE",TablaVentas[[#This Row],[Costo_total]]="PENDIENTE"),"PENDIENTE",TablaVentas[[#This Row],[Ingreso_neto]]-TablaVentas[[#This Row],[Costo_total]])</f>
        <v>612.234</v>
      </c>
    </row>
    <row r="2012" customFormat="false" ht="13.5" hidden="false" customHeight="false" outlineLevel="0" collapsed="false">
      <c r="A2012" s="1" t="s">
        <v>1265</v>
      </c>
      <c r="B2012" s="1" t="n">
        <v>1</v>
      </c>
      <c r="C2012" s="5" t="n">
        <v>46196</v>
      </c>
      <c r="D2012" s="6" t="s">
        <v>613</v>
      </c>
      <c r="E2012" s="6" t="s">
        <v>51</v>
      </c>
      <c r="F2012" s="6" t="s">
        <v>73</v>
      </c>
      <c r="G2012" s="6" t="s">
        <v>64</v>
      </c>
      <c r="H2012" s="6" t="s">
        <v>80</v>
      </c>
      <c r="I2012" s="1" t="n">
        <v>4</v>
      </c>
      <c r="J2012" s="7" t="n">
        <v>14216.99</v>
      </c>
      <c r="K2012" s="8" t="n">
        <v>0</v>
      </c>
      <c r="L2012" s="7" t="n">
        <v>8980.68</v>
      </c>
      <c r="M2012" s="6" t="s">
        <v>49</v>
      </c>
      <c r="N2012" s="6" t="s">
        <v>67</v>
      </c>
      <c r="O2012" s="6" t="n">
        <f aca="false">IF(TablaVentas[[#This Row],[Precio_unitario]]="","PENDIENTE",TablaVentas[[#This Row],[Unidades]]*TablaVentas[[#This Row],[Precio_unitario]]*(1-TablaVentas[[#This Row],[Descuento_pct]]))</f>
        <v>56867.96</v>
      </c>
      <c r="P2012" s="6" t="n">
        <f aca="false">IF(TablaVentas[[#This Row],[Costo_unitario]]="","PENDIENTE",TablaVentas[[#This Row],[Unidades]]*TablaVentas[[#This Row],[Costo_unitario]])</f>
        <v>35922.72</v>
      </c>
      <c r="Q2012" s="6" t="n">
        <f aca="false">IF(OR(TablaVentas[[#This Row],[Ingreso_neto]]="PENDIENTE",TablaVentas[[#This Row],[Costo_total]]="PENDIENTE"),"PENDIENTE",TablaVentas[[#This Row],[Ingreso_neto]]-TablaVentas[[#This Row],[Costo_total]])</f>
        <v>20945.24</v>
      </c>
    </row>
    <row r="2013" customFormat="false" ht="13.5" hidden="false" customHeight="false" outlineLevel="0" collapsed="false">
      <c r="A2013" s="1" t="s">
        <v>1265</v>
      </c>
      <c r="B2013" s="1" t="n">
        <v>2</v>
      </c>
      <c r="C2013" s="5" t="n">
        <v>46196</v>
      </c>
      <c r="D2013" s="6" t="s">
        <v>613</v>
      </c>
      <c r="E2013" s="6" t="s">
        <v>167</v>
      </c>
      <c r="F2013" s="6" t="s">
        <v>73</v>
      </c>
      <c r="G2013" s="6" t="s">
        <v>64</v>
      </c>
      <c r="H2013" s="6" t="s">
        <v>80</v>
      </c>
      <c r="I2013" s="1" t="n">
        <v>2</v>
      </c>
      <c r="J2013" s="7" t="n">
        <v>7450.67</v>
      </c>
      <c r="K2013" s="8" t="n">
        <v>0</v>
      </c>
      <c r="L2013" s="7" t="n">
        <v>4082.15</v>
      </c>
      <c r="M2013" s="6" t="s">
        <v>69</v>
      </c>
      <c r="N2013" s="6" t="s">
        <v>59</v>
      </c>
      <c r="O2013" s="6" t="n">
        <f aca="false">IF(TablaVentas[[#This Row],[Precio_unitario]]="","PENDIENTE",TablaVentas[[#This Row],[Unidades]]*TablaVentas[[#This Row],[Precio_unitario]]*(1-TablaVentas[[#This Row],[Descuento_pct]]))</f>
        <v>14901.34</v>
      </c>
      <c r="P2013" s="6" t="n">
        <f aca="false">IF(TablaVentas[[#This Row],[Costo_unitario]]="","PENDIENTE",TablaVentas[[#This Row],[Unidades]]*TablaVentas[[#This Row],[Costo_unitario]])</f>
        <v>8164.3</v>
      </c>
      <c r="Q2013" s="6" t="n">
        <f aca="false">IF(OR(TablaVentas[[#This Row],[Ingreso_neto]]="PENDIENTE",TablaVentas[[#This Row],[Costo_total]]="PENDIENTE"),"PENDIENTE",TablaVentas[[#This Row],[Ingreso_neto]]-TablaVentas[[#This Row],[Costo_total]])</f>
        <v>6737.04</v>
      </c>
    </row>
    <row r="2014" customFormat="false" ht="13.5" hidden="false" customHeight="false" outlineLevel="0" collapsed="false">
      <c r="A2014" s="1" t="s">
        <v>1266</v>
      </c>
      <c r="B2014" s="1" t="n">
        <v>1</v>
      </c>
      <c r="C2014" s="5" t="n">
        <v>46231</v>
      </c>
      <c r="D2014" s="6" t="s">
        <v>773</v>
      </c>
      <c r="E2014" s="6" t="s">
        <v>139</v>
      </c>
      <c r="F2014" s="6" t="s">
        <v>63</v>
      </c>
      <c r="G2014" s="6" t="s">
        <v>64</v>
      </c>
      <c r="H2014" s="6" t="s">
        <v>136</v>
      </c>
      <c r="I2014" s="1" t="n">
        <v>4</v>
      </c>
      <c r="J2014" s="7" t="n">
        <v>18778.53</v>
      </c>
      <c r="K2014" s="8" t="n">
        <v>0.2</v>
      </c>
      <c r="L2014" s="7" t="n">
        <v>11036.95</v>
      </c>
      <c r="M2014" s="6" t="s">
        <v>49</v>
      </c>
      <c r="N2014" s="6" t="s">
        <v>50</v>
      </c>
      <c r="O2014" s="6" t="n">
        <f aca="false">IF(TablaVentas[[#This Row],[Precio_unitario]]="","PENDIENTE",TablaVentas[[#This Row],[Unidades]]*TablaVentas[[#This Row],[Precio_unitario]]*(1-TablaVentas[[#This Row],[Descuento_pct]]))</f>
        <v>60091.296</v>
      </c>
      <c r="P2014" s="6" t="n">
        <f aca="false">IF(TablaVentas[[#This Row],[Costo_unitario]]="","PENDIENTE",TablaVentas[[#This Row],[Unidades]]*TablaVentas[[#This Row],[Costo_unitario]])</f>
        <v>44147.8</v>
      </c>
      <c r="Q2014" s="6" t="n">
        <f aca="false">IF(OR(TablaVentas[[#This Row],[Ingreso_neto]]="PENDIENTE",TablaVentas[[#This Row],[Costo_total]]="PENDIENTE"),"PENDIENTE",TablaVentas[[#This Row],[Ingreso_neto]]-TablaVentas[[#This Row],[Costo_total]])</f>
        <v>15943.496</v>
      </c>
    </row>
    <row r="2015" customFormat="false" ht="13.5" hidden="false" customHeight="false" outlineLevel="0" collapsed="false">
      <c r="A2015" s="1" t="s">
        <v>1266</v>
      </c>
      <c r="B2015" s="1" t="n">
        <v>2</v>
      </c>
      <c r="C2015" s="5" t="n">
        <v>46231</v>
      </c>
      <c r="D2015" s="6" t="s">
        <v>773</v>
      </c>
      <c r="E2015" s="6" t="s">
        <v>280</v>
      </c>
      <c r="F2015" s="6" t="s">
        <v>63</v>
      </c>
      <c r="G2015" s="6" t="s">
        <v>64</v>
      </c>
      <c r="H2015" s="6" t="s">
        <v>136</v>
      </c>
      <c r="I2015" s="1" t="n">
        <v>1</v>
      </c>
      <c r="J2015" s="7" t="n">
        <v>1462.14</v>
      </c>
      <c r="K2015" s="8" t="n">
        <v>0.05</v>
      </c>
      <c r="L2015" s="7" t="n">
        <v>716.26</v>
      </c>
      <c r="M2015" s="6" t="s">
        <v>49</v>
      </c>
      <c r="N2015" s="6" t="s">
        <v>50</v>
      </c>
      <c r="O2015" s="6" t="n">
        <f aca="false">IF(TablaVentas[[#This Row],[Precio_unitario]]="","PENDIENTE",TablaVentas[[#This Row],[Unidades]]*TablaVentas[[#This Row],[Precio_unitario]]*(1-TablaVentas[[#This Row],[Descuento_pct]]))</f>
        <v>1389.033</v>
      </c>
      <c r="P2015" s="6" t="n">
        <f aca="false">IF(TablaVentas[[#This Row],[Costo_unitario]]="","PENDIENTE",TablaVentas[[#This Row],[Unidades]]*TablaVentas[[#This Row],[Costo_unitario]])</f>
        <v>716.26</v>
      </c>
      <c r="Q2015" s="6" t="n">
        <f aca="false">IF(OR(TablaVentas[[#This Row],[Ingreso_neto]]="PENDIENTE",TablaVentas[[#This Row],[Costo_total]]="PENDIENTE"),"PENDIENTE",TablaVentas[[#This Row],[Ingreso_neto]]-TablaVentas[[#This Row],[Costo_total]])</f>
        <v>672.773</v>
      </c>
    </row>
    <row r="2016" customFormat="false" ht="13.5" hidden="false" customHeight="false" outlineLevel="0" collapsed="false">
      <c r="A2016" s="1" t="s">
        <v>1266</v>
      </c>
      <c r="B2016" s="1" t="n">
        <v>3</v>
      </c>
      <c r="C2016" s="5" t="n">
        <v>46231</v>
      </c>
      <c r="D2016" s="6" t="s">
        <v>773</v>
      </c>
      <c r="E2016" s="6" t="s">
        <v>142</v>
      </c>
      <c r="F2016" s="6" t="s">
        <v>63</v>
      </c>
      <c r="G2016" s="6" t="s">
        <v>64</v>
      </c>
      <c r="H2016" s="6" t="s">
        <v>136</v>
      </c>
      <c r="I2016" s="1" t="n">
        <v>1</v>
      </c>
      <c r="J2016" s="7" t="n">
        <v>1914.92</v>
      </c>
      <c r="K2016" s="8" t="n">
        <v>0</v>
      </c>
      <c r="L2016" s="7" t="n">
        <v>1529.93</v>
      </c>
      <c r="M2016" s="6" t="s">
        <v>49</v>
      </c>
      <c r="N2016" s="6" t="s">
        <v>67</v>
      </c>
      <c r="O2016" s="6" t="n">
        <f aca="false">IF(TablaVentas[[#This Row],[Precio_unitario]]="","PENDIENTE",TablaVentas[[#This Row],[Unidades]]*TablaVentas[[#This Row],[Precio_unitario]]*(1-TablaVentas[[#This Row],[Descuento_pct]]))</f>
        <v>1914.92</v>
      </c>
      <c r="P2016" s="6" t="n">
        <f aca="false">IF(TablaVentas[[#This Row],[Costo_unitario]]="","PENDIENTE",TablaVentas[[#This Row],[Unidades]]*TablaVentas[[#This Row],[Costo_unitario]])</f>
        <v>1529.93</v>
      </c>
      <c r="Q2016" s="6" t="n">
        <f aca="false">IF(OR(TablaVentas[[#This Row],[Ingreso_neto]]="PENDIENTE",TablaVentas[[#This Row],[Costo_total]]="PENDIENTE"),"PENDIENTE",TablaVentas[[#This Row],[Ingreso_neto]]-TablaVentas[[#This Row],[Costo_total]])</f>
        <v>384.99</v>
      </c>
    </row>
    <row r="2017" customFormat="false" ht="13.5" hidden="false" customHeight="false" outlineLevel="0" collapsed="false">
      <c r="A2017" s="1" t="s">
        <v>1266</v>
      </c>
      <c r="B2017" s="1" t="n">
        <v>4</v>
      </c>
      <c r="C2017" s="5" t="n">
        <v>46231</v>
      </c>
      <c r="D2017" s="6" t="s">
        <v>773</v>
      </c>
      <c r="E2017" s="6" t="s">
        <v>289</v>
      </c>
      <c r="F2017" s="6" t="s">
        <v>63</v>
      </c>
      <c r="G2017" s="6" t="s">
        <v>64</v>
      </c>
      <c r="H2017" s="6" t="s">
        <v>136</v>
      </c>
      <c r="I2017" s="1" t="n">
        <v>3</v>
      </c>
      <c r="J2017" s="7" t="n">
        <v>4052.61</v>
      </c>
      <c r="K2017" s="8" t="n">
        <v>0.05</v>
      </c>
      <c r="L2017" s="7" t="n">
        <v>3399.5</v>
      </c>
      <c r="M2017" s="6" t="s">
        <v>49</v>
      </c>
      <c r="N2017" s="6" t="s">
        <v>50</v>
      </c>
      <c r="O2017" s="6" t="n">
        <f aca="false">IF(TablaVentas[[#This Row],[Precio_unitario]]="","PENDIENTE",TablaVentas[[#This Row],[Unidades]]*TablaVentas[[#This Row],[Precio_unitario]]*(1-TablaVentas[[#This Row],[Descuento_pct]]))</f>
        <v>11549.9385</v>
      </c>
      <c r="P2017" s="6" t="n">
        <f aca="false">IF(TablaVentas[[#This Row],[Costo_unitario]]="","PENDIENTE",TablaVentas[[#This Row],[Unidades]]*TablaVentas[[#This Row],[Costo_unitario]])</f>
        <v>10198.5</v>
      </c>
      <c r="Q2017" s="6" t="n">
        <f aca="false">IF(OR(TablaVentas[[#This Row],[Ingreso_neto]]="PENDIENTE",TablaVentas[[#This Row],[Costo_total]]="PENDIENTE"),"PENDIENTE",TablaVentas[[#This Row],[Ingreso_neto]]-TablaVentas[[#This Row],[Costo_total]])</f>
        <v>1351.4385</v>
      </c>
    </row>
    <row r="2018" customFormat="false" ht="13.5" hidden="false" customHeight="false" outlineLevel="0" collapsed="false">
      <c r="A2018" s="1" t="s">
        <v>1267</v>
      </c>
      <c r="B2018" s="1" t="n">
        <v>1</v>
      </c>
      <c r="C2018" s="5" t="n">
        <v>46095</v>
      </c>
      <c r="D2018" s="6" t="s">
        <v>309</v>
      </c>
      <c r="E2018" s="6" t="s">
        <v>279</v>
      </c>
      <c r="F2018" s="6" t="s">
        <v>73</v>
      </c>
      <c r="G2018" s="6" t="s">
        <v>47</v>
      </c>
      <c r="H2018" s="6" t="s">
        <v>89</v>
      </c>
      <c r="I2018" s="1" t="n">
        <v>1</v>
      </c>
      <c r="J2018" s="7" t="n">
        <v>614.62</v>
      </c>
      <c r="K2018" s="8" t="n">
        <v>0</v>
      </c>
      <c r="L2018" s="7" t="n">
        <v>443</v>
      </c>
      <c r="M2018" s="6" t="s">
        <v>49</v>
      </c>
      <c r="N2018" s="6" t="s">
        <v>67</v>
      </c>
      <c r="O2018" s="6" t="n">
        <f aca="false">IF(TablaVentas[[#This Row],[Precio_unitario]]="","PENDIENTE",TablaVentas[[#This Row],[Unidades]]*TablaVentas[[#This Row],[Precio_unitario]]*(1-TablaVentas[[#This Row],[Descuento_pct]]))</f>
        <v>614.62</v>
      </c>
      <c r="P2018" s="6" t="n">
        <f aca="false">IF(TablaVentas[[#This Row],[Costo_unitario]]="","PENDIENTE",TablaVentas[[#This Row],[Unidades]]*TablaVentas[[#This Row],[Costo_unitario]])</f>
        <v>443</v>
      </c>
      <c r="Q2018" s="6" t="n">
        <f aca="false">IF(OR(TablaVentas[[#This Row],[Ingreso_neto]]="PENDIENTE",TablaVentas[[#This Row],[Costo_total]]="PENDIENTE"),"PENDIENTE",TablaVentas[[#This Row],[Ingreso_neto]]-TablaVentas[[#This Row],[Costo_total]])</f>
        <v>171.62</v>
      </c>
    </row>
    <row r="2019" customFormat="false" ht="13.5" hidden="false" customHeight="false" outlineLevel="0" collapsed="false">
      <c r="A2019" s="1" t="s">
        <v>1268</v>
      </c>
      <c r="B2019" s="1" t="n">
        <v>1</v>
      </c>
      <c r="C2019" s="5" t="n">
        <v>46268</v>
      </c>
      <c r="D2019" s="6" t="s">
        <v>323</v>
      </c>
      <c r="E2019" s="6" t="s">
        <v>328</v>
      </c>
      <c r="F2019" s="6" t="s">
        <v>84</v>
      </c>
      <c r="G2019" s="6" t="s">
        <v>57</v>
      </c>
      <c r="H2019" s="6" t="s">
        <v>65</v>
      </c>
      <c r="I2019" s="1" t="n">
        <v>8</v>
      </c>
      <c r="J2019" s="7" t="n">
        <v>1221.74</v>
      </c>
      <c r="K2019" s="8" t="n">
        <v>0</v>
      </c>
      <c r="L2019" s="7" t="n">
        <v>679.37</v>
      </c>
      <c r="M2019" s="6" t="s">
        <v>49</v>
      </c>
      <c r="N2019" s="6" t="s">
        <v>59</v>
      </c>
      <c r="O2019" s="6" t="n">
        <f aca="false">IF(TablaVentas[[#This Row],[Precio_unitario]]="","PENDIENTE",TablaVentas[[#This Row],[Unidades]]*TablaVentas[[#This Row],[Precio_unitario]]*(1-TablaVentas[[#This Row],[Descuento_pct]]))</f>
        <v>9773.92</v>
      </c>
      <c r="P2019" s="6" t="n">
        <f aca="false">IF(TablaVentas[[#This Row],[Costo_unitario]]="","PENDIENTE",TablaVentas[[#This Row],[Unidades]]*TablaVentas[[#This Row],[Costo_unitario]])</f>
        <v>5434.96</v>
      </c>
      <c r="Q2019" s="6" t="n">
        <f aca="false">IF(OR(TablaVentas[[#This Row],[Ingreso_neto]]="PENDIENTE",TablaVentas[[#This Row],[Costo_total]]="PENDIENTE"),"PENDIENTE",TablaVentas[[#This Row],[Ingreso_neto]]-TablaVentas[[#This Row],[Costo_total]])</f>
        <v>4338.96</v>
      </c>
    </row>
    <row r="2020" customFormat="false" ht="13.5" hidden="false" customHeight="false" outlineLevel="0" collapsed="false">
      <c r="A2020" s="1" t="s">
        <v>1269</v>
      </c>
      <c r="B2020" s="1" t="n">
        <v>1</v>
      </c>
      <c r="C2020" s="5" t="n">
        <v>46172</v>
      </c>
      <c r="D2020" s="6" t="s">
        <v>547</v>
      </c>
      <c r="E2020" s="6" t="s">
        <v>278</v>
      </c>
      <c r="F2020" s="6" t="s">
        <v>84</v>
      </c>
      <c r="G2020" s="6" t="s">
        <v>57</v>
      </c>
      <c r="H2020" s="6" t="s">
        <v>65</v>
      </c>
      <c r="I2020" s="1" t="n">
        <v>1</v>
      </c>
      <c r="J2020" s="7" t="n">
        <v>1065.02</v>
      </c>
      <c r="K2020" s="8" t="n">
        <v>0.15</v>
      </c>
      <c r="L2020" s="7" t="n">
        <v>759.03</v>
      </c>
      <c r="M2020" s="6" t="s">
        <v>49</v>
      </c>
      <c r="N2020" s="6" t="s">
        <v>67</v>
      </c>
      <c r="O2020" s="6" t="n">
        <f aca="false">IF(TablaVentas[[#This Row],[Precio_unitario]]="","PENDIENTE",TablaVentas[[#This Row],[Unidades]]*TablaVentas[[#This Row],[Precio_unitario]]*(1-TablaVentas[[#This Row],[Descuento_pct]]))</f>
        <v>905.267</v>
      </c>
      <c r="P2020" s="6" t="n">
        <f aca="false">IF(TablaVentas[[#This Row],[Costo_unitario]]="","PENDIENTE",TablaVentas[[#This Row],[Unidades]]*TablaVentas[[#This Row],[Costo_unitario]])</f>
        <v>759.03</v>
      </c>
      <c r="Q2020" s="6" t="n">
        <f aca="false">IF(OR(TablaVentas[[#This Row],[Ingreso_neto]]="PENDIENTE",TablaVentas[[#This Row],[Costo_total]]="PENDIENTE"),"PENDIENTE",TablaVentas[[#This Row],[Ingreso_neto]]-TablaVentas[[#This Row],[Costo_total]])</f>
        <v>146.237</v>
      </c>
    </row>
    <row r="2021" customFormat="false" ht="13.5" hidden="false" customHeight="false" outlineLevel="0" collapsed="false">
      <c r="A2021" s="1" t="s">
        <v>1269</v>
      </c>
      <c r="B2021" s="1" t="n">
        <v>2</v>
      </c>
      <c r="C2021" s="5" t="n">
        <v>46172</v>
      </c>
      <c r="D2021" s="6" t="s">
        <v>547</v>
      </c>
      <c r="E2021" s="6" t="s">
        <v>83</v>
      </c>
      <c r="F2021" s="6" t="s">
        <v>84</v>
      </c>
      <c r="G2021" s="6" t="s">
        <v>57</v>
      </c>
      <c r="H2021" s="6" t="s">
        <v>65</v>
      </c>
      <c r="I2021" s="1" t="n">
        <v>2</v>
      </c>
      <c r="J2021" s="7" t="n">
        <v>12425.01</v>
      </c>
      <c r="K2021" s="8" t="n">
        <v>0</v>
      </c>
      <c r="L2021" s="7" t="n">
        <v>7748.44</v>
      </c>
      <c r="M2021" s="6" t="s">
        <v>49</v>
      </c>
      <c r="N2021" s="6" t="s">
        <v>50</v>
      </c>
      <c r="O2021" s="6" t="n">
        <f aca="false">IF(TablaVentas[[#This Row],[Precio_unitario]]="","PENDIENTE",TablaVentas[[#This Row],[Unidades]]*TablaVentas[[#This Row],[Precio_unitario]]*(1-TablaVentas[[#This Row],[Descuento_pct]]))</f>
        <v>24850.02</v>
      </c>
      <c r="P2021" s="6" t="n">
        <f aca="false">IF(TablaVentas[[#This Row],[Costo_unitario]]="","PENDIENTE",TablaVentas[[#This Row],[Unidades]]*TablaVentas[[#This Row],[Costo_unitario]])</f>
        <v>15496.88</v>
      </c>
      <c r="Q2021" s="6" t="n">
        <f aca="false">IF(OR(TablaVentas[[#This Row],[Ingreso_neto]]="PENDIENTE",TablaVentas[[#This Row],[Costo_total]]="PENDIENTE"),"PENDIENTE",TablaVentas[[#This Row],[Ingreso_neto]]-TablaVentas[[#This Row],[Costo_total]])</f>
        <v>9353.14</v>
      </c>
    </row>
    <row r="2022" customFormat="false" ht="13.5" hidden="false" customHeight="false" outlineLevel="0" collapsed="false">
      <c r="A2022" s="1" t="s">
        <v>1269</v>
      </c>
      <c r="B2022" s="1" t="n">
        <v>3</v>
      </c>
      <c r="C2022" s="5" t="n">
        <v>46172</v>
      </c>
      <c r="D2022" s="6" t="s">
        <v>547</v>
      </c>
      <c r="E2022" s="6" t="s">
        <v>72</v>
      </c>
      <c r="F2022" s="6" t="s">
        <v>84</v>
      </c>
      <c r="G2022" s="6" t="s">
        <v>57</v>
      </c>
      <c r="H2022" s="6" t="s">
        <v>65</v>
      </c>
      <c r="I2022" s="1" t="n">
        <v>1</v>
      </c>
      <c r="J2022" s="7" t="n">
        <v>11455.32</v>
      </c>
      <c r="K2022" s="8" t="n">
        <v>0.2</v>
      </c>
      <c r="L2022" s="7" t="n">
        <v>7328.02</v>
      </c>
      <c r="M2022" s="6" t="s">
        <v>49</v>
      </c>
      <c r="N2022" s="6" t="s">
        <v>59</v>
      </c>
      <c r="O2022" s="6" t="n">
        <f aca="false">IF(TablaVentas[[#This Row],[Precio_unitario]]="","PENDIENTE",TablaVentas[[#This Row],[Unidades]]*TablaVentas[[#This Row],[Precio_unitario]]*(1-TablaVentas[[#This Row],[Descuento_pct]]))</f>
        <v>9164.256</v>
      </c>
      <c r="P2022" s="6" t="n">
        <f aca="false">IF(TablaVentas[[#This Row],[Costo_unitario]]="","PENDIENTE",TablaVentas[[#This Row],[Unidades]]*TablaVentas[[#This Row],[Costo_unitario]])</f>
        <v>7328.02</v>
      </c>
      <c r="Q2022" s="6" t="n">
        <f aca="false">IF(OR(TablaVentas[[#This Row],[Ingreso_neto]]="PENDIENTE",TablaVentas[[#This Row],[Costo_total]]="PENDIENTE"),"PENDIENTE",TablaVentas[[#This Row],[Ingreso_neto]]-TablaVentas[[#This Row],[Costo_total]])</f>
        <v>1836.236</v>
      </c>
    </row>
    <row r="2023" customFormat="false" ht="13.5" hidden="false" customHeight="false" outlineLevel="0" collapsed="false">
      <c r="A2023" s="1" t="s">
        <v>1270</v>
      </c>
      <c r="B2023" s="1" t="n">
        <v>1</v>
      </c>
      <c r="C2023" s="5" t="n">
        <v>46110</v>
      </c>
      <c r="D2023" s="6" t="s">
        <v>613</v>
      </c>
      <c r="E2023" s="6" t="s">
        <v>130</v>
      </c>
      <c r="F2023" s="6" t="s">
        <v>73</v>
      </c>
      <c r="G2023" s="6" t="s">
        <v>64</v>
      </c>
      <c r="H2023" s="6" t="s">
        <v>80</v>
      </c>
      <c r="I2023" s="1" t="n">
        <v>1</v>
      </c>
      <c r="J2023" s="7" t="n">
        <v>17101.75</v>
      </c>
      <c r="K2023" s="8" t="n">
        <v>0.05</v>
      </c>
      <c r="L2023" s="7" t="n">
        <v>12679.41</v>
      </c>
      <c r="M2023" s="6" t="s">
        <v>123</v>
      </c>
      <c r="N2023" s="6" t="s">
        <v>50</v>
      </c>
      <c r="O2023" s="6" t="n">
        <f aca="false">IF(TablaVentas[[#This Row],[Precio_unitario]]="","PENDIENTE",TablaVentas[[#This Row],[Unidades]]*TablaVentas[[#This Row],[Precio_unitario]]*(1-TablaVentas[[#This Row],[Descuento_pct]]))</f>
        <v>16246.6625</v>
      </c>
      <c r="P2023" s="6" t="n">
        <f aca="false">IF(TablaVentas[[#This Row],[Costo_unitario]]="","PENDIENTE",TablaVentas[[#This Row],[Unidades]]*TablaVentas[[#This Row],[Costo_unitario]])</f>
        <v>12679.41</v>
      </c>
      <c r="Q2023" s="6" t="n">
        <f aca="false">IF(OR(TablaVentas[[#This Row],[Ingreso_neto]]="PENDIENTE",TablaVentas[[#This Row],[Costo_total]]="PENDIENTE"),"PENDIENTE",TablaVentas[[#This Row],[Ingreso_neto]]-TablaVentas[[#This Row],[Costo_total]])</f>
        <v>3567.2525</v>
      </c>
    </row>
    <row r="2024" customFormat="false" ht="13.5" hidden="false" customHeight="false" outlineLevel="0" collapsed="false">
      <c r="A2024" s="1" t="s">
        <v>1271</v>
      </c>
      <c r="B2024" s="1" t="n">
        <v>1</v>
      </c>
      <c r="C2024" s="5" t="n">
        <v>46033</v>
      </c>
      <c r="D2024" s="6" t="s">
        <v>784</v>
      </c>
      <c r="E2024" s="6" t="s">
        <v>53</v>
      </c>
      <c r="F2024" s="6" t="s">
        <v>63</v>
      </c>
      <c r="G2024" s="6" t="s">
        <v>64</v>
      </c>
      <c r="H2024" s="6" t="s">
        <v>80</v>
      </c>
      <c r="I2024" s="1" t="n">
        <v>2</v>
      </c>
      <c r="J2024" s="7" t="n">
        <v>4099.44</v>
      </c>
      <c r="K2024" s="8" t="n">
        <v>0</v>
      </c>
      <c r="L2024" s="7" t="n">
        <v>2957.6</v>
      </c>
      <c r="M2024" s="6" t="s">
        <v>49</v>
      </c>
      <c r="N2024" s="6" t="s">
        <v>52</v>
      </c>
      <c r="O2024" s="6" t="n">
        <f aca="false">IF(TablaVentas[[#This Row],[Precio_unitario]]="","PENDIENTE",TablaVentas[[#This Row],[Unidades]]*TablaVentas[[#This Row],[Precio_unitario]]*(1-TablaVentas[[#This Row],[Descuento_pct]]))</f>
        <v>8198.88</v>
      </c>
      <c r="P2024" s="6" t="n">
        <f aca="false">IF(TablaVentas[[#This Row],[Costo_unitario]]="","PENDIENTE",TablaVentas[[#This Row],[Unidades]]*TablaVentas[[#This Row],[Costo_unitario]])</f>
        <v>5915.2</v>
      </c>
      <c r="Q2024" s="6" t="n">
        <f aca="false">IF(OR(TablaVentas[[#This Row],[Ingreso_neto]]="PENDIENTE",TablaVentas[[#This Row],[Costo_total]]="PENDIENTE"),"PENDIENTE",TablaVentas[[#This Row],[Ingreso_neto]]-TablaVentas[[#This Row],[Costo_total]])</f>
        <v>2283.68</v>
      </c>
    </row>
    <row r="2025" customFormat="false" ht="13.5" hidden="false" customHeight="false" outlineLevel="0" collapsed="false">
      <c r="A2025" s="1" t="s">
        <v>1271</v>
      </c>
      <c r="B2025" s="1" t="n">
        <v>2</v>
      </c>
      <c r="C2025" s="5" t="n">
        <v>46033</v>
      </c>
      <c r="D2025" s="6" t="s">
        <v>784</v>
      </c>
      <c r="E2025" s="6" t="s">
        <v>179</v>
      </c>
      <c r="F2025" s="6" t="s">
        <v>63</v>
      </c>
      <c r="G2025" s="6" t="s">
        <v>64</v>
      </c>
      <c r="H2025" s="6" t="s">
        <v>80</v>
      </c>
      <c r="I2025" s="1" t="n">
        <v>1</v>
      </c>
      <c r="J2025" s="7" t="n">
        <v>17838.31</v>
      </c>
      <c r="K2025" s="8" t="n">
        <v>0.05</v>
      </c>
      <c r="L2025" s="7" t="n">
        <v>10830.17</v>
      </c>
      <c r="M2025" s="6" t="s">
        <v>49</v>
      </c>
      <c r="N2025" s="6" t="s">
        <v>67</v>
      </c>
      <c r="O2025" s="6" t="n">
        <f aca="false">IF(TablaVentas[[#This Row],[Precio_unitario]]="","PENDIENTE",TablaVentas[[#This Row],[Unidades]]*TablaVentas[[#This Row],[Precio_unitario]]*(1-TablaVentas[[#This Row],[Descuento_pct]]))</f>
        <v>16946.3945</v>
      </c>
      <c r="P2025" s="6" t="n">
        <f aca="false">IF(TablaVentas[[#This Row],[Costo_unitario]]="","PENDIENTE",TablaVentas[[#This Row],[Unidades]]*TablaVentas[[#This Row],[Costo_unitario]])</f>
        <v>10830.17</v>
      </c>
      <c r="Q2025" s="6" t="n">
        <f aca="false">IF(OR(TablaVentas[[#This Row],[Ingreso_neto]]="PENDIENTE",TablaVentas[[#This Row],[Costo_total]]="PENDIENTE"),"PENDIENTE",TablaVentas[[#This Row],[Ingreso_neto]]-TablaVentas[[#This Row],[Costo_total]])</f>
        <v>6116.2245</v>
      </c>
    </row>
    <row r="2026" customFormat="false" ht="13.5" hidden="false" customHeight="false" outlineLevel="0" collapsed="false">
      <c r="A2026" s="1" t="s">
        <v>1272</v>
      </c>
      <c r="B2026" s="1" t="n">
        <v>1</v>
      </c>
      <c r="C2026" s="5" t="n">
        <v>46214</v>
      </c>
      <c r="D2026" s="6" t="s">
        <v>314</v>
      </c>
      <c r="E2026" s="6" t="s">
        <v>76</v>
      </c>
      <c r="F2026" s="6" t="s">
        <v>84</v>
      </c>
      <c r="G2026" s="6" t="s">
        <v>57</v>
      </c>
      <c r="H2026" s="6" t="s">
        <v>191</v>
      </c>
      <c r="I2026" s="1" t="n">
        <v>1</v>
      </c>
      <c r="J2026" s="7" t="n">
        <v>13194.76</v>
      </c>
      <c r="K2026" s="8" t="n">
        <v>0</v>
      </c>
      <c r="L2026" s="7" t="n">
        <v>10094.26</v>
      </c>
      <c r="M2026" s="6" t="s">
        <v>49</v>
      </c>
      <c r="N2026" s="6" t="s">
        <v>50</v>
      </c>
      <c r="O2026" s="6" t="n">
        <f aca="false">IF(TablaVentas[[#This Row],[Precio_unitario]]="","PENDIENTE",TablaVentas[[#This Row],[Unidades]]*TablaVentas[[#This Row],[Precio_unitario]]*(1-TablaVentas[[#This Row],[Descuento_pct]]))</f>
        <v>13194.76</v>
      </c>
      <c r="P2026" s="6" t="n">
        <f aca="false">IF(TablaVentas[[#This Row],[Costo_unitario]]="","PENDIENTE",TablaVentas[[#This Row],[Unidades]]*TablaVentas[[#This Row],[Costo_unitario]])</f>
        <v>10094.26</v>
      </c>
      <c r="Q2026" s="6" t="n">
        <f aca="false">IF(OR(TablaVentas[[#This Row],[Ingreso_neto]]="PENDIENTE",TablaVentas[[#This Row],[Costo_total]]="PENDIENTE"),"PENDIENTE",TablaVentas[[#This Row],[Ingreso_neto]]-TablaVentas[[#This Row],[Costo_total]])</f>
        <v>3100.5</v>
      </c>
    </row>
    <row r="2027" customFormat="false" ht="13.5" hidden="false" customHeight="false" outlineLevel="0" collapsed="false">
      <c r="A2027" s="1" t="s">
        <v>1272</v>
      </c>
      <c r="B2027" s="1" t="n">
        <v>2</v>
      </c>
      <c r="C2027" s="5" t="n">
        <v>46214</v>
      </c>
      <c r="D2027" s="6" t="s">
        <v>314</v>
      </c>
      <c r="E2027" s="6" t="s">
        <v>66</v>
      </c>
      <c r="F2027" s="6" t="s">
        <v>84</v>
      </c>
      <c r="G2027" s="6" t="s">
        <v>57</v>
      </c>
      <c r="H2027" s="6" t="s">
        <v>191</v>
      </c>
      <c r="I2027" s="1" t="n">
        <v>1</v>
      </c>
      <c r="J2027" s="7" t="n">
        <v>13555.72</v>
      </c>
      <c r="K2027" s="8" t="n">
        <v>0.15</v>
      </c>
      <c r="L2027" s="7" t="n">
        <v>10170.29</v>
      </c>
      <c r="M2027" s="6" t="s">
        <v>49</v>
      </c>
      <c r="N2027" s="6" t="s">
        <v>67</v>
      </c>
      <c r="O2027" s="6" t="n">
        <f aca="false">IF(TablaVentas[[#This Row],[Precio_unitario]]="","PENDIENTE",TablaVentas[[#This Row],[Unidades]]*TablaVentas[[#This Row],[Precio_unitario]]*(1-TablaVentas[[#This Row],[Descuento_pct]]))</f>
        <v>11522.362</v>
      </c>
      <c r="P2027" s="6" t="n">
        <f aca="false">IF(TablaVentas[[#This Row],[Costo_unitario]]="","PENDIENTE",TablaVentas[[#This Row],[Unidades]]*TablaVentas[[#This Row],[Costo_unitario]])</f>
        <v>10170.29</v>
      </c>
      <c r="Q2027" s="6" t="n">
        <f aca="false">IF(OR(TablaVentas[[#This Row],[Ingreso_neto]]="PENDIENTE",TablaVentas[[#This Row],[Costo_total]]="PENDIENTE"),"PENDIENTE",TablaVentas[[#This Row],[Ingreso_neto]]-TablaVentas[[#This Row],[Costo_total]])</f>
        <v>1352.072</v>
      </c>
    </row>
    <row r="2028" customFormat="false" ht="13.5" hidden="false" customHeight="false" outlineLevel="0" collapsed="false">
      <c r="A2028" s="1" t="s">
        <v>1272</v>
      </c>
      <c r="B2028" s="1" t="n">
        <v>3</v>
      </c>
      <c r="C2028" s="5" t="n">
        <v>46214</v>
      </c>
      <c r="D2028" s="6" t="s">
        <v>314</v>
      </c>
      <c r="E2028" s="6" t="s">
        <v>328</v>
      </c>
      <c r="F2028" s="6" t="s">
        <v>84</v>
      </c>
      <c r="G2028" s="6" t="s">
        <v>57</v>
      </c>
      <c r="H2028" s="6" t="s">
        <v>191</v>
      </c>
      <c r="I2028" s="1" t="n">
        <v>1</v>
      </c>
      <c r="J2028" s="7" t="n">
        <v>1204.42</v>
      </c>
      <c r="K2028" s="8" t="n">
        <v>0.15</v>
      </c>
      <c r="L2028" s="7" t="n">
        <v>679.37</v>
      </c>
      <c r="M2028" s="6" t="s">
        <v>49</v>
      </c>
      <c r="N2028" s="6" t="s">
        <v>59</v>
      </c>
      <c r="O2028" s="6" t="n">
        <f aca="false">IF(TablaVentas[[#This Row],[Precio_unitario]]="","PENDIENTE",TablaVentas[[#This Row],[Unidades]]*TablaVentas[[#This Row],[Precio_unitario]]*(1-TablaVentas[[#This Row],[Descuento_pct]]))</f>
        <v>1023.757</v>
      </c>
      <c r="P2028" s="6" t="n">
        <f aca="false">IF(TablaVentas[[#This Row],[Costo_unitario]]="","PENDIENTE",TablaVentas[[#This Row],[Unidades]]*TablaVentas[[#This Row],[Costo_unitario]])</f>
        <v>679.37</v>
      </c>
      <c r="Q2028" s="6" t="n">
        <f aca="false">IF(OR(TablaVentas[[#This Row],[Ingreso_neto]]="PENDIENTE",TablaVentas[[#This Row],[Costo_total]]="PENDIENTE"),"PENDIENTE",TablaVentas[[#This Row],[Ingreso_neto]]-TablaVentas[[#This Row],[Costo_total]])</f>
        <v>344.387</v>
      </c>
    </row>
    <row r="2029" customFormat="false" ht="13.5" hidden="false" customHeight="false" outlineLevel="0" collapsed="false">
      <c r="A2029" s="1" t="s">
        <v>1273</v>
      </c>
      <c r="B2029" s="1" t="n">
        <v>1</v>
      </c>
      <c r="C2029" s="5" t="n">
        <v>46100</v>
      </c>
      <c r="D2029" s="6" t="s">
        <v>107</v>
      </c>
      <c r="E2029" s="6" t="s">
        <v>252</v>
      </c>
      <c r="F2029" s="6" t="s">
        <v>46</v>
      </c>
      <c r="G2029" s="6" t="s">
        <v>64</v>
      </c>
      <c r="H2029" s="6" t="s">
        <v>74</v>
      </c>
      <c r="I2029" s="1" t="n">
        <v>1</v>
      </c>
      <c r="J2029" s="7" t="n">
        <v>18344.65</v>
      </c>
      <c r="K2029" s="8" t="n">
        <v>0</v>
      </c>
      <c r="L2029" s="7" t="n">
        <v>10507.24</v>
      </c>
      <c r="M2029" s="6" t="s">
        <v>49</v>
      </c>
      <c r="N2029" s="6" t="s">
        <v>67</v>
      </c>
      <c r="O2029" s="6" t="n">
        <f aca="false">IF(TablaVentas[[#This Row],[Precio_unitario]]="","PENDIENTE",TablaVentas[[#This Row],[Unidades]]*TablaVentas[[#This Row],[Precio_unitario]]*(1-TablaVentas[[#This Row],[Descuento_pct]]))</f>
        <v>18344.65</v>
      </c>
      <c r="P2029" s="6" t="n">
        <f aca="false">IF(TablaVentas[[#This Row],[Costo_unitario]]="","PENDIENTE",TablaVentas[[#This Row],[Unidades]]*TablaVentas[[#This Row],[Costo_unitario]])</f>
        <v>10507.24</v>
      </c>
      <c r="Q2029" s="6" t="n">
        <f aca="false">IF(OR(TablaVentas[[#This Row],[Ingreso_neto]]="PENDIENTE",TablaVentas[[#This Row],[Costo_total]]="PENDIENTE"),"PENDIENTE",TablaVentas[[#This Row],[Ingreso_neto]]-TablaVentas[[#This Row],[Costo_total]])</f>
        <v>7837.41</v>
      </c>
    </row>
    <row r="2030" customFormat="false" ht="13.5" hidden="false" customHeight="false" outlineLevel="0" collapsed="false">
      <c r="A2030" s="1" t="s">
        <v>1273</v>
      </c>
      <c r="B2030" s="1" t="n">
        <v>2</v>
      </c>
      <c r="C2030" s="5" t="n">
        <v>46100</v>
      </c>
      <c r="D2030" s="6" t="s">
        <v>107</v>
      </c>
      <c r="E2030" s="6" t="s">
        <v>182</v>
      </c>
      <c r="F2030" s="6" t="s">
        <v>46</v>
      </c>
      <c r="G2030" s="6" t="s">
        <v>64</v>
      </c>
      <c r="H2030" s="6" t="s">
        <v>74</v>
      </c>
      <c r="I2030" s="1" t="n">
        <v>2</v>
      </c>
      <c r="J2030" s="7" t="n">
        <v>2895.47</v>
      </c>
      <c r="K2030" s="8" t="n">
        <v>0</v>
      </c>
      <c r="L2030" s="7" t="n">
        <v>1857.39</v>
      </c>
      <c r="M2030" s="6" t="s">
        <v>49</v>
      </c>
      <c r="N2030" s="6" t="s">
        <v>67</v>
      </c>
      <c r="O2030" s="6" t="n">
        <f aca="false">IF(TablaVentas[[#This Row],[Precio_unitario]]="","PENDIENTE",TablaVentas[[#This Row],[Unidades]]*TablaVentas[[#This Row],[Precio_unitario]]*(1-TablaVentas[[#This Row],[Descuento_pct]]))</f>
        <v>5790.94</v>
      </c>
      <c r="P2030" s="6" t="n">
        <f aca="false">IF(TablaVentas[[#This Row],[Costo_unitario]]="","PENDIENTE",TablaVentas[[#This Row],[Unidades]]*TablaVentas[[#This Row],[Costo_unitario]])</f>
        <v>3714.78</v>
      </c>
      <c r="Q2030" s="6" t="n">
        <f aca="false">IF(OR(TablaVentas[[#This Row],[Ingreso_neto]]="PENDIENTE",TablaVentas[[#This Row],[Costo_total]]="PENDIENTE"),"PENDIENTE",TablaVentas[[#This Row],[Ingreso_neto]]-TablaVentas[[#This Row],[Costo_total]])</f>
        <v>2076.16</v>
      </c>
    </row>
    <row r="2031" customFormat="false" ht="13.5" hidden="false" customHeight="false" outlineLevel="0" collapsed="false">
      <c r="A2031" s="1" t="s">
        <v>1273</v>
      </c>
      <c r="B2031" s="1" t="n">
        <v>3</v>
      </c>
      <c r="C2031" s="5" t="n">
        <v>46100</v>
      </c>
      <c r="D2031" s="6" t="s">
        <v>107</v>
      </c>
      <c r="E2031" s="6" t="s">
        <v>280</v>
      </c>
      <c r="F2031" s="6" t="s">
        <v>46</v>
      </c>
      <c r="G2031" s="6" t="s">
        <v>64</v>
      </c>
      <c r="H2031" s="6" t="s">
        <v>74</v>
      </c>
      <c r="I2031" s="1" t="n">
        <v>8</v>
      </c>
      <c r="J2031" s="7" t="n">
        <v>1485.3</v>
      </c>
      <c r="K2031" s="8" t="n">
        <v>0.05</v>
      </c>
      <c r="L2031" s="7" t="n">
        <v>716.26</v>
      </c>
      <c r="M2031" s="6" t="s">
        <v>49</v>
      </c>
      <c r="N2031" s="6" t="s">
        <v>67</v>
      </c>
      <c r="O2031" s="6" t="n">
        <f aca="false">IF(TablaVentas[[#This Row],[Precio_unitario]]="","PENDIENTE",TablaVentas[[#This Row],[Unidades]]*TablaVentas[[#This Row],[Precio_unitario]]*(1-TablaVentas[[#This Row],[Descuento_pct]]))</f>
        <v>11288.28</v>
      </c>
      <c r="P2031" s="6" t="n">
        <f aca="false">IF(TablaVentas[[#This Row],[Costo_unitario]]="","PENDIENTE",TablaVentas[[#This Row],[Unidades]]*TablaVentas[[#This Row],[Costo_unitario]])</f>
        <v>5730.08</v>
      </c>
      <c r="Q2031" s="6" t="n">
        <f aca="false">IF(OR(TablaVentas[[#This Row],[Ingreso_neto]]="PENDIENTE",TablaVentas[[#This Row],[Costo_total]]="PENDIENTE"),"PENDIENTE",TablaVentas[[#This Row],[Ingreso_neto]]-TablaVentas[[#This Row],[Costo_total]])</f>
        <v>5558.2</v>
      </c>
    </row>
    <row r="2032" customFormat="false" ht="13.5" hidden="false" customHeight="false" outlineLevel="0" collapsed="false">
      <c r="A2032" s="1" t="s">
        <v>1274</v>
      </c>
      <c r="B2032" s="1" t="n">
        <v>1</v>
      </c>
      <c r="C2032" s="5" t="n">
        <v>46197</v>
      </c>
      <c r="D2032" s="6" t="s">
        <v>283</v>
      </c>
      <c r="E2032" s="6" t="s">
        <v>117</v>
      </c>
      <c r="F2032" s="6" t="s">
        <v>63</v>
      </c>
      <c r="G2032" s="6" t="s">
        <v>57</v>
      </c>
      <c r="H2032" s="6" t="s">
        <v>48</v>
      </c>
      <c r="I2032" s="1" t="n">
        <v>2</v>
      </c>
      <c r="J2032" s="7" t="n">
        <v>5431.16</v>
      </c>
      <c r="K2032" s="8" t="n">
        <v>0.1</v>
      </c>
      <c r="L2032" s="7" t="n">
        <v>4205.69</v>
      </c>
      <c r="M2032" s="6" t="s">
        <v>49</v>
      </c>
      <c r="N2032" s="6" t="s">
        <v>67</v>
      </c>
      <c r="O2032" s="6" t="n">
        <f aca="false">IF(TablaVentas[[#This Row],[Precio_unitario]]="","PENDIENTE",TablaVentas[[#This Row],[Unidades]]*TablaVentas[[#This Row],[Precio_unitario]]*(1-TablaVentas[[#This Row],[Descuento_pct]]))</f>
        <v>9776.088</v>
      </c>
      <c r="P2032" s="6" t="n">
        <f aca="false">IF(TablaVentas[[#This Row],[Costo_unitario]]="","PENDIENTE",TablaVentas[[#This Row],[Unidades]]*TablaVentas[[#This Row],[Costo_unitario]])</f>
        <v>8411.38</v>
      </c>
      <c r="Q2032" s="6" t="n">
        <f aca="false">IF(OR(TablaVentas[[#This Row],[Ingreso_neto]]="PENDIENTE",TablaVentas[[#This Row],[Costo_total]]="PENDIENTE"),"PENDIENTE",TablaVentas[[#This Row],[Ingreso_neto]]-TablaVentas[[#This Row],[Costo_total]])</f>
        <v>1364.708</v>
      </c>
    </row>
    <row r="2033" customFormat="false" ht="13.5" hidden="false" customHeight="false" outlineLevel="0" collapsed="false">
      <c r="A2033" s="1" t="s">
        <v>1274</v>
      </c>
      <c r="B2033" s="1" t="n">
        <v>2</v>
      </c>
      <c r="C2033" s="5" t="n">
        <v>46197</v>
      </c>
      <c r="D2033" s="6" t="s">
        <v>283</v>
      </c>
      <c r="E2033" s="6" t="s">
        <v>88</v>
      </c>
      <c r="F2033" s="6" t="s">
        <v>63</v>
      </c>
      <c r="G2033" s="6" t="s">
        <v>57</v>
      </c>
      <c r="H2033" s="6" t="s">
        <v>48</v>
      </c>
      <c r="I2033" s="1" t="n">
        <v>1</v>
      </c>
      <c r="J2033" s="7" t="n">
        <v>16363.84</v>
      </c>
      <c r="K2033" s="8" t="n">
        <v>0.2</v>
      </c>
      <c r="L2033" s="7" t="n">
        <v>11614.87</v>
      </c>
      <c r="M2033" s="6" t="s">
        <v>49</v>
      </c>
      <c r="N2033" s="6" t="s">
        <v>59</v>
      </c>
      <c r="O2033" s="6" t="n">
        <f aca="false">IF(TablaVentas[[#This Row],[Precio_unitario]]="","PENDIENTE",TablaVentas[[#This Row],[Unidades]]*TablaVentas[[#This Row],[Precio_unitario]]*(1-TablaVentas[[#This Row],[Descuento_pct]]))</f>
        <v>13091.072</v>
      </c>
      <c r="P2033" s="6" t="n">
        <f aca="false">IF(TablaVentas[[#This Row],[Costo_unitario]]="","PENDIENTE",TablaVentas[[#This Row],[Unidades]]*TablaVentas[[#This Row],[Costo_unitario]])</f>
        <v>11614.87</v>
      </c>
      <c r="Q2033" s="6" t="n">
        <f aca="false">IF(OR(TablaVentas[[#This Row],[Ingreso_neto]]="PENDIENTE",TablaVentas[[#This Row],[Costo_total]]="PENDIENTE"),"PENDIENTE",TablaVentas[[#This Row],[Ingreso_neto]]-TablaVentas[[#This Row],[Costo_total]])</f>
        <v>1476.202</v>
      </c>
    </row>
    <row r="2034" customFormat="false" ht="13.5" hidden="false" customHeight="false" outlineLevel="0" collapsed="false">
      <c r="A2034" s="1" t="s">
        <v>1274</v>
      </c>
      <c r="B2034" s="1" t="n">
        <v>3</v>
      </c>
      <c r="C2034" s="5" t="n">
        <v>46197</v>
      </c>
      <c r="D2034" s="6" t="s">
        <v>283</v>
      </c>
      <c r="E2034" s="6" t="s">
        <v>127</v>
      </c>
      <c r="F2034" s="6" t="s">
        <v>63</v>
      </c>
      <c r="G2034" s="6" t="s">
        <v>57</v>
      </c>
      <c r="H2034" s="6" t="s">
        <v>48</v>
      </c>
      <c r="I2034" s="1" t="n">
        <v>3</v>
      </c>
      <c r="J2034" s="7" t="n">
        <v>13258.18</v>
      </c>
      <c r="K2034" s="8" t="n">
        <v>0</v>
      </c>
      <c r="L2034" s="7" t="n">
        <v>7975.26</v>
      </c>
      <c r="M2034" s="6" t="s">
        <v>49</v>
      </c>
      <c r="N2034" s="6" t="s">
        <v>52</v>
      </c>
      <c r="O2034" s="6" t="n">
        <f aca="false">IF(TablaVentas[[#This Row],[Precio_unitario]]="","PENDIENTE",TablaVentas[[#This Row],[Unidades]]*TablaVentas[[#This Row],[Precio_unitario]]*(1-TablaVentas[[#This Row],[Descuento_pct]]))</f>
        <v>39774.54</v>
      </c>
      <c r="P2034" s="6" t="n">
        <f aca="false">IF(TablaVentas[[#This Row],[Costo_unitario]]="","PENDIENTE",TablaVentas[[#This Row],[Unidades]]*TablaVentas[[#This Row],[Costo_unitario]])</f>
        <v>23925.78</v>
      </c>
      <c r="Q2034" s="6" t="n">
        <f aca="false">IF(OR(TablaVentas[[#This Row],[Ingreso_neto]]="PENDIENTE",TablaVentas[[#This Row],[Costo_total]]="PENDIENTE"),"PENDIENTE",TablaVentas[[#This Row],[Ingreso_neto]]-TablaVentas[[#This Row],[Costo_total]])</f>
        <v>15848.76</v>
      </c>
    </row>
    <row r="2035" customFormat="false" ht="13.5" hidden="false" customHeight="false" outlineLevel="0" collapsed="false">
      <c r="A2035" s="1" t="s">
        <v>1275</v>
      </c>
      <c r="B2035" s="1" t="n">
        <v>1</v>
      </c>
      <c r="C2035" s="5" t="n">
        <v>46041</v>
      </c>
      <c r="D2035" s="6" t="s">
        <v>176</v>
      </c>
      <c r="E2035" s="6" t="s">
        <v>289</v>
      </c>
      <c r="F2035" s="6" t="s">
        <v>63</v>
      </c>
      <c r="G2035" s="6" t="s">
        <v>47</v>
      </c>
      <c r="H2035" s="6" t="s">
        <v>65</v>
      </c>
      <c r="I2035" s="1" t="n">
        <v>12</v>
      </c>
      <c r="J2035" s="7" t="n">
        <v>4294.53</v>
      </c>
      <c r="K2035" s="8" t="n">
        <v>0.15</v>
      </c>
      <c r="L2035" s="7" t="n">
        <v>3399.5</v>
      </c>
      <c r="M2035" s="6" t="s">
        <v>49</v>
      </c>
      <c r="N2035" s="6" t="s">
        <v>50</v>
      </c>
      <c r="O2035" s="6" t="n">
        <f aca="false">IF(TablaVentas[[#This Row],[Precio_unitario]]="","PENDIENTE",TablaVentas[[#This Row],[Unidades]]*TablaVentas[[#This Row],[Precio_unitario]]*(1-TablaVentas[[#This Row],[Descuento_pct]]))</f>
        <v>43804.206</v>
      </c>
      <c r="P2035" s="6" t="n">
        <f aca="false">IF(TablaVentas[[#This Row],[Costo_unitario]]="","PENDIENTE",TablaVentas[[#This Row],[Unidades]]*TablaVentas[[#This Row],[Costo_unitario]])</f>
        <v>40794</v>
      </c>
      <c r="Q2035" s="6" t="n">
        <f aca="false">IF(OR(TablaVentas[[#This Row],[Ingreso_neto]]="PENDIENTE",TablaVentas[[#This Row],[Costo_total]]="PENDIENTE"),"PENDIENTE",TablaVentas[[#This Row],[Ingreso_neto]]-TablaVentas[[#This Row],[Costo_total]])</f>
        <v>3010.206</v>
      </c>
    </row>
    <row r="2036" customFormat="false" ht="13.5" hidden="false" customHeight="false" outlineLevel="0" collapsed="false">
      <c r="A2036" s="1" t="s">
        <v>1275</v>
      </c>
      <c r="B2036" s="1" t="n">
        <v>2</v>
      </c>
      <c r="C2036" s="5" t="n">
        <v>46041</v>
      </c>
      <c r="D2036" s="6" t="s">
        <v>176</v>
      </c>
      <c r="E2036" s="6" t="s">
        <v>62</v>
      </c>
      <c r="F2036" s="6" t="s">
        <v>63</v>
      </c>
      <c r="G2036" s="6" t="s">
        <v>47</v>
      </c>
      <c r="H2036" s="6" t="s">
        <v>65</v>
      </c>
      <c r="I2036" s="1" t="n">
        <v>8</v>
      </c>
      <c r="J2036" s="7" t="n">
        <v>11578.51</v>
      </c>
      <c r="K2036" s="8" t="n">
        <v>0.2</v>
      </c>
      <c r="L2036" s="7" t="n">
        <v>6407.85</v>
      </c>
      <c r="M2036" s="6" t="s">
        <v>49</v>
      </c>
      <c r="N2036" s="6" t="s">
        <v>59</v>
      </c>
      <c r="O2036" s="6" t="n">
        <f aca="false">IF(TablaVentas[[#This Row],[Precio_unitario]]="","PENDIENTE",TablaVentas[[#This Row],[Unidades]]*TablaVentas[[#This Row],[Precio_unitario]]*(1-TablaVentas[[#This Row],[Descuento_pct]]))</f>
        <v>74102.464</v>
      </c>
      <c r="P2036" s="6" t="n">
        <f aca="false">IF(TablaVentas[[#This Row],[Costo_unitario]]="","PENDIENTE",TablaVentas[[#This Row],[Unidades]]*TablaVentas[[#This Row],[Costo_unitario]])</f>
        <v>51262.8</v>
      </c>
      <c r="Q2036" s="6" t="n">
        <f aca="false">IF(OR(TablaVentas[[#This Row],[Ingreso_neto]]="PENDIENTE",TablaVentas[[#This Row],[Costo_total]]="PENDIENTE"),"PENDIENTE",TablaVentas[[#This Row],[Ingreso_neto]]-TablaVentas[[#This Row],[Costo_total]])</f>
        <v>22839.664</v>
      </c>
    </row>
    <row r="2037" customFormat="false" ht="13.5" hidden="false" customHeight="false" outlineLevel="0" collapsed="false">
      <c r="A2037" s="1" t="s">
        <v>1275</v>
      </c>
      <c r="B2037" s="1" t="n">
        <v>3</v>
      </c>
      <c r="C2037" s="5" t="n">
        <v>46041</v>
      </c>
      <c r="D2037" s="6" t="s">
        <v>176</v>
      </c>
      <c r="E2037" s="6" t="s">
        <v>100</v>
      </c>
      <c r="F2037" s="6" t="s">
        <v>63</v>
      </c>
      <c r="G2037" s="6" t="s">
        <v>47</v>
      </c>
      <c r="H2037" s="6" t="s">
        <v>65</v>
      </c>
      <c r="I2037" s="1" t="n">
        <v>1</v>
      </c>
      <c r="J2037" s="7" t="n">
        <v>13885.16</v>
      </c>
      <c r="K2037" s="8" t="n">
        <v>0</v>
      </c>
      <c r="L2037" s="7" t="n">
        <v>8788.79</v>
      </c>
      <c r="M2037" s="6" t="s">
        <v>49</v>
      </c>
      <c r="N2037" s="6" t="s">
        <v>52</v>
      </c>
      <c r="O2037" s="6" t="n">
        <f aca="false">IF(TablaVentas[[#This Row],[Precio_unitario]]="","PENDIENTE",TablaVentas[[#This Row],[Unidades]]*TablaVentas[[#This Row],[Precio_unitario]]*(1-TablaVentas[[#This Row],[Descuento_pct]]))</f>
        <v>13885.16</v>
      </c>
      <c r="P2037" s="6" t="n">
        <f aca="false">IF(TablaVentas[[#This Row],[Costo_unitario]]="","PENDIENTE",TablaVentas[[#This Row],[Unidades]]*TablaVentas[[#This Row],[Costo_unitario]])</f>
        <v>8788.79</v>
      </c>
      <c r="Q2037" s="6" t="n">
        <f aca="false">IF(OR(TablaVentas[[#This Row],[Ingreso_neto]]="PENDIENTE",TablaVentas[[#This Row],[Costo_total]]="PENDIENTE"),"PENDIENTE",TablaVentas[[#This Row],[Ingreso_neto]]-TablaVentas[[#This Row],[Costo_total]])</f>
        <v>5096.37</v>
      </c>
    </row>
    <row r="2038" customFormat="false" ht="13.5" hidden="false" customHeight="false" outlineLevel="0" collapsed="false">
      <c r="A2038" s="1" t="s">
        <v>1275</v>
      </c>
      <c r="B2038" s="1" t="n">
        <v>4</v>
      </c>
      <c r="C2038" s="5" t="n">
        <v>46041</v>
      </c>
      <c r="D2038" s="6" t="s">
        <v>176</v>
      </c>
      <c r="E2038" s="6" t="s">
        <v>215</v>
      </c>
      <c r="F2038" s="6" t="s">
        <v>63</v>
      </c>
      <c r="G2038" s="6" t="s">
        <v>47</v>
      </c>
      <c r="H2038" s="6" t="s">
        <v>65</v>
      </c>
      <c r="I2038" s="1" t="n">
        <v>2</v>
      </c>
      <c r="J2038" s="7" t="n">
        <v>10444.58</v>
      </c>
      <c r="K2038" s="8" t="n">
        <v>0</v>
      </c>
      <c r="L2038" s="7" t="n">
        <v>5535.31</v>
      </c>
      <c r="M2038" s="6" t="s">
        <v>49</v>
      </c>
      <c r="N2038" s="6" t="s">
        <v>59</v>
      </c>
      <c r="O2038" s="6" t="n">
        <f aca="false">IF(TablaVentas[[#This Row],[Precio_unitario]]="","PENDIENTE",TablaVentas[[#This Row],[Unidades]]*TablaVentas[[#This Row],[Precio_unitario]]*(1-TablaVentas[[#This Row],[Descuento_pct]]))</f>
        <v>20889.16</v>
      </c>
      <c r="P2038" s="6" t="n">
        <f aca="false">IF(TablaVentas[[#This Row],[Costo_unitario]]="","PENDIENTE",TablaVentas[[#This Row],[Unidades]]*TablaVentas[[#This Row],[Costo_unitario]])</f>
        <v>11070.62</v>
      </c>
      <c r="Q2038" s="6" t="n">
        <f aca="false">IF(OR(TablaVentas[[#This Row],[Ingreso_neto]]="PENDIENTE",TablaVentas[[#This Row],[Costo_total]]="PENDIENTE"),"PENDIENTE",TablaVentas[[#This Row],[Ingreso_neto]]-TablaVentas[[#This Row],[Costo_total]])</f>
        <v>9818.54</v>
      </c>
    </row>
    <row r="2039" customFormat="false" ht="13.5" hidden="false" customHeight="false" outlineLevel="0" collapsed="false">
      <c r="A2039" s="1" t="s">
        <v>1276</v>
      </c>
      <c r="B2039" s="1" t="n">
        <v>1</v>
      </c>
      <c r="C2039" s="5" t="n">
        <v>46030</v>
      </c>
      <c r="D2039" s="6" t="s">
        <v>864</v>
      </c>
      <c r="E2039" s="6" t="s">
        <v>96</v>
      </c>
      <c r="F2039" s="6" t="s">
        <v>63</v>
      </c>
      <c r="G2039" s="6" t="s">
        <v>57</v>
      </c>
      <c r="H2039" s="6" t="s">
        <v>65</v>
      </c>
      <c r="I2039" s="1" t="n">
        <v>1</v>
      </c>
      <c r="J2039" s="7" t="n">
        <v>11499.46</v>
      </c>
      <c r="K2039" s="8" t="n">
        <v>0</v>
      </c>
      <c r="L2039" s="7" t="n">
        <v>9118.07</v>
      </c>
      <c r="M2039" s="6" t="s">
        <v>49</v>
      </c>
      <c r="N2039" s="6" t="s">
        <v>59</v>
      </c>
      <c r="O2039" s="6" t="n">
        <f aca="false">IF(TablaVentas[[#This Row],[Precio_unitario]]="","PENDIENTE",TablaVentas[[#This Row],[Unidades]]*TablaVentas[[#This Row],[Precio_unitario]]*(1-TablaVentas[[#This Row],[Descuento_pct]]))</f>
        <v>11499.46</v>
      </c>
      <c r="P2039" s="6" t="n">
        <f aca="false">IF(TablaVentas[[#This Row],[Costo_unitario]]="","PENDIENTE",TablaVentas[[#This Row],[Unidades]]*TablaVentas[[#This Row],[Costo_unitario]])</f>
        <v>9118.07</v>
      </c>
      <c r="Q2039" s="6" t="n">
        <f aca="false">IF(OR(TablaVentas[[#This Row],[Ingreso_neto]]="PENDIENTE",TablaVentas[[#This Row],[Costo_total]]="PENDIENTE"),"PENDIENTE",TablaVentas[[#This Row],[Ingreso_neto]]-TablaVentas[[#This Row],[Costo_total]])</f>
        <v>2381.39</v>
      </c>
    </row>
    <row r="2040" customFormat="false" ht="13.5" hidden="false" customHeight="false" outlineLevel="0" collapsed="false">
      <c r="A2040" s="1" t="s">
        <v>1276</v>
      </c>
      <c r="B2040" s="1" t="n">
        <v>2</v>
      </c>
      <c r="C2040" s="5" t="n">
        <v>46030</v>
      </c>
      <c r="D2040" s="6" t="s">
        <v>864</v>
      </c>
      <c r="E2040" s="6" t="s">
        <v>243</v>
      </c>
      <c r="F2040" s="6" t="s">
        <v>63</v>
      </c>
      <c r="G2040" s="6" t="s">
        <v>57</v>
      </c>
      <c r="H2040" s="6" t="s">
        <v>65</v>
      </c>
      <c r="I2040" s="1" t="n">
        <v>2</v>
      </c>
      <c r="J2040" s="7" t="n">
        <v>8772.38</v>
      </c>
      <c r="K2040" s="8" t="n">
        <v>0.15</v>
      </c>
      <c r="L2040" s="7" t="n">
        <v>8061.7</v>
      </c>
      <c r="M2040" s="6" t="s">
        <v>49</v>
      </c>
      <c r="N2040" s="6" t="s">
        <v>52</v>
      </c>
      <c r="O2040" s="6" t="n">
        <f aca="false">IF(TablaVentas[[#This Row],[Precio_unitario]]="","PENDIENTE",TablaVentas[[#This Row],[Unidades]]*TablaVentas[[#This Row],[Precio_unitario]]*(1-TablaVentas[[#This Row],[Descuento_pct]]))</f>
        <v>14913.046</v>
      </c>
      <c r="P2040" s="6" t="n">
        <f aca="false">IF(TablaVentas[[#This Row],[Costo_unitario]]="","PENDIENTE",TablaVentas[[#This Row],[Unidades]]*TablaVentas[[#This Row],[Costo_unitario]])</f>
        <v>16123.4</v>
      </c>
      <c r="Q2040" s="6" t="n">
        <f aca="false">IF(OR(TablaVentas[[#This Row],[Ingreso_neto]]="PENDIENTE",TablaVentas[[#This Row],[Costo_total]]="PENDIENTE"),"PENDIENTE",TablaVentas[[#This Row],[Ingreso_neto]]-TablaVentas[[#This Row],[Costo_total]])</f>
        <v>-1210.354</v>
      </c>
    </row>
    <row r="2041" customFormat="false" ht="13.5" hidden="false" customHeight="false" outlineLevel="0" collapsed="false">
      <c r="A2041" s="1" t="s">
        <v>1276</v>
      </c>
      <c r="B2041" s="1" t="n">
        <v>3</v>
      </c>
      <c r="C2041" s="5" t="n">
        <v>46030</v>
      </c>
      <c r="D2041" s="6" t="s">
        <v>864</v>
      </c>
      <c r="E2041" s="6" t="s">
        <v>230</v>
      </c>
      <c r="F2041" s="6" t="s">
        <v>63</v>
      </c>
      <c r="G2041" s="6" t="s">
        <v>57</v>
      </c>
      <c r="H2041" s="6" t="s">
        <v>65</v>
      </c>
      <c r="I2041" s="1" t="n">
        <v>1</v>
      </c>
      <c r="J2041" s="7" t="n">
        <v>6236.08</v>
      </c>
      <c r="K2041" s="8" t="n">
        <v>0.1</v>
      </c>
      <c r="L2041" s="7" t="n">
        <v>3298.19</v>
      </c>
      <c r="M2041" s="6" t="s">
        <v>49</v>
      </c>
      <c r="N2041" s="6" t="s">
        <v>59</v>
      </c>
      <c r="O2041" s="6" t="n">
        <f aca="false">IF(TablaVentas[[#This Row],[Precio_unitario]]="","PENDIENTE",TablaVentas[[#This Row],[Unidades]]*TablaVentas[[#This Row],[Precio_unitario]]*(1-TablaVentas[[#This Row],[Descuento_pct]]))</f>
        <v>5612.472</v>
      </c>
      <c r="P2041" s="6" t="n">
        <f aca="false">IF(TablaVentas[[#This Row],[Costo_unitario]]="","PENDIENTE",TablaVentas[[#This Row],[Unidades]]*TablaVentas[[#This Row],[Costo_unitario]])</f>
        <v>3298.19</v>
      </c>
      <c r="Q2041" s="6" t="n">
        <f aca="false">IF(OR(TablaVentas[[#This Row],[Ingreso_neto]]="PENDIENTE",TablaVentas[[#This Row],[Costo_total]]="PENDIENTE"),"PENDIENTE",TablaVentas[[#This Row],[Ingreso_neto]]-TablaVentas[[#This Row],[Costo_total]])</f>
        <v>2314.282</v>
      </c>
    </row>
    <row r="2042" customFormat="false" ht="13.5" hidden="false" customHeight="false" outlineLevel="0" collapsed="false">
      <c r="A2042" s="1" t="s">
        <v>1276</v>
      </c>
      <c r="B2042" s="1" t="n">
        <v>4</v>
      </c>
      <c r="C2042" s="5" t="n">
        <v>46030</v>
      </c>
      <c r="D2042" s="6" t="s">
        <v>864</v>
      </c>
      <c r="E2042" s="6" t="s">
        <v>68</v>
      </c>
      <c r="F2042" s="6" t="s">
        <v>63</v>
      </c>
      <c r="G2042" s="6" t="s">
        <v>57</v>
      </c>
      <c r="H2042" s="6" t="s">
        <v>65</v>
      </c>
      <c r="I2042" s="1" t="n">
        <v>2</v>
      </c>
      <c r="J2042" s="7" t="n">
        <v>4645.13</v>
      </c>
      <c r="K2042" s="8" t="n">
        <v>0.05</v>
      </c>
      <c r="L2042" s="7" t="n">
        <v>2554.06</v>
      </c>
      <c r="M2042" s="6" t="s">
        <v>49</v>
      </c>
      <c r="N2042" s="6" t="s">
        <v>59</v>
      </c>
      <c r="O2042" s="6" t="n">
        <f aca="false">IF(TablaVentas[[#This Row],[Precio_unitario]]="","PENDIENTE",TablaVentas[[#This Row],[Unidades]]*TablaVentas[[#This Row],[Precio_unitario]]*(1-TablaVentas[[#This Row],[Descuento_pct]]))</f>
        <v>8825.747</v>
      </c>
      <c r="P2042" s="6" t="n">
        <f aca="false">IF(TablaVentas[[#This Row],[Costo_unitario]]="","PENDIENTE",TablaVentas[[#This Row],[Unidades]]*TablaVentas[[#This Row],[Costo_unitario]])</f>
        <v>5108.12</v>
      </c>
      <c r="Q2042" s="6" t="n">
        <f aca="false">IF(OR(TablaVentas[[#This Row],[Ingreso_neto]]="PENDIENTE",TablaVentas[[#This Row],[Costo_total]]="PENDIENTE"),"PENDIENTE",TablaVentas[[#This Row],[Ingreso_neto]]-TablaVentas[[#This Row],[Costo_total]])</f>
        <v>3717.627</v>
      </c>
    </row>
    <row r="2043" customFormat="false" ht="13.5" hidden="false" customHeight="false" outlineLevel="0" collapsed="false">
      <c r="A2043" s="1" t="s">
        <v>1277</v>
      </c>
      <c r="B2043" s="1" t="n">
        <v>1</v>
      </c>
      <c r="C2043" s="5" t="n">
        <v>46264</v>
      </c>
      <c r="D2043" s="6" t="s">
        <v>198</v>
      </c>
      <c r="E2043" s="6" t="s">
        <v>179</v>
      </c>
      <c r="F2043" s="6" t="s">
        <v>46</v>
      </c>
      <c r="G2043" s="6" t="s">
        <v>57</v>
      </c>
      <c r="H2043" s="6" t="s">
        <v>89</v>
      </c>
      <c r="I2043" s="1" t="n">
        <v>2</v>
      </c>
      <c r="J2043" s="7" t="n">
        <v>15745.97</v>
      </c>
      <c r="K2043" s="8" t="n">
        <v>0.1</v>
      </c>
      <c r="L2043" s="7" t="n">
        <v>10830.17</v>
      </c>
      <c r="M2043" s="6" t="s">
        <v>49</v>
      </c>
      <c r="N2043" s="6" t="s">
        <v>50</v>
      </c>
      <c r="O2043" s="6" t="n">
        <f aca="false">IF(TablaVentas[[#This Row],[Precio_unitario]]="","PENDIENTE",TablaVentas[[#This Row],[Unidades]]*TablaVentas[[#This Row],[Precio_unitario]]*(1-TablaVentas[[#This Row],[Descuento_pct]]))</f>
        <v>28342.746</v>
      </c>
      <c r="P2043" s="6" t="n">
        <f aca="false">IF(TablaVentas[[#This Row],[Costo_unitario]]="","PENDIENTE",TablaVentas[[#This Row],[Unidades]]*TablaVentas[[#This Row],[Costo_unitario]])</f>
        <v>21660.34</v>
      </c>
      <c r="Q2043" s="6" t="n">
        <f aca="false">IF(OR(TablaVentas[[#This Row],[Ingreso_neto]]="PENDIENTE",TablaVentas[[#This Row],[Costo_total]]="PENDIENTE"),"PENDIENTE",TablaVentas[[#This Row],[Ingreso_neto]]-TablaVentas[[#This Row],[Costo_total]])</f>
        <v>6682.406</v>
      </c>
    </row>
    <row r="2044" customFormat="false" ht="13.5" hidden="false" customHeight="false" outlineLevel="0" collapsed="false">
      <c r="A2044" s="1" t="s">
        <v>1278</v>
      </c>
      <c r="B2044" s="1" t="n">
        <v>1</v>
      </c>
      <c r="C2044" s="5" t="n">
        <v>46111</v>
      </c>
      <c r="D2044" s="6" t="s">
        <v>307</v>
      </c>
      <c r="E2044" s="6" t="s">
        <v>76</v>
      </c>
      <c r="F2044" s="6" t="s">
        <v>63</v>
      </c>
      <c r="G2044" s="6" t="s">
        <v>57</v>
      </c>
      <c r="H2044" s="6" t="s">
        <v>136</v>
      </c>
      <c r="I2044" s="1" t="n">
        <v>1</v>
      </c>
      <c r="J2044" s="7" t="n">
        <v>13299.42</v>
      </c>
      <c r="K2044" s="8" t="n">
        <v>0.1</v>
      </c>
      <c r="L2044" s="7" t="n">
        <v>10094.26</v>
      </c>
      <c r="M2044" s="6" t="s">
        <v>49</v>
      </c>
      <c r="N2044" s="6" t="s">
        <v>59</v>
      </c>
      <c r="O2044" s="6" t="n">
        <f aca="false">IF(TablaVentas[[#This Row],[Precio_unitario]]="","PENDIENTE",TablaVentas[[#This Row],[Unidades]]*TablaVentas[[#This Row],[Precio_unitario]]*(1-TablaVentas[[#This Row],[Descuento_pct]]))</f>
        <v>11969.478</v>
      </c>
      <c r="P2044" s="6" t="n">
        <f aca="false">IF(TablaVentas[[#This Row],[Costo_unitario]]="","PENDIENTE",TablaVentas[[#This Row],[Unidades]]*TablaVentas[[#This Row],[Costo_unitario]])</f>
        <v>10094.26</v>
      </c>
      <c r="Q2044" s="6" t="n">
        <f aca="false">IF(OR(TablaVentas[[#This Row],[Ingreso_neto]]="PENDIENTE",TablaVentas[[#This Row],[Costo_total]]="PENDIENTE"),"PENDIENTE",TablaVentas[[#This Row],[Ingreso_neto]]-TablaVentas[[#This Row],[Costo_total]])</f>
        <v>1875.218</v>
      </c>
    </row>
    <row r="2045" customFormat="false" ht="13.5" hidden="false" customHeight="false" outlineLevel="0" collapsed="false">
      <c r="A2045" s="1" t="s">
        <v>1278</v>
      </c>
      <c r="B2045" s="1" t="n">
        <v>2</v>
      </c>
      <c r="C2045" s="5" t="n">
        <v>46111</v>
      </c>
      <c r="D2045" s="6" t="s">
        <v>307</v>
      </c>
      <c r="E2045" s="6" t="s">
        <v>233</v>
      </c>
      <c r="F2045" s="6" t="s">
        <v>63</v>
      </c>
      <c r="G2045" s="6" t="s">
        <v>57</v>
      </c>
      <c r="H2045" s="6" t="s">
        <v>136</v>
      </c>
      <c r="I2045" s="1" t="n">
        <v>1</v>
      </c>
      <c r="J2045" s="7" t="n">
        <v>16423.61</v>
      </c>
      <c r="K2045" s="8" t="n">
        <v>0</v>
      </c>
      <c r="L2045" s="7" t="n">
        <v>9976.68</v>
      </c>
      <c r="M2045" s="6" t="s">
        <v>49</v>
      </c>
      <c r="N2045" s="6" t="s">
        <v>52</v>
      </c>
      <c r="O2045" s="6" t="n">
        <f aca="false">IF(TablaVentas[[#This Row],[Precio_unitario]]="","PENDIENTE",TablaVentas[[#This Row],[Unidades]]*TablaVentas[[#This Row],[Precio_unitario]]*(1-TablaVentas[[#This Row],[Descuento_pct]]))</f>
        <v>16423.61</v>
      </c>
      <c r="P2045" s="6" t="n">
        <f aca="false">IF(TablaVentas[[#This Row],[Costo_unitario]]="","PENDIENTE",TablaVentas[[#This Row],[Unidades]]*TablaVentas[[#This Row],[Costo_unitario]])</f>
        <v>9976.68</v>
      </c>
      <c r="Q2045" s="6" t="n">
        <f aca="false">IF(OR(TablaVentas[[#This Row],[Ingreso_neto]]="PENDIENTE",TablaVentas[[#This Row],[Costo_total]]="PENDIENTE"),"PENDIENTE",TablaVentas[[#This Row],[Ingreso_neto]]-TablaVentas[[#This Row],[Costo_total]])</f>
        <v>6446.93</v>
      </c>
    </row>
    <row r="2046" customFormat="false" ht="13.5" hidden="false" customHeight="false" outlineLevel="0" collapsed="false">
      <c r="A2046" s="1" t="s">
        <v>1278</v>
      </c>
      <c r="B2046" s="1" t="n">
        <v>3</v>
      </c>
      <c r="C2046" s="5" t="n">
        <v>46111</v>
      </c>
      <c r="D2046" s="6" t="s">
        <v>307</v>
      </c>
      <c r="E2046" s="6" t="s">
        <v>179</v>
      </c>
      <c r="F2046" s="6" t="s">
        <v>63</v>
      </c>
      <c r="G2046" s="6" t="s">
        <v>57</v>
      </c>
      <c r="H2046" s="6" t="s">
        <v>136</v>
      </c>
      <c r="I2046" s="1" t="n">
        <v>2</v>
      </c>
      <c r="J2046" s="7" t="n">
        <v>15182.71</v>
      </c>
      <c r="K2046" s="8" t="n">
        <v>0.15</v>
      </c>
      <c r="L2046" s="7" t="n">
        <v>10830.17</v>
      </c>
      <c r="M2046" s="6" t="s">
        <v>49</v>
      </c>
      <c r="N2046" s="6" t="s">
        <v>52</v>
      </c>
      <c r="O2046" s="6" t="n">
        <f aca="false">IF(TablaVentas[[#This Row],[Precio_unitario]]="","PENDIENTE",TablaVentas[[#This Row],[Unidades]]*TablaVentas[[#This Row],[Precio_unitario]]*(1-TablaVentas[[#This Row],[Descuento_pct]]))</f>
        <v>25810.607</v>
      </c>
      <c r="P2046" s="6" t="n">
        <f aca="false">IF(TablaVentas[[#This Row],[Costo_unitario]]="","PENDIENTE",TablaVentas[[#This Row],[Unidades]]*TablaVentas[[#This Row],[Costo_unitario]])</f>
        <v>21660.34</v>
      </c>
      <c r="Q2046" s="6" t="n">
        <f aca="false">IF(OR(TablaVentas[[#This Row],[Ingreso_neto]]="PENDIENTE",TablaVentas[[#This Row],[Costo_total]]="PENDIENTE"),"PENDIENTE",TablaVentas[[#This Row],[Ingreso_neto]]-TablaVentas[[#This Row],[Costo_total]])</f>
        <v>4150.267</v>
      </c>
    </row>
    <row r="2047" customFormat="false" ht="13.5" hidden="false" customHeight="false" outlineLevel="0" collapsed="false">
      <c r="A2047" s="1" t="s">
        <v>1278</v>
      </c>
      <c r="B2047" s="1" t="n">
        <v>4</v>
      </c>
      <c r="C2047" s="5" t="n">
        <v>46111</v>
      </c>
      <c r="D2047" s="6" t="s">
        <v>307</v>
      </c>
      <c r="E2047" s="6" t="s">
        <v>374</v>
      </c>
      <c r="F2047" s="6" t="s">
        <v>63</v>
      </c>
      <c r="G2047" s="6" t="s">
        <v>57</v>
      </c>
      <c r="H2047" s="6" t="s">
        <v>136</v>
      </c>
      <c r="I2047" s="1" t="n">
        <v>3</v>
      </c>
      <c r="J2047" s="7" t="n">
        <v>8950.9</v>
      </c>
      <c r="K2047" s="8" t="n">
        <v>0.1</v>
      </c>
      <c r="L2047" s="7" t="n">
        <v>5079.43</v>
      </c>
      <c r="M2047" s="6" t="s">
        <v>49</v>
      </c>
      <c r="N2047" s="6" t="s">
        <v>52</v>
      </c>
      <c r="O2047" s="6" t="n">
        <f aca="false">IF(TablaVentas[[#This Row],[Precio_unitario]]="","PENDIENTE",TablaVentas[[#This Row],[Unidades]]*TablaVentas[[#This Row],[Precio_unitario]]*(1-TablaVentas[[#This Row],[Descuento_pct]]))</f>
        <v>24167.43</v>
      </c>
      <c r="P2047" s="6" t="n">
        <f aca="false">IF(TablaVentas[[#This Row],[Costo_unitario]]="","PENDIENTE",TablaVentas[[#This Row],[Unidades]]*TablaVentas[[#This Row],[Costo_unitario]])</f>
        <v>15238.29</v>
      </c>
      <c r="Q2047" s="6" t="n">
        <f aca="false">IF(OR(TablaVentas[[#This Row],[Ingreso_neto]]="PENDIENTE",TablaVentas[[#This Row],[Costo_total]]="PENDIENTE"),"PENDIENTE",TablaVentas[[#This Row],[Ingreso_neto]]-TablaVentas[[#This Row],[Costo_total]])</f>
        <v>8929.14</v>
      </c>
    </row>
    <row r="2048" customFormat="false" ht="13.5" hidden="false" customHeight="false" outlineLevel="0" collapsed="false">
      <c r="A2048" s="1" t="s">
        <v>1279</v>
      </c>
      <c r="B2048" s="1" t="n">
        <v>1</v>
      </c>
      <c r="C2048" s="5" t="n">
        <v>46191</v>
      </c>
      <c r="D2048" s="6" t="s">
        <v>629</v>
      </c>
      <c r="E2048" s="6" t="s">
        <v>140</v>
      </c>
      <c r="F2048" s="6" t="s">
        <v>73</v>
      </c>
      <c r="G2048" s="6" t="s">
        <v>57</v>
      </c>
      <c r="H2048" s="6" t="s">
        <v>191</v>
      </c>
      <c r="I2048" s="1" t="n">
        <v>8</v>
      </c>
      <c r="J2048" s="7" t="n">
        <v>8206.15</v>
      </c>
      <c r="K2048" s="8" t="n">
        <v>0.15</v>
      </c>
      <c r="L2048" s="7" t="n">
        <v>4061.34</v>
      </c>
      <c r="M2048" s="6" t="s">
        <v>49</v>
      </c>
      <c r="N2048" s="6" t="s">
        <v>67</v>
      </c>
      <c r="O2048" s="6" t="n">
        <f aca="false">IF(TablaVentas[[#This Row],[Precio_unitario]]="","PENDIENTE",TablaVentas[[#This Row],[Unidades]]*TablaVentas[[#This Row],[Precio_unitario]]*(1-TablaVentas[[#This Row],[Descuento_pct]]))</f>
        <v>55801.82</v>
      </c>
      <c r="P2048" s="6" t="n">
        <f aca="false">IF(TablaVentas[[#This Row],[Costo_unitario]]="","PENDIENTE",TablaVentas[[#This Row],[Unidades]]*TablaVentas[[#This Row],[Costo_unitario]])</f>
        <v>32490.72</v>
      </c>
      <c r="Q2048" s="6" t="n">
        <f aca="false">IF(OR(TablaVentas[[#This Row],[Ingreso_neto]]="PENDIENTE",TablaVentas[[#This Row],[Costo_total]]="PENDIENTE"),"PENDIENTE",TablaVentas[[#This Row],[Ingreso_neto]]-TablaVentas[[#This Row],[Costo_total]])</f>
        <v>23311.1</v>
      </c>
    </row>
    <row r="2049" customFormat="false" ht="13.5" hidden="false" customHeight="false" outlineLevel="0" collapsed="false">
      <c r="A2049" s="1" t="s">
        <v>1279</v>
      </c>
      <c r="B2049" s="1" t="n">
        <v>2</v>
      </c>
      <c r="C2049" s="5" t="n">
        <v>46191</v>
      </c>
      <c r="D2049" s="6" t="s">
        <v>629</v>
      </c>
      <c r="E2049" s="6" t="s">
        <v>77</v>
      </c>
      <c r="F2049" s="6" t="s">
        <v>73</v>
      </c>
      <c r="G2049" s="6" t="s">
        <v>57</v>
      </c>
      <c r="H2049" s="6" t="s">
        <v>191</v>
      </c>
      <c r="I2049" s="1" t="n">
        <v>1</v>
      </c>
      <c r="J2049" s="7" t="n">
        <v>15748.03</v>
      </c>
      <c r="K2049" s="8" t="n">
        <v>0.05</v>
      </c>
      <c r="L2049" s="7" t="n">
        <v>10571.25</v>
      </c>
      <c r="M2049" s="6" t="s">
        <v>49</v>
      </c>
      <c r="N2049" s="6" t="s">
        <v>50</v>
      </c>
      <c r="O2049" s="6" t="n">
        <f aca="false">IF(TablaVentas[[#This Row],[Precio_unitario]]="","PENDIENTE",TablaVentas[[#This Row],[Unidades]]*TablaVentas[[#This Row],[Precio_unitario]]*(1-TablaVentas[[#This Row],[Descuento_pct]]))</f>
        <v>14960.6285</v>
      </c>
      <c r="P2049" s="6" t="n">
        <f aca="false">IF(TablaVentas[[#This Row],[Costo_unitario]]="","PENDIENTE",TablaVentas[[#This Row],[Unidades]]*TablaVentas[[#This Row],[Costo_unitario]])</f>
        <v>10571.25</v>
      </c>
      <c r="Q2049" s="6" t="n">
        <f aca="false">IF(OR(TablaVentas[[#This Row],[Ingreso_neto]]="PENDIENTE",TablaVentas[[#This Row],[Costo_total]]="PENDIENTE"),"PENDIENTE",TablaVentas[[#This Row],[Ingreso_neto]]-TablaVentas[[#This Row],[Costo_total]])</f>
        <v>4389.3785</v>
      </c>
    </row>
    <row r="2050" customFormat="false" ht="13.5" hidden="false" customHeight="false" outlineLevel="0" collapsed="false">
      <c r="A2050" s="1" t="s">
        <v>1280</v>
      </c>
      <c r="B2050" s="1" t="n">
        <v>1</v>
      </c>
      <c r="C2050" s="5" t="n">
        <v>46092</v>
      </c>
      <c r="D2050" s="6" t="s">
        <v>976</v>
      </c>
      <c r="E2050" s="6" t="s">
        <v>223</v>
      </c>
      <c r="F2050" s="6" t="s">
        <v>73</v>
      </c>
      <c r="G2050" s="6" t="s">
        <v>64</v>
      </c>
      <c r="H2050" s="6" t="s">
        <v>109</v>
      </c>
      <c r="I2050" s="1" t="n">
        <v>2</v>
      </c>
      <c r="J2050" s="7" t="n">
        <v>15074.51</v>
      </c>
      <c r="K2050" s="8" t="n">
        <v>0</v>
      </c>
      <c r="L2050" s="7" t="n">
        <v>12064.41</v>
      </c>
      <c r="M2050" s="6" t="s">
        <v>49</v>
      </c>
      <c r="N2050" s="6" t="s">
        <v>59</v>
      </c>
      <c r="O2050" s="6" t="n">
        <f aca="false">IF(TablaVentas[[#This Row],[Precio_unitario]]="","PENDIENTE",TablaVentas[[#This Row],[Unidades]]*TablaVentas[[#This Row],[Precio_unitario]]*(1-TablaVentas[[#This Row],[Descuento_pct]]))</f>
        <v>30149.02</v>
      </c>
      <c r="P2050" s="6" t="n">
        <f aca="false">IF(TablaVentas[[#This Row],[Costo_unitario]]="","PENDIENTE",TablaVentas[[#This Row],[Unidades]]*TablaVentas[[#This Row],[Costo_unitario]])</f>
        <v>24128.82</v>
      </c>
      <c r="Q2050" s="6" t="n">
        <f aca="false">IF(OR(TablaVentas[[#This Row],[Ingreso_neto]]="PENDIENTE",TablaVentas[[#This Row],[Costo_total]]="PENDIENTE"),"PENDIENTE",TablaVentas[[#This Row],[Ingreso_neto]]-TablaVentas[[#This Row],[Costo_total]])</f>
        <v>6020.2</v>
      </c>
    </row>
    <row r="2051" customFormat="false" ht="13.5" hidden="false" customHeight="false" outlineLevel="0" collapsed="false">
      <c r="A2051" s="1" t="s">
        <v>1280</v>
      </c>
      <c r="B2051" s="1" t="n">
        <v>2</v>
      </c>
      <c r="C2051" s="5" t="n">
        <v>46092</v>
      </c>
      <c r="D2051" s="6" t="s">
        <v>976</v>
      </c>
      <c r="E2051" s="6" t="s">
        <v>77</v>
      </c>
      <c r="F2051" s="6" t="s">
        <v>73</v>
      </c>
      <c r="G2051" s="6" t="s">
        <v>64</v>
      </c>
      <c r="H2051" s="6" t="s">
        <v>109</v>
      </c>
      <c r="I2051" s="1" t="n">
        <v>2</v>
      </c>
      <c r="J2051" s="7" t="n">
        <v>15465.94</v>
      </c>
      <c r="K2051" s="8" t="n">
        <v>0.05</v>
      </c>
      <c r="L2051" s="7" t="n">
        <v>10571.25</v>
      </c>
      <c r="M2051" s="6" t="s">
        <v>49</v>
      </c>
      <c r="N2051" s="6" t="s">
        <v>67</v>
      </c>
      <c r="O2051" s="6" t="n">
        <f aca="false">IF(TablaVentas[[#This Row],[Precio_unitario]]="","PENDIENTE",TablaVentas[[#This Row],[Unidades]]*TablaVentas[[#This Row],[Precio_unitario]]*(1-TablaVentas[[#This Row],[Descuento_pct]]))</f>
        <v>29385.286</v>
      </c>
      <c r="P2051" s="6" t="n">
        <f aca="false">IF(TablaVentas[[#This Row],[Costo_unitario]]="","PENDIENTE",TablaVentas[[#This Row],[Unidades]]*TablaVentas[[#This Row],[Costo_unitario]])</f>
        <v>21142.5</v>
      </c>
      <c r="Q2051" s="6" t="n">
        <f aca="false">IF(OR(TablaVentas[[#This Row],[Ingreso_neto]]="PENDIENTE",TablaVentas[[#This Row],[Costo_total]]="PENDIENTE"),"PENDIENTE",TablaVentas[[#This Row],[Ingreso_neto]]-TablaVentas[[#This Row],[Costo_total]])</f>
        <v>8242.786</v>
      </c>
    </row>
    <row r="2052" customFormat="false" ht="13.5" hidden="false" customHeight="false" outlineLevel="0" collapsed="false">
      <c r="A2052" s="1" t="s">
        <v>1280</v>
      </c>
      <c r="B2052" s="1" t="n">
        <v>3</v>
      </c>
      <c r="C2052" s="5" t="n">
        <v>46092</v>
      </c>
      <c r="D2052" s="6" t="s">
        <v>976</v>
      </c>
      <c r="E2052" s="6" t="s">
        <v>187</v>
      </c>
      <c r="F2052" s="6" t="s">
        <v>73</v>
      </c>
      <c r="G2052" s="6" t="s">
        <v>64</v>
      </c>
      <c r="H2052" s="6" t="s">
        <v>109</v>
      </c>
      <c r="I2052" s="1" t="n">
        <v>5</v>
      </c>
      <c r="J2052" s="7" t="n">
        <v>5892.91</v>
      </c>
      <c r="K2052" s="8" t="n">
        <v>0.1</v>
      </c>
      <c r="L2052" s="7" t="n">
        <v>3824.92</v>
      </c>
      <c r="M2052" s="6" t="s">
        <v>49</v>
      </c>
      <c r="N2052" s="6" t="s">
        <v>50</v>
      </c>
      <c r="O2052" s="6" t="n">
        <f aca="false">IF(TablaVentas[[#This Row],[Precio_unitario]]="","PENDIENTE",TablaVentas[[#This Row],[Unidades]]*TablaVentas[[#This Row],[Precio_unitario]]*(1-TablaVentas[[#This Row],[Descuento_pct]]))</f>
        <v>26518.095</v>
      </c>
      <c r="P2052" s="6" t="n">
        <f aca="false">IF(TablaVentas[[#This Row],[Costo_unitario]]="","PENDIENTE",TablaVentas[[#This Row],[Unidades]]*TablaVentas[[#This Row],[Costo_unitario]])</f>
        <v>19124.6</v>
      </c>
      <c r="Q2052" s="6" t="n">
        <f aca="false">IF(OR(TablaVentas[[#This Row],[Ingreso_neto]]="PENDIENTE",TablaVentas[[#This Row],[Costo_total]]="PENDIENTE"),"PENDIENTE",TablaVentas[[#This Row],[Ingreso_neto]]-TablaVentas[[#This Row],[Costo_total]])</f>
        <v>7393.495</v>
      </c>
    </row>
    <row r="2053" customFormat="false" ht="13.5" hidden="false" customHeight="false" outlineLevel="0" collapsed="false">
      <c r="A2053" s="1" t="s">
        <v>1280</v>
      </c>
      <c r="B2053" s="1" t="n">
        <v>4</v>
      </c>
      <c r="C2053" s="5" t="n">
        <v>46092</v>
      </c>
      <c r="D2053" s="6" t="s">
        <v>976</v>
      </c>
      <c r="E2053" s="6" t="s">
        <v>252</v>
      </c>
      <c r="F2053" s="6" t="s">
        <v>73</v>
      </c>
      <c r="G2053" s="6" t="s">
        <v>64</v>
      </c>
      <c r="H2053" s="6" t="s">
        <v>109</v>
      </c>
      <c r="I2053" s="1" t="n">
        <v>4</v>
      </c>
      <c r="J2053" s="7" t="n">
        <v>17049.55</v>
      </c>
      <c r="K2053" s="8" t="n">
        <v>0</v>
      </c>
      <c r="L2053" s="7" t="n">
        <v>10507.24</v>
      </c>
      <c r="M2053" s="6" t="s">
        <v>49</v>
      </c>
      <c r="N2053" s="6" t="s">
        <v>50</v>
      </c>
      <c r="O2053" s="6" t="n">
        <f aca="false">IF(TablaVentas[[#This Row],[Precio_unitario]]="","PENDIENTE",TablaVentas[[#This Row],[Unidades]]*TablaVentas[[#This Row],[Precio_unitario]]*(1-TablaVentas[[#This Row],[Descuento_pct]]))</f>
        <v>68198.2</v>
      </c>
      <c r="P2053" s="6" t="n">
        <f aca="false">IF(TablaVentas[[#This Row],[Costo_unitario]]="","PENDIENTE",TablaVentas[[#This Row],[Unidades]]*TablaVentas[[#This Row],[Costo_unitario]])</f>
        <v>42028.96</v>
      </c>
      <c r="Q2053" s="6" t="n">
        <f aca="false">IF(OR(TablaVentas[[#This Row],[Ingreso_neto]]="PENDIENTE",TablaVentas[[#This Row],[Costo_total]]="PENDIENTE"),"PENDIENTE",TablaVentas[[#This Row],[Ingreso_neto]]-TablaVentas[[#This Row],[Costo_total]])</f>
        <v>26169.24</v>
      </c>
    </row>
    <row r="2054" customFormat="false" ht="13.5" hidden="false" customHeight="false" outlineLevel="0" collapsed="false">
      <c r="A2054" s="1" t="s">
        <v>1281</v>
      </c>
      <c r="B2054" s="1" t="n">
        <v>1</v>
      </c>
      <c r="C2054" s="5" t="n">
        <v>46282</v>
      </c>
      <c r="D2054" s="6" t="s">
        <v>889</v>
      </c>
      <c r="E2054" s="6" t="s">
        <v>280</v>
      </c>
      <c r="F2054" s="6" t="s">
        <v>46</v>
      </c>
      <c r="G2054" s="6" t="s">
        <v>64</v>
      </c>
      <c r="H2054" s="6" t="s">
        <v>109</v>
      </c>
      <c r="I2054" s="1" t="n">
        <v>2</v>
      </c>
      <c r="J2054" s="7" t="n">
        <v>1323.52</v>
      </c>
      <c r="K2054" s="8" t="n">
        <v>0</v>
      </c>
      <c r="L2054" s="7" t="n">
        <v>716.26</v>
      </c>
      <c r="M2054" s="6" t="s">
        <v>49</v>
      </c>
      <c r="N2054" s="6" t="s">
        <v>59</v>
      </c>
      <c r="O2054" s="6" t="n">
        <f aca="false">IF(TablaVentas[[#This Row],[Precio_unitario]]="","PENDIENTE",TablaVentas[[#This Row],[Unidades]]*TablaVentas[[#This Row],[Precio_unitario]]*(1-TablaVentas[[#This Row],[Descuento_pct]]))</f>
        <v>2647.04</v>
      </c>
      <c r="P2054" s="6" t="n">
        <f aca="false">IF(TablaVentas[[#This Row],[Costo_unitario]]="","PENDIENTE",TablaVentas[[#This Row],[Unidades]]*TablaVentas[[#This Row],[Costo_unitario]])</f>
        <v>1432.52</v>
      </c>
      <c r="Q2054" s="6" t="n">
        <f aca="false">IF(OR(TablaVentas[[#This Row],[Ingreso_neto]]="PENDIENTE",TablaVentas[[#This Row],[Costo_total]]="PENDIENTE"),"PENDIENTE",TablaVentas[[#This Row],[Ingreso_neto]]-TablaVentas[[#This Row],[Costo_total]])</f>
        <v>1214.52</v>
      </c>
    </row>
    <row r="2055" customFormat="false" ht="13.5" hidden="false" customHeight="false" outlineLevel="0" collapsed="false">
      <c r="A2055" s="1" t="s">
        <v>1282</v>
      </c>
      <c r="B2055" s="1" t="n">
        <v>1</v>
      </c>
      <c r="C2055" s="5" t="n">
        <v>46275</v>
      </c>
      <c r="D2055" s="6" t="s">
        <v>316</v>
      </c>
      <c r="E2055" s="6" t="s">
        <v>410</v>
      </c>
      <c r="F2055" s="6" t="s">
        <v>63</v>
      </c>
      <c r="G2055" s="6" t="s">
        <v>47</v>
      </c>
      <c r="H2055" s="6" t="s">
        <v>48</v>
      </c>
      <c r="I2055" s="1" t="n">
        <v>2</v>
      </c>
      <c r="J2055" s="7" t="n">
        <v>2953.04</v>
      </c>
      <c r="K2055" s="8" t="n">
        <v>0</v>
      </c>
      <c r="L2055" s="7" t="n">
        <v>1801.83</v>
      </c>
      <c r="M2055" s="6" t="s">
        <v>49</v>
      </c>
      <c r="N2055" s="6" t="s">
        <v>52</v>
      </c>
      <c r="O2055" s="6" t="n">
        <f aca="false">IF(TablaVentas[[#This Row],[Precio_unitario]]="","PENDIENTE",TablaVentas[[#This Row],[Unidades]]*TablaVentas[[#This Row],[Precio_unitario]]*(1-TablaVentas[[#This Row],[Descuento_pct]]))</f>
        <v>5906.08</v>
      </c>
      <c r="P2055" s="6" t="n">
        <f aca="false">IF(TablaVentas[[#This Row],[Costo_unitario]]="","PENDIENTE",TablaVentas[[#This Row],[Unidades]]*TablaVentas[[#This Row],[Costo_unitario]])</f>
        <v>3603.66</v>
      </c>
      <c r="Q2055" s="6" t="n">
        <f aca="false">IF(OR(TablaVentas[[#This Row],[Ingreso_neto]]="PENDIENTE",TablaVentas[[#This Row],[Costo_total]]="PENDIENTE"),"PENDIENTE",TablaVentas[[#This Row],[Ingreso_neto]]-TablaVentas[[#This Row],[Costo_total]])</f>
        <v>2302.42</v>
      </c>
    </row>
    <row r="2056" customFormat="false" ht="13.5" hidden="false" customHeight="false" outlineLevel="0" collapsed="false">
      <c r="A2056" s="1" t="s">
        <v>1282</v>
      </c>
      <c r="B2056" s="1" t="n">
        <v>2</v>
      </c>
      <c r="C2056" s="5" t="n">
        <v>46275</v>
      </c>
      <c r="D2056" s="6" t="s">
        <v>316</v>
      </c>
      <c r="E2056" s="6" t="s">
        <v>127</v>
      </c>
      <c r="F2056" s="6" t="s">
        <v>63</v>
      </c>
      <c r="G2056" s="6" t="s">
        <v>47</v>
      </c>
      <c r="H2056" s="6" t="s">
        <v>48</v>
      </c>
      <c r="I2056" s="1" t="n">
        <v>3</v>
      </c>
      <c r="J2056" s="7" t="n">
        <v>13112.23</v>
      </c>
      <c r="K2056" s="8" t="n">
        <v>0</v>
      </c>
      <c r="L2056" s="7" t="n">
        <v>7975.26</v>
      </c>
      <c r="M2056" s="6" t="s">
        <v>49</v>
      </c>
      <c r="N2056" s="6" t="s">
        <v>50</v>
      </c>
      <c r="O2056" s="6" t="n">
        <f aca="false">IF(TablaVentas[[#This Row],[Precio_unitario]]="","PENDIENTE",TablaVentas[[#This Row],[Unidades]]*TablaVentas[[#This Row],[Precio_unitario]]*(1-TablaVentas[[#This Row],[Descuento_pct]]))</f>
        <v>39336.69</v>
      </c>
      <c r="P2056" s="6" t="n">
        <f aca="false">IF(TablaVentas[[#This Row],[Costo_unitario]]="","PENDIENTE",TablaVentas[[#This Row],[Unidades]]*TablaVentas[[#This Row],[Costo_unitario]])</f>
        <v>23925.78</v>
      </c>
      <c r="Q2056" s="6" t="n">
        <f aca="false">IF(OR(TablaVentas[[#This Row],[Ingreso_neto]]="PENDIENTE",TablaVentas[[#This Row],[Costo_total]]="PENDIENTE"),"PENDIENTE",TablaVentas[[#This Row],[Ingreso_neto]]-TablaVentas[[#This Row],[Costo_total]])</f>
        <v>15410.91</v>
      </c>
    </row>
    <row r="2057" customFormat="false" ht="13.5" hidden="false" customHeight="false" outlineLevel="0" collapsed="false">
      <c r="A2057" s="1" t="s">
        <v>1283</v>
      </c>
      <c r="B2057" s="1" t="n">
        <v>1</v>
      </c>
      <c r="C2057" s="5" t="n">
        <v>46274</v>
      </c>
      <c r="D2057" s="6" t="s">
        <v>716</v>
      </c>
      <c r="E2057" s="6" t="s">
        <v>170</v>
      </c>
      <c r="F2057" s="6" t="s">
        <v>84</v>
      </c>
      <c r="G2057" s="6" t="s">
        <v>47</v>
      </c>
      <c r="H2057" s="6" t="s">
        <v>74</v>
      </c>
      <c r="I2057" s="1" t="n">
        <v>1</v>
      </c>
      <c r="J2057" s="7" t="n">
        <v>18074.11</v>
      </c>
      <c r="K2057" s="8" t="n">
        <v>0</v>
      </c>
      <c r="L2057" s="7" t="n">
        <v>12141.44</v>
      </c>
      <c r="M2057" s="6" t="s">
        <v>123</v>
      </c>
      <c r="N2057" s="6" t="s">
        <v>67</v>
      </c>
      <c r="O2057" s="6" t="n">
        <f aca="false">IF(TablaVentas[[#This Row],[Precio_unitario]]="","PENDIENTE",TablaVentas[[#This Row],[Unidades]]*TablaVentas[[#This Row],[Precio_unitario]]*(1-TablaVentas[[#This Row],[Descuento_pct]]))</f>
        <v>18074.11</v>
      </c>
      <c r="P2057" s="6" t="n">
        <f aca="false">IF(TablaVentas[[#This Row],[Costo_unitario]]="","PENDIENTE",TablaVentas[[#This Row],[Unidades]]*TablaVentas[[#This Row],[Costo_unitario]])</f>
        <v>12141.44</v>
      </c>
      <c r="Q2057" s="6" t="n">
        <f aca="false">IF(OR(TablaVentas[[#This Row],[Ingreso_neto]]="PENDIENTE",TablaVentas[[#This Row],[Costo_total]]="PENDIENTE"),"PENDIENTE",TablaVentas[[#This Row],[Ingreso_neto]]-TablaVentas[[#This Row],[Costo_total]])</f>
        <v>5932.67</v>
      </c>
    </row>
    <row r="2058" customFormat="false" ht="13.5" hidden="false" customHeight="false" outlineLevel="0" collapsed="false">
      <c r="A2058" s="1" t="s">
        <v>1284</v>
      </c>
      <c r="B2058" s="1" t="n">
        <v>1</v>
      </c>
      <c r="C2058" s="5" t="n">
        <v>46036</v>
      </c>
      <c r="D2058" s="6" t="s">
        <v>362</v>
      </c>
      <c r="E2058" s="6" t="s">
        <v>167</v>
      </c>
      <c r="F2058" s="6" t="s">
        <v>46</v>
      </c>
      <c r="G2058" s="6" t="s">
        <v>64</v>
      </c>
      <c r="H2058" s="6" t="s">
        <v>48</v>
      </c>
      <c r="I2058" s="1" t="n">
        <v>5</v>
      </c>
      <c r="J2058" s="7" t="n">
        <v>8015.76</v>
      </c>
      <c r="K2058" s="8" t="n">
        <v>0.15</v>
      </c>
      <c r="L2058" s="7" t="n">
        <v>4082.15</v>
      </c>
      <c r="M2058" s="6" t="s">
        <v>49</v>
      </c>
      <c r="N2058" s="6" t="s">
        <v>50</v>
      </c>
      <c r="O2058" s="6" t="n">
        <f aca="false">IF(TablaVentas[[#This Row],[Precio_unitario]]="","PENDIENTE",TablaVentas[[#This Row],[Unidades]]*TablaVentas[[#This Row],[Precio_unitario]]*(1-TablaVentas[[#This Row],[Descuento_pct]]))</f>
        <v>34066.98</v>
      </c>
      <c r="P2058" s="6" t="n">
        <f aca="false">IF(TablaVentas[[#This Row],[Costo_unitario]]="","PENDIENTE",TablaVentas[[#This Row],[Unidades]]*TablaVentas[[#This Row],[Costo_unitario]])</f>
        <v>20410.75</v>
      </c>
      <c r="Q2058" s="6" t="n">
        <f aca="false">IF(OR(TablaVentas[[#This Row],[Ingreso_neto]]="PENDIENTE",TablaVentas[[#This Row],[Costo_total]]="PENDIENTE"),"PENDIENTE",TablaVentas[[#This Row],[Ingreso_neto]]-TablaVentas[[#This Row],[Costo_total]])</f>
        <v>13656.23</v>
      </c>
    </row>
    <row r="2059" customFormat="false" ht="13.5" hidden="false" customHeight="false" outlineLevel="0" collapsed="false">
      <c r="A2059" s="1" t="s">
        <v>1284</v>
      </c>
      <c r="B2059" s="1" t="n">
        <v>2</v>
      </c>
      <c r="C2059" s="5" t="n">
        <v>46036</v>
      </c>
      <c r="D2059" s="6" t="s">
        <v>362</v>
      </c>
      <c r="E2059" s="6" t="s">
        <v>243</v>
      </c>
      <c r="F2059" s="6" t="s">
        <v>46</v>
      </c>
      <c r="G2059" s="6" t="s">
        <v>64</v>
      </c>
      <c r="H2059" s="6" t="s">
        <v>48</v>
      </c>
      <c r="I2059" s="1" t="n">
        <v>1</v>
      </c>
      <c r="J2059" s="7" t="n">
        <v>9667.73</v>
      </c>
      <c r="K2059" s="8" t="n">
        <v>0</v>
      </c>
      <c r="L2059" s="7" t="n">
        <v>8061.7</v>
      </c>
      <c r="M2059" s="6" t="s">
        <v>49</v>
      </c>
      <c r="N2059" s="6" t="s">
        <v>59</v>
      </c>
      <c r="O2059" s="6" t="n">
        <f aca="false">IF(TablaVentas[[#This Row],[Precio_unitario]]="","PENDIENTE",TablaVentas[[#This Row],[Unidades]]*TablaVentas[[#This Row],[Precio_unitario]]*(1-TablaVentas[[#This Row],[Descuento_pct]]))</f>
        <v>9667.73</v>
      </c>
      <c r="P2059" s="6" t="n">
        <f aca="false">IF(TablaVentas[[#This Row],[Costo_unitario]]="","PENDIENTE",TablaVentas[[#This Row],[Unidades]]*TablaVentas[[#This Row],[Costo_unitario]])</f>
        <v>8061.7</v>
      </c>
      <c r="Q2059" s="6" t="n">
        <f aca="false">IF(OR(TablaVentas[[#This Row],[Ingreso_neto]]="PENDIENTE",TablaVentas[[#This Row],[Costo_total]]="PENDIENTE"),"PENDIENTE",TablaVentas[[#This Row],[Ingreso_neto]]-TablaVentas[[#This Row],[Costo_total]])</f>
        <v>1606.03</v>
      </c>
    </row>
    <row r="2060" customFormat="false" ht="13.5" hidden="false" customHeight="false" outlineLevel="0" collapsed="false">
      <c r="A2060" s="1" t="s">
        <v>1285</v>
      </c>
      <c r="B2060" s="1" t="n">
        <v>1</v>
      </c>
      <c r="C2060" s="5" t="n">
        <v>46152</v>
      </c>
      <c r="D2060" s="6" t="s">
        <v>1286</v>
      </c>
      <c r="E2060" s="6" t="s">
        <v>224</v>
      </c>
      <c r="F2060" s="6" t="s">
        <v>63</v>
      </c>
      <c r="G2060" s="6" t="s">
        <v>57</v>
      </c>
      <c r="H2060" s="6" t="s">
        <v>65</v>
      </c>
      <c r="I2060" s="1" t="n">
        <v>1</v>
      </c>
      <c r="J2060" s="7" t="n">
        <v>16411.11</v>
      </c>
      <c r="K2060" s="8" t="n">
        <v>0.2</v>
      </c>
      <c r="L2060" s="7" t="n">
        <v>14161.63</v>
      </c>
      <c r="M2060" s="6" t="s">
        <v>49</v>
      </c>
      <c r="N2060" s="6" t="s">
        <v>52</v>
      </c>
      <c r="O2060" s="6" t="n">
        <f aca="false">IF(TablaVentas[[#This Row],[Precio_unitario]]="","PENDIENTE",TablaVentas[[#This Row],[Unidades]]*TablaVentas[[#This Row],[Precio_unitario]]*(1-TablaVentas[[#This Row],[Descuento_pct]]))</f>
        <v>13128.888</v>
      </c>
      <c r="P2060" s="6" t="n">
        <f aca="false">IF(TablaVentas[[#This Row],[Costo_unitario]]="","PENDIENTE",TablaVentas[[#This Row],[Unidades]]*TablaVentas[[#This Row],[Costo_unitario]])</f>
        <v>14161.63</v>
      </c>
      <c r="Q2060" s="6" t="n">
        <f aca="false">IF(OR(TablaVentas[[#This Row],[Ingreso_neto]]="PENDIENTE",TablaVentas[[#This Row],[Costo_total]]="PENDIENTE"),"PENDIENTE",TablaVentas[[#This Row],[Ingreso_neto]]-TablaVentas[[#This Row],[Costo_total]])</f>
        <v>-1032.742</v>
      </c>
    </row>
    <row r="2061" customFormat="false" ht="13.5" hidden="false" customHeight="false" outlineLevel="0" collapsed="false">
      <c r="A2061" s="1" t="s">
        <v>1285</v>
      </c>
      <c r="B2061" s="1" t="n">
        <v>2</v>
      </c>
      <c r="C2061" s="5" t="n">
        <v>46152</v>
      </c>
      <c r="D2061" s="6" t="s">
        <v>1286</v>
      </c>
      <c r="E2061" s="6" t="s">
        <v>100</v>
      </c>
      <c r="F2061" s="6" t="s">
        <v>63</v>
      </c>
      <c r="G2061" s="6" t="s">
        <v>57</v>
      </c>
      <c r="H2061" s="6" t="s">
        <v>65</v>
      </c>
      <c r="I2061" s="1" t="n">
        <v>1</v>
      </c>
      <c r="J2061" s="7" t="n">
        <v>15573.54</v>
      </c>
      <c r="K2061" s="8" t="n">
        <v>0</v>
      </c>
      <c r="L2061" s="7" t="n">
        <v>8788.79</v>
      </c>
      <c r="M2061" s="6" t="s">
        <v>123</v>
      </c>
      <c r="N2061" s="6" t="s">
        <v>52</v>
      </c>
      <c r="O2061" s="6" t="n">
        <f aca="false">IF(TablaVentas[[#This Row],[Precio_unitario]]="","PENDIENTE",TablaVentas[[#This Row],[Unidades]]*TablaVentas[[#This Row],[Precio_unitario]]*(1-TablaVentas[[#This Row],[Descuento_pct]]))</f>
        <v>15573.54</v>
      </c>
      <c r="P2061" s="6" t="n">
        <f aca="false">IF(TablaVentas[[#This Row],[Costo_unitario]]="","PENDIENTE",TablaVentas[[#This Row],[Unidades]]*TablaVentas[[#This Row],[Costo_unitario]])</f>
        <v>8788.79</v>
      </c>
      <c r="Q2061" s="6" t="n">
        <f aca="false">IF(OR(TablaVentas[[#This Row],[Ingreso_neto]]="PENDIENTE",TablaVentas[[#This Row],[Costo_total]]="PENDIENTE"),"PENDIENTE",TablaVentas[[#This Row],[Ingreso_neto]]-TablaVentas[[#This Row],[Costo_total]])</f>
        <v>6784.75</v>
      </c>
    </row>
    <row r="2062" customFormat="false" ht="13.5" hidden="false" customHeight="false" outlineLevel="0" collapsed="false">
      <c r="A2062" s="1" t="s">
        <v>1285</v>
      </c>
      <c r="B2062" s="1" t="n">
        <v>3</v>
      </c>
      <c r="C2062" s="5" t="n">
        <v>46152</v>
      </c>
      <c r="D2062" s="6" t="s">
        <v>1286</v>
      </c>
      <c r="E2062" s="6" t="s">
        <v>93</v>
      </c>
      <c r="F2062" s="6" t="s">
        <v>63</v>
      </c>
      <c r="G2062" s="6" t="s">
        <v>57</v>
      </c>
      <c r="H2062" s="6" t="s">
        <v>65</v>
      </c>
      <c r="I2062" s="1" t="n">
        <v>1</v>
      </c>
      <c r="J2062" s="7" t="n">
        <v>15750.27</v>
      </c>
      <c r="K2062" s="8" t="n">
        <v>0.2</v>
      </c>
      <c r="L2062" s="7" t="n">
        <v>11166.03</v>
      </c>
      <c r="M2062" s="6" t="s">
        <v>49</v>
      </c>
      <c r="N2062" s="6" t="s">
        <v>52</v>
      </c>
      <c r="O2062" s="6" t="n">
        <f aca="false">IF(TablaVentas[[#This Row],[Precio_unitario]]="","PENDIENTE",TablaVentas[[#This Row],[Unidades]]*TablaVentas[[#This Row],[Precio_unitario]]*(1-TablaVentas[[#This Row],[Descuento_pct]]))</f>
        <v>12600.216</v>
      </c>
      <c r="P2062" s="6" t="n">
        <f aca="false">IF(TablaVentas[[#This Row],[Costo_unitario]]="","PENDIENTE",TablaVentas[[#This Row],[Unidades]]*TablaVentas[[#This Row],[Costo_unitario]])</f>
        <v>11166.03</v>
      </c>
      <c r="Q2062" s="6" t="n">
        <f aca="false">IF(OR(TablaVentas[[#This Row],[Ingreso_neto]]="PENDIENTE",TablaVentas[[#This Row],[Costo_total]]="PENDIENTE"),"PENDIENTE",TablaVentas[[#This Row],[Ingreso_neto]]-TablaVentas[[#This Row],[Costo_total]])</f>
        <v>1434.186</v>
      </c>
    </row>
    <row r="2063" customFormat="false" ht="13.5" hidden="false" customHeight="false" outlineLevel="0" collapsed="false">
      <c r="A2063" s="1" t="s">
        <v>1285</v>
      </c>
      <c r="B2063" s="1" t="n">
        <v>4</v>
      </c>
      <c r="C2063" s="5" t="n">
        <v>46152</v>
      </c>
      <c r="D2063" s="6" t="s">
        <v>1286</v>
      </c>
      <c r="E2063" s="6" t="s">
        <v>88</v>
      </c>
      <c r="F2063" s="6" t="s">
        <v>63</v>
      </c>
      <c r="G2063" s="6" t="s">
        <v>57</v>
      </c>
      <c r="H2063" s="6" t="s">
        <v>65</v>
      </c>
      <c r="I2063" s="1" t="n">
        <v>8</v>
      </c>
      <c r="J2063" s="7" t="n">
        <v>16753.51</v>
      </c>
      <c r="K2063" s="8" t="n">
        <v>0.2</v>
      </c>
      <c r="L2063" s="7" t="n">
        <v>11614.87</v>
      </c>
      <c r="M2063" s="6" t="s">
        <v>49</v>
      </c>
      <c r="N2063" s="6" t="s">
        <v>52</v>
      </c>
      <c r="O2063" s="6" t="n">
        <f aca="false">IF(TablaVentas[[#This Row],[Precio_unitario]]="","PENDIENTE",TablaVentas[[#This Row],[Unidades]]*TablaVentas[[#This Row],[Precio_unitario]]*(1-TablaVentas[[#This Row],[Descuento_pct]]))</f>
        <v>107222.464</v>
      </c>
      <c r="P2063" s="6" t="n">
        <f aca="false">IF(TablaVentas[[#This Row],[Costo_unitario]]="","PENDIENTE",TablaVentas[[#This Row],[Unidades]]*TablaVentas[[#This Row],[Costo_unitario]])</f>
        <v>92918.96</v>
      </c>
      <c r="Q2063" s="6" t="n">
        <f aca="false">IF(OR(TablaVentas[[#This Row],[Ingreso_neto]]="PENDIENTE",TablaVentas[[#This Row],[Costo_total]]="PENDIENTE"),"PENDIENTE",TablaVentas[[#This Row],[Ingreso_neto]]-TablaVentas[[#This Row],[Costo_total]])</f>
        <v>14303.504</v>
      </c>
    </row>
    <row r="2064" customFormat="false" ht="13.5" hidden="false" customHeight="false" outlineLevel="0" collapsed="false">
      <c r="A2064" s="1" t="s">
        <v>1287</v>
      </c>
      <c r="B2064" s="1" t="n">
        <v>1</v>
      </c>
      <c r="C2064" s="5" t="n">
        <v>46161</v>
      </c>
      <c r="D2064" s="6" t="s">
        <v>436</v>
      </c>
      <c r="E2064" s="6" t="s">
        <v>167</v>
      </c>
      <c r="F2064" s="6" t="s">
        <v>84</v>
      </c>
      <c r="G2064" s="6" t="s">
        <v>47</v>
      </c>
      <c r="H2064" s="6" t="s">
        <v>48</v>
      </c>
      <c r="I2064" s="1" t="n">
        <v>12</v>
      </c>
      <c r="J2064" s="7" t="n">
        <v>7115.98</v>
      </c>
      <c r="K2064" s="8" t="n">
        <v>0.05</v>
      </c>
      <c r="L2064" s="7" t="n">
        <v>4082.15</v>
      </c>
      <c r="M2064" s="6" t="s">
        <v>49</v>
      </c>
      <c r="N2064" s="6" t="s">
        <v>59</v>
      </c>
      <c r="O2064" s="6" t="n">
        <f aca="false">IF(TablaVentas[[#This Row],[Precio_unitario]]="","PENDIENTE",TablaVentas[[#This Row],[Unidades]]*TablaVentas[[#This Row],[Precio_unitario]]*(1-TablaVentas[[#This Row],[Descuento_pct]]))</f>
        <v>81122.172</v>
      </c>
      <c r="P2064" s="6" t="n">
        <f aca="false">IF(TablaVentas[[#This Row],[Costo_unitario]]="","PENDIENTE",TablaVentas[[#This Row],[Unidades]]*TablaVentas[[#This Row],[Costo_unitario]])</f>
        <v>48985.8</v>
      </c>
      <c r="Q2064" s="6" t="n">
        <f aca="false">IF(OR(TablaVentas[[#This Row],[Ingreso_neto]]="PENDIENTE",TablaVentas[[#This Row],[Costo_total]]="PENDIENTE"),"PENDIENTE",TablaVentas[[#This Row],[Ingreso_neto]]-TablaVentas[[#This Row],[Costo_total]])</f>
        <v>32136.372</v>
      </c>
    </row>
    <row r="2065" customFormat="false" ht="13.5" hidden="false" customHeight="false" outlineLevel="0" collapsed="false">
      <c r="A2065" s="1" t="s">
        <v>1287</v>
      </c>
      <c r="B2065" s="1" t="n">
        <v>2</v>
      </c>
      <c r="C2065" s="5" t="n">
        <v>46161</v>
      </c>
      <c r="D2065" s="6" t="s">
        <v>436</v>
      </c>
      <c r="E2065" s="6" t="s">
        <v>122</v>
      </c>
      <c r="F2065" s="6" t="s">
        <v>84</v>
      </c>
      <c r="G2065" s="6" t="s">
        <v>47</v>
      </c>
      <c r="H2065" s="6" t="s">
        <v>48</v>
      </c>
      <c r="I2065" s="1" t="n">
        <v>5</v>
      </c>
      <c r="J2065" s="7" t="n">
        <v>1221.51</v>
      </c>
      <c r="K2065" s="8" t="n">
        <v>0.15</v>
      </c>
      <c r="L2065" s="7" t="n">
        <v>705.87</v>
      </c>
      <c r="M2065" s="6" t="s">
        <v>49</v>
      </c>
      <c r="N2065" s="6" t="s">
        <v>50</v>
      </c>
      <c r="O2065" s="6" t="n">
        <f aca="false">IF(TablaVentas[[#This Row],[Precio_unitario]]="","PENDIENTE",TablaVentas[[#This Row],[Unidades]]*TablaVentas[[#This Row],[Precio_unitario]]*(1-TablaVentas[[#This Row],[Descuento_pct]]))</f>
        <v>5191.4175</v>
      </c>
      <c r="P2065" s="6" t="n">
        <f aca="false">IF(TablaVentas[[#This Row],[Costo_unitario]]="","PENDIENTE",TablaVentas[[#This Row],[Unidades]]*TablaVentas[[#This Row],[Costo_unitario]])</f>
        <v>3529.35</v>
      </c>
      <c r="Q2065" s="6" t="n">
        <f aca="false">IF(OR(TablaVentas[[#This Row],[Ingreso_neto]]="PENDIENTE",TablaVentas[[#This Row],[Costo_total]]="PENDIENTE"),"PENDIENTE",TablaVentas[[#This Row],[Ingreso_neto]]-TablaVentas[[#This Row],[Costo_total]])</f>
        <v>1662.0675</v>
      </c>
    </row>
    <row r="2066" customFormat="false" ht="13.5" hidden="false" customHeight="false" outlineLevel="0" collapsed="false">
      <c r="A2066" s="1" t="s">
        <v>1288</v>
      </c>
      <c r="B2066" s="1" t="n">
        <v>1</v>
      </c>
      <c r="C2066" s="5" t="n">
        <v>46112</v>
      </c>
      <c r="D2066" s="6" t="s">
        <v>976</v>
      </c>
      <c r="E2066" s="6" t="s">
        <v>187</v>
      </c>
      <c r="F2066" s="6" t="s">
        <v>63</v>
      </c>
      <c r="G2066" s="6" t="s">
        <v>64</v>
      </c>
      <c r="H2066" s="6" t="s">
        <v>48</v>
      </c>
      <c r="I2066" s="1" t="n">
        <v>2</v>
      </c>
      <c r="J2066" s="7" t="n">
        <v>5875.26</v>
      </c>
      <c r="K2066" s="8" t="n">
        <v>0</v>
      </c>
      <c r="L2066" s="7" t="n">
        <v>3824.92</v>
      </c>
      <c r="M2066" s="6" t="s">
        <v>49</v>
      </c>
      <c r="N2066" s="6" t="s">
        <v>67</v>
      </c>
      <c r="O2066" s="6" t="n">
        <f aca="false">IF(TablaVentas[[#This Row],[Precio_unitario]]="","PENDIENTE",TablaVentas[[#This Row],[Unidades]]*TablaVentas[[#This Row],[Precio_unitario]]*(1-TablaVentas[[#This Row],[Descuento_pct]]))</f>
        <v>11750.52</v>
      </c>
      <c r="P2066" s="6" t="n">
        <f aca="false">IF(TablaVentas[[#This Row],[Costo_unitario]]="","PENDIENTE",TablaVentas[[#This Row],[Unidades]]*TablaVentas[[#This Row],[Costo_unitario]])</f>
        <v>7649.84</v>
      </c>
      <c r="Q2066" s="6" t="n">
        <f aca="false">IF(OR(TablaVentas[[#This Row],[Ingreso_neto]]="PENDIENTE",TablaVentas[[#This Row],[Costo_total]]="PENDIENTE"),"PENDIENTE",TablaVentas[[#This Row],[Ingreso_neto]]-TablaVentas[[#This Row],[Costo_total]])</f>
        <v>4100.68</v>
      </c>
    </row>
    <row r="2067" customFormat="false" ht="13.5" hidden="false" customHeight="false" outlineLevel="0" collapsed="false">
      <c r="A2067" s="1" t="s">
        <v>1288</v>
      </c>
      <c r="B2067" s="1" t="n">
        <v>2</v>
      </c>
      <c r="C2067" s="5" t="n">
        <v>46112</v>
      </c>
      <c r="D2067" s="6" t="s">
        <v>976</v>
      </c>
      <c r="E2067" s="6" t="s">
        <v>142</v>
      </c>
      <c r="F2067" s="6" t="s">
        <v>63</v>
      </c>
      <c r="G2067" s="6" t="s">
        <v>64</v>
      </c>
      <c r="H2067" s="6" t="s">
        <v>48</v>
      </c>
      <c r="I2067" s="1" t="n">
        <v>2</v>
      </c>
      <c r="J2067" s="7" t="n">
        <v>1974.73</v>
      </c>
      <c r="K2067" s="8" t="n">
        <v>0</v>
      </c>
      <c r="L2067" s="7" t="n">
        <v>1529.93</v>
      </c>
      <c r="M2067" s="6" t="s">
        <v>49</v>
      </c>
      <c r="N2067" s="6" t="s">
        <v>67</v>
      </c>
      <c r="O2067" s="6" t="n">
        <f aca="false">IF(TablaVentas[[#This Row],[Precio_unitario]]="","PENDIENTE",TablaVentas[[#This Row],[Unidades]]*TablaVentas[[#This Row],[Precio_unitario]]*(1-TablaVentas[[#This Row],[Descuento_pct]]))</f>
        <v>3949.46</v>
      </c>
      <c r="P2067" s="6" t="n">
        <f aca="false">IF(TablaVentas[[#This Row],[Costo_unitario]]="","PENDIENTE",TablaVentas[[#This Row],[Unidades]]*TablaVentas[[#This Row],[Costo_unitario]])</f>
        <v>3059.86</v>
      </c>
      <c r="Q2067" s="6" t="n">
        <f aca="false">IF(OR(TablaVentas[[#This Row],[Ingreso_neto]]="PENDIENTE",TablaVentas[[#This Row],[Costo_total]]="PENDIENTE"),"PENDIENTE",TablaVentas[[#This Row],[Ingreso_neto]]-TablaVentas[[#This Row],[Costo_total]])</f>
        <v>889.6</v>
      </c>
    </row>
    <row r="2068" customFormat="false" ht="13.5" hidden="false" customHeight="false" outlineLevel="0" collapsed="false">
      <c r="A2068" s="1" t="s">
        <v>1288</v>
      </c>
      <c r="B2068" s="1" t="n">
        <v>3</v>
      </c>
      <c r="C2068" s="5" t="n">
        <v>46112</v>
      </c>
      <c r="D2068" s="6" t="s">
        <v>976</v>
      </c>
      <c r="E2068" s="6" t="s">
        <v>260</v>
      </c>
      <c r="F2068" s="6" t="s">
        <v>63</v>
      </c>
      <c r="G2068" s="6" t="s">
        <v>64</v>
      </c>
      <c r="H2068" s="6" t="s">
        <v>48</v>
      </c>
      <c r="I2068" s="1" t="n">
        <v>3</v>
      </c>
      <c r="J2068" s="7" t="n">
        <v>3153.77</v>
      </c>
      <c r="K2068" s="8" t="n">
        <v>0.2</v>
      </c>
      <c r="L2068" s="7" t="n">
        <v>2486.18</v>
      </c>
      <c r="M2068" s="6" t="s">
        <v>49</v>
      </c>
      <c r="N2068" s="6" t="s">
        <v>50</v>
      </c>
      <c r="O2068" s="6" t="n">
        <f aca="false">IF(TablaVentas[[#This Row],[Precio_unitario]]="","PENDIENTE",TablaVentas[[#This Row],[Unidades]]*TablaVentas[[#This Row],[Precio_unitario]]*(1-TablaVentas[[#This Row],[Descuento_pct]]))</f>
        <v>7569.048</v>
      </c>
      <c r="P2068" s="6" t="n">
        <f aca="false">IF(TablaVentas[[#This Row],[Costo_unitario]]="","PENDIENTE",TablaVentas[[#This Row],[Unidades]]*TablaVentas[[#This Row],[Costo_unitario]])</f>
        <v>7458.54</v>
      </c>
      <c r="Q2068" s="6" t="n">
        <f aca="false">IF(OR(TablaVentas[[#This Row],[Ingreso_neto]]="PENDIENTE",TablaVentas[[#This Row],[Costo_total]]="PENDIENTE"),"PENDIENTE",TablaVentas[[#This Row],[Ingreso_neto]]-TablaVentas[[#This Row],[Costo_total]])</f>
        <v>110.508000000001</v>
      </c>
    </row>
    <row r="2069" customFormat="false" ht="13.5" hidden="false" customHeight="false" outlineLevel="0" collapsed="false">
      <c r="A2069" s="1" t="s">
        <v>1288</v>
      </c>
      <c r="B2069" s="1" t="n">
        <v>4</v>
      </c>
      <c r="C2069" s="5" t="n">
        <v>46112</v>
      </c>
      <c r="D2069" s="6" t="s">
        <v>976</v>
      </c>
      <c r="E2069" s="6" t="s">
        <v>327</v>
      </c>
      <c r="F2069" s="6" t="s">
        <v>63</v>
      </c>
      <c r="G2069" s="6" t="s">
        <v>64</v>
      </c>
      <c r="H2069" s="6" t="s">
        <v>48</v>
      </c>
      <c r="I2069" s="1" t="n">
        <v>1</v>
      </c>
      <c r="J2069" s="7" t="n">
        <v>4343.61</v>
      </c>
      <c r="K2069" s="8" t="n">
        <v>0.15</v>
      </c>
      <c r="L2069" s="7" t="n">
        <v>3065.66</v>
      </c>
      <c r="M2069" s="6" t="s">
        <v>49</v>
      </c>
      <c r="N2069" s="6" t="s">
        <v>67</v>
      </c>
      <c r="O2069" s="6" t="n">
        <f aca="false">IF(TablaVentas[[#This Row],[Precio_unitario]]="","PENDIENTE",TablaVentas[[#This Row],[Unidades]]*TablaVentas[[#This Row],[Precio_unitario]]*(1-TablaVentas[[#This Row],[Descuento_pct]]))</f>
        <v>3692.0685</v>
      </c>
      <c r="P2069" s="6" t="n">
        <f aca="false">IF(TablaVentas[[#This Row],[Costo_unitario]]="","PENDIENTE",TablaVentas[[#This Row],[Unidades]]*TablaVentas[[#This Row],[Costo_unitario]])</f>
        <v>3065.66</v>
      </c>
      <c r="Q2069" s="6" t="n">
        <f aca="false">IF(OR(TablaVentas[[#This Row],[Ingreso_neto]]="PENDIENTE",TablaVentas[[#This Row],[Costo_total]]="PENDIENTE"),"PENDIENTE",TablaVentas[[#This Row],[Ingreso_neto]]-TablaVentas[[#This Row],[Costo_total]])</f>
        <v>626.4085</v>
      </c>
    </row>
    <row r="2070" customFormat="false" ht="13.5" hidden="false" customHeight="false" outlineLevel="0" collapsed="false">
      <c r="A2070" s="1" t="s">
        <v>1289</v>
      </c>
      <c r="B2070" s="1" t="n">
        <v>1</v>
      </c>
      <c r="C2070" s="5" t="n">
        <v>46031</v>
      </c>
      <c r="D2070" s="6" t="s">
        <v>368</v>
      </c>
      <c r="E2070" s="6" t="s">
        <v>113</v>
      </c>
      <c r="F2070" s="6" t="s">
        <v>63</v>
      </c>
      <c r="G2070" s="6" t="s">
        <v>47</v>
      </c>
      <c r="H2070" s="6" t="s">
        <v>109</v>
      </c>
      <c r="I2070" s="1" t="n">
        <v>3</v>
      </c>
      <c r="J2070" s="7" t="n">
        <v>10172.9</v>
      </c>
      <c r="K2070" s="8" t="n">
        <v>0.05</v>
      </c>
      <c r="L2070" s="7" t="n">
        <v>8276.74</v>
      </c>
      <c r="M2070" s="6" t="s">
        <v>49</v>
      </c>
      <c r="N2070" s="6" t="s">
        <v>52</v>
      </c>
      <c r="O2070" s="6" t="n">
        <f aca="false">IF(TablaVentas[[#This Row],[Precio_unitario]]="","PENDIENTE",TablaVentas[[#This Row],[Unidades]]*TablaVentas[[#This Row],[Precio_unitario]]*(1-TablaVentas[[#This Row],[Descuento_pct]]))</f>
        <v>28992.765</v>
      </c>
      <c r="P2070" s="6" t="n">
        <f aca="false">IF(TablaVentas[[#This Row],[Costo_unitario]]="","PENDIENTE",TablaVentas[[#This Row],[Unidades]]*TablaVentas[[#This Row],[Costo_unitario]])</f>
        <v>24830.22</v>
      </c>
      <c r="Q2070" s="6" t="n">
        <f aca="false">IF(OR(TablaVentas[[#This Row],[Ingreso_neto]]="PENDIENTE",TablaVentas[[#This Row],[Costo_total]]="PENDIENTE"),"PENDIENTE",TablaVentas[[#This Row],[Ingreso_neto]]-TablaVentas[[#This Row],[Costo_total]])</f>
        <v>4162.545</v>
      </c>
    </row>
    <row r="2071" customFormat="false" ht="13.5" hidden="false" customHeight="false" outlineLevel="0" collapsed="false">
      <c r="A2071" s="1" t="s">
        <v>1289</v>
      </c>
      <c r="B2071" s="1" t="n">
        <v>2</v>
      </c>
      <c r="C2071" s="5" t="n">
        <v>46031</v>
      </c>
      <c r="D2071" s="6" t="s">
        <v>368</v>
      </c>
      <c r="E2071" s="6" t="s">
        <v>200</v>
      </c>
      <c r="F2071" s="6" t="s">
        <v>63</v>
      </c>
      <c r="G2071" s="6" t="s">
        <v>47</v>
      </c>
      <c r="H2071" s="6" t="s">
        <v>109</v>
      </c>
      <c r="I2071" s="1" t="n">
        <v>1</v>
      </c>
      <c r="J2071" s="7" t="n">
        <v>11880.91</v>
      </c>
      <c r="K2071" s="8" t="n">
        <v>0.05</v>
      </c>
      <c r="L2071" s="7" t="n">
        <v>5811.72</v>
      </c>
      <c r="M2071" s="6" t="s">
        <v>49</v>
      </c>
      <c r="N2071" s="6" t="s">
        <v>52</v>
      </c>
      <c r="O2071" s="6" t="n">
        <f aca="false">IF(TablaVentas[[#This Row],[Precio_unitario]]="","PENDIENTE",TablaVentas[[#This Row],[Unidades]]*TablaVentas[[#This Row],[Precio_unitario]]*(1-TablaVentas[[#This Row],[Descuento_pct]]))</f>
        <v>11286.8645</v>
      </c>
      <c r="P2071" s="6" t="n">
        <f aca="false">IF(TablaVentas[[#This Row],[Costo_unitario]]="","PENDIENTE",TablaVentas[[#This Row],[Unidades]]*TablaVentas[[#This Row],[Costo_unitario]])</f>
        <v>5811.72</v>
      </c>
      <c r="Q2071" s="6" t="n">
        <f aca="false">IF(OR(TablaVentas[[#This Row],[Ingreso_neto]]="PENDIENTE",TablaVentas[[#This Row],[Costo_total]]="PENDIENTE"),"PENDIENTE",TablaVentas[[#This Row],[Ingreso_neto]]-TablaVentas[[#This Row],[Costo_total]])</f>
        <v>5475.1445</v>
      </c>
    </row>
    <row r="2072" customFormat="false" ht="13.5" hidden="false" customHeight="false" outlineLevel="0" collapsed="false">
      <c r="A2072" s="1" t="s">
        <v>1290</v>
      </c>
      <c r="B2072" s="1" t="n">
        <v>1</v>
      </c>
      <c r="C2072" s="5" t="n">
        <v>46170</v>
      </c>
      <c r="D2072" s="6" t="s">
        <v>824</v>
      </c>
      <c r="E2072" s="6" t="s">
        <v>200</v>
      </c>
      <c r="F2072" s="6" t="s">
        <v>73</v>
      </c>
      <c r="G2072" s="6" t="s">
        <v>57</v>
      </c>
      <c r="H2072" s="6" t="s">
        <v>136</v>
      </c>
      <c r="I2072" s="1" t="n">
        <v>2</v>
      </c>
      <c r="J2072" s="7" t="n">
        <v>11012.06</v>
      </c>
      <c r="K2072" s="8" t="n">
        <v>0.15</v>
      </c>
      <c r="L2072" s="7" t="n">
        <v>5811.72</v>
      </c>
      <c r="M2072" s="6" t="s">
        <v>49</v>
      </c>
      <c r="N2072" s="6" t="s">
        <v>50</v>
      </c>
      <c r="O2072" s="6" t="n">
        <f aca="false">IF(TablaVentas[[#This Row],[Precio_unitario]]="","PENDIENTE",TablaVentas[[#This Row],[Unidades]]*TablaVentas[[#This Row],[Precio_unitario]]*(1-TablaVentas[[#This Row],[Descuento_pct]]))</f>
        <v>18720.502</v>
      </c>
      <c r="P2072" s="6" t="n">
        <f aca="false">IF(TablaVentas[[#This Row],[Costo_unitario]]="","PENDIENTE",TablaVentas[[#This Row],[Unidades]]*TablaVentas[[#This Row],[Costo_unitario]])</f>
        <v>11623.44</v>
      </c>
      <c r="Q2072" s="6" t="n">
        <f aca="false">IF(OR(TablaVentas[[#This Row],[Ingreso_neto]]="PENDIENTE",TablaVentas[[#This Row],[Costo_total]]="PENDIENTE"),"PENDIENTE",TablaVentas[[#This Row],[Ingreso_neto]]-TablaVentas[[#This Row],[Costo_total]])</f>
        <v>7097.062</v>
      </c>
    </row>
    <row r="2073" customFormat="false" ht="13.5" hidden="false" customHeight="false" outlineLevel="0" collapsed="false">
      <c r="A2073" s="1" t="s">
        <v>1291</v>
      </c>
      <c r="B2073" s="1" t="n">
        <v>1</v>
      </c>
      <c r="C2073" s="5" t="n">
        <v>46229</v>
      </c>
      <c r="D2073" s="6" t="s">
        <v>79</v>
      </c>
      <c r="E2073" s="6" t="s">
        <v>159</v>
      </c>
      <c r="F2073" s="6" t="s">
        <v>63</v>
      </c>
      <c r="G2073" s="6" t="s">
        <v>64</v>
      </c>
      <c r="H2073" s="6" t="s">
        <v>191</v>
      </c>
      <c r="I2073" s="1" t="n">
        <v>3</v>
      </c>
      <c r="J2073" s="7" t="n">
        <v>2761.98</v>
      </c>
      <c r="K2073" s="8" t="n">
        <v>0.2</v>
      </c>
      <c r="L2073" s="7" t="n">
        <v>1962.3</v>
      </c>
      <c r="M2073" s="6" t="s">
        <v>49</v>
      </c>
      <c r="N2073" s="6" t="s">
        <v>52</v>
      </c>
      <c r="O2073" s="6" t="n">
        <f aca="false">IF(TablaVentas[[#This Row],[Precio_unitario]]="","PENDIENTE",TablaVentas[[#This Row],[Unidades]]*TablaVentas[[#This Row],[Precio_unitario]]*(1-TablaVentas[[#This Row],[Descuento_pct]]))</f>
        <v>6628.752</v>
      </c>
      <c r="P2073" s="6" t="n">
        <f aca="false">IF(TablaVentas[[#This Row],[Costo_unitario]]="","PENDIENTE",TablaVentas[[#This Row],[Unidades]]*TablaVentas[[#This Row],[Costo_unitario]])</f>
        <v>5886.9</v>
      </c>
      <c r="Q2073" s="6" t="n">
        <f aca="false">IF(OR(TablaVentas[[#This Row],[Ingreso_neto]]="PENDIENTE",TablaVentas[[#This Row],[Costo_total]]="PENDIENTE"),"PENDIENTE",TablaVentas[[#This Row],[Ingreso_neto]]-TablaVentas[[#This Row],[Costo_total]])</f>
        <v>741.852000000001</v>
      </c>
    </row>
    <row r="2074" customFormat="false" ht="13.5" hidden="false" customHeight="false" outlineLevel="0" collapsed="false">
      <c r="A2074" s="1" t="s">
        <v>1292</v>
      </c>
      <c r="B2074" s="1" t="n">
        <v>1</v>
      </c>
      <c r="C2074" s="5" t="n">
        <v>46106</v>
      </c>
      <c r="D2074" s="6" t="s">
        <v>1229</v>
      </c>
      <c r="E2074" s="6" t="s">
        <v>327</v>
      </c>
      <c r="F2074" s="6" t="s">
        <v>84</v>
      </c>
      <c r="G2074" s="6" t="s">
        <v>47</v>
      </c>
      <c r="H2074" s="6" t="s">
        <v>109</v>
      </c>
      <c r="I2074" s="1" t="n">
        <v>1</v>
      </c>
      <c r="J2074" s="7" t="n">
        <v>4981.53</v>
      </c>
      <c r="K2074" s="8" t="n">
        <v>0</v>
      </c>
      <c r="L2074" s="7" t="n">
        <v>3065.66</v>
      </c>
      <c r="M2074" s="6" t="s">
        <v>49</v>
      </c>
      <c r="N2074" s="6" t="s">
        <v>59</v>
      </c>
      <c r="O2074" s="6" t="n">
        <f aca="false">IF(TablaVentas[[#This Row],[Precio_unitario]]="","PENDIENTE",TablaVentas[[#This Row],[Unidades]]*TablaVentas[[#This Row],[Precio_unitario]]*(1-TablaVentas[[#This Row],[Descuento_pct]]))</f>
        <v>4981.53</v>
      </c>
      <c r="P2074" s="6" t="n">
        <f aca="false">IF(TablaVentas[[#This Row],[Costo_unitario]]="","PENDIENTE",TablaVentas[[#This Row],[Unidades]]*TablaVentas[[#This Row],[Costo_unitario]])</f>
        <v>3065.66</v>
      </c>
      <c r="Q2074" s="6" t="n">
        <f aca="false">IF(OR(TablaVentas[[#This Row],[Ingreso_neto]]="PENDIENTE",TablaVentas[[#This Row],[Costo_total]]="PENDIENTE"),"PENDIENTE",TablaVentas[[#This Row],[Ingreso_neto]]-TablaVentas[[#This Row],[Costo_total]])</f>
        <v>1915.87</v>
      </c>
    </row>
    <row r="2075" customFormat="false" ht="13.5" hidden="false" customHeight="false" outlineLevel="0" collapsed="false">
      <c r="A2075" s="1" t="s">
        <v>1293</v>
      </c>
      <c r="B2075" s="1" t="n">
        <v>1</v>
      </c>
      <c r="C2075" s="5" t="n">
        <v>46197</v>
      </c>
      <c r="D2075" s="6" t="s">
        <v>44</v>
      </c>
      <c r="E2075" s="6" t="s">
        <v>284</v>
      </c>
      <c r="F2075" s="6" t="s">
        <v>73</v>
      </c>
      <c r="G2075" s="6" t="s">
        <v>57</v>
      </c>
      <c r="H2075" s="6" t="s">
        <v>89</v>
      </c>
      <c r="I2075" s="1" t="n">
        <v>1</v>
      </c>
      <c r="J2075" s="7" t="n">
        <v>6954.06</v>
      </c>
      <c r="K2075" s="8" t="n">
        <v>0</v>
      </c>
      <c r="L2075" s="7" t="n">
        <v>4858.08</v>
      </c>
      <c r="M2075" s="6" t="s">
        <v>49</v>
      </c>
      <c r="N2075" s="6" t="s">
        <v>50</v>
      </c>
      <c r="O2075" s="6" t="n">
        <f aca="false">IF(TablaVentas[[#This Row],[Precio_unitario]]="","PENDIENTE",TablaVentas[[#This Row],[Unidades]]*TablaVentas[[#This Row],[Precio_unitario]]*(1-TablaVentas[[#This Row],[Descuento_pct]]))</f>
        <v>6954.06</v>
      </c>
      <c r="P2075" s="6" t="n">
        <f aca="false">IF(TablaVentas[[#This Row],[Costo_unitario]]="","PENDIENTE",TablaVentas[[#This Row],[Unidades]]*TablaVentas[[#This Row],[Costo_unitario]])</f>
        <v>4858.08</v>
      </c>
      <c r="Q2075" s="6" t="n">
        <f aca="false">IF(OR(TablaVentas[[#This Row],[Ingreso_neto]]="PENDIENTE",TablaVentas[[#This Row],[Costo_total]]="PENDIENTE"),"PENDIENTE",TablaVentas[[#This Row],[Ingreso_neto]]-TablaVentas[[#This Row],[Costo_total]])</f>
        <v>2095.98</v>
      </c>
    </row>
    <row r="2076" customFormat="false" ht="13.5" hidden="false" customHeight="false" outlineLevel="0" collapsed="false">
      <c r="A2076" s="1" t="s">
        <v>1293</v>
      </c>
      <c r="B2076" s="1" t="n">
        <v>2</v>
      </c>
      <c r="C2076" s="5" t="n">
        <v>46197</v>
      </c>
      <c r="D2076" s="6" t="s">
        <v>44</v>
      </c>
      <c r="E2076" s="6" t="s">
        <v>374</v>
      </c>
      <c r="F2076" s="6" t="s">
        <v>73</v>
      </c>
      <c r="G2076" s="6" t="s">
        <v>57</v>
      </c>
      <c r="H2076" s="6" t="s">
        <v>89</v>
      </c>
      <c r="I2076" s="1" t="n">
        <v>1</v>
      </c>
      <c r="J2076" s="7" t="n">
        <v>9653.27</v>
      </c>
      <c r="K2076" s="8" t="n">
        <v>0</v>
      </c>
      <c r="L2076" s="7" t="n">
        <v>5079.43</v>
      </c>
      <c r="M2076" s="6" t="s">
        <v>49</v>
      </c>
      <c r="N2076" s="6" t="s">
        <v>52</v>
      </c>
      <c r="O2076" s="6" t="n">
        <f aca="false">IF(TablaVentas[[#This Row],[Precio_unitario]]="","PENDIENTE",TablaVentas[[#This Row],[Unidades]]*TablaVentas[[#This Row],[Precio_unitario]]*(1-TablaVentas[[#This Row],[Descuento_pct]]))</f>
        <v>9653.27</v>
      </c>
      <c r="P2076" s="6" t="n">
        <f aca="false">IF(TablaVentas[[#This Row],[Costo_unitario]]="","PENDIENTE",TablaVentas[[#This Row],[Unidades]]*TablaVentas[[#This Row],[Costo_unitario]])</f>
        <v>5079.43</v>
      </c>
      <c r="Q2076" s="6" t="n">
        <f aca="false">IF(OR(TablaVentas[[#This Row],[Ingreso_neto]]="PENDIENTE",TablaVentas[[#This Row],[Costo_total]]="PENDIENTE"),"PENDIENTE",TablaVentas[[#This Row],[Ingreso_neto]]-TablaVentas[[#This Row],[Costo_total]])</f>
        <v>4573.84</v>
      </c>
    </row>
    <row r="2077" customFormat="false" ht="13.5" hidden="false" customHeight="false" outlineLevel="0" collapsed="false">
      <c r="A2077" s="1" t="s">
        <v>1293</v>
      </c>
      <c r="B2077" s="1" t="n">
        <v>3</v>
      </c>
      <c r="C2077" s="5" t="n">
        <v>46197</v>
      </c>
      <c r="D2077" s="6" t="s">
        <v>44</v>
      </c>
      <c r="E2077" s="6" t="s">
        <v>45</v>
      </c>
      <c r="F2077" s="6" t="s">
        <v>73</v>
      </c>
      <c r="G2077" s="6" t="s">
        <v>57</v>
      </c>
      <c r="H2077" s="6" t="s">
        <v>89</v>
      </c>
      <c r="I2077" s="1" t="n">
        <v>1</v>
      </c>
      <c r="J2077" s="7" t="n">
        <v>5417.7</v>
      </c>
      <c r="K2077" s="8" t="n">
        <v>0.15</v>
      </c>
      <c r="L2077" s="7" t="n">
        <v>3832.69</v>
      </c>
      <c r="M2077" s="6" t="s">
        <v>123</v>
      </c>
      <c r="N2077" s="6" t="s">
        <v>59</v>
      </c>
      <c r="O2077" s="6" t="n">
        <f aca="false">IF(TablaVentas[[#This Row],[Precio_unitario]]="","PENDIENTE",TablaVentas[[#This Row],[Unidades]]*TablaVentas[[#This Row],[Precio_unitario]]*(1-TablaVentas[[#This Row],[Descuento_pct]]))</f>
        <v>4605.045</v>
      </c>
      <c r="P2077" s="6" t="n">
        <f aca="false">IF(TablaVentas[[#This Row],[Costo_unitario]]="","PENDIENTE",TablaVentas[[#This Row],[Unidades]]*TablaVentas[[#This Row],[Costo_unitario]])</f>
        <v>3832.69</v>
      </c>
      <c r="Q2077" s="6" t="n">
        <f aca="false">IF(OR(TablaVentas[[#This Row],[Ingreso_neto]]="PENDIENTE",TablaVentas[[#This Row],[Costo_total]]="PENDIENTE"),"PENDIENTE",TablaVentas[[#This Row],[Ingreso_neto]]-TablaVentas[[#This Row],[Costo_total]])</f>
        <v>772.355</v>
      </c>
    </row>
    <row r="2078" customFormat="false" ht="13.5" hidden="false" customHeight="false" outlineLevel="0" collapsed="false">
      <c r="A2078" s="1" t="s">
        <v>1293</v>
      </c>
      <c r="B2078" s="1" t="n">
        <v>4</v>
      </c>
      <c r="C2078" s="5" t="n">
        <v>46197</v>
      </c>
      <c r="D2078" s="6" t="s">
        <v>44</v>
      </c>
      <c r="E2078" s="6" t="s">
        <v>97</v>
      </c>
      <c r="F2078" s="6" t="s">
        <v>73</v>
      </c>
      <c r="G2078" s="6" t="s">
        <v>57</v>
      </c>
      <c r="H2078" s="6" t="s">
        <v>89</v>
      </c>
      <c r="I2078" s="1" t="n">
        <v>5</v>
      </c>
      <c r="J2078" s="7" t="n">
        <v>10504.01</v>
      </c>
      <c r="K2078" s="8" t="n">
        <v>0.15</v>
      </c>
      <c r="L2078" s="7" t="n">
        <v>8174.87</v>
      </c>
      <c r="M2078" s="6" t="s">
        <v>49</v>
      </c>
      <c r="N2078" s="6" t="s">
        <v>52</v>
      </c>
      <c r="O2078" s="6" t="n">
        <f aca="false">IF(TablaVentas[[#This Row],[Precio_unitario]]="","PENDIENTE",TablaVentas[[#This Row],[Unidades]]*TablaVentas[[#This Row],[Precio_unitario]]*(1-TablaVentas[[#This Row],[Descuento_pct]]))</f>
        <v>44642.0425</v>
      </c>
      <c r="P2078" s="6" t="n">
        <f aca="false">IF(TablaVentas[[#This Row],[Costo_unitario]]="","PENDIENTE",TablaVentas[[#This Row],[Unidades]]*TablaVentas[[#This Row],[Costo_unitario]])</f>
        <v>40874.35</v>
      </c>
      <c r="Q2078" s="6" t="n">
        <f aca="false">IF(OR(TablaVentas[[#This Row],[Ingreso_neto]]="PENDIENTE",TablaVentas[[#This Row],[Costo_total]]="PENDIENTE"),"PENDIENTE",TablaVentas[[#This Row],[Ingreso_neto]]-TablaVentas[[#This Row],[Costo_total]])</f>
        <v>3767.6925</v>
      </c>
    </row>
    <row r="2079" customFormat="false" ht="13.5" hidden="false" customHeight="false" outlineLevel="0" collapsed="false">
      <c r="A2079" s="1" t="s">
        <v>1293</v>
      </c>
      <c r="B2079" s="1" t="n">
        <v>5</v>
      </c>
      <c r="C2079" s="5" t="n">
        <v>46197</v>
      </c>
      <c r="D2079" s="6" t="s">
        <v>44</v>
      </c>
      <c r="E2079" s="6" t="s">
        <v>130</v>
      </c>
      <c r="F2079" s="6" t="s">
        <v>73</v>
      </c>
      <c r="G2079" s="6" t="s">
        <v>57</v>
      </c>
      <c r="H2079" s="6" t="s">
        <v>89</v>
      </c>
      <c r="I2079" s="1" t="n">
        <v>1</v>
      </c>
      <c r="J2079" s="7" t="n">
        <v>19247.29</v>
      </c>
      <c r="K2079" s="8" t="n">
        <v>0.2</v>
      </c>
      <c r="L2079" s="7" t="n">
        <v>12679.41</v>
      </c>
      <c r="M2079" s="6" t="s">
        <v>49</v>
      </c>
      <c r="N2079" s="6" t="s">
        <v>67</v>
      </c>
      <c r="O2079" s="6" t="n">
        <f aca="false">IF(TablaVentas[[#This Row],[Precio_unitario]]="","PENDIENTE",TablaVentas[[#This Row],[Unidades]]*TablaVentas[[#This Row],[Precio_unitario]]*(1-TablaVentas[[#This Row],[Descuento_pct]]))</f>
        <v>15397.832</v>
      </c>
      <c r="P2079" s="6" t="n">
        <f aca="false">IF(TablaVentas[[#This Row],[Costo_unitario]]="","PENDIENTE",TablaVentas[[#This Row],[Unidades]]*TablaVentas[[#This Row],[Costo_unitario]])</f>
        <v>12679.41</v>
      </c>
      <c r="Q2079" s="6" t="n">
        <f aca="false">IF(OR(TablaVentas[[#This Row],[Ingreso_neto]]="PENDIENTE",TablaVentas[[#This Row],[Costo_total]]="PENDIENTE"),"PENDIENTE",TablaVentas[[#This Row],[Ingreso_neto]]-TablaVentas[[#This Row],[Costo_total]])</f>
        <v>2718.422</v>
      </c>
    </row>
    <row r="2080" customFormat="false" ht="13.5" hidden="false" customHeight="false" outlineLevel="0" collapsed="false">
      <c r="A2080" s="1" t="s">
        <v>1294</v>
      </c>
      <c r="B2080" s="1" t="n">
        <v>1</v>
      </c>
      <c r="C2080" s="5" t="n">
        <v>46036</v>
      </c>
      <c r="D2080" s="6" t="s">
        <v>521</v>
      </c>
      <c r="E2080" s="6" t="s">
        <v>147</v>
      </c>
      <c r="F2080" s="6" t="s">
        <v>84</v>
      </c>
      <c r="G2080" s="6" t="s">
        <v>64</v>
      </c>
      <c r="H2080" s="6" t="s">
        <v>48</v>
      </c>
      <c r="I2080" s="1" t="n">
        <v>3</v>
      </c>
      <c r="J2080" s="7" t="n">
        <v>3029.59</v>
      </c>
      <c r="K2080" s="8" t="n">
        <v>0.15</v>
      </c>
      <c r="L2080" s="7" t="n">
        <v>2427.63</v>
      </c>
      <c r="M2080" s="6" t="s">
        <v>49</v>
      </c>
      <c r="N2080" s="6" t="s">
        <v>50</v>
      </c>
      <c r="O2080" s="6" t="n">
        <f aca="false">IF(TablaVentas[[#This Row],[Precio_unitario]]="","PENDIENTE",TablaVentas[[#This Row],[Unidades]]*TablaVentas[[#This Row],[Precio_unitario]]*(1-TablaVentas[[#This Row],[Descuento_pct]]))</f>
        <v>7725.4545</v>
      </c>
      <c r="P2080" s="6" t="n">
        <f aca="false">IF(TablaVentas[[#This Row],[Costo_unitario]]="","PENDIENTE",TablaVentas[[#This Row],[Unidades]]*TablaVentas[[#This Row],[Costo_unitario]])</f>
        <v>7282.89</v>
      </c>
      <c r="Q2080" s="6" t="n">
        <f aca="false">IF(OR(TablaVentas[[#This Row],[Ingreso_neto]]="PENDIENTE",TablaVentas[[#This Row],[Costo_total]]="PENDIENTE"),"PENDIENTE",TablaVentas[[#This Row],[Ingreso_neto]]-TablaVentas[[#This Row],[Costo_total]])</f>
        <v>442.5645</v>
      </c>
    </row>
    <row r="2081" customFormat="false" ht="13.5" hidden="false" customHeight="false" outlineLevel="0" collapsed="false">
      <c r="A2081" s="1" t="s">
        <v>1295</v>
      </c>
      <c r="B2081" s="1" t="n">
        <v>1</v>
      </c>
      <c r="C2081" s="5" t="n">
        <v>46219</v>
      </c>
      <c r="D2081" s="6" t="s">
        <v>157</v>
      </c>
      <c r="E2081" s="6" t="s">
        <v>62</v>
      </c>
      <c r="F2081" s="6" t="s">
        <v>46</v>
      </c>
      <c r="G2081" s="6" t="s">
        <v>47</v>
      </c>
      <c r="H2081" s="6" t="s">
        <v>80</v>
      </c>
      <c r="I2081" s="1" t="n">
        <v>1</v>
      </c>
      <c r="J2081" s="7" t="n">
        <v>11884.34</v>
      </c>
      <c r="K2081" s="8" t="n">
        <v>0</v>
      </c>
      <c r="L2081" s="7" t="n">
        <v>6407.85</v>
      </c>
      <c r="M2081" s="6" t="s">
        <v>49</v>
      </c>
      <c r="N2081" s="6" t="s">
        <v>52</v>
      </c>
      <c r="O2081" s="6" t="n">
        <f aca="false">IF(TablaVentas[[#This Row],[Precio_unitario]]="","PENDIENTE",TablaVentas[[#This Row],[Unidades]]*TablaVentas[[#This Row],[Precio_unitario]]*(1-TablaVentas[[#This Row],[Descuento_pct]]))</f>
        <v>11884.34</v>
      </c>
      <c r="P2081" s="6" t="n">
        <f aca="false">IF(TablaVentas[[#This Row],[Costo_unitario]]="","PENDIENTE",TablaVentas[[#This Row],[Unidades]]*TablaVentas[[#This Row],[Costo_unitario]])</f>
        <v>6407.85</v>
      </c>
      <c r="Q2081" s="6" t="n">
        <f aca="false">IF(OR(TablaVentas[[#This Row],[Ingreso_neto]]="PENDIENTE",TablaVentas[[#This Row],[Costo_total]]="PENDIENTE"),"PENDIENTE",TablaVentas[[#This Row],[Ingreso_neto]]-TablaVentas[[#This Row],[Costo_total]])</f>
        <v>5476.49</v>
      </c>
    </row>
    <row r="2082" customFormat="false" ht="13.5" hidden="false" customHeight="false" outlineLevel="0" collapsed="false">
      <c r="A2082" s="1" t="s">
        <v>1296</v>
      </c>
      <c r="B2082" s="1" t="n">
        <v>1</v>
      </c>
      <c r="C2082" s="5" t="n">
        <v>46220</v>
      </c>
      <c r="D2082" s="6" t="s">
        <v>331</v>
      </c>
      <c r="E2082" s="6" t="s">
        <v>182</v>
      </c>
      <c r="F2082" s="6" t="s">
        <v>63</v>
      </c>
      <c r="G2082" s="6" t="s">
        <v>57</v>
      </c>
      <c r="H2082" s="6" t="s">
        <v>89</v>
      </c>
      <c r="I2082" s="1" t="n">
        <v>3</v>
      </c>
      <c r="J2082" s="7" t="n">
        <v>2921.79</v>
      </c>
      <c r="K2082" s="8" t="n">
        <v>0</v>
      </c>
      <c r="L2082" s="7" t="n">
        <v>1857.39</v>
      </c>
      <c r="M2082" s="6" t="s">
        <v>49</v>
      </c>
      <c r="N2082" s="6" t="s">
        <v>50</v>
      </c>
      <c r="O2082" s="6" t="n">
        <f aca="false">IF(TablaVentas[[#This Row],[Precio_unitario]]="","PENDIENTE",TablaVentas[[#This Row],[Unidades]]*TablaVentas[[#This Row],[Precio_unitario]]*(1-TablaVentas[[#This Row],[Descuento_pct]]))</f>
        <v>8765.37</v>
      </c>
      <c r="P2082" s="6" t="n">
        <f aca="false">IF(TablaVentas[[#This Row],[Costo_unitario]]="","PENDIENTE",TablaVentas[[#This Row],[Unidades]]*TablaVentas[[#This Row],[Costo_unitario]])</f>
        <v>5572.17</v>
      </c>
      <c r="Q2082" s="6" t="n">
        <f aca="false">IF(OR(TablaVentas[[#This Row],[Ingreso_neto]]="PENDIENTE",TablaVentas[[#This Row],[Costo_total]]="PENDIENTE"),"PENDIENTE",TablaVentas[[#This Row],[Ingreso_neto]]-TablaVentas[[#This Row],[Costo_total]])</f>
        <v>3193.2</v>
      </c>
    </row>
    <row r="2083" customFormat="false" ht="13.5" hidden="false" customHeight="false" outlineLevel="0" collapsed="false">
      <c r="A2083" s="1" t="s">
        <v>1296</v>
      </c>
      <c r="B2083" s="1" t="n">
        <v>2</v>
      </c>
      <c r="C2083" s="5" t="n">
        <v>46220</v>
      </c>
      <c r="D2083" s="6" t="s">
        <v>331</v>
      </c>
      <c r="E2083" s="6" t="s">
        <v>187</v>
      </c>
      <c r="F2083" s="6" t="s">
        <v>63</v>
      </c>
      <c r="G2083" s="6" t="s">
        <v>57</v>
      </c>
      <c r="H2083" s="6" t="s">
        <v>89</v>
      </c>
      <c r="I2083" s="1" t="n">
        <v>2</v>
      </c>
      <c r="J2083" s="7" t="n">
        <v>5986.87</v>
      </c>
      <c r="K2083" s="8" t="n">
        <v>0</v>
      </c>
      <c r="L2083" s="7" t="n">
        <v>3824.92</v>
      </c>
      <c r="M2083" s="6" t="s">
        <v>49</v>
      </c>
      <c r="N2083" s="6" t="s">
        <v>67</v>
      </c>
      <c r="O2083" s="6" t="n">
        <f aca="false">IF(TablaVentas[[#This Row],[Precio_unitario]]="","PENDIENTE",TablaVentas[[#This Row],[Unidades]]*TablaVentas[[#This Row],[Precio_unitario]]*(1-TablaVentas[[#This Row],[Descuento_pct]]))</f>
        <v>11973.74</v>
      </c>
      <c r="P2083" s="6" t="n">
        <f aca="false">IF(TablaVentas[[#This Row],[Costo_unitario]]="","PENDIENTE",TablaVentas[[#This Row],[Unidades]]*TablaVentas[[#This Row],[Costo_unitario]])</f>
        <v>7649.84</v>
      </c>
      <c r="Q2083" s="6" t="n">
        <f aca="false">IF(OR(TablaVentas[[#This Row],[Ingreso_neto]]="PENDIENTE",TablaVentas[[#This Row],[Costo_total]]="PENDIENTE"),"PENDIENTE",TablaVentas[[#This Row],[Ingreso_neto]]-TablaVentas[[#This Row],[Costo_total]])</f>
        <v>4323.9</v>
      </c>
    </row>
    <row r="2084" customFormat="false" ht="13.5" hidden="false" customHeight="false" outlineLevel="0" collapsed="false">
      <c r="A2084" s="1" t="s">
        <v>1296</v>
      </c>
      <c r="B2084" s="1" t="n">
        <v>3</v>
      </c>
      <c r="C2084" s="5" t="n">
        <v>46220</v>
      </c>
      <c r="D2084" s="6" t="s">
        <v>331</v>
      </c>
      <c r="E2084" s="6" t="s">
        <v>91</v>
      </c>
      <c r="F2084" s="6" t="s">
        <v>63</v>
      </c>
      <c r="G2084" s="6" t="s">
        <v>57</v>
      </c>
      <c r="H2084" s="6" t="s">
        <v>89</v>
      </c>
      <c r="I2084" s="1" t="n">
        <v>1</v>
      </c>
      <c r="J2084" s="7" t="n">
        <v>14709.18</v>
      </c>
      <c r="K2084" s="8" t="n">
        <v>0.05</v>
      </c>
      <c r="L2084" s="7" t="n">
        <v>8576.05</v>
      </c>
      <c r="M2084" s="6" t="s">
        <v>49</v>
      </c>
      <c r="N2084" s="6" t="s">
        <v>52</v>
      </c>
      <c r="O2084" s="6" t="n">
        <f aca="false">IF(TablaVentas[[#This Row],[Precio_unitario]]="","PENDIENTE",TablaVentas[[#This Row],[Unidades]]*TablaVentas[[#This Row],[Precio_unitario]]*(1-TablaVentas[[#This Row],[Descuento_pct]]))</f>
        <v>13973.721</v>
      </c>
      <c r="P2084" s="6" t="n">
        <f aca="false">IF(TablaVentas[[#This Row],[Costo_unitario]]="","PENDIENTE",TablaVentas[[#This Row],[Unidades]]*TablaVentas[[#This Row],[Costo_unitario]])</f>
        <v>8576.05</v>
      </c>
      <c r="Q2084" s="6" t="n">
        <f aca="false">IF(OR(TablaVentas[[#This Row],[Ingreso_neto]]="PENDIENTE",TablaVentas[[#This Row],[Costo_total]]="PENDIENTE"),"PENDIENTE",TablaVentas[[#This Row],[Ingreso_neto]]-TablaVentas[[#This Row],[Costo_total]])</f>
        <v>5397.671</v>
      </c>
    </row>
    <row r="2085" customFormat="false" ht="13.5" hidden="false" customHeight="false" outlineLevel="0" collapsed="false">
      <c r="A2085" s="1" t="s">
        <v>1297</v>
      </c>
      <c r="B2085" s="1" t="n">
        <v>1</v>
      </c>
      <c r="C2085" s="5" t="n">
        <v>46109</v>
      </c>
      <c r="D2085" s="6" t="s">
        <v>169</v>
      </c>
      <c r="E2085" s="6" t="s">
        <v>142</v>
      </c>
      <c r="F2085" s="6" t="s">
        <v>63</v>
      </c>
      <c r="G2085" s="6" t="s">
        <v>57</v>
      </c>
      <c r="H2085" s="6" t="s">
        <v>89</v>
      </c>
      <c r="I2085" s="1" t="n">
        <v>1</v>
      </c>
      <c r="J2085" s="7" t="n">
        <v>2122.79</v>
      </c>
      <c r="K2085" s="8" t="n">
        <v>0.15</v>
      </c>
      <c r="L2085" s="7" t="n">
        <v>1529.93</v>
      </c>
      <c r="M2085" s="6" t="s">
        <v>49</v>
      </c>
      <c r="N2085" s="6" t="s">
        <v>59</v>
      </c>
      <c r="O2085" s="6" t="n">
        <f aca="false">IF(TablaVentas[[#This Row],[Precio_unitario]]="","PENDIENTE",TablaVentas[[#This Row],[Unidades]]*TablaVentas[[#This Row],[Precio_unitario]]*(1-TablaVentas[[#This Row],[Descuento_pct]]))</f>
        <v>1804.3715</v>
      </c>
      <c r="P2085" s="6" t="n">
        <f aca="false">IF(TablaVentas[[#This Row],[Costo_unitario]]="","PENDIENTE",TablaVentas[[#This Row],[Unidades]]*TablaVentas[[#This Row],[Costo_unitario]])</f>
        <v>1529.93</v>
      </c>
      <c r="Q2085" s="6" t="n">
        <f aca="false">IF(OR(TablaVentas[[#This Row],[Ingreso_neto]]="PENDIENTE",TablaVentas[[#This Row],[Costo_total]]="PENDIENTE"),"PENDIENTE",TablaVentas[[#This Row],[Ingreso_neto]]-TablaVentas[[#This Row],[Costo_total]])</f>
        <v>274.4415</v>
      </c>
    </row>
    <row r="2086" customFormat="false" ht="13.5" hidden="false" customHeight="false" outlineLevel="0" collapsed="false">
      <c r="A2086" s="1" t="s">
        <v>1298</v>
      </c>
      <c r="B2086" s="1" t="n">
        <v>1</v>
      </c>
      <c r="C2086" s="5" t="n">
        <v>46229</v>
      </c>
      <c r="D2086" s="6" t="s">
        <v>637</v>
      </c>
      <c r="E2086" s="6" t="s">
        <v>300</v>
      </c>
      <c r="F2086" s="6" t="s">
        <v>46</v>
      </c>
      <c r="G2086" s="6" t="s">
        <v>57</v>
      </c>
      <c r="H2086" s="6" t="s">
        <v>191</v>
      </c>
      <c r="I2086" s="1" t="n">
        <v>12</v>
      </c>
      <c r="J2086" s="7" t="n">
        <v>1224.66</v>
      </c>
      <c r="K2086" s="8" t="n">
        <v>0</v>
      </c>
      <c r="L2086" s="7" t="n">
        <v>936.52</v>
      </c>
      <c r="M2086" s="6" t="s">
        <v>49</v>
      </c>
      <c r="N2086" s="6" t="s">
        <v>52</v>
      </c>
      <c r="O2086" s="6" t="n">
        <f aca="false">IF(TablaVentas[[#This Row],[Precio_unitario]]="","PENDIENTE",TablaVentas[[#This Row],[Unidades]]*TablaVentas[[#This Row],[Precio_unitario]]*(1-TablaVentas[[#This Row],[Descuento_pct]]))</f>
        <v>14695.92</v>
      </c>
      <c r="P2086" s="6" t="n">
        <f aca="false">IF(TablaVentas[[#This Row],[Costo_unitario]]="","PENDIENTE",TablaVentas[[#This Row],[Unidades]]*TablaVentas[[#This Row],[Costo_unitario]])</f>
        <v>11238.24</v>
      </c>
      <c r="Q2086" s="6" t="n">
        <f aca="false">IF(OR(TablaVentas[[#This Row],[Ingreso_neto]]="PENDIENTE",TablaVentas[[#This Row],[Costo_total]]="PENDIENTE"),"PENDIENTE",TablaVentas[[#This Row],[Ingreso_neto]]-TablaVentas[[#This Row],[Costo_total]])</f>
        <v>3457.68</v>
      </c>
    </row>
    <row r="2087" customFormat="false" ht="13.5" hidden="false" customHeight="false" outlineLevel="0" collapsed="false">
      <c r="A2087" s="1" t="s">
        <v>1298</v>
      </c>
      <c r="B2087" s="1" t="n">
        <v>2</v>
      </c>
      <c r="C2087" s="5" t="n">
        <v>46229</v>
      </c>
      <c r="D2087" s="6" t="s">
        <v>637</v>
      </c>
      <c r="E2087" s="6" t="s">
        <v>110</v>
      </c>
      <c r="F2087" s="6" t="s">
        <v>46</v>
      </c>
      <c r="G2087" s="6" t="s">
        <v>57</v>
      </c>
      <c r="H2087" s="6" t="s">
        <v>191</v>
      </c>
      <c r="I2087" s="1" t="n">
        <v>2</v>
      </c>
      <c r="J2087" s="7" t="n">
        <v>12277.55</v>
      </c>
      <c r="K2087" s="8" t="n">
        <v>0.15</v>
      </c>
      <c r="L2087" s="7" t="n">
        <v>7549.71</v>
      </c>
      <c r="M2087" s="6" t="s">
        <v>49</v>
      </c>
      <c r="N2087" s="6" t="s">
        <v>50</v>
      </c>
      <c r="O2087" s="6" t="n">
        <f aca="false">IF(TablaVentas[[#This Row],[Precio_unitario]]="","PENDIENTE",TablaVentas[[#This Row],[Unidades]]*TablaVentas[[#This Row],[Precio_unitario]]*(1-TablaVentas[[#This Row],[Descuento_pct]]))</f>
        <v>20871.835</v>
      </c>
      <c r="P2087" s="6" t="n">
        <f aca="false">IF(TablaVentas[[#This Row],[Costo_unitario]]="","PENDIENTE",TablaVentas[[#This Row],[Unidades]]*TablaVentas[[#This Row],[Costo_unitario]])</f>
        <v>15099.42</v>
      </c>
      <c r="Q2087" s="6" t="n">
        <f aca="false">IF(OR(TablaVentas[[#This Row],[Ingreso_neto]]="PENDIENTE",TablaVentas[[#This Row],[Costo_total]]="PENDIENTE"),"PENDIENTE",TablaVentas[[#This Row],[Ingreso_neto]]-TablaVentas[[#This Row],[Costo_total]])</f>
        <v>5772.415</v>
      </c>
    </row>
    <row r="2088" customFormat="false" ht="13.5" hidden="false" customHeight="false" outlineLevel="0" collapsed="false">
      <c r="A2088" s="1" t="s">
        <v>1298</v>
      </c>
      <c r="B2088" s="1" t="n">
        <v>3</v>
      </c>
      <c r="C2088" s="5" t="n">
        <v>46229</v>
      </c>
      <c r="D2088" s="6" t="s">
        <v>637</v>
      </c>
      <c r="E2088" s="6" t="s">
        <v>200</v>
      </c>
      <c r="F2088" s="6" t="s">
        <v>46</v>
      </c>
      <c r="G2088" s="6" t="s">
        <v>57</v>
      </c>
      <c r="H2088" s="6" t="s">
        <v>191</v>
      </c>
      <c r="I2088" s="1" t="n">
        <v>3</v>
      </c>
      <c r="J2088" s="7" t="n">
        <v>10035.79</v>
      </c>
      <c r="K2088" s="8" t="n">
        <v>0</v>
      </c>
      <c r="L2088" s="7" t="n">
        <v>5811.72</v>
      </c>
      <c r="M2088" s="6" t="s">
        <v>49</v>
      </c>
      <c r="N2088" s="6" t="s">
        <v>50</v>
      </c>
      <c r="O2088" s="6" t="n">
        <f aca="false">IF(TablaVentas[[#This Row],[Precio_unitario]]="","PENDIENTE",TablaVentas[[#This Row],[Unidades]]*TablaVentas[[#This Row],[Precio_unitario]]*(1-TablaVentas[[#This Row],[Descuento_pct]]))</f>
        <v>30107.37</v>
      </c>
      <c r="P2088" s="6" t="n">
        <f aca="false">IF(TablaVentas[[#This Row],[Costo_unitario]]="","PENDIENTE",TablaVentas[[#This Row],[Unidades]]*TablaVentas[[#This Row],[Costo_unitario]])</f>
        <v>17435.16</v>
      </c>
      <c r="Q2088" s="6" t="n">
        <f aca="false">IF(OR(TablaVentas[[#This Row],[Ingreso_neto]]="PENDIENTE",TablaVentas[[#This Row],[Costo_total]]="PENDIENTE"),"PENDIENTE",TablaVentas[[#This Row],[Ingreso_neto]]-TablaVentas[[#This Row],[Costo_total]])</f>
        <v>12672.21</v>
      </c>
    </row>
    <row r="2089" customFormat="false" ht="13.5" hidden="false" customHeight="false" outlineLevel="0" collapsed="false">
      <c r="A2089" s="1" t="s">
        <v>1298</v>
      </c>
      <c r="B2089" s="1" t="n">
        <v>4</v>
      </c>
      <c r="C2089" s="5" t="n">
        <v>46229</v>
      </c>
      <c r="D2089" s="6" t="s">
        <v>637</v>
      </c>
      <c r="E2089" s="6" t="s">
        <v>130</v>
      </c>
      <c r="F2089" s="6" t="s">
        <v>46</v>
      </c>
      <c r="G2089" s="6" t="s">
        <v>57</v>
      </c>
      <c r="H2089" s="6" t="s">
        <v>191</v>
      </c>
      <c r="I2089" s="1" t="n">
        <v>8</v>
      </c>
      <c r="J2089" s="7" t="n">
        <v>16909.58</v>
      </c>
      <c r="K2089" s="8" t="n">
        <v>0</v>
      </c>
      <c r="L2089" s="7" t="n">
        <v>12679.41</v>
      </c>
      <c r="M2089" s="6" t="s">
        <v>49</v>
      </c>
      <c r="N2089" s="6" t="s">
        <v>67</v>
      </c>
      <c r="O2089" s="6" t="n">
        <f aca="false">IF(TablaVentas[[#This Row],[Precio_unitario]]="","PENDIENTE",TablaVentas[[#This Row],[Unidades]]*TablaVentas[[#This Row],[Precio_unitario]]*(1-TablaVentas[[#This Row],[Descuento_pct]]))</f>
        <v>135276.64</v>
      </c>
      <c r="P2089" s="6" t="n">
        <f aca="false">IF(TablaVentas[[#This Row],[Costo_unitario]]="","PENDIENTE",TablaVentas[[#This Row],[Unidades]]*TablaVentas[[#This Row],[Costo_unitario]])</f>
        <v>101435.28</v>
      </c>
      <c r="Q2089" s="6" t="n">
        <f aca="false">IF(OR(TablaVentas[[#This Row],[Ingreso_neto]]="PENDIENTE",TablaVentas[[#This Row],[Costo_total]]="PENDIENTE"),"PENDIENTE",TablaVentas[[#This Row],[Ingreso_neto]]-TablaVentas[[#This Row],[Costo_total]])</f>
        <v>33841.36</v>
      </c>
    </row>
    <row r="2090" customFormat="false" ht="13.5" hidden="false" customHeight="false" outlineLevel="0" collapsed="false">
      <c r="A2090" s="1" t="s">
        <v>1299</v>
      </c>
      <c r="B2090" s="1" t="n">
        <v>1</v>
      </c>
      <c r="C2090" s="5" t="n">
        <v>46205</v>
      </c>
      <c r="D2090" s="6" t="s">
        <v>481</v>
      </c>
      <c r="E2090" s="6" t="s">
        <v>182</v>
      </c>
      <c r="F2090" s="6" t="s">
        <v>84</v>
      </c>
      <c r="G2090" s="6" t="s">
        <v>57</v>
      </c>
      <c r="H2090" s="6" t="s">
        <v>80</v>
      </c>
      <c r="I2090" s="1" t="n">
        <v>3</v>
      </c>
      <c r="J2090" s="7" t="n">
        <v>2967.3</v>
      </c>
      <c r="K2090" s="8" t="n">
        <v>0</v>
      </c>
      <c r="L2090" s="7" t="n">
        <v>1857.39</v>
      </c>
      <c r="M2090" s="6" t="s">
        <v>49</v>
      </c>
      <c r="N2090" s="6" t="s">
        <v>52</v>
      </c>
      <c r="O2090" s="6" t="n">
        <f aca="false">IF(TablaVentas[[#This Row],[Precio_unitario]]="","PENDIENTE",TablaVentas[[#This Row],[Unidades]]*TablaVentas[[#This Row],[Precio_unitario]]*(1-TablaVentas[[#This Row],[Descuento_pct]]))</f>
        <v>8901.9</v>
      </c>
      <c r="P2090" s="6" t="n">
        <f aca="false">IF(TablaVentas[[#This Row],[Costo_unitario]]="","PENDIENTE",TablaVentas[[#This Row],[Unidades]]*TablaVentas[[#This Row],[Costo_unitario]])</f>
        <v>5572.17</v>
      </c>
      <c r="Q2090" s="6" t="n">
        <f aca="false">IF(OR(TablaVentas[[#This Row],[Ingreso_neto]]="PENDIENTE",TablaVentas[[#This Row],[Costo_total]]="PENDIENTE"),"PENDIENTE",TablaVentas[[#This Row],[Ingreso_neto]]-TablaVentas[[#This Row],[Costo_total]])</f>
        <v>3329.73</v>
      </c>
    </row>
    <row r="2091" customFormat="false" ht="13.5" hidden="false" customHeight="false" outlineLevel="0" collapsed="false">
      <c r="A2091" s="1" t="s">
        <v>1299</v>
      </c>
      <c r="B2091" s="1" t="n">
        <v>2</v>
      </c>
      <c r="C2091" s="5" t="n">
        <v>46205</v>
      </c>
      <c r="D2091" s="6" t="s">
        <v>481</v>
      </c>
      <c r="E2091" s="6" t="s">
        <v>90</v>
      </c>
      <c r="F2091" s="6" t="s">
        <v>84</v>
      </c>
      <c r="G2091" s="6" t="s">
        <v>57</v>
      </c>
      <c r="H2091" s="6" t="s">
        <v>80</v>
      </c>
      <c r="I2091" s="1" t="n">
        <v>1</v>
      </c>
      <c r="J2091" s="7" t="n">
        <v>16434.3</v>
      </c>
      <c r="K2091" s="8" t="n">
        <v>0.1</v>
      </c>
      <c r="L2091" s="7" t="n">
        <v>12723.77</v>
      </c>
      <c r="M2091" s="6" t="s">
        <v>49</v>
      </c>
      <c r="N2091" s="6" t="s">
        <v>67</v>
      </c>
      <c r="O2091" s="6" t="n">
        <f aca="false">IF(TablaVentas[[#This Row],[Precio_unitario]]="","PENDIENTE",TablaVentas[[#This Row],[Unidades]]*TablaVentas[[#This Row],[Precio_unitario]]*(1-TablaVentas[[#This Row],[Descuento_pct]]))</f>
        <v>14790.87</v>
      </c>
      <c r="P2091" s="6" t="n">
        <f aca="false">IF(TablaVentas[[#This Row],[Costo_unitario]]="","PENDIENTE",TablaVentas[[#This Row],[Unidades]]*TablaVentas[[#This Row],[Costo_unitario]])</f>
        <v>12723.77</v>
      </c>
      <c r="Q2091" s="6" t="n">
        <f aca="false">IF(OR(TablaVentas[[#This Row],[Ingreso_neto]]="PENDIENTE",TablaVentas[[#This Row],[Costo_total]]="PENDIENTE"),"PENDIENTE",TablaVentas[[#This Row],[Ingreso_neto]]-TablaVentas[[#This Row],[Costo_total]])</f>
        <v>2067.1</v>
      </c>
    </row>
    <row r="2092" customFormat="false" ht="13.5" hidden="false" customHeight="false" outlineLevel="0" collapsed="false">
      <c r="A2092" s="1" t="s">
        <v>1299</v>
      </c>
      <c r="B2092" s="1" t="n">
        <v>3</v>
      </c>
      <c r="C2092" s="5" t="n">
        <v>46205</v>
      </c>
      <c r="D2092" s="6" t="s">
        <v>481</v>
      </c>
      <c r="E2092" s="6" t="s">
        <v>142</v>
      </c>
      <c r="F2092" s="6" t="s">
        <v>84</v>
      </c>
      <c r="G2092" s="6" t="s">
        <v>57</v>
      </c>
      <c r="H2092" s="6" t="s">
        <v>80</v>
      </c>
      <c r="I2092" s="1" t="n">
        <v>1</v>
      </c>
      <c r="J2092" s="7" t="n">
        <v>2095.39</v>
      </c>
      <c r="K2092" s="8" t="n">
        <v>0</v>
      </c>
      <c r="L2092" s="7" t="n">
        <v>1529.93</v>
      </c>
      <c r="M2092" s="6" t="s">
        <v>49</v>
      </c>
      <c r="N2092" s="6" t="s">
        <v>67</v>
      </c>
      <c r="O2092" s="6" t="n">
        <f aca="false">IF(TablaVentas[[#This Row],[Precio_unitario]]="","PENDIENTE",TablaVentas[[#This Row],[Unidades]]*TablaVentas[[#This Row],[Precio_unitario]]*(1-TablaVentas[[#This Row],[Descuento_pct]]))</f>
        <v>2095.39</v>
      </c>
      <c r="P2092" s="6" t="n">
        <f aca="false">IF(TablaVentas[[#This Row],[Costo_unitario]]="","PENDIENTE",TablaVentas[[#This Row],[Unidades]]*TablaVentas[[#This Row],[Costo_unitario]])</f>
        <v>1529.93</v>
      </c>
      <c r="Q2092" s="6" t="n">
        <f aca="false">IF(OR(TablaVentas[[#This Row],[Ingreso_neto]]="PENDIENTE",TablaVentas[[#This Row],[Costo_total]]="PENDIENTE"),"PENDIENTE",TablaVentas[[#This Row],[Ingreso_neto]]-TablaVentas[[#This Row],[Costo_total]])</f>
        <v>565.46</v>
      </c>
    </row>
    <row r="2093" customFormat="false" ht="13.5" hidden="false" customHeight="false" outlineLevel="0" collapsed="false">
      <c r="A2093" s="1" t="s">
        <v>1299</v>
      </c>
      <c r="B2093" s="1" t="n">
        <v>4</v>
      </c>
      <c r="C2093" s="5" t="n">
        <v>46205</v>
      </c>
      <c r="D2093" s="6" t="s">
        <v>481</v>
      </c>
      <c r="E2093" s="6" t="s">
        <v>116</v>
      </c>
      <c r="F2093" s="6" t="s">
        <v>84</v>
      </c>
      <c r="G2093" s="6" t="s">
        <v>57</v>
      </c>
      <c r="H2093" s="6" t="s">
        <v>80</v>
      </c>
      <c r="I2093" s="1" t="n">
        <v>3</v>
      </c>
      <c r="J2093" s="7" t="n">
        <v>14786.19</v>
      </c>
      <c r="K2093" s="8" t="n">
        <v>0.15</v>
      </c>
      <c r="L2093" s="7" t="n">
        <v>9880.77</v>
      </c>
      <c r="M2093" s="6" t="s">
        <v>49</v>
      </c>
      <c r="N2093" s="6" t="s">
        <v>50</v>
      </c>
      <c r="O2093" s="6" t="n">
        <f aca="false">IF(TablaVentas[[#This Row],[Precio_unitario]]="","PENDIENTE",TablaVentas[[#This Row],[Unidades]]*TablaVentas[[#This Row],[Precio_unitario]]*(1-TablaVentas[[#This Row],[Descuento_pct]]))</f>
        <v>37704.7845</v>
      </c>
      <c r="P2093" s="6" t="n">
        <f aca="false">IF(TablaVentas[[#This Row],[Costo_unitario]]="","PENDIENTE",TablaVentas[[#This Row],[Unidades]]*TablaVentas[[#This Row],[Costo_unitario]])</f>
        <v>29642.31</v>
      </c>
      <c r="Q2093" s="6" t="n">
        <f aca="false">IF(OR(TablaVentas[[#This Row],[Ingreso_neto]]="PENDIENTE",TablaVentas[[#This Row],[Costo_total]]="PENDIENTE"),"PENDIENTE",TablaVentas[[#This Row],[Ingreso_neto]]-TablaVentas[[#This Row],[Costo_total]])</f>
        <v>8062.4745</v>
      </c>
    </row>
    <row r="2094" customFormat="false" ht="13.5" hidden="false" customHeight="false" outlineLevel="0" collapsed="false">
      <c r="A2094" s="1" t="s">
        <v>1300</v>
      </c>
      <c r="B2094" s="1" t="n">
        <v>1</v>
      </c>
      <c r="C2094" s="5" t="n">
        <v>46053</v>
      </c>
      <c r="D2094" s="6" t="s">
        <v>232</v>
      </c>
      <c r="E2094" s="6" t="s">
        <v>96</v>
      </c>
      <c r="F2094" s="6" t="s">
        <v>63</v>
      </c>
      <c r="G2094" s="6" t="s">
        <v>57</v>
      </c>
      <c r="H2094" s="6" t="s">
        <v>89</v>
      </c>
      <c r="I2094" s="1" t="n">
        <v>1</v>
      </c>
      <c r="J2094" s="7" t="n">
        <v>11594.19</v>
      </c>
      <c r="K2094" s="8" t="n">
        <v>0</v>
      </c>
      <c r="L2094" s="7" t="n">
        <v>9118.07</v>
      </c>
      <c r="M2094" s="6" t="s">
        <v>49</v>
      </c>
      <c r="N2094" s="6" t="s">
        <v>50</v>
      </c>
      <c r="O2094" s="6" t="n">
        <f aca="false">IF(TablaVentas[[#This Row],[Precio_unitario]]="","PENDIENTE",TablaVentas[[#This Row],[Unidades]]*TablaVentas[[#This Row],[Precio_unitario]]*(1-TablaVentas[[#This Row],[Descuento_pct]]))</f>
        <v>11594.19</v>
      </c>
      <c r="P2094" s="6" t="n">
        <f aca="false">IF(TablaVentas[[#This Row],[Costo_unitario]]="","PENDIENTE",TablaVentas[[#This Row],[Unidades]]*TablaVentas[[#This Row],[Costo_unitario]])</f>
        <v>9118.07</v>
      </c>
      <c r="Q2094" s="6" t="n">
        <f aca="false">IF(OR(TablaVentas[[#This Row],[Ingreso_neto]]="PENDIENTE",TablaVentas[[#This Row],[Costo_total]]="PENDIENTE"),"PENDIENTE",TablaVentas[[#This Row],[Ingreso_neto]]-TablaVentas[[#This Row],[Costo_total]])</f>
        <v>2476.12</v>
      </c>
    </row>
    <row r="2095" customFormat="false" ht="13.5" hidden="false" customHeight="false" outlineLevel="0" collapsed="false">
      <c r="A2095" s="1" t="s">
        <v>1300</v>
      </c>
      <c r="B2095" s="1" t="n">
        <v>2</v>
      </c>
      <c r="C2095" s="5" t="n">
        <v>46053</v>
      </c>
      <c r="D2095" s="6" t="s">
        <v>232</v>
      </c>
      <c r="E2095" s="6" t="s">
        <v>150</v>
      </c>
      <c r="F2095" s="6" t="s">
        <v>63</v>
      </c>
      <c r="G2095" s="6" t="s">
        <v>57</v>
      </c>
      <c r="H2095" s="6" t="s">
        <v>89</v>
      </c>
      <c r="I2095" s="1" t="n">
        <v>2</v>
      </c>
      <c r="J2095" s="7" t="n">
        <v>9652.07</v>
      </c>
      <c r="K2095" s="8" t="n">
        <v>0.05</v>
      </c>
      <c r="L2095" s="7" t="n">
        <v>6815.42</v>
      </c>
      <c r="M2095" s="6" t="s">
        <v>49</v>
      </c>
      <c r="N2095" s="6" t="s">
        <v>67</v>
      </c>
      <c r="O2095" s="6" t="n">
        <f aca="false">IF(TablaVentas[[#This Row],[Precio_unitario]]="","PENDIENTE",TablaVentas[[#This Row],[Unidades]]*TablaVentas[[#This Row],[Precio_unitario]]*(1-TablaVentas[[#This Row],[Descuento_pct]]))</f>
        <v>18338.933</v>
      </c>
      <c r="P2095" s="6" t="n">
        <f aca="false">IF(TablaVentas[[#This Row],[Costo_unitario]]="","PENDIENTE",TablaVentas[[#This Row],[Unidades]]*TablaVentas[[#This Row],[Costo_unitario]])</f>
        <v>13630.84</v>
      </c>
      <c r="Q2095" s="6" t="n">
        <f aca="false">IF(OR(TablaVentas[[#This Row],[Ingreso_neto]]="PENDIENTE",TablaVentas[[#This Row],[Costo_total]]="PENDIENTE"),"PENDIENTE",TablaVentas[[#This Row],[Ingreso_neto]]-TablaVentas[[#This Row],[Costo_total]])</f>
        <v>4708.093</v>
      </c>
    </row>
    <row r="2096" customFormat="false" ht="13.5" hidden="false" customHeight="false" outlineLevel="0" collapsed="false">
      <c r="A2096" s="1" t="s">
        <v>1300</v>
      </c>
      <c r="B2096" s="1" t="n">
        <v>3</v>
      </c>
      <c r="C2096" s="5" t="n">
        <v>46053</v>
      </c>
      <c r="D2096" s="6" t="s">
        <v>232</v>
      </c>
      <c r="E2096" s="6" t="s">
        <v>130</v>
      </c>
      <c r="F2096" s="6" t="s">
        <v>63</v>
      </c>
      <c r="G2096" s="6" t="s">
        <v>57</v>
      </c>
      <c r="H2096" s="6" t="s">
        <v>89</v>
      </c>
      <c r="I2096" s="1" t="n">
        <v>2</v>
      </c>
      <c r="J2096" s="7" t="n">
        <v>16172.86</v>
      </c>
      <c r="K2096" s="8" t="n">
        <v>0.05</v>
      </c>
      <c r="L2096" s="7" t="n">
        <v>12679.41</v>
      </c>
      <c r="M2096" s="6" t="s">
        <v>49</v>
      </c>
      <c r="N2096" s="6" t="s">
        <v>52</v>
      </c>
      <c r="O2096" s="6" t="n">
        <f aca="false">IF(TablaVentas[[#This Row],[Precio_unitario]]="","PENDIENTE",TablaVentas[[#This Row],[Unidades]]*TablaVentas[[#This Row],[Precio_unitario]]*(1-TablaVentas[[#This Row],[Descuento_pct]]))</f>
        <v>30728.434</v>
      </c>
      <c r="P2096" s="6" t="n">
        <f aca="false">IF(TablaVentas[[#This Row],[Costo_unitario]]="","PENDIENTE",TablaVentas[[#This Row],[Unidades]]*TablaVentas[[#This Row],[Costo_unitario]])</f>
        <v>25358.82</v>
      </c>
      <c r="Q2096" s="6" t="n">
        <f aca="false">IF(OR(TablaVentas[[#This Row],[Ingreso_neto]]="PENDIENTE",TablaVentas[[#This Row],[Costo_total]]="PENDIENTE"),"PENDIENTE",TablaVentas[[#This Row],[Ingreso_neto]]-TablaVentas[[#This Row],[Costo_total]])</f>
        <v>5369.614</v>
      </c>
    </row>
    <row r="2097" customFormat="false" ht="13.5" hidden="false" customHeight="false" outlineLevel="0" collapsed="false">
      <c r="A2097" s="1" t="s">
        <v>1301</v>
      </c>
      <c r="B2097" s="1" t="n">
        <v>1</v>
      </c>
      <c r="C2097" s="5" t="n">
        <v>46232</v>
      </c>
      <c r="D2097" s="6" t="s">
        <v>259</v>
      </c>
      <c r="E2097" s="6" t="s">
        <v>101</v>
      </c>
      <c r="F2097" s="6" t="s">
        <v>46</v>
      </c>
      <c r="G2097" s="6" t="s">
        <v>57</v>
      </c>
      <c r="H2097" s="6" t="s">
        <v>65</v>
      </c>
      <c r="I2097" s="1" t="n">
        <v>1</v>
      </c>
      <c r="J2097" s="7" t="n">
        <v>7186.58</v>
      </c>
      <c r="K2097" s="8" t="n">
        <v>0</v>
      </c>
      <c r="L2097" s="7" t="n">
        <v>4538.06</v>
      </c>
      <c r="M2097" s="6" t="s">
        <v>123</v>
      </c>
      <c r="N2097" s="6" t="s">
        <v>67</v>
      </c>
      <c r="O2097" s="6" t="n">
        <f aca="false">IF(TablaVentas[[#This Row],[Precio_unitario]]="","PENDIENTE",TablaVentas[[#This Row],[Unidades]]*TablaVentas[[#This Row],[Precio_unitario]]*(1-TablaVentas[[#This Row],[Descuento_pct]]))</f>
        <v>7186.58</v>
      </c>
      <c r="P2097" s="6" t="n">
        <f aca="false">IF(TablaVentas[[#This Row],[Costo_unitario]]="","PENDIENTE",TablaVentas[[#This Row],[Unidades]]*TablaVentas[[#This Row],[Costo_unitario]])</f>
        <v>4538.06</v>
      </c>
      <c r="Q2097" s="6" t="n">
        <f aca="false">IF(OR(TablaVentas[[#This Row],[Ingreso_neto]]="PENDIENTE",TablaVentas[[#This Row],[Costo_total]]="PENDIENTE"),"PENDIENTE",TablaVentas[[#This Row],[Ingreso_neto]]-TablaVentas[[#This Row],[Costo_total]])</f>
        <v>2648.52</v>
      </c>
    </row>
    <row r="2098" customFormat="false" ht="13.5" hidden="false" customHeight="false" outlineLevel="0" collapsed="false">
      <c r="A2098" s="1" t="s">
        <v>1302</v>
      </c>
      <c r="B2098" s="1" t="n">
        <v>1</v>
      </c>
      <c r="C2098" s="5" t="n">
        <v>46167</v>
      </c>
      <c r="D2098" s="6" t="s">
        <v>239</v>
      </c>
      <c r="E2098" s="6" t="s">
        <v>150</v>
      </c>
      <c r="F2098" s="6" t="s">
        <v>84</v>
      </c>
      <c r="G2098" s="6" t="s">
        <v>57</v>
      </c>
      <c r="H2098" s="6" t="s">
        <v>109</v>
      </c>
      <c r="I2098" s="1" t="n">
        <v>2</v>
      </c>
      <c r="J2098" s="7" t="n">
        <v>8907.03</v>
      </c>
      <c r="K2098" s="8" t="n">
        <v>0.15</v>
      </c>
      <c r="L2098" s="7" t="n">
        <v>6815.42</v>
      </c>
      <c r="M2098" s="6" t="s">
        <v>49</v>
      </c>
      <c r="N2098" s="6" t="s">
        <v>67</v>
      </c>
      <c r="O2098" s="6" t="n">
        <f aca="false">IF(TablaVentas[[#This Row],[Precio_unitario]]="","PENDIENTE",TablaVentas[[#This Row],[Unidades]]*TablaVentas[[#This Row],[Precio_unitario]]*(1-TablaVentas[[#This Row],[Descuento_pct]]))</f>
        <v>15141.951</v>
      </c>
      <c r="P2098" s="6" t="n">
        <f aca="false">IF(TablaVentas[[#This Row],[Costo_unitario]]="","PENDIENTE",TablaVentas[[#This Row],[Unidades]]*TablaVentas[[#This Row],[Costo_unitario]])</f>
        <v>13630.84</v>
      </c>
      <c r="Q2098" s="6" t="n">
        <f aca="false">IF(OR(TablaVentas[[#This Row],[Ingreso_neto]]="PENDIENTE",TablaVentas[[#This Row],[Costo_total]]="PENDIENTE"),"PENDIENTE",TablaVentas[[#This Row],[Ingreso_neto]]-TablaVentas[[#This Row],[Costo_total]])</f>
        <v>1511.111</v>
      </c>
    </row>
    <row r="2099" customFormat="false" ht="13.5" hidden="false" customHeight="false" outlineLevel="0" collapsed="false">
      <c r="A2099" s="1" t="s">
        <v>1302</v>
      </c>
      <c r="B2099" s="1" t="n">
        <v>2</v>
      </c>
      <c r="C2099" s="5" t="n">
        <v>46167</v>
      </c>
      <c r="D2099" s="6" t="s">
        <v>239</v>
      </c>
      <c r="E2099" s="6" t="s">
        <v>53</v>
      </c>
      <c r="F2099" s="6" t="s">
        <v>84</v>
      </c>
      <c r="G2099" s="6" t="s">
        <v>57</v>
      </c>
      <c r="H2099" s="6" t="s">
        <v>109</v>
      </c>
      <c r="I2099" s="1" t="n">
        <v>1</v>
      </c>
      <c r="J2099" s="7" t="n">
        <v>3698.88</v>
      </c>
      <c r="K2099" s="8" t="n">
        <v>0</v>
      </c>
      <c r="L2099" s="7" t="n">
        <v>2957.6</v>
      </c>
      <c r="M2099" s="6" t="s">
        <v>49</v>
      </c>
      <c r="N2099" s="6" t="s">
        <v>50</v>
      </c>
      <c r="O2099" s="6" t="n">
        <f aca="false">IF(TablaVentas[[#This Row],[Precio_unitario]]="","PENDIENTE",TablaVentas[[#This Row],[Unidades]]*TablaVentas[[#This Row],[Precio_unitario]]*(1-TablaVentas[[#This Row],[Descuento_pct]]))</f>
        <v>3698.88</v>
      </c>
      <c r="P2099" s="6" t="n">
        <f aca="false">IF(TablaVentas[[#This Row],[Costo_unitario]]="","PENDIENTE",TablaVentas[[#This Row],[Unidades]]*TablaVentas[[#This Row],[Costo_unitario]])</f>
        <v>2957.6</v>
      </c>
      <c r="Q2099" s="6" t="n">
        <f aca="false">IF(OR(TablaVentas[[#This Row],[Ingreso_neto]]="PENDIENTE",TablaVentas[[#This Row],[Costo_total]]="PENDIENTE"),"PENDIENTE",TablaVentas[[#This Row],[Ingreso_neto]]-TablaVentas[[#This Row],[Costo_total]])</f>
        <v>741.28</v>
      </c>
    </row>
    <row r="2100" customFormat="false" ht="13.5" hidden="false" customHeight="false" outlineLevel="0" collapsed="false">
      <c r="A2100" s="1" t="s">
        <v>1303</v>
      </c>
      <c r="B2100" s="1" t="n">
        <v>1</v>
      </c>
      <c r="C2100" s="5" t="n">
        <v>46044</v>
      </c>
      <c r="D2100" s="6" t="s">
        <v>581</v>
      </c>
      <c r="E2100" s="6" t="s">
        <v>75</v>
      </c>
      <c r="F2100" s="6" t="s">
        <v>63</v>
      </c>
      <c r="G2100" s="6" t="s">
        <v>64</v>
      </c>
      <c r="H2100" s="6" t="s">
        <v>58</v>
      </c>
      <c r="I2100" s="1" t="n">
        <v>5</v>
      </c>
      <c r="J2100" s="7" t="n">
        <v>14531.1</v>
      </c>
      <c r="K2100" s="8" t="n">
        <v>0</v>
      </c>
      <c r="L2100" s="7" t="n">
        <v>9243.35</v>
      </c>
      <c r="M2100" s="6" t="s">
        <v>49</v>
      </c>
      <c r="N2100" s="6" t="s">
        <v>50</v>
      </c>
      <c r="O2100" s="6" t="n">
        <f aca="false">IF(TablaVentas[[#This Row],[Precio_unitario]]="","PENDIENTE",TablaVentas[[#This Row],[Unidades]]*TablaVentas[[#This Row],[Precio_unitario]]*(1-TablaVentas[[#This Row],[Descuento_pct]]))</f>
        <v>72655.5</v>
      </c>
      <c r="P2100" s="6" t="n">
        <f aca="false">IF(TablaVentas[[#This Row],[Costo_unitario]]="","PENDIENTE",TablaVentas[[#This Row],[Unidades]]*TablaVentas[[#This Row],[Costo_unitario]])</f>
        <v>46216.75</v>
      </c>
      <c r="Q2100" s="6" t="n">
        <f aca="false">IF(OR(TablaVentas[[#This Row],[Ingreso_neto]]="PENDIENTE",TablaVentas[[#This Row],[Costo_total]]="PENDIENTE"),"PENDIENTE",TablaVentas[[#This Row],[Ingreso_neto]]-TablaVentas[[#This Row],[Costo_total]])</f>
        <v>26438.75</v>
      </c>
    </row>
    <row r="2101" customFormat="false" ht="13.5" hidden="false" customHeight="false" outlineLevel="0" collapsed="false">
      <c r="A2101" s="1" t="s">
        <v>1303</v>
      </c>
      <c r="B2101" s="1" t="n">
        <v>2</v>
      </c>
      <c r="C2101" s="5" t="n">
        <v>46044</v>
      </c>
      <c r="D2101" s="6" t="s">
        <v>581</v>
      </c>
      <c r="E2101" s="6" t="s">
        <v>210</v>
      </c>
      <c r="F2101" s="6" t="s">
        <v>63</v>
      </c>
      <c r="G2101" s="6" t="s">
        <v>64</v>
      </c>
      <c r="H2101" s="6" t="s">
        <v>58</v>
      </c>
      <c r="I2101" s="1" t="n">
        <v>1</v>
      </c>
      <c r="J2101" s="7" t="n">
        <v>2008.03</v>
      </c>
      <c r="K2101" s="8" t="n">
        <v>0.1</v>
      </c>
      <c r="L2101" s="7" t="n">
        <v>1252.84</v>
      </c>
      <c r="M2101" s="6" t="s">
        <v>49</v>
      </c>
      <c r="N2101" s="6" t="s">
        <v>59</v>
      </c>
      <c r="O2101" s="6" t="n">
        <f aca="false">IF(TablaVentas[[#This Row],[Precio_unitario]]="","PENDIENTE",TablaVentas[[#This Row],[Unidades]]*TablaVentas[[#This Row],[Precio_unitario]]*(1-TablaVentas[[#This Row],[Descuento_pct]]))</f>
        <v>1807.227</v>
      </c>
      <c r="P2101" s="6" t="n">
        <f aca="false">IF(TablaVentas[[#This Row],[Costo_unitario]]="","PENDIENTE",TablaVentas[[#This Row],[Unidades]]*TablaVentas[[#This Row],[Costo_unitario]])</f>
        <v>1252.84</v>
      </c>
      <c r="Q2101" s="6" t="n">
        <f aca="false">IF(OR(TablaVentas[[#This Row],[Ingreso_neto]]="PENDIENTE",TablaVentas[[#This Row],[Costo_total]]="PENDIENTE"),"PENDIENTE",TablaVentas[[#This Row],[Ingreso_neto]]-TablaVentas[[#This Row],[Costo_total]])</f>
        <v>554.387</v>
      </c>
    </row>
    <row r="2102" customFormat="false" ht="13.5" hidden="false" customHeight="false" outlineLevel="0" collapsed="false">
      <c r="A2102" s="1" t="s">
        <v>1303</v>
      </c>
      <c r="B2102" s="1" t="n">
        <v>3</v>
      </c>
      <c r="C2102" s="5" t="n">
        <v>46044</v>
      </c>
      <c r="D2102" s="6" t="s">
        <v>581</v>
      </c>
      <c r="E2102" s="6" t="s">
        <v>327</v>
      </c>
      <c r="F2102" s="6" t="s">
        <v>63</v>
      </c>
      <c r="G2102" s="6" t="s">
        <v>64</v>
      </c>
      <c r="H2102" s="6" t="s">
        <v>58</v>
      </c>
      <c r="I2102" s="1" t="n">
        <v>5</v>
      </c>
      <c r="J2102" s="7" t="n">
        <v>4830.56</v>
      </c>
      <c r="K2102" s="8" t="n">
        <v>0</v>
      </c>
      <c r="L2102" s="7" t="n">
        <v>3065.66</v>
      </c>
      <c r="M2102" s="6" t="s">
        <v>49</v>
      </c>
      <c r="N2102" s="6" t="s">
        <v>52</v>
      </c>
      <c r="O2102" s="6" t="n">
        <f aca="false">IF(TablaVentas[[#This Row],[Precio_unitario]]="","PENDIENTE",TablaVentas[[#This Row],[Unidades]]*TablaVentas[[#This Row],[Precio_unitario]]*(1-TablaVentas[[#This Row],[Descuento_pct]]))</f>
        <v>24152.8</v>
      </c>
      <c r="P2102" s="6" t="n">
        <f aca="false">IF(TablaVentas[[#This Row],[Costo_unitario]]="","PENDIENTE",TablaVentas[[#This Row],[Unidades]]*TablaVentas[[#This Row],[Costo_unitario]])</f>
        <v>15328.3</v>
      </c>
      <c r="Q2102" s="6" t="n">
        <f aca="false">IF(OR(TablaVentas[[#This Row],[Ingreso_neto]]="PENDIENTE",TablaVentas[[#This Row],[Costo_total]]="PENDIENTE"),"PENDIENTE",TablaVentas[[#This Row],[Ingreso_neto]]-TablaVentas[[#This Row],[Costo_total]])</f>
        <v>8824.5</v>
      </c>
    </row>
    <row r="2103" customFormat="false" ht="13.5" hidden="false" customHeight="false" outlineLevel="0" collapsed="false">
      <c r="A2103" s="1" t="s">
        <v>1304</v>
      </c>
      <c r="B2103" s="1" t="n">
        <v>1</v>
      </c>
      <c r="C2103" s="5" t="n">
        <v>46143</v>
      </c>
      <c r="D2103" s="6" t="s">
        <v>165</v>
      </c>
      <c r="E2103" s="6" t="s">
        <v>328</v>
      </c>
      <c r="F2103" s="6" t="s">
        <v>46</v>
      </c>
      <c r="G2103" s="6" t="s">
        <v>64</v>
      </c>
      <c r="H2103" s="6" t="s">
        <v>109</v>
      </c>
      <c r="I2103" s="1" t="n">
        <v>1</v>
      </c>
      <c r="J2103" s="7" t="n">
        <v>1192.24</v>
      </c>
      <c r="K2103" s="8" t="n">
        <v>0</v>
      </c>
      <c r="L2103" s="7" t="n">
        <v>679.37</v>
      </c>
      <c r="M2103" s="6" t="s">
        <v>49</v>
      </c>
      <c r="N2103" s="6" t="s">
        <v>67</v>
      </c>
      <c r="O2103" s="6" t="n">
        <f aca="false">IF(TablaVentas[[#This Row],[Precio_unitario]]="","PENDIENTE",TablaVentas[[#This Row],[Unidades]]*TablaVentas[[#This Row],[Precio_unitario]]*(1-TablaVentas[[#This Row],[Descuento_pct]]))</f>
        <v>1192.24</v>
      </c>
      <c r="P2103" s="6" t="n">
        <f aca="false">IF(TablaVentas[[#This Row],[Costo_unitario]]="","PENDIENTE",TablaVentas[[#This Row],[Unidades]]*TablaVentas[[#This Row],[Costo_unitario]])</f>
        <v>679.37</v>
      </c>
      <c r="Q2103" s="6" t="n">
        <f aca="false">IF(OR(TablaVentas[[#This Row],[Ingreso_neto]]="PENDIENTE",TablaVentas[[#This Row],[Costo_total]]="PENDIENTE"),"PENDIENTE",TablaVentas[[#This Row],[Ingreso_neto]]-TablaVentas[[#This Row],[Costo_total]])</f>
        <v>512.87</v>
      </c>
    </row>
    <row r="2104" customFormat="false" ht="13.5" hidden="false" customHeight="false" outlineLevel="0" collapsed="false">
      <c r="A2104" s="1" t="s">
        <v>1305</v>
      </c>
      <c r="B2104" s="1" t="n">
        <v>1</v>
      </c>
      <c r="C2104" s="5" t="n">
        <v>46054</v>
      </c>
      <c r="D2104" s="6" t="s">
        <v>469</v>
      </c>
      <c r="E2104" s="6" t="s">
        <v>127</v>
      </c>
      <c r="F2104" s="6" t="s">
        <v>46</v>
      </c>
      <c r="G2104" s="6" t="s">
        <v>47</v>
      </c>
      <c r="H2104" s="6" t="s">
        <v>131</v>
      </c>
      <c r="I2104" s="1" t="n">
        <v>1</v>
      </c>
      <c r="J2104" s="7" t="n">
        <v>12569.31</v>
      </c>
      <c r="K2104" s="8" t="n">
        <v>0</v>
      </c>
      <c r="L2104" s="7" t="n">
        <v>7975.26</v>
      </c>
      <c r="M2104" s="6" t="s">
        <v>49</v>
      </c>
      <c r="N2104" s="6" t="s">
        <v>59</v>
      </c>
      <c r="O2104" s="6" t="n">
        <f aca="false">IF(TablaVentas[[#This Row],[Precio_unitario]]="","PENDIENTE",TablaVentas[[#This Row],[Unidades]]*TablaVentas[[#This Row],[Precio_unitario]]*(1-TablaVentas[[#This Row],[Descuento_pct]]))</f>
        <v>12569.31</v>
      </c>
      <c r="P2104" s="6" t="n">
        <f aca="false">IF(TablaVentas[[#This Row],[Costo_unitario]]="","PENDIENTE",TablaVentas[[#This Row],[Unidades]]*TablaVentas[[#This Row],[Costo_unitario]])</f>
        <v>7975.26</v>
      </c>
      <c r="Q2104" s="6" t="n">
        <f aca="false">IF(OR(TablaVentas[[#This Row],[Ingreso_neto]]="PENDIENTE",TablaVentas[[#This Row],[Costo_total]]="PENDIENTE"),"PENDIENTE",TablaVentas[[#This Row],[Ingreso_neto]]-TablaVentas[[#This Row],[Costo_total]])</f>
        <v>4594.05</v>
      </c>
    </row>
    <row r="2105" customFormat="false" ht="13.5" hidden="false" customHeight="false" outlineLevel="0" collapsed="false">
      <c r="A2105" s="1" t="s">
        <v>1305</v>
      </c>
      <c r="B2105" s="1" t="n">
        <v>2</v>
      </c>
      <c r="C2105" s="5" t="n">
        <v>46054</v>
      </c>
      <c r="D2105" s="6" t="s">
        <v>469</v>
      </c>
      <c r="E2105" s="6" t="s">
        <v>162</v>
      </c>
      <c r="F2105" s="6" t="s">
        <v>46</v>
      </c>
      <c r="G2105" s="6" t="s">
        <v>47</v>
      </c>
      <c r="H2105" s="6" t="s">
        <v>131</v>
      </c>
      <c r="I2105" s="1" t="n">
        <v>12</v>
      </c>
      <c r="J2105" s="7" t="n">
        <v>737.44</v>
      </c>
      <c r="K2105" s="8" t="n">
        <v>0</v>
      </c>
      <c r="L2105" s="7" t="n">
        <v>397.1</v>
      </c>
      <c r="M2105" s="6" t="s">
        <v>49</v>
      </c>
      <c r="N2105" s="6" t="s">
        <v>52</v>
      </c>
      <c r="O2105" s="6" t="n">
        <f aca="false">IF(TablaVentas[[#This Row],[Precio_unitario]]="","PENDIENTE",TablaVentas[[#This Row],[Unidades]]*TablaVentas[[#This Row],[Precio_unitario]]*(1-TablaVentas[[#This Row],[Descuento_pct]]))</f>
        <v>8849.28</v>
      </c>
      <c r="P2105" s="6" t="n">
        <f aca="false">IF(TablaVentas[[#This Row],[Costo_unitario]]="","PENDIENTE",TablaVentas[[#This Row],[Unidades]]*TablaVentas[[#This Row],[Costo_unitario]])</f>
        <v>4765.2</v>
      </c>
      <c r="Q2105" s="6" t="n">
        <f aca="false">IF(OR(TablaVentas[[#This Row],[Ingreso_neto]]="PENDIENTE",TablaVentas[[#This Row],[Costo_total]]="PENDIENTE"),"PENDIENTE",TablaVentas[[#This Row],[Ingreso_neto]]-TablaVentas[[#This Row],[Costo_total]])</f>
        <v>4084.08</v>
      </c>
    </row>
    <row r="2106" customFormat="false" ht="13.5" hidden="false" customHeight="false" outlineLevel="0" collapsed="false">
      <c r="A2106" s="1" t="s">
        <v>1305</v>
      </c>
      <c r="B2106" s="1" t="n">
        <v>3</v>
      </c>
      <c r="C2106" s="5" t="n">
        <v>46054</v>
      </c>
      <c r="D2106" s="6" t="s">
        <v>469</v>
      </c>
      <c r="E2106" s="6" t="s">
        <v>192</v>
      </c>
      <c r="F2106" s="6" t="s">
        <v>46</v>
      </c>
      <c r="G2106" s="6" t="s">
        <v>47</v>
      </c>
      <c r="H2106" s="6" t="s">
        <v>131</v>
      </c>
      <c r="I2106" s="1" t="n">
        <v>1</v>
      </c>
      <c r="J2106" s="7" t="n">
        <v>17944.39</v>
      </c>
      <c r="K2106" s="8" t="n">
        <v>0</v>
      </c>
      <c r="L2106" s="7" t="n">
        <v>11904.09</v>
      </c>
      <c r="M2106" s="6" t="s">
        <v>49</v>
      </c>
      <c r="N2106" s="6" t="s">
        <v>59</v>
      </c>
      <c r="O2106" s="6" t="n">
        <f aca="false">IF(TablaVentas[[#This Row],[Precio_unitario]]="","PENDIENTE",TablaVentas[[#This Row],[Unidades]]*TablaVentas[[#This Row],[Precio_unitario]]*(1-TablaVentas[[#This Row],[Descuento_pct]]))</f>
        <v>17944.39</v>
      </c>
      <c r="P2106" s="6" t="n">
        <f aca="false">IF(TablaVentas[[#This Row],[Costo_unitario]]="","PENDIENTE",TablaVentas[[#This Row],[Unidades]]*TablaVentas[[#This Row],[Costo_unitario]])</f>
        <v>11904.09</v>
      </c>
      <c r="Q2106" s="6" t="n">
        <f aca="false">IF(OR(TablaVentas[[#This Row],[Ingreso_neto]]="PENDIENTE",TablaVentas[[#This Row],[Costo_total]]="PENDIENTE"),"PENDIENTE",TablaVentas[[#This Row],[Ingreso_neto]]-TablaVentas[[#This Row],[Costo_total]])</f>
        <v>6040.3</v>
      </c>
    </row>
    <row r="2107" customFormat="false" ht="13.5" hidden="false" customHeight="false" outlineLevel="0" collapsed="false">
      <c r="A2107" s="1" t="s">
        <v>1306</v>
      </c>
      <c r="B2107" s="1" t="n">
        <v>1</v>
      </c>
      <c r="C2107" s="5" t="n">
        <v>46149</v>
      </c>
      <c r="D2107" s="6" t="s">
        <v>1014</v>
      </c>
      <c r="E2107" s="6" t="s">
        <v>145</v>
      </c>
      <c r="F2107" s="6" t="s">
        <v>63</v>
      </c>
      <c r="G2107" s="6" t="s">
        <v>47</v>
      </c>
      <c r="H2107" s="6" t="s">
        <v>191</v>
      </c>
      <c r="I2107" s="1" t="n">
        <v>1</v>
      </c>
      <c r="J2107" s="7" t="n">
        <v>6361.47</v>
      </c>
      <c r="K2107" s="8" t="n">
        <v>0.15</v>
      </c>
      <c r="L2107" s="7" t="n">
        <v>4665.62</v>
      </c>
      <c r="M2107" s="6" t="s">
        <v>49</v>
      </c>
      <c r="N2107" s="6" t="s">
        <v>52</v>
      </c>
      <c r="O2107" s="6" t="n">
        <f aca="false">IF(TablaVentas[[#This Row],[Precio_unitario]]="","PENDIENTE",TablaVentas[[#This Row],[Unidades]]*TablaVentas[[#This Row],[Precio_unitario]]*(1-TablaVentas[[#This Row],[Descuento_pct]]))</f>
        <v>5407.2495</v>
      </c>
      <c r="P2107" s="6" t="n">
        <f aca="false">IF(TablaVentas[[#This Row],[Costo_unitario]]="","PENDIENTE",TablaVentas[[#This Row],[Unidades]]*TablaVentas[[#This Row],[Costo_unitario]])</f>
        <v>4665.62</v>
      </c>
      <c r="Q2107" s="6" t="n">
        <f aca="false">IF(OR(TablaVentas[[#This Row],[Ingreso_neto]]="PENDIENTE",TablaVentas[[#This Row],[Costo_total]]="PENDIENTE"),"PENDIENTE",TablaVentas[[#This Row],[Ingreso_neto]]-TablaVentas[[#This Row],[Costo_total]])</f>
        <v>741.6295</v>
      </c>
    </row>
    <row r="2108" customFormat="false" ht="13.5" hidden="false" customHeight="false" outlineLevel="0" collapsed="false">
      <c r="A2108" s="1" t="s">
        <v>1306</v>
      </c>
      <c r="B2108" s="1" t="n">
        <v>2</v>
      </c>
      <c r="C2108" s="5" t="n">
        <v>46149</v>
      </c>
      <c r="D2108" s="6" t="s">
        <v>1014</v>
      </c>
      <c r="E2108" s="6" t="s">
        <v>158</v>
      </c>
      <c r="F2108" s="6" t="s">
        <v>63</v>
      </c>
      <c r="G2108" s="6" t="s">
        <v>47</v>
      </c>
      <c r="H2108" s="6" t="s">
        <v>191</v>
      </c>
      <c r="I2108" s="1" t="n">
        <v>3</v>
      </c>
      <c r="J2108" s="7" t="n">
        <v>16514.29</v>
      </c>
      <c r="K2108" s="8" t="n">
        <v>0</v>
      </c>
      <c r="L2108" s="7" t="n">
        <v>8963.23</v>
      </c>
      <c r="M2108" s="6" t="s">
        <v>123</v>
      </c>
      <c r="N2108" s="6" t="s">
        <v>59</v>
      </c>
      <c r="O2108" s="6" t="n">
        <f aca="false">IF(TablaVentas[[#This Row],[Precio_unitario]]="","PENDIENTE",TablaVentas[[#This Row],[Unidades]]*TablaVentas[[#This Row],[Precio_unitario]]*(1-TablaVentas[[#This Row],[Descuento_pct]]))</f>
        <v>49542.87</v>
      </c>
      <c r="P2108" s="6" t="n">
        <f aca="false">IF(TablaVentas[[#This Row],[Costo_unitario]]="","PENDIENTE",TablaVentas[[#This Row],[Unidades]]*TablaVentas[[#This Row],[Costo_unitario]])</f>
        <v>26889.69</v>
      </c>
      <c r="Q2108" s="6" t="n">
        <f aca="false">IF(OR(TablaVentas[[#This Row],[Ingreso_neto]]="PENDIENTE",TablaVentas[[#This Row],[Costo_total]]="PENDIENTE"),"PENDIENTE",TablaVentas[[#This Row],[Ingreso_neto]]-TablaVentas[[#This Row],[Costo_total]])</f>
        <v>22653.18</v>
      </c>
    </row>
    <row r="2109" customFormat="false" ht="13.5" hidden="false" customHeight="false" outlineLevel="0" collapsed="false">
      <c r="A2109" s="1" t="s">
        <v>1306</v>
      </c>
      <c r="B2109" s="1" t="n">
        <v>3</v>
      </c>
      <c r="C2109" s="5" t="n">
        <v>46149</v>
      </c>
      <c r="D2109" s="6" t="s">
        <v>1014</v>
      </c>
      <c r="E2109" s="6" t="s">
        <v>163</v>
      </c>
      <c r="F2109" s="6" t="s">
        <v>63</v>
      </c>
      <c r="G2109" s="6" t="s">
        <v>47</v>
      </c>
      <c r="H2109" s="6" t="s">
        <v>191</v>
      </c>
      <c r="I2109" s="1" t="n">
        <v>1</v>
      </c>
      <c r="J2109" s="7" t="n">
        <v>20035.93</v>
      </c>
      <c r="K2109" s="8" t="n">
        <v>0.1</v>
      </c>
      <c r="L2109" s="7" t="n">
        <v>13981.13</v>
      </c>
      <c r="M2109" s="6" t="s">
        <v>49</v>
      </c>
      <c r="N2109" s="6" t="s">
        <v>59</v>
      </c>
      <c r="O2109" s="6" t="n">
        <f aca="false">IF(TablaVentas[[#This Row],[Precio_unitario]]="","PENDIENTE",TablaVentas[[#This Row],[Unidades]]*TablaVentas[[#This Row],[Precio_unitario]]*(1-TablaVentas[[#This Row],[Descuento_pct]]))</f>
        <v>18032.337</v>
      </c>
      <c r="P2109" s="6" t="n">
        <f aca="false">IF(TablaVentas[[#This Row],[Costo_unitario]]="","PENDIENTE",TablaVentas[[#This Row],[Unidades]]*TablaVentas[[#This Row],[Costo_unitario]])</f>
        <v>13981.13</v>
      </c>
      <c r="Q2109" s="6" t="n">
        <f aca="false">IF(OR(TablaVentas[[#This Row],[Ingreso_neto]]="PENDIENTE",TablaVentas[[#This Row],[Costo_total]]="PENDIENTE"),"PENDIENTE",TablaVentas[[#This Row],[Ingreso_neto]]-TablaVentas[[#This Row],[Costo_total]])</f>
        <v>4051.207</v>
      </c>
    </row>
    <row r="2110" customFormat="false" ht="13.5" hidden="false" customHeight="false" outlineLevel="0" collapsed="false">
      <c r="A2110" s="1" t="s">
        <v>1306</v>
      </c>
      <c r="B2110" s="1" t="n">
        <v>4</v>
      </c>
      <c r="C2110" s="5" t="n">
        <v>46149</v>
      </c>
      <c r="D2110" s="6" t="s">
        <v>1014</v>
      </c>
      <c r="E2110" s="6" t="s">
        <v>300</v>
      </c>
      <c r="F2110" s="6" t="s">
        <v>63</v>
      </c>
      <c r="G2110" s="6" t="s">
        <v>47</v>
      </c>
      <c r="H2110" s="6" t="s">
        <v>191</v>
      </c>
      <c r="I2110" s="1" t="n">
        <v>2</v>
      </c>
      <c r="J2110" s="7" t="n">
        <v>1049.64</v>
      </c>
      <c r="K2110" s="8" t="n">
        <v>0</v>
      </c>
      <c r="L2110" s="7" t="n">
        <v>936.52</v>
      </c>
      <c r="M2110" s="6" t="s">
        <v>49</v>
      </c>
      <c r="N2110" s="6" t="s">
        <v>50</v>
      </c>
      <c r="O2110" s="6" t="n">
        <f aca="false">IF(TablaVentas[[#This Row],[Precio_unitario]]="","PENDIENTE",TablaVentas[[#This Row],[Unidades]]*TablaVentas[[#This Row],[Precio_unitario]]*(1-TablaVentas[[#This Row],[Descuento_pct]]))</f>
        <v>2099.28</v>
      </c>
      <c r="P2110" s="6" t="n">
        <f aca="false">IF(TablaVentas[[#This Row],[Costo_unitario]]="","PENDIENTE",TablaVentas[[#This Row],[Unidades]]*TablaVentas[[#This Row],[Costo_unitario]])</f>
        <v>1873.04</v>
      </c>
      <c r="Q2110" s="6" t="n">
        <f aca="false">IF(OR(TablaVentas[[#This Row],[Ingreso_neto]]="PENDIENTE",TablaVentas[[#This Row],[Costo_total]]="PENDIENTE"),"PENDIENTE",TablaVentas[[#This Row],[Ingreso_neto]]-TablaVentas[[#This Row],[Costo_total]])</f>
        <v>226.24</v>
      </c>
    </row>
    <row r="2111" customFormat="false" ht="13.5" hidden="false" customHeight="false" outlineLevel="0" collapsed="false">
      <c r="A2111" s="1" t="s">
        <v>1306</v>
      </c>
      <c r="B2111" s="1" t="n">
        <v>5</v>
      </c>
      <c r="C2111" s="5" t="n">
        <v>46149</v>
      </c>
      <c r="D2111" s="6" t="s">
        <v>1014</v>
      </c>
      <c r="E2111" s="6" t="s">
        <v>132</v>
      </c>
      <c r="F2111" s="6" t="s">
        <v>63</v>
      </c>
      <c r="G2111" s="6" t="s">
        <v>47</v>
      </c>
      <c r="H2111" s="6" t="s">
        <v>191</v>
      </c>
      <c r="I2111" s="1" t="n">
        <v>1</v>
      </c>
      <c r="J2111" s="7" t="n">
        <v>1856.76</v>
      </c>
      <c r="K2111" s="8" t="n">
        <v>0.2</v>
      </c>
      <c r="L2111" s="7" t="n">
        <v>1044.32</v>
      </c>
      <c r="M2111" s="6" t="s">
        <v>49</v>
      </c>
      <c r="N2111" s="6" t="s">
        <v>52</v>
      </c>
      <c r="O2111" s="6" t="n">
        <f aca="false">IF(TablaVentas[[#This Row],[Precio_unitario]]="","PENDIENTE",TablaVentas[[#This Row],[Unidades]]*TablaVentas[[#This Row],[Precio_unitario]]*(1-TablaVentas[[#This Row],[Descuento_pct]]))</f>
        <v>1485.408</v>
      </c>
      <c r="P2111" s="6" t="n">
        <f aca="false">IF(TablaVentas[[#This Row],[Costo_unitario]]="","PENDIENTE",TablaVentas[[#This Row],[Unidades]]*TablaVentas[[#This Row],[Costo_unitario]])</f>
        <v>1044.32</v>
      </c>
      <c r="Q2111" s="6" t="n">
        <f aca="false">IF(OR(TablaVentas[[#This Row],[Ingreso_neto]]="PENDIENTE",TablaVentas[[#This Row],[Costo_total]]="PENDIENTE"),"PENDIENTE",TablaVentas[[#This Row],[Ingreso_neto]]-TablaVentas[[#This Row],[Costo_total]])</f>
        <v>441.088</v>
      </c>
    </row>
    <row r="2112" customFormat="false" ht="13.5" hidden="false" customHeight="false" outlineLevel="0" collapsed="false">
      <c r="A2112" s="1" t="s">
        <v>1307</v>
      </c>
      <c r="B2112" s="1" t="n">
        <v>1</v>
      </c>
      <c r="C2112" s="5" t="n">
        <v>46119</v>
      </c>
      <c r="D2112" s="6" t="s">
        <v>891</v>
      </c>
      <c r="E2112" s="6" t="s">
        <v>230</v>
      </c>
      <c r="F2112" s="6" t="s">
        <v>84</v>
      </c>
      <c r="G2112" s="6" t="s">
        <v>47</v>
      </c>
      <c r="H2112" s="6" t="s">
        <v>136</v>
      </c>
      <c r="I2112" s="1" t="n">
        <v>2</v>
      </c>
      <c r="J2112" s="7" t="n">
        <v>6145.95</v>
      </c>
      <c r="K2112" s="8" t="n">
        <v>0</v>
      </c>
      <c r="L2112" s="7" t="n">
        <v>3298.19</v>
      </c>
      <c r="M2112" s="6" t="s">
        <v>123</v>
      </c>
      <c r="N2112" s="6" t="s">
        <v>50</v>
      </c>
      <c r="O2112" s="6" t="n">
        <f aca="false">IF(TablaVentas[[#This Row],[Precio_unitario]]="","PENDIENTE",TablaVentas[[#This Row],[Unidades]]*TablaVentas[[#This Row],[Precio_unitario]]*(1-TablaVentas[[#This Row],[Descuento_pct]]))</f>
        <v>12291.9</v>
      </c>
      <c r="P2112" s="6" t="n">
        <f aca="false">IF(TablaVentas[[#This Row],[Costo_unitario]]="","PENDIENTE",TablaVentas[[#This Row],[Unidades]]*TablaVentas[[#This Row],[Costo_unitario]])</f>
        <v>6596.38</v>
      </c>
      <c r="Q2112" s="6" t="n">
        <f aca="false">IF(OR(TablaVentas[[#This Row],[Ingreso_neto]]="PENDIENTE",TablaVentas[[#This Row],[Costo_total]]="PENDIENTE"),"PENDIENTE",TablaVentas[[#This Row],[Ingreso_neto]]-TablaVentas[[#This Row],[Costo_total]])</f>
        <v>5695.52</v>
      </c>
    </row>
    <row r="2113" customFormat="false" ht="13.5" hidden="false" customHeight="false" outlineLevel="0" collapsed="false">
      <c r="A2113" s="1" t="s">
        <v>1307</v>
      </c>
      <c r="B2113" s="1" t="n">
        <v>2</v>
      </c>
      <c r="C2113" s="5" t="n">
        <v>46119</v>
      </c>
      <c r="D2113" s="6" t="s">
        <v>891</v>
      </c>
      <c r="E2113" s="6" t="s">
        <v>243</v>
      </c>
      <c r="F2113" s="6" t="s">
        <v>84</v>
      </c>
      <c r="G2113" s="6" t="s">
        <v>47</v>
      </c>
      <c r="H2113" s="6" t="s">
        <v>136</v>
      </c>
      <c r="I2113" s="1" t="n">
        <v>2</v>
      </c>
      <c r="J2113" s="7" t="n">
        <v>8865.78</v>
      </c>
      <c r="K2113" s="8" t="n">
        <v>0.15</v>
      </c>
      <c r="L2113" s="7" t="n">
        <v>8061.7</v>
      </c>
      <c r="M2113" s="6" t="s">
        <v>49</v>
      </c>
      <c r="N2113" s="6" t="s">
        <v>59</v>
      </c>
      <c r="O2113" s="6" t="n">
        <f aca="false">IF(TablaVentas[[#This Row],[Precio_unitario]]="","PENDIENTE",TablaVentas[[#This Row],[Unidades]]*TablaVentas[[#This Row],[Precio_unitario]]*(1-TablaVentas[[#This Row],[Descuento_pct]]))</f>
        <v>15071.826</v>
      </c>
      <c r="P2113" s="6" t="n">
        <f aca="false">IF(TablaVentas[[#This Row],[Costo_unitario]]="","PENDIENTE",TablaVentas[[#This Row],[Unidades]]*TablaVentas[[#This Row],[Costo_unitario]])</f>
        <v>16123.4</v>
      </c>
      <c r="Q2113" s="6" t="n">
        <f aca="false">IF(OR(TablaVentas[[#This Row],[Ingreso_neto]]="PENDIENTE",TablaVentas[[#This Row],[Costo_total]]="PENDIENTE"),"PENDIENTE",TablaVentas[[#This Row],[Ingreso_neto]]-TablaVentas[[#This Row],[Costo_total]])</f>
        <v>-1051.574</v>
      </c>
    </row>
    <row r="2114" customFormat="false" ht="13.5" hidden="false" customHeight="false" outlineLevel="0" collapsed="false">
      <c r="A2114" s="1" t="s">
        <v>1307</v>
      </c>
      <c r="B2114" s="1" t="n">
        <v>3</v>
      </c>
      <c r="C2114" s="5" t="n">
        <v>46119</v>
      </c>
      <c r="D2114" s="6" t="s">
        <v>891</v>
      </c>
      <c r="E2114" s="6" t="s">
        <v>53</v>
      </c>
      <c r="F2114" s="6" t="s">
        <v>84</v>
      </c>
      <c r="G2114" s="6" t="s">
        <v>47</v>
      </c>
      <c r="H2114" s="6" t="s">
        <v>136</v>
      </c>
      <c r="I2114" s="1" t="n">
        <v>2</v>
      </c>
      <c r="J2114" s="7" t="n">
        <v>3767.52</v>
      </c>
      <c r="K2114" s="8" t="n">
        <v>0</v>
      </c>
      <c r="L2114" s="7" t="n">
        <v>2957.6</v>
      </c>
      <c r="M2114" s="6" t="s">
        <v>49</v>
      </c>
      <c r="N2114" s="6" t="s">
        <v>50</v>
      </c>
      <c r="O2114" s="6" t="n">
        <f aca="false">IF(TablaVentas[[#This Row],[Precio_unitario]]="","PENDIENTE",TablaVentas[[#This Row],[Unidades]]*TablaVentas[[#This Row],[Precio_unitario]]*(1-TablaVentas[[#This Row],[Descuento_pct]]))</f>
        <v>7535.04</v>
      </c>
      <c r="P2114" s="6" t="n">
        <f aca="false">IF(TablaVentas[[#This Row],[Costo_unitario]]="","PENDIENTE",TablaVentas[[#This Row],[Unidades]]*TablaVentas[[#This Row],[Costo_unitario]])</f>
        <v>5915.2</v>
      </c>
      <c r="Q2114" s="6" t="n">
        <f aca="false">IF(OR(TablaVentas[[#This Row],[Ingreso_neto]]="PENDIENTE",TablaVentas[[#This Row],[Costo_total]]="PENDIENTE"),"PENDIENTE",TablaVentas[[#This Row],[Ingreso_neto]]-TablaVentas[[#This Row],[Costo_total]])</f>
        <v>1619.84</v>
      </c>
    </row>
    <row r="2115" customFormat="false" ht="13.5" hidden="false" customHeight="false" outlineLevel="0" collapsed="false">
      <c r="A2115" s="1" t="s">
        <v>1308</v>
      </c>
      <c r="B2115" s="1" t="n">
        <v>1</v>
      </c>
      <c r="C2115" s="5" t="n">
        <v>46253</v>
      </c>
      <c r="D2115" s="6" t="s">
        <v>169</v>
      </c>
      <c r="E2115" s="6" t="s">
        <v>162</v>
      </c>
      <c r="F2115" s="6" t="s">
        <v>46</v>
      </c>
      <c r="G2115" s="6" t="s">
        <v>47</v>
      </c>
      <c r="H2115" s="6" t="s">
        <v>109</v>
      </c>
      <c r="I2115" s="1" t="n">
        <v>3</v>
      </c>
      <c r="J2115" s="7" t="n">
        <v>703.39</v>
      </c>
      <c r="K2115" s="8" t="n">
        <v>0</v>
      </c>
      <c r="L2115" s="7" t="n">
        <v>397.1</v>
      </c>
      <c r="M2115" s="6" t="s">
        <v>49</v>
      </c>
      <c r="N2115" s="6" t="s">
        <v>59</v>
      </c>
      <c r="O2115" s="6" t="n">
        <f aca="false">IF(TablaVentas[[#This Row],[Precio_unitario]]="","PENDIENTE",TablaVentas[[#This Row],[Unidades]]*TablaVentas[[#This Row],[Precio_unitario]]*(1-TablaVentas[[#This Row],[Descuento_pct]]))</f>
        <v>2110.17</v>
      </c>
      <c r="P2115" s="6" t="n">
        <f aca="false">IF(TablaVentas[[#This Row],[Costo_unitario]]="","PENDIENTE",TablaVentas[[#This Row],[Unidades]]*TablaVentas[[#This Row],[Costo_unitario]])</f>
        <v>1191.3</v>
      </c>
      <c r="Q2115" s="6" t="n">
        <f aca="false">IF(OR(TablaVentas[[#This Row],[Ingreso_neto]]="PENDIENTE",TablaVentas[[#This Row],[Costo_total]]="PENDIENTE"),"PENDIENTE",TablaVentas[[#This Row],[Ingreso_neto]]-TablaVentas[[#This Row],[Costo_total]])</f>
        <v>918.87</v>
      </c>
    </row>
    <row r="2116" customFormat="false" ht="13.5" hidden="false" customHeight="false" outlineLevel="0" collapsed="false">
      <c r="A2116" s="1" t="s">
        <v>1308</v>
      </c>
      <c r="B2116" s="1" t="n">
        <v>2</v>
      </c>
      <c r="C2116" s="5" t="n">
        <v>46253</v>
      </c>
      <c r="D2116" s="6" t="s">
        <v>169</v>
      </c>
      <c r="E2116" s="6" t="s">
        <v>116</v>
      </c>
      <c r="F2116" s="6" t="s">
        <v>46</v>
      </c>
      <c r="G2116" s="6" t="s">
        <v>47</v>
      </c>
      <c r="H2116" s="6" t="s">
        <v>109</v>
      </c>
      <c r="I2116" s="1" t="n">
        <v>2</v>
      </c>
      <c r="J2116" s="7" t="n">
        <v>14288.73</v>
      </c>
      <c r="K2116" s="8" t="n">
        <v>0</v>
      </c>
      <c r="L2116" s="7" t="n">
        <v>9880.77</v>
      </c>
      <c r="M2116" s="6" t="s">
        <v>49</v>
      </c>
      <c r="N2116" s="6" t="s">
        <v>52</v>
      </c>
      <c r="O2116" s="6" t="n">
        <f aca="false">IF(TablaVentas[[#This Row],[Precio_unitario]]="","PENDIENTE",TablaVentas[[#This Row],[Unidades]]*TablaVentas[[#This Row],[Precio_unitario]]*(1-TablaVentas[[#This Row],[Descuento_pct]]))</f>
        <v>28577.46</v>
      </c>
      <c r="P2116" s="6" t="n">
        <f aca="false">IF(TablaVentas[[#This Row],[Costo_unitario]]="","PENDIENTE",TablaVentas[[#This Row],[Unidades]]*TablaVentas[[#This Row],[Costo_unitario]])</f>
        <v>19761.54</v>
      </c>
      <c r="Q2116" s="6" t="n">
        <f aca="false">IF(OR(TablaVentas[[#This Row],[Ingreso_neto]]="PENDIENTE",TablaVentas[[#This Row],[Costo_total]]="PENDIENTE"),"PENDIENTE",TablaVentas[[#This Row],[Ingreso_neto]]-TablaVentas[[#This Row],[Costo_total]])</f>
        <v>8815.92</v>
      </c>
    </row>
    <row r="2117" customFormat="false" ht="13.5" hidden="false" customHeight="false" outlineLevel="0" collapsed="false">
      <c r="A2117" s="1" t="s">
        <v>1309</v>
      </c>
      <c r="B2117" s="1" t="n">
        <v>1</v>
      </c>
      <c r="C2117" s="5" t="n">
        <v>46282</v>
      </c>
      <c r="D2117" s="6" t="s">
        <v>357</v>
      </c>
      <c r="E2117" s="6" t="s">
        <v>139</v>
      </c>
      <c r="F2117" s="6" t="s">
        <v>73</v>
      </c>
      <c r="G2117" s="6" t="s">
        <v>64</v>
      </c>
      <c r="H2117" s="6" t="s">
        <v>80</v>
      </c>
      <c r="I2117" s="1" t="n">
        <v>1</v>
      </c>
      <c r="J2117" s="7" t="n">
        <v>19892.43</v>
      </c>
      <c r="K2117" s="8" t="n">
        <v>0.15</v>
      </c>
      <c r="L2117" s="7" t="n">
        <v>11036.95</v>
      </c>
      <c r="M2117" s="6" t="s">
        <v>49</v>
      </c>
      <c r="N2117" s="6" t="s">
        <v>59</v>
      </c>
      <c r="O2117" s="6" t="n">
        <f aca="false">IF(TablaVentas[[#This Row],[Precio_unitario]]="","PENDIENTE",TablaVentas[[#This Row],[Unidades]]*TablaVentas[[#This Row],[Precio_unitario]]*(1-TablaVentas[[#This Row],[Descuento_pct]]))</f>
        <v>16908.5655</v>
      </c>
      <c r="P2117" s="6" t="n">
        <f aca="false">IF(TablaVentas[[#This Row],[Costo_unitario]]="","PENDIENTE",TablaVentas[[#This Row],[Unidades]]*TablaVentas[[#This Row],[Costo_unitario]])</f>
        <v>11036.95</v>
      </c>
      <c r="Q2117" s="6" t="n">
        <f aca="false">IF(OR(TablaVentas[[#This Row],[Ingreso_neto]]="PENDIENTE",TablaVentas[[#This Row],[Costo_total]]="PENDIENTE"),"PENDIENTE",TablaVentas[[#This Row],[Ingreso_neto]]-TablaVentas[[#This Row],[Costo_total]])</f>
        <v>5871.6155</v>
      </c>
    </row>
    <row r="2118" customFormat="false" ht="13.5" hidden="false" customHeight="false" outlineLevel="0" collapsed="false">
      <c r="A2118" s="1" t="s">
        <v>1309</v>
      </c>
      <c r="B2118" s="1" t="n">
        <v>2</v>
      </c>
      <c r="C2118" s="5" t="n">
        <v>46282</v>
      </c>
      <c r="D2118" s="6" t="s">
        <v>357</v>
      </c>
      <c r="E2118" s="6" t="s">
        <v>130</v>
      </c>
      <c r="F2118" s="6" t="s">
        <v>73</v>
      </c>
      <c r="G2118" s="6" t="s">
        <v>64</v>
      </c>
      <c r="H2118" s="6" t="s">
        <v>80</v>
      </c>
      <c r="I2118" s="1" t="n">
        <v>1</v>
      </c>
      <c r="J2118" s="7" t="n">
        <v>18783.21</v>
      </c>
      <c r="K2118" s="8" t="n">
        <v>0</v>
      </c>
      <c r="L2118" s="7" t="n">
        <v>12679.41</v>
      </c>
      <c r="M2118" s="6" t="s">
        <v>49</v>
      </c>
      <c r="N2118" s="6" t="s">
        <v>67</v>
      </c>
      <c r="O2118" s="6" t="n">
        <f aca="false">IF(TablaVentas[[#This Row],[Precio_unitario]]="","PENDIENTE",TablaVentas[[#This Row],[Unidades]]*TablaVentas[[#This Row],[Precio_unitario]]*(1-TablaVentas[[#This Row],[Descuento_pct]]))</f>
        <v>18783.21</v>
      </c>
      <c r="P2118" s="6" t="n">
        <f aca="false">IF(TablaVentas[[#This Row],[Costo_unitario]]="","PENDIENTE",TablaVentas[[#This Row],[Unidades]]*TablaVentas[[#This Row],[Costo_unitario]])</f>
        <v>12679.41</v>
      </c>
      <c r="Q2118" s="6" t="n">
        <f aca="false">IF(OR(TablaVentas[[#This Row],[Ingreso_neto]]="PENDIENTE",TablaVentas[[#This Row],[Costo_total]]="PENDIENTE"),"PENDIENTE",TablaVentas[[#This Row],[Ingreso_neto]]-TablaVentas[[#This Row],[Costo_total]])</f>
        <v>6103.8</v>
      </c>
    </row>
    <row r="2119" customFormat="false" ht="13.5" hidden="false" customHeight="false" outlineLevel="0" collapsed="false">
      <c r="A2119" s="1" t="s">
        <v>1309</v>
      </c>
      <c r="B2119" s="1" t="n">
        <v>3</v>
      </c>
      <c r="C2119" s="5" t="n">
        <v>46282</v>
      </c>
      <c r="D2119" s="6" t="s">
        <v>357</v>
      </c>
      <c r="E2119" s="6" t="s">
        <v>243</v>
      </c>
      <c r="F2119" s="6" t="s">
        <v>73</v>
      </c>
      <c r="G2119" s="6" t="s">
        <v>64</v>
      </c>
      <c r="H2119" s="6" t="s">
        <v>80</v>
      </c>
      <c r="I2119" s="1" t="n">
        <v>1</v>
      </c>
      <c r="J2119" s="7" t="n">
        <v>10121.29</v>
      </c>
      <c r="K2119" s="8" t="n">
        <v>0</v>
      </c>
      <c r="L2119" s="7" t="n">
        <v>8061.7</v>
      </c>
      <c r="M2119" s="6" t="s">
        <v>49</v>
      </c>
      <c r="N2119" s="6" t="s">
        <v>52</v>
      </c>
      <c r="O2119" s="6" t="n">
        <f aca="false">IF(TablaVentas[[#This Row],[Precio_unitario]]="","PENDIENTE",TablaVentas[[#This Row],[Unidades]]*TablaVentas[[#This Row],[Precio_unitario]]*(1-TablaVentas[[#This Row],[Descuento_pct]]))</f>
        <v>10121.29</v>
      </c>
      <c r="P2119" s="6" t="n">
        <f aca="false">IF(TablaVentas[[#This Row],[Costo_unitario]]="","PENDIENTE",TablaVentas[[#This Row],[Unidades]]*TablaVentas[[#This Row],[Costo_unitario]])</f>
        <v>8061.7</v>
      </c>
      <c r="Q2119" s="6" t="n">
        <f aca="false">IF(OR(TablaVentas[[#This Row],[Ingreso_neto]]="PENDIENTE",TablaVentas[[#This Row],[Costo_total]]="PENDIENTE"),"PENDIENTE",TablaVentas[[#This Row],[Ingreso_neto]]-TablaVentas[[#This Row],[Costo_total]])</f>
        <v>2059.59</v>
      </c>
    </row>
    <row r="2120" customFormat="false" ht="13.5" hidden="false" customHeight="false" outlineLevel="0" collapsed="false">
      <c r="A2120" s="1" t="s">
        <v>1309</v>
      </c>
      <c r="B2120" s="1" t="n">
        <v>4</v>
      </c>
      <c r="C2120" s="5" t="n">
        <v>46282</v>
      </c>
      <c r="D2120" s="6" t="s">
        <v>357</v>
      </c>
      <c r="E2120" s="6" t="s">
        <v>167</v>
      </c>
      <c r="F2120" s="6" t="s">
        <v>73</v>
      </c>
      <c r="G2120" s="6" t="s">
        <v>64</v>
      </c>
      <c r="H2120" s="6" t="s">
        <v>80</v>
      </c>
      <c r="I2120" s="1" t="n">
        <v>2</v>
      </c>
      <c r="J2120" s="7" t="n">
        <v>7166.38</v>
      </c>
      <c r="K2120" s="8" t="n">
        <v>0</v>
      </c>
      <c r="L2120" s="7" t="n">
        <v>4082.15</v>
      </c>
      <c r="M2120" s="6" t="s">
        <v>69</v>
      </c>
      <c r="N2120" s="6" t="s">
        <v>59</v>
      </c>
      <c r="O2120" s="6" t="n">
        <f aca="false">IF(TablaVentas[[#This Row],[Precio_unitario]]="","PENDIENTE",TablaVentas[[#This Row],[Unidades]]*TablaVentas[[#This Row],[Precio_unitario]]*(1-TablaVentas[[#This Row],[Descuento_pct]]))</f>
        <v>14332.76</v>
      </c>
      <c r="P2120" s="6" t="n">
        <f aca="false">IF(TablaVentas[[#This Row],[Costo_unitario]]="","PENDIENTE",TablaVentas[[#This Row],[Unidades]]*TablaVentas[[#This Row],[Costo_unitario]])</f>
        <v>8164.3</v>
      </c>
      <c r="Q2120" s="6" t="n">
        <f aca="false">IF(OR(TablaVentas[[#This Row],[Ingreso_neto]]="PENDIENTE",TablaVentas[[#This Row],[Costo_total]]="PENDIENTE"),"PENDIENTE",TablaVentas[[#This Row],[Ingreso_neto]]-TablaVentas[[#This Row],[Costo_total]])</f>
        <v>6168.46</v>
      </c>
    </row>
    <row r="2121" customFormat="false" ht="13.5" hidden="false" customHeight="false" outlineLevel="0" collapsed="false">
      <c r="A2121" s="1" t="s">
        <v>1310</v>
      </c>
      <c r="B2121" s="1" t="n">
        <v>1</v>
      </c>
      <c r="C2121" s="5" t="n">
        <v>46117</v>
      </c>
      <c r="D2121" s="6" t="s">
        <v>419</v>
      </c>
      <c r="E2121" s="6" t="s">
        <v>404</v>
      </c>
      <c r="F2121" s="6" t="s">
        <v>73</v>
      </c>
      <c r="G2121" s="6" t="s">
        <v>47</v>
      </c>
      <c r="H2121" s="6" t="s">
        <v>58</v>
      </c>
      <c r="I2121" s="1" t="n">
        <v>5</v>
      </c>
      <c r="J2121" s="7" t="n">
        <v>6680.44</v>
      </c>
      <c r="K2121" s="8" t="n">
        <v>0</v>
      </c>
      <c r="L2121" s="7" t="n">
        <v>3640.56</v>
      </c>
      <c r="M2121" s="6" t="s">
        <v>49</v>
      </c>
      <c r="N2121" s="6" t="s">
        <v>59</v>
      </c>
      <c r="O2121" s="6" t="n">
        <f aca="false">IF(TablaVentas[[#This Row],[Precio_unitario]]="","PENDIENTE",TablaVentas[[#This Row],[Unidades]]*TablaVentas[[#This Row],[Precio_unitario]]*(1-TablaVentas[[#This Row],[Descuento_pct]]))</f>
        <v>33402.2</v>
      </c>
      <c r="P2121" s="6" t="n">
        <f aca="false">IF(TablaVentas[[#This Row],[Costo_unitario]]="","PENDIENTE",TablaVentas[[#This Row],[Unidades]]*TablaVentas[[#This Row],[Costo_unitario]])</f>
        <v>18202.8</v>
      </c>
      <c r="Q2121" s="6" t="n">
        <f aca="false">IF(OR(TablaVentas[[#This Row],[Ingreso_neto]]="PENDIENTE",TablaVentas[[#This Row],[Costo_total]]="PENDIENTE"),"PENDIENTE",TablaVentas[[#This Row],[Ingreso_neto]]-TablaVentas[[#This Row],[Costo_total]])</f>
        <v>15199.4</v>
      </c>
    </row>
    <row r="2122" customFormat="false" ht="13.5" hidden="false" customHeight="false" outlineLevel="0" collapsed="false">
      <c r="A2122" s="1" t="s">
        <v>1310</v>
      </c>
      <c r="B2122" s="1" t="n">
        <v>2</v>
      </c>
      <c r="C2122" s="5" t="n">
        <v>46117</v>
      </c>
      <c r="D2122" s="6" t="s">
        <v>419</v>
      </c>
      <c r="E2122" s="6" t="s">
        <v>187</v>
      </c>
      <c r="F2122" s="6" t="s">
        <v>73</v>
      </c>
      <c r="G2122" s="6" t="s">
        <v>47</v>
      </c>
      <c r="H2122" s="6" t="s">
        <v>58</v>
      </c>
      <c r="I2122" s="1" t="n">
        <v>5</v>
      </c>
      <c r="J2122" s="7" t="n">
        <v>6592.04</v>
      </c>
      <c r="K2122" s="8" t="n">
        <v>0.1</v>
      </c>
      <c r="L2122" s="7" t="n">
        <v>3824.92</v>
      </c>
      <c r="M2122" s="6" t="s">
        <v>49</v>
      </c>
      <c r="N2122" s="6" t="s">
        <v>59</v>
      </c>
      <c r="O2122" s="6" t="n">
        <f aca="false">IF(TablaVentas[[#This Row],[Precio_unitario]]="","PENDIENTE",TablaVentas[[#This Row],[Unidades]]*TablaVentas[[#This Row],[Precio_unitario]]*(1-TablaVentas[[#This Row],[Descuento_pct]]))</f>
        <v>29664.18</v>
      </c>
      <c r="P2122" s="6" t="n">
        <f aca="false">IF(TablaVentas[[#This Row],[Costo_unitario]]="","PENDIENTE",TablaVentas[[#This Row],[Unidades]]*TablaVentas[[#This Row],[Costo_unitario]])</f>
        <v>19124.6</v>
      </c>
      <c r="Q2122" s="6" t="n">
        <f aca="false">IF(OR(TablaVentas[[#This Row],[Ingreso_neto]]="PENDIENTE",TablaVentas[[#This Row],[Costo_total]]="PENDIENTE"),"PENDIENTE",TablaVentas[[#This Row],[Ingreso_neto]]-TablaVentas[[#This Row],[Costo_total]])</f>
        <v>10539.58</v>
      </c>
    </row>
    <row r="2123" customFormat="false" ht="13.5" hidden="false" customHeight="false" outlineLevel="0" collapsed="false">
      <c r="A2123" s="1" t="s">
        <v>1311</v>
      </c>
      <c r="B2123" s="1" t="n">
        <v>1</v>
      </c>
      <c r="C2123" s="5" t="n">
        <v>46279</v>
      </c>
      <c r="D2123" s="6" t="s">
        <v>115</v>
      </c>
      <c r="E2123" s="6" t="s">
        <v>158</v>
      </c>
      <c r="F2123" s="6" t="s">
        <v>84</v>
      </c>
      <c r="G2123" s="6" t="s">
        <v>57</v>
      </c>
      <c r="H2123" s="6" t="s">
        <v>89</v>
      </c>
      <c r="I2123" s="1" t="n">
        <v>4</v>
      </c>
      <c r="J2123" s="7" t="n">
        <v>15670.37</v>
      </c>
      <c r="K2123" s="8" t="n">
        <v>0</v>
      </c>
      <c r="L2123" s="7" t="n">
        <v>8963.23</v>
      </c>
      <c r="M2123" s="6" t="s">
        <v>49</v>
      </c>
      <c r="N2123" s="6" t="s">
        <v>52</v>
      </c>
      <c r="O2123" s="6" t="n">
        <f aca="false">IF(TablaVentas[[#This Row],[Precio_unitario]]="","PENDIENTE",TablaVentas[[#This Row],[Unidades]]*TablaVentas[[#This Row],[Precio_unitario]]*(1-TablaVentas[[#This Row],[Descuento_pct]]))</f>
        <v>62681.48</v>
      </c>
      <c r="P2123" s="6" t="n">
        <f aca="false">IF(TablaVentas[[#This Row],[Costo_unitario]]="","PENDIENTE",TablaVentas[[#This Row],[Unidades]]*TablaVentas[[#This Row],[Costo_unitario]])</f>
        <v>35852.92</v>
      </c>
      <c r="Q2123" s="6" t="n">
        <f aca="false">IF(OR(TablaVentas[[#This Row],[Ingreso_neto]]="PENDIENTE",TablaVentas[[#This Row],[Costo_total]]="PENDIENTE"),"PENDIENTE",TablaVentas[[#This Row],[Ingreso_neto]]-TablaVentas[[#This Row],[Costo_total]])</f>
        <v>26828.56</v>
      </c>
    </row>
    <row r="2124" customFormat="false" ht="13.5" hidden="false" customHeight="false" outlineLevel="0" collapsed="false">
      <c r="A2124" s="1" t="s">
        <v>1311</v>
      </c>
      <c r="B2124" s="1" t="n">
        <v>2</v>
      </c>
      <c r="C2124" s="5" t="n">
        <v>46279</v>
      </c>
      <c r="D2124" s="6" t="s">
        <v>115</v>
      </c>
      <c r="E2124" s="6" t="s">
        <v>360</v>
      </c>
      <c r="F2124" s="6" t="s">
        <v>84</v>
      </c>
      <c r="G2124" s="6" t="s">
        <v>57</v>
      </c>
      <c r="H2124" s="6" t="s">
        <v>89</v>
      </c>
      <c r="I2124" s="1" t="n">
        <v>3</v>
      </c>
      <c r="J2124" s="7" t="n">
        <v>2071.75</v>
      </c>
      <c r="K2124" s="8" t="n">
        <v>0</v>
      </c>
      <c r="L2124" s="7" t="n">
        <v>1479.71</v>
      </c>
      <c r="M2124" s="6" t="s">
        <v>49</v>
      </c>
      <c r="N2124" s="6" t="s">
        <v>67</v>
      </c>
      <c r="O2124" s="6" t="n">
        <f aca="false">IF(TablaVentas[[#This Row],[Precio_unitario]]="","PENDIENTE",TablaVentas[[#This Row],[Unidades]]*TablaVentas[[#This Row],[Precio_unitario]]*(1-TablaVentas[[#This Row],[Descuento_pct]]))</f>
        <v>6215.25</v>
      </c>
      <c r="P2124" s="6" t="n">
        <f aca="false">IF(TablaVentas[[#This Row],[Costo_unitario]]="","PENDIENTE",TablaVentas[[#This Row],[Unidades]]*TablaVentas[[#This Row],[Costo_unitario]])</f>
        <v>4439.13</v>
      </c>
      <c r="Q2124" s="6" t="n">
        <f aca="false">IF(OR(TablaVentas[[#This Row],[Ingreso_neto]]="PENDIENTE",TablaVentas[[#This Row],[Costo_total]]="PENDIENTE"),"PENDIENTE",TablaVentas[[#This Row],[Ingreso_neto]]-TablaVentas[[#This Row],[Costo_total]])</f>
        <v>1776.12</v>
      </c>
    </row>
    <row r="2125" customFormat="false" ht="13.5" hidden="false" customHeight="false" outlineLevel="0" collapsed="false">
      <c r="A2125" s="1" t="s">
        <v>1311</v>
      </c>
      <c r="B2125" s="1" t="n">
        <v>3</v>
      </c>
      <c r="C2125" s="5" t="n">
        <v>46279</v>
      </c>
      <c r="D2125" s="6" t="s">
        <v>115</v>
      </c>
      <c r="E2125" s="6" t="s">
        <v>126</v>
      </c>
      <c r="F2125" s="6" t="s">
        <v>84</v>
      </c>
      <c r="G2125" s="6" t="s">
        <v>57</v>
      </c>
      <c r="H2125" s="6" t="s">
        <v>89</v>
      </c>
      <c r="I2125" s="1" t="n">
        <v>1</v>
      </c>
      <c r="J2125" s="7" t="n">
        <v>9099.69</v>
      </c>
      <c r="K2125" s="8" t="n">
        <v>0.1</v>
      </c>
      <c r="L2125" s="7" t="n">
        <v>6981.94</v>
      </c>
      <c r="M2125" s="6" t="s">
        <v>49</v>
      </c>
      <c r="N2125" s="6" t="s">
        <v>50</v>
      </c>
      <c r="O2125" s="6" t="n">
        <f aca="false">IF(TablaVentas[[#This Row],[Precio_unitario]]="","PENDIENTE",TablaVentas[[#This Row],[Unidades]]*TablaVentas[[#This Row],[Precio_unitario]]*(1-TablaVentas[[#This Row],[Descuento_pct]]))</f>
        <v>8189.721</v>
      </c>
      <c r="P2125" s="6" t="n">
        <f aca="false">IF(TablaVentas[[#This Row],[Costo_unitario]]="","PENDIENTE",TablaVentas[[#This Row],[Unidades]]*TablaVentas[[#This Row],[Costo_unitario]])</f>
        <v>6981.94</v>
      </c>
      <c r="Q2125" s="6" t="n">
        <f aca="false">IF(OR(TablaVentas[[#This Row],[Ingreso_neto]]="PENDIENTE",TablaVentas[[#This Row],[Costo_total]]="PENDIENTE"),"PENDIENTE",TablaVentas[[#This Row],[Ingreso_neto]]-TablaVentas[[#This Row],[Costo_total]])</f>
        <v>1207.781</v>
      </c>
    </row>
    <row r="2126" customFormat="false" ht="13.5" hidden="false" customHeight="false" outlineLevel="0" collapsed="false">
      <c r="A2126" s="1" t="s">
        <v>1311</v>
      </c>
      <c r="B2126" s="1" t="n">
        <v>4</v>
      </c>
      <c r="C2126" s="5" t="n">
        <v>46279</v>
      </c>
      <c r="D2126" s="6" t="s">
        <v>115</v>
      </c>
      <c r="E2126" s="6" t="s">
        <v>110</v>
      </c>
      <c r="F2126" s="6" t="s">
        <v>84</v>
      </c>
      <c r="G2126" s="6" t="s">
        <v>57</v>
      </c>
      <c r="H2126" s="6" t="s">
        <v>89</v>
      </c>
      <c r="I2126" s="1" t="n">
        <v>1</v>
      </c>
      <c r="J2126" s="7" t="n">
        <v>13260.96</v>
      </c>
      <c r="K2126" s="8" t="n">
        <v>0.05</v>
      </c>
      <c r="L2126" s="7" t="n">
        <v>7549.71</v>
      </c>
      <c r="M2126" s="6" t="s">
        <v>69</v>
      </c>
      <c r="N2126" s="6" t="s">
        <v>52</v>
      </c>
      <c r="O2126" s="6" t="n">
        <f aca="false">IF(TablaVentas[[#This Row],[Precio_unitario]]="","PENDIENTE",TablaVentas[[#This Row],[Unidades]]*TablaVentas[[#This Row],[Precio_unitario]]*(1-TablaVentas[[#This Row],[Descuento_pct]]))</f>
        <v>12597.912</v>
      </c>
      <c r="P2126" s="6" t="n">
        <f aca="false">IF(TablaVentas[[#This Row],[Costo_unitario]]="","PENDIENTE",TablaVentas[[#This Row],[Unidades]]*TablaVentas[[#This Row],[Costo_unitario]])</f>
        <v>7549.71</v>
      </c>
      <c r="Q2126" s="6" t="n">
        <f aca="false">IF(OR(TablaVentas[[#This Row],[Ingreso_neto]]="PENDIENTE",TablaVentas[[#This Row],[Costo_total]]="PENDIENTE"),"PENDIENTE",TablaVentas[[#This Row],[Ingreso_neto]]-TablaVentas[[#This Row],[Costo_total]])</f>
        <v>5048.202</v>
      </c>
    </row>
    <row r="2127" customFormat="false" ht="13.5" hidden="false" customHeight="false" outlineLevel="0" collapsed="false">
      <c r="A2127" s="1" t="s">
        <v>1312</v>
      </c>
      <c r="B2127" s="1" t="n">
        <v>1</v>
      </c>
      <c r="C2127" s="5" t="n">
        <v>46061</v>
      </c>
      <c r="D2127" s="6" t="s">
        <v>401</v>
      </c>
      <c r="E2127" s="6" t="s">
        <v>126</v>
      </c>
      <c r="F2127" s="6" t="s">
        <v>63</v>
      </c>
      <c r="G2127" s="6" t="s">
        <v>57</v>
      </c>
      <c r="H2127" s="6" t="s">
        <v>74</v>
      </c>
      <c r="I2127" s="1" t="n">
        <v>2</v>
      </c>
      <c r="J2127" s="7" t="n">
        <v>8541.29</v>
      </c>
      <c r="K2127" s="8" t="n">
        <v>0</v>
      </c>
      <c r="L2127" s="7" t="n">
        <v>6981.94</v>
      </c>
      <c r="M2127" s="6" t="s">
        <v>49</v>
      </c>
      <c r="N2127" s="6" t="s">
        <v>50</v>
      </c>
      <c r="O2127" s="6" t="n">
        <f aca="false">IF(TablaVentas[[#This Row],[Precio_unitario]]="","PENDIENTE",TablaVentas[[#This Row],[Unidades]]*TablaVentas[[#This Row],[Precio_unitario]]*(1-TablaVentas[[#This Row],[Descuento_pct]]))</f>
        <v>17082.58</v>
      </c>
      <c r="P2127" s="6" t="n">
        <f aca="false">IF(TablaVentas[[#This Row],[Costo_unitario]]="","PENDIENTE",TablaVentas[[#This Row],[Unidades]]*TablaVentas[[#This Row],[Costo_unitario]])</f>
        <v>13963.88</v>
      </c>
      <c r="Q2127" s="6" t="n">
        <f aca="false">IF(OR(TablaVentas[[#This Row],[Ingreso_neto]]="PENDIENTE",TablaVentas[[#This Row],[Costo_total]]="PENDIENTE"),"PENDIENTE",TablaVentas[[#This Row],[Ingreso_neto]]-TablaVentas[[#This Row],[Costo_total]])</f>
        <v>3118.7</v>
      </c>
    </row>
    <row r="2128" customFormat="false" ht="13.5" hidden="false" customHeight="false" outlineLevel="0" collapsed="false">
      <c r="A2128" s="1" t="s">
        <v>1312</v>
      </c>
      <c r="B2128" s="1" t="n">
        <v>2</v>
      </c>
      <c r="C2128" s="5" t="n">
        <v>46061</v>
      </c>
      <c r="D2128" s="6" t="s">
        <v>401</v>
      </c>
      <c r="E2128" s="6" t="s">
        <v>284</v>
      </c>
      <c r="F2128" s="6" t="s">
        <v>63</v>
      </c>
      <c r="G2128" s="6" t="s">
        <v>57</v>
      </c>
      <c r="H2128" s="6" t="s">
        <v>74</v>
      </c>
      <c r="I2128" s="1" t="n">
        <v>3</v>
      </c>
      <c r="J2128" s="7" t="n">
        <v>6095.49</v>
      </c>
      <c r="K2128" s="8" t="n">
        <v>0.2</v>
      </c>
      <c r="L2128" s="7" t="n">
        <v>4858.08</v>
      </c>
      <c r="M2128" s="6" t="s">
        <v>49</v>
      </c>
      <c r="N2128" s="6" t="s">
        <v>67</v>
      </c>
      <c r="O2128" s="6" t="n">
        <f aca="false">IF(TablaVentas[[#This Row],[Precio_unitario]]="","PENDIENTE",TablaVentas[[#This Row],[Unidades]]*TablaVentas[[#This Row],[Precio_unitario]]*(1-TablaVentas[[#This Row],[Descuento_pct]]))</f>
        <v>14629.176</v>
      </c>
      <c r="P2128" s="6" t="n">
        <f aca="false">IF(TablaVentas[[#This Row],[Costo_unitario]]="","PENDIENTE",TablaVentas[[#This Row],[Unidades]]*TablaVentas[[#This Row],[Costo_unitario]])</f>
        <v>14574.24</v>
      </c>
      <c r="Q2128" s="6" t="n">
        <f aca="false">IF(OR(TablaVentas[[#This Row],[Ingreso_neto]]="PENDIENTE",TablaVentas[[#This Row],[Costo_total]]="PENDIENTE"),"PENDIENTE",TablaVentas[[#This Row],[Ingreso_neto]]-TablaVentas[[#This Row],[Costo_total]])</f>
        <v>54.9360000000015</v>
      </c>
    </row>
    <row r="2129" customFormat="false" ht="13.5" hidden="false" customHeight="false" outlineLevel="0" collapsed="false">
      <c r="A2129" s="1" t="s">
        <v>1313</v>
      </c>
      <c r="B2129" s="1" t="n">
        <v>1</v>
      </c>
      <c r="C2129" s="5" t="n">
        <v>46042</v>
      </c>
      <c r="D2129" s="6" t="s">
        <v>777</v>
      </c>
      <c r="E2129" s="6" t="s">
        <v>126</v>
      </c>
      <c r="F2129" s="6" t="s">
        <v>46</v>
      </c>
      <c r="G2129" s="6" t="s">
        <v>57</v>
      </c>
      <c r="H2129" s="6" t="s">
        <v>136</v>
      </c>
      <c r="I2129" s="1" t="n">
        <v>8</v>
      </c>
      <c r="J2129" s="7" t="n">
        <v>8907.7</v>
      </c>
      <c r="K2129" s="8" t="n">
        <v>0.1</v>
      </c>
      <c r="L2129" s="7" t="n">
        <v>6981.94</v>
      </c>
      <c r="M2129" s="6" t="s">
        <v>49</v>
      </c>
      <c r="N2129" s="6" t="s">
        <v>50</v>
      </c>
      <c r="O2129" s="6" t="n">
        <f aca="false">IF(TablaVentas[[#This Row],[Precio_unitario]]="","PENDIENTE",TablaVentas[[#This Row],[Unidades]]*TablaVentas[[#This Row],[Precio_unitario]]*(1-TablaVentas[[#This Row],[Descuento_pct]]))</f>
        <v>64135.44</v>
      </c>
      <c r="P2129" s="6" t="n">
        <f aca="false">IF(TablaVentas[[#This Row],[Costo_unitario]]="","PENDIENTE",TablaVentas[[#This Row],[Unidades]]*TablaVentas[[#This Row],[Costo_unitario]])</f>
        <v>55855.52</v>
      </c>
      <c r="Q2129" s="6" t="n">
        <f aca="false">IF(OR(TablaVentas[[#This Row],[Ingreso_neto]]="PENDIENTE",TablaVentas[[#This Row],[Costo_total]]="PENDIENTE"),"PENDIENTE",TablaVentas[[#This Row],[Ingreso_neto]]-TablaVentas[[#This Row],[Costo_total]])</f>
        <v>8279.92000000001</v>
      </c>
    </row>
    <row r="2130" customFormat="false" ht="13.5" hidden="false" customHeight="false" outlineLevel="0" collapsed="false">
      <c r="A2130" s="1" t="s">
        <v>1313</v>
      </c>
      <c r="B2130" s="1" t="n">
        <v>2</v>
      </c>
      <c r="C2130" s="5" t="n">
        <v>46042</v>
      </c>
      <c r="D2130" s="6" t="s">
        <v>777</v>
      </c>
      <c r="E2130" s="6" t="s">
        <v>117</v>
      </c>
      <c r="F2130" s="6" t="s">
        <v>46</v>
      </c>
      <c r="G2130" s="6" t="s">
        <v>57</v>
      </c>
      <c r="H2130" s="6" t="s">
        <v>136</v>
      </c>
      <c r="I2130" s="1" t="n">
        <v>1</v>
      </c>
      <c r="J2130" s="7" t="n">
        <v>5019.85</v>
      </c>
      <c r="K2130" s="8" t="n">
        <v>0.1</v>
      </c>
      <c r="L2130" s="7" t="n">
        <v>4205.69</v>
      </c>
      <c r="M2130" s="6" t="s">
        <v>69</v>
      </c>
      <c r="N2130" s="6" t="s">
        <v>52</v>
      </c>
      <c r="O2130" s="6" t="n">
        <f aca="false">IF(TablaVentas[[#This Row],[Precio_unitario]]="","PENDIENTE",TablaVentas[[#This Row],[Unidades]]*TablaVentas[[#This Row],[Precio_unitario]]*(1-TablaVentas[[#This Row],[Descuento_pct]]))</f>
        <v>4517.865</v>
      </c>
      <c r="P2130" s="6" t="n">
        <f aca="false">IF(TablaVentas[[#This Row],[Costo_unitario]]="","PENDIENTE",TablaVentas[[#This Row],[Unidades]]*TablaVentas[[#This Row],[Costo_unitario]])</f>
        <v>4205.69</v>
      </c>
      <c r="Q2130" s="6" t="n">
        <f aca="false">IF(OR(TablaVentas[[#This Row],[Ingreso_neto]]="PENDIENTE",TablaVentas[[#This Row],[Costo_total]]="PENDIENTE"),"PENDIENTE",TablaVentas[[#This Row],[Ingreso_neto]]-TablaVentas[[#This Row],[Costo_total]])</f>
        <v>312.175000000001</v>
      </c>
    </row>
    <row r="2131" customFormat="false" ht="13.5" hidden="false" customHeight="false" outlineLevel="0" collapsed="false">
      <c r="A2131" s="1" t="s">
        <v>1313</v>
      </c>
      <c r="B2131" s="1" t="n">
        <v>3</v>
      </c>
      <c r="C2131" s="5" t="n">
        <v>46042</v>
      </c>
      <c r="D2131" s="6" t="s">
        <v>777</v>
      </c>
      <c r="E2131" s="6" t="s">
        <v>120</v>
      </c>
      <c r="F2131" s="6" t="s">
        <v>46</v>
      </c>
      <c r="G2131" s="6" t="s">
        <v>57</v>
      </c>
      <c r="H2131" s="6" t="s">
        <v>136</v>
      </c>
      <c r="I2131" s="1" t="n">
        <v>2</v>
      </c>
      <c r="J2131" s="7" t="n">
        <v>3190.41</v>
      </c>
      <c r="K2131" s="8" t="n">
        <v>0.05</v>
      </c>
      <c r="L2131" s="7" t="n">
        <v>2196.34</v>
      </c>
      <c r="M2131" s="6" t="s">
        <v>49</v>
      </c>
      <c r="N2131" s="6" t="s">
        <v>50</v>
      </c>
      <c r="O2131" s="6" t="n">
        <f aca="false">IF(TablaVentas[[#This Row],[Precio_unitario]]="","PENDIENTE",TablaVentas[[#This Row],[Unidades]]*TablaVentas[[#This Row],[Precio_unitario]]*(1-TablaVentas[[#This Row],[Descuento_pct]]))</f>
        <v>6061.779</v>
      </c>
      <c r="P2131" s="6" t="n">
        <f aca="false">IF(TablaVentas[[#This Row],[Costo_unitario]]="","PENDIENTE",TablaVentas[[#This Row],[Unidades]]*TablaVentas[[#This Row],[Costo_unitario]])</f>
        <v>4392.68</v>
      </c>
      <c r="Q2131" s="6" t="n">
        <f aca="false">IF(OR(TablaVentas[[#This Row],[Ingreso_neto]]="PENDIENTE",TablaVentas[[#This Row],[Costo_total]]="PENDIENTE"),"PENDIENTE",TablaVentas[[#This Row],[Ingreso_neto]]-TablaVentas[[#This Row],[Costo_total]])</f>
        <v>1669.099</v>
      </c>
    </row>
    <row r="2132" customFormat="false" ht="13.5" hidden="false" customHeight="false" outlineLevel="0" collapsed="false">
      <c r="A2132" s="1" t="s">
        <v>1314</v>
      </c>
      <c r="B2132" s="1" t="n">
        <v>1</v>
      </c>
      <c r="C2132" s="5" t="n">
        <v>46140</v>
      </c>
      <c r="D2132" s="6" t="s">
        <v>321</v>
      </c>
      <c r="E2132" s="6" t="s">
        <v>278</v>
      </c>
      <c r="F2132" s="6" t="s">
        <v>46</v>
      </c>
      <c r="G2132" s="6" t="s">
        <v>57</v>
      </c>
      <c r="H2132" s="6" t="s">
        <v>58</v>
      </c>
      <c r="I2132" s="1" t="n">
        <v>1</v>
      </c>
      <c r="J2132" s="7" t="n">
        <v>1139.31</v>
      </c>
      <c r="K2132" s="8" t="n">
        <v>0</v>
      </c>
      <c r="L2132" s="7" t="n">
        <v>759.03</v>
      </c>
      <c r="M2132" s="6" t="s">
        <v>49</v>
      </c>
      <c r="N2132" s="6" t="s">
        <v>52</v>
      </c>
      <c r="O2132" s="6" t="n">
        <f aca="false">IF(TablaVentas[[#This Row],[Precio_unitario]]="","PENDIENTE",TablaVentas[[#This Row],[Unidades]]*TablaVentas[[#This Row],[Precio_unitario]]*(1-TablaVentas[[#This Row],[Descuento_pct]]))</f>
        <v>1139.31</v>
      </c>
      <c r="P2132" s="6" t="n">
        <f aca="false">IF(TablaVentas[[#This Row],[Costo_unitario]]="","PENDIENTE",TablaVentas[[#This Row],[Unidades]]*TablaVentas[[#This Row],[Costo_unitario]])</f>
        <v>759.03</v>
      </c>
      <c r="Q2132" s="6" t="n">
        <f aca="false">IF(OR(TablaVentas[[#This Row],[Ingreso_neto]]="PENDIENTE",TablaVentas[[#This Row],[Costo_total]]="PENDIENTE"),"PENDIENTE",TablaVentas[[#This Row],[Ingreso_neto]]-TablaVentas[[#This Row],[Costo_total]])</f>
        <v>380.28</v>
      </c>
    </row>
    <row r="2133" customFormat="false" ht="13.5" hidden="false" customHeight="false" outlineLevel="0" collapsed="false">
      <c r="A2133" s="1" t="s">
        <v>1314</v>
      </c>
      <c r="B2133" s="1" t="n">
        <v>2</v>
      </c>
      <c r="C2133" s="5" t="n">
        <v>46140</v>
      </c>
      <c r="D2133" s="6" t="s">
        <v>321</v>
      </c>
      <c r="E2133" s="6" t="s">
        <v>417</v>
      </c>
      <c r="F2133" s="6" t="s">
        <v>46</v>
      </c>
      <c r="G2133" s="6" t="s">
        <v>57</v>
      </c>
      <c r="H2133" s="6" t="s">
        <v>58</v>
      </c>
      <c r="I2133" s="1" t="n">
        <v>2</v>
      </c>
      <c r="J2133" s="7" t="n">
        <v>7697.94</v>
      </c>
      <c r="K2133" s="8" t="n">
        <v>0.15</v>
      </c>
      <c r="L2133" s="7" t="n">
        <v>5874.17</v>
      </c>
      <c r="M2133" s="6" t="s">
        <v>123</v>
      </c>
      <c r="N2133" s="6" t="s">
        <v>67</v>
      </c>
      <c r="O2133" s="6" t="n">
        <f aca="false">IF(TablaVentas[[#This Row],[Precio_unitario]]="","PENDIENTE",TablaVentas[[#This Row],[Unidades]]*TablaVentas[[#This Row],[Precio_unitario]]*(1-TablaVentas[[#This Row],[Descuento_pct]]))</f>
        <v>13086.498</v>
      </c>
      <c r="P2133" s="6" t="n">
        <f aca="false">IF(TablaVentas[[#This Row],[Costo_unitario]]="","PENDIENTE",TablaVentas[[#This Row],[Unidades]]*TablaVentas[[#This Row],[Costo_unitario]])</f>
        <v>11748.34</v>
      </c>
      <c r="Q2133" s="6" t="n">
        <f aca="false">IF(OR(TablaVentas[[#This Row],[Ingreso_neto]]="PENDIENTE",TablaVentas[[#This Row],[Costo_total]]="PENDIENTE"),"PENDIENTE",TablaVentas[[#This Row],[Ingreso_neto]]-TablaVentas[[#This Row],[Costo_total]])</f>
        <v>1338.158</v>
      </c>
    </row>
    <row r="2134" customFormat="false" ht="13.5" hidden="false" customHeight="false" outlineLevel="0" collapsed="false">
      <c r="A2134" s="1" t="s">
        <v>1315</v>
      </c>
      <c r="B2134" s="1" t="n">
        <v>1</v>
      </c>
      <c r="C2134" s="5" t="n">
        <v>46255</v>
      </c>
      <c r="D2134" s="6" t="s">
        <v>198</v>
      </c>
      <c r="E2134" s="6" t="s">
        <v>284</v>
      </c>
      <c r="F2134" s="6" t="s">
        <v>84</v>
      </c>
      <c r="G2134" s="6" t="s">
        <v>57</v>
      </c>
      <c r="H2134" s="6" t="s">
        <v>89</v>
      </c>
      <c r="I2134" s="1" t="n">
        <v>8</v>
      </c>
      <c r="J2134" s="7" t="n">
        <v>7207</v>
      </c>
      <c r="K2134" s="8" t="n">
        <v>0</v>
      </c>
      <c r="L2134" s="7" t="n">
        <v>4858.08</v>
      </c>
      <c r="M2134" s="6" t="s">
        <v>49</v>
      </c>
      <c r="N2134" s="6" t="s">
        <v>50</v>
      </c>
      <c r="O2134" s="6" t="n">
        <f aca="false">IF(TablaVentas[[#This Row],[Precio_unitario]]="","PENDIENTE",TablaVentas[[#This Row],[Unidades]]*TablaVentas[[#This Row],[Precio_unitario]]*(1-TablaVentas[[#This Row],[Descuento_pct]]))</f>
        <v>57656</v>
      </c>
      <c r="P2134" s="6" t="n">
        <f aca="false">IF(TablaVentas[[#This Row],[Costo_unitario]]="","PENDIENTE",TablaVentas[[#This Row],[Unidades]]*TablaVentas[[#This Row],[Costo_unitario]])</f>
        <v>38864.64</v>
      </c>
      <c r="Q2134" s="6" t="n">
        <f aca="false">IF(OR(TablaVentas[[#This Row],[Ingreso_neto]]="PENDIENTE",TablaVentas[[#This Row],[Costo_total]]="PENDIENTE"),"PENDIENTE",TablaVentas[[#This Row],[Ingreso_neto]]-TablaVentas[[#This Row],[Costo_total]])</f>
        <v>18791.36</v>
      </c>
    </row>
    <row r="2135" customFormat="false" ht="13.5" hidden="false" customHeight="false" outlineLevel="0" collapsed="false">
      <c r="A2135" s="1" t="s">
        <v>1316</v>
      </c>
      <c r="B2135" s="1" t="n">
        <v>1</v>
      </c>
      <c r="C2135" s="5" t="n">
        <v>46205</v>
      </c>
      <c r="D2135" s="6" t="s">
        <v>1317</v>
      </c>
      <c r="E2135" s="6" t="s">
        <v>328</v>
      </c>
      <c r="F2135" s="6" t="s">
        <v>63</v>
      </c>
      <c r="G2135" s="6" t="s">
        <v>57</v>
      </c>
      <c r="H2135" s="6" t="s">
        <v>191</v>
      </c>
      <c r="I2135" s="1" t="n">
        <v>3</v>
      </c>
      <c r="J2135" s="7" t="n">
        <v>1227.03</v>
      </c>
      <c r="K2135" s="8" t="n">
        <v>0</v>
      </c>
      <c r="L2135" s="7" t="n">
        <v>679.37</v>
      </c>
      <c r="M2135" s="6" t="s">
        <v>49</v>
      </c>
      <c r="N2135" s="6" t="s">
        <v>59</v>
      </c>
      <c r="O2135" s="6" t="n">
        <f aca="false">IF(TablaVentas[[#This Row],[Precio_unitario]]="","PENDIENTE",TablaVentas[[#This Row],[Unidades]]*TablaVentas[[#This Row],[Precio_unitario]]*(1-TablaVentas[[#This Row],[Descuento_pct]]))</f>
        <v>3681.09</v>
      </c>
      <c r="P2135" s="6" t="n">
        <f aca="false">IF(TablaVentas[[#This Row],[Costo_unitario]]="","PENDIENTE",TablaVentas[[#This Row],[Unidades]]*TablaVentas[[#This Row],[Costo_unitario]])</f>
        <v>2038.11</v>
      </c>
      <c r="Q2135" s="6" t="n">
        <f aca="false">IF(OR(TablaVentas[[#This Row],[Ingreso_neto]]="PENDIENTE",TablaVentas[[#This Row],[Costo_total]]="PENDIENTE"),"PENDIENTE",TablaVentas[[#This Row],[Ingreso_neto]]-TablaVentas[[#This Row],[Costo_total]])</f>
        <v>1642.98</v>
      </c>
    </row>
    <row r="2136" customFormat="false" ht="13.5" hidden="false" customHeight="false" outlineLevel="0" collapsed="false">
      <c r="A2136" s="1" t="s">
        <v>1316</v>
      </c>
      <c r="B2136" s="1" t="n">
        <v>2</v>
      </c>
      <c r="C2136" s="5" t="n">
        <v>46205</v>
      </c>
      <c r="D2136" s="6" t="s">
        <v>1317</v>
      </c>
      <c r="E2136" s="6" t="s">
        <v>83</v>
      </c>
      <c r="F2136" s="6" t="s">
        <v>63</v>
      </c>
      <c r="G2136" s="6" t="s">
        <v>57</v>
      </c>
      <c r="H2136" s="6" t="s">
        <v>191</v>
      </c>
      <c r="I2136" s="1" t="n">
        <v>1</v>
      </c>
      <c r="J2136" s="7" t="n">
        <v>14207.97</v>
      </c>
      <c r="K2136" s="8" t="n">
        <v>0</v>
      </c>
      <c r="L2136" s="7" t="n">
        <v>7748.44</v>
      </c>
      <c r="M2136" s="6" t="s">
        <v>49</v>
      </c>
      <c r="N2136" s="6" t="s">
        <v>59</v>
      </c>
      <c r="O2136" s="6" t="n">
        <f aca="false">IF(TablaVentas[[#This Row],[Precio_unitario]]="","PENDIENTE",TablaVentas[[#This Row],[Unidades]]*TablaVentas[[#This Row],[Precio_unitario]]*(1-TablaVentas[[#This Row],[Descuento_pct]]))</f>
        <v>14207.97</v>
      </c>
      <c r="P2136" s="6" t="n">
        <f aca="false">IF(TablaVentas[[#This Row],[Costo_unitario]]="","PENDIENTE",TablaVentas[[#This Row],[Unidades]]*TablaVentas[[#This Row],[Costo_unitario]])</f>
        <v>7748.44</v>
      </c>
      <c r="Q2136" s="6" t="n">
        <f aca="false">IF(OR(TablaVentas[[#This Row],[Ingreso_neto]]="PENDIENTE",TablaVentas[[#This Row],[Costo_total]]="PENDIENTE"),"PENDIENTE",TablaVentas[[#This Row],[Ingreso_neto]]-TablaVentas[[#This Row],[Costo_total]])</f>
        <v>6459.53</v>
      </c>
    </row>
    <row r="2137" customFormat="false" ht="13.5" hidden="false" customHeight="false" outlineLevel="0" collapsed="false">
      <c r="A2137" s="1" t="s">
        <v>1316</v>
      </c>
      <c r="B2137" s="1" t="n">
        <v>3</v>
      </c>
      <c r="C2137" s="5" t="n">
        <v>46205</v>
      </c>
      <c r="D2137" s="6" t="s">
        <v>1317</v>
      </c>
      <c r="E2137" s="6" t="s">
        <v>200</v>
      </c>
      <c r="F2137" s="6" t="s">
        <v>63</v>
      </c>
      <c r="G2137" s="6" t="s">
        <v>57</v>
      </c>
      <c r="H2137" s="6" t="s">
        <v>191</v>
      </c>
      <c r="I2137" s="1" t="n">
        <v>1</v>
      </c>
      <c r="J2137" s="7" t="n">
        <v>10861.35</v>
      </c>
      <c r="K2137" s="8" t="n">
        <v>0.1</v>
      </c>
      <c r="L2137" s="7" t="n">
        <v>5811.72</v>
      </c>
      <c r="M2137" s="6" t="s">
        <v>49</v>
      </c>
      <c r="N2137" s="6" t="s">
        <v>67</v>
      </c>
      <c r="O2137" s="6" t="n">
        <f aca="false">IF(TablaVentas[[#This Row],[Precio_unitario]]="","PENDIENTE",TablaVentas[[#This Row],[Unidades]]*TablaVentas[[#This Row],[Precio_unitario]]*(1-TablaVentas[[#This Row],[Descuento_pct]]))</f>
        <v>9775.215</v>
      </c>
      <c r="P2137" s="6" t="n">
        <f aca="false">IF(TablaVentas[[#This Row],[Costo_unitario]]="","PENDIENTE",TablaVentas[[#This Row],[Unidades]]*TablaVentas[[#This Row],[Costo_unitario]])</f>
        <v>5811.72</v>
      </c>
      <c r="Q2137" s="6" t="n">
        <f aca="false">IF(OR(TablaVentas[[#This Row],[Ingreso_neto]]="PENDIENTE",TablaVentas[[#This Row],[Costo_total]]="PENDIENTE"),"PENDIENTE",TablaVentas[[#This Row],[Ingreso_neto]]-TablaVentas[[#This Row],[Costo_total]])</f>
        <v>3963.495</v>
      </c>
    </row>
    <row r="2138" customFormat="false" ht="13.5" hidden="false" customHeight="false" outlineLevel="0" collapsed="false">
      <c r="A2138" s="1" t="s">
        <v>1318</v>
      </c>
      <c r="B2138" s="1" t="n">
        <v>1</v>
      </c>
      <c r="C2138" s="5" t="n">
        <v>46228</v>
      </c>
      <c r="D2138" s="6" t="s">
        <v>1049</v>
      </c>
      <c r="E2138" s="6" t="s">
        <v>328</v>
      </c>
      <c r="F2138" s="6" t="s">
        <v>73</v>
      </c>
      <c r="G2138" s="6" t="s">
        <v>47</v>
      </c>
      <c r="H2138" s="6" t="s">
        <v>89</v>
      </c>
      <c r="I2138" s="1" t="n">
        <v>12</v>
      </c>
      <c r="J2138" s="7" t="n">
        <v>1323.07</v>
      </c>
      <c r="K2138" s="8" t="n">
        <v>0</v>
      </c>
      <c r="L2138" s="7" t="n">
        <v>679.37</v>
      </c>
      <c r="M2138" s="6" t="s">
        <v>69</v>
      </c>
      <c r="N2138" s="6" t="s">
        <v>50</v>
      </c>
      <c r="O2138" s="6" t="n">
        <f aca="false">IF(TablaVentas[[#This Row],[Precio_unitario]]="","PENDIENTE",TablaVentas[[#This Row],[Unidades]]*TablaVentas[[#This Row],[Precio_unitario]]*(1-TablaVentas[[#This Row],[Descuento_pct]]))</f>
        <v>15876.84</v>
      </c>
      <c r="P2138" s="6" t="n">
        <f aca="false">IF(TablaVentas[[#This Row],[Costo_unitario]]="","PENDIENTE",TablaVentas[[#This Row],[Unidades]]*TablaVentas[[#This Row],[Costo_unitario]])</f>
        <v>8152.44</v>
      </c>
      <c r="Q2138" s="6" t="n">
        <f aca="false">IF(OR(TablaVentas[[#This Row],[Ingreso_neto]]="PENDIENTE",TablaVentas[[#This Row],[Costo_total]]="PENDIENTE"),"PENDIENTE",TablaVentas[[#This Row],[Ingreso_neto]]-TablaVentas[[#This Row],[Costo_total]])</f>
        <v>7724.4</v>
      </c>
    </row>
    <row r="2139" customFormat="false" ht="13.5" hidden="false" customHeight="false" outlineLevel="0" collapsed="false">
      <c r="A2139" s="1" t="s">
        <v>1319</v>
      </c>
      <c r="B2139" s="1" t="n">
        <v>1</v>
      </c>
      <c r="C2139" s="5" t="n">
        <v>46027</v>
      </c>
      <c r="D2139" s="6" t="s">
        <v>557</v>
      </c>
      <c r="E2139" s="6" t="s">
        <v>113</v>
      </c>
      <c r="F2139" s="6" t="s">
        <v>63</v>
      </c>
      <c r="G2139" s="6" t="s">
        <v>57</v>
      </c>
      <c r="H2139" s="6" t="s">
        <v>191</v>
      </c>
      <c r="I2139" s="1" t="n">
        <v>3</v>
      </c>
      <c r="J2139" s="7" t="n">
        <v>10295.71</v>
      </c>
      <c r="K2139" s="8" t="n">
        <v>0</v>
      </c>
      <c r="L2139" s="7" t="n">
        <v>8276.74</v>
      </c>
      <c r="M2139" s="6" t="s">
        <v>123</v>
      </c>
      <c r="N2139" s="6" t="s">
        <v>59</v>
      </c>
      <c r="O2139" s="6" t="n">
        <f aca="false">IF(TablaVentas[[#This Row],[Precio_unitario]]="","PENDIENTE",TablaVentas[[#This Row],[Unidades]]*TablaVentas[[#This Row],[Precio_unitario]]*(1-TablaVentas[[#This Row],[Descuento_pct]]))</f>
        <v>30887.13</v>
      </c>
      <c r="P2139" s="6" t="n">
        <f aca="false">IF(TablaVentas[[#This Row],[Costo_unitario]]="","PENDIENTE",TablaVentas[[#This Row],[Unidades]]*TablaVentas[[#This Row],[Costo_unitario]])</f>
        <v>24830.22</v>
      </c>
      <c r="Q2139" s="6" t="n">
        <f aca="false">IF(OR(TablaVentas[[#This Row],[Ingreso_neto]]="PENDIENTE",TablaVentas[[#This Row],[Costo_total]]="PENDIENTE"),"PENDIENTE",TablaVentas[[#This Row],[Ingreso_neto]]-TablaVentas[[#This Row],[Costo_total]])</f>
        <v>6056.91</v>
      </c>
    </row>
    <row r="2140" customFormat="false" ht="13.5" hidden="false" customHeight="false" outlineLevel="0" collapsed="false">
      <c r="A2140" s="1" t="s">
        <v>1319</v>
      </c>
      <c r="B2140" s="1" t="n">
        <v>2</v>
      </c>
      <c r="C2140" s="5" t="n">
        <v>46027</v>
      </c>
      <c r="D2140" s="6" t="s">
        <v>557</v>
      </c>
      <c r="E2140" s="6" t="s">
        <v>219</v>
      </c>
      <c r="F2140" s="6" t="s">
        <v>63</v>
      </c>
      <c r="G2140" s="6" t="s">
        <v>57</v>
      </c>
      <c r="H2140" s="6" t="s">
        <v>191</v>
      </c>
      <c r="I2140" s="1" t="n">
        <v>1</v>
      </c>
      <c r="J2140" s="7" t="n">
        <v>3925.08</v>
      </c>
      <c r="K2140" s="8" t="n">
        <v>0.2</v>
      </c>
      <c r="L2140" s="7" t="n">
        <v>2157.55</v>
      </c>
      <c r="M2140" s="6" t="s">
        <v>49</v>
      </c>
      <c r="N2140" s="6" t="s">
        <v>59</v>
      </c>
      <c r="O2140" s="6" t="n">
        <f aca="false">IF(TablaVentas[[#This Row],[Precio_unitario]]="","PENDIENTE",TablaVentas[[#This Row],[Unidades]]*TablaVentas[[#This Row],[Precio_unitario]]*(1-TablaVentas[[#This Row],[Descuento_pct]]))</f>
        <v>3140.064</v>
      </c>
      <c r="P2140" s="6" t="n">
        <f aca="false">IF(TablaVentas[[#This Row],[Costo_unitario]]="","PENDIENTE",TablaVentas[[#This Row],[Unidades]]*TablaVentas[[#This Row],[Costo_unitario]])</f>
        <v>2157.55</v>
      </c>
      <c r="Q2140" s="6" t="n">
        <f aca="false">IF(OR(TablaVentas[[#This Row],[Ingreso_neto]]="PENDIENTE",TablaVentas[[#This Row],[Costo_total]]="PENDIENTE"),"PENDIENTE",TablaVentas[[#This Row],[Ingreso_neto]]-TablaVentas[[#This Row],[Costo_total]])</f>
        <v>982.514</v>
      </c>
    </row>
    <row r="2141" customFormat="false" ht="13.5" hidden="false" customHeight="false" outlineLevel="0" collapsed="false">
      <c r="A2141" s="1" t="s">
        <v>1320</v>
      </c>
      <c r="B2141" s="1" t="n">
        <v>1</v>
      </c>
      <c r="C2141" s="5" t="n">
        <v>46206</v>
      </c>
      <c r="D2141" s="6" t="s">
        <v>61</v>
      </c>
      <c r="E2141" s="6" t="s">
        <v>280</v>
      </c>
      <c r="F2141" s="6" t="s">
        <v>73</v>
      </c>
      <c r="G2141" s="6" t="s">
        <v>57</v>
      </c>
      <c r="H2141" s="6" t="s">
        <v>74</v>
      </c>
      <c r="I2141" s="1" t="n">
        <v>1</v>
      </c>
      <c r="J2141" s="7" t="n">
        <v>1476.85</v>
      </c>
      <c r="K2141" s="8" t="n">
        <v>0</v>
      </c>
      <c r="L2141" s="7" t="n">
        <v>716.26</v>
      </c>
      <c r="M2141" s="6" t="s">
        <v>49</v>
      </c>
      <c r="N2141" s="6" t="s">
        <v>52</v>
      </c>
      <c r="O2141" s="6" t="n">
        <f aca="false">IF(TablaVentas[[#This Row],[Precio_unitario]]="","PENDIENTE",TablaVentas[[#This Row],[Unidades]]*TablaVentas[[#This Row],[Precio_unitario]]*(1-TablaVentas[[#This Row],[Descuento_pct]]))</f>
        <v>1476.85</v>
      </c>
      <c r="P2141" s="6" t="n">
        <f aca="false">IF(TablaVentas[[#This Row],[Costo_unitario]]="","PENDIENTE",TablaVentas[[#This Row],[Unidades]]*TablaVentas[[#This Row],[Costo_unitario]])</f>
        <v>716.26</v>
      </c>
      <c r="Q2141" s="6" t="n">
        <f aca="false">IF(OR(TablaVentas[[#This Row],[Ingreso_neto]]="PENDIENTE",TablaVentas[[#This Row],[Costo_total]]="PENDIENTE"),"PENDIENTE",TablaVentas[[#This Row],[Ingreso_neto]]-TablaVentas[[#This Row],[Costo_total]])</f>
        <v>760.59</v>
      </c>
    </row>
    <row r="2142" customFormat="false" ht="13.5" hidden="false" customHeight="false" outlineLevel="0" collapsed="false">
      <c r="A2142" s="1" t="s">
        <v>1320</v>
      </c>
      <c r="B2142" s="1" t="n">
        <v>2</v>
      </c>
      <c r="C2142" s="5" t="n">
        <v>46206</v>
      </c>
      <c r="D2142" s="6" t="s">
        <v>61</v>
      </c>
      <c r="E2142" s="6" t="s">
        <v>213</v>
      </c>
      <c r="F2142" s="6" t="s">
        <v>73</v>
      </c>
      <c r="G2142" s="6" t="s">
        <v>57</v>
      </c>
      <c r="H2142" s="6" t="s">
        <v>74</v>
      </c>
      <c r="I2142" s="1" t="n">
        <v>3</v>
      </c>
      <c r="J2142" s="7" t="n">
        <v>5924.12</v>
      </c>
      <c r="K2142" s="8" t="n">
        <v>0.15</v>
      </c>
      <c r="L2142" s="7" t="n">
        <v>4008.77</v>
      </c>
      <c r="M2142" s="6" t="s">
        <v>123</v>
      </c>
      <c r="N2142" s="6" t="s">
        <v>52</v>
      </c>
      <c r="O2142" s="6" t="n">
        <f aca="false">IF(TablaVentas[[#This Row],[Precio_unitario]]="","PENDIENTE",TablaVentas[[#This Row],[Unidades]]*TablaVentas[[#This Row],[Precio_unitario]]*(1-TablaVentas[[#This Row],[Descuento_pct]]))</f>
        <v>15106.506</v>
      </c>
      <c r="P2142" s="6" t="n">
        <f aca="false">IF(TablaVentas[[#This Row],[Costo_unitario]]="","PENDIENTE",TablaVentas[[#This Row],[Unidades]]*TablaVentas[[#This Row],[Costo_unitario]])</f>
        <v>12026.31</v>
      </c>
      <c r="Q2142" s="6" t="n">
        <f aca="false">IF(OR(TablaVentas[[#This Row],[Ingreso_neto]]="PENDIENTE",TablaVentas[[#This Row],[Costo_total]]="PENDIENTE"),"PENDIENTE",TablaVentas[[#This Row],[Ingreso_neto]]-TablaVentas[[#This Row],[Costo_total]])</f>
        <v>3080.196</v>
      </c>
    </row>
    <row r="2143" customFormat="false" ht="13.5" hidden="false" customHeight="false" outlineLevel="0" collapsed="false">
      <c r="A2143" s="1" t="s">
        <v>1320</v>
      </c>
      <c r="B2143" s="1" t="n">
        <v>3</v>
      </c>
      <c r="C2143" s="5" t="n">
        <v>46206</v>
      </c>
      <c r="D2143" s="6" t="s">
        <v>61</v>
      </c>
      <c r="E2143" s="6" t="s">
        <v>174</v>
      </c>
      <c r="F2143" s="6" t="s">
        <v>73</v>
      </c>
      <c r="G2143" s="6" t="s">
        <v>57</v>
      </c>
      <c r="H2143" s="6" t="s">
        <v>74</v>
      </c>
      <c r="I2143" s="1" t="n">
        <v>2</v>
      </c>
      <c r="J2143" s="7" t="n">
        <v>17210.47</v>
      </c>
      <c r="K2143" s="8" t="n">
        <v>0</v>
      </c>
      <c r="L2143" s="7" t="n">
        <v>8704.4</v>
      </c>
      <c r="M2143" s="6" t="s">
        <v>49</v>
      </c>
      <c r="N2143" s="6" t="s">
        <v>67</v>
      </c>
      <c r="O2143" s="6" t="n">
        <f aca="false">IF(TablaVentas[[#This Row],[Precio_unitario]]="","PENDIENTE",TablaVentas[[#This Row],[Unidades]]*TablaVentas[[#This Row],[Precio_unitario]]*(1-TablaVentas[[#This Row],[Descuento_pct]]))</f>
        <v>34420.94</v>
      </c>
      <c r="P2143" s="6" t="n">
        <f aca="false">IF(TablaVentas[[#This Row],[Costo_unitario]]="","PENDIENTE",TablaVentas[[#This Row],[Unidades]]*TablaVentas[[#This Row],[Costo_unitario]])</f>
        <v>17408.8</v>
      </c>
      <c r="Q2143" s="6" t="n">
        <f aca="false">IF(OR(TablaVentas[[#This Row],[Ingreso_neto]]="PENDIENTE",TablaVentas[[#This Row],[Costo_total]]="PENDIENTE"),"PENDIENTE",TablaVentas[[#This Row],[Ingreso_neto]]-TablaVentas[[#This Row],[Costo_total]])</f>
        <v>17012.14</v>
      </c>
    </row>
    <row r="2144" customFormat="false" ht="13.5" hidden="false" customHeight="false" outlineLevel="0" collapsed="false">
      <c r="A2144" s="1" t="s">
        <v>1320</v>
      </c>
      <c r="B2144" s="1" t="n">
        <v>4</v>
      </c>
      <c r="C2144" s="5" t="n">
        <v>46206</v>
      </c>
      <c r="D2144" s="6" t="s">
        <v>61</v>
      </c>
      <c r="E2144" s="6" t="s">
        <v>289</v>
      </c>
      <c r="F2144" s="6" t="s">
        <v>73</v>
      </c>
      <c r="G2144" s="6" t="s">
        <v>57</v>
      </c>
      <c r="H2144" s="6" t="s">
        <v>74</v>
      </c>
      <c r="I2144" s="1" t="n">
        <v>1</v>
      </c>
      <c r="J2144" s="7" t="n">
        <v>4018.6</v>
      </c>
      <c r="K2144" s="8" t="n">
        <v>0</v>
      </c>
      <c r="L2144" s="7" t="n">
        <v>3399.5</v>
      </c>
      <c r="M2144" s="6" t="s">
        <v>49</v>
      </c>
      <c r="N2144" s="6" t="s">
        <v>67</v>
      </c>
      <c r="O2144" s="6" t="n">
        <f aca="false">IF(TablaVentas[[#This Row],[Precio_unitario]]="","PENDIENTE",TablaVentas[[#This Row],[Unidades]]*TablaVentas[[#This Row],[Precio_unitario]]*(1-TablaVentas[[#This Row],[Descuento_pct]]))</f>
        <v>4018.6</v>
      </c>
      <c r="P2144" s="6" t="n">
        <f aca="false">IF(TablaVentas[[#This Row],[Costo_unitario]]="","PENDIENTE",TablaVentas[[#This Row],[Unidades]]*TablaVentas[[#This Row],[Costo_unitario]])</f>
        <v>3399.5</v>
      </c>
      <c r="Q2144" s="6" t="n">
        <f aca="false">IF(OR(TablaVentas[[#This Row],[Ingreso_neto]]="PENDIENTE",TablaVentas[[#This Row],[Costo_total]]="PENDIENTE"),"PENDIENTE",TablaVentas[[#This Row],[Ingreso_neto]]-TablaVentas[[#This Row],[Costo_total]])</f>
        <v>619.1</v>
      </c>
    </row>
    <row r="2145" customFormat="false" ht="13.5" hidden="false" customHeight="false" outlineLevel="0" collapsed="false">
      <c r="A2145" s="1" t="s">
        <v>1321</v>
      </c>
      <c r="B2145" s="1" t="n">
        <v>1</v>
      </c>
      <c r="C2145" s="5" t="n">
        <v>46196</v>
      </c>
      <c r="D2145" s="6" t="s">
        <v>307</v>
      </c>
      <c r="E2145" s="6" t="s">
        <v>90</v>
      </c>
      <c r="F2145" s="6" t="s">
        <v>46</v>
      </c>
      <c r="G2145" s="6" t="s">
        <v>57</v>
      </c>
      <c r="H2145" s="6" t="s">
        <v>65</v>
      </c>
      <c r="I2145" s="1" t="n">
        <v>1</v>
      </c>
      <c r="J2145" s="7" t="n">
        <v>14683.55</v>
      </c>
      <c r="K2145" s="8" t="n">
        <v>0.2</v>
      </c>
      <c r="L2145" s="7" t="n">
        <v>12723.77</v>
      </c>
      <c r="M2145" s="6" t="s">
        <v>49</v>
      </c>
      <c r="N2145" s="6" t="s">
        <v>59</v>
      </c>
      <c r="O2145" s="6" t="n">
        <f aca="false">IF(TablaVentas[[#This Row],[Precio_unitario]]="","PENDIENTE",TablaVentas[[#This Row],[Unidades]]*TablaVentas[[#This Row],[Precio_unitario]]*(1-TablaVentas[[#This Row],[Descuento_pct]]))</f>
        <v>11746.84</v>
      </c>
      <c r="P2145" s="6" t="n">
        <f aca="false">IF(TablaVentas[[#This Row],[Costo_unitario]]="","PENDIENTE",TablaVentas[[#This Row],[Unidades]]*TablaVentas[[#This Row],[Costo_unitario]])</f>
        <v>12723.77</v>
      </c>
      <c r="Q2145" s="6" t="n">
        <f aca="false">IF(OR(TablaVentas[[#This Row],[Ingreso_neto]]="PENDIENTE",TablaVentas[[#This Row],[Costo_total]]="PENDIENTE"),"PENDIENTE",TablaVentas[[#This Row],[Ingreso_neto]]-TablaVentas[[#This Row],[Costo_total]])</f>
        <v>-976.93</v>
      </c>
    </row>
    <row r="2146" customFormat="false" ht="13.5" hidden="false" customHeight="false" outlineLevel="0" collapsed="false">
      <c r="A2146" s="1" t="s">
        <v>1322</v>
      </c>
      <c r="B2146" s="1" t="n">
        <v>1</v>
      </c>
      <c r="C2146" s="5" t="n">
        <v>46042</v>
      </c>
      <c r="D2146" s="6" t="s">
        <v>262</v>
      </c>
      <c r="E2146" s="6" t="s">
        <v>132</v>
      </c>
      <c r="F2146" s="6" t="s">
        <v>63</v>
      </c>
      <c r="G2146" s="6" t="s">
        <v>57</v>
      </c>
      <c r="H2146" s="6" t="s">
        <v>191</v>
      </c>
      <c r="I2146" s="1" t="n">
        <v>3</v>
      </c>
      <c r="J2146" s="7" t="n">
        <v>1627.98</v>
      </c>
      <c r="K2146" s="8" t="n">
        <v>0</v>
      </c>
      <c r="L2146" s="7" t="n">
        <v>1044.32</v>
      </c>
      <c r="M2146" s="6" t="s">
        <v>49</v>
      </c>
      <c r="N2146" s="6" t="s">
        <v>67</v>
      </c>
      <c r="O2146" s="6" t="n">
        <f aca="false">IF(TablaVentas[[#This Row],[Precio_unitario]]="","PENDIENTE",TablaVentas[[#This Row],[Unidades]]*TablaVentas[[#This Row],[Precio_unitario]]*(1-TablaVentas[[#This Row],[Descuento_pct]]))</f>
        <v>4883.94</v>
      </c>
      <c r="P2146" s="6" t="n">
        <f aca="false">IF(TablaVentas[[#This Row],[Costo_unitario]]="","PENDIENTE",TablaVentas[[#This Row],[Unidades]]*TablaVentas[[#This Row],[Costo_unitario]])</f>
        <v>3132.96</v>
      </c>
      <c r="Q2146" s="6" t="n">
        <f aca="false">IF(OR(TablaVentas[[#This Row],[Ingreso_neto]]="PENDIENTE",TablaVentas[[#This Row],[Costo_total]]="PENDIENTE"),"PENDIENTE",TablaVentas[[#This Row],[Ingreso_neto]]-TablaVentas[[#This Row],[Costo_total]])</f>
        <v>1750.98</v>
      </c>
    </row>
    <row r="2147" customFormat="false" ht="13.5" hidden="false" customHeight="false" outlineLevel="0" collapsed="false">
      <c r="A2147" s="1" t="s">
        <v>1322</v>
      </c>
      <c r="B2147" s="1" t="n">
        <v>2</v>
      </c>
      <c r="C2147" s="5" t="n">
        <v>46042</v>
      </c>
      <c r="D2147" s="6" t="s">
        <v>262</v>
      </c>
      <c r="E2147" s="6" t="s">
        <v>374</v>
      </c>
      <c r="F2147" s="6" t="s">
        <v>63</v>
      </c>
      <c r="G2147" s="6" t="s">
        <v>57</v>
      </c>
      <c r="H2147" s="6" t="s">
        <v>191</v>
      </c>
      <c r="I2147" s="1" t="n">
        <v>5</v>
      </c>
      <c r="J2147" s="7" t="n">
        <v>9245.62</v>
      </c>
      <c r="K2147" s="8" t="n">
        <v>0.05</v>
      </c>
      <c r="L2147" s="7" t="n">
        <v>5079.43</v>
      </c>
      <c r="M2147" s="6" t="s">
        <v>49</v>
      </c>
      <c r="N2147" s="6" t="s">
        <v>67</v>
      </c>
      <c r="O2147" s="6" t="n">
        <f aca="false">IF(TablaVentas[[#This Row],[Precio_unitario]]="","PENDIENTE",TablaVentas[[#This Row],[Unidades]]*TablaVentas[[#This Row],[Precio_unitario]]*(1-TablaVentas[[#This Row],[Descuento_pct]]))</f>
        <v>43916.695</v>
      </c>
      <c r="P2147" s="6" t="n">
        <f aca="false">IF(TablaVentas[[#This Row],[Costo_unitario]]="","PENDIENTE",TablaVentas[[#This Row],[Unidades]]*TablaVentas[[#This Row],[Costo_unitario]])</f>
        <v>25397.15</v>
      </c>
      <c r="Q2147" s="6" t="n">
        <f aca="false">IF(OR(TablaVentas[[#This Row],[Ingreso_neto]]="PENDIENTE",TablaVentas[[#This Row],[Costo_total]]="PENDIENTE"),"PENDIENTE",TablaVentas[[#This Row],[Ingreso_neto]]-TablaVentas[[#This Row],[Costo_total]])</f>
        <v>18519.545</v>
      </c>
    </row>
    <row r="2148" customFormat="false" ht="13.5" hidden="false" customHeight="false" outlineLevel="0" collapsed="false">
      <c r="A2148" s="1" t="s">
        <v>1323</v>
      </c>
      <c r="B2148" s="1" t="n">
        <v>1</v>
      </c>
      <c r="C2148" s="5" t="n">
        <v>46097</v>
      </c>
      <c r="D2148" s="6" t="s">
        <v>249</v>
      </c>
      <c r="E2148" s="6" t="s">
        <v>410</v>
      </c>
      <c r="F2148" s="6" t="s">
        <v>63</v>
      </c>
      <c r="G2148" s="6" t="s">
        <v>57</v>
      </c>
      <c r="H2148" s="6" t="s">
        <v>109</v>
      </c>
      <c r="I2148" s="1" t="n">
        <v>2</v>
      </c>
      <c r="J2148" s="7" t="n">
        <v>2825.57</v>
      </c>
      <c r="K2148" s="8" t="n">
        <v>0</v>
      </c>
      <c r="L2148" s="7" t="n">
        <v>1801.83</v>
      </c>
      <c r="M2148" s="6" t="s">
        <v>49</v>
      </c>
      <c r="N2148" s="6" t="s">
        <v>50</v>
      </c>
      <c r="O2148" s="6" t="n">
        <f aca="false">IF(TablaVentas[[#This Row],[Precio_unitario]]="","PENDIENTE",TablaVentas[[#This Row],[Unidades]]*TablaVentas[[#This Row],[Precio_unitario]]*(1-TablaVentas[[#This Row],[Descuento_pct]]))</f>
        <v>5651.14</v>
      </c>
      <c r="P2148" s="6" t="n">
        <f aca="false">IF(TablaVentas[[#This Row],[Costo_unitario]]="","PENDIENTE",TablaVentas[[#This Row],[Unidades]]*TablaVentas[[#This Row],[Costo_unitario]])</f>
        <v>3603.66</v>
      </c>
      <c r="Q2148" s="6" t="n">
        <f aca="false">IF(OR(TablaVentas[[#This Row],[Ingreso_neto]]="PENDIENTE",TablaVentas[[#This Row],[Costo_total]]="PENDIENTE"),"PENDIENTE",TablaVentas[[#This Row],[Ingreso_neto]]-TablaVentas[[#This Row],[Costo_total]])</f>
        <v>2047.48</v>
      </c>
    </row>
    <row r="2149" customFormat="false" ht="13.5" hidden="false" customHeight="false" outlineLevel="0" collapsed="false">
      <c r="A2149" s="1" t="s">
        <v>1323</v>
      </c>
      <c r="B2149" s="1" t="n">
        <v>2</v>
      </c>
      <c r="C2149" s="5" t="n">
        <v>46097</v>
      </c>
      <c r="D2149" s="6" t="s">
        <v>249</v>
      </c>
      <c r="E2149" s="6" t="s">
        <v>158</v>
      </c>
      <c r="F2149" s="6" t="s">
        <v>63</v>
      </c>
      <c r="G2149" s="6" t="s">
        <v>57</v>
      </c>
      <c r="H2149" s="6" t="s">
        <v>109</v>
      </c>
      <c r="I2149" s="1" t="n">
        <v>1</v>
      </c>
      <c r="J2149" s="7" t="n">
        <v>16421.02</v>
      </c>
      <c r="K2149" s="8" t="n">
        <v>0.1</v>
      </c>
      <c r="L2149" s="7" t="n">
        <v>8963.23</v>
      </c>
      <c r="M2149" s="6" t="s">
        <v>49</v>
      </c>
      <c r="N2149" s="6" t="s">
        <v>59</v>
      </c>
      <c r="O2149" s="6" t="n">
        <f aca="false">IF(TablaVentas[[#This Row],[Precio_unitario]]="","PENDIENTE",TablaVentas[[#This Row],[Unidades]]*TablaVentas[[#This Row],[Precio_unitario]]*(1-TablaVentas[[#This Row],[Descuento_pct]]))</f>
        <v>14778.918</v>
      </c>
      <c r="P2149" s="6" t="n">
        <f aca="false">IF(TablaVentas[[#This Row],[Costo_unitario]]="","PENDIENTE",TablaVentas[[#This Row],[Unidades]]*TablaVentas[[#This Row],[Costo_unitario]])</f>
        <v>8963.23</v>
      </c>
      <c r="Q2149" s="6" t="n">
        <f aca="false">IF(OR(TablaVentas[[#This Row],[Ingreso_neto]]="PENDIENTE",TablaVentas[[#This Row],[Costo_total]]="PENDIENTE"),"PENDIENTE",TablaVentas[[#This Row],[Ingreso_neto]]-TablaVentas[[#This Row],[Costo_total]])</f>
        <v>5815.688</v>
      </c>
    </row>
    <row r="2150" customFormat="false" ht="13.5" hidden="false" customHeight="false" outlineLevel="0" collapsed="false">
      <c r="A2150" s="1" t="s">
        <v>1323</v>
      </c>
      <c r="B2150" s="1" t="n">
        <v>3</v>
      </c>
      <c r="C2150" s="5" t="n">
        <v>46097</v>
      </c>
      <c r="D2150" s="6" t="s">
        <v>249</v>
      </c>
      <c r="E2150" s="6" t="s">
        <v>203</v>
      </c>
      <c r="F2150" s="6" t="s">
        <v>63</v>
      </c>
      <c r="G2150" s="6" t="s">
        <v>57</v>
      </c>
      <c r="H2150" s="6" t="s">
        <v>109</v>
      </c>
      <c r="I2150" s="1" t="n">
        <v>1</v>
      </c>
      <c r="J2150" s="7" t="n">
        <v>777.55</v>
      </c>
      <c r="K2150" s="8" t="n">
        <v>0.1</v>
      </c>
      <c r="L2150" s="7" t="n">
        <v>485.16</v>
      </c>
      <c r="M2150" s="6" t="s">
        <v>49</v>
      </c>
      <c r="N2150" s="6" t="s">
        <v>59</v>
      </c>
      <c r="O2150" s="6" t="n">
        <f aca="false">IF(TablaVentas[[#This Row],[Precio_unitario]]="","PENDIENTE",TablaVentas[[#This Row],[Unidades]]*TablaVentas[[#This Row],[Precio_unitario]]*(1-TablaVentas[[#This Row],[Descuento_pct]]))</f>
        <v>699.795</v>
      </c>
      <c r="P2150" s="6" t="n">
        <f aca="false">IF(TablaVentas[[#This Row],[Costo_unitario]]="","PENDIENTE",TablaVentas[[#This Row],[Unidades]]*TablaVentas[[#This Row],[Costo_unitario]])</f>
        <v>485.16</v>
      </c>
      <c r="Q2150" s="6" t="n">
        <f aca="false">IF(OR(TablaVentas[[#This Row],[Ingreso_neto]]="PENDIENTE",TablaVentas[[#This Row],[Costo_total]]="PENDIENTE"),"PENDIENTE",TablaVentas[[#This Row],[Ingreso_neto]]-TablaVentas[[#This Row],[Costo_total]])</f>
        <v>214.635</v>
      </c>
    </row>
    <row r="2151" customFormat="false" ht="13.5" hidden="false" customHeight="false" outlineLevel="0" collapsed="false">
      <c r="A2151" s="1" t="s">
        <v>1324</v>
      </c>
      <c r="B2151" s="1" t="n">
        <v>1</v>
      </c>
      <c r="C2151" s="5" t="n">
        <v>46174</v>
      </c>
      <c r="D2151" s="6" t="s">
        <v>777</v>
      </c>
      <c r="E2151" s="6" t="s">
        <v>142</v>
      </c>
      <c r="F2151" s="6" t="s">
        <v>46</v>
      </c>
      <c r="G2151" s="6" t="s">
        <v>64</v>
      </c>
      <c r="H2151" s="6" t="s">
        <v>58</v>
      </c>
      <c r="I2151" s="1" t="n">
        <v>3</v>
      </c>
      <c r="J2151" s="7" t="n">
        <v>2028.76</v>
      </c>
      <c r="K2151" s="8" t="n">
        <v>0</v>
      </c>
      <c r="L2151" s="7" t="n">
        <v>1529.93</v>
      </c>
      <c r="M2151" s="6" t="s">
        <v>49</v>
      </c>
      <c r="N2151" s="6" t="s">
        <v>67</v>
      </c>
      <c r="O2151" s="6" t="n">
        <f aca="false">IF(TablaVentas[[#This Row],[Precio_unitario]]="","PENDIENTE",TablaVentas[[#This Row],[Unidades]]*TablaVentas[[#This Row],[Precio_unitario]]*(1-TablaVentas[[#This Row],[Descuento_pct]]))</f>
        <v>6086.28</v>
      </c>
      <c r="P2151" s="6" t="n">
        <f aca="false">IF(TablaVentas[[#This Row],[Costo_unitario]]="","PENDIENTE",TablaVentas[[#This Row],[Unidades]]*TablaVentas[[#This Row],[Costo_unitario]])</f>
        <v>4589.79</v>
      </c>
      <c r="Q2151" s="6" t="n">
        <f aca="false">IF(OR(TablaVentas[[#This Row],[Ingreso_neto]]="PENDIENTE",TablaVentas[[#This Row],[Costo_total]]="PENDIENTE"),"PENDIENTE",TablaVentas[[#This Row],[Ingreso_neto]]-TablaVentas[[#This Row],[Costo_total]])</f>
        <v>1496.49</v>
      </c>
    </row>
    <row r="2152" customFormat="false" ht="13.5" hidden="false" customHeight="false" outlineLevel="0" collapsed="false">
      <c r="A2152" s="1" t="s">
        <v>1324</v>
      </c>
      <c r="B2152" s="1" t="n">
        <v>2</v>
      </c>
      <c r="C2152" s="5" t="n">
        <v>46174</v>
      </c>
      <c r="D2152" s="6" t="s">
        <v>777</v>
      </c>
      <c r="E2152" s="6" t="s">
        <v>108</v>
      </c>
      <c r="F2152" s="6" t="s">
        <v>46</v>
      </c>
      <c r="G2152" s="6" t="s">
        <v>64</v>
      </c>
      <c r="H2152" s="6" t="s">
        <v>58</v>
      </c>
      <c r="I2152" s="1" t="n">
        <v>2</v>
      </c>
      <c r="J2152" s="7" t="n">
        <v>4813.68</v>
      </c>
      <c r="K2152" s="8" t="n">
        <v>0</v>
      </c>
      <c r="L2152" s="7" t="n">
        <v>2865.24</v>
      </c>
      <c r="M2152" s="6" t="s">
        <v>49</v>
      </c>
      <c r="N2152" s="6" t="s">
        <v>52</v>
      </c>
      <c r="O2152" s="6" t="n">
        <f aca="false">IF(TablaVentas[[#This Row],[Precio_unitario]]="","PENDIENTE",TablaVentas[[#This Row],[Unidades]]*TablaVentas[[#This Row],[Precio_unitario]]*(1-TablaVentas[[#This Row],[Descuento_pct]]))</f>
        <v>9627.36</v>
      </c>
      <c r="P2152" s="6" t="n">
        <f aca="false">IF(TablaVentas[[#This Row],[Costo_unitario]]="","PENDIENTE",TablaVentas[[#This Row],[Unidades]]*TablaVentas[[#This Row],[Costo_unitario]])</f>
        <v>5730.48</v>
      </c>
      <c r="Q2152" s="6" t="n">
        <f aca="false">IF(OR(TablaVentas[[#This Row],[Ingreso_neto]]="PENDIENTE",TablaVentas[[#This Row],[Costo_total]]="PENDIENTE"),"PENDIENTE",TablaVentas[[#This Row],[Ingreso_neto]]-TablaVentas[[#This Row],[Costo_total]])</f>
        <v>3896.88</v>
      </c>
    </row>
    <row r="2153" customFormat="false" ht="13.5" hidden="false" customHeight="false" outlineLevel="0" collapsed="false">
      <c r="A2153" s="1" t="s">
        <v>1324</v>
      </c>
      <c r="B2153" s="1" t="n">
        <v>3</v>
      </c>
      <c r="C2153" s="5" t="n">
        <v>46174</v>
      </c>
      <c r="D2153" s="6" t="s">
        <v>777</v>
      </c>
      <c r="E2153" s="6" t="s">
        <v>279</v>
      </c>
      <c r="F2153" s="6" t="s">
        <v>46</v>
      </c>
      <c r="G2153" s="6" t="s">
        <v>64</v>
      </c>
      <c r="H2153" s="6" t="s">
        <v>58</v>
      </c>
      <c r="I2153" s="1" t="n">
        <v>5</v>
      </c>
      <c r="J2153" s="7" t="n">
        <v>671.41</v>
      </c>
      <c r="K2153" s="8" t="n">
        <v>0.2</v>
      </c>
      <c r="L2153" s="7" t="n">
        <v>443</v>
      </c>
      <c r="M2153" s="6" t="s">
        <v>49</v>
      </c>
      <c r="N2153" s="6" t="s">
        <v>67</v>
      </c>
      <c r="O2153" s="6" t="n">
        <f aca="false">IF(TablaVentas[[#This Row],[Precio_unitario]]="","PENDIENTE",TablaVentas[[#This Row],[Unidades]]*TablaVentas[[#This Row],[Precio_unitario]]*(1-TablaVentas[[#This Row],[Descuento_pct]]))</f>
        <v>2685.64</v>
      </c>
      <c r="P2153" s="6" t="n">
        <f aca="false">IF(TablaVentas[[#This Row],[Costo_unitario]]="","PENDIENTE",TablaVentas[[#This Row],[Unidades]]*TablaVentas[[#This Row],[Costo_unitario]])</f>
        <v>2215</v>
      </c>
      <c r="Q2153" s="6" t="n">
        <f aca="false">IF(OR(TablaVentas[[#This Row],[Ingreso_neto]]="PENDIENTE",TablaVentas[[#This Row],[Costo_total]]="PENDIENTE"),"PENDIENTE",TablaVentas[[#This Row],[Ingreso_neto]]-TablaVentas[[#This Row],[Costo_total]])</f>
        <v>470.64</v>
      </c>
    </row>
    <row r="2154" customFormat="false" ht="13.5" hidden="false" customHeight="false" outlineLevel="0" collapsed="false">
      <c r="A2154" s="1" t="s">
        <v>1324</v>
      </c>
      <c r="B2154" s="1" t="n">
        <v>4</v>
      </c>
      <c r="C2154" s="5" t="n">
        <v>46174</v>
      </c>
      <c r="D2154" s="6" t="s">
        <v>777</v>
      </c>
      <c r="E2154" s="6" t="s">
        <v>45</v>
      </c>
      <c r="F2154" s="6" t="s">
        <v>46</v>
      </c>
      <c r="G2154" s="6" t="s">
        <v>64</v>
      </c>
      <c r="H2154" s="6" t="s">
        <v>58</v>
      </c>
      <c r="I2154" s="1" t="n">
        <v>1</v>
      </c>
      <c r="J2154" s="7" t="n">
        <v>5977.68</v>
      </c>
      <c r="K2154" s="8" t="n">
        <v>0</v>
      </c>
      <c r="L2154" s="7" t="n">
        <v>3832.69</v>
      </c>
      <c r="M2154" s="6" t="s">
        <v>49</v>
      </c>
      <c r="N2154" s="6" t="s">
        <v>59</v>
      </c>
      <c r="O2154" s="6" t="n">
        <f aca="false">IF(TablaVentas[[#This Row],[Precio_unitario]]="","PENDIENTE",TablaVentas[[#This Row],[Unidades]]*TablaVentas[[#This Row],[Precio_unitario]]*(1-TablaVentas[[#This Row],[Descuento_pct]]))</f>
        <v>5977.68</v>
      </c>
      <c r="P2154" s="6" t="n">
        <f aca="false">IF(TablaVentas[[#This Row],[Costo_unitario]]="","PENDIENTE",TablaVentas[[#This Row],[Unidades]]*TablaVentas[[#This Row],[Costo_unitario]])</f>
        <v>3832.69</v>
      </c>
      <c r="Q2154" s="6" t="n">
        <f aca="false">IF(OR(TablaVentas[[#This Row],[Ingreso_neto]]="PENDIENTE",TablaVentas[[#This Row],[Costo_total]]="PENDIENTE"),"PENDIENTE",TablaVentas[[#This Row],[Ingreso_neto]]-TablaVentas[[#This Row],[Costo_total]])</f>
        <v>2144.99</v>
      </c>
    </row>
    <row r="2155" customFormat="false" ht="13.5" hidden="false" customHeight="false" outlineLevel="0" collapsed="false">
      <c r="A2155" s="1" t="s">
        <v>1325</v>
      </c>
      <c r="B2155" s="1" t="n">
        <v>1</v>
      </c>
      <c r="C2155" s="5" t="n">
        <v>46127</v>
      </c>
      <c r="D2155" s="6" t="s">
        <v>373</v>
      </c>
      <c r="E2155" s="6" t="s">
        <v>218</v>
      </c>
      <c r="F2155" s="6" t="s">
        <v>63</v>
      </c>
      <c r="G2155" s="6" t="s">
        <v>57</v>
      </c>
      <c r="H2155" s="6" t="s">
        <v>74</v>
      </c>
      <c r="I2155" s="1" t="n">
        <v>1</v>
      </c>
      <c r="J2155" s="7" t="n">
        <v>16553.55</v>
      </c>
      <c r="K2155" s="8" t="n">
        <v>0.1</v>
      </c>
      <c r="L2155" s="7" t="n">
        <v>13760.53</v>
      </c>
      <c r="M2155" s="6" t="s">
        <v>49</v>
      </c>
      <c r="N2155" s="6" t="s">
        <v>52</v>
      </c>
      <c r="O2155" s="6" t="n">
        <f aca="false">IF(TablaVentas[[#This Row],[Precio_unitario]]="","PENDIENTE",TablaVentas[[#This Row],[Unidades]]*TablaVentas[[#This Row],[Precio_unitario]]*(1-TablaVentas[[#This Row],[Descuento_pct]]))</f>
        <v>14898.195</v>
      </c>
      <c r="P2155" s="6" t="n">
        <f aca="false">IF(TablaVentas[[#This Row],[Costo_unitario]]="","PENDIENTE",TablaVentas[[#This Row],[Unidades]]*TablaVentas[[#This Row],[Costo_unitario]])</f>
        <v>13760.53</v>
      </c>
      <c r="Q2155" s="6" t="n">
        <f aca="false">IF(OR(TablaVentas[[#This Row],[Ingreso_neto]]="PENDIENTE",TablaVentas[[#This Row],[Costo_total]]="PENDIENTE"),"PENDIENTE",TablaVentas[[#This Row],[Ingreso_neto]]-TablaVentas[[#This Row],[Costo_total]])</f>
        <v>1137.665</v>
      </c>
    </row>
    <row r="2156" customFormat="false" ht="13.5" hidden="false" customHeight="false" outlineLevel="0" collapsed="false">
      <c r="A2156" s="1" t="s">
        <v>1325</v>
      </c>
      <c r="B2156" s="1" t="n">
        <v>2</v>
      </c>
      <c r="C2156" s="5" t="n">
        <v>46127</v>
      </c>
      <c r="D2156" s="6" t="s">
        <v>373</v>
      </c>
      <c r="E2156" s="6" t="s">
        <v>151</v>
      </c>
      <c r="F2156" s="6" t="s">
        <v>63</v>
      </c>
      <c r="G2156" s="6" t="s">
        <v>57</v>
      </c>
      <c r="H2156" s="6" t="s">
        <v>74</v>
      </c>
      <c r="I2156" s="1" t="n">
        <v>5</v>
      </c>
      <c r="J2156" s="7" t="n">
        <v>8627.64</v>
      </c>
      <c r="K2156" s="8" t="n">
        <v>0.1</v>
      </c>
      <c r="L2156" s="7" t="n">
        <v>5125.36</v>
      </c>
      <c r="M2156" s="6" t="s">
        <v>49</v>
      </c>
      <c r="N2156" s="6" t="s">
        <v>59</v>
      </c>
      <c r="O2156" s="6" t="n">
        <f aca="false">IF(TablaVentas[[#This Row],[Precio_unitario]]="","PENDIENTE",TablaVentas[[#This Row],[Unidades]]*TablaVentas[[#This Row],[Precio_unitario]]*(1-TablaVentas[[#This Row],[Descuento_pct]]))</f>
        <v>38824.38</v>
      </c>
      <c r="P2156" s="6" t="n">
        <f aca="false">IF(TablaVentas[[#This Row],[Costo_unitario]]="","PENDIENTE",TablaVentas[[#This Row],[Unidades]]*TablaVentas[[#This Row],[Costo_unitario]])</f>
        <v>25626.8</v>
      </c>
      <c r="Q2156" s="6" t="n">
        <f aca="false">IF(OR(TablaVentas[[#This Row],[Ingreso_neto]]="PENDIENTE",TablaVentas[[#This Row],[Costo_total]]="PENDIENTE"),"PENDIENTE",TablaVentas[[#This Row],[Ingreso_neto]]-TablaVentas[[#This Row],[Costo_total]])</f>
        <v>13197.58</v>
      </c>
    </row>
    <row r="2157" customFormat="false" ht="13.5" hidden="false" customHeight="false" outlineLevel="0" collapsed="false">
      <c r="A2157" s="1" t="s">
        <v>1325</v>
      </c>
      <c r="B2157" s="1" t="n">
        <v>3</v>
      </c>
      <c r="C2157" s="5" t="n">
        <v>46127</v>
      </c>
      <c r="D2157" s="6" t="s">
        <v>373</v>
      </c>
      <c r="E2157" s="6" t="s">
        <v>72</v>
      </c>
      <c r="F2157" s="6" t="s">
        <v>63</v>
      </c>
      <c r="G2157" s="6" t="s">
        <v>57</v>
      </c>
      <c r="H2157" s="6" t="s">
        <v>74</v>
      </c>
      <c r="I2157" s="1" t="n">
        <v>1</v>
      </c>
      <c r="J2157" s="7" t="n">
        <v>11386.48</v>
      </c>
      <c r="K2157" s="8" t="n">
        <v>0</v>
      </c>
      <c r="L2157" s="7" t="n">
        <v>7328.02</v>
      </c>
      <c r="M2157" s="6" t="s">
        <v>49</v>
      </c>
      <c r="N2157" s="6" t="s">
        <v>67</v>
      </c>
      <c r="O2157" s="6" t="n">
        <f aca="false">IF(TablaVentas[[#This Row],[Precio_unitario]]="","PENDIENTE",TablaVentas[[#This Row],[Unidades]]*TablaVentas[[#This Row],[Precio_unitario]]*(1-TablaVentas[[#This Row],[Descuento_pct]]))</f>
        <v>11386.48</v>
      </c>
      <c r="P2157" s="6" t="n">
        <f aca="false">IF(TablaVentas[[#This Row],[Costo_unitario]]="","PENDIENTE",TablaVentas[[#This Row],[Unidades]]*TablaVentas[[#This Row],[Costo_unitario]])</f>
        <v>7328.02</v>
      </c>
      <c r="Q2157" s="6" t="n">
        <f aca="false">IF(OR(TablaVentas[[#This Row],[Ingreso_neto]]="PENDIENTE",TablaVentas[[#This Row],[Costo_total]]="PENDIENTE"),"PENDIENTE",TablaVentas[[#This Row],[Ingreso_neto]]-TablaVentas[[#This Row],[Costo_total]])</f>
        <v>4058.46</v>
      </c>
    </row>
    <row r="2158" customFormat="false" ht="13.5" hidden="false" customHeight="false" outlineLevel="0" collapsed="false">
      <c r="A2158" s="1" t="s">
        <v>1326</v>
      </c>
      <c r="B2158" s="1" t="n">
        <v>1</v>
      </c>
      <c r="C2158" s="5" t="n">
        <v>46203</v>
      </c>
      <c r="D2158" s="6" t="s">
        <v>483</v>
      </c>
      <c r="E2158" s="6" t="s">
        <v>174</v>
      </c>
      <c r="F2158" s="6" t="s">
        <v>46</v>
      </c>
      <c r="G2158" s="6" t="s">
        <v>47</v>
      </c>
      <c r="H2158" s="6" t="s">
        <v>74</v>
      </c>
      <c r="I2158" s="1" t="n">
        <v>2</v>
      </c>
      <c r="J2158" s="7" t="n">
        <v>16440.57</v>
      </c>
      <c r="K2158" s="8" t="n">
        <v>0</v>
      </c>
      <c r="L2158" s="7" t="n">
        <v>8704.4</v>
      </c>
      <c r="M2158" s="6" t="s">
        <v>49</v>
      </c>
      <c r="N2158" s="6" t="s">
        <v>67</v>
      </c>
      <c r="O2158" s="6" t="n">
        <f aca="false">IF(TablaVentas[[#This Row],[Precio_unitario]]="","PENDIENTE",TablaVentas[[#This Row],[Unidades]]*TablaVentas[[#This Row],[Precio_unitario]]*(1-TablaVentas[[#This Row],[Descuento_pct]]))</f>
        <v>32881.14</v>
      </c>
      <c r="P2158" s="6" t="n">
        <f aca="false">IF(TablaVentas[[#This Row],[Costo_unitario]]="","PENDIENTE",TablaVentas[[#This Row],[Unidades]]*TablaVentas[[#This Row],[Costo_unitario]])</f>
        <v>17408.8</v>
      </c>
      <c r="Q2158" s="6" t="n">
        <f aca="false">IF(OR(TablaVentas[[#This Row],[Ingreso_neto]]="PENDIENTE",TablaVentas[[#This Row],[Costo_total]]="PENDIENTE"),"PENDIENTE",TablaVentas[[#This Row],[Ingreso_neto]]-TablaVentas[[#This Row],[Costo_total]])</f>
        <v>15472.34</v>
      </c>
    </row>
    <row r="2159" customFormat="false" ht="13.5" hidden="false" customHeight="false" outlineLevel="0" collapsed="false">
      <c r="A2159" s="1" t="s">
        <v>1326</v>
      </c>
      <c r="B2159" s="1" t="n">
        <v>2</v>
      </c>
      <c r="C2159" s="5" t="n">
        <v>46203</v>
      </c>
      <c r="D2159" s="6" t="s">
        <v>483</v>
      </c>
      <c r="E2159" s="6" t="s">
        <v>213</v>
      </c>
      <c r="F2159" s="6" t="s">
        <v>46</v>
      </c>
      <c r="G2159" s="6" t="s">
        <v>47</v>
      </c>
      <c r="H2159" s="6" t="s">
        <v>74</v>
      </c>
      <c r="I2159" s="1" t="n">
        <v>4</v>
      </c>
      <c r="J2159" s="7" t="n">
        <v>5303.53</v>
      </c>
      <c r="K2159" s="8" t="n">
        <v>0.1</v>
      </c>
      <c r="L2159" s="7" t="n">
        <v>4008.77</v>
      </c>
      <c r="M2159" s="6" t="s">
        <v>49</v>
      </c>
      <c r="N2159" s="6" t="s">
        <v>67</v>
      </c>
      <c r="O2159" s="6" t="n">
        <f aca="false">IF(TablaVentas[[#This Row],[Precio_unitario]]="","PENDIENTE",TablaVentas[[#This Row],[Unidades]]*TablaVentas[[#This Row],[Precio_unitario]]*(1-TablaVentas[[#This Row],[Descuento_pct]]))</f>
        <v>19092.708</v>
      </c>
      <c r="P2159" s="6" t="n">
        <f aca="false">IF(TablaVentas[[#This Row],[Costo_unitario]]="","PENDIENTE",TablaVentas[[#This Row],[Unidades]]*TablaVentas[[#This Row],[Costo_unitario]])</f>
        <v>16035.08</v>
      </c>
      <c r="Q2159" s="6" t="n">
        <f aca="false">IF(OR(TablaVentas[[#This Row],[Ingreso_neto]]="PENDIENTE",TablaVentas[[#This Row],[Costo_total]]="PENDIENTE"),"PENDIENTE",TablaVentas[[#This Row],[Ingreso_neto]]-TablaVentas[[#This Row],[Costo_total]])</f>
        <v>3057.628</v>
      </c>
    </row>
    <row r="2160" customFormat="false" ht="13.5" hidden="false" customHeight="false" outlineLevel="0" collapsed="false">
      <c r="A2160" s="1" t="s">
        <v>1326</v>
      </c>
      <c r="B2160" s="1" t="n">
        <v>3</v>
      </c>
      <c r="C2160" s="5" t="n">
        <v>46203</v>
      </c>
      <c r="D2160" s="6" t="s">
        <v>483</v>
      </c>
      <c r="E2160" s="6" t="s">
        <v>192</v>
      </c>
      <c r="F2160" s="6" t="s">
        <v>46</v>
      </c>
      <c r="G2160" s="6" t="s">
        <v>47</v>
      </c>
      <c r="H2160" s="6" t="s">
        <v>74</v>
      </c>
      <c r="I2160" s="1" t="n">
        <v>5</v>
      </c>
      <c r="J2160" s="7" t="n">
        <v>15597.13</v>
      </c>
      <c r="K2160" s="8" t="n">
        <v>0</v>
      </c>
      <c r="L2160" s="7" t="n">
        <v>11904.09</v>
      </c>
      <c r="M2160" s="6" t="s">
        <v>49</v>
      </c>
      <c r="N2160" s="6" t="s">
        <v>67</v>
      </c>
      <c r="O2160" s="6" t="n">
        <f aca="false">IF(TablaVentas[[#This Row],[Precio_unitario]]="","PENDIENTE",TablaVentas[[#This Row],[Unidades]]*TablaVentas[[#This Row],[Precio_unitario]]*(1-TablaVentas[[#This Row],[Descuento_pct]]))</f>
        <v>77985.65</v>
      </c>
      <c r="P2160" s="6" t="n">
        <f aca="false">IF(TablaVentas[[#This Row],[Costo_unitario]]="","PENDIENTE",TablaVentas[[#This Row],[Unidades]]*TablaVentas[[#This Row],[Costo_unitario]])</f>
        <v>59520.45</v>
      </c>
      <c r="Q2160" s="6" t="n">
        <f aca="false">IF(OR(TablaVentas[[#This Row],[Ingreso_neto]]="PENDIENTE",TablaVentas[[#This Row],[Costo_total]]="PENDIENTE"),"PENDIENTE",TablaVentas[[#This Row],[Ingreso_neto]]-TablaVentas[[#This Row],[Costo_total]])</f>
        <v>18465.2</v>
      </c>
    </row>
    <row r="2161" customFormat="false" ht="13.5" hidden="false" customHeight="false" outlineLevel="0" collapsed="false">
      <c r="A2161" s="1" t="s">
        <v>1326</v>
      </c>
      <c r="B2161" s="1" t="n">
        <v>4</v>
      </c>
      <c r="C2161" s="5" t="n">
        <v>46203</v>
      </c>
      <c r="D2161" s="6" t="s">
        <v>483</v>
      </c>
      <c r="E2161" s="6" t="s">
        <v>151</v>
      </c>
      <c r="F2161" s="6" t="s">
        <v>46</v>
      </c>
      <c r="G2161" s="6" t="s">
        <v>47</v>
      </c>
      <c r="H2161" s="6" t="s">
        <v>74</v>
      </c>
      <c r="I2161" s="1" t="n">
        <v>2</v>
      </c>
      <c r="J2161" s="7" t="n">
        <v>9328.46</v>
      </c>
      <c r="K2161" s="8" t="n">
        <v>0</v>
      </c>
      <c r="L2161" s="7" t="n">
        <v>5125.36</v>
      </c>
      <c r="M2161" s="6" t="s">
        <v>49</v>
      </c>
      <c r="N2161" s="6" t="s">
        <v>67</v>
      </c>
      <c r="O2161" s="6" t="n">
        <f aca="false">IF(TablaVentas[[#This Row],[Precio_unitario]]="","PENDIENTE",TablaVentas[[#This Row],[Unidades]]*TablaVentas[[#This Row],[Precio_unitario]]*(1-TablaVentas[[#This Row],[Descuento_pct]]))</f>
        <v>18656.92</v>
      </c>
      <c r="P2161" s="6" t="n">
        <f aca="false">IF(TablaVentas[[#This Row],[Costo_unitario]]="","PENDIENTE",TablaVentas[[#This Row],[Unidades]]*TablaVentas[[#This Row],[Costo_unitario]])</f>
        <v>10250.72</v>
      </c>
      <c r="Q2161" s="6" t="n">
        <f aca="false">IF(OR(TablaVentas[[#This Row],[Ingreso_neto]]="PENDIENTE",TablaVentas[[#This Row],[Costo_total]]="PENDIENTE"),"PENDIENTE",TablaVentas[[#This Row],[Ingreso_neto]]-TablaVentas[[#This Row],[Costo_total]])</f>
        <v>8406.2</v>
      </c>
    </row>
    <row r="2162" customFormat="false" ht="13.5" hidden="false" customHeight="false" outlineLevel="0" collapsed="false">
      <c r="A2162" s="1" t="s">
        <v>1326</v>
      </c>
      <c r="B2162" s="1" t="n">
        <v>5</v>
      </c>
      <c r="C2162" s="5" t="n">
        <v>46203</v>
      </c>
      <c r="D2162" s="6" t="s">
        <v>483</v>
      </c>
      <c r="E2162" s="6" t="s">
        <v>218</v>
      </c>
      <c r="F2162" s="6" t="s">
        <v>46</v>
      </c>
      <c r="G2162" s="6" t="s">
        <v>47</v>
      </c>
      <c r="H2162" s="6" t="s">
        <v>74</v>
      </c>
      <c r="I2162" s="1" t="n">
        <v>8</v>
      </c>
      <c r="J2162" s="7" t="n">
        <v>17720.12</v>
      </c>
      <c r="K2162" s="8" t="n">
        <v>0.15</v>
      </c>
      <c r="L2162" s="7" t="n">
        <v>13760.53</v>
      </c>
      <c r="M2162" s="6" t="s">
        <v>49</v>
      </c>
      <c r="N2162" s="6" t="s">
        <v>50</v>
      </c>
      <c r="O2162" s="6" t="n">
        <f aca="false">IF(TablaVentas[[#This Row],[Precio_unitario]]="","PENDIENTE",TablaVentas[[#This Row],[Unidades]]*TablaVentas[[#This Row],[Precio_unitario]]*(1-TablaVentas[[#This Row],[Descuento_pct]]))</f>
        <v>120496.816</v>
      </c>
      <c r="P2162" s="6" t="n">
        <f aca="false">IF(TablaVentas[[#This Row],[Costo_unitario]]="","PENDIENTE",TablaVentas[[#This Row],[Unidades]]*TablaVentas[[#This Row],[Costo_unitario]])</f>
        <v>110084.24</v>
      </c>
      <c r="Q2162" s="6" t="n">
        <f aca="false">IF(OR(TablaVentas[[#This Row],[Ingreso_neto]]="PENDIENTE",TablaVentas[[#This Row],[Costo_total]]="PENDIENTE"),"PENDIENTE",TablaVentas[[#This Row],[Ingreso_neto]]-TablaVentas[[#This Row],[Costo_total]])</f>
        <v>10412.576</v>
      </c>
    </row>
    <row r="2163" customFormat="false" ht="13.5" hidden="false" customHeight="false" outlineLevel="0" collapsed="false">
      <c r="A2163" s="1" t="s">
        <v>1327</v>
      </c>
      <c r="B2163" s="1" t="n">
        <v>1</v>
      </c>
      <c r="C2163" s="5" t="n">
        <v>46097</v>
      </c>
      <c r="D2163" s="6" t="s">
        <v>672</v>
      </c>
      <c r="E2163" s="6" t="s">
        <v>200</v>
      </c>
      <c r="F2163" s="6" t="s">
        <v>73</v>
      </c>
      <c r="G2163" s="6" t="s">
        <v>57</v>
      </c>
      <c r="H2163" s="6" t="s">
        <v>191</v>
      </c>
      <c r="I2163" s="1" t="n">
        <v>1</v>
      </c>
      <c r="J2163" s="7" t="n">
        <v>11308.81</v>
      </c>
      <c r="K2163" s="8" t="n">
        <v>0.15</v>
      </c>
      <c r="L2163" s="7" t="n">
        <v>5811.72</v>
      </c>
      <c r="M2163" s="6" t="s">
        <v>49</v>
      </c>
      <c r="N2163" s="6" t="s">
        <v>52</v>
      </c>
      <c r="O2163" s="6" t="n">
        <f aca="false">IF(TablaVentas[[#This Row],[Precio_unitario]]="","PENDIENTE",TablaVentas[[#This Row],[Unidades]]*TablaVentas[[#This Row],[Precio_unitario]]*(1-TablaVentas[[#This Row],[Descuento_pct]]))</f>
        <v>9612.4885</v>
      </c>
      <c r="P2163" s="6" t="n">
        <f aca="false">IF(TablaVentas[[#This Row],[Costo_unitario]]="","PENDIENTE",TablaVentas[[#This Row],[Unidades]]*TablaVentas[[#This Row],[Costo_unitario]])</f>
        <v>5811.72</v>
      </c>
      <c r="Q2163" s="6" t="n">
        <f aca="false">IF(OR(TablaVentas[[#This Row],[Ingreso_neto]]="PENDIENTE",TablaVentas[[#This Row],[Costo_total]]="PENDIENTE"),"PENDIENTE",TablaVentas[[#This Row],[Ingreso_neto]]-TablaVentas[[#This Row],[Costo_total]])</f>
        <v>3800.7685</v>
      </c>
    </row>
    <row r="2164" customFormat="false" ht="13.5" hidden="false" customHeight="false" outlineLevel="0" collapsed="false">
      <c r="A2164" s="1" t="s">
        <v>1327</v>
      </c>
      <c r="B2164" s="1" t="n">
        <v>2</v>
      </c>
      <c r="C2164" s="5" t="n">
        <v>46097</v>
      </c>
      <c r="D2164" s="6" t="s">
        <v>672</v>
      </c>
      <c r="E2164" s="6" t="s">
        <v>135</v>
      </c>
      <c r="F2164" s="6" t="s">
        <v>73</v>
      </c>
      <c r="G2164" s="6" t="s">
        <v>57</v>
      </c>
      <c r="H2164" s="6" t="s">
        <v>191</v>
      </c>
      <c r="I2164" s="1" t="n">
        <v>1</v>
      </c>
      <c r="J2164" s="7" t="n">
        <v>1682.66</v>
      </c>
      <c r="K2164" s="8" t="n">
        <v>0.2</v>
      </c>
      <c r="L2164" s="7" t="n">
        <v>900.08</v>
      </c>
      <c r="M2164" s="6" t="s">
        <v>49</v>
      </c>
      <c r="N2164" s="6" t="s">
        <v>67</v>
      </c>
      <c r="O2164" s="6" t="n">
        <f aca="false">IF(TablaVentas[[#This Row],[Precio_unitario]]="","PENDIENTE",TablaVentas[[#This Row],[Unidades]]*TablaVentas[[#This Row],[Precio_unitario]]*(1-TablaVentas[[#This Row],[Descuento_pct]]))</f>
        <v>1346.128</v>
      </c>
      <c r="P2164" s="6" t="n">
        <f aca="false">IF(TablaVentas[[#This Row],[Costo_unitario]]="","PENDIENTE",TablaVentas[[#This Row],[Unidades]]*TablaVentas[[#This Row],[Costo_unitario]])</f>
        <v>900.08</v>
      </c>
      <c r="Q2164" s="6" t="n">
        <f aca="false">IF(OR(TablaVentas[[#This Row],[Ingreso_neto]]="PENDIENTE",TablaVentas[[#This Row],[Costo_total]]="PENDIENTE"),"PENDIENTE",TablaVentas[[#This Row],[Ingreso_neto]]-TablaVentas[[#This Row],[Costo_total]])</f>
        <v>446.048</v>
      </c>
    </row>
    <row r="2165" customFormat="false" ht="13.5" hidden="false" customHeight="false" outlineLevel="0" collapsed="false">
      <c r="A2165" s="1" t="s">
        <v>1327</v>
      </c>
      <c r="B2165" s="1" t="n">
        <v>3</v>
      </c>
      <c r="C2165" s="5" t="n">
        <v>46097</v>
      </c>
      <c r="D2165" s="6" t="s">
        <v>672</v>
      </c>
      <c r="E2165" s="6" t="s">
        <v>182</v>
      </c>
      <c r="F2165" s="6" t="s">
        <v>73</v>
      </c>
      <c r="G2165" s="6" t="s">
        <v>57</v>
      </c>
      <c r="H2165" s="6" t="s">
        <v>191</v>
      </c>
      <c r="I2165" s="1" t="n">
        <v>1</v>
      </c>
      <c r="J2165" s="7" t="n">
        <v>2525.97</v>
      </c>
      <c r="K2165" s="8" t="n">
        <v>0</v>
      </c>
      <c r="L2165" s="7" t="n">
        <v>1857.39</v>
      </c>
      <c r="M2165" s="6" t="s">
        <v>49</v>
      </c>
      <c r="N2165" s="6" t="s">
        <v>52</v>
      </c>
      <c r="O2165" s="6" t="n">
        <f aca="false">IF(TablaVentas[[#This Row],[Precio_unitario]]="","PENDIENTE",TablaVentas[[#This Row],[Unidades]]*TablaVentas[[#This Row],[Precio_unitario]]*(1-TablaVentas[[#This Row],[Descuento_pct]]))</f>
        <v>2525.97</v>
      </c>
      <c r="P2165" s="6" t="n">
        <f aca="false">IF(TablaVentas[[#This Row],[Costo_unitario]]="","PENDIENTE",TablaVentas[[#This Row],[Unidades]]*TablaVentas[[#This Row],[Costo_unitario]])</f>
        <v>1857.39</v>
      </c>
      <c r="Q2165" s="6" t="n">
        <f aca="false">IF(OR(TablaVentas[[#This Row],[Ingreso_neto]]="PENDIENTE",TablaVentas[[#This Row],[Costo_total]]="PENDIENTE"),"PENDIENTE",TablaVentas[[#This Row],[Ingreso_neto]]-TablaVentas[[#This Row],[Costo_total]])</f>
        <v>668.58</v>
      </c>
    </row>
    <row r="2166" customFormat="false" ht="13.5" hidden="false" customHeight="false" outlineLevel="0" collapsed="false">
      <c r="A2166" s="1" t="s">
        <v>1327</v>
      </c>
      <c r="B2166" s="1" t="n">
        <v>4</v>
      </c>
      <c r="C2166" s="5" t="n">
        <v>46097</v>
      </c>
      <c r="D2166" s="6" t="s">
        <v>672</v>
      </c>
      <c r="E2166" s="6" t="s">
        <v>104</v>
      </c>
      <c r="F2166" s="6" t="s">
        <v>73</v>
      </c>
      <c r="G2166" s="6" t="s">
        <v>57</v>
      </c>
      <c r="H2166" s="6" t="s">
        <v>191</v>
      </c>
      <c r="I2166" s="1" t="n">
        <v>4</v>
      </c>
      <c r="J2166" s="7" t="n">
        <v>14112.13</v>
      </c>
      <c r="K2166" s="8" t="n">
        <v>0.1</v>
      </c>
      <c r="L2166" s="7" t="n">
        <v>11424.77</v>
      </c>
      <c r="M2166" s="6" t="s">
        <v>49</v>
      </c>
      <c r="N2166" s="6" t="s">
        <v>52</v>
      </c>
      <c r="O2166" s="6" t="n">
        <f aca="false">IF(TablaVentas[[#This Row],[Precio_unitario]]="","PENDIENTE",TablaVentas[[#This Row],[Unidades]]*TablaVentas[[#This Row],[Precio_unitario]]*(1-TablaVentas[[#This Row],[Descuento_pct]]))</f>
        <v>50803.668</v>
      </c>
      <c r="P2166" s="6" t="n">
        <f aca="false">IF(TablaVentas[[#This Row],[Costo_unitario]]="","PENDIENTE",TablaVentas[[#This Row],[Unidades]]*TablaVentas[[#This Row],[Costo_unitario]])</f>
        <v>45699.08</v>
      </c>
      <c r="Q2166" s="6" t="n">
        <f aca="false">IF(OR(TablaVentas[[#This Row],[Ingreso_neto]]="PENDIENTE",TablaVentas[[#This Row],[Costo_total]]="PENDIENTE"),"PENDIENTE",TablaVentas[[#This Row],[Ingreso_neto]]-TablaVentas[[#This Row],[Costo_total]])</f>
        <v>5104.588</v>
      </c>
    </row>
    <row r="2167" customFormat="false" ht="13.5" hidden="false" customHeight="false" outlineLevel="0" collapsed="false">
      <c r="A2167" s="1" t="s">
        <v>1328</v>
      </c>
      <c r="B2167" s="1" t="n">
        <v>1</v>
      </c>
      <c r="C2167" s="5" t="n">
        <v>46161</v>
      </c>
      <c r="D2167" s="6" t="s">
        <v>239</v>
      </c>
      <c r="E2167" s="6" t="s">
        <v>76</v>
      </c>
      <c r="F2167" s="6" t="s">
        <v>46</v>
      </c>
      <c r="G2167" s="6" t="s">
        <v>57</v>
      </c>
      <c r="H2167" s="6" t="s">
        <v>191</v>
      </c>
      <c r="I2167" s="1" t="n">
        <v>3</v>
      </c>
      <c r="J2167" s="7" t="n">
        <v>12781.06</v>
      </c>
      <c r="K2167" s="8" t="n">
        <v>0.1</v>
      </c>
      <c r="L2167" s="7" t="n">
        <v>10094.26</v>
      </c>
      <c r="M2167" s="6" t="s">
        <v>49</v>
      </c>
      <c r="N2167" s="6" t="s">
        <v>52</v>
      </c>
      <c r="O2167" s="6" t="n">
        <f aca="false">IF(TablaVentas[[#This Row],[Precio_unitario]]="","PENDIENTE",TablaVentas[[#This Row],[Unidades]]*TablaVentas[[#This Row],[Precio_unitario]]*(1-TablaVentas[[#This Row],[Descuento_pct]]))</f>
        <v>34508.862</v>
      </c>
      <c r="P2167" s="6" t="n">
        <f aca="false">IF(TablaVentas[[#This Row],[Costo_unitario]]="","PENDIENTE",TablaVentas[[#This Row],[Unidades]]*TablaVentas[[#This Row],[Costo_unitario]])</f>
        <v>30282.78</v>
      </c>
      <c r="Q2167" s="6" t="n">
        <f aca="false">IF(OR(TablaVentas[[#This Row],[Ingreso_neto]]="PENDIENTE",TablaVentas[[#This Row],[Costo_total]]="PENDIENTE"),"PENDIENTE",TablaVentas[[#This Row],[Ingreso_neto]]-TablaVentas[[#This Row],[Costo_total]])</f>
        <v>4226.082</v>
      </c>
    </row>
    <row r="2168" customFormat="false" ht="13.5" hidden="false" customHeight="false" outlineLevel="0" collapsed="false">
      <c r="A2168" s="1" t="s">
        <v>1328</v>
      </c>
      <c r="B2168" s="1" t="n">
        <v>2</v>
      </c>
      <c r="C2168" s="5" t="n">
        <v>46161</v>
      </c>
      <c r="D2168" s="6" t="s">
        <v>239</v>
      </c>
      <c r="E2168" s="6" t="s">
        <v>159</v>
      </c>
      <c r="F2168" s="6" t="s">
        <v>46</v>
      </c>
      <c r="G2168" s="6" t="s">
        <v>57</v>
      </c>
      <c r="H2168" s="6" t="s">
        <v>191</v>
      </c>
      <c r="I2168" s="1" t="n">
        <v>2</v>
      </c>
      <c r="J2168" s="7" t="n">
        <v>2570.78</v>
      </c>
      <c r="K2168" s="8" t="n">
        <v>0.2</v>
      </c>
      <c r="L2168" s="7" t="n">
        <v>1962.3</v>
      </c>
      <c r="M2168" s="6" t="s">
        <v>49</v>
      </c>
      <c r="N2168" s="6" t="s">
        <v>52</v>
      </c>
      <c r="O2168" s="6" t="n">
        <f aca="false">IF(TablaVentas[[#This Row],[Precio_unitario]]="","PENDIENTE",TablaVentas[[#This Row],[Unidades]]*TablaVentas[[#This Row],[Precio_unitario]]*(1-TablaVentas[[#This Row],[Descuento_pct]]))</f>
        <v>4113.248</v>
      </c>
      <c r="P2168" s="6" t="n">
        <f aca="false">IF(TablaVentas[[#This Row],[Costo_unitario]]="","PENDIENTE",TablaVentas[[#This Row],[Unidades]]*TablaVentas[[#This Row],[Costo_unitario]])</f>
        <v>3924.6</v>
      </c>
      <c r="Q2168" s="6" t="n">
        <f aca="false">IF(OR(TablaVentas[[#This Row],[Ingreso_neto]]="PENDIENTE",TablaVentas[[#This Row],[Costo_total]]="PENDIENTE"),"PENDIENTE",TablaVentas[[#This Row],[Ingreso_neto]]-TablaVentas[[#This Row],[Costo_total]])</f>
        <v>188.648000000001</v>
      </c>
    </row>
    <row r="2169" customFormat="false" ht="13.5" hidden="false" customHeight="false" outlineLevel="0" collapsed="false">
      <c r="A2169" s="1" t="s">
        <v>1329</v>
      </c>
      <c r="B2169" s="1" t="n">
        <v>1</v>
      </c>
      <c r="C2169" s="5" t="n">
        <v>46263</v>
      </c>
      <c r="D2169" s="6" t="s">
        <v>239</v>
      </c>
      <c r="E2169" s="6" t="s">
        <v>150</v>
      </c>
      <c r="F2169" s="6" t="s">
        <v>46</v>
      </c>
      <c r="G2169" s="6" t="s">
        <v>47</v>
      </c>
      <c r="H2169" s="6" t="s">
        <v>58</v>
      </c>
      <c r="I2169" s="1" t="n">
        <v>2</v>
      </c>
      <c r="J2169" s="7" t="n">
        <v>10119.93</v>
      </c>
      <c r="K2169" s="8" t="n">
        <v>0</v>
      </c>
      <c r="L2169" s="7" t="n">
        <v>6815.42</v>
      </c>
      <c r="M2169" s="6" t="s">
        <v>49</v>
      </c>
      <c r="N2169" s="6" t="s">
        <v>52</v>
      </c>
      <c r="O2169" s="6" t="n">
        <f aca="false">IF(TablaVentas[[#This Row],[Precio_unitario]]="","PENDIENTE",TablaVentas[[#This Row],[Unidades]]*TablaVentas[[#This Row],[Precio_unitario]]*(1-TablaVentas[[#This Row],[Descuento_pct]]))</f>
        <v>20239.86</v>
      </c>
      <c r="P2169" s="6" t="n">
        <f aca="false">IF(TablaVentas[[#This Row],[Costo_unitario]]="","PENDIENTE",TablaVentas[[#This Row],[Unidades]]*TablaVentas[[#This Row],[Costo_unitario]])</f>
        <v>13630.84</v>
      </c>
      <c r="Q2169" s="6" t="n">
        <f aca="false">IF(OR(TablaVentas[[#This Row],[Ingreso_neto]]="PENDIENTE",TablaVentas[[#This Row],[Costo_total]]="PENDIENTE"),"PENDIENTE",TablaVentas[[#This Row],[Ingreso_neto]]-TablaVentas[[#This Row],[Costo_total]])</f>
        <v>6609.02</v>
      </c>
    </row>
    <row r="2170" customFormat="false" ht="13.5" hidden="false" customHeight="false" outlineLevel="0" collapsed="false">
      <c r="A2170" s="1" t="s">
        <v>1329</v>
      </c>
      <c r="B2170" s="1" t="n">
        <v>2</v>
      </c>
      <c r="C2170" s="5" t="n">
        <v>46263</v>
      </c>
      <c r="D2170" s="6" t="s">
        <v>239</v>
      </c>
      <c r="E2170" s="6" t="s">
        <v>76</v>
      </c>
      <c r="F2170" s="6" t="s">
        <v>46</v>
      </c>
      <c r="G2170" s="6" t="s">
        <v>47</v>
      </c>
      <c r="H2170" s="6" t="s">
        <v>58</v>
      </c>
      <c r="I2170" s="1" t="n">
        <v>3</v>
      </c>
      <c r="J2170" s="7" t="n">
        <v>12794.85</v>
      </c>
      <c r="K2170" s="8" t="n">
        <v>0</v>
      </c>
      <c r="L2170" s="7" t="n">
        <v>10094.26</v>
      </c>
      <c r="M2170" s="6" t="s">
        <v>49</v>
      </c>
      <c r="N2170" s="6" t="s">
        <v>52</v>
      </c>
      <c r="O2170" s="6" t="n">
        <f aca="false">IF(TablaVentas[[#This Row],[Precio_unitario]]="","PENDIENTE",TablaVentas[[#This Row],[Unidades]]*TablaVentas[[#This Row],[Precio_unitario]]*(1-TablaVentas[[#This Row],[Descuento_pct]]))</f>
        <v>38384.55</v>
      </c>
      <c r="P2170" s="6" t="n">
        <f aca="false">IF(TablaVentas[[#This Row],[Costo_unitario]]="","PENDIENTE",TablaVentas[[#This Row],[Unidades]]*TablaVentas[[#This Row],[Costo_unitario]])</f>
        <v>30282.78</v>
      </c>
      <c r="Q2170" s="6" t="n">
        <f aca="false">IF(OR(TablaVentas[[#This Row],[Ingreso_neto]]="PENDIENTE",TablaVentas[[#This Row],[Costo_total]]="PENDIENTE"),"PENDIENTE",TablaVentas[[#This Row],[Ingreso_neto]]-TablaVentas[[#This Row],[Costo_total]])</f>
        <v>8101.77</v>
      </c>
    </row>
    <row r="2171" customFormat="false" ht="13.5" hidden="false" customHeight="false" outlineLevel="0" collapsed="false">
      <c r="A2171" s="1" t="s">
        <v>1329</v>
      </c>
      <c r="B2171" s="1" t="n">
        <v>3</v>
      </c>
      <c r="C2171" s="5" t="n">
        <v>46263</v>
      </c>
      <c r="D2171" s="6" t="s">
        <v>239</v>
      </c>
      <c r="E2171" s="6" t="s">
        <v>121</v>
      </c>
      <c r="F2171" s="6" t="s">
        <v>46</v>
      </c>
      <c r="G2171" s="6" t="s">
        <v>47</v>
      </c>
      <c r="H2171" s="6" t="s">
        <v>58</v>
      </c>
      <c r="I2171" s="1" t="n">
        <v>2</v>
      </c>
      <c r="J2171" s="7" t="n">
        <v>14072.32</v>
      </c>
      <c r="K2171" s="8" t="n">
        <v>0.15</v>
      </c>
      <c r="L2171" s="7" t="n">
        <v>8239.48</v>
      </c>
      <c r="M2171" s="6" t="s">
        <v>49</v>
      </c>
      <c r="N2171" s="6" t="s">
        <v>59</v>
      </c>
      <c r="O2171" s="6" t="n">
        <f aca="false">IF(TablaVentas[[#This Row],[Precio_unitario]]="","PENDIENTE",TablaVentas[[#This Row],[Unidades]]*TablaVentas[[#This Row],[Precio_unitario]]*(1-TablaVentas[[#This Row],[Descuento_pct]]))</f>
        <v>23922.944</v>
      </c>
      <c r="P2171" s="6" t="n">
        <f aca="false">IF(TablaVentas[[#This Row],[Costo_unitario]]="","PENDIENTE",TablaVentas[[#This Row],[Unidades]]*TablaVentas[[#This Row],[Costo_unitario]])</f>
        <v>16478.96</v>
      </c>
      <c r="Q2171" s="6" t="n">
        <f aca="false">IF(OR(TablaVentas[[#This Row],[Ingreso_neto]]="PENDIENTE",TablaVentas[[#This Row],[Costo_total]]="PENDIENTE"),"PENDIENTE",TablaVentas[[#This Row],[Ingreso_neto]]-TablaVentas[[#This Row],[Costo_total]])</f>
        <v>7443.984</v>
      </c>
    </row>
    <row r="2172" customFormat="false" ht="13.5" hidden="false" customHeight="false" outlineLevel="0" collapsed="false">
      <c r="A2172" s="1" t="s">
        <v>1330</v>
      </c>
      <c r="B2172" s="1" t="n">
        <v>1</v>
      </c>
      <c r="C2172" s="5" t="n">
        <v>46126</v>
      </c>
      <c r="D2172" s="6" t="s">
        <v>154</v>
      </c>
      <c r="E2172" s="6" t="s">
        <v>166</v>
      </c>
      <c r="F2172" s="6" t="s">
        <v>63</v>
      </c>
      <c r="G2172" s="6" t="s">
        <v>57</v>
      </c>
      <c r="H2172" s="6" t="s">
        <v>109</v>
      </c>
      <c r="I2172" s="1" t="n">
        <v>12</v>
      </c>
      <c r="J2172" s="7" t="n">
        <v>13229.96</v>
      </c>
      <c r="K2172" s="8" t="n">
        <v>0</v>
      </c>
      <c r="L2172" s="7" t="n">
        <v>9317.37</v>
      </c>
      <c r="M2172" s="6" t="s">
        <v>49</v>
      </c>
      <c r="N2172" s="6" t="s">
        <v>50</v>
      </c>
      <c r="O2172" s="6" t="n">
        <f aca="false">IF(TablaVentas[[#This Row],[Precio_unitario]]="","PENDIENTE",TablaVentas[[#This Row],[Unidades]]*TablaVentas[[#This Row],[Precio_unitario]]*(1-TablaVentas[[#This Row],[Descuento_pct]]))</f>
        <v>158759.52</v>
      </c>
      <c r="P2172" s="6" t="n">
        <f aca="false">IF(TablaVentas[[#This Row],[Costo_unitario]]="","PENDIENTE",TablaVentas[[#This Row],[Unidades]]*TablaVentas[[#This Row],[Costo_unitario]])</f>
        <v>111808.44</v>
      </c>
      <c r="Q2172" s="6" t="n">
        <f aca="false">IF(OR(TablaVentas[[#This Row],[Ingreso_neto]]="PENDIENTE",TablaVentas[[#This Row],[Costo_total]]="PENDIENTE"),"PENDIENTE",TablaVentas[[#This Row],[Ingreso_neto]]-TablaVentas[[#This Row],[Costo_total]])</f>
        <v>46951.08</v>
      </c>
    </row>
    <row r="2173" customFormat="false" ht="13.5" hidden="false" customHeight="false" outlineLevel="0" collapsed="false">
      <c r="A2173" s="1" t="s">
        <v>1330</v>
      </c>
      <c r="B2173" s="1" t="n">
        <v>2</v>
      </c>
      <c r="C2173" s="5" t="n">
        <v>46126</v>
      </c>
      <c r="D2173" s="6" t="s">
        <v>154</v>
      </c>
      <c r="E2173" s="6" t="s">
        <v>544</v>
      </c>
      <c r="F2173" s="6" t="s">
        <v>63</v>
      </c>
      <c r="G2173" s="6" t="s">
        <v>57</v>
      </c>
      <c r="H2173" s="6" t="s">
        <v>109</v>
      </c>
      <c r="I2173" s="1" t="n">
        <v>1</v>
      </c>
      <c r="J2173" s="7" t="n">
        <v>4985.83</v>
      </c>
      <c r="K2173" s="8" t="n">
        <v>0</v>
      </c>
      <c r="L2173" s="7" t="n">
        <v>4556.23</v>
      </c>
      <c r="M2173" s="6" t="s">
        <v>49</v>
      </c>
      <c r="N2173" s="6" t="s">
        <v>50</v>
      </c>
      <c r="O2173" s="6" t="n">
        <f aca="false">IF(TablaVentas[[#This Row],[Precio_unitario]]="","PENDIENTE",TablaVentas[[#This Row],[Unidades]]*TablaVentas[[#This Row],[Precio_unitario]]*(1-TablaVentas[[#This Row],[Descuento_pct]]))</f>
        <v>4985.83</v>
      </c>
      <c r="P2173" s="6" t="n">
        <f aca="false">IF(TablaVentas[[#This Row],[Costo_unitario]]="","PENDIENTE",TablaVentas[[#This Row],[Unidades]]*TablaVentas[[#This Row],[Costo_unitario]])</f>
        <v>4556.23</v>
      </c>
      <c r="Q2173" s="6" t="n">
        <f aca="false">IF(OR(TablaVentas[[#This Row],[Ingreso_neto]]="PENDIENTE",TablaVentas[[#This Row],[Costo_total]]="PENDIENTE"),"PENDIENTE",TablaVentas[[#This Row],[Ingreso_neto]]-TablaVentas[[#This Row],[Costo_total]])</f>
        <v>429.6</v>
      </c>
    </row>
    <row r="2174" customFormat="false" ht="13.5" hidden="false" customHeight="false" outlineLevel="0" collapsed="false">
      <c r="A2174" s="1" t="s">
        <v>1331</v>
      </c>
      <c r="B2174" s="1" t="n">
        <v>1</v>
      </c>
      <c r="C2174" s="5" t="n">
        <v>46196</v>
      </c>
      <c r="D2174" s="6" t="s">
        <v>376</v>
      </c>
      <c r="E2174" s="6" t="s">
        <v>97</v>
      </c>
      <c r="F2174" s="6" t="s">
        <v>84</v>
      </c>
      <c r="G2174" s="6" t="s">
        <v>47</v>
      </c>
      <c r="H2174" s="6" t="s">
        <v>89</v>
      </c>
      <c r="I2174" s="1" t="n">
        <v>2</v>
      </c>
      <c r="J2174" s="7" t="n">
        <v>10070.22</v>
      </c>
      <c r="K2174" s="8" t="n">
        <v>0.1</v>
      </c>
      <c r="L2174" s="7" t="n">
        <v>8174.87</v>
      </c>
      <c r="M2174" s="6" t="s">
        <v>49</v>
      </c>
      <c r="N2174" s="6" t="s">
        <v>50</v>
      </c>
      <c r="O2174" s="6" t="n">
        <f aca="false">IF(TablaVentas[[#This Row],[Precio_unitario]]="","PENDIENTE",TablaVentas[[#This Row],[Unidades]]*TablaVentas[[#This Row],[Precio_unitario]]*(1-TablaVentas[[#This Row],[Descuento_pct]]))</f>
        <v>18126.396</v>
      </c>
      <c r="P2174" s="6" t="n">
        <f aca="false">IF(TablaVentas[[#This Row],[Costo_unitario]]="","PENDIENTE",TablaVentas[[#This Row],[Unidades]]*TablaVentas[[#This Row],[Costo_unitario]])</f>
        <v>16349.74</v>
      </c>
      <c r="Q2174" s="6" t="n">
        <f aca="false">IF(OR(TablaVentas[[#This Row],[Ingreso_neto]]="PENDIENTE",TablaVentas[[#This Row],[Costo_total]]="PENDIENTE"),"PENDIENTE",TablaVentas[[#This Row],[Ingreso_neto]]-TablaVentas[[#This Row],[Costo_total]])</f>
        <v>1776.656</v>
      </c>
    </row>
    <row r="2175" customFormat="false" ht="13.5" hidden="false" customHeight="false" outlineLevel="0" collapsed="false">
      <c r="A2175" s="1" t="s">
        <v>1331</v>
      </c>
      <c r="B2175" s="1" t="n">
        <v>2</v>
      </c>
      <c r="C2175" s="5" t="n">
        <v>46196</v>
      </c>
      <c r="D2175" s="6" t="s">
        <v>376</v>
      </c>
      <c r="E2175" s="6" t="s">
        <v>213</v>
      </c>
      <c r="F2175" s="6" t="s">
        <v>84</v>
      </c>
      <c r="G2175" s="6" t="s">
        <v>47</v>
      </c>
      <c r="H2175" s="6" t="s">
        <v>89</v>
      </c>
      <c r="I2175" s="1" t="n">
        <v>2</v>
      </c>
      <c r="J2175" s="7" t="n">
        <v>5960.53</v>
      </c>
      <c r="K2175" s="8" t="n">
        <v>0.15</v>
      </c>
      <c r="L2175" s="7" t="n">
        <v>4008.77</v>
      </c>
      <c r="M2175" s="6" t="s">
        <v>49</v>
      </c>
      <c r="N2175" s="6" t="s">
        <v>50</v>
      </c>
      <c r="O2175" s="6" t="n">
        <f aca="false">IF(TablaVentas[[#This Row],[Precio_unitario]]="","PENDIENTE",TablaVentas[[#This Row],[Unidades]]*TablaVentas[[#This Row],[Precio_unitario]]*(1-TablaVentas[[#This Row],[Descuento_pct]]))</f>
        <v>10132.901</v>
      </c>
      <c r="P2175" s="6" t="n">
        <f aca="false">IF(TablaVentas[[#This Row],[Costo_unitario]]="","PENDIENTE",TablaVentas[[#This Row],[Unidades]]*TablaVentas[[#This Row],[Costo_unitario]])</f>
        <v>8017.54</v>
      </c>
      <c r="Q2175" s="6" t="n">
        <f aca="false">IF(OR(TablaVentas[[#This Row],[Ingreso_neto]]="PENDIENTE",TablaVentas[[#This Row],[Costo_total]]="PENDIENTE"),"PENDIENTE",TablaVentas[[#This Row],[Ingreso_neto]]-TablaVentas[[#This Row],[Costo_total]])</f>
        <v>2115.361</v>
      </c>
    </row>
    <row r="2176" customFormat="false" ht="13.5" hidden="false" customHeight="false" outlineLevel="0" collapsed="false">
      <c r="A2176" s="1" t="s">
        <v>1331</v>
      </c>
      <c r="B2176" s="1" t="n">
        <v>3</v>
      </c>
      <c r="C2176" s="5" t="n">
        <v>46196</v>
      </c>
      <c r="D2176" s="6" t="s">
        <v>376</v>
      </c>
      <c r="E2176" s="6" t="s">
        <v>374</v>
      </c>
      <c r="F2176" s="6" t="s">
        <v>84</v>
      </c>
      <c r="G2176" s="6" t="s">
        <v>47</v>
      </c>
      <c r="H2176" s="6" t="s">
        <v>89</v>
      </c>
      <c r="I2176" s="1" t="n">
        <v>1</v>
      </c>
      <c r="J2176" s="7" t="n">
        <v>9916.8</v>
      </c>
      <c r="K2176" s="8" t="n">
        <v>0.2</v>
      </c>
      <c r="L2176" s="7" t="n">
        <v>5079.43</v>
      </c>
      <c r="M2176" s="6" t="s">
        <v>49</v>
      </c>
      <c r="N2176" s="6" t="s">
        <v>52</v>
      </c>
      <c r="O2176" s="6" t="n">
        <f aca="false">IF(TablaVentas[[#This Row],[Precio_unitario]]="","PENDIENTE",TablaVentas[[#This Row],[Unidades]]*TablaVentas[[#This Row],[Precio_unitario]]*(1-TablaVentas[[#This Row],[Descuento_pct]]))</f>
        <v>7933.44</v>
      </c>
      <c r="P2176" s="6" t="n">
        <f aca="false">IF(TablaVentas[[#This Row],[Costo_unitario]]="","PENDIENTE",TablaVentas[[#This Row],[Unidades]]*TablaVentas[[#This Row],[Costo_unitario]])</f>
        <v>5079.43</v>
      </c>
      <c r="Q2176" s="6" t="n">
        <f aca="false">IF(OR(TablaVentas[[#This Row],[Ingreso_neto]]="PENDIENTE",TablaVentas[[#This Row],[Costo_total]]="PENDIENTE"),"PENDIENTE",TablaVentas[[#This Row],[Ingreso_neto]]-TablaVentas[[#This Row],[Costo_total]])</f>
        <v>2854.01</v>
      </c>
    </row>
    <row r="2177" customFormat="false" ht="13.5" hidden="false" customHeight="false" outlineLevel="0" collapsed="false">
      <c r="A2177" s="1" t="s">
        <v>1332</v>
      </c>
      <c r="B2177" s="1" t="n">
        <v>1</v>
      </c>
      <c r="C2177" s="5" t="n">
        <v>46155</v>
      </c>
      <c r="D2177" s="6" t="s">
        <v>1244</v>
      </c>
      <c r="E2177" s="6" t="s">
        <v>284</v>
      </c>
      <c r="F2177" s="6" t="s">
        <v>73</v>
      </c>
      <c r="G2177" s="6" t="s">
        <v>64</v>
      </c>
      <c r="H2177" s="6" t="s">
        <v>131</v>
      </c>
      <c r="I2177" s="1" t="n">
        <v>1</v>
      </c>
      <c r="J2177" s="7" t="n">
        <v>7146.75</v>
      </c>
      <c r="K2177" s="8" t="n">
        <v>0.05</v>
      </c>
      <c r="L2177" s="7" t="n">
        <v>4858.08</v>
      </c>
      <c r="M2177" s="6" t="s">
        <v>49</v>
      </c>
      <c r="N2177" s="6" t="s">
        <v>67</v>
      </c>
      <c r="O2177" s="6" t="n">
        <f aca="false">IF(TablaVentas[[#This Row],[Precio_unitario]]="","PENDIENTE",TablaVentas[[#This Row],[Unidades]]*TablaVentas[[#This Row],[Precio_unitario]]*(1-TablaVentas[[#This Row],[Descuento_pct]]))</f>
        <v>6789.4125</v>
      </c>
      <c r="P2177" s="6" t="n">
        <f aca="false">IF(TablaVentas[[#This Row],[Costo_unitario]]="","PENDIENTE",TablaVentas[[#This Row],[Unidades]]*TablaVentas[[#This Row],[Costo_unitario]])</f>
        <v>4858.08</v>
      </c>
      <c r="Q2177" s="6" t="n">
        <f aca="false">IF(OR(TablaVentas[[#This Row],[Ingreso_neto]]="PENDIENTE",TablaVentas[[#This Row],[Costo_total]]="PENDIENTE"),"PENDIENTE",TablaVentas[[#This Row],[Ingreso_neto]]-TablaVentas[[#This Row],[Costo_total]])</f>
        <v>1931.3325</v>
      </c>
    </row>
    <row r="2178" customFormat="false" ht="13.5" hidden="false" customHeight="false" outlineLevel="0" collapsed="false">
      <c r="A2178" s="1" t="s">
        <v>1332</v>
      </c>
      <c r="B2178" s="1" t="n">
        <v>2</v>
      </c>
      <c r="C2178" s="5" t="n">
        <v>46155</v>
      </c>
      <c r="D2178" s="6" t="s">
        <v>1244</v>
      </c>
      <c r="E2178" s="6" t="s">
        <v>327</v>
      </c>
      <c r="F2178" s="6" t="s">
        <v>73</v>
      </c>
      <c r="G2178" s="6" t="s">
        <v>64</v>
      </c>
      <c r="H2178" s="6" t="s">
        <v>131</v>
      </c>
      <c r="I2178" s="1" t="n">
        <v>1</v>
      </c>
      <c r="J2178" s="7" t="n">
        <v>4540.16</v>
      </c>
      <c r="K2178" s="8" t="n">
        <v>0.1</v>
      </c>
      <c r="L2178" s="7" t="n">
        <v>3065.66</v>
      </c>
      <c r="M2178" s="6" t="s">
        <v>123</v>
      </c>
      <c r="N2178" s="6" t="s">
        <v>59</v>
      </c>
      <c r="O2178" s="6" t="n">
        <f aca="false">IF(TablaVentas[[#This Row],[Precio_unitario]]="","PENDIENTE",TablaVentas[[#This Row],[Unidades]]*TablaVentas[[#This Row],[Precio_unitario]]*(1-TablaVentas[[#This Row],[Descuento_pct]]))</f>
        <v>4086.144</v>
      </c>
      <c r="P2178" s="6" t="n">
        <f aca="false">IF(TablaVentas[[#This Row],[Costo_unitario]]="","PENDIENTE",TablaVentas[[#This Row],[Unidades]]*TablaVentas[[#This Row],[Costo_unitario]])</f>
        <v>3065.66</v>
      </c>
      <c r="Q2178" s="6" t="n">
        <f aca="false">IF(OR(TablaVentas[[#This Row],[Ingreso_neto]]="PENDIENTE",TablaVentas[[#This Row],[Costo_total]]="PENDIENTE"),"PENDIENTE",TablaVentas[[#This Row],[Ingreso_neto]]-TablaVentas[[#This Row],[Costo_total]])</f>
        <v>1020.484</v>
      </c>
    </row>
    <row r="2179" customFormat="false" ht="13.5" hidden="false" customHeight="false" outlineLevel="0" collapsed="false">
      <c r="A2179" s="1" t="s">
        <v>1332</v>
      </c>
      <c r="B2179" s="1" t="n">
        <v>3</v>
      </c>
      <c r="C2179" s="5" t="n">
        <v>46155</v>
      </c>
      <c r="D2179" s="6" t="s">
        <v>1244</v>
      </c>
      <c r="E2179" s="6" t="s">
        <v>328</v>
      </c>
      <c r="F2179" s="6" t="s">
        <v>73</v>
      </c>
      <c r="G2179" s="6" t="s">
        <v>64</v>
      </c>
      <c r="H2179" s="6" t="s">
        <v>131</v>
      </c>
      <c r="I2179" s="1" t="n">
        <v>1</v>
      </c>
      <c r="J2179" s="7" t="n">
        <v>1180.24</v>
      </c>
      <c r="K2179" s="8" t="n">
        <v>0</v>
      </c>
      <c r="L2179" s="7" t="n">
        <v>679.37</v>
      </c>
      <c r="M2179" s="6" t="s">
        <v>69</v>
      </c>
      <c r="N2179" s="6" t="s">
        <v>59</v>
      </c>
      <c r="O2179" s="6" t="n">
        <f aca="false">IF(TablaVentas[[#This Row],[Precio_unitario]]="","PENDIENTE",TablaVentas[[#This Row],[Unidades]]*TablaVentas[[#This Row],[Precio_unitario]]*(1-TablaVentas[[#This Row],[Descuento_pct]]))</f>
        <v>1180.24</v>
      </c>
      <c r="P2179" s="6" t="n">
        <f aca="false">IF(TablaVentas[[#This Row],[Costo_unitario]]="","PENDIENTE",TablaVentas[[#This Row],[Unidades]]*TablaVentas[[#This Row],[Costo_unitario]])</f>
        <v>679.37</v>
      </c>
      <c r="Q2179" s="6" t="n">
        <f aca="false">IF(OR(TablaVentas[[#This Row],[Ingreso_neto]]="PENDIENTE",TablaVentas[[#This Row],[Costo_total]]="PENDIENTE"),"PENDIENTE",TablaVentas[[#This Row],[Ingreso_neto]]-TablaVentas[[#This Row],[Costo_total]])</f>
        <v>500.87</v>
      </c>
    </row>
    <row r="2180" customFormat="false" ht="13.5" hidden="false" customHeight="false" outlineLevel="0" collapsed="false">
      <c r="A2180" s="1" t="s">
        <v>1333</v>
      </c>
      <c r="B2180" s="1" t="n">
        <v>1</v>
      </c>
      <c r="C2180" s="5" t="n">
        <v>46062</v>
      </c>
      <c r="D2180" s="6" t="s">
        <v>103</v>
      </c>
      <c r="E2180" s="6" t="s">
        <v>225</v>
      </c>
      <c r="F2180" s="6" t="s">
        <v>73</v>
      </c>
      <c r="G2180" s="6" t="s">
        <v>57</v>
      </c>
      <c r="H2180" s="6" t="s">
        <v>74</v>
      </c>
      <c r="I2180" s="1" t="n">
        <v>2</v>
      </c>
      <c r="J2180" s="7" t="n">
        <v>4596.61</v>
      </c>
      <c r="K2180" s="8" t="n">
        <v>0</v>
      </c>
      <c r="L2180" s="7" t="n">
        <v>2833.97</v>
      </c>
      <c r="M2180" s="6" t="s">
        <v>49</v>
      </c>
      <c r="N2180" s="6" t="s">
        <v>50</v>
      </c>
      <c r="O2180" s="6" t="n">
        <f aca="false">IF(TablaVentas[[#This Row],[Precio_unitario]]="","PENDIENTE",TablaVentas[[#This Row],[Unidades]]*TablaVentas[[#This Row],[Precio_unitario]]*(1-TablaVentas[[#This Row],[Descuento_pct]]))</f>
        <v>9193.22</v>
      </c>
      <c r="P2180" s="6" t="n">
        <f aca="false">IF(TablaVentas[[#This Row],[Costo_unitario]]="","PENDIENTE",TablaVentas[[#This Row],[Unidades]]*TablaVentas[[#This Row],[Costo_unitario]])</f>
        <v>5667.94</v>
      </c>
      <c r="Q2180" s="6" t="n">
        <f aca="false">IF(OR(TablaVentas[[#This Row],[Ingreso_neto]]="PENDIENTE",TablaVentas[[#This Row],[Costo_total]]="PENDIENTE"),"PENDIENTE",TablaVentas[[#This Row],[Ingreso_neto]]-TablaVentas[[#This Row],[Costo_total]])</f>
        <v>3525.28</v>
      </c>
    </row>
    <row r="2181" customFormat="false" ht="13.5" hidden="false" customHeight="false" outlineLevel="0" collapsed="false">
      <c r="A2181" s="1" t="s">
        <v>1333</v>
      </c>
      <c r="B2181" s="1" t="n">
        <v>2</v>
      </c>
      <c r="C2181" s="5" t="n">
        <v>46062</v>
      </c>
      <c r="D2181" s="6" t="s">
        <v>103</v>
      </c>
      <c r="E2181" s="6" t="s">
        <v>342</v>
      </c>
      <c r="F2181" s="6" t="s">
        <v>73</v>
      </c>
      <c r="G2181" s="6" t="s">
        <v>57</v>
      </c>
      <c r="H2181" s="6" t="s">
        <v>74</v>
      </c>
      <c r="I2181" s="1" t="n">
        <v>2</v>
      </c>
      <c r="J2181" s="7" t="n">
        <v>7084.22</v>
      </c>
      <c r="K2181" s="8" t="n">
        <v>0</v>
      </c>
      <c r="L2181" s="7" t="n">
        <v>5587.31</v>
      </c>
      <c r="M2181" s="6" t="s">
        <v>49</v>
      </c>
      <c r="N2181" s="6" t="s">
        <v>50</v>
      </c>
      <c r="O2181" s="6" t="n">
        <f aca="false">IF(TablaVentas[[#This Row],[Precio_unitario]]="","PENDIENTE",TablaVentas[[#This Row],[Unidades]]*TablaVentas[[#This Row],[Precio_unitario]]*(1-TablaVentas[[#This Row],[Descuento_pct]]))</f>
        <v>14168.44</v>
      </c>
      <c r="P2181" s="6" t="n">
        <f aca="false">IF(TablaVentas[[#This Row],[Costo_unitario]]="","PENDIENTE",TablaVentas[[#This Row],[Unidades]]*TablaVentas[[#This Row],[Costo_unitario]])</f>
        <v>11174.62</v>
      </c>
      <c r="Q2181" s="6" t="n">
        <f aca="false">IF(OR(TablaVentas[[#This Row],[Ingreso_neto]]="PENDIENTE",TablaVentas[[#This Row],[Costo_total]]="PENDIENTE"),"PENDIENTE",TablaVentas[[#This Row],[Ingreso_neto]]-TablaVentas[[#This Row],[Costo_total]])</f>
        <v>2993.82</v>
      </c>
    </row>
    <row r="2182" customFormat="false" ht="13.5" hidden="false" customHeight="false" outlineLevel="0" collapsed="false">
      <c r="A2182" s="1" t="s">
        <v>1333</v>
      </c>
      <c r="B2182" s="1" t="n">
        <v>3</v>
      </c>
      <c r="C2182" s="5" t="n">
        <v>46062</v>
      </c>
      <c r="D2182" s="6" t="s">
        <v>103</v>
      </c>
      <c r="E2182" s="6" t="s">
        <v>91</v>
      </c>
      <c r="F2182" s="6" t="s">
        <v>73</v>
      </c>
      <c r="G2182" s="6" t="s">
        <v>57</v>
      </c>
      <c r="H2182" s="6" t="s">
        <v>74</v>
      </c>
      <c r="I2182" s="1" t="n">
        <v>1</v>
      </c>
      <c r="J2182" s="7" t="n">
        <v>14061.25</v>
      </c>
      <c r="K2182" s="8" t="n">
        <v>0.2</v>
      </c>
      <c r="L2182" s="7" t="n">
        <v>8576.05</v>
      </c>
      <c r="M2182" s="6" t="s">
        <v>49</v>
      </c>
      <c r="N2182" s="6" t="s">
        <v>50</v>
      </c>
      <c r="O2182" s="6" t="n">
        <f aca="false">IF(TablaVentas[[#This Row],[Precio_unitario]]="","PENDIENTE",TablaVentas[[#This Row],[Unidades]]*TablaVentas[[#This Row],[Precio_unitario]]*(1-TablaVentas[[#This Row],[Descuento_pct]]))</f>
        <v>11249</v>
      </c>
      <c r="P2182" s="6" t="n">
        <f aca="false">IF(TablaVentas[[#This Row],[Costo_unitario]]="","PENDIENTE",TablaVentas[[#This Row],[Unidades]]*TablaVentas[[#This Row],[Costo_unitario]])</f>
        <v>8576.05</v>
      </c>
      <c r="Q2182" s="6" t="n">
        <f aca="false">IF(OR(TablaVentas[[#This Row],[Ingreso_neto]]="PENDIENTE",TablaVentas[[#This Row],[Costo_total]]="PENDIENTE"),"PENDIENTE",TablaVentas[[#This Row],[Ingreso_neto]]-TablaVentas[[#This Row],[Costo_total]])</f>
        <v>2672.95</v>
      </c>
    </row>
    <row r="2183" customFormat="false" ht="13.5" hidden="false" customHeight="false" outlineLevel="0" collapsed="false">
      <c r="A2183" s="1" t="s">
        <v>1334</v>
      </c>
      <c r="B2183" s="1" t="n">
        <v>1</v>
      </c>
      <c r="C2183" s="5" t="n">
        <v>46121</v>
      </c>
      <c r="D2183" s="6" t="s">
        <v>1077</v>
      </c>
      <c r="E2183" s="6" t="s">
        <v>263</v>
      </c>
      <c r="F2183" s="6" t="s">
        <v>73</v>
      </c>
      <c r="G2183" s="6" t="s">
        <v>64</v>
      </c>
      <c r="H2183" s="6" t="s">
        <v>58</v>
      </c>
      <c r="I2183" s="1" t="n">
        <v>5</v>
      </c>
      <c r="J2183" s="7" t="n">
        <v>17403.62</v>
      </c>
      <c r="K2183" s="8" t="n">
        <v>0.05</v>
      </c>
      <c r="L2183" s="7" t="n">
        <v>11666.57</v>
      </c>
      <c r="M2183" s="6" t="s">
        <v>49</v>
      </c>
      <c r="N2183" s="6" t="s">
        <v>52</v>
      </c>
      <c r="O2183" s="6" t="n">
        <f aca="false">IF(TablaVentas[[#This Row],[Precio_unitario]]="","PENDIENTE",TablaVentas[[#This Row],[Unidades]]*TablaVentas[[#This Row],[Precio_unitario]]*(1-TablaVentas[[#This Row],[Descuento_pct]]))</f>
        <v>82667.195</v>
      </c>
      <c r="P2183" s="6" t="n">
        <f aca="false">IF(TablaVentas[[#This Row],[Costo_unitario]]="","PENDIENTE",TablaVentas[[#This Row],[Unidades]]*TablaVentas[[#This Row],[Costo_unitario]])</f>
        <v>58332.85</v>
      </c>
      <c r="Q2183" s="6" t="n">
        <f aca="false">IF(OR(TablaVentas[[#This Row],[Ingreso_neto]]="PENDIENTE",TablaVentas[[#This Row],[Costo_total]]="PENDIENTE"),"PENDIENTE",TablaVentas[[#This Row],[Ingreso_neto]]-TablaVentas[[#This Row],[Costo_total]])</f>
        <v>24334.345</v>
      </c>
    </row>
    <row r="2184" customFormat="false" ht="13.5" hidden="false" customHeight="false" outlineLevel="0" collapsed="false">
      <c r="A2184" s="1" t="s">
        <v>1334</v>
      </c>
      <c r="B2184" s="1" t="n">
        <v>2</v>
      </c>
      <c r="C2184" s="5" t="n">
        <v>46121</v>
      </c>
      <c r="D2184" s="6" t="s">
        <v>1077</v>
      </c>
      <c r="E2184" s="6" t="s">
        <v>135</v>
      </c>
      <c r="F2184" s="6" t="s">
        <v>73</v>
      </c>
      <c r="G2184" s="6" t="s">
        <v>64</v>
      </c>
      <c r="H2184" s="6" t="s">
        <v>58</v>
      </c>
      <c r="I2184" s="1" t="n">
        <v>3</v>
      </c>
      <c r="J2184" s="7" t="n">
        <v>1662.85</v>
      </c>
      <c r="K2184" s="8" t="n">
        <v>0</v>
      </c>
      <c r="L2184" s="7" t="n">
        <v>900.08</v>
      </c>
      <c r="M2184" s="6" t="s">
        <v>49</v>
      </c>
      <c r="N2184" s="6" t="s">
        <v>52</v>
      </c>
      <c r="O2184" s="6" t="n">
        <f aca="false">IF(TablaVentas[[#This Row],[Precio_unitario]]="","PENDIENTE",TablaVentas[[#This Row],[Unidades]]*TablaVentas[[#This Row],[Precio_unitario]]*(1-TablaVentas[[#This Row],[Descuento_pct]]))</f>
        <v>4988.55</v>
      </c>
      <c r="P2184" s="6" t="n">
        <f aca="false">IF(TablaVentas[[#This Row],[Costo_unitario]]="","PENDIENTE",TablaVentas[[#This Row],[Unidades]]*TablaVentas[[#This Row],[Costo_unitario]])</f>
        <v>2700.24</v>
      </c>
      <c r="Q2184" s="6" t="n">
        <f aca="false">IF(OR(TablaVentas[[#This Row],[Ingreso_neto]]="PENDIENTE",TablaVentas[[#This Row],[Costo_total]]="PENDIENTE"),"PENDIENTE",TablaVentas[[#This Row],[Ingreso_neto]]-TablaVentas[[#This Row],[Costo_total]])</f>
        <v>2288.31</v>
      </c>
    </row>
    <row r="2185" customFormat="false" ht="13.5" hidden="false" customHeight="false" outlineLevel="0" collapsed="false">
      <c r="A2185" s="1" t="s">
        <v>1334</v>
      </c>
      <c r="B2185" s="1" t="n">
        <v>3</v>
      </c>
      <c r="C2185" s="5" t="n">
        <v>46121</v>
      </c>
      <c r="D2185" s="6" t="s">
        <v>1077</v>
      </c>
      <c r="E2185" s="6" t="s">
        <v>97</v>
      </c>
      <c r="F2185" s="6" t="s">
        <v>73</v>
      </c>
      <c r="G2185" s="6" t="s">
        <v>64</v>
      </c>
      <c r="H2185" s="6" t="s">
        <v>58</v>
      </c>
      <c r="I2185" s="1" t="n">
        <v>2</v>
      </c>
      <c r="J2185" s="7" t="n">
        <v>11193.07</v>
      </c>
      <c r="K2185" s="8" t="n">
        <v>0</v>
      </c>
      <c r="L2185" s="7" t="n">
        <v>8174.87</v>
      </c>
      <c r="M2185" s="6" t="s">
        <v>49</v>
      </c>
      <c r="N2185" s="6" t="s">
        <v>59</v>
      </c>
      <c r="O2185" s="6" t="n">
        <f aca="false">IF(TablaVentas[[#This Row],[Precio_unitario]]="","PENDIENTE",TablaVentas[[#This Row],[Unidades]]*TablaVentas[[#This Row],[Precio_unitario]]*(1-TablaVentas[[#This Row],[Descuento_pct]]))</f>
        <v>22386.14</v>
      </c>
      <c r="P2185" s="6" t="n">
        <f aca="false">IF(TablaVentas[[#This Row],[Costo_unitario]]="","PENDIENTE",TablaVentas[[#This Row],[Unidades]]*TablaVentas[[#This Row],[Costo_unitario]])</f>
        <v>16349.74</v>
      </c>
      <c r="Q2185" s="6" t="n">
        <f aca="false">IF(OR(TablaVentas[[#This Row],[Ingreso_neto]]="PENDIENTE",TablaVentas[[#This Row],[Costo_total]]="PENDIENTE"),"PENDIENTE",TablaVentas[[#This Row],[Ingreso_neto]]-TablaVentas[[#This Row],[Costo_total]])</f>
        <v>6036.4</v>
      </c>
    </row>
    <row r="2186" customFormat="false" ht="13.5" hidden="false" customHeight="false" outlineLevel="0" collapsed="false">
      <c r="A2186" s="1" t="s">
        <v>1334</v>
      </c>
      <c r="B2186" s="1" t="n">
        <v>4</v>
      </c>
      <c r="C2186" s="5" t="n">
        <v>46121</v>
      </c>
      <c r="D2186" s="6" t="s">
        <v>1077</v>
      </c>
      <c r="E2186" s="6" t="s">
        <v>162</v>
      </c>
      <c r="F2186" s="6" t="s">
        <v>73</v>
      </c>
      <c r="G2186" s="6" t="s">
        <v>64</v>
      </c>
      <c r="H2186" s="6" t="s">
        <v>58</v>
      </c>
      <c r="I2186" s="1" t="n">
        <v>1</v>
      </c>
      <c r="J2186" s="7" t="n">
        <v>760.69</v>
      </c>
      <c r="K2186" s="8" t="n">
        <v>0.2</v>
      </c>
      <c r="L2186" s="7" t="n">
        <v>397.1</v>
      </c>
      <c r="M2186" s="6" t="s">
        <v>49</v>
      </c>
      <c r="N2186" s="6" t="s">
        <v>52</v>
      </c>
      <c r="O2186" s="6" t="n">
        <f aca="false">IF(TablaVentas[[#This Row],[Precio_unitario]]="","PENDIENTE",TablaVentas[[#This Row],[Unidades]]*TablaVentas[[#This Row],[Precio_unitario]]*(1-TablaVentas[[#This Row],[Descuento_pct]]))</f>
        <v>608.552</v>
      </c>
      <c r="P2186" s="6" t="n">
        <f aca="false">IF(TablaVentas[[#This Row],[Costo_unitario]]="","PENDIENTE",TablaVentas[[#This Row],[Unidades]]*TablaVentas[[#This Row],[Costo_unitario]])</f>
        <v>397.1</v>
      </c>
      <c r="Q2186" s="6" t="n">
        <f aca="false">IF(OR(TablaVentas[[#This Row],[Ingreso_neto]]="PENDIENTE",TablaVentas[[#This Row],[Costo_total]]="PENDIENTE"),"PENDIENTE",TablaVentas[[#This Row],[Ingreso_neto]]-TablaVentas[[#This Row],[Costo_total]])</f>
        <v>211.452</v>
      </c>
    </row>
    <row r="2187" customFormat="false" ht="13.5" hidden="false" customHeight="false" outlineLevel="0" collapsed="false">
      <c r="A2187" s="1" t="s">
        <v>1335</v>
      </c>
      <c r="B2187" s="1" t="n">
        <v>1</v>
      </c>
      <c r="C2187" s="5" t="n">
        <v>46289</v>
      </c>
      <c r="D2187" s="6" t="s">
        <v>970</v>
      </c>
      <c r="E2187" s="6" t="s">
        <v>233</v>
      </c>
      <c r="F2187" s="6" t="s">
        <v>46</v>
      </c>
      <c r="G2187" s="6" t="s">
        <v>57</v>
      </c>
      <c r="H2187" s="6" t="s">
        <v>65</v>
      </c>
      <c r="I2187" s="1" t="n">
        <v>8</v>
      </c>
      <c r="J2187" s="7" t="n">
        <v>18633.13</v>
      </c>
      <c r="K2187" s="8" t="n">
        <v>0.05</v>
      </c>
      <c r="L2187" s="7" t="n">
        <v>9976.68</v>
      </c>
      <c r="M2187" s="6" t="s">
        <v>49</v>
      </c>
      <c r="N2187" s="6" t="s">
        <v>52</v>
      </c>
      <c r="O2187" s="6" t="n">
        <f aca="false">IF(TablaVentas[[#This Row],[Precio_unitario]]="","PENDIENTE",TablaVentas[[#This Row],[Unidades]]*TablaVentas[[#This Row],[Precio_unitario]]*(1-TablaVentas[[#This Row],[Descuento_pct]]))</f>
        <v>141611.788</v>
      </c>
      <c r="P2187" s="6" t="n">
        <f aca="false">IF(TablaVentas[[#This Row],[Costo_unitario]]="","PENDIENTE",TablaVentas[[#This Row],[Unidades]]*TablaVentas[[#This Row],[Costo_unitario]])</f>
        <v>79813.44</v>
      </c>
      <c r="Q2187" s="6" t="n">
        <f aca="false">IF(OR(TablaVentas[[#This Row],[Ingreso_neto]]="PENDIENTE",TablaVentas[[#This Row],[Costo_total]]="PENDIENTE"),"PENDIENTE",TablaVentas[[#This Row],[Ingreso_neto]]-TablaVentas[[#This Row],[Costo_total]])</f>
        <v>61798.348</v>
      </c>
    </row>
    <row r="2188" customFormat="false" ht="13.5" hidden="false" customHeight="false" outlineLevel="0" collapsed="false">
      <c r="A2188" s="1" t="s">
        <v>1336</v>
      </c>
      <c r="B2188" s="1" t="n">
        <v>1</v>
      </c>
      <c r="C2188" s="5" t="n">
        <v>46248</v>
      </c>
      <c r="D2188" s="6" t="s">
        <v>1178</v>
      </c>
      <c r="E2188" s="6" t="s">
        <v>263</v>
      </c>
      <c r="F2188" s="6" t="s">
        <v>63</v>
      </c>
      <c r="G2188" s="6" t="s">
        <v>57</v>
      </c>
      <c r="H2188" s="6" t="s">
        <v>80</v>
      </c>
      <c r="I2188" s="1" t="n">
        <v>3</v>
      </c>
      <c r="J2188" s="7" t="n">
        <v>17655.51</v>
      </c>
      <c r="K2188" s="8" t="n">
        <v>0.2</v>
      </c>
      <c r="L2188" s="7" t="n">
        <v>11666.57</v>
      </c>
      <c r="M2188" s="6" t="s">
        <v>123</v>
      </c>
      <c r="N2188" s="6" t="s">
        <v>50</v>
      </c>
      <c r="O2188" s="6" t="n">
        <f aca="false">IF(TablaVentas[[#This Row],[Precio_unitario]]="","PENDIENTE",TablaVentas[[#This Row],[Unidades]]*TablaVentas[[#This Row],[Precio_unitario]]*(1-TablaVentas[[#This Row],[Descuento_pct]]))</f>
        <v>42373.224</v>
      </c>
      <c r="P2188" s="6" t="n">
        <f aca="false">IF(TablaVentas[[#This Row],[Costo_unitario]]="","PENDIENTE",TablaVentas[[#This Row],[Unidades]]*TablaVentas[[#This Row],[Costo_unitario]])</f>
        <v>34999.71</v>
      </c>
      <c r="Q2188" s="6" t="n">
        <f aca="false">IF(OR(TablaVentas[[#This Row],[Ingreso_neto]]="PENDIENTE",TablaVentas[[#This Row],[Costo_total]]="PENDIENTE"),"PENDIENTE",TablaVentas[[#This Row],[Ingreso_neto]]-TablaVentas[[#This Row],[Costo_total]])</f>
        <v>7373.514</v>
      </c>
    </row>
    <row r="2189" customFormat="false" ht="13.5" hidden="false" customHeight="false" outlineLevel="0" collapsed="false">
      <c r="A2189" s="1" t="s">
        <v>1336</v>
      </c>
      <c r="B2189" s="1" t="n">
        <v>2</v>
      </c>
      <c r="C2189" s="5" t="n">
        <v>46248</v>
      </c>
      <c r="D2189" s="6" t="s">
        <v>1178</v>
      </c>
      <c r="E2189" s="6" t="s">
        <v>219</v>
      </c>
      <c r="F2189" s="6" t="s">
        <v>63</v>
      </c>
      <c r="G2189" s="6" t="s">
        <v>57</v>
      </c>
      <c r="H2189" s="6" t="s">
        <v>80</v>
      </c>
      <c r="I2189" s="1" t="n">
        <v>2</v>
      </c>
      <c r="J2189" s="7" t="n">
        <v>3340.57</v>
      </c>
      <c r="K2189" s="8" t="n">
        <v>0.1</v>
      </c>
      <c r="L2189" s="7" t="n">
        <v>2157.55</v>
      </c>
      <c r="M2189" s="6" t="s">
        <v>69</v>
      </c>
      <c r="N2189" s="6" t="s">
        <v>67</v>
      </c>
      <c r="O2189" s="6" t="n">
        <f aca="false">IF(TablaVentas[[#This Row],[Precio_unitario]]="","PENDIENTE",TablaVentas[[#This Row],[Unidades]]*TablaVentas[[#This Row],[Precio_unitario]]*(1-TablaVentas[[#This Row],[Descuento_pct]]))</f>
        <v>6013.026</v>
      </c>
      <c r="P2189" s="6" t="n">
        <f aca="false">IF(TablaVentas[[#This Row],[Costo_unitario]]="","PENDIENTE",TablaVentas[[#This Row],[Unidades]]*TablaVentas[[#This Row],[Costo_unitario]])</f>
        <v>4315.1</v>
      </c>
      <c r="Q2189" s="6" t="n">
        <f aca="false">IF(OR(TablaVentas[[#This Row],[Ingreso_neto]]="PENDIENTE",TablaVentas[[#This Row],[Costo_total]]="PENDIENTE"),"PENDIENTE",TablaVentas[[#This Row],[Ingreso_neto]]-TablaVentas[[#This Row],[Costo_total]])</f>
        <v>1697.926</v>
      </c>
    </row>
    <row r="2190" customFormat="false" ht="13.5" hidden="false" customHeight="false" outlineLevel="0" collapsed="false">
      <c r="A2190" s="1" t="s">
        <v>1336</v>
      </c>
      <c r="B2190" s="1" t="n">
        <v>3</v>
      </c>
      <c r="C2190" s="5" t="n">
        <v>46248</v>
      </c>
      <c r="D2190" s="6" t="s">
        <v>1178</v>
      </c>
      <c r="E2190" s="6" t="s">
        <v>135</v>
      </c>
      <c r="F2190" s="6" t="s">
        <v>63</v>
      </c>
      <c r="G2190" s="6" t="s">
        <v>57</v>
      </c>
      <c r="H2190" s="6" t="s">
        <v>80</v>
      </c>
      <c r="I2190" s="1" t="n">
        <v>3</v>
      </c>
      <c r="J2190" s="7" t="n">
        <v>1688.27</v>
      </c>
      <c r="K2190" s="8" t="n">
        <v>0</v>
      </c>
      <c r="L2190" s="7" t="n">
        <v>900.08</v>
      </c>
      <c r="M2190" s="6" t="s">
        <v>49</v>
      </c>
      <c r="N2190" s="6" t="s">
        <v>59</v>
      </c>
      <c r="O2190" s="6" t="n">
        <f aca="false">IF(TablaVentas[[#This Row],[Precio_unitario]]="","PENDIENTE",TablaVentas[[#This Row],[Unidades]]*TablaVentas[[#This Row],[Precio_unitario]]*(1-TablaVentas[[#This Row],[Descuento_pct]]))</f>
        <v>5064.81</v>
      </c>
      <c r="P2190" s="6" t="n">
        <f aca="false">IF(TablaVentas[[#This Row],[Costo_unitario]]="","PENDIENTE",TablaVentas[[#This Row],[Unidades]]*TablaVentas[[#This Row],[Costo_unitario]])</f>
        <v>2700.24</v>
      </c>
      <c r="Q2190" s="6" t="n">
        <f aca="false">IF(OR(TablaVentas[[#This Row],[Ingreso_neto]]="PENDIENTE",TablaVentas[[#This Row],[Costo_total]]="PENDIENTE"),"PENDIENTE",TablaVentas[[#This Row],[Ingreso_neto]]-TablaVentas[[#This Row],[Costo_total]])</f>
        <v>2364.57</v>
      </c>
    </row>
    <row r="2191" customFormat="false" ht="13.5" hidden="false" customHeight="false" outlineLevel="0" collapsed="false">
      <c r="A2191" s="1" t="s">
        <v>1336</v>
      </c>
      <c r="B2191" s="1" t="n">
        <v>4</v>
      </c>
      <c r="C2191" s="5" t="n">
        <v>46248</v>
      </c>
      <c r="D2191" s="6" t="s">
        <v>1178</v>
      </c>
      <c r="E2191" s="6" t="s">
        <v>174</v>
      </c>
      <c r="F2191" s="6" t="s">
        <v>63</v>
      </c>
      <c r="G2191" s="6" t="s">
        <v>57</v>
      </c>
      <c r="H2191" s="6" t="s">
        <v>80</v>
      </c>
      <c r="I2191" s="1" t="n">
        <v>1</v>
      </c>
      <c r="J2191" s="7" t="n">
        <v>18626.81</v>
      </c>
      <c r="K2191" s="8" t="n">
        <v>0.15</v>
      </c>
      <c r="L2191" s="7" t="n">
        <v>8704.4</v>
      </c>
      <c r="M2191" s="6" t="s">
        <v>49</v>
      </c>
      <c r="N2191" s="6" t="s">
        <v>59</v>
      </c>
      <c r="O2191" s="6" t="n">
        <f aca="false">IF(TablaVentas[[#This Row],[Precio_unitario]]="","PENDIENTE",TablaVentas[[#This Row],[Unidades]]*TablaVentas[[#This Row],[Precio_unitario]]*(1-TablaVentas[[#This Row],[Descuento_pct]]))</f>
        <v>15832.7885</v>
      </c>
      <c r="P2191" s="6" t="n">
        <f aca="false">IF(TablaVentas[[#This Row],[Costo_unitario]]="","PENDIENTE",TablaVentas[[#This Row],[Unidades]]*TablaVentas[[#This Row],[Costo_unitario]])</f>
        <v>8704.4</v>
      </c>
      <c r="Q2191" s="6" t="n">
        <f aca="false">IF(OR(TablaVentas[[#This Row],[Ingreso_neto]]="PENDIENTE",TablaVentas[[#This Row],[Costo_total]]="PENDIENTE"),"PENDIENTE",TablaVentas[[#This Row],[Ingreso_neto]]-TablaVentas[[#This Row],[Costo_total]])</f>
        <v>7128.3885</v>
      </c>
    </row>
    <row r="2192" customFormat="false" ht="13.5" hidden="false" customHeight="false" outlineLevel="0" collapsed="false">
      <c r="A2192" s="1" t="s">
        <v>1336</v>
      </c>
      <c r="B2192" s="1" t="n">
        <v>5</v>
      </c>
      <c r="C2192" s="5" t="n">
        <v>46248</v>
      </c>
      <c r="D2192" s="6" t="s">
        <v>1178</v>
      </c>
      <c r="E2192" s="6" t="s">
        <v>342</v>
      </c>
      <c r="F2192" s="6" t="s">
        <v>63</v>
      </c>
      <c r="G2192" s="6" t="s">
        <v>57</v>
      </c>
      <c r="H2192" s="6" t="s">
        <v>80</v>
      </c>
      <c r="I2192" s="1" t="n">
        <v>8</v>
      </c>
      <c r="J2192" s="7" t="n">
        <v>6782.61</v>
      </c>
      <c r="K2192" s="8" t="n">
        <v>0</v>
      </c>
      <c r="L2192" s="7" t="n">
        <v>5587.31</v>
      </c>
      <c r="M2192" s="6" t="s">
        <v>49</v>
      </c>
      <c r="N2192" s="6" t="s">
        <v>67</v>
      </c>
      <c r="O2192" s="6" t="n">
        <f aca="false">IF(TablaVentas[[#This Row],[Precio_unitario]]="","PENDIENTE",TablaVentas[[#This Row],[Unidades]]*TablaVentas[[#This Row],[Precio_unitario]]*(1-TablaVentas[[#This Row],[Descuento_pct]]))</f>
        <v>54260.88</v>
      </c>
      <c r="P2192" s="6" t="n">
        <f aca="false">IF(TablaVentas[[#This Row],[Costo_unitario]]="","PENDIENTE",TablaVentas[[#This Row],[Unidades]]*TablaVentas[[#This Row],[Costo_unitario]])</f>
        <v>44698.48</v>
      </c>
      <c r="Q2192" s="6" t="n">
        <f aca="false">IF(OR(TablaVentas[[#This Row],[Ingreso_neto]]="PENDIENTE",TablaVentas[[#This Row],[Costo_total]]="PENDIENTE"),"PENDIENTE",TablaVentas[[#This Row],[Ingreso_neto]]-TablaVentas[[#This Row],[Costo_total]])</f>
        <v>9562.39999999999</v>
      </c>
    </row>
    <row r="2193" customFormat="false" ht="13.5" hidden="false" customHeight="false" outlineLevel="0" collapsed="false">
      <c r="A2193" s="1" t="s">
        <v>1337</v>
      </c>
      <c r="B2193" s="1" t="n">
        <v>1</v>
      </c>
      <c r="C2193" s="5" t="n">
        <v>46098</v>
      </c>
      <c r="D2193" s="6" t="s">
        <v>129</v>
      </c>
      <c r="E2193" s="6" t="s">
        <v>92</v>
      </c>
      <c r="F2193" s="6" t="s">
        <v>46</v>
      </c>
      <c r="G2193" s="6" t="s">
        <v>47</v>
      </c>
      <c r="H2193" s="6" t="s">
        <v>74</v>
      </c>
      <c r="I2193" s="1" t="n">
        <v>2</v>
      </c>
      <c r="J2193" s="7" t="n">
        <v>548.22</v>
      </c>
      <c r="K2193" s="8" t="n">
        <v>0.2</v>
      </c>
      <c r="L2193" s="7" t="n">
        <v>307.75</v>
      </c>
      <c r="M2193" s="6" t="s">
        <v>49</v>
      </c>
      <c r="N2193" s="6" t="s">
        <v>67</v>
      </c>
      <c r="O2193" s="6" t="n">
        <f aca="false">IF(TablaVentas[[#This Row],[Precio_unitario]]="","PENDIENTE",TablaVentas[[#This Row],[Unidades]]*TablaVentas[[#This Row],[Precio_unitario]]*(1-TablaVentas[[#This Row],[Descuento_pct]]))</f>
        <v>877.152</v>
      </c>
      <c r="P2193" s="6" t="n">
        <f aca="false">IF(TablaVentas[[#This Row],[Costo_unitario]]="","PENDIENTE",TablaVentas[[#This Row],[Unidades]]*TablaVentas[[#This Row],[Costo_unitario]])</f>
        <v>615.5</v>
      </c>
      <c r="Q2193" s="6" t="n">
        <f aca="false">IF(OR(TablaVentas[[#This Row],[Ingreso_neto]]="PENDIENTE",TablaVentas[[#This Row],[Costo_total]]="PENDIENTE"),"PENDIENTE",TablaVentas[[#This Row],[Ingreso_neto]]-TablaVentas[[#This Row],[Costo_total]])</f>
        <v>261.652</v>
      </c>
    </row>
    <row r="2194" customFormat="false" ht="13.5" hidden="false" customHeight="false" outlineLevel="0" collapsed="false">
      <c r="A2194" s="1" t="s">
        <v>1337</v>
      </c>
      <c r="B2194" s="1" t="n">
        <v>2</v>
      </c>
      <c r="C2194" s="5" t="n">
        <v>46098</v>
      </c>
      <c r="D2194" s="6" t="s">
        <v>129</v>
      </c>
      <c r="E2194" s="6" t="s">
        <v>170</v>
      </c>
      <c r="F2194" s="6" t="s">
        <v>46</v>
      </c>
      <c r="G2194" s="6" t="s">
        <v>47</v>
      </c>
      <c r="H2194" s="6" t="s">
        <v>74</v>
      </c>
      <c r="I2194" s="1" t="n">
        <v>1</v>
      </c>
      <c r="J2194" s="7" t="n">
        <v>17287.08</v>
      </c>
      <c r="K2194" s="8" t="n">
        <v>0.05</v>
      </c>
      <c r="L2194" s="7" t="n">
        <v>12141.44</v>
      </c>
      <c r="M2194" s="6" t="s">
        <v>49</v>
      </c>
      <c r="N2194" s="6" t="s">
        <v>50</v>
      </c>
      <c r="O2194" s="6" t="n">
        <f aca="false">IF(TablaVentas[[#This Row],[Precio_unitario]]="","PENDIENTE",TablaVentas[[#This Row],[Unidades]]*TablaVentas[[#This Row],[Precio_unitario]]*(1-TablaVentas[[#This Row],[Descuento_pct]]))</f>
        <v>16422.726</v>
      </c>
      <c r="P2194" s="6" t="n">
        <f aca="false">IF(TablaVentas[[#This Row],[Costo_unitario]]="","PENDIENTE",TablaVentas[[#This Row],[Unidades]]*TablaVentas[[#This Row],[Costo_unitario]])</f>
        <v>12141.44</v>
      </c>
      <c r="Q2194" s="6" t="n">
        <f aca="false">IF(OR(TablaVentas[[#This Row],[Ingreso_neto]]="PENDIENTE",TablaVentas[[#This Row],[Costo_total]]="PENDIENTE"),"PENDIENTE",TablaVentas[[#This Row],[Ingreso_neto]]-TablaVentas[[#This Row],[Costo_total]])</f>
        <v>4281.286</v>
      </c>
    </row>
    <row r="2195" customFormat="false" ht="13.5" hidden="false" customHeight="false" outlineLevel="0" collapsed="false">
      <c r="A2195" s="1" t="s">
        <v>1338</v>
      </c>
      <c r="B2195" s="1" t="n">
        <v>1</v>
      </c>
      <c r="C2195" s="5" t="n">
        <v>46235</v>
      </c>
      <c r="D2195" s="6" t="s">
        <v>811</v>
      </c>
      <c r="E2195" s="6" t="s">
        <v>159</v>
      </c>
      <c r="F2195" s="6" t="s">
        <v>46</v>
      </c>
      <c r="G2195" s="6" t="s">
        <v>47</v>
      </c>
      <c r="H2195" s="6" t="s">
        <v>58</v>
      </c>
      <c r="I2195" s="1" t="n">
        <v>5</v>
      </c>
      <c r="J2195" s="7" t="n">
        <v>2519.76</v>
      </c>
      <c r="K2195" s="8" t="n">
        <v>0</v>
      </c>
      <c r="L2195" s="7" t="n">
        <v>1962.3</v>
      </c>
      <c r="M2195" s="6" t="s">
        <v>49</v>
      </c>
      <c r="N2195" s="6" t="s">
        <v>59</v>
      </c>
      <c r="O2195" s="6" t="n">
        <f aca="false">IF(TablaVentas[[#This Row],[Precio_unitario]]="","PENDIENTE",TablaVentas[[#This Row],[Unidades]]*TablaVentas[[#This Row],[Precio_unitario]]*(1-TablaVentas[[#This Row],[Descuento_pct]]))</f>
        <v>12598.8</v>
      </c>
      <c r="P2195" s="6" t="n">
        <f aca="false">IF(TablaVentas[[#This Row],[Costo_unitario]]="","PENDIENTE",TablaVentas[[#This Row],[Unidades]]*TablaVentas[[#This Row],[Costo_unitario]])</f>
        <v>9811.5</v>
      </c>
      <c r="Q2195" s="6" t="n">
        <f aca="false">IF(OR(TablaVentas[[#This Row],[Ingreso_neto]]="PENDIENTE",TablaVentas[[#This Row],[Costo_total]]="PENDIENTE"),"PENDIENTE",TablaVentas[[#This Row],[Ingreso_neto]]-TablaVentas[[#This Row],[Costo_total]])</f>
        <v>2787.3</v>
      </c>
    </row>
    <row r="2196" customFormat="false" ht="13.5" hidden="false" customHeight="false" outlineLevel="0" collapsed="false">
      <c r="A2196" s="1" t="s">
        <v>1339</v>
      </c>
      <c r="B2196" s="1" t="n">
        <v>1</v>
      </c>
      <c r="C2196" s="5" t="n">
        <v>46139</v>
      </c>
      <c r="D2196" s="6" t="s">
        <v>768</v>
      </c>
      <c r="E2196" s="6" t="s">
        <v>190</v>
      </c>
      <c r="F2196" s="6" t="s">
        <v>46</v>
      </c>
      <c r="G2196" s="6" t="s">
        <v>64</v>
      </c>
      <c r="H2196" s="6" t="s">
        <v>58</v>
      </c>
      <c r="I2196" s="1" t="n">
        <v>1</v>
      </c>
      <c r="J2196" s="7" t="n">
        <v>5631.19</v>
      </c>
      <c r="K2196" s="8" t="n">
        <v>0</v>
      </c>
      <c r="L2196" s="7" t="n">
        <v>4325.73</v>
      </c>
      <c r="M2196" s="6" t="s">
        <v>49</v>
      </c>
      <c r="N2196" s="6" t="s">
        <v>59</v>
      </c>
      <c r="O2196" s="6" t="n">
        <f aca="false">IF(TablaVentas[[#This Row],[Precio_unitario]]="","PENDIENTE",TablaVentas[[#This Row],[Unidades]]*TablaVentas[[#This Row],[Precio_unitario]]*(1-TablaVentas[[#This Row],[Descuento_pct]]))</f>
        <v>5631.19</v>
      </c>
      <c r="P2196" s="6" t="n">
        <f aca="false">IF(TablaVentas[[#This Row],[Costo_unitario]]="","PENDIENTE",TablaVentas[[#This Row],[Unidades]]*TablaVentas[[#This Row],[Costo_unitario]])</f>
        <v>4325.73</v>
      </c>
      <c r="Q2196" s="6" t="n">
        <f aca="false">IF(OR(TablaVentas[[#This Row],[Ingreso_neto]]="PENDIENTE",TablaVentas[[#This Row],[Costo_total]]="PENDIENTE"),"PENDIENTE",TablaVentas[[#This Row],[Ingreso_neto]]-TablaVentas[[#This Row],[Costo_total]])</f>
        <v>1305.46</v>
      </c>
    </row>
    <row r="2197" customFormat="false" ht="13.5" hidden="false" customHeight="false" outlineLevel="0" collapsed="false">
      <c r="A2197" s="1" t="s">
        <v>1340</v>
      </c>
      <c r="B2197" s="1" t="n">
        <v>1</v>
      </c>
      <c r="C2197" s="5" t="n">
        <v>46054</v>
      </c>
      <c r="D2197" s="6" t="s">
        <v>112</v>
      </c>
      <c r="E2197" s="6" t="s">
        <v>104</v>
      </c>
      <c r="F2197" s="6" t="s">
        <v>63</v>
      </c>
      <c r="G2197" s="6" t="s">
        <v>47</v>
      </c>
      <c r="H2197" s="6" t="s">
        <v>131</v>
      </c>
      <c r="I2197" s="1" t="n">
        <v>5</v>
      </c>
      <c r="J2197" s="7" t="n">
        <v>15902.72</v>
      </c>
      <c r="K2197" s="8" t="n">
        <v>0.2</v>
      </c>
      <c r="L2197" s="7" t="n">
        <v>11424.77</v>
      </c>
      <c r="M2197" s="6" t="s">
        <v>49</v>
      </c>
      <c r="N2197" s="6" t="s">
        <v>52</v>
      </c>
      <c r="O2197" s="6" t="n">
        <f aca="false">IF(TablaVentas[[#This Row],[Precio_unitario]]="","PENDIENTE",TablaVentas[[#This Row],[Unidades]]*TablaVentas[[#This Row],[Precio_unitario]]*(1-TablaVentas[[#This Row],[Descuento_pct]]))</f>
        <v>63610.88</v>
      </c>
      <c r="P2197" s="6" t="n">
        <f aca="false">IF(TablaVentas[[#This Row],[Costo_unitario]]="","PENDIENTE",TablaVentas[[#This Row],[Unidades]]*TablaVentas[[#This Row],[Costo_unitario]])</f>
        <v>57123.85</v>
      </c>
      <c r="Q2197" s="6" t="n">
        <f aca="false">IF(OR(TablaVentas[[#This Row],[Ingreso_neto]]="PENDIENTE",TablaVentas[[#This Row],[Costo_total]]="PENDIENTE"),"PENDIENTE",TablaVentas[[#This Row],[Ingreso_neto]]-TablaVentas[[#This Row],[Costo_total]])</f>
        <v>6487.02999999999</v>
      </c>
    </row>
    <row r="2198" customFormat="false" ht="13.5" hidden="false" customHeight="false" outlineLevel="0" collapsed="false">
      <c r="A2198" s="1" t="s">
        <v>1341</v>
      </c>
      <c r="B2198" s="1" t="n">
        <v>1</v>
      </c>
      <c r="C2198" s="5" t="n">
        <v>46092</v>
      </c>
      <c r="D2198" s="6" t="s">
        <v>491</v>
      </c>
      <c r="E2198" s="6" t="s">
        <v>76</v>
      </c>
      <c r="F2198" s="6" t="s">
        <v>84</v>
      </c>
      <c r="G2198" s="6" t="s">
        <v>64</v>
      </c>
      <c r="H2198" s="6" t="s">
        <v>65</v>
      </c>
      <c r="I2198" s="1" t="n">
        <v>2</v>
      </c>
      <c r="J2198" s="7" t="n">
        <v>11727.48</v>
      </c>
      <c r="K2198" s="8" t="n">
        <v>0</v>
      </c>
      <c r="L2198" s="7" t="n">
        <v>10094.26</v>
      </c>
      <c r="M2198" s="6" t="s">
        <v>49</v>
      </c>
      <c r="N2198" s="6" t="s">
        <v>52</v>
      </c>
      <c r="O2198" s="6" t="n">
        <f aca="false">IF(TablaVentas[[#This Row],[Precio_unitario]]="","PENDIENTE",TablaVentas[[#This Row],[Unidades]]*TablaVentas[[#This Row],[Precio_unitario]]*(1-TablaVentas[[#This Row],[Descuento_pct]]))</f>
        <v>23454.96</v>
      </c>
      <c r="P2198" s="6" t="n">
        <f aca="false">IF(TablaVentas[[#This Row],[Costo_unitario]]="","PENDIENTE",TablaVentas[[#This Row],[Unidades]]*TablaVentas[[#This Row],[Costo_unitario]])</f>
        <v>20188.52</v>
      </c>
      <c r="Q2198" s="6" t="n">
        <f aca="false">IF(OR(TablaVentas[[#This Row],[Ingreso_neto]]="PENDIENTE",TablaVentas[[#This Row],[Costo_total]]="PENDIENTE"),"PENDIENTE",TablaVentas[[#This Row],[Ingreso_neto]]-TablaVentas[[#This Row],[Costo_total]])</f>
        <v>3266.44</v>
      </c>
    </row>
    <row r="2199" customFormat="false" ht="13.5" hidden="false" customHeight="false" outlineLevel="0" collapsed="false">
      <c r="A2199" s="1" t="s">
        <v>1341</v>
      </c>
      <c r="B2199" s="1" t="n">
        <v>2</v>
      </c>
      <c r="C2199" s="5" t="n">
        <v>46092</v>
      </c>
      <c r="D2199" s="6" t="s">
        <v>491</v>
      </c>
      <c r="E2199" s="6" t="s">
        <v>203</v>
      </c>
      <c r="F2199" s="6" t="s">
        <v>84</v>
      </c>
      <c r="G2199" s="6" t="s">
        <v>64</v>
      </c>
      <c r="H2199" s="6" t="s">
        <v>65</v>
      </c>
      <c r="I2199" s="1" t="n">
        <v>1</v>
      </c>
      <c r="J2199" s="7" t="n">
        <v>828.01</v>
      </c>
      <c r="K2199" s="8" t="n">
        <v>0.05</v>
      </c>
      <c r="L2199" s="7" t="n">
        <v>485.16</v>
      </c>
      <c r="M2199" s="6" t="s">
        <v>49</v>
      </c>
      <c r="N2199" s="6" t="s">
        <v>50</v>
      </c>
      <c r="O2199" s="6" t="n">
        <f aca="false">IF(TablaVentas[[#This Row],[Precio_unitario]]="","PENDIENTE",TablaVentas[[#This Row],[Unidades]]*TablaVentas[[#This Row],[Precio_unitario]]*(1-TablaVentas[[#This Row],[Descuento_pct]]))</f>
        <v>786.6095</v>
      </c>
      <c r="P2199" s="6" t="n">
        <f aca="false">IF(TablaVentas[[#This Row],[Costo_unitario]]="","PENDIENTE",TablaVentas[[#This Row],[Unidades]]*TablaVentas[[#This Row],[Costo_unitario]])</f>
        <v>485.16</v>
      </c>
      <c r="Q2199" s="6" t="n">
        <f aca="false">IF(OR(TablaVentas[[#This Row],[Ingreso_neto]]="PENDIENTE",TablaVentas[[#This Row],[Costo_total]]="PENDIENTE"),"PENDIENTE",TablaVentas[[#This Row],[Ingreso_neto]]-TablaVentas[[#This Row],[Costo_total]])</f>
        <v>301.4495</v>
      </c>
    </row>
    <row r="2200" customFormat="false" ht="13.5" hidden="false" customHeight="false" outlineLevel="0" collapsed="false">
      <c r="A2200" s="1" t="s">
        <v>1342</v>
      </c>
      <c r="B2200" s="1" t="n">
        <v>1</v>
      </c>
      <c r="C2200" s="5" t="n">
        <v>46084</v>
      </c>
      <c r="D2200" s="6" t="s">
        <v>887</v>
      </c>
      <c r="E2200" s="6" t="s">
        <v>135</v>
      </c>
      <c r="F2200" s="6" t="s">
        <v>46</v>
      </c>
      <c r="G2200" s="6" t="s">
        <v>57</v>
      </c>
      <c r="H2200" s="6" t="s">
        <v>89</v>
      </c>
      <c r="I2200" s="1" t="n">
        <v>12</v>
      </c>
      <c r="J2200" s="7" t="n">
        <v>1589.18</v>
      </c>
      <c r="K2200" s="8" t="n">
        <v>0</v>
      </c>
      <c r="L2200" s="7" t="n">
        <v>900.08</v>
      </c>
      <c r="M2200" s="6" t="s">
        <v>49</v>
      </c>
      <c r="N2200" s="6" t="s">
        <v>52</v>
      </c>
      <c r="O2200" s="6" t="n">
        <f aca="false">IF(TablaVentas[[#This Row],[Precio_unitario]]="","PENDIENTE",TablaVentas[[#This Row],[Unidades]]*TablaVentas[[#This Row],[Precio_unitario]]*(1-TablaVentas[[#This Row],[Descuento_pct]]))</f>
        <v>19070.16</v>
      </c>
      <c r="P2200" s="6" t="n">
        <f aca="false">IF(TablaVentas[[#This Row],[Costo_unitario]]="","PENDIENTE",TablaVentas[[#This Row],[Unidades]]*TablaVentas[[#This Row],[Costo_unitario]])</f>
        <v>10800.96</v>
      </c>
      <c r="Q2200" s="6" t="n">
        <f aca="false">IF(OR(TablaVentas[[#This Row],[Ingreso_neto]]="PENDIENTE",TablaVentas[[#This Row],[Costo_total]]="PENDIENTE"),"PENDIENTE",TablaVentas[[#This Row],[Ingreso_neto]]-TablaVentas[[#This Row],[Costo_total]])</f>
        <v>8269.2</v>
      </c>
    </row>
    <row r="2201" customFormat="false" ht="13.5" hidden="false" customHeight="false" outlineLevel="0" collapsed="false">
      <c r="A2201" s="1" t="s">
        <v>1342</v>
      </c>
      <c r="B2201" s="1" t="n">
        <v>2</v>
      </c>
      <c r="C2201" s="5" t="n">
        <v>46084</v>
      </c>
      <c r="D2201" s="6" t="s">
        <v>887</v>
      </c>
      <c r="E2201" s="6" t="s">
        <v>279</v>
      </c>
      <c r="F2201" s="6" t="s">
        <v>46</v>
      </c>
      <c r="G2201" s="6" t="s">
        <v>57</v>
      </c>
      <c r="H2201" s="6" t="s">
        <v>89</v>
      </c>
      <c r="I2201" s="1" t="n">
        <v>3</v>
      </c>
      <c r="J2201" s="7" t="n">
        <v>683.58</v>
      </c>
      <c r="K2201" s="8" t="n">
        <v>0.15</v>
      </c>
      <c r="L2201" s="7" t="n">
        <v>443</v>
      </c>
      <c r="M2201" s="6" t="s">
        <v>49</v>
      </c>
      <c r="N2201" s="6" t="s">
        <v>67</v>
      </c>
      <c r="O2201" s="6" t="n">
        <f aca="false">IF(TablaVentas[[#This Row],[Precio_unitario]]="","PENDIENTE",TablaVentas[[#This Row],[Unidades]]*TablaVentas[[#This Row],[Precio_unitario]]*(1-TablaVentas[[#This Row],[Descuento_pct]]))</f>
        <v>1743.129</v>
      </c>
      <c r="P2201" s="6" t="n">
        <f aca="false">IF(TablaVentas[[#This Row],[Costo_unitario]]="","PENDIENTE",TablaVentas[[#This Row],[Unidades]]*TablaVentas[[#This Row],[Costo_unitario]])</f>
        <v>1329</v>
      </c>
      <c r="Q2201" s="6" t="n">
        <f aca="false">IF(OR(TablaVentas[[#This Row],[Ingreso_neto]]="PENDIENTE",TablaVentas[[#This Row],[Costo_total]]="PENDIENTE"),"PENDIENTE",TablaVentas[[#This Row],[Ingreso_neto]]-TablaVentas[[#This Row],[Costo_total]])</f>
        <v>414.129</v>
      </c>
    </row>
    <row r="2202" customFormat="false" ht="13.5" hidden="false" customHeight="false" outlineLevel="0" collapsed="false">
      <c r="A2202" s="1" t="s">
        <v>1342</v>
      </c>
      <c r="B2202" s="1" t="n">
        <v>3</v>
      </c>
      <c r="C2202" s="5" t="n">
        <v>46084</v>
      </c>
      <c r="D2202" s="6" t="s">
        <v>887</v>
      </c>
      <c r="E2202" s="6" t="s">
        <v>75</v>
      </c>
      <c r="F2202" s="6" t="s">
        <v>46</v>
      </c>
      <c r="G2202" s="6" t="s">
        <v>57</v>
      </c>
      <c r="H2202" s="6" t="s">
        <v>89</v>
      </c>
      <c r="I2202" s="1" t="n">
        <v>2</v>
      </c>
      <c r="J2202" s="7" t="n">
        <v>14711.59</v>
      </c>
      <c r="K2202" s="8" t="n">
        <v>0</v>
      </c>
      <c r="L2202" s="7" t="n">
        <v>9243.35</v>
      </c>
      <c r="M2202" s="6" t="s">
        <v>49</v>
      </c>
      <c r="N2202" s="6" t="s">
        <v>67</v>
      </c>
      <c r="O2202" s="6" t="n">
        <f aca="false">IF(TablaVentas[[#This Row],[Precio_unitario]]="","PENDIENTE",TablaVentas[[#This Row],[Unidades]]*TablaVentas[[#This Row],[Precio_unitario]]*(1-TablaVentas[[#This Row],[Descuento_pct]]))</f>
        <v>29423.18</v>
      </c>
      <c r="P2202" s="6" t="n">
        <f aca="false">IF(TablaVentas[[#This Row],[Costo_unitario]]="","PENDIENTE",TablaVentas[[#This Row],[Unidades]]*TablaVentas[[#This Row],[Costo_unitario]])</f>
        <v>18486.7</v>
      </c>
      <c r="Q2202" s="6" t="n">
        <f aca="false">IF(OR(TablaVentas[[#This Row],[Ingreso_neto]]="PENDIENTE",TablaVentas[[#This Row],[Costo_total]]="PENDIENTE"),"PENDIENTE",TablaVentas[[#This Row],[Ingreso_neto]]-TablaVentas[[#This Row],[Costo_total]])</f>
        <v>10936.48</v>
      </c>
    </row>
    <row r="2203" customFormat="false" ht="13.5" hidden="false" customHeight="false" outlineLevel="0" collapsed="false">
      <c r="A2203" s="1" t="s">
        <v>1343</v>
      </c>
      <c r="B2203" s="1" t="n">
        <v>1</v>
      </c>
      <c r="C2203" s="5" t="n">
        <v>46242</v>
      </c>
      <c r="D2203" s="6" t="s">
        <v>207</v>
      </c>
      <c r="E2203" s="6" t="s">
        <v>146</v>
      </c>
      <c r="F2203" s="6" t="s">
        <v>73</v>
      </c>
      <c r="G2203" s="6" t="s">
        <v>47</v>
      </c>
      <c r="H2203" s="6" t="s">
        <v>191</v>
      </c>
      <c r="I2203" s="1" t="n">
        <v>3</v>
      </c>
      <c r="J2203" s="7" t="n">
        <v>10118.62</v>
      </c>
      <c r="K2203" s="8" t="n">
        <v>0.15</v>
      </c>
      <c r="L2203" s="7" t="n">
        <v>8002.16</v>
      </c>
      <c r="M2203" s="6" t="s">
        <v>123</v>
      </c>
      <c r="N2203" s="6" t="s">
        <v>59</v>
      </c>
      <c r="O2203" s="6" t="n">
        <f aca="false">IF(TablaVentas[[#This Row],[Precio_unitario]]="","PENDIENTE",TablaVentas[[#This Row],[Unidades]]*TablaVentas[[#This Row],[Precio_unitario]]*(1-TablaVentas[[#This Row],[Descuento_pct]]))</f>
        <v>25802.481</v>
      </c>
      <c r="P2203" s="6" t="n">
        <f aca="false">IF(TablaVentas[[#This Row],[Costo_unitario]]="","PENDIENTE",TablaVentas[[#This Row],[Unidades]]*TablaVentas[[#This Row],[Costo_unitario]])</f>
        <v>24006.48</v>
      </c>
      <c r="Q2203" s="6" t="n">
        <f aca="false">IF(OR(TablaVentas[[#This Row],[Ingreso_neto]]="PENDIENTE",TablaVentas[[#This Row],[Costo_total]]="PENDIENTE"),"PENDIENTE",TablaVentas[[#This Row],[Ingreso_neto]]-TablaVentas[[#This Row],[Costo_total]])</f>
        <v>1796.001</v>
      </c>
    </row>
    <row r="2204" customFormat="false" ht="13.5" hidden="false" customHeight="false" outlineLevel="0" collapsed="false">
      <c r="A2204" s="1" t="s">
        <v>1343</v>
      </c>
      <c r="B2204" s="1" t="n">
        <v>2</v>
      </c>
      <c r="C2204" s="5" t="n">
        <v>46242</v>
      </c>
      <c r="D2204" s="6" t="s">
        <v>207</v>
      </c>
      <c r="E2204" s="6" t="s">
        <v>132</v>
      </c>
      <c r="F2204" s="6" t="s">
        <v>73</v>
      </c>
      <c r="G2204" s="6" t="s">
        <v>47</v>
      </c>
      <c r="H2204" s="6" t="s">
        <v>191</v>
      </c>
      <c r="I2204" s="1" t="n">
        <v>2</v>
      </c>
      <c r="J2204" s="7" t="n">
        <v>1721.16</v>
      </c>
      <c r="K2204" s="8" t="n">
        <v>0.05</v>
      </c>
      <c r="L2204" s="7" t="n">
        <v>1044.32</v>
      </c>
      <c r="M2204" s="6" t="s">
        <v>49</v>
      </c>
      <c r="N2204" s="6" t="s">
        <v>67</v>
      </c>
      <c r="O2204" s="6" t="n">
        <f aca="false">IF(TablaVentas[[#This Row],[Precio_unitario]]="","PENDIENTE",TablaVentas[[#This Row],[Unidades]]*TablaVentas[[#This Row],[Precio_unitario]]*(1-TablaVentas[[#This Row],[Descuento_pct]]))</f>
        <v>3270.204</v>
      </c>
      <c r="P2204" s="6" t="n">
        <f aca="false">IF(TablaVentas[[#This Row],[Costo_unitario]]="","PENDIENTE",TablaVentas[[#This Row],[Unidades]]*TablaVentas[[#This Row],[Costo_unitario]])</f>
        <v>2088.64</v>
      </c>
      <c r="Q2204" s="6" t="n">
        <f aca="false">IF(OR(TablaVentas[[#This Row],[Ingreso_neto]]="PENDIENTE",TablaVentas[[#This Row],[Costo_total]]="PENDIENTE"),"PENDIENTE",TablaVentas[[#This Row],[Ingreso_neto]]-TablaVentas[[#This Row],[Costo_total]])</f>
        <v>1181.564</v>
      </c>
    </row>
    <row r="2205" customFormat="false" ht="13.5" hidden="false" customHeight="false" outlineLevel="0" collapsed="false">
      <c r="A2205" s="1" t="s">
        <v>1344</v>
      </c>
      <c r="B2205" s="1" t="n">
        <v>1</v>
      </c>
      <c r="C2205" s="5" t="n">
        <v>46268</v>
      </c>
      <c r="D2205" s="6" t="s">
        <v>125</v>
      </c>
      <c r="E2205" s="6" t="s">
        <v>88</v>
      </c>
      <c r="F2205" s="6" t="s">
        <v>73</v>
      </c>
      <c r="G2205" s="6" t="s">
        <v>47</v>
      </c>
      <c r="H2205" s="6" t="s">
        <v>136</v>
      </c>
      <c r="I2205" s="1" t="n">
        <v>1</v>
      </c>
      <c r="J2205" s="7" t="n">
        <v>16281.49</v>
      </c>
      <c r="K2205" s="8" t="n">
        <v>0</v>
      </c>
      <c r="L2205" s="7" t="n">
        <v>11614.87</v>
      </c>
      <c r="M2205" s="6" t="s">
        <v>49</v>
      </c>
      <c r="N2205" s="6" t="s">
        <v>67</v>
      </c>
      <c r="O2205" s="6" t="n">
        <f aca="false">IF(TablaVentas[[#This Row],[Precio_unitario]]="","PENDIENTE",TablaVentas[[#This Row],[Unidades]]*TablaVentas[[#This Row],[Precio_unitario]]*(1-TablaVentas[[#This Row],[Descuento_pct]]))</f>
        <v>16281.49</v>
      </c>
      <c r="P2205" s="6" t="n">
        <f aca="false">IF(TablaVentas[[#This Row],[Costo_unitario]]="","PENDIENTE",TablaVentas[[#This Row],[Unidades]]*TablaVentas[[#This Row],[Costo_unitario]])</f>
        <v>11614.87</v>
      </c>
      <c r="Q2205" s="6" t="n">
        <f aca="false">IF(OR(TablaVentas[[#This Row],[Ingreso_neto]]="PENDIENTE",TablaVentas[[#This Row],[Costo_total]]="PENDIENTE"),"PENDIENTE",TablaVentas[[#This Row],[Ingreso_neto]]-TablaVentas[[#This Row],[Costo_total]])</f>
        <v>4666.62</v>
      </c>
    </row>
    <row r="2206" customFormat="false" ht="13.5" hidden="false" customHeight="false" outlineLevel="0" collapsed="false">
      <c r="A2206" s="1" t="s">
        <v>1345</v>
      </c>
      <c r="B2206" s="1" t="n">
        <v>1</v>
      </c>
      <c r="C2206" s="5" t="n">
        <v>46228</v>
      </c>
      <c r="D2206" s="6" t="s">
        <v>611</v>
      </c>
      <c r="E2206" s="6" t="s">
        <v>215</v>
      </c>
      <c r="F2206" s="6" t="s">
        <v>73</v>
      </c>
      <c r="G2206" s="6" t="s">
        <v>47</v>
      </c>
      <c r="H2206" s="6" t="s">
        <v>58</v>
      </c>
      <c r="I2206" s="1" t="n">
        <v>2</v>
      </c>
      <c r="J2206" s="7" t="n">
        <v>10112.49</v>
      </c>
      <c r="K2206" s="8" t="n">
        <v>0.2</v>
      </c>
      <c r="L2206" s="7" t="n">
        <v>5535.31</v>
      </c>
      <c r="M2206" s="6" t="s">
        <v>49</v>
      </c>
      <c r="N2206" s="6" t="s">
        <v>52</v>
      </c>
      <c r="O2206" s="6" t="n">
        <f aca="false">IF(TablaVentas[[#This Row],[Precio_unitario]]="","PENDIENTE",TablaVentas[[#This Row],[Unidades]]*TablaVentas[[#This Row],[Precio_unitario]]*(1-TablaVentas[[#This Row],[Descuento_pct]]))</f>
        <v>16179.984</v>
      </c>
      <c r="P2206" s="6" t="n">
        <f aca="false">IF(TablaVentas[[#This Row],[Costo_unitario]]="","PENDIENTE",TablaVentas[[#This Row],[Unidades]]*TablaVentas[[#This Row],[Costo_unitario]])</f>
        <v>11070.62</v>
      </c>
      <c r="Q2206" s="6" t="n">
        <f aca="false">IF(OR(TablaVentas[[#This Row],[Ingreso_neto]]="PENDIENTE",TablaVentas[[#This Row],[Costo_total]]="PENDIENTE"),"PENDIENTE",TablaVentas[[#This Row],[Ingreso_neto]]-TablaVentas[[#This Row],[Costo_total]])</f>
        <v>5109.364</v>
      </c>
    </row>
    <row r="2207" customFormat="false" ht="13.5" hidden="false" customHeight="false" outlineLevel="0" collapsed="false">
      <c r="A2207" s="1" t="s">
        <v>1345</v>
      </c>
      <c r="B2207" s="1" t="n">
        <v>2</v>
      </c>
      <c r="C2207" s="5" t="n">
        <v>46228</v>
      </c>
      <c r="D2207" s="6" t="s">
        <v>611</v>
      </c>
      <c r="E2207" s="6" t="s">
        <v>163</v>
      </c>
      <c r="F2207" s="6" t="s">
        <v>73</v>
      </c>
      <c r="G2207" s="6" t="s">
        <v>47</v>
      </c>
      <c r="H2207" s="6" t="s">
        <v>58</v>
      </c>
      <c r="I2207" s="1" t="n">
        <v>1</v>
      </c>
      <c r="J2207" s="7" t="n">
        <v>18313.55</v>
      </c>
      <c r="K2207" s="8" t="n">
        <v>0.2</v>
      </c>
      <c r="L2207" s="7" t="n">
        <v>13981.13</v>
      </c>
      <c r="M2207" s="6" t="s">
        <v>49</v>
      </c>
      <c r="N2207" s="6" t="s">
        <v>50</v>
      </c>
      <c r="O2207" s="6" t="n">
        <f aca="false">IF(TablaVentas[[#This Row],[Precio_unitario]]="","PENDIENTE",TablaVentas[[#This Row],[Unidades]]*TablaVentas[[#This Row],[Precio_unitario]]*(1-TablaVentas[[#This Row],[Descuento_pct]]))</f>
        <v>14650.84</v>
      </c>
      <c r="P2207" s="6" t="n">
        <f aca="false">IF(TablaVentas[[#This Row],[Costo_unitario]]="","PENDIENTE",TablaVentas[[#This Row],[Unidades]]*TablaVentas[[#This Row],[Costo_unitario]])</f>
        <v>13981.13</v>
      </c>
      <c r="Q2207" s="6" t="n">
        <f aca="false">IF(OR(TablaVentas[[#This Row],[Ingreso_neto]]="PENDIENTE",TablaVentas[[#This Row],[Costo_total]]="PENDIENTE"),"PENDIENTE",TablaVentas[[#This Row],[Ingreso_neto]]-TablaVentas[[#This Row],[Costo_total]])</f>
        <v>669.710000000001</v>
      </c>
    </row>
    <row r="2208" customFormat="false" ht="13.5" hidden="false" customHeight="false" outlineLevel="0" collapsed="false">
      <c r="A2208" s="1" t="s">
        <v>1345</v>
      </c>
      <c r="B2208" s="1" t="n">
        <v>3</v>
      </c>
      <c r="C2208" s="5" t="n">
        <v>46228</v>
      </c>
      <c r="D2208" s="6" t="s">
        <v>611</v>
      </c>
      <c r="E2208" s="6" t="s">
        <v>279</v>
      </c>
      <c r="F2208" s="6" t="s">
        <v>73</v>
      </c>
      <c r="G2208" s="6" t="s">
        <v>47</v>
      </c>
      <c r="H2208" s="6" t="s">
        <v>58</v>
      </c>
      <c r="I2208" s="1" t="n">
        <v>1</v>
      </c>
      <c r="J2208" s="7" t="n">
        <v>683.87</v>
      </c>
      <c r="K2208" s="8" t="n">
        <v>0.1</v>
      </c>
      <c r="L2208" s="7" t="n">
        <v>443</v>
      </c>
      <c r="M2208" s="6" t="s">
        <v>49</v>
      </c>
      <c r="N2208" s="6" t="s">
        <v>52</v>
      </c>
      <c r="O2208" s="6" t="n">
        <f aca="false">IF(TablaVentas[[#This Row],[Precio_unitario]]="","PENDIENTE",TablaVentas[[#This Row],[Unidades]]*TablaVentas[[#This Row],[Precio_unitario]]*(1-TablaVentas[[#This Row],[Descuento_pct]]))</f>
        <v>615.483</v>
      </c>
      <c r="P2208" s="6" t="n">
        <f aca="false">IF(TablaVentas[[#This Row],[Costo_unitario]]="","PENDIENTE",TablaVentas[[#This Row],[Unidades]]*TablaVentas[[#This Row],[Costo_unitario]])</f>
        <v>443</v>
      </c>
      <c r="Q2208" s="6" t="n">
        <f aca="false">IF(OR(TablaVentas[[#This Row],[Ingreso_neto]]="PENDIENTE",TablaVentas[[#This Row],[Costo_total]]="PENDIENTE"),"PENDIENTE",TablaVentas[[#This Row],[Ingreso_neto]]-TablaVentas[[#This Row],[Costo_total]])</f>
        <v>172.483</v>
      </c>
    </row>
    <row r="2209" customFormat="false" ht="13.5" hidden="false" customHeight="false" outlineLevel="0" collapsed="false">
      <c r="A2209" s="1" t="s">
        <v>1345</v>
      </c>
      <c r="B2209" s="1" t="n">
        <v>4</v>
      </c>
      <c r="C2209" s="5" t="n">
        <v>46228</v>
      </c>
      <c r="D2209" s="6" t="s">
        <v>611</v>
      </c>
      <c r="E2209" s="6" t="s">
        <v>327</v>
      </c>
      <c r="F2209" s="6" t="s">
        <v>73</v>
      </c>
      <c r="G2209" s="6" t="s">
        <v>47</v>
      </c>
      <c r="H2209" s="6" t="s">
        <v>58</v>
      </c>
      <c r="I2209" s="1" t="n">
        <v>4</v>
      </c>
      <c r="J2209" s="7" t="n">
        <v>4624.27</v>
      </c>
      <c r="K2209" s="8" t="n">
        <v>0.05</v>
      </c>
      <c r="L2209" s="7" t="n">
        <v>3065.66</v>
      </c>
      <c r="M2209" s="6" t="s">
        <v>49</v>
      </c>
      <c r="N2209" s="6" t="s">
        <v>52</v>
      </c>
      <c r="O2209" s="6" t="n">
        <f aca="false">IF(TablaVentas[[#This Row],[Precio_unitario]]="","PENDIENTE",TablaVentas[[#This Row],[Unidades]]*TablaVentas[[#This Row],[Precio_unitario]]*(1-TablaVentas[[#This Row],[Descuento_pct]]))</f>
        <v>17572.226</v>
      </c>
      <c r="P2209" s="6" t="n">
        <f aca="false">IF(TablaVentas[[#This Row],[Costo_unitario]]="","PENDIENTE",TablaVentas[[#This Row],[Unidades]]*TablaVentas[[#This Row],[Costo_unitario]])</f>
        <v>12262.64</v>
      </c>
      <c r="Q2209" s="6" t="n">
        <f aca="false">IF(OR(TablaVentas[[#This Row],[Ingreso_neto]]="PENDIENTE",TablaVentas[[#This Row],[Costo_total]]="PENDIENTE"),"PENDIENTE",TablaVentas[[#This Row],[Ingreso_neto]]-TablaVentas[[#This Row],[Costo_total]])</f>
        <v>5309.586</v>
      </c>
    </row>
    <row r="2210" customFormat="false" ht="13.5" hidden="false" customHeight="false" outlineLevel="0" collapsed="false">
      <c r="A2210" s="1" t="s">
        <v>1345</v>
      </c>
      <c r="B2210" s="1" t="n">
        <v>5</v>
      </c>
      <c r="C2210" s="5" t="n">
        <v>46228</v>
      </c>
      <c r="D2210" s="6" t="s">
        <v>611</v>
      </c>
      <c r="E2210" s="6" t="s">
        <v>342</v>
      </c>
      <c r="F2210" s="6" t="s">
        <v>73</v>
      </c>
      <c r="G2210" s="6" t="s">
        <v>47</v>
      </c>
      <c r="H2210" s="6" t="s">
        <v>58</v>
      </c>
      <c r="I2210" s="1" t="n">
        <v>1</v>
      </c>
      <c r="J2210" s="7" t="n">
        <v>7616.49</v>
      </c>
      <c r="K2210" s="8" t="n">
        <v>0.2</v>
      </c>
      <c r="L2210" s="7" t="n">
        <v>5587.31</v>
      </c>
      <c r="M2210" s="6" t="s">
        <v>49</v>
      </c>
      <c r="N2210" s="6" t="s">
        <v>50</v>
      </c>
      <c r="O2210" s="6" t="n">
        <f aca="false">IF(TablaVentas[[#This Row],[Precio_unitario]]="","PENDIENTE",TablaVentas[[#This Row],[Unidades]]*TablaVentas[[#This Row],[Precio_unitario]]*(1-TablaVentas[[#This Row],[Descuento_pct]]))</f>
        <v>6093.192</v>
      </c>
      <c r="P2210" s="6" t="n">
        <f aca="false">IF(TablaVentas[[#This Row],[Costo_unitario]]="","PENDIENTE",TablaVentas[[#This Row],[Unidades]]*TablaVentas[[#This Row],[Costo_unitario]])</f>
        <v>5587.31</v>
      </c>
      <c r="Q2210" s="6" t="n">
        <f aca="false">IF(OR(TablaVentas[[#This Row],[Ingreso_neto]]="PENDIENTE",TablaVentas[[#This Row],[Costo_total]]="PENDIENTE"),"PENDIENTE",TablaVentas[[#This Row],[Ingreso_neto]]-TablaVentas[[#This Row],[Costo_total]])</f>
        <v>505.882</v>
      </c>
    </row>
    <row r="2211" customFormat="false" ht="13.5" hidden="false" customHeight="false" outlineLevel="0" collapsed="false">
      <c r="A2211" s="1" t="s">
        <v>1346</v>
      </c>
      <c r="B2211" s="1" t="n">
        <v>1</v>
      </c>
      <c r="C2211" s="5" t="n">
        <v>46053</v>
      </c>
      <c r="D2211" s="6" t="s">
        <v>459</v>
      </c>
      <c r="E2211" s="6" t="s">
        <v>166</v>
      </c>
      <c r="F2211" s="6" t="s">
        <v>46</v>
      </c>
      <c r="G2211" s="6" t="s">
        <v>47</v>
      </c>
      <c r="H2211" s="6" t="s">
        <v>48</v>
      </c>
      <c r="I2211" s="1" t="n">
        <v>5</v>
      </c>
      <c r="J2211" s="7" t="n">
        <v>11438.73</v>
      </c>
      <c r="K2211" s="8" t="n">
        <v>0</v>
      </c>
      <c r="L2211" s="7" t="n">
        <v>9317.37</v>
      </c>
      <c r="M2211" s="6" t="s">
        <v>49</v>
      </c>
      <c r="N2211" s="6" t="s">
        <v>50</v>
      </c>
      <c r="O2211" s="6" t="n">
        <f aca="false">IF(TablaVentas[[#This Row],[Precio_unitario]]="","PENDIENTE",TablaVentas[[#This Row],[Unidades]]*TablaVentas[[#This Row],[Precio_unitario]]*(1-TablaVentas[[#This Row],[Descuento_pct]]))</f>
        <v>57193.65</v>
      </c>
      <c r="P2211" s="6" t="n">
        <f aca="false">IF(TablaVentas[[#This Row],[Costo_unitario]]="","PENDIENTE",TablaVentas[[#This Row],[Unidades]]*TablaVentas[[#This Row],[Costo_unitario]])</f>
        <v>46586.85</v>
      </c>
      <c r="Q2211" s="6" t="n">
        <f aca="false">IF(OR(TablaVentas[[#This Row],[Ingreso_neto]]="PENDIENTE",TablaVentas[[#This Row],[Costo_total]]="PENDIENTE"),"PENDIENTE",TablaVentas[[#This Row],[Ingreso_neto]]-TablaVentas[[#This Row],[Costo_total]])</f>
        <v>10606.8</v>
      </c>
    </row>
    <row r="2212" customFormat="false" ht="13.5" hidden="false" customHeight="false" outlineLevel="0" collapsed="false">
      <c r="A2212" s="1" t="s">
        <v>1346</v>
      </c>
      <c r="B2212" s="1" t="n">
        <v>2</v>
      </c>
      <c r="C2212" s="5" t="n">
        <v>46053</v>
      </c>
      <c r="D2212" s="6" t="s">
        <v>459</v>
      </c>
      <c r="E2212" s="6" t="s">
        <v>77</v>
      </c>
      <c r="F2212" s="6" t="s">
        <v>46</v>
      </c>
      <c r="G2212" s="6" t="s">
        <v>47</v>
      </c>
      <c r="H2212" s="6" t="s">
        <v>48</v>
      </c>
      <c r="I2212" s="1" t="n">
        <v>1</v>
      </c>
      <c r="J2212" s="7" t="n">
        <v>14354.65</v>
      </c>
      <c r="K2212" s="8" t="n">
        <v>0.2</v>
      </c>
      <c r="L2212" s="7" t="n">
        <v>10571.25</v>
      </c>
      <c r="M2212" s="6" t="s">
        <v>49</v>
      </c>
      <c r="N2212" s="6" t="s">
        <v>59</v>
      </c>
      <c r="O2212" s="6" t="n">
        <f aca="false">IF(TablaVentas[[#This Row],[Precio_unitario]]="","PENDIENTE",TablaVentas[[#This Row],[Unidades]]*TablaVentas[[#This Row],[Precio_unitario]]*(1-TablaVentas[[#This Row],[Descuento_pct]]))</f>
        <v>11483.72</v>
      </c>
      <c r="P2212" s="6" t="n">
        <f aca="false">IF(TablaVentas[[#This Row],[Costo_unitario]]="","PENDIENTE",TablaVentas[[#This Row],[Unidades]]*TablaVentas[[#This Row],[Costo_unitario]])</f>
        <v>10571.25</v>
      </c>
      <c r="Q2212" s="6" t="n">
        <f aca="false">IF(OR(TablaVentas[[#This Row],[Ingreso_neto]]="PENDIENTE",TablaVentas[[#This Row],[Costo_total]]="PENDIENTE"),"PENDIENTE",TablaVentas[[#This Row],[Ingreso_neto]]-TablaVentas[[#This Row],[Costo_total]])</f>
        <v>912.470000000001</v>
      </c>
    </row>
    <row r="2213" customFormat="false" ht="13.5" hidden="false" customHeight="false" outlineLevel="0" collapsed="false">
      <c r="A2213" s="1" t="s">
        <v>1346</v>
      </c>
      <c r="B2213" s="1" t="n">
        <v>3</v>
      </c>
      <c r="C2213" s="5" t="n">
        <v>46053</v>
      </c>
      <c r="D2213" s="6" t="s">
        <v>459</v>
      </c>
      <c r="E2213" s="6" t="s">
        <v>360</v>
      </c>
      <c r="F2213" s="6" t="s">
        <v>46</v>
      </c>
      <c r="G2213" s="6" t="s">
        <v>47</v>
      </c>
      <c r="H2213" s="6" t="s">
        <v>48</v>
      </c>
      <c r="I2213" s="1" t="n">
        <v>1</v>
      </c>
      <c r="J2213" s="7" t="n">
        <v>2141.55</v>
      </c>
      <c r="K2213" s="8" t="n">
        <v>0</v>
      </c>
      <c r="L2213" s="7" t="n">
        <v>1479.71</v>
      </c>
      <c r="M2213" s="6" t="s">
        <v>49</v>
      </c>
      <c r="N2213" s="6" t="s">
        <v>67</v>
      </c>
      <c r="O2213" s="6" t="n">
        <f aca="false">IF(TablaVentas[[#This Row],[Precio_unitario]]="","PENDIENTE",TablaVentas[[#This Row],[Unidades]]*TablaVentas[[#This Row],[Precio_unitario]]*(1-TablaVentas[[#This Row],[Descuento_pct]]))</f>
        <v>2141.55</v>
      </c>
      <c r="P2213" s="6" t="n">
        <f aca="false">IF(TablaVentas[[#This Row],[Costo_unitario]]="","PENDIENTE",TablaVentas[[#This Row],[Unidades]]*TablaVentas[[#This Row],[Costo_unitario]])</f>
        <v>1479.71</v>
      </c>
      <c r="Q2213" s="6" t="n">
        <f aca="false">IF(OR(TablaVentas[[#This Row],[Ingreso_neto]]="PENDIENTE",TablaVentas[[#This Row],[Costo_total]]="PENDIENTE"),"PENDIENTE",TablaVentas[[#This Row],[Ingreso_neto]]-TablaVentas[[#This Row],[Costo_total]])</f>
        <v>661.84</v>
      </c>
    </row>
    <row r="2214" customFormat="false" ht="13.5" hidden="false" customHeight="false" outlineLevel="0" collapsed="false">
      <c r="A2214" s="1" t="s">
        <v>1347</v>
      </c>
      <c r="B2214" s="1" t="n">
        <v>1</v>
      </c>
      <c r="C2214" s="5" t="n">
        <v>46158</v>
      </c>
      <c r="D2214" s="6" t="s">
        <v>472</v>
      </c>
      <c r="E2214" s="6" t="s">
        <v>147</v>
      </c>
      <c r="F2214" s="6" t="s">
        <v>63</v>
      </c>
      <c r="G2214" s="6" t="s">
        <v>57</v>
      </c>
      <c r="H2214" s="6" t="s">
        <v>80</v>
      </c>
      <c r="I2214" s="1" t="n">
        <v>4</v>
      </c>
      <c r="J2214" s="7" t="n">
        <v>2922.12</v>
      </c>
      <c r="K2214" s="8" t="n">
        <v>0</v>
      </c>
      <c r="L2214" s="7" t="n">
        <v>2427.63</v>
      </c>
      <c r="M2214" s="6" t="s">
        <v>49</v>
      </c>
      <c r="N2214" s="6" t="s">
        <v>50</v>
      </c>
      <c r="O2214" s="6" t="n">
        <f aca="false">IF(TablaVentas[[#This Row],[Precio_unitario]]="","PENDIENTE",TablaVentas[[#This Row],[Unidades]]*TablaVentas[[#This Row],[Precio_unitario]]*(1-TablaVentas[[#This Row],[Descuento_pct]]))</f>
        <v>11688.48</v>
      </c>
      <c r="P2214" s="6" t="n">
        <f aca="false">IF(TablaVentas[[#This Row],[Costo_unitario]]="","PENDIENTE",TablaVentas[[#This Row],[Unidades]]*TablaVentas[[#This Row],[Costo_unitario]])</f>
        <v>9710.52</v>
      </c>
      <c r="Q2214" s="6" t="n">
        <f aca="false">IF(OR(TablaVentas[[#This Row],[Ingreso_neto]]="PENDIENTE",TablaVentas[[#This Row],[Costo_total]]="PENDIENTE"),"PENDIENTE",TablaVentas[[#This Row],[Ingreso_neto]]-TablaVentas[[#This Row],[Costo_total]])</f>
        <v>1977.96</v>
      </c>
    </row>
    <row r="2215" customFormat="false" ht="13.5" hidden="false" customHeight="false" outlineLevel="0" collapsed="false">
      <c r="A2215" s="1" t="s">
        <v>1348</v>
      </c>
      <c r="B2215" s="1" t="n">
        <v>1</v>
      </c>
      <c r="C2215" s="5" t="n">
        <v>46245</v>
      </c>
      <c r="D2215" s="6" t="s">
        <v>625</v>
      </c>
      <c r="E2215" s="6" t="s">
        <v>192</v>
      </c>
      <c r="F2215" s="6" t="s">
        <v>46</v>
      </c>
      <c r="G2215" s="6" t="s">
        <v>57</v>
      </c>
      <c r="H2215" s="6" t="s">
        <v>89</v>
      </c>
      <c r="I2215" s="1" t="n">
        <v>2</v>
      </c>
      <c r="J2215" s="7" t="n">
        <v>17481.79</v>
      </c>
      <c r="K2215" s="8" t="n">
        <v>0.1</v>
      </c>
      <c r="L2215" s="7" t="n">
        <v>11904.09</v>
      </c>
      <c r="M2215" s="6" t="s">
        <v>49</v>
      </c>
      <c r="N2215" s="6" t="s">
        <v>59</v>
      </c>
      <c r="O2215" s="6" t="n">
        <f aca="false">IF(TablaVentas[[#This Row],[Precio_unitario]]="","PENDIENTE",TablaVentas[[#This Row],[Unidades]]*TablaVentas[[#This Row],[Precio_unitario]]*(1-TablaVentas[[#This Row],[Descuento_pct]]))</f>
        <v>31467.222</v>
      </c>
      <c r="P2215" s="6" t="n">
        <f aca="false">IF(TablaVentas[[#This Row],[Costo_unitario]]="","PENDIENTE",TablaVentas[[#This Row],[Unidades]]*TablaVentas[[#This Row],[Costo_unitario]])</f>
        <v>23808.18</v>
      </c>
      <c r="Q2215" s="6" t="n">
        <f aca="false">IF(OR(TablaVentas[[#This Row],[Ingreso_neto]]="PENDIENTE",TablaVentas[[#This Row],[Costo_total]]="PENDIENTE"),"PENDIENTE",TablaVentas[[#This Row],[Ingreso_neto]]-TablaVentas[[#This Row],[Costo_total]])</f>
        <v>7659.042</v>
      </c>
    </row>
    <row r="2216" customFormat="false" ht="13.5" hidden="false" customHeight="false" outlineLevel="0" collapsed="false">
      <c r="A2216" s="1" t="s">
        <v>1348</v>
      </c>
      <c r="B2216" s="1" t="n">
        <v>2</v>
      </c>
      <c r="C2216" s="5" t="n">
        <v>46245</v>
      </c>
      <c r="D2216" s="6" t="s">
        <v>625</v>
      </c>
      <c r="E2216" s="6" t="s">
        <v>353</v>
      </c>
      <c r="F2216" s="6" t="s">
        <v>46</v>
      </c>
      <c r="G2216" s="6" t="s">
        <v>57</v>
      </c>
      <c r="H2216" s="6" t="s">
        <v>89</v>
      </c>
      <c r="I2216" s="1" t="n">
        <v>2</v>
      </c>
      <c r="J2216" s="7" t="n">
        <v>2223.46</v>
      </c>
      <c r="K2216" s="8" t="n">
        <v>0.05</v>
      </c>
      <c r="L2216" s="7" t="n">
        <v>1175.74</v>
      </c>
      <c r="M2216" s="6" t="s">
        <v>49</v>
      </c>
      <c r="N2216" s="6" t="s">
        <v>50</v>
      </c>
      <c r="O2216" s="6" t="n">
        <f aca="false">IF(TablaVentas[[#This Row],[Precio_unitario]]="","PENDIENTE",TablaVentas[[#This Row],[Unidades]]*TablaVentas[[#This Row],[Precio_unitario]]*(1-TablaVentas[[#This Row],[Descuento_pct]]))</f>
        <v>4224.574</v>
      </c>
      <c r="P2216" s="6" t="n">
        <f aca="false">IF(TablaVentas[[#This Row],[Costo_unitario]]="","PENDIENTE",TablaVentas[[#This Row],[Unidades]]*TablaVentas[[#This Row],[Costo_unitario]])</f>
        <v>2351.48</v>
      </c>
      <c r="Q2216" s="6" t="n">
        <f aca="false">IF(OR(TablaVentas[[#This Row],[Ingreso_neto]]="PENDIENTE",TablaVentas[[#This Row],[Costo_total]]="PENDIENTE"),"PENDIENTE",TablaVentas[[#This Row],[Ingreso_neto]]-TablaVentas[[#This Row],[Costo_total]])</f>
        <v>1873.094</v>
      </c>
    </row>
    <row r="2217" customFormat="false" ht="13.5" hidden="false" customHeight="false" outlineLevel="0" collapsed="false">
      <c r="A2217" s="1" t="s">
        <v>1348</v>
      </c>
      <c r="B2217" s="1" t="n">
        <v>3</v>
      </c>
      <c r="C2217" s="5" t="n">
        <v>46245</v>
      </c>
      <c r="D2217" s="6" t="s">
        <v>625</v>
      </c>
      <c r="E2217" s="6" t="s">
        <v>91</v>
      </c>
      <c r="F2217" s="6" t="s">
        <v>46</v>
      </c>
      <c r="G2217" s="6" t="s">
        <v>57</v>
      </c>
      <c r="H2217" s="6" t="s">
        <v>89</v>
      </c>
      <c r="I2217" s="1" t="n">
        <v>1</v>
      </c>
      <c r="J2217" s="7" t="n">
        <v>16280.58</v>
      </c>
      <c r="K2217" s="8" t="n">
        <v>0.15</v>
      </c>
      <c r="L2217" s="7" t="n">
        <v>8576.05</v>
      </c>
      <c r="M2217" s="6" t="s">
        <v>49</v>
      </c>
      <c r="N2217" s="6" t="s">
        <v>67</v>
      </c>
      <c r="O2217" s="6" t="n">
        <f aca="false">IF(TablaVentas[[#This Row],[Precio_unitario]]="","PENDIENTE",TablaVentas[[#This Row],[Unidades]]*TablaVentas[[#This Row],[Precio_unitario]]*(1-TablaVentas[[#This Row],[Descuento_pct]]))</f>
        <v>13838.493</v>
      </c>
      <c r="P2217" s="6" t="n">
        <f aca="false">IF(TablaVentas[[#This Row],[Costo_unitario]]="","PENDIENTE",TablaVentas[[#This Row],[Unidades]]*TablaVentas[[#This Row],[Costo_unitario]])</f>
        <v>8576.05</v>
      </c>
      <c r="Q2217" s="6" t="n">
        <f aca="false">IF(OR(TablaVentas[[#This Row],[Ingreso_neto]]="PENDIENTE",TablaVentas[[#This Row],[Costo_total]]="PENDIENTE"),"PENDIENTE",TablaVentas[[#This Row],[Ingreso_neto]]-TablaVentas[[#This Row],[Costo_total]])</f>
        <v>5262.443</v>
      </c>
    </row>
    <row r="2218" customFormat="false" ht="13.5" hidden="false" customHeight="false" outlineLevel="0" collapsed="false">
      <c r="A2218" s="1" t="s">
        <v>1349</v>
      </c>
      <c r="B2218" s="1" t="n">
        <v>1</v>
      </c>
      <c r="C2218" s="5" t="n">
        <v>46053</v>
      </c>
      <c r="D2218" s="6" t="s">
        <v>807</v>
      </c>
      <c r="E2218" s="6" t="s">
        <v>224</v>
      </c>
      <c r="F2218" s="6" t="s">
        <v>73</v>
      </c>
      <c r="G2218" s="6" t="s">
        <v>47</v>
      </c>
      <c r="H2218" s="6" t="s">
        <v>136</v>
      </c>
      <c r="I2218" s="1" t="n">
        <v>1</v>
      </c>
      <c r="J2218" s="7" t="n">
        <v>17752.68</v>
      </c>
      <c r="K2218" s="8" t="n">
        <v>0.05</v>
      </c>
      <c r="L2218" s="7" t="n">
        <v>14161.63</v>
      </c>
      <c r="M2218" s="6" t="s">
        <v>49</v>
      </c>
      <c r="N2218" s="6" t="s">
        <v>52</v>
      </c>
      <c r="O2218" s="6" t="n">
        <f aca="false">IF(TablaVentas[[#This Row],[Precio_unitario]]="","PENDIENTE",TablaVentas[[#This Row],[Unidades]]*TablaVentas[[#This Row],[Precio_unitario]]*(1-TablaVentas[[#This Row],[Descuento_pct]]))</f>
        <v>16865.046</v>
      </c>
      <c r="P2218" s="6" t="n">
        <f aca="false">IF(TablaVentas[[#This Row],[Costo_unitario]]="","PENDIENTE",TablaVentas[[#This Row],[Unidades]]*TablaVentas[[#This Row],[Costo_unitario]])</f>
        <v>14161.63</v>
      </c>
      <c r="Q2218" s="6" t="n">
        <f aca="false">IF(OR(TablaVentas[[#This Row],[Ingreso_neto]]="PENDIENTE",TablaVentas[[#This Row],[Costo_total]]="PENDIENTE"),"PENDIENTE",TablaVentas[[#This Row],[Ingreso_neto]]-TablaVentas[[#This Row],[Costo_total]])</f>
        <v>2703.416</v>
      </c>
    </row>
    <row r="2219" customFormat="false" ht="13.5" hidden="false" customHeight="false" outlineLevel="0" collapsed="false">
      <c r="A2219" s="1" t="s">
        <v>1349</v>
      </c>
      <c r="B2219" s="1" t="n">
        <v>2</v>
      </c>
      <c r="C2219" s="5" t="n">
        <v>46053</v>
      </c>
      <c r="D2219" s="6" t="s">
        <v>807</v>
      </c>
      <c r="E2219" s="6" t="s">
        <v>410</v>
      </c>
      <c r="F2219" s="6" t="s">
        <v>73</v>
      </c>
      <c r="G2219" s="6" t="s">
        <v>47</v>
      </c>
      <c r="H2219" s="6" t="s">
        <v>136</v>
      </c>
      <c r="I2219" s="1" t="n">
        <v>1</v>
      </c>
      <c r="J2219" s="7" t="n">
        <v>2947.49</v>
      </c>
      <c r="K2219" s="8" t="n">
        <v>0.15</v>
      </c>
      <c r="L2219" s="7" t="n">
        <v>1801.83</v>
      </c>
      <c r="M2219" s="6" t="s">
        <v>49</v>
      </c>
      <c r="N2219" s="6" t="s">
        <v>52</v>
      </c>
      <c r="O2219" s="6" t="n">
        <f aca="false">IF(TablaVentas[[#This Row],[Precio_unitario]]="","PENDIENTE",TablaVentas[[#This Row],[Unidades]]*TablaVentas[[#This Row],[Precio_unitario]]*(1-TablaVentas[[#This Row],[Descuento_pct]]))</f>
        <v>2505.3665</v>
      </c>
      <c r="P2219" s="6" t="n">
        <f aca="false">IF(TablaVentas[[#This Row],[Costo_unitario]]="","PENDIENTE",TablaVentas[[#This Row],[Unidades]]*TablaVentas[[#This Row],[Costo_unitario]])</f>
        <v>1801.83</v>
      </c>
      <c r="Q2219" s="6" t="n">
        <f aca="false">IF(OR(TablaVentas[[#This Row],[Ingreso_neto]]="PENDIENTE",TablaVentas[[#This Row],[Costo_total]]="PENDIENTE"),"PENDIENTE",TablaVentas[[#This Row],[Ingreso_neto]]-TablaVentas[[#This Row],[Costo_total]])</f>
        <v>703.5365</v>
      </c>
    </row>
    <row r="2220" customFormat="false" ht="13.5" hidden="false" customHeight="false" outlineLevel="0" collapsed="false">
      <c r="A2220" s="1" t="s">
        <v>1349</v>
      </c>
      <c r="B2220" s="1" t="n">
        <v>3</v>
      </c>
      <c r="C2220" s="5" t="n">
        <v>46053</v>
      </c>
      <c r="D2220" s="6" t="s">
        <v>807</v>
      </c>
      <c r="E2220" s="6" t="s">
        <v>158</v>
      </c>
      <c r="F2220" s="6" t="s">
        <v>73</v>
      </c>
      <c r="G2220" s="6" t="s">
        <v>47</v>
      </c>
      <c r="H2220" s="6" t="s">
        <v>136</v>
      </c>
      <c r="I2220" s="1" t="n">
        <v>1</v>
      </c>
      <c r="J2220" s="7" t="n">
        <v>15162.07</v>
      </c>
      <c r="K2220" s="8" t="n">
        <v>0</v>
      </c>
      <c r="L2220" s="7" t="n">
        <v>8963.23</v>
      </c>
      <c r="M2220" s="6" t="s">
        <v>49</v>
      </c>
      <c r="N2220" s="6" t="s">
        <v>50</v>
      </c>
      <c r="O2220" s="6" t="n">
        <f aca="false">IF(TablaVentas[[#This Row],[Precio_unitario]]="","PENDIENTE",TablaVentas[[#This Row],[Unidades]]*TablaVentas[[#This Row],[Precio_unitario]]*(1-TablaVentas[[#This Row],[Descuento_pct]]))</f>
        <v>15162.07</v>
      </c>
      <c r="P2220" s="6" t="n">
        <f aca="false">IF(TablaVentas[[#This Row],[Costo_unitario]]="","PENDIENTE",TablaVentas[[#This Row],[Unidades]]*TablaVentas[[#This Row],[Costo_unitario]])</f>
        <v>8963.23</v>
      </c>
      <c r="Q2220" s="6" t="n">
        <f aca="false">IF(OR(TablaVentas[[#This Row],[Ingreso_neto]]="PENDIENTE",TablaVentas[[#This Row],[Costo_total]]="PENDIENTE"),"PENDIENTE",TablaVentas[[#This Row],[Ingreso_neto]]-TablaVentas[[#This Row],[Costo_total]])</f>
        <v>6198.84</v>
      </c>
    </row>
    <row r="2221" customFormat="false" ht="13.5" hidden="false" customHeight="false" outlineLevel="0" collapsed="false">
      <c r="A2221" s="1" t="s">
        <v>1349</v>
      </c>
      <c r="B2221" s="1" t="n">
        <v>4</v>
      </c>
      <c r="C2221" s="5" t="n">
        <v>46053</v>
      </c>
      <c r="D2221" s="6" t="s">
        <v>807</v>
      </c>
      <c r="E2221" s="6" t="s">
        <v>170</v>
      </c>
      <c r="F2221" s="6" t="s">
        <v>73</v>
      </c>
      <c r="G2221" s="6" t="s">
        <v>47</v>
      </c>
      <c r="H2221" s="6" t="s">
        <v>136</v>
      </c>
      <c r="I2221" s="1" t="n">
        <v>1</v>
      </c>
      <c r="J2221" s="7" t="n">
        <v>17539.59</v>
      </c>
      <c r="K2221" s="8" t="n">
        <v>0</v>
      </c>
      <c r="L2221" s="7" t="n">
        <v>12141.44</v>
      </c>
      <c r="M2221" s="6" t="s">
        <v>49</v>
      </c>
      <c r="N2221" s="6" t="s">
        <v>50</v>
      </c>
      <c r="O2221" s="6" t="n">
        <f aca="false">IF(TablaVentas[[#This Row],[Precio_unitario]]="","PENDIENTE",TablaVentas[[#This Row],[Unidades]]*TablaVentas[[#This Row],[Precio_unitario]]*(1-TablaVentas[[#This Row],[Descuento_pct]]))</f>
        <v>17539.59</v>
      </c>
      <c r="P2221" s="6" t="n">
        <f aca="false">IF(TablaVentas[[#This Row],[Costo_unitario]]="","PENDIENTE",TablaVentas[[#This Row],[Unidades]]*TablaVentas[[#This Row],[Costo_unitario]])</f>
        <v>12141.44</v>
      </c>
      <c r="Q2221" s="6" t="n">
        <f aca="false">IF(OR(TablaVentas[[#This Row],[Ingreso_neto]]="PENDIENTE",TablaVentas[[#This Row],[Costo_total]]="PENDIENTE"),"PENDIENTE",TablaVentas[[#This Row],[Ingreso_neto]]-TablaVentas[[#This Row],[Costo_total]])</f>
        <v>5398.15</v>
      </c>
    </row>
    <row r="2222" customFormat="false" ht="13.5" hidden="false" customHeight="false" outlineLevel="0" collapsed="false">
      <c r="A2222" s="1" t="s">
        <v>1350</v>
      </c>
      <c r="B2222" s="1" t="n">
        <v>1</v>
      </c>
      <c r="C2222" s="5" t="n">
        <v>46138</v>
      </c>
      <c r="D2222" s="6" t="s">
        <v>646</v>
      </c>
      <c r="E2222" s="6" t="s">
        <v>203</v>
      </c>
      <c r="F2222" s="6" t="s">
        <v>46</v>
      </c>
      <c r="G2222" s="6" t="s">
        <v>47</v>
      </c>
      <c r="H2222" s="6" t="s">
        <v>109</v>
      </c>
      <c r="I2222" s="1" t="n">
        <v>8</v>
      </c>
      <c r="J2222" s="7" t="n">
        <v>719.28</v>
      </c>
      <c r="K2222" s="8" t="n">
        <v>0.05</v>
      </c>
      <c r="L2222" s="7" t="n">
        <v>485.16</v>
      </c>
      <c r="M2222" s="6" t="s">
        <v>49</v>
      </c>
      <c r="N2222" s="6" t="s">
        <v>67</v>
      </c>
      <c r="O2222" s="6" t="n">
        <f aca="false">IF(TablaVentas[[#This Row],[Precio_unitario]]="","PENDIENTE",TablaVentas[[#This Row],[Unidades]]*TablaVentas[[#This Row],[Precio_unitario]]*(1-TablaVentas[[#This Row],[Descuento_pct]]))</f>
        <v>5466.528</v>
      </c>
      <c r="P2222" s="6" t="n">
        <f aca="false">IF(TablaVentas[[#This Row],[Costo_unitario]]="","PENDIENTE",TablaVentas[[#This Row],[Unidades]]*TablaVentas[[#This Row],[Costo_unitario]])</f>
        <v>3881.28</v>
      </c>
      <c r="Q2222" s="6" t="n">
        <f aca="false">IF(OR(TablaVentas[[#This Row],[Ingreso_neto]]="PENDIENTE",TablaVentas[[#This Row],[Costo_total]]="PENDIENTE"),"PENDIENTE",TablaVentas[[#This Row],[Ingreso_neto]]-TablaVentas[[#This Row],[Costo_total]])</f>
        <v>1585.248</v>
      </c>
    </row>
    <row r="2223" customFormat="false" ht="13.5" hidden="false" customHeight="false" outlineLevel="0" collapsed="false">
      <c r="A2223" s="1" t="s">
        <v>1351</v>
      </c>
      <c r="B2223" s="1" t="n">
        <v>1</v>
      </c>
      <c r="C2223" s="5" t="n">
        <v>46177</v>
      </c>
      <c r="D2223" s="6" t="s">
        <v>640</v>
      </c>
      <c r="E2223" s="6" t="s">
        <v>104</v>
      </c>
      <c r="F2223" s="6" t="s">
        <v>73</v>
      </c>
      <c r="G2223" s="6" t="s">
        <v>57</v>
      </c>
      <c r="H2223" s="6" t="s">
        <v>80</v>
      </c>
      <c r="I2223" s="1" t="n">
        <v>2</v>
      </c>
      <c r="J2223" s="7" t="n">
        <v>16061.23</v>
      </c>
      <c r="K2223" s="8" t="n">
        <v>0</v>
      </c>
      <c r="L2223" s="7" t="n">
        <v>11424.77</v>
      </c>
      <c r="M2223" s="6" t="s">
        <v>49</v>
      </c>
      <c r="N2223" s="6" t="s">
        <v>59</v>
      </c>
      <c r="O2223" s="6" t="n">
        <f aca="false">IF(TablaVentas[[#This Row],[Precio_unitario]]="","PENDIENTE",TablaVentas[[#This Row],[Unidades]]*TablaVentas[[#This Row],[Precio_unitario]]*(1-TablaVentas[[#This Row],[Descuento_pct]]))</f>
        <v>32122.46</v>
      </c>
      <c r="P2223" s="6" t="n">
        <f aca="false">IF(TablaVentas[[#This Row],[Costo_unitario]]="","PENDIENTE",TablaVentas[[#This Row],[Unidades]]*TablaVentas[[#This Row],[Costo_unitario]])</f>
        <v>22849.54</v>
      </c>
      <c r="Q2223" s="6" t="n">
        <f aca="false">IF(OR(TablaVentas[[#This Row],[Ingreso_neto]]="PENDIENTE",TablaVentas[[#This Row],[Costo_total]]="PENDIENTE"),"PENDIENTE",TablaVentas[[#This Row],[Ingreso_neto]]-TablaVentas[[#This Row],[Costo_total]])</f>
        <v>9272.92</v>
      </c>
    </row>
    <row r="2224" customFormat="false" ht="13.5" hidden="false" customHeight="false" outlineLevel="0" collapsed="false">
      <c r="A2224" s="1" t="s">
        <v>1351</v>
      </c>
      <c r="B2224" s="1" t="n">
        <v>2</v>
      </c>
      <c r="C2224" s="5" t="n">
        <v>46177</v>
      </c>
      <c r="D2224" s="6" t="s">
        <v>640</v>
      </c>
      <c r="E2224" s="6" t="s">
        <v>410</v>
      </c>
      <c r="F2224" s="6" t="s">
        <v>73</v>
      </c>
      <c r="G2224" s="6" t="s">
        <v>57</v>
      </c>
      <c r="H2224" s="6" t="s">
        <v>80</v>
      </c>
      <c r="I2224" s="1" t="n">
        <v>2</v>
      </c>
      <c r="J2224" s="7" t="n">
        <v>2920.82</v>
      </c>
      <c r="K2224" s="8" t="n">
        <v>0</v>
      </c>
      <c r="L2224" s="7" t="n">
        <v>1801.83</v>
      </c>
      <c r="M2224" s="6" t="s">
        <v>69</v>
      </c>
      <c r="N2224" s="6" t="s">
        <v>59</v>
      </c>
      <c r="O2224" s="6" t="n">
        <f aca="false">IF(TablaVentas[[#This Row],[Precio_unitario]]="","PENDIENTE",TablaVentas[[#This Row],[Unidades]]*TablaVentas[[#This Row],[Precio_unitario]]*(1-TablaVentas[[#This Row],[Descuento_pct]]))</f>
        <v>5841.64</v>
      </c>
      <c r="P2224" s="6" t="n">
        <f aca="false">IF(TablaVentas[[#This Row],[Costo_unitario]]="","PENDIENTE",TablaVentas[[#This Row],[Unidades]]*TablaVentas[[#This Row],[Costo_unitario]])</f>
        <v>3603.66</v>
      </c>
      <c r="Q2224" s="6" t="n">
        <f aca="false">IF(OR(TablaVentas[[#This Row],[Ingreso_neto]]="PENDIENTE",TablaVentas[[#This Row],[Costo_total]]="PENDIENTE"),"PENDIENTE",TablaVentas[[#This Row],[Ingreso_neto]]-TablaVentas[[#This Row],[Costo_total]])</f>
        <v>2237.98</v>
      </c>
    </row>
    <row r="2225" customFormat="false" ht="13.5" hidden="false" customHeight="false" outlineLevel="0" collapsed="false">
      <c r="A2225" s="1" t="s">
        <v>1352</v>
      </c>
      <c r="B2225" s="1" t="n">
        <v>1</v>
      </c>
      <c r="C2225" s="5" t="n">
        <v>46203</v>
      </c>
      <c r="D2225" s="6" t="s">
        <v>779</v>
      </c>
      <c r="E2225" s="6" t="s">
        <v>544</v>
      </c>
      <c r="F2225" s="6" t="s">
        <v>46</v>
      </c>
      <c r="G2225" s="6" t="s">
        <v>64</v>
      </c>
      <c r="H2225" s="6" t="s">
        <v>48</v>
      </c>
      <c r="I2225" s="1" t="n">
        <v>1</v>
      </c>
      <c r="J2225" s="7" t="n">
        <v>5097.26</v>
      </c>
      <c r="K2225" s="8" t="n">
        <v>0</v>
      </c>
      <c r="L2225" s="7" t="n">
        <v>4556.23</v>
      </c>
      <c r="M2225" s="6" t="s">
        <v>49</v>
      </c>
      <c r="N2225" s="6" t="s">
        <v>50</v>
      </c>
      <c r="O2225" s="6" t="n">
        <f aca="false">IF(TablaVentas[[#This Row],[Precio_unitario]]="","PENDIENTE",TablaVentas[[#This Row],[Unidades]]*TablaVentas[[#This Row],[Precio_unitario]]*(1-TablaVentas[[#This Row],[Descuento_pct]]))</f>
        <v>5097.26</v>
      </c>
      <c r="P2225" s="6" t="n">
        <f aca="false">IF(TablaVentas[[#This Row],[Costo_unitario]]="","PENDIENTE",TablaVentas[[#This Row],[Unidades]]*TablaVentas[[#This Row],[Costo_unitario]])</f>
        <v>4556.23</v>
      </c>
      <c r="Q2225" s="6" t="n">
        <f aca="false">IF(OR(TablaVentas[[#This Row],[Ingreso_neto]]="PENDIENTE",TablaVentas[[#This Row],[Costo_total]]="PENDIENTE"),"PENDIENTE",TablaVentas[[#This Row],[Ingreso_neto]]-TablaVentas[[#This Row],[Costo_total]])</f>
        <v>541.030000000001</v>
      </c>
    </row>
    <row r="2226" customFormat="false" ht="13.5" hidden="false" customHeight="false" outlineLevel="0" collapsed="false">
      <c r="A2226" s="1" t="s">
        <v>1352</v>
      </c>
      <c r="B2226" s="1" t="n">
        <v>2</v>
      </c>
      <c r="C2226" s="5" t="n">
        <v>46203</v>
      </c>
      <c r="D2226" s="6" t="s">
        <v>779</v>
      </c>
      <c r="E2226" s="6" t="s">
        <v>404</v>
      </c>
      <c r="F2226" s="6" t="s">
        <v>46</v>
      </c>
      <c r="G2226" s="6" t="s">
        <v>64</v>
      </c>
      <c r="H2226" s="6" t="s">
        <v>48</v>
      </c>
      <c r="I2226" s="1" t="n">
        <v>3</v>
      </c>
      <c r="J2226" s="7" t="n">
        <v>5794.83</v>
      </c>
      <c r="K2226" s="8" t="n">
        <v>0</v>
      </c>
      <c r="L2226" s="7" t="n">
        <v>3640.56</v>
      </c>
      <c r="M2226" s="6" t="s">
        <v>49</v>
      </c>
      <c r="N2226" s="6" t="s">
        <v>67</v>
      </c>
      <c r="O2226" s="6" t="n">
        <f aca="false">IF(TablaVentas[[#This Row],[Precio_unitario]]="","PENDIENTE",TablaVentas[[#This Row],[Unidades]]*TablaVentas[[#This Row],[Precio_unitario]]*(1-TablaVentas[[#This Row],[Descuento_pct]]))</f>
        <v>17384.49</v>
      </c>
      <c r="P2226" s="6" t="n">
        <f aca="false">IF(TablaVentas[[#This Row],[Costo_unitario]]="","PENDIENTE",TablaVentas[[#This Row],[Unidades]]*TablaVentas[[#This Row],[Costo_unitario]])</f>
        <v>10921.68</v>
      </c>
      <c r="Q2226" s="6" t="n">
        <f aca="false">IF(OR(TablaVentas[[#This Row],[Ingreso_neto]]="PENDIENTE",TablaVentas[[#This Row],[Costo_total]]="PENDIENTE"),"PENDIENTE",TablaVentas[[#This Row],[Ingreso_neto]]-TablaVentas[[#This Row],[Costo_total]])</f>
        <v>6462.81</v>
      </c>
    </row>
    <row r="2227" customFormat="false" ht="13.5" hidden="false" customHeight="false" outlineLevel="0" collapsed="false">
      <c r="A2227" s="1" t="s">
        <v>1352</v>
      </c>
      <c r="B2227" s="1" t="n">
        <v>3</v>
      </c>
      <c r="C2227" s="5" t="n">
        <v>46203</v>
      </c>
      <c r="D2227" s="6" t="s">
        <v>779</v>
      </c>
      <c r="E2227" s="6" t="s">
        <v>225</v>
      </c>
      <c r="F2227" s="6" t="s">
        <v>46</v>
      </c>
      <c r="G2227" s="6" t="s">
        <v>64</v>
      </c>
      <c r="H2227" s="6" t="s">
        <v>48</v>
      </c>
      <c r="I2227" s="1" t="n">
        <v>2</v>
      </c>
      <c r="J2227" s="7" t="n">
        <v>4503.95</v>
      </c>
      <c r="K2227" s="8" t="n">
        <v>0</v>
      </c>
      <c r="L2227" s="7" t="n">
        <v>2833.97</v>
      </c>
      <c r="M2227" s="6" t="s">
        <v>49</v>
      </c>
      <c r="N2227" s="6" t="s">
        <v>50</v>
      </c>
      <c r="O2227" s="6" t="n">
        <f aca="false">IF(TablaVentas[[#This Row],[Precio_unitario]]="","PENDIENTE",TablaVentas[[#This Row],[Unidades]]*TablaVentas[[#This Row],[Precio_unitario]]*(1-TablaVentas[[#This Row],[Descuento_pct]]))</f>
        <v>9007.9</v>
      </c>
      <c r="P2227" s="6" t="n">
        <f aca="false">IF(TablaVentas[[#This Row],[Costo_unitario]]="","PENDIENTE",TablaVentas[[#This Row],[Unidades]]*TablaVentas[[#This Row],[Costo_unitario]])</f>
        <v>5667.94</v>
      </c>
      <c r="Q2227" s="6" t="n">
        <f aca="false">IF(OR(TablaVentas[[#This Row],[Ingreso_neto]]="PENDIENTE",TablaVentas[[#This Row],[Costo_total]]="PENDIENTE"),"PENDIENTE",TablaVentas[[#This Row],[Ingreso_neto]]-TablaVentas[[#This Row],[Costo_total]])</f>
        <v>3339.96</v>
      </c>
    </row>
    <row r="2228" customFormat="false" ht="13.5" hidden="false" customHeight="false" outlineLevel="0" collapsed="false">
      <c r="A2228" s="1" t="s">
        <v>1352</v>
      </c>
      <c r="B2228" s="1" t="n">
        <v>4</v>
      </c>
      <c r="C2228" s="5" t="n">
        <v>46203</v>
      </c>
      <c r="D2228" s="6" t="s">
        <v>779</v>
      </c>
      <c r="E2228" s="6" t="s">
        <v>203</v>
      </c>
      <c r="F2228" s="6" t="s">
        <v>46</v>
      </c>
      <c r="G2228" s="6" t="s">
        <v>64</v>
      </c>
      <c r="H2228" s="6" t="s">
        <v>48</v>
      </c>
      <c r="I2228" s="1" t="n">
        <v>2</v>
      </c>
      <c r="J2228" s="7" t="n">
        <v>735.61</v>
      </c>
      <c r="K2228" s="8" t="n">
        <v>0</v>
      </c>
      <c r="L2228" s="7" t="n">
        <v>485.16</v>
      </c>
      <c r="M2228" s="6" t="s">
        <v>49</v>
      </c>
      <c r="N2228" s="6" t="s">
        <v>67</v>
      </c>
      <c r="O2228" s="6" t="n">
        <f aca="false">IF(TablaVentas[[#This Row],[Precio_unitario]]="","PENDIENTE",TablaVentas[[#This Row],[Unidades]]*TablaVentas[[#This Row],[Precio_unitario]]*(1-TablaVentas[[#This Row],[Descuento_pct]]))</f>
        <v>1471.22</v>
      </c>
      <c r="P2228" s="6" t="n">
        <f aca="false">IF(TablaVentas[[#This Row],[Costo_unitario]]="","PENDIENTE",TablaVentas[[#This Row],[Unidades]]*TablaVentas[[#This Row],[Costo_unitario]])</f>
        <v>970.32</v>
      </c>
      <c r="Q2228" s="6" t="n">
        <f aca="false">IF(OR(TablaVentas[[#This Row],[Ingreso_neto]]="PENDIENTE",TablaVentas[[#This Row],[Costo_total]]="PENDIENTE"),"PENDIENTE",TablaVentas[[#This Row],[Ingreso_neto]]-TablaVentas[[#This Row],[Costo_total]])</f>
        <v>500.9</v>
      </c>
    </row>
    <row r="2229" customFormat="false" ht="13.5" hidden="false" customHeight="false" outlineLevel="0" collapsed="false">
      <c r="A2229" s="1" t="s">
        <v>1353</v>
      </c>
      <c r="B2229" s="1" t="n">
        <v>1</v>
      </c>
      <c r="C2229" s="5" t="n">
        <v>46263</v>
      </c>
      <c r="D2229" s="6" t="s">
        <v>561</v>
      </c>
      <c r="E2229" s="6" t="s">
        <v>166</v>
      </c>
      <c r="F2229" s="6" t="s">
        <v>46</v>
      </c>
      <c r="G2229" s="6" t="s">
        <v>47</v>
      </c>
      <c r="H2229" s="6" t="s">
        <v>191</v>
      </c>
      <c r="I2229" s="1" t="n">
        <v>2</v>
      </c>
      <c r="J2229" s="7" t="n">
        <v>11936.31</v>
      </c>
      <c r="K2229" s="8" t="n">
        <v>0.2</v>
      </c>
      <c r="L2229" s="7" t="n">
        <v>9317.37</v>
      </c>
      <c r="M2229" s="6" t="s">
        <v>49</v>
      </c>
      <c r="N2229" s="6" t="s">
        <v>67</v>
      </c>
      <c r="O2229" s="6" t="n">
        <f aca="false">IF(TablaVentas[[#This Row],[Precio_unitario]]="","PENDIENTE",TablaVentas[[#This Row],[Unidades]]*TablaVentas[[#This Row],[Precio_unitario]]*(1-TablaVentas[[#This Row],[Descuento_pct]]))</f>
        <v>19098.096</v>
      </c>
      <c r="P2229" s="6" t="n">
        <f aca="false">IF(TablaVentas[[#This Row],[Costo_unitario]]="","PENDIENTE",TablaVentas[[#This Row],[Unidades]]*TablaVentas[[#This Row],[Costo_unitario]])</f>
        <v>18634.74</v>
      </c>
      <c r="Q2229" s="6" t="n">
        <f aca="false">IF(OR(TablaVentas[[#This Row],[Ingreso_neto]]="PENDIENTE",TablaVentas[[#This Row],[Costo_total]]="PENDIENTE"),"PENDIENTE",TablaVentas[[#This Row],[Ingreso_neto]]-TablaVentas[[#This Row],[Costo_total]])</f>
        <v>463.356</v>
      </c>
    </row>
    <row r="2230" customFormat="false" ht="13.5" hidden="false" customHeight="false" outlineLevel="0" collapsed="false">
      <c r="A2230" s="1" t="s">
        <v>1353</v>
      </c>
      <c r="B2230" s="1" t="n">
        <v>2</v>
      </c>
      <c r="C2230" s="5" t="n">
        <v>46263</v>
      </c>
      <c r="D2230" s="6" t="s">
        <v>561</v>
      </c>
      <c r="E2230" s="6" t="s">
        <v>113</v>
      </c>
      <c r="F2230" s="6" t="s">
        <v>46</v>
      </c>
      <c r="G2230" s="6" t="s">
        <v>47</v>
      </c>
      <c r="H2230" s="6" t="s">
        <v>191</v>
      </c>
      <c r="I2230" s="1" t="n">
        <v>5</v>
      </c>
      <c r="J2230" s="7" t="n">
        <v>10137.82</v>
      </c>
      <c r="K2230" s="8" t="n">
        <v>0</v>
      </c>
      <c r="L2230" s="7" t="n">
        <v>8276.74</v>
      </c>
      <c r="M2230" s="6" t="s">
        <v>49</v>
      </c>
      <c r="N2230" s="6" t="s">
        <v>67</v>
      </c>
      <c r="O2230" s="6" t="n">
        <f aca="false">IF(TablaVentas[[#This Row],[Precio_unitario]]="","PENDIENTE",TablaVentas[[#This Row],[Unidades]]*TablaVentas[[#This Row],[Precio_unitario]]*(1-TablaVentas[[#This Row],[Descuento_pct]]))</f>
        <v>50689.1</v>
      </c>
      <c r="P2230" s="6" t="n">
        <f aca="false">IF(TablaVentas[[#This Row],[Costo_unitario]]="","PENDIENTE",TablaVentas[[#This Row],[Unidades]]*TablaVentas[[#This Row],[Costo_unitario]])</f>
        <v>41383.7</v>
      </c>
      <c r="Q2230" s="6" t="n">
        <f aca="false">IF(OR(TablaVentas[[#This Row],[Ingreso_neto]]="PENDIENTE",TablaVentas[[#This Row],[Costo_total]]="PENDIENTE"),"PENDIENTE",TablaVentas[[#This Row],[Ingreso_neto]]-TablaVentas[[#This Row],[Costo_total]])</f>
        <v>9305.4</v>
      </c>
    </row>
    <row r="2231" customFormat="false" ht="13.5" hidden="false" customHeight="false" outlineLevel="0" collapsed="false">
      <c r="A2231" s="1" t="s">
        <v>1354</v>
      </c>
      <c r="B2231" s="1" t="n">
        <v>1</v>
      </c>
      <c r="C2231" s="5" t="n">
        <v>46166</v>
      </c>
      <c r="D2231" s="6" t="s">
        <v>683</v>
      </c>
      <c r="E2231" s="6" t="s">
        <v>260</v>
      </c>
      <c r="F2231" s="6" t="s">
        <v>84</v>
      </c>
      <c r="G2231" s="6" t="s">
        <v>64</v>
      </c>
      <c r="H2231" s="6" t="s">
        <v>89</v>
      </c>
      <c r="I2231" s="1" t="n">
        <v>5</v>
      </c>
      <c r="J2231" s="7" t="n">
        <v>2840.96</v>
      </c>
      <c r="K2231" s="8" t="n">
        <v>0</v>
      </c>
      <c r="L2231" s="7" t="n">
        <v>2486.18</v>
      </c>
      <c r="M2231" s="6" t="s">
        <v>49</v>
      </c>
      <c r="N2231" s="6" t="s">
        <v>59</v>
      </c>
      <c r="O2231" s="6" t="n">
        <f aca="false">IF(TablaVentas[[#This Row],[Precio_unitario]]="","PENDIENTE",TablaVentas[[#This Row],[Unidades]]*TablaVentas[[#This Row],[Precio_unitario]]*(1-TablaVentas[[#This Row],[Descuento_pct]]))</f>
        <v>14204.8</v>
      </c>
      <c r="P2231" s="6" t="n">
        <f aca="false">IF(TablaVentas[[#This Row],[Costo_unitario]]="","PENDIENTE",TablaVentas[[#This Row],[Unidades]]*TablaVentas[[#This Row],[Costo_unitario]])</f>
        <v>12430.9</v>
      </c>
      <c r="Q2231" s="6" t="n">
        <f aca="false">IF(OR(TablaVentas[[#This Row],[Ingreso_neto]]="PENDIENTE",TablaVentas[[#This Row],[Costo_total]]="PENDIENTE"),"PENDIENTE",TablaVentas[[#This Row],[Ingreso_neto]]-TablaVentas[[#This Row],[Costo_total]])</f>
        <v>1773.9</v>
      </c>
    </row>
    <row r="2232" customFormat="false" ht="13.5" hidden="false" customHeight="false" outlineLevel="0" collapsed="false">
      <c r="A2232" s="1" t="s">
        <v>1355</v>
      </c>
      <c r="B2232" s="1" t="n">
        <v>1</v>
      </c>
      <c r="C2232" s="5" t="n">
        <v>46225</v>
      </c>
      <c r="D2232" s="6" t="s">
        <v>571</v>
      </c>
      <c r="E2232" s="6" t="s">
        <v>100</v>
      </c>
      <c r="F2232" s="6" t="s">
        <v>84</v>
      </c>
      <c r="G2232" s="6" t="s">
        <v>64</v>
      </c>
      <c r="H2232" s="6" t="s">
        <v>58</v>
      </c>
      <c r="I2232" s="1" t="n">
        <v>1</v>
      </c>
      <c r="J2232" s="7" t="n">
        <v>14327.31</v>
      </c>
      <c r="K2232" s="8" t="n">
        <v>0</v>
      </c>
      <c r="L2232" s="7" t="n">
        <v>8788.79</v>
      </c>
      <c r="M2232" s="6" t="s">
        <v>49</v>
      </c>
      <c r="N2232" s="6" t="s">
        <v>50</v>
      </c>
      <c r="O2232" s="6" t="n">
        <f aca="false">IF(TablaVentas[[#This Row],[Precio_unitario]]="","PENDIENTE",TablaVentas[[#This Row],[Unidades]]*TablaVentas[[#This Row],[Precio_unitario]]*(1-TablaVentas[[#This Row],[Descuento_pct]]))</f>
        <v>14327.31</v>
      </c>
      <c r="P2232" s="6" t="n">
        <f aca="false">IF(TablaVentas[[#This Row],[Costo_unitario]]="","PENDIENTE",TablaVentas[[#This Row],[Unidades]]*TablaVentas[[#This Row],[Costo_unitario]])</f>
        <v>8788.79</v>
      </c>
      <c r="Q2232" s="6" t="n">
        <f aca="false">IF(OR(TablaVentas[[#This Row],[Ingreso_neto]]="PENDIENTE",TablaVentas[[#This Row],[Costo_total]]="PENDIENTE"),"PENDIENTE",TablaVentas[[#This Row],[Ingreso_neto]]-TablaVentas[[#This Row],[Costo_total]])</f>
        <v>5538.52</v>
      </c>
    </row>
    <row r="2233" customFormat="false" ht="13.5" hidden="false" customHeight="false" outlineLevel="0" collapsed="false">
      <c r="A2233" s="1" t="s">
        <v>1355</v>
      </c>
      <c r="B2233" s="1" t="n">
        <v>2</v>
      </c>
      <c r="C2233" s="5" t="n">
        <v>46225</v>
      </c>
      <c r="D2233" s="6" t="s">
        <v>571</v>
      </c>
      <c r="E2233" s="6" t="s">
        <v>192</v>
      </c>
      <c r="F2233" s="6" t="s">
        <v>84</v>
      </c>
      <c r="G2233" s="6" t="s">
        <v>64</v>
      </c>
      <c r="H2233" s="6" t="s">
        <v>58</v>
      </c>
      <c r="I2233" s="1" t="n">
        <v>1</v>
      </c>
      <c r="J2233" s="7" t="n">
        <v>16124.8</v>
      </c>
      <c r="K2233" s="8" t="n">
        <v>0.15</v>
      </c>
      <c r="L2233" s="7" t="n">
        <v>11904.09</v>
      </c>
      <c r="M2233" s="6" t="s">
        <v>49</v>
      </c>
      <c r="N2233" s="6" t="s">
        <v>50</v>
      </c>
      <c r="O2233" s="6" t="n">
        <f aca="false">IF(TablaVentas[[#This Row],[Precio_unitario]]="","PENDIENTE",TablaVentas[[#This Row],[Unidades]]*TablaVentas[[#This Row],[Precio_unitario]]*(1-TablaVentas[[#This Row],[Descuento_pct]]))</f>
        <v>13706.08</v>
      </c>
      <c r="P2233" s="6" t="n">
        <f aca="false">IF(TablaVentas[[#This Row],[Costo_unitario]]="","PENDIENTE",TablaVentas[[#This Row],[Unidades]]*TablaVentas[[#This Row],[Costo_unitario]])</f>
        <v>11904.09</v>
      </c>
      <c r="Q2233" s="6" t="n">
        <f aca="false">IF(OR(TablaVentas[[#This Row],[Ingreso_neto]]="PENDIENTE",TablaVentas[[#This Row],[Costo_total]]="PENDIENTE"),"PENDIENTE",TablaVentas[[#This Row],[Ingreso_neto]]-TablaVentas[[#This Row],[Costo_total]])</f>
        <v>1801.99</v>
      </c>
    </row>
    <row r="2234" customFormat="false" ht="13.5" hidden="false" customHeight="false" outlineLevel="0" collapsed="false">
      <c r="A2234" s="1" t="s">
        <v>1356</v>
      </c>
      <c r="B2234" s="1" t="n">
        <v>1</v>
      </c>
      <c r="C2234" s="5" t="n">
        <v>46253</v>
      </c>
      <c r="D2234" s="6" t="s">
        <v>421</v>
      </c>
      <c r="E2234" s="6" t="s">
        <v>215</v>
      </c>
      <c r="F2234" s="6" t="s">
        <v>84</v>
      </c>
      <c r="G2234" s="6" t="s">
        <v>57</v>
      </c>
      <c r="H2234" s="6" t="s">
        <v>191</v>
      </c>
      <c r="I2234" s="1" t="n">
        <v>3</v>
      </c>
      <c r="J2234" s="7" t="n">
        <v>10296.6</v>
      </c>
      <c r="K2234" s="8" t="n">
        <v>0.05</v>
      </c>
      <c r="L2234" s="7" t="n">
        <v>5535.31</v>
      </c>
      <c r="M2234" s="6" t="s">
        <v>49</v>
      </c>
      <c r="N2234" s="6" t="s">
        <v>59</v>
      </c>
      <c r="O2234" s="6" t="n">
        <f aca="false">IF(TablaVentas[[#This Row],[Precio_unitario]]="","PENDIENTE",TablaVentas[[#This Row],[Unidades]]*TablaVentas[[#This Row],[Precio_unitario]]*(1-TablaVentas[[#This Row],[Descuento_pct]]))</f>
        <v>29345.31</v>
      </c>
      <c r="P2234" s="6" t="n">
        <f aca="false">IF(TablaVentas[[#This Row],[Costo_unitario]]="","PENDIENTE",TablaVentas[[#This Row],[Unidades]]*TablaVentas[[#This Row],[Costo_unitario]])</f>
        <v>16605.93</v>
      </c>
      <c r="Q2234" s="6" t="n">
        <f aca="false">IF(OR(TablaVentas[[#This Row],[Ingreso_neto]]="PENDIENTE",TablaVentas[[#This Row],[Costo_total]]="PENDIENTE"),"PENDIENTE",TablaVentas[[#This Row],[Ingreso_neto]]-TablaVentas[[#This Row],[Costo_total]])</f>
        <v>12739.38</v>
      </c>
    </row>
    <row r="2235" customFormat="false" ht="13.5" hidden="false" customHeight="false" outlineLevel="0" collapsed="false">
      <c r="A2235" s="1" t="s">
        <v>1357</v>
      </c>
      <c r="B2235" s="1" t="n">
        <v>1</v>
      </c>
      <c r="C2235" s="5" t="n">
        <v>46151</v>
      </c>
      <c r="D2235" s="6" t="s">
        <v>194</v>
      </c>
      <c r="E2235" s="6" t="s">
        <v>158</v>
      </c>
      <c r="F2235" s="6" t="s">
        <v>63</v>
      </c>
      <c r="G2235" s="6" t="s">
        <v>47</v>
      </c>
      <c r="H2235" s="6" t="s">
        <v>191</v>
      </c>
      <c r="I2235" s="1" t="n">
        <v>1</v>
      </c>
      <c r="J2235" s="7" t="n">
        <v>17385.76</v>
      </c>
      <c r="K2235" s="8" t="n">
        <v>0</v>
      </c>
      <c r="L2235" s="7" t="n">
        <v>8963.23</v>
      </c>
      <c r="M2235" s="6" t="s">
        <v>49</v>
      </c>
      <c r="N2235" s="6" t="s">
        <v>59</v>
      </c>
      <c r="O2235" s="6" t="n">
        <f aca="false">IF(TablaVentas[[#This Row],[Precio_unitario]]="","PENDIENTE",TablaVentas[[#This Row],[Unidades]]*TablaVentas[[#This Row],[Precio_unitario]]*(1-TablaVentas[[#This Row],[Descuento_pct]]))</f>
        <v>17385.76</v>
      </c>
      <c r="P2235" s="6" t="n">
        <f aca="false">IF(TablaVentas[[#This Row],[Costo_unitario]]="","PENDIENTE",TablaVentas[[#This Row],[Unidades]]*TablaVentas[[#This Row],[Costo_unitario]])</f>
        <v>8963.23</v>
      </c>
      <c r="Q2235" s="6" t="n">
        <f aca="false">IF(OR(TablaVentas[[#This Row],[Ingreso_neto]]="PENDIENTE",TablaVentas[[#This Row],[Costo_total]]="PENDIENTE"),"PENDIENTE",TablaVentas[[#This Row],[Ingreso_neto]]-TablaVentas[[#This Row],[Costo_total]])</f>
        <v>8422.53</v>
      </c>
    </row>
    <row r="2236" customFormat="false" ht="13.5" hidden="false" customHeight="false" outlineLevel="0" collapsed="false">
      <c r="A2236" s="1" t="s">
        <v>1357</v>
      </c>
      <c r="B2236" s="1" t="n">
        <v>2</v>
      </c>
      <c r="C2236" s="5" t="n">
        <v>46151</v>
      </c>
      <c r="D2236" s="6" t="s">
        <v>194</v>
      </c>
      <c r="E2236" s="6" t="s">
        <v>328</v>
      </c>
      <c r="F2236" s="6" t="s">
        <v>63</v>
      </c>
      <c r="G2236" s="6" t="s">
        <v>47</v>
      </c>
      <c r="H2236" s="6" t="s">
        <v>191</v>
      </c>
      <c r="I2236" s="1" t="n">
        <v>1</v>
      </c>
      <c r="J2236" s="7" t="n">
        <v>1381.99</v>
      </c>
      <c r="K2236" s="8" t="n">
        <v>0.2</v>
      </c>
      <c r="L2236" s="7" t="n">
        <v>679.37</v>
      </c>
      <c r="M2236" s="6" t="s">
        <v>49</v>
      </c>
      <c r="N2236" s="6" t="s">
        <v>52</v>
      </c>
      <c r="O2236" s="6" t="n">
        <f aca="false">IF(TablaVentas[[#This Row],[Precio_unitario]]="","PENDIENTE",TablaVentas[[#This Row],[Unidades]]*TablaVentas[[#This Row],[Precio_unitario]]*(1-TablaVentas[[#This Row],[Descuento_pct]]))</f>
        <v>1105.592</v>
      </c>
      <c r="P2236" s="6" t="n">
        <f aca="false">IF(TablaVentas[[#This Row],[Costo_unitario]]="","PENDIENTE",TablaVentas[[#This Row],[Unidades]]*TablaVentas[[#This Row],[Costo_unitario]])</f>
        <v>679.37</v>
      </c>
      <c r="Q2236" s="6" t="n">
        <f aca="false">IF(OR(TablaVentas[[#This Row],[Ingreso_neto]]="PENDIENTE",TablaVentas[[#This Row],[Costo_total]]="PENDIENTE"),"PENDIENTE",TablaVentas[[#This Row],[Ingreso_neto]]-TablaVentas[[#This Row],[Costo_total]])</f>
        <v>426.222</v>
      </c>
    </row>
    <row r="2237" customFormat="false" ht="13.5" hidden="false" customHeight="false" outlineLevel="0" collapsed="false">
      <c r="A2237" s="1" t="s">
        <v>1357</v>
      </c>
      <c r="B2237" s="1" t="n">
        <v>3</v>
      </c>
      <c r="C2237" s="5" t="n">
        <v>46151</v>
      </c>
      <c r="D2237" s="6" t="s">
        <v>194</v>
      </c>
      <c r="E2237" s="6" t="s">
        <v>263</v>
      </c>
      <c r="F2237" s="6" t="s">
        <v>63</v>
      </c>
      <c r="G2237" s="6" t="s">
        <v>47</v>
      </c>
      <c r="H2237" s="6" t="s">
        <v>191</v>
      </c>
      <c r="I2237" s="1" t="n">
        <v>2</v>
      </c>
      <c r="J2237" s="7" t="n">
        <v>19542.7</v>
      </c>
      <c r="K2237" s="8" t="n">
        <v>0.15</v>
      </c>
      <c r="L2237" s="7" t="n">
        <v>11666.57</v>
      </c>
      <c r="M2237" s="6" t="s">
        <v>49</v>
      </c>
      <c r="N2237" s="6" t="s">
        <v>50</v>
      </c>
      <c r="O2237" s="6" t="n">
        <f aca="false">IF(TablaVentas[[#This Row],[Precio_unitario]]="","PENDIENTE",TablaVentas[[#This Row],[Unidades]]*TablaVentas[[#This Row],[Precio_unitario]]*(1-TablaVentas[[#This Row],[Descuento_pct]]))</f>
        <v>33222.59</v>
      </c>
      <c r="P2237" s="6" t="n">
        <f aca="false">IF(TablaVentas[[#This Row],[Costo_unitario]]="","PENDIENTE",TablaVentas[[#This Row],[Unidades]]*TablaVentas[[#This Row],[Costo_unitario]])</f>
        <v>23333.14</v>
      </c>
      <c r="Q2237" s="6" t="n">
        <f aca="false">IF(OR(TablaVentas[[#This Row],[Ingreso_neto]]="PENDIENTE",TablaVentas[[#This Row],[Costo_total]]="PENDIENTE"),"PENDIENTE",TablaVentas[[#This Row],[Ingreso_neto]]-TablaVentas[[#This Row],[Costo_total]])</f>
        <v>9889.45</v>
      </c>
    </row>
    <row r="2238" customFormat="false" ht="13.5" hidden="false" customHeight="false" outlineLevel="0" collapsed="false">
      <c r="A2238" s="1" t="s">
        <v>1357</v>
      </c>
      <c r="B2238" s="1" t="n">
        <v>4</v>
      </c>
      <c r="C2238" s="5" t="n">
        <v>46151</v>
      </c>
      <c r="D2238" s="6" t="s">
        <v>194</v>
      </c>
      <c r="E2238" s="6" t="s">
        <v>200</v>
      </c>
      <c r="F2238" s="6" t="s">
        <v>63</v>
      </c>
      <c r="G2238" s="6" t="s">
        <v>47</v>
      </c>
      <c r="H2238" s="6" t="s">
        <v>191</v>
      </c>
      <c r="I2238" s="1" t="n">
        <v>2</v>
      </c>
      <c r="J2238" s="7" t="n">
        <v>11779.04</v>
      </c>
      <c r="K2238" s="8" t="n">
        <v>0</v>
      </c>
      <c r="L2238" s="7" t="n">
        <v>5811.72</v>
      </c>
      <c r="M2238" s="6" t="s">
        <v>49</v>
      </c>
      <c r="N2238" s="6" t="s">
        <v>59</v>
      </c>
      <c r="O2238" s="6" t="n">
        <f aca="false">IF(TablaVentas[[#This Row],[Precio_unitario]]="","PENDIENTE",TablaVentas[[#This Row],[Unidades]]*TablaVentas[[#This Row],[Precio_unitario]]*(1-TablaVentas[[#This Row],[Descuento_pct]]))</f>
        <v>23558.08</v>
      </c>
      <c r="P2238" s="6" t="n">
        <f aca="false">IF(TablaVentas[[#This Row],[Costo_unitario]]="","PENDIENTE",TablaVentas[[#This Row],[Unidades]]*TablaVentas[[#This Row],[Costo_unitario]])</f>
        <v>11623.44</v>
      </c>
      <c r="Q2238" s="6" t="n">
        <f aca="false">IF(OR(TablaVentas[[#This Row],[Ingreso_neto]]="PENDIENTE",TablaVentas[[#This Row],[Costo_total]]="PENDIENTE"),"PENDIENTE",TablaVentas[[#This Row],[Ingreso_neto]]-TablaVentas[[#This Row],[Costo_total]])</f>
        <v>11934.64</v>
      </c>
    </row>
    <row r="2239" customFormat="false" ht="13.5" hidden="false" customHeight="false" outlineLevel="0" collapsed="false">
      <c r="A2239" s="1" t="s">
        <v>1358</v>
      </c>
      <c r="B2239" s="1" t="n">
        <v>1</v>
      </c>
      <c r="C2239" s="5" t="n">
        <v>46280</v>
      </c>
      <c r="D2239" s="6" t="s">
        <v>539</v>
      </c>
      <c r="E2239" s="6" t="s">
        <v>167</v>
      </c>
      <c r="F2239" s="6" t="s">
        <v>46</v>
      </c>
      <c r="G2239" s="6" t="s">
        <v>64</v>
      </c>
      <c r="H2239" s="6" t="s">
        <v>80</v>
      </c>
      <c r="I2239" s="1" t="n">
        <v>2</v>
      </c>
      <c r="J2239" s="7" t="n">
        <v>6885.34</v>
      </c>
      <c r="K2239" s="8" t="n">
        <v>0</v>
      </c>
      <c r="L2239" s="7" t="n">
        <v>4082.15</v>
      </c>
      <c r="M2239" s="6" t="s">
        <v>49</v>
      </c>
      <c r="N2239" s="6" t="s">
        <v>67</v>
      </c>
      <c r="O2239" s="6" t="n">
        <f aca="false">IF(TablaVentas[[#This Row],[Precio_unitario]]="","PENDIENTE",TablaVentas[[#This Row],[Unidades]]*TablaVentas[[#This Row],[Precio_unitario]]*(1-TablaVentas[[#This Row],[Descuento_pct]]))</f>
        <v>13770.68</v>
      </c>
      <c r="P2239" s="6" t="n">
        <f aca="false">IF(TablaVentas[[#This Row],[Costo_unitario]]="","PENDIENTE",TablaVentas[[#This Row],[Unidades]]*TablaVentas[[#This Row],[Costo_unitario]])</f>
        <v>8164.3</v>
      </c>
      <c r="Q2239" s="6" t="n">
        <f aca="false">IF(OR(TablaVentas[[#This Row],[Ingreso_neto]]="PENDIENTE",TablaVentas[[#This Row],[Costo_total]]="PENDIENTE"),"PENDIENTE",TablaVentas[[#This Row],[Ingreso_neto]]-TablaVentas[[#This Row],[Costo_total]])</f>
        <v>5606.38</v>
      </c>
    </row>
    <row r="2240" customFormat="false" ht="13.5" hidden="false" customHeight="false" outlineLevel="0" collapsed="false">
      <c r="A2240" s="1" t="s">
        <v>1358</v>
      </c>
      <c r="B2240" s="1" t="n">
        <v>2</v>
      </c>
      <c r="C2240" s="5" t="n">
        <v>46280</v>
      </c>
      <c r="D2240" s="6" t="s">
        <v>539</v>
      </c>
      <c r="E2240" s="6" t="s">
        <v>158</v>
      </c>
      <c r="F2240" s="6" t="s">
        <v>46</v>
      </c>
      <c r="G2240" s="6" t="s">
        <v>64</v>
      </c>
      <c r="H2240" s="6" t="s">
        <v>80</v>
      </c>
      <c r="I2240" s="1" t="n">
        <v>1</v>
      </c>
      <c r="J2240" s="7" t="n">
        <v>17928.68</v>
      </c>
      <c r="K2240" s="8" t="n">
        <v>0</v>
      </c>
      <c r="L2240" s="7" t="n">
        <v>8963.23</v>
      </c>
      <c r="M2240" s="6" t="s">
        <v>49</v>
      </c>
      <c r="N2240" s="6" t="s">
        <v>52</v>
      </c>
      <c r="O2240" s="6" t="n">
        <f aca="false">IF(TablaVentas[[#This Row],[Precio_unitario]]="","PENDIENTE",TablaVentas[[#This Row],[Unidades]]*TablaVentas[[#This Row],[Precio_unitario]]*(1-TablaVentas[[#This Row],[Descuento_pct]]))</f>
        <v>17928.68</v>
      </c>
      <c r="P2240" s="6" t="n">
        <f aca="false">IF(TablaVentas[[#This Row],[Costo_unitario]]="","PENDIENTE",TablaVentas[[#This Row],[Unidades]]*TablaVentas[[#This Row],[Costo_unitario]])</f>
        <v>8963.23</v>
      </c>
      <c r="Q2240" s="6" t="n">
        <f aca="false">IF(OR(TablaVentas[[#This Row],[Ingreso_neto]]="PENDIENTE",TablaVentas[[#This Row],[Costo_total]]="PENDIENTE"),"PENDIENTE",TablaVentas[[#This Row],[Ingreso_neto]]-TablaVentas[[#This Row],[Costo_total]])</f>
        <v>8965.45</v>
      </c>
    </row>
    <row r="2241" customFormat="false" ht="13.5" hidden="false" customHeight="false" outlineLevel="0" collapsed="false">
      <c r="A2241" s="1" t="s">
        <v>1358</v>
      </c>
      <c r="B2241" s="1" t="n">
        <v>3</v>
      </c>
      <c r="C2241" s="5" t="n">
        <v>46280</v>
      </c>
      <c r="D2241" s="6" t="s">
        <v>539</v>
      </c>
      <c r="E2241" s="6" t="s">
        <v>243</v>
      </c>
      <c r="F2241" s="6" t="s">
        <v>46</v>
      </c>
      <c r="G2241" s="6" t="s">
        <v>64</v>
      </c>
      <c r="H2241" s="6" t="s">
        <v>80</v>
      </c>
      <c r="I2241" s="1" t="n">
        <v>4</v>
      </c>
      <c r="J2241" s="7" t="n">
        <v>9919.54</v>
      </c>
      <c r="K2241" s="8" t="n">
        <v>0</v>
      </c>
      <c r="L2241" s="7" t="n">
        <v>8061.7</v>
      </c>
      <c r="M2241" s="6" t="s">
        <v>49</v>
      </c>
      <c r="N2241" s="6" t="s">
        <v>50</v>
      </c>
      <c r="O2241" s="6" t="n">
        <f aca="false">IF(TablaVentas[[#This Row],[Precio_unitario]]="","PENDIENTE",TablaVentas[[#This Row],[Unidades]]*TablaVentas[[#This Row],[Precio_unitario]]*(1-TablaVentas[[#This Row],[Descuento_pct]]))</f>
        <v>39678.16</v>
      </c>
      <c r="P2241" s="6" t="n">
        <f aca="false">IF(TablaVentas[[#This Row],[Costo_unitario]]="","PENDIENTE",TablaVentas[[#This Row],[Unidades]]*TablaVentas[[#This Row],[Costo_unitario]])</f>
        <v>32246.8</v>
      </c>
      <c r="Q2241" s="6" t="n">
        <f aca="false">IF(OR(TablaVentas[[#This Row],[Ingreso_neto]]="PENDIENTE",TablaVentas[[#This Row],[Costo_total]]="PENDIENTE"),"PENDIENTE",TablaVentas[[#This Row],[Ingreso_neto]]-TablaVentas[[#This Row],[Costo_total]])</f>
        <v>7431.36</v>
      </c>
    </row>
    <row r="2242" customFormat="false" ht="13.5" hidden="false" customHeight="false" outlineLevel="0" collapsed="false">
      <c r="A2242" s="1" t="s">
        <v>1359</v>
      </c>
      <c r="B2242" s="1" t="n">
        <v>1</v>
      </c>
      <c r="C2242" s="5" t="n">
        <v>46174</v>
      </c>
      <c r="D2242" s="6" t="s">
        <v>676</v>
      </c>
      <c r="E2242" s="6" t="s">
        <v>223</v>
      </c>
      <c r="F2242" s="6" t="s">
        <v>73</v>
      </c>
      <c r="G2242" s="6" t="s">
        <v>64</v>
      </c>
      <c r="H2242" s="6" t="s">
        <v>136</v>
      </c>
      <c r="I2242" s="1" t="n">
        <v>8</v>
      </c>
      <c r="J2242" s="7" t="n">
        <v>16740.78</v>
      </c>
      <c r="K2242" s="8" t="n">
        <v>0</v>
      </c>
      <c r="L2242" s="7" t="n">
        <v>12064.41</v>
      </c>
      <c r="M2242" s="6" t="s">
        <v>49</v>
      </c>
      <c r="N2242" s="6" t="s">
        <v>50</v>
      </c>
      <c r="O2242" s="6" t="n">
        <f aca="false">IF(TablaVentas[[#This Row],[Precio_unitario]]="","PENDIENTE",TablaVentas[[#This Row],[Unidades]]*TablaVentas[[#This Row],[Precio_unitario]]*(1-TablaVentas[[#This Row],[Descuento_pct]]))</f>
        <v>133926.24</v>
      </c>
      <c r="P2242" s="6" t="n">
        <f aca="false">IF(TablaVentas[[#This Row],[Costo_unitario]]="","PENDIENTE",TablaVentas[[#This Row],[Unidades]]*TablaVentas[[#This Row],[Costo_unitario]])</f>
        <v>96515.28</v>
      </c>
      <c r="Q2242" s="6" t="n">
        <f aca="false">IF(OR(TablaVentas[[#This Row],[Ingreso_neto]]="PENDIENTE",TablaVentas[[#This Row],[Costo_total]]="PENDIENTE"),"PENDIENTE",TablaVentas[[#This Row],[Ingreso_neto]]-TablaVentas[[#This Row],[Costo_total]])</f>
        <v>37410.96</v>
      </c>
    </row>
    <row r="2243" customFormat="false" ht="13.5" hidden="false" customHeight="false" outlineLevel="0" collapsed="false">
      <c r="A2243" s="1" t="s">
        <v>1359</v>
      </c>
      <c r="B2243" s="1" t="n">
        <v>2</v>
      </c>
      <c r="C2243" s="5" t="n">
        <v>46174</v>
      </c>
      <c r="D2243" s="6" t="s">
        <v>676</v>
      </c>
      <c r="E2243" s="6" t="s">
        <v>155</v>
      </c>
      <c r="F2243" s="6" t="s">
        <v>73</v>
      </c>
      <c r="G2243" s="6" t="s">
        <v>64</v>
      </c>
      <c r="H2243" s="6" t="s">
        <v>136</v>
      </c>
      <c r="I2243" s="1" t="n">
        <v>3</v>
      </c>
      <c r="J2243" s="7" t="n">
        <v>3249.49</v>
      </c>
      <c r="K2243" s="8" t="n">
        <v>0</v>
      </c>
      <c r="L2243" s="7" t="n">
        <v>2459.34</v>
      </c>
      <c r="M2243" s="6" t="s">
        <v>49</v>
      </c>
      <c r="N2243" s="6" t="s">
        <v>67</v>
      </c>
      <c r="O2243" s="6" t="n">
        <f aca="false">IF(TablaVentas[[#This Row],[Precio_unitario]]="","PENDIENTE",TablaVentas[[#This Row],[Unidades]]*TablaVentas[[#This Row],[Precio_unitario]]*(1-TablaVentas[[#This Row],[Descuento_pct]]))</f>
        <v>9748.47</v>
      </c>
      <c r="P2243" s="6" t="n">
        <f aca="false">IF(TablaVentas[[#This Row],[Costo_unitario]]="","PENDIENTE",TablaVentas[[#This Row],[Unidades]]*TablaVentas[[#This Row],[Costo_unitario]])</f>
        <v>7378.02</v>
      </c>
      <c r="Q2243" s="6" t="n">
        <f aca="false">IF(OR(TablaVentas[[#This Row],[Ingreso_neto]]="PENDIENTE",TablaVentas[[#This Row],[Costo_total]]="PENDIENTE"),"PENDIENTE",TablaVentas[[#This Row],[Ingreso_neto]]-TablaVentas[[#This Row],[Costo_total]])</f>
        <v>2370.45</v>
      </c>
    </row>
    <row r="2244" customFormat="false" ht="13.5" hidden="false" customHeight="false" outlineLevel="0" collapsed="false">
      <c r="A2244" s="1" t="s">
        <v>1360</v>
      </c>
      <c r="B2244" s="1" t="n">
        <v>1</v>
      </c>
      <c r="C2244" s="5" t="n">
        <v>46196</v>
      </c>
      <c r="D2244" s="6" t="s">
        <v>891</v>
      </c>
      <c r="E2244" s="6" t="s">
        <v>75</v>
      </c>
      <c r="F2244" s="6" t="s">
        <v>73</v>
      </c>
      <c r="G2244" s="6" t="s">
        <v>57</v>
      </c>
      <c r="H2244" s="6" t="s">
        <v>65</v>
      </c>
      <c r="I2244" s="1" t="n">
        <v>1</v>
      </c>
      <c r="J2244" s="7" t="n">
        <v>15561.61</v>
      </c>
      <c r="K2244" s="8" t="n">
        <v>0</v>
      </c>
      <c r="L2244" s="7" t="n">
        <v>9243.35</v>
      </c>
      <c r="M2244" s="6" t="s">
        <v>49</v>
      </c>
      <c r="N2244" s="6" t="s">
        <v>59</v>
      </c>
      <c r="O2244" s="6" t="n">
        <f aca="false">IF(TablaVentas[[#This Row],[Precio_unitario]]="","PENDIENTE",TablaVentas[[#This Row],[Unidades]]*TablaVentas[[#This Row],[Precio_unitario]]*(1-TablaVentas[[#This Row],[Descuento_pct]]))</f>
        <v>15561.61</v>
      </c>
      <c r="P2244" s="6" t="n">
        <f aca="false">IF(TablaVentas[[#This Row],[Costo_unitario]]="","PENDIENTE",TablaVentas[[#This Row],[Unidades]]*TablaVentas[[#This Row],[Costo_unitario]])</f>
        <v>9243.35</v>
      </c>
      <c r="Q2244" s="6" t="n">
        <f aca="false">IF(OR(TablaVentas[[#This Row],[Ingreso_neto]]="PENDIENTE",TablaVentas[[#This Row],[Costo_total]]="PENDIENTE"),"PENDIENTE",TablaVentas[[#This Row],[Ingreso_neto]]-TablaVentas[[#This Row],[Costo_total]])</f>
        <v>6318.26</v>
      </c>
    </row>
    <row r="2245" customFormat="false" ht="13.5" hidden="false" customHeight="false" outlineLevel="0" collapsed="false">
      <c r="A2245" s="1" t="s">
        <v>1360</v>
      </c>
      <c r="B2245" s="1" t="n">
        <v>2</v>
      </c>
      <c r="C2245" s="5" t="n">
        <v>46196</v>
      </c>
      <c r="D2245" s="6" t="s">
        <v>891</v>
      </c>
      <c r="E2245" s="6" t="s">
        <v>289</v>
      </c>
      <c r="F2245" s="6" t="s">
        <v>73</v>
      </c>
      <c r="G2245" s="6" t="s">
        <v>57</v>
      </c>
      <c r="H2245" s="6" t="s">
        <v>65</v>
      </c>
      <c r="I2245" s="1" t="n">
        <v>3</v>
      </c>
      <c r="J2245" s="7" t="n">
        <v>4382.71</v>
      </c>
      <c r="K2245" s="8" t="n">
        <v>0</v>
      </c>
      <c r="L2245" s="7" t="n">
        <v>3399.5</v>
      </c>
      <c r="M2245" s="6" t="s">
        <v>49</v>
      </c>
      <c r="N2245" s="6" t="s">
        <v>50</v>
      </c>
      <c r="O2245" s="6" t="n">
        <f aca="false">IF(TablaVentas[[#This Row],[Precio_unitario]]="","PENDIENTE",TablaVentas[[#This Row],[Unidades]]*TablaVentas[[#This Row],[Precio_unitario]]*(1-TablaVentas[[#This Row],[Descuento_pct]]))</f>
        <v>13148.13</v>
      </c>
      <c r="P2245" s="6" t="n">
        <f aca="false">IF(TablaVentas[[#This Row],[Costo_unitario]]="","PENDIENTE",TablaVentas[[#This Row],[Unidades]]*TablaVentas[[#This Row],[Costo_unitario]])</f>
        <v>10198.5</v>
      </c>
      <c r="Q2245" s="6" t="n">
        <f aca="false">IF(OR(TablaVentas[[#This Row],[Ingreso_neto]]="PENDIENTE",TablaVentas[[#This Row],[Costo_total]]="PENDIENTE"),"PENDIENTE",TablaVentas[[#This Row],[Ingreso_neto]]-TablaVentas[[#This Row],[Costo_total]])</f>
        <v>2949.63</v>
      </c>
    </row>
    <row r="2246" customFormat="false" ht="13.5" hidden="false" customHeight="false" outlineLevel="0" collapsed="false">
      <c r="A2246" s="1" t="s">
        <v>1361</v>
      </c>
      <c r="B2246" s="1" t="n">
        <v>1</v>
      </c>
      <c r="C2246" s="5" t="n">
        <v>46116</v>
      </c>
      <c r="D2246" s="6" t="s">
        <v>409</v>
      </c>
      <c r="E2246" s="6" t="s">
        <v>116</v>
      </c>
      <c r="F2246" s="6" t="s">
        <v>73</v>
      </c>
      <c r="G2246" s="6" t="s">
        <v>47</v>
      </c>
      <c r="H2246" s="6" t="s">
        <v>191</v>
      </c>
      <c r="I2246" s="1" t="n">
        <v>1</v>
      </c>
      <c r="J2246" s="7" t="n">
        <v>14387.88</v>
      </c>
      <c r="K2246" s="8" t="n">
        <v>0</v>
      </c>
      <c r="L2246" s="7" t="n">
        <v>9880.77</v>
      </c>
      <c r="M2246" s="6" t="s">
        <v>49</v>
      </c>
      <c r="N2246" s="6" t="s">
        <v>50</v>
      </c>
      <c r="O2246" s="6" t="n">
        <f aca="false">IF(TablaVentas[[#This Row],[Precio_unitario]]="","PENDIENTE",TablaVentas[[#This Row],[Unidades]]*TablaVentas[[#This Row],[Precio_unitario]]*(1-TablaVentas[[#This Row],[Descuento_pct]]))</f>
        <v>14387.88</v>
      </c>
      <c r="P2246" s="6" t="n">
        <f aca="false">IF(TablaVentas[[#This Row],[Costo_unitario]]="","PENDIENTE",TablaVentas[[#This Row],[Unidades]]*TablaVentas[[#This Row],[Costo_unitario]])</f>
        <v>9880.77</v>
      </c>
      <c r="Q2246" s="6" t="n">
        <f aca="false">IF(OR(TablaVentas[[#This Row],[Ingreso_neto]]="PENDIENTE",TablaVentas[[#This Row],[Costo_total]]="PENDIENTE"),"PENDIENTE",TablaVentas[[#This Row],[Ingreso_neto]]-TablaVentas[[#This Row],[Costo_total]])</f>
        <v>4507.11</v>
      </c>
    </row>
    <row r="2247" customFormat="false" ht="13.5" hidden="false" customHeight="false" outlineLevel="0" collapsed="false">
      <c r="A2247" s="1" t="s">
        <v>1361</v>
      </c>
      <c r="B2247" s="1" t="n">
        <v>2</v>
      </c>
      <c r="C2247" s="5" t="n">
        <v>46116</v>
      </c>
      <c r="D2247" s="6" t="s">
        <v>409</v>
      </c>
      <c r="E2247" s="6" t="s">
        <v>410</v>
      </c>
      <c r="F2247" s="6" t="s">
        <v>73</v>
      </c>
      <c r="G2247" s="6" t="s">
        <v>47</v>
      </c>
      <c r="H2247" s="6" t="s">
        <v>191</v>
      </c>
      <c r="I2247" s="1" t="n">
        <v>2</v>
      </c>
      <c r="J2247" s="7" t="n">
        <v>3104.91</v>
      </c>
      <c r="K2247" s="8" t="n">
        <v>0.15</v>
      </c>
      <c r="L2247" s="7" t="n">
        <v>1801.83</v>
      </c>
      <c r="M2247" s="6" t="s">
        <v>49</v>
      </c>
      <c r="N2247" s="6" t="s">
        <v>67</v>
      </c>
      <c r="O2247" s="6" t="n">
        <f aca="false">IF(TablaVentas[[#This Row],[Precio_unitario]]="","PENDIENTE",TablaVentas[[#This Row],[Unidades]]*TablaVentas[[#This Row],[Precio_unitario]]*(1-TablaVentas[[#This Row],[Descuento_pct]]))</f>
        <v>5278.347</v>
      </c>
      <c r="P2247" s="6" t="n">
        <f aca="false">IF(TablaVentas[[#This Row],[Costo_unitario]]="","PENDIENTE",TablaVentas[[#This Row],[Unidades]]*TablaVentas[[#This Row],[Costo_unitario]])</f>
        <v>3603.66</v>
      </c>
      <c r="Q2247" s="6" t="n">
        <f aca="false">IF(OR(TablaVentas[[#This Row],[Ingreso_neto]]="PENDIENTE",TablaVentas[[#This Row],[Costo_total]]="PENDIENTE"),"PENDIENTE",TablaVentas[[#This Row],[Ingreso_neto]]-TablaVentas[[#This Row],[Costo_total]])</f>
        <v>1674.687</v>
      </c>
    </row>
    <row r="2248" customFormat="false" ht="13.5" hidden="false" customHeight="false" outlineLevel="0" collapsed="false">
      <c r="A2248" s="1" t="s">
        <v>1362</v>
      </c>
      <c r="B2248" s="1" t="n">
        <v>1</v>
      </c>
      <c r="C2248" s="5" t="n">
        <v>46168</v>
      </c>
      <c r="D2248" s="6" t="s">
        <v>491</v>
      </c>
      <c r="E2248" s="6" t="s">
        <v>121</v>
      </c>
      <c r="F2248" s="6" t="s">
        <v>46</v>
      </c>
      <c r="G2248" s="6" t="s">
        <v>64</v>
      </c>
      <c r="H2248" s="6" t="s">
        <v>109</v>
      </c>
      <c r="I2248" s="1" t="n">
        <v>1</v>
      </c>
      <c r="J2248" s="7" t="n">
        <v>13917.67</v>
      </c>
      <c r="K2248" s="8" t="n">
        <v>0</v>
      </c>
      <c r="L2248" s="7" t="n">
        <v>8239.48</v>
      </c>
      <c r="M2248" s="6" t="s">
        <v>123</v>
      </c>
      <c r="N2248" s="6" t="s">
        <v>59</v>
      </c>
      <c r="O2248" s="6" t="n">
        <f aca="false">IF(TablaVentas[[#This Row],[Precio_unitario]]="","PENDIENTE",TablaVentas[[#This Row],[Unidades]]*TablaVentas[[#This Row],[Precio_unitario]]*(1-TablaVentas[[#This Row],[Descuento_pct]]))</f>
        <v>13917.67</v>
      </c>
      <c r="P2248" s="6" t="n">
        <f aca="false">IF(TablaVentas[[#This Row],[Costo_unitario]]="","PENDIENTE",TablaVentas[[#This Row],[Unidades]]*TablaVentas[[#This Row],[Costo_unitario]])</f>
        <v>8239.48</v>
      </c>
      <c r="Q2248" s="6" t="n">
        <f aca="false">IF(OR(TablaVentas[[#This Row],[Ingreso_neto]]="PENDIENTE",TablaVentas[[#This Row],[Costo_total]]="PENDIENTE"),"PENDIENTE",TablaVentas[[#This Row],[Ingreso_neto]]-TablaVentas[[#This Row],[Costo_total]])</f>
        <v>5678.19</v>
      </c>
    </row>
    <row r="2249" customFormat="false" ht="13.5" hidden="false" customHeight="false" outlineLevel="0" collapsed="false">
      <c r="A2249" s="1" t="s">
        <v>1362</v>
      </c>
      <c r="B2249" s="1" t="n">
        <v>2</v>
      </c>
      <c r="C2249" s="5" t="n">
        <v>46168</v>
      </c>
      <c r="D2249" s="6" t="s">
        <v>491</v>
      </c>
      <c r="E2249" s="6" t="s">
        <v>280</v>
      </c>
      <c r="F2249" s="6" t="s">
        <v>46</v>
      </c>
      <c r="G2249" s="6" t="s">
        <v>64</v>
      </c>
      <c r="H2249" s="6" t="s">
        <v>109</v>
      </c>
      <c r="I2249" s="1" t="n">
        <v>1</v>
      </c>
      <c r="J2249" s="7" t="n">
        <v>1503.59</v>
      </c>
      <c r="K2249" s="8" t="n">
        <v>0.1</v>
      </c>
      <c r="L2249" s="7" t="n">
        <v>716.26</v>
      </c>
      <c r="M2249" s="6" t="s">
        <v>49</v>
      </c>
      <c r="N2249" s="6" t="s">
        <v>67</v>
      </c>
      <c r="O2249" s="6" t="n">
        <f aca="false">IF(TablaVentas[[#This Row],[Precio_unitario]]="","PENDIENTE",TablaVentas[[#This Row],[Unidades]]*TablaVentas[[#This Row],[Precio_unitario]]*(1-TablaVentas[[#This Row],[Descuento_pct]]))</f>
        <v>1353.231</v>
      </c>
      <c r="P2249" s="6" t="n">
        <f aca="false">IF(TablaVentas[[#This Row],[Costo_unitario]]="","PENDIENTE",TablaVentas[[#This Row],[Unidades]]*TablaVentas[[#This Row],[Costo_unitario]])</f>
        <v>716.26</v>
      </c>
      <c r="Q2249" s="6" t="n">
        <f aca="false">IF(OR(TablaVentas[[#This Row],[Ingreso_neto]]="PENDIENTE",TablaVentas[[#This Row],[Costo_total]]="PENDIENTE"),"PENDIENTE",TablaVentas[[#This Row],[Ingreso_neto]]-TablaVentas[[#This Row],[Costo_total]])</f>
        <v>636.971</v>
      </c>
    </row>
    <row r="2250" customFormat="false" ht="13.5" hidden="false" customHeight="false" outlineLevel="0" collapsed="false">
      <c r="A2250" s="1" t="s">
        <v>1362</v>
      </c>
      <c r="B2250" s="1" t="n">
        <v>3</v>
      </c>
      <c r="C2250" s="5" t="n">
        <v>46168</v>
      </c>
      <c r="D2250" s="6" t="s">
        <v>491</v>
      </c>
      <c r="E2250" s="6" t="s">
        <v>269</v>
      </c>
      <c r="F2250" s="6" t="s">
        <v>46</v>
      </c>
      <c r="G2250" s="6" t="s">
        <v>64</v>
      </c>
      <c r="H2250" s="6" t="s">
        <v>109</v>
      </c>
      <c r="I2250" s="1" t="n">
        <v>1</v>
      </c>
      <c r="J2250" s="7" t="n">
        <v>13033.81</v>
      </c>
      <c r="K2250" s="8" t="n">
        <v>0.15</v>
      </c>
      <c r="L2250" s="7" t="n">
        <v>8227.46</v>
      </c>
      <c r="M2250" s="6" t="s">
        <v>49</v>
      </c>
      <c r="N2250" s="6" t="s">
        <v>50</v>
      </c>
      <c r="O2250" s="6" t="n">
        <f aca="false">IF(TablaVentas[[#This Row],[Precio_unitario]]="","PENDIENTE",TablaVentas[[#This Row],[Unidades]]*TablaVentas[[#This Row],[Precio_unitario]]*(1-TablaVentas[[#This Row],[Descuento_pct]]))</f>
        <v>11078.7385</v>
      </c>
      <c r="P2250" s="6" t="n">
        <f aca="false">IF(TablaVentas[[#This Row],[Costo_unitario]]="","PENDIENTE",TablaVentas[[#This Row],[Unidades]]*TablaVentas[[#This Row],[Costo_unitario]])</f>
        <v>8227.46</v>
      </c>
      <c r="Q2250" s="6" t="n">
        <f aca="false">IF(OR(TablaVentas[[#This Row],[Ingreso_neto]]="PENDIENTE",TablaVentas[[#This Row],[Costo_total]]="PENDIENTE"),"PENDIENTE",TablaVentas[[#This Row],[Ingreso_neto]]-TablaVentas[[#This Row],[Costo_total]])</f>
        <v>2851.2785</v>
      </c>
    </row>
    <row r="2251" customFormat="false" ht="13.5" hidden="false" customHeight="false" outlineLevel="0" collapsed="false">
      <c r="A2251" s="1" t="s">
        <v>1362</v>
      </c>
      <c r="B2251" s="1" t="n">
        <v>4</v>
      </c>
      <c r="C2251" s="5" t="n">
        <v>46168</v>
      </c>
      <c r="D2251" s="6" t="s">
        <v>491</v>
      </c>
      <c r="E2251" s="6" t="s">
        <v>215</v>
      </c>
      <c r="F2251" s="6" t="s">
        <v>46</v>
      </c>
      <c r="G2251" s="6" t="s">
        <v>64</v>
      </c>
      <c r="H2251" s="6" t="s">
        <v>109</v>
      </c>
      <c r="I2251" s="1" t="n">
        <v>2</v>
      </c>
      <c r="J2251" s="7" t="n">
        <v>11370.08</v>
      </c>
      <c r="K2251" s="8" t="n">
        <v>0.2</v>
      </c>
      <c r="L2251" s="7" t="n">
        <v>5535.31</v>
      </c>
      <c r="M2251" s="6" t="s">
        <v>49</v>
      </c>
      <c r="N2251" s="6" t="s">
        <v>59</v>
      </c>
      <c r="O2251" s="6" t="n">
        <f aca="false">IF(TablaVentas[[#This Row],[Precio_unitario]]="","PENDIENTE",TablaVentas[[#This Row],[Unidades]]*TablaVentas[[#This Row],[Precio_unitario]]*(1-TablaVentas[[#This Row],[Descuento_pct]]))</f>
        <v>18192.128</v>
      </c>
      <c r="P2251" s="6" t="n">
        <f aca="false">IF(TablaVentas[[#This Row],[Costo_unitario]]="","PENDIENTE",TablaVentas[[#This Row],[Unidades]]*TablaVentas[[#This Row],[Costo_unitario]])</f>
        <v>11070.62</v>
      </c>
      <c r="Q2251" s="6" t="n">
        <f aca="false">IF(OR(TablaVentas[[#This Row],[Ingreso_neto]]="PENDIENTE",TablaVentas[[#This Row],[Costo_total]]="PENDIENTE"),"PENDIENTE",TablaVentas[[#This Row],[Ingreso_neto]]-TablaVentas[[#This Row],[Costo_total]])</f>
        <v>7121.508</v>
      </c>
    </row>
    <row r="2252" customFormat="false" ht="13.5" hidden="false" customHeight="false" outlineLevel="0" collapsed="false">
      <c r="A2252" s="1" t="s">
        <v>1363</v>
      </c>
      <c r="B2252" s="1" t="n">
        <v>1</v>
      </c>
      <c r="C2252" s="5" t="n">
        <v>46224</v>
      </c>
      <c r="D2252" s="6" t="s">
        <v>534</v>
      </c>
      <c r="E2252" s="6" t="s">
        <v>150</v>
      </c>
      <c r="F2252" s="6" t="s">
        <v>73</v>
      </c>
      <c r="G2252" s="6" t="s">
        <v>64</v>
      </c>
      <c r="H2252" s="6" t="s">
        <v>74</v>
      </c>
      <c r="I2252" s="1" t="n">
        <v>1</v>
      </c>
      <c r="J2252" s="7" t="n">
        <v>8649.28</v>
      </c>
      <c r="K2252" s="8" t="n">
        <v>0</v>
      </c>
      <c r="L2252" s="7" t="n">
        <v>6815.42</v>
      </c>
      <c r="M2252" s="6" t="s">
        <v>49</v>
      </c>
      <c r="N2252" s="6" t="s">
        <v>50</v>
      </c>
      <c r="O2252" s="6" t="n">
        <f aca="false">IF(TablaVentas[[#This Row],[Precio_unitario]]="","PENDIENTE",TablaVentas[[#This Row],[Unidades]]*TablaVentas[[#This Row],[Precio_unitario]]*(1-TablaVentas[[#This Row],[Descuento_pct]]))</f>
        <v>8649.28</v>
      </c>
      <c r="P2252" s="6" t="n">
        <f aca="false">IF(TablaVentas[[#This Row],[Costo_unitario]]="","PENDIENTE",TablaVentas[[#This Row],[Unidades]]*TablaVentas[[#This Row],[Costo_unitario]])</f>
        <v>6815.42</v>
      </c>
      <c r="Q2252" s="6" t="n">
        <f aca="false">IF(OR(TablaVentas[[#This Row],[Ingreso_neto]]="PENDIENTE",TablaVentas[[#This Row],[Costo_total]]="PENDIENTE"),"PENDIENTE",TablaVentas[[#This Row],[Ingreso_neto]]-TablaVentas[[#This Row],[Costo_total]])</f>
        <v>1833.86</v>
      </c>
    </row>
    <row r="2253" customFormat="false" ht="13.5" hidden="false" customHeight="false" outlineLevel="0" collapsed="false">
      <c r="A2253" s="1" t="s">
        <v>1363</v>
      </c>
      <c r="B2253" s="1" t="n">
        <v>2</v>
      </c>
      <c r="C2253" s="5" t="n">
        <v>46224</v>
      </c>
      <c r="D2253" s="6" t="s">
        <v>534</v>
      </c>
      <c r="E2253" s="6" t="s">
        <v>289</v>
      </c>
      <c r="F2253" s="6" t="s">
        <v>73</v>
      </c>
      <c r="G2253" s="6" t="s">
        <v>64</v>
      </c>
      <c r="H2253" s="6" t="s">
        <v>74</v>
      </c>
      <c r="I2253" s="1" t="n">
        <v>1</v>
      </c>
      <c r="J2253" s="7" t="n">
        <v>4369.18</v>
      </c>
      <c r="K2253" s="8" t="n">
        <v>0.15</v>
      </c>
      <c r="L2253" s="7" t="n">
        <v>3399.5</v>
      </c>
      <c r="M2253" s="6" t="s">
        <v>49</v>
      </c>
      <c r="N2253" s="6" t="s">
        <v>59</v>
      </c>
      <c r="O2253" s="6" t="n">
        <f aca="false">IF(TablaVentas[[#This Row],[Precio_unitario]]="","PENDIENTE",TablaVentas[[#This Row],[Unidades]]*TablaVentas[[#This Row],[Precio_unitario]]*(1-TablaVentas[[#This Row],[Descuento_pct]]))</f>
        <v>3713.803</v>
      </c>
      <c r="P2253" s="6" t="n">
        <f aca="false">IF(TablaVentas[[#This Row],[Costo_unitario]]="","PENDIENTE",TablaVentas[[#This Row],[Unidades]]*TablaVentas[[#This Row],[Costo_unitario]])</f>
        <v>3399.5</v>
      </c>
      <c r="Q2253" s="6" t="n">
        <f aca="false">IF(OR(TablaVentas[[#This Row],[Ingreso_neto]]="PENDIENTE",TablaVentas[[#This Row],[Costo_total]]="PENDIENTE"),"PENDIENTE",TablaVentas[[#This Row],[Ingreso_neto]]-TablaVentas[[#This Row],[Costo_total]])</f>
        <v>314.303</v>
      </c>
    </row>
    <row r="2254" customFormat="false" ht="13.5" hidden="false" customHeight="false" outlineLevel="0" collapsed="false">
      <c r="A2254" s="1" t="s">
        <v>1364</v>
      </c>
      <c r="B2254" s="1" t="n">
        <v>1</v>
      </c>
      <c r="C2254" s="5" t="n">
        <v>46256</v>
      </c>
      <c r="D2254" s="6" t="s">
        <v>323</v>
      </c>
      <c r="E2254" s="6" t="s">
        <v>218</v>
      </c>
      <c r="F2254" s="6" t="s">
        <v>46</v>
      </c>
      <c r="G2254" s="6" t="s">
        <v>47</v>
      </c>
      <c r="H2254" s="6" t="s">
        <v>48</v>
      </c>
      <c r="I2254" s="1" t="n">
        <v>2</v>
      </c>
      <c r="J2254" s="7" t="n">
        <v>16856.76</v>
      </c>
      <c r="K2254" s="8" t="n">
        <v>0</v>
      </c>
      <c r="L2254" s="7" t="n">
        <v>13760.53</v>
      </c>
      <c r="M2254" s="6" t="s">
        <v>49</v>
      </c>
      <c r="N2254" s="6" t="s">
        <v>59</v>
      </c>
      <c r="O2254" s="6" t="n">
        <f aca="false">IF(TablaVentas[[#This Row],[Precio_unitario]]="","PENDIENTE",TablaVentas[[#This Row],[Unidades]]*TablaVentas[[#This Row],[Precio_unitario]]*(1-TablaVentas[[#This Row],[Descuento_pct]]))</f>
        <v>33713.52</v>
      </c>
      <c r="P2254" s="6" t="n">
        <f aca="false">IF(TablaVentas[[#This Row],[Costo_unitario]]="","PENDIENTE",TablaVentas[[#This Row],[Unidades]]*TablaVentas[[#This Row],[Costo_unitario]])</f>
        <v>27521.06</v>
      </c>
      <c r="Q2254" s="6" t="n">
        <f aca="false">IF(OR(TablaVentas[[#This Row],[Ingreso_neto]]="PENDIENTE",TablaVentas[[#This Row],[Costo_total]]="PENDIENTE"),"PENDIENTE",TablaVentas[[#This Row],[Ingreso_neto]]-TablaVentas[[#This Row],[Costo_total]])</f>
        <v>6192.46</v>
      </c>
    </row>
    <row r="2255" customFormat="false" ht="13.5" hidden="false" customHeight="false" outlineLevel="0" collapsed="false">
      <c r="A2255" s="1" t="s">
        <v>1364</v>
      </c>
      <c r="B2255" s="1" t="n">
        <v>2</v>
      </c>
      <c r="C2255" s="5" t="n">
        <v>46256</v>
      </c>
      <c r="D2255" s="6" t="s">
        <v>323</v>
      </c>
      <c r="E2255" s="6" t="s">
        <v>145</v>
      </c>
      <c r="F2255" s="6" t="s">
        <v>46</v>
      </c>
      <c r="G2255" s="6" t="s">
        <v>47</v>
      </c>
      <c r="H2255" s="6" t="s">
        <v>48</v>
      </c>
      <c r="I2255" s="1" t="n">
        <v>3</v>
      </c>
      <c r="J2255" s="7" t="n">
        <v>6969.67</v>
      </c>
      <c r="K2255" s="8" t="n">
        <v>0</v>
      </c>
      <c r="L2255" s="7" t="n">
        <v>4665.62</v>
      </c>
      <c r="M2255" s="6" t="s">
        <v>69</v>
      </c>
      <c r="N2255" s="6" t="s">
        <v>50</v>
      </c>
      <c r="O2255" s="6" t="n">
        <f aca="false">IF(TablaVentas[[#This Row],[Precio_unitario]]="","PENDIENTE",TablaVentas[[#This Row],[Unidades]]*TablaVentas[[#This Row],[Precio_unitario]]*(1-TablaVentas[[#This Row],[Descuento_pct]]))</f>
        <v>20909.01</v>
      </c>
      <c r="P2255" s="6" t="n">
        <f aca="false">IF(TablaVentas[[#This Row],[Costo_unitario]]="","PENDIENTE",TablaVentas[[#This Row],[Unidades]]*TablaVentas[[#This Row],[Costo_unitario]])</f>
        <v>13996.86</v>
      </c>
      <c r="Q2255" s="6" t="n">
        <f aca="false">IF(OR(TablaVentas[[#This Row],[Ingreso_neto]]="PENDIENTE",TablaVentas[[#This Row],[Costo_total]]="PENDIENTE"),"PENDIENTE",TablaVentas[[#This Row],[Ingreso_neto]]-TablaVentas[[#This Row],[Costo_total]])</f>
        <v>6912.15</v>
      </c>
    </row>
    <row r="2256" customFormat="false" ht="13.5" hidden="false" customHeight="false" outlineLevel="0" collapsed="false">
      <c r="A2256" s="1" t="s">
        <v>1364</v>
      </c>
      <c r="B2256" s="1" t="n">
        <v>3</v>
      </c>
      <c r="C2256" s="5" t="n">
        <v>46256</v>
      </c>
      <c r="D2256" s="6" t="s">
        <v>323</v>
      </c>
      <c r="E2256" s="6" t="s">
        <v>203</v>
      </c>
      <c r="F2256" s="6" t="s">
        <v>46</v>
      </c>
      <c r="G2256" s="6" t="s">
        <v>47</v>
      </c>
      <c r="H2256" s="6" t="s">
        <v>48</v>
      </c>
      <c r="I2256" s="1" t="n">
        <v>2</v>
      </c>
      <c r="J2256" s="7" t="n">
        <v>733.96</v>
      </c>
      <c r="K2256" s="8" t="n">
        <v>0</v>
      </c>
      <c r="L2256" s="7" t="n">
        <v>485.16</v>
      </c>
      <c r="M2256" s="6" t="s">
        <v>49</v>
      </c>
      <c r="N2256" s="6" t="s">
        <v>52</v>
      </c>
      <c r="O2256" s="6" t="n">
        <f aca="false">IF(TablaVentas[[#This Row],[Precio_unitario]]="","PENDIENTE",TablaVentas[[#This Row],[Unidades]]*TablaVentas[[#This Row],[Precio_unitario]]*(1-TablaVentas[[#This Row],[Descuento_pct]]))</f>
        <v>1467.92</v>
      </c>
      <c r="P2256" s="6" t="n">
        <f aca="false">IF(TablaVentas[[#This Row],[Costo_unitario]]="","PENDIENTE",TablaVentas[[#This Row],[Unidades]]*TablaVentas[[#This Row],[Costo_unitario]])</f>
        <v>970.32</v>
      </c>
      <c r="Q2256" s="6" t="n">
        <f aca="false">IF(OR(TablaVentas[[#This Row],[Ingreso_neto]]="PENDIENTE",TablaVentas[[#This Row],[Costo_total]]="PENDIENTE"),"PENDIENTE",TablaVentas[[#This Row],[Ingreso_neto]]-TablaVentas[[#This Row],[Costo_total]])</f>
        <v>497.6</v>
      </c>
    </row>
    <row r="2257" customFormat="false" ht="13.5" hidden="false" customHeight="false" outlineLevel="0" collapsed="false">
      <c r="A2257" s="1" t="s">
        <v>1364</v>
      </c>
      <c r="B2257" s="1" t="n">
        <v>4</v>
      </c>
      <c r="C2257" s="5" t="n">
        <v>46256</v>
      </c>
      <c r="D2257" s="6" t="s">
        <v>323</v>
      </c>
      <c r="E2257" s="6" t="s">
        <v>120</v>
      </c>
      <c r="F2257" s="6" t="s">
        <v>46</v>
      </c>
      <c r="G2257" s="6" t="s">
        <v>47</v>
      </c>
      <c r="H2257" s="6" t="s">
        <v>48</v>
      </c>
      <c r="I2257" s="1" t="n">
        <v>1</v>
      </c>
      <c r="J2257" s="7" t="n">
        <v>3189.37</v>
      </c>
      <c r="K2257" s="8" t="n">
        <v>0</v>
      </c>
      <c r="L2257" s="7" t="n">
        <v>2196.34</v>
      </c>
      <c r="M2257" s="6" t="s">
        <v>49</v>
      </c>
      <c r="N2257" s="6" t="s">
        <v>50</v>
      </c>
      <c r="O2257" s="6" t="n">
        <f aca="false">IF(TablaVentas[[#This Row],[Precio_unitario]]="","PENDIENTE",TablaVentas[[#This Row],[Unidades]]*TablaVentas[[#This Row],[Precio_unitario]]*(1-TablaVentas[[#This Row],[Descuento_pct]]))</f>
        <v>3189.37</v>
      </c>
      <c r="P2257" s="6" t="n">
        <f aca="false">IF(TablaVentas[[#This Row],[Costo_unitario]]="","PENDIENTE",TablaVentas[[#This Row],[Unidades]]*TablaVentas[[#This Row],[Costo_unitario]])</f>
        <v>2196.34</v>
      </c>
      <c r="Q2257" s="6" t="n">
        <f aca="false">IF(OR(TablaVentas[[#This Row],[Ingreso_neto]]="PENDIENTE",TablaVentas[[#This Row],[Costo_total]]="PENDIENTE"),"PENDIENTE",TablaVentas[[#This Row],[Ingreso_neto]]-TablaVentas[[#This Row],[Costo_total]])</f>
        <v>993.03</v>
      </c>
    </row>
    <row r="2258" customFormat="false" ht="13.5" hidden="false" customHeight="false" outlineLevel="0" collapsed="false">
      <c r="A2258" s="1" t="s">
        <v>1365</v>
      </c>
      <c r="B2258" s="1" t="n">
        <v>1</v>
      </c>
      <c r="C2258" s="5" t="n">
        <v>46026</v>
      </c>
      <c r="D2258" s="6" t="s">
        <v>487</v>
      </c>
      <c r="E2258" s="6" t="s">
        <v>187</v>
      </c>
      <c r="F2258" s="6" t="s">
        <v>63</v>
      </c>
      <c r="G2258" s="6" t="s">
        <v>57</v>
      </c>
      <c r="H2258" s="6" t="s">
        <v>74</v>
      </c>
      <c r="I2258" s="1" t="n">
        <v>2</v>
      </c>
      <c r="J2258" s="7" t="n">
        <v>6067.35</v>
      </c>
      <c r="K2258" s="8" t="n">
        <v>0.05</v>
      </c>
      <c r="L2258" s="7" t="n">
        <v>3824.92</v>
      </c>
      <c r="M2258" s="6" t="s">
        <v>49</v>
      </c>
      <c r="N2258" s="6" t="s">
        <v>59</v>
      </c>
      <c r="O2258" s="6" t="n">
        <f aca="false">IF(TablaVentas[[#This Row],[Precio_unitario]]="","PENDIENTE",TablaVentas[[#This Row],[Unidades]]*TablaVentas[[#This Row],[Precio_unitario]]*(1-TablaVentas[[#This Row],[Descuento_pct]]))</f>
        <v>11527.965</v>
      </c>
      <c r="P2258" s="6" t="n">
        <f aca="false">IF(TablaVentas[[#This Row],[Costo_unitario]]="","PENDIENTE",TablaVentas[[#This Row],[Unidades]]*TablaVentas[[#This Row],[Costo_unitario]])</f>
        <v>7649.84</v>
      </c>
      <c r="Q2258" s="6" t="n">
        <f aca="false">IF(OR(TablaVentas[[#This Row],[Ingreso_neto]]="PENDIENTE",TablaVentas[[#This Row],[Costo_total]]="PENDIENTE"),"PENDIENTE",TablaVentas[[#This Row],[Ingreso_neto]]-TablaVentas[[#This Row],[Costo_total]])</f>
        <v>3878.125</v>
      </c>
    </row>
    <row r="2259" customFormat="false" ht="13.5" hidden="false" customHeight="false" outlineLevel="0" collapsed="false">
      <c r="A2259" s="1" t="s">
        <v>1365</v>
      </c>
      <c r="B2259" s="1" t="n">
        <v>2</v>
      </c>
      <c r="C2259" s="5" t="n">
        <v>46026</v>
      </c>
      <c r="D2259" s="6" t="s">
        <v>487</v>
      </c>
      <c r="E2259" s="6" t="s">
        <v>68</v>
      </c>
      <c r="F2259" s="6" t="s">
        <v>63</v>
      </c>
      <c r="G2259" s="6" t="s">
        <v>57</v>
      </c>
      <c r="H2259" s="6" t="s">
        <v>74</v>
      </c>
      <c r="I2259" s="1" t="n">
        <v>8</v>
      </c>
      <c r="J2259" s="7" t="n">
        <v>4700.24</v>
      </c>
      <c r="K2259" s="8" t="n">
        <v>0.05</v>
      </c>
      <c r="L2259" s="7" t="n">
        <v>2554.06</v>
      </c>
      <c r="M2259" s="6" t="s">
        <v>49</v>
      </c>
      <c r="N2259" s="6" t="s">
        <v>52</v>
      </c>
      <c r="O2259" s="6" t="n">
        <f aca="false">IF(TablaVentas[[#This Row],[Precio_unitario]]="","PENDIENTE",TablaVentas[[#This Row],[Unidades]]*TablaVentas[[#This Row],[Precio_unitario]]*(1-TablaVentas[[#This Row],[Descuento_pct]]))</f>
        <v>35721.824</v>
      </c>
      <c r="P2259" s="6" t="n">
        <f aca="false">IF(TablaVentas[[#This Row],[Costo_unitario]]="","PENDIENTE",TablaVentas[[#This Row],[Unidades]]*TablaVentas[[#This Row],[Costo_unitario]])</f>
        <v>20432.48</v>
      </c>
      <c r="Q2259" s="6" t="n">
        <f aca="false">IF(OR(TablaVentas[[#This Row],[Ingreso_neto]]="PENDIENTE",TablaVentas[[#This Row],[Costo_total]]="PENDIENTE"),"PENDIENTE",TablaVentas[[#This Row],[Ingreso_neto]]-TablaVentas[[#This Row],[Costo_total]])</f>
        <v>15289.344</v>
      </c>
    </row>
    <row r="2260" customFormat="false" ht="13.5" hidden="false" customHeight="false" outlineLevel="0" collapsed="false">
      <c r="A2260" s="1" t="s">
        <v>1366</v>
      </c>
      <c r="B2260" s="1" t="n">
        <v>1</v>
      </c>
      <c r="C2260" s="5" t="n">
        <v>46074</v>
      </c>
      <c r="D2260" s="6" t="s">
        <v>302</v>
      </c>
      <c r="E2260" s="6" t="s">
        <v>140</v>
      </c>
      <c r="F2260" s="6" t="s">
        <v>73</v>
      </c>
      <c r="G2260" s="6" t="s">
        <v>47</v>
      </c>
      <c r="H2260" s="6" t="s">
        <v>136</v>
      </c>
      <c r="I2260" s="1" t="n">
        <v>2</v>
      </c>
      <c r="J2260" s="7" t="n">
        <v>7817.35</v>
      </c>
      <c r="K2260" s="8" t="n">
        <v>0.2</v>
      </c>
      <c r="L2260" s="7" t="n">
        <v>4061.34</v>
      </c>
      <c r="M2260" s="6" t="s">
        <v>49</v>
      </c>
      <c r="N2260" s="6" t="s">
        <v>50</v>
      </c>
      <c r="O2260" s="6" t="n">
        <f aca="false">IF(TablaVentas[[#This Row],[Precio_unitario]]="","PENDIENTE",TablaVentas[[#This Row],[Unidades]]*TablaVentas[[#This Row],[Precio_unitario]]*(1-TablaVentas[[#This Row],[Descuento_pct]]))</f>
        <v>12507.76</v>
      </c>
      <c r="P2260" s="6" t="n">
        <f aca="false">IF(TablaVentas[[#This Row],[Costo_unitario]]="","PENDIENTE",TablaVentas[[#This Row],[Unidades]]*TablaVentas[[#This Row],[Costo_unitario]])</f>
        <v>8122.68</v>
      </c>
      <c r="Q2260" s="6" t="n">
        <f aca="false">IF(OR(TablaVentas[[#This Row],[Ingreso_neto]]="PENDIENTE",TablaVentas[[#This Row],[Costo_total]]="PENDIENTE"),"PENDIENTE",TablaVentas[[#This Row],[Ingreso_neto]]-TablaVentas[[#This Row],[Costo_total]])</f>
        <v>4385.08</v>
      </c>
    </row>
    <row r="2261" customFormat="false" ht="13.5" hidden="false" customHeight="false" outlineLevel="0" collapsed="false">
      <c r="A2261" s="1" t="s">
        <v>1366</v>
      </c>
      <c r="B2261" s="1" t="n">
        <v>2</v>
      </c>
      <c r="C2261" s="5" t="n">
        <v>46074</v>
      </c>
      <c r="D2261" s="6" t="s">
        <v>302</v>
      </c>
      <c r="E2261" s="6" t="s">
        <v>223</v>
      </c>
      <c r="F2261" s="6" t="s">
        <v>73</v>
      </c>
      <c r="G2261" s="6" t="s">
        <v>47</v>
      </c>
      <c r="H2261" s="6" t="s">
        <v>136</v>
      </c>
      <c r="I2261" s="1" t="n">
        <v>5</v>
      </c>
      <c r="J2261" s="7" t="n">
        <v>14905.15</v>
      </c>
      <c r="K2261" s="8" t="n">
        <v>0.05</v>
      </c>
      <c r="L2261" s="7" t="n">
        <v>12064.41</v>
      </c>
      <c r="M2261" s="6" t="s">
        <v>49</v>
      </c>
      <c r="N2261" s="6" t="s">
        <v>59</v>
      </c>
      <c r="O2261" s="6" t="n">
        <f aca="false">IF(TablaVentas[[#This Row],[Precio_unitario]]="","PENDIENTE",TablaVentas[[#This Row],[Unidades]]*TablaVentas[[#This Row],[Precio_unitario]]*(1-TablaVentas[[#This Row],[Descuento_pct]]))</f>
        <v>70799.4625</v>
      </c>
      <c r="P2261" s="6" t="n">
        <f aca="false">IF(TablaVentas[[#This Row],[Costo_unitario]]="","PENDIENTE",TablaVentas[[#This Row],[Unidades]]*TablaVentas[[#This Row],[Costo_unitario]])</f>
        <v>60322.05</v>
      </c>
      <c r="Q2261" s="6" t="n">
        <f aca="false">IF(OR(TablaVentas[[#This Row],[Ingreso_neto]]="PENDIENTE",TablaVentas[[#This Row],[Costo_total]]="PENDIENTE"),"PENDIENTE",TablaVentas[[#This Row],[Ingreso_neto]]-TablaVentas[[#This Row],[Costo_total]])</f>
        <v>10477.4125</v>
      </c>
    </row>
    <row r="2262" customFormat="false" ht="13.5" hidden="false" customHeight="false" outlineLevel="0" collapsed="false">
      <c r="A2262" s="1" t="s">
        <v>1367</v>
      </c>
      <c r="B2262" s="1" t="n">
        <v>1</v>
      </c>
      <c r="C2262" s="5" t="n">
        <v>46134</v>
      </c>
      <c r="D2262" s="6" t="s">
        <v>499</v>
      </c>
      <c r="E2262" s="6" t="s">
        <v>252</v>
      </c>
      <c r="F2262" s="6" t="s">
        <v>46</v>
      </c>
      <c r="G2262" s="6" t="s">
        <v>47</v>
      </c>
      <c r="H2262" s="6" t="s">
        <v>131</v>
      </c>
      <c r="I2262" s="1" t="n">
        <v>1</v>
      </c>
      <c r="J2262" s="7" t="n">
        <v>18658.76</v>
      </c>
      <c r="K2262" s="8" t="n">
        <v>0.15</v>
      </c>
      <c r="L2262" s="7" t="n">
        <v>10507.24</v>
      </c>
      <c r="M2262" s="6" t="s">
        <v>49</v>
      </c>
      <c r="N2262" s="6" t="s">
        <v>50</v>
      </c>
      <c r="O2262" s="6" t="n">
        <f aca="false">IF(TablaVentas[[#This Row],[Precio_unitario]]="","PENDIENTE",TablaVentas[[#This Row],[Unidades]]*TablaVentas[[#This Row],[Precio_unitario]]*(1-TablaVentas[[#This Row],[Descuento_pct]]))</f>
        <v>15859.946</v>
      </c>
      <c r="P2262" s="6" t="n">
        <f aca="false">IF(TablaVentas[[#This Row],[Costo_unitario]]="","PENDIENTE",TablaVentas[[#This Row],[Unidades]]*TablaVentas[[#This Row],[Costo_unitario]])</f>
        <v>10507.24</v>
      </c>
      <c r="Q2262" s="6" t="n">
        <f aca="false">IF(OR(TablaVentas[[#This Row],[Ingreso_neto]]="PENDIENTE",TablaVentas[[#This Row],[Costo_total]]="PENDIENTE"),"PENDIENTE",TablaVentas[[#This Row],[Ingreso_neto]]-TablaVentas[[#This Row],[Costo_total]])</f>
        <v>5352.706</v>
      </c>
    </row>
    <row r="2263" customFormat="false" ht="13.5" hidden="false" customHeight="false" outlineLevel="0" collapsed="false">
      <c r="A2263" s="1" t="s">
        <v>1367</v>
      </c>
      <c r="B2263" s="1" t="n">
        <v>2</v>
      </c>
      <c r="C2263" s="5" t="n">
        <v>46134</v>
      </c>
      <c r="D2263" s="6" t="s">
        <v>499</v>
      </c>
      <c r="E2263" s="6" t="s">
        <v>117</v>
      </c>
      <c r="F2263" s="6" t="s">
        <v>46</v>
      </c>
      <c r="G2263" s="6" t="s">
        <v>47</v>
      </c>
      <c r="H2263" s="6" t="s">
        <v>131</v>
      </c>
      <c r="I2263" s="1" t="n">
        <v>2</v>
      </c>
      <c r="J2263" s="7" t="n">
        <v>5841.18</v>
      </c>
      <c r="K2263" s="8" t="n">
        <v>0</v>
      </c>
      <c r="L2263" s="7" t="n">
        <v>4205.69</v>
      </c>
      <c r="M2263" s="6" t="s">
        <v>49</v>
      </c>
      <c r="N2263" s="6" t="s">
        <v>67</v>
      </c>
      <c r="O2263" s="6" t="n">
        <f aca="false">IF(TablaVentas[[#This Row],[Precio_unitario]]="","PENDIENTE",TablaVentas[[#This Row],[Unidades]]*TablaVentas[[#This Row],[Precio_unitario]]*(1-TablaVentas[[#This Row],[Descuento_pct]]))</f>
        <v>11682.36</v>
      </c>
      <c r="P2263" s="6" t="n">
        <f aca="false">IF(TablaVentas[[#This Row],[Costo_unitario]]="","PENDIENTE",TablaVentas[[#This Row],[Unidades]]*TablaVentas[[#This Row],[Costo_unitario]])</f>
        <v>8411.38</v>
      </c>
      <c r="Q2263" s="6" t="n">
        <f aca="false">IF(OR(TablaVentas[[#This Row],[Ingreso_neto]]="PENDIENTE",TablaVentas[[#This Row],[Costo_total]]="PENDIENTE"),"PENDIENTE",TablaVentas[[#This Row],[Ingreso_neto]]-TablaVentas[[#This Row],[Costo_total]])</f>
        <v>3270.98</v>
      </c>
    </row>
    <row r="2264" customFormat="false" ht="13.5" hidden="false" customHeight="false" outlineLevel="0" collapsed="false">
      <c r="A2264" s="1" t="s">
        <v>1367</v>
      </c>
      <c r="B2264" s="1" t="n">
        <v>3</v>
      </c>
      <c r="C2264" s="5" t="n">
        <v>46134</v>
      </c>
      <c r="D2264" s="6" t="s">
        <v>499</v>
      </c>
      <c r="E2264" s="6" t="s">
        <v>192</v>
      </c>
      <c r="F2264" s="6" t="s">
        <v>46</v>
      </c>
      <c r="G2264" s="6" t="s">
        <v>47</v>
      </c>
      <c r="H2264" s="6" t="s">
        <v>131</v>
      </c>
      <c r="I2264" s="1" t="n">
        <v>5</v>
      </c>
      <c r="J2264" s="7" t="n">
        <v>16456.69</v>
      </c>
      <c r="K2264" s="8" t="n">
        <v>0.1</v>
      </c>
      <c r="L2264" s="7" t="n">
        <v>11904.09</v>
      </c>
      <c r="M2264" s="6" t="s">
        <v>49</v>
      </c>
      <c r="N2264" s="6" t="s">
        <v>52</v>
      </c>
      <c r="O2264" s="6" t="n">
        <f aca="false">IF(TablaVentas[[#This Row],[Precio_unitario]]="","PENDIENTE",TablaVentas[[#This Row],[Unidades]]*TablaVentas[[#This Row],[Precio_unitario]]*(1-TablaVentas[[#This Row],[Descuento_pct]]))</f>
        <v>74055.105</v>
      </c>
      <c r="P2264" s="6" t="n">
        <f aca="false">IF(TablaVentas[[#This Row],[Costo_unitario]]="","PENDIENTE",TablaVentas[[#This Row],[Unidades]]*TablaVentas[[#This Row],[Costo_unitario]])</f>
        <v>59520.45</v>
      </c>
      <c r="Q2264" s="6" t="n">
        <f aca="false">IF(OR(TablaVentas[[#This Row],[Ingreso_neto]]="PENDIENTE",TablaVentas[[#This Row],[Costo_total]]="PENDIENTE"),"PENDIENTE",TablaVentas[[#This Row],[Ingreso_neto]]-TablaVentas[[#This Row],[Costo_total]])</f>
        <v>14534.655</v>
      </c>
    </row>
    <row r="2265" customFormat="false" ht="13.5" hidden="false" customHeight="false" outlineLevel="0" collapsed="false">
      <c r="A2265" s="1" t="s">
        <v>1368</v>
      </c>
      <c r="B2265" s="1" t="n">
        <v>1</v>
      </c>
      <c r="C2265" s="5" t="n">
        <v>46070</v>
      </c>
      <c r="D2265" s="6" t="s">
        <v>326</v>
      </c>
      <c r="E2265" s="6" t="s">
        <v>234</v>
      </c>
      <c r="F2265" s="6" t="s">
        <v>73</v>
      </c>
      <c r="G2265" s="6" t="s">
        <v>57</v>
      </c>
      <c r="H2265" s="6" t="s">
        <v>109</v>
      </c>
      <c r="I2265" s="1" t="n">
        <v>2</v>
      </c>
      <c r="J2265" s="7" t="n">
        <v>8070.59</v>
      </c>
      <c r="K2265" s="8" t="n">
        <v>0.05</v>
      </c>
      <c r="L2265" s="7" t="n">
        <v>6255.13</v>
      </c>
      <c r="M2265" s="6" t="s">
        <v>49</v>
      </c>
      <c r="N2265" s="6" t="s">
        <v>67</v>
      </c>
      <c r="O2265" s="6" t="n">
        <f aca="false">IF(TablaVentas[[#This Row],[Precio_unitario]]="","PENDIENTE",TablaVentas[[#This Row],[Unidades]]*TablaVentas[[#This Row],[Precio_unitario]]*(1-TablaVentas[[#This Row],[Descuento_pct]]))</f>
        <v>15334.121</v>
      </c>
      <c r="P2265" s="6" t="n">
        <f aca="false">IF(TablaVentas[[#This Row],[Costo_unitario]]="","PENDIENTE",TablaVentas[[#This Row],[Unidades]]*TablaVentas[[#This Row],[Costo_unitario]])</f>
        <v>12510.26</v>
      </c>
      <c r="Q2265" s="6" t="n">
        <f aca="false">IF(OR(TablaVentas[[#This Row],[Ingreso_neto]]="PENDIENTE",TablaVentas[[#This Row],[Costo_total]]="PENDIENTE"),"PENDIENTE",TablaVentas[[#This Row],[Ingreso_neto]]-TablaVentas[[#This Row],[Costo_total]])</f>
        <v>2823.861</v>
      </c>
    </row>
    <row r="2266" customFormat="false" ht="13.5" hidden="false" customHeight="false" outlineLevel="0" collapsed="false">
      <c r="A2266" s="1" t="s">
        <v>1369</v>
      </c>
      <c r="B2266" s="1" t="n">
        <v>1</v>
      </c>
      <c r="C2266" s="5" t="n">
        <v>46274</v>
      </c>
      <c r="D2266" s="6" t="s">
        <v>415</v>
      </c>
      <c r="E2266" s="6" t="s">
        <v>93</v>
      </c>
      <c r="F2266" s="6" t="s">
        <v>46</v>
      </c>
      <c r="G2266" s="6" t="s">
        <v>64</v>
      </c>
      <c r="H2266" s="6" t="s">
        <v>48</v>
      </c>
      <c r="I2266" s="1" t="n">
        <v>1</v>
      </c>
      <c r="J2266" s="7" t="n">
        <v>16105.99</v>
      </c>
      <c r="K2266" s="8" t="n">
        <v>0</v>
      </c>
      <c r="L2266" s="7" t="n">
        <v>11166.03</v>
      </c>
      <c r="M2266" s="6" t="s">
        <v>49</v>
      </c>
      <c r="N2266" s="6" t="s">
        <v>59</v>
      </c>
      <c r="O2266" s="6" t="n">
        <f aca="false">IF(TablaVentas[[#This Row],[Precio_unitario]]="","PENDIENTE",TablaVentas[[#This Row],[Unidades]]*TablaVentas[[#This Row],[Precio_unitario]]*(1-TablaVentas[[#This Row],[Descuento_pct]]))</f>
        <v>16105.99</v>
      </c>
      <c r="P2266" s="6" t="n">
        <f aca="false">IF(TablaVentas[[#This Row],[Costo_unitario]]="","PENDIENTE",TablaVentas[[#This Row],[Unidades]]*TablaVentas[[#This Row],[Costo_unitario]])</f>
        <v>11166.03</v>
      </c>
      <c r="Q2266" s="6" t="n">
        <f aca="false">IF(OR(TablaVentas[[#This Row],[Ingreso_neto]]="PENDIENTE",TablaVentas[[#This Row],[Costo_total]]="PENDIENTE"),"PENDIENTE",TablaVentas[[#This Row],[Ingreso_neto]]-TablaVentas[[#This Row],[Costo_total]])</f>
        <v>4939.96</v>
      </c>
    </row>
    <row r="2267" customFormat="false" ht="13.5" hidden="false" customHeight="false" outlineLevel="0" collapsed="false">
      <c r="A2267" s="1" t="s">
        <v>1370</v>
      </c>
      <c r="B2267" s="1" t="n">
        <v>1</v>
      </c>
      <c r="C2267" s="5" t="n">
        <v>46120</v>
      </c>
      <c r="D2267" s="6" t="s">
        <v>339</v>
      </c>
      <c r="E2267" s="6" t="s">
        <v>45</v>
      </c>
      <c r="F2267" s="6" t="s">
        <v>63</v>
      </c>
      <c r="G2267" s="6" t="s">
        <v>64</v>
      </c>
      <c r="H2267" s="6" t="s">
        <v>80</v>
      </c>
      <c r="I2267" s="1" t="n">
        <v>1</v>
      </c>
      <c r="J2267" s="7" t="n">
        <v>5815.09</v>
      </c>
      <c r="K2267" s="8" t="n">
        <v>0</v>
      </c>
      <c r="L2267" s="7" t="n">
        <v>3832.69</v>
      </c>
      <c r="M2267" s="6" t="s">
        <v>49</v>
      </c>
      <c r="N2267" s="6" t="s">
        <v>50</v>
      </c>
      <c r="O2267" s="6" t="n">
        <f aca="false">IF(TablaVentas[[#This Row],[Precio_unitario]]="","PENDIENTE",TablaVentas[[#This Row],[Unidades]]*TablaVentas[[#This Row],[Precio_unitario]]*(1-TablaVentas[[#This Row],[Descuento_pct]]))</f>
        <v>5815.09</v>
      </c>
      <c r="P2267" s="6" t="n">
        <f aca="false">IF(TablaVentas[[#This Row],[Costo_unitario]]="","PENDIENTE",TablaVentas[[#This Row],[Unidades]]*TablaVentas[[#This Row],[Costo_unitario]])</f>
        <v>3832.69</v>
      </c>
      <c r="Q2267" s="6" t="n">
        <f aca="false">IF(OR(TablaVentas[[#This Row],[Ingreso_neto]]="PENDIENTE",TablaVentas[[#This Row],[Costo_total]]="PENDIENTE"),"PENDIENTE",TablaVentas[[#This Row],[Ingreso_neto]]-TablaVentas[[#This Row],[Costo_total]])</f>
        <v>1982.4</v>
      </c>
    </row>
    <row r="2268" customFormat="false" ht="13.5" hidden="false" customHeight="false" outlineLevel="0" collapsed="false">
      <c r="A2268" s="1" t="s">
        <v>1371</v>
      </c>
      <c r="B2268" s="1" t="n">
        <v>1</v>
      </c>
      <c r="C2268" s="5" t="n">
        <v>46055</v>
      </c>
      <c r="D2268" s="6" t="s">
        <v>61</v>
      </c>
      <c r="E2268" s="6" t="s">
        <v>269</v>
      </c>
      <c r="F2268" s="6" t="s">
        <v>84</v>
      </c>
      <c r="G2268" s="6" t="s">
        <v>57</v>
      </c>
      <c r="H2268" s="6" t="s">
        <v>109</v>
      </c>
      <c r="I2268" s="1" t="n">
        <v>8</v>
      </c>
      <c r="J2268" s="7" t="n">
        <v>14752.95</v>
      </c>
      <c r="K2268" s="8" t="n">
        <v>0</v>
      </c>
      <c r="L2268" s="7" t="n">
        <v>8227.46</v>
      </c>
      <c r="M2268" s="6" t="s">
        <v>49</v>
      </c>
      <c r="N2268" s="6" t="s">
        <v>52</v>
      </c>
      <c r="O2268" s="6" t="n">
        <f aca="false">IF(TablaVentas[[#This Row],[Precio_unitario]]="","PENDIENTE",TablaVentas[[#This Row],[Unidades]]*TablaVentas[[#This Row],[Precio_unitario]]*(1-TablaVentas[[#This Row],[Descuento_pct]]))</f>
        <v>118023.6</v>
      </c>
      <c r="P2268" s="6" t="n">
        <f aca="false">IF(TablaVentas[[#This Row],[Costo_unitario]]="","PENDIENTE",TablaVentas[[#This Row],[Unidades]]*TablaVentas[[#This Row],[Costo_unitario]])</f>
        <v>65819.68</v>
      </c>
      <c r="Q2268" s="6" t="n">
        <f aca="false">IF(OR(TablaVentas[[#This Row],[Ingreso_neto]]="PENDIENTE",TablaVentas[[#This Row],[Costo_total]]="PENDIENTE"),"PENDIENTE",TablaVentas[[#This Row],[Ingreso_neto]]-TablaVentas[[#This Row],[Costo_total]])</f>
        <v>52203.92</v>
      </c>
    </row>
    <row r="2269" customFormat="false" ht="13.5" hidden="false" customHeight="false" outlineLevel="0" collapsed="false">
      <c r="A2269" s="1" t="s">
        <v>1371</v>
      </c>
      <c r="B2269" s="1" t="n">
        <v>2</v>
      </c>
      <c r="C2269" s="5" t="n">
        <v>46055</v>
      </c>
      <c r="D2269" s="6" t="s">
        <v>61</v>
      </c>
      <c r="E2269" s="6" t="s">
        <v>151</v>
      </c>
      <c r="F2269" s="6" t="s">
        <v>84</v>
      </c>
      <c r="G2269" s="6" t="s">
        <v>57</v>
      </c>
      <c r="H2269" s="6" t="s">
        <v>109</v>
      </c>
      <c r="I2269" s="1" t="n">
        <v>2</v>
      </c>
      <c r="J2269" s="7" t="n">
        <v>9716.59</v>
      </c>
      <c r="K2269" s="8" t="n">
        <v>0</v>
      </c>
      <c r="L2269" s="7" t="n">
        <v>5125.36</v>
      </c>
      <c r="M2269" s="6" t="s">
        <v>49</v>
      </c>
      <c r="N2269" s="6" t="s">
        <v>52</v>
      </c>
      <c r="O2269" s="6" t="n">
        <f aca="false">IF(TablaVentas[[#This Row],[Precio_unitario]]="","PENDIENTE",TablaVentas[[#This Row],[Unidades]]*TablaVentas[[#This Row],[Precio_unitario]]*(1-TablaVentas[[#This Row],[Descuento_pct]]))</f>
        <v>19433.18</v>
      </c>
      <c r="P2269" s="6" t="n">
        <f aca="false">IF(TablaVentas[[#This Row],[Costo_unitario]]="","PENDIENTE",TablaVentas[[#This Row],[Unidades]]*TablaVentas[[#This Row],[Costo_unitario]])</f>
        <v>10250.72</v>
      </c>
      <c r="Q2269" s="6" t="n">
        <f aca="false">IF(OR(TablaVentas[[#This Row],[Ingreso_neto]]="PENDIENTE",TablaVentas[[#This Row],[Costo_total]]="PENDIENTE"),"PENDIENTE",TablaVentas[[#This Row],[Ingreso_neto]]-TablaVentas[[#This Row],[Costo_total]])</f>
        <v>9182.46</v>
      </c>
    </row>
    <row r="2270" customFormat="false" ht="13.5" hidden="false" customHeight="false" outlineLevel="0" collapsed="false">
      <c r="A2270" s="1" t="s">
        <v>1372</v>
      </c>
      <c r="B2270" s="1" t="n">
        <v>1</v>
      </c>
      <c r="C2270" s="5" t="n">
        <v>46160</v>
      </c>
      <c r="D2270" s="6" t="s">
        <v>632</v>
      </c>
      <c r="E2270" s="6" t="s">
        <v>417</v>
      </c>
      <c r="F2270" s="6" t="s">
        <v>73</v>
      </c>
      <c r="G2270" s="6" t="s">
        <v>57</v>
      </c>
      <c r="H2270" s="6" t="s">
        <v>65</v>
      </c>
      <c r="I2270" s="1" t="n">
        <v>1</v>
      </c>
      <c r="J2270" s="7" t="n">
        <v>7631.81</v>
      </c>
      <c r="K2270" s="8" t="n">
        <v>0.15</v>
      </c>
      <c r="L2270" s="7" t="n">
        <v>5874.17</v>
      </c>
      <c r="M2270" s="6" t="s">
        <v>49</v>
      </c>
      <c r="N2270" s="6" t="s">
        <v>67</v>
      </c>
      <c r="O2270" s="6" t="n">
        <f aca="false">IF(TablaVentas[[#This Row],[Precio_unitario]]="","PENDIENTE",TablaVentas[[#This Row],[Unidades]]*TablaVentas[[#This Row],[Precio_unitario]]*(1-TablaVentas[[#This Row],[Descuento_pct]]))</f>
        <v>6487.0385</v>
      </c>
      <c r="P2270" s="6" t="n">
        <f aca="false">IF(TablaVentas[[#This Row],[Costo_unitario]]="","PENDIENTE",TablaVentas[[#This Row],[Unidades]]*TablaVentas[[#This Row],[Costo_unitario]])</f>
        <v>5874.17</v>
      </c>
      <c r="Q2270" s="6" t="n">
        <f aca="false">IF(OR(TablaVentas[[#This Row],[Ingreso_neto]]="PENDIENTE",TablaVentas[[#This Row],[Costo_total]]="PENDIENTE"),"PENDIENTE",TablaVentas[[#This Row],[Ingreso_neto]]-TablaVentas[[#This Row],[Costo_total]])</f>
        <v>612.868500000001</v>
      </c>
    </row>
    <row r="2271" customFormat="false" ht="13.5" hidden="false" customHeight="false" outlineLevel="0" collapsed="false">
      <c r="A2271" s="1" t="s">
        <v>1372</v>
      </c>
      <c r="B2271" s="1" t="n">
        <v>2</v>
      </c>
      <c r="C2271" s="5" t="n">
        <v>46160</v>
      </c>
      <c r="D2271" s="6" t="s">
        <v>632</v>
      </c>
      <c r="E2271" s="6" t="s">
        <v>328</v>
      </c>
      <c r="F2271" s="6" t="s">
        <v>73</v>
      </c>
      <c r="G2271" s="6" t="s">
        <v>57</v>
      </c>
      <c r="H2271" s="6" t="s">
        <v>65</v>
      </c>
      <c r="I2271" s="1" t="n">
        <v>2</v>
      </c>
      <c r="J2271" s="7" t="n">
        <v>1269.42</v>
      </c>
      <c r="K2271" s="8" t="n">
        <v>0.2</v>
      </c>
      <c r="L2271" s="7" t="n">
        <v>679.37</v>
      </c>
      <c r="M2271" s="6" t="s">
        <v>49</v>
      </c>
      <c r="N2271" s="6" t="s">
        <v>50</v>
      </c>
      <c r="O2271" s="6" t="n">
        <f aca="false">IF(TablaVentas[[#This Row],[Precio_unitario]]="","PENDIENTE",TablaVentas[[#This Row],[Unidades]]*TablaVentas[[#This Row],[Precio_unitario]]*(1-TablaVentas[[#This Row],[Descuento_pct]]))</f>
        <v>2031.072</v>
      </c>
      <c r="P2271" s="6" t="n">
        <f aca="false">IF(TablaVentas[[#This Row],[Costo_unitario]]="","PENDIENTE",TablaVentas[[#This Row],[Unidades]]*TablaVentas[[#This Row],[Costo_unitario]])</f>
        <v>1358.74</v>
      </c>
      <c r="Q2271" s="6" t="n">
        <f aca="false">IF(OR(TablaVentas[[#This Row],[Ingreso_neto]]="PENDIENTE",TablaVentas[[#This Row],[Costo_total]]="PENDIENTE"),"PENDIENTE",TablaVentas[[#This Row],[Ingreso_neto]]-TablaVentas[[#This Row],[Costo_total]])</f>
        <v>672.332</v>
      </c>
    </row>
    <row r="2272" customFormat="false" ht="13.5" hidden="false" customHeight="false" outlineLevel="0" collapsed="false">
      <c r="A2272" s="1" t="s">
        <v>1372</v>
      </c>
      <c r="B2272" s="1" t="n">
        <v>3</v>
      </c>
      <c r="C2272" s="5" t="n">
        <v>46160</v>
      </c>
      <c r="D2272" s="6" t="s">
        <v>632</v>
      </c>
      <c r="E2272" s="6" t="s">
        <v>385</v>
      </c>
      <c r="F2272" s="6" t="s">
        <v>73</v>
      </c>
      <c r="G2272" s="6" t="s">
        <v>57</v>
      </c>
      <c r="H2272" s="6" t="s">
        <v>65</v>
      </c>
      <c r="I2272" s="1" t="n">
        <v>2</v>
      </c>
      <c r="J2272" s="7" t="n">
        <v>3770.95</v>
      </c>
      <c r="K2272" s="8" t="n">
        <v>0.15</v>
      </c>
      <c r="L2272" s="7" t="n">
        <v>2864.64</v>
      </c>
      <c r="M2272" s="6" t="s">
        <v>49</v>
      </c>
      <c r="N2272" s="6" t="s">
        <v>67</v>
      </c>
      <c r="O2272" s="6" t="n">
        <f aca="false">IF(TablaVentas[[#This Row],[Precio_unitario]]="","PENDIENTE",TablaVentas[[#This Row],[Unidades]]*TablaVentas[[#This Row],[Precio_unitario]]*(1-TablaVentas[[#This Row],[Descuento_pct]]))</f>
        <v>6410.615</v>
      </c>
      <c r="P2272" s="6" t="n">
        <f aca="false">IF(TablaVentas[[#This Row],[Costo_unitario]]="","PENDIENTE",TablaVentas[[#This Row],[Unidades]]*TablaVentas[[#This Row],[Costo_unitario]])</f>
        <v>5729.28</v>
      </c>
      <c r="Q2272" s="6" t="n">
        <f aca="false">IF(OR(TablaVentas[[#This Row],[Ingreso_neto]]="PENDIENTE",TablaVentas[[#This Row],[Costo_total]]="PENDIENTE"),"PENDIENTE",TablaVentas[[#This Row],[Ingreso_neto]]-TablaVentas[[#This Row],[Costo_total]])</f>
        <v>681.335</v>
      </c>
    </row>
    <row r="2273" customFormat="false" ht="13.5" hidden="false" customHeight="false" outlineLevel="0" collapsed="false">
      <c r="A2273" s="1" t="s">
        <v>1372</v>
      </c>
      <c r="B2273" s="1" t="n">
        <v>4</v>
      </c>
      <c r="C2273" s="5" t="n">
        <v>46160</v>
      </c>
      <c r="D2273" s="6" t="s">
        <v>632</v>
      </c>
      <c r="E2273" s="6" t="s">
        <v>279</v>
      </c>
      <c r="F2273" s="6" t="s">
        <v>73</v>
      </c>
      <c r="G2273" s="6" t="s">
        <v>57</v>
      </c>
      <c r="H2273" s="6" t="s">
        <v>65</v>
      </c>
      <c r="I2273" s="1" t="n">
        <v>1</v>
      </c>
      <c r="J2273" s="7" t="n">
        <v>648.2</v>
      </c>
      <c r="K2273" s="8" t="n">
        <v>0.05</v>
      </c>
      <c r="L2273" s="7" t="n">
        <v>443</v>
      </c>
      <c r="M2273" s="6" t="s">
        <v>49</v>
      </c>
      <c r="N2273" s="6" t="s">
        <v>59</v>
      </c>
      <c r="O2273" s="6" t="n">
        <f aca="false">IF(TablaVentas[[#This Row],[Precio_unitario]]="","PENDIENTE",TablaVentas[[#This Row],[Unidades]]*TablaVentas[[#This Row],[Precio_unitario]]*(1-TablaVentas[[#This Row],[Descuento_pct]]))</f>
        <v>615.79</v>
      </c>
      <c r="P2273" s="6" t="n">
        <f aca="false">IF(TablaVentas[[#This Row],[Costo_unitario]]="","PENDIENTE",TablaVentas[[#This Row],[Unidades]]*TablaVentas[[#This Row],[Costo_unitario]])</f>
        <v>443</v>
      </c>
      <c r="Q2273" s="6" t="n">
        <f aca="false">IF(OR(TablaVentas[[#This Row],[Ingreso_neto]]="PENDIENTE",TablaVentas[[#This Row],[Costo_total]]="PENDIENTE"),"PENDIENTE",TablaVentas[[#This Row],[Ingreso_neto]]-TablaVentas[[#This Row],[Costo_total]])</f>
        <v>172.79</v>
      </c>
    </row>
    <row r="2274" customFormat="false" ht="13.5" hidden="false" customHeight="false" outlineLevel="0" collapsed="false">
      <c r="A2274" s="1" t="s">
        <v>1373</v>
      </c>
      <c r="B2274" s="1" t="n">
        <v>1</v>
      </c>
      <c r="C2274" s="5" t="n">
        <v>46275</v>
      </c>
      <c r="D2274" s="6" t="s">
        <v>481</v>
      </c>
      <c r="E2274" s="6" t="s">
        <v>327</v>
      </c>
      <c r="F2274" s="6" t="s">
        <v>46</v>
      </c>
      <c r="G2274" s="6" t="s">
        <v>57</v>
      </c>
      <c r="H2274" s="6" t="s">
        <v>131</v>
      </c>
      <c r="I2274" s="1" t="n">
        <v>5</v>
      </c>
      <c r="J2274" s="7" t="n">
        <v>4810.72</v>
      </c>
      <c r="K2274" s="8" t="n">
        <v>0.2</v>
      </c>
      <c r="L2274" s="7" t="n">
        <v>3065.66</v>
      </c>
      <c r="M2274" s="6" t="s">
        <v>49</v>
      </c>
      <c r="N2274" s="6" t="s">
        <v>59</v>
      </c>
      <c r="O2274" s="6" t="n">
        <f aca="false">IF(TablaVentas[[#This Row],[Precio_unitario]]="","PENDIENTE",TablaVentas[[#This Row],[Unidades]]*TablaVentas[[#This Row],[Precio_unitario]]*(1-TablaVentas[[#This Row],[Descuento_pct]]))</f>
        <v>19242.88</v>
      </c>
      <c r="P2274" s="6" t="n">
        <f aca="false">IF(TablaVentas[[#This Row],[Costo_unitario]]="","PENDIENTE",TablaVentas[[#This Row],[Unidades]]*TablaVentas[[#This Row],[Costo_unitario]])</f>
        <v>15328.3</v>
      </c>
      <c r="Q2274" s="6" t="n">
        <f aca="false">IF(OR(TablaVentas[[#This Row],[Ingreso_neto]]="PENDIENTE",TablaVentas[[#This Row],[Costo_total]]="PENDIENTE"),"PENDIENTE",TablaVentas[[#This Row],[Ingreso_neto]]-TablaVentas[[#This Row],[Costo_total]])</f>
        <v>3914.58</v>
      </c>
    </row>
    <row r="2275" customFormat="false" ht="13.5" hidden="false" customHeight="false" outlineLevel="0" collapsed="false">
      <c r="A2275" s="1" t="s">
        <v>1373</v>
      </c>
      <c r="B2275" s="1" t="n">
        <v>2</v>
      </c>
      <c r="C2275" s="5" t="n">
        <v>46275</v>
      </c>
      <c r="D2275" s="6" t="s">
        <v>481</v>
      </c>
      <c r="E2275" s="6" t="s">
        <v>68</v>
      </c>
      <c r="F2275" s="6" t="s">
        <v>46</v>
      </c>
      <c r="G2275" s="6" t="s">
        <v>57</v>
      </c>
      <c r="H2275" s="6" t="s">
        <v>131</v>
      </c>
      <c r="I2275" s="1" t="n">
        <v>2</v>
      </c>
      <c r="J2275" s="7" t="n">
        <v>4742.86</v>
      </c>
      <c r="K2275" s="8" t="n">
        <v>0</v>
      </c>
      <c r="L2275" s="7" t="n">
        <v>2554.06</v>
      </c>
      <c r="M2275" s="6" t="s">
        <v>49</v>
      </c>
      <c r="N2275" s="6" t="s">
        <v>52</v>
      </c>
      <c r="O2275" s="6" t="n">
        <f aca="false">IF(TablaVentas[[#This Row],[Precio_unitario]]="","PENDIENTE",TablaVentas[[#This Row],[Unidades]]*TablaVentas[[#This Row],[Precio_unitario]]*(1-TablaVentas[[#This Row],[Descuento_pct]]))</f>
        <v>9485.72</v>
      </c>
      <c r="P2275" s="6" t="n">
        <f aca="false">IF(TablaVentas[[#This Row],[Costo_unitario]]="","PENDIENTE",TablaVentas[[#This Row],[Unidades]]*TablaVentas[[#This Row],[Costo_unitario]])</f>
        <v>5108.12</v>
      </c>
      <c r="Q2275" s="6" t="n">
        <f aca="false">IF(OR(TablaVentas[[#This Row],[Ingreso_neto]]="PENDIENTE",TablaVentas[[#This Row],[Costo_total]]="PENDIENTE"),"PENDIENTE",TablaVentas[[#This Row],[Ingreso_neto]]-TablaVentas[[#This Row],[Costo_total]])</f>
        <v>4377.6</v>
      </c>
    </row>
    <row r="2276" customFormat="false" ht="13.5" hidden="false" customHeight="false" outlineLevel="0" collapsed="false">
      <c r="A2276" s="1" t="s">
        <v>1373</v>
      </c>
      <c r="B2276" s="1" t="n">
        <v>3</v>
      </c>
      <c r="C2276" s="5" t="n">
        <v>46275</v>
      </c>
      <c r="D2276" s="6" t="s">
        <v>481</v>
      </c>
      <c r="E2276" s="6" t="s">
        <v>155</v>
      </c>
      <c r="F2276" s="6" t="s">
        <v>46</v>
      </c>
      <c r="G2276" s="6" t="s">
        <v>57</v>
      </c>
      <c r="H2276" s="6" t="s">
        <v>131</v>
      </c>
      <c r="I2276" s="1" t="n">
        <v>2</v>
      </c>
      <c r="J2276" s="7" t="n">
        <v>3159.55</v>
      </c>
      <c r="K2276" s="8" t="n">
        <v>0.15</v>
      </c>
      <c r="L2276" s="7" t="n">
        <v>2459.34</v>
      </c>
      <c r="M2276" s="6" t="s">
        <v>49</v>
      </c>
      <c r="N2276" s="6" t="s">
        <v>50</v>
      </c>
      <c r="O2276" s="6" t="n">
        <f aca="false">IF(TablaVentas[[#This Row],[Precio_unitario]]="","PENDIENTE",TablaVentas[[#This Row],[Unidades]]*TablaVentas[[#This Row],[Precio_unitario]]*(1-TablaVentas[[#This Row],[Descuento_pct]]))</f>
        <v>5371.235</v>
      </c>
      <c r="P2276" s="6" t="n">
        <f aca="false">IF(TablaVentas[[#This Row],[Costo_unitario]]="","PENDIENTE",TablaVentas[[#This Row],[Unidades]]*TablaVentas[[#This Row],[Costo_unitario]])</f>
        <v>4918.68</v>
      </c>
      <c r="Q2276" s="6" t="n">
        <f aca="false">IF(OR(TablaVentas[[#This Row],[Ingreso_neto]]="PENDIENTE",TablaVentas[[#This Row],[Costo_total]]="PENDIENTE"),"PENDIENTE",TablaVentas[[#This Row],[Ingreso_neto]]-TablaVentas[[#This Row],[Costo_total]])</f>
        <v>452.555</v>
      </c>
    </row>
    <row r="2277" customFormat="false" ht="13.5" hidden="false" customHeight="false" outlineLevel="0" collapsed="false">
      <c r="A2277" s="1" t="s">
        <v>1374</v>
      </c>
      <c r="B2277" s="1" t="n">
        <v>1</v>
      </c>
      <c r="C2277" s="5" t="n">
        <v>46054</v>
      </c>
      <c r="D2277" s="6" t="s">
        <v>864</v>
      </c>
      <c r="E2277" s="6" t="s">
        <v>374</v>
      </c>
      <c r="F2277" s="6" t="s">
        <v>63</v>
      </c>
      <c r="G2277" s="6" t="s">
        <v>57</v>
      </c>
      <c r="H2277" s="6" t="s">
        <v>74</v>
      </c>
      <c r="I2277" s="1" t="n">
        <v>2</v>
      </c>
      <c r="J2277" s="7" t="n">
        <v>9967.72</v>
      </c>
      <c r="K2277" s="8" t="n">
        <v>0</v>
      </c>
      <c r="L2277" s="7" t="n">
        <v>5079.43</v>
      </c>
      <c r="M2277" s="6" t="s">
        <v>123</v>
      </c>
      <c r="N2277" s="6" t="s">
        <v>52</v>
      </c>
      <c r="O2277" s="6" t="n">
        <f aca="false">IF(TablaVentas[[#This Row],[Precio_unitario]]="","PENDIENTE",TablaVentas[[#This Row],[Unidades]]*TablaVentas[[#This Row],[Precio_unitario]]*(1-TablaVentas[[#This Row],[Descuento_pct]]))</f>
        <v>19935.44</v>
      </c>
      <c r="P2277" s="6" t="n">
        <f aca="false">IF(TablaVentas[[#This Row],[Costo_unitario]]="","PENDIENTE",TablaVentas[[#This Row],[Unidades]]*TablaVentas[[#This Row],[Costo_unitario]])</f>
        <v>10158.86</v>
      </c>
      <c r="Q2277" s="6" t="n">
        <f aca="false">IF(OR(TablaVentas[[#This Row],[Ingreso_neto]]="PENDIENTE",TablaVentas[[#This Row],[Costo_total]]="PENDIENTE"),"PENDIENTE",TablaVentas[[#This Row],[Ingreso_neto]]-TablaVentas[[#This Row],[Costo_total]])</f>
        <v>9776.58</v>
      </c>
    </row>
    <row r="2278" customFormat="false" ht="13.5" hidden="false" customHeight="false" outlineLevel="0" collapsed="false">
      <c r="A2278" s="1" t="s">
        <v>1374</v>
      </c>
      <c r="B2278" s="1" t="n">
        <v>2</v>
      </c>
      <c r="C2278" s="5" t="n">
        <v>46054</v>
      </c>
      <c r="D2278" s="6" t="s">
        <v>864</v>
      </c>
      <c r="E2278" s="6" t="s">
        <v>223</v>
      </c>
      <c r="F2278" s="6" t="s">
        <v>63</v>
      </c>
      <c r="G2278" s="6" t="s">
        <v>57</v>
      </c>
      <c r="H2278" s="6" t="s">
        <v>74</v>
      </c>
      <c r="I2278" s="1" t="n">
        <v>4</v>
      </c>
      <c r="J2278" s="7" t="n">
        <v>16913.91</v>
      </c>
      <c r="K2278" s="8" t="n">
        <v>0</v>
      </c>
      <c r="L2278" s="7" t="n">
        <v>12064.41</v>
      </c>
      <c r="M2278" s="6" t="s">
        <v>49</v>
      </c>
      <c r="N2278" s="6" t="s">
        <v>50</v>
      </c>
      <c r="O2278" s="6" t="n">
        <f aca="false">IF(TablaVentas[[#This Row],[Precio_unitario]]="","PENDIENTE",TablaVentas[[#This Row],[Unidades]]*TablaVentas[[#This Row],[Precio_unitario]]*(1-TablaVentas[[#This Row],[Descuento_pct]]))</f>
        <v>67655.64</v>
      </c>
      <c r="P2278" s="6" t="n">
        <f aca="false">IF(TablaVentas[[#This Row],[Costo_unitario]]="","PENDIENTE",TablaVentas[[#This Row],[Unidades]]*TablaVentas[[#This Row],[Costo_unitario]])</f>
        <v>48257.64</v>
      </c>
      <c r="Q2278" s="6" t="n">
        <f aca="false">IF(OR(TablaVentas[[#This Row],[Ingreso_neto]]="PENDIENTE",TablaVentas[[#This Row],[Costo_total]]="PENDIENTE"),"PENDIENTE",TablaVentas[[#This Row],[Ingreso_neto]]-TablaVentas[[#This Row],[Costo_total]])</f>
        <v>19398</v>
      </c>
    </row>
    <row r="2279" customFormat="false" ht="13.5" hidden="false" customHeight="false" outlineLevel="0" collapsed="false">
      <c r="A2279" s="1" t="s">
        <v>1374</v>
      </c>
      <c r="B2279" s="1" t="n">
        <v>3</v>
      </c>
      <c r="C2279" s="5" t="n">
        <v>46054</v>
      </c>
      <c r="D2279" s="6" t="s">
        <v>864</v>
      </c>
      <c r="E2279" s="6" t="s">
        <v>141</v>
      </c>
      <c r="F2279" s="6" t="s">
        <v>63</v>
      </c>
      <c r="G2279" s="6" t="s">
        <v>57</v>
      </c>
      <c r="H2279" s="6" t="s">
        <v>74</v>
      </c>
      <c r="I2279" s="1" t="n">
        <v>1</v>
      </c>
      <c r="J2279" s="7" t="n">
        <v>248.58</v>
      </c>
      <c r="K2279" s="8" t="n">
        <v>0</v>
      </c>
      <c r="L2279" s="7" t="n">
        <v>176.47</v>
      </c>
      <c r="M2279" s="6" t="s">
        <v>49</v>
      </c>
      <c r="N2279" s="6" t="s">
        <v>67</v>
      </c>
      <c r="O2279" s="6" t="n">
        <f aca="false">IF(TablaVentas[[#This Row],[Precio_unitario]]="","PENDIENTE",TablaVentas[[#This Row],[Unidades]]*TablaVentas[[#This Row],[Precio_unitario]]*(1-TablaVentas[[#This Row],[Descuento_pct]]))</f>
        <v>248.58</v>
      </c>
      <c r="P2279" s="6" t="n">
        <f aca="false">IF(TablaVentas[[#This Row],[Costo_unitario]]="","PENDIENTE",TablaVentas[[#This Row],[Unidades]]*TablaVentas[[#This Row],[Costo_unitario]])</f>
        <v>176.47</v>
      </c>
      <c r="Q2279" s="6" t="n">
        <f aca="false">IF(OR(TablaVentas[[#This Row],[Ingreso_neto]]="PENDIENTE",TablaVentas[[#This Row],[Costo_total]]="PENDIENTE"),"PENDIENTE",TablaVentas[[#This Row],[Ingreso_neto]]-TablaVentas[[#This Row],[Costo_total]])</f>
        <v>72.11</v>
      </c>
    </row>
    <row r="2280" customFormat="false" ht="13.5" hidden="false" customHeight="false" outlineLevel="0" collapsed="false">
      <c r="A2280" s="1" t="s">
        <v>1375</v>
      </c>
      <c r="B2280" s="1" t="n">
        <v>1</v>
      </c>
      <c r="C2280" s="5" t="n">
        <v>46043</v>
      </c>
      <c r="D2280" s="6" t="s">
        <v>389</v>
      </c>
      <c r="E2280" s="6" t="s">
        <v>327</v>
      </c>
      <c r="F2280" s="6" t="s">
        <v>46</v>
      </c>
      <c r="G2280" s="6" t="s">
        <v>57</v>
      </c>
      <c r="H2280" s="6" t="s">
        <v>58</v>
      </c>
      <c r="I2280" s="1" t="n">
        <v>1</v>
      </c>
      <c r="J2280" s="7" t="n">
        <v>4722.05</v>
      </c>
      <c r="K2280" s="8" t="n">
        <v>0.15</v>
      </c>
      <c r="L2280" s="7" t="n">
        <v>3065.66</v>
      </c>
      <c r="M2280" s="6" t="s">
        <v>49</v>
      </c>
      <c r="N2280" s="6" t="s">
        <v>59</v>
      </c>
      <c r="O2280" s="6" t="n">
        <f aca="false">IF(TablaVentas[[#This Row],[Precio_unitario]]="","PENDIENTE",TablaVentas[[#This Row],[Unidades]]*TablaVentas[[#This Row],[Precio_unitario]]*(1-TablaVentas[[#This Row],[Descuento_pct]]))</f>
        <v>4013.7425</v>
      </c>
      <c r="P2280" s="6" t="n">
        <f aca="false">IF(TablaVentas[[#This Row],[Costo_unitario]]="","PENDIENTE",TablaVentas[[#This Row],[Unidades]]*TablaVentas[[#This Row],[Costo_unitario]])</f>
        <v>3065.66</v>
      </c>
      <c r="Q2280" s="6" t="n">
        <f aca="false">IF(OR(TablaVentas[[#This Row],[Ingreso_neto]]="PENDIENTE",TablaVentas[[#This Row],[Costo_total]]="PENDIENTE"),"PENDIENTE",TablaVentas[[#This Row],[Ingreso_neto]]-TablaVentas[[#This Row],[Costo_total]])</f>
        <v>948.0825</v>
      </c>
    </row>
    <row r="2281" customFormat="false" ht="13.5" hidden="false" customHeight="false" outlineLevel="0" collapsed="false">
      <c r="A2281" s="1" t="s">
        <v>1376</v>
      </c>
      <c r="B2281" s="1" t="n">
        <v>1</v>
      </c>
      <c r="C2281" s="5" t="n">
        <v>46163</v>
      </c>
      <c r="D2281" s="6" t="s">
        <v>419</v>
      </c>
      <c r="E2281" s="6" t="s">
        <v>113</v>
      </c>
      <c r="F2281" s="6" t="s">
        <v>46</v>
      </c>
      <c r="G2281" s="6" t="s">
        <v>47</v>
      </c>
      <c r="H2281" s="6" t="s">
        <v>80</v>
      </c>
      <c r="I2281" s="1" t="n">
        <v>8</v>
      </c>
      <c r="J2281" s="7" t="n">
        <v>10553.5</v>
      </c>
      <c r="K2281" s="8" t="n">
        <v>0</v>
      </c>
      <c r="L2281" s="7" t="n">
        <v>8276.74</v>
      </c>
      <c r="M2281" s="6" t="s">
        <v>49</v>
      </c>
      <c r="N2281" s="6" t="s">
        <v>50</v>
      </c>
      <c r="O2281" s="6" t="n">
        <f aca="false">IF(TablaVentas[[#This Row],[Precio_unitario]]="","PENDIENTE",TablaVentas[[#This Row],[Unidades]]*TablaVentas[[#This Row],[Precio_unitario]]*(1-TablaVentas[[#This Row],[Descuento_pct]]))</f>
        <v>84428</v>
      </c>
      <c r="P2281" s="6" t="n">
        <f aca="false">IF(TablaVentas[[#This Row],[Costo_unitario]]="","PENDIENTE",TablaVentas[[#This Row],[Unidades]]*TablaVentas[[#This Row],[Costo_unitario]])</f>
        <v>66213.92</v>
      </c>
      <c r="Q2281" s="6" t="n">
        <f aca="false">IF(OR(TablaVentas[[#This Row],[Ingreso_neto]]="PENDIENTE",TablaVentas[[#This Row],[Costo_total]]="PENDIENTE"),"PENDIENTE",TablaVentas[[#This Row],[Ingreso_neto]]-TablaVentas[[#This Row],[Costo_total]])</f>
        <v>18214.08</v>
      </c>
    </row>
    <row r="2282" customFormat="false" ht="13.5" hidden="false" customHeight="false" outlineLevel="0" collapsed="false">
      <c r="A2282" s="1" t="s">
        <v>1377</v>
      </c>
      <c r="B2282" s="1" t="n">
        <v>1</v>
      </c>
      <c r="C2282" s="5" t="n">
        <v>46064</v>
      </c>
      <c r="D2282" s="6" t="s">
        <v>557</v>
      </c>
      <c r="E2282" s="6" t="s">
        <v>300</v>
      </c>
      <c r="F2282" s="6" t="s">
        <v>63</v>
      </c>
      <c r="G2282" s="6" t="s">
        <v>57</v>
      </c>
      <c r="H2282" s="6" t="s">
        <v>80</v>
      </c>
      <c r="I2282" s="1" t="n">
        <v>2</v>
      </c>
      <c r="J2282" s="7" t="n">
        <v>1244.71</v>
      </c>
      <c r="K2282" s="8" t="n">
        <v>0</v>
      </c>
      <c r="L2282" s="7" t="n">
        <v>936.52</v>
      </c>
      <c r="M2282" s="6" t="s">
        <v>49</v>
      </c>
      <c r="N2282" s="6" t="s">
        <v>59</v>
      </c>
      <c r="O2282" s="6" t="n">
        <f aca="false">IF(TablaVentas[[#This Row],[Precio_unitario]]="","PENDIENTE",TablaVentas[[#This Row],[Unidades]]*TablaVentas[[#This Row],[Precio_unitario]]*(1-TablaVentas[[#This Row],[Descuento_pct]]))</f>
        <v>2489.42</v>
      </c>
      <c r="P2282" s="6" t="n">
        <f aca="false">IF(TablaVentas[[#This Row],[Costo_unitario]]="","PENDIENTE",TablaVentas[[#This Row],[Unidades]]*TablaVentas[[#This Row],[Costo_unitario]])</f>
        <v>1873.04</v>
      </c>
      <c r="Q2282" s="6" t="n">
        <f aca="false">IF(OR(TablaVentas[[#This Row],[Ingreso_neto]]="PENDIENTE",TablaVentas[[#This Row],[Costo_total]]="PENDIENTE"),"PENDIENTE",TablaVentas[[#This Row],[Ingreso_neto]]-TablaVentas[[#This Row],[Costo_total]])</f>
        <v>616.38</v>
      </c>
    </row>
    <row r="2283" customFormat="false" ht="13.5" hidden="false" customHeight="false" outlineLevel="0" collapsed="false">
      <c r="A2283" s="1" t="s">
        <v>1378</v>
      </c>
      <c r="B2283" s="1" t="n">
        <v>1</v>
      </c>
      <c r="C2283" s="5" t="n">
        <v>46241</v>
      </c>
      <c r="D2283" s="6" t="s">
        <v>811</v>
      </c>
      <c r="E2283" s="6" t="s">
        <v>182</v>
      </c>
      <c r="F2283" s="6" t="s">
        <v>73</v>
      </c>
      <c r="G2283" s="6" t="s">
        <v>47</v>
      </c>
      <c r="H2283" s="6" t="s">
        <v>89</v>
      </c>
      <c r="I2283" s="1" t="n">
        <v>3</v>
      </c>
      <c r="J2283" s="7" t="n">
        <v>2937.24</v>
      </c>
      <c r="K2283" s="8" t="n">
        <v>0</v>
      </c>
      <c r="L2283" s="7" t="n">
        <v>1857.39</v>
      </c>
      <c r="M2283" s="6" t="s">
        <v>49</v>
      </c>
      <c r="N2283" s="6" t="s">
        <v>50</v>
      </c>
      <c r="O2283" s="6" t="n">
        <f aca="false">IF(TablaVentas[[#This Row],[Precio_unitario]]="","PENDIENTE",TablaVentas[[#This Row],[Unidades]]*TablaVentas[[#This Row],[Precio_unitario]]*(1-TablaVentas[[#This Row],[Descuento_pct]]))</f>
        <v>8811.72</v>
      </c>
      <c r="P2283" s="6" t="n">
        <f aca="false">IF(TablaVentas[[#This Row],[Costo_unitario]]="","PENDIENTE",TablaVentas[[#This Row],[Unidades]]*TablaVentas[[#This Row],[Costo_unitario]])</f>
        <v>5572.17</v>
      </c>
      <c r="Q2283" s="6" t="n">
        <f aca="false">IF(OR(TablaVentas[[#This Row],[Ingreso_neto]]="PENDIENTE",TablaVentas[[#This Row],[Costo_total]]="PENDIENTE"),"PENDIENTE",TablaVentas[[#This Row],[Ingreso_neto]]-TablaVentas[[#This Row],[Costo_total]])</f>
        <v>3239.55</v>
      </c>
    </row>
    <row r="2284" customFormat="false" ht="13.5" hidden="false" customHeight="false" outlineLevel="0" collapsed="false">
      <c r="A2284" s="1" t="s">
        <v>1378</v>
      </c>
      <c r="B2284" s="1" t="n">
        <v>2</v>
      </c>
      <c r="C2284" s="5" t="n">
        <v>46241</v>
      </c>
      <c r="D2284" s="6" t="s">
        <v>811</v>
      </c>
      <c r="E2284" s="6" t="s">
        <v>97</v>
      </c>
      <c r="F2284" s="6" t="s">
        <v>73</v>
      </c>
      <c r="G2284" s="6" t="s">
        <v>47</v>
      </c>
      <c r="H2284" s="6" t="s">
        <v>89</v>
      </c>
      <c r="I2284" s="1" t="n">
        <v>5</v>
      </c>
      <c r="J2284" s="7" t="n">
        <v>11128.09</v>
      </c>
      <c r="K2284" s="8" t="n">
        <v>0.05</v>
      </c>
      <c r="L2284" s="7" t="n">
        <v>8174.87</v>
      </c>
      <c r="M2284" s="6" t="s">
        <v>49</v>
      </c>
      <c r="N2284" s="6" t="s">
        <v>59</v>
      </c>
      <c r="O2284" s="6" t="n">
        <f aca="false">IF(TablaVentas[[#This Row],[Precio_unitario]]="","PENDIENTE",TablaVentas[[#This Row],[Unidades]]*TablaVentas[[#This Row],[Precio_unitario]]*(1-TablaVentas[[#This Row],[Descuento_pct]]))</f>
        <v>52858.4275</v>
      </c>
      <c r="P2284" s="6" t="n">
        <f aca="false">IF(TablaVentas[[#This Row],[Costo_unitario]]="","PENDIENTE",TablaVentas[[#This Row],[Unidades]]*TablaVentas[[#This Row],[Costo_unitario]])</f>
        <v>40874.35</v>
      </c>
      <c r="Q2284" s="6" t="n">
        <f aca="false">IF(OR(TablaVentas[[#This Row],[Ingreso_neto]]="PENDIENTE",TablaVentas[[#This Row],[Costo_total]]="PENDIENTE"),"PENDIENTE",TablaVentas[[#This Row],[Ingreso_neto]]-TablaVentas[[#This Row],[Costo_total]])</f>
        <v>11984.0775</v>
      </c>
    </row>
    <row r="2285" customFormat="false" ht="13.5" hidden="false" customHeight="false" outlineLevel="0" collapsed="false">
      <c r="A2285" s="1" t="s">
        <v>1378</v>
      </c>
      <c r="B2285" s="1" t="n">
        <v>3</v>
      </c>
      <c r="C2285" s="5" t="n">
        <v>46241</v>
      </c>
      <c r="D2285" s="6" t="s">
        <v>811</v>
      </c>
      <c r="E2285" s="6" t="s">
        <v>93</v>
      </c>
      <c r="F2285" s="6" t="s">
        <v>73</v>
      </c>
      <c r="G2285" s="6" t="s">
        <v>47</v>
      </c>
      <c r="H2285" s="6" t="s">
        <v>89</v>
      </c>
      <c r="I2285" s="1" t="n">
        <v>2</v>
      </c>
      <c r="J2285" s="7" t="n">
        <v>14228.25</v>
      </c>
      <c r="K2285" s="8" t="n">
        <v>0</v>
      </c>
      <c r="L2285" s="7" t="n">
        <v>11166.03</v>
      </c>
      <c r="M2285" s="6" t="s">
        <v>49</v>
      </c>
      <c r="N2285" s="6" t="s">
        <v>67</v>
      </c>
      <c r="O2285" s="6" t="n">
        <f aca="false">IF(TablaVentas[[#This Row],[Precio_unitario]]="","PENDIENTE",TablaVentas[[#This Row],[Unidades]]*TablaVentas[[#This Row],[Precio_unitario]]*(1-TablaVentas[[#This Row],[Descuento_pct]]))</f>
        <v>28456.5</v>
      </c>
      <c r="P2285" s="6" t="n">
        <f aca="false">IF(TablaVentas[[#This Row],[Costo_unitario]]="","PENDIENTE",TablaVentas[[#This Row],[Unidades]]*TablaVentas[[#This Row],[Costo_unitario]])</f>
        <v>22332.06</v>
      </c>
      <c r="Q2285" s="6" t="n">
        <f aca="false">IF(OR(TablaVentas[[#This Row],[Ingreso_neto]]="PENDIENTE",TablaVentas[[#This Row],[Costo_total]]="PENDIENTE"),"PENDIENTE",TablaVentas[[#This Row],[Ingreso_neto]]-TablaVentas[[#This Row],[Costo_total]])</f>
        <v>6124.44</v>
      </c>
    </row>
    <row r="2286" customFormat="false" ht="13.5" hidden="false" customHeight="false" outlineLevel="0" collapsed="false">
      <c r="A2286" s="1" t="s">
        <v>1379</v>
      </c>
      <c r="B2286" s="1" t="n">
        <v>1</v>
      </c>
      <c r="C2286" s="5" t="n">
        <v>46126</v>
      </c>
      <c r="D2286" s="6" t="s">
        <v>459</v>
      </c>
      <c r="E2286" s="6" t="s">
        <v>263</v>
      </c>
      <c r="F2286" s="6" t="s">
        <v>84</v>
      </c>
      <c r="G2286" s="6" t="s">
        <v>57</v>
      </c>
      <c r="H2286" s="6" t="s">
        <v>65</v>
      </c>
      <c r="I2286" s="1" t="n">
        <v>2</v>
      </c>
      <c r="J2286" s="7" t="n">
        <v>20248.39</v>
      </c>
      <c r="K2286" s="8" t="n">
        <v>0.2</v>
      </c>
      <c r="L2286" s="7" t="n">
        <v>11666.57</v>
      </c>
      <c r="M2286" s="6" t="s">
        <v>49</v>
      </c>
      <c r="N2286" s="6" t="s">
        <v>50</v>
      </c>
      <c r="O2286" s="6" t="n">
        <f aca="false">IF(TablaVentas[[#This Row],[Precio_unitario]]="","PENDIENTE",TablaVentas[[#This Row],[Unidades]]*TablaVentas[[#This Row],[Precio_unitario]]*(1-TablaVentas[[#This Row],[Descuento_pct]]))</f>
        <v>32397.424</v>
      </c>
      <c r="P2286" s="6" t="n">
        <f aca="false">IF(TablaVentas[[#This Row],[Costo_unitario]]="","PENDIENTE",TablaVentas[[#This Row],[Unidades]]*TablaVentas[[#This Row],[Costo_unitario]])</f>
        <v>23333.14</v>
      </c>
      <c r="Q2286" s="6" t="n">
        <f aca="false">IF(OR(TablaVentas[[#This Row],[Ingreso_neto]]="PENDIENTE",TablaVentas[[#This Row],[Costo_total]]="PENDIENTE"),"PENDIENTE",TablaVentas[[#This Row],[Ingreso_neto]]-TablaVentas[[#This Row],[Costo_total]])</f>
        <v>9064.284</v>
      </c>
    </row>
    <row r="2287" customFormat="false" ht="13.5" hidden="false" customHeight="false" outlineLevel="0" collapsed="false">
      <c r="A2287" s="1" t="s">
        <v>1379</v>
      </c>
      <c r="B2287" s="1" t="n">
        <v>2</v>
      </c>
      <c r="C2287" s="5" t="n">
        <v>46126</v>
      </c>
      <c r="D2287" s="6" t="s">
        <v>459</v>
      </c>
      <c r="E2287" s="6" t="s">
        <v>233</v>
      </c>
      <c r="F2287" s="6" t="s">
        <v>84</v>
      </c>
      <c r="G2287" s="6" t="s">
        <v>57</v>
      </c>
      <c r="H2287" s="6" t="s">
        <v>65</v>
      </c>
      <c r="I2287" s="1" t="n">
        <v>5</v>
      </c>
      <c r="J2287" s="7" t="n">
        <v>19462.05</v>
      </c>
      <c r="K2287" s="8" t="n">
        <v>0</v>
      </c>
      <c r="L2287" s="7" t="n">
        <v>9976.68</v>
      </c>
      <c r="M2287" s="6" t="s">
        <v>49</v>
      </c>
      <c r="N2287" s="6" t="s">
        <v>52</v>
      </c>
      <c r="O2287" s="6" t="n">
        <f aca="false">IF(TablaVentas[[#This Row],[Precio_unitario]]="","PENDIENTE",TablaVentas[[#This Row],[Unidades]]*TablaVentas[[#This Row],[Precio_unitario]]*(1-TablaVentas[[#This Row],[Descuento_pct]]))</f>
        <v>97310.25</v>
      </c>
      <c r="P2287" s="6" t="n">
        <f aca="false">IF(TablaVentas[[#This Row],[Costo_unitario]]="","PENDIENTE",TablaVentas[[#This Row],[Unidades]]*TablaVentas[[#This Row],[Costo_unitario]])</f>
        <v>49883.4</v>
      </c>
      <c r="Q2287" s="6" t="n">
        <f aca="false">IF(OR(TablaVentas[[#This Row],[Ingreso_neto]]="PENDIENTE",TablaVentas[[#This Row],[Costo_total]]="PENDIENTE"),"PENDIENTE",TablaVentas[[#This Row],[Ingreso_neto]]-TablaVentas[[#This Row],[Costo_total]])</f>
        <v>47426.85</v>
      </c>
    </row>
    <row r="2288" customFormat="false" ht="13.5" hidden="false" customHeight="false" outlineLevel="0" collapsed="false">
      <c r="A2288" s="1" t="s">
        <v>1380</v>
      </c>
      <c r="B2288" s="1" t="n">
        <v>1</v>
      </c>
      <c r="C2288" s="5" t="n">
        <v>46250</v>
      </c>
      <c r="D2288" s="6" t="s">
        <v>840</v>
      </c>
      <c r="E2288" s="6" t="s">
        <v>117</v>
      </c>
      <c r="F2288" s="6" t="s">
        <v>84</v>
      </c>
      <c r="G2288" s="6" t="s">
        <v>64</v>
      </c>
      <c r="H2288" s="6" t="s">
        <v>80</v>
      </c>
      <c r="I2288" s="1" t="n">
        <v>2</v>
      </c>
      <c r="J2288" s="7" t="n">
        <v>5911.98</v>
      </c>
      <c r="K2288" s="8" t="n">
        <v>0</v>
      </c>
      <c r="L2288" s="7" t="n">
        <v>4205.69</v>
      </c>
      <c r="M2288" s="6" t="s">
        <v>49</v>
      </c>
      <c r="N2288" s="6" t="s">
        <v>52</v>
      </c>
      <c r="O2288" s="6" t="n">
        <f aca="false">IF(TablaVentas[[#This Row],[Precio_unitario]]="","PENDIENTE",TablaVentas[[#This Row],[Unidades]]*TablaVentas[[#This Row],[Precio_unitario]]*(1-TablaVentas[[#This Row],[Descuento_pct]]))</f>
        <v>11823.96</v>
      </c>
      <c r="P2288" s="6" t="n">
        <f aca="false">IF(TablaVentas[[#This Row],[Costo_unitario]]="","PENDIENTE",TablaVentas[[#This Row],[Unidades]]*TablaVentas[[#This Row],[Costo_unitario]])</f>
        <v>8411.38</v>
      </c>
      <c r="Q2288" s="6" t="n">
        <f aca="false">IF(OR(TablaVentas[[#This Row],[Ingreso_neto]]="PENDIENTE",TablaVentas[[#This Row],[Costo_total]]="PENDIENTE"),"PENDIENTE",TablaVentas[[#This Row],[Ingreso_neto]]-TablaVentas[[#This Row],[Costo_total]])</f>
        <v>3412.58</v>
      </c>
    </row>
    <row r="2289" customFormat="false" ht="13.5" hidden="false" customHeight="false" outlineLevel="0" collapsed="false">
      <c r="A2289" s="1" t="s">
        <v>1380</v>
      </c>
      <c r="B2289" s="1" t="n">
        <v>2</v>
      </c>
      <c r="C2289" s="5" t="n">
        <v>46250</v>
      </c>
      <c r="D2289" s="6" t="s">
        <v>840</v>
      </c>
      <c r="E2289" s="6" t="s">
        <v>121</v>
      </c>
      <c r="F2289" s="6" t="s">
        <v>84</v>
      </c>
      <c r="G2289" s="6" t="s">
        <v>64</v>
      </c>
      <c r="H2289" s="6" t="s">
        <v>80</v>
      </c>
      <c r="I2289" s="1" t="n">
        <v>1</v>
      </c>
      <c r="J2289" s="7" t="n">
        <v>14921.09</v>
      </c>
      <c r="K2289" s="8" t="n">
        <v>0</v>
      </c>
      <c r="L2289" s="7" t="n">
        <v>8239.48</v>
      </c>
      <c r="M2289" s="6" t="s">
        <v>49</v>
      </c>
      <c r="N2289" s="6" t="s">
        <v>52</v>
      </c>
      <c r="O2289" s="6" t="n">
        <f aca="false">IF(TablaVentas[[#This Row],[Precio_unitario]]="","PENDIENTE",TablaVentas[[#This Row],[Unidades]]*TablaVentas[[#This Row],[Precio_unitario]]*(1-TablaVentas[[#This Row],[Descuento_pct]]))</f>
        <v>14921.09</v>
      </c>
      <c r="P2289" s="6" t="n">
        <f aca="false">IF(TablaVentas[[#This Row],[Costo_unitario]]="","PENDIENTE",TablaVentas[[#This Row],[Unidades]]*TablaVentas[[#This Row],[Costo_unitario]])</f>
        <v>8239.48</v>
      </c>
      <c r="Q2289" s="6" t="n">
        <f aca="false">IF(OR(TablaVentas[[#This Row],[Ingreso_neto]]="PENDIENTE",TablaVentas[[#This Row],[Costo_total]]="PENDIENTE"),"PENDIENTE",TablaVentas[[#This Row],[Ingreso_neto]]-TablaVentas[[#This Row],[Costo_total]])</f>
        <v>6681.61</v>
      </c>
    </row>
    <row r="2290" customFormat="false" ht="13.5" hidden="false" customHeight="false" outlineLevel="0" collapsed="false">
      <c r="A2290" s="1" t="s">
        <v>1380</v>
      </c>
      <c r="B2290" s="1" t="n">
        <v>3</v>
      </c>
      <c r="C2290" s="5" t="n">
        <v>46250</v>
      </c>
      <c r="D2290" s="6" t="s">
        <v>840</v>
      </c>
      <c r="E2290" s="6" t="s">
        <v>278</v>
      </c>
      <c r="F2290" s="6" t="s">
        <v>84</v>
      </c>
      <c r="G2290" s="6" t="s">
        <v>64</v>
      </c>
      <c r="H2290" s="6" t="s">
        <v>80</v>
      </c>
      <c r="I2290" s="1" t="n">
        <v>1</v>
      </c>
      <c r="J2290" s="7" t="n">
        <v>1108.49</v>
      </c>
      <c r="K2290" s="8" t="n">
        <v>0.2</v>
      </c>
      <c r="L2290" s="7" t="n">
        <v>759.03</v>
      </c>
      <c r="M2290" s="6" t="s">
        <v>49</v>
      </c>
      <c r="N2290" s="6" t="s">
        <v>52</v>
      </c>
      <c r="O2290" s="6" t="n">
        <f aca="false">IF(TablaVentas[[#This Row],[Precio_unitario]]="","PENDIENTE",TablaVentas[[#This Row],[Unidades]]*TablaVentas[[#This Row],[Precio_unitario]]*(1-TablaVentas[[#This Row],[Descuento_pct]]))</f>
        <v>886.792</v>
      </c>
      <c r="P2290" s="6" t="n">
        <f aca="false">IF(TablaVentas[[#This Row],[Costo_unitario]]="","PENDIENTE",TablaVentas[[#This Row],[Unidades]]*TablaVentas[[#This Row],[Costo_unitario]])</f>
        <v>759.03</v>
      </c>
      <c r="Q2290" s="6" t="n">
        <f aca="false">IF(OR(TablaVentas[[#This Row],[Ingreso_neto]]="PENDIENTE",TablaVentas[[#This Row],[Costo_total]]="PENDIENTE"),"PENDIENTE",TablaVentas[[#This Row],[Ingreso_neto]]-TablaVentas[[#This Row],[Costo_total]])</f>
        <v>127.762</v>
      </c>
    </row>
    <row r="2291" customFormat="false" ht="13.5" hidden="false" customHeight="false" outlineLevel="0" collapsed="false">
      <c r="A2291" s="1" t="s">
        <v>1381</v>
      </c>
      <c r="B2291" s="1" t="n">
        <v>1</v>
      </c>
      <c r="C2291" s="5" t="n">
        <v>46279</v>
      </c>
      <c r="D2291" s="6" t="s">
        <v>561</v>
      </c>
      <c r="E2291" s="6" t="s">
        <v>210</v>
      </c>
      <c r="F2291" s="6" t="s">
        <v>73</v>
      </c>
      <c r="G2291" s="6" t="s">
        <v>47</v>
      </c>
      <c r="H2291" s="6" t="s">
        <v>89</v>
      </c>
      <c r="I2291" s="1" t="n">
        <v>1</v>
      </c>
      <c r="J2291" s="7" t="n">
        <v>1831.65</v>
      </c>
      <c r="K2291" s="8" t="n">
        <v>0</v>
      </c>
      <c r="L2291" s="7" t="n">
        <v>1252.84</v>
      </c>
      <c r="M2291" s="6" t="s">
        <v>49</v>
      </c>
      <c r="N2291" s="6" t="s">
        <v>52</v>
      </c>
      <c r="O2291" s="6" t="n">
        <f aca="false">IF(TablaVentas[[#This Row],[Precio_unitario]]="","PENDIENTE",TablaVentas[[#This Row],[Unidades]]*TablaVentas[[#This Row],[Precio_unitario]]*(1-TablaVentas[[#This Row],[Descuento_pct]]))</f>
        <v>1831.65</v>
      </c>
      <c r="P2291" s="6" t="n">
        <f aca="false">IF(TablaVentas[[#This Row],[Costo_unitario]]="","PENDIENTE",TablaVentas[[#This Row],[Unidades]]*TablaVentas[[#This Row],[Costo_unitario]])</f>
        <v>1252.84</v>
      </c>
      <c r="Q2291" s="6" t="n">
        <f aca="false">IF(OR(TablaVentas[[#This Row],[Ingreso_neto]]="PENDIENTE",TablaVentas[[#This Row],[Costo_total]]="PENDIENTE"),"PENDIENTE",TablaVentas[[#This Row],[Ingreso_neto]]-TablaVentas[[#This Row],[Costo_total]])</f>
        <v>578.81</v>
      </c>
    </row>
    <row r="2292" customFormat="false" ht="13.5" hidden="false" customHeight="false" outlineLevel="0" collapsed="false">
      <c r="A2292" s="1" t="s">
        <v>1381</v>
      </c>
      <c r="B2292" s="1" t="n">
        <v>2</v>
      </c>
      <c r="C2292" s="5" t="n">
        <v>46279</v>
      </c>
      <c r="D2292" s="6" t="s">
        <v>561</v>
      </c>
      <c r="E2292" s="6" t="s">
        <v>163</v>
      </c>
      <c r="F2292" s="6" t="s">
        <v>73</v>
      </c>
      <c r="G2292" s="6" t="s">
        <v>47</v>
      </c>
      <c r="H2292" s="6" t="s">
        <v>89</v>
      </c>
      <c r="I2292" s="1" t="n">
        <v>4</v>
      </c>
      <c r="J2292" s="7" t="n">
        <v>19501.91</v>
      </c>
      <c r="K2292" s="8" t="n">
        <v>0.1</v>
      </c>
      <c r="L2292" s="7" t="n">
        <v>13981.13</v>
      </c>
      <c r="M2292" s="6" t="s">
        <v>49</v>
      </c>
      <c r="N2292" s="6" t="s">
        <v>52</v>
      </c>
      <c r="O2292" s="6" t="n">
        <f aca="false">IF(TablaVentas[[#This Row],[Precio_unitario]]="","PENDIENTE",TablaVentas[[#This Row],[Unidades]]*TablaVentas[[#This Row],[Precio_unitario]]*(1-TablaVentas[[#This Row],[Descuento_pct]]))</f>
        <v>70206.876</v>
      </c>
      <c r="P2292" s="6" t="n">
        <f aca="false">IF(TablaVentas[[#This Row],[Costo_unitario]]="","PENDIENTE",TablaVentas[[#This Row],[Unidades]]*TablaVentas[[#This Row],[Costo_unitario]])</f>
        <v>55924.52</v>
      </c>
      <c r="Q2292" s="6" t="n">
        <f aca="false">IF(OR(TablaVentas[[#This Row],[Ingreso_neto]]="PENDIENTE",TablaVentas[[#This Row],[Costo_total]]="PENDIENTE"),"PENDIENTE",TablaVentas[[#This Row],[Ingreso_neto]]-TablaVentas[[#This Row],[Costo_total]])</f>
        <v>14282.356</v>
      </c>
    </row>
    <row r="2293" customFormat="false" ht="13.5" hidden="false" customHeight="false" outlineLevel="0" collapsed="false">
      <c r="A2293" s="1" t="s">
        <v>1381</v>
      </c>
      <c r="B2293" s="1" t="n">
        <v>3</v>
      </c>
      <c r="C2293" s="5" t="n">
        <v>46279</v>
      </c>
      <c r="D2293" s="6" t="s">
        <v>561</v>
      </c>
      <c r="E2293" s="6" t="s">
        <v>280</v>
      </c>
      <c r="F2293" s="6" t="s">
        <v>73</v>
      </c>
      <c r="G2293" s="6" t="s">
        <v>47</v>
      </c>
      <c r="H2293" s="6" t="s">
        <v>89</v>
      </c>
      <c r="I2293" s="1" t="n">
        <v>8</v>
      </c>
      <c r="J2293" s="7" t="n">
        <v>1299.81</v>
      </c>
      <c r="K2293" s="8" t="n">
        <v>0</v>
      </c>
      <c r="L2293" s="7" t="n">
        <v>716.26</v>
      </c>
      <c r="M2293" s="6" t="s">
        <v>49</v>
      </c>
      <c r="N2293" s="6" t="s">
        <v>59</v>
      </c>
      <c r="O2293" s="6" t="n">
        <f aca="false">IF(TablaVentas[[#This Row],[Precio_unitario]]="","PENDIENTE",TablaVentas[[#This Row],[Unidades]]*TablaVentas[[#This Row],[Precio_unitario]]*(1-TablaVentas[[#This Row],[Descuento_pct]]))</f>
        <v>10398.48</v>
      </c>
      <c r="P2293" s="6" t="n">
        <f aca="false">IF(TablaVentas[[#This Row],[Costo_unitario]]="","PENDIENTE",TablaVentas[[#This Row],[Unidades]]*TablaVentas[[#This Row],[Costo_unitario]])</f>
        <v>5730.08</v>
      </c>
      <c r="Q2293" s="6" t="n">
        <f aca="false">IF(OR(TablaVentas[[#This Row],[Ingreso_neto]]="PENDIENTE",TablaVentas[[#This Row],[Costo_total]]="PENDIENTE"),"PENDIENTE",TablaVentas[[#This Row],[Ingreso_neto]]-TablaVentas[[#This Row],[Costo_total]])</f>
        <v>4668.4</v>
      </c>
    </row>
    <row r="2294" customFormat="false" ht="13.5" hidden="false" customHeight="false" outlineLevel="0" collapsed="false">
      <c r="A2294" s="1" t="s">
        <v>1381</v>
      </c>
      <c r="B2294" s="1" t="n">
        <v>4</v>
      </c>
      <c r="C2294" s="5" t="n">
        <v>46279</v>
      </c>
      <c r="D2294" s="6" t="s">
        <v>561</v>
      </c>
      <c r="E2294" s="6" t="s">
        <v>88</v>
      </c>
      <c r="F2294" s="6" t="s">
        <v>73</v>
      </c>
      <c r="G2294" s="6" t="s">
        <v>47</v>
      </c>
      <c r="H2294" s="6" t="s">
        <v>89</v>
      </c>
      <c r="I2294" s="1" t="n">
        <v>3</v>
      </c>
      <c r="J2294" s="7" t="n">
        <v>15366.18</v>
      </c>
      <c r="K2294" s="8" t="n">
        <v>0.15</v>
      </c>
      <c r="L2294" s="7" t="n">
        <v>11614.87</v>
      </c>
      <c r="M2294" s="6" t="s">
        <v>49</v>
      </c>
      <c r="N2294" s="6" t="s">
        <v>67</v>
      </c>
      <c r="O2294" s="6" t="n">
        <f aca="false">IF(TablaVentas[[#This Row],[Precio_unitario]]="","PENDIENTE",TablaVentas[[#This Row],[Unidades]]*TablaVentas[[#This Row],[Precio_unitario]]*(1-TablaVentas[[#This Row],[Descuento_pct]]))</f>
        <v>39183.759</v>
      </c>
      <c r="P2294" s="6" t="n">
        <f aca="false">IF(TablaVentas[[#This Row],[Costo_unitario]]="","PENDIENTE",TablaVentas[[#This Row],[Unidades]]*TablaVentas[[#This Row],[Costo_unitario]])</f>
        <v>34844.61</v>
      </c>
      <c r="Q2294" s="6" t="n">
        <f aca="false">IF(OR(TablaVentas[[#This Row],[Ingreso_neto]]="PENDIENTE",TablaVentas[[#This Row],[Costo_total]]="PENDIENTE"),"PENDIENTE",TablaVentas[[#This Row],[Ingreso_neto]]-TablaVentas[[#This Row],[Costo_total]])</f>
        <v>4339.149</v>
      </c>
    </row>
    <row r="2295" customFormat="false" ht="13.5" hidden="false" customHeight="false" outlineLevel="0" collapsed="false">
      <c r="A2295" s="1" t="s">
        <v>1381</v>
      </c>
      <c r="B2295" s="1" t="n">
        <v>5</v>
      </c>
      <c r="C2295" s="5" t="n">
        <v>46279</v>
      </c>
      <c r="D2295" s="6" t="s">
        <v>561</v>
      </c>
      <c r="E2295" s="6" t="s">
        <v>159</v>
      </c>
      <c r="F2295" s="6" t="s">
        <v>73</v>
      </c>
      <c r="G2295" s="6" t="s">
        <v>47</v>
      </c>
      <c r="H2295" s="6" t="s">
        <v>89</v>
      </c>
      <c r="I2295" s="1" t="n">
        <v>3</v>
      </c>
      <c r="J2295" s="7" t="n">
        <v>2720.37</v>
      </c>
      <c r="K2295" s="8" t="n">
        <v>0</v>
      </c>
      <c r="L2295" s="7" t="n">
        <v>1962.3</v>
      </c>
      <c r="M2295" s="6" t="s">
        <v>49</v>
      </c>
      <c r="N2295" s="6" t="s">
        <v>50</v>
      </c>
      <c r="O2295" s="6" t="n">
        <f aca="false">IF(TablaVentas[[#This Row],[Precio_unitario]]="","PENDIENTE",TablaVentas[[#This Row],[Unidades]]*TablaVentas[[#This Row],[Precio_unitario]]*(1-TablaVentas[[#This Row],[Descuento_pct]]))</f>
        <v>8161.11</v>
      </c>
      <c r="P2295" s="6" t="n">
        <f aca="false">IF(TablaVentas[[#This Row],[Costo_unitario]]="","PENDIENTE",TablaVentas[[#This Row],[Unidades]]*TablaVentas[[#This Row],[Costo_unitario]])</f>
        <v>5886.9</v>
      </c>
      <c r="Q2295" s="6" t="n">
        <f aca="false">IF(OR(TablaVentas[[#This Row],[Ingreso_neto]]="PENDIENTE",TablaVentas[[#This Row],[Costo_total]]="PENDIENTE"),"PENDIENTE",TablaVentas[[#This Row],[Ingreso_neto]]-TablaVentas[[#This Row],[Costo_total]])</f>
        <v>2274.21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H7" activeCellId="0" sqref="H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4.61"/>
    <col collapsed="false" customWidth="true" hidden="false" outlineLevel="0" max="3" min="3" style="1" width="19.4"/>
    <col collapsed="false" customWidth="true" hidden="false" outlineLevel="0" max="4" min="4" style="1" width="15.25"/>
    <col collapsed="false" customWidth="true" hidden="false" outlineLevel="0" max="5" min="5" style="1" width="19.4"/>
    <col collapsed="false" customWidth="true" hidden="false" outlineLevel="0" max="6" min="6" style="1" width="15.25"/>
    <col collapsed="false" customWidth="true" hidden="false" outlineLevel="0" max="7" min="7" style="1" width="19.4"/>
    <col collapsed="false" customWidth="true" hidden="false" outlineLevel="0" max="8" min="8" style="1" width="15.25"/>
    <col collapsed="false" customWidth="true" hidden="false" outlineLevel="0" max="9" min="9" style="1" width="24.52"/>
    <col collapsed="false" customWidth="true" hidden="false" outlineLevel="0" max="10" min="10" style="1" width="20.18"/>
  </cols>
  <sheetData>
    <row r="1" customFormat="false" ht="13.8" hidden="false" customHeight="false" outlineLevel="0" collapsed="false"/>
    <row r="2" customFormat="false" ht="13.8" hidden="false" customHeight="false" outlineLevel="0" collapsed="false">
      <c r="A2" s="9" t="s">
        <v>37</v>
      </c>
      <c r="B2" s="10" t="s">
        <v>49</v>
      </c>
      <c r="C2" s="0"/>
      <c r="D2" s="0"/>
      <c r="E2" s="0"/>
      <c r="F2" s="0"/>
      <c r="G2" s="0"/>
      <c r="H2" s="0"/>
      <c r="I2" s="0"/>
      <c r="J2" s="0"/>
    </row>
    <row r="3" customFormat="false" ht="13.8" hidden="false" customHeight="false" outlineLevel="0" collapsed="false">
      <c r="A3" s="0"/>
      <c r="C3" s="0"/>
      <c r="D3" s="0"/>
      <c r="E3" s="0"/>
      <c r="F3" s="0"/>
      <c r="G3" s="0"/>
      <c r="H3" s="0"/>
      <c r="I3" s="0"/>
      <c r="J3" s="0"/>
    </row>
    <row r="4" customFormat="false" ht="13.8" hidden="false" customHeight="false" outlineLevel="0" collapsed="false">
      <c r="A4" s="11"/>
      <c r="B4" s="12"/>
      <c r="C4" s="13" t="s">
        <v>31</v>
      </c>
      <c r="D4" s="13" t="s">
        <v>1382</v>
      </c>
      <c r="E4" s="14"/>
      <c r="F4" s="14"/>
      <c r="G4" s="14"/>
      <c r="H4" s="14"/>
      <c r="I4" s="14"/>
      <c r="J4" s="15"/>
    </row>
    <row r="5" customFormat="false" ht="13.8" hidden="false" customHeight="false" outlineLevel="0" collapsed="false">
      <c r="A5" s="16"/>
      <c r="B5" s="17"/>
      <c r="C5" s="18" t="s">
        <v>47</v>
      </c>
      <c r="D5" s="19"/>
      <c r="E5" s="18" t="s">
        <v>57</v>
      </c>
      <c r="F5" s="19"/>
      <c r="G5" s="18" t="s">
        <v>64</v>
      </c>
      <c r="H5" s="19"/>
      <c r="I5" s="20" t="s">
        <v>1383</v>
      </c>
      <c r="J5" s="21" t="s">
        <v>1384</v>
      </c>
    </row>
    <row r="6" customFormat="false" ht="13.8" hidden="false" customHeight="false" outlineLevel="0" collapsed="false">
      <c r="A6" s="22" t="s">
        <v>27</v>
      </c>
      <c r="B6" s="23" t="s">
        <v>30</v>
      </c>
      <c r="C6" s="18" t="s">
        <v>1385</v>
      </c>
      <c r="D6" s="19" t="s">
        <v>1386</v>
      </c>
      <c r="E6" s="18" t="s">
        <v>1385</v>
      </c>
      <c r="F6" s="19" t="s">
        <v>1386</v>
      </c>
      <c r="G6" s="18" t="s">
        <v>1385</v>
      </c>
      <c r="H6" s="19" t="s">
        <v>1386</v>
      </c>
      <c r="I6" s="24"/>
      <c r="J6" s="25"/>
    </row>
    <row r="7" customFormat="false" ht="13.8" hidden="false" customHeight="false" outlineLevel="0" collapsed="false">
      <c r="A7" s="26" t="s">
        <v>1387</v>
      </c>
      <c r="B7" s="27" t="s">
        <v>73</v>
      </c>
      <c r="C7" s="28" t="n">
        <v>95420.144</v>
      </c>
      <c r="D7" s="29" t="n">
        <v>48</v>
      </c>
      <c r="E7" s="30" t="n">
        <v>231606.871</v>
      </c>
      <c r="F7" s="30" t="n">
        <v>69</v>
      </c>
      <c r="G7" s="28" t="n">
        <v>66408.28</v>
      </c>
      <c r="H7" s="29" t="n">
        <v>26</v>
      </c>
      <c r="I7" s="31" t="n">
        <v>393435.295</v>
      </c>
      <c r="J7" s="32" t="n">
        <v>143</v>
      </c>
    </row>
    <row r="8" customFormat="false" ht="13.8" hidden="false" customHeight="false" outlineLevel="0" collapsed="false">
      <c r="A8" s="33"/>
      <c r="B8" s="34" t="s">
        <v>84</v>
      </c>
      <c r="C8" s="35" t="n">
        <v>118092.203</v>
      </c>
      <c r="D8" s="36" t="n">
        <v>49</v>
      </c>
      <c r="E8" s="37" t="n">
        <v>219726.0385</v>
      </c>
      <c r="F8" s="37" t="n">
        <v>72</v>
      </c>
      <c r="G8" s="35" t="n">
        <v>159706.033</v>
      </c>
      <c r="H8" s="36" t="n">
        <v>70</v>
      </c>
      <c r="I8" s="38" t="n">
        <v>497524.2745</v>
      </c>
      <c r="J8" s="39" t="n">
        <v>191</v>
      </c>
    </row>
    <row r="9" customFormat="false" ht="13.8" hidden="false" customHeight="false" outlineLevel="0" collapsed="false">
      <c r="A9" s="33"/>
      <c r="B9" s="34" t="s">
        <v>63</v>
      </c>
      <c r="C9" s="35" t="n">
        <v>67439.5175</v>
      </c>
      <c r="D9" s="36" t="n">
        <v>20</v>
      </c>
      <c r="E9" s="37" t="n">
        <v>127709.9835</v>
      </c>
      <c r="F9" s="37" t="n">
        <v>54</v>
      </c>
      <c r="G9" s="35" t="n">
        <v>264973.114</v>
      </c>
      <c r="H9" s="36" t="n">
        <v>91</v>
      </c>
      <c r="I9" s="38" t="n">
        <v>460122.615</v>
      </c>
      <c r="J9" s="39" t="n">
        <v>165</v>
      </c>
    </row>
    <row r="10" customFormat="false" ht="13.8" hidden="false" customHeight="false" outlineLevel="0" collapsed="false">
      <c r="A10" s="40"/>
      <c r="B10" s="41" t="s">
        <v>46</v>
      </c>
      <c r="C10" s="42" t="n">
        <v>160326.9595</v>
      </c>
      <c r="D10" s="43" t="n">
        <v>75</v>
      </c>
      <c r="E10" s="44" t="n">
        <v>145276.4225</v>
      </c>
      <c r="F10" s="44" t="n">
        <v>65</v>
      </c>
      <c r="G10" s="42" t="n">
        <v>113593.8155</v>
      </c>
      <c r="H10" s="43" t="n">
        <v>42</v>
      </c>
      <c r="I10" s="45" t="n">
        <v>419197.1975</v>
      </c>
      <c r="J10" s="46" t="n">
        <v>182</v>
      </c>
    </row>
    <row r="11" customFormat="false" ht="13.8" hidden="false" customHeight="false" outlineLevel="0" collapsed="false">
      <c r="A11" s="47" t="s">
        <v>1388</v>
      </c>
      <c r="B11" s="48"/>
      <c r="C11" s="49" t="n">
        <v>441278.824</v>
      </c>
      <c r="D11" s="50" t="n">
        <v>192</v>
      </c>
      <c r="E11" s="49" t="n">
        <v>724319.3155</v>
      </c>
      <c r="F11" s="50" t="n">
        <v>260</v>
      </c>
      <c r="G11" s="49" t="n">
        <v>604681.2425</v>
      </c>
      <c r="H11" s="50" t="n">
        <v>229</v>
      </c>
      <c r="I11" s="51" t="n">
        <v>1770279.382</v>
      </c>
      <c r="J11" s="52" t="n">
        <v>681</v>
      </c>
    </row>
    <row r="12" customFormat="false" ht="13.8" hidden="false" customHeight="false" outlineLevel="0" collapsed="false"/>
    <row r="13" customFormat="false" ht="13.8" hidden="false" customHeight="false" outlineLevel="0" collapsed="false">
      <c r="B13" s="1" t="s">
        <v>31</v>
      </c>
      <c r="C13" s="1" t="s">
        <v>1389</v>
      </c>
      <c r="D13" s="1" t="s">
        <v>33</v>
      </c>
    </row>
    <row r="14" customFormat="false" ht="13.8" hidden="false" customHeight="false" outlineLevel="0" collapsed="false">
      <c r="B14" s="1" t="s">
        <v>47</v>
      </c>
      <c r="C14" s="1" t="n">
        <v>441278.824</v>
      </c>
      <c r="D14" s="1" t="n">
        <v>192</v>
      </c>
    </row>
    <row r="15" customFormat="false" ht="13.8" hidden="false" customHeight="false" outlineLevel="0" collapsed="false">
      <c r="B15" s="1" t="s">
        <v>57</v>
      </c>
      <c r="C15" s="1" t="n">
        <v>724319.3155</v>
      </c>
      <c r="D15" s="1" t="n">
        <v>260</v>
      </c>
    </row>
    <row r="16" customFormat="false" ht="13.8" hidden="false" customHeight="false" outlineLevel="0" collapsed="false">
      <c r="B16" s="1" t="s">
        <v>64</v>
      </c>
      <c r="C16" s="1" t="n">
        <v>604681.2425</v>
      </c>
      <c r="D16" s="1" t="n">
        <v>229</v>
      </c>
    </row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C14" activeCellId="0" sqref="C1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9.4"/>
    <col collapsed="false" customWidth="true" hidden="false" outlineLevel="0" max="4" min="2" style="1" width="18.34"/>
    <col collapsed="false" customWidth="true" hidden="false" outlineLevel="0" max="5" min="5" style="1" width="14.61"/>
  </cols>
  <sheetData>
    <row r="1" customFormat="false" ht="13.8" hidden="false" customHeight="false" outlineLevel="0" collapsed="false">
      <c r="A1" s="9" t="s">
        <v>37</v>
      </c>
      <c r="B1" s="10" t="s">
        <v>49</v>
      </c>
      <c r="C1" s="0"/>
      <c r="D1" s="0"/>
      <c r="E1" s="0"/>
    </row>
    <row r="2" customFormat="false" ht="13.8" hidden="false" customHeight="false" outlineLevel="0" collapsed="false">
      <c r="A2" s="0"/>
      <c r="B2" s="0"/>
      <c r="C2" s="0"/>
      <c r="D2" s="0"/>
      <c r="E2" s="0"/>
    </row>
    <row r="3" customFormat="false" ht="13.8" hidden="false" customHeight="false" outlineLevel="0" collapsed="false">
      <c r="A3" s="53" t="s">
        <v>1385</v>
      </c>
      <c r="B3" s="13" t="s">
        <v>31</v>
      </c>
      <c r="C3" s="54"/>
      <c r="D3" s="54"/>
      <c r="E3" s="55"/>
    </row>
    <row r="4" customFormat="false" ht="13.8" hidden="false" customHeight="false" outlineLevel="0" collapsed="false">
      <c r="A4" s="22" t="s">
        <v>30</v>
      </c>
      <c r="B4" s="56" t="s">
        <v>47</v>
      </c>
      <c r="C4" s="57" t="s">
        <v>57</v>
      </c>
      <c r="D4" s="57" t="s">
        <v>64</v>
      </c>
      <c r="E4" s="58" t="s">
        <v>1388</v>
      </c>
    </row>
    <row r="5" customFormat="false" ht="13.8" hidden="false" customHeight="false" outlineLevel="0" collapsed="false">
      <c r="A5" s="59" t="s">
        <v>73</v>
      </c>
      <c r="B5" s="60" t="n">
        <v>1036168.9445</v>
      </c>
      <c r="C5" s="61" t="n">
        <v>1251655.359</v>
      </c>
      <c r="D5" s="62" t="n">
        <v>1086392.936</v>
      </c>
      <c r="E5" s="63" t="n">
        <v>3374217.2395</v>
      </c>
    </row>
    <row r="6" customFormat="false" ht="13.8" hidden="false" customHeight="false" outlineLevel="0" collapsed="false">
      <c r="A6" s="64" t="s">
        <v>84</v>
      </c>
      <c r="B6" s="65" t="n">
        <v>971099.502</v>
      </c>
      <c r="C6" s="66" t="n">
        <v>1112774.243</v>
      </c>
      <c r="D6" s="67" t="n">
        <v>1285004.9865</v>
      </c>
      <c r="E6" s="68" t="n">
        <v>3368878.7315</v>
      </c>
    </row>
    <row r="7" customFormat="false" ht="13.8" hidden="false" customHeight="false" outlineLevel="0" collapsed="false">
      <c r="A7" s="64" t="s">
        <v>63</v>
      </c>
      <c r="B7" s="65" t="n">
        <v>709663.645</v>
      </c>
      <c r="C7" s="66" t="n">
        <v>1089343.8375</v>
      </c>
      <c r="D7" s="67" t="n">
        <v>1059546.1065</v>
      </c>
      <c r="E7" s="68" t="n">
        <v>2858553.589</v>
      </c>
    </row>
    <row r="8" customFormat="false" ht="13.8" hidden="false" customHeight="false" outlineLevel="0" collapsed="false">
      <c r="A8" s="64" t="s">
        <v>46</v>
      </c>
      <c r="B8" s="69" t="n">
        <v>1414529.7885</v>
      </c>
      <c r="C8" s="70" t="n">
        <v>1169529.804</v>
      </c>
      <c r="D8" s="71" t="n">
        <v>1067310.0465</v>
      </c>
      <c r="E8" s="72" t="n">
        <v>3651369.639</v>
      </c>
    </row>
    <row r="9" customFormat="false" ht="13.8" hidden="false" customHeight="false" outlineLevel="0" collapsed="false">
      <c r="A9" s="73" t="s">
        <v>1388</v>
      </c>
      <c r="B9" s="74" t="n">
        <v>4131461.88</v>
      </c>
      <c r="C9" s="75" t="n">
        <v>4623303.24350001</v>
      </c>
      <c r="D9" s="76" t="n">
        <v>4498254.07550001</v>
      </c>
      <c r="E9" s="77" t="n">
        <v>13253019.199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H28" activeCellId="0" sqref="H2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4.61"/>
    <col collapsed="false" customWidth="true" hidden="false" outlineLevel="0" max="2" min="2" style="1" width="15.25"/>
    <col collapsed="false" customWidth="true" hidden="false" outlineLevel="0" max="3" min="3" style="1" width="19.4"/>
  </cols>
  <sheetData>
    <row r="1" customFormat="false" ht="13.8" hidden="false" customHeight="false" outlineLevel="0" collapsed="false">
      <c r="A1" s="9" t="s">
        <v>37</v>
      </c>
      <c r="B1" s="10" t="s">
        <v>49</v>
      </c>
      <c r="C1" s="0"/>
    </row>
    <row r="2" customFormat="false" ht="13.8" hidden="false" customHeight="false" outlineLevel="0" collapsed="false">
      <c r="A2" s="0"/>
      <c r="B2" s="0"/>
      <c r="C2" s="0"/>
    </row>
    <row r="3" customFormat="false" ht="13.8" hidden="false" customHeight="false" outlineLevel="0" collapsed="false">
      <c r="A3" s="53"/>
      <c r="B3" s="13" t="s">
        <v>1382</v>
      </c>
      <c r="C3" s="55"/>
    </row>
    <row r="4" customFormat="false" ht="13.8" hidden="false" customHeight="false" outlineLevel="0" collapsed="false">
      <c r="A4" s="22" t="s">
        <v>29</v>
      </c>
      <c r="B4" s="56" t="s">
        <v>1386</v>
      </c>
      <c r="C4" s="78" t="s">
        <v>1385</v>
      </c>
      <c r="E4" s="1" t="s">
        <v>29</v>
      </c>
      <c r="F4" s="1" t="s">
        <v>41</v>
      </c>
    </row>
    <row r="5" customFormat="false" ht="13.8" hidden="false" customHeight="false" outlineLevel="0" collapsed="false">
      <c r="A5" s="59" t="s">
        <v>230</v>
      </c>
      <c r="B5" s="28" t="n">
        <v>65</v>
      </c>
      <c r="C5" s="79" t="n">
        <v>175201.771</v>
      </c>
      <c r="E5" s="1" t="s">
        <v>233</v>
      </c>
      <c r="F5" s="80" t="n">
        <v>533925.986</v>
      </c>
    </row>
    <row r="6" customFormat="false" ht="13.8" hidden="false" customHeight="false" outlineLevel="0" collapsed="false">
      <c r="A6" s="64" t="s">
        <v>190</v>
      </c>
      <c r="B6" s="35" t="n">
        <v>36</v>
      </c>
      <c r="C6" s="81" t="n">
        <v>27260.1895</v>
      </c>
      <c r="E6" s="1" t="s">
        <v>158</v>
      </c>
      <c r="F6" s="80" t="n">
        <v>525453.8295</v>
      </c>
    </row>
    <row r="7" customFormat="false" ht="13.8" hidden="false" customHeight="false" outlineLevel="0" collapsed="false">
      <c r="A7" s="64" t="s">
        <v>171</v>
      </c>
      <c r="B7" s="35" t="n">
        <v>26</v>
      </c>
      <c r="C7" s="81" t="n">
        <v>13711.009</v>
      </c>
      <c r="E7" s="1" t="s">
        <v>100</v>
      </c>
      <c r="F7" s="80" t="n">
        <v>404831.139</v>
      </c>
    </row>
    <row r="8" customFormat="false" ht="13.8" hidden="false" customHeight="false" outlineLevel="0" collapsed="false">
      <c r="A8" s="64" t="s">
        <v>100</v>
      </c>
      <c r="B8" s="35" t="n">
        <v>72</v>
      </c>
      <c r="C8" s="81" t="n">
        <v>404831.139</v>
      </c>
      <c r="E8" s="1" t="s">
        <v>269</v>
      </c>
      <c r="F8" s="80" t="n">
        <v>373480.2935</v>
      </c>
    </row>
    <row r="9" customFormat="false" ht="13.8" hidden="false" customHeight="false" outlineLevel="0" collapsed="false">
      <c r="A9" s="64" t="s">
        <v>170</v>
      </c>
      <c r="B9" s="35" t="n">
        <v>50</v>
      </c>
      <c r="C9" s="81" t="n">
        <v>173285.3725</v>
      </c>
      <c r="E9" s="1" t="s">
        <v>139</v>
      </c>
      <c r="F9" s="80" t="n">
        <v>368254.5115</v>
      </c>
    </row>
    <row r="10" customFormat="false" ht="13.8" hidden="false" customHeight="false" outlineLevel="0" collapsed="false">
      <c r="A10" s="64" t="s">
        <v>327</v>
      </c>
      <c r="B10" s="35" t="n">
        <v>40</v>
      </c>
      <c r="C10" s="81" t="n">
        <v>55647.6855</v>
      </c>
      <c r="E10" s="1" t="s">
        <v>88</v>
      </c>
      <c r="F10" s="80" t="n">
        <v>367324.965</v>
      </c>
    </row>
    <row r="11" customFormat="false" ht="13.8" hidden="false" customHeight="false" outlineLevel="0" collapsed="false">
      <c r="A11" s="64" t="s">
        <v>96</v>
      </c>
      <c r="B11" s="35" t="n">
        <v>48</v>
      </c>
      <c r="C11" s="81" t="n">
        <v>116398.3415</v>
      </c>
      <c r="E11" s="1" t="s">
        <v>121</v>
      </c>
      <c r="F11" s="80" t="n">
        <v>344527.443</v>
      </c>
    </row>
    <row r="12" customFormat="false" ht="13.8" hidden="false" customHeight="false" outlineLevel="0" collapsed="false">
      <c r="A12" s="64" t="s">
        <v>203</v>
      </c>
      <c r="B12" s="35" t="n">
        <v>41</v>
      </c>
      <c r="C12" s="81" t="n">
        <v>8791.0875</v>
      </c>
      <c r="E12" s="1" t="s">
        <v>75</v>
      </c>
      <c r="F12" s="80" t="n">
        <v>321923.791</v>
      </c>
    </row>
    <row r="13" customFormat="false" ht="13.8" hidden="false" customHeight="false" outlineLevel="0" collapsed="false">
      <c r="A13" s="64" t="s">
        <v>108</v>
      </c>
      <c r="B13" s="35" t="n">
        <v>51</v>
      </c>
      <c r="C13" s="81" t="n">
        <v>86787.8575</v>
      </c>
      <c r="E13" s="1" t="s">
        <v>192</v>
      </c>
      <c r="F13" s="80" t="n">
        <v>320973.919</v>
      </c>
    </row>
    <row r="14" customFormat="false" ht="13.8" hidden="false" customHeight="false" outlineLevel="0" collapsed="false">
      <c r="A14" s="64" t="s">
        <v>374</v>
      </c>
      <c r="B14" s="35" t="n">
        <v>48</v>
      </c>
      <c r="C14" s="81" t="n">
        <v>171679.2135</v>
      </c>
      <c r="E14" s="1" t="s">
        <v>51</v>
      </c>
      <c r="F14" s="80" t="n">
        <v>316220.6605</v>
      </c>
    </row>
    <row r="15" customFormat="false" ht="13.8" hidden="false" customHeight="false" outlineLevel="0" collapsed="false">
      <c r="A15" s="64" t="s">
        <v>360</v>
      </c>
      <c r="B15" s="35" t="n">
        <v>61</v>
      </c>
      <c r="C15" s="81" t="n">
        <v>30227.776</v>
      </c>
    </row>
    <row r="16" customFormat="false" ht="13.8" hidden="false" customHeight="false" outlineLevel="0" collapsed="false">
      <c r="A16" s="64" t="s">
        <v>139</v>
      </c>
      <c r="B16" s="35" t="n">
        <v>63</v>
      </c>
      <c r="C16" s="81" t="n">
        <v>368254.5115</v>
      </c>
    </row>
    <row r="17" customFormat="false" ht="13.8" hidden="false" customHeight="false" outlineLevel="0" collapsed="false">
      <c r="A17" s="64" t="s">
        <v>51</v>
      </c>
      <c r="B17" s="35" t="n">
        <v>66</v>
      </c>
      <c r="C17" s="81" t="n">
        <v>316220.6605</v>
      </c>
    </row>
    <row r="18" customFormat="false" ht="13.8" hidden="false" customHeight="false" outlineLevel="0" collapsed="false">
      <c r="A18" s="64" t="s">
        <v>113</v>
      </c>
      <c r="B18" s="35" t="n">
        <v>63</v>
      </c>
      <c r="C18" s="81" t="n">
        <v>85089.508</v>
      </c>
    </row>
    <row r="19" customFormat="false" ht="13.8" hidden="false" customHeight="false" outlineLevel="0" collapsed="false">
      <c r="A19" s="64" t="s">
        <v>280</v>
      </c>
      <c r="B19" s="35" t="n">
        <v>60</v>
      </c>
      <c r="C19" s="81" t="n">
        <v>39439.9085</v>
      </c>
    </row>
    <row r="20" customFormat="false" ht="13.8" hidden="false" customHeight="false" outlineLevel="0" collapsed="false">
      <c r="A20" s="64" t="s">
        <v>333</v>
      </c>
      <c r="B20" s="35" t="n">
        <v>44</v>
      </c>
      <c r="C20" s="81" t="n">
        <v>135662.0205</v>
      </c>
    </row>
    <row r="21" customFormat="false" ht="13.8" hidden="false" customHeight="false" outlineLevel="0" collapsed="false">
      <c r="A21" s="64" t="s">
        <v>215</v>
      </c>
      <c r="B21" s="35" t="n">
        <v>53</v>
      </c>
      <c r="C21" s="81" t="n">
        <v>230148.621</v>
      </c>
    </row>
    <row r="22" customFormat="false" ht="13.8" hidden="false" customHeight="false" outlineLevel="0" collapsed="false">
      <c r="A22" s="64" t="s">
        <v>192</v>
      </c>
      <c r="B22" s="35" t="n">
        <v>81</v>
      </c>
      <c r="C22" s="81" t="n">
        <v>320973.919</v>
      </c>
    </row>
    <row r="23" customFormat="false" ht="13.8" hidden="false" customHeight="false" outlineLevel="0" collapsed="false">
      <c r="A23" s="64" t="s">
        <v>255</v>
      </c>
      <c r="B23" s="35" t="n">
        <v>33</v>
      </c>
      <c r="C23" s="81" t="n">
        <v>150163.0955</v>
      </c>
    </row>
    <row r="24" customFormat="false" ht="13.8" hidden="false" customHeight="false" outlineLevel="0" collapsed="false">
      <c r="A24" s="64" t="s">
        <v>410</v>
      </c>
      <c r="B24" s="35" t="n">
        <v>33</v>
      </c>
      <c r="C24" s="81" t="n">
        <v>30459.189</v>
      </c>
    </row>
    <row r="25" customFormat="false" ht="13.8" hidden="false" customHeight="false" outlineLevel="0" collapsed="false">
      <c r="A25" s="64" t="s">
        <v>328</v>
      </c>
      <c r="B25" s="35" t="n">
        <v>52</v>
      </c>
      <c r="C25" s="81" t="n">
        <v>26904.9045</v>
      </c>
    </row>
    <row r="26" customFormat="false" ht="13.8" hidden="false" customHeight="false" outlineLevel="0" collapsed="false">
      <c r="A26" s="64" t="s">
        <v>159</v>
      </c>
      <c r="B26" s="35" t="n">
        <v>58</v>
      </c>
      <c r="C26" s="81" t="n">
        <v>33570.2225</v>
      </c>
    </row>
    <row r="27" customFormat="false" ht="13.8" hidden="false" customHeight="false" outlineLevel="0" collapsed="false">
      <c r="A27" s="64" t="s">
        <v>404</v>
      </c>
      <c r="B27" s="35" t="n">
        <v>55</v>
      </c>
      <c r="C27" s="81" t="n">
        <v>130703.7905</v>
      </c>
    </row>
    <row r="28" customFormat="false" ht="13.8" hidden="false" customHeight="false" outlineLevel="0" collapsed="false">
      <c r="A28" s="64" t="s">
        <v>117</v>
      </c>
      <c r="B28" s="35" t="n">
        <v>29</v>
      </c>
      <c r="C28" s="81" t="n">
        <v>29275.169</v>
      </c>
    </row>
    <row r="29" customFormat="false" ht="13.8" hidden="false" customHeight="false" outlineLevel="0" collapsed="false">
      <c r="A29" s="64" t="s">
        <v>265</v>
      </c>
      <c r="B29" s="35" t="n">
        <v>31</v>
      </c>
      <c r="C29" s="81" t="n">
        <v>50155.471</v>
      </c>
    </row>
    <row r="30" customFormat="false" ht="13.8" hidden="false" customHeight="false" outlineLevel="0" collapsed="false">
      <c r="A30" s="64" t="s">
        <v>174</v>
      </c>
      <c r="B30" s="35" t="n">
        <v>39</v>
      </c>
      <c r="C30" s="81" t="n">
        <v>302787.9795</v>
      </c>
    </row>
    <row r="31" customFormat="false" ht="13.8" hidden="false" customHeight="false" outlineLevel="0" collapsed="false">
      <c r="A31" s="64" t="s">
        <v>158</v>
      </c>
      <c r="B31" s="35" t="n">
        <v>71</v>
      </c>
      <c r="C31" s="81" t="n">
        <v>525453.8295</v>
      </c>
    </row>
    <row r="32" customFormat="false" ht="13.8" hidden="false" customHeight="false" outlineLevel="0" collapsed="false">
      <c r="A32" s="64" t="s">
        <v>72</v>
      </c>
      <c r="B32" s="35" t="n">
        <v>47</v>
      </c>
      <c r="C32" s="81" t="n">
        <v>132752.2695</v>
      </c>
    </row>
    <row r="33" customFormat="false" ht="13.8" hidden="false" customHeight="false" outlineLevel="0" collapsed="false">
      <c r="A33" s="64" t="s">
        <v>162</v>
      </c>
      <c r="B33" s="35" t="n">
        <v>78</v>
      </c>
      <c r="C33" s="81" t="n">
        <v>24803.8215</v>
      </c>
    </row>
    <row r="34" customFormat="false" ht="13.8" hidden="false" customHeight="false" outlineLevel="0" collapsed="false">
      <c r="A34" s="64" t="s">
        <v>218</v>
      </c>
      <c r="B34" s="35" t="n">
        <v>61</v>
      </c>
      <c r="C34" s="81" t="n">
        <v>161548.991</v>
      </c>
    </row>
    <row r="35" customFormat="false" ht="13.8" hidden="false" customHeight="false" outlineLevel="0" collapsed="false">
      <c r="A35" s="64" t="s">
        <v>210</v>
      </c>
      <c r="B35" s="35" t="n">
        <v>63</v>
      </c>
      <c r="C35" s="81" t="n">
        <v>30954.4265</v>
      </c>
    </row>
    <row r="36" customFormat="false" ht="13.8" hidden="false" customHeight="false" outlineLevel="0" collapsed="false">
      <c r="A36" s="64" t="s">
        <v>353</v>
      </c>
      <c r="B36" s="35" t="n">
        <v>33</v>
      </c>
      <c r="C36" s="81" t="n">
        <v>29345.042</v>
      </c>
    </row>
    <row r="37" customFormat="false" ht="13.8" hidden="false" customHeight="false" outlineLevel="0" collapsed="false">
      <c r="A37" s="64" t="s">
        <v>151</v>
      </c>
      <c r="B37" s="35" t="n">
        <v>74</v>
      </c>
      <c r="C37" s="81" t="n">
        <v>242171.4195</v>
      </c>
    </row>
    <row r="38" customFormat="false" ht="13.8" hidden="false" customHeight="false" outlineLevel="0" collapsed="false">
      <c r="A38" s="64" t="s">
        <v>56</v>
      </c>
      <c r="B38" s="35" t="n">
        <v>30</v>
      </c>
      <c r="C38" s="81" t="n">
        <v>26366.6575</v>
      </c>
    </row>
    <row r="39" customFormat="false" ht="13.8" hidden="false" customHeight="false" outlineLevel="0" collapsed="false">
      <c r="A39" s="64" t="s">
        <v>150</v>
      </c>
      <c r="B39" s="35" t="n">
        <v>45</v>
      </c>
      <c r="C39" s="81" t="n">
        <v>74321.5225</v>
      </c>
    </row>
    <row r="40" customFormat="false" ht="13.8" hidden="false" customHeight="false" outlineLevel="0" collapsed="false">
      <c r="A40" s="64" t="s">
        <v>132</v>
      </c>
      <c r="B40" s="35" t="n">
        <v>73</v>
      </c>
      <c r="C40" s="81" t="n">
        <v>43647.771</v>
      </c>
    </row>
    <row r="41" customFormat="false" ht="13.8" hidden="false" customHeight="false" outlineLevel="0" collapsed="false">
      <c r="A41" s="64" t="s">
        <v>263</v>
      </c>
      <c r="B41" s="35" t="n">
        <v>47</v>
      </c>
      <c r="C41" s="81" t="n">
        <v>292018.331</v>
      </c>
    </row>
    <row r="42" customFormat="false" ht="13.8" hidden="false" customHeight="false" outlineLevel="0" collapsed="false">
      <c r="A42" s="64" t="s">
        <v>166</v>
      </c>
      <c r="B42" s="35" t="n">
        <v>76</v>
      </c>
      <c r="C42" s="81" t="n">
        <v>187205.6245</v>
      </c>
    </row>
    <row r="43" customFormat="false" ht="13.8" hidden="false" customHeight="false" outlineLevel="0" collapsed="false">
      <c r="A43" s="64" t="s">
        <v>140</v>
      </c>
      <c r="B43" s="35" t="n">
        <v>45</v>
      </c>
      <c r="C43" s="81" t="n">
        <v>140874.031</v>
      </c>
    </row>
    <row r="44" customFormat="false" ht="13.8" hidden="false" customHeight="false" outlineLevel="0" collapsed="false">
      <c r="A44" s="64" t="s">
        <v>223</v>
      </c>
      <c r="B44" s="35" t="n">
        <v>68</v>
      </c>
      <c r="C44" s="81" t="n">
        <v>209281.698</v>
      </c>
    </row>
    <row r="45" customFormat="false" ht="13.8" hidden="false" customHeight="false" outlineLevel="0" collapsed="false">
      <c r="A45" s="64" t="s">
        <v>83</v>
      </c>
      <c r="B45" s="35" t="n">
        <v>52</v>
      </c>
      <c r="C45" s="81" t="n">
        <v>265689.79</v>
      </c>
    </row>
    <row r="46" customFormat="false" ht="13.8" hidden="false" customHeight="false" outlineLevel="0" collapsed="false">
      <c r="A46" s="64" t="s">
        <v>187</v>
      </c>
      <c r="B46" s="35" t="n">
        <v>64</v>
      </c>
      <c r="C46" s="81" t="n">
        <v>129319.809</v>
      </c>
    </row>
    <row r="47" customFormat="false" ht="13.8" hidden="false" customHeight="false" outlineLevel="0" collapsed="false">
      <c r="A47" s="64" t="s">
        <v>155</v>
      </c>
      <c r="B47" s="35" t="n">
        <v>54</v>
      </c>
      <c r="C47" s="81" t="n">
        <v>26511.116</v>
      </c>
    </row>
    <row r="48" customFormat="false" ht="13.8" hidden="false" customHeight="false" outlineLevel="0" collapsed="false">
      <c r="A48" s="64" t="s">
        <v>92</v>
      </c>
      <c r="B48" s="35" t="n">
        <v>71</v>
      </c>
      <c r="C48" s="81" t="n">
        <v>12302.0135</v>
      </c>
    </row>
    <row r="49" customFormat="false" ht="13.8" hidden="false" customHeight="false" outlineLevel="0" collapsed="false">
      <c r="A49" s="64" t="s">
        <v>62</v>
      </c>
      <c r="B49" s="35" t="n">
        <v>45</v>
      </c>
      <c r="C49" s="81" t="n">
        <v>193153.841</v>
      </c>
    </row>
    <row r="50" customFormat="false" ht="13.8" hidden="false" customHeight="false" outlineLevel="0" collapsed="false">
      <c r="A50" s="64" t="s">
        <v>141</v>
      </c>
      <c r="B50" s="35" t="n">
        <v>34</v>
      </c>
      <c r="C50" s="81" t="n">
        <v>2568.3695</v>
      </c>
    </row>
    <row r="51" customFormat="false" ht="13.8" hidden="false" customHeight="false" outlineLevel="0" collapsed="false">
      <c r="A51" s="64" t="s">
        <v>77</v>
      </c>
      <c r="B51" s="35" t="n">
        <v>58</v>
      </c>
      <c r="C51" s="81" t="n">
        <v>203711.944</v>
      </c>
    </row>
    <row r="52" customFormat="false" ht="13.8" hidden="false" customHeight="false" outlineLevel="0" collapsed="false">
      <c r="A52" s="64" t="s">
        <v>76</v>
      </c>
      <c r="B52" s="35" t="n">
        <v>62</v>
      </c>
      <c r="C52" s="81" t="n">
        <v>122113.1185</v>
      </c>
    </row>
    <row r="53" customFormat="false" ht="13.8" hidden="false" customHeight="false" outlineLevel="0" collapsed="false">
      <c r="A53" s="64" t="s">
        <v>182</v>
      </c>
      <c r="B53" s="35" t="n">
        <v>62</v>
      </c>
      <c r="C53" s="81" t="n">
        <v>50268.585</v>
      </c>
    </row>
    <row r="54" customFormat="false" ht="13.8" hidden="false" customHeight="false" outlineLevel="0" collapsed="false">
      <c r="A54" s="64" t="s">
        <v>145</v>
      </c>
      <c r="B54" s="35" t="n">
        <v>64</v>
      </c>
      <c r="C54" s="81" t="n">
        <v>105682.133</v>
      </c>
    </row>
    <row r="55" customFormat="false" ht="13.8" hidden="false" customHeight="false" outlineLevel="0" collapsed="false">
      <c r="A55" s="64" t="s">
        <v>75</v>
      </c>
      <c r="B55" s="35" t="n">
        <v>58</v>
      </c>
      <c r="C55" s="81" t="n">
        <v>321923.791</v>
      </c>
    </row>
    <row r="56" customFormat="false" ht="13.8" hidden="false" customHeight="false" outlineLevel="0" collapsed="false">
      <c r="A56" s="64" t="s">
        <v>200</v>
      </c>
      <c r="B56" s="35" t="n">
        <v>45</v>
      </c>
      <c r="C56" s="81" t="n">
        <v>182093.639</v>
      </c>
    </row>
    <row r="57" customFormat="false" ht="13.8" hidden="false" customHeight="false" outlineLevel="0" collapsed="false">
      <c r="A57" s="64" t="s">
        <v>167</v>
      </c>
      <c r="B57" s="35" t="n">
        <v>98</v>
      </c>
      <c r="C57" s="81" t="n">
        <v>293251.1325</v>
      </c>
    </row>
    <row r="58" customFormat="false" ht="13.8" hidden="false" customHeight="false" outlineLevel="0" collapsed="false">
      <c r="A58" s="64" t="s">
        <v>85</v>
      </c>
      <c r="B58" s="35" t="n">
        <v>20</v>
      </c>
      <c r="C58" s="81" t="n">
        <v>74637.3275</v>
      </c>
    </row>
    <row r="59" customFormat="false" ht="13.8" hidden="false" customHeight="false" outlineLevel="0" collapsed="false">
      <c r="A59" s="64" t="s">
        <v>240</v>
      </c>
      <c r="B59" s="35" t="n">
        <v>32</v>
      </c>
      <c r="C59" s="81" t="n">
        <v>115713.7705</v>
      </c>
    </row>
    <row r="60" customFormat="false" ht="13.8" hidden="false" customHeight="false" outlineLevel="0" collapsed="false">
      <c r="A60" s="64" t="s">
        <v>417</v>
      </c>
      <c r="B60" s="35" t="n">
        <v>65</v>
      </c>
      <c r="C60" s="81" t="n">
        <v>110946.4005</v>
      </c>
    </row>
    <row r="61" customFormat="false" ht="13.8" hidden="false" customHeight="false" outlineLevel="0" collapsed="false">
      <c r="A61" s="64" t="s">
        <v>544</v>
      </c>
      <c r="B61" s="35" t="n">
        <v>33</v>
      </c>
      <c r="C61" s="81" t="n">
        <v>22677.8765</v>
      </c>
    </row>
    <row r="62" customFormat="false" ht="13.8" hidden="false" customHeight="false" outlineLevel="0" collapsed="false">
      <c r="A62" s="64" t="s">
        <v>68</v>
      </c>
      <c r="B62" s="35" t="n">
        <v>83</v>
      </c>
      <c r="C62" s="81" t="n">
        <v>146544.9395</v>
      </c>
    </row>
    <row r="63" customFormat="false" ht="13.8" hidden="false" customHeight="false" outlineLevel="0" collapsed="false">
      <c r="A63" s="64" t="s">
        <v>224</v>
      </c>
      <c r="B63" s="35" t="n">
        <v>52</v>
      </c>
      <c r="C63" s="81" t="n">
        <v>60955.8</v>
      </c>
    </row>
    <row r="64" customFormat="false" ht="13.8" hidden="false" customHeight="false" outlineLevel="0" collapsed="false">
      <c r="A64" s="64" t="s">
        <v>126</v>
      </c>
      <c r="B64" s="35" t="n">
        <v>59</v>
      </c>
      <c r="C64" s="81" t="n">
        <v>52929.1615</v>
      </c>
    </row>
    <row r="65" customFormat="false" ht="13.8" hidden="false" customHeight="false" outlineLevel="0" collapsed="false">
      <c r="A65" s="64" t="s">
        <v>385</v>
      </c>
      <c r="B65" s="35" t="n">
        <v>41</v>
      </c>
      <c r="C65" s="81" t="n">
        <v>12154.221</v>
      </c>
    </row>
    <row r="66" customFormat="false" ht="13.8" hidden="false" customHeight="false" outlineLevel="0" collapsed="false">
      <c r="A66" s="64" t="s">
        <v>284</v>
      </c>
      <c r="B66" s="35" t="n">
        <v>64</v>
      </c>
      <c r="C66" s="81" t="n">
        <v>98267.9645</v>
      </c>
    </row>
    <row r="67" customFormat="false" ht="13.8" hidden="false" customHeight="false" outlineLevel="0" collapsed="false">
      <c r="A67" s="64" t="s">
        <v>97</v>
      </c>
      <c r="B67" s="35" t="n">
        <v>67</v>
      </c>
      <c r="C67" s="81" t="n">
        <v>124436.952</v>
      </c>
    </row>
    <row r="68" customFormat="false" ht="13.8" hidden="false" customHeight="false" outlineLevel="0" collapsed="false">
      <c r="A68" s="64" t="s">
        <v>163</v>
      </c>
      <c r="B68" s="35" t="n">
        <v>44</v>
      </c>
      <c r="C68" s="81" t="n">
        <v>116766.738</v>
      </c>
    </row>
    <row r="69" customFormat="false" ht="13.8" hidden="false" customHeight="false" outlineLevel="0" collapsed="false">
      <c r="A69" s="64" t="s">
        <v>121</v>
      </c>
      <c r="B69" s="35" t="n">
        <v>63</v>
      </c>
      <c r="C69" s="81" t="n">
        <v>344527.443</v>
      </c>
    </row>
    <row r="70" customFormat="false" ht="13.8" hidden="false" customHeight="false" outlineLevel="0" collapsed="false">
      <c r="A70" s="64" t="s">
        <v>130</v>
      </c>
      <c r="B70" s="35" t="n">
        <v>60</v>
      </c>
      <c r="C70" s="81" t="n">
        <v>197978.11</v>
      </c>
    </row>
    <row r="71" customFormat="false" ht="13.8" hidden="false" customHeight="false" outlineLevel="0" collapsed="false">
      <c r="A71" s="64" t="s">
        <v>120</v>
      </c>
      <c r="B71" s="35" t="n">
        <v>40</v>
      </c>
      <c r="C71" s="81" t="n">
        <v>26223.8435</v>
      </c>
    </row>
    <row r="72" customFormat="false" ht="13.8" hidden="false" customHeight="false" outlineLevel="0" collapsed="false">
      <c r="A72" s="64" t="s">
        <v>101</v>
      </c>
      <c r="B72" s="35" t="n">
        <v>49</v>
      </c>
      <c r="C72" s="81" t="n">
        <v>122252.02</v>
      </c>
    </row>
    <row r="73" customFormat="false" ht="13.8" hidden="false" customHeight="false" outlineLevel="0" collapsed="false">
      <c r="A73" s="64" t="s">
        <v>66</v>
      </c>
      <c r="B73" s="35" t="n">
        <v>53</v>
      </c>
      <c r="C73" s="81" t="n">
        <v>165340.386</v>
      </c>
    </row>
    <row r="74" customFormat="false" ht="13.8" hidden="false" customHeight="false" outlineLevel="0" collapsed="false">
      <c r="A74" s="64" t="s">
        <v>300</v>
      </c>
      <c r="B74" s="35" t="n">
        <v>46</v>
      </c>
      <c r="C74" s="81" t="n">
        <v>8463.4745</v>
      </c>
    </row>
    <row r="75" customFormat="false" ht="13.8" hidden="false" customHeight="false" outlineLevel="0" collapsed="false">
      <c r="A75" s="64" t="s">
        <v>269</v>
      </c>
      <c r="B75" s="35" t="n">
        <v>85</v>
      </c>
      <c r="C75" s="81" t="n">
        <v>373480.2935</v>
      </c>
    </row>
    <row r="76" customFormat="false" ht="13.8" hidden="false" customHeight="false" outlineLevel="0" collapsed="false">
      <c r="A76" s="64" t="s">
        <v>122</v>
      </c>
      <c r="B76" s="35" t="n">
        <v>62</v>
      </c>
      <c r="C76" s="81" t="n">
        <v>32643.3985</v>
      </c>
    </row>
    <row r="77" customFormat="false" ht="13.8" hidden="false" customHeight="false" outlineLevel="0" collapsed="false">
      <c r="A77" s="64" t="s">
        <v>243</v>
      </c>
      <c r="B77" s="35" t="n">
        <v>72</v>
      </c>
      <c r="C77" s="81" t="n">
        <v>62041.393</v>
      </c>
    </row>
    <row r="78" customFormat="false" ht="13.8" hidden="false" customHeight="false" outlineLevel="0" collapsed="false">
      <c r="A78" s="64" t="s">
        <v>252</v>
      </c>
      <c r="B78" s="35" t="n">
        <v>37</v>
      </c>
      <c r="C78" s="81" t="n">
        <v>197444.135</v>
      </c>
    </row>
    <row r="79" customFormat="false" ht="13.8" hidden="false" customHeight="false" outlineLevel="0" collapsed="false">
      <c r="A79" s="64" t="s">
        <v>88</v>
      </c>
      <c r="B79" s="35" t="n">
        <v>91</v>
      </c>
      <c r="C79" s="81" t="n">
        <v>367324.965</v>
      </c>
    </row>
    <row r="80" customFormat="false" ht="13.8" hidden="false" customHeight="false" outlineLevel="0" collapsed="false">
      <c r="A80" s="64" t="s">
        <v>53</v>
      </c>
      <c r="B80" s="35" t="n">
        <v>46</v>
      </c>
      <c r="C80" s="81" t="n">
        <v>41348.725</v>
      </c>
    </row>
    <row r="81" customFormat="false" ht="13.8" hidden="false" customHeight="false" outlineLevel="0" collapsed="false">
      <c r="A81" s="64" t="s">
        <v>45</v>
      </c>
      <c r="B81" s="35" t="n">
        <v>76</v>
      </c>
      <c r="C81" s="81" t="n">
        <v>119084.5125</v>
      </c>
    </row>
    <row r="82" customFormat="false" ht="13.8" hidden="false" customHeight="false" outlineLevel="0" collapsed="false">
      <c r="A82" s="64" t="s">
        <v>135</v>
      </c>
      <c r="B82" s="35" t="n">
        <v>49</v>
      </c>
      <c r="C82" s="81" t="n">
        <v>33029.006</v>
      </c>
    </row>
    <row r="83" customFormat="false" ht="13.8" hidden="false" customHeight="false" outlineLevel="0" collapsed="false">
      <c r="A83" s="64" t="s">
        <v>219</v>
      </c>
      <c r="B83" s="35" t="n">
        <v>42</v>
      </c>
      <c r="C83" s="81" t="n">
        <v>51667.8705</v>
      </c>
    </row>
    <row r="84" customFormat="false" ht="13.8" hidden="false" customHeight="false" outlineLevel="0" collapsed="false">
      <c r="A84" s="64" t="s">
        <v>127</v>
      </c>
      <c r="B84" s="35" t="n">
        <v>52</v>
      </c>
      <c r="C84" s="81" t="n">
        <v>234997.147</v>
      </c>
    </row>
    <row r="85" customFormat="false" ht="13.8" hidden="false" customHeight="false" outlineLevel="0" collapsed="false">
      <c r="A85" s="64" t="s">
        <v>234</v>
      </c>
      <c r="B85" s="35" t="n">
        <v>34</v>
      </c>
      <c r="C85" s="81" t="n">
        <v>42893.7005</v>
      </c>
    </row>
    <row r="86" customFormat="false" ht="13.8" hidden="false" customHeight="false" outlineLevel="0" collapsed="false">
      <c r="A86" s="64" t="s">
        <v>279</v>
      </c>
      <c r="B86" s="35" t="n">
        <v>52</v>
      </c>
      <c r="C86" s="81" t="n">
        <v>8216.76</v>
      </c>
    </row>
    <row r="87" customFormat="false" ht="13.8" hidden="false" customHeight="false" outlineLevel="0" collapsed="false">
      <c r="A87" s="64" t="s">
        <v>90</v>
      </c>
      <c r="B87" s="35" t="n">
        <v>19</v>
      </c>
      <c r="C87" s="81" t="n">
        <v>37682.085</v>
      </c>
    </row>
    <row r="88" customFormat="false" ht="13.8" hidden="false" customHeight="false" outlineLevel="0" collapsed="false">
      <c r="A88" s="64" t="s">
        <v>278</v>
      </c>
      <c r="B88" s="35" t="n">
        <v>47</v>
      </c>
      <c r="C88" s="81" t="n">
        <v>11049.819</v>
      </c>
    </row>
    <row r="89" customFormat="false" ht="13.8" hidden="false" customHeight="false" outlineLevel="0" collapsed="false">
      <c r="A89" s="64" t="s">
        <v>104</v>
      </c>
      <c r="B89" s="35" t="n">
        <v>52</v>
      </c>
      <c r="C89" s="81" t="n">
        <v>142128.169</v>
      </c>
    </row>
    <row r="90" customFormat="false" ht="13.8" hidden="false" customHeight="false" outlineLevel="0" collapsed="false">
      <c r="A90" s="64" t="s">
        <v>93</v>
      </c>
      <c r="B90" s="35" t="n">
        <v>33</v>
      </c>
      <c r="C90" s="81" t="n">
        <v>97557.121</v>
      </c>
    </row>
    <row r="91" customFormat="false" ht="13.8" hidden="false" customHeight="false" outlineLevel="0" collapsed="false">
      <c r="A91" s="64" t="s">
        <v>116</v>
      </c>
      <c r="B91" s="35" t="n">
        <v>63</v>
      </c>
      <c r="C91" s="81" t="n">
        <v>314208.402</v>
      </c>
    </row>
    <row r="92" customFormat="false" ht="13.8" hidden="false" customHeight="false" outlineLevel="0" collapsed="false">
      <c r="A92" s="64" t="s">
        <v>289</v>
      </c>
      <c r="B92" s="35" t="n">
        <v>54</v>
      </c>
      <c r="C92" s="81" t="n">
        <v>24374.7955</v>
      </c>
    </row>
    <row r="93" customFormat="false" ht="13.8" hidden="false" customHeight="false" outlineLevel="0" collapsed="false">
      <c r="A93" s="64" t="s">
        <v>179</v>
      </c>
      <c r="B93" s="35" t="n">
        <v>58</v>
      </c>
      <c r="C93" s="81" t="n">
        <v>219199.1105</v>
      </c>
    </row>
    <row r="94" customFormat="false" ht="13.8" hidden="false" customHeight="false" outlineLevel="0" collapsed="false">
      <c r="A94" s="64" t="s">
        <v>225</v>
      </c>
      <c r="B94" s="35" t="n">
        <v>30</v>
      </c>
      <c r="C94" s="81" t="n">
        <v>37836.335</v>
      </c>
    </row>
    <row r="95" customFormat="false" ht="13.8" hidden="false" customHeight="false" outlineLevel="0" collapsed="false">
      <c r="A95" s="64" t="s">
        <v>213</v>
      </c>
      <c r="B95" s="35" t="n">
        <v>54</v>
      </c>
      <c r="C95" s="81" t="n">
        <v>56837.614</v>
      </c>
    </row>
    <row r="96" customFormat="false" ht="13.8" hidden="false" customHeight="false" outlineLevel="0" collapsed="false">
      <c r="A96" s="64" t="s">
        <v>233</v>
      </c>
      <c r="B96" s="35" t="n">
        <v>78</v>
      </c>
      <c r="C96" s="81" t="n">
        <v>533925.986</v>
      </c>
    </row>
    <row r="97" customFormat="false" ht="13.8" hidden="false" customHeight="false" outlineLevel="0" collapsed="false">
      <c r="A97" s="64" t="s">
        <v>110</v>
      </c>
      <c r="B97" s="35" t="n">
        <v>75</v>
      </c>
      <c r="C97" s="81" t="n">
        <v>266056.0275</v>
      </c>
    </row>
    <row r="98" customFormat="false" ht="13.8" hidden="false" customHeight="false" outlineLevel="0" collapsed="false">
      <c r="A98" s="64" t="s">
        <v>260</v>
      </c>
      <c r="B98" s="35" t="n">
        <v>47</v>
      </c>
      <c r="C98" s="81" t="n">
        <v>13882.974</v>
      </c>
    </row>
    <row r="99" customFormat="false" ht="13.8" hidden="false" customHeight="false" outlineLevel="0" collapsed="false">
      <c r="A99" s="64" t="s">
        <v>91</v>
      </c>
      <c r="B99" s="35" t="n">
        <v>51</v>
      </c>
      <c r="C99" s="81" t="n">
        <v>260270.5445</v>
      </c>
    </row>
    <row r="100" customFormat="false" ht="13.8" hidden="false" customHeight="false" outlineLevel="0" collapsed="false">
      <c r="A100" s="64" t="s">
        <v>342</v>
      </c>
      <c r="B100" s="35" t="n">
        <v>77</v>
      </c>
      <c r="C100" s="81" t="n">
        <v>79603.023</v>
      </c>
    </row>
    <row r="101" customFormat="false" ht="13.8" hidden="false" customHeight="false" outlineLevel="0" collapsed="false">
      <c r="A101" s="64" t="s">
        <v>147</v>
      </c>
      <c r="B101" s="35" t="n">
        <v>51</v>
      </c>
      <c r="C101" s="81" t="n">
        <v>16769.6345</v>
      </c>
    </row>
    <row r="102" customFormat="false" ht="13.8" hidden="false" customHeight="false" outlineLevel="0" collapsed="false">
      <c r="A102" s="64" t="s">
        <v>142</v>
      </c>
      <c r="B102" s="35" t="n">
        <v>56</v>
      </c>
      <c r="C102" s="81" t="n">
        <v>17471.411</v>
      </c>
    </row>
    <row r="103" customFormat="false" ht="13.8" hidden="false" customHeight="false" outlineLevel="0" collapsed="false">
      <c r="A103" s="64" t="s">
        <v>146</v>
      </c>
      <c r="B103" s="35" t="n">
        <v>45</v>
      </c>
      <c r="C103" s="81" t="n">
        <v>49386.137</v>
      </c>
    </row>
    <row r="104" customFormat="false" ht="13.8" hidden="false" customHeight="false" outlineLevel="0" collapsed="false">
      <c r="A104" s="64" t="s">
        <v>105</v>
      </c>
      <c r="B104" s="35" t="n">
        <v>27</v>
      </c>
      <c r="C104" s="81" t="n">
        <v>165767.6215</v>
      </c>
    </row>
    <row r="105" customFormat="false" ht="13.8" hidden="false" customHeight="false" outlineLevel="0" collapsed="false">
      <c r="A105" s="64" t="s">
        <v>595</v>
      </c>
      <c r="B105" s="42" t="n">
        <v>2</v>
      </c>
      <c r="C105" s="82" t="n">
        <v>1058.924</v>
      </c>
    </row>
    <row r="106" customFormat="false" ht="13.8" hidden="false" customHeight="false" outlineLevel="0" collapsed="false">
      <c r="A106" s="73" t="s">
        <v>1388</v>
      </c>
      <c r="B106" s="49" t="n">
        <v>5364</v>
      </c>
      <c r="C106" s="83" t="n">
        <v>13253019.199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C13" activeCellId="0" sqref="C1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4.61"/>
    <col collapsed="false" customWidth="true" hidden="false" outlineLevel="0" max="2" min="2" style="1" width="11.84"/>
    <col collapsed="false" customWidth="true" hidden="false" outlineLevel="0" max="3" min="3" style="1" width="9.83"/>
    <col collapsed="false" customWidth="true" hidden="false" outlineLevel="0" max="4" min="4" style="1" width="19.4"/>
    <col collapsed="false" customWidth="true" hidden="false" outlineLevel="0" max="5" min="5" style="1" width="15.25"/>
    <col collapsed="false" customWidth="true" hidden="false" outlineLevel="0" max="6" min="6" style="1" width="24.52"/>
    <col collapsed="false" customWidth="true" hidden="false" outlineLevel="0" max="7" min="7" style="1" width="20.18"/>
  </cols>
  <sheetData>
    <row r="1" customFormat="false" ht="13.8" hidden="false" customHeight="false" outlineLevel="0" collapsed="false"/>
    <row r="2" customFormat="false" ht="13.8" hidden="false" customHeight="false" outlineLevel="0" collapsed="false">
      <c r="A2" s="9" t="s">
        <v>37</v>
      </c>
      <c r="B2" s="10" t="s">
        <v>49</v>
      </c>
      <c r="C2" s="0"/>
      <c r="D2" s="0"/>
      <c r="E2" s="0"/>
      <c r="F2" s="0"/>
      <c r="G2" s="0"/>
    </row>
    <row r="3" customFormat="false" ht="13.8" hidden="false" customHeight="false" outlineLevel="0" collapsed="false">
      <c r="A3" s="0"/>
      <c r="B3" s="0"/>
      <c r="C3" s="0"/>
      <c r="D3" s="0"/>
      <c r="E3" s="0"/>
      <c r="F3" s="0"/>
      <c r="G3" s="0"/>
    </row>
    <row r="4" customFormat="false" ht="13.8" hidden="false" customHeight="false" outlineLevel="0" collapsed="false">
      <c r="A4" s="11"/>
      <c r="B4" s="14"/>
      <c r="C4" s="12"/>
      <c r="D4" s="13" t="s">
        <v>31</v>
      </c>
      <c r="E4" s="13" t="s">
        <v>1382</v>
      </c>
      <c r="F4" s="14"/>
      <c r="G4" s="15"/>
    </row>
    <row r="5" customFormat="false" ht="13.8" hidden="false" customHeight="false" outlineLevel="0" collapsed="false">
      <c r="A5" s="16"/>
      <c r="B5" s="84"/>
      <c r="C5" s="17"/>
      <c r="D5" s="18" t="s">
        <v>57</v>
      </c>
      <c r="E5" s="19"/>
      <c r="F5" s="20" t="s">
        <v>1383</v>
      </c>
      <c r="G5" s="21" t="s">
        <v>1384</v>
      </c>
    </row>
    <row r="6" customFormat="false" ht="13.8" hidden="false" customHeight="false" outlineLevel="0" collapsed="false">
      <c r="A6" s="22" t="s">
        <v>27</v>
      </c>
      <c r="B6" s="23" t="s">
        <v>29</v>
      </c>
      <c r="C6" s="23" t="s">
        <v>28</v>
      </c>
      <c r="D6" s="18" t="s">
        <v>1385</v>
      </c>
      <c r="E6" s="19" t="s">
        <v>1386</v>
      </c>
      <c r="F6" s="24"/>
      <c r="G6" s="25"/>
    </row>
    <row r="7" customFormat="false" ht="13.8" hidden="false" customHeight="false" outlineLevel="0" collapsed="false">
      <c r="A7" s="85" t="s">
        <v>1390</v>
      </c>
      <c r="B7" s="86" t="s">
        <v>269</v>
      </c>
      <c r="C7" s="86" t="s">
        <v>613</v>
      </c>
      <c r="D7" s="87" t="n">
        <v>5411.38400000001</v>
      </c>
      <c r="E7" s="88" t="n">
        <v>2</v>
      </c>
      <c r="F7" s="89" t="n">
        <v>5411.38400000001</v>
      </c>
      <c r="G7" s="90" t="n">
        <v>2</v>
      </c>
    </row>
    <row r="8" customFormat="false" ht="13.8" hidden="false" customHeight="false" outlineLevel="0" collapsed="false">
      <c r="A8" s="26" t="s">
        <v>1387</v>
      </c>
      <c r="B8" s="27" t="s">
        <v>269</v>
      </c>
      <c r="C8" s="27" t="s">
        <v>55</v>
      </c>
      <c r="D8" s="30" t="n">
        <v>26641.5</v>
      </c>
      <c r="E8" s="30" t="n">
        <v>5</v>
      </c>
      <c r="F8" s="91" t="n">
        <v>26641.5</v>
      </c>
      <c r="G8" s="32" t="n">
        <v>5</v>
      </c>
    </row>
    <row r="9" customFormat="false" ht="13.8" hidden="false" customHeight="false" outlineLevel="0" collapsed="false">
      <c r="A9" s="40"/>
      <c r="B9" s="41"/>
      <c r="C9" s="41" t="s">
        <v>229</v>
      </c>
      <c r="D9" s="44" t="n">
        <v>17220.385</v>
      </c>
      <c r="E9" s="44" t="n">
        <v>5</v>
      </c>
      <c r="F9" s="92" t="n">
        <v>17220.385</v>
      </c>
      <c r="G9" s="46" t="n">
        <v>5</v>
      </c>
    </row>
    <row r="10" customFormat="false" ht="13.8" hidden="false" customHeight="false" outlineLevel="0" collapsed="false">
      <c r="A10" s="47" t="s">
        <v>1388</v>
      </c>
      <c r="B10" s="93"/>
      <c r="C10" s="48"/>
      <c r="D10" s="49" t="n">
        <v>49273.269</v>
      </c>
      <c r="E10" s="50" t="n">
        <v>12</v>
      </c>
      <c r="F10" s="51" t="n">
        <v>49273.269</v>
      </c>
      <c r="G10" s="52" t="n">
        <v>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4"/>
  <sheetViews>
    <sheetView showFormulas="false" showGridLines="true" showRowColHeaders="true" showZeros="true" rightToLeft="false" tabSelected="false" showOutlineSymbols="true" defaultGridColor="true" view="normal" topLeftCell="E1" colorId="64" zoomScale="90" zoomScaleNormal="90" zoomScalePageLayoutView="100" workbookViewId="0">
      <selection pane="topLeft" activeCell="T2" activeCellId="0" sqref="T2"/>
    </sheetView>
  </sheetViews>
  <sheetFormatPr defaultColWidth="10.66796875" defaultRowHeight="13.5" zeroHeight="false" outlineLevelRow="0" outlineLevelCol="0"/>
  <cols>
    <col collapsed="false" customWidth="true" hidden="false" outlineLevel="0" max="1" min="1" style="1" width="10.33"/>
    <col collapsed="false" customWidth="true" hidden="false" outlineLevel="0" max="2" min="2" style="1" width="11.5"/>
    <col collapsed="false" customWidth="true" hidden="false" outlineLevel="0" max="3" min="3" style="1" width="27.16"/>
    <col collapsed="false" customWidth="true" hidden="false" outlineLevel="0" max="5" min="5" style="1" width="16.33"/>
    <col collapsed="false" customWidth="true" hidden="false" outlineLevel="0" max="6" min="6" style="1" width="18.67"/>
    <col collapsed="false" customWidth="true" hidden="false" outlineLevel="0" max="7" min="7" style="1" width="25.67"/>
    <col collapsed="false" customWidth="true" hidden="false" outlineLevel="0" max="8" min="8" style="1" width="18"/>
    <col collapsed="false" customWidth="true" hidden="false" outlineLevel="0" max="9" min="9" style="1" width="15.16"/>
    <col collapsed="false" customWidth="true" hidden="false" outlineLevel="0" max="10" min="10" style="1" width="20.66"/>
    <col collapsed="false" customWidth="true" hidden="false" outlineLevel="0" max="11" min="11" style="1" width="21.5"/>
    <col collapsed="false" customWidth="true" hidden="false" outlineLevel="0" max="13" min="13" style="1" width="6.83"/>
    <col collapsed="false" customWidth="true" hidden="false" outlineLevel="0" max="14" min="14" style="1" width="8.16"/>
    <col collapsed="false" customWidth="true" hidden="false" outlineLevel="0" max="15" min="15" style="1" width="15.33"/>
    <col collapsed="false" customWidth="true" hidden="false" outlineLevel="0" max="16" min="16" style="1" width="20.33"/>
    <col collapsed="false" customWidth="true" hidden="false" outlineLevel="0" max="17" min="17" style="1" width="17.5"/>
    <col collapsed="false" customWidth="true" hidden="false" outlineLevel="0" max="18" min="18" style="1" width="20.33"/>
    <col collapsed="false" customWidth="true" hidden="false" outlineLevel="0" max="19" min="19" style="1" width="14.33"/>
    <col collapsed="false" customWidth="true" hidden="false" outlineLevel="0" max="20" min="20" style="1" width="16.5"/>
  </cols>
  <sheetData>
    <row r="1" customFormat="false" ht="13.5" hidden="false" customHeight="false" outlineLevel="0" collapsed="false">
      <c r="A1" s="94" t="s">
        <v>37</v>
      </c>
      <c r="B1" s="94" t="s">
        <v>39</v>
      </c>
      <c r="C1" s="6" t="s">
        <v>1391</v>
      </c>
      <c r="E1" s="6" t="s">
        <v>1392</v>
      </c>
      <c r="F1" s="6" t="s">
        <v>1393</v>
      </c>
      <c r="G1" s="6" t="s">
        <v>1394</v>
      </c>
      <c r="H1" s="6" t="s">
        <v>1395</v>
      </c>
      <c r="I1" s="6" t="s">
        <v>1396</v>
      </c>
      <c r="J1" s="6" t="s">
        <v>1397</v>
      </c>
      <c r="K1" s="6" t="s">
        <v>1398</v>
      </c>
      <c r="M1" s="6" t="s">
        <v>1399</v>
      </c>
      <c r="N1" s="6" t="s">
        <v>1400</v>
      </c>
      <c r="O1" s="6" t="s">
        <v>1401</v>
      </c>
      <c r="P1" s="6" t="s">
        <v>1402</v>
      </c>
      <c r="Q1" s="6" t="s">
        <v>1403</v>
      </c>
      <c r="R1" s="6" t="s">
        <v>1404</v>
      </c>
      <c r="S1" s="6" t="s">
        <v>1405</v>
      </c>
      <c r="T1" s="6" t="s">
        <v>1406</v>
      </c>
    </row>
    <row r="2" customFormat="false" ht="13.5" hidden="false" customHeight="false" outlineLevel="0" collapsed="false">
      <c r="A2" s="94" t="s">
        <v>123</v>
      </c>
      <c r="B2" s="94" t="n">
        <v>15000</v>
      </c>
      <c r="C2" s="1" t="str">
        <f aca="false">IF(A2="Devuelta","DEVUELTA",IF(A2="Cancelada","NO EFECTIVA",IF(A2&lt;&gt;"Completada","PENDIENTE DE VALIDACION",IF(OR(B2="",B2="PENDIENTE"),"PENDIENTE",IF(B2&gt;=10000,"ALTA","BAJA")))))</f>
        <v>DEVUELTA</v>
      </c>
      <c r="E2" s="6" t="n">
        <f aca="false">COUNTIF(A2:A8,"Cancelada")</f>
        <v>1</v>
      </c>
      <c r="F2" s="6" t="n">
        <f aca="false">COUNTIFS(A2:A8,"Completada",B2:B8,"&gt;=10000")</f>
        <v>1</v>
      </c>
      <c r="G2" s="6" t="n">
        <f aca="false">SUMIFS(B2:B8,A2:A8,"Completada",B2:B8,"&gt;=10000")</f>
        <v>15000</v>
      </c>
      <c r="H2" s="6" t="n">
        <f aca="false">SUMIF(A2:A8,"Completada",B2:B8)</f>
        <v>23000</v>
      </c>
      <c r="I2" s="6" t="n">
        <f aca="false">COUNTIF(A2:A8,"Completada")</f>
        <v>4</v>
      </c>
      <c r="J2" s="6" t="n">
        <f aca="false">COUNTIFS(A2:A8,"Completada",B2:B8,"&gt;=0")</f>
        <v>2</v>
      </c>
      <c r="K2" s="95" t="n">
        <f aca="false">IF(I2=0,"SIN DATOS",J2/I2)</f>
        <v>0.5</v>
      </c>
      <c r="M2" s="6" t="s">
        <v>1407</v>
      </c>
      <c r="N2" s="6" t="s">
        <v>1408</v>
      </c>
      <c r="O2" s="6" t="n">
        <f aca="false">COUNTIF($M$2:$M$5,M2)</f>
        <v>1</v>
      </c>
      <c r="P2" s="6" t="s">
        <v>1409</v>
      </c>
      <c r="Q2" s="6" t="e">
        <f aca="false">_xlfn.xlookup(P2,M2:M5,N2:N5,"PRODUCTO NO ENCONTRADO")</f>
        <v>#NAME?</v>
      </c>
      <c r="R2" s="1" t="str">
        <f aca="false">IF(O2&gt;1,"REVISAR DUPLICADO","CODIGO UNICO")</f>
        <v>CODIGO UNICO</v>
      </c>
      <c r="S2" s="6" t="n">
        <f aca="false">COUNTA(_xlfn.unique(M2:M5))</f>
        <v>1</v>
      </c>
      <c r="T2" s="6" t="n">
        <f aca="false" t="array" ref="T2:T2">SUMPRODUCT((O2:O5&gt;1)/O2:O5)</f>
        <v>1</v>
      </c>
    </row>
    <row r="3" customFormat="false" ht="13.5" hidden="false" customHeight="false" outlineLevel="0" collapsed="false">
      <c r="A3" s="94" t="s">
        <v>69</v>
      </c>
      <c r="B3" s="94" t="n">
        <v>12000</v>
      </c>
      <c r="C3" s="1" t="str">
        <f aca="false">IF(A3="Devuelta","DEVUELTA",IF(A3="Cancelada","NO EFECTIVA",IF(A3&lt;&gt;"Completada","PENDIENTE DE VALIDACION",IF(OR(B3="",B3="PENDIENTE"),"PENDIENTE",IF(B3&gt;=10000,"ALTA","BAJA")))))</f>
        <v>NO EFECTIVA</v>
      </c>
      <c r="M3" s="6" t="s">
        <v>1409</v>
      </c>
      <c r="N3" s="6" t="s">
        <v>1410</v>
      </c>
      <c r="O3" s="6" t="n">
        <f aca="false">COUNTIF($M$2:$M$5,M3)</f>
        <v>2</v>
      </c>
      <c r="R3" s="1" t="str">
        <f aca="false">IF(O3&gt;1,"REVISAR DUPLICADO","CODIGO UNICO")</f>
        <v>REVISAR DUPLICADO</v>
      </c>
    </row>
    <row r="4" customFormat="false" ht="13.5" hidden="false" customHeight="false" outlineLevel="0" collapsed="false">
      <c r="A4" s="94" t="s">
        <v>49</v>
      </c>
      <c r="B4" s="94" t="s">
        <v>1411</v>
      </c>
      <c r="C4" s="1" t="str">
        <f aca="false">IF(A4="Devuelta","DEVUELTA",IF(A4="Cancelada","NO EFECTIVA",IF(A4&lt;&gt;"Completada","PENDIENTE DE VALIDACION",IF(OR(B4="",B4="PENDIENTE"),"PENDIENTE",IF(B4&gt;=10000,"ALTA","BAJA")))))</f>
        <v>PENDIENTE</v>
      </c>
      <c r="M4" s="6" t="s">
        <v>1412</v>
      </c>
      <c r="N4" s="6" t="s">
        <v>1413</v>
      </c>
      <c r="O4" s="6" t="n">
        <f aca="false">COUNTIF($M$2:$M$5,M4)</f>
        <v>1</v>
      </c>
      <c r="R4" s="1" t="str">
        <f aca="false">IF(O4&gt;1,"REVISAR DUPLICADO","CODIGO UNICO")</f>
        <v>CODIGO UNICO</v>
      </c>
    </row>
    <row r="5" customFormat="false" ht="13.5" hidden="false" customHeight="false" outlineLevel="0" collapsed="false">
      <c r="A5" s="94" t="s">
        <v>49</v>
      </c>
      <c r="B5" s="94" t="n">
        <v>15000</v>
      </c>
      <c r="C5" s="1" t="str">
        <f aca="false">IF(A5="Devuelta","DEVUELTA",IF(A5="Cancelada","NO EFECTIVA",IF(A5&lt;&gt;"Completada","PENDIENTE DE VALIDACION",IF(OR(B5="",B5="PENDIENTE"),"PENDIENTE",IF(B5&gt;=10000,"ALTA","BAJA")))))</f>
        <v>ALTA</v>
      </c>
      <c r="M5" s="6" t="s">
        <v>1409</v>
      </c>
      <c r="N5" s="6" t="s">
        <v>1408</v>
      </c>
      <c r="O5" s="6" t="n">
        <f aca="false">COUNTIF($M$2:$M$5,M5)</f>
        <v>2</v>
      </c>
      <c r="P5" s="1" t="str">
        <f aca="false">IF(O3&gt;1,"REVISAR DUPLICADO","CODIGO UNICO")</f>
        <v>REVISAR DUPLICADO</v>
      </c>
      <c r="R5" s="1" t="str">
        <f aca="false">IF(O5&gt;1,"REVISAR DUPLICADO","CODIGO UNICO")</f>
        <v>REVISAR DUPLICADO</v>
      </c>
    </row>
    <row r="6" customFormat="false" ht="13.5" hidden="false" customHeight="false" outlineLevel="0" collapsed="false">
      <c r="A6" s="94" t="s">
        <v>49</v>
      </c>
      <c r="B6" s="94" t="n">
        <v>8000</v>
      </c>
      <c r="C6" s="1" t="str">
        <f aca="false">IF(A6="Devuelta","DEVUELTA",IF(A6="Cancelada","NO EFECTIVA",IF(A6&lt;&gt;"Completada","PENDIENTE DE VALIDACION",IF(OR(B6="",B6="PENDIENTE"),"PENDIENTE",IF(B6&gt;=10000,"ALTA","BAJA")))))</f>
        <v>BAJA</v>
      </c>
    </row>
    <row r="7" customFormat="false" ht="13.5" hidden="false" customHeight="false" outlineLevel="0" collapsed="false">
      <c r="A7" s="94" t="s">
        <v>1414</v>
      </c>
      <c r="B7" s="94" t="n">
        <v>18000</v>
      </c>
      <c r="C7" s="1" t="str">
        <f aca="false">IF(A7="Devuelta","DEVUELTA",IF(A7="Cancelada","NO EFECTIVA",IF(A7&lt;&gt;"Completada","PENDIENTE DE VALIDACION",IF(OR(B7="",B7="PENDIENTE"),"PENDIENTE",IF(B7&gt;=10000,"ALTA","BAJA")))))</f>
        <v>PENDIENTE DE VALIDACION</v>
      </c>
    </row>
    <row r="8" customFormat="false" ht="13.5" hidden="false" customHeight="false" outlineLevel="0" collapsed="false">
      <c r="A8" s="94" t="s">
        <v>49</v>
      </c>
      <c r="B8" s="94"/>
      <c r="C8" s="1" t="str">
        <f aca="false">IF(A8="Devuelta","DEVUELTA",IF(A8="Cancelada","NO EFECTIVA",IF(A8&lt;&gt;"Completada","PENDIENTE DE VALIDACION",IF(OR(B8="",B8="PENDIENTE"),"PENDIENTE",IF(B8&gt;=10000,"ALTA","BAJA")))))</f>
        <v>PENDIENTE</v>
      </c>
    </row>
    <row r="9" customFormat="false" ht="13.5" hidden="false" customHeight="false" outlineLevel="0" collapsed="false">
      <c r="A9" s="94"/>
      <c r="B9" s="94"/>
    </row>
    <row r="10" customFormat="false" ht="13.5" hidden="false" customHeight="false" outlineLevel="0" collapsed="false">
      <c r="A10" s="94"/>
      <c r="B10" s="94"/>
    </row>
    <row r="11" customFormat="false" ht="13.5" hidden="false" customHeight="false" outlineLevel="0" collapsed="false">
      <c r="A11" s="94"/>
      <c r="B11" s="94"/>
    </row>
    <row r="12" customFormat="false" ht="13.5" hidden="false" customHeight="false" outlineLevel="0" collapsed="false">
      <c r="A12" s="94"/>
      <c r="B12" s="94"/>
    </row>
    <row r="13" customFormat="false" ht="13.5" hidden="false" customHeight="false" outlineLevel="0" collapsed="false">
      <c r="A13" s="94"/>
      <c r="B13" s="94"/>
    </row>
    <row r="14" customFormat="false" ht="13.5" hidden="false" customHeight="false" outlineLevel="0" collapsed="false">
      <c r="A14" s="94"/>
      <c r="B14" s="9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83203125" defaultRowHeight="13.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30"/>
    <col collapsed="false" customWidth="true" hidden="false" outlineLevel="0" max="5" min="3" style="1" width="18"/>
  </cols>
  <sheetData>
    <row r="1" customFormat="false" ht="27.75" hidden="false" customHeight="true" outlineLevel="0" collapsed="false">
      <c r="A1" s="4" t="s">
        <v>29</v>
      </c>
      <c r="B1" s="4" t="s">
        <v>1400</v>
      </c>
      <c r="C1" s="4" t="s">
        <v>1415</v>
      </c>
      <c r="D1" s="96" t="s">
        <v>1416</v>
      </c>
      <c r="E1" s="96" t="s">
        <v>1417</v>
      </c>
    </row>
    <row r="2" customFormat="false" ht="13.5" hidden="false" customHeight="false" outlineLevel="0" collapsed="false">
      <c r="A2" s="1" t="s">
        <v>230</v>
      </c>
      <c r="B2" s="1" t="s">
        <v>1418</v>
      </c>
      <c r="C2" s="1" t="s">
        <v>1419</v>
      </c>
      <c r="D2" s="1" t="n">
        <v>6160</v>
      </c>
      <c r="E2" s="1" t="n">
        <v>3298.19</v>
      </c>
    </row>
    <row r="3" customFormat="false" ht="13.5" hidden="false" customHeight="false" outlineLevel="0" collapsed="false">
      <c r="A3" s="1" t="s">
        <v>190</v>
      </c>
      <c r="B3" s="1" t="s">
        <v>1420</v>
      </c>
      <c r="C3" s="1" t="s">
        <v>1419</v>
      </c>
      <c r="D3" s="1" t="n">
        <v>5090</v>
      </c>
      <c r="E3" s="1" t="n">
        <v>4325.73</v>
      </c>
    </row>
    <row r="4" customFormat="false" ht="13.5" hidden="false" customHeight="false" outlineLevel="0" collapsed="false">
      <c r="A4" s="1" t="s">
        <v>171</v>
      </c>
      <c r="B4" s="1" t="s">
        <v>1421</v>
      </c>
      <c r="C4" s="1" t="s">
        <v>1419</v>
      </c>
      <c r="D4" s="1" t="n">
        <v>5910</v>
      </c>
      <c r="E4" s="1" t="n">
        <v>5050.04</v>
      </c>
    </row>
    <row r="5" customFormat="false" ht="13.5" hidden="false" customHeight="false" outlineLevel="0" collapsed="false">
      <c r="A5" s="1" t="s">
        <v>100</v>
      </c>
      <c r="B5" s="1" t="s">
        <v>1422</v>
      </c>
      <c r="C5" s="1" t="s">
        <v>1419</v>
      </c>
      <c r="D5" s="1" t="n">
        <v>14820</v>
      </c>
      <c r="E5" s="1" t="n">
        <v>8788.79</v>
      </c>
    </row>
    <row r="6" customFormat="false" ht="13.5" hidden="false" customHeight="false" outlineLevel="0" collapsed="false">
      <c r="A6" s="1" t="s">
        <v>170</v>
      </c>
      <c r="B6" s="1" t="s">
        <v>1423</v>
      </c>
      <c r="C6" s="1" t="s">
        <v>1419</v>
      </c>
      <c r="D6" s="1" t="n">
        <v>16200</v>
      </c>
      <c r="E6" s="1" t="n">
        <v>12141.44</v>
      </c>
    </row>
    <row r="7" customFormat="false" ht="13.5" hidden="false" customHeight="false" outlineLevel="0" collapsed="false">
      <c r="A7" s="1" t="s">
        <v>327</v>
      </c>
      <c r="B7" s="1" t="s">
        <v>1424</v>
      </c>
      <c r="C7" s="1" t="s">
        <v>1419</v>
      </c>
      <c r="D7" s="1" t="n">
        <v>4650</v>
      </c>
      <c r="E7" s="1" t="n">
        <v>3065.66</v>
      </c>
    </row>
    <row r="8" customFormat="false" ht="13.5" hidden="false" customHeight="false" outlineLevel="0" collapsed="false">
      <c r="A8" s="1" t="s">
        <v>96</v>
      </c>
      <c r="B8" s="1" t="s">
        <v>1425</v>
      </c>
      <c r="C8" s="1" t="s">
        <v>1419</v>
      </c>
      <c r="D8" s="1" t="n">
        <v>11780</v>
      </c>
      <c r="E8" s="1" t="n">
        <v>9118.07</v>
      </c>
    </row>
    <row r="9" customFormat="false" ht="13.5" hidden="false" customHeight="false" outlineLevel="0" collapsed="false">
      <c r="A9" s="1" t="s">
        <v>203</v>
      </c>
      <c r="B9" s="1" t="s">
        <v>1426</v>
      </c>
      <c r="C9" s="1" t="s">
        <v>1419</v>
      </c>
      <c r="D9" s="1" t="n">
        <v>740</v>
      </c>
      <c r="E9" s="1" t="n">
        <v>485.16</v>
      </c>
    </row>
    <row r="10" customFormat="false" ht="13.5" hidden="false" customHeight="false" outlineLevel="0" collapsed="false">
      <c r="A10" s="1" t="s">
        <v>108</v>
      </c>
      <c r="B10" s="1" t="s">
        <v>1427</v>
      </c>
      <c r="C10" s="1" t="s">
        <v>1419</v>
      </c>
      <c r="D10" s="1" t="n">
        <v>4770</v>
      </c>
      <c r="E10" s="1" t="n">
        <v>2865.24</v>
      </c>
    </row>
    <row r="11" customFormat="false" ht="13.5" hidden="false" customHeight="false" outlineLevel="0" collapsed="false">
      <c r="A11" s="1" t="s">
        <v>374</v>
      </c>
      <c r="B11" s="1" t="s">
        <v>1428</v>
      </c>
      <c r="C11" s="1" t="s">
        <v>1419</v>
      </c>
      <c r="D11" s="1" t="n">
        <v>9400</v>
      </c>
      <c r="E11" s="1" t="n">
        <v>5079.43</v>
      </c>
    </row>
    <row r="12" customFormat="false" ht="13.5" hidden="false" customHeight="false" outlineLevel="0" collapsed="false">
      <c r="A12" s="1" t="s">
        <v>360</v>
      </c>
      <c r="B12" s="1" t="s">
        <v>1429</v>
      </c>
      <c r="C12" s="1" t="s">
        <v>1419</v>
      </c>
      <c r="D12" s="1" t="n">
        <v>2090</v>
      </c>
      <c r="E12" s="1" t="n">
        <v>1479.71</v>
      </c>
    </row>
    <row r="13" customFormat="false" ht="13.5" hidden="false" customHeight="false" outlineLevel="0" collapsed="false">
      <c r="A13" s="1" t="s">
        <v>139</v>
      </c>
      <c r="B13" s="1" t="s">
        <v>1430</v>
      </c>
      <c r="C13" s="1" t="s">
        <v>1419</v>
      </c>
      <c r="D13" s="1" t="n">
        <v>17840</v>
      </c>
      <c r="E13" s="1" t="n">
        <v>11036.95</v>
      </c>
    </row>
    <row r="14" customFormat="false" ht="13.5" hidden="false" customHeight="false" outlineLevel="0" collapsed="false">
      <c r="A14" s="1" t="s">
        <v>51</v>
      </c>
      <c r="B14" s="1" t="s">
        <v>1431</v>
      </c>
      <c r="C14" s="1" t="s">
        <v>1419</v>
      </c>
      <c r="D14" s="1" t="n">
        <v>13650</v>
      </c>
      <c r="E14" s="1" t="n">
        <v>8980.68</v>
      </c>
    </row>
    <row r="15" customFormat="false" ht="13.5" hidden="false" customHeight="false" outlineLevel="0" collapsed="false">
      <c r="A15" s="1" t="s">
        <v>113</v>
      </c>
      <c r="B15" s="1" t="s">
        <v>1432</v>
      </c>
      <c r="C15" s="1" t="s">
        <v>1419</v>
      </c>
      <c r="D15" s="1" t="n">
        <v>9670</v>
      </c>
      <c r="E15" s="1" t="n">
        <v>8276.74</v>
      </c>
    </row>
    <row r="16" customFormat="false" ht="13.5" hidden="false" customHeight="false" outlineLevel="0" collapsed="false">
      <c r="A16" s="1" t="s">
        <v>280</v>
      </c>
      <c r="B16" s="1" t="s">
        <v>1433</v>
      </c>
      <c r="C16" s="1" t="s">
        <v>1419</v>
      </c>
      <c r="D16" s="1" t="n">
        <v>1370</v>
      </c>
      <c r="E16" s="1" t="n">
        <v>716.26</v>
      </c>
    </row>
    <row r="17" customFormat="false" ht="13.5" hidden="false" customHeight="false" outlineLevel="0" collapsed="false">
      <c r="A17" s="1" t="s">
        <v>333</v>
      </c>
      <c r="B17" s="1" t="s">
        <v>1434</v>
      </c>
      <c r="C17" s="1" t="s">
        <v>1419</v>
      </c>
      <c r="D17" s="1" t="n">
        <v>7400</v>
      </c>
      <c r="E17" s="1" t="n">
        <v>4044.16</v>
      </c>
    </row>
    <row r="18" customFormat="false" ht="13.5" hidden="false" customHeight="false" outlineLevel="0" collapsed="false">
      <c r="A18" s="1" t="s">
        <v>215</v>
      </c>
      <c r="B18" s="1" t="s">
        <v>1435</v>
      </c>
      <c r="C18" s="1" t="s">
        <v>1419</v>
      </c>
      <c r="D18" s="1" t="n">
        <v>10220</v>
      </c>
      <c r="E18" s="1" t="n">
        <v>5535.31</v>
      </c>
    </row>
    <row r="19" customFormat="false" ht="13.5" hidden="false" customHeight="false" outlineLevel="0" collapsed="false">
      <c r="A19" s="1" t="s">
        <v>192</v>
      </c>
      <c r="B19" s="1" t="s">
        <v>1436</v>
      </c>
      <c r="C19" s="1" t="s">
        <v>1419</v>
      </c>
      <c r="D19" s="1" t="n">
        <v>16610</v>
      </c>
      <c r="E19" s="1" t="n">
        <v>11904.09</v>
      </c>
    </row>
    <row r="20" customFormat="false" ht="13.5" hidden="false" customHeight="false" outlineLevel="0" collapsed="false">
      <c r="A20" s="1" t="s">
        <v>255</v>
      </c>
      <c r="B20" s="1" t="s">
        <v>1437</v>
      </c>
      <c r="C20" s="1" t="s">
        <v>1419</v>
      </c>
      <c r="D20" s="1" t="n">
        <v>12630</v>
      </c>
      <c r="E20" s="1" t="n">
        <v>6856.4</v>
      </c>
    </row>
    <row r="21" customFormat="false" ht="13.5" hidden="false" customHeight="false" outlineLevel="0" collapsed="false">
      <c r="A21" s="1" t="s">
        <v>410</v>
      </c>
      <c r="B21" s="1" t="s">
        <v>1438</v>
      </c>
      <c r="C21" s="1" t="s">
        <v>1419</v>
      </c>
      <c r="D21" s="1" t="n">
        <v>2820</v>
      </c>
      <c r="E21" s="1" t="n">
        <v>1801.83</v>
      </c>
    </row>
    <row r="22" customFormat="false" ht="13.5" hidden="false" customHeight="false" outlineLevel="0" collapsed="false">
      <c r="A22" s="1" t="s">
        <v>328</v>
      </c>
      <c r="B22" s="1" t="s">
        <v>1439</v>
      </c>
      <c r="C22" s="1" t="s">
        <v>1419</v>
      </c>
      <c r="D22" s="1" t="n">
        <v>1240</v>
      </c>
      <c r="E22" s="1" t="n">
        <v>679.37</v>
      </c>
    </row>
    <row r="23" customFormat="false" ht="13.5" hidden="false" customHeight="false" outlineLevel="0" collapsed="false">
      <c r="A23" s="1" t="s">
        <v>159</v>
      </c>
      <c r="B23" s="1" t="s">
        <v>1440</v>
      </c>
      <c r="C23" s="1" t="s">
        <v>1419</v>
      </c>
      <c r="D23" s="1" t="n">
        <v>2630</v>
      </c>
      <c r="E23" s="1" t="n">
        <v>1962.3</v>
      </c>
    </row>
    <row r="24" customFormat="false" ht="13.5" hidden="false" customHeight="false" outlineLevel="0" collapsed="false">
      <c r="A24" s="1" t="s">
        <v>404</v>
      </c>
      <c r="B24" s="1" t="s">
        <v>1441</v>
      </c>
      <c r="C24" s="1" t="s">
        <v>1419</v>
      </c>
      <c r="D24" s="1" t="n">
        <v>6190</v>
      </c>
      <c r="E24" s="1" t="n">
        <v>3640.56</v>
      </c>
    </row>
    <row r="25" customFormat="false" ht="13.5" hidden="false" customHeight="false" outlineLevel="0" collapsed="false">
      <c r="A25" s="1" t="s">
        <v>117</v>
      </c>
      <c r="B25" s="1" t="s">
        <v>1442</v>
      </c>
      <c r="C25" s="1" t="s">
        <v>1419</v>
      </c>
      <c r="D25" s="1" t="n">
        <v>5330</v>
      </c>
      <c r="E25" s="1" t="n">
        <v>4205.69</v>
      </c>
    </row>
    <row r="26" customFormat="false" ht="13.5" hidden="false" customHeight="false" outlineLevel="0" collapsed="false">
      <c r="A26" s="1" t="s">
        <v>265</v>
      </c>
      <c r="B26" s="1" t="s">
        <v>1443</v>
      </c>
      <c r="C26" s="1" t="s">
        <v>1419</v>
      </c>
      <c r="D26" s="1" t="n">
        <v>3660</v>
      </c>
      <c r="E26" s="1" t="n">
        <v>2008.57</v>
      </c>
    </row>
    <row r="27" customFormat="false" ht="13.5" hidden="false" customHeight="false" outlineLevel="0" collapsed="false">
      <c r="A27" s="1" t="s">
        <v>174</v>
      </c>
      <c r="B27" s="1" t="s">
        <v>1444</v>
      </c>
      <c r="C27" s="1" t="s">
        <v>1419</v>
      </c>
      <c r="D27" s="1" t="n">
        <v>16680</v>
      </c>
      <c r="E27" s="1" t="n">
        <v>8704.4</v>
      </c>
    </row>
    <row r="28" customFormat="false" ht="13.5" hidden="false" customHeight="false" outlineLevel="0" collapsed="false">
      <c r="A28" s="1" t="s">
        <v>158</v>
      </c>
      <c r="B28" s="1" t="s">
        <v>1445</v>
      </c>
      <c r="C28" s="1" t="s">
        <v>1419</v>
      </c>
      <c r="D28" s="1" t="n">
        <v>16110</v>
      </c>
      <c r="E28" s="1" t="n">
        <v>8963.23</v>
      </c>
    </row>
    <row r="29" customFormat="false" ht="13.5" hidden="false" customHeight="false" outlineLevel="0" collapsed="false">
      <c r="A29" s="1" t="s">
        <v>72</v>
      </c>
      <c r="B29" s="1" t="s">
        <v>1446</v>
      </c>
      <c r="C29" s="1" t="s">
        <v>1419</v>
      </c>
      <c r="D29" s="1" t="n">
        <v>11010</v>
      </c>
      <c r="E29" s="1" t="n">
        <v>7328.02</v>
      </c>
    </row>
    <row r="30" customFormat="false" ht="13.5" hidden="false" customHeight="false" outlineLevel="0" collapsed="false">
      <c r="A30" s="1" t="s">
        <v>162</v>
      </c>
      <c r="B30" s="1" t="s">
        <v>1447</v>
      </c>
      <c r="C30" s="1" t="s">
        <v>1419</v>
      </c>
      <c r="D30" s="1" t="n">
        <v>730</v>
      </c>
      <c r="E30" s="1" t="n">
        <v>397.1</v>
      </c>
    </row>
    <row r="31" customFormat="false" ht="13.5" hidden="false" customHeight="false" outlineLevel="0" collapsed="false">
      <c r="A31" s="1" t="s">
        <v>218</v>
      </c>
      <c r="B31" s="1" t="s">
        <v>1448</v>
      </c>
      <c r="C31" s="1" t="s">
        <v>1419</v>
      </c>
      <c r="D31" s="1" t="n">
        <v>17630</v>
      </c>
      <c r="E31" s="1" t="n">
        <v>13760.53</v>
      </c>
    </row>
    <row r="32" customFormat="false" ht="13.5" hidden="false" customHeight="false" outlineLevel="0" collapsed="false">
      <c r="A32" s="1" t="s">
        <v>210</v>
      </c>
      <c r="B32" s="1" t="s">
        <v>1449</v>
      </c>
      <c r="C32" s="1" t="s">
        <v>1419</v>
      </c>
      <c r="D32" s="1" t="n">
        <v>1880</v>
      </c>
      <c r="E32" s="1" t="n">
        <v>1252.84</v>
      </c>
    </row>
    <row r="33" customFormat="false" ht="13.5" hidden="false" customHeight="false" outlineLevel="0" collapsed="false">
      <c r="A33" s="1" t="s">
        <v>353</v>
      </c>
      <c r="B33" s="1" t="s">
        <v>1450</v>
      </c>
      <c r="C33" s="1" t="s">
        <v>1419</v>
      </c>
      <c r="D33" s="1" t="n">
        <v>2200</v>
      </c>
      <c r="E33" s="1" t="n">
        <v>1175.74</v>
      </c>
    </row>
    <row r="34" customFormat="false" ht="13.5" hidden="false" customHeight="false" outlineLevel="0" collapsed="false">
      <c r="A34" s="1" t="s">
        <v>151</v>
      </c>
      <c r="B34" s="1" t="s">
        <v>1451</v>
      </c>
      <c r="C34" s="1" t="s">
        <v>1452</v>
      </c>
      <c r="D34" s="1" t="n">
        <v>9020</v>
      </c>
      <c r="E34" s="1" t="n">
        <v>5125.36</v>
      </c>
    </row>
    <row r="35" customFormat="false" ht="13.5" hidden="false" customHeight="false" outlineLevel="0" collapsed="false">
      <c r="A35" s="1" t="s">
        <v>56</v>
      </c>
      <c r="B35" s="1" t="s">
        <v>1453</v>
      </c>
      <c r="C35" s="1" t="s">
        <v>1452</v>
      </c>
      <c r="D35" s="1" t="n">
        <v>3900</v>
      </c>
      <c r="E35" s="1" t="n">
        <v>2950.52</v>
      </c>
    </row>
    <row r="36" customFormat="false" ht="13.5" hidden="false" customHeight="false" outlineLevel="0" collapsed="false">
      <c r="A36" s="1" t="s">
        <v>150</v>
      </c>
      <c r="B36" s="1" t="s">
        <v>1454</v>
      </c>
      <c r="C36" s="1" t="s">
        <v>1452</v>
      </c>
      <c r="D36" s="1" t="n">
        <v>9120</v>
      </c>
      <c r="E36" s="1" t="n">
        <v>6815.42</v>
      </c>
    </row>
    <row r="37" customFormat="false" ht="13.5" hidden="false" customHeight="false" outlineLevel="0" collapsed="false">
      <c r="A37" s="1" t="s">
        <v>132</v>
      </c>
      <c r="B37" s="1" t="s">
        <v>1455</v>
      </c>
      <c r="C37" s="1" t="s">
        <v>1452</v>
      </c>
      <c r="D37" s="1" t="n">
        <v>1680</v>
      </c>
      <c r="E37" s="1" t="n">
        <v>1044.32</v>
      </c>
    </row>
    <row r="38" customFormat="false" ht="13.5" hidden="false" customHeight="false" outlineLevel="0" collapsed="false">
      <c r="A38" s="1" t="s">
        <v>263</v>
      </c>
      <c r="B38" s="1" t="s">
        <v>1456</v>
      </c>
      <c r="C38" s="1" t="s">
        <v>1452</v>
      </c>
      <c r="D38" s="1" t="n">
        <v>18170</v>
      </c>
      <c r="E38" s="1" t="n">
        <v>11666.57</v>
      </c>
    </row>
    <row r="39" customFormat="false" ht="13.5" hidden="false" customHeight="false" outlineLevel="0" collapsed="false">
      <c r="A39" s="1" t="s">
        <v>166</v>
      </c>
      <c r="B39" s="1" t="s">
        <v>1457</v>
      </c>
      <c r="C39" s="1" t="s">
        <v>1452</v>
      </c>
      <c r="D39" s="1" t="n">
        <v>11930</v>
      </c>
      <c r="E39" s="1" t="n">
        <v>9317.37</v>
      </c>
    </row>
    <row r="40" customFormat="false" ht="13.5" hidden="false" customHeight="false" outlineLevel="0" collapsed="false">
      <c r="A40" s="1" t="s">
        <v>140</v>
      </c>
      <c r="B40" s="1" t="s">
        <v>1458</v>
      </c>
      <c r="C40" s="1" t="s">
        <v>1452</v>
      </c>
      <c r="D40" s="1" t="n">
        <v>7610</v>
      </c>
      <c r="E40" s="1" t="n">
        <v>4061.34</v>
      </c>
    </row>
    <row r="41" customFormat="false" ht="13.5" hidden="false" customHeight="false" outlineLevel="0" collapsed="false">
      <c r="A41" s="1" t="s">
        <v>223</v>
      </c>
      <c r="B41" s="1" t="s">
        <v>1459</v>
      </c>
      <c r="C41" s="1" t="s">
        <v>1452</v>
      </c>
      <c r="D41" s="1" t="n">
        <v>15400</v>
      </c>
      <c r="E41" s="1" t="n">
        <v>12064.41</v>
      </c>
    </row>
    <row r="42" customFormat="false" ht="13.5" hidden="false" customHeight="false" outlineLevel="0" collapsed="false">
      <c r="A42" s="1" t="s">
        <v>83</v>
      </c>
      <c r="B42" s="1" t="s">
        <v>1460</v>
      </c>
      <c r="C42" s="1" t="s">
        <v>1452</v>
      </c>
      <c r="D42" s="1" t="n">
        <v>13260</v>
      </c>
      <c r="E42" s="1" t="n">
        <v>7748.44</v>
      </c>
    </row>
    <row r="43" customFormat="false" ht="13.5" hidden="false" customHeight="false" outlineLevel="0" collapsed="false">
      <c r="A43" s="1" t="s">
        <v>187</v>
      </c>
      <c r="B43" s="1" t="s">
        <v>1461</v>
      </c>
      <c r="C43" s="1" t="s">
        <v>1452</v>
      </c>
      <c r="D43" s="1" t="n">
        <v>6260</v>
      </c>
      <c r="E43" s="1" t="n">
        <v>3824.92</v>
      </c>
    </row>
    <row r="44" customFormat="false" ht="13.5" hidden="false" customHeight="false" outlineLevel="0" collapsed="false">
      <c r="A44" s="1" t="s">
        <v>155</v>
      </c>
      <c r="B44" s="1" t="s">
        <v>1462</v>
      </c>
      <c r="C44" s="1" t="s">
        <v>1452</v>
      </c>
      <c r="D44" s="1" t="n">
        <v>2940</v>
      </c>
      <c r="E44" s="1" t="n">
        <v>2459.34</v>
      </c>
    </row>
    <row r="45" customFormat="false" ht="13.5" hidden="false" customHeight="false" outlineLevel="0" collapsed="false">
      <c r="A45" s="1" t="s">
        <v>92</v>
      </c>
      <c r="B45" s="1" t="s">
        <v>1463</v>
      </c>
      <c r="C45" s="1" t="s">
        <v>1452</v>
      </c>
      <c r="D45" s="1" t="n">
        <v>510</v>
      </c>
      <c r="E45" s="1" t="n">
        <v>307.75</v>
      </c>
    </row>
    <row r="46" customFormat="false" ht="13.5" hidden="false" customHeight="false" outlineLevel="0" collapsed="false">
      <c r="A46" s="1" t="s">
        <v>62</v>
      </c>
      <c r="B46" s="1" t="s">
        <v>1464</v>
      </c>
      <c r="C46" s="1" t="s">
        <v>1452</v>
      </c>
      <c r="D46" s="1" t="n">
        <v>11570</v>
      </c>
      <c r="E46" s="1" t="n">
        <v>6407.85</v>
      </c>
    </row>
    <row r="47" customFormat="false" ht="13.5" hidden="false" customHeight="false" outlineLevel="0" collapsed="false">
      <c r="A47" s="1" t="s">
        <v>141</v>
      </c>
      <c r="B47" s="1" t="s">
        <v>1465</v>
      </c>
      <c r="C47" s="1" t="s">
        <v>1452</v>
      </c>
      <c r="D47" s="1" t="n">
        <v>260</v>
      </c>
      <c r="E47" s="1" t="n">
        <v>176.47</v>
      </c>
    </row>
    <row r="48" customFormat="false" ht="13.5" hidden="false" customHeight="false" outlineLevel="0" collapsed="false">
      <c r="A48" s="1" t="s">
        <v>77</v>
      </c>
      <c r="B48" s="1" t="s">
        <v>1466</v>
      </c>
      <c r="C48" s="1" t="s">
        <v>1452</v>
      </c>
      <c r="D48" s="1" t="n">
        <v>15230</v>
      </c>
      <c r="E48" s="1" t="n">
        <v>10571.25</v>
      </c>
    </row>
    <row r="49" customFormat="false" ht="13.5" hidden="false" customHeight="false" outlineLevel="0" collapsed="false">
      <c r="A49" s="1" t="s">
        <v>76</v>
      </c>
      <c r="B49" s="1" t="s">
        <v>1467</v>
      </c>
      <c r="C49" s="1" t="s">
        <v>1452</v>
      </c>
      <c r="D49" s="1" t="n">
        <v>12510</v>
      </c>
      <c r="E49" s="1" t="n">
        <v>10094.26</v>
      </c>
    </row>
    <row r="50" customFormat="false" ht="13.5" hidden="false" customHeight="false" outlineLevel="0" collapsed="false">
      <c r="A50" s="1" t="s">
        <v>182</v>
      </c>
      <c r="B50" s="1" t="s">
        <v>1468</v>
      </c>
      <c r="C50" s="1" t="s">
        <v>1452</v>
      </c>
      <c r="D50" s="1" t="n">
        <v>2650</v>
      </c>
      <c r="E50" s="1" t="n">
        <v>1857.39</v>
      </c>
    </row>
    <row r="51" customFormat="false" ht="13.5" hidden="false" customHeight="false" outlineLevel="0" collapsed="false">
      <c r="A51" s="1" t="s">
        <v>145</v>
      </c>
      <c r="B51" s="1" t="s">
        <v>1469</v>
      </c>
      <c r="C51" s="1" t="s">
        <v>1452</v>
      </c>
      <c r="D51" s="1" t="n">
        <v>6450</v>
      </c>
      <c r="E51" s="1" t="n">
        <v>4665.62</v>
      </c>
    </row>
    <row r="52" customFormat="false" ht="13.5" hidden="false" customHeight="false" outlineLevel="0" collapsed="false">
      <c r="A52" s="1" t="s">
        <v>75</v>
      </c>
      <c r="B52" s="1" t="s">
        <v>1470</v>
      </c>
      <c r="C52" s="1" t="s">
        <v>1452</v>
      </c>
      <c r="D52" s="1" t="n">
        <v>15000</v>
      </c>
      <c r="E52" s="1" t="n">
        <v>9243.35</v>
      </c>
    </row>
    <row r="53" customFormat="false" ht="13.5" hidden="false" customHeight="false" outlineLevel="0" collapsed="false">
      <c r="A53" s="1" t="s">
        <v>200</v>
      </c>
      <c r="B53" s="1" t="s">
        <v>1471</v>
      </c>
      <c r="C53" s="1" t="s">
        <v>1452</v>
      </c>
      <c r="D53" s="1" t="n">
        <v>10730</v>
      </c>
      <c r="E53" s="1" t="n">
        <v>5811.72</v>
      </c>
    </row>
    <row r="54" customFormat="false" ht="13.5" hidden="false" customHeight="false" outlineLevel="0" collapsed="false">
      <c r="A54" s="1" t="s">
        <v>167</v>
      </c>
      <c r="B54" s="1" t="s">
        <v>1472</v>
      </c>
      <c r="C54" s="1" t="s">
        <v>1452</v>
      </c>
      <c r="D54" s="1" t="n">
        <v>7370</v>
      </c>
      <c r="E54" s="1" t="n">
        <v>4082.15</v>
      </c>
    </row>
    <row r="55" customFormat="false" ht="13.5" hidden="false" customHeight="false" outlineLevel="0" collapsed="false">
      <c r="A55" s="1" t="s">
        <v>85</v>
      </c>
      <c r="B55" s="1" t="s">
        <v>1473</v>
      </c>
      <c r="C55" s="1" t="s">
        <v>1452</v>
      </c>
      <c r="D55" s="1" t="n">
        <v>9290</v>
      </c>
      <c r="E55" s="1" t="n">
        <v>5033.47</v>
      </c>
    </row>
    <row r="56" customFormat="false" ht="13.5" hidden="false" customHeight="false" outlineLevel="0" collapsed="false">
      <c r="A56" s="1" t="s">
        <v>240</v>
      </c>
      <c r="B56" s="1" t="s">
        <v>1474</v>
      </c>
      <c r="C56" s="1" t="s">
        <v>1452</v>
      </c>
      <c r="D56" s="1" t="n">
        <v>9990</v>
      </c>
      <c r="E56" s="1" t="n">
        <v>5932.12</v>
      </c>
    </row>
    <row r="57" customFormat="false" ht="13.5" hidden="false" customHeight="false" outlineLevel="0" collapsed="false">
      <c r="A57" s="1" t="s">
        <v>417</v>
      </c>
      <c r="B57" s="1" t="s">
        <v>1475</v>
      </c>
      <c r="C57" s="1" t="s">
        <v>1452</v>
      </c>
      <c r="D57" s="1" t="n">
        <v>7750</v>
      </c>
      <c r="E57" s="1" t="n">
        <v>5874.17</v>
      </c>
    </row>
    <row r="58" customFormat="false" ht="13.5" hidden="false" customHeight="false" outlineLevel="0" collapsed="false">
      <c r="A58" s="1" t="s">
        <v>544</v>
      </c>
      <c r="B58" s="1" t="s">
        <v>1476</v>
      </c>
      <c r="C58" s="1" t="s">
        <v>1477</v>
      </c>
      <c r="D58" s="1" t="n">
        <v>5340</v>
      </c>
      <c r="E58" s="1" t="n">
        <v>4556.23</v>
      </c>
    </row>
    <row r="59" customFormat="false" ht="13.5" hidden="false" customHeight="false" outlineLevel="0" collapsed="false">
      <c r="A59" s="1" t="s">
        <v>68</v>
      </c>
      <c r="B59" s="1" t="s">
        <v>1478</v>
      </c>
      <c r="C59" s="1" t="s">
        <v>1477</v>
      </c>
      <c r="D59" s="1" t="n">
        <v>4480</v>
      </c>
      <c r="E59" s="1" t="n">
        <v>2554.06</v>
      </c>
    </row>
    <row r="60" customFormat="false" ht="13.5" hidden="false" customHeight="false" outlineLevel="0" collapsed="false">
      <c r="A60" s="1" t="s">
        <v>224</v>
      </c>
      <c r="B60" s="1" t="s">
        <v>1479</v>
      </c>
      <c r="C60" s="1" t="s">
        <v>1477</v>
      </c>
      <c r="D60" s="1" t="n">
        <v>16530</v>
      </c>
      <c r="E60" s="1" t="n">
        <v>14161.63</v>
      </c>
    </row>
    <row r="61" customFormat="false" ht="13.5" hidden="false" customHeight="false" outlineLevel="0" collapsed="false">
      <c r="A61" s="1" t="s">
        <v>126</v>
      </c>
      <c r="B61" s="1" t="s">
        <v>1480</v>
      </c>
      <c r="C61" s="1" t="s">
        <v>1477</v>
      </c>
      <c r="D61" s="1" t="n">
        <v>8640</v>
      </c>
      <c r="E61" s="1" t="n">
        <v>6981.94</v>
      </c>
    </row>
    <row r="62" customFormat="false" ht="13.5" hidden="false" customHeight="false" outlineLevel="0" collapsed="false">
      <c r="A62" s="1" t="s">
        <v>385</v>
      </c>
      <c r="B62" s="1" t="s">
        <v>1481</v>
      </c>
      <c r="C62" s="1" t="s">
        <v>1477</v>
      </c>
      <c r="D62" s="1" t="n">
        <v>3370</v>
      </c>
      <c r="E62" s="1" t="n">
        <v>2864.64</v>
      </c>
    </row>
    <row r="63" customFormat="false" ht="13.5" hidden="false" customHeight="false" outlineLevel="0" collapsed="false">
      <c r="A63" s="1" t="s">
        <v>284</v>
      </c>
      <c r="B63" s="1" t="s">
        <v>1482</v>
      </c>
      <c r="C63" s="1" t="s">
        <v>1477</v>
      </c>
      <c r="D63" s="1" t="n">
        <v>6460</v>
      </c>
      <c r="E63" s="1" t="n">
        <v>4858.08</v>
      </c>
    </row>
    <row r="64" customFormat="false" ht="13.5" hidden="false" customHeight="false" outlineLevel="0" collapsed="false">
      <c r="A64" s="1" t="s">
        <v>97</v>
      </c>
      <c r="B64" s="1" t="s">
        <v>1483</v>
      </c>
      <c r="C64" s="1" t="s">
        <v>1477</v>
      </c>
      <c r="D64" s="1" t="n">
        <v>10590</v>
      </c>
      <c r="E64" s="1" t="n">
        <v>8174.87</v>
      </c>
    </row>
    <row r="65" customFormat="false" ht="13.5" hidden="false" customHeight="false" outlineLevel="0" collapsed="false">
      <c r="A65" s="1" t="s">
        <v>163</v>
      </c>
      <c r="B65" s="1" t="s">
        <v>1484</v>
      </c>
      <c r="C65" s="1" t="s">
        <v>1477</v>
      </c>
      <c r="D65" s="1" t="n">
        <v>18440</v>
      </c>
      <c r="E65" s="1" t="n">
        <v>13981.13</v>
      </c>
    </row>
    <row r="66" customFormat="false" ht="13.5" hidden="false" customHeight="false" outlineLevel="0" collapsed="false">
      <c r="A66" s="1" t="s">
        <v>121</v>
      </c>
      <c r="B66" s="1" t="s">
        <v>1485</v>
      </c>
      <c r="C66" s="1" t="s">
        <v>1477</v>
      </c>
      <c r="D66" s="1" t="n">
        <v>14040</v>
      </c>
      <c r="E66" s="1" t="n">
        <v>8239.48</v>
      </c>
    </row>
    <row r="67" customFormat="false" ht="13.5" hidden="false" customHeight="false" outlineLevel="0" collapsed="false">
      <c r="A67" s="1" t="s">
        <v>130</v>
      </c>
      <c r="B67" s="1" t="s">
        <v>1486</v>
      </c>
      <c r="C67" s="1" t="s">
        <v>1477</v>
      </c>
      <c r="D67" s="1" t="n">
        <v>17260</v>
      </c>
      <c r="E67" s="1" t="n">
        <v>12679.41</v>
      </c>
    </row>
    <row r="68" customFormat="false" ht="13.5" hidden="false" customHeight="false" outlineLevel="0" collapsed="false">
      <c r="A68" s="1" t="s">
        <v>120</v>
      </c>
      <c r="B68" s="1" t="s">
        <v>1487</v>
      </c>
      <c r="C68" s="1" t="s">
        <v>1477</v>
      </c>
      <c r="D68" s="1" t="n">
        <v>2980</v>
      </c>
      <c r="E68" s="1" t="n">
        <v>2196.34</v>
      </c>
    </row>
    <row r="69" customFormat="false" ht="13.5" hidden="false" customHeight="false" outlineLevel="0" collapsed="false">
      <c r="A69" s="1" t="s">
        <v>101</v>
      </c>
      <c r="B69" s="1" t="s">
        <v>1488</v>
      </c>
      <c r="C69" s="1" t="s">
        <v>1477</v>
      </c>
      <c r="D69" s="1" t="n">
        <v>7540</v>
      </c>
      <c r="E69" s="1" t="n">
        <v>4538.06</v>
      </c>
    </row>
    <row r="70" customFormat="false" ht="13.5" hidden="false" customHeight="false" outlineLevel="0" collapsed="false">
      <c r="A70" s="1" t="s">
        <v>66</v>
      </c>
      <c r="B70" s="1" t="s">
        <v>1489</v>
      </c>
      <c r="C70" s="1" t="s">
        <v>1477</v>
      </c>
      <c r="D70" s="1" t="n">
        <v>13640</v>
      </c>
      <c r="E70" s="1" t="n">
        <v>10170.29</v>
      </c>
    </row>
    <row r="71" customFormat="false" ht="13.5" hidden="false" customHeight="false" outlineLevel="0" collapsed="false">
      <c r="A71" s="1" t="s">
        <v>300</v>
      </c>
      <c r="B71" s="1" t="s">
        <v>1490</v>
      </c>
      <c r="C71" s="1" t="s">
        <v>1477</v>
      </c>
      <c r="D71" s="1" t="n">
        <v>1120</v>
      </c>
      <c r="E71" s="1" t="n">
        <v>936.52</v>
      </c>
    </row>
    <row r="72" customFormat="false" ht="13.5" hidden="false" customHeight="false" outlineLevel="0" collapsed="false">
      <c r="A72" s="1" t="s">
        <v>269</v>
      </c>
      <c r="B72" s="1" t="s">
        <v>1491</v>
      </c>
      <c r="C72" s="1" t="s">
        <v>1477</v>
      </c>
      <c r="D72" s="1" t="n">
        <v>13300</v>
      </c>
      <c r="E72" s="1" t="n">
        <v>8227.46</v>
      </c>
    </row>
    <row r="73" customFormat="false" ht="13.5" hidden="false" customHeight="false" outlineLevel="0" collapsed="false">
      <c r="A73" s="1" t="s">
        <v>122</v>
      </c>
      <c r="B73" s="1" t="s">
        <v>1492</v>
      </c>
      <c r="C73" s="1" t="s">
        <v>1477</v>
      </c>
      <c r="D73" s="1" t="n">
        <v>1300</v>
      </c>
      <c r="E73" s="1" t="n">
        <v>705.87</v>
      </c>
    </row>
    <row r="74" customFormat="false" ht="13.5" hidden="false" customHeight="false" outlineLevel="0" collapsed="false">
      <c r="A74" s="1" t="s">
        <v>243</v>
      </c>
      <c r="B74" s="1" t="s">
        <v>1493</v>
      </c>
      <c r="C74" s="1" t="s">
        <v>1494</v>
      </c>
      <c r="D74" s="1" t="n">
        <v>9420</v>
      </c>
      <c r="E74" s="1" t="n">
        <v>8061.7</v>
      </c>
    </row>
    <row r="75" customFormat="false" ht="13.5" hidden="false" customHeight="false" outlineLevel="0" collapsed="false">
      <c r="A75" s="1" t="s">
        <v>252</v>
      </c>
      <c r="B75" s="1" t="s">
        <v>1495</v>
      </c>
      <c r="C75" s="1" t="s">
        <v>1494</v>
      </c>
      <c r="D75" s="1" t="n">
        <v>17500</v>
      </c>
      <c r="E75" s="1" t="n">
        <v>10507.24</v>
      </c>
    </row>
    <row r="76" customFormat="false" ht="13.5" hidden="false" customHeight="false" outlineLevel="0" collapsed="false">
      <c r="A76" s="1" t="s">
        <v>88</v>
      </c>
      <c r="B76" s="1" t="s">
        <v>1496</v>
      </c>
      <c r="C76" s="1" t="s">
        <v>1494</v>
      </c>
      <c r="D76" s="1" t="n">
        <v>16260</v>
      </c>
      <c r="E76" s="1" t="n">
        <v>11614.87</v>
      </c>
    </row>
    <row r="77" customFormat="false" ht="13.5" hidden="false" customHeight="false" outlineLevel="0" collapsed="false">
      <c r="A77" s="1" t="s">
        <v>53</v>
      </c>
      <c r="B77" s="1" t="s">
        <v>1497</v>
      </c>
      <c r="C77" s="1" t="s">
        <v>1494</v>
      </c>
      <c r="D77" s="1" t="n">
        <v>3900</v>
      </c>
      <c r="E77" s="1" t="n">
        <v>2957.6</v>
      </c>
    </row>
    <row r="78" customFormat="false" ht="13.5" hidden="false" customHeight="false" outlineLevel="0" collapsed="false">
      <c r="A78" s="1" t="s">
        <v>45</v>
      </c>
      <c r="B78" s="1" t="s">
        <v>1498</v>
      </c>
      <c r="C78" s="1" t="s">
        <v>1494</v>
      </c>
      <c r="D78" s="1" t="n">
        <v>5650</v>
      </c>
      <c r="E78" s="1" t="n">
        <v>3832.69</v>
      </c>
    </row>
    <row r="79" customFormat="false" ht="13.5" hidden="false" customHeight="false" outlineLevel="0" collapsed="false">
      <c r="A79" s="1" t="s">
        <v>135</v>
      </c>
      <c r="B79" s="1" t="s">
        <v>1499</v>
      </c>
      <c r="C79" s="1" t="s">
        <v>1494</v>
      </c>
      <c r="D79" s="1" t="n">
        <v>1540</v>
      </c>
      <c r="E79" s="1" t="n">
        <v>900.08</v>
      </c>
    </row>
    <row r="80" customFormat="false" ht="13.5" hidden="false" customHeight="false" outlineLevel="0" collapsed="false">
      <c r="A80" s="1" t="s">
        <v>219</v>
      </c>
      <c r="B80" s="1" t="s">
        <v>1500</v>
      </c>
      <c r="C80" s="1" t="s">
        <v>1494</v>
      </c>
      <c r="D80" s="1" t="n">
        <v>3580</v>
      </c>
      <c r="E80" s="1" t="n">
        <v>2157.55</v>
      </c>
    </row>
    <row r="81" customFormat="false" ht="13.5" hidden="false" customHeight="false" outlineLevel="0" collapsed="false">
      <c r="A81" s="1" t="s">
        <v>127</v>
      </c>
      <c r="B81" s="1" t="s">
        <v>1501</v>
      </c>
      <c r="C81" s="1" t="s">
        <v>1494</v>
      </c>
      <c r="D81" s="1" t="n">
        <v>12630</v>
      </c>
      <c r="E81" s="1" t="n">
        <v>7975.26</v>
      </c>
    </row>
    <row r="82" customFormat="false" ht="13.5" hidden="false" customHeight="false" outlineLevel="0" collapsed="false">
      <c r="A82" s="1" t="s">
        <v>234</v>
      </c>
      <c r="B82" s="1" t="s">
        <v>1502</v>
      </c>
      <c r="C82" s="1" t="s">
        <v>1494</v>
      </c>
      <c r="D82" s="1" t="n">
        <v>8100</v>
      </c>
      <c r="E82" s="1" t="n">
        <v>6255.13</v>
      </c>
    </row>
    <row r="83" customFormat="false" ht="13.5" hidden="false" customHeight="false" outlineLevel="0" collapsed="false">
      <c r="A83" s="1" t="s">
        <v>279</v>
      </c>
      <c r="B83" s="1" t="s">
        <v>1503</v>
      </c>
      <c r="C83" s="1" t="s">
        <v>1494</v>
      </c>
      <c r="D83" s="1" t="n">
        <v>650</v>
      </c>
      <c r="E83" s="1" t="n">
        <v>443</v>
      </c>
    </row>
    <row r="84" customFormat="false" ht="13.5" hidden="false" customHeight="false" outlineLevel="0" collapsed="false">
      <c r="A84" s="1" t="s">
        <v>90</v>
      </c>
      <c r="B84" s="1" t="s">
        <v>1504</v>
      </c>
      <c r="C84" s="1" t="s">
        <v>1494</v>
      </c>
      <c r="D84" s="1" t="n">
        <v>15680</v>
      </c>
      <c r="E84" s="1" t="n">
        <v>12723.77</v>
      </c>
    </row>
    <row r="85" customFormat="false" ht="13.5" hidden="false" customHeight="false" outlineLevel="0" collapsed="false">
      <c r="A85" s="1" t="s">
        <v>278</v>
      </c>
      <c r="B85" s="1" t="s">
        <v>1505</v>
      </c>
      <c r="C85" s="1" t="s">
        <v>1494</v>
      </c>
      <c r="D85" s="1" t="n">
        <v>1050</v>
      </c>
      <c r="E85" s="1" t="n">
        <v>759.03</v>
      </c>
    </row>
    <row r="86" customFormat="false" ht="13.5" hidden="false" customHeight="false" outlineLevel="0" collapsed="false">
      <c r="A86" s="1" t="s">
        <v>104</v>
      </c>
      <c r="B86" s="1" t="s">
        <v>1506</v>
      </c>
      <c r="C86" s="1" t="s">
        <v>1507</v>
      </c>
      <c r="D86" s="1" t="n">
        <v>14820</v>
      </c>
      <c r="E86" s="1" t="n">
        <v>11424.77</v>
      </c>
    </row>
    <row r="87" customFormat="false" ht="13.5" hidden="false" customHeight="false" outlineLevel="0" collapsed="false">
      <c r="A87" s="1" t="s">
        <v>93</v>
      </c>
      <c r="B87" s="1" t="s">
        <v>1508</v>
      </c>
      <c r="C87" s="1" t="s">
        <v>1507</v>
      </c>
      <c r="D87" s="1" t="n">
        <v>14910</v>
      </c>
      <c r="E87" s="1" t="n">
        <v>11166.03</v>
      </c>
    </row>
    <row r="88" customFormat="false" ht="13.5" hidden="false" customHeight="false" outlineLevel="0" collapsed="false">
      <c r="A88" s="1" t="s">
        <v>116</v>
      </c>
      <c r="B88" s="1" t="s">
        <v>1509</v>
      </c>
      <c r="C88" s="1" t="s">
        <v>1507</v>
      </c>
      <c r="D88" s="1" t="n">
        <v>14490</v>
      </c>
      <c r="E88" s="1" t="n">
        <v>9880.77</v>
      </c>
    </row>
    <row r="89" customFormat="false" ht="13.5" hidden="false" customHeight="false" outlineLevel="0" collapsed="false">
      <c r="A89" s="1" t="s">
        <v>289</v>
      </c>
      <c r="B89" s="1" t="s">
        <v>1510</v>
      </c>
      <c r="C89" s="1" t="s">
        <v>1507</v>
      </c>
      <c r="D89" s="1" t="n">
        <v>4070</v>
      </c>
      <c r="E89" s="1" t="n">
        <v>3399.5</v>
      </c>
    </row>
    <row r="90" customFormat="false" ht="13.5" hidden="false" customHeight="false" outlineLevel="0" collapsed="false">
      <c r="A90" s="1" t="s">
        <v>179</v>
      </c>
      <c r="B90" s="1" t="s">
        <v>1511</v>
      </c>
      <c r="C90" s="1" t="s">
        <v>1507</v>
      </c>
      <c r="D90" s="1" t="n">
        <v>15990</v>
      </c>
      <c r="E90" s="1" t="n">
        <v>10830.17</v>
      </c>
    </row>
    <row r="91" customFormat="false" ht="13.5" hidden="false" customHeight="false" outlineLevel="0" collapsed="false">
      <c r="A91" s="1" t="s">
        <v>225</v>
      </c>
      <c r="B91" s="1" t="s">
        <v>1512</v>
      </c>
      <c r="C91" s="1" t="s">
        <v>1507</v>
      </c>
      <c r="D91" s="1" t="n">
        <v>4470</v>
      </c>
      <c r="E91" s="1" t="n">
        <v>2833.97</v>
      </c>
    </row>
    <row r="92" customFormat="false" ht="13.5" hidden="false" customHeight="false" outlineLevel="0" collapsed="false">
      <c r="A92" s="1" t="s">
        <v>213</v>
      </c>
      <c r="B92" s="1" t="s">
        <v>1513</v>
      </c>
      <c r="C92" s="1" t="s">
        <v>1507</v>
      </c>
      <c r="D92" s="1" t="n">
        <v>5390</v>
      </c>
      <c r="E92" s="1" t="n">
        <v>4008.77</v>
      </c>
    </row>
    <row r="93" customFormat="false" ht="13.5" hidden="false" customHeight="false" outlineLevel="0" collapsed="false">
      <c r="A93" s="1" t="s">
        <v>233</v>
      </c>
      <c r="B93" s="1" t="s">
        <v>1514</v>
      </c>
      <c r="C93" s="1" t="s">
        <v>1507</v>
      </c>
      <c r="D93" s="1" t="n">
        <v>17540</v>
      </c>
      <c r="E93" s="1" t="n">
        <v>9976.68</v>
      </c>
    </row>
    <row r="94" customFormat="false" ht="13.5" hidden="false" customHeight="false" outlineLevel="0" collapsed="false">
      <c r="A94" s="1" t="s">
        <v>110</v>
      </c>
      <c r="B94" s="1" t="s">
        <v>1515</v>
      </c>
      <c r="C94" s="1" t="s">
        <v>1507</v>
      </c>
      <c r="D94" s="1" t="n">
        <v>12540</v>
      </c>
      <c r="E94" s="1" t="n">
        <v>7549.71</v>
      </c>
    </row>
    <row r="95" customFormat="false" ht="13.5" hidden="false" customHeight="false" outlineLevel="0" collapsed="false">
      <c r="A95" s="1" t="s">
        <v>260</v>
      </c>
      <c r="B95" s="1" t="s">
        <v>1516</v>
      </c>
      <c r="C95" s="1" t="s">
        <v>1507</v>
      </c>
      <c r="D95" s="1" t="n">
        <v>2910</v>
      </c>
      <c r="E95" s="1" t="n">
        <v>2486.18</v>
      </c>
    </row>
    <row r="96" customFormat="false" ht="13.5" hidden="false" customHeight="false" outlineLevel="0" collapsed="false">
      <c r="A96" s="1" t="s">
        <v>91</v>
      </c>
      <c r="B96" s="1" t="s">
        <v>1517</v>
      </c>
      <c r="C96" s="1" t="s">
        <v>1507</v>
      </c>
      <c r="D96" s="1" t="n">
        <v>14930</v>
      </c>
      <c r="E96" s="1" t="n">
        <v>8576.05</v>
      </c>
    </row>
    <row r="97" customFormat="false" ht="13.5" hidden="false" customHeight="false" outlineLevel="0" collapsed="false">
      <c r="A97" s="1" t="s">
        <v>342</v>
      </c>
      <c r="B97" s="1" t="s">
        <v>1518</v>
      </c>
      <c r="C97" s="1" t="s">
        <v>1507</v>
      </c>
      <c r="D97" s="1" t="n">
        <v>7070</v>
      </c>
      <c r="E97" s="1" t="n">
        <v>5587.31</v>
      </c>
    </row>
    <row r="98" customFormat="false" ht="13.5" hidden="false" customHeight="false" outlineLevel="0" collapsed="false">
      <c r="A98" s="1" t="s">
        <v>147</v>
      </c>
      <c r="B98" s="1" t="s">
        <v>1519</v>
      </c>
      <c r="C98" s="1" t="s">
        <v>1507</v>
      </c>
      <c r="D98" s="1" t="n">
        <v>2960</v>
      </c>
      <c r="E98" s="1" t="n">
        <v>2427.63</v>
      </c>
    </row>
    <row r="99" customFormat="false" ht="13.5" hidden="false" customHeight="false" outlineLevel="0" collapsed="false">
      <c r="A99" s="1" t="s">
        <v>142</v>
      </c>
      <c r="B99" s="1" t="s">
        <v>1520</v>
      </c>
      <c r="C99" s="1" t="s">
        <v>1507</v>
      </c>
      <c r="D99" s="1" t="n">
        <v>1900</v>
      </c>
      <c r="E99" s="1" t="n">
        <v>1529.93</v>
      </c>
    </row>
    <row r="100" customFormat="false" ht="13.5" hidden="false" customHeight="false" outlineLevel="0" collapsed="false">
      <c r="A100" s="1" t="s">
        <v>146</v>
      </c>
      <c r="B100" s="1" t="s">
        <v>1521</v>
      </c>
      <c r="C100" s="1" t="s">
        <v>1507</v>
      </c>
      <c r="D100" s="1" t="n">
        <v>9550</v>
      </c>
      <c r="E100" s="1" t="n">
        <v>8002.16</v>
      </c>
    </row>
    <row r="101" customFormat="false" ht="13.5" hidden="false" customHeight="false" outlineLevel="0" collapsed="false">
      <c r="A101" s="1" t="s">
        <v>105</v>
      </c>
      <c r="B101" s="1" t="s">
        <v>1522</v>
      </c>
      <c r="C101" s="1" t="s">
        <v>1507</v>
      </c>
      <c r="D101" s="1" t="n">
        <v>16630</v>
      </c>
      <c r="E101" s="1" t="n">
        <v>9881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83203125" defaultRowHeight="13.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0"/>
    <col collapsed="false" customWidth="true" hidden="false" outlineLevel="0" max="4" min="3" style="1" width="18"/>
  </cols>
  <sheetData>
    <row r="1" customFormat="false" ht="27.75" hidden="false" customHeight="true" outlineLevel="0" collapsed="false">
      <c r="A1" s="4" t="s">
        <v>28</v>
      </c>
      <c r="B1" s="4" t="s">
        <v>1523</v>
      </c>
      <c r="C1" s="4" t="s">
        <v>1524</v>
      </c>
      <c r="D1" s="4" t="s">
        <v>1525</v>
      </c>
    </row>
    <row r="2" customFormat="false" ht="13.5" hidden="false" customHeight="false" outlineLevel="0" collapsed="false">
      <c r="A2" s="1" t="s">
        <v>521</v>
      </c>
      <c r="B2" s="1" t="s">
        <v>1526</v>
      </c>
      <c r="C2" s="1" t="s">
        <v>1527</v>
      </c>
      <c r="D2" s="1" t="s">
        <v>84</v>
      </c>
    </row>
    <row r="3" customFormat="false" ht="13.5" hidden="false" customHeight="false" outlineLevel="0" collapsed="false">
      <c r="A3" s="1" t="s">
        <v>302</v>
      </c>
      <c r="B3" s="1" t="s">
        <v>1528</v>
      </c>
      <c r="C3" s="1" t="s">
        <v>1529</v>
      </c>
      <c r="D3" s="1" t="s">
        <v>73</v>
      </c>
    </row>
    <row r="4" customFormat="false" ht="13.5" hidden="false" customHeight="false" outlineLevel="0" collapsed="false">
      <c r="A4" s="1" t="s">
        <v>380</v>
      </c>
      <c r="B4" s="1" t="s">
        <v>1530</v>
      </c>
      <c r="C4" s="1" t="s">
        <v>1529</v>
      </c>
      <c r="D4" s="1" t="s">
        <v>63</v>
      </c>
    </row>
    <row r="5" customFormat="false" ht="13.5" hidden="false" customHeight="false" outlineLevel="0" collapsed="false">
      <c r="A5" s="1" t="s">
        <v>176</v>
      </c>
      <c r="B5" s="1" t="s">
        <v>1531</v>
      </c>
      <c r="C5" s="1" t="s">
        <v>1532</v>
      </c>
      <c r="D5" s="1" t="s">
        <v>46</v>
      </c>
    </row>
    <row r="6" customFormat="false" ht="13.5" hidden="false" customHeight="false" outlineLevel="0" collapsed="false">
      <c r="A6" s="1" t="s">
        <v>245</v>
      </c>
      <c r="B6" s="1" t="s">
        <v>1533</v>
      </c>
      <c r="C6" s="1" t="s">
        <v>1532</v>
      </c>
      <c r="D6" s="1" t="s">
        <v>73</v>
      </c>
    </row>
    <row r="7" customFormat="false" ht="13.5" hidden="false" customHeight="false" outlineLevel="0" collapsed="false">
      <c r="A7" s="1" t="s">
        <v>1317</v>
      </c>
      <c r="B7" s="1" t="s">
        <v>1534</v>
      </c>
      <c r="C7" s="1" t="s">
        <v>1532</v>
      </c>
      <c r="D7" s="1" t="s">
        <v>73</v>
      </c>
    </row>
    <row r="8" customFormat="false" ht="13.5" hidden="false" customHeight="false" outlineLevel="0" collapsed="false">
      <c r="A8" s="1" t="s">
        <v>273</v>
      </c>
      <c r="B8" s="1" t="s">
        <v>1535</v>
      </c>
      <c r="C8" s="1" t="s">
        <v>1532</v>
      </c>
      <c r="D8" s="1" t="s">
        <v>63</v>
      </c>
    </row>
    <row r="9" customFormat="false" ht="13.5" hidden="false" customHeight="false" outlineLevel="0" collapsed="false">
      <c r="A9" s="1" t="s">
        <v>296</v>
      </c>
      <c r="B9" s="1" t="s">
        <v>1536</v>
      </c>
      <c r="C9" s="1" t="s">
        <v>1527</v>
      </c>
      <c r="D9" s="1" t="s">
        <v>84</v>
      </c>
    </row>
    <row r="10" customFormat="false" ht="13.5" hidden="false" customHeight="false" outlineLevel="0" collapsed="false">
      <c r="A10" s="1" t="s">
        <v>499</v>
      </c>
      <c r="B10" s="1" t="s">
        <v>1537</v>
      </c>
      <c r="C10" s="1" t="s">
        <v>1527</v>
      </c>
      <c r="D10" s="1" t="s">
        <v>63</v>
      </c>
    </row>
    <row r="11" customFormat="false" ht="13.5" hidden="false" customHeight="false" outlineLevel="0" collapsed="false">
      <c r="A11" s="1" t="s">
        <v>129</v>
      </c>
      <c r="B11" s="1" t="s">
        <v>1538</v>
      </c>
      <c r="C11" s="1" t="s">
        <v>1532</v>
      </c>
      <c r="D11" s="1" t="s">
        <v>63</v>
      </c>
    </row>
    <row r="12" customFormat="false" ht="13.5" hidden="false" customHeight="false" outlineLevel="0" collapsed="false">
      <c r="A12" s="1" t="s">
        <v>82</v>
      </c>
      <c r="B12" s="1" t="s">
        <v>1539</v>
      </c>
      <c r="C12" s="1" t="s">
        <v>1529</v>
      </c>
      <c r="D12" s="1" t="s">
        <v>63</v>
      </c>
    </row>
    <row r="13" customFormat="false" ht="13.5" hidden="false" customHeight="false" outlineLevel="0" collapsed="false">
      <c r="A13" s="1" t="s">
        <v>403</v>
      </c>
      <c r="B13" s="1" t="s">
        <v>1540</v>
      </c>
      <c r="C13" s="1" t="s">
        <v>1529</v>
      </c>
      <c r="D13" s="1" t="s">
        <v>46</v>
      </c>
    </row>
    <row r="14" customFormat="false" ht="13.5" hidden="false" customHeight="false" outlineLevel="0" collapsed="false">
      <c r="A14" s="1" t="s">
        <v>727</v>
      </c>
      <c r="B14" s="1" t="s">
        <v>1541</v>
      </c>
      <c r="C14" s="1" t="s">
        <v>1527</v>
      </c>
      <c r="D14" s="1" t="s">
        <v>46</v>
      </c>
    </row>
    <row r="15" customFormat="false" ht="13.5" hidden="false" customHeight="false" outlineLevel="0" collapsed="false">
      <c r="A15" s="1" t="s">
        <v>581</v>
      </c>
      <c r="B15" s="1" t="s">
        <v>1542</v>
      </c>
      <c r="C15" s="1" t="s">
        <v>1532</v>
      </c>
      <c r="D15" s="1" t="s">
        <v>63</v>
      </c>
    </row>
    <row r="16" customFormat="false" ht="13.5" hidden="false" customHeight="false" outlineLevel="0" collapsed="false">
      <c r="A16" s="1" t="s">
        <v>1127</v>
      </c>
      <c r="B16" s="1" t="s">
        <v>1543</v>
      </c>
      <c r="C16" s="1" t="s">
        <v>1529</v>
      </c>
      <c r="D16" s="1" t="s">
        <v>46</v>
      </c>
    </row>
    <row r="17" customFormat="false" ht="13.5" hidden="false" customHeight="false" outlineLevel="0" collapsed="false">
      <c r="A17" s="1" t="s">
        <v>184</v>
      </c>
      <c r="B17" s="1" t="s">
        <v>1544</v>
      </c>
      <c r="C17" s="1" t="s">
        <v>1529</v>
      </c>
      <c r="D17" s="1" t="s">
        <v>46</v>
      </c>
    </row>
    <row r="18" customFormat="false" ht="13.5" hidden="false" customHeight="false" outlineLevel="0" collapsed="false">
      <c r="A18" s="1" t="s">
        <v>395</v>
      </c>
      <c r="B18" s="1" t="s">
        <v>1545</v>
      </c>
      <c r="C18" s="1" t="s">
        <v>1529</v>
      </c>
      <c r="D18" s="1" t="s">
        <v>46</v>
      </c>
    </row>
    <row r="19" customFormat="false" ht="13.5" hidden="false" customHeight="false" outlineLevel="0" collapsed="false">
      <c r="A19" s="1" t="s">
        <v>551</v>
      </c>
      <c r="B19" s="1" t="s">
        <v>1546</v>
      </c>
      <c r="C19" s="1" t="s">
        <v>1532</v>
      </c>
      <c r="D19" s="1" t="s">
        <v>63</v>
      </c>
    </row>
    <row r="20" customFormat="false" ht="13.5" hidden="false" customHeight="false" outlineLevel="0" collapsed="false">
      <c r="A20" s="1" t="s">
        <v>355</v>
      </c>
      <c r="B20" s="1" t="s">
        <v>1547</v>
      </c>
      <c r="C20" s="1" t="s">
        <v>1529</v>
      </c>
      <c r="D20" s="1" t="s">
        <v>63</v>
      </c>
    </row>
    <row r="21" customFormat="false" ht="13.5" hidden="false" customHeight="false" outlineLevel="0" collapsed="false">
      <c r="A21" s="1" t="s">
        <v>283</v>
      </c>
      <c r="B21" s="1" t="s">
        <v>1548</v>
      </c>
      <c r="C21" s="1" t="s">
        <v>1532</v>
      </c>
      <c r="D21" s="1" t="s">
        <v>84</v>
      </c>
    </row>
    <row r="22" customFormat="false" ht="13.5" hidden="false" customHeight="false" outlineLevel="0" collapsed="false">
      <c r="A22" s="1" t="s">
        <v>271</v>
      </c>
      <c r="B22" s="1" t="s">
        <v>1549</v>
      </c>
      <c r="C22" s="1" t="s">
        <v>1532</v>
      </c>
      <c r="D22" s="1" t="s">
        <v>63</v>
      </c>
    </row>
    <row r="23" customFormat="false" ht="13.5" hidden="false" customHeight="false" outlineLevel="0" collapsed="false">
      <c r="A23" s="1" t="s">
        <v>984</v>
      </c>
      <c r="B23" s="1" t="s">
        <v>1550</v>
      </c>
      <c r="C23" s="1" t="s">
        <v>1532</v>
      </c>
      <c r="D23" s="1" t="s">
        <v>46</v>
      </c>
    </row>
    <row r="24" customFormat="false" ht="13.5" hidden="false" customHeight="false" outlineLevel="0" collapsed="false">
      <c r="A24" s="1" t="s">
        <v>202</v>
      </c>
      <c r="B24" s="1" t="s">
        <v>1551</v>
      </c>
      <c r="C24" s="1" t="s">
        <v>1532</v>
      </c>
      <c r="D24" s="1" t="s">
        <v>84</v>
      </c>
    </row>
    <row r="25" customFormat="false" ht="13.5" hidden="false" customHeight="false" outlineLevel="0" collapsed="false">
      <c r="A25" s="1" t="s">
        <v>376</v>
      </c>
      <c r="B25" s="1" t="s">
        <v>1552</v>
      </c>
      <c r="C25" s="1" t="s">
        <v>1529</v>
      </c>
      <c r="D25" s="1" t="s">
        <v>84</v>
      </c>
    </row>
    <row r="26" customFormat="false" ht="13.5" hidden="false" customHeight="false" outlineLevel="0" collapsed="false">
      <c r="A26" s="1" t="s">
        <v>194</v>
      </c>
      <c r="B26" s="1" t="s">
        <v>1553</v>
      </c>
      <c r="C26" s="1" t="s">
        <v>1527</v>
      </c>
      <c r="D26" s="1" t="s">
        <v>46</v>
      </c>
    </row>
    <row r="27" customFormat="false" ht="13.5" hidden="false" customHeight="false" outlineLevel="0" collapsed="false">
      <c r="A27" s="1" t="s">
        <v>251</v>
      </c>
      <c r="B27" s="1" t="s">
        <v>1554</v>
      </c>
      <c r="C27" s="1" t="s">
        <v>1532</v>
      </c>
      <c r="D27" s="1" t="s">
        <v>46</v>
      </c>
    </row>
    <row r="28" customFormat="false" ht="13.5" hidden="false" customHeight="false" outlineLevel="0" collapsed="false">
      <c r="A28" s="1" t="s">
        <v>393</v>
      </c>
      <c r="B28" s="1" t="s">
        <v>1555</v>
      </c>
      <c r="C28" s="1" t="s">
        <v>1532</v>
      </c>
      <c r="D28" s="1" t="s">
        <v>73</v>
      </c>
    </row>
    <row r="29" customFormat="false" ht="13.5" hidden="false" customHeight="false" outlineLevel="0" collapsed="false">
      <c r="A29" s="1" t="s">
        <v>1556</v>
      </c>
      <c r="B29" s="1" t="s">
        <v>1557</v>
      </c>
      <c r="C29" s="1" t="s">
        <v>1529</v>
      </c>
      <c r="D29" s="1" t="s">
        <v>84</v>
      </c>
    </row>
    <row r="30" customFormat="false" ht="13.5" hidden="false" customHeight="false" outlineLevel="0" collapsed="false">
      <c r="A30" s="1" t="s">
        <v>822</v>
      </c>
      <c r="B30" s="1" t="s">
        <v>1558</v>
      </c>
      <c r="C30" s="1" t="s">
        <v>1527</v>
      </c>
      <c r="D30" s="1" t="s">
        <v>73</v>
      </c>
    </row>
    <row r="31" customFormat="false" ht="13.5" hidden="false" customHeight="false" outlineLevel="0" collapsed="false">
      <c r="A31" s="1" t="s">
        <v>1178</v>
      </c>
      <c r="B31" s="1" t="s">
        <v>1559</v>
      </c>
      <c r="C31" s="1" t="s">
        <v>1532</v>
      </c>
      <c r="D31" s="1" t="s">
        <v>73</v>
      </c>
    </row>
    <row r="32" customFormat="false" ht="13.5" hidden="false" customHeight="false" outlineLevel="0" collapsed="false">
      <c r="A32" s="1" t="s">
        <v>683</v>
      </c>
      <c r="B32" s="1" t="s">
        <v>1560</v>
      </c>
      <c r="C32" s="1" t="s">
        <v>1527</v>
      </c>
      <c r="D32" s="1" t="s">
        <v>63</v>
      </c>
    </row>
    <row r="33" customFormat="false" ht="13.5" hidden="false" customHeight="false" outlineLevel="0" collapsed="false">
      <c r="A33" s="1" t="s">
        <v>357</v>
      </c>
      <c r="B33" s="1" t="s">
        <v>1561</v>
      </c>
      <c r="C33" s="1" t="s">
        <v>1527</v>
      </c>
      <c r="D33" s="1" t="s">
        <v>73</v>
      </c>
    </row>
    <row r="34" customFormat="false" ht="13.5" hidden="false" customHeight="false" outlineLevel="0" collapsed="false">
      <c r="A34" s="1" t="s">
        <v>275</v>
      </c>
      <c r="B34" s="1" t="s">
        <v>1562</v>
      </c>
      <c r="C34" s="1" t="s">
        <v>1527</v>
      </c>
      <c r="D34" s="1" t="s">
        <v>84</v>
      </c>
    </row>
    <row r="35" customFormat="false" ht="13.5" hidden="false" customHeight="false" outlineLevel="0" collapsed="false">
      <c r="A35" s="1" t="s">
        <v>591</v>
      </c>
      <c r="B35" s="1" t="s">
        <v>1563</v>
      </c>
      <c r="C35" s="1" t="s">
        <v>1532</v>
      </c>
      <c r="D35" s="1" t="s">
        <v>63</v>
      </c>
    </row>
    <row r="36" customFormat="false" ht="13.5" hidden="false" customHeight="false" outlineLevel="0" collapsed="false">
      <c r="A36" s="1" t="s">
        <v>391</v>
      </c>
      <c r="B36" s="1" t="s">
        <v>1564</v>
      </c>
      <c r="C36" s="1" t="s">
        <v>1529</v>
      </c>
      <c r="D36" s="1" t="s">
        <v>46</v>
      </c>
    </row>
    <row r="37" customFormat="false" ht="13.5" hidden="false" customHeight="false" outlineLevel="0" collapsed="false">
      <c r="A37" s="1" t="s">
        <v>571</v>
      </c>
      <c r="B37" s="1" t="s">
        <v>1565</v>
      </c>
      <c r="C37" s="1" t="s">
        <v>1527</v>
      </c>
      <c r="D37" s="1" t="s">
        <v>84</v>
      </c>
    </row>
    <row r="38" customFormat="false" ht="13.5" hidden="false" customHeight="false" outlineLevel="0" collapsed="false">
      <c r="A38" s="1" t="s">
        <v>144</v>
      </c>
      <c r="B38" s="1" t="s">
        <v>1566</v>
      </c>
      <c r="C38" s="1" t="s">
        <v>1527</v>
      </c>
      <c r="D38" s="1" t="s">
        <v>63</v>
      </c>
    </row>
    <row r="39" customFormat="false" ht="13.5" hidden="false" customHeight="false" outlineLevel="0" collapsed="false">
      <c r="A39" s="1" t="s">
        <v>897</v>
      </c>
      <c r="B39" s="1" t="s">
        <v>1567</v>
      </c>
      <c r="C39" s="1" t="s">
        <v>1532</v>
      </c>
      <c r="D39" s="1" t="s">
        <v>63</v>
      </c>
    </row>
    <row r="40" customFormat="false" ht="13.5" hidden="false" customHeight="false" outlineLevel="0" collapsed="false">
      <c r="A40" s="1" t="s">
        <v>629</v>
      </c>
      <c r="B40" s="1" t="s">
        <v>1568</v>
      </c>
      <c r="C40" s="1" t="s">
        <v>1527</v>
      </c>
      <c r="D40" s="1" t="s">
        <v>84</v>
      </c>
    </row>
    <row r="41" customFormat="false" ht="13.5" hidden="false" customHeight="false" outlineLevel="0" collapsed="false">
      <c r="A41" s="1" t="s">
        <v>373</v>
      </c>
      <c r="B41" s="1" t="s">
        <v>1569</v>
      </c>
      <c r="C41" s="1" t="s">
        <v>1532</v>
      </c>
      <c r="D41" s="1" t="s">
        <v>84</v>
      </c>
    </row>
    <row r="42" customFormat="false" ht="13.5" hidden="false" customHeight="false" outlineLevel="0" collapsed="false">
      <c r="A42" s="1" t="s">
        <v>95</v>
      </c>
      <c r="B42" s="1" t="s">
        <v>1570</v>
      </c>
      <c r="C42" s="1" t="s">
        <v>1527</v>
      </c>
      <c r="D42" s="1" t="s">
        <v>73</v>
      </c>
    </row>
    <row r="43" customFormat="false" ht="13.5" hidden="false" customHeight="false" outlineLevel="0" collapsed="false">
      <c r="A43" s="1" t="s">
        <v>695</v>
      </c>
      <c r="B43" s="1" t="s">
        <v>1571</v>
      </c>
      <c r="C43" s="1" t="s">
        <v>1527</v>
      </c>
      <c r="D43" s="1" t="s">
        <v>46</v>
      </c>
    </row>
    <row r="44" customFormat="false" ht="13.5" hidden="false" customHeight="false" outlineLevel="0" collapsed="false">
      <c r="A44" s="1" t="s">
        <v>103</v>
      </c>
      <c r="B44" s="1" t="s">
        <v>1572</v>
      </c>
      <c r="C44" s="1" t="s">
        <v>1532</v>
      </c>
      <c r="D44" s="1" t="s">
        <v>63</v>
      </c>
    </row>
    <row r="45" customFormat="false" ht="13.5" hidden="false" customHeight="false" outlineLevel="0" collapsed="false">
      <c r="A45" s="1" t="s">
        <v>346</v>
      </c>
      <c r="B45" s="1" t="s">
        <v>1573</v>
      </c>
      <c r="C45" s="1" t="s">
        <v>1527</v>
      </c>
      <c r="D45" s="1" t="s">
        <v>63</v>
      </c>
    </row>
    <row r="46" customFormat="false" ht="13.5" hidden="false" customHeight="false" outlineLevel="0" collapsed="false">
      <c r="A46" s="1" t="s">
        <v>534</v>
      </c>
      <c r="B46" s="1" t="s">
        <v>1574</v>
      </c>
      <c r="C46" s="1" t="s">
        <v>1529</v>
      </c>
      <c r="D46" s="1" t="s">
        <v>73</v>
      </c>
    </row>
    <row r="47" customFormat="false" ht="13.5" hidden="false" customHeight="false" outlineLevel="0" collapsed="false">
      <c r="A47" s="1" t="s">
        <v>445</v>
      </c>
      <c r="B47" s="1" t="s">
        <v>1575</v>
      </c>
      <c r="C47" s="1" t="s">
        <v>1527</v>
      </c>
      <c r="D47" s="1" t="s">
        <v>63</v>
      </c>
    </row>
    <row r="48" customFormat="false" ht="13.5" hidden="false" customHeight="false" outlineLevel="0" collapsed="false">
      <c r="A48" s="1" t="s">
        <v>646</v>
      </c>
      <c r="B48" s="1" t="s">
        <v>1576</v>
      </c>
      <c r="C48" s="1" t="s">
        <v>1532</v>
      </c>
      <c r="D48" s="1" t="s">
        <v>73</v>
      </c>
    </row>
    <row r="49" customFormat="false" ht="13.5" hidden="false" customHeight="false" outlineLevel="0" collapsed="false">
      <c r="A49" s="1" t="s">
        <v>189</v>
      </c>
      <c r="B49" s="1" t="s">
        <v>1577</v>
      </c>
      <c r="C49" s="1" t="s">
        <v>1532</v>
      </c>
      <c r="D49" s="1" t="s">
        <v>46</v>
      </c>
    </row>
    <row r="50" customFormat="false" ht="13.5" hidden="false" customHeight="false" outlineLevel="0" collapsed="false">
      <c r="A50" s="1" t="s">
        <v>336</v>
      </c>
      <c r="B50" s="1" t="s">
        <v>1578</v>
      </c>
      <c r="C50" s="1" t="s">
        <v>1527</v>
      </c>
      <c r="D50" s="1" t="s">
        <v>46</v>
      </c>
    </row>
    <row r="51" customFormat="false" ht="13.5" hidden="false" customHeight="false" outlineLevel="0" collapsed="false">
      <c r="A51" s="1" t="s">
        <v>481</v>
      </c>
      <c r="B51" s="1" t="s">
        <v>1579</v>
      </c>
      <c r="C51" s="1" t="s">
        <v>1527</v>
      </c>
      <c r="D51" s="1" t="s">
        <v>84</v>
      </c>
    </row>
    <row r="52" customFormat="false" ht="13.5" hidden="false" customHeight="false" outlineLevel="0" collapsed="false">
      <c r="A52" s="1" t="s">
        <v>209</v>
      </c>
      <c r="B52" s="1" t="s">
        <v>1580</v>
      </c>
      <c r="C52" s="1" t="s">
        <v>1527</v>
      </c>
      <c r="D52" s="1" t="s">
        <v>63</v>
      </c>
    </row>
    <row r="53" customFormat="false" ht="13.5" hidden="false" customHeight="false" outlineLevel="0" collapsed="false">
      <c r="A53" s="1" t="s">
        <v>1151</v>
      </c>
      <c r="B53" s="1" t="s">
        <v>1581</v>
      </c>
      <c r="C53" s="1" t="s">
        <v>1529</v>
      </c>
      <c r="D53" s="1" t="s">
        <v>63</v>
      </c>
    </row>
    <row r="54" customFormat="false" ht="13.5" hidden="false" customHeight="false" outlineLevel="0" collapsed="false">
      <c r="A54" s="1" t="s">
        <v>467</v>
      </c>
      <c r="B54" s="1" t="s">
        <v>1582</v>
      </c>
      <c r="C54" s="1" t="s">
        <v>1527</v>
      </c>
      <c r="D54" s="1" t="s">
        <v>63</v>
      </c>
    </row>
    <row r="55" customFormat="false" ht="13.5" hidden="false" customHeight="false" outlineLevel="0" collapsed="false">
      <c r="A55" s="1" t="s">
        <v>784</v>
      </c>
      <c r="B55" s="1" t="s">
        <v>1583</v>
      </c>
      <c r="C55" s="1" t="s">
        <v>1529</v>
      </c>
      <c r="D55" s="1" t="s">
        <v>46</v>
      </c>
    </row>
    <row r="56" customFormat="false" ht="13.5" hidden="false" customHeight="false" outlineLevel="0" collapsed="false">
      <c r="A56" s="1" t="s">
        <v>627</v>
      </c>
      <c r="B56" s="1" t="s">
        <v>1584</v>
      </c>
      <c r="C56" s="1" t="s">
        <v>1527</v>
      </c>
      <c r="D56" s="1" t="s">
        <v>73</v>
      </c>
    </row>
    <row r="57" customFormat="false" ht="13.5" hidden="false" customHeight="false" outlineLevel="0" collapsed="false">
      <c r="A57" s="1" t="s">
        <v>749</v>
      </c>
      <c r="B57" s="1" t="s">
        <v>1585</v>
      </c>
      <c r="C57" s="1" t="s">
        <v>1529</v>
      </c>
      <c r="D57" s="1" t="s">
        <v>63</v>
      </c>
    </row>
    <row r="58" customFormat="false" ht="13.5" hidden="false" customHeight="false" outlineLevel="0" collapsed="false">
      <c r="A58" s="1" t="s">
        <v>349</v>
      </c>
      <c r="B58" s="1" t="s">
        <v>1586</v>
      </c>
      <c r="C58" s="1" t="s">
        <v>1527</v>
      </c>
      <c r="D58" s="1" t="s">
        <v>63</v>
      </c>
    </row>
    <row r="59" customFormat="false" ht="13.5" hidden="false" customHeight="false" outlineLevel="0" collapsed="false">
      <c r="A59" s="1" t="s">
        <v>262</v>
      </c>
      <c r="B59" s="1" t="s">
        <v>1587</v>
      </c>
      <c r="C59" s="1" t="s">
        <v>1529</v>
      </c>
      <c r="D59" s="1" t="s">
        <v>84</v>
      </c>
    </row>
    <row r="60" customFormat="false" ht="13.5" hidden="false" customHeight="false" outlineLevel="0" collapsed="false">
      <c r="A60" s="1" t="s">
        <v>976</v>
      </c>
      <c r="B60" s="1" t="s">
        <v>1588</v>
      </c>
      <c r="C60" s="1" t="s">
        <v>1529</v>
      </c>
      <c r="D60" s="1" t="s">
        <v>46</v>
      </c>
    </row>
    <row r="61" customFormat="false" ht="13.5" hidden="false" customHeight="false" outlineLevel="0" collapsed="false">
      <c r="A61" s="1" t="s">
        <v>1014</v>
      </c>
      <c r="B61" s="1" t="s">
        <v>1589</v>
      </c>
      <c r="C61" s="1" t="s">
        <v>1529</v>
      </c>
      <c r="D61" s="1" t="s">
        <v>73</v>
      </c>
    </row>
    <row r="62" customFormat="false" ht="13.5" hidden="false" customHeight="false" outlineLevel="0" collapsed="false">
      <c r="A62" s="1" t="s">
        <v>577</v>
      </c>
      <c r="B62" s="1" t="s">
        <v>1590</v>
      </c>
      <c r="C62" s="1" t="s">
        <v>1527</v>
      </c>
      <c r="D62" s="1" t="s">
        <v>84</v>
      </c>
    </row>
    <row r="63" customFormat="false" ht="13.5" hidden="false" customHeight="false" outlineLevel="0" collapsed="false">
      <c r="A63" s="1" t="s">
        <v>115</v>
      </c>
      <c r="B63" s="1" t="s">
        <v>1591</v>
      </c>
      <c r="C63" s="1" t="s">
        <v>1527</v>
      </c>
      <c r="D63" s="1" t="s">
        <v>73</v>
      </c>
    </row>
    <row r="64" customFormat="false" ht="13.5" hidden="false" customHeight="false" outlineLevel="0" collapsed="false">
      <c r="A64" s="1" t="s">
        <v>1244</v>
      </c>
      <c r="B64" s="1" t="s">
        <v>1592</v>
      </c>
      <c r="C64" s="1" t="s">
        <v>1532</v>
      </c>
      <c r="D64" s="1" t="s">
        <v>63</v>
      </c>
    </row>
    <row r="65" customFormat="false" ht="13.5" hidden="false" customHeight="false" outlineLevel="0" collapsed="false">
      <c r="A65" s="1" t="s">
        <v>207</v>
      </c>
      <c r="B65" s="1" t="s">
        <v>1593</v>
      </c>
      <c r="C65" s="1" t="s">
        <v>1529</v>
      </c>
      <c r="D65" s="1" t="s">
        <v>84</v>
      </c>
    </row>
    <row r="66" customFormat="false" ht="13.5" hidden="false" customHeight="false" outlineLevel="0" collapsed="false">
      <c r="A66" s="1" t="s">
        <v>587</v>
      </c>
      <c r="B66" s="1" t="s">
        <v>1594</v>
      </c>
      <c r="C66" s="1" t="s">
        <v>1527</v>
      </c>
      <c r="D66" s="1" t="s">
        <v>46</v>
      </c>
    </row>
    <row r="67" customFormat="false" ht="13.5" hidden="false" customHeight="false" outlineLevel="0" collapsed="false">
      <c r="A67" s="1" t="s">
        <v>1049</v>
      </c>
      <c r="B67" s="1" t="s">
        <v>1595</v>
      </c>
      <c r="C67" s="1" t="s">
        <v>1532</v>
      </c>
      <c r="D67" s="1" t="s">
        <v>46</v>
      </c>
    </row>
    <row r="68" customFormat="false" ht="13.5" hidden="false" customHeight="false" outlineLevel="0" collapsed="false">
      <c r="A68" s="1" t="s">
        <v>672</v>
      </c>
      <c r="B68" s="1" t="s">
        <v>1596</v>
      </c>
      <c r="C68" s="1" t="s">
        <v>1529</v>
      </c>
      <c r="D68" s="1" t="s">
        <v>63</v>
      </c>
    </row>
    <row r="69" customFormat="false" ht="13.5" hidden="false" customHeight="false" outlineLevel="0" collapsed="false">
      <c r="A69" s="1" t="s">
        <v>543</v>
      </c>
      <c r="B69" s="1" t="s">
        <v>1597</v>
      </c>
      <c r="C69" s="1" t="s">
        <v>1529</v>
      </c>
      <c r="D69" s="1" t="s">
        <v>73</v>
      </c>
    </row>
    <row r="70" customFormat="false" ht="13.5" hidden="false" customHeight="false" outlineLevel="0" collapsed="false">
      <c r="A70" s="1" t="s">
        <v>397</v>
      </c>
      <c r="B70" s="1" t="s">
        <v>1598</v>
      </c>
      <c r="C70" s="1" t="s">
        <v>1529</v>
      </c>
      <c r="D70" s="1" t="s">
        <v>84</v>
      </c>
    </row>
    <row r="71" customFormat="false" ht="13.5" hidden="false" customHeight="false" outlineLevel="0" collapsed="false">
      <c r="A71" s="1" t="s">
        <v>259</v>
      </c>
      <c r="B71" s="1" t="s">
        <v>1599</v>
      </c>
      <c r="C71" s="1" t="s">
        <v>1529</v>
      </c>
      <c r="D71" s="1" t="s">
        <v>73</v>
      </c>
    </row>
    <row r="72" customFormat="false" ht="13.5" hidden="false" customHeight="false" outlineLevel="0" collapsed="false">
      <c r="A72" s="1" t="s">
        <v>651</v>
      </c>
      <c r="B72" s="1" t="s">
        <v>1600</v>
      </c>
      <c r="C72" s="1" t="s">
        <v>1529</v>
      </c>
      <c r="D72" s="1" t="s">
        <v>73</v>
      </c>
    </row>
    <row r="73" customFormat="false" ht="13.5" hidden="false" customHeight="false" outlineLevel="0" collapsed="false">
      <c r="A73" s="1" t="s">
        <v>799</v>
      </c>
      <c r="B73" s="1" t="s">
        <v>1601</v>
      </c>
      <c r="C73" s="1" t="s">
        <v>1532</v>
      </c>
      <c r="D73" s="1" t="s">
        <v>73</v>
      </c>
    </row>
    <row r="74" customFormat="false" ht="13.5" hidden="false" customHeight="false" outlineLevel="0" collapsed="false">
      <c r="A74" s="1" t="s">
        <v>387</v>
      </c>
      <c r="B74" s="1" t="s">
        <v>1602</v>
      </c>
      <c r="C74" s="1" t="s">
        <v>1527</v>
      </c>
      <c r="D74" s="1" t="s">
        <v>84</v>
      </c>
    </row>
    <row r="75" customFormat="false" ht="13.5" hidden="false" customHeight="false" outlineLevel="0" collapsed="false">
      <c r="A75" s="1" t="s">
        <v>448</v>
      </c>
      <c r="B75" s="1" t="s">
        <v>1603</v>
      </c>
      <c r="C75" s="1" t="s">
        <v>1527</v>
      </c>
      <c r="D75" s="1" t="s">
        <v>46</v>
      </c>
    </row>
    <row r="76" customFormat="false" ht="13.5" hidden="false" customHeight="false" outlineLevel="0" collapsed="false">
      <c r="A76" s="1" t="s">
        <v>55</v>
      </c>
      <c r="B76" s="1" t="s">
        <v>1604</v>
      </c>
      <c r="C76" s="1" t="s">
        <v>1532</v>
      </c>
      <c r="D76" s="1" t="s">
        <v>46</v>
      </c>
    </row>
    <row r="77" customFormat="false" ht="13.5" hidden="false" customHeight="false" outlineLevel="0" collapsed="false">
      <c r="A77" s="1" t="s">
        <v>613</v>
      </c>
      <c r="B77" s="1" t="s">
        <v>1605</v>
      </c>
      <c r="C77" s="1" t="s">
        <v>1527</v>
      </c>
      <c r="D77" s="1" t="s">
        <v>46</v>
      </c>
    </row>
    <row r="78" customFormat="false" ht="13.5" hidden="false" customHeight="false" outlineLevel="0" collapsed="false">
      <c r="A78" s="1" t="s">
        <v>469</v>
      </c>
      <c r="B78" s="1" t="s">
        <v>1606</v>
      </c>
      <c r="C78" s="1" t="s">
        <v>1529</v>
      </c>
      <c r="D78" s="1" t="s">
        <v>84</v>
      </c>
    </row>
    <row r="79" customFormat="false" ht="13.5" hidden="false" customHeight="false" outlineLevel="0" collapsed="false">
      <c r="A79" s="1" t="s">
        <v>496</v>
      </c>
      <c r="B79" s="1" t="s">
        <v>1607</v>
      </c>
      <c r="C79" s="1" t="s">
        <v>1532</v>
      </c>
      <c r="D79" s="1" t="s">
        <v>63</v>
      </c>
    </row>
    <row r="80" customFormat="false" ht="13.5" hidden="false" customHeight="false" outlineLevel="0" collapsed="false">
      <c r="A80" s="1" t="s">
        <v>777</v>
      </c>
      <c r="B80" s="1" t="s">
        <v>1608</v>
      </c>
      <c r="C80" s="1" t="s">
        <v>1529</v>
      </c>
      <c r="D80" s="1" t="s">
        <v>63</v>
      </c>
    </row>
    <row r="81" customFormat="false" ht="13.5" hidden="false" customHeight="false" outlineLevel="0" collapsed="false">
      <c r="A81" s="1" t="s">
        <v>339</v>
      </c>
      <c r="B81" s="1" t="s">
        <v>1609</v>
      </c>
      <c r="C81" s="1" t="s">
        <v>1527</v>
      </c>
      <c r="D81" s="1" t="s">
        <v>63</v>
      </c>
    </row>
    <row r="82" customFormat="false" ht="13.5" hidden="false" customHeight="false" outlineLevel="0" collapsed="false">
      <c r="A82" s="1" t="s">
        <v>564</v>
      </c>
      <c r="B82" s="1" t="s">
        <v>1610</v>
      </c>
      <c r="C82" s="1" t="s">
        <v>1527</v>
      </c>
      <c r="D82" s="1" t="s">
        <v>73</v>
      </c>
    </row>
    <row r="83" customFormat="false" ht="13.5" hidden="false" customHeight="false" outlineLevel="0" collapsed="false">
      <c r="A83" s="1" t="s">
        <v>107</v>
      </c>
      <c r="B83" s="1" t="s">
        <v>1611</v>
      </c>
      <c r="C83" s="1" t="s">
        <v>1527</v>
      </c>
      <c r="D83" s="1" t="s">
        <v>46</v>
      </c>
    </row>
    <row r="84" customFormat="false" ht="13.5" hidden="false" customHeight="false" outlineLevel="0" collapsed="false">
      <c r="A84" s="1" t="s">
        <v>531</v>
      </c>
      <c r="B84" s="1" t="s">
        <v>1612</v>
      </c>
      <c r="C84" s="1" t="s">
        <v>1532</v>
      </c>
      <c r="D84" s="1" t="s">
        <v>46</v>
      </c>
    </row>
    <row r="85" customFormat="false" ht="13.5" hidden="false" customHeight="false" outlineLevel="0" collapsed="false">
      <c r="A85" s="1" t="s">
        <v>525</v>
      </c>
      <c r="B85" s="1" t="s">
        <v>1613</v>
      </c>
      <c r="C85" s="1" t="s">
        <v>1527</v>
      </c>
      <c r="D85" s="1" t="s">
        <v>84</v>
      </c>
    </row>
    <row r="86" customFormat="false" ht="13.5" hidden="false" customHeight="false" outlineLevel="0" collapsed="false">
      <c r="A86" s="1" t="s">
        <v>1286</v>
      </c>
      <c r="B86" s="1" t="s">
        <v>1614</v>
      </c>
      <c r="C86" s="1" t="s">
        <v>1527</v>
      </c>
      <c r="D86" s="1" t="s">
        <v>46</v>
      </c>
    </row>
    <row r="87" customFormat="false" ht="13.5" hidden="false" customHeight="false" outlineLevel="0" collapsed="false">
      <c r="A87" s="1" t="s">
        <v>154</v>
      </c>
      <c r="B87" s="1" t="s">
        <v>1615</v>
      </c>
      <c r="C87" s="1" t="s">
        <v>1532</v>
      </c>
      <c r="D87" s="1" t="s">
        <v>73</v>
      </c>
    </row>
    <row r="88" customFormat="false" ht="13.5" hidden="false" customHeight="false" outlineLevel="0" collapsed="false">
      <c r="A88" s="1" t="s">
        <v>384</v>
      </c>
      <c r="B88" s="1" t="s">
        <v>1616</v>
      </c>
      <c r="C88" s="1" t="s">
        <v>1529</v>
      </c>
      <c r="D88" s="1" t="s">
        <v>73</v>
      </c>
    </row>
    <row r="89" customFormat="false" ht="13.5" hidden="false" customHeight="false" outlineLevel="0" collapsed="false">
      <c r="A89" s="1" t="s">
        <v>549</v>
      </c>
      <c r="B89" s="1" t="s">
        <v>1617</v>
      </c>
      <c r="C89" s="1" t="s">
        <v>1532</v>
      </c>
      <c r="D89" s="1" t="s">
        <v>84</v>
      </c>
    </row>
    <row r="90" customFormat="false" ht="13.5" hidden="false" customHeight="false" outlineLevel="0" collapsed="false">
      <c r="A90" s="1" t="s">
        <v>472</v>
      </c>
      <c r="B90" s="1" t="s">
        <v>1618</v>
      </c>
      <c r="C90" s="1" t="s">
        <v>1532</v>
      </c>
      <c r="D90" s="1" t="s">
        <v>46</v>
      </c>
    </row>
    <row r="91" customFormat="false" ht="13.5" hidden="false" customHeight="false" outlineLevel="0" collapsed="false">
      <c r="A91" s="1" t="s">
        <v>138</v>
      </c>
      <c r="B91" s="1" t="s">
        <v>1619</v>
      </c>
      <c r="C91" s="1" t="s">
        <v>1527</v>
      </c>
      <c r="D91" s="1" t="s">
        <v>73</v>
      </c>
    </row>
    <row r="92" customFormat="false" ht="13.5" hidden="false" customHeight="false" outlineLevel="0" collapsed="false">
      <c r="A92" s="1" t="s">
        <v>637</v>
      </c>
      <c r="B92" s="1" t="s">
        <v>1620</v>
      </c>
      <c r="C92" s="1" t="s">
        <v>1527</v>
      </c>
      <c r="D92" s="1" t="s">
        <v>73</v>
      </c>
    </row>
    <row r="93" customFormat="false" ht="13.5" hidden="false" customHeight="false" outlineLevel="0" collapsed="false">
      <c r="A93" s="1" t="s">
        <v>759</v>
      </c>
      <c r="B93" s="1" t="s">
        <v>1621</v>
      </c>
      <c r="C93" s="1" t="s">
        <v>1529</v>
      </c>
      <c r="D93" s="1" t="s">
        <v>84</v>
      </c>
    </row>
    <row r="94" customFormat="false" ht="13.5" hidden="false" customHeight="false" outlineLevel="0" collapsed="false">
      <c r="A94" s="1" t="s">
        <v>149</v>
      </c>
      <c r="B94" s="1" t="s">
        <v>1622</v>
      </c>
      <c r="C94" s="1" t="s">
        <v>1529</v>
      </c>
      <c r="D94" s="1" t="s">
        <v>63</v>
      </c>
    </row>
    <row r="95" customFormat="false" ht="13.5" hidden="false" customHeight="false" outlineLevel="0" collapsed="false">
      <c r="A95" s="1" t="s">
        <v>316</v>
      </c>
      <c r="B95" s="1" t="s">
        <v>1623</v>
      </c>
      <c r="C95" s="1" t="s">
        <v>1527</v>
      </c>
      <c r="D95" s="1" t="s">
        <v>63</v>
      </c>
    </row>
    <row r="96" customFormat="false" ht="13.5" hidden="false" customHeight="false" outlineLevel="0" collapsed="false">
      <c r="A96" s="1" t="s">
        <v>331</v>
      </c>
      <c r="B96" s="1" t="s">
        <v>1624</v>
      </c>
      <c r="C96" s="1" t="s">
        <v>1529</v>
      </c>
      <c r="D96" s="1" t="s">
        <v>84</v>
      </c>
    </row>
    <row r="97" customFormat="false" ht="13.5" hidden="false" customHeight="false" outlineLevel="0" collapsed="false">
      <c r="A97" s="1" t="s">
        <v>529</v>
      </c>
      <c r="B97" s="1" t="s">
        <v>1625</v>
      </c>
      <c r="C97" s="1" t="s">
        <v>1527</v>
      </c>
      <c r="D97" s="1" t="s">
        <v>73</v>
      </c>
    </row>
    <row r="98" customFormat="false" ht="13.5" hidden="false" customHeight="false" outlineLevel="0" collapsed="false">
      <c r="A98" s="1" t="s">
        <v>1206</v>
      </c>
      <c r="B98" s="1" t="s">
        <v>1626</v>
      </c>
      <c r="C98" s="1" t="s">
        <v>1529</v>
      </c>
      <c r="D98" s="1" t="s">
        <v>46</v>
      </c>
    </row>
    <row r="99" customFormat="false" ht="13.5" hidden="false" customHeight="false" outlineLevel="0" collapsed="false">
      <c r="A99" s="1" t="s">
        <v>504</v>
      </c>
      <c r="B99" s="1" t="s">
        <v>1627</v>
      </c>
      <c r="C99" s="1" t="s">
        <v>1529</v>
      </c>
      <c r="D99" s="1" t="s">
        <v>63</v>
      </c>
    </row>
    <row r="100" customFormat="false" ht="13.5" hidden="false" customHeight="false" outlineLevel="0" collapsed="false">
      <c r="A100" s="1" t="s">
        <v>389</v>
      </c>
      <c r="B100" s="1" t="s">
        <v>1628</v>
      </c>
      <c r="C100" s="1" t="s">
        <v>1527</v>
      </c>
      <c r="D100" s="1" t="s">
        <v>46</v>
      </c>
    </row>
    <row r="101" customFormat="false" ht="13.5" hidden="false" customHeight="false" outlineLevel="0" collapsed="false">
      <c r="A101" s="1" t="s">
        <v>99</v>
      </c>
      <c r="B101" s="1" t="s">
        <v>1629</v>
      </c>
      <c r="C101" s="1" t="s">
        <v>1529</v>
      </c>
      <c r="D101" s="1" t="s">
        <v>84</v>
      </c>
    </row>
    <row r="102" customFormat="false" ht="13.5" hidden="false" customHeight="false" outlineLevel="0" collapsed="false">
      <c r="A102" s="1" t="s">
        <v>668</v>
      </c>
      <c r="B102" s="1" t="s">
        <v>1630</v>
      </c>
      <c r="C102" s="1" t="s">
        <v>1532</v>
      </c>
      <c r="D102" s="1" t="s">
        <v>46</v>
      </c>
    </row>
    <row r="103" customFormat="false" ht="13.5" hidden="false" customHeight="false" outlineLevel="0" collapsed="false">
      <c r="A103" s="1" t="s">
        <v>879</v>
      </c>
      <c r="B103" s="1" t="s">
        <v>1631</v>
      </c>
      <c r="C103" s="1" t="s">
        <v>1529</v>
      </c>
      <c r="D103" s="1" t="s">
        <v>84</v>
      </c>
    </row>
    <row r="104" customFormat="false" ht="13.5" hidden="false" customHeight="false" outlineLevel="0" collapsed="false">
      <c r="A104" s="1" t="s">
        <v>112</v>
      </c>
      <c r="B104" s="1" t="s">
        <v>1632</v>
      </c>
      <c r="C104" s="1" t="s">
        <v>1529</v>
      </c>
      <c r="D104" s="1" t="s">
        <v>84</v>
      </c>
    </row>
    <row r="105" customFormat="false" ht="13.5" hidden="false" customHeight="false" outlineLevel="0" collapsed="false">
      <c r="A105" s="1" t="s">
        <v>625</v>
      </c>
      <c r="B105" s="1" t="s">
        <v>1633</v>
      </c>
      <c r="C105" s="1" t="s">
        <v>1529</v>
      </c>
      <c r="D105" s="1" t="s">
        <v>84</v>
      </c>
    </row>
    <row r="106" customFormat="false" ht="13.5" hidden="false" customHeight="false" outlineLevel="0" collapsed="false">
      <c r="A106" s="1" t="s">
        <v>71</v>
      </c>
      <c r="B106" s="1" t="s">
        <v>1634</v>
      </c>
      <c r="C106" s="1" t="s">
        <v>1532</v>
      </c>
      <c r="D106" s="1" t="s">
        <v>46</v>
      </c>
    </row>
    <row r="107" customFormat="false" ht="13.5" hidden="false" customHeight="false" outlineLevel="0" collapsed="false">
      <c r="A107" s="1" t="s">
        <v>242</v>
      </c>
      <c r="B107" s="1" t="s">
        <v>1635</v>
      </c>
      <c r="C107" s="1" t="s">
        <v>1529</v>
      </c>
      <c r="D107" s="1" t="s">
        <v>46</v>
      </c>
    </row>
    <row r="108" customFormat="false" ht="13.5" hidden="false" customHeight="false" outlineLevel="0" collapsed="false">
      <c r="A108" s="1" t="s">
        <v>198</v>
      </c>
      <c r="B108" s="1" t="s">
        <v>1636</v>
      </c>
      <c r="C108" s="1" t="s">
        <v>1532</v>
      </c>
      <c r="D108" s="1" t="s">
        <v>63</v>
      </c>
    </row>
    <row r="109" customFormat="false" ht="13.5" hidden="false" customHeight="false" outlineLevel="0" collapsed="false">
      <c r="A109" s="1" t="s">
        <v>514</v>
      </c>
      <c r="B109" s="1" t="s">
        <v>1637</v>
      </c>
      <c r="C109" s="1" t="s">
        <v>1529</v>
      </c>
      <c r="D109" s="1" t="s">
        <v>46</v>
      </c>
    </row>
    <row r="110" customFormat="false" ht="13.5" hidden="false" customHeight="false" outlineLevel="0" collapsed="false">
      <c r="A110" s="1" t="s">
        <v>891</v>
      </c>
      <c r="B110" s="1" t="s">
        <v>1638</v>
      </c>
      <c r="C110" s="1" t="s">
        <v>1532</v>
      </c>
      <c r="D110" s="1" t="s">
        <v>84</v>
      </c>
    </row>
    <row r="111" customFormat="false" ht="13.5" hidden="false" customHeight="false" outlineLevel="0" collapsed="false">
      <c r="A111" s="1" t="s">
        <v>864</v>
      </c>
      <c r="B111" s="1" t="s">
        <v>1639</v>
      </c>
      <c r="C111" s="1" t="s">
        <v>1527</v>
      </c>
      <c r="D111" s="1" t="s">
        <v>73</v>
      </c>
    </row>
    <row r="112" customFormat="false" ht="13.5" hidden="false" customHeight="false" outlineLevel="0" collapsed="false">
      <c r="A112" s="1" t="s">
        <v>803</v>
      </c>
      <c r="B112" s="1" t="s">
        <v>1640</v>
      </c>
      <c r="C112" s="1" t="s">
        <v>1529</v>
      </c>
      <c r="D112" s="1" t="s">
        <v>73</v>
      </c>
    </row>
    <row r="113" customFormat="false" ht="13.5" hidden="false" customHeight="false" outlineLevel="0" collapsed="false">
      <c r="A113" s="1" t="s">
        <v>451</v>
      </c>
      <c r="B113" s="1" t="s">
        <v>1641</v>
      </c>
      <c r="C113" s="1" t="s">
        <v>1532</v>
      </c>
      <c r="D113" s="1" t="s">
        <v>73</v>
      </c>
    </row>
    <row r="114" customFormat="false" ht="13.5" hidden="false" customHeight="false" outlineLevel="0" collapsed="false">
      <c r="A114" s="1" t="s">
        <v>442</v>
      </c>
      <c r="B114" s="1" t="s">
        <v>1642</v>
      </c>
      <c r="C114" s="1" t="s">
        <v>1527</v>
      </c>
      <c r="D114" s="1" t="s">
        <v>73</v>
      </c>
    </row>
    <row r="115" customFormat="false" ht="13.5" hidden="false" customHeight="false" outlineLevel="0" collapsed="false">
      <c r="A115" s="1" t="s">
        <v>401</v>
      </c>
      <c r="B115" s="1" t="s">
        <v>1643</v>
      </c>
      <c r="C115" s="1" t="s">
        <v>1529</v>
      </c>
      <c r="D115" s="1" t="s">
        <v>73</v>
      </c>
    </row>
    <row r="116" customFormat="false" ht="13.5" hidden="false" customHeight="false" outlineLevel="0" collapsed="false">
      <c r="A116" s="1" t="s">
        <v>341</v>
      </c>
      <c r="B116" s="1" t="s">
        <v>1644</v>
      </c>
      <c r="C116" s="1" t="s">
        <v>1532</v>
      </c>
      <c r="D116" s="1" t="s">
        <v>73</v>
      </c>
    </row>
    <row r="117" customFormat="false" ht="13.5" hidden="false" customHeight="false" outlineLevel="0" collapsed="false">
      <c r="A117" s="1" t="s">
        <v>298</v>
      </c>
      <c r="B117" s="1" t="s">
        <v>1645</v>
      </c>
      <c r="C117" s="1" t="s">
        <v>1527</v>
      </c>
      <c r="D117" s="1" t="s">
        <v>73</v>
      </c>
    </row>
    <row r="118" customFormat="false" ht="13.5" hidden="false" customHeight="false" outlineLevel="0" collapsed="false">
      <c r="A118" s="1" t="s">
        <v>254</v>
      </c>
      <c r="B118" s="1" t="s">
        <v>1646</v>
      </c>
      <c r="C118" s="1" t="s">
        <v>1527</v>
      </c>
      <c r="D118" s="1" t="s">
        <v>63</v>
      </c>
    </row>
    <row r="119" customFormat="false" ht="13.5" hidden="false" customHeight="false" outlineLevel="0" collapsed="false">
      <c r="A119" s="1" t="s">
        <v>1071</v>
      </c>
      <c r="B119" s="1" t="s">
        <v>1647</v>
      </c>
      <c r="C119" s="1" t="s">
        <v>1529</v>
      </c>
      <c r="D119" s="1" t="s">
        <v>84</v>
      </c>
    </row>
    <row r="120" customFormat="false" ht="13.5" hidden="false" customHeight="false" outlineLevel="0" collapsed="false">
      <c r="A120" s="1" t="s">
        <v>430</v>
      </c>
      <c r="B120" s="1" t="s">
        <v>1648</v>
      </c>
      <c r="C120" s="1" t="s">
        <v>1529</v>
      </c>
      <c r="D120" s="1" t="s">
        <v>73</v>
      </c>
    </row>
    <row r="121" customFormat="false" ht="13.5" hidden="false" customHeight="false" outlineLevel="0" collapsed="false">
      <c r="A121" s="1" t="s">
        <v>655</v>
      </c>
      <c r="B121" s="1" t="s">
        <v>1649</v>
      </c>
      <c r="C121" s="1" t="s">
        <v>1527</v>
      </c>
      <c r="D121" s="1" t="s">
        <v>73</v>
      </c>
    </row>
    <row r="122" customFormat="false" ht="13.5" hidden="false" customHeight="false" outlineLevel="0" collapsed="false">
      <c r="A122" s="1" t="s">
        <v>459</v>
      </c>
      <c r="B122" s="1" t="s">
        <v>1650</v>
      </c>
      <c r="C122" s="1" t="s">
        <v>1532</v>
      </c>
      <c r="D122" s="1" t="s">
        <v>84</v>
      </c>
    </row>
    <row r="123" customFormat="false" ht="13.5" hidden="false" customHeight="false" outlineLevel="0" collapsed="false">
      <c r="A123" s="1" t="s">
        <v>756</v>
      </c>
      <c r="B123" s="1" t="s">
        <v>1651</v>
      </c>
      <c r="C123" s="1" t="s">
        <v>1527</v>
      </c>
      <c r="D123" s="1" t="s">
        <v>73</v>
      </c>
    </row>
    <row r="124" customFormat="false" ht="13.5" hidden="false" customHeight="false" outlineLevel="0" collapsed="false">
      <c r="A124" s="1" t="s">
        <v>409</v>
      </c>
      <c r="B124" s="1" t="s">
        <v>1652</v>
      </c>
      <c r="C124" s="1" t="s">
        <v>1532</v>
      </c>
      <c r="D124" s="1" t="s">
        <v>46</v>
      </c>
    </row>
    <row r="125" customFormat="false" ht="13.5" hidden="false" customHeight="false" outlineLevel="0" collapsed="false">
      <c r="A125" s="1" t="s">
        <v>835</v>
      </c>
      <c r="B125" s="1" t="s">
        <v>1653</v>
      </c>
      <c r="C125" s="1" t="s">
        <v>1532</v>
      </c>
      <c r="D125" s="1" t="s">
        <v>73</v>
      </c>
    </row>
    <row r="126" customFormat="false" ht="13.5" hidden="false" customHeight="false" outlineLevel="0" collapsed="false">
      <c r="A126" s="1" t="s">
        <v>229</v>
      </c>
      <c r="B126" s="1" t="s">
        <v>1654</v>
      </c>
      <c r="C126" s="1" t="s">
        <v>1527</v>
      </c>
      <c r="D126" s="1" t="s">
        <v>63</v>
      </c>
    </row>
    <row r="127" customFormat="false" ht="13.5" hidden="false" customHeight="false" outlineLevel="0" collapsed="false">
      <c r="A127" s="1" t="s">
        <v>319</v>
      </c>
      <c r="B127" s="1" t="s">
        <v>1655</v>
      </c>
      <c r="C127" s="1" t="s">
        <v>1532</v>
      </c>
      <c r="D127" s="1" t="s">
        <v>73</v>
      </c>
    </row>
    <row r="128" customFormat="false" ht="13.5" hidden="false" customHeight="false" outlineLevel="0" collapsed="false">
      <c r="A128" s="1" t="s">
        <v>786</v>
      </c>
      <c r="B128" s="1" t="s">
        <v>1656</v>
      </c>
      <c r="C128" s="1" t="s">
        <v>1532</v>
      </c>
      <c r="D128" s="1" t="s">
        <v>73</v>
      </c>
    </row>
    <row r="129" customFormat="false" ht="13.5" hidden="false" customHeight="false" outlineLevel="0" collapsed="false">
      <c r="A129" s="1" t="s">
        <v>840</v>
      </c>
      <c r="B129" s="1" t="s">
        <v>1657</v>
      </c>
      <c r="C129" s="1" t="s">
        <v>1527</v>
      </c>
      <c r="D129" s="1" t="s">
        <v>46</v>
      </c>
    </row>
    <row r="130" customFormat="false" ht="13.5" hidden="false" customHeight="false" outlineLevel="0" collapsed="false">
      <c r="A130" s="1" t="s">
        <v>1109</v>
      </c>
      <c r="B130" s="1" t="s">
        <v>1658</v>
      </c>
      <c r="C130" s="1" t="s">
        <v>1529</v>
      </c>
      <c r="D130" s="1" t="s">
        <v>46</v>
      </c>
    </row>
    <row r="131" customFormat="false" ht="13.5" hidden="false" customHeight="false" outlineLevel="0" collapsed="false">
      <c r="A131" s="1" t="s">
        <v>993</v>
      </c>
      <c r="B131" s="1" t="s">
        <v>1659</v>
      </c>
      <c r="C131" s="1" t="s">
        <v>1529</v>
      </c>
      <c r="D131" s="1" t="s">
        <v>63</v>
      </c>
    </row>
    <row r="132" customFormat="false" ht="13.5" hidden="false" customHeight="false" outlineLevel="0" collapsed="false">
      <c r="A132" s="1" t="s">
        <v>344</v>
      </c>
      <c r="B132" s="1" t="s">
        <v>1660</v>
      </c>
      <c r="C132" s="1" t="s">
        <v>1529</v>
      </c>
      <c r="D132" s="1" t="s">
        <v>46</v>
      </c>
    </row>
    <row r="133" customFormat="false" ht="13.5" hidden="false" customHeight="false" outlineLevel="0" collapsed="false">
      <c r="A133" s="1" t="s">
        <v>359</v>
      </c>
      <c r="B133" s="1" t="s">
        <v>1661</v>
      </c>
      <c r="C133" s="1" t="s">
        <v>1532</v>
      </c>
      <c r="D133" s="1" t="s">
        <v>84</v>
      </c>
    </row>
    <row r="134" customFormat="false" ht="13.5" hidden="false" customHeight="false" outlineLevel="0" collapsed="false">
      <c r="A134" s="1" t="s">
        <v>178</v>
      </c>
      <c r="B134" s="1" t="s">
        <v>1662</v>
      </c>
      <c r="C134" s="1" t="s">
        <v>1527</v>
      </c>
      <c r="D134" s="1" t="s">
        <v>73</v>
      </c>
    </row>
    <row r="135" customFormat="false" ht="13.5" hidden="false" customHeight="false" outlineLevel="0" collapsed="false">
      <c r="A135" s="1" t="s">
        <v>368</v>
      </c>
      <c r="B135" s="1" t="s">
        <v>1663</v>
      </c>
      <c r="C135" s="1" t="s">
        <v>1529</v>
      </c>
      <c r="D135" s="1" t="s">
        <v>63</v>
      </c>
    </row>
    <row r="136" customFormat="false" ht="13.5" hidden="false" customHeight="false" outlineLevel="0" collapsed="false">
      <c r="A136" s="1" t="s">
        <v>453</v>
      </c>
      <c r="B136" s="1" t="s">
        <v>1664</v>
      </c>
      <c r="C136" s="1" t="s">
        <v>1529</v>
      </c>
      <c r="D136" s="1" t="s">
        <v>46</v>
      </c>
    </row>
    <row r="137" customFormat="false" ht="13.5" hidden="false" customHeight="false" outlineLevel="0" collapsed="false">
      <c r="A137" s="1" t="s">
        <v>746</v>
      </c>
      <c r="B137" s="1" t="s">
        <v>1665</v>
      </c>
      <c r="C137" s="1" t="s">
        <v>1532</v>
      </c>
      <c r="D137" s="1" t="s">
        <v>73</v>
      </c>
    </row>
    <row r="138" customFormat="false" ht="13.5" hidden="false" customHeight="false" outlineLevel="0" collapsed="false">
      <c r="A138" s="1" t="s">
        <v>232</v>
      </c>
      <c r="B138" s="1" t="s">
        <v>1666</v>
      </c>
      <c r="C138" s="1" t="s">
        <v>1527</v>
      </c>
      <c r="D138" s="1" t="s">
        <v>73</v>
      </c>
    </row>
    <row r="139" customFormat="false" ht="13.5" hidden="false" customHeight="false" outlineLevel="0" collapsed="false">
      <c r="A139" s="1" t="s">
        <v>917</v>
      </c>
      <c r="B139" s="1" t="s">
        <v>1667</v>
      </c>
      <c r="C139" s="1" t="s">
        <v>1527</v>
      </c>
      <c r="D139" s="1" t="s">
        <v>46</v>
      </c>
    </row>
    <row r="140" customFormat="false" ht="13.5" hidden="false" customHeight="false" outlineLevel="0" collapsed="false">
      <c r="A140" s="1" t="s">
        <v>415</v>
      </c>
      <c r="B140" s="1" t="s">
        <v>1668</v>
      </c>
      <c r="C140" s="1" t="s">
        <v>1527</v>
      </c>
      <c r="D140" s="1" t="s">
        <v>46</v>
      </c>
    </row>
    <row r="141" customFormat="false" ht="13.5" hidden="false" customHeight="false" outlineLevel="0" collapsed="false">
      <c r="A141" s="1" t="s">
        <v>249</v>
      </c>
      <c r="B141" s="1" t="s">
        <v>1669</v>
      </c>
      <c r="C141" s="1" t="s">
        <v>1527</v>
      </c>
      <c r="D141" s="1" t="s">
        <v>46</v>
      </c>
    </row>
    <row r="142" customFormat="false" ht="13.5" hidden="false" customHeight="false" outlineLevel="0" collapsed="false">
      <c r="A142" s="1" t="s">
        <v>611</v>
      </c>
      <c r="B142" s="1" t="s">
        <v>1670</v>
      </c>
      <c r="C142" s="1" t="s">
        <v>1527</v>
      </c>
      <c r="D142" s="1" t="s">
        <v>46</v>
      </c>
    </row>
    <row r="143" customFormat="false" ht="13.5" hidden="false" customHeight="false" outlineLevel="0" collapsed="false">
      <c r="A143" s="1" t="s">
        <v>247</v>
      </c>
      <c r="B143" s="1" t="s">
        <v>1671</v>
      </c>
      <c r="C143" s="1" t="s">
        <v>1527</v>
      </c>
      <c r="D143" s="1" t="s">
        <v>84</v>
      </c>
    </row>
    <row r="144" customFormat="false" ht="13.5" hidden="false" customHeight="false" outlineLevel="0" collapsed="false">
      <c r="A144" s="1" t="s">
        <v>464</v>
      </c>
      <c r="B144" s="1" t="s">
        <v>1672</v>
      </c>
      <c r="C144" s="1" t="s">
        <v>1529</v>
      </c>
      <c r="D144" s="1" t="s">
        <v>73</v>
      </c>
    </row>
    <row r="145" customFormat="false" ht="13.5" hidden="false" customHeight="false" outlineLevel="0" collapsed="false">
      <c r="A145" s="1" t="s">
        <v>1157</v>
      </c>
      <c r="B145" s="1" t="s">
        <v>1673</v>
      </c>
      <c r="C145" s="1" t="s">
        <v>1527</v>
      </c>
      <c r="D145" s="1" t="s">
        <v>46</v>
      </c>
    </row>
    <row r="146" customFormat="false" ht="13.5" hidden="false" customHeight="false" outlineLevel="0" collapsed="false">
      <c r="A146" s="1" t="s">
        <v>1674</v>
      </c>
      <c r="B146" s="1" t="s">
        <v>1675</v>
      </c>
      <c r="C146" s="1" t="s">
        <v>1527</v>
      </c>
      <c r="D146" s="1" t="s">
        <v>84</v>
      </c>
    </row>
    <row r="147" customFormat="false" ht="13.5" hidden="false" customHeight="false" outlineLevel="0" collapsed="false">
      <c r="A147" s="1" t="s">
        <v>314</v>
      </c>
      <c r="B147" s="1" t="s">
        <v>1676</v>
      </c>
      <c r="C147" s="1" t="s">
        <v>1529</v>
      </c>
      <c r="D147" s="1" t="s">
        <v>84</v>
      </c>
    </row>
    <row r="148" customFormat="false" ht="13.5" hidden="false" customHeight="false" outlineLevel="0" collapsed="false">
      <c r="A148" s="1" t="s">
        <v>579</v>
      </c>
      <c r="B148" s="1" t="s">
        <v>1677</v>
      </c>
      <c r="C148" s="1" t="s">
        <v>1532</v>
      </c>
      <c r="D148" s="1" t="s">
        <v>73</v>
      </c>
    </row>
    <row r="149" customFormat="false" ht="13.5" hidden="false" customHeight="false" outlineLevel="0" collapsed="false">
      <c r="A149" s="1" t="s">
        <v>173</v>
      </c>
      <c r="B149" s="1" t="s">
        <v>1678</v>
      </c>
      <c r="C149" s="1" t="s">
        <v>1527</v>
      </c>
      <c r="D149" s="1" t="s">
        <v>73</v>
      </c>
    </row>
    <row r="150" customFormat="false" ht="13.5" hidden="false" customHeight="false" outlineLevel="0" collapsed="false">
      <c r="A150" s="1" t="s">
        <v>351</v>
      </c>
      <c r="B150" s="1" t="s">
        <v>1679</v>
      </c>
      <c r="C150" s="1" t="s">
        <v>1529</v>
      </c>
      <c r="D150" s="1" t="s">
        <v>84</v>
      </c>
    </row>
    <row r="151" customFormat="false" ht="13.5" hidden="false" customHeight="false" outlineLevel="0" collapsed="false">
      <c r="A151" s="1" t="s">
        <v>382</v>
      </c>
      <c r="B151" s="1" t="s">
        <v>1680</v>
      </c>
      <c r="C151" s="1" t="s">
        <v>1527</v>
      </c>
      <c r="D151" s="1" t="s">
        <v>46</v>
      </c>
    </row>
    <row r="152" customFormat="false" ht="13.5" hidden="false" customHeight="false" outlineLevel="0" collapsed="false">
      <c r="A152" s="1" t="s">
        <v>419</v>
      </c>
      <c r="B152" s="1" t="s">
        <v>1681</v>
      </c>
      <c r="C152" s="1" t="s">
        <v>1527</v>
      </c>
      <c r="D152" s="1" t="s">
        <v>84</v>
      </c>
    </row>
    <row r="153" customFormat="false" ht="13.5" hidden="false" customHeight="false" outlineLevel="0" collapsed="false">
      <c r="A153" s="1" t="s">
        <v>536</v>
      </c>
      <c r="B153" s="1" t="s">
        <v>1682</v>
      </c>
      <c r="C153" s="1" t="s">
        <v>1529</v>
      </c>
      <c r="D153" s="1" t="s">
        <v>46</v>
      </c>
    </row>
    <row r="154" customFormat="false" ht="13.5" hidden="false" customHeight="false" outlineLevel="0" collapsed="false">
      <c r="A154" s="1" t="s">
        <v>1080</v>
      </c>
      <c r="B154" s="1" t="s">
        <v>1683</v>
      </c>
      <c r="C154" s="1" t="s">
        <v>1529</v>
      </c>
      <c r="D154" s="1" t="s">
        <v>63</v>
      </c>
    </row>
    <row r="155" customFormat="false" ht="13.5" hidden="false" customHeight="false" outlineLevel="0" collapsed="false">
      <c r="A155" s="1" t="s">
        <v>539</v>
      </c>
      <c r="B155" s="1" t="s">
        <v>1684</v>
      </c>
      <c r="C155" s="1" t="s">
        <v>1527</v>
      </c>
      <c r="D155" s="1" t="s">
        <v>73</v>
      </c>
    </row>
    <row r="156" customFormat="false" ht="13.5" hidden="false" customHeight="false" outlineLevel="0" collapsed="false">
      <c r="A156" s="1" t="s">
        <v>508</v>
      </c>
      <c r="B156" s="1" t="s">
        <v>1685</v>
      </c>
      <c r="C156" s="1" t="s">
        <v>1529</v>
      </c>
      <c r="D156" s="1" t="s">
        <v>84</v>
      </c>
    </row>
    <row r="157" customFormat="false" ht="13.5" hidden="false" customHeight="false" outlineLevel="0" collapsed="false">
      <c r="A157" s="1" t="s">
        <v>789</v>
      </c>
      <c r="B157" s="1" t="s">
        <v>1686</v>
      </c>
      <c r="C157" s="1" t="s">
        <v>1532</v>
      </c>
      <c r="D157" s="1" t="s">
        <v>84</v>
      </c>
    </row>
    <row r="158" customFormat="false" ht="13.5" hidden="false" customHeight="false" outlineLevel="0" collapsed="false">
      <c r="A158" s="1" t="s">
        <v>1140</v>
      </c>
      <c r="B158" s="1" t="s">
        <v>1687</v>
      </c>
      <c r="C158" s="1" t="s">
        <v>1529</v>
      </c>
      <c r="D158" s="1" t="s">
        <v>73</v>
      </c>
    </row>
    <row r="159" customFormat="false" ht="13.5" hidden="false" customHeight="false" outlineLevel="0" collapsed="false">
      <c r="A159" s="1" t="s">
        <v>311</v>
      </c>
      <c r="B159" s="1" t="s">
        <v>1688</v>
      </c>
      <c r="C159" s="1" t="s">
        <v>1532</v>
      </c>
      <c r="D159" s="1" t="s">
        <v>46</v>
      </c>
    </row>
    <row r="160" customFormat="false" ht="13.5" hidden="false" customHeight="false" outlineLevel="0" collapsed="false">
      <c r="A160" s="1" t="s">
        <v>1234</v>
      </c>
      <c r="B160" s="1" t="s">
        <v>1689</v>
      </c>
      <c r="C160" s="1" t="s">
        <v>1527</v>
      </c>
      <c r="D160" s="1" t="s">
        <v>84</v>
      </c>
    </row>
    <row r="161" customFormat="false" ht="13.5" hidden="false" customHeight="false" outlineLevel="0" collapsed="false">
      <c r="A161" s="1" t="s">
        <v>161</v>
      </c>
      <c r="B161" s="1" t="s">
        <v>1690</v>
      </c>
      <c r="C161" s="1" t="s">
        <v>1529</v>
      </c>
      <c r="D161" s="1" t="s">
        <v>84</v>
      </c>
    </row>
    <row r="162" customFormat="false" ht="13.5" hidden="false" customHeight="false" outlineLevel="0" collapsed="false">
      <c r="A162" s="1" t="s">
        <v>1077</v>
      </c>
      <c r="B162" s="1" t="s">
        <v>1691</v>
      </c>
      <c r="C162" s="1" t="s">
        <v>1529</v>
      </c>
      <c r="D162" s="1" t="s">
        <v>84</v>
      </c>
    </row>
    <row r="163" customFormat="false" ht="13.5" hidden="false" customHeight="false" outlineLevel="0" collapsed="false">
      <c r="A163" s="1" t="s">
        <v>512</v>
      </c>
      <c r="B163" s="1" t="s">
        <v>1692</v>
      </c>
      <c r="C163" s="1" t="s">
        <v>1532</v>
      </c>
      <c r="D163" s="1" t="s">
        <v>73</v>
      </c>
    </row>
    <row r="164" customFormat="false" ht="13.5" hidden="false" customHeight="false" outlineLevel="0" collapsed="false">
      <c r="A164" s="1" t="s">
        <v>889</v>
      </c>
      <c r="B164" s="1" t="s">
        <v>1693</v>
      </c>
      <c r="C164" s="1" t="s">
        <v>1527</v>
      </c>
      <c r="D164" s="1" t="s">
        <v>46</v>
      </c>
    </row>
    <row r="165" customFormat="false" ht="13.5" hidden="false" customHeight="false" outlineLevel="0" collapsed="false">
      <c r="A165" s="1" t="s">
        <v>541</v>
      </c>
      <c r="B165" s="1" t="s">
        <v>1694</v>
      </c>
      <c r="C165" s="1" t="s">
        <v>1532</v>
      </c>
      <c r="D165" s="1" t="s">
        <v>84</v>
      </c>
    </row>
    <row r="166" customFormat="false" ht="13.5" hidden="false" customHeight="false" outlineLevel="0" collapsed="false">
      <c r="A166" s="1" t="s">
        <v>632</v>
      </c>
      <c r="B166" s="1" t="s">
        <v>1695</v>
      </c>
      <c r="C166" s="1" t="s">
        <v>1527</v>
      </c>
      <c r="D166" s="1" t="s">
        <v>63</v>
      </c>
    </row>
    <row r="167" customFormat="false" ht="13.5" hidden="false" customHeight="false" outlineLevel="0" collapsed="false">
      <c r="A167" s="1" t="s">
        <v>491</v>
      </c>
      <c r="B167" s="1" t="s">
        <v>1696</v>
      </c>
      <c r="C167" s="1" t="s">
        <v>1529</v>
      </c>
      <c r="D167" s="1" t="s">
        <v>84</v>
      </c>
    </row>
    <row r="168" customFormat="false" ht="13.5" hidden="false" customHeight="false" outlineLevel="0" collapsed="false">
      <c r="A168" s="1" t="s">
        <v>157</v>
      </c>
      <c r="B168" s="1" t="s">
        <v>1697</v>
      </c>
      <c r="C168" s="1" t="s">
        <v>1532</v>
      </c>
      <c r="D168" s="1" t="s">
        <v>46</v>
      </c>
    </row>
    <row r="169" customFormat="false" ht="13.5" hidden="false" customHeight="false" outlineLevel="0" collapsed="false">
      <c r="A169" s="1" t="s">
        <v>1145</v>
      </c>
      <c r="B169" s="1" t="s">
        <v>1698</v>
      </c>
      <c r="C169" s="1" t="s">
        <v>1532</v>
      </c>
      <c r="D169" s="1" t="s">
        <v>46</v>
      </c>
    </row>
    <row r="170" customFormat="false" ht="13.5" hidden="false" customHeight="false" outlineLevel="0" collapsed="false">
      <c r="A170" s="1" t="s">
        <v>268</v>
      </c>
      <c r="B170" s="1" t="s">
        <v>1699</v>
      </c>
      <c r="C170" s="1" t="s">
        <v>1527</v>
      </c>
      <c r="D170" s="1" t="s">
        <v>46</v>
      </c>
    </row>
    <row r="171" customFormat="false" ht="13.5" hidden="false" customHeight="false" outlineLevel="0" collapsed="false">
      <c r="A171" s="1" t="s">
        <v>744</v>
      </c>
      <c r="B171" s="1" t="s">
        <v>1700</v>
      </c>
      <c r="C171" s="1" t="s">
        <v>1529</v>
      </c>
      <c r="D171" s="1" t="s">
        <v>84</v>
      </c>
    </row>
    <row r="172" customFormat="false" ht="13.5" hidden="false" customHeight="false" outlineLevel="0" collapsed="false">
      <c r="A172" s="1" t="s">
        <v>662</v>
      </c>
      <c r="B172" s="1" t="s">
        <v>1701</v>
      </c>
      <c r="C172" s="1" t="s">
        <v>1529</v>
      </c>
      <c r="D172" s="1" t="s">
        <v>63</v>
      </c>
    </row>
    <row r="173" customFormat="false" ht="13.5" hidden="false" customHeight="false" outlineLevel="0" collapsed="false">
      <c r="A173" s="1" t="s">
        <v>421</v>
      </c>
      <c r="B173" s="1" t="s">
        <v>1702</v>
      </c>
      <c r="C173" s="1" t="s">
        <v>1529</v>
      </c>
      <c r="D173" s="1" t="s">
        <v>46</v>
      </c>
    </row>
    <row r="174" customFormat="false" ht="13.5" hidden="false" customHeight="false" outlineLevel="0" collapsed="false">
      <c r="A174" s="1" t="s">
        <v>1012</v>
      </c>
      <c r="B174" s="1" t="s">
        <v>1703</v>
      </c>
      <c r="C174" s="1" t="s">
        <v>1532</v>
      </c>
      <c r="D174" s="1" t="s">
        <v>84</v>
      </c>
    </row>
    <row r="175" customFormat="false" ht="13.5" hidden="false" customHeight="false" outlineLevel="0" collapsed="false">
      <c r="A175" s="1" t="s">
        <v>947</v>
      </c>
      <c r="B175" s="1" t="s">
        <v>1704</v>
      </c>
      <c r="C175" s="1" t="s">
        <v>1527</v>
      </c>
      <c r="D175" s="1" t="s">
        <v>73</v>
      </c>
    </row>
    <row r="176" customFormat="false" ht="13.5" hidden="false" customHeight="false" outlineLevel="0" collapsed="false">
      <c r="A176" s="1" t="s">
        <v>165</v>
      </c>
      <c r="B176" s="1" t="s">
        <v>1705</v>
      </c>
      <c r="C176" s="1" t="s">
        <v>1529</v>
      </c>
      <c r="D176" s="1" t="s">
        <v>84</v>
      </c>
    </row>
    <row r="177" customFormat="false" ht="13.5" hidden="false" customHeight="false" outlineLevel="0" collapsed="false">
      <c r="A177" s="1" t="s">
        <v>608</v>
      </c>
      <c r="B177" s="1" t="s">
        <v>1706</v>
      </c>
      <c r="C177" s="1" t="s">
        <v>1527</v>
      </c>
      <c r="D177" s="1" t="s">
        <v>63</v>
      </c>
    </row>
    <row r="178" customFormat="false" ht="13.5" hidden="false" customHeight="false" outlineLevel="0" collapsed="false">
      <c r="A178" s="1" t="s">
        <v>634</v>
      </c>
      <c r="B178" s="1" t="s">
        <v>1707</v>
      </c>
      <c r="C178" s="1" t="s">
        <v>1527</v>
      </c>
      <c r="D178" s="1" t="s">
        <v>63</v>
      </c>
    </row>
    <row r="179" customFormat="false" ht="13.5" hidden="false" customHeight="false" outlineLevel="0" collapsed="false">
      <c r="A179" s="1" t="s">
        <v>457</v>
      </c>
      <c r="B179" s="1" t="s">
        <v>1708</v>
      </c>
      <c r="C179" s="1" t="s">
        <v>1532</v>
      </c>
      <c r="D179" s="1" t="s">
        <v>46</v>
      </c>
    </row>
    <row r="180" customFormat="false" ht="13.5" hidden="false" customHeight="false" outlineLevel="0" collapsed="false">
      <c r="A180" s="1" t="s">
        <v>824</v>
      </c>
      <c r="B180" s="1" t="s">
        <v>1709</v>
      </c>
      <c r="C180" s="1" t="s">
        <v>1532</v>
      </c>
      <c r="D180" s="1" t="s">
        <v>84</v>
      </c>
    </row>
    <row r="181" customFormat="false" ht="13.5" hidden="false" customHeight="false" outlineLevel="0" collapsed="false">
      <c r="A181" s="1" t="s">
        <v>227</v>
      </c>
      <c r="B181" s="1" t="s">
        <v>1710</v>
      </c>
      <c r="C181" s="1" t="s">
        <v>1527</v>
      </c>
      <c r="D181" s="1" t="s">
        <v>63</v>
      </c>
    </row>
    <row r="182" customFormat="false" ht="13.5" hidden="false" customHeight="false" outlineLevel="0" collapsed="false">
      <c r="A182" s="1" t="s">
        <v>485</v>
      </c>
      <c r="B182" s="1" t="s">
        <v>1711</v>
      </c>
      <c r="C182" s="1" t="s">
        <v>1532</v>
      </c>
      <c r="D182" s="1" t="s">
        <v>46</v>
      </c>
    </row>
    <row r="183" customFormat="false" ht="13.5" hidden="false" customHeight="false" outlineLevel="0" collapsed="false">
      <c r="A183" s="1" t="s">
        <v>768</v>
      </c>
      <c r="B183" s="1" t="s">
        <v>1712</v>
      </c>
      <c r="C183" s="1" t="s">
        <v>1527</v>
      </c>
      <c r="D183" s="1" t="s">
        <v>84</v>
      </c>
    </row>
    <row r="184" customFormat="false" ht="13.5" hidden="false" customHeight="false" outlineLevel="0" collapsed="false">
      <c r="A184" s="1" t="s">
        <v>364</v>
      </c>
      <c r="B184" s="1" t="s">
        <v>1713</v>
      </c>
      <c r="C184" s="1" t="s">
        <v>1532</v>
      </c>
      <c r="D184" s="1" t="s">
        <v>63</v>
      </c>
    </row>
    <row r="185" customFormat="false" ht="13.5" hidden="false" customHeight="false" outlineLevel="0" collapsed="false">
      <c r="A185" s="1" t="s">
        <v>87</v>
      </c>
      <c r="B185" s="1" t="s">
        <v>1714</v>
      </c>
      <c r="C185" s="1" t="s">
        <v>1529</v>
      </c>
      <c r="D185" s="1" t="s">
        <v>46</v>
      </c>
    </row>
    <row r="186" customFormat="false" ht="13.5" hidden="false" customHeight="false" outlineLevel="0" collapsed="false">
      <c r="A186" s="1" t="s">
        <v>687</v>
      </c>
      <c r="B186" s="1" t="s">
        <v>1715</v>
      </c>
      <c r="C186" s="1" t="s">
        <v>1529</v>
      </c>
      <c r="D186" s="1" t="s">
        <v>84</v>
      </c>
    </row>
    <row r="187" customFormat="false" ht="13.5" hidden="false" customHeight="false" outlineLevel="0" collapsed="false">
      <c r="A187" s="1" t="s">
        <v>323</v>
      </c>
      <c r="B187" s="1" t="s">
        <v>1716</v>
      </c>
      <c r="C187" s="1" t="s">
        <v>1527</v>
      </c>
      <c r="D187" s="1" t="s">
        <v>46</v>
      </c>
    </row>
    <row r="188" customFormat="false" ht="13.5" hidden="false" customHeight="false" outlineLevel="0" collapsed="false">
      <c r="A188" s="1" t="s">
        <v>294</v>
      </c>
      <c r="B188" s="1" t="s">
        <v>1717</v>
      </c>
      <c r="C188" s="1" t="s">
        <v>1529</v>
      </c>
      <c r="D188" s="1" t="s">
        <v>73</v>
      </c>
    </row>
    <row r="189" customFormat="false" ht="13.5" hidden="false" customHeight="false" outlineLevel="0" collapsed="false">
      <c r="A189" s="1" t="s">
        <v>710</v>
      </c>
      <c r="B189" s="1" t="s">
        <v>1718</v>
      </c>
      <c r="C189" s="1" t="s">
        <v>1532</v>
      </c>
      <c r="D189" s="1" t="s">
        <v>46</v>
      </c>
    </row>
    <row r="190" customFormat="false" ht="13.5" hidden="false" customHeight="false" outlineLevel="0" collapsed="false">
      <c r="A190" s="1" t="s">
        <v>569</v>
      </c>
      <c r="B190" s="1" t="s">
        <v>1719</v>
      </c>
      <c r="C190" s="1" t="s">
        <v>1532</v>
      </c>
      <c r="D190" s="1" t="s">
        <v>63</v>
      </c>
    </row>
    <row r="191" customFormat="false" ht="13.5" hidden="false" customHeight="false" outlineLevel="0" collapsed="false">
      <c r="A191" s="1" t="s">
        <v>326</v>
      </c>
      <c r="B191" s="1" t="s">
        <v>1720</v>
      </c>
      <c r="C191" s="1" t="s">
        <v>1527</v>
      </c>
      <c r="D191" s="1" t="s">
        <v>73</v>
      </c>
    </row>
    <row r="192" customFormat="false" ht="13.5" hidden="false" customHeight="false" outlineLevel="0" collapsed="false">
      <c r="A192" s="1" t="s">
        <v>277</v>
      </c>
      <c r="B192" s="1" t="s">
        <v>1721</v>
      </c>
      <c r="C192" s="1" t="s">
        <v>1529</v>
      </c>
      <c r="D192" s="1" t="s">
        <v>84</v>
      </c>
    </row>
    <row r="193" customFormat="false" ht="13.5" hidden="false" customHeight="false" outlineLevel="0" collapsed="false">
      <c r="A193" s="1" t="s">
        <v>205</v>
      </c>
      <c r="B193" s="1" t="s">
        <v>1722</v>
      </c>
      <c r="C193" s="1" t="s">
        <v>1532</v>
      </c>
      <c r="D193" s="1" t="s">
        <v>84</v>
      </c>
    </row>
    <row r="194" customFormat="false" ht="13.5" hidden="false" customHeight="false" outlineLevel="0" collapsed="false">
      <c r="A194" s="1" t="s">
        <v>797</v>
      </c>
      <c r="B194" s="1" t="s">
        <v>1723</v>
      </c>
      <c r="C194" s="1" t="s">
        <v>1532</v>
      </c>
      <c r="D194" s="1" t="s">
        <v>73</v>
      </c>
    </row>
    <row r="195" customFormat="false" ht="13.5" hidden="false" customHeight="false" outlineLevel="0" collapsed="false">
      <c r="A195" s="1" t="s">
        <v>1724</v>
      </c>
      <c r="B195" s="1" t="s">
        <v>1725</v>
      </c>
      <c r="C195" s="1" t="s">
        <v>1529</v>
      </c>
      <c r="D195" s="1" t="s">
        <v>84</v>
      </c>
    </row>
    <row r="196" customFormat="false" ht="13.5" hidden="false" customHeight="false" outlineLevel="0" collapsed="false">
      <c r="A196" s="1" t="s">
        <v>483</v>
      </c>
      <c r="B196" s="1" t="s">
        <v>1726</v>
      </c>
      <c r="C196" s="1" t="s">
        <v>1527</v>
      </c>
      <c r="D196" s="1" t="s">
        <v>46</v>
      </c>
    </row>
    <row r="197" customFormat="false" ht="13.5" hidden="false" customHeight="false" outlineLevel="0" collapsed="false">
      <c r="A197" s="1" t="s">
        <v>239</v>
      </c>
      <c r="B197" s="1" t="s">
        <v>1727</v>
      </c>
      <c r="C197" s="1" t="s">
        <v>1529</v>
      </c>
      <c r="D197" s="1" t="s">
        <v>84</v>
      </c>
    </row>
    <row r="198" customFormat="false" ht="13.5" hidden="false" customHeight="false" outlineLevel="0" collapsed="false">
      <c r="A198" s="1" t="s">
        <v>321</v>
      </c>
      <c r="B198" s="1" t="s">
        <v>1728</v>
      </c>
      <c r="C198" s="1" t="s">
        <v>1527</v>
      </c>
      <c r="D198" s="1" t="s">
        <v>84</v>
      </c>
    </row>
    <row r="199" customFormat="false" ht="13.5" hidden="false" customHeight="false" outlineLevel="0" collapsed="false">
      <c r="A199" s="1" t="s">
        <v>502</v>
      </c>
      <c r="B199" s="1" t="s">
        <v>1729</v>
      </c>
      <c r="C199" s="1" t="s">
        <v>1532</v>
      </c>
      <c r="D199" s="1" t="s">
        <v>63</v>
      </c>
    </row>
    <row r="200" customFormat="false" ht="13.5" hidden="false" customHeight="false" outlineLevel="0" collapsed="false">
      <c r="A200" s="1" t="s">
        <v>1258</v>
      </c>
      <c r="B200" s="1" t="s">
        <v>1730</v>
      </c>
      <c r="C200" s="1" t="s">
        <v>1532</v>
      </c>
      <c r="D200" s="1" t="s">
        <v>84</v>
      </c>
    </row>
    <row r="201" customFormat="false" ht="13.5" hidden="false" customHeight="false" outlineLevel="0" collapsed="false">
      <c r="A201" s="1" t="s">
        <v>547</v>
      </c>
      <c r="B201" s="1" t="s">
        <v>1731</v>
      </c>
      <c r="C201" s="1" t="s">
        <v>1532</v>
      </c>
      <c r="D201" s="1" t="s">
        <v>84</v>
      </c>
    </row>
    <row r="202" customFormat="false" ht="13.5" hidden="false" customHeight="false" outlineLevel="0" collapsed="false">
      <c r="A202" s="1" t="s">
        <v>811</v>
      </c>
      <c r="B202" s="1" t="s">
        <v>1732</v>
      </c>
      <c r="C202" s="1" t="s">
        <v>1529</v>
      </c>
      <c r="D202" s="1" t="s">
        <v>46</v>
      </c>
    </row>
    <row r="203" customFormat="false" ht="13.5" hidden="false" customHeight="false" outlineLevel="0" collapsed="false">
      <c r="A203" s="1" t="s">
        <v>436</v>
      </c>
      <c r="B203" s="1" t="s">
        <v>1733</v>
      </c>
      <c r="C203" s="1" t="s">
        <v>1527</v>
      </c>
      <c r="D203" s="1" t="s">
        <v>73</v>
      </c>
    </row>
    <row r="204" customFormat="false" ht="13.5" hidden="false" customHeight="false" outlineLevel="0" collapsed="false">
      <c r="A204" s="1" t="s">
        <v>779</v>
      </c>
      <c r="B204" s="1" t="s">
        <v>1734</v>
      </c>
      <c r="C204" s="1" t="s">
        <v>1529</v>
      </c>
      <c r="D204" s="1" t="s">
        <v>73</v>
      </c>
    </row>
    <row r="205" customFormat="false" ht="13.5" hidden="false" customHeight="false" outlineLevel="0" collapsed="false">
      <c r="A205" s="1" t="s">
        <v>887</v>
      </c>
      <c r="B205" s="1" t="s">
        <v>1735</v>
      </c>
      <c r="C205" s="1" t="s">
        <v>1532</v>
      </c>
      <c r="D205" s="1" t="s">
        <v>73</v>
      </c>
    </row>
    <row r="206" customFormat="false" ht="13.5" hidden="false" customHeight="false" outlineLevel="0" collapsed="false">
      <c r="A206" s="1" t="s">
        <v>1736</v>
      </c>
      <c r="B206" s="1" t="s">
        <v>1737</v>
      </c>
      <c r="C206" s="1" t="s">
        <v>1532</v>
      </c>
      <c r="D206" s="1" t="s">
        <v>84</v>
      </c>
    </row>
    <row r="207" customFormat="false" ht="13.5" hidden="false" customHeight="false" outlineLevel="0" collapsed="false">
      <c r="A207" s="1" t="s">
        <v>557</v>
      </c>
      <c r="B207" s="1" t="s">
        <v>1738</v>
      </c>
      <c r="C207" s="1" t="s">
        <v>1527</v>
      </c>
      <c r="D207" s="1" t="s">
        <v>63</v>
      </c>
    </row>
    <row r="208" customFormat="false" ht="13.5" hidden="false" customHeight="false" outlineLevel="0" collapsed="false">
      <c r="A208" s="1" t="s">
        <v>487</v>
      </c>
      <c r="B208" s="1" t="s">
        <v>1739</v>
      </c>
      <c r="C208" s="1" t="s">
        <v>1527</v>
      </c>
      <c r="D208" s="1" t="s">
        <v>63</v>
      </c>
    </row>
    <row r="209" customFormat="false" ht="13.5" hidden="false" customHeight="false" outlineLevel="0" collapsed="false">
      <c r="A209" s="1" t="s">
        <v>995</v>
      </c>
      <c r="B209" s="1" t="s">
        <v>1740</v>
      </c>
      <c r="C209" s="1" t="s">
        <v>1527</v>
      </c>
      <c r="D209" s="1" t="s">
        <v>46</v>
      </c>
    </row>
    <row r="210" customFormat="false" ht="13.5" hidden="false" customHeight="false" outlineLevel="0" collapsed="false">
      <c r="A210" s="1" t="s">
        <v>79</v>
      </c>
      <c r="B210" s="1" t="s">
        <v>1741</v>
      </c>
      <c r="C210" s="1" t="s">
        <v>1527</v>
      </c>
      <c r="D210" s="1" t="s">
        <v>46</v>
      </c>
    </row>
    <row r="211" customFormat="false" ht="13.5" hidden="false" customHeight="false" outlineLevel="0" collapsed="false">
      <c r="A211" s="1" t="s">
        <v>169</v>
      </c>
      <c r="B211" s="1" t="s">
        <v>1742</v>
      </c>
      <c r="C211" s="1" t="s">
        <v>1529</v>
      </c>
      <c r="D211" s="1" t="s">
        <v>63</v>
      </c>
    </row>
    <row r="212" customFormat="false" ht="13.5" hidden="false" customHeight="false" outlineLevel="0" collapsed="false">
      <c r="A212" s="1" t="s">
        <v>679</v>
      </c>
      <c r="B212" s="1" t="s">
        <v>1743</v>
      </c>
      <c r="C212" s="1" t="s">
        <v>1529</v>
      </c>
      <c r="D212" s="1" t="s">
        <v>46</v>
      </c>
    </row>
    <row r="213" customFormat="false" ht="13.5" hidden="false" customHeight="false" outlineLevel="0" collapsed="false">
      <c r="A213" s="1" t="s">
        <v>221</v>
      </c>
      <c r="B213" s="1" t="s">
        <v>1744</v>
      </c>
      <c r="C213" s="1" t="s">
        <v>1529</v>
      </c>
      <c r="D213" s="1" t="s">
        <v>73</v>
      </c>
    </row>
    <row r="214" customFormat="false" ht="13.5" hidden="false" customHeight="false" outlineLevel="0" collapsed="false">
      <c r="A214" s="1" t="s">
        <v>600</v>
      </c>
      <c r="B214" s="1" t="s">
        <v>1745</v>
      </c>
      <c r="C214" s="1" t="s">
        <v>1527</v>
      </c>
      <c r="D214" s="1" t="s">
        <v>63</v>
      </c>
    </row>
    <row r="215" customFormat="false" ht="13.5" hidden="false" customHeight="false" outlineLevel="0" collapsed="false">
      <c r="A215" s="1" t="s">
        <v>307</v>
      </c>
      <c r="B215" s="1" t="s">
        <v>1746</v>
      </c>
      <c r="C215" s="1" t="s">
        <v>1532</v>
      </c>
      <c r="D215" s="1" t="s">
        <v>46</v>
      </c>
    </row>
    <row r="216" customFormat="false" ht="13.5" hidden="false" customHeight="false" outlineLevel="0" collapsed="false">
      <c r="A216" s="1" t="s">
        <v>575</v>
      </c>
      <c r="B216" s="1" t="s">
        <v>1747</v>
      </c>
      <c r="C216" s="1" t="s">
        <v>1529</v>
      </c>
      <c r="D216" s="1" t="s">
        <v>73</v>
      </c>
    </row>
    <row r="217" customFormat="false" ht="13.5" hidden="false" customHeight="false" outlineLevel="0" collapsed="false">
      <c r="A217" s="1" t="s">
        <v>366</v>
      </c>
      <c r="B217" s="1" t="s">
        <v>1748</v>
      </c>
      <c r="C217" s="1" t="s">
        <v>1529</v>
      </c>
      <c r="D217" s="1" t="s">
        <v>46</v>
      </c>
    </row>
    <row r="218" customFormat="false" ht="13.5" hidden="false" customHeight="false" outlineLevel="0" collapsed="false">
      <c r="A218" s="1" t="s">
        <v>807</v>
      </c>
      <c r="B218" s="1" t="s">
        <v>1749</v>
      </c>
      <c r="C218" s="1" t="s">
        <v>1527</v>
      </c>
      <c r="D218" s="1" t="s">
        <v>84</v>
      </c>
    </row>
    <row r="219" customFormat="false" ht="13.5" hidden="false" customHeight="false" outlineLevel="0" collapsed="false">
      <c r="A219" s="1" t="s">
        <v>957</v>
      </c>
      <c r="B219" s="1" t="s">
        <v>1750</v>
      </c>
      <c r="C219" s="1" t="s">
        <v>1529</v>
      </c>
      <c r="D219" s="1" t="s">
        <v>46</v>
      </c>
    </row>
    <row r="220" customFormat="false" ht="13.5" hidden="false" customHeight="false" outlineLevel="0" collapsed="false">
      <c r="A220" s="1" t="s">
        <v>196</v>
      </c>
      <c r="B220" s="1" t="s">
        <v>1751</v>
      </c>
      <c r="C220" s="1" t="s">
        <v>1527</v>
      </c>
      <c r="D220" s="1" t="s">
        <v>46</v>
      </c>
    </row>
    <row r="221" customFormat="false" ht="13.5" hidden="false" customHeight="false" outlineLevel="0" collapsed="false">
      <c r="A221" s="1" t="s">
        <v>873</v>
      </c>
      <c r="B221" s="1" t="s">
        <v>1752</v>
      </c>
      <c r="C221" s="1" t="s">
        <v>1527</v>
      </c>
      <c r="D221" s="1" t="s">
        <v>73</v>
      </c>
    </row>
    <row r="222" customFormat="false" ht="13.5" hidden="false" customHeight="false" outlineLevel="0" collapsed="false">
      <c r="A222" s="1" t="s">
        <v>134</v>
      </c>
      <c r="B222" s="1" t="s">
        <v>1753</v>
      </c>
      <c r="C222" s="1" t="s">
        <v>1532</v>
      </c>
      <c r="D222" s="1" t="s">
        <v>63</v>
      </c>
    </row>
    <row r="223" customFormat="false" ht="13.5" hidden="false" customHeight="false" outlineLevel="0" collapsed="false">
      <c r="A223" s="1" t="s">
        <v>407</v>
      </c>
      <c r="B223" s="1" t="s">
        <v>1754</v>
      </c>
      <c r="C223" s="1" t="s">
        <v>1527</v>
      </c>
      <c r="D223" s="1" t="s">
        <v>73</v>
      </c>
    </row>
    <row r="224" customFormat="false" ht="13.5" hidden="false" customHeight="false" outlineLevel="0" collapsed="false">
      <c r="A224" s="1" t="s">
        <v>716</v>
      </c>
      <c r="B224" s="1" t="s">
        <v>1755</v>
      </c>
      <c r="C224" s="1" t="s">
        <v>1529</v>
      </c>
      <c r="D224" s="1" t="s">
        <v>63</v>
      </c>
    </row>
    <row r="225" customFormat="false" ht="13.5" hidden="false" customHeight="false" outlineLevel="0" collapsed="false">
      <c r="A225" s="1" t="s">
        <v>291</v>
      </c>
      <c r="B225" s="1" t="s">
        <v>1756</v>
      </c>
      <c r="C225" s="1" t="s">
        <v>1532</v>
      </c>
      <c r="D225" s="1" t="s">
        <v>63</v>
      </c>
    </row>
    <row r="226" customFormat="false" ht="13.5" hidden="false" customHeight="false" outlineLevel="0" collapsed="false">
      <c r="A226" s="1" t="s">
        <v>493</v>
      </c>
      <c r="B226" s="1" t="s">
        <v>1757</v>
      </c>
      <c r="C226" s="1" t="s">
        <v>1532</v>
      </c>
      <c r="D226" s="1" t="s">
        <v>73</v>
      </c>
    </row>
    <row r="227" customFormat="false" ht="13.5" hidden="false" customHeight="false" outlineLevel="0" collapsed="false">
      <c r="A227" s="1" t="s">
        <v>257</v>
      </c>
      <c r="B227" s="1" t="s">
        <v>1758</v>
      </c>
      <c r="C227" s="1" t="s">
        <v>1532</v>
      </c>
      <c r="D227" s="1" t="s">
        <v>46</v>
      </c>
    </row>
    <row r="228" customFormat="false" ht="13.5" hidden="false" customHeight="false" outlineLevel="0" collapsed="false">
      <c r="A228" s="1" t="s">
        <v>847</v>
      </c>
      <c r="B228" s="1" t="s">
        <v>1759</v>
      </c>
      <c r="C228" s="1" t="s">
        <v>1532</v>
      </c>
      <c r="D228" s="1" t="s">
        <v>46</v>
      </c>
    </row>
    <row r="229" customFormat="false" ht="13.5" hidden="false" customHeight="false" outlineLevel="0" collapsed="false">
      <c r="A229" s="1" t="s">
        <v>212</v>
      </c>
      <c r="B229" s="1" t="s">
        <v>1760</v>
      </c>
      <c r="C229" s="1" t="s">
        <v>1529</v>
      </c>
      <c r="D229" s="1" t="s">
        <v>73</v>
      </c>
    </row>
    <row r="230" customFormat="false" ht="13.5" hidden="false" customHeight="false" outlineLevel="0" collapsed="false">
      <c r="A230" s="1" t="s">
        <v>362</v>
      </c>
      <c r="B230" s="1" t="s">
        <v>1761</v>
      </c>
      <c r="C230" s="1" t="s">
        <v>1527</v>
      </c>
      <c r="D230" s="1" t="s">
        <v>46</v>
      </c>
    </row>
    <row r="231" customFormat="false" ht="13.5" hidden="false" customHeight="false" outlineLevel="0" collapsed="false">
      <c r="A231" s="1" t="s">
        <v>286</v>
      </c>
      <c r="B231" s="1" t="s">
        <v>1762</v>
      </c>
      <c r="C231" s="1" t="s">
        <v>1529</v>
      </c>
      <c r="D231" s="1" t="s">
        <v>73</v>
      </c>
    </row>
    <row r="232" customFormat="false" ht="13.5" hidden="false" customHeight="false" outlineLevel="0" collapsed="false">
      <c r="A232" s="1" t="s">
        <v>970</v>
      </c>
      <c r="B232" s="1" t="s">
        <v>1763</v>
      </c>
      <c r="C232" s="1" t="s">
        <v>1529</v>
      </c>
      <c r="D232" s="1" t="s">
        <v>46</v>
      </c>
    </row>
    <row r="233" customFormat="false" ht="13.5" hidden="false" customHeight="false" outlineLevel="0" collapsed="false">
      <c r="A233" s="1" t="s">
        <v>622</v>
      </c>
      <c r="B233" s="1" t="s">
        <v>1764</v>
      </c>
      <c r="C233" s="1" t="s">
        <v>1527</v>
      </c>
      <c r="D233" s="1" t="s">
        <v>84</v>
      </c>
    </row>
    <row r="234" customFormat="false" ht="13.5" hidden="false" customHeight="false" outlineLevel="0" collapsed="false">
      <c r="A234" s="1" t="s">
        <v>305</v>
      </c>
      <c r="B234" s="1" t="s">
        <v>1765</v>
      </c>
      <c r="C234" s="1" t="s">
        <v>1527</v>
      </c>
      <c r="D234" s="1" t="s">
        <v>63</v>
      </c>
    </row>
    <row r="235" customFormat="false" ht="13.5" hidden="false" customHeight="false" outlineLevel="0" collapsed="false">
      <c r="A235" s="1" t="s">
        <v>309</v>
      </c>
      <c r="B235" s="1" t="s">
        <v>1766</v>
      </c>
      <c r="C235" s="1" t="s">
        <v>1527</v>
      </c>
      <c r="D235" s="1" t="s">
        <v>84</v>
      </c>
    </row>
    <row r="236" customFormat="false" ht="13.5" hidden="false" customHeight="false" outlineLevel="0" collapsed="false">
      <c r="A236" s="1" t="s">
        <v>670</v>
      </c>
      <c r="B236" s="1" t="s">
        <v>1767</v>
      </c>
      <c r="C236" s="1" t="s">
        <v>1529</v>
      </c>
      <c r="D236" s="1" t="s">
        <v>73</v>
      </c>
    </row>
    <row r="237" customFormat="false" ht="13.5" hidden="false" customHeight="false" outlineLevel="0" collapsed="false">
      <c r="A237" s="1" t="s">
        <v>237</v>
      </c>
      <c r="B237" s="1" t="s">
        <v>1768</v>
      </c>
      <c r="C237" s="1" t="s">
        <v>1527</v>
      </c>
      <c r="D237" s="1" t="s">
        <v>73</v>
      </c>
    </row>
    <row r="238" customFormat="false" ht="13.5" hidden="false" customHeight="false" outlineLevel="0" collapsed="false">
      <c r="A238" s="1" t="s">
        <v>61</v>
      </c>
      <c r="B238" s="1" t="s">
        <v>1769</v>
      </c>
      <c r="C238" s="1" t="s">
        <v>1532</v>
      </c>
      <c r="D238" s="1" t="s">
        <v>84</v>
      </c>
    </row>
    <row r="239" customFormat="false" ht="13.5" hidden="false" customHeight="false" outlineLevel="0" collapsed="false">
      <c r="A239" s="1" t="s">
        <v>489</v>
      </c>
      <c r="B239" s="1" t="s">
        <v>1770</v>
      </c>
      <c r="C239" s="1" t="s">
        <v>1532</v>
      </c>
      <c r="D239" s="1" t="s">
        <v>84</v>
      </c>
    </row>
    <row r="240" customFormat="false" ht="13.5" hidden="false" customHeight="false" outlineLevel="0" collapsed="false">
      <c r="A240" s="1" t="s">
        <v>697</v>
      </c>
      <c r="B240" s="1" t="s">
        <v>1771</v>
      </c>
      <c r="C240" s="1" t="s">
        <v>1527</v>
      </c>
      <c r="D240" s="1" t="s">
        <v>63</v>
      </c>
    </row>
    <row r="241" customFormat="false" ht="13.5" hidden="false" customHeight="false" outlineLevel="0" collapsed="false">
      <c r="A241" s="1" t="s">
        <v>399</v>
      </c>
      <c r="B241" s="1" t="s">
        <v>1772</v>
      </c>
      <c r="C241" s="1" t="s">
        <v>1527</v>
      </c>
      <c r="D241" s="1" t="s">
        <v>46</v>
      </c>
    </row>
    <row r="242" customFormat="false" ht="13.5" hidden="false" customHeight="false" outlineLevel="0" collapsed="false">
      <c r="A242" s="1" t="s">
        <v>44</v>
      </c>
      <c r="B242" s="1" t="s">
        <v>1773</v>
      </c>
      <c r="C242" s="1" t="s">
        <v>1529</v>
      </c>
      <c r="D242" s="1" t="s">
        <v>73</v>
      </c>
    </row>
    <row r="243" customFormat="false" ht="13.5" hidden="false" customHeight="false" outlineLevel="0" collapsed="false">
      <c r="A243" s="1" t="s">
        <v>119</v>
      </c>
      <c r="B243" s="1" t="s">
        <v>1774</v>
      </c>
      <c r="C243" s="1" t="s">
        <v>1527</v>
      </c>
      <c r="D243" s="1" t="s">
        <v>73</v>
      </c>
    </row>
    <row r="244" customFormat="false" ht="13.5" hidden="false" customHeight="false" outlineLevel="0" collapsed="false">
      <c r="A244" s="1" t="s">
        <v>642</v>
      </c>
      <c r="B244" s="1" t="s">
        <v>1775</v>
      </c>
      <c r="C244" s="1" t="s">
        <v>1529</v>
      </c>
      <c r="D244" s="1" t="s">
        <v>73</v>
      </c>
    </row>
    <row r="245" customFormat="false" ht="13.5" hidden="false" customHeight="false" outlineLevel="0" collapsed="false">
      <c r="A245" s="1" t="s">
        <v>676</v>
      </c>
      <c r="B245" s="1" t="s">
        <v>1776</v>
      </c>
      <c r="C245" s="1" t="s">
        <v>1532</v>
      </c>
      <c r="D245" s="1" t="s">
        <v>73</v>
      </c>
    </row>
    <row r="246" customFormat="false" ht="13.5" hidden="false" customHeight="false" outlineLevel="0" collapsed="false">
      <c r="A246" s="1" t="s">
        <v>186</v>
      </c>
      <c r="B246" s="1" t="s">
        <v>1777</v>
      </c>
      <c r="C246" s="1" t="s">
        <v>1532</v>
      </c>
      <c r="D246" s="1" t="s">
        <v>73</v>
      </c>
    </row>
    <row r="247" customFormat="false" ht="13.5" hidden="false" customHeight="false" outlineLevel="0" collapsed="false">
      <c r="A247" s="1" t="s">
        <v>181</v>
      </c>
      <c r="B247" s="1" t="s">
        <v>1778</v>
      </c>
      <c r="C247" s="1" t="s">
        <v>1527</v>
      </c>
      <c r="D247" s="1" t="s">
        <v>84</v>
      </c>
    </row>
    <row r="248" customFormat="false" ht="13.5" hidden="false" customHeight="false" outlineLevel="0" collapsed="false">
      <c r="A248" s="1" t="s">
        <v>640</v>
      </c>
      <c r="B248" s="1" t="s">
        <v>1779</v>
      </c>
      <c r="C248" s="1" t="s">
        <v>1529</v>
      </c>
      <c r="D248" s="1" t="s">
        <v>63</v>
      </c>
    </row>
    <row r="249" customFormat="false" ht="13.5" hidden="false" customHeight="false" outlineLevel="0" collapsed="false">
      <c r="A249" s="1" t="s">
        <v>1229</v>
      </c>
      <c r="B249" s="1" t="s">
        <v>1780</v>
      </c>
      <c r="C249" s="1" t="s">
        <v>1529</v>
      </c>
      <c r="D249" s="1" t="s">
        <v>73</v>
      </c>
    </row>
    <row r="250" customFormat="false" ht="13.5" hidden="false" customHeight="false" outlineLevel="0" collapsed="false">
      <c r="A250" s="1" t="s">
        <v>479</v>
      </c>
      <c r="B250" s="1" t="s">
        <v>1781</v>
      </c>
      <c r="C250" s="1" t="s">
        <v>1532</v>
      </c>
      <c r="D250" s="1" t="s">
        <v>84</v>
      </c>
    </row>
    <row r="251" customFormat="false" ht="13.5" hidden="false" customHeight="false" outlineLevel="0" collapsed="false">
      <c r="A251" s="1" t="s">
        <v>125</v>
      </c>
      <c r="B251" s="1" t="s">
        <v>1782</v>
      </c>
      <c r="C251" s="1" t="s">
        <v>1532</v>
      </c>
      <c r="D251" s="1" t="s">
        <v>63</v>
      </c>
    </row>
    <row r="252" customFormat="false" ht="13.5" hidden="false" customHeight="false" outlineLevel="0" collapsed="false">
      <c r="A252" s="1" t="s">
        <v>620</v>
      </c>
      <c r="B252" s="1" t="s">
        <v>1783</v>
      </c>
      <c r="C252" s="1" t="s">
        <v>1532</v>
      </c>
      <c r="D252" s="1" t="s">
        <v>63</v>
      </c>
    </row>
    <row r="253" customFormat="false" ht="13.5" hidden="false" customHeight="false" outlineLevel="0" collapsed="false">
      <c r="A253" s="1" t="s">
        <v>553</v>
      </c>
      <c r="B253" s="1" t="s">
        <v>1784</v>
      </c>
      <c r="C253" s="1" t="s">
        <v>1529</v>
      </c>
      <c r="D253" s="1" t="s">
        <v>46</v>
      </c>
    </row>
    <row r="254" customFormat="false" ht="13.5" hidden="false" customHeight="false" outlineLevel="0" collapsed="false">
      <c r="A254" s="1" t="s">
        <v>674</v>
      </c>
      <c r="B254" s="1" t="s">
        <v>1785</v>
      </c>
      <c r="C254" s="1" t="s">
        <v>1527</v>
      </c>
      <c r="D254" s="1" t="s">
        <v>63</v>
      </c>
    </row>
    <row r="255" customFormat="false" ht="13.5" hidden="false" customHeight="false" outlineLevel="0" collapsed="false">
      <c r="A255" s="1" t="s">
        <v>561</v>
      </c>
      <c r="B255" s="1" t="s">
        <v>1786</v>
      </c>
      <c r="C255" s="1" t="s">
        <v>1529</v>
      </c>
      <c r="D255" s="1" t="s">
        <v>73</v>
      </c>
    </row>
    <row r="256" customFormat="false" ht="13.5" hidden="false" customHeight="false" outlineLevel="0" collapsed="false">
      <c r="A256" s="1" t="s">
        <v>910</v>
      </c>
      <c r="B256" s="1" t="s">
        <v>1787</v>
      </c>
      <c r="C256" s="1" t="s">
        <v>1527</v>
      </c>
      <c r="D256" s="1" t="s">
        <v>84</v>
      </c>
    </row>
    <row r="257" customFormat="false" ht="13.5" hidden="false" customHeight="false" outlineLevel="0" collapsed="false">
      <c r="A257" s="1" t="s">
        <v>425</v>
      </c>
      <c r="B257" s="1" t="s">
        <v>1788</v>
      </c>
      <c r="C257" s="1" t="s">
        <v>1532</v>
      </c>
      <c r="D257" s="1" t="s">
        <v>46</v>
      </c>
    </row>
    <row r="258" customFormat="false" ht="13.5" hidden="false" customHeight="false" outlineLevel="0" collapsed="false">
      <c r="A258" s="1" t="s">
        <v>288</v>
      </c>
      <c r="B258" s="1" t="s">
        <v>1789</v>
      </c>
      <c r="C258" s="1" t="s">
        <v>1532</v>
      </c>
      <c r="D258" s="1" t="s">
        <v>63</v>
      </c>
    </row>
    <row r="259" customFormat="false" ht="13.5" hidden="false" customHeight="false" outlineLevel="0" collapsed="false">
      <c r="A259" s="1" t="s">
        <v>773</v>
      </c>
      <c r="B259" s="1" t="s">
        <v>1790</v>
      </c>
      <c r="C259" s="1" t="s">
        <v>1532</v>
      </c>
      <c r="D259" s="1" t="s">
        <v>84</v>
      </c>
    </row>
    <row r="260" customFormat="false" ht="13.5" hidden="false" customHeight="false" outlineLevel="0" collapsed="false">
      <c r="A260" s="1" t="s">
        <v>842</v>
      </c>
      <c r="B260" s="1" t="s">
        <v>1791</v>
      </c>
      <c r="C260" s="1" t="s">
        <v>1529</v>
      </c>
      <c r="D260" s="1" t="s">
        <v>84</v>
      </c>
    </row>
    <row r="261" customFormat="false" ht="13.5" hidden="false" customHeight="false" outlineLevel="0" collapsed="false">
      <c r="A261" s="1" t="s">
        <v>862</v>
      </c>
      <c r="B261" s="1" t="s">
        <v>1792</v>
      </c>
      <c r="C261" s="1" t="s">
        <v>1527</v>
      </c>
      <c r="D261" s="1" t="s">
        <v>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I3" activeCellId="0" sqref="I3"/>
    </sheetView>
  </sheetViews>
  <sheetFormatPr defaultColWidth="8.83203125" defaultRowHeight="13.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48"/>
    <col collapsed="false" customWidth="true" hidden="false" outlineLevel="0" max="3" min="3" style="1" width="72"/>
    <col collapsed="false" customWidth="true" hidden="false" outlineLevel="0" max="8" min="6" style="1" width="15"/>
    <col collapsed="false" customWidth="true" hidden="false" outlineLevel="0" max="9" min="9" style="1" width="11.5"/>
  </cols>
  <sheetData>
    <row r="1" customFormat="false" ht="27.75" hidden="false" customHeight="true" outlineLevel="0" collapsed="false">
      <c r="A1" s="2" t="s">
        <v>1793</v>
      </c>
      <c r="B1" s="2" t="s">
        <v>1794</v>
      </c>
      <c r="C1" s="2" t="s">
        <v>1795</v>
      </c>
      <c r="E1" s="2" t="s">
        <v>1796</v>
      </c>
    </row>
    <row r="2" customFormat="false" ht="13.5" hidden="false" customHeight="false" outlineLevel="0" collapsed="false">
      <c r="A2" s="1" t="s">
        <v>1797</v>
      </c>
      <c r="B2" s="1" t="s">
        <v>1798</v>
      </c>
      <c r="C2" s="1" t="s">
        <v>1799</v>
      </c>
      <c r="E2" s="1" t="s">
        <v>1800</v>
      </c>
      <c r="G2" s="1" t="s">
        <v>1801</v>
      </c>
      <c r="H2" s="1" t="s">
        <v>1802</v>
      </c>
      <c r="I2" s="1" t="s">
        <v>1803</v>
      </c>
    </row>
    <row r="3" customFormat="false" ht="13.5" hidden="false" customHeight="false" outlineLevel="0" collapsed="false">
      <c r="A3" s="1" t="s">
        <v>1797</v>
      </c>
      <c r="B3" s="1" t="s">
        <v>1804</v>
      </c>
      <c r="C3" s="1" t="s">
        <v>1805</v>
      </c>
      <c r="E3" s="1" t="s">
        <v>2</v>
      </c>
      <c r="F3" s="97" t="n">
        <f aca="false">SUMIF(Ventas!M:M,"Completada",Ventas!O:O)</f>
        <v>45512437.603</v>
      </c>
      <c r="G3" s="97" t="n">
        <f aca="false">SUMIFS(Ventas!O:O,Ventas!G:G,"WEB",Ventas!M:M,"COMPLETADA")</f>
        <v>15171518.4695</v>
      </c>
      <c r="H3" s="98" t="n">
        <f aca="false">COUNTIFS(Ventas!G:G,"Web",Ventas!M:M,"Completada")</f>
        <v>666</v>
      </c>
      <c r="I3" s="99" t="n">
        <f aca="false">G3/H3</f>
        <v>22780.057762012</v>
      </c>
    </row>
    <row r="4" customFormat="false" ht="13.5" hidden="false" customHeight="false" outlineLevel="0" collapsed="false">
      <c r="A4" s="1" t="s">
        <v>1797</v>
      </c>
      <c r="B4" s="1" t="s">
        <v>1806</v>
      </c>
      <c r="C4" s="1" t="s">
        <v>1807</v>
      </c>
    </row>
    <row r="5" customFormat="false" ht="13.5" hidden="false" customHeight="false" outlineLevel="0" collapsed="false">
      <c r="A5" s="1" t="s">
        <v>1808</v>
      </c>
      <c r="B5" s="1" t="s">
        <v>1809</v>
      </c>
      <c r="C5" s="1" t="s">
        <v>1810</v>
      </c>
    </row>
    <row r="6" customFormat="false" ht="13.5" hidden="false" customHeight="false" outlineLevel="0" collapsed="false">
      <c r="A6" s="1" t="s">
        <v>1808</v>
      </c>
      <c r="B6" s="1" t="s">
        <v>1811</v>
      </c>
      <c r="C6" s="1" t="s">
        <v>1812</v>
      </c>
    </row>
    <row r="7" customFormat="false" ht="13.5" hidden="false" customHeight="false" outlineLevel="0" collapsed="false">
      <c r="A7" s="1" t="s">
        <v>1808</v>
      </c>
      <c r="B7" s="1" t="s">
        <v>1813</v>
      </c>
      <c r="C7" s="1" t="s">
        <v>1814</v>
      </c>
    </row>
    <row r="8" customFormat="false" ht="13.5" hidden="false" customHeight="false" outlineLevel="0" collapsed="false">
      <c r="A8" s="1" t="s">
        <v>1808</v>
      </c>
      <c r="B8" s="1" t="s">
        <v>1815</v>
      </c>
      <c r="C8" s="1" t="s">
        <v>1816</v>
      </c>
    </row>
    <row r="9" customFormat="false" ht="13.5" hidden="false" customHeight="false" outlineLevel="0" collapsed="false">
      <c r="A9" s="1" t="s">
        <v>1817</v>
      </c>
      <c r="B9" s="1" t="s">
        <v>1818</v>
      </c>
      <c r="C9" s="1" t="s">
        <v>1819</v>
      </c>
    </row>
    <row r="10" customFormat="false" ht="13.5" hidden="false" customHeight="false" outlineLevel="0" collapsed="false">
      <c r="A10" s="1" t="s">
        <v>1817</v>
      </c>
      <c r="B10" s="1" t="s">
        <v>1820</v>
      </c>
      <c r="C10" s="1" t="s">
        <v>1821</v>
      </c>
    </row>
    <row r="11" customFormat="false" ht="13.5" hidden="false" customHeight="false" outlineLevel="0" collapsed="false">
      <c r="A11" s="1" t="s">
        <v>1817</v>
      </c>
      <c r="B11" s="1" t="s">
        <v>1822</v>
      </c>
      <c r="C11" s="1" t="s">
        <v>1823</v>
      </c>
    </row>
    <row r="12" customFormat="false" ht="13.5" hidden="false" customHeight="false" outlineLevel="0" collapsed="false">
      <c r="A12" s="1" t="s">
        <v>1824</v>
      </c>
      <c r="B12" s="1" t="s">
        <v>1825</v>
      </c>
      <c r="C12" s="1" t="s">
        <v>1826</v>
      </c>
    </row>
    <row r="13" customFormat="false" ht="13.5" hidden="false" customHeight="false" outlineLevel="0" collapsed="false">
      <c r="A13" s="1" t="s">
        <v>1824</v>
      </c>
      <c r="B13" s="1" t="s">
        <v>1827</v>
      </c>
      <c r="C13" s="1" t="s">
        <v>1828</v>
      </c>
    </row>
    <row r="14" customFormat="false" ht="13.5" hidden="false" customHeight="false" outlineLevel="0" collapsed="false">
      <c r="A14" s="1" t="s">
        <v>1824</v>
      </c>
      <c r="B14" s="1" t="s">
        <v>1829</v>
      </c>
      <c r="C14" s="1" t="s">
        <v>1830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423</TotalTime>
  <Application>LibreOffice/24.2.7.2$Windows_X86_64 LibreOffice_project/ee3885777aa7032db5a9b65deec9457448a91162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2026-10-09T03:28:30Z</dcterms:created>
  <dc:creator/>
  <dc:description/>
  <dc:language>es-MX</dc:language>
  <cp:lastModifiedBy/>
  <dcterms:modified xsi:type="dcterms:W3CDTF">2026-10-12T20:21:38Z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